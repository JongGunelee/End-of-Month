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24_02\"/>
    </mc:Choice>
  </mc:AlternateContent>
  <xr:revisionPtr revIDLastSave="0" documentId="13_ncr:1_{AB4C0922-4EAF-46E8-ABEE-5CCCD0831ABB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8" l="1"/>
  <c r="J19" i="28"/>
  <c r="J29" i="28"/>
  <c r="O6" i="26"/>
  <c r="V6" i="26" s="1"/>
  <c r="O7" i="26"/>
  <c r="V7" i="26" s="1"/>
  <c r="J24" i="28" l="1"/>
  <c r="J23" i="28"/>
  <c r="J26" i="28"/>
  <c r="J25" i="28"/>
  <c r="J27" i="28" s="1"/>
  <c r="J3" i="26"/>
  <c r="Q8" i="26" l="1"/>
  <c r="V8" i="26" s="1"/>
  <c r="Q9" i="26"/>
  <c r="V9" i="26" l="1"/>
  <c r="Q11" i="26" l="1"/>
  <c r="O11" i="26"/>
  <c r="J18" i="28" s="1"/>
  <c r="M90" i="21"/>
  <c r="K90" i="21"/>
  <c r="J22" i="28" l="1"/>
  <c r="J28" i="28" s="1"/>
  <c r="J20" i="28" s="1"/>
  <c r="J30" i="28" s="1"/>
  <c r="C5" i="23"/>
  <c r="J31" i="28" l="1"/>
  <c r="M32" i="28" s="1"/>
  <c r="B15" i="28" s="1"/>
  <c r="B3" i="21"/>
  <c r="G90" i="21" l="1"/>
  <c r="I9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<sst xmlns="http://schemas.openxmlformats.org/spreadsheetml/2006/main" count="199" uniqueCount="152">
  <si>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</si>
  <si>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</si>
  <si>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</si>
  <si>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</si>
  <si>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</si>
  <si>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</si>
  <si>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</si>
  <si>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</si>
  <si>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</si>
  <si>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</si>
  <si>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</si>
  <si>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</si>
  <si>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</si>
  <si>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</si>
  <si>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</si>
  <si>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</si>
  <si>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</si>
  <si>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</si>
  <si>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</si>
  <si>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</si>
  <si>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</si>
  <si>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</si>
  <si>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</si>
  <si>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</si>
  <si>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</si>
  <si>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</si>
  <si>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</si>
  <si>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</si>
  <si>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</si>
  <si>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</si>
  <si>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</si>
  <si>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</si>
  <si>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</si>
  <si>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</si>
  <si>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</si>
  <si>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</si>
  <si>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</si>
  <si>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</si>
  <si>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</si>
  <si>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</si>
  <si>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8" type="noConversion"/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</si>
  <si>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</si>
  <si>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</si>
  <si>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</si>
  <si>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</si>
  <si>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</si>
  <si>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</si>
  <si>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보통인부</t>
    <phoneticPr fontId="6" type="noConversion"/>
  </si>
  <si>
    <t>L069</t>
    <phoneticPr fontId="6" type="noConversion"/>
  </si>
  <si>
    <t>내선전공</t>
    <phoneticPr fontId="6" type="noConversion"/>
  </si>
  <si>
    <t>최소인건비</t>
    <phoneticPr fontId="6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</si>
  <si>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</si>
  <si>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</si>
  <si>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</si>
  <si>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</si>
  <si>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</si>
  <si>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</si>
  <si>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</si>
  <si>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</si>
  <si>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</si>
  <si>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</si>
  <si>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</si>
  <si>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</si>
  <si>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</si>
  <si>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</si>
  <si>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</si>
  <si>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</si>
  <si>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</si>
  <si>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</si>
  <si>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</si>
  <si>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인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</si>
  <si>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</si>
  <si>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</si>
  <si>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</si>
  <si>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</si>
  <si>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</si>
  <si>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</si>
  <si>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</si>
  <si>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</si>
  <si>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</si>
  <si>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</si>
  <si>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</si>
  <si>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</si>
  <si>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보통인부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</si>
  <si>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</si>
  <si>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</si>
  <si>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</si>
  <si>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</si>
  <si>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</si>
  <si>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</si>
  <si>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</si>
  <si>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</si>
  <si>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</si>
  <si>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</si>
  <si>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</si>
  <si>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</si>
  <si>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</si>
  <si>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</si>
  <si>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</si>
  <si>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</si>
  <si>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</si>
  <si>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</si>
  <si>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</si>
  <si>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</si>
  <si>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</si>
  <si>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</si>
  <si>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</si>
  <si>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</si>
  <si>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</si>
  <si>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</si>
  <si>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</si>
  <si>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</si>
  <si>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4" type="noConversion"/>
  </si>
  <si>
    <t>구          분</t>
    <phoneticPr fontId="64" type="noConversion"/>
  </si>
  <si>
    <t>수량</t>
    <phoneticPr fontId="64" type="noConversion"/>
  </si>
  <si>
    <t>단위</t>
    <phoneticPr fontId="64" type="noConversion"/>
  </si>
  <si>
    <t>금    액</t>
    <phoneticPr fontId="64" type="noConversion"/>
  </si>
  <si>
    <t>비    고</t>
    <phoneticPr fontId="64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</si>
  <si>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</si>
  <si>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</si>
  <si>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</si>
  <si>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</si>
  <si>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</si>
  <si>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</si>
  <si>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</si>
  <si>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</si>
  <si>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</si>
  <si>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</si>
  <si>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</si>
  <si>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</si>
  <si>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</si>
  <si>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</si>
  <si>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</si>
  <si>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</si>
  <si>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</si>
  <si>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</si>
  <si>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</si>
  <si>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</si>
  <si>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</si>
  <si>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</si>
  <si>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</si>
  <si>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</si>
  <si>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</si>
  <si>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</si>
  <si>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</si>
  <si>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</si>
  <si>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</si>
  <si>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</si>
  <si>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</si>
  <si>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</si>
  <si>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서 현</t>
    <phoneticPr fontId="12" type="noConversion"/>
  </si>
  <si>
    <t>사택 7-207외 2세대 LED등기구 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</si>
</sst>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6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4" fillId="0" borderId="4" xfId="0" applyFont="1" applyBorder="1">
      <alignment vertical="center"/>
    </xf>
    <xf numFmtId="176" fontId="24" fillId="0" borderId="4" xfId="1" applyFont="1" applyBorder="1">
      <alignment vertical="center"/>
    </xf>
    <xf numFmtId="0" fontId="24" fillId="0" borderId="0" xfId="0" applyFont="1">
      <alignment vertical="center"/>
    </xf>
    <xf numFmtId="176" fontId="24" fillId="2" borderId="4" xfId="1" applyFont="1" applyFill="1" applyBorder="1">
      <alignment vertical="center"/>
    </xf>
    <xf numFmtId="179" fontId="15" fillId="2" borderId="4" xfId="4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9" fontId="11" fillId="5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4" fillId="0" borderId="4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4" fillId="0" borderId="4" xfId="0" applyNumberFormat="1" applyFont="1" applyBorder="1">
      <alignment vertical="center"/>
    </xf>
    <xf numFmtId="49" fontId="24" fillId="0" borderId="0" xfId="0" applyNumberFormat="1" applyFont="1">
      <alignment vertical="center"/>
    </xf>
    <xf numFmtId="176" fontId="24" fillId="0" borderId="0" xfId="1" applyFont="1" applyFill="1">
      <alignment vertical="center"/>
    </xf>
    <xf numFmtId="176" fontId="25" fillId="0" borderId="0" xfId="1" applyFont="1" applyFill="1">
      <alignment vertical="center"/>
    </xf>
    <xf numFmtId="9" fontId="24" fillId="0" borderId="0" xfId="0" applyNumberFormat="1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8" xfId="15" applyFont="1" applyBorder="1" applyAlignment="1">
      <alignment horizontal="center" vertical="center" shrinkToFit="1"/>
    </xf>
    <xf numFmtId="0" fontId="34" fillId="0" borderId="9" xfId="15" applyFont="1" applyBorder="1" applyAlignment="1">
      <alignment horizontal="center" vertical="center" shrinkToFit="1"/>
    </xf>
    <xf numFmtId="181" fontId="34" fillId="0" borderId="9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2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5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0" fontId="25" fillId="0" borderId="0" xfId="0" applyFont="1">
      <alignment vertical="center"/>
    </xf>
    <xf numFmtId="49" fontId="25" fillId="0" borderId="0" xfId="0" applyNumberFormat="1" applyFont="1">
      <alignment vertical="center"/>
    </xf>
    <xf numFmtId="9" fontId="25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6" fontId="24" fillId="0" borderId="4" xfId="1" applyFont="1" applyFill="1" applyBorder="1">
      <alignment vertical="center"/>
    </xf>
    <xf numFmtId="176" fontId="24" fillId="0" borderId="4" xfId="1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176" fontId="24" fillId="6" borderId="4" xfId="1" applyFont="1" applyFill="1" applyBorder="1" applyAlignment="1">
      <alignment horizontal="center" vertical="center"/>
    </xf>
    <xf numFmtId="176" fontId="24" fillId="6" borderId="4" xfId="1" applyFont="1" applyFill="1" applyBorder="1">
      <alignment vertical="center"/>
    </xf>
    <xf numFmtId="0" fontId="24" fillId="6" borderId="4" xfId="0" applyFont="1" applyFill="1" applyBorder="1" applyAlignment="1">
      <alignment horizontal="left" vertical="center"/>
    </xf>
    <xf numFmtId="49" fontId="24" fillId="6" borderId="4" xfId="0" applyNumberFormat="1" applyFont="1" applyFill="1" applyBorder="1">
      <alignment vertical="center"/>
    </xf>
    <xf numFmtId="9" fontId="24" fillId="6" borderId="4" xfId="0" applyNumberFormat="1" applyFont="1" applyFill="1" applyBorder="1">
      <alignment vertical="center"/>
    </xf>
    <xf numFmtId="176" fontId="38" fillId="3" borderId="4" xfId="1" applyFont="1" applyFill="1" applyBorder="1">
      <alignment vertical="center"/>
    </xf>
    <xf numFmtId="0" fontId="38" fillId="3" borderId="4" xfId="0" applyFont="1" applyFill="1" applyBorder="1">
      <alignment vertical="center"/>
    </xf>
    <xf numFmtId="0" fontId="38" fillId="3" borderId="4" xfId="0" applyFont="1" applyFill="1" applyBorder="1" applyAlignment="1">
      <alignment horizontal="left" vertical="center"/>
    </xf>
    <xf numFmtId="49" fontId="38" fillId="3" borderId="4" xfId="0" applyNumberFormat="1" applyFont="1" applyFill="1" applyBorder="1">
      <alignment vertical="center"/>
    </xf>
    <xf numFmtId="0" fontId="38" fillId="3" borderId="0" xfId="0" applyFont="1" applyFill="1">
      <alignment vertical="center"/>
    </xf>
    <xf numFmtId="176" fontId="38" fillId="3" borderId="4" xfId="1" applyFont="1" applyFill="1" applyBorder="1" applyAlignment="1">
      <alignment horizontal="center" vertical="center"/>
    </xf>
    <xf numFmtId="182" fontId="5" fillId="3" borderId="4" xfId="0" applyNumberFormat="1" applyFont="1" applyFill="1" applyBorder="1" applyAlignment="1">
      <alignment horizontal="right" vertical="center" wrapText="1"/>
    </xf>
    <xf numFmtId="49" fontId="39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49" fontId="39" fillId="3" borderId="4" xfId="0" applyNumberFormat="1" applyFont="1" applyFill="1" applyBorder="1" applyAlignment="1">
      <alignment horizontal="center" vertical="center"/>
    </xf>
    <xf numFmtId="176" fontId="5" fillId="3" borderId="4" xfId="1" applyFont="1" applyFill="1" applyBorder="1" applyAlignment="1">
      <alignment horizontal="center" vertical="center" wrapText="1"/>
    </xf>
    <xf numFmtId="49" fontId="39" fillId="3" borderId="4" xfId="0" applyNumberFormat="1" applyFont="1" applyFill="1" applyBorder="1">
      <alignment vertical="center"/>
    </xf>
    <xf numFmtId="9" fontId="38" fillId="3" borderId="4" xfId="0" applyNumberFormat="1" applyFont="1" applyFill="1" applyBorder="1">
      <alignment vertical="center"/>
    </xf>
    <xf numFmtId="0" fontId="40" fillId="0" borderId="0" xfId="0" applyFont="1">
      <alignment vertical="center"/>
    </xf>
    <xf numFmtId="49" fontId="22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1" applyFont="1" applyFill="1">
      <alignment vertical="center"/>
    </xf>
    <xf numFmtId="0" fontId="22" fillId="0" borderId="0" xfId="0" applyFont="1">
      <alignment vertical="center"/>
    </xf>
    <xf numFmtId="9" fontId="22" fillId="0" borderId="0" xfId="0" applyNumberFormat="1" applyFont="1">
      <alignment vertical="center"/>
    </xf>
    <xf numFmtId="0" fontId="41" fillId="0" borderId="0" xfId="0" applyFont="1" applyAlignment="1">
      <alignment horizontal="center" vertical="center"/>
    </xf>
    <xf numFmtId="49" fontId="42" fillId="0" borderId="0" xfId="0" applyNumberFormat="1" applyFont="1">
      <alignment vertical="center"/>
    </xf>
    <xf numFmtId="49" fontId="42" fillId="0" borderId="0" xfId="0" applyNumberFormat="1" applyFont="1" applyAlignment="1">
      <alignment horizontal="center" vertical="center"/>
    </xf>
    <xf numFmtId="176" fontId="42" fillId="0" borderId="0" xfId="1" applyFont="1">
      <alignment vertical="center"/>
    </xf>
    <xf numFmtId="0" fontId="43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6" fillId="0" borderId="0" xfId="0" applyFont="1">
      <alignment vertical="center"/>
    </xf>
    <xf numFmtId="9" fontId="47" fillId="5" borderId="0" xfId="13" applyFont="1" applyFill="1" applyAlignment="1">
      <alignment horizontal="center" vertical="center"/>
    </xf>
    <xf numFmtId="0" fontId="48" fillId="0" borderId="0" xfId="0" applyFont="1">
      <alignment vertical="center"/>
    </xf>
    <xf numFmtId="0" fontId="43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6" fontId="43" fillId="3" borderId="6" xfId="1" applyFont="1" applyFill="1" applyBorder="1" applyAlignment="1">
      <alignment horizontal="center" vertical="center"/>
    </xf>
    <xf numFmtId="179" fontId="43" fillId="3" borderId="4" xfId="4" applyFont="1" applyFill="1" applyBorder="1" applyAlignment="1">
      <alignment horizontal="center" vertical="center"/>
    </xf>
    <xf numFmtId="0" fontId="42" fillId="3" borderId="0" xfId="0" applyFont="1" applyFill="1">
      <alignment vertical="center"/>
    </xf>
    <xf numFmtId="0" fontId="49" fillId="3" borderId="4" xfId="0" applyFont="1" applyFill="1" applyBorder="1" applyAlignment="1">
      <alignment horizontal="center" vertical="center"/>
    </xf>
    <xf numFmtId="49" fontId="38" fillId="3" borderId="4" xfId="0" applyNumberFormat="1" applyFont="1" applyFill="1" applyBorder="1" applyAlignment="1">
      <alignment horizontal="center" vertical="center"/>
    </xf>
    <xf numFmtId="0" fontId="50" fillId="3" borderId="0" xfId="0" applyFont="1" applyFill="1">
      <alignment vertical="center"/>
    </xf>
    <xf numFmtId="0" fontId="22" fillId="3" borderId="4" xfId="0" applyFont="1" applyFill="1" applyBorder="1">
      <alignment vertical="center"/>
    </xf>
    <xf numFmtId="49" fontId="22" fillId="3" borderId="4" xfId="0" applyNumberFormat="1" applyFont="1" applyFill="1" applyBorder="1">
      <alignment vertical="center"/>
    </xf>
    <xf numFmtId="49" fontId="22" fillId="6" borderId="4" xfId="0" applyNumberFormat="1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176" fontId="22" fillId="3" borderId="4" xfId="1" applyFont="1" applyFill="1" applyBorder="1">
      <alignment vertical="center"/>
    </xf>
    <xf numFmtId="176" fontId="22" fillId="6" borderId="4" xfId="1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9" fontId="22" fillId="3" borderId="4" xfId="0" applyNumberFormat="1" applyFont="1" applyFill="1" applyBorder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176" fontId="22" fillId="3" borderId="0" xfId="1" applyFont="1" applyFill="1">
      <alignment vertical="center"/>
    </xf>
    <xf numFmtId="9" fontId="22" fillId="3" borderId="0" xfId="0" applyNumberFormat="1" applyFont="1" applyFill="1">
      <alignment vertical="center"/>
    </xf>
    <xf numFmtId="49" fontId="39" fillId="0" borderId="4" xfId="0" applyNumberFormat="1" applyFont="1" applyBorder="1">
      <alignment vertical="center"/>
    </xf>
    <xf numFmtId="0" fontId="38" fillId="3" borderId="4" xfId="0" applyFont="1" applyFill="1" applyBorder="1" applyAlignment="1">
      <alignment horizontal="center" vertical="center"/>
    </xf>
    <xf numFmtId="0" fontId="52" fillId="0" borderId="0" xfId="20" applyFont="1">
      <alignment vertical="center"/>
    </xf>
    <xf numFmtId="0" fontId="51" fillId="0" borderId="25" xfId="19" applyFont="1" applyBorder="1" applyAlignment="1">
      <alignment horizontal="center" vertical="center"/>
    </xf>
    <xf numFmtId="0" fontId="51" fillId="0" borderId="0" xfId="19" applyFont="1" applyAlignment="1">
      <alignment horizontal="center" vertical="center"/>
    </xf>
    <xf numFmtId="0" fontId="51" fillId="0" borderId="20" xfId="19" applyFont="1" applyBorder="1" applyAlignment="1">
      <alignment horizontal="center" vertical="center"/>
    </xf>
    <xf numFmtId="0" fontId="54" fillId="0" borderId="25" xfId="19" applyFont="1" applyBorder="1" applyAlignment="1">
      <alignment horizontal="left" vertical="center"/>
    </xf>
    <xf numFmtId="0" fontId="55" fillId="0" borderId="0" xfId="19" applyFont="1" applyAlignment="1">
      <alignment vertical="center"/>
    </xf>
    <xf numFmtId="0" fontId="55" fillId="0" borderId="0" xfId="19" applyFont="1" applyAlignment="1">
      <alignment horizontal="left" vertical="center" textRotation="1"/>
    </xf>
    <xf numFmtId="0" fontId="56" fillId="0" borderId="0" xfId="19" applyFont="1" applyAlignment="1">
      <alignment horizontal="centerContinuous" vertical="center"/>
    </xf>
    <xf numFmtId="0" fontId="56" fillId="0" borderId="20" xfId="19" applyFont="1" applyBorder="1" applyAlignment="1">
      <alignment vertical="center"/>
    </xf>
    <xf numFmtId="0" fontId="57" fillId="0" borderId="25" xfId="19" applyFont="1" applyBorder="1" applyAlignment="1">
      <alignment horizontal="left" vertical="center" indent="2"/>
    </xf>
    <xf numFmtId="0" fontId="52" fillId="0" borderId="26" xfId="19" applyFont="1" applyBorder="1" applyAlignment="1">
      <alignment vertical="center"/>
    </xf>
    <xf numFmtId="0" fontId="52" fillId="0" borderId="0" xfId="19" applyFont="1" applyAlignment="1">
      <alignment vertical="center"/>
    </xf>
    <xf numFmtId="0" fontId="56" fillId="0" borderId="20" xfId="19" applyFont="1" applyBorder="1" applyAlignment="1">
      <alignment horizontal="right" vertical="center"/>
    </xf>
    <xf numFmtId="0" fontId="57" fillId="0" borderId="25" xfId="19" applyFont="1" applyBorder="1" applyAlignment="1">
      <alignment vertical="center"/>
    </xf>
    <xf numFmtId="0" fontId="57" fillId="0" borderId="0" xfId="19" applyFont="1" applyAlignment="1">
      <alignment vertical="center"/>
    </xf>
    <xf numFmtId="0" fontId="56" fillId="0" borderId="0" xfId="19" applyFont="1" applyAlignment="1">
      <alignment horizontal="right" vertical="center"/>
    </xf>
    <xf numFmtId="0" fontId="57" fillId="0" borderId="20" xfId="19" applyFont="1" applyBorder="1" applyAlignment="1">
      <alignment vertical="center"/>
    </xf>
    <xf numFmtId="0" fontId="52" fillId="0" borderId="28" xfId="19" applyFont="1" applyBorder="1" applyAlignment="1">
      <alignment horizontal="center" vertical="center"/>
    </xf>
    <xf numFmtId="0" fontId="52" fillId="0" borderId="29" xfId="19" applyFont="1" applyBorder="1" applyAlignment="1">
      <alignment horizontal="center" vertical="center"/>
    </xf>
    <xf numFmtId="0" fontId="52" fillId="0" borderId="31" xfId="19" applyFont="1" applyBorder="1" applyAlignment="1">
      <alignment horizontal="center" vertical="center"/>
    </xf>
    <xf numFmtId="0" fontId="52" fillId="0" borderId="32" xfId="19" applyFont="1" applyBorder="1" applyAlignment="1">
      <alignment horizontal="center" vertical="center"/>
    </xf>
    <xf numFmtId="0" fontId="52" fillId="0" borderId="36" xfId="19" applyFont="1" applyBorder="1" applyAlignment="1">
      <alignment horizontal="center" vertical="center"/>
    </xf>
    <xf numFmtId="0" fontId="60" fillId="0" borderId="37" xfId="19" applyFont="1" applyBorder="1" applyAlignment="1">
      <alignment horizontal="center" vertical="center"/>
    </xf>
    <xf numFmtId="0" fontId="52" fillId="0" borderId="42" xfId="19" applyFont="1" applyBorder="1" applyAlignment="1">
      <alignment horizontal="center" vertical="center"/>
    </xf>
    <xf numFmtId="0" fontId="52" fillId="0" borderId="43" xfId="19" applyFont="1" applyBorder="1" applyAlignment="1">
      <alignment horizontal="center" vertical="center"/>
    </xf>
    <xf numFmtId="0" fontId="52" fillId="0" borderId="25" xfId="19" applyFont="1" applyBorder="1" applyAlignment="1">
      <alignment horizontal="center" vertical="center"/>
    </xf>
    <xf numFmtId="0" fontId="52" fillId="0" borderId="0" xfId="19" applyFont="1" applyAlignment="1">
      <alignment horizontal="center" vertical="center"/>
    </xf>
    <xf numFmtId="0" fontId="52" fillId="0" borderId="0" xfId="19" applyFont="1" applyAlignment="1">
      <alignment horizontal="left" vertical="center" indent="1"/>
    </xf>
    <xf numFmtId="0" fontId="56" fillId="0" borderId="0" xfId="19" applyFont="1" applyAlignment="1">
      <alignment vertical="center"/>
    </xf>
    <xf numFmtId="0" fontId="52" fillId="0" borderId="25" xfId="19" applyFont="1" applyBorder="1" applyAlignment="1">
      <alignment vertical="center"/>
    </xf>
    <xf numFmtId="0" fontId="52" fillId="0" borderId="20" xfId="19" applyFont="1" applyBorder="1" applyAlignment="1">
      <alignment vertical="center"/>
    </xf>
    <xf numFmtId="0" fontId="57" fillId="0" borderId="25" xfId="19" applyFont="1" applyBorder="1" applyAlignment="1">
      <alignment horizontal="left" vertical="center" indent="1"/>
    </xf>
    <xf numFmtId="0" fontId="62" fillId="0" borderId="0" xfId="19" applyFont="1" applyAlignment="1">
      <alignment vertical="center"/>
    </xf>
    <xf numFmtId="0" fontId="62" fillId="9" borderId="44" xfId="19" applyFont="1" applyFill="1" applyBorder="1" applyAlignment="1">
      <alignment horizontal="center" vertical="center"/>
    </xf>
    <xf numFmtId="0" fontId="62" fillId="9" borderId="45" xfId="19" applyFont="1" applyFill="1" applyBorder="1" applyAlignment="1">
      <alignment horizontal="center" vertical="center"/>
    </xf>
    <xf numFmtId="3" fontId="62" fillId="9" borderId="45" xfId="19" applyNumberFormat="1" applyFont="1" applyFill="1" applyBorder="1" applyAlignment="1">
      <alignment horizontal="center" vertical="center"/>
    </xf>
    <xf numFmtId="0" fontId="52" fillId="0" borderId="18" xfId="19" applyFont="1" applyBorder="1" applyAlignment="1">
      <alignment horizontal="center" vertical="center"/>
    </xf>
    <xf numFmtId="0" fontId="52" fillId="0" borderId="14" xfId="19" applyFont="1" applyBorder="1" applyAlignment="1">
      <alignment horizontal="center" vertical="center"/>
    </xf>
    <xf numFmtId="0" fontId="52" fillId="0" borderId="7" xfId="22" applyFont="1" applyBorder="1" applyAlignment="1">
      <alignment horizontal="center" vertical="center"/>
    </xf>
    <xf numFmtId="176" fontId="52" fillId="0" borderId="0" xfId="20" applyNumberFormat="1" applyFont="1">
      <alignment vertical="center"/>
    </xf>
    <xf numFmtId="0" fontId="52" fillId="0" borderId="54" xfId="22" applyFont="1" applyBorder="1" applyAlignment="1">
      <alignment horizontal="left" vertical="center" wrapText="1" indent="1"/>
    </xf>
    <xf numFmtId="0" fontId="56" fillId="0" borderId="59" xfId="22" applyFont="1" applyBorder="1" applyAlignment="1">
      <alignment horizontal="center" vertical="center"/>
    </xf>
    <xf numFmtId="184" fontId="56" fillId="0" borderId="59" xfId="22" applyNumberFormat="1" applyFont="1" applyBorder="1" applyAlignment="1">
      <alignment horizontal="center" vertical="center"/>
    </xf>
    <xf numFmtId="177" fontId="52" fillId="0" borderId="0" xfId="20" applyNumberFormat="1" applyFont="1">
      <alignment vertical="center"/>
    </xf>
    <xf numFmtId="2" fontId="56" fillId="0" borderId="61" xfId="22" applyNumberFormat="1" applyFont="1" applyBorder="1" applyAlignment="1">
      <alignment horizontal="center" vertical="center"/>
    </xf>
    <xf numFmtId="0" fontId="56" fillId="0" borderId="19" xfId="22" applyFont="1" applyBorder="1" applyAlignment="1">
      <alignment horizontal="center" vertical="center"/>
    </xf>
    <xf numFmtId="0" fontId="52" fillId="0" borderId="21" xfId="19" applyFont="1" applyBorder="1" applyAlignment="1">
      <alignment horizontal="center" vertical="center"/>
    </xf>
    <xf numFmtId="0" fontId="52" fillId="0" borderId="65" xfId="22" applyFont="1" applyBorder="1" applyAlignment="1">
      <alignment horizontal="left" vertical="center" wrapText="1" indent="1"/>
    </xf>
    <xf numFmtId="1" fontId="56" fillId="0" borderId="66" xfId="22" applyNumberFormat="1" applyFont="1" applyBorder="1" applyAlignment="1">
      <alignment horizontal="center" vertical="center"/>
    </xf>
    <xf numFmtId="0" fontId="56" fillId="0" borderId="66" xfId="22" applyFont="1" applyBorder="1" applyAlignment="1">
      <alignment horizontal="center" vertical="center"/>
    </xf>
    <xf numFmtId="0" fontId="56" fillId="0" borderId="70" xfId="22" applyFont="1" applyBorder="1" applyAlignment="1">
      <alignment horizontal="center" vertical="center"/>
    </xf>
    <xf numFmtId="176" fontId="52" fillId="0" borderId="0" xfId="23" applyFont="1">
      <alignment vertical="center"/>
    </xf>
    <xf numFmtId="176" fontId="66" fillId="10" borderId="46" xfId="19" applyNumberFormat="1" applyFont="1" applyFill="1" applyBorder="1" applyAlignment="1">
      <alignment horizontal="right" vertical="center"/>
    </xf>
    <xf numFmtId="0" fontId="66" fillId="10" borderId="46" xfId="19" applyFont="1" applyFill="1" applyBorder="1" applyAlignment="1">
      <alignment horizontal="right" vertical="center"/>
    </xf>
    <xf numFmtId="176" fontId="66" fillId="10" borderId="72" xfId="23" applyFont="1" applyFill="1" applyBorder="1" applyAlignment="1">
      <alignment horizontal="right" vertical="center"/>
    </xf>
    <xf numFmtId="179" fontId="52" fillId="0" borderId="0" xfId="25" applyFont="1" applyAlignment="1">
      <alignment vertical="center"/>
    </xf>
    <xf numFmtId="49" fontId="56" fillId="0" borderId="25" xfId="19" applyNumberFormat="1" applyFont="1" applyBorder="1" applyAlignment="1">
      <alignment horizontal="left" vertical="center" indent="1"/>
    </xf>
    <xf numFmtId="49" fontId="52" fillId="0" borderId="0" xfId="19" applyNumberFormat="1" applyFont="1" applyAlignment="1">
      <alignment vertical="center"/>
    </xf>
    <xf numFmtId="49" fontId="52" fillId="0" borderId="20" xfId="19" applyNumberFormat="1" applyFont="1" applyBorder="1" applyAlignment="1">
      <alignment vertical="center"/>
    </xf>
    <xf numFmtId="49" fontId="52" fillId="0" borderId="25" xfId="19" applyNumberFormat="1" applyFont="1" applyBorder="1" applyAlignment="1">
      <alignment vertical="center"/>
    </xf>
    <xf numFmtId="0" fontId="57" fillId="0" borderId="0" xfId="22" applyFont="1" applyAlignment="1">
      <alignment horizontal="left" vertical="center"/>
    </xf>
    <xf numFmtId="0" fontId="57" fillId="0" borderId="20" xfId="22" applyFont="1" applyBorder="1" applyAlignment="1">
      <alignment horizontal="left" vertical="center"/>
    </xf>
    <xf numFmtId="49" fontId="52" fillId="0" borderId="74" xfId="19" applyNumberFormat="1" applyFont="1" applyBorder="1" applyAlignment="1">
      <alignment vertical="center"/>
    </xf>
    <xf numFmtId="49" fontId="52" fillId="0" borderId="75" xfId="19" applyNumberFormat="1" applyFont="1" applyBorder="1" applyAlignment="1">
      <alignment vertical="center"/>
    </xf>
    <xf numFmtId="49" fontId="52" fillId="0" borderId="76" xfId="19" applyNumberFormat="1" applyFont="1" applyBorder="1" applyAlignment="1">
      <alignment vertical="center"/>
    </xf>
    <xf numFmtId="0" fontId="57" fillId="0" borderId="26" xfId="19" applyFont="1" applyFill="1" applyBorder="1" applyAlignment="1">
      <alignment vertical="center"/>
    </xf>
    <xf numFmtId="0" fontId="52" fillId="0" borderId="26" xfId="19" applyFont="1" applyFill="1" applyBorder="1" applyAlignment="1">
      <alignment vertical="center"/>
    </xf>
    <xf numFmtId="0" fontId="52" fillId="0" borderId="27" xfId="19" applyFont="1" applyFill="1" applyBorder="1" applyAlignment="1">
      <alignment horizontal="right" vertical="center"/>
    </xf>
    <xf numFmtId="0" fontId="52" fillId="0" borderId="28" xfId="19" applyFont="1" applyFill="1" applyBorder="1" applyAlignment="1">
      <alignment horizontal="center" vertical="center"/>
    </xf>
    <xf numFmtId="0" fontId="52" fillId="0" borderId="49" xfId="22" applyFont="1" applyFill="1" applyBorder="1" applyAlignment="1">
      <alignment horizontal="center" vertical="center"/>
    </xf>
    <xf numFmtId="0" fontId="52" fillId="0" borderId="51" xfId="22" applyFont="1" applyFill="1" applyBorder="1" applyAlignment="1">
      <alignment horizontal="center" vertical="center"/>
    </xf>
    <xf numFmtId="0" fontId="52" fillId="0" borderId="53" xfId="22" applyFont="1" applyFill="1" applyBorder="1" applyAlignment="1">
      <alignment horizontal="center" vertical="center"/>
    </xf>
    <xf numFmtId="0" fontId="56" fillId="0" borderId="55" xfId="22" applyFont="1" applyFill="1" applyBorder="1" applyAlignment="1">
      <alignment horizontal="center" vertical="center"/>
    </xf>
    <xf numFmtId="0" fontId="56" fillId="0" borderId="66" xfId="22" applyFont="1" applyBorder="1" applyAlignment="1">
      <alignment horizontal="left" vertical="center" wrapText="1" indent="1"/>
    </xf>
    <xf numFmtId="0" fontId="56" fillId="0" borderId="67" xfId="22" applyFont="1" applyBorder="1" applyAlignment="1">
      <alignment horizontal="left" vertical="center" wrapText="1" indent="1"/>
    </xf>
    <xf numFmtId="0" fontId="56" fillId="0" borderId="68" xfId="22" applyFont="1" applyBorder="1" applyAlignment="1">
      <alignment horizontal="left" vertical="center" wrapText="1" indent="1"/>
    </xf>
    <xf numFmtId="176" fontId="52" fillId="0" borderId="66" xfId="23" applyFont="1" applyFill="1" applyBorder="1" applyAlignment="1">
      <alignment horizontal="right" vertical="center"/>
    </xf>
    <xf numFmtId="176" fontId="52" fillId="0" borderId="67" xfId="23" applyFont="1" applyFill="1" applyBorder="1" applyAlignment="1">
      <alignment horizontal="right" vertical="center"/>
    </xf>
    <xf numFmtId="176" fontId="52" fillId="0" borderId="68" xfId="23" applyFont="1" applyFill="1" applyBorder="1" applyAlignment="1">
      <alignment horizontal="right" vertical="center"/>
    </xf>
    <xf numFmtId="176" fontId="52" fillId="0" borderId="66" xfId="24" applyFont="1" applyFill="1" applyBorder="1" applyAlignment="1">
      <alignment horizontal="left" vertical="center"/>
    </xf>
    <xf numFmtId="176" fontId="52" fillId="0" borderId="69" xfId="24" applyFont="1" applyFill="1" applyBorder="1" applyAlignment="1">
      <alignment horizontal="left" vertical="center"/>
    </xf>
    <xf numFmtId="0" fontId="66" fillId="10" borderId="71" xfId="19" applyFont="1" applyFill="1" applyBorder="1" applyAlignment="1">
      <alignment horizontal="center" vertical="center"/>
    </xf>
    <xf numFmtId="0" fontId="66" fillId="10" borderId="46" xfId="19" applyFont="1" applyFill="1" applyBorder="1" applyAlignment="1">
      <alignment horizontal="center" vertical="center"/>
    </xf>
    <xf numFmtId="0" fontId="66" fillId="10" borderId="72" xfId="19" applyFont="1" applyFill="1" applyBorder="1" applyAlignment="1">
      <alignment horizontal="center" vertical="center"/>
    </xf>
    <xf numFmtId="9" fontId="66" fillId="10" borderId="73" xfId="18" applyFont="1" applyFill="1" applyBorder="1" applyAlignment="1">
      <alignment horizontal="center" vertical="center"/>
    </xf>
    <xf numFmtId="9" fontId="66" fillId="10" borderId="48" xfId="18" applyFont="1" applyFill="1" applyBorder="1" applyAlignment="1">
      <alignment horizontal="center" vertical="center"/>
    </xf>
    <xf numFmtId="176" fontId="52" fillId="0" borderId="7" xfId="23" applyFont="1" applyFill="1" applyBorder="1" applyAlignment="1">
      <alignment horizontal="right" vertical="center"/>
    </xf>
    <xf numFmtId="176" fontId="52" fillId="0" borderId="5" xfId="23" applyFont="1" applyFill="1" applyBorder="1" applyAlignment="1">
      <alignment horizontal="right" vertical="center"/>
    </xf>
    <xf numFmtId="176" fontId="52" fillId="0" borderId="6" xfId="23" applyFont="1" applyFill="1" applyBorder="1" applyAlignment="1">
      <alignment horizontal="right" vertical="center"/>
    </xf>
    <xf numFmtId="176" fontId="52" fillId="0" borderId="7" xfId="24" applyFont="1" applyFill="1" applyBorder="1" applyAlignment="1">
      <alignment horizontal="left" vertical="center"/>
    </xf>
    <xf numFmtId="176" fontId="52" fillId="0" borderId="13" xfId="24" applyFont="1" applyFill="1" applyBorder="1" applyAlignment="1">
      <alignment horizontal="left" vertical="center"/>
    </xf>
    <xf numFmtId="176" fontId="65" fillId="0" borderId="66" xfId="24" applyFont="1" applyBorder="1" applyAlignment="1">
      <alignment horizontal="left" vertical="center"/>
    </xf>
    <xf numFmtId="176" fontId="65" fillId="0" borderId="69" xfId="24" applyFont="1" applyBorder="1" applyAlignment="1">
      <alignment horizontal="left" vertical="center"/>
    </xf>
    <xf numFmtId="0" fontId="56" fillId="0" borderId="61" xfId="22" applyFont="1" applyBorder="1" applyAlignment="1">
      <alignment horizontal="left" vertical="center" wrapText="1" indent="1"/>
    </xf>
    <xf numFmtId="0" fontId="56" fillId="0" borderId="62" xfId="22" applyFont="1" applyBorder="1" applyAlignment="1">
      <alignment horizontal="left" vertical="center" wrapText="1" indent="1"/>
    </xf>
    <xf numFmtId="0" fontId="56" fillId="0" borderId="63" xfId="22" applyFont="1" applyBorder="1" applyAlignment="1">
      <alignment horizontal="left" vertical="center" wrapText="1" indent="1"/>
    </xf>
    <xf numFmtId="176" fontId="52" fillId="0" borderId="61" xfId="23" applyFont="1" applyFill="1" applyBorder="1" applyAlignment="1">
      <alignment horizontal="right" vertical="center"/>
    </xf>
    <xf numFmtId="176" fontId="52" fillId="0" borderId="62" xfId="23" applyFont="1" applyFill="1" applyBorder="1" applyAlignment="1">
      <alignment horizontal="right" vertical="center"/>
    </xf>
    <xf numFmtId="176" fontId="52" fillId="0" borderId="63" xfId="23" applyFont="1" applyFill="1" applyBorder="1" applyAlignment="1">
      <alignment horizontal="right" vertical="center"/>
    </xf>
    <xf numFmtId="176" fontId="52" fillId="0" borderId="59" xfId="24" applyFont="1" applyFill="1" applyBorder="1" applyAlignment="1">
      <alignment horizontal="left" vertical="center"/>
    </xf>
    <xf numFmtId="176" fontId="52" fillId="0" borderId="34" xfId="24" applyFont="1" applyFill="1" applyBorder="1" applyAlignment="1">
      <alignment horizontal="left" vertical="center"/>
    </xf>
    <xf numFmtId="176" fontId="52" fillId="0" borderId="61" xfId="24" applyFont="1" applyFill="1" applyBorder="1" applyAlignment="1">
      <alignment horizontal="left" vertical="center"/>
    </xf>
    <xf numFmtId="176" fontId="52" fillId="0" borderId="64" xfId="24" applyFont="1" applyFill="1" applyBorder="1" applyAlignment="1">
      <alignment horizontal="left" vertical="center"/>
    </xf>
    <xf numFmtId="0" fontId="56" fillId="0" borderId="59" xfId="22" applyFont="1" applyBorder="1" applyAlignment="1">
      <alignment horizontal="left" vertical="center" wrapText="1" indent="1"/>
    </xf>
    <xf numFmtId="0" fontId="56" fillId="0" borderId="2" xfId="22" applyFont="1" applyBorder="1" applyAlignment="1">
      <alignment horizontal="left" vertical="center" wrapText="1" indent="1"/>
    </xf>
    <xf numFmtId="0" fontId="56" fillId="0" borderId="60" xfId="22" applyFont="1" applyBorder="1" applyAlignment="1">
      <alignment horizontal="left" vertical="center" wrapText="1" indent="1"/>
    </xf>
    <xf numFmtId="176" fontId="52" fillId="0" borderId="59" xfId="23" applyFont="1" applyFill="1" applyBorder="1" applyAlignment="1">
      <alignment horizontal="right" vertical="center"/>
    </xf>
    <xf numFmtId="176" fontId="52" fillId="0" borderId="2" xfId="23" applyFont="1" applyFill="1" applyBorder="1" applyAlignment="1">
      <alignment horizontal="right" vertical="center"/>
    </xf>
    <xf numFmtId="176" fontId="52" fillId="0" borderId="60" xfId="23" applyFont="1" applyFill="1" applyBorder="1" applyAlignment="1">
      <alignment horizontal="right" vertical="center"/>
    </xf>
    <xf numFmtId="0" fontId="56" fillId="0" borderId="55" xfId="22" applyFont="1" applyFill="1" applyBorder="1" applyAlignment="1">
      <alignment horizontal="left" vertical="center" wrapText="1" indent="1"/>
    </xf>
    <xf numFmtId="0" fontId="56" fillId="0" borderId="56" xfId="22" applyFont="1" applyFill="1" applyBorder="1" applyAlignment="1">
      <alignment horizontal="left" vertical="center" wrapText="1" indent="1"/>
    </xf>
    <xf numFmtId="0" fontId="56" fillId="0" borderId="57" xfId="22" applyFont="1" applyFill="1" applyBorder="1" applyAlignment="1">
      <alignment horizontal="left" vertical="center" wrapText="1" indent="1"/>
    </xf>
    <xf numFmtId="176" fontId="52" fillId="0" borderId="55" xfId="23" applyFont="1" applyFill="1" applyBorder="1" applyAlignment="1">
      <alignment horizontal="right" vertical="center"/>
    </xf>
    <xf numFmtId="176" fontId="52" fillId="0" borderId="56" xfId="23" applyFont="1" applyFill="1" applyBorder="1" applyAlignment="1">
      <alignment horizontal="right" vertical="center"/>
    </xf>
    <xf numFmtId="176" fontId="52" fillId="0" borderId="57" xfId="23" applyFont="1" applyFill="1" applyBorder="1" applyAlignment="1">
      <alignment horizontal="right" vertical="center"/>
    </xf>
    <xf numFmtId="176" fontId="52" fillId="0" borderId="55" xfId="24" applyFont="1" applyBorder="1" applyAlignment="1">
      <alignment horizontal="left" vertical="center"/>
    </xf>
    <xf numFmtId="176" fontId="52" fillId="0" borderId="58" xfId="24" applyFont="1" applyBorder="1" applyAlignment="1">
      <alignment horizontal="left" vertical="center"/>
    </xf>
    <xf numFmtId="0" fontId="52" fillId="0" borderId="15" xfId="22" applyFont="1" applyFill="1" applyBorder="1" applyAlignment="1">
      <alignment horizontal="center" vertical="center" wrapText="1"/>
    </xf>
    <xf numFmtId="0" fontId="52" fillId="0" borderId="16" xfId="22" applyFont="1" applyFill="1" applyBorder="1" applyAlignment="1">
      <alignment horizontal="center" vertical="center" wrapText="1"/>
    </xf>
    <xf numFmtId="0" fontId="52" fillId="0" borderId="52" xfId="22" applyFont="1" applyFill="1" applyBorder="1" applyAlignment="1">
      <alignment horizontal="center" vertical="center" wrapText="1"/>
    </xf>
    <xf numFmtId="176" fontId="52" fillId="0" borderId="15" xfId="23" applyFont="1" applyFill="1" applyBorder="1" applyAlignment="1">
      <alignment horizontal="right" vertical="center"/>
    </xf>
    <xf numFmtId="176" fontId="52" fillId="0" borderId="16" xfId="23" applyFont="1" applyFill="1" applyBorder="1" applyAlignment="1">
      <alignment horizontal="right" vertical="center"/>
    </xf>
    <xf numFmtId="176" fontId="52" fillId="0" borderId="52" xfId="23" applyFont="1" applyFill="1" applyBorder="1" applyAlignment="1">
      <alignment horizontal="right" vertical="center"/>
    </xf>
    <xf numFmtId="176" fontId="52" fillId="0" borderId="15" xfId="24" applyFont="1" applyBorder="1" applyAlignment="1">
      <alignment horizontal="left" vertical="center"/>
    </xf>
    <xf numFmtId="176" fontId="52" fillId="0" borderId="17" xfId="24" applyFont="1" applyBorder="1" applyAlignment="1">
      <alignment horizontal="left" vertical="center"/>
    </xf>
    <xf numFmtId="0" fontId="52" fillId="0" borderId="15" xfId="22" applyFont="1" applyBorder="1" applyAlignment="1">
      <alignment horizontal="center" vertical="center" wrapText="1"/>
    </xf>
    <xf numFmtId="0" fontId="52" fillId="0" borderId="16" xfId="22" applyFont="1" applyBorder="1" applyAlignment="1">
      <alignment horizontal="center" vertical="center" wrapText="1"/>
    </xf>
    <xf numFmtId="0" fontId="52" fillId="0" borderId="52" xfId="22" applyFont="1" applyBorder="1" applyAlignment="1">
      <alignment horizontal="center" vertical="center" wrapText="1"/>
    </xf>
    <xf numFmtId="176" fontId="52" fillId="0" borderId="7" xfId="23" applyFont="1" applyBorder="1" applyAlignment="1">
      <alignment horizontal="center" vertical="center"/>
    </xf>
    <xf numFmtId="176" fontId="52" fillId="0" borderId="5" xfId="23" applyFont="1" applyBorder="1" applyAlignment="1">
      <alignment horizontal="center" vertical="center"/>
    </xf>
    <xf numFmtId="176" fontId="52" fillId="0" borderId="6" xfId="23" applyFont="1" applyBorder="1" applyAlignment="1">
      <alignment horizontal="center" vertical="center"/>
    </xf>
    <xf numFmtId="176" fontId="52" fillId="0" borderId="7" xfId="24" applyFont="1" applyBorder="1" applyAlignment="1">
      <alignment horizontal="left" vertical="center"/>
    </xf>
    <xf numFmtId="176" fontId="52" fillId="0" borderId="13" xfId="24" applyFont="1" applyBorder="1" applyAlignment="1">
      <alignment horizontal="left" vertical="center"/>
    </xf>
    <xf numFmtId="0" fontId="63" fillId="8" borderId="0" xfId="21" applyFont="1" applyFill="1" applyAlignment="1">
      <alignment horizontal="left" vertical="center"/>
    </xf>
    <xf numFmtId="0" fontId="63" fillId="8" borderId="20" xfId="21" applyFont="1" applyFill="1" applyBorder="1" applyAlignment="1">
      <alignment horizontal="left" vertical="center"/>
    </xf>
    <xf numFmtId="0" fontId="52" fillId="0" borderId="0" xfId="19" applyFont="1" applyAlignment="1">
      <alignment horizontal="right" vertical="center"/>
    </xf>
    <xf numFmtId="0" fontId="52" fillId="0" borderId="20" xfId="19" applyFont="1" applyBorder="1" applyAlignment="1">
      <alignment horizontal="right" vertical="center"/>
    </xf>
    <xf numFmtId="0" fontId="52" fillId="0" borderId="49" xfId="22" applyFont="1" applyFill="1" applyBorder="1" applyAlignment="1">
      <alignment horizontal="center" vertical="center" wrapText="1"/>
    </xf>
    <xf numFmtId="0" fontId="52" fillId="0" borderId="28" xfId="22" applyFont="1" applyFill="1" applyBorder="1" applyAlignment="1">
      <alignment horizontal="center" vertical="center" wrapText="1"/>
    </xf>
    <xf numFmtId="0" fontId="52" fillId="0" borderId="50" xfId="22" applyFont="1" applyFill="1" applyBorder="1" applyAlignment="1">
      <alignment horizontal="center" vertical="center" wrapText="1"/>
    </xf>
    <xf numFmtId="176" fontId="52" fillId="0" borderId="51" xfId="23" applyFont="1" applyFill="1" applyBorder="1" applyAlignment="1">
      <alignment horizontal="right" vertical="center"/>
    </xf>
    <xf numFmtId="176" fontId="52" fillId="0" borderId="49" xfId="22" applyNumberFormat="1" applyFont="1" applyBorder="1" applyAlignment="1">
      <alignment horizontal="left" vertical="center"/>
    </xf>
    <xf numFmtId="176" fontId="52" fillId="0" borderId="29" xfId="22" applyNumberFormat="1" applyFont="1" applyBorder="1" applyAlignment="1">
      <alignment horizontal="left" vertical="center"/>
    </xf>
    <xf numFmtId="0" fontId="62" fillId="9" borderId="45" xfId="19" applyFont="1" applyFill="1" applyBorder="1" applyAlignment="1">
      <alignment horizontal="center" vertical="center"/>
    </xf>
    <xf numFmtId="0" fontId="62" fillId="9" borderId="46" xfId="19" applyFont="1" applyFill="1" applyBorder="1" applyAlignment="1">
      <alignment horizontal="center" vertical="center"/>
    </xf>
    <xf numFmtId="0" fontId="62" fillId="9" borderId="47" xfId="19" applyFont="1" applyFill="1" applyBorder="1" applyAlignment="1">
      <alignment horizontal="center" vertical="center"/>
    </xf>
    <xf numFmtId="3" fontId="62" fillId="9" borderId="45" xfId="19" applyNumberFormat="1" applyFont="1" applyFill="1" applyBorder="1" applyAlignment="1">
      <alignment horizontal="center" vertical="center"/>
    </xf>
    <xf numFmtId="3" fontId="62" fillId="9" borderId="46" xfId="19" applyNumberFormat="1" applyFont="1" applyFill="1" applyBorder="1" applyAlignment="1">
      <alignment horizontal="center" vertical="center"/>
    </xf>
    <xf numFmtId="3" fontId="62" fillId="9" borderId="47" xfId="19" applyNumberFormat="1" applyFont="1" applyFill="1" applyBorder="1" applyAlignment="1">
      <alignment horizontal="center" vertical="center"/>
    </xf>
    <xf numFmtId="0" fontId="62" fillId="9" borderId="48" xfId="19" applyFont="1" applyFill="1" applyBorder="1" applyAlignment="1">
      <alignment horizontal="center" vertical="center"/>
    </xf>
    <xf numFmtId="183" fontId="61" fillId="8" borderId="0" xfId="19" applyNumberFormat="1" applyFont="1" applyFill="1" applyAlignment="1">
      <alignment horizontal="left" vertical="center"/>
    </xf>
    <xf numFmtId="0" fontId="51" fillId="0" borderId="22" xfId="19" applyFont="1" applyBorder="1" applyAlignment="1">
      <alignment horizontal="center" vertical="center"/>
    </xf>
    <xf numFmtId="0" fontId="51" fillId="0" borderId="23" xfId="19" applyFont="1" applyBorder="1" applyAlignment="1">
      <alignment horizontal="center" vertical="center"/>
    </xf>
    <xf numFmtId="0" fontId="51" fillId="0" borderId="24" xfId="19" applyFont="1" applyBorder="1" applyAlignment="1">
      <alignment horizontal="center" vertical="center"/>
    </xf>
    <xf numFmtId="0" fontId="53" fillId="0" borderId="25" xfId="19" applyFont="1" applyBorder="1" applyAlignment="1" applyProtection="1">
      <alignment horizontal="center" vertical="center"/>
      <protection locked="0"/>
    </xf>
    <xf numFmtId="0" fontId="53" fillId="0" borderId="0" xfId="19" applyFont="1" applyAlignment="1" applyProtection="1">
      <alignment horizontal="center" vertical="center"/>
      <protection locked="0"/>
    </xf>
    <xf numFmtId="0" fontId="53" fillId="0" borderId="20" xfId="19" applyFont="1" applyBorder="1" applyAlignment="1" applyProtection="1">
      <alignment horizontal="center" vertical="center"/>
      <protection locked="0"/>
    </xf>
    <xf numFmtId="0" fontId="52" fillId="7" borderId="27" xfId="19" applyFont="1" applyFill="1" applyBorder="1" applyAlignment="1">
      <alignment horizontal="center" vertical="center"/>
    </xf>
    <xf numFmtId="0" fontId="52" fillId="7" borderId="28" xfId="19" applyFont="1" applyFill="1" applyBorder="1" applyAlignment="1">
      <alignment horizontal="center" vertical="center"/>
    </xf>
    <xf numFmtId="0" fontId="52" fillId="7" borderId="29" xfId="19" applyFont="1" applyFill="1" applyBorder="1" applyAlignment="1">
      <alignment horizontal="center" vertical="center"/>
    </xf>
    <xf numFmtId="0" fontId="52" fillId="0" borderId="30" xfId="19" applyFont="1" applyBorder="1" applyAlignment="1">
      <alignment horizontal="center" vertical="center" wrapText="1"/>
    </xf>
    <xf numFmtId="0" fontId="52" fillId="0" borderId="35" xfId="19" applyFont="1" applyBorder="1" applyAlignment="1">
      <alignment horizontal="center" vertical="center"/>
    </xf>
    <xf numFmtId="0" fontId="52" fillId="0" borderId="41" xfId="19" applyFont="1" applyBorder="1" applyAlignment="1">
      <alignment horizontal="center" vertical="center"/>
    </xf>
    <xf numFmtId="0" fontId="52" fillId="0" borderId="33" xfId="19" applyFont="1" applyBorder="1" applyAlignment="1">
      <alignment horizontal="center" vertical="center"/>
    </xf>
    <xf numFmtId="0" fontId="52" fillId="0" borderId="2" xfId="19" applyFont="1" applyBorder="1" applyAlignment="1">
      <alignment horizontal="center" vertical="center"/>
    </xf>
    <xf numFmtId="0" fontId="52" fillId="0" borderId="34" xfId="19" applyFont="1" applyBorder="1" applyAlignment="1">
      <alignment horizontal="center" vertical="center"/>
    </xf>
    <xf numFmtId="0" fontId="59" fillId="0" borderId="33" xfId="19" applyFont="1" applyBorder="1" applyAlignment="1">
      <alignment horizontal="center" vertical="center"/>
    </xf>
    <xf numFmtId="0" fontId="57" fillId="0" borderId="2" xfId="19" applyFont="1" applyBorder="1" applyAlignment="1">
      <alignment horizontal="center" vertical="center"/>
    </xf>
    <xf numFmtId="0" fontId="57" fillId="0" borderId="3" xfId="19" applyFont="1" applyBorder="1" applyAlignment="1">
      <alignment horizontal="center" vertical="center"/>
    </xf>
    <xf numFmtId="0" fontId="59" fillId="0" borderId="1" xfId="19" applyFont="1" applyBorder="1" applyAlignment="1">
      <alignment horizontal="center" vertical="center"/>
    </xf>
    <xf numFmtId="0" fontId="57" fillId="0" borderId="34" xfId="19" applyFont="1" applyBorder="1" applyAlignment="1">
      <alignment horizontal="center" vertical="center"/>
    </xf>
    <xf numFmtId="0" fontId="52" fillId="0" borderId="33" xfId="19" applyFont="1" applyBorder="1" applyAlignment="1">
      <alignment horizontal="left" vertical="center" indent="1"/>
    </xf>
    <xf numFmtId="0" fontId="52" fillId="0" borderId="2" xfId="19" applyFont="1" applyBorder="1" applyAlignment="1">
      <alignment horizontal="left" vertical="center" indent="1"/>
    </xf>
    <xf numFmtId="0" fontId="52" fillId="0" borderId="34" xfId="19" applyFont="1" applyBorder="1" applyAlignment="1">
      <alignment horizontal="left" vertical="center" indent="1"/>
    </xf>
    <xf numFmtId="0" fontId="52" fillId="0" borderId="1" xfId="19" applyFont="1" applyBorder="1" applyAlignment="1">
      <alignment horizontal="center" vertical="center"/>
    </xf>
    <xf numFmtId="0" fontId="52" fillId="0" borderId="38" xfId="19" applyFont="1" applyBorder="1" applyAlignment="1">
      <alignment horizontal="center" vertical="center"/>
    </xf>
    <xf numFmtId="0" fontId="52" fillId="0" borderId="39" xfId="19" applyFont="1" applyBorder="1" applyAlignment="1">
      <alignment horizontal="center" vertical="center"/>
    </xf>
    <xf numFmtId="0" fontId="52" fillId="0" borderId="40" xfId="19" applyFont="1" applyBorder="1" applyAlignment="1">
      <alignment horizontal="center" vertical="center"/>
    </xf>
    <xf numFmtId="0" fontId="52" fillId="0" borderId="38" xfId="19" applyFont="1" applyBorder="1" applyAlignment="1">
      <alignment horizontal="left" vertical="center" indent="1"/>
    </xf>
    <xf numFmtId="0" fontId="52" fillId="0" borderId="39" xfId="19" applyFont="1" applyBorder="1" applyAlignment="1">
      <alignment horizontal="left" vertical="center" indent="1"/>
    </xf>
    <xf numFmtId="0" fontId="52" fillId="0" borderId="40" xfId="19" applyFont="1" applyBorder="1" applyAlignment="1">
      <alignment horizontal="left" vertical="center" indent="1"/>
    </xf>
    <xf numFmtId="179" fontId="43" fillId="3" borderId="4" xfId="4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7" xfId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6" fontId="43" fillId="3" borderId="6" xfId="1" applyFont="1" applyFill="1" applyBorder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0" xfId="15" applyNumberFormat="1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0" fontId="34" fillId="0" borderId="7" xfId="15" applyFont="1" applyBorder="1" applyAlignment="1">
      <alignment horizontal="left" vertical="center" indent="1" shrinkToFit="1"/>
    </xf>
    <xf numFmtId="0" fontId="34" fillId="0" borderId="5" xfId="15" applyFont="1" applyBorder="1" applyAlignment="1">
      <alignment horizontal="left" vertical="center" indent="1" shrinkToFit="1"/>
    </xf>
    <xf numFmtId="0" fontId="34" fillId="0" borderId="13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center" vertical="center" shrinkToFit="1"/>
    </xf>
    <xf numFmtId="0" fontId="34" fillId="0" borderId="18" xfId="15" applyFont="1" applyBorder="1" applyAlignment="1">
      <alignment horizontal="center" vertical="center" shrinkToFit="1"/>
    </xf>
    <xf numFmtId="0" fontId="34" fillId="0" borderId="21" xfId="15" applyFont="1" applyBorder="1" applyAlignment="1">
      <alignment horizontal="center" vertical="center" shrinkToFit="1"/>
    </xf>
    <xf numFmtId="0" fontId="36" fillId="3" borderId="15" xfId="15" applyFont="1" applyFill="1" applyBorder="1" applyAlignment="1">
      <alignment horizontal="left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9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  <xf numFmtId="176" fontId="29" fillId="3" borderId="19" xfId="17" quotePrefix="1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0" xfId="17" applyFont="1" applyFill="1" applyBorder="1" applyAlignment="1">
      <alignment horizontal="left" vertical="center" shrinkToFit="1"/>
    </xf>
    <xf numFmtId="0" fontId="36" fillId="3" borderId="19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0" xfId="14" applyFont="1" applyFill="1" applyBorder="1" applyAlignment="1">
      <alignment horizontal="left" vertical="center" shrinkToFit="1"/>
    </xf>
    <xf numFmtId="0" fontId="34" fillId="0" borderId="5" xfId="15" applyFont="1" applyBorder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0" xfId="14" applyFont="1" applyFill="1" applyBorder="1" applyAlignment="1">
      <alignment horizontal="left" vertical="center" shrinkToFit="1"/>
    </xf>
    <xf numFmtId="0" fontId="34" fillId="3" borderId="19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81168399-6795-4BEC-B431-5D3302BC57A1}"/>
    <cellStyle name="쉼표 [0] 2 84" xfId="26" xr:uid="{3926C8B2-9570-49AC-BFF9-589122F9D649}"/>
    <cellStyle name="쉼표 [0] 3" xfId="8" xr:uid="{00000000-0005-0000-0000-000005000000}"/>
    <cellStyle name="쉼표 [0] 4" xfId="11" xr:uid="{0FF7ACC6-6CB8-4787-AF72-D6B99621F0B3}"/>
    <cellStyle name="쉼표 [0] 5" xfId="23" xr:uid="{014FA02B-A525-4DBD-B752-5CBFEF82F90C}"/>
    <cellStyle name="쉼표 [0] 5 2" xfId="25" xr:uid="{429369D5-4CFF-4DC3-93F1-F732A2DB55BB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29A4CA67-07E8-4790-86FB-B2F917D13089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A1B2EDE5-AF81-46A2-8A07-254EE79F4371}"/>
    <cellStyle name="표준_P456 공장 및 복지동 전면 유리창 청소건 라상혁님_1129(최종)" xfId="22" xr:uid="{B931A37F-9674-43C5-B049-4C754178F7E4}"/>
    <cellStyle name="표준_S&amp;D_MAIN VALVE_최빈_2" xfId="19" xr:uid="{C54DCC24-9646-410B-8EA9-C5680B657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FCFBDF-E808-4862-930B-35287A2B9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EBC1-C42F-49B9-BEDC-8FD68413ACAC}">
  <sheetPr>
    <tabColor rgb="FF0000FF"/>
  </sheetPr>
  <dimension ref="A1:Q43"/>
  <sheetViews>
    <sheetView tabSelected="1" view="pageBreakPreview" topLeftCell="A11" zoomScale="85" zoomScaleNormal="85" zoomScaleSheetLayoutView="85" workbookViewId="0">
      <selection activeCell="B14" sqref="B14"/>
    </sheetView>
  </sheetViews>
  <sheetFormatPr defaultRowHeight="14.25"/>
  <cols>
    <col min="1" max="1" width="5" style="108" customWidth="1"/>
    <col min="2" max="2" width="3.875" style="108" customWidth="1"/>
    <col min="3" max="3" width="5" style="108" customWidth="1"/>
    <col min="4" max="4" width="6.25" style="108" customWidth="1"/>
    <col min="5" max="5" width="2.875" style="108" customWidth="1"/>
    <col min="6" max="6" width="4" style="108" customWidth="1"/>
    <col min="7" max="7" width="4.75" style="108" customWidth="1"/>
    <col min="8" max="8" width="5.5" style="108" customWidth="1"/>
    <col min="9" max="9" width="5.375" style="108" customWidth="1"/>
    <col min="10" max="10" width="1.25" style="108" customWidth="1"/>
    <col min="11" max="11" width="4.375" style="108" customWidth="1"/>
    <col min="12" max="12" width="10.375" style="108" customWidth="1"/>
    <col min="13" max="13" width="20.25" style="108" bestFit="1" customWidth="1"/>
    <col min="14" max="14" width="12.875" style="108" customWidth="1"/>
    <col min="15" max="15" width="15.5" style="108" bestFit="1" customWidth="1"/>
    <col min="16" max="16" width="2.75" style="108" customWidth="1"/>
    <col min="17" max="17" width="12" style="108" bestFit="1" customWidth="1"/>
    <col min="18" max="243" width="9" style="108"/>
    <col min="244" max="244" width="5" style="108" customWidth="1"/>
    <col min="245" max="245" width="3.875" style="108" customWidth="1"/>
    <col min="246" max="246" width="5" style="108" customWidth="1"/>
    <col min="247" max="247" width="6.25" style="108" customWidth="1"/>
    <col min="248" max="248" width="2.875" style="108" customWidth="1"/>
    <col min="249" max="249" width="4" style="108" customWidth="1"/>
    <col min="250" max="250" width="4.75" style="108" customWidth="1"/>
    <col min="251" max="251" width="5.5" style="108" customWidth="1"/>
    <col min="252" max="252" width="5.375" style="108" customWidth="1"/>
    <col min="253" max="253" width="1.25" style="108" customWidth="1"/>
    <col min="254" max="254" width="4.375" style="108" customWidth="1"/>
    <col min="255" max="255" width="10.375" style="108" customWidth="1"/>
    <col min="256" max="256" width="16.625" style="108" customWidth="1"/>
    <col min="257" max="257" width="10.875" style="108" customWidth="1"/>
    <col min="258" max="258" width="18.75" style="108" customWidth="1"/>
    <col min="259" max="259" width="14.25" style="108" bestFit="1" customWidth="1"/>
    <col min="260" max="499" width="9" style="108"/>
    <col min="500" max="500" width="5" style="108" customWidth="1"/>
    <col min="501" max="501" width="3.875" style="108" customWidth="1"/>
    <col min="502" max="502" width="5" style="108" customWidth="1"/>
    <col min="503" max="503" width="6.25" style="108" customWidth="1"/>
    <col min="504" max="504" width="2.875" style="108" customWidth="1"/>
    <col min="505" max="505" width="4" style="108" customWidth="1"/>
    <col min="506" max="506" width="4.75" style="108" customWidth="1"/>
    <col min="507" max="507" width="5.5" style="108" customWidth="1"/>
    <col min="508" max="508" width="5.375" style="108" customWidth="1"/>
    <col min="509" max="509" width="1.25" style="108" customWidth="1"/>
    <col min="510" max="510" width="4.375" style="108" customWidth="1"/>
    <col min="511" max="511" width="10.375" style="108" customWidth="1"/>
    <col min="512" max="512" width="16.625" style="108" customWidth="1"/>
    <col min="513" max="513" width="10.875" style="108" customWidth="1"/>
    <col min="514" max="514" width="18.75" style="108" customWidth="1"/>
    <col min="515" max="515" width="14.25" style="108" bestFit="1" customWidth="1"/>
    <col min="516" max="755" width="9" style="108"/>
    <col min="756" max="756" width="5" style="108" customWidth="1"/>
    <col min="757" max="757" width="3.875" style="108" customWidth="1"/>
    <col min="758" max="758" width="5" style="108" customWidth="1"/>
    <col min="759" max="759" width="6.25" style="108" customWidth="1"/>
    <col min="760" max="760" width="2.875" style="108" customWidth="1"/>
    <col min="761" max="761" width="4" style="108" customWidth="1"/>
    <col min="762" max="762" width="4.75" style="108" customWidth="1"/>
    <col min="763" max="763" width="5.5" style="108" customWidth="1"/>
    <col min="764" max="764" width="5.375" style="108" customWidth="1"/>
    <col min="765" max="765" width="1.25" style="108" customWidth="1"/>
    <col min="766" max="766" width="4.375" style="108" customWidth="1"/>
    <col min="767" max="767" width="10.375" style="108" customWidth="1"/>
    <col min="768" max="768" width="16.625" style="108" customWidth="1"/>
    <col min="769" max="769" width="10.875" style="108" customWidth="1"/>
    <col min="770" max="770" width="18.75" style="108" customWidth="1"/>
    <col min="771" max="771" width="14.25" style="108" bestFit="1" customWidth="1"/>
    <col min="772" max="1011" width="9" style="108"/>
    <col min="1012" max="1012" width="5" style="108" customWidth="1"/>
    <col min="1013" max="1013" width="3.875" style="108" customWidth="1"/>
    <col min="1014" max="1014" width="5" style="108" customWidth="1"/>
    <col min="1015" max="1015" width="6.25" style="108" customWidth="1"/>
    <col min="1016" max="1016" width="2.875" style="108" customWidth="1"/>
    <col min="1017" max="1017" width="4" style="108" customWidth="1"/>
    <col min="1018" max="1018" width="4.75" style="108" customWidth="1"/>
    <col min="1019" max="1019" width="5.5" style="108" customWidth="1"/>
    <col min="1020" max="1020" width="5.375" style="108" customWidth="1"/>
    <col min="1021" max="1021" width="1.25" style="108" customWidth="1"/>
    <col min="1022" max="1022" width="4.375" style="108" customWidth="1"/>
    <col min="1023" max="1023" width="10.375" style="108" customWidth="1"/>
    <col min="1024" max="1024" width="16.625" style="108" customWidth="1"/>
    <col min="1025" max="1025" width="10.875" style="108" customWidth="1"/>
    <col min="1026" max="1026" width="18.75" style="108" customWidth="1"/>
    <col min="1027" max="1027" width="14.25" style="108" bestFit="1" customWidth="1"/>
    <col min="1028" max="1267" width="9" style="108"/>
    <col min="1268" max="1268" width="5" style="108" customWidth="1"/>
    <col min="1269" max="1269" width="3.875" style="108" customWidth="1"/>
    <col min="1270" max="1270" width="5" style="108" customWidth="1"/>
    <col min="1271" max="1271" width="6.25" style="108" customWidth="1"/>
    <col min="1272" max="1272" width="2.875" style="108" customWidth="1"/>
    <col min="1273" max="1273" width="4" style="108" customWidth="1"/>
    <col min="1274" max="1274" width="4.75" style="108" customWidth="1"/>
    <col min="1275" max="1275" width="5.5" style="108" customWidth="1"/>
    <col min="1276" max="1276" width="5.375" style="108" customWidth="1"/>
    <col min="1277" max="1277" width="1.25" style="108" customWidth="1"/>
    <col min="1278" max="1278" width="4.375" style="108" customWidth="1"/>
    <col min="1279" max="1279" width="10.375" style="108" customWidth="1"/>
    <col min="1280" max="1280" width="16.625" style="108" customWidth="1"/>
    <col min="1281" max="1281" width="10.875" style="108" customWidth="1"/>
    <col min="1282" max="1282" width="18.75" style="108" customWidth="1"/>
    <col min="1283" max="1283" width="14.25" style="108" bestFit="1" customWidth="1"/>
    <col min="1284" max="1523" width="9" style="108"/>
    <col min="1524" max="1524" width="5" style="108" customWidth="1"/>
    <col min="1525" max="1525" width="3.875" style="108" customWidth="1"/>
    <col min="1526" max="1526" width="5" style="108" customWidth="1"/>
    <col min="1527" max="1527" width="6.25" style="108" customWidth="1"/>
    <col min="1528" max="1528" width="2.875" style="108" customWidth="1"/>
    <col min="1529" max="1529" width="4" style="108" customWidth="1"/>
    <col min="1530" max="1530" width="4.75" style="108" customWidth="1"/>
    <col min="1531" max="1531" width="5.5" style="108" customWidth="1"/>
    <col min="1532" max="1532" width="5.375" style="108" customWidth="1"/>
    <col min="1533" max="1533" width="1.25" style="108" customWidth="1"/>
    <col min="1534" max="1534" width="4.375" style="108" customWidth="1"/>
    <col min="1535" max="1535" width="10.375" style="108" customWidth="1"/>
    <col min="1536" max="1536" width="16.625" style="108" customWidth="1"/>
    <col min="1537" max="1537" width="10.875" style="108" customWidth="1"/>
    <col min="1538" max="1538" width="18.75" style="108" customWidth="1"/>
    <col min="1539" max="1539" width="14.25" style="108" bestFit="1" customWidth="1"/>
    <col min="1540" max="1779" width="9" style="108"/>
    <col min="1780" max="1780" width="5" style="108" customWidth="1"/>
    <col min="1781" max="1781" width="3.875" style="108" customWidth="1"/>
    <col min="1782" max="1782" width="5" style="108" customWidth="1"/>
    <col min="1783" max="1783" width="6.25" style="108" customWidth="1"/>
    <col min="1784" max="1784" width="2.875" style="108" customWidth="1"/>
    <col min="1785" max="1785" width="4" style="108" customWidth="1"/>
    <col min="1786" max="1786" width="4.75" style="108" customWidth="1"/>
    <col min="1787" max="1787" width="5.5" style="108" customWidth="1"/>
    <col min="1788" max="1788" width="5.375" style="108" customWidth="1"/>
    <col min="1789" max="1789" width="1.25" style="108" customWidth="1"/>
    <col min="1790" max="1790" width="4.375" style="108" customWidth="1"/>
    <col min="1791" max="1791" width="10.375" style="108" customWidth="1"/>
    <col min="1792" max="1792" width="16.625" style="108" customWidth="1"/>
    <col min="1793" max="1793" width="10.875" style="108" customWidth="1"/>
    <col min="1794" max="1794" width="18.75" style="108" customWidth="1"/>
    <col min="1795" max="1795" width="14.25" style="108" bestFit="1" customWidth="1"/>
    <col min="1796" max="2035" width="9" style="108"/>
    <col min="2036" max="2036" width="5" style="108" customWidth="1"/>
    <col min="2037" max="2037" width="3.875" style="108" customWidth="1"/>
    <col min="2038" max="2038" width="5" style="108" customWidth="1"/>
    <col min="2039" max="2039" width="6.25" style="108" customWidth="1"/>
    <col min="2040" max="2040" width="2.875" style="108" customWidth="1"/>
    <col min="2041" max="2041" width="4" style="108" customWidth="1"/>
    <col min="2042" max="2042" width="4.75" style="108" customWidth="1"/>
    <col min="2043" max="2043" width="5.5" style="108" customWidth="1"/>
    <col min="2044" max="2044" width="5.375" style="108" customWidth="1"/>
    <col min="2045" max="2045" width="1.25" style="108" customWidth="1"/>
    <col min="2046" max="2046" width="4.375" style="108" customWidth="1"/>
    <col min="2047" max="2047" width="10.375" style="108" customWidth="1"/>
    <col min="2048" max="2048" width="16.625" style="108" customWidth="1"/>
    <col min="2049" max="2049" width="10.875" style="108" customWidth="1"/>
    <col min="2050" max="2050" width="18.75" style="108" customWidth="1"/>
    <col min="2051" max="2051" width="14.25" style="108" bestFit="1" customWidth="1"/>
    <col min="2052" max="2291" width="9" style="108"/>
    <col min="2292" max="2292" width="5" style="108" customWidth="1"/>
    <col min="2293" max="2293" width="3.875" style="108" customWidth="1"/>
    <col min="2294" max="2294" width="5" style="108" customWidth="1"/>
    <col min="2295" max="2295" width="6.25" style="108" customWidth="1"/>
    <col min="2296" max="2296" width="2.875" style="108" customWidth="1"/>
    <col min="2297" max="2297" width="4" style="108" customWidth="1"/>
    <col min="2298" max="2298" width="4.75" style="108" customWidth="1"/>
    <col min="2299" max="2299" width="5.5" style="108" customWidth="1"/>
    <col min="2300" max="2300" width="5.375" style="108" customWidth="1"/>
    <col min="2301" max="2301" width="1.25" style="108" customWidth="1"/>
    <col min="2302" max="2302" width="4.375" style="108" customWidth="1"/>
    <col min="2303" max="2303" width="10.375" style="108" customWidth="1"/>
    <col min="2304" max="2304" width="16.625" style="108" customWidth="1"/>
    <col min="2305" max="2305" width="10.875" style="108" customWidth="1"/>
    <col min="2306" max="2306" width="18.75" style="108" customWidth="1"/>
    <col min="2307" max="2307" width="14.25" style="108" bestFit="1" customWidth="1"/>
    <col min="2308" max="2547" width="9" style="108"/>
    <col min="2548" max="2548" width="5" style="108" customWidth="1"/>
    <col min="2549" max="2549" width="3.875" style="108" customWidth="1"/>
    <col min="2550" max="2550" width="5" style="108" customWidth="1"/>
    <col min="2551" max="2551" width="6.25" style="108" customWidth="1"/>
    <col min="2552" max="2552" width="2.875" style="108" customWidth="1"/>
    <col min="2553" max="2553" width="4" style="108" customWidth="1"/>
    <col min="2554" max="2554" width="4.75" style="108" customWidth="1"/>
    <col min="2555" max="2555" width="5.5" style="108" customWidth="1"/>
    <col min="2556" max="2556" width="5.375" style="108" customWidth="1"/>
    <col min="2557" max="2557" width="1.25" style="108" customWidth="1"/>
    <col min="2558" max="2558" width="4.375" style="108" customWidth="1"/>
    <col min="2559" max="2559" width="10.375" style="108" customWidth="1"/>
    <col min="2560" max="2560" width="16.625" style="108" customWidth="1"/>
    <col min="2561" max="2561" width="10.875" style="108" customWidth="1"/>
    <col min="2562" max="2562" width="18.75" style="108" customWidth="1"/>
    <col min="2563" max="2563" width="14.25" style="108" bestFit="1" customWidth="1"/>
    <col min="2564" max="2803" width="9" style="108"/>
    <col min="2804" max="2804" width="5" style="108" customWidth="1"/>
    <col min="2805" max="2805" width="3.875" style="108" customWidth="1"/>
    <col min="2806" max="2806" width="5" style="108" customWidth="1"/>
    <col min="2807" max="2807" width="6.25" style="108" customWidth="1"/>
    <col min="2808" max="2808" width="2.875" style="108" customWidth="1"/>
    <col min="2809" max="2809" width="4" style="108" customWidth="1"/>
    <col min="2810" max="2810" width="4.75" style="108" customWidth="1"/>
    <col min="2811" max="2811" width="5.5" style="108" customWidth="1"/>
    <col min="2812" max="2812" width="5.375" style="108" customWidth="1"/>
    <col min="2813" max="2813" width="1.25" style="108" customWidth="1"/>
    <col min="2814" max="2814" width="4.375" style="108" customWidth="1"/>
    <col min="2815" max="2815" width="10.375" style="108" customWidth="1"/>
    <col min="2816" max="2816" width="16.625" style="108" customWidth="1"/>
    <col min="2817" max="2817" width="10.875" style="108" customWidth="1"/>
    <col min="2818" max="2818" width="18.75" style="108" customWidth="1"/>
    <col min="2819" max="2819" width="14.25" style="108" bestFit="1" customWidth="1"/>
    <col min="2820" max="3059" width="9" style="108"/>
    <col min="3060" max="3060" width="5" style="108" customWidth="1"/>
    <col min="3061" max="3061" width="3.875" style="108" customWidth="1"/>
    <col min="3062" max="3062" width="5" style="108" customWidth="1"/>
    <col min="3063" max="3063" width="6.25" style="108" customWidth="1"/>
    <col min="3064" max="3064" width="2.875" style="108" customWidth="1"/>
    <col min="3065" max="3065" width="4" style="108" customWidth="1"/>
    <col min="3066" max="3066" width="4.75" style="108" customWidth="1"/>
    <col min="3067" max="3067" width="5.5" style="108" customWidth="1"/>
    <col min="3068" max="3068" width="5.375" style="108" customWidth="1"/>
    <col min="3069" max="3069" width="1.25" style="108" customWidth="1"/>
    <col min="3070" max="3070" width="4.375" style="108" customWidth="1"/>
    <col min="3071" max="3071" width="10.375" style="108" customWidth="1"/>
    <col min="3072" max="3072" width="16.625" style="108" customWidth="1"/>
    <col min="3073" max="3073" width="10.875" style="108" customWidth="1"/>
    <col min="3074" max="3074" width="18.75" style="108" customWidth="1"/>
    <col min="3075" max="3075" width="14.25" style="108" bestFit="1" customWidth="1"/>
    <col min="3076" max="3315" width="9" style="108"/>
    <col min="3316" max="3316" width="5" style="108" customWidth="1"/>
    <col min="3317" max="3317" width="3.875" style="108" customWidth="1"/>
    <col min="3318" max="3318" width="5" style="108" customWidth="1"/>
    <col min="3319" max="3319" width="6.25" style="108" customWidth="1"/>
    <col min="3320" max="3320" width="2.875" style="108" customWidth="1"/>
    <col min="3321" max="3321" width="4" style="108" customWidth="1"/>
    <col min="3322" max="3322" width="4.75" style="108" customWidth="1"/>
    <col min="3323" max="3323" width="5.5" style="108" customWidth="1"/>
    <col min="3324" max="3324" width="5.375" style="108" customWidth="1"/>
    <col min="3325" max="3325" width="1.25" style="108" customWidth="1"/>
    <col min="3326" max="3326" width="4.375" style="108" customWidth="1"/>
    <col min="3327" max="3327" width="10.375" style="108" customWidth="1"/>
    <col min="3328" max="3328" width="16.625" style="108" customWidth="1"/>
    <col min="3329" max="3329" width="10.875" style="108" customWidth="1"/>
    <col min="3330" max="3330" width="18.75" style="108" customWidth="1"/>
    <col min="3331" max="3331" width="14.25" style="108" bestFit="1" customWidth="1"/>
    <col min="3332" max="3571" width="9" style="108"/>
    <col min="3572" max="3572" width="5" style="108" customWidth="1"/>
    <col min="3573" max="3573" width="3.875" style="108" customWidth="1"/>
    <col min="3574" max="3574" width="5" style="108" customWidth="1"/>
    <col min="3575" max="3575" width="6.25" style="108" customWidth="1"/>
    <col min="3576" max="3576" width="2.875" style="108" customWidth="1"/>
    <col min="3577" max="3577" width="4" style="108" customWidth="1"/>
    <col min="3578" max="3578" width="4.75" style="108" customWidth="1"/>
    <col min="3579" max="3579" width="5.5" style="108" customWidth="1"/>
    <col min="3580" max="3580" width="5.375" style="108" customWidth="1"/>
    <col min="3581" max="3581" width="1.25" style="108" customWidth="1"/>
    <col min="3582" max="3582" width="4.375" style="108" customWidth="1"/>
    <col min="3583" max="3583" width="10.375" style="108" customWidth="1"/>
    <col min="3584" max="3584" width="16.625" style="108" customWidth="1"/>
    <col min="3585" max="3585" width="10.875" style="108" customWidth="1"/>
    <col min="3586" max="3586" width="18.75" style="108" customWidth="1"/>
    <col min="3587" max="3587" width="14.25" style="108" bestFit="1" customWidth="1"/>
    <col min="3588" max="3827" width="9" style="108"/>
    <col min="3828" max="3828" width="5" style="108" customWidth="1"/>
    <col min="3829" max="3829" width="3.875" style="108" customWidth="1"/>
    <col min="3830" max="3830" width="5" style="108" customWidth="1"/>
    <col min="3831" max="3831" width="6.25" style="108" customWidth="1"/>
    <col min="3832" max="3832" width="2.875" style="108" customWidth="1"/>
    <col min="3833" max="3833" width="4" style="108" customWidth="1"/>
    <col min="3834" max="3834" width="4.75" style="108" customWidth="1"/>
    <col min="3835" max="3835" width="5.5" style="108" customWidth="1"/>
    <col min="3836" max="3836" width="5.375" style="108" customWidth="1"/>
    <col min="3837" max="3837" width="1.25" style="108" customWidth="1"/>
    <col min="3838" max="3838" width="4.375" style="108" customWidth="1"/>
    <col min="3839" max="3839" width="10.375" style="108" customWidth="1"/>
    <col min="3840" max="3840" width="16.625" style="108" customWidth="1"/>
    <col min="3841" max="3841" width="10.875" style="108" customWidth="1"/>
    <col min="3842" max="3842" width="18.75" style="108" customWidth="1"/>
    <col min="3843" max="3843" width="14.25" style="108" bestFit="1" customWidth="1"/>
    <col min="3844" max="4083" width="9" style="108"/>
    <col min="4084" max="4084" width="5" style="108" customWidth="1"/>
    <col min="4085" max="4085" width="3.875" style="108" customWidth="1"/>
    <col min="4086" max="4086" width="5" style="108" customWidth="1"/>
    <col min="4087" max="4087" width="6.25" style="108" customWidth="1"/>
    <col min="4088" max="4088" width="2.875" style="108" customWidth="1"/>
    <col min="4089" max="4089" width="4" style="108" customWidth="1"/>
    <col min="4090" max="4090" width="4.75" style="108" customWidth="1"/>
    <col min="4091" max="4091" width="5.5" style="108" customWidth="1"/>
    <col min="4092" max="4092" width="5.375" style="108" customWidth="1"/>
    <col min="4093" max="4093" width="1.25" style="108" customWidth="1"/>
    <col min="4094" max="4094" width="4.375" style="108" customWidth="1"/>
    <col min="4095" max="4095" width="10.375" style="108" customWidth="1"/>
    <col min="4096" max="4096" width="16.625" style="108" customWidth="1"/>
    <col min="4097" max="4097" width="10.875" style="108" customWidth="1"/>
    <col min="4098" max="4098" width="18.75" style="108" customWidth="1"/>
    <col min="4099" max="4099" width="14.25" style="108" bestFit="1" customWidth="1"/>
    <col min="4100" max="4339" width="9" style="108"/>
    <col min="4340" max="4340" width="5" style="108" customWidth="1"/>
    <col min="4341" max="4341" width="3.875" style="108" customWidth="1"/>
    <col min="4342" max="4342" width="5" style="108" customWidth="1"/>
    <col min="4343" max="4343" width="6.25" style="108" customWidth="1"/>
    <col min="4344" max="4344" width="2.875" style="108" customWidth="1"/>
    <col min="4345" max="4345" width="4" style="108" customWidth="1"/>
    <col min="4346" max="4346" width="4.75" style="108" customWidth="1"/>
    <col min="4347" max="4347" width="5.5" style="108" customWidth="1"/>
    <col min="4348" max="4348" width="5.375" style="108" customWidth="1"/>
    <col min="4349" max="4349" width="1.25" style="108" customWidth="1"/>
    <col min="4350" max="4350" width="4.375" style="108" customWidth="1"/>
    <col min="4351" max="4351" width="10.375" style="108" customWidth="1"/>
    <col min="4352" max="4352" width="16.625" style="108" customWidth="1"/>
    <col min="4353" max="4353" width="10.875" style="108" customWidth="1"/>
    <col min="4354" max="4354" width="18.75" style="108" customWidth="1"/>
    <col min="4355" max="4355" width="14.25" style="108" bestFit="1" customWidth="1"/>
    <col min="4356" max="4595" width="9" style="108"/>
    <col min="4596" max="4596" width="5" style="108" customWidth="1"/>
    <col min="4597" max="4597" width="3.875" style="108" customWidth="1"/>
    <col min="4598" max="4598" width="5" style="108" customWidth="1"/>
    <col min="4599" max="4599" width="6.25" style="108" customWidth="1"/>
    <col min="4600" max="4600" width="2.875" style="108" customWidth="1"/>
    <col min="4601" max="4601" width="4" style="108" customWidth="1"/>
    <col min="4602" max="4602" width="4.75" style="108" customWidth="1"/>
    <col min="4603" max="4603" width="5.5" style="108" customWidth="1"/>
    <col min="4604" max="4604" width="5.375" style="108" customWidth="1"/>
    <col min="4605" max="4605" width="1.25" style="108" customWidth="1"/>
    <col min="4606" max="4606" width="4.375" style="108" customWidth="1"/>
    <col min="4607" max="4607" width="10.375" style="108" customWidth="1"/>
    <col min="4608" max="4608" width="16.625" style="108" customWidth="1"/>
    <col min="4609" max="4609" width="10.875" style="108" customWidth="1"/>
    <col min="4610" max="4610" width="18.75" style="108" customWidth="1"/>
    <col min="4611" max="4611" width="14.25" style="108" bestFit="1" customWidth="1"/>
    <col min="4612" max="4851" width="9" style="108"/>
    <col min="4852" max="4852" width="5" style="108" customWidth="1"/>
    <col min="4853" max="4853" width="3.875" style="108" customWidth="1"/>
    <col min="4854" max="4854" width="5" style="108" customWidth="1"/>
    <col min="4855" max="4855" width="6.25" style="108" customWidth="1"/>
    <col min="4856" max="4856" width="2.875" style="108" customWidth="1"/>
    <col min="4857" max="4857" width="4" style="108" customWidth="1"/>
    <col min="4858" max="4858" width="4.75" style="108" customWidth="1"/>
    <col min="4859" max="4859" width="5.5" style="108" customWidth="1"/>
    <col min="4860" max="4860" width="5.375" style="108" customWidth="1"/>
    <col min="4861" max="4861" width="1.25" style="108" customWidth="1"/>
    <col min="4862" max="4862" width="4.375" style="108" customWidth="1"/>
    <col min="4863" max="4863" width="10.375" style="108" customWidth="1"/>
    <col min="4864" max="4864" width="16.625" style="108" customWidth="1"/>
    <col min="4865" max="4865" width="10.875" style="108" customWidth="1"/>
    <col min="4866" max="4866" width="18.75" style="108" customWidth="1"/>
    <col min="4867" max="4867" width="14.25" style="108" bestFit="1" customWidth="1"/>
    <col min="4868" max="5107" width="9" style="108"/>
    <col min="5108" max="5108" width="5" style="108" customWidth="1"/>
    <col min="5109" max="5109" width="3.875" style="108" customWidth="1"/>
    <col min="5110" max="5110" width="5" style="108" customWidth="1"/>
    <col min="5111" max="5111" width="6.25" style="108" customWidth="1"/>
    <col min="5112" max="5112" width="2.875" style="108" customWidth="1"/>
    <col min="5113" max="5113" width="4" style="108" customWidth="1"/>
    <col min="5114" max="5114" width="4.75" style="108" customWidth="1"/>
    <col min="5115" max="5115" width="5.5" style="108" customWidth="1"/>
    <col min="5116" max="5116" width="5.375" style="108" customWidth="1"/>
    <col min="5117" max="5117" width="1.25" style="108" customWidth="1"/>
    <col min="5118" max="5118" width="4.375" style="108" customWidth="1"/>
    <col min="5119" max="5119" width="10.375" style="108" customWidth="1"/>
    <col min="5120" max="5120" width="16.625" style="108" customWidth="1"/>
    <col min="5121" max="5121" width="10.875" style="108" customWidth="1"/>
    <col min="5122" max="5122" width="18.75" style="108" customWidth="1"/>
    <col min="5123" max="5123" width="14.25" style="108" bestFit="1" customWidth="1"/>
    <col min="5124" max="5363" width="9" style="108"/>
    <col min="5364" max="5364" width="5" style="108" customWidth="1"/>
    <col min="5365" max="5365" width="3.875" style="108" customWidth="1"/>
    <col min="5366" max="5366" width="5" style="108" customWidth="1"/>
    <col min="5367" max="5367" width="6.25" style="108" customWidth="1"/>
    <col min="5368" max="5368" width="2.875" style="108" customWidth="1"/>
    <col min="5369" max="5369" width="4" style="108" customWidth="1"/>
    <col min="5370" max="5370" width="4.75" style="108" customWidth="1"/>
    <col min="5371" max="5371" width="5.5" style="108" customWidth="1"/>
    <col min="5372" max="5372" width="5.375" style="108" customWidth="1"/>
    <col min="5373" max="5373" width="1.25" style="108" customWidth="1"/>
    <col min="5374" max="5374" width="4.375" style="108" customWidth="1"/>
    <col min="5375" max="5375" width="10.375" style="108" customWidth="1"/>
    <col min="5376" max="5376" width="16.625" style="108" customWidth="1"/>
    <col min="5377" max="5377" width="10.875" style="108" customWidth="1"/>
    <col min="5378" max="5378" width="18.75" style="108" customWidth="1"/>
    <col min="5379" max="5379" width="14.25" style="108" bestFit="1" customWidth="1"/>
    <col min="5380" max="5619" width="9" style="108"/>
    <col min="5620" max="5620" width="5" style="108" customWidth="1"/>
    <col min="5621" max="5621" width="3.875" style="108" customWidth="1"/>
    <col min="5622" max="5622" width="5" style="108" customWidth="1"/>
    <col min="5623" max="5623" width="6.25" style="108" customWidth="1"/>
    <col min="5624" max="5624" width="2.875" style="108" customWidth="1"/>
    <col min="5625" max="5625" width="4" style="108" customWidth="1"/>
    <col min="5626" max="5626" width="4.75" style="108" customWidth="1"/>
    <col min="5627" max="5627" width="5.5" style="108" customWidth="1"/>
    <col min="5628" max="5628" width="5.375" style="108" customWidth="1"/>
    <col min="5629" max="5629" width="1.25" style="108" customWidth="1"/>
    <col min="5630" max="5630" width="4.375" style="108" customWidth="1"/>
    <col min="5631" max="5631" width="10.375" style="108" customWidth="1"/>
    <col min="5632" max="5632" width="16.625" style="108" customWidth="1"/>
    <col min="5633" max="5633" width="10.875" style="108" customWidth="1"/>
    <col min="5634" max="5634" width="18.75" style="108" customWidth="1"/>
    <col min="5635" max="5635" width="14.25" style="108" bestFit="1" customWidth="1"/>
    <col min="5636" max="5875" width="9" style="108"/>
    <col min="5876" max="5876" width="5" style="108" customWidth="1"/>
    <col min="5877" max="5877" width="3.875" style="108" customWidth="1"/>
    <col min="5878" max="5878" width="5" style="108" customWidth="1"/>
    <col min="5879" max="5879" width="6.25" style="108" customWidth="1"/>
    <col min="5880" max="5880" width="2.875" style="108" customWidth="1"/>
    <col min="5881" max="5881" width="4" style="108" customWidth="1"/>
    <col min="5882" max="5882" width="4.75" style="108" customWidth="1"/>
    <col min="5883" max="5883" width="5.5" style="108" customWidth="1"/>
    <col min="5884" max="5884" width="5.375" style="108" customWidth="1"/>
    <col min="5885" max="5885" width="1.25" style="108" customWidth="1"/>
    <col min="5886" max="5886" width="4.375" style="108" customWidth="1"/>
    <col min="5887" max="5887" width="10.375" style="108" customWidth="1"/>
    <col min="5888" max="5888" width="16.625" style="108" customWidth="1"/>
    <col min="5889" max="5889" width="10.875" style="108" customWidth="1"/>
    <col min="5890" max="5890" width="18.75" style="108" customWidth="1"/>
    <col min="5891" max="5891" width="14.25" style="108" bestFit="1" customWidth="1"/>
    <col min="5892" max="6131" width="9" style="108"/>
    <col min="6132" max="6132" width="5" style="108" customWidth="1"/>
    <col min="6133" max="6133" width="3.875" style="108" customWidth="1"/>
    <col min="6134" max="6134" width="5" style="108" customWidth="1"/>
    <col min="6135" max="6135" width="6.25" style="108" customWidth="1"/>
    <col min="6136" max="6136" width="2.875" style="108" customWidth="1"/>
    <col min="6137" max="6137" width="4" style="108" customWidth="1"/>
    <col min="6138" max="6138" width="4.75" style="108" customWidth="1"/>
    <col min="6139" max="6139" width="5.5" style="108" customWidth="1"/>
    <col min="6140" max="6140" width="5.375" style="108" customWidth="1"/>
    <col min="6141" max="6141" width="1.25" style="108" customWidth="1"/>
    <col min="6142" max="6142" width="4.375" style="108" customWidth="1"/>
    <col min="6143" max="6143" width="10.375" style="108" customWidth="1"/>
    <col min="6144" max="6144" width="16.625" style="108" customWidth="1"/>
    <col min="6145" max="6145" width="10.875" style="108" customWidth="1"/>
    <col min="6146" max="6146" width="18.75" style="108" customWidth="1"/>
    <col min="6147" max="6147" width="14.25" style="108" bestFit="1" customWidth="1"/>
    <col min="6148" max="6387" width="9" style="108"/>
    <col min="6388" max="6388" width="5" style="108" customWidth="1"/>
    <col min="6389" max="6389" width="3.875" style="108" customWidth="1"/>
    <col min="6390" max="6390" width="5" style="108" customWidth="1"/>
    <col min="6391" max="6391" width="6.25" style="108" customWidth="1"/>
    <col min="6392" max="6392" width="2.875" style="108" customWidth="1"/>
    <col min="6393" max="6393" width="4" style="108" customWidth="1"/>
    <col min="6394" max="6394" width="4.75" style="108" customWidth="1"/>
    <col min="6395" max="6395" width="5.5" style="108" customWidth="1"/>
    <col min="6396" max="6396" width="5.375" style="108" customWidth="1"/>
    <col min="6397" max="6397" width="1.25" style="108" customWidth="1"/>
    <col min="6398" max="6398" width="4.375" style="108" customWidth="1"/>
    <col min="6399" max="6399" width="10.375" style="108" customWidth="1"/>
    <col min="6400" max="6400" width="16.625" style="108" customWidth="1"/>
    <col min="6401" max="6401" width="10.875" style="108" customWidth="1"/>
    <col min="6402" max="6402" width="18.75" style="108" customWidth="1"/>
    <col min="6403" max="6403" width="14.25" style="108" bestFit="1" customWidth="1"/>
    <col min="6404" max="6643" width="9" style="108"/>
    <col min="6644" max="6644" width="5" style="108" customWidth="1"/>
    <col min="6645" max="6645" width="3.875" style="108" customWidth="1"/>
    <col min="6646" max="6646" width="5" style="108" customWidth="1"/>
    <col min="6647" max="6647" width="6.25" style="108" customWidth="1"/>
    <col min="6648" max="6648" width="2.875" style="108" customWidth="1"/>
    <col min="6649" max="6649" width="4" style="108" customWidth="1"/>
    <col min="6650" max="6650" width="4.75" style="108" customWidth="1"/>
    <col min="6651" max="6651" width="5.5" style="108" customWidth="1"/>
    <col min="6652" max="6652" width="5.375" style="108" customWidth="1"/>
    <col min="6653" max="6653" width="1.25" style="108" customWidth="1"/>
    <col min="6654" max="6654" width="4.375" style="108" customWidth="1"/>
    <col min="6655" max="6655" width="10.375" style="108" customWidth="1"/>
    <col min="6656" max="6656" width="16.625" style="108" customWidth="1"/>
    <col min="6657" max="6657" width="10.875" style="108" customWidth="1"/>
    <col min="6658" max="6658" width="18.75" style="108" customWidth="1"/>
    <col min="6659" max="6659" width="14.25" style="108" bestFit="1" customWidth="1"/>
    <col min="6660" max="6899" width="9" style="108"/>
    <col min="6900" max="6900" width="5" style="108" customWidth="1"/>
    <col min="6901" max="6901" width="3.875" style="108" customWidth="1"/>
    <col min="6902" max="6902" width="5" style="108" customWidth="1"/>
    <col min="6903" max="6903" width="6.25" style="108" customWidth="1"/>
    <col min="6904" max="6904" width="2.875" style="108" customWidth="1"/>
    <col min="6905" max="6905" width="4" style="108" customWidth="1"/>
    <col min="6906" max="6906" width="4.75" style="108" customWidth="1"/>
    <col min="6907" max="6907" width="5.5" style="108" customWidth="1"/>
    <col min="6908" max="6908" width="5.375" style="108" customWidth="1"/>
    <col min="6909" max="6909" width="1.25" style="108" customWidth="1"/>
    <col min="6910" max="6910" width="4.375" style="108" customWidth="1"/>
    <col min="6911" max="6911" width="10.375" style="108" customWidth="1"/>
    <col min="6912" max="6912" width="16.625" style="108" customWidth="1"/>
    <col min="6913" max="6913" width="10.875" style="108" customWidth="1"/>
    <col min="6914" max="6914" width="18.75" style="108" customWidth="1"/>
    <col min="6915" max="6915" width="14.25" style="108" bestFit="1" customWidth="1"/>
    <col min="6916" max="7155" width="9" style="108"/>
    <col min="7156" max="7156" width="5" style="108" customWidth="1"/>
    <col min="7157" max="7157" width="3.875" style="108" customWidth="1"/>
    <col min="7158" max="7158" width="5" style="108" customWidth="1"/>
    <col min="7159" max="7159" width="6.25" style="108" customWidth="1"/>
    <col min="7160" max="7160" width="2.875" style="108" customWidth="1"/>
    <col min="7161" max="7161" width="4" style="108" customWidth="1"/>
    <col min="7162" max="7162" width="4.75" style="108" customWidth="1"/>
    <col min="7163" max="7163" width="5.5" style="108" customWidth="1"/>
    <col min="7164" max="7164" width="5.375" style="108" customWidth="1"/>
    <col min="7165" max="7165" width="1.25" style="108" customWidth="1"/>
    <col min="7166" max="7166" width="4.375" style="108" customWidth="1"/>
    <col min="7167" max="7167" width="10.375" style="108" customWidth="1"/>
    <col min="7168" max="7168" width="16.625" style="108" customWidth="1"/>
    <col min="7169" max="7169" width="10.875" style="108" customWidth="1"/>
    <col min="7170" max="7170" width="18.75" style="108" customWidth="1"/>
    <col min="7171" max="7171" width="14.25" style="108" bestFit="1" customWidth="1"/>
    <col min="7172" max="7411" width="9" style="108"/>
    <col min="7412" max="7412" width="5" style="108" customWidth="1"/>
    <col min="7413" max="7413" width="3.875" style="108" customWidth="1"/>
    <col min="7414" max="7414" width="5" style="108" customWidth="1"/>
    <col min="7415" max="7415" width="6.25" style="108" customWidth="1"/>
    <col min="7416" max="7416" width="2.875" style="108" customWidth="1"/>
    <col min="7417" max="7417" width="4" style="108" customWidth="1"/>
    <col min="7418" max="7418" width="4.75" style="108" customWidth="1"/>
    <col min="7419" max="7419" width="5.5" style="108" customWidth="1"/>
    <col min="7420" max="7420" width="5.375" style="108" customWidth="1"/>
    <col min="7421" max="7421" width="1.25" style="108" customWidth="1"/>
    <col min="7422" max="7422" width="4.375" style="108" customWidth="1"/>
    <col min="7423" max="7423" width="10.375" style="108" customWidth="1"/>
    <col min="7424" max="7424" width="16.625" style="108" customWidth="1"/>
    <col min="7425" max="7425" width="10.875" style="108" customWidth="1"/>
    <col min="7426" max="7426" width="18.75" style="108" customWidth="1"/>
    <col min="7427" max="7427" width="14.25" style="108" bestFit="1" customWidth="1"/>
    <col min="7428" max="7667" width="9" style="108"/>
    <col min="7668" max="7668" width="5" style="108" customWidth="1"/>
    <col min="7669" max="7669" width="3.875" style="108" customWidth="1"/>
    <col min="7670" max="7670" width="5" style="108" customWidth="1"/>
    <col min="7671" max="7671" width="6.25" style="108" customWidth="1"/>
    <col min="7672" max="7672" width="2.875" style="108" customWidth="1"/>
    <col min="7673" max="7673" width="4" style="108" customWidth="1"/>
    <col min="7674" max="7674" width="4.75" style="108" customWidth="1"/>
    <col min="7675" max="7675" width="5.5" style="108" customWidth="1"/>
    <col min="7676" max="7676" width="5.375" style="108" customWidth="1"/>
    <col min="7677" max="7677" width="1.25" style="108" customWidth="1"/>
    <col min="7678" max="7678" width="4.375" style="108" customWidth="1"/>
    <col min="7679" max="7679" width="10.375" style="108" customWidth="1"/>
    <col min="7680" max="7680" width="16.625" style="108" customWidth="1"/>
    <col min="7681" max="7681" width="10.875" style="108" customWidth="1"/>
    <col min="7682" max="7682" width="18.75" style="108" customWidth="1"/>
    <col min="7683" max="7683" width="14.25" style="108" bestFit="1" customWidth="1"/>
    <col min="7684" max="7923" width="9" style="108"/>
    <col min="7924" max="7924" width="5" style="108" customWidth="1"/>
    <col min="7925" max="7925" width="3.875" style="108" customWidth="1"/>
    <col min="7926" max="7926" width="5" style="108" customWidth="1"/>
    <col min="7927" max="7927" width="6.25" style="108" customWidth="1"/>
    <col min="7928" max="7928" width="2.875" style="108" customWidth="1"/>
    <col min="7929" max="7929" width="4" style="108" customWidth="1"/>
    <col min="7930" max="7930" width="4.75" style="108" customWidth="1"/>
    <col min="7931" max="7931" width="5.5" style="108" customWidth="1"/>
    <col min="7932" max="7932" width="5.375" style="108" customWidth="1"/>
    <col min="7933" max="7933" width="1.25" style="108" customWidth="1"/>
    <col min="7934" max="7934" width="4.375" style="108" customWidth="1"/>
    <col min="7935" max="7935" width="10.375" style="108" customWidth="1"/>
    <col min="7936" max="7936" width="16.625" style="108" customWidth="1"/>
    <col min="7937" max="7937" width="10.875" style="108" customWidth="1"/>
    <col min="7938" max="7938" width="18.75" style="108" customWidth="1"/>
    <col min="7939" max="7939" width="14.25" style="108" bestFit="1" customWidth="1"/>
    <col min="7940" max="8179" width="9" style="108"/>
    <col min="8180" max="8180" width="5" style="108" customWidth="1"/>
    <col min="8181" max="8181" width="3.875" style="108" customWidth="1"/>
    <col min="8182" max="8182" width="5" style="108" customWidth="1"/>
    <col min="8183" max="8183" width="6.25" style="108" customWidth="1"/>
    <col min="8184" max="8184" width="2.875" style="108" customWidth="1"/>
    <col min="8185" max="8185" width="4" style="108" customWidth="1"/>
    <col min="8186" max="8186" width="4.75" style="108" customWidth="1"/>
    <col min="8187" max="8187" width="5.5" style="108" customWidth="1"/>
    <col min="8188" max="8188" width="5.375" style="108" customWidth="1"/>
    <col min="8189" max="8189" width="1.25" style="108" customWidth="1"/>
    <col min="8190" max="8190" width="4.375" style="108" customWidth="1"/>
    <col min="8191" max="8191" width="10.375" style="108" customWidth="1"/>
    <col min="8192" max="8192" width="16.625" style="108" customWidth="1"/>
    <col min="8193" max="8193" width="10.875" style="108" customWidth="1"/>
    <col min="8194" max="8194" width="18.75" style="108" customWidth="1"/>
    <col min="8195" max="8195" width="14.25" style="108" bestFit="1" customWidth="1"/>
    <col min="8196" max="8435" width="9" style="108"/>
    <col min="8436" max="8436" width="5" style="108" customWidth="1"/>
    <col min="8437" max="8437" width="3.875" style="108" customWidth="1"/>
    <col min="8438" max="8438" width="5" style="108" customWidth="1"/>
    <col min="8439" max="8439" width="6.25" style="108" customWidth="1"/>
    <col min="8440" max="8440" width="2.875" style="108" customWidth="1"/>
    <col min="8441" max="8441" width="4" style="108" customWidth="1"/>
    <col min="8442" max="8442" width="4.75" style="108" customWidth="1"/>
    <col min="8443" max="8443" width="5.5" style="108" customWidth="1"/>
    <col min="8444" max="8444" width="5.375" style="108" customWidth="1"/>
    <col min="8445" max="8445" width="1.25" style="108" customWidth="1"/>
    <col min="8446" max="8446" width="4.375" style="108" customWidth="1"/>
    <col min="8447" max="8447" width="10.375" style="108" customWidth="1"/>
    <col min="8448" max="8448" width="16.625" style="108" customWidth="1"/>
    <col min="8449" max="8449" width="10.875" style="108" customWidth="1"/>
    <col min="8450" max="8450" width="18.75" style="108" customWidth="1"/>
    <col min="8451" max="8451" width="14.25" style="108" bestFit="1" customWidth="1"/>
    <col min="8452" max="8691" width="9" style="108"/>
    <col min="8692" max="8692" width="5" style="108" customWidth="1"/>
    <col min="8693" max="8693" width="3.875" style="108" customWidth="1"/>
    <col min="8694" max="8694" width="5" style="108" customWidth="1"/>
    <col min="8695" max="8695" width="6.25" style="108" customWidth="1"/>
    <col min="8696" max="8696" width="2.875" style="108" customWidth="1"/>
    <col min="8697" max="8697" width="4" style="108" customWidth="1"/>
    <col min="8698" max="8698" width="4.75" style="108" customWidth="1"/>
    <col min="8699" max="8699" width="5.5" style="108" customWidth="1"/>
    <col min="8700" max="8700" width="5.375" style="108" customWidth="1"/>
    <col min="8701" max="8701" width="1.25" style="108" customWidth="1"/>
    <col min="8702" max="8702" width="4.375" style="108" customWidth="1"/>
    <col min="8703" max="8703" width="10.375" style="108" customWidth="1"/>
    <col min="8704" max="8704" width="16.625" style="108" customWidth="1"/>
    <col min="8705" max="8705" width="10.875" style="108" customWidth="1"/>
    <col min="8706" max="8706" width="18.75" style="108" customWidth="1"/>
    <col min="8707" max="8707" width="14.25" style="108" bestFit="1" customWidth="1"/>
    <col min="8708" max="8947" width="9" style="108"/>
    <col min="8948" max="8948" width="5" style="108" customWidth="1"/>
    <col min="8949" max="8949" width="3.875" style="108" customWidth="1"/>
    <col min="8950" max="8950" width="5" style="108" customWidth="1"/>
    <col min="8951" max="8951" width="6.25" style="108" customWidth="1"/>
    <col min="8952" max="8952" width="2.875" style="108" customWidth="1"/>
    <col min="8953" max="8953" width="4" style="108" customWidth="1"/>
    <col min="8954" max="8954" width="4.75" style="108" customWidth="1"/>
    <col min="8955" max="8955" width="5.5" style="108" customWidth="1"/>
    <col min="8956" max="8956" width="5.375" style="108" customWidth="1"/>
    <col min="8957" max="8957" width="1.25" style="108" customWidth="1"/>
    <col min="8958" max="8958" width="4.375" style="108" customWidth="1"/>
    <col min="8959" max="8959" width="10.375" style="108" customWidth="1"/>
    <col min="8960" max="8960" width="16.625" style="108" customWidth="1"/>
    <col min="8961" max="8961" width="10.875" style="108" customWidth="1"/>
    <col min="8962" max="8962" width="18.75" style="108" customWidth="1"/>
    <col min="8963" max="8963" width="14.25" style="108" bestFit="1" customWidth="1"/>
    <col min="8964" max="9203" width="9" style="108"/>
    <col min="9204" max="9204" width="5" style="108" customWidth="1"/>
    <col min="9205" max="9205" width="3.875" style="108" customWidth="1"/>
    <col min="9206" max="9206" width="5" style="108" customWidth="1"/>
    <col min="9207" max="9207" width="6.25" style="108" customWidth="1"/>
    <col min="9208" max="9208" width="2.875" style="108" customWidth="1"/>
    <col min="9209" max="9209" width="4" style="108" customWidth="1"/>
    <col min="9210" max="9210" width="4.75" style="108" customWidth="1"/>
    <col min="9211" max="9211" width="5.5" style="108" customWidth="1"/>
    <col min="9212" max="9212" width="5.375" style="108" customWidth="1"/>
    <col min="9213" max="9213" width="1.25" style="108" customWidth="1"/>
    <col min="9214" max="9214" width="4.375" style="108" customWidth="1"/>
    <col min="9215" max="9215" width="10.375" style="108" customWidth="1"/>
    <col min="9216" max="9216" width="16.625" style="108" customWidth="1"/>
    <col min="9217" max="9217" width="10.875" style="108" customWidth="1"/>
    <col min="9218" max="9218" width="18.75" style="108" customWidth="1"/>
    <col min="9219" max="9219" width="14.25" style="108" bestFit="1" customWidth="1"/>
    <col min="9220" max="9459" width="9" style="108"/>
    <col min="9460" max="9460" width="5" style="108" customWidth="1"/>
    <col min="9461" max="9461" width="3.875" style="108" customWidth="1"/>
    <col min="9462" max="9462" width="5" style="108" customWidth="1"/>
    <col min="9463" max="9463" width="6.25" style="108" customWidth="1"/>
    <col min="9464" max="9464" width="2.875" style="108" customWidth="1"/>
    <col min="9465" max="9465" width="4" style="108" customWidth="1"/>
    <col min="9466" max="9466" width="4.75" style="108" customWidth="1"/>
    <col min="9467" max="9467" width="5.5" style="108" customWidth="1"/>
    <col min="9468" max="9468" width="5.375" style="108" customWidth="1"/>
    <col min="9469" max="9469" width="1.25" style="108" customWidth="1"/>
    <col min="9470" max="9470" width="4.375" style="108" customWidth="1"/>
    <col min="9471" max="9471" width="10.375" style="108" customWidth="1"/>
    <col min="9472" max="9472" width="16.625" style="108" customWidth="1"/>
    <col min="9473" max="9473" width="10.875" style="108" customWidth="1"/>
    <col min="9474" max="9474" width="18.75" style="108" customWidth="1"/>
    <col min="9475" max="9475" width="14.25" style="108" bestFit="1" customWidth="1"/>
    <col min="9476" max="9715" width="9" style="108"/>
    <col min="9716" max="9716" width="5" style="108" customWidth="1"/>
    <col min="9717" max="9717" width="3.875" style="108" customWidth="1"/>
    <col min="9718" max="9718" width="5" style="108" customWidth="1"/>
    <col min="9719" max="9719" width="6.25" style="108" customWidth="1"/>
    <col min="9720" max="9720" width="2.875" style="108" customWidth="1"/>
    <col min="9721" max="9721" width="4" style="108" customWidth="1"/>
    <col min="9722" max="9722" width="4.75" style="108" customWidth="1"/>
    <col min="9723" max="9723" width="5.5" style="108" customWidth="1"/>
    <col min="9724" max="9724" width="5.375" style="108" customWidth="1"/>
    <col min="9725" max="9725" width="1.25" style="108" customWidth="1"/>
    <col min="9726" max="9726" width="4.375" style="108" customWidth="1"/>
    <col min="9727" max="9727" width="10.375" style="108" customWidth="1"/>
    <col min="9728" max="9728" width="16.625" style="108" customWidth="1"/>
    <col min="9729" max="9729" width="10.875" style="108" customWidth="1"/>
    <col min="9730" max="9730" width="18.75" style="108" customWidth="1"/>
    <col min="9731" max="9731" width="14.25" style="108" bestFit="1" customWidth="1"/>
    <col min="9732" max="9971" width="9" style="108"/>
    <col min="9972" max="9972" width="5" style="108" customWidth="1"/>
    <col min="9973" max="9973" width="3.875" style="108" customWidth="1"/>
    <col min="9974" max="9974" width="5" style="108" customWidth="1"/>
    <col min="9975" max="9975" width="6.25" style="108" customWidth="1"/>
    <col min="9976" max="9976" width="2.875" style="108" customWidth="1"/>
    <col min="9977" max="9977" width="4" style="108" customWidth="1"/>
    <col min="9978" max="9978" width="4.75" style="108" customWidth="1"/>
    <col min="9979" max="9979" width="5.5" style="108" customWidth="1"/>
    <col min="9980" max="9980" width="5.375" style="108" customWidth="1"/>
    <col min="9981" max="9981" width="1.25" style="108" customWidth="1"/>
    <col min="9982" max="9982" width="4.375" style="108" customWidth="1"/>
    <col min="9983" max="9983" width="10.375" style="108" customWidth="1"/>
    <col min="9984" max="9984" width="16.625" style="108" customWidth="1"/>
    <col min="9985" max="9985" width="10.875" style="108" customWidth="1"/>
    <col min="9986" max="9986" width="18.75" style="108" customWidth="1"/>
    <col min="9987" max="9987" width="14.25" style="108" bestFit="1" customWidth="1"/>
    <col min="9988" max="10227" width="9" style="108"/>
    <col min="10228" max="10228" width="5" style="108" customWidth="1"/>
    <col min="10229" max="10229" width="3.875" style="108" customWidth="1"/>
    <col min="10230" max="10230" width="5" style="108" customWidth="1"/>
    <col min="10231" max="10231" width="6.25" style="108" customWidth="1"/>
    <col min="10232" max="10232" width="2.875" style="108" customWidth="1"/>
    <col min="10233" max="10233" width="4" style="108" customWidth="1"/>
    <col min="10234" max="10234" width="4.75" style="108" customWidth="1"/>
    <col min="10235" max="10235" width="5.5" style="108" customWidth="1"/>
    <col min="10236" max="10236" width="5.375" style="108" customWidth="1"/>
    <col min="10237" max="10237" width="1.25" style="108" customWidth="1"/>
    <col min="10238" max="10238" width="4.375" style="108" customWidth="1"/>
    <col min="10239" max="10239" width="10.375" style="108" customWidth="1"/>
    <col min="10240" max="10240" width="16.625" style="108" customWidth="1"/>
    <col min="10241" max="10241" width="10.875" style="108" customWidth="1"/>
    <col min="10242" max="10242" width="18.75" style="108" customWidth="1"/>
    <col min="10243" max="10243" width="14.25" style="108" bestFit="1" customWidth="1"/>
    <col min="10244" max="10483" width="9" style="108"/>
    <col min="10484" max="10484" width="5" style="108" customWidth="1"/>
    <col min="10485" max="10485" width="3.875" style="108" customWidth="1"/>
    <col min="10486" max="10486" width="5" style="108" customWidth="1"/>
    <col min="10487" max="10487" width="6.25" style="108" customWidth="1"/>
    <col min="10488" max="10488" width="2.875" style="108" customWidth="1"/>
    <col min="10489" max="10489" width="4" style="108" customWidth="1"/>
    <col min="10490" max="10490" width="4.75" style="108" customWidth="1"/>
    <col min="10491" max="10491" width="5.5" style="108" customWidth="1"/>
    <col min="10492" max="10492" width="5.375" style="108" customWidth="1"/>
    <col min="10493" max="10493" width="1.25" style="108" customWidth="1"/>
    <col min="10494" max="10494" width="4.375" style="108" customWidth="1"/>
    <col min="10495" max="10495" width="10.375" style="108" customWidth="1"/>
    <col min="10496" max="10496" width="16.625" style="108" customWidth="1"/>
    <col min="10497" max="10497" width="10.875" style="108" customWidth="1"/>
    <col min="10498" max="10498" width="18.75" style="108" customWidth="1"/>
    <col min="10499" max="10499" width="14.25" style="108" bestFit="1" customWidth="1"/>
    <col min="10500" max="10739" width="9" style="108"/>
    <col min="10740" max="10740" width="5" style="108" customWidth="1"/>
    <col min="10741" max="10741" width="3.875" style="108" customWidth="1"/>
    <col min="10742" max="10742" width="5" style="108" customWidth="1"/>
    <col min="10743" max="10743" width="6.25" style="108" customWidth="1"/>
    <col min="10744" max="10744" width="2.875" style="108" customWidth="1"/>
    <col min="10745" max="10745" width="4" style="108" customWidth="1"/>
    <col min="10746" max="10746" width="4.75" style="108" customWidth="1"/>
    <col min="10747" max="10747" width="5.5" style="108" customWidth="1"/>
    <col min="10748" max="10748" width="5.375" style="108" customWidth="1"/>
    <col min="10749" max="10749" width="1.25" style="108" customWidth="1"/>
    <col min="10750" max="10750" width="4.375" style="108" customWidth="1"/>
    <col min="10751" max="10751" width="10.375" style="108" customWidth="1"/>
    <col min="10752" max="10752" width="16.625" style="108" customWidth="1"/>
    <col min="10753" max="10753" width="10.875" style="108" customWidth="1"/>
    <col min="10754" max="10754" width="18.75" style="108" customWidth="1"/>
    <col min="10755" max="10755" width="14.25" style="108" bestFit="1" customWidth="1"/>
    <col min="10756" max="10995" width="9" style="108"/>
    <col min="10996" max="10996" width="5" style="108" customWidth="1"/>
    <col min="10997" max="10997" width="3.875" style="108" customWidth="1"/>
    <col min="10998" max="10998" width="5" style="108" customWidth="1"/>
    <col min="10999" max="10999" width="6.25" style="108" customWidth="1"/>
    <col min="11000" max="11000" width="2.875" style="108" customWidth="1"/>
    <col min="11001" max="11001" width="4" style="108" customWidth="1"/>
    <col min="11002" max="11002" width="4.75" style="108" customWidth="1"/>
    <col min="11003" max="11003" width="5.5" style="108" customWidth="1"/>
    <col min="11004" max="11004" width="5.375" style="108" customWidth="1"/>
    <col min="11005" max="11005" width="1.25" style="108" customWidth="1"/>
    <col min="11006" max="11006" width="4.375" style="108" customWidth="1"/>
    <col min="11007" max="11007" width="10.375" style="108" customWidth="1"/>
    <col min="11008" max="11008" width="16.625" style="108" customWidth="1"/>
    <col min="11009" max="11009" width="10.875" style="108" customWidth="1"/>
    <col min="11010" max="11010" width="18.75" style="108" customWidth="1"/>
    <col min="11011" max="11011" width="14.25" style="108" bestFit="1" customWidth="1"/>
    <col min="11012" max="11251" width="9" style="108"/>
    <col min="11252" max="11252" width="5" style="108" customWidth="1"/>
    <col min="11253" max="11253" width="3.875" style="108" customWidth="1"/>
    <col min="11254" max="11254" width="5" style="108" customWidth="1"/>
    <col min="11255" max="11255" width="6.25" style="108" customWidth="1"/>
    <col min="11256" max="11256" width="2.875" style="108" customWidth="1"/>
    <col min="11257" max="11257" width="4" style="108" customWidth="1"/>
    <col min="11258" max="11258" width="4.75" style="108" customWidth="1"/>
    <col min="11259" max="11259" width="5.5" style="108" customWidth="1"/>
    <col min="11260" max="11260" width="5.375" style="108" customWidth="1"/>
    <col min="11261" max="11261" width="1.25" style="108" customWidth="1"/>
    <col min="11262" max="11262" width="4.375" style="108" customWidth="1"/>
    <col min="11263" max="11263" width="10.375" style="108" customWidth="1"/>
    <col min="11264" max="11264" width="16.625" style="108" customWidth="1"/>
    <col min="11265" max="11265" width="10.875" style="108" customWidth="1"/>
    <col min="11266" max="11266" width="18.75" style="108" customWidth="1"/>
    <col min="11267" max="11267" width="14.25" style="108" bestFit="1" customWidth="1"/>
    <col min="11268" max="11507" width="9" style="108"/>
    <col min="11508" max="11508" width="5" style="108" customWidth="1"/>
    <col min="11509" max="11509" width="3.875" style="108" customWidth="1"/>
    <col min="11510" max="11510" width="5" style="108" customWidth="1"/>
    <col min="11511" max="11511" width="6.25" style="108" customWidth="1"/>
    <col min="11512" max="11512" width="2.875" style="108" customWidth="1"/>
    <col min="11513" max="11513" width="4" style="108" customWidth="1"/>
    <col min="11514" max="11514" width="4.75" style="108" customWidth="1"/>
    <col min="11515" max="11515" width="5.5" style="108" customWidth="1"/>
    <col min="11516" max="11516" width="5.375" style="108" customWidth="1"/>
    <col min="11517" max="11517" width="1.25" style="108" customWidth="1"/>
    <col min="11518" max="11518" width="4.375" style="108" customWidth="1"/>
    <col min="11519" max="11519" width="10.375" style="108" customWidth="1"/>
    <col min="11520" max="11520" width="16.625" style="108" customWidth="1"/>
    <col min="11521" max="11521" width="10.875" style="108" customWidth="1"/>
    <col min="11522" max="11522" width="18.75" style="108" customWidth="1"/>
    <col min="11523" max="11523" width="14.25" style="108" bestFit="1" customWidth="1"/>
    <col min="11524" max="11763" width="9" style="108"/>
    <col min="11764" max="11764" width="5" style="108" customWidth="1"/>
    <col min="11765" max="11765" width="3.875" style="108" customWidth="1"/>
    <col min="11766" max="11766" width="5" style="108" customWidth="1"/>
    <col min="11767" max="11767" width="6.25" style="108" customWidth="1"/>
    <col min="11768" max="11768" width="2.875" style="108" customWidth="1"/>
    <col min="11769" max="11769" width="4" style="108" customWidth="1"/>
    <col min="11770" max="11770" width="4.75" style="108" customWidth="1"/>
    <col min="11771" max="11771" width="5.5" style="108" customWidth="1"/>
    <col min="11772" max="11772" width="5.375" style="108" customWidth="1"/>
    <col min="11773" max="11773" width="1.25" style="108" customWidth="1"/>
    <col min="11774" max="11774" width="4.375" style="108" customWidth="1"/>
    <col min="11775" max="11775" width="10.375" style="108" customWidth="1"/>
    <col min="11776" max="11776" width="16.625" style="108" customWidth="1"/>
    <col min="11777" max="11777" width="10.875" style="108" customWidth="1"/>
    <col min="11778" max="11778" width="18.75" style="108" customWidth="1"/>
    <col min="11779" max="11779" width="14.25" style="108" bestFit="1" customWidth="1"/>
    <col min="11780" max="12019" width="9" style="108"/>
    <col min="12020" max="12020" width="5" style="108" customWidth="1"/>
    <col min="12021" max="12021" width="3.875" style="108" customWidth="1"/>
    <col min="12022" max="12022" width="5" style="108" customWidth="1"/>
    <col min="12023" max="12023" width="6.25" style="108" customWidth="1"/>
    <col min="12024" max="12024" width="2.875" style="108" customWidth="1"/>
    <col min="12025" max="12025" width="4" style="108" customWidth="1"/>
    <col min="12026" max="12026" width="4.75" style="108" customWidth="1"/>
    <col min="12027" max="12027" width="5.5" style="108" customWidth="1"/>
    <col min="12028" max="12028" width="5.375" style="108" customWidth="1"/>
    <col min="12029" max="12029" width="1.25" style="108" customWidth="1"/>
    <col min="12030" max="12030" width="4.375" style="108" customWidth="1"/>
    <col min="12031" max="12031" width="10.375" style="108" customWidth="1"/>
    <col min="12032" max="12032" width="16.625" style="108" customWidth="1"/>
    <col min="12033" max="12033" width="10.875" style="108" customWidth="1"/>
    <col min="12034" max="12034" width="18.75" style="108" customWidth="1"/>
    <col min="12035" max="12035" width="14.25" style="108" bestFit="1" customWidth="1"/>
    <col min="12036" max="12275" width="9" style="108"/>
    <col min="12276" max="12276" width="5" style="108" customWidth="1"/>
    <col min="12277" max="12277" width="3.875" style="108" customWidth="1"/>
    <col min="12278" max="12278" width="5" style="108" customWidth="1"/>
    <col min="12279" max="12279" width="6.25" style="108" customWidth="1"/>
    <col min="12280" max="12280" width="2.875" style="108" customWidth="1"/>
    <col min="12281" max="12281" width="4" style="108" customWidth="1"/>
    <col min="12282" max="12282" width="4.75" style="108" customWidth="1"/>
    <col min="12283" max="12283" width="5.5" style="108" customWidth="1"/>
    <col min="12284" max="12284" width="5.375" style="108" customWidth="1"/>
    <col min="12285" max="12285" width="1.25" style="108" customWidth="1"/>
    <col min="12286" max="12286" width="4.375" style="108" customWidth="1"/>
    <col min="12287" max="12287" width="10.375" style="108" customWidth="1"/>
    <col min="12288" max="12288" width="16.625" style="108" customWidth="1"/>
    <col min="12289" max="12289" width="10.875" style="108" customWidth="1"/>
    <col min="12290" max="12290" width="18.75" style="108" customWidth="1"/>
    <col min="12291" max="12291" width="14.25" style="108" bestFit="1" customWidth="1"/>
    <col min="12292" max="12531" width="9" style="108"/>
    <col min="12532" max="12532" width="5" style="108" customWidth="1"/>
    <col min="12533" max="12533" width="3.875" style="108" customWidth="1"/>
    <col min="12534" max="12534" width="5" style="108" customWidth="1"/>
    <col min="12535" max="12535" width="6.25" style="108" customWidth="1"/>
    <col min="12536" max="12536" width="2.875" style="108" customWidth="1"/>
    <col min="12537" max="12537" width="4" style="108" customWidth="1"/>
    <col min="12538" max="12538" width="4.75" style="108" customWidth="1"/>
    <col min="12539" max="12539" width="5.5" style="108" customWidth="1"/>
    <col min="12540" max="12540" width="5.375" style="108" customWidth="1"/>
    <col min="12541" max="12541" width="1.25" style="108" customWidth="1"/>
    <col min="12542" max="12542" width="4.375" style="108" customWidth="1"/>
    <col min="12543" max="12543" width="10.375" style="108" customWidth="1"/>
    <col min="12544" max="12544" width="16.625" style="108" customWidth="1"/>
    <col min="12545" max="12545" width="10.875" style="108" customWidth="1"/>
    <col min="12546" max="12546" width="18.75" style="108" customWidth="1"/>
    <col min="12547" max="12547" width="14.25" style="108" bestFit="1" customWidth="1"/>
    <col min="12548" max="12787" width="9" style="108"/>
    <col min="12788" max="12788" width="5" style="108" customWidth="1"/>
    <col min="12789" max="12789" width="3.875" style="108" customWidth="1"/>
    <col min="12790" max="12790" width="5" style="108" customWidth="1"/>
    <col min="12791" max="12791" width="6.25" style="108" customWidth="1"/>
    <col min="12792" max="12792" width="2.875" style="108" customWidth="1"/>
    <col min="12793" max="12793" width="4" style="108" customWidth="1"/>
    <col min="12794" max="12794" width="4.75" style="108" customWidth="1"/>
    <col min="12795" max="12795" width="5.5" style="108" customWidth="1"/>
    <col min="12796" max="12796" width="5.375" style="108" customWidth="1"/>
    <col min="12797" max="12797" width="1.25" style="108" customWidth="1"/>
    <col min="12798" max="12798" width="4.375" style="108" customWidth="1"/>
    <col min="12799" max="12799" width="10.375" style="108" customWidth="1"/>
    <col min="12800" max="12800" width="16.625" style="108" customWidth="1"/>
    <col min="12801" max="12801" width="10.875" style="108" customWidth="1"/>
    <col min="12802" max="12802" width="18.75" style="108" customWidth="1"/>
    <col min="12803" max="12803" width="14.25" style="108" bestFit="1" customWidth="1"/>
    <col min="12804" max="13043" width="9" style="108"/>
    <col min="13044" max="13044" width="5" style="108" customWidth="1"/>
    <col min="13045" max="13045" width="3.875" style="108" customWidth="1"/>
    <col min="13046" max="13046" width="5" style="108" customWidth="1"/>
    <col min="13047" max="13047" width="6.25" style="108" customWidth="1"/>
    <col min="13048" max="13048" width="2.875" style="108" customWidth="1"/>
    <col min="13049" max="13049" width="4" style="108" customWidth="1"/>
    <col min="13050" max="13050" width="4.75" style="108" customWidth="1"/>
    <col min="13051" max="13051" width="5.5" style="108" customWidth="1"/>
    <col min="13052" max="13052" width="5.375" style="108" customWidth="1"/>
    <col min="13053" max="13053" width="1.25" style="108" customWidth="1"/>
    <col min="13054" max="13054" width="4.375" style="108" customWidth="1"/>
    <col min="13055" max="13055" width="10.375" style="108" customWidth="1"/>
    <col min="13056" max="13056" width="16.625" style="108" customWidth="1"/>
    <col min="13057" max="13057" width="10.875" style="108" customWidth="1"/>
    <col min="13058" max="13058" width="18.75" style="108" customWidth="1"/>
    <col min="13059" max="13059" width="14.25" style="108" bestFit="1" customWidth="1"/>
    <col min="13060" max="13299" width="9" style="108"/>
    <col min="13300" max="13300" width="5" style="108" customWidth="1"/>
    <col min="13301" max="13301" width="3.875" style="108" customWidth="1"/>
    <col min="13302" max="13302" width="5" style="108" customWidth="1"/>
    <col min="13303" max="13303" width="6.25" style="108" customWidth="1"/>
    <col min="13304" max="13304" width="2.875" style="108" customWidth="1"/>
    <col min="13305" max="13305" width="4" style="108" customWidth="1"/>
    <col min="13306" max="13306" width="4.75" style="108" customWidth="1"/>
    <col min="13307" max="13307" width="5.5" style="108" customWidth="1"/>
    <col min="13308" max="13308" width="5.375" style="108" customWidth="1"/>
    <col min="13309" max="13309" width="1.25" style="108" customWidth="1"/>
    <col min="13310" max="13310" width="4.375" style="108" customWidth="1"/>
    <col min="13311" max="13311" width="10.375" style="108" customWidth="1"/>
    <col min="13312" max="13312" width="16.625" style="108" customWidth="1"/>
    <col min="13313" max="13313" width="10.875" style="108" customWidth="1"/>
    <col min="13314" max="13314" width="18.75" style="108" customWidth="1"/>
    <col min="13315" max="13315" width="14.25" style="108" bestFit="1" customWidth="1"/>
    <col min="13316" max="13555" width="9" style="108"/>
    <col min="13556" max="13556" width="5" style="108" customWidth="1"/>
    <col min="13557" max="13557" width="3.875" style="108" customWidth="1"/>
    <col min="13558" max="13558" width="5" style="108" customWidth="1"/>
    <col min="13559" max="13559" width="6.25" style="108" customWidth="1"/>
    <col min="13560" max="13560" width="2.875" style="108" customWidth="1"/>
    <col min="13561" max="13561" width="4" style="108" customWidth="1"/>
    <col min="13562" max="13562" width="4.75" style="108" customWidth="1"/>
    <col min="13563" max="13563" width="5.5" style="108" customWidth="1"/>
    <col min="13564" max="13564" width="5.375" style="108" customWidth="1"/>
    <col min="13565" max="13565" width="1.25" style="108" customWidth="1"/>
    <col min="13566" max="13566" width="4.375" style="108" customWidth="1"/>
    <col min="13567" max="13567" width="10.375" style="108" customWidth="1"/>
    <col min="13568" max="13568" width="16.625" style="108" customWidth="1"/>
    <col min="13569" max="13569" width="10.875" style="108" customWidth="1"/>
    <col min="13570" max="13570" width="18.75" style="108" customWidth="1"/>
    <col min="13571" max="13571" width="14.25" style="108" bestFit="1" customWidth="1"/>
    <col min="13572" max="13811" width="9" style="108"/>
    <col min="13812" max="13812" width="5" style="108" customWidth="1"/>
    <col min="13813" max="13813" width="3.875" style="108" customWidth="1"/>
    <col min="13814" max="13814" width="5" style="108" customWidth="1"/>
    <col min="13815" max="13815" width="6.25" style="108" customWidth="1"/>
    <col min="13816" max="13816" width="2.875" style="108" customWidth="1"/>
    <col min="13817" max="13817" width="4" style="108" customWidth="1"/>
    <col min="13818" max="13818" width="4.75" style="108" customWidth="1"/>
    <col min="13819" max="13819" width="5.5" style="108" customWidth="1"/>
    <col min="13820" max="13820" width="5.375" style="108" customWidth="1"/>
    <col min="13821" max="13821" width="1.25" style="108" customWidth="1"/>
    <col min="13822" max="13822" width="4.375" style="108" customWidth="1"/>
    <col min="13823" max="13823" width="10.375" style="108" customWidth="1"/>
    <col min="13824" max="13824" width="16.625" style="108" customWidth="1"/>
    <col min="13825" max="13825" width="10.875" style="108" customWidth="1"/>
    <col min="13826" max="13826" width="18.75" style="108" customWidth="1"/>
    <col min="13827" max="13827" width="14.25" style="108" bestFit="1" customWidth="1"/>
    <col min="13828" max="14067" width="9" style="108"/>
    <col min="14068" max="14068" width="5" style="108" customWidth="1"/>
    <col min="14069" max="14069" width="3.875" style="108" customWidth="1"/>
    <col min="14070" max="14070" width="5" style="108" customWidth="1"/>
    <col min="14071" max="14071" width="6.25" style="108" customWidth="1"/>
    <col min="14072" max="14072" width="2.875" style="108" customWidth="1"/>
    <col min="14073" max="14073" width="4" style="108" customWidth="1"/>
    <col min="14074" max="14074" width="4.75" style="108" customWidth="1"/>
    <col min="14075" max="14075" width="5.5" style="108" customWidth="1"/>
    <col min="14076" max="14076" width="5.375" style="108" customWidth="1"/>
    <col min="14077" max="14077" width="1.25" style="108" customWidth="1"/>
    <col min="14078" max="14078" width="4.375" style="108" customWidth="1"/>
    <col min="14079" max="14079" width="10.375" style="108" customWidth="1"/>
    <col min="14080" max="14080" width="16.625" style="108" customWidth="1"/>
    <col min="14081" max="14081" width="10.875" style="108" customWidth="1"/>
    <col min="14082" max="14082" width="18.75" style="108" customWidth="1"/>
    <col min="14083" max="14083" width="14.25" style="108" bestFit="1" customWidth="1"/>
    <col min="14084" max="14323" width="9" style="108"/>
    <col min="14324" max="14324" width="5" style="108" customWidth="1"/>
    <col min="14325" max="14325" width="3.875" style="108" customWidth="1"/>
    <col min="14326" max="14326" width="5" style="108" customWidth="1"/>
    <col min="14327" max="14327" width="6.25" style="108" customWidth="1"/>
    <col min="14328" max="14328" width="2.875" style="108" customWidth="1"/>
    <col min="14329" max="14329" width="4" style="108" customWidth="1"/>
    <col min="14330" max="14330" width="4.75" style="108" customWidth="1"/>
    <col min="14331" max="14331" width="5.5" style="108" customWidth="1"/>
    <col min="14332" max="14332" width="5.375" style="108" customWidth="1"/>
    <col min="14333" max="14333" width="1.25" style="108" customWidth="1"/>
    <col min="14334" max="14334" width="4.375" style="108" customWidth="1"/>
    <col min="14335" max="14335" width="10.375" style="108" customWidth="1"/>
    <col min="14336" max="14336" width="16.625" style="108" customWidth="1"/>
    <col min="14337" max="14337" width="10.875" style="108" customWidth="1"/>
    <col min="14338" max="14338" width="18.75" style="108" customWidth="1"/>
    <col min="14339" max="14339" width="14.25" style="108" bestFit="1" customWidth="1"/>
    <col min="14340" max="14579" width="9" style="108"/>
    <col min="14580" max="14580" width="5" style="108" customWidth="1"/>
    <col min="14581" max="14581" width="3.875" style="108" customWidth="1"/>
    <col min="14582" max="14582" width="5" style="108" customWidth="1"/>
    <col min="14583" max="14583" width="6.25" style="108" customWidth="1"/>
    <col min="14584" max="14584" width="2.875" style="108" customWidth="1"/>
    <col min="14585" max="14585" width="4" style="108" customWidth="1"/>
    <col min="14586" max="14586" width="4.75" style="108" customWidth="1"/>
    <col min="14587" max="14587" width="5.5" style="108" customWidth="1"/>
    <col min="14588" max="14588" width="5.375" style="108" customWidth="1"/>
    <col min="14589" max="14589" width="1.25" style="108" customWidth="1"/>
    <col min="14590" max="14590" width="4.375" style="108" customWidth="1"/>
    <col min="14591" max="14591" width="10.375" style="108" customWidth="1"/>
    <col min="14592" max="14592" width="16.625" style="108" customWidth="1"/>
    <col min="14593" max="14593" width="10.875" style="108" customWidth="1"/>
    <col min="14594" max="14594" width="18.75" style="108" customWidth="1"/>
    <col min="14595" max="14595" width="14.25" style="108" bestFit="1" customWidth="1"/>
    <col min="14596" max="14835" width="9" style="108"/>
    <col min="14836" max="14836" width="5" style="108" customWidth="1"/>
    <col min="14837" max="14837" width="3.875" style="108" customWidth="1"/>
    <col min="14838" max="14838" width="5" style="108" customWidth="1"/>
    <col min="14839" max="14839" width="6.25" style="108" customWidth="1"/>
    <col min="14840" max="14840" width="2.875" style="108" customWidth="1"/>
    <col min="14841" max="14841" width="4" style="108" customWidth="1"/>
    <col min="14842" max="14842" width="4.75" style="108" customWidth="1"/>
    <col min="14843" max="14843" width="5.5" style="108" customWidth="1"/>
    <col min="14844" max="14844" width="5.375" style="108" customWidth="1"/>
    <col min="14845" max="14845" width="1.25" style="108" customWidth="1"/>
    <col min="14846" max="14846" width="4.375" style="108" customWidth="1"/>
    <col min="14847" max="14847" width="10.375" style="108" customWidth="1"/>
    <col min="14848" max="14848" width="16.625" style="108" customWidth="1"/>
    <col min="14849" max="14849" width="10.875" style="108" customWidth="1"/>
    <col min="14850" max="14850" width="18.75" style="108" customWidth="1"/>
    <col min="14851" max="14851" width="14.25" style="108" bestFit="1" customWidth="1"/>
    <col min="14852" max="15091" width="9" style="108"/>
    <col min="15092" max="15092" width="5" style="108" customWidth="1"/>
    <col min="15093" max="15093" width="3.875" style="108" customWidth="1"/>
    <col min="15094" max="15094" width="5" style="108" customWidth="1"/>
    <col min="15095" max="15095" width="6.25" style="108" customWidth="1"/>
    <col min="15096" max="15096" width="2.875" style="108" customWidth="1"/>
    <col min="15097" max="15097" width="4" style="108" customWidth="1"/>
    <col min="15098" max="15098" width="4.75" style="108" customWidth="1"/>
    <col min="15099" max="15099" width="5.5" style="108" customWidth="1"/>
    <col min="15100" max="15100" width="5.375" style="108" customWidth="1"/>
    <col min="15101" max="15101" width="1.25" style="108" customWidth="1"/>
    <col min="15102" max="15102" width="4.375" style="108" customWidth="1"/>
    <col min="15103" max="15103" width="10.375" style="108" customWidth="1"/>
    <col min="15104" max="15104" width="16.625" style="108" customWidth="1"/>
    <col min="15105" max="15105" width="10.875" style="108" customWidth="1"/>
    <col min="15106" max="15106" width="18.75" style="108" customWidth="1"/>
    <col min="15107" max="15107" width="14.25" style="108" bestFit="1" customWidth="1"/>
    <col min="15108" max="15347" width="9" style="108"/>
    <col min="15348" max="15348" width="5" style="108" customWidth="1"/>
    <col min="15349" max="15349" width="3.875" style="108" customWidth="1"/>
    <col min="15350" max="15350" width="5" style="108" customWidth="1"/>
    <col min="15351" max="15351" width="6.25" style="108" customWidth="1"/>
    <col min="15352" max="15352" width="2.875" style="108" customWidth="1"/>
    <col min="15353" max="15353" width="4" style="108" customWidth="1"/>
    <col min="15354" max="15354" width="4.75" style="108" customWidth="1"/>
    <col min="15355" max="15355" width="5.5" style="108" customWidth="1"/>
    <col min="15356" max="15356" width="5.375" style="108" customWidth="1"/>
    <col min="15357" max="15357" width="1.25" style="108" customWidth="1"/>
    <col min="15358" max="15358" width="4.375" style="108" customWidth="1"/>
    <col min="15359" max="15359" width="10.375" style="108" customWidth="1"/>
    <col min="15360" max="15360" width="16.625" style="108" customWidth="1"/>
    <col min="15361" max="15361" width="10.875" style="108" customWidth="1"/>
    <col min="15362" max="15362" width="18.75" style="108" customWidth="1"/>
    <col min="15363" max="15363" width="14.25" style="108" bestFit="1" customWidth="1"/>
    <col min="15364" max="15603" width="9" style="108"/>
    <col min="15604" max="15604" width="5" style="108" customWidth="1"/>
    <col min="15605" max="15605" width="3.875" style="108" customWidth="1"/>
    <col min="15606" max="15606" width="5" style="108" customWidth="1"/>
    <col min="15607" max="15607" width="6.25" style="108" customWidth="1"/>
    <col min="15608" max="15608" width="2.875" style="108" customWidth="1"/>
    <col min="15609" max="15609" width="4" style="108" customWidth="1"/>
    <col min="15610" max="15610" width="4.75" style="108" customWidth="1"/>
    <col min="15611" max="15611" width="5.5" style="108" customWidth="1"/>
    <col min="15612" max="15612" width="5.375" style="108" customWidth="1"/>
    <col min="15613" max="15613" width="1.25" style="108" customWidth="1"/>
    <col min="15614" max="15614" width="4.375" style="108" customWidth="1"/>
    <col min="15615" max="15615" width="10.375" style="108" customWidth="1"/>
    <col min="15616" max="15616" width="16.625" style="108" customWidth="1"/>
    <col min="15617" max="15617" width="10.875" style="108" customWidth="1"/>
    <col min="15618" max="15618" width="18.75" style="108" customWidth="1"/>
    <col min="15619" max="15619" width="14.25" style="108" bestFit="1" customWidth="1"/>
    <col min="15620" max="15859" width="9" style="108"/>
    <col min="15860" max="15860" width="5" style="108" customWidth="1"/>
    <col min="15861" max="15861" width="3.875" style="108" customWidth="1"/>
    <col min="15862" max="15862" width="5" style="108" customWidth="1"/>
    <col min="15863" max="15863" width="6.25" style="108" customWidth="1"/>
    <col min="15864" max="15864" width="2.875" style="108" customWidth="1"/>
    <col min="15865" max="15865" width="4" style="108" customWidth="1"/>
    <col min="15866" max="15866" width="4.75" style="108" customWidth="1"/>
    <col min="15867" max="15867" width="5.5" style="108" customWidth="1"/>
    <col min="15868" max="15868" width="5.375" style="108" customWidth="1"/>
    <col min="15869" max="15869" width="1.25" style="108" customWidth="1"/>
    <col min="15870" max="15870" width="4.375" style="108" customWidth="1"/>
    <col min="15871" max="15871" width="10.375" style="108" customWidth="1"/>
    <col min="15872" max="15872" width="16.625" style="108" customWidth="1"/>
    <col min="15873" max="15873" width="10.875" style="108" customWidth="1"/>
    <col min="15874" max="15874" width="18.75" style="108" customWidth="1"/>
    <col min="15875" max="15875" width="14.25" style="108" bestFit="1" customWidth="1"/>
    <col min="15876" max="16115" width="9" style="108"/>
    <col min="16116" max="16116" width="5" style="108" customWidth="1"/>
    <col min="16117" max="16117" width="3.875" style="108" customWidth="1"/>
    <col min="16118" max="16118" width="5" style="108" customWidth="1"/>
    <col min="16119" max="16119" width="6.25" style="108" customWidth="1"/>
    <col min="16120" max="16120" width="2.875" style="108" customWidth="1"/>
    <col min="16121" max="16121" width="4" style="108" customWidth="1"/>
    <col min="16122" max="16122" width="4.75" style="108" customWidth="1"/>
    <col min="16123" max="16123" width="5.5" style="108" customWidth="1"/>
    <col min="16124" max="16124" width="5.375" style="108" customWidth="1"/>
    <col min="16125" max="16125" width="1.25" style="108" customWidth="1"/>
    <col min="16126" max="16126" width="4.375" style="108" customWidth="1"/>
    <col min="16127" max="16127" width="10.375" style="108" customWidth="1"/>
    <col min="16128" max="16128" width="16.625" style="108" customWidth="1"/>
    <col min="16129" max="16129" width="10.875" style="108" customWidth="1"/>
    <col min="16130" max="16130" width="18.75" style="108" customWidth="1"/>
    <col min="16131" max="16131" width="14.25" style="108" bestFit="1" customWidth="1"/>
    <col min="16132" max="16384" width="9" style="108"/>
  </cols>
  <sheetData>
    <row r="1" spans="1:15" ht="9" customHeight="1">
      <c r="A1" s="259"/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1"/>
    </row>
    <row r="2" spans="1:15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1"/>
    </row>
    <row r="3" spans="1:15" ht="45">
      <c r="A3" s="262" t="s">
        <v>84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/>
    </row>
    <row r="4" spans="1:15" ht="16.5" customHeight="1">
      <c r="A4" s="112" t="s">
        <v>85</v>
      </c>
      <c r="B4" s="113"/>
      <c r="C4" s="113"/>
      <c r="D4" s="113"/>
      <c r="E4" s="113"/>
      <c r="F4" s="113"/>
      <c r="G4" s="113"/>
      <c r="H4" s="113"/>
      <c r="I4" s="114"/>
      <c r="J4" s="114"/>
      <c r="K4" s="115"/>
      <c r="L4" s="115"/>
      <c r="M4" s="115"/>
      <c r="N4" s="115"/>
      <c r="O4" s="116"/>
    </row>
    <row r="5" spans="1:15" ht="21" customHeight="1">
      <c r="A5" s="117"/>
      <c r="B5" s="173" t="s">
        <v>149</v>
      </c>
      <c r="C5" s="173"/>
      <c r="D5" s="173"/>
      <c r="E5" s="173"/>
      <c r="F5" s="173"/>
      <c r="G5" s="174"/>
      <c r="H5" s="174"/>
      <c r="I5" s="118"/>
      <c r="J5" s="118"/>
      <c r="K5" s="118"/>
      <c r="L5" s="118"/>
      <c r="M5" s="119"/>
      <c r="N5" s="119"/>
      <c r="O5" s="120"/>
    </row>
    <row r="6" spans="1:15" ht="12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4"/>
    </row>
    <row r="7" spans="1:15" ht="23.25" customHeight="1">
      <c r="A7" s="265" t="s">
        <v>86</v>
      </c>
      <c r="B7" s="266"/>
      <c r="C7" s="267"/>
      <c r="D7" s="175">
        <v>2025</v>
      </c>
      <c r="E7" s="125" t="s">
        <v>87</v>
      </c>
      <c r="F7" s="176">
        <v>11</v>
      </c>
      <c r="G7" s="125" t="s">
        <v>88</v>
      </c>
      <c r="H7" s="176">
        <v>24</v>
      </c>
      <c r="I7" s="125" t="s">
        <v>89</v>
      </c>
      <c r="J7" s="126"/>
      <c r="K7" s="268" t="s">
        <v>90</v>
      </c>
      <c r="L7" s="127" t="s">
        <v>91</v>
      </c>
      <c r="M7" s="127" t="s">
        <v>92</v>
      </c>
      <c r="N7" s="127" t="s">
        <v>93</v>
      </c>
      <c r="O7" s="128" t="s">
        <v>94</v>
      </c>
    </row>
    <row r="8" spans="1:15" ht="23.25" customHeight="1">
      <c r="A8" s="271" t="s">
        <v>95</v>
      </c>
      <c r="B8" s="272"/>
      <c r="C8" s="273"/>
      <c r="D8" s="274" t="s">
        <v>96</v>
      </c>
      <c r="E8" s="275"/>
      <c r="F8" s="275"/>
      <c r="G8" s="276"/>
      <c r="H8" s="277" t="s">
        <v>97</v>
      </c>
      <c r="I8" s="275"/>
      <c r="J8" s="278"/>
      <c r="K8" s="269"/>
      <c r="L8" s="129" t="s">
        <v>98</v>
      </c>
      <c r="M8" s="129" t="s">
        <v>99</v>
      </c>
      <c r="N8" s="129" t="s">
        <v>100</v>
      </c>
      <c r="O8" s="130" t="s">
        <v>150</v>
      </c>
    </row>
    <row r="9" spans="1:15" ht="23.25" customHeight="1">
      <c r="A9" s="271" t="s">
        <v>101</v>
      </c>
      <c r="B9" s="272"/>
      <c r="C9" s="273"/>
      <c r="D9" s="279" t="s">
        <v>102</v>
      </c>
      <c r="E9" s="280"/>
      <c r="F9" s="280"/>
      <c r="G9" s="280"/>
      <c r="H9" s="280"/>
      <c r="I9" s="280"/>
      <c r="J9" s="281"/>
      <c r="K9" s="269"/>
      <c r="L9" s="129" t="s">
        <v>103</v>
      </c>
      <c r="M9" s="282" t="s">
        <v>104</v>
      </c>
      <c r="N9" s="272"/>
      <c r="O9" s="273"/>
    </row>
    <row r="10" spans="1:15" ht="23.25" customHeight="1" thickBot="1">
      <c r="A10" s="283" t="s">
        <v>105</v>
      </c>
      <c r="B10" s="284"/>
      <c r="C10" s="285"/>
      <c r="D10" s="286" t="s">
        <v>106</v>
      </c>
      <c r="E10" s="287"/>
      <c r="F10" s="287"/>
      <c r="G10" s="287"/>
      <c r="H10" s="287"/>
      <c r="I10" s="287"/>
      <c r="J10" s="288"/>
      <c r="K10" s="270"/>
      <c r="L10" s="131" t="s">
        <v>107</v>
      </c>
      <c r="M10" s="131" t="s">
        <v>108</v>
      </c>
      <c r="N10" s="131" t="s">
        <v>109</v>
      </c>
      <c r="O10" s="132" t="s">
        <v>110</v>
      </c>
    </row>
    <row r="11" spans="1:15" ht="21.75" customHeight="1">
      <c r="A11" s="133"/>
      <c r="B11" s="134"/>
      <c r="C11" s="134"/>
      <c r="D11" s="135"/>
      <c r="E11" s="135"/>
      <c r="F11" s="135"/>
      <c r="G11" s="135"/>
      <c r="H11" s="135"/>
      <c r="I11" s="135"/>
      <c r="J11" s="135"/>
      <c r="K11" s="136"/>
      <c r="L11" s="136"/>
      <c r="M11" s="136"/>
      <c r="N11" s="136"/>
      <c r="O11" s="116"/>
    </row>
    <row r="12" spans="1:15" ht="21.75" customHeight="1">
      <c r="A12" s="137"/>
      <c r="B12" s="119"/>
      <c r="C12" s="119"/>
      <c r="D12" s="119"/>
      <c r="E12" s="119"/>
      <c r="F12" s="119"/>
      <c r="G12" s="119"/>
      <c r="H12" s="119"/>
      <c r="I12" s="136"/>
      <c r="J12" s="136"/>
      <c r="K12" s="136"/>
      <c r="L12" s="136"/>
      <c r="M12" s="136"/>
      <c r="N12" s="136"/>
      <c r="O12" s="138"/>
    </row>
    <row r="13" spans="1:15" ht="24" customHeight="1">
      <c r="A13" s="139"/>
      <c r="B13" s="258" t="s">
        <v>151</v>
      </c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140" t="s">
        <v>111</v>
      </c>
      <c r="O13" s="138"/>
    </row>
    <row r="14" spans="1:15" ht="9" customHeight="1">
      <c r="A14" s="139"/>
      <c r="B14" s="119"/>
      <c r="C14" s="119"/>
      <c r="D14" s="119"/>
      <c r="E14" s="119"/>
      <c r="F14" s="119"/>
      <c r="G14" s="119"/>
      <c r="H14" s="119"/>
      <c r="I14" s="136"/>
      <c r="J14" s="136"/>
      <c r="K14" s="136"/>
      <c r="L14" s="136"/>
      <c r="M14" s="136"/>
      <c r="N14" s="136"/>
      <c r="O14" s="138"/>
    </row>
    <row r="15" spans="1:15" ht="25.5" customHeight="1">
      <c r="A15" s="139"/>
      <c r="B15" s="241" t="str">
        <f>"견 적 금 액 : 一金"&amp;NUMBERSTRING(M32,1) &amp; "원정""(\"&amp; TEXT(M32,"#,###")&amp;"원) [VAT 별도]"</f>
        <v>견 적 금 액 : 一金일백오십일만사백구십오원정"(\1,510,495원) [VAT 별도]</v>
      </c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2"/>
    </row>
    <row r="16" spans="1:15" ht="15" thickBot="1">
      <c r="A16" s="137"/>
      <c r="B16" s="136"/>
      <c r="C16" s="136"/>
      <c r="D16" s="136"/>
      <c r="E16" s="136"/>
      <c r="F16" s="136"/>
      <c r="G16" s="136"/>
      <c r="H16" s="136"/>
      <c r="I16" s="119"/>
      <c r="J16" s="119"/>
      <c r="K16" s="243"/>
      <c r="L16" s="243"/>
      <c r="M16" s="243"/>
      <c r="N16" s="243"/>
      <c r="O16" s="244"/>
    </row>
    <row r="17" spans="1:17" ht="27.75" customHeight="1" thickBot="1">
      <c r="A17" s="141" t="s">
        <v>112</v>
      </c>
      <c r="B17" s="251" t="s">
        <v>113</v>
      </c>
      <c r="C17" s="252"/>
      <c r="D17" s="252"/>
      <c r="E17" s="252"/>
      <c r="F17" s="252"/>
      <c r="G17" s="253"/>
      <c r="H17" s="142" t="s">
        <v>114</v>
      </c>
      <c r="I17" s="143" t="s">
        <v>115</v>
      </c>
      <c r="J17" s="254" t="s">
        <v>116</v>
      </c>
      <c r="K17" s="255"/>
      <c r="L17" s="255"/>
      <c r="M17" s="256"/>
      <c r="N17" s="251" t="s">
        <v>117</v>
      </c>
      <c r="O17" s="257"/>
    </row>
    <row r="18" spans="1:17" ht="28.5" customHeight="1">
      <c r="A18" s="144">
        <v>1</v>
      </c>
      <c r="B18" s="245" t="s">
        <v>118</v>
      </c>
      <c r="C18" s="246"/>
      <c r="D18" s="246"/>
      <c r="E18" s="246"/>
      <c r="F18" s="246"/>
      <c r="G18" s="247"/>
      <c r="H18" s="177">
        <v>1</v>
      </c>
      <c r="I18" s="178" t="s">
        <v>0</v>
      </c>
      <c r="J18" s="248">
        <f>IFERROR(LOOKUP(2, 1/(TRIM('내역서(표준단가)'!O4:O100)&lt;&gt;""), '내역서(표준단가)'!O4:O100), "-")</f>
        <v>831600</v>
      </c>
      <c r="K18" s="248"/>
      <c r="L18" s="248"/>
      <c r="M18" s="248"/>
      <c r="N18" s="249"/>
      <c r="O18" s="250"/>
    </row>
    <row r="19" spans="1:17" ht="28.5" customHeight="1">
      <c r="A19" s="145">
        <v>2</v>
      </c>
      <c r="B19" s="225" t="s">
        <v>119</v>
      </c>
      <c r="C19" s="226"/>
      <c r="D19" s="226"/>
      <c r="E19" s="226"/>
      <c r="F19" s="226"/>
      <c r="G19" s="227"/>
      <c r="H19" s="179">
        <v>1</v>
      </c>
      <c r="I19" s="179" t="s">
        <v>0</v>
      </c>
      <c r="J19" s="228">
        <f>IFERROR(LOOKUP(2, 1/(TRIM('내역서(표준단가)'!Q4:Q100)&lt;&gt;""), '내역서(표준단가)'!Q4:Q100), "-")</f>
        <v>438719</v>
      </c>
      <c r="K19" s="229"/>
      <c r="L19" s="229"/>
      <c r="M19" s="230"/>
      <c r="N19" s="231"/>
      <c r="O19" s="232"/>
    </row>
    <row r="20" spans="1:17" ht="28.5" customHeight="1">
      <c r="A20" s="145">
        <v>3</v>
      </c>
      <c r="B20" s="233" t="s">
        <v>120</v>
      </c>
      <c r="C20" s="234"/>
      <c r="D20" s="234"/>
      <c r="E20" s="234"/>
      <c r="F20" s="234"/>
      <c r="G20" s="235"/>
      <c r="H20" s="146">
        <v>1</v>
      </c>
      <c r="I20" s="146" t="s">
        <v>0</v>
      </c>
      <c r="J20" s="236">
        <f>IFERROR(SUM(J21:M29),"-")</f>
        <v>96865.382967224985</v>
      </c>
      <c r="K20" s="237"/>
      <c r="L20" s="237"/>
      <c r="M20" s="238"/>
      <c r="N20" s="239"/>
      <c r="O20" s="240"/>
      <c r="P20" s="147"/>
    </row>
    <row r="21" spans="1:17" ht="28.5" customHeight="1">
      <c r="A21" s="144"/>
      <c r="B21" s="148"/>
      <c r="C21" s="217" t="s">
        <v>121</v>
      </c>
      <c r="D21" s="218"/>
      <c r="E21" s="218"/>
      <c r="F21" s="218"/>
      <c r="G21" s="219"/>
      <c r="H21" s="180">
        <v>1</v>
      </c>
      <c r="I21" s="180" t="s">
        <v>0</v>
      </c>
      <c r="J21" s="220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21"/>
      <c r="L21" s="221"/>
      <c r="M21" s="222"/>
      <c r="N21" s="223" t="s">
        <v>122</v>
      </c>
      <c r="O21" s="224"/>
    </row>
    <row r="22" spans="1:17" ht="28.5" customHeight="1">
      <c r="A22" s="144"/>
      <c r="B22" s="148"/>
      <c r="C22" s="211" t="s">
        <v>123</v>
      </c>
      <c r="D22" s="212"/>
      <c r="E22" s="212"/>
      <c r="F22" s="212"/>
      <c r="G22" s="213"/>
      <c r="H22" s="149">
        <v>3.11</v>
      </c>
      <c r="I22" s="149" t="s">
        <v>124</v>
      </c>
      <c r="J22" s="214">
        <f>IFERROR((J18+J19)*H22%,"-")</f>
        <v>39506.920899999997</v>
      </c>
      <c r="K22" s="215"/>
      <c r="L22" s="215"/>
      <c r="M22" s="216"/>
      <c r="N22" s="207" t="s">
        <v>125</v>
      </c>
      <c r="O22" s="208"/>
    </row>
    <row r="23" spans="1:17" ht="28.5" customHeight="1">
      <c r="A23" s="144"/>
      <c r="B23" s="148"/>
      <c r="C23" s="211" t="s">
        <v>126</v>
      </c>
      <c r="D23" s="212"/>
      <c r="E23" s="212"/>
      <c r="F23" s="212"/>
      <c r="G23" s="213"/>
      <c r="H23" s="149">
        <v>3.56</v>
      </c>
      <c r="I23" s="149" t="s">
        <v>127</v>
      </c>
      <c r="J23" s="214">
        <f>IFERROR(J19*H23%,"-")</f>
        <v>15618.3964</v>
      </c>
      <c r="K23" s="215"/>
      <c r="L23" s="215"/>
      <c r="M23" s="216"/>
      <c r="N23" s="207" t="s">
        <v>128</v>
      </c>
      <c r="O23" s="208"/>
    </row>
    <row r="24" spans="1:17" ht="28.5" customHeight="1">
      <c r="A24" s="144"/>
      <c r="B24" s="148"/>
      <c r="C24" s="211" t="s">
        <v>129</v>
      </c>
      <c r="D24" s="212"/>
      <c r="E24" s="212"/>
      <c r="F24" s="212"/>
      <c r="G24" s="213"/>
      <c r="H24" s="149">
        <v>1.01</v>
      </c>
      <c r="I24" s="149" t="s">
        <v>127</v>
      </c>
      <c r="J24" s="214">
        <f>IFERROR(J19*H24%,"-")</f>
        <v>4431.0618999999997</v>
      </c>
      <c r="K24" s="215"/>
      <c r="L24" s="215"/>
      <c r="M24" s="216"/>
      <c r="N24" s="207" t="s">
        <v>130</v>
      </c>
      <c r="O24" s="208"/>
    </row>
    <row r="25" spans="1:17" ht="28.5" customHeight="1">
      <c r="A25" s="144"/>
      <c r="B25" s="148"/>
      <c r="C25" s="211" t="s">
        <v>131</v>
      </c>
      <c r="D25" s="212"/>
      <c r="E25" s="212"/>
      <c r="F25" s="212"/>
      <c r="G25" s="213"/>
      <c r="H25" s="150">
        <v>3.5449999999999999</v>
      </c>
      <c r="I25" s="149" t="s">
        <v>127</v>
      </c>
      <c r="J25" s="214">
        <f>IFERROR(J19*H25%,"-")</f>
        <v>15552.58855</v>
      </c>
      <c r="K25" s="215"/>
      <c r="L25" s="215"/>
      <c r="M25" s="216"/>
      <c r="N25" s="207" t="s">
        <v>132</v>
      </c>
      <c r="O25" s="208"/>
      <c r="Q25" s="147"/>
    </row>
    <row r="26" spans="1:17" ht="28.5" customHeight="1">
      <c r="A26" s="144"/>
      <c r="B26" s="148"/>
      <c r="C26" s="211" t="s">
        <v>133</v>
      </c>
      <c r="D26" s="212"/>
      <c r="E26" s="212"/>
      <c r="F26" s="212"/>
      <c r="G26" s="213"/>
      <c r="H26" s="149">
        <v>4.5</v>
      </c>
      <c r="I26" s="149" t="s">
        <v>127</v>
      </c>
      <c r="J26" s="214">
        <f>IFERROR(J19*H26%,"-")</f>
        <v>19742.355</v>
      </c>
      <c r="K26" s="215"/>
      <c r="L26" s="215"/>
      <c r="M26" s="216"/>
      <c r="N26" s="207" t="s">
        <v>134</v>
      </c>
      <c r="O26" s="208"/>
      <c r="Q26" s="151"/>
    </row>
    <row r="27" spans="1:17" ht="28.5" customHeight="1">
      <c r="A27" s="144"/>
      <c r="B27" s="148"/>
      <c r="C27" s="201" t="s">
        <v>135</v>
      </c>
      <c r="D27" s="202"/>
      <c r="E27" s="202"/>
      <c r="F27" s="202"/>
      <c r="G27" s="203"/>
      <c r="H27" s="152">
        <v>12.95</v>
      </c>
      <c r="I27" s="153" t="s">
        <v>127</v>
      </c>
      <c r="J27" s="204">
        <f>IFERROR($H$27*J25%,"-")</f>
        <v>2014.0602172250001</v>
      </c>
      <c r="K27" s="205"/>
      <c r="L27" s="205"/>
      <c r="M27" s="206"/>
      <c r="N27" s="207" t="s">
        <v>136</v>
      </c>
      <c r="O27" s="208"/>
    </row>
    <row r="28" spans="1:17" ht="28.5" customHeight="1">
      <c r="A28" s="144"/>
      <c r="B28" s="148"/>
      <c r="C28" s="201" t="s">
        <v>137</v>
      </c>
      <c r="D28" s="202"/>
      <c r="E28" s="202"/>
      <c r="F28" s="202"/>
      <c r="G28" s="203"/>
      <c r="H28" s="152">
        <v>8.1000000000000003E-2</v>
      </c>
      <c r="I28" s="153" t="s">
        <v>127</v>
      </c>
      <c r="J28" s="204" t="str">
        <f>IFERROR(IF(SUM(J21:J27,J18:J19)&gt;=10000000,SUM(J21:J27,J18:J19)*H28%,"-"),"-")</f>
        <v>-</v>
      </c>
      <c r="K28" s="205"/>
      <c r="L28" s="205"/>
      <c r="M28" s="206"/>
      <c r="N28" s="209" t="s">
        <v>138</v>
      </c>
      <c r="O28" s="210"/>
    </row>
    <row r="29" spans="1:17" ht="28.5" customHeight="1">
      <c r="A29" s="154"/>
      <c r="B29" s="155"/>
      <c r="C29" s="181" t="s">
        <v>139</v>
      </c>
      <c r="D29" s="182"/>
      <c r="E29" s="182"/>
      <c r="F29" s="182"/>
      <c r="G29" s="183"/>
      <c r="H29" s="156">
        <v>1</v>
      </c>
      <c r="I29" s="157" t="s">
        <v>140</v>
      </c>
      <c r="J29" s="184">
        <f>34*0</f>
        <v>0</v>
      </c>
      <c r="K29" s="185"/>
      <c r="L29" s="185"/>
      <c r="M29" s="186"/>
      <c r="N29" s="187" t="s">
        <v>141</v>
      </c>
      <c r="O29" s="188"/>
    </row>
    <row r="30" spans="1:17" ht="28.5" customHeight="1">
      <c r="A30" s="154">
        <v>4</v>
      </c>
      <c r="B30" s="155"/>
      <c r="C30" s="181" t="s">
        <v>142</v>
      </c>
      <c r="D30" s="182"/>
      <c r="E30" s="182"/>
      <c r="F30" s="182"/>
      <c r="G30" s="183"/>
      <c r="H30" s="157">
        <v>5</v>
      </c>
      <c r="I30" s="158" t="s">
        <v>143</v>
      </c>
      <c r="J30" s="194">
        <f>IFERROR(IF(ISNUMBER(H30), SUM(J18:M20) * (H30 / 100), "-"), "-")</f>
        <v>68359.219148361255</v>
      </c>
      <c r="K30" s="195"/>
      <c r="L30" s="195"/>
      <c r="M30" s="196"/>
      <c r="N30" s="197" t="s">
        <v>144</v>
      </c>
      <c r="O30" s="198"/>
    </row>
    <row r="31" spans="1:17" ht="28.5" customHeight="1" thickBot="1">
      <c r="A31" s="154">
        <v>5</v>
      </c>
      <c r="B31" s="155"/>
      <c r="C31" s="181" t="s">
        <v>145</v>
      </c>
      <c r="D31" s="182"/>
      <c r="E31" s="182"/>
      <c r="F31" s="182"/>
      <c r="G31" s="183"/>
      <c r="H31" s="157">
        <v>7.5</v>
      </c>
      <c r="I31" s="158" t="s">
        <v>127</v>
      </c>
      <c r="J31" s="184">
        <f>IFERROR(SUM(J18:M20, J30) * (H31 / 100), "-")+-32714</f>
        <v>74951.77015866898</v>
      </c>
      <c r="K31" s="185"/>
      <c r="L31" s="185"/>
      <c r="M31" s="186"/>
      <c r="N31" s="199" t="s">
        <v>146</v>
      </c>
      <c r="O31" s="200"/>
      <c r="Q31" s="159"/>
    </row>
    <row r="32" spans="1:17" ht="28.5" customHeight="1" thickBot="1">
      <c r="A32" s="189" t="s">
        <v>147</v>
      </c>
      <c r="B32" s="190"/>
      <c r="C32" s="190"/>
      <c r="D32" s="190"/>
      <c r="E32" s="190"/>
      <c r="F32" s="190"/>
      <c r="G32" s="190"/>
      <c r="H32" s="190"/>
      <c r="I32" s="191"/>
      <c r="J32" s="160"/>
      <c r="K32" s="161"/>
      <c r="L32" s="161"/>
      <c r="M32" s="162">
        <f>IFERROR(ROUNDDOWN(SUM(J18:M20)+J30+J31,0),"-")</f>
        <v>1510495</v>
      </c>
      <c r="N32" s="192"/>
      <c r="O32" s="193"/>
      <c r="P32" s="163"/>
    </row>
    <row r="33" spans="1:15">
      <c r="A33" s="164" t="s">
        <v>148</v>
      </c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6"/>
    </row>
    <row r="34" spans="1:15">
      <c r="A34" s="16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6"/>
    </row>
    <row r="35" spans="1:15">
      <c r="A35" s="16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6"/>
    </row>
    <row r="36" spans="1:15">
      <c r="A36" s="167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6"/>
    </row>
    <row r="37" spans="1:15" ht="15.75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9"/>
    </row>
    <row r="38" spans="1:15" ht="15.75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9"/>
    </row>
    <row r="39" spans="1:15" ht="15.75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9"/>
    </row>
    <row r="40" spans="1:15" ht="15" thickBot="1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2"/>
    </row>
    <row r="42" spans="1:15">
      <c r="M42" s="159"/>
    </row>
    <row r="43" spans="1:15">
      <c r="M43" s="15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X1148"/>
  <sheetViews>
    <sheetView zoomScale="115" zoomScaleNormal="115" workbookViewId="0">
      <pane ySplit="5" topLeftCell="A6" activePane="bottomLeft" state="frozen"/>
      <selection activeCell="D31" sqref="D31"/>
      <selection pane="bottomLeft" activeCell="A11" sqref="A11"/>
    </sheetView>
  </sheetViews>
  <sheetFormatPr defaultRowHeight="12" customHeight="1"/>
  <cols>
    <col min="1" max="1" width="17.75" style="100" customWidth="1"/>
    <col min="2" max="8" width="17.75" style="100" hidden="1" customWidth="1"/>
    <col min="9" max="9" width="16.625" style="100" customWidth="1"/>
    <col min="10" max="10" width="22.375" style="102" customWidth="1"/>
    <col min="11" max="11" width="26" style="102" customWidth="1"/>
    <col min="12" max="12" width="6.125" style="103" customWidth="1"/>
    <col min="13" max="13" width="5.125" style="104" customWidth="1"/>
    <col min="14" max="14" width="11" style="98" customWidth="1"/>
    <col min="15" max="15" width="9.875" style="104" customWidth="1"/>
    <col min="16" max="16" width="11" style="104" customWidth="1"/>
    <col min="17" max="17" width="9.75" style="104" customWidth="1"/>
    <col min="18" max="21" width="11.75" style="100" hidden="1" customWidth="1"/>
    <col min="22" max="22" width="12.75" style="100" customWidth="1"/>
    <col min="23" max="23" width="11.75" style="105" customWidth="1"/>
    <col min="24" max="24" width="18.75" style="102" customWidth="1"/>
    <col min="25" max="16384" width="9" style="100"/>
  </cols>
  <sheetData>
    <row r="1" spans="1:24" s="71" customFormat="1" ht="12" customHeight="1">
      <c r="A1" s="67"/>
      <c r="B1" s="67"/>
      <c r="C1" s="67"/>
      <c r="D1" s="67"/>
      <c r="E1" s="67"/>
      <c r="F1" s="67"/>
      <c r="G1" s="67"/>
      <c r="H1" s="67"/>
      <c r="I1" s="67"/>
      <c r="J1" s="68"/>
      <c r="K1" s="68"/>
      <c r="L1" s="69"/>
      <c r="M1" s="70"/>
      <c r="N1" s="70"/>
      <c r="O1" s="70"/>
      <c r="P1" s="70"/>
      <c r="Q1" s="70"/>
      <c r="W1" s="72"/>
      <c r="X1" s="68"/>
    </row>
    <row r="2" spans="1:24" s="78" customFormat="1" ht="12" customHeight="1">
      <c r="A2" s="73"/>
      <c r="B2" s="73"/>
      <c r="C2" s="73"/>
      <c r="D2" s="73"/>
      <c r="E2" s="73"/>
      <c r="F2" s="73"/>
      <c r="G2" s="73"/>
      <c r="H2" s="73"/>
      <c r="I2" s="73"/>
      <c r="J2" s="74"/>
      <c r="K2" s="74"/>
      <c r="L2" s="75"/>
      <c r="M2" s="76"/>
      <c r="N2" s="70"/>
      <c r="O2" s="77" t="s">
        <v>52</v>
      </c>
      <c r="Q2" s="77" t="s">
        <v>52</v>
      </c>
      <c r="S2" s="77" t="s">
        <v>52</v>
      </c>
      <c r="U2" s="77" t="s">
        <v>52</v>
      </c>
      <c r="W2" s="79" t="s">
        <v>40</v>
      </c>
    </row>
    <row r="3" spans="1:24" s="78" customFormat="1" ht="12" customHeight="1">
      <c r="A3" s="80" t="s">
        <v>53</v>
      </c>
      <c r="B3" s="80"/>
      <c r="C3" s="80"/>
      <c r="D3" s="80"/>
      <c r="E3" s="80"/>
      <c r="F3" s="80"/>
      <c r="G3" s="80"/>
      <c r="H3" s="80"/>
      <c r="I3" s="80"/>
      <c r="J3" s="81" t="e">
        <f>#REF!</f>
        <v>#REF!</v>
      </c>
      <c r="K3" s="74"/>
      <c r="L3" s="75"/>
      <c r="M3" s="76"/>
      <c r="N3" s="70"/>
      <c r="O3" s="82">
        <v>0.83</v>
      </c>
      <c r="Q3" s="82">
        <v>0.4</v>
      </c>
      <c r="S3" s="82">
        <v>0.6</v>
      </c>
      <c r="U3" s="82">
        <v>0.6</v>
      </c>
      <c r="W3" s="82">
        <v>1</v>
      </c>
      <c r="X3" s="83" t="s">
        <v>41</v>
      </c>
    </row>
    <row r="4" spans="1:24" s="90" customFormat="1" ht="12" customHeight="1">
      <c r="A4" s="290" t="s">
        <v>54</v>
      </c>
      <c r="B4" s="84"/>
      <c r="C4" s="84"/>
      <c r="D4" s="84"/>
      <c r="E4" s="84"/>
      <c r="F4" s="84"/>
      <c r="G4" s="84"/>
      <c r="H4" s="84"/>
      <c r="I4" s="84"/>
      <c r="J4" s="85" t="s">
        <v>55</v>
      </c>
      <c r="K4" s="85"/>
      <c r="L4" s="292" t="s">
        <v>56</v>
      </c>
      <c r="M4" s="293" t="s">
        <v>57</v>
      </c>
      <c r="N4" s="294" t="s">
        <v>58</v>
      </c>
      <c r="O4" s="295"/>
      <c r="P4" s="294" t="s">
        <v>59</v>
      </c>
      <c r="Q4" s="294"/>
      <c r="R4" s="289" t="s">
        <v>60</v>
      </c>
      <c r="S4" s="289"/>
      <c r="T4" s="289" t="s">
        <v>61</v>
      </c>
      <c r="U4" s="289"/>
      <c r="V4" s="290" t="s">
        <v>62</v>
      </c>
      <c r="W4" s="291" t="s">
        <v>5</v>
      </c>
      <c r="X4" s="290"/>
    </row>
    <row r="5" spans="1:24" s="90" customFormat="1" ht="12" customHeight="1">
      <c r="A5" s="290"/>
      <c r="B5" s="84"/>
      <c r="C5" s="84"/>
      <c r="D5" s="84"/>
      <c r="E5" s="84"/>
      <c r="F5" s="84"/>
      <c r="G5" s="84"/>
      <c r="H5" s="84"/>
      <c r="I5" s="84"/>
      <c r="J5" s="86" t="s">
        <v>63</v>
      </c>
      <c r="K5" s="86" t="s">
        <v>64</v>
      </c>
      <c r="L5" s="292"/>
      <c r="M5" s="293"/>
      <c r="N5" s="87" t="s">
        <v>65</v>
      </c>
      <c r="O5" s="88" t="s">
        <v>66</v>
      </c>
      <c r="P5" s="87" t="s">
        <v>67</v>
      </c>
      <c r="Q5" s="87" t="s">
        <v>66</v>
      </c>
      <c r="R5" s="89" t="s">
        <v>68</v>
      </c>
      <c r="S5" s="89" t="s">
        <v>66</v>
      </c>
      <c r="T5" s="89" t="s">
        <v>68</v>
      </c>
      <c r="U5" s="89" t="s">
        <v>66</v>
      </c>
      <c r="V5" s="290"/>
      <c r="W5" s="84" t="s">
        <v>69</v>
      </c>
      <c r="X5" s="91" t="s">
        <v>4</v>
      </c>
    </row>
    <row r="6" spans="1:24" s="58" customFormat="1" ht="12" customHeight="1">
      <c r="A6" s="106" t="s">
        <v>77</v>
      </c>
      <c r="B6" s="106"/>
      <c r="C6" s="106"/>
      <c r="D6" s="106"/>
      <c r="E6" s="106"/>
      <c r="F6" s="106"/>
      <c r="G6" s="106"/>
      <c r="H6" s="106"/>
      <c r="I6" s="61" t="s">
        <v>82</v>
      </c>
      <c r="J6" s="61" t="s">
        <v>78</v>
      </c>
      <c r="K6" s="61" t="s">
        <v>80</v>
      </c>
      <c r="L6" s="61" t="s">
        <v>20</v>
      </c>
      <c r="M6" s="62">
        <v>9</v>
      </c>
      <c r="N6" s="62">
        <v>70400</v>
      </c>
      <c r="O6" s="54">
        <f>M6*N6</f>
        <v>633600</v>
      </c>
      <c r="P6" s="60"/>
      <c r="Q6" s="59"/>
      <c r="R6" s="54"/>
      <c r="S6" s="54"/>
      <c r="T6" s="54"/>
      <c r="U6" s="54"/>
      <c r="V6" s="59">
        <f t="shared" ref="V6:V7" si="0">SUM(O6+Q6)+S6+U6</f>
        <v>633600</v>
      </c>
      <c r="W6" s="66"/>
      <c r="X6" s="57" t="s">
        <v>72</v>
      </c>
    </row>
    <row r="7" spans="1:24" s="58" customFormat="1" ht="12" customHeight="1">
      <c r="A7" s="65" t="s">
        <v>77</v>
      </c>
      <c r="B7" s="65"/>
      <c r="C7" s="65"/>
      <c r="D7" s="65"/>
      <c r="E7" s="65"/>
      <c r="F7" s="65"/>
      <c r="G7" s="65"/>
      <c r="H7" s="65"/>
      <c r="I7" s="63" t="s">
        <v>71</v>
      </c>
      <c r="J7" s="63" t="s">
        <v>78</v>
      </c>
      <c r="K7" s="63" t="s">
        <v>79</v>
      </c>
      <c r="L7" s="63" t="s">
        <v>20</v>
      </c>
      <c r="M7" s="59">
        <v>3</v>
      </c>
      <c r="N7" s="64">
        <v>66000</v>
      </c>
      <c r="O7" s="54">
        <f>M7*N7</f>
        <v>198000</v>
      </c>
      <c r="P7" s="60"/>
      <c r="Q7" s="59"/>
      <c r="R7" s="54"/>
      <c r="S7" s="54"/>
      <c r="T7" s="54"/>
      <c r="U7" s="54"/>
      <c r="V7" s="59">
        <f t="shared" si="0"/>
        <v>198000</v>
      </c>
      <c r="W7" s="66"/>
      <c r="X7" s="57" t="s">
        <v>73</v>
      </c>
    </row>
    <row r="8" spans="1:24" s="58" customFormat="1" ht="12" customHeight="1">
      <c r="A8" s="55" t="s">
        <v>51</v>
      </c>
      <c r="B8" s="55"/>
      <c r="C8" s="55"/>
      <c r="D8" s="55"/>
      <c r="E8" s="55"/>
      <c r="F8" s="55"/>
      <c r="G8" s="55"/>
      <c r="H8" s="55"/>
      <c r="I8" s="56"/>
      <c r="J8" s="92" t="s">
        <v>47</v>
      </c>
      <c r="K8" s="92" t="s">
        <v>50</v>
      </c>
      <c r="L8" s="92" t="s">
        <v>70</v>
      </c>
      <c r="M8" s="59">
        <v>1</v>
      </c>
      <c r="N8" s="54"/>
      <c r="O8" s="54"/>
      <c r="P8" s="54">
        <v>169804</v>
      </c>
      <c r="Q8" s="59">
        <f>IF(W8="",M8*P8*$W$3,M8*P8*W8)</f>
        <v>169804</v>
      </c>
      <c r="R8" s="54"/>
      <c r="S8" s="54"/>
      <c r="T8" s="54"/>
      <c r="U8" s="54"/>
      <c r="V8" s="59">
        <f t="shared" ref="V8:V9" si="1">SUM(O8+Q8)+S8+U8</f>
        <v>169804</v>
      </c>
      <c r="W8" s="66"/>
      <c r="X8" s="57"/>
    </row>
    <row r="9" spans="1:24" s="58" customFormat="1" ht="12" customHeight="1">
      <c r="A9" s="55" t="s">
        <v>48</v>
      </c>
      <c r="B9" s="55"/>
      <c r="C9" s="55"/>
      <c r="D9" s="55"/>
      <c r="E9" s="55"/>
      <c r="F9" s="55"/>
      <c r="G9" s="55"/>
      <c r="H9" s="55"/>
      <c r="I9" s="56"/>
      <c r="J9" s="92" t="s">
        <v>49</v>
      </c>
      <c r="K9" s="92" t="s">
        <v>50</v>
      </c>
      <c r="L9" s="92" t="s">
        <v>70</v>
      </c>
      <c r="M9" s="59">
        <v>1</v>
      </c>
      <c r="N9" s="54"/>
      <c r="O9" s="54"/>
      <c r="P9" s="54">
        <v>268915</v>
      </c>
      <c r="Q9" s="59">
        <f>IF(W9="",M9*P9*$W$3,M9*P9*W9)</f>
        <v>268915</v>
      </c>
      <c r="R9" s="54"/>
      <c r="S9" s="54"/>
      <c r="T9" s="54"/>
      <c r="U9" s="54"/>
      <c r="V9" s="59">
        <f t="shared" si="1"/>
        <v>268915</v>
      </c>
      <c r="W9" s="66"/>
      <c r="X9" s="57"/>
    </row>
    <row r="10" spans="1:24" s="58" customFormat="1" ht="12" customHeight="1">
      <c r="A10" s="55"/>
      <c r="B10" s="55"/>
      <c r="C10" s="55"/>
      <c r="D10" s="55"/>
      <c r="E10" s="55"/>
      <c r="F10" s="55"/>
      <c r="G10" s="55"/>
      <c r="H10" s="55"/>
      <c r="I10" s="55"/>
      <c r="J10" s="57"/>
      <c r="K10" s="57"/>
      <c r="L10" s="92"/>
      <c r="M10" s="59" t="s">
        <v>42</v>
      </c>
      <c r="N10" s="54"/>
      <c r="O10" s="54"/>
      <c r="P10" s="54"/>
      <c r="Q10" s="55"/>
      <c r="R10" s="93"/>
      <c r="S10" s="93"/>
      <c r="T10" s="93"/>
      <c r="U10" s="93"/>
      <c r="V10" s="55"/>
      <c r="W10" s="66"/>
      <c r="X10" s="57"/>
    </row>
    <row r="11" spans="1:24" ht="12" customHeight="1">
      <c r="A11" s="94"/>
      <c r="B11" s="94"/>
      <c r="C11" s="94"/>
      <c r="D11" s="94"/>
      <c r="E11" s="94"/>
      <c r="F11" s="94"/>
      <c r="G11" s="94"/>
      <c r="H11" s="94"/>
      <c r="I11" s="94"/>
      <c r="J11" s="95"/>
      <c r="K11" s="96" t="s">
        <v>43</v>
      </c>
      <c r="L11" s="97"/>
      <c r="M11" s="98" t="s">
        <v>42</v>
      </c>
      <c r="N11" s="99" t="s">
        <v>45</v>
      </c>
      <c r="O11" s="99">
        <f>SUM(O6:O9)</f>
        <v>831600</v>
      </c>
      <c r="P11" s="99" t="s">
        <v>46</v>
      </c>
      <c r="Q11" s="99">
        <f>SUM(Q6:Q9)</f>
        <v>438719</v>
      </c>
      <c r="V11" s="99"/>
      <c r="W11" s="101"/>
      <c r="X11" s="95"/>
    </row>
    <row r="12" spans="1:24" ht="12" customHeight="1">
      <c r="N12" s="104"/>
    </row>
    <row r="13" spans="1:24" ht="12" customHeight="1">
      <c r="N13" s="104"/>
    </row>
    <row r="14" spans="1:24" ht="12" customHeight="1">
      <c r="N14" s="104"/>
    </row>
    <row r="15" spans="1:24" ht="12" customHeight="1">
      <c r="N15" s="104"/>
    </row>
    <row r="16" spans="1:24" ht="12" customHeight="1">
      <c r="N16" s="104"/>
    </row>
    <row r="17" spans="14:14" ht="12" customHeight="1">
      <c r="N17" s="104"/>
    </row>
    <row r="18" spans="14:14" ht="12" customHeight="1">
      <c r="N18" s="104"/>
    </row>
    <row r="19" spans="14:14" ht="12" customHeight="1">
      <c r="N19" s="104"/>
    </row>
    <row r="20" spans="14:14" ht="12" customHeight="1">
      <c r="N20" s="104"/>
    </row>
    <row r="21" spans="14:14" ht="12" customHeight="1">
      <c r="N21" s="104"/>
    </row>
    <row r="22" spans="14:14" ht="12" customHeight="1">
      <c r="N22" s="104"/>
    </row>
    <row r="23" spans="14:14" ht="12" customHeight="1">
      <c r="N23" s="104"/>
    </row>
    <row r="24" spans="14:14" ht="12" customHeight="1">
      <c r="N24" s="104"/>
    </row>
    <row r="25" spans="14:14" ht="12" customHeight="1">
      <c r="N25" s="104"/>
    </row>
    <row r="26" spans="14:14" ht="12" customHeight="1">
      <c r="N26" s="104"/>
    </row>
    <row r="27" spans="14:14" ht="12" customHeight="1">
      <c r="N27" s="104"/>
    </row>
    <row r="28" spans="14:14" ht="12" customHeight="1">
      <c r="N28" s="104"/>
    </row>
    <row r="29" spans="14:14" ht="12" customHeight="1">
      <c r="N29" s="104"/>
    </row>
    <row r="30" spans="14:14" ht="12" customHeight="1">
      <c r="N30" s="104"/>
    </row>
    <row r="31" spans="14:14" ht="12" customHeight="1">
      <c r="N31" s="104"/>
    </row>
    <row r="32" spans="14:14" ht="12" customHeight="1">
      <c r="N32" s="104"/>
    </row>
    <row r="33" spans="14:14" ht="12" customHeight="1">
      <c r="N33" s="104"/>
    </row>
    <row r="34" spans="14:14" ht="12" customHeight="1">
      <c r="N34" s="104"/>
    </row>
    <row r="35" spans="14:14" ht="12" customHeight="1">
      <c r="N35" s="104"/>
    </row>
    <row r="36" spans="14:14" ht="12" customHeight="1">
      <c r="N36" s="104"/>
    </row>
    <row r="37" spans="14:14" ht="12" customHeight="1">
      <c r="N37" s="104"/>
    </row>
    <row r="38" spans="14:14" ht="12" customHeight="1">
      <c r="N38" s="104"/>
    </row>
    <row r="39" spans="14:14" ht="12" customHeight="1">
      <c r="N39" s="104"/>
    </row>
    <row r="40" spans="14:14" ht="12" customHeight="1">
      <c r="N40" s="104"/>
    </row>
    <row r="41" spans="14:14" ht="12" customHeight="1">
      <c r="N41" s="104"/>
    </row>
    <row r="42" spans="14:14" ht="12" customHeight="1">
      <c r="N42" s="104"/>
    </row>
    <row r="43" spans="14:14" ht="12" customHeight="1">
      <c r="N43" s="104"/>
    </row>
    <row r="44" spans="14:14" ht="12" customHeight="1">
      <c r="N44" s="104"/>
    </row>
    <row r="45" spans="14:14" ht="12" customHeight="1">
      <c r="N45" s="104"/>
    </row>
    <row r="46" spans="14:14" ht="12" customHeight="1">
      <c r="N46" s="104"/>
    </row>
    <row r="47" spans="14:14" ht="12" customHeight="1">
      <c r="N47" s="104"/>
    </row>
    <row r="48" spans="14:14" ht="12" customHeight="1">
      <c r="N48" s="104"/>
    </row>
    <row r="49" spans="14:14" ht="12" customHeight="1">
      <c r="N49" s="104"/>
    </row>
    <row r="50" spans="14:14" ht="12" customHeight="1">
      <c r="N50" s="104"/>
    </row>
    <row r="51" spans="14:14" ht="12" customHeight="1">
      <c r="N51" s="104"/>
    </row>
    <row r="52" spans="14:14" ht="12" customHeight="1">
      <c r="N52" s="104"/>
    </row>
    <row r="53" spans="14:14" ht="12" customHeight="1">
      <c r="N53" s="104"/>
    </row>
    <row r="54" spans="14:14" ht="12" customHeight="1">
      <c r="N54" s="104"/>
    </row>
    <row r="55" spans="14:14" ht="12" customHeight="1">
      <c r="N55" s="104"/>
    </row>
    <row r="56" spans="14:14" ht="12" customHeight="1">
      <c r="N56" s="104"/>
    </row>
    <row r="57" spans="14:14" ht="12" customHeight="1">
      <c r="N57" s="104"/>
    </row>
    <row r="58" spans="14:14" ht="12" customHeight="1">
      <c r="N58" s="104"/>
    </row>
    <row r="59" spans="14:14" ht="12" customHeight="1">
      <c r="N59" s="104"/>
    </row>
    <row r="60" spans="14:14" ht="12" customHeight="1">
      <c r="N60" s="104"/>
    </row>
    <row r="61" spans="14:14" ht="12" customHeight="1">
      <c r="N61" s="104"/>
    </row>
    <row r="62" spans="14:14" ht="12" customHeight="1">
      <c r="N62" s="104"/>
    </row>
    <row r="63" spans="14:14" ht="12" customHeight="1">
      <c r="N63" s="104"/>
    </row>
    <row r="64" spans="14:14" ht="12" customHeight="1">
      <c r="N64" s="104"/>
    </row>
    <row r="65" spans="14:14" ht="12" customHeight="1">
      <c r="N65" s="104"/>
    </row>
    <row r="66" spans="14:14" ht="12" customHeight="1">
      <c r="N66" s="104"/>
    </row>
    <row r="67" spans="14:14" ht="12" customHeight="1">
      <c r="N67" s="104"/>
    </row>
    <row r="68" spans="14:14" ht="12" customHeight="1">
      <c r="N68" s="104"/>
    </row>
    <row r="69" spans="14:14" ht="12" customHeight="1">
      <c r="N69" s="104"/>
    </row>
    <row r="70" spans="14:14" ht="12" customHeight="1">
      <c r="N70" s="104"/>
    </row>
    <row r="71" spans="14:14" ht="12" customHeight="1">
      <c r="N71" s="104"/>
    </row>
    <row r="72" spans="14:14" ht="12" customHeight="1">
      <c r="N72" s="104"/>
    </row>
    <row r="73" spans="14:14" ht="12" customHeight="1">
      <c r="N73" s="104"/>
    </row>
    <row r="74" spans="14:14" ht="12" customHeight="1">
      <c r="N74" s="104"/>
    </row>
    <row r="75" spans="14:14" ht="12" customHeight="1">
      <c r="N75" s="104"/>
    </row>
    <row r="76" spans="14:14" ht="12" customHeight="1">
      <c r="N76" s="104"/>
    </row>
    <row r="77" spans="14:14" ht="12" customHeight="1">
      <c r="N77" s="104"/>
    </row>
    <row r="78" spans="14:14" ht="12" customHeight="1">
      <c r="N78" s="104"/>
    </row>
    <row r="79" spans="14:14" ht="12" customHeight="1">
      <c r="N79" s="104"/>
    </row>
    <row r="80" spans="14:14" ht="12" customHeight="1">
      <c r="N80" s="104"/>
    </row>
    <row r="81" spans="14:14" ht="12" customHeight="1">
      <c r="N81" s="104"/>
    </row>
    <row r="82" spans="14:14" ht="12" customHeight="1">
      <c r="N82" s="104"/>
    </row>
    <row r="83" spans="14:14" ht="12" customHeight="1">
      <c r="N83" s="104"/>
    </row>
    <row r="84" spans="14:14" ht="12" customHeight="1">
      <c r="N84" s="104"/>
    </row>
    <row r="85" spans="14:14" ht="12" customHeight="1">
      <c r="N85" s="104"/>
    </row>
    <row r="86" spans="14:14" ht="12" customHeight="1">
      <c r="N86" s="104"/>
    </row>
    <row r="87" spans="14:14" ht="12" customHeight="1">
      <c r="N87" s="104"/>
    </row>
    <row r="88" spans="14:14" ht="12" customHeight="1">
      <c r="N88" s="104"/>
    </row>
    <row r="89" spans="14:14" ht="12" customHeight="1">
      <c r="N89" s="104"/>
    </row>
    <row r="90" spans="14:14" ht="12" customHeight="1">
      <c r="N90" s="104"/>
    </row>
    <row r="91" spans="14:14" ht="12" customHeight="1">
      <c r="N91" s="104"/>
    </row>
    <row r="92" spans="14:14" ht="12" customHeight="1">
      <c r="N92" s="104"/>
    </row>
    <row r="93" spans="14:14" ht="12" customHeight="1">
      <c r="N93" s="104"/>
    </row>
    <row r="94" spans="14:14" ht="12" customHeight="1">
      <c r="N94" s="104"/>
    </row>
    <row r="95" spans="14:14" ht="12" customHeight="1">
      <c r="N95" s="104"/>
    </row>
    <row r="96" spans="14:14" ht="12" customHeight="1">
      <c r="N96" s="104"/>
    </row>
    <row r="97" spans="14:14" ht="12" customHeight="1">
      <c r="N97" s="104"/>
    </row>
    <row r="98" spans="14:14" ht="12" customHeight="1">
      <c r="N98" s="104"/>
    </row>
    <row r="99" spans="14:14" ht="12" customHeight="1">
      <c r="N99" s="104"/>
    </row>
    <row r="100" spans="14:14" ht="12" customHeight="1">
      <c r="N100" s="104"/>
    </row>
    <row r="101" spans="14:14" ht="12" customHeight="1">
      <c r="N101" s="104"/>
    </row>
    <row r="102" spans="14:14" ht="12" customHeight="1">
      <c r="N102" s="104"/>
    </row>
    <row r="103" spans="14:14" ht="12" customHeight="1">
      <c r="N103" s="104"/>
    </row>
    <row r="104" spans="14:14" ht="12" customHeight="1">
      <c r="N104" s="104"/>
    </row>
    <row r="105" spans="14:14" ht="12" customHeight="1">
      <c r="N105" s="104"/>
    </row>
    <row r="106" spans="14:14" ht="12" customHeight="1">
      <c r="N106" s="104"/>
    </row>
    <row r="107" spans="14:14" ht="12" customHeight="1">
      <c r="N107" s="104"/>
    </row>
    <row r="108" spans="14:14" ht="12" customHeight="1">
      <c r="N108" s="104"/>
    </row>
    <row r="109" spans="14:14" ht="12" customHeight="1">
      <c r="N109" s="104"/>
    </row>
    <row r="110" spans="14:14" ht="12" customHeight="1">
      <c r="N110" s="104"/>
    </row>
    <row r="111" spans="14:14" ht="12" customHeight="1">
      <c r="N111" s="104"/>
    </row>
    <row r="112" spans="14:14" ht="12" customHeight="1">
      <c r="N112" s="104"/>
    </row>
    <row r="113" spans="14:14" ht="12" customHeight="1">
      <c r="N113" s="104"/>
    </row>
    <row r="114" spans="14:14" ht="12" customHeight="1">
      <c r="N114" s="104"/>
    </row>
    <row r="115" spans="14:14" ht="12" customHeight="1">
      <c r="N115" s="104"/>
    </row>
    <row r="116" spans="14:14" ht="12" customHeight="1">
      <c r="N116" s="104"/>
    </row>
    <row r="117" spans="14:14" ht="12" customHeight="1">
      <c r="N117" s="104"/>
    </row>
    <row r="118" spans="14:14" ht="12" customHeight="1">
      <c r="N118" s="104"/>
    </row>
    <row r="119" spans="14:14" ht="12" customHeight="1">
      <c r="N119" s="104"/>
    </row>
    <row r="120" spans="14:14" ht="12" customHeight="1">
      <c r="N120" s="104"/>
    </row>
    <row r="121" spans="14:14" ht="12" customHeight="1">
      <c r="N121" s="104"/>
    </row>
    <row r="122" spans="14:14" ht="12" customHeight="1">
      <c r="N122" s="104"/>
    </row>
    <row r="123" spans="14:14" ht="12" customHeight="1">
      <c r="N123" s="104"/>
    </row>
    <row r="124" spans="14:14" ht="12" customHeight="1">
      <c r="N124" s="104"/>
    </row>
    <row r="125" spans="14:14" ht="12" customHeight="1">
      <c r="N125" s="104"/>
    </row>
    <row r="126" spans="14:14" ht="12" customHeight="1">
      <c r="N126" s="104"/>
    </row>
    <row r="127" spans="14:14" ht="12" customHeight="1">
      <c r="N127" s="104"/>
    </row>
    <row r="128" spans="14:14" ht="12" customHeight="1">
      <c r="N128" s="104"/>
    </row>
    <row r="129" spans="14:14" ht="12" customHeight="1">
      <c r="N129" s="104"/>
    </row>
    <row r="130" spans="14:14" ht="12" customHeight="1">
      <c r="N130" s="104"/>
    </row>
    <row r="131" spans="14:14" ht="12" customHeight="1">
      <c r="N131" s="104"/>
    </row>
    <row r="132" spans="14:14" ht="12" customHeight="1">
      <c r="N132" s="104"/>
    </row>
    <row r="133" spans="14:14" ht="12" customHeight="1">
      <c r="N133" s="104"/>
    </row>
    <row r="134" spans="14:14" ht="12" customHeight="1">
      <c r="N134" s="104"/>
    </row>
    <row r="135" spans="14:14" ht="12" customHeight="1">
      <c r="N135" s="104"/>
    </row>
    <row r="136" spans="14:14" ht="12" customHeight="1">
      <c r="N136" s="104"/>
    </row>
    <row r="137" spans="14:14" ht="12" customHeight="1">
      <c r="N137" s="104"/>
    </row>
    <row r="138" spans="14:14" ht="12" customHeight="1">
      <c r="N138" s="104"/>
    </row>
    <row r="139" spans="14:14" ht="12" customHeight="1">
      <c r="N139" s="104"/>
    </row>
    <row r="140" spans="14:14" ht="12" customHeight="1">
      <c r="N140" s="104"/>
    </row>
    <row r="141" spans="14:14" ht="12" customHeight="1">
      <c r="N141" s="104"/>
    </row>
    <row r="142" spans="14:14" ht="12" customHeight="1">
      <c r="N142" s="104"/>
    </row>
    <row r="143" spans="14:14" ht="12" customHeight="1">
      <c r="N143" s="104"/>
    </row>
    <row r="144" spans="14:14" ht="12" customHeight="1">
      <c r="N144" s="104"/>
    </row>
    <row r="145" spans="14:14" ht="12" customHeight="1">
      <c r="N145" s="104"/>
    </row>
    <row r="146" spans="14:14" ht="12" customHeight="1">
      <c r="N146" s="104"/>
    </row>
    <row r="147" spans="14:14" ht="12" customHeight="1">
      <c r="N147" s="104"/>
    </row>
    <row r="148" spans="14:14" ht="12" customHeight="1">
      <c r="N148" s="104"/>
    </row>
    <row r="149" spans="14:14" ht="12" customHeight="1">
      <c r="N149" s="104"/>
    </row>
    <row r="150" spans="14:14" ht="12" customHeight="1">
      <c r="N150" s="104"/>
    </row>
    <row r="151" spans="14:14" ht="12" customHeight="1">
      <c r="N151" s="104"/>
    </row>
    <row r="152" spans="14:14" ht="12" customHeight="1">
      <c r="N152" s="104"/>
    </row>
    <row r="153" spans="14:14" ht="12" customHeight="1">
      <c r="N153" s="104"/>
    </row>
    <row r="154" spans="14:14" ht="12" customHeight="1">
      <c r="N154" s="104"/>
    </row>
    <row r="155" spans="14:14" ht="12" customHeight="1">
      <c r="N155" s="104"/>
    </row>
    <row r="156" spans="14:14" ht="12" customHeight="1">
      <c r="N156" s="104"/>
    </row>
    <row r="157" spans="14:14" ht="12" customHeight="1">
      <c r="N157" s="104"/>
    </row>
    <row r="158" spans="14:14" ht="12" customHeight="1">
      <c r="N158" s="104"/>
    </row>
    <row r="159" spans="14:14" ht="12" customHeight="1">
      <c r="N159" s="104"/>
    </row>
    <row r="160" spans="14:14" ht="12" customHeight="1">
      <c r="N160" s="104"/>
    </row>
    <row r="161" spans="14:14" ht="12" customHeight="1">
      <c r="N161" s="104"/>
    </row>
    <row r="162" spans="14:14" ht="12" customHeight="1">
      <c r="N162" s="104"/>
    </row>
    <row r="163" spans="14:14" ht="12" customHeight="1">
      <c r="N163" s="104"/>
    </row>
    <row r="164" spans="14:14" ht="12" customHeight="1">
      <c r="N164" s="104"/>
    </row>
    <row r="165" spans="14:14" ht="12" customHeight="1">
      <c r="N165" s="104"/>
    </row>
    <row r="166" spans="14:14" ht="12" customHeight="1">
      <c r="N166" s="104"/>
    </row>
    <row r="167" spans="14:14" ht="12" customHeight="1">
      <c r="N167" s="104"/>
    </row>
    <row r="168" spans="14:14" ht="12" customHeight="1">
      <c r="N168" s="104"/>
    </row>
    <row r="169" spans="14:14" ht="12" customHeight="1">
      <c r="N169" s="104"/>
    </row>
    <row r="170" spans="14:14" ht="12" customHeight="1">
      <c r="N170" s="104"/>
    </row>
    <row r="171" spans="14:14" ht="12" customHeight="1">
      <c r="N171" s="104"/>
    </row>
    <row r="172" spans="14:14" ht="12" customHeight="1">
      <c r="N172" s="104"/>
    </row>
    <row r="173" spans="14:14" ht="12" customHeight="1">
      <c r="N173" s="104"/>
    </row>
    <row r="174" spans="14:14" ht="12" customHeight="1">
      <c r="N174" s="104"/>
    </row>
    <row r="175" spans="14:14" ht="12" customHeight="1">
      <c r="N175" s="104"/>
    </row>
    <row r="176" spans="14:14" ht="12" customHeight="1">
      <c r="N176" s="104"/>
    </row>
    <row r="177" spans="14:14" ht="12" customHeight="1">
      <c r="N177" s="104"/>
    </row>
    <row r="178" spans="14:14" ht="12" customHeight="1">
      <c r="N178" s="104"/>
    </row>
    <row r="179" spans="14:14" ht="12" customHeight="1">
      <c r="N179" s="104"/>
    </row>
    <row r="180" spans="14:14" ht="12" customHeight="1">
      <c r="N180" s="104"/>
    </row>
    <row r="181" spans="14:14" ht="12" customHeight="1">
      <c r="N181" s="104"/>
    </row>
    <row r="182" spans="14:14" ht="12" customHeight="1">
      <c r="N182" s="104"/>
    </row>
    <row r="183" spans="14:14" ht="12" customHeight="1">
      <c r="N183" s="104"/>
    </row>
    <row r="184" spans="14:14" ht="12" customHeight="1">
      <c r="N184" s="104"/>
    </row>
    <row r="185" spans="14:14" ht="12" customHeight="1">
      <c r="N185" s="104"/>
    </row>
    <row r="186" spans="14:14" ht="12" customHeight="1">
      <c r="N186" s="104"/>
    </row>
    <row r="187" spans="14:14" ht="12" customHeight="1">
      <c r="N187" s="104"/>
    </row>
    <row r="188" spans="14:14" ht="12" customHeight="1">
      <c r="N188" s="104"/>
    </row>
    <row r="189" spans="14:14" ht="12" customHeight="1">
      <c r="N189" s="104"/>
    </row>
    <row r="190" spans="14:14" ht="12" customHeight="1">
      <c r="N190" s="104"/>
    </row>
    <row r="191" spans="14:14" ht="12" customHeight="1">
      <c r="N191" s="104"/>
    </row>
    <row r="192" spans="14:14" ht="12" customHeight="1">
      <c r="N192" s="104"/>
    </row>
    <row r="193" spans="14:14" ht="12" customHeight="1">
      <c r="N193" s="104"/>
    </row>
    <row r="194" spans="14:14" ht="12" customHeight="1">
      <c r="N194" s="104"/>
    </row>
    <row r="195" spans="14:14" ht="12" customHeight="1">
      <c r="N195" s="104"/>
    </row>
    <row r="196" spans="14:14" ht="12" customHeight="1">
      <c r="N196" s="104"/>
    </row>
    <row r="197" spans="14:14" ht="12" customHeight="1">
      <c r="N197" s="104"/>
    </row>
    <row r="198" spans="14:14" ht="12" customHeight="1">
      <c r="N198" s="104"/>
    </row>
    <row r="199" spans="14:14" ht="12" customHeight="1">
      <c r="N199" s="104"/>
    </row>
    <row r="200" spans="14:14" ht="12" customHeight="1">
      <c r="N200" s="104"/>
    </row>
    <row r="201" spans="14:14" ht="12" customHeight="1">
      <c r="N201" s="104"/>
    </row>
    <row r="202" spans="14:14" ht="12" customHeight="1">
      <c r="N202" s="104"/>
    </row>
    <row r="203" spans="14:14" ht="12" customHeight="1">
      <c r="N203" s="104"/>
    </row>
    <row r="204" spans="14:14" ht="12" customHeight="1">
      <c r="N204" s="104"/>
    </row>
    <row r="205" spans="14:14" ht="12" customHeight="1">
      <c r="N205" s="104"/>
    </row>
    <row r="206" spans="14:14" ht="12" customHeight="1">
      <c r="N206" s="104"/>
    </row>
    <row r="207" spans="14:14" ht="12" customHeight="1">
      <c r="N207" s="104"/>
    </row>
    <row r="208" spans="14:14" ht="12" customHeight="1">
      <c r="N208" s="104"/>
    </row>
    <row r="209" spans="14:14" ht="12" customHeight="1">
      <c r="N209" s="104"/>
    </row>
    <row r="210" spans="14:14" ht="12" customHeight="1">
      <c r="N210" s="104"/>
    </row>
    <row r="211" spans="14:14" ht="12" customHeight="1">
      <c r="N211" s="104"/>
    </row>
    <row r="212" spans="14:14" ht="12" customHeight="1">
      <c r="N212" s="104"/>
    </row>
    <row r="213" spans="14:14" ht="12" customHeight="1">
      <c r="N213" s="104"/>
    </row>
    <row r="214" spans="14:14" ht="12" customHeight="1">
      <c r="N214" s="104"/>
    </row>
    <row r="215" spans="14:14" ht="12" customHeight="1">
      <c r="N215" s="104"/>
    </row>
    <row r="216" spans="14:14" ht="12" customHeight="1">
      <c r="N216" s="104"/>
    </row>
    <row r="217" spans="14:14" ht="12" customHeight="1">
      <c r="N217" s="104"/>
    </row>
    <row r="218" spans="14:14" ht="12" customHeight="1">
      <c r="N218" s="104"/>
    </row>
    <row r="219" spans="14:14" ht="12" customHeight="1">
      <c r="N219" s="104"/>
    </row>
    <row r="220" spans="14:14" ht="12" customHeight="1">
      <c r="N220" s="104"/>
    </row>
    <row r="221" spans="14:14" ht="12" customHeight="1">
      <c r="N221" s="104"/>
    </row>
    <row r="222" spans="14:14" ht="12" customHeight="1">
      <c r="N222" s="104"/>
    </row>
    <row r="223" spans="14:14" ht="12" customHeight="1">
      <c r="N223" s="104"/>
    </row>
    <row r="224" spans="14:14" ht="12" customHeight="1">
      <c r="N224" s="104"/>
    </row>
    <row r="225" spans="14:14" ht="12" customHeight="1">
      <c r="N225" s="104"/>
    </row>
    <row r="226" spans="14:14" ht="12" customHeight="1">
      <c r="N226" s="104"/>
    </row>
    <row r="227" spans="14:14" ht="12" customHeight="1">
      <c r="N227" s="104"/>
    </row>
    <row r="228" spans="14:14" ht="12" customHeight="1">
      <c r="N228" s="104"/>
    </row>
    <row r="229" spans="14:14" ht="12" customHeight="1">
      <c r="N229" s="104"/>
    </row>
    <row r="230" spans="14:14" ht="12" customHeight="1">
      <c r="N230" s="104"/>
    </row>
    <row r="231" spans="14:14" ht="12" customHeight="1">
      <c r="N231" s="104"/>
    </row>
    <row r="232" spans="14:14" ht="12" customHeight="1">
      <c r="N232" s="104"/>
    </row>
    <row r="233" spans="14:14" ht="12" customHeight="1">
      <c r="N233" s="104"/>
    </row>
    <row r="234" spans="14:14" ht="12" customHeight="1">
      <c r="N234" s="104"/>
    </row>
    <row r="235" spans="14:14" ht="12" customHeight="1">
      <c r="N235" s="104"/>
    </row>
    <row r="236" spans="14:14" ht="12" customHeight="1">
      <c r="N236" s="104"/>
    </row>
    <row r="237" spans="14:14" ht="12" customHeight="1">
      <c r="N237" s="104"/>
    </row>
    <row r="238" spans="14:14" ht="12" customHeight="1">
      <c r="N238" s="104"/>
    </row>
    <row r="239" spans="14:14" ht="12" customHeight="1">
      <c r="N239" s="104"/>
    </row>
    <row r="240" spans="14:14" ht="12" customHeight="1">
      <c r="N240" s="104"/>
    </row>
    <row r="241" spans="14:14" ht="12" customHeight="1">
      <c r="N241" s="104"/>
    </row>
    <row r="242" spans="14:14" ht="12" customHeight="1">
      <c r="N242" s="104"/>
    </row>
    <row r="243" spans="14:14" ht="12" customHeight="1">
      <c r="N243" s="104"/>
    </row>
    <row r="244" spans="14:14" ht="12" customHeight="1">
      <c r="N244" s="104"/>
    </row>
    <row r="245" spans="14:14" ht="12" customHeight="1">
      <c r="N245" s="104"/>
    </row>
    <row r="246" spans="14:14" ht="12" customHeight="1">
      <c r="N246" s="104"/>
    </row>
    <row r="247" spans="14:14" ht="12" customHeight="1">
      <c r="N247" s="104"/>
    </row>
    <row r="248" spans="14:14" ht="12" customHeight="1">
      <c r="N248" s="104"/>
    </row>
    <row r="249" spans="14:14" ht="12" customHeight="1">
      <c r="N249" s="104"/>
    </row>
    <row r="250" spans="14:14" ht="12" customHeight="1">
      <c r="N250" s="104"/>
    </row>
    <row r="251" spans="14:14" ht="12" customHeight="1">
      <c r="N251" s="104"/>
    </row>
    <row r="252" spans="14:14" ht="12" customHeight="1">
      <c r="N252" s="104"/>
    </row>
    <row r="253" spans="14:14" ht="12" customHeight="1">
      <c r="N253" s="104"/>
    </row>
    <row r="254" spans="14:14" ht="12" customHeight="1">
      <c r="N254" s="104"/>
    </row>
    <row r="255" spans="14:14" ht="12" customHeight="1">
      <c r="N255" s="104"/>
    </row>
    <row r="256" spans="14:14" ht="12" customHeight="1">
      <c r="N256" s="104"/>
    </row>
    <row r="257" spans="14:14" ht="12" customHeight="1">
      <c r="N257" s="104"/>
    </row>
    <row r="258" spans="14:14" ht="12" customHeight="1">
      <c r="N258" s="104"/>
    </row>
    <row r="259" spans="14:14" ht="12" customHeight="1">
      <c r="N259" s="104"/>
    </row>
    <row r="260" spans="14:14" ht="12" customHeight="1">
      <c r="N260" s="104"/>
    </row>
    <row r="261" spans="14:14" ht="12" customHeight="1">
      <c r="N261" s="104"/>
    </row>
    <row r="262" spans="14:14" ht="12" customHeight="1">
      <c r="N262" s="104"/>
    </row>
    <row r="263" spans="14:14" ht="12" customHeight="1">
      <c r="N263" s="104"/>
    </row>
    <row r="264" spans="14:14" ht="12" customHeight="1">
      <c r="N264" s="104"/>
    </row>
    <row r="265" spans="14:14" ht="12" customHeight="1">
      <c r="N265" s="104"/>
    </row>
    <row r="266" spans="14:14" ht="12" customHeight="1">
      <c r="N266" s="104"/>
    </row>
    <row r="267" spans="14:14" ht="12" customHeight="1">
      <c r="N267" s="104"/>
    </row>
    <row r="268" spans="14:14" ht="12" customHeight="1">
      <c r="N268" s="104"/>
    </row>
    <row r="269" spans="14:14" ht="12" customHeight="1">
      <c r="N269" s="104"/>
    </row>
    <row r="270" spans="14:14" ht="12" customHeight="1">
      <c r="N270" s="104"/>
    </row>
    <row r="271" spans="14:14" ht="12" customHeight="1">
      <c r="N271" s="104"/>
    </row>
    <row r="272" spans="14:14" ht="12" customHeight="1">
      <c r="N272" s="104"/>
    </row>
    <row r="273" spans="14:14" ht="12" customHeight="1">
      <c r="N273" s="104"/>
    </row>
    <row r="274" spans="14:14" ht="12" customHeight="1">
      <c r="N274" s="104"/>
    </row>
    <row r="275" spans="14:14" ht="12" customHeight="1">
      <c r="N275" s="104"/>
    </row>
    <row r="276" spans="14:14" ht="12" customHeight="1">
      <c r="N276" s="104"/>
    </row>
    <row r="277" spans="14:14" ht="12" customHeight="1">
      <c r="N277" s="104"/>
    </row>
    <row r="278" spans="14:14" ht="12" customHeight="1">
      <c r="N278" s="104"/>
    </row>
    <row r="279" spans="14:14" ht="12" customHeight="1">
      <c r="N279" s="104"/>
    </row>
    <row r="280" spans="14:14" ht="12" customHeight="1">
      <c r="N280" s="104"/>
    </row>
    <row r="281" spans="14:14" ht="12" customHeight="1">
      <c r="N281" s="104"/>
    </row>
    <row r="282" spans="14:14" ht="12" customHeight="1">
      <c r="N282" s="104"/>
    </row>
    <row r="283" spans="14:14" ht="12" customHeight="1">
      <c r="N283" s="104"/>
    </row>
    <row r="284" spans="14:14" ht="12" customHeight="1">
      <c r="N284" s="104"/>
    </row>
    <row r="285" spans="14:14" ht="12" customHeight="1">
      <c r="N285" s="104"/>
    </row>
    <row r="286" spans="14:14" ht="12" customHeight="1">
      <c r="N286" s="104"/>
    </row>
    <row r="287" spans="14:14" ht="12" customHeight="1">
      <c r="N287" s="104"/>
    </row>
    <row r="288" spans="14:14" ht="12" customHeight="1">
      <c r="N288" s="104"/>
    </row>
    <row r="289" spans="14:14" ht="12" customHeight="1">
      <c r="N289" s="104"/>
    </row>
    <row r="290" spans="14:14" ht="12" customHeight="1">
      <c r="N290" s="104"/>
    </row>
    <row r="291" spans="14:14" ht="12" customHeight="1">
      <c r="N291" s="104"/>
    </row>
    <row r="292" spans="14:14" ht="12" customHeight="1">
      <c r="N292" s="104"/>
    </row>
    <row r="293" spans="14:14" ht="12" customHeight="1">
      <c r="N293" s="104"/>
    </row>
    <row r="294" spans="14:14" ht="12" customHeight="1">
      <c r="N294" s="104"/>
    </row>
    <row r="295" spans="14:14" ht="12" customHeight="1">
      <c r="N295" s="104"/>
    </row>
    <row r="296" spans="14:14" ht="12" customHeight="1">
      <c r="N296" s="104"/>
    </row>
    <row r="297" spans="14:14" ht="12" customHeight="1">
      <c r="N297" s="104"/>
    </row>
    <row r="298" spans="14:14" ht="12" customHeight="1">
      <c r="N298" s="104"/>
    </row>
    <row r="299" spans="14:14" ht="12" customHeight="1">
      <c r="N299" s="104"/>
    </row>
    <row r="300" spans="14:14" ht="12" customHeight="1">
      <c r="N300" s="104"/>
    </row>
    <row r="301" spans="14:14" ht="12" customHeight="1">
      <c r="N301" s="104"/>
    </row>
    <row r="302" spans="14:14" ht="12" customHeight="1">
      <c r="N302" s="104"/>
    </row>
    <row r="303" spans="14:14" ht="12" customHeight="1">
      <c r="N303" s="104"/>
    </row>
    <row r="304" spans="14:14" ht="12" customHeight="1">
      <c r="N304" s="104"/>
    </row>
    <row r="305" spans="14:14" ht="12" customHeight="1">
      <c r="N305" s="104"/>
    </row>
    <row r="306" spans="14:14" ht="12" customHeight="1">
      <c r="N306" s="104"/>
    </row>
    <row r="307" spans="14:14" ht="12" customHeight="1">
      <c r="N307" s="104"/>
    </row>
    <row r="308" spans="14:14" ht="12" customHeight="1">
      <c r="N308" s="104"/>
    </row>
    <row r="309" spans="14:14" ht="12" customHeight="1">
      <c r="N309" s="104"/>
    </row>
    <row r="310" spans="14:14" ht="12" customHeight="1">
      <c r="N310" s="104"/>
    </row>
    <row r="311" spans="14:14" ht="12" customHeight="1">
      <c r="N311" s="104"/>
    </row>
    <row r="312" spans="14:14" ht="12" customHeight="1">
      <c r="N312" s="104"/>
    </row>
    <row r="313" spans="14:14" ht="12" customHeight="1">
      <c r="N313" s="104"/>
    </row>
    <row r="314" spans="14:14" ht="12" customHeight="1">
      <c r="N314" s="104"/>
    </row>
    <row r="315" spans="14:14" ht="12" customHeight="1">
      <c r="N315" s="104"/>
    </row>
    <row r="316" spans="14:14" ht="12" customHeight="1">
      <c r="N316" s="104"/>
    </row>
    <row r="317" spans="14:14" ht="12" customHeight="1">
      <c r="N317" s="104"/>
    </row>
    <row r="318" spans="14:14" ht="12" customHeight="1">
      <c r="N318" s="104"/>
    </row>
    <row r="319" spans="14:14" ht="12" customHeight="1">
      <c r="N319" s="104"/>
    </row>
    <row r="320" spans="14:14" ht="12" customHeight="1">
      <c r="N320" s="104"/>
    </row>
    <row r="321" spans="14:14" ht="12" customHeight="1">
      <c r="N321" s="104"/>
    </row>
    <row r="322" spans="14:14" ht="12" customHeight="1">
      <c r="N322" s="104"/>
    </row>
    <row r="323" spans="14:14" ht="12" customHeight="1">
      <c r="N323" s="104"/>
    </row>
    <row r="324" spans="14:14" ht="12" customHeight="1">
      <c r="N324" s="104"/>
    </row>
    <row r="325" spans="14:14" ht="12" customHeight="1">
      <c r="N325" s="104"/>
    </row>
    <row r="326" spans="14:14" ht="12" customHeight="1">
      <c r="N326" s="104"/>
    </row>
    <row r="327" spans="14:14" ht="12" customHeight="1">
      <c r="N327" s="104"/>
    </row>
    <row r="328" spans="14:14" ht="12" customHeight="1">
      <c r="N328" s="104"/>
    </row>
    <row r="329" spans="14:14" ht="12" customHeight="1">
      <c r="N329" s="104"/>
    </row>
    <row r="330" spans="14:14" ht="12" customHeight="1">
      <c r="N330" s="104"/>
    </row>
    <row r="331" spans="14:14" ht="12" customHeight="1">
      <c r="N331" s="104"/>
    </row>
    <row r="332" spans="14:14" ht="12" customHeight="1">
      <c r="N332" s="104"/>
    </row>
    <row r="333" spans="14:14" ht="12" customHeight="1">
      <c r="N333" s="104"/>
    </row>
    <row r="334" spans="14:14" ht="12" customHeight="1">
      <c r="N334" s="104"/>
    </row>
    <row r="335" spans="14:14" ht="12" customHeight="1">
      <c r="N335" s="104"/>
    </row>
    <row r="336" spans="14:14" ht="12" customHeight="1">
      <c r="N336" s="104"/>
    </row>
    <row r="337" spans="14:14" ht="12" customHeight="1">
      <c r="N337" s="104"/>
    </row>
    <row r="338" spans="14:14" ht="12" customHeight="1">
      <c r="N338" s="104"/>
    </row>
    <row r="339" spans="14:14" ht="12" customHeight="1">
      <c r="N339" s="104"/>
    </row>
    <row r="340" spans="14:14" ht="12" customHeight="1">
      <c r="N340" s="104"/>
    </row>
    <row r="341" spans="14:14" ht="12" customHeight="1">
      <c r="N341" s="104"/>
    </row>
    <row r="342" spans="14:14" ht="12" customHeight="1">
      <c r="N342" s="104"/>
    </row>
    <row r="343" spans="14:14" ht="12" customHeight="1">
      <c r="N343" s="104"/>
    </row>
    <row r="344" spans="14:14" ht="12" customHeight="1">
      <c r="N344" s="104"/>
    </row>
    <row r="345" spans="14:14" ht="12" customHeight="1">
      <c r="N345" s="104"/>
    </row>
    <row r="346" spans="14:14" ht="12" customHeight="1">
      <c r="N346" s="104"/>
    </row>
    <row r="347" spans="14:14" ht="12" customHeight="1">
      <c r="N347" s="104"/>
    </row>
    <row r="348" spans="14:14" ht="12" customHeight="1">
      <c r="N348" s="104"/>
    </row>
    <row r="349" spans="14:14" ht="12" customHeight="1">
      <c r="N349" s="104"/>
    </row>
    <row r="350" spans="14:14" ht="12" customHeight="1">
      <c r="N350" s="104"/>
    </row>
    <row r="351" spans="14:14" ht="12" customHeight="1">
      <c r="N351" s="104"/>
    </row>
    <row r="352" spans="14:14" ht="12" customHeight="1">
      <c r="N352" s="104"/>
    </row>
    <row r="353" spans="14:14" ht="12" customHeight="1">
      <c r="N353" s="104"/>
    </row>
    <row r="354" spans="14:14" ht="12" customHeight="1">
      <c r="N354" s="104"/>
    </row>
    <row r="355" spans="14:14" ht="12" customHeight="1">
      <c r="N355" s="104"/>
    </row>
    <row r="356" spans="14:14" ht="12" customHeight="1">
      <c r="N356" s="104"/>
    </row>
    <row r="357" spans="14:14" ht="12" customHeight="1">
      <c r="N357" s="104"/>
    </row>
    <row r="358" spans="14:14" ht="12" customHeight="1">
      <c r="N358" s="104"/>
    </row>
    <row r="359" spans="14:14" ht="12" customHeight="1">
      <c r="N359" s="104"/>
    </row>
    <row r="360" spans="14:14" ht="12" customHeight="1">
      <c r="N360" s="104"/>
    </row>
    <row r="361" spans="14:14" ht="12" customHeight="1">
      <c r="N361" s="104"/>
    </row>
    <row r="362" spans="14:14" ht="12" customHeight="1">
      <c r="N362" s="104"/>
    </row>
    <row r="363" spans="14:14" ht="12" customHeight="1">
      <c r="N363" s="104"/>
    </row>
    <row r="364" spans="14:14" ht="12" customHeight="1">
      <c r="N364" s="104"/>
    </row>
    <row r="365" spans="14:14" ht="12" customHeight="1">
      <c r="N365" s="104"/>
    </row>
    <row r="366" spans="14:14" ht="12" customHeight="1">
      <c r="N366" s="104"/>
    </row>
    <row r="367" spans="14:14" ht="12" customHeight="1">
      <c r="N367" s="104"/>
    </row>
    <row r="368" spans="14:14" ht="12" customHeight="1">
      <c r="N368" s="104"/>
    </row>
    <row r="369" spans="14:14" ht="12" customHeight="1">
      <c r="N369" s="104"/>
    </row>
    <row r="370" spans="14:14" ht="12" customHeight="1">
      <c r="N370" s="104"/>
    </row>
    <row r="371" spans="14:14" ht="12" customHeight="1">
      <c r="N371" s="104"/>
    </row>
    <row r="372" spans="14:14" ht="12" customHeight="1">
      <c r="N372" s="104"/>
    </row>
    <row r="373" spans="14:14" ht="12" customHeight="1">
      <c r="N373" s="104"/>
    </row>
    <row r="374" spans="14:14" ht="12" customHeight="1">
      <c r="N374" s="104"/>
    </row>
    <row r="375" spans="14:14" ht="12" customHeight="1">
      <c r="N375" s="104"/>
    </row>
    <row r="376" spans="14:14" ht="12" customHeight="1">
      <c r="N376" s="104"/>
    </row>
    <row r="377" spans="14:14" ht="12" customHeight="1">
      <c r="N377" s="104"/>
    </row>
    <row r="378" spans="14:14" ht="12" customHeight="1">
      <c r="N378" s="104"/>
    </row>
    <row r="379" spans="14:14" ht="12" customHeight="1">
      <c r="N379" s="104"/>
    </row>
    <row r="380" spans="14:14" ht="12" customHeight="1">
      <c r="N380" s="104"/>
    </row>
    <row r="381" spans="14:14" ht="12" customHeight="1">
      <c r="N381" s="104"/>
    </row>
    <row r="382" spans="14:14" ht="12" customHeight="1">
      <c r="N382" s="104"/>
    </row>
    <row r="383" spans="14:14" ht="12" customHeight="1">
      <c r="N383" s="104"/>
    </row>
    <row r="384" spans="14:14" ht="12" customHeight="1">
      <c r="N384" s="104"/>
    </row>
    <row r="385" spans="14:14" ht="12" customHeight="1">
      <c r="N385" s="104"/>
    </row>
    <row r="386" spans="14:14" ht="12" customHeight="1">
      <c r="N386" s="104"/>
    </row>
    <row r="387" spans="14:14" ht="12" customHeight="1">
      <c r="N387" s="104"/>
    </row>
    <row r="388" spans="14:14" ht="12" customHeight="1">
      <c r="N388" s="104"/>
    </row>
    <row r="389" spans="14:14" ht="12" customHeight="1">
      <c r="N389" s="104"/>
    </row>
    <row r="390" spans="14:14" ht="12" customHeight="1">
      <c r="N390" s="104"/>
    </row>
    <row r="391" spans="14:14" ht="12" customHeight="1">
      <c r="N391" s="104"/>
    </row>
    <row r="392" spans="14:14" ht="12" customHeight="1">
      <c r="N392" s="104"/>
    </row>
    <row r="393" spans="14:14" ht="12" customHeight="1">
      <c r="N393" s="104"/>
    </row>
    <row r="394" spans="14:14" ht="12" customHeight="1">
      <c r="N394" s="104"/>
    </row>
    <row r="395" spans="14:14" ht="12" customHeight="1">
      <c r="N395" s="104"/>
    </row>
    <row r="396" spans="14:14" ht="12" customHeight="1">
      <c r="N396" s="104"/>
    </row>
    <row r="397" spans="14:14" ht="12" customHeight="1">
      <c r="N397" s="104"/>
    </row>
    <row r="398" spans="14:14" ht="12" customHeight="1">
      <c r="N398" s="104"/>
    </row>
    <row r="399" spans="14:14" ht="12" customHeight="1">
      <c r="N399" s="104"/>
    </row>
    <row r="400" spans="14:14" ht="12" customHeight="1">
      <c r="N400" s="104"/>
    </row>
    <row r="401" spans="14:14" ht="12" customHeight="1">
      <c r="N401" s="104"/>
    </row>
    <row r="402" spans="14:14" ht="12" customHeight="1">
      <c r="N402" s="104"/>
    </row>
    <row r="403" spans="14:14" ht="12" customHeight="1">
      <c r="N403" s="104"/>
    </row>
    <row r="404" spans="14:14" ht="12" customHeight="1">
      <c r="N404" s="104"/>
    </row>
    <row r="405" spans="14:14" ht="12" customHeight="1">
      <c r="N405" s="104"/>
    </row>
    <row r="406" spans="14:14" ht="12" customHeight="1">
      <c r="N406" s="104"/>
    </row>
    <row r="407" spans="14:14" ht="12" customHeight="1">
      <c r="N407" s="104"/>
    </row>
    <row r="408" spans="14:14" ht="12" customHeight="1">
      <c r="N408" s="104"/>
    </row>
    <row r="409" spans="14:14" ht="12" customHeight="1">
      <c r="N409" s="104"/>
    </row>
    <row r="410" spans="14:14" ht="12" customHeight="1">
      <c r="N410" s="104"/>
    </row>
    <row r="411" spans="14:14" ht="12" customHeight="1">
      <c r="N411" s="104"/>
    </row>
    <row r="412" spans="14:14" ht="12" customHeight="1">
      <c r="N412" s="104"/>
    </row>
    <row r="413" spans="14:14" ht="12" customHeight="1">
      <c r="N413" s="104"/>
    </row>
    <row r="414" spans="14:14" ht="12" customHeight="1">
      <c r="N414" s="104"/>
    </row>
    <row r="415" spans="14:14" ht="12" customHeight="1">
      <c r="N415" s="104"/>
    </row>
    <row r="416" spans="14:14" ht="12" customHeight="1">
      <c r="N416" s="104"/>
    </row>
    <row r="417" spans="14:14" ht="12" customHeight="1">
      <c r="N417" s="104"/>
    </row>
    <row r="418" spans="14:14" ht="12" customHeight="1">
      <c r="N418" s="104"/>
    </row>
    <row r="419" spans="14:14" ht="12" customHeight="1">
      <c r="N419" s="104"/>
    </row>
    <row r="420" spans="14:14" ht="12" customHeight="1">
      <c r="N420" s="104"/>
    </row>
    <row r="421" spans="14:14" ht="12" customHeight="1">
      <c r="N421" s="104"/>
    </row>
    <row r="422" spans="14:14" ht="12" customHeight="1">
      <c r="N422" s="104"/>
    </row>
    <row r="423" spans="14:14" ht="12" customHeight="1">
      <c r="N423" s="104"/>
    </row>
    <row r="424" spans="14:14" ht="12" customHeight="1">
      <c r="N424" s="104"/>
    </row>
    <row r="425" spans="14:14" ht="12" customHeight="1">
      <c r="N425" s="104"/>
    </row>
    <row r="426" spans="14:14" ht="12" customHeight="1">
      <c r="N426" s="104"/>
    </row>
    <row r="427" spans="14:14" ht="12" customHeight="1">
      <c r="N427" s="104"/>
    </row>
    <row r="428" spans="14:14" ht="12" customHeight="1">
      <c r="N428" s="104"/>
    </row>
    <row r="429" spans="14:14" ht="12" customHeight="1">
      <c r="N429" s="104"/>
    </row>
    <row r="430" spans="14:14" ht="12" customHeight="1">
      <c r="N430" s="104"/>
    </row>
    <row r="431" spans="14:14" ht="12" customHeight="1">
      <c r="N431" s="104"/>
    </row>
    <row r="432" spans="14:14" ht="12" customHeight="1">
      <c r="N432" s="104"/>
    </row>
    <row r="433" spans="14:14" ht="12" customHeight="1">
      <c r="N433" s="104"/>
    </row>
    <row r="434" spans="14:14" ht="12" customHeight="1">
      <c r="N434" s="104"/>
    </row>
    <row r="435" spans="14:14" ht="12" customHeight="1">
      <c r="N435" s="104"/>
    </row>
    <row r="436" spans="14:14" ht="12" customHeight="1">
      <c r="N436" s="104"/>
    </row>
    <row r="437" spans="14:14" ht="12" customHeight="1">
      <c r="N437" s="104"/>
    </row>
    <row r="438" spans="14:14" ht="12" customHeight="1">
      <c r="N438" s="104"/>
    </row>
    <row r="439" spans="14:14" ht="12" customHeight="1">
      <c r="N439" s="104"/>
    </row>
    <row r="440" spans="14:14" ht="12" customHeight="1">
      <c r="N440" s="104"/>
    </row>
    <row r="441" spans="14:14" ht="12" customHeight="1">
      <c r="N441" s="104"/>
    </row>
    <row r="442" spans="14:14" ht="12" customHeight="1">
      <c r="N442" s="104"/>
    </row>
    <row r="443" spans="14:14" ht="12" customHeight="1">
      <c r="N443" s="104"/>
    </row>
    <row r="444" spans="14:14" ht="12" customHeight="1">
      <c r="N444" s="104"/>
    </row>
    <row r="445" spans="14:14" ht="12" customHeight="1">
      <c r="N445" s="104"/>
    </row>
    <row r="446" spans="14:14" ht="12" customHeight="1">
      <c r="N446" s="104"/>
    </row>
    <row r="447" spans="14:14" ht="12" customHeight="1">
      <c r="N447" s="104"/>
    </row>
    <row r="448" spans="14:14" ht="12" customHeight="1">
      <c r="N448" s="104"/>
    </row>
    <row r="449" spans="14:14" ht="12" customHeight="1">
      <c r="N449" s="104"/>
    </row>
    <row r="450" spans="14:14" ht="12" customHeight="1">
      <c r="N450" s="104"/>
    </row>
    <row r="451" spans="14:14" ht="12" customHeight="1">
      <c r="N451" s="104"/>
    </row>
    <row r="452" spans="14:14" ht="12" customHeight="1">
      <c r="N452" s="104"/>
    </row>
    <row r="453" spans="14:14" ht="12" customHeight="1">
      <c r="N453" s="104"/>
    </row>
    <row r="454" spans="14:14" ht="12" customHeight="1">
      <c r="N454" s="104"/>
    </row>
    <row r="455" spans="14:14" ht="12" customHeight="1">
      <c r="N455" s="104"/>
    </row>
    <row r="456" spans="14:14" ht="12" customHeight="1">
      <c r="N456" s="104"/>
    </row>
    <row r="457" spans="14:14" ht="12" customHeight="1">
      <c r="N457" s="104"/>
    </row>
    <row r="458" spans="14:14" ht="12" customHeight="1">
      <c r="N458" s="104"/>
    </row>
    <row r="459" spans="14:14" ht="12" customHeight="1">
      <c r="N459" s="104"/>
    </row>
    <row r="460" spans="14:14" ht="12" customHeight="1">
      <c r="N460" s="104"/>
    </row>
    <row r="461" spans="14:14" ht="12" customHeight="1">
      <c r="N461" s="104"/>
    </row>
    <row r="462" spans="14:14" ht="12" customHeight="1">
      <c r="N462" s="104"/>
    </row>
    <row r="463" spans="14:14" ht="12" customHeight="1">
      <c r="N463" s="104"/>
    </row>
    <row r="464" spans="14:14" ht="12" customHeight="1">
      <c r="N464" s="104"/>
    </row>
    <row r="465" spans="14:14" ht="12" customHeight="1">
      <c r="N465" s="104"/>
    </row>
    <row r="466" spans="14:14" ht="12" customHeight="1">
      <c r="N466" s="104"/>
    </row>
    <row r="467" spans="14:14" ht="12" customHeight="1">
      <c r="N467" s="104"/>
    </row>
    <row r="468" spans="14:14" ht="12" customHeight="1">
      <c r="N468" s="104"/>
    </row>
    <row r="469" spans="14:14" ht="12" customHeight="1">
      <c r="N469" s="104"/>
    </row>
    <row r="470" spans="14:14" ht="12" customHeight="1">
      <c r="N470" s="104"/>
    </row>
    <row r="471" spans="14:14" ht="12" customHeight="1">
      <c r="N471" s="104"/>
    </row>
    <row r="472" spans="14:14" ht="12" customHeight="1">
      <c r="N472" s="104"/>
    </row>
    <row r="473" spans="14:14" ht="12" customHeight="1">
      <c r="N473" s="104"/>
    </row>
    <row r="474" spans="14:14" ht="12" customHeight="1">
      <c r="N474" s="104"/>
    </row>
    <row r="475" spans="14:14" ht="12" customHeight="1">
      <c r="N475" s="104"/>
    </row>
    <row r="476" spans="14:14" ht="12" customHeight="1">
      <c r="N476" s="104"/>
    </row>
    <row r="477" spans="14:14" ht="12" customHeight="1">
      <c r="N477" s="104"/>
    </row>
    <row r="478" spans="14:14" ht="12" customHeight="1">
      <c r="N478" s="104"/>
    </row>
    <row r="479" spans="14:14" ht="12" customHeight="1">
      <c r="N479" s="104"/>
    </row>
    <row r="480" spans="14:14" ht="12" customHeight="1">
      <c r="N480" s="104"/>
    </row>
    <row r="481" spans="14:14" ht="12" customHeight="1">
      <c r="N481" s="104"/>
    </row>
    <row r="482" spans="14:14" ht="12" customHeight="1">
      <c r="N482" s="104"/>
    </row>
    <row r="483" spans="14:14" ht="12" customHeight="1">
      <c r="N483" s="104"/>
    </row>
    <row r="484" spans="14:14" ht="12" customHeight="1">
      <c r="N484" s="104"/>
    </row>
    <row r="485" spans="14:14" ht="12" customHeight="1">
      <c r="N485" s="104"/>
    </row>
    <row r="486" spans="14:14" ht="12" customHeight="1">
      <c r="N486" s="104"/>
    </row>
    <row r="487" spans="14:14" ht="12" customHeight="1">
      <c r="N487" s="104"/>
    </row>
    <row r="488" spans="14:14" ht="12" customHeight="1">
      <c r="N488" s="104"/>
    </row>
    <row r="489" spans="14:14" ht="12" customHeight="1">
      <c r="N489" s="104"/>
    </row>
    <row r="490" spans="14:14" ht="12" customHeight="1">
      <c r="N490" s="104"/>
    </row>
    <row r="491" spans="14:14" ht="12" customHeight="1">
      <c r="N491" s="104"/>
    </row>
    <row r="492" spans="14:14" ht="12" customHeight="1">
      <c r="N492" s="104"/>
    </row>
    <row r="493" spans="14:14" ht="12" customHeight="1">
      <c r="N493" s="104"/>
    </row>
    <row r="494" spans="14:14" ht="12" customHeight="1">
      <c r="N494" s="104"/>
    </row>
    <row r="495" spans="14:14" ht="12" customHeight="1">
      <c r="N495" s="104"/>
    </row>
    <row r="496" spans="14:14" ht="12" customHeight="1">
      <c r="N496" s="104"/>
    </row>
    <row r="497" spans="14:14" ht="12" customHeight="1">
      <c r="N497" s="104"/>
    </row>
    <row r="498" spans="14:14" ht="12" customHeight="1">
      <c r="N498" s="104"/>
    </row>
    <row r="499" spans="14:14" ht="12" customHeight="1">
      <c r="N499" s="104"/>
    </row>
    <row r="500" spans="14:14" ht="12" customHeight="1">
      <c r="N500" s="104"/>
    </row>
    <row r="501" spans="14:14" ht="12" customHeight="1">
      <c r="N501" s="104"/>
    </row>
    <row r="502" spans="14:14" ht="12" customHeight="1">
      <c r="N502" s="104"/>
    </row>
    <row r="503" spans="14:14" ht="12" customHeight="1">
      <c r="N503" s="104"/>
    </row>
    <row r="504" spans="14:14" ht="12" customHeight="1">
      <c r="N504" s="104"/>
    </row>
    <row r="505" spans="14:14" ht="12" customHeight="1">
      <c r="N505" s="104"/>
    </row>
    <row r="506" spans="14:14" ht="12" customHeight="1">
      <c r="N506" s="104"/>
    </row>
    <row r="507" spans="14:14" ht="12" customHeight="1">
      <c r="N507" s="104"/>
    </row>
    <row r="508" spans="14:14" ht="12" customHeight="1">
      <c r="N508" s="104"/>
    </row>
    <row r="509" spans="14:14" ht="12" customHeight="1">
      <c r="N509" s="104"/>
    </row>
    <row r="510" spans="14:14" ht="12" customHeight="1">
      <c r="N510" s="104"/>
    </row>
    <row r="511" spans="14:14" ht="12" customHeight="1">
      <c r="N511" s="104"/>
    </row>
    <row r="512" spans="14:14" ht="12" customHeight="1">
      <c r="N512" s="104"/>
    </row>
    <row r="513" spans="14:14" ht="12" customHeight="1">
      <c r="N513" s="104"/>
    </row>
    <row r="514" spans="14:14" ht="12" customHeight="1">
      <c r="N514" s="104"/>
    </row>
    <row r="515" spans="14:14" ht="12" customHeight="1">
      <c r="N515" s="104"/>
    </row>
    <row r="516" spans="14:14" ht="12" customHeight="1">
      <c r="N516" s="104"/>
    </row>
    <row r="517" spans="14:14" ht="12" customHeight="1">
      <c r="N517" s="104"/>
    </row>
    <row r="518" spans="14:14" ht="12" customHeight="1">
      <c r="N518" s="104"/>
    </row>
    <row r="519" spans="14:14" ht="12" customHeight="1">
      <c r="N519" s="104"/>
    </row>
    <row r="520" spans="14:14" ht="12" customHeight="1">
      <c r="N520" s="104"/>
    </row>
    <row r="521" spans="14:14" ht="12" customHeight="1">
      <c r="N521" s="104"/>
    </row>
    <row r="522" spans="14:14" ht="12" customHeight="1">
      <c r="N522" s="104"/>
    </row>
    <row r="523" spans="14:14" ht="12" customHeight="1">
      <c r="N523" s="104"/>
    </row>
    <row r="524" spans="14:14" ht="12" customHeight="1">
      <c r="N524" s="104"/>
    </row>
    <row r="525" spans="14:14" ht="12" customHeight="1">
      <c r="N525" s="104"/>
    </row>
    <row r="526" spans="14:14" ht="12" customHeight="1">
      <c r="N526" s="104"/>
    </row>
    <row r="527" spans="14:14" ht="12" customHeight="1">
      <c r="N527" s="104"/>
    </row>
    <row r="528" spans="14:14" ht="12" customHeight="1">
      <c r="N528" s="104"/>
    </row>
    <row r="529" spans="14:14" ht="12" customHeight="1">
      <c r="N529" s="104"/>
    </row>
    <row r="530" spans="14:14" ht="12" customHeight="1">
      <c r="N530" s="104"/>
    </row>
    <row r="531" spans="14:14" ht="12" customHeight="1">
      <c r="N531" s="104"/>
    </row>
    <row r="532" spans="14:14" ht="12" customHeight="1">
      <c r="N532" s="104"/>
    </row>
    <row r="533" spans="14:14" ht="12" customHeight="1">
      <c r="N533" s="104"/>
    </row>
    <row r="534" spans="14:14" ht="12" customHeight="1">
      <c r="N534" s="104"/>
    </row>
    <row r="535" spans="14:14" ht="12" customHeight="1">
      <c r="N535" s="104"/>
    </row>
    <row r="536" spans="14:14" ht="12" customHeight="1">
      <c r="N536" s="104"/>
    </row>
    <row r="537" spans="14:14" ht="12" customHeight="1">
      <c r="N537" s="104"/>
    </row>
    <row r="538" spans="14:14" ht="12" customHeight="1">
      <c r="N538" s="104"/>
    </row>
    <row r="539" spans="14:14" ht="12" customHeight="1">
      <c r="N539" s="104"/>
    </row>
    <row r="540" spans="14:14" ht="12" customHeight="1">
      <c r="N540" s="104"/>
    </row>
    <row r="541" spans="14:14" ht="12" customHeight="1">
      <c r="N541" s="104"/>
    </row>
    <row r="542" spans="14:14" ht="12" customHeight="1">
      <c r="N542" s="104"/>
    </row>
    <row r="543" spans="14:14" ht="12" customHeight="1">
      <c r="N543" s="104"/>
    </row>
    <row r="544" spans="14:14" ht="12" customHeight="1">
      <c r="N544" s="104"/>
    </row>
    <row r="545" spans="14:14" ht="12" customHeight="1">
      <c r="N545" s="104"/>
    </row>
    <row r="546" spans="14:14" ht="12" customHeight="1">
      <c r="N546" s="104"/>
    </row>
    <row r="547" spans="14:14" ht="12" customHeight="1">
      <c r="N547" s="104"/>
    </row>
    <row r="548" spans="14:14" ht="12" customHeight="1">
      <c r="N548" s="104"/>
    </row>
    <row r="549" spans="14:14" ht="12" customHeight="1">
      <c r="N549" s="104"/>
    </row>
    <row r="550" spans="14:14" ht="12" customHeight="1">
      <c r="N550" s="104"/>
    </row>
    <row r="551" spans="14:14" ht="12" customHeight="1">
      <c r="N551" s="104"/>
    </row>
    <row r="552" spans="14:14" ht="12" customHeight="1">
      <c r="N552" s="104"/>
    </row>
    <row r="553" spans="14:14" ht="12" customHeight="1">
      <c r="N553" s="104"/>
    </row>
    <row r="554" spans="14:14" ht="12" customHeight="1">
      <c r="N554" s="104"/>
    </row>
    <row r="555" spans="14:14" ht="12" customHeight="1">
      <c r="N555" s="104"/>
    </row>
    <row r="556" spans="14:14" ht="12" customHeight="1">
      <c r="N556" s="104"/>
    </row>
    <row r="557" spans="14:14" ht="12" customHeight="1">
      <c r="N557" s="104"/>
    </row>
    <row r="558" spans="14:14" ht="12" customHeight="1">
      <c r="N558" s="104"/>
    </row>
    <row r="559" spans="14:14" ht="12" customHeight="1">
      <c r="N559" s="104"/>
    </row>
    <row r="560" spans="14:14" ht="12" customHeight="1">
      <c r="N560" s="104"/>
    </row>
    <row r="561" spans="14:14" ht="12" customHeight="1">
      <c r="N561" s="104"/>
    </row>
    <row r="562" spans="14:14" ht="12" customHeight="1">
      <c r="N562" s="104"/>
    </row>
    <row r="563" spans="14:14" ht="12" customHeight="1">
      <c r="N563" s="104"/>
    </row>
    <row r="564" spans="14:14" ht="12" customHeight="1">
      <c r="N564" s="104"/>
    </row>
    <row r="565" spans="14:14" ht="12" customHeight="1">
      <c r="N565" s="104"/>
    </row>
    <row r="566" spans="14:14" ht="12" customHeight="1">
      <c r="N566" s="104"/>
    </row>
    <row r="567" spans="14:14" ht="12" customHeight="1">
      <c r="N567" s="104"/>
    </row>
    <row r="568" spans="14:14" ht="12" customHeight="1">
      <c r="N568" s="104"/>
    </row>
    <row r="569" spans="14:14" ht="12" customHeight="1">
      <c r="N569" s="104"/>
    </row>
    <row r="570" spans="14:14" ht="12" customHeight="1">
      <c r="N570" s="104"/>
    </row>
    <row r="571" spans="14:14" ht="12" customHeight="1">
      <c r="N571" s="104"/>
    </row>
    <row r="572" spans="14:14" ht="12" customHeight="1">
      <c r="N572" s="104"/>
    </row>
    <row r="573" spans="14:14" ht="12" customHeight="1">
      <c r="N573" s="104"/>
    </row>
    <row r="574" spans="14:14" ht="12" customHeight="1">
      <c r="N574" s="104"/>
    </row>
    <row r="575" spans="14:14" ht="12" customHeight="1">
      <c r="N575" s="104"/>
    </row>
    <row r="576" spans="14:14" ht="12" customHeight="1">
      <c r="N576" s="104"/>
    </row>
    <row r="577" spans="14:14" ht="12" customHeight="1">
      <c r="N577" s="104"/>
    </row>
    <row r="578" spans="14:14" ht="12" customHeight="1">
      <c r="N578" s="104"/>
    </row>
    <row r="579" spans="14:14" ht="12" customHeight="1">
      <c r="N579" s="104"/>
    </row>
    <row r="580" spans="14:14" ht="12" customHeight="1">
      <c r="N580" s="104"/>
    </row>
    <row r="581" spans="14:14" ht="12" customHeight="1">
      <c r="N581" s="104"/>
    </row>
    <row r="582" spans="14:14" ht="12" customHeight="1">
      <c r="N582" s="104"/>
    </row>
    <row r="583" spans="14:14" ht="12" customHeight="1">
      <c r="N583" s="104"/>
    </row>
    <row r="584" spans="14:14" ht="12" customHeight="1">
      <c r="N584" s="104"/>
    </row>
    <row r="585" spans="14:14" ht="12" customHeight="1">
      <c r="N585" s="104"/>
    </row>
    <row r="586" spans="14:14" ht="12" customHeight="1">
      <c r="N586" s="104"/>
    </row>
    <row r="587" spans="14:14" ht="12" customHeight="1">
      <c r="N587" s="104"/>
    </row>
    <row r="588" spans="14:14" ht="12" customHeight="1">
      <c r="N588" s="104"/>
    </row>
    <row r="589" spans="14:14" ht="12" customHeight="1">
      <c r="N589" s="104"/>
    </row>
    <row r="590" spans="14:14" ht="12" customHeight="1">
      <c r="N590" s="104"/>
    </row>
    <row r="591" spans="14:14" ht="12" customHeight="1">
      <c r="N591" s="104"/>
    </row>
    <row r="592" spans="14:14" ht="12" customHeight="1">
      <c r="N592" s="104"/>
    </row>
    <row r="593" spans="14:14" ht="12" customHeight="1">
      <c r="N593" s="104"/>
    </row>
    <row r="594" spans="14:14" ht="12" customHeight="1">
      <c r="N594" s="104"/>
    </row>
    <row r="595" spans="14:14" ht="12" customHeight="1">
      <c r="N595" s="104"/>
    </row>
    <row r="596" spans="14:14" ht="12" customHeight="1">
      <c r="N596" s="104"/>
    </row>
    <row r="597" spans="14:14" ht="12" customHeight="1">
      <c r="N597" s="104"/>
    </row>
    <row r="598" spans="14:14" ht="12" customHeight="1">
      <c r="N598" s="104"/>
    </row>
    <row r="599" spans="14:14" ht="12" customHeight="1">
      <c r="N599" s="104"/>
    </row>
    <row r="600" spans="14:14" ht="12" customHeight="1">
      <c r="N600" s="104"/>
    </row>
    <row r="601" spans="14:14" ht="12" customHeight="1">
      <c r="N601" s="104"/>
    </row>
    <row r="602" spans="14:14" ht="12" customHeight="1">
      <c r="N602" s="104"/>
    </row>
    <row r="603" spans="14:14" ht="12" customHeight="1">
      <c r="N603" s="104"/>
    </row>
    <row r="604" spans="14:14" ht="12" customHeight="1">
      <c r="N604" s="104"/>
    </row>
    <row r="605" spans="14:14" ht="12" customHeight="1">
      <c r="N605" s="104"/>
    </row>
    <row r="606" spans="14:14" ht="12" customHeight="1">
      <c r="N606" s="104"/>
    </row>
    <row r="607" spans="14:14" ht="12" customHeight="1">
      <c r="N607" s="104"/>
    </row>
    <row r="608" spans="14:14" ht="12" customHeight="1">
      <c r="N608" s="104"/>
    </row>
    <row r="609" spans="14:14" ht="12" customHeight="1">
      <c r="N609" s="104"/>
    </row>
    <row r="610" spans="14:14" ht="12" customHeight="1">
      <c r="N610" s="104"/>
    </row>
    <row r="611" spans="14:14" ht="12" customHeight="1">
      <c r="N611" s="104"/>
    </row>
    <row r="612" spans="14:14" ht="12" customHeight="1">
      <c r="N612" s="104"/>
    </row>
    <row r="613" spans="14:14" ht="12" customHeight="1">
      <c r="N613" s="104"/>
    </row>
    <row r="614" spans="14:14" ht="12" customHeight="1">
      <c r="N614" s="104"/>
    </row>
    <row r="615" spans="14:14" ht="12" customHeight="1">
      <c r="N615" s="104"/>
    </row>
    <row r="616" spans="14:14" ht="12" customHeight="1">
      <c r="N616" s="104"/>
    </row>
    <row r="617" spans="14:14" ht="12" customHeight="1">
      <c r="N617" s="104"/>
    </row>
    <row r="618" spans="14:14" ht="12" customHeight="1">
      <c r="N618" s="104"/>
    </row>
    <row r="619" spans="14:14" ht="12" customHeight="1">
      <c r="N619" s="104"/>
    </row>
    <row r="620" spans="14:14" ht="12" customHeight="1">
      <c r="N620" s="104"/>
    </row>
    <row r="621" spans="14:14" ht="12" customHeight="1">
      <c r="N621" s="104"/>
    </row>
    <row r="622" spans="14:14" ht="12" customHeight="1">
      <c r="N622" s="104"/>
    </row>
    <row r="623" spans="14:14" ht="12" customHeight="1">
      <c r="N623" s="104"/>
    </row>
    <row r="624" spans="14:14" ht="12" customHeight="1">
      <c r="N624" s="104"/>
    </row>
    <row r="625" spans="14:14" ht="12" customHeight="1">
      <c r="N625" s="104"/>
    </row>
    <row r="626" spans="14:14" ht="12" customHeight="1">
      <c r="N626" s="104"/>
    </row>
    <row r="627" spans="14:14" ht="12" customHeight="1">
      <c r="N627" s="104"/>
    </row>
    <row r="628" spans="14:14" ht="12" customHeight="1">
      <c r="N628" s="104"/>
    </row>
    <row r="629" spans="14:14" ht="12" customHeight="1">
      <c r="N629" s="104"/>
    </row>
    <row r="630" spans="14:14" ht="12" customHeight="1">
      <c r="N630" s="104"/>
    </row>
    <row r="631" spans="14:14" ht="12" customHeight="1">
      <c r="N631" s="104"/>
    </row>
    <row r="632" spans="14:14" ht="12" customHeight="1">
      <c r="N632" s="104"/>
    </row>
    <row r="633" spans="14:14" ht="12" customHeight="1">
      <c r="N633" s="104"/>
    </row>
    <row r="634" spans="14:14" ht="12" customHeight="1">
      <c r="N634" s="104"/>
    </row>
    <row r="635" spans="14:14" ht="12" customHeight="1">
      <c r="N635" s="104"/>
    </row>
    <row r="636" spans="14:14" ht="12" customHeight="1">
      <c r="N636" s="104"/>
    </row>
    <row r="637" spans="14:14" ht="12" customHeight="1">
      <c r="N637" s="104"/>
    </row>
    <row r="638" spans="14:14" ht="12" customHeight="1">
      <c r="N638" s="104"/>
    </row>
    <row r="639" spans="14:14" ht="12" customHeight="1">
      <c r="N639" s="104"/>
    </row>
    <row r="640" spans="14:14" ht="12" customHeight="1">
      <c r="N640" s="104"/>
    </row>
    <row r="641" spans="14:14" ht="12" customHeight="1">
      <c r="N641" s="104"/>
    </row>
    <row r="642" spans="14:14" ht="12" customHeight="1">
      <c r="N642" s="104"/>
    </row>
    <row r="643" spans="14:14" ht="12" customHeight="1">
      <c r="N643" s="104"/>
    </row>
    <row r="644" spans="14:14" ht="12" customHeight="1">
      <c r="N644" s="104"/>
    </row>
    <row r="645" spans="14:14" ht="12" customHeight="1">
      <c r="N645" s="104"/>
    </row>
    <row r="646" spans="14:14" ht="12" customHeight="1">
      <c r="N646" s="104"/>
    </row>
    <row r="647" spans="14:14" ht="12" customHeight="1">
      <c r="N647" s="104"/>
    </row>
    <row r="648" spans="14:14" ht="12" customHeight="1">
      <c r="N648" s="104"/>
    </row>
    <row r="649" spans="14:14" ht="12" customHeight="1">
      <c r="N649" s="104"/>
    </row>
    <row r="650" spans="14:14" ht="12" customHeight="1">
      <c r="N650" s="104"/>
    </row>
    <row r="651" spans="14:14" ht="12" customHeight="1">
      <c r="N651" s="104"/>
    </row>
    <row r="652" spans="14:14" ht="12" customHeight="1">
      <c r="N652" s="104"/>
    </row>
    <row r="653" spans="14:14" ht="12" customHeight="1">
      <c r="N653" s="104"/>
    </row>
    <row r="654" spans="14:14" ht="12" customHeight="1">
      <c r="N654" s="104"/>
    </row>
    <row r="655" spans="14:14" ht="12" customHeight="1">
      <c r="N655" s="104"/>
    </row>
    <row r="656" spans="14:14" ht="12" customHeight="1">
      <c r="N656" s="104"/>
    </row>
    <row r="657" spans="14:14" ht="12" customHeight="1">
      <c r="N657" s="104"/>
    </row>
    <row r="658" spans="14:14" ht="12" customHeight="1">
      <c r="N658" s="104"/>
    </row>
    <row r="659" spans="14:14" ht="12" customHeight="1">
      <c r="N659" s="104"/>
    </row>
    <row r="660" spans="14:14" ht="12" customHeight="1">
      <c r="N660" s="104"/>
    </row>
    <row r="661" spans="14:14" ht="12" customHeight="1">
      <c r="N661" s="104"/>
    </row>
    <row r="662" spans="14:14" ht="12" customHeight="1">
      <c r="N662" s="104"/>
    </row>
    <row r="663" spans="14:14" ht="12" customHeight="1">
      <c r="N663" s="104"/>
    </row>
    <row r="664" spans="14:14" ht="12" customHeight="1">
      <c r="N664" s="104"/>
    </row>
    <row r="665" spans="14:14" ht="12" customHeight="1">
      <c r="N665" s="104"/>
    </row>
    <row r="666" spans="14:14" ht="12" customHeight="1">
      <c r="N666" s="104"/>
    </row>
    <row r="667" spans="14:14" ht="12" customHeight="1">
      <c r="N667" s="104"/>
    </row>
    <row r="668" spans="14:14" ht="12" customHeight="1">
      <c r="N668" s="104"/>
    </row>
    <row r="669" spans="14:14" ht="12" customHeight="1">
      <c r="N669" s="104"/>
    </row>
    <row r="670" spans="14:14" ht="12" customHeight="1">
      <c r="N670" s="104"/>
    </row>
    <row r="671" spans="14:14" ht="12" customHeight="1">
      <c r="N671" s="104"/>
    </row>
    <row r="672" spans="14:14" ht="12" customHeight="1">
      <c r="N672" s="104"/>
    </row>
    <row r="673" spans="14:14" ht="12" customHeight="1">
      <c r="N673" s="104"/>
    </row>
    <row r="674" spans="14:14" ht="12" customHeight="1">
      <c r="N674" s="104"/>
    </row>
    <row r="675" spans="14:14" ht="12" customHeight="1">
      <c r="N675" s="104"/>
    </row>
    <row r="676" spans="14:14" ht="12" customHeight="1">
      <c r="N676" s="104"/>
    </row>
    <row r="677" spans="14:14" ht="12" customHeight="1">
      <c r="N677" s="104"/>
    </row>
    <row r="678" spans="14:14" ht="12" customHeight="1">
      <c r="N678" s="104"/>
    </row>
    <row r="679" spans="14:14" ht="12" customHeight="1">
      <c r="N679" s="104"/>
    </row>
    <row r="680" spans="14:14" ht="12" customHeight="1">
      <c r="N680" s="104"/>
    </row>
    <row r="681" spans="14:14" ht="12" customHeight="1">
      <c r="N681" s="104"/>
    </row>
    <row r="682" spans="14:14" ht="12" customHeight="1">
      <c r="N682" s="104"/>
    </row>
    <row r="683" spans="14:14" ht="12" customHeight="1">
      <c r="N683" s="104"/>
    </row>
    <row r="684" spans="14:14" ht="12" customHeight="1">
      <c r="N684" s="104"/>
    </row>
    <row r="685" spans="14:14" ht="12" customHeight="1">
      <c r="N685" s="104"/>
    </row>
    <row r="686" spans="14:14" ht="12" customHeight="1">
      <c r="N686" s="104"/>
    </row>
    <row r="687" spans="14:14" ht="12" customHeight="1">
      <c r="N687" s="104"/>
    </row>
    <row r="688" spans="14:14" ht="12" customHeight="1">
      <c r="N688" s="104"/>
    </row>
    <row r="689" spans="14:14" ht="12" customHeight="1">
      <c r="N689" s="104"/>
    </row>
    <row r="690" spans="14:14" ht="12" customHeight="1">
      <c r="N690" s="104"/>
    </row>
    <row r="691" spans="14:14" ht="12" customHeight="1">
      <c r="N691" s="104"/>
    </row>
    <row r="692" spans="14:14" ht="12" customHeight="1">
      <c r="N692" s="104"/>
    </row>
    <row r="693" spans="14:14" ht="12" customHeight="1">
      <c r="N693" s="104"/>
    </row>
    <row r="694" spans="14:14" ht="12" customHeight="1">
      <c r="N694" s="104"/>
    </row>
    <row r="695" spans="14:14" ht="12" customHeight="1">
      <c r="N695" s="104"/>
    </row>
    <row r="696" spans="14:14" ht="12" customHeight="1">
      <c r="N696" s="104"/>
    </row>
    <row r="697" spans="14:14" ht="12" customHeight="1">
      <c r="N697" s="104"/>
    </row>
    <row r="698" spans="14:14" ht="12" customHeight="1">
      <c r="N698" s="104"/>
    </row>
    <row r="699" spans="14:14" ht="12" customHeight="1">
      <c r="N699" s="104"/>
    </row>
    <row r="700" spans="14:14" ht="12" customHeight="1">
      <c r="N700" s="104"/>
    </row>
    <row r="701" spans="14:14" ht="12" customHeight="1">
      <c r="N701" s="104"/>
    </row>
    <row r="702" spans="14:14" ht="12" customHeight="1">
      <c r="N702" s="104"/>
    </row>
    <row r="703" spans="14:14" ht="12" customHeight="1">
      <c r="N703" s="104"/>
    </row>
    <row r="704" spans="14:14" ht="12" customHeight="1">
      <c r="N704" s="104"/>
    </row>
    <row r="705" spans="14:14" ht="12" customHeight="1">
      <c r="N705" s="104"/>
    </row>
    <row r="706" spans="14:14" ht="12" customHeight="1">
      <c r="N706" s="104"/>
    </row>
    <row r="707" spans="14:14" ht="12" customHeight="1">
      <c r="N707" s="104"/>
    </row>
    <row r="708" spans="14:14" ht="12" customHeight="1">
      <c r="N708" s="104"/>
    </row>
    <row r="709" spans="14:14" ht="12" customHeight="1">
      <c r="N709" s="104"/>
    </row>
    <row r="710" spans="14:14" ht="12" customHeight="1">
      <c r="N710" s="104"/>
    </row>
    <row r="711" spans="14:14" ht="12" customHeight="1">
      <c r="N711" s="104"/>
    </row>
    <row r="712" spans="14:14" ht="12" customHeight="1">
      <c r="N712" s="104"/>
    </row>
    <row r="713" spans="14:14" ht="12" customHeight="1">
      <c r="N713" s="104"/>
    </row>
    <row r="714" spans="14:14" ht="12" customHeight="1">
      <c r="N714" s="104"/>
    </row>
    <row r="715" spans="14:14" ht="12" customHeight="1">
      <c r="N715" s="104"/>
    </row>
    <row r="716" spans="14:14" ht="12" customHeight="1">
      <c r="N716" s="104"/>
    </row>
    <row r="717" spans="14:14" ht="12" customHeight="1">
      <c r="N717" s="104"/>
    </row>
    <row r="718" spans="14:14" ht="12" customHeight="1">
      <c r="N718" s="104"/>
    </row>
    <row r="719" spans="14:14" ht="12" customHeight="1">
      <c r="N719" s="104"/>
    </row>
    <row r="720" spans="14:14" ht="12" customHeight="1">
      <c r="N720" s="104"/>
    </row>
    <row r="721" spans="14:14" ht="12" customHeight="1">
      <c r="N721" s="104"/>
    </row>
    <row r="722" spans="14:14" ht="12" customHeight="1">
      <c r="N722" s="104"/>
    </row>
    <row r="723" spans="14:14" ht="12" customHeight="1">
      <c r="N723" s="104"/>
    </row>
    <row r="724" spans="14:14" ht="12" customHeight="1">
      <c r="N724" s="104"/>
    </row>
    <row r="725" spans="14:14" ht="12" customHeight="1">
      <c r="N725" s="104"/>
    </row>
    <row r="726" spans="14:14" ht="12" customHeight="1">
      <c r="N726" s="104"/>
    </row>
    <row r="727" spans="14:14" ht="12" customHeight="1">
      <c r="N727" s="104"/>
    </row>
    <row r="728" spans="14:14" ht="12" customHeight="1">
      <c r="N728" s="104"/>
    </row>
    <row r="729" spans="14:14" ht="12" customHeight="1">
      <c r="N729" s="104"/>
    </row>
    <row r="730" spans="14:14" ht="12" customHeight="1">
      <c r="N730" s="104"/>
    </row>
    <row r="731" spans="14:14" ht="12" customHeight="1">
      <c r="N731" s="104"/>
    </row>
    <row r="732" spans="14:14" ht="12" customHeight="1">
      <c r="N732" s="104"/>
    </row>
    <row r="733" spans="14:14" ht="12" customHeight="1">
      <c r="N733" s="104"/>
    </row>
    <row r="734" spans="14:14" ht="12" customHeight="1">
      <c r="N734" s="104"/>
    </row>
    <row r="735" spans="14:14" ht="12" customHeight="1">
      <c r="N735" s="104"/>
    </row>
    <row r="736" spans="14:14" ht="12" customHeight="1">
      <c r="N736" s="104"/>
    </row>
    <row r="737" spans="14:14" ht="12" customHeight="1">
      <c r="N737" s="104"/>
    </row>
    <row r="738" spans="14:14" ht="12" customHeight="1">
      <c r="N738" s="104"/>
    </row>
    <row r="739" spans="14:14" ht="12" customHeight="1">
      <c r="N739" s="104"/>
    </row>
    <row r="740" spans="14:14" ht="12" customHeight="1">
      <c r="N740" s="104"/>
    </row>
    <row r="741" spans="14:14" ht="12" customHeight="1">
      <c r="N741" s="104"/>
    </row>
    <row r="742" spans="14:14" ht="12" customHeight="1">
      <c r="N742" s="104"/>
    </row>
    <row r="743" spans="14:14" ht="12" customHeight="1">
      <c r="N743" s="104"/>
    </row>
    <row r="744" spans="14:14" ht="12" customHeight="1">
      <c r="N744" s="104"/>
    </row>
    <row r="745" spans="14:14" ht="12" customHeight="1">
      <c r="N745" s="104"/>
    </row>
    <row r="746" spans="14:14" ht="12" customHeight="1">
      <c r="N746" s="104"/>
    </row>
    <row r="747" spans="14:14" ht="12" customHeight="1">
      <c r="N747" s="104"/>
    </row>
    <row r="748" spans="14:14" ht="12" customHeight="1">
      <c r="N748" s="104"/>
    </row>
    <row r="749" spans="14:14" ht="12" customHeight="1">
      <c r="N749" s="104"/>
    </row>
    <row r="750" spans="14:14" ht="12" customHeight="1">
      <c r="N750" s="104"/>
    </row>
    <row r="751" spans="14:14" ht="12" customHeight="1">
      <c r="N751" s="104"/>
    </row>
    <row r="752" spans="14:14" ht="12" customHeight="1">
      <c r="N752" s="104"/>
    </row>
    <row r="753" spans="14:14" ht="12" customHeight="1">
      <c r="N753" s="104"/>
    </row>
    <row r="754" spans="14:14" ht="12" customHeight="1">
      <c r="N754" s="104"/>
    </row>
    <row r="755" spans="14:14" ht="12" customHeight="1">
      <c r="N755" s="104"/>
    </row>
    <row r="756" spans="14:14" ht="12" customHeight="1">
      <c r="N756" s="104"/>
    </row>
    <row r="757" spans="14:14" ht="12" customHeight="1">
      <c r="N757" s="104"/>
    </row>
    <row r="758" spans="14:14" ht="12" customHeight="1">
      <c r="N758" s="104"/>
    </row>
    <row r="759" spans="14:14" ht="12" customHeight="1">
      <c r="N759" s="104"/>
    </row>
    <row r="760" spans="14:14" ht="12" customHeight="1">
      <c r="N760" s="104"/>
    </row>
    <row r="761" spans="14:14" ht="12" customHeight="1">
      <c r="N761" s="104"/>
    </row>
    <row r="762" spans="14:14" ht="12" customHeight="1">
      <c r="N762" s="104"/>
    </row>
    <row r="763" spans="14:14" ht="12" customHeight="1">
      <c r="N763" s="104"/>
    </row>
    <row r="764" spans="14:14" ht="12" customHeight="1">
      <c r="N764" s="104"/>
    </row>
    <row r="765" spans="14:14" ht="12" customHeight="1">
      <c r="N765" s="104"/>
    </row>
    <row r="766" spans="14:14" ht="12" customHeight="1">
      <c r="N766" s="104"/>
    </row>
    <row r="767" spans="14:14" ht="12" customHeight="1">
      <c r="N767" s="104"/>
    </row>
    <row r="768" spans="14:14" ht="12" customHeight="1">
      <c r="N768" s="104"/>
    </row>
    <row r="769" spans="14:14" ht="12" customHeight="1">
      <c r="N769" s="104"/>
    </row>
    <row r="770" spans="14:14" ht="12" customHeight="1">
      <c r="N770" s="104"/>
    </row>
    <row r="771" spans="14:14" ht="12" customHeight="1">
      <c r="N771" s="104"/>
    </row>
    <row r="772" spans="14:14" ht="12" customHeight="1">
      <c r="N772" s="104"/>
    </row>
    <row r="773" spans="14:14" ht="12" customHeight="1">
      <c r="N773" s="104"/>
    </row>
    <row r="774" spans="14:14" ht="12" customHeight="1">
      <c r="N774" s="104"/>
    </row>
    <row r="775" spans="14:14" ht="12" customHeight="1">
      <c r="N775" s="104"/>
    </row>
    <row r="776" spans="14:14" ht="12" customHeight="1">
      <c r="N776" s="104"/>
    </row>
    <row r="777" spans="14:14" ht="12" customHeight="1">
      <c r="N777" s="104"/>
    </row>
    <row r="778" spans="14:14" ht="12" customHeight="1">
      <c r="N778" s="104"/>
    </row>
    <row r="779" spans="14:14" ht="12" customHeight="1">
      <c r="N779" s="104"/>
    </row>
    <row r="780" spans="14:14" ht="12" customHeight="1">
      <c r="N780" s="104"/>
    </row>
    <row r="781" spans="14:14" ht="12" customHeight="1">
      <c r="N781" s="104"/>
    </row>
    <row r="782" spans="14:14" ht="12" customHeight="1">
      <c r="N782" s="104"/>
    </row>
    <row r="783" spans="14:14" ht="12" customHeight="1">
      <c r="N783" s="104"/>
    </row>
    <row r="784" spans="14:14" ht="12" customHeight="1">
      <c r="N784" s="104"/>
    </row>
    <row r="785" spans="14:14" ht="12" customHeight="1">
      <c r="N785" s="104"/>
    </row>
    <row r="786" spans="14:14" ht="12" customHeight="1">
      <c r="N786" s="104"/>
    </row>
    <row r="787" spans="14:14" ht="12" customHeight="1">
      <c r="N787" s="104"/>
    </row>
    <row r="788" spans="14:14" ht="12" customHeight="1">
      <c r="N788" s="104"/>
    </row>
    <row r="789" spans="14:14" ht="12" customHeight="1">
      <c r="N789" s="104"/>
    </row>
    <row r="790" spans="14:14" ht="12" customHeight="1">
      <c r="N790" s="104"/>
    </row>
    <row r="791" spans="14:14" ht="12" customHeight="1">
      <c r="N791" s="104"/>
    </row>
    <row r="792" spans="14:14" ht="12" customHeight="1">
      <c r="N792" s="104"/>
    </row>
    <row r="793" spans="14:14" ht="12" customHeight="1">
      <c r="N793" s="104"/>
    </row>
    <row r="794" spans="14:14" ht="12" customHeight="1">
      <c r="N794" s="104"/>
    </row>
    <row r="795" spans="14:14" ht="12" customHeight="1">
      <c r="N795" s="104"/>
    </row>
    <row r="796" spans="14:14" ht="12" customHeight="1">
      <c r="N796" s="104"/>
    </row>
    <row r="797" spans="14:14" ht="12" customHeight="1">
      <c r="N797" s="104"/>
    </row>
    <row r="798" spans="14:14" ht="12" customHeight="1">
      <c r="N798" s="104"/>
    </row>
    <row r="799" spans="14:14" ht="12" customHeight="1">
      <c r="N799" s="104"/>
    </row>
    <row r="800" spans="14:14" ht="12" customHeight="1">
      <c r="N800" s="104"/>
    </row>
    <row r="801" spans="14:14" ht="12" customHeight="1">
      <c r="N801" s="104"/>
    </row>
    <row r="802" spans="14:14" ht="12" customHeight="1">
      <c r="N802" s="104"/>
    </row>
    <row r="803" spans="14:14" ht="12" customHeight="1">
      <c r="N803" s="104"/>
    </row>
    <row r="804" spans="14:14" ht="12" customHeight="1">
      <c r="N804" s="104"/>
    </row>
    <row r="805" spans="14:14" ht="12" customHeight="1">
      <c r="N805" s="104"/>
    </row>
    <row r="806" spans="14:14" ht="12" customHeight="1">
      <c r="N806" s="104"/>
    </row>
    <row r="807" spans="14:14" ht="12" customHeight="1">
      <c r="N807" s="104"/>
    </row>
    <row r="808" spans="14:14" ht="12" customHeight="1">
      <c r="N808" s="104"/>
    </row>
    <row r="809" spans="14:14" ht="12" customHeight="1">
      <c r="N809" s="104"/>
    </row>
    <row r="810" spans="14:14" ht="12" customHeight="1">
      <c r="N810" s="104"/>
    </row>
    <row r="811" spans="14:14" ht="12" customHeight="1">
      <c r="N811" s="104"/>
    </row>
    <row r="812" spans="14:14" ht="12" customHeight="1">
      <c r="N812" s="104"/>
    </row>
    <row r="813" spans="14:14" ht="12" customHeight="1">
      <c r="N813" s="104"/>
    </row>
    <row r="814" spans="14:14" ht="12" customHeight="1">
      <c r="N814" s="104"/>
    </row>
    <row r="815" spans="14:14" ht="12" customHeight="1">
      <c r="N815" s="104"/>
    </row>
    <row r="816" spans="14:14" ht="12" customHeight="1">
      <c r="N816" s="104"/>
    </row>
    <row r="817" spans="14:14" ht="12" customHeight="1">
      <c r="N817" s="104"/>
    </row>
    <row r="818" spans="14:14" ht="12" customHeight="1">
      <c r="N818" s="104"/>
    </row>
    <row r="819" spans="14:14" ht="12" customHeight="1">
      <c r="N819" s="104"/>
    </row>
    <row r="820" spans="14:14" ht="12" customHeight="1">
      <c r="N820" s="104"/>
    </row>
    <row r="821" spans="14:14" ht="12" customHeight="1">
      <c r="N821" s="104"/>
    </row>
    <row r="822" spans="14:14" ht="12" customHeight="1">
      <c r="N822" s="104"/>
    </row>
    <row r="823" spans="14:14" ht="12" customHeight="1">
      <c r="N823" s="104"/>
    </row>
    <row r="824" spans="14:14" ht="12" customHeight="1">
      <c r="N824" s="104"/>
    </row>
    <row r="825" spans="14:14" ht="12" customHeight="1">
      <c r="N825" s="104"/>
    </row>
    <row r="826" spans="14:14" ht="12" customHeight="1">
      <c r="N826" s="104"/>
    </row>
    <row r="827" spans="14:14" ht="12" customHeight="1">
      <c r="N827" s="104"/>
    </row>
    <row r="828" spans="14:14" ht="12" customHeight="1">
      <c r="N828" s="104"/>
    </row>
    <row r="829" spans="14:14" ht="12" customHeight="1">
      <c r="N829" s="104"/>
    </row>
    <row r="830" spans="14:14" ht="12" customHeight="1">
      <c r="N830" s="104"/>
    </row>
    <row r="831" spans="14:14" ht="12" customHeight="1">
      <c r="N831" s="104"/>
    </row>
    <row r="832" spans="14:14" ht="12" customHeight="1">
      <c r="N832" s="104"/>
    </row>
    <row r="833" spans="14:14" ht="12" customHeight="1">
      <c r="N833" s="104"/>
    </row>
    <row r="834" spans="14:14" ht="12" customHeight="1">
      <c r="N834" s="104"/>
    </row>
    <row r="835" spans="14:14" ht="12" customHeight="1">
      <c r="N835" s="104"/>
    </row>
    <row r="836" spans="14:14" ht="12" customHeight="1">
      <c r="N836" s="104"/>
    </row>
    <row r="837" spans="14:14" ht="12" customHeight="1">
      <c r="N837" s="104"/>
    </row>
    <row r="838" spans="14:14" ht="12" customHeight="1">
      <c r="N838" s="104"/>
    </row>
    <row r="839" spans="14:14" ht="12" customHeight="1">
      <c r="N839" s="104"/>
    </row>
    <row r="840" spans="14:14" ht="12" customHeight="1">
      <c r="N840" s="104"/>
    </row>
    <row r="841" spans="14:14" ht="12" customHeight="1">
      <c r="N841" s="104"/>
    </row>
    <row r="842" spans="14:14" ht="12" customHeight="1">
      <c r="N842" s="104"/>
    </row>
    <row r="843" spans="14:14" ht="12" customHeight="1">
      <c r="N843" s="104"/>
    </row>
    <row r="844" spans="14:14" ht="12" customHeight="1">
      <c r="N844" s="104"/>
    </row>
    <row r="845" spans="14:14" ht="12" customHeight="1">
      <c r="N845" s="104"/>
    </row>
    <row r="846" spans="14:14" ht="12" customHeight="1">
      <c r="N846" s="104"/>
    </row>
    <row r="847" spans="14:14" ht="12" customHeight="1">
      <c r="N847" s="104"/>
    </row>
    <row r="848" spans="14:14" ht="12" customHeight="1">
      <c r="N848" s="104"/>
    </row>
    <row r="849" spans="14:14" ht="12" customHeight="1">
      <c r="N849" s="104"/>
    </row>
    <row r="850" spans="14:14" ht="12" customHeight="1">
      <c r="N850" s="104"/>
    </row>
    <row r="851" spans="14:14" ht="12" customHeight="1">
      <c r="N851" s="104"/>
    </row>
    <row r="852" spans="14:14" ht="12" customHeight="1">
      <c r="N852" s="104"/>
    </row>
    <row r="853" spans="14:14" ht="12" customHeight="1">
      <c r="N853" s="104"/>
    </row>
    <row r="854" spans="14:14" ht="12" customHeight="1">
      <c r="N854" s="104"/>
    </row>
    <row r="855" spans="14:14" ht="12" customHeight="1">
      <c r="N855" s="104"/>
    </row>
    <row r="856" spans="14:14" ht="12" customHeight="1">
      <c r="N856" s="104"/>
    </row>
    <row r="857" spans="14:14" ht="12" customHeight="1">
      <c r="N857" s="104"/>
    </row>
    <row r="858" spans="14:14" ht="12" customHeight="1">
      <c r="N858" s="104"/>
    </row>
    <row r="859" spans="14:14" ht="12" customHeight="1">
      <c r="N859" s="104"/>
    </row>
    <row r="860" spans="14:14" ht="12" customHeight="1">
      <c r="N860" s="104"/>
    </row>
    <row r="861" spans="14:14" ht="12" customHeight="1">
      <c r="N861" s="104"/>
    </row>
    <row r="862" spans="14:14" ht="12" customHeight="1">
      <c r="N862" s="104"/>
    </row>
    <row r="863" spans="14:14" ht="12" customHeight="1">
      <c r="N863" s="104"/>
    </row>
    <row r="864" spans="14:14" ht="12" customHeight="1">
      <c r="N864" s="104"/>
    </row>
    <row r="865" spans="14:14" ht="12" customHeight="1">
      <c r="N865" s="104"/>
    </row>
    <row r="866" spans="14:14" ht="12" customHeight="1">
      <c r="N866" s="104"/>
    </row>
    <row r="867" spans="14:14" ht="12" customHeight="1">
      <c r="N867" s="104"/>
    </row>
    <row r="868" spans="14:14" ht="12" customHeight="1">
      <c r="N868" s="104"/>
    </row>
    <row r="869" spans="14:14" ht="12" customHeight="1">
      <c r="N869" s="104"/>
    </row>
    <row r="870" spans="14:14" ht="12" customHeight="1">
      <c r="N870" s="104"/>
    </row>
    <row r="871" spans="14:14" ht="12" customHeight="1">
      <c r="N871" s="104"/>
    </row>
    <row r="872" spans="14:14" ht="12" customHeight="1">
      <c r="N872" s="104"/>
    </row>
    <row r="873" spans="14:14" ht="12" customHeight="1">
      <c r="N873" s="104"/>
    </row>
    <row r="874" spans="14:14" ht="12" customHeight="1">
      <c r="N874" s="104"/>
    </row>
    <row r="875" spans="14:14" ht="12" customHeight="1">
      <c r="N875" s="104"/>
    </row>
    <row r="876" spans="14:14" ht="12" customHeight="1">
      <c r="N876" s="104"/>
    </row>
    <row r="877" spans="14:14" ht="12" customHeight="1">
      <c r="N877" s="104"/>
    </row>
    <row r="878" spans="14:14" ht="12" customHeight="1">
      <c r="N878" s="104"/>
    </row>
    <row r="879" spans="14:14" ht="12" customHeight="1">
      <c r="N879" s="104"/>
    </row>
    <row r="880" spans="14:14" ht="12" customHeight="1">
      <c r="N880" s="104"/>
    </row>
    <row r="881" spans="14:14" ht="12" customHeight="1">
      <c r="N881" s="104"/>
    </row>
    <row r="882" spans="14:14" ht="12" customHeight="1">
      <c r="N882" s="104"/>
    </row>
    <row r="883" spans="14:14" ht="12" customHeight="1">
      <c r="N883" s="104"/>
    </row>
    <row r="884" spans="14:14" ht="12" customHeight="1">
      <c r="N884" s="104"/>
    </row>
    <row r="885" spans="14:14" ht="12" customHeight="1">
      <c r="N885" s="104"/>
    </row>
    <row r="886" spans="14:14" ht="12" customHeight="1">
      <c r="N886" s="104"/>
    </row>
    <row r="887" spans="14:14" ht="12" customHeight="1">
      <c r="N887" s="104"/>
    </row>
    <row r="888" spans="14:14" ht="12" customHeight="1">
      <c r="N888" s="104"/>
    </row>
    <row r="889" spans="14:14" ht="12" customHeight="1">
      <c r="N889" s="104"/>
    </row>
    <row r="890" spans="14:14" ht="12" customHeight="1">
      <c r="N890" s="104"/>
    </row>
    <row r="891" spans="14:14" ht="12" customHeight="1">
      <c r="N891" s="104"/>
    </row>
    <row r="892" spans="14:14" ht="12" customHeight="1">
      <c r="N892" s="104"/>
    </row>
    <row r="893" spans="14:14" ht="12" customHeight="1">
      <c r="N893" s="104"/>
    </row>
    <row r="894" spans="14:14" ht="12" customHeight="1">
      <c r="N894" s="104"/>
    </row>
    <row r="895" spans="14:14" ht="12" customHeight="1">
      <c r="N895" s="104"/>
    </row>
    <row r="896" spans="14:14" ht="12" customHeight="1">
      <c r="N896" s="104"/>
    </row>
    <row r="897" spans="14:14" ht="12" customHeight="1">
      <c r="N897" s="104"/>
    </row>
    <row r="898" spans="14:14" ht="12" customHeight="1">
      <c r="N898" s="104"/>
    </row>
    <row r="899" spans="14:14" ht="12" customHeight="1">
      <c r="N899" s="104"/>
    </row>
    <row r="900" spans="14:14" ht="12" customHeight="1">
      <c r="N900" s="104"/>
    </row>
    <row r="901" spans="14:14" ht="12" customHeight="1">
      <c r="N901" s="104"/>
    </row>
    <row r="902" spans="14:14" ht="12" customHeight="1">
      <c r="N902" s="104"/>
    </row>
    <row r="903" spans="14:14" ht="12" customHeight="1">
      <c r="N903" s="104"/>
    </row>
    <row r="904" spans="14:14" ht="12" customHeight="1">
      <c r="N904" s="104"/>
    </row>
    <row r="905" spans="14:14" ht="12" customHeight="1">
      <c r="N905" s="104"/>
    </row>
    <row r="906" spans="14:14" ht="12" customHeight="1">
      <c r="N906" s="104"/>
    </row>
    <row r="907" spans="14:14" ht="12" customHeight="1">
      <c r="N907" s="104"/>
    </row>
    <row r="908" spans="14:14" ht="12" customHeight="1">
      <c r="N908" s="104"/>
    </row>
    <row r="909" spans="14:14" ht="12" customHeight="1">
      <c r="N909" s="104"/>
    </row>
    <row r="910" spans="14:14" ht="12" customHeight="1">
      <c r="N910" s="104"/>
    </row>
    <row r="911" spans="14:14" ht="12" customHeight="1">
      <c r="N911" s="104"/>
    </row>
    <row r="912" spans="14:14" ht="12" customHeight="1">
      <c r="N912" s="104"/>
    </row>
    <row r="913" spans="14:14" ht="12" customHeight="1">
      <c r="N913" s="104"/>
    </row>
    <row r="914" spans="14:14" ht="12" customHeight="1">
      <c r="N914" s="104"/>
    </row>
    <row r="915" spans="14:14" ht="12" customHeight="1">
      <c r="N915" s="104"/>
    </row>
    <row r="916" spans="14:14" ht="12" customHeight="1">
      <c r="N916" s="104"/>
    </row>
    <row r="917" spans="14:14" ht="12" customHeight="1">
      <c r="N917" s="104"/>
    </row>
    <row r="918" spans="14:14" ht="12" customHeight="1">
      <c r="N918" s="104"/>
    </row>
    <row r="919" spans="14:14" ht="12" customHeight="1">
      <c r="N919" s="104"/>
    </row>
    <row r="920" spans="14:14" ht="12" customHeight="1">
      <c r="N920" s="104"/>
    </row>
    <row r="921" spans="14:14" ht="12" customHeight="1">
      <c r="N921" s="104"/>
    </row>
    <row r="922" spans="14:14" ht="12" customHeight="1">
      <c r="N922" s="104"/>
    </row>
    <row r="923" spans="14:14" ht="12" customHeight="1">
      <c r="N923" s="104"/>
    </row>
    <row r="924" spans="14:14" ht="12" customHeight="1">
      <c r="N924" s="104"/>
    </row>
    <row r="925" spans="14:14" ht="12" customHeight="1">
      <c r="N925" s="104"/>
    </row>
    <row r="926" spans="14:14" ht="12" customHeight="1">
      <c r="N926" s="104"/>
    </row>
    <row r="927" spans="14:14" ht="12" customHeight="1">
      <c r="N927" s="104"/>
    </row>
    <row r="928" spans="14:14" ht="12" customHeight="1">
      <c r="N928" s="104"/>
    </row>
    <row r="929" spans="14:14" ht="12" customHeight="1">
      <c r="N929" s="104"/>
    </row>
    <row r="930" spans="14:14" ht="12" customHeight="1">
      <c r="N930" s="104"/>
    </row>
    <row r="931" spans="14:14" ht="12" customHeight="1">
      <c r="N931" s="104"/>
    </row>
    <row r="932" spans="14:14" ht="12" customHeight="1">
      <c r="N932" s="104"/>
    </row>
    <row r="933" spans="14:14" ht="12" customHeight="1">
      <c r="N933" s="104"/>
    </row>
    <row r="934" spans="14:14" ht="12" customHeight="1">
      <c r="N934" s="104"/>
    </row>
    <row r="935" spans="14:14" ht="12" customHeight="1">
      <c r="N935" s="104"/>
    </row>
    <row r="936" spans="14:14" ht="12" customHeight="1">
      <c r="N936" s="104"/>
    </row>
    <row r="937" spans="14:14" ht="12" customHeight="1">
      <c r="N937" s="104"/>
    </row>
    <row r="938" spans="14:14" ht="12" customHeight="1">
      <c r="N938" s="104"/>
    </row>
    <row r="939" spans="14:14" ht="12" customHeight="1">
      <c r="N939" s="104"/>
    </row>
    <row r="940" spans="14:14" ht="12" customHeight="1">
      <c r="N940" s="104"/>
    </row>
    <row r="941" spans="14:14" ht="12" customHeight="1">
      <c r="N941" s="104"/>
    </row>
    <row r="942" spans="14:14" ht="12" customHeight="1">
      <c r="N942" s="104"/>
    </row>
    <row r="943" spans="14:14" ht="12" customHeight="1">
      <c r="N943" s="104"/>
    </row>
    <row r="944" spans="14:14" ht="12" customHeight="1">
      <c r="N944" s="104"/>
    </row>
    <row r="945" spans="14:14" ht="12" customHeight="1">
      <c r="N945" s="104"/>
    </row>
    <row r="946" spans="14:14" ht="12" customHeight="1">
      <c r="N946" s="104"/>
    </row>
    <row r="947" spans="14:14" ht="12" customHeight="1">
      <c r="N947" s="104"/>
    </row>
    <row r="948" spans="14:14" ht="12" customHeight="1">
      <c r="N948" s="104"/>
    </row>
    <row r="949" spans="14:14" ht="12" customHeight="1">
      <c r="N949" s="104"/>
    </row>
    <row r="950" spans="14:14" ht="12" customHeight="1">
      <c r="N950" s="104"/>
    </row>
    <row r="951" spans="14:14" ht="12" customHeight="1">
      <c r="N951" s="104"/>
    </row>
    <row r="952" spans="14:14" ht="12" customHeight="1">
      <c r="N952" s="104"/>
    </row>
    <row r="953" spans="14:14" ht="12" customHeight="1">
      <c r="N953" s="104"/>
    </row>
    <row r="954" spans="14:14" ht="12" customHeight="1">
      <c r="N954" s="104"/>
    </row>
    <row r="955" spans="14:14" ht="12" customHeight="1">
      <c r="N955" s="104"/>
    </row>
    <row r="956" spans="14:14" ht="12" customHeight="1">
      <c r="N956" s="104"/>
    </row>
    <row r="957" spans="14:14" ht="12" customHeight="1">
      <c r="N957" s="104"/>
    </row>
    <row r="958" spans="14:14" ht="12" customHeight="1">
      <c r="N958" s="104"/>
    </row>
    <row r="959" spans="14:14" ht="12" customHeight="1">
      <c r="N959" s="104"/>
    </row>
    <row r="960" spans="14:14" ht="12" customHeight="1">
      <c r="N960" s="104"/>
    </row>
    <row r="961" spans="14:14" ht="12" customHeight="1">
      <c r="N961" s="104"/>
    </row>
    <row r="962" spans="14:14" ht="12" customHeight="1">
      <c r="N962" s="104"/>
    </row>
    <row r="963" spans="14:14" ht="12" customHeight="1">
      <c r="N963" s="104"/>
    </row>
    <row r="964" spans="14:14" ht="12" customHeight="1">
      <c r="N964" s="104"/>
    </row>
    <row r="965" spans="14:14" ht="12" customHeight="1">
      <c r="N965" s="104"/>
    </row>
    <row r="966" spans="14:14" ht="12" customHeight="1">
      <c r="N966" s="104"/>
    </row>
    <row r="967" spans="14:14" ht="12" customHeight="1">
      <c r="N967" s="104"/>
    </row>
    <row r="968" spans="14:14" ht="12" customHeight="1">
      <c r="N968" s="104"/>
    </row>
    <row r="969" spans="14:14" ht="12" customHeight="1">
      <c r="N969" s="104"/>
    </row>
    <row r="970" spans="14:14" ht="12" customHeight="1">
      <c r="N970" s="104"/>
    </row>
    <row r="971" spans="14:14" ht="12" customHeight="1">
      <c r="N971" s="104"/>
    </row>
    <row r="972" spans="14:14" ht="12" customHeight="1">
      <c r="N972" s="104"/>
    </row>
    <row r="973" spans="14:14" ht="12" customHeight="1">
      <c r="N973" s="104"/>
    </row>
    <row r="974" spans="14:14" ht="12" customHeight="1">
      <c r="N974" s="104"/>
    </row>
    <row r="975" spans="14:14" ht="12" customHeight="1">
      <c r="N975" s="104"/>
    </row>
    <row r="976" spans="14:14" ht="12" customHeight="1">
      <c r="N976" s="104"/>
    </row>
    <row r="977" spans="14:14" ht="12" customHeight="1">
      <c r="N977" s="104"/>
    </row>
    <row r="978" spans="14:14" ht="12" customHeight="1">
      <c r="N978" s="104"/>
    </row>
    <row r="979" spans="14:14" ht="12" customHeight="1">
      <c r="N979" s="104"/>
    </row>
    <row r="980" spans="14:14" ht="12" customHeight="1">
      <c r="N980" s="104"/>
    </row>
    <row r="981" spans="14:14" ht="12" customHeight="1">
      <c r="N981" s="104"/>
    </row>
    <row r="982" spans="14:14" ht="12" customHeight="1">
      <c r="N982" s="104"/>
    </row>
    <row r="983" spans="14:14" ht="12" customHeight="1">
      <c r="N983" s="104"/>
    </row>
    <row r="984" spans="14:14" ht="12" customHeight="1">
      <c r="N984" s="104"/>
    </row>
    <row r="985" spans="14:14" ht="12" customHeight="1">
      <c r="N985" s="104"/>
    </row>
    <row r="986" spans="14:14" ht="12" customHeight="1">
      <c r="N986" s="104"/>
    </row>
    <row r="987" spans="14:14" ht="12" customHeight="1">
      <c r="N987" s="104"/>
    </row>
    <row r="988" spans="14:14" ht="12" customHeight="1">
      <c r="N988" s="104"/>
    </row>
    <row r="989" spans="14:14" ht="12" customHeight="1">
      <c r="N989" s="104"/>
    </row>
    <row r="990" spans="14:14" ht="12" customHeight="1">
      <c r="N990" s="104"/>
    </row>
    <row r="991" spans="14:14" ht="12" customHeight="1">
      <c r="N991" s="104"/>
    </row>
    <row r="992" spans="14:14" ht="12" customHeight="1">
      <c r="N992" s="104"/>
    </row>
    <row r="993" spans="14:14" ht="12" customHeight="1">
      <c r="N993" s="104"/>
    </row>
    <row r="994" spans="14:14" ht="12" customHeight="1">
      <c r="N994" s="104"/>
    </row>
    <row r="995" spans="14:14" ht="12" customHeight="1">
      <c r="N995" s="104"/>
    </row>
    <row r="996" spans="14:14" ht="12" customHeight="1">
      <c r="N996" s="104"/>
    </row>
    <row r="997" spans="14:14" ht="12" customHeight="1">
      <c r="N997" s="104"/>
    </row>
    <row r="998" spans="14:14" ht="12" customHeight="1">
      <c r="N998" s="104"/>
    </row>
    <row r="999" spans="14:14" ht="12" customHeight="1">
      <c r="N999" s="104"/>
    </row>
    <row r="1000" spans="14:14" ht="12" customHeight="1">
      <c r="N1000" s="104"/>
    </row>
    <row r="1001" spans="14:14" ht="12" customHeight="1">
      <c r="N1001" s="104"/>
    </row>
    <row r="1002" spans="14:14" ht="12" customHeight="1">
      <c r="N1002" s="104"/>
    </row>
    <row r="1003" spans="14:14" ht="12" customHeight="1">
      <c r="N1003" s="104"/>
    </row>
    <row r="1004" spans="14:14" ht="12" customHeight="1">
      <c r="N1004" s="104"/>
    </row>
    <row r="1005" spans="14:14" ht="12" customHeight="1">
      <c r="N1005" s="104"/>
    </row>
    <row r="1006" spans="14:14" ht="12" customHeight="1">
      <c r="N1006" s="104"/>
    </row>
    <row r="1007" spans="14:14" ht="12" customHeight="1">
      <c r="N1007" s="104"/>
    </row>
    <row r="1008" spans="14:14" ht="12" customHeight="1">
      <c r="N1008" s="104"/>
    </row>
    <row r="1009" spans="14:14" ht="12" customHeight="1">
      <c r="N1009" s="104"/>
    </row>
    <row r="1010" spans="14:14" ht="12" customHeight="1">
      <c r="N1010" s="104"/>
    </row>
    <row r="1011" spans="14:14" ht="12" customHeight="1">
      <c r="N1011" s="104"/>
    </row>
    <row r="1012" spans="14:14" ht="12" customHeight="1">
      <c r="N1012" s="104"/>
    </row>
    <row r="1013" spans="14:14" ht="12" customHeight="1">
      <c r="N1013" s="104"/>
    </row>
    <row r="1014" spans="14:14" ht="12" customHeight="1">
      <c r="N1014" s="104"/>
    </row>
    <row r="1015" spans="14:14" ht="12" customHeight="1">
      <c r="N1015" s="104"/>
    </row>
    <row r="1016" spans="14:14" ht="12" customHeight="1">
      <c r="N1016" s="104"/>
    </row>
    <row r="1017" spans="14:14" ht="12" customHeight="1">
      <c r="N1017" s="104"/>
    </row>
    <row r="1018" spans="14:14" ht="12" customHeight="1">
      <c r="N1018" s="104"/>
    </row>
    <row r="1019" spans="14:14" ht="12" customHeight="1">
      <c r="N1019" s="104"/>
    </row>
    <row r="1020" spans="14:14" ht="12" customHeight="1">
      <c r="N1020" s="104"/>
    </row>
    <row r="1021" spans="14:14" ht="12" customHeight="1">
      <c r="N1021" s="104"/>
    </row>
    <row r="1022" spans="14:14" ht="12" customHeight="1">
      <c r="N1022" s="104"/>
    </row>
    <row r="1023" spans="14:14" ht="12" customHeight="1">
      <c r="N1023" s="104"/>
    </row>
    <row r="1024" spans="14:14" ht="12" customHeight="1">
      <c r="N1024" s="104"/>
    </row>
    <row r="1025" spans="14:14" ht="12" customHeight="1">
      <c r="N1025" s="104"/>
    </row>
    <row r="1026" spans="14:14" ht="12" customHeight="1">
      <c r="N1026" s="104"/>
    </row>
    <row r="1027" spans="14:14" ht="12" customHeight="1">
      <c r="N1027" s="104"/>
    </row>
    <row r="1028" spans="14:14" ht="12" customHeight="1">
      <c r="N1028" s="104"/>
    </row>
    <row r="1029" spans="14:14" ht="12" customHeight="1">
      <c r="N1029" s="104"/>
    </row>
    <row r="1030" spans="14:14" ht="12" customHeight="1">
      <c r="N1030" s="104"/>
    </row>
    <row r="1031" spans="14:14" ht="12" customHeight="1">
      <c r="N1031" s="104"/>
    </row>
    <row r="1032" spans="14:14" ht="12" customHeight="1">
      <c r="N1032" s="104"/>
    </row>
    <row r="1033" spans="14:14" ht="12" customHeight="1">
      <c r="N1033" s="104"/>
    </row>
    <row r="1034" spans="14:14" ht="12" customHeight="1">
      <c r="N1034" s="104"/>
    </row>
    <row r="1035" spans="14:14" ht="12" customHeight="1">
      <c r="N1035" s="104"/>
    </row>
    <row r="1036" spans="14:14" ht="12" customHeight="1">
      <c r="N1036" s="104"/>
    </row>
    <row r="1037" spans="14:14" ht="12" customHeight="1">
      <c r="N1037" s="104"/>
    </row>
    <row r="1038" spans="14:14" ht="12" customHeight="1">
      <c r="N1038" s="104"/>
    </row>
    <row r="1039" spans="14:14" ht="12" customHeight="1">
      <c r="N1039" s="104"/>
    </row>
    <row r="1040" spans="14:14" ht="12" customHeight="1">
      <c r="N1040" s="104"/>
    </row>
    <row r="1041" spans="14:14" ht="12" customHeight="1">
      <c r="N1041" s="104"/>
    </row>
    <row r="1042" spans="14:14" ht="12" customHeight="1">
      <c r="N1042" s="104"/>
    </row>
    <row r="1043" spans="14:14" ht="12" customHeight="1">
      <c r="N1043" s="104"/>
    </row>
    <row r="1044" spans="14:14" ht="12" customHeight="1">
      <c r="N1044" s="104"/>
    </row>
    <row r="1045" spans="14:14" ht="12" customHeight="1">
      <c r="N1045" s="104"/>
    </row>
    <row r="1046" spans="14:14" ht="12" customHeight="1">
      <c r="N1046" s="104"/>
    </row>
    <row r="1047" spans="14:14" ht="12" customHeight="1">
      <c r="N1047" s="104"/>
    </row>
    <row r="1048" spans="14:14" ht="12" customHeight="1">
      <c r="N1048" s="104"/>
    </row>
    <row r="1049" spans="14:14" ht="12" customHeight="1">
      <c r="N1049" s="104"/>
    </row>
    <row r="1050" spans="14:14" ht="12" customHeight="1">
      <c r="N1050" s="104"/>
    </row>
    <row r="1051" spans="14:14" ht="12" customHeight="1">
      <c r="N1051" s="104"/>
    </row>
    <row r="1052" spans="14:14" ht="12" customHeight="1">
      <c r="N1052" s="104"/>
    </row>
    <row r="1053" spans="14:14" ht="12" customHeight="1">
      <c r="N1053" s="104"/>
    </row>
    <row r="1054" spans="14:14" ht="12" customHeight="1">
      <c r="N1054" s="104"/>
    </row>
    <row r="1055" spans="14:14" ht="12" customHeight="1">
      <c r="N1055" s="104"/>
    </row>
    <row r="1056" spans="14:14" ht="12" customHeight="1">
      <c r="N1056" s="104"/>
    </row>
    <row r="1057" spans="14:14" ht="12" customHeight="1">
      <c r="N1057" s="104"/>
    </row>
    <row r="1058" spans="14:14" ht="12" customHeight="1">
      <c r="N1058" s="104"/>
    </row>
    <row r="1059" spans="14:14" ht="12" customHeight="1">
      <c r="N1059" s="104"/>
    </row>
    <row r="1060" spans="14:14" ht="12" customHeight="1">
      <c r="N1060" s="104"/>
    </row>
    <row r="1061" spans="14:14" ht="12" customHeight="1">
      <c r="N1061" s="104"/>
    </row>
    <row r="1062" spans="14:14" ht="12" customHeight="1">
      <c r="N1062" s="104"/>
    </row>
    <row r="1063" spans="14:14" ht="12" customHeight="1">
      <c r="N1063" s="104"/>
    </row>
    <row r="1064" spans="14:14" ht="12" customHeight="1">
      <c r="N1064" s="104"/>
    </row>
    <row r="1065" spans="14:14" ht="12" customHeight="1">
      <c r="N1065" s="104"/>
    </row>
    <row r="1066" spans="14:14" ht="12" customHeight="1">
      <c r="N1066" s="104"/>
    </row>
    <row r="1067" spans="14:14" ht="12" customHeight="1">
      <c r="N1067" s="104"/>
    </row>
    <row r="1068" spans="14:14" ht="12" customHeight="1">
      <c r="N1068" s="104"/>
    </row>
    <row r="1069" spans="14:14" ht="12" customHeight="1">
      <c r="N1069" s="104"/>
    </row>
    <row r="1070" spans="14:14" ht="12" customHeight="1">
      <c r="N1070" s="104"/>
    </row>
    <row r="1071" spans="14:14" ht="12" customHeight="1">
      <c r="N1071" s="104"/>
    </row>
    <row r="1072" spans="14:14" ht="12" customHeight="1">
      <c r="N1072" s="104"/>
    </row>
    <row r="1073" spans="14:14" ht="12" customHeight="1">
      <c r="N1073" s="104"/>
    </row>
    <row r="1074" spans="14:14" ht="12" customHeight="1">
      <c r="N1074" s="104"/>
    </row>
    <row r="1075" spans="14:14" ht="12" customHeight="1">
      <c r="N1075" s="104"/>
    </row>
    <row r="1076" spans="14:14" ht="12" customHeight="1">
      <c r="N1076" s="104"/>
    </row>
    <row r="1077" spans="14:14" ht="12" customHeight="1">
      <c r="N1077" s="104"/>
    </row>
    <row r="1078" spans="14:14" ht="12" customHeight="1">
      <c r="N1078" s="104"/>
    </row>
    <row r="1079" spans="14:14" ht="12" customHeight="1">
      <c r="N1079" s="104"/>
    </row>
    <row r="1080" spans="14:14" ht="12" customHeight="1">
      <c r="N1080" s="104"/>
    </row>
    <row r="1081" spans="14:14" ht="12" customHeight="1">
      <c r="N1081" s="104"/>
    </row>
    <row r="1082" spans="14:14" ht="12" customHeight="1">
      <c r="N1082" s="104"/>
    </row>
    <row r="1083" spans="14:14" ht="12" customHeight="1">
      <c r="N1083" s="104"/>
    </row>
    <row r="1084" spans="14:14" ht="12" customHeight="1">
      <c r="N1084" s="104"/>
    </row>
    <row r="1085" spans="14:14" ht="12" customHeight="1">
      <c r="N1085" s="104"/>
    </row>
    <row r="1086" spans="14:14" ht="12" customHeight="1">
      <c r="N1086" s="104"/>
    </row>
    <row r="1087" spans="14:14" ht="12" customHeight="1">
      <c r="N1087" s="104"/>
    </row>
    <row r="1088" spans="14:14" ht="12" customHeight="1">
      <c r="N1088" s="104"/>
    </row>
    <row r="1089" spans="14:14" ht="12" customHeight="1">
      <c r="N1089" s="104"/>
    </row>
    <row r="1090" spans="14:14" ht="12" customHeight="1">
      <c r="N1090" s="104"/>
    </row>
    <row r="1091" spans="14:14" ht="12" customHeight="1">
      <c r="N1091" s="104"/>
    </row>
    <row r="1092" spans="14:14" ht="12" customHeight="1">
      <c r="N1092" s="104"/>
    </row>
    <row r="1093" spans="14:14" ht="12" customHeight="1">
      <c r="N1093" s="104"/>
    </row>
    <row r="1094" spans="14:14" ht="12" customHeight="1">
      <c r="N1094" s="104"/>
    </row>
    <row r="1095" spans="14:14" ht="12" customHeight="1">
      <c r="N1095" s="104"/>
    </row>
    <row r="1096" spans="14:14" ht="12" customHeight="1">
      <c r="N1096" s="104"/>
    </row>
    <row r="1097" spans="14:14" ht="12" customHeight="1">
      <c r="N1097" s="104"/>
    </row>
    <row r="1098" spans="14:14" ht="12" customHeight="1">
      <c r="N1098" s="104"/>
    </row>
    <row r="1099" spans="14:14" ht="12" customHeight="1">
      <c r="N1099" s="104"/>
    </row>
    <row r="1100" spans="14:14" ht="12" customHeight="1">
      <c r="N1100" s="104"/>
    </row>
    <row r="1101" spans="14:14" ht="12" customHeight="1">
      <c r="N1101" s="104"/>
    </row>
    <row r="1102" spans="14:14" ht="12" customHeight="1">
      <c r="N1102" s="104"/>
    </row>
    <row r="1103" spans="14:14" ht="12" customHeight="1">
      <c r="N1103" s="104"/>
    </row>
    <row r="1104" spans="14:14" ht="12" customHeight="1">
      <c r="N1104" s="104"/>
    </row>
    <row r="1105" spans="14:14" ht="12" customHeight="1">
      <c r="N1105" s="104"/>
    </row>
    <row r="1106" spans="14:14" ht="12" customHeight="1">
      <c r="N1106" s="104"/>
    </row>
    <row r="1107" spans="14:14" ht="12" customHeight="1">
      <c r="N1107" s="104"/>
    </row>
    <row r="1108" spans="14:14" ht="12" customHeight="1">
      <c r="N1108" s="104"/>
    </row>
    <row r="1109" spans="14:14" ht="12" customHeight="1">
      <c r="N1109" s="104"/>
    </row>
    <row r="1110" spans="14:14" ht="12" customHeight="1">
      <c r="N1110" s="104"/>
    </row>
    <row r="1111" spans="14:14" ht="12" customHeight="1">
      <c r="N1111" s="104"/>
    </row>
    <row r="1112" spans="14:14" ht="12" customHeight="1">
      <c r="N1112" s="104"/>
    </row>
    <row r="1113" spans="14:14" ht="12" customHeight="1">
      <c r="N1113" s="104"/>
    </row>
    <row r="1114" spans="14:14" ht="12" customHeight="1">
      <c r="N1114" s="104"/>
    </row>
    <row r="1115" spans="14:14" ht="12" customHeight="1">
      <c r="N1115" s="104"/>
    </row>
    <row r="1116" spans="14:14" ht="12" customHeight="1">
      <c r="N1116" s="104"/>
    </row>
    <row r="1117" spans="14:14" ht="12" customHeight="1">
      <c r="N1117" s="104"/>
    </row>
    <row r="1118" spans="14:14" ht="12" customHeight="1">
      <c r="N1118" s="104"/>
    </row>
    <row r="1119" spans="14:14" ht="12" customHeight="1">
      <c r="N1119" s="104"/>
    </row>
    <row r="1120" spans="14:14" ht="12" customHeight="1">
      <c r="N1120" s="104"/>
    </row>
    <row r="1121" spans="14:14" ht="12" customHeight="1">
      <c r="N1121" s="104"/>
    </row>
    <row r="1122" spans="14:14" ht="12" customHeight="1">
      <c r="N1122" s="104"/>
    </row>
    <row r="1123" spans="14:14" ht="12" customHeight="1">
      <c r="N1123" s="104"/>
    </row>
    <row r="1124" spans="14:14" ht="12" customHeight="1">
      <c r="N1124" s="104"/>
    </row>
    <row r="1125" spans="14:14" ht="12" customHeight="1">
      <c r="N1125" s="104"/>
    </row>
    <row r="1126" spans="14:14" ht="12" customHeight="1">
      <c r="N1126" s="104"/>
    </row>
    <row r="1127" spans="14:14" ht="12" customHeight="1">
      <c r="N1127" s="104"/>
    </row>
    <row r="1128" spans="14:14" ht="12" customHeight="1">
      <c r="N1128" s="104"/>
    </row>
    <row r="1129" spans="14:14" ht="12" customHeight="1">
      <c r="N1129" s="104"/>
    </row>
    <row r="1130" spans="14:14" ht="12" customHeight="1">
      <c r="N1130" s="104"/>
    </row>
    <row r="1131" spans="14:14" ht="12" customHeight="1">
      <c r="N1131" s="104"/>
    </row>
    <row r="1132" spans="14:14" ht="12" customHeight="1">
      <c r="N1132" s="104"/>
    </row>
    <row r="1133" spans="14:14" ht="12" customHeight="1">
      <c r="N1133" s="104"/>
    </row>
    <row r="1134" spans="14:14" ht="12" customHeight="1">
      <c r="N1134" s="104"/>
    </row>
    <row r="1135" spans="14:14" ht="12" customHeight="1">
      <c r="N1135" s="104"/>
    </row>
    <row r="1136" spans="14:14" ht="12" customHeight="1">
      <c r="N1136" s="104"/>
    </row>
    <row r="1137" spans="14:14" ht="12" customHeight="1">
      <c r="N1137" s="104"/>
    </row>
    <row r="1138" spans="14:14" ht="12" customHeight="1">
      <c r="N1138" s="104"/>
    </row>
    <row r="1139" spans="14:14" ht="12" customHeight="1">
      <c r="N1139" s="104"/>
    </row>
    <row r="1140" spans="14:14" ht="12" customHeight="1">
      <c r="N1140" s="104"/>
    </row>
    <row r="1141" spans="14:14" ht="12" customHeight="1">
      <c r="N1141" s="104"/>
    </row>
    <row r="1142" spans="14:14" ht="12" customHeight="1">
      <c r="N1142" s="104"/>
    </row>
    <row r="1143" spans="14:14" ht="12" customHeight="1">
      <c r="N1143" s="104"/>
    </row>
    <row r="1144" spans="14:14" ht="12" customHeight="1">
      <c r="N1144" s="104"/>
    </row>
    <row r="1145" spans="14:14" ht="12" customHeight="1">
      <c r="N1145" s="104"/>
    </row>
    <row r="1146" spans="14:14" ht="12" customHeight="1">
      <c r="N1146" s="104"/>
    </row>
    <row r="1147" spans="14:14" ht="12" customHeight="1">
      <c r="N1147" s="104"/>
    </row>
    <row r="1148" spans="14:14" ht="12" customHeight="1">
      <c r="N1148" s="104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44</v>
      </c>
      <c r="I3" s="14" t="s">
        <v>44</v>
      </c>
      <c r="K3" s="14">
        <v>0.86</v>
      </c>
      <c r="M3" s="14">
        <v>0.8</v>
      </c>
      <c r="O3" s="2"/>
    </row>
    <row r="4" spans="1:16" s="1" customFormat="1" ht="16.5" customHeight="1">
      <c r="A4" s="297" t="s">
        <v>3</v>
      </c>
      <c r="B4" s="299" t="s">
        <v>14</v>
      </c>
      <c r="C4" s="299"/>
      <c r="D4" s="299" t="s">
        <v>6</v>
      </c>
      <c r="E4" s="300" t="s">
        <v>7</v>
      </c>
      <c r="F4" s="301" t="s">
        <v>8</v>
      </c>
      <c r="G4" s="301"/>
      <c r="H4" s="301" t="s">
        <v>15</v>
      </c>
      <c r="I4" s="301"/>
      <c r="J4" s="296" t="s">
        <v>9</v>
      </c>
      <c r="K4" s="296"/>
      <c r="L4" s="296" t="s">
        <v>10</v>
      </c>
      <c r="M4" s="296"/>
      <c r="N4" s="297" t="s">
        <v>2</v>
      </c>
      <c r="O4" s="298" t="s">
        <v>5</v>
      </c>
      <c r="P4" s="297"/>
    </row>
    <row r="5" spans="1:16" s="1" customFormat="1" ht="16.5" customHeight="1">
      <c r="A5" s="297"/>
      <c r="B5" s="18" t="s">
        <v>11</v>
      </c>
      <c r="C5" s="18" t="s">
        <v>16</v>
      </c>
      <c r="D5" s="299"/>
      <c r="E5" s="300"/>
      <c r="F5" s="7" t="s">
        <v>17</v>
      </c>
      <c r="G5" s="13" t="s">
        <v>12</v>
      </c>
      <c r="H5" s="7" t="s">
        <v>18</v>
      </c>
      <c r="I5" s="13" t="s">
        <v>12</v>
      </c>
      <c r="J5" s="4" t="s">
        <v>13</v>
      </c>
      <c r="K5" s="12" t="s">
        <v>12</v>
      </c>
      <c r="L5" s="4" t="s">
        <v>13</v>
      </c>
      <c r="M5" s="12" t="s">
        <v>12</v>
      </c>
      <c r="N5" s="297"/>
      <c r="O5" s="5" t="s">
        <v>19</v>
      </c>
      <c r="P5" s="6" t="s">
        <v>4</v>
      </c>
    </row>
    <row r="6" spans="1:16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1"/>
      <c r="L6" s="9"/>
      <c r="M6" s="11"/>
      <c r="N6" s="49"/>
      <c r="O6" s="53"/>
      <c r="P6" s="52"/>
    </row>
    <row r="7" spans="1:16">
      <c r="A7" s="61" t="s">
        <v>77</v>
      </c>
      <c r="B7" s="61" t="s">
        <v>78</v>
      </c>
      <c r="C7" s="61" t="s">
        <v>80</v>
      </c>
      <c r="D7" s="61" t="s">
        <v>20</v>
      </c>
      <c r="E7" s="62">
        <v>6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63" t="s">
        <v>77</v>
      </c>
      <c r="B8" s="63" t="s">
        <v>78</v>
      </c>
      <c r="C8" s="63" t="s">
        <v>80</v>
      </c>
      <c r="D8" s="63" t="s">
        <v>20</v>
      </c>
      <c r="E8" s="59">
        <v>2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07" t="s">
        <v>51</v>
      </c>
      <c r="B9" s="92" t="s">
        <v>83</v>
      </c>
      <c r="C9" s="92" t="s">
        <v>50</v>
      </c>
      <c r="D9" s="92" t="s">
        <v>70</v>
      </c>
      <c r="E9" s="59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07" t="s">
        <v>48</v>
      </c>
      <c r="B10" s="92" t="s">
        <v>49</v>
      </c>
      <c r="C10" s="92" t="s">
        <v>50</v>
      </c>
      <c r="D10" s="92" t="s">
        <v>70</v>
      </c>
      <c r="E10" s="59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 hidden="1">
      <c r="A11" s="8"/>
      <c r="B11" s="16"/>
      <c r="C11" s="16"/>
      <c r="D11" s="16"/>
      <c r="E11" s="11"/>
      <c r="F11" s="9"/>
      <c r="G11" s="11"/>
      <c r="H11" s="9"/>
      <c r="I11" s="11"/>
      <c r="J11" s="9"/>
      <c r="K11" s="11"/>
      <c r="L11" s="9"/>
      <c r="M11" s="11"/>
      <c r="N11" s="9"/>
      <c r="O11" s="22"/>
      <c r="P11" s="16"/>
    </row>
    <row r="12" spans="1:16" hidden="1">
      <c r="A12" s="8"/>
      <c r="B12" s="16"/>
      <c r="C12" s="16"/>
      <c r="D12" s="16"/>
      <c r="E12" s="11"/>
      <c r="F12" s="9"/>
      <c r="G12" s="11"/>
      <c r="H12" s="9"/>
      <c r="I12" s="11"/>
      <c r="J12" s="9"/>
      <c r="K12" s="11"/>
      <c r="L12" s="9"/>
      <c r="M12" s="11"/>
      <c r="N12" s="9"/>
      <c r="O12" s="22"/>
      <c r="P12" s="16"/>
    </row>
    <row r="13" spans="1:16" hidden="1">
      <c r="A13" s="8"/>
      <c r="B13" s="16"/>
      <c r="C13" s="16"/>
      <c r="D13" s="16"/>
      <c r="E13" s="11"/>
      <c r="F13" s="9"/>
      <c r="G13" s="11"/>
      <c r="H13" s="9"/>
      <c r="I13" s="11"/>
      <c r="J13" s="9"/>
      <c r="K13" s="11"/>
      <c r="L13" s="9"/>
      <c r="M13" s="11"/>
      <c r="N13" s="9"/>
      <c r="O13" s="22"/>
      <c r="P13" s="16"/>
    </row>
    <row r="14" spans="1:16" hidden="1">
      <c r="A14" s="8"/>
      <c r="B14" s="16"/>
      <c r="C14" s="16"/>
      <c r="D14" s="16"/>
      <c r="E14" s="11"/>
      <c r="F14" s="9"/>
      <c r="G14" s="11"/>
      <c r="H14" s="9"/>
      <c r="I14" s="11"/>
      <c r="J14" s="9"/>
      <c r="K14" s="11"/>
      <c r="L14" s="9"/>
      <c r="M14" s="11"/>
      <c r="N14" s="9"/>
      <c r="O14" s="22"/>
      <c r="P14" s="16"/>
    </row>
    <row r="15" spans="1:16" hidden="1">
      <c r="A15" s="8"/>
      <c r="B15" s="16"/>
      <c r="C15" s="16"/>
      <c r="D15" s="16"/>
      <c r="E15" s="11"/>
      <c r="F15" s="9"/>
      <c r="G15" s="11"/>
      <c r="H15" s="9"/>
      <c r="I15" s="11"/>
      <c r="J15" s="9"/>
      <c r="K15" s="11"/>
      <c r="L15" s="9"/>
      <c r="M15" s="11"/>
      <c r="N15" s="9"/>
      <c r="O15" s="22"/>
      <c r="P15" s="16"/>
    </row>
    <row r="16" spans="1:16" hidden="1">
      <c r="A16" s="8"/>
      <c r="B16" s="16"/>
      <c r="C16" s="16"/>
      <c r="D16" s="16"/>
      <c r="E16" s="11"/>
      <c r="F16" s="9"/>
      <c r="G16" s="11"/>
      <c r="H16" s="9"/>
      <c r="I16" s="11"/>
      <c r="J16" s="9"/>
      <c r="K16" s="11"/>
      <c r="L16" s="9"/>
      <c r="M16" s="11"/>
      <c r="N16" s="9"/>
      <c r="O16" s="22"/>
      <c r="P16" s="16"/>
    </row>
    <row r="17" spans="1:16" hidden="1">
      <c r="A17" s="8"/>
      <c r="B17" s="16"/>
      <c r="C17" s="16"/>
      <c r="D17" s="16"/>
      <c r="E17" s="11"/>
      <c r="F17" s="9"/>
      <c r="G17" s="11"/>
      <c r="H17" s="9"/>
      <c r="I17" s="11"/>
      <c r="J17" s="9"/>
      <c r="K17" s="11"/>
      <c r="L17" s="9"/>
      <c r="M17" s="11"/>
      <c r="N17" s="9"/>
      <c r="O17" s="22"/>
      <c r="P17" s="16"/>
    </row>
    <row r="18" spans="1:16" hidden="1">
      <c r="A18" s="8"/>
      <c r="B18" s="16"/>
      <c r="C18" s="16"/>
      <c r="D18" s="16"/>
      <c r="E18" s="11"/>
      <c r="F18" s="9"/>
      <c r="G18" s="11"/>
      <c r="H18" s="9"/>
      <c r="I18" s="11"/>
      <c r="J18" s="9"/>
      <c r="K18" s="11"/>
      <c r="L18" s="9"/>
      <c r="M18" s="11"/>
      <c r="N18" s="9"/>
      <c r="O18" s="22"/>
      <c r="P18" s="16"/>
    </row>
    <row r="19" spans="1:16" hidden="1">
      <c r="A19" s="8"/>
      <c r="B19" s="16"/>
      <c r="C19" s="16"/>
      <c r="D19" s="16"/>
      <c r="E19" s="11"/>
      <c r="F19" s="9"/>
      <c r="G19" s="11"/>
      <c r="H19" s="9"/>
      <c r="I19" s="11"/>
      <c r="J19" s="9"/>
      <c r="K19" s="11"/>
      <c r="L19" s="9"/>
      <c r="M19" s="11"/>
      <c r="N19" s="9"/>
      <c r="O19" s="22"/>
      <c r="P19" s="16"/>
    </row>
    <row r="20" spans="1:16" hidden="1">
      <c r="A20" s="8"/>
      <c r="B20" s="16"/>
      <c r="C20" s="16"/>
      <c r="D20" s="16"/>
      <c r="E20" s="11"/>
      <c r="F20" s="9"/>
      <c r="G20" s="11"/>
      <c r="H20" s="9"/>
      <c r="I20" s="11"/>
      <c r="J20" s="9"/>
      <c r="K20" s="11"/>
      <c r="L20" s="9"/>
      <c r="M20" s="11"/>
      <c r="N20" s="9"/>
      <c r="O20" s="22"/>
      <c r="P20" s="16"/>
    </row>
    <row r="21" spans="1:16" hidden="1">
      <c r="A21" s="8"/>
      <c r="B21" s="16"/>
      <c r="C21" s="16"/>
      <c r="D21" s="16"/>
      <c r="E21" s="11"/>
      <c r="F21" s="9"/>
      <c r="G21" s="11"/>
      <c r="H21" s="9"/>
      <c r="I21" s="11"/>
      <c r="J21" s="9"/>
      <c r="K21" s="11"/>
      <c r="L21" s="9"/>
      <c r="M21" s="11"/>
      <c r="N21" s="9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s="42" customFormat="1" hidden="1">
      <c r="B90" s="43"/>
      <c r="C90" s="43"/>
      <c r="D90" s="43"/>
      <c r="E90" s="25"/>
      <c r="F90" s="25"/>
      <c r="G90" s="25">
        <f>SUM(G6:G89)</f>
        <v>0</v>
      </c>
      <c r="H90" s="25"/>
      <c r="I90" s="25">
        <f>SUM(I6:I89)</f>
        <v>0</v>
      </c>
      <c r="K90" s="45">
        <f>SUM(K6:K89)</f>
        <v>0</v>
      </c>
      <c r="M90" s="45">
        <f>SUM(M6:M89)</f>
        <v>0</v>
      </c>
      <c r="O90" s="44"/>
      <c r="P90" s="43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02" t="s">
        <v>21</v>
      </c>
      <c r="C1" s="303"/>
      <c r="D1" s="303"/>
      <c r="E1" s="303"/>
      <c r="F1" s="303"/>
    </row>
    <row r="2" spans="1:6" ht="25.5" customHeight="1">
      <c r="B2" s="303"/>
      <c r="C2" s="303"/>
      <c r="D2" s="303"/>
      <c r="E2" s="303"/>
      <c r="F2" s="303"/>
    </row>
    <row r="3" spans="1:6" ht="10.5" customHeight="1" thickBot="1">
      <c r="A3" s="304"/>
      <c r="B3" s="304"/>
      <c r="C3" s="304"/>
      <c r="D3" s="304"/>
      <c r="E3" s="304"/>
      <c r="F3" s="304"/>
    </row>
    <row r="4" spans="1:6" ht="31.5" customHeight="1">
      <c r="A4" s="32"/>
      <c r="B4" s="33" t="s">
        <v>22</v>
      </c>
      <c r="C4" s="34" t="s">
        <v>23</v>
      </c>
      <c r="D4" s="35" t="s">
        <v>24</v>
      </c>
      <c r="E4" s="305"/>
      <c r="F4" s="306"/>
    </row>
    <row r="5" spans="1:6" s="38" customFormat="1" ht="31.5" customHeight="1">
      <c r="A5" s="36"/>
      <c r="B5" s="37" t="s">
        <v>25</v>
      </c>
      <c r="C5" s="307" t="e">
        <f>#REF!</f>
        <v>#REF!</v>
      </c>
      <c r="D5" s="308"/>
      <c r="E5" s="308"/>
      <c r="F5" s="309"/>
    </row>
    <row r="6" spans="1:6" ht="21.95" customHeight="1">
      <c r="A6" s="36"/>
      <c r="B6" s="310" t="s">
        <v>26</v>
      </c>
      <c r="C6" s="313" t="s">
        <v>27</v>
      </c>
      <c r="D6" s="314"/>
      <c r="E6" s="314"/>
      <c r="F6" s="315"/>
    </row>
    <row r="7" spans="1:6" ht="21.95" customHeight="1">
      <c r="A7" s="36"/>
      <c r="B7" s="311"/>
      <c r="C7" s="316" t="s">
        <v>76</v>
      </c>
      <c r="D7" s="317"/>
      <c r="E7" s="317"/>
      <c r="F7" s="318"/>
    </row>
    <row r="8" spans="1:6" ht="21.95" customHeight="1">
      <c r="A8" s="36"/>
      <c r="B8" s="311"/>
      <c r="C8" s="316" t="s">
        <v>28</v>
      </c>
      <c r="D8" s="317"/>
      <c r="E8" s="317"/>
      <c r="F8" s="318"/>
    </row>
    <row r="9" spans="1:6" ht="21.95" customHeight="1">
      <c r="A9" s="36"/>
      <c r="B9" s="311"/>
      <c r="C9" s="319" t="s">
        <v>74</v>
      </c>
      <c r="D9" s="320"/>
      <c r="E9" s="320"/>
      <c r="F9" s="321"/>
    </row>
    <row r="10" spans="1:6" ht="21.95" customHeight="1">
      <c r="A10" s="36"/>
      <c r="B10" s="311"/>
      <c r="C10" s="319" t="s">
        <v>75</v>
      </c>
      <c r="D10" s="320"/>
      <c r="E10" s="320"/>
      <c r="F10" s="321"/>
    </row>
    <row r="11" spans="1:6" ht="21.95" customHeight="1">
      <c r="A11" s="36"/>
      <c r="B11" s="311"/>
      <c r="C11" s="319"/>
      <c r="D11" s="320"/>
      <c r="E11" s="320"/>
      <c r="F11" s="321"/>
    </row>
    <row r="12" spans="1:6" ht="21.95" customHeight="1">
      <c r="A12" s="36"/>
      <c r="B12" s="311"/>
      <c r="C12" s="319"/>
      <c r="D12" s="320"/>
      <c r="E12" s="320"/>
      <c r="F12" s="321"/>
    </row>
    <row r="13" spans="1:6" ht="21.95" customHeight="1">
      <c r="A13" s="36"/>
      <c r="B13" s="311"/>
      <c r="C13" s="319"/>
      <c r="D13" s="320"/>
      <c r="E13" s="320"/>
      <c r="F13" s="321"/>
    </row>
    <row r="14" spans="1:6" ht="21.95" customHeight="1">
      <c r="A14" s="36"/>
      <c r="B14" s="311"/>
      <c r="C14" s="319"/>
      <c r="D14" s="320"/>
      <c r="E14" s="320"/>
      <c r="F14" s="321"/>
    </row>
    <row r="15" spans="1:6" ht="21.95" customHeight="1">
      <c r="A15" s="36"/>
      <c r="B15" s="311"/>
      <c r="C15" s="319"/>
      <c r="D15" s="320"/>
      <c r="E15" s="320"/>
      <c r="F15" s="321"/>
    </row>
    <row r="16" spans="1:6" ht="21.95" customHeight="1">
      <c r="A16" s="36"/>
      <c r="B16" s="311"/>
      <c r="C16" s="319"/>
      <c r="D16" s="320"/>
      <c r="E16" s="320"/>
      <c r="F16" s="321"/>
    </row>
    <row r="17" spans="1:6" ht="21.95" customHeight="1">
      <c r="A17" s="36"/>
      <c r="B17" s="311"/>
      <c r="C17" s="319"/>
      <c r="D17" s="320"/>
      <c r="E17" s="320"/>
      <c r="F17" s="321"/>
    </row>
    <row r="18" spans="1:6" ht="21.95" customHeight="1">
      <c r="A18" s="36"/>
      <c r="B18" s="311"/>
      <c r="C18" s="319"/>
      <c r="D18" s="322"/>
      <c r="E18" s="322"/>
      <c r="F18" s="323"/>
    </row>
    <row r="19" spans="1:6" ht="19.899999999999999" customHeight="1">
      <c r="A19" s="36"/>
      <c r="B19" s="311"/>
      <c r="C19" s="319"/>
      <c r="D19" s="322"/>
      <c r="E19" s="322"/>
      <c r="F19" s="323"/>
    </row>
    <row r="20" spans="1:6" ht="21.95" customHeight="1">
      <c r="A20" s="36"/>
      <c r="B20" s="311"/>
      <c r="C20" s="324" t="s">
        <v>29</v>
      </c>
      <c r="D20" s="325"/>
      <c r="E20" s="325"/>
      <c r="F20" s="326"/>
    </row>
    <row r="21" spans="1:6" ht="21.95" customHeight="1">
      <c r="A21" s="36"/>
      <c r="B21" s="311"/>
      <c r="C21" s="324" t="s">
        <v>30</v>
      </c>
      <c r="D21" s="325"/>
      <c r="E21" s="325"/>
      <c r="F21" s="326"/>
    </row>
    <row r="22" spans="1:6" ht="21.95" customHeight="1">
      <c r="A22" s="36"/>
      <c r="B22" s="311"/>
      <c r="C22" s="319" t="s">
        <v>31</v>
      </c>
      <c r="D22" s="322"/>
      <c r="E22" s="322"/>
      <c r="F22" s="323"/>
    </row>
    <row r="23" spans="1:6" ht="21.95" customHeight="1">
      <c r="A23" s="36"/>
      <c r="B23" s="311"/>
      <c r="C23" s="319" t="s">
        <v>32</v>
      </c>
      <c r="D23" s="322"/>
      <c r="E23" s="322"/>
      <c r="F23" s="323"/>
    </row>
    <row r="24" spans="1:6" ht="21.95" customHeight="1">
      <c r="A24" s="36"/>
      <c r="B24" s="311"/>
      <c r="C24" s="319" t="s">
        <v>33</v>
      </c>
      <c r="D24" s="322"/>
      <c r="E24" s="322"/>
      <c r="F24" s="323"/>
    </row>
    <row r="25" spans="1:6" ht="21.95" customHeight="1">
      <c r="A25" s="36"/>
      <c r="B25" s="311"/>
      <c r="C25" s="324" t="s">
        <v>34</v>
      </c>
      <c r="D25" s="329"/>
      <c r="E25" s="329"/>
      <c r="F25" s="330"/>
    </row>
    <row r="26" spans="1:6" ht="21.95" customHeight="1">
      <c r="A26" s="36"/>
      <c r="B26" s="311"/>
      <c r="C26" s="324"/>
      <c r="D26" s="329"/>
      <c r="E26" s="329"/>
      <c r="F26" s="330"/>
    </row>
    <row r="27" spans="1:6" ht="21.95" customHeight="1">
      <c r="A27" s="36"/>
      <c r="B27" s="311"/>
      <c r="C27" s="324"/>
      <c r="D27" s="329"/>
      <c r="E27" s="329"/>
      <c r="F27" s="330"/>
    </row>
    <row r="28" spans="1:6" ht="21.95" customHeight="1">
      <c r="A28" s="36"/>
      <c r="B28" s="312"/>
      <c r="C28" s="331"/>
      <c r="D28" s="332"/>
      <c r="E28" s="332"/>
      <c r="F28" s="333"/>
    </row>
    <row r="29" spans="1:6" ht="50.1" customHeight="1">
      <c r="A29" s="36"/>
      <c r="B29" s="37" t="s">
        <v>35</v>
      </c>
      <c r="C29" s="39" t="s">
        <v>36</v>
      </c>
      <c r="D29" s="327" t="s">
        <v>37</v>
      </c>
      <c r="E29" s="327"/>
      <c r="F29" s="328"/>
    </row>
    <row r="30" spans="1:6" ht="50.1" customHeight="1">
      <c r="A30" s="36"/>
      <c r="B30" s="37" t="s">
        <v>38</v>
      </c>
      <c r="C30" s="39" t="s">
        <v>81</v>
      </c>
      <c r="D30" s="327" t="s">
        <v>39</v>
      </c>
      <c r="E30" s="327"/>
      <c r="F30" s="328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2025-11-24T06:01:59Z</dcterms:modified>
</cp:coreProperties>
</file>
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D45823E-3DC3-4D2F-B9D3-54AC449492FA}" xr6:coauthVersionLast="36" xr6:coauthVersionMax="47" xr10:uidLastSave="{00000000-0000-0000-0000-000000000000}"/>
  <bookViews>
    <workbookView xWindow="-45" yWindow="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7" i="9" l="1"/>
  <c r="H7" i="9"/>
  <c r="N7" i="9"/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6" i="9"/>
  <c r="F6" i="9"/>
  <c r="H5" i="9"/>
  <c r="F5" i="9"/>
  <c r="L33" i="9" l="1"/>
  <c r="J33" i="9"/>
  <c r="N14" i="9"/>
  <c r="N9" i="9"/>
  <c r="N15" i="9"/>
  <c r="N17" i="9"/>
  <c r="N6" i="9"/>
  <c r="F30" i="9"/>
  <c r="N27" i="9"/>
  <c r="H18" i="9"/>
  <c r="N23" i="9"/>
  <c r="N28" i="9"/>
  <c r="N11" i="9"/>
  <c r="F13" i="9"/>
  <c r="N16" i="9"/>
  <c r="H30" i="9"/>
  <c r="H13" i="9"/>
  <c r="N26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<sst xmlns="http://schemas.openxmlformats.org/spreadsheetml/2006/main" count="240" uniqueCount="172">
  <si>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</si>
  <si>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</si>
  <si>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</si>
  <si>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</si>
  <si>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</si>
  <si>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</si>
  <si>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</si>
  <si>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</si>
  <si>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</si>
  <si>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</si>
  <si>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</si>
  <si>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</si>
  <si>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</si>
  <si>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</si>
  <si>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</si>
  <si>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</si>
  <si>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</si>
  <si>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</si>
  <si>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</si>
  <si>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</si>
  <si>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</si>
  <si>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</si>
  <si>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</si>
  <si>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</si>
  <si>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</si>
  <si>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</si>
  <si>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</si>
  <si>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</si>
  <si>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</si>
  <si>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</si>
  <si>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</si>
  <si>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</si>
  <si>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</si>
  <si>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</si>
  <si>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</si>
  <si>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</si>
  <si>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</si>
  <si>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</si>
  <si>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</si>
  <si>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</si>
  <si>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</si>
  <si>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</si>
  <si>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</si>
  <si>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</si>
  <si>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</si>
  <si>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</si>
  <si>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</si>
  <si>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</si>
  <si>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</si>
  <si>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</si>
  <si>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</si>
  <si>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</si>
  <si>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</si>
  <si>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</si>
  <si>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</si>
  <si>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</si>
  <si>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</si>
  <si>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</si>
  <si>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</si>
  <si>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</si>
  <si>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</si>
  <si>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</si>
  <si>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</si>
  <si>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</si>
  <si>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</si>
  <si>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</si>
  <si>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</si>
  <si>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</si>
  <si>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</si>
  <si>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</si>
  <si>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</si>
  <si>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</si>
  <si>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</si>
  <si>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</si>
  <si>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</si>
  <si>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</si>
  <si>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</si>
  <si>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</si>
  <si>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</si>
  <si>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</si>
  <si>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</si>
  <si>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</si>
  <si>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</si>
  <si>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</si>
  <si>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</si>
  <si>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</si>
  <si>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</si>
  <si>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</si>
  <si>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</si>
  <si>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</si>
  <si>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</si>
  <si>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</si>
  <si>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</si>
  <si>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</si>
  <si>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</si>
  <si>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</si>
  <si>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</si>
  <si>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</si>
  <si>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</si>
  <si>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</si>
  <si>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</si>
  <si>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</si>
  <si>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</si>
  <si>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</si>
  <si>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</si>
  <si>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</si>
  <si>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</si>
  <si>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</si>
  <si>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</si>
  <si>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</si>
  <si>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</si>
  <si>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</si>
  <si>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</si>
  <si>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</si>
  <si>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</si>
  <si>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</si>
  <si>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</si>
  <si>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</si>
  <si>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</si>
  <si>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</si>
  <si>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</si>
  <si>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</si>
  <si>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</si>
  <si>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</si>
  <si>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</si>
  <si>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</si>
  <si>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</si>
  <si>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</si>
  <si>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</si>
  <si>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</si>
  <si>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</si>
  <si>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</si>
  <si>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</si>
  <si>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</si>
  <si>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</si>
  <si>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</si>
  <si>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</si>
  <si>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</si>
  <si>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</si>
  <si>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</si>
  <si>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</si>
  <si>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</si>
  <si>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</si>
  <si>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</si>
  <si>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</si>
  <si>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</si>
  <si>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</si>
  <si>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</si>
  <si>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</si>
  <si>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</si>
  <si>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</si>
  <si>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</si>
  <si>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</si>
  <si>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</si>
  <si>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</si>
  <si>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</si>
  <si>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</si>
  <si>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</si>
  <si>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</si>
  <si>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</si>
  <si>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</si>
  <si>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</si>
  <si>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</si>
  <si>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</si>
  <si>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</si>
  <si>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</si>
  <si>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</si>
  <si>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 xml:space="preserve"> 공사명 : 사택 8-506 수장공사</t>
    <phoneticPr fontId="11" type="noConversion"/>
  </si>
  <si>
    <t xml:space="preserve"> 견적일 : 2026년  01월  00일</t>
    <phoneticPr fontId="11" type="noConversion"/>
  </si>
  <si>
    <t>사택 8-506 수장공사</t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</si>
  <si>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시공총량24㎡/일당35㎡=0.6857</t>
    </r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</si>
  <si>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소요량160/16.51=9.691R/L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</si>
</sst>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9" t="s">
        <v>6</v>
      </c>
      <c r="B2" s="169"/>
      <c r="C2" s="169"/>
      <c r="D2" s="169"/>
      <c r="E2" s="169"/>
      <c r="F2" s="169"/>
      <c r="G2" s="169"/>
      <c r="H2" s="2"/>
    </row>
    <row r="3" spans="1:9" ht="13.5">
      <c r="A3" s="131"/>
      <c r="B3" s="131"/>
      <c r="C3" s="131"/>
      <c r="D3" s="131"/>
      <c r="E3" s="131"/>
      <c r="F3" s="131"/>
      <c r="G3" s="131"/>
      <c r="H3" s="131"/>
    </row>
    <row r="4" spans="1:9" ht="13.5">
      <c r="A4" s="131"/>
      <c r="B4" s="131"/>
      <c r="C4" s="131"/>
      <c r="D4" s="131"/>
      <c r="E4" s="131"/>
      <c r="H4" s="131"/>
    </row>
    <row r="5" spans="1:9" ht="27" customHeight="1">
      <c r="A5" s="132" t="s">
        <v>49</v>
      </c>
      <c r="B5" s="4"/>
      <c r="C5" s="5"/>
      <c r="D5" s="131"/>
      <c r="E5" s="131"/>
      <c r="F5" s="6" t="s">
        <v>39</v>
      </c>
      <c r="G5" s="7" t="s">
        <v>53</v>
      </c>
      <c r="H5" s="131"/>
    </row>
    <row r="6" spans="1:9" ht="27" customHeight="1">
      <c r="A6" s="131"/>
      <c r="B6" s="131"/>
      <c r="C6" s="131"/>
      <c r="D6" s="131"/>
      <c r="E6" s="131"/>
      <c r="F6" s="8" t="s">
        <v>42</v>
      </c>
      <c r="G6" s="9" t="s">
        <v>54</v>
      </c>
      <c r="H6" s="131"/>
    </row>
    <row r="7" spans="1:9" ht="27" customHeight="1">
      <c r="A7" s="172" t="s">
        <v>167</v>
      </c>
      <c r="B7" s="173"/>
      <c r="C7" s="174"/>
      <c r="D7" s="131"/>
      <c r="E7" s="10"/>
      <c r="F7" s="11" t="s">
        <v>43</v>
      </c>
      <c r="G7" s="9" t="s">
        <v>55</v>
      </c>
      <c r="H7" s="131"/>
    </row>
    <row r="8" spans="1:9" ht="27" customHeight="1">
      <c r="A8" s="131"/>
      <c r="B8" s="131"/>
      <c r="C8" s="131"/>
      <c r="D8" s="131"/>
      <c r="E8" s="131"/>
      <c r="F8" s="8" t="s">
        <v>44</v>
      </c>
      <c r="G8" s="9" t="s">
        <v>56</v>
      </c>
      <c r="H8" s="131"/>
    </row>
    <row r="9" spans="1:9" ht="27" customHeight="1">
      <c r="A9" s="172" t="s">
        <v>168</v>
      </c>
      <c r="B9" s="173"/>
      <c r="C9" s="174"/>
      <c r="D9" s="131"/>
      <c r="E9" s="131"/>
      <c r="F9" s="8" t="s">
        <v>45</v>
      </c>
      <c r="G9" s="9" t="s">
        <v>57</v>
      </c>
      <c r="H9" s="131"/>
    </row>
    <row r="10" spans="1:9" ht="27" customHeight="1">
      <c r="A10" s="131"/>
      <c r="B10" s="131"/>
      <c r="C10" s="131"/>
      <c r="D10" s="131"/>
      <c r="E10" s="131"/>
      <c r="F10" s="12" t="s">
        <v>40</v>
      </c>
      <c r="G10" s="13" t="s">
        <v>58</v>
      </c>
      <c r="H10" s="131"/>
      <c r="I10" s="131"/>
    </row>
    <row r="11" spans="1:9" ht="27" customHeight="1">
      <c r="A11" s="170"/>
      <c r="B11" s="171"/>
      <c r="C11" s="171"/>
      <c r="D11" s="131"/>
      <c r="E11" s="14"/>
      <c r="F11" s="15" t="s">
        <v>41</v>
      </c>
      <c r="G11" s="16" t="s">
        <v>59</v>
      </c>
      <c r="H11" s="14"/>
    </row>
    <row r="12" spans="1:9" ht="19.5" thickBot="1">
      <c r="A12" s="17" t="s">
        <v>7</v>
      </c>
      <c r="B12" s="17" t="str">
        <f>NUMBERSTRING(F31,1)</f>
        <v>사백육십만삼천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31"/>
      <c r="B13" s="131"/>
      <c r="C13" s="131"/>
      <c r="D13" s="131"/>
      <c r="E13" s="131"/>
      <c r="F13" s="131"/>
      <c r="G13" s="131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'내역서(표준단가)'!O19</f>
        <v>857337.83649999998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'내역서(표준단가)'!Q19</f>
        <v>3054306.9206659999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3911644.7571660001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137443.81142997</v>
      </c>
      <c r="G21" s="35" t="s">
        <v>26</v>
      </c>
    </row>
    <row r="22" spans="1:7" ht="33" customHeight="1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108275.18033760971</v>
      </c>
      <c r="G22" s="48" t="s">
        <v>28</v>
      </c>
    </row>
    <row r="23" spans="1:7" ht="33" customHeight="1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14021.635853720458</v>
      </c>
      <c r="G23" s="35" t="s">
        <v>28</v>
      </c>
    </row>
    <row r="24" spans="1:7" ht="33" customHeight="1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30848.499898726597</v>
      </c>
      <c r="G24" s="35" t="s">
        <v>28</v>
      </c>
    </row>
    <row r="25" spans="1:7" ht="33" customHeight="1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108733.3263757096</v>
      </c>
      <c r="G25" s="35" t="s">
        <v>28</v>
      </c>
    </row>
    <row r="26" spans="1:7" ht="33" customHeight="1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114611.19138496381</v>
      </c>
      <c r="G26" s="35" t="s">
        <v>26</v>
      </c>
    </row>
    <row r="27" spans="1:7" ht="33" customHeight="1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178412.028297335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692345.6735780352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4603990.4307440352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4603000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Z11" sqref="Z11"/>
    </sheetView>
  </sheetViews>
  <sheetFormatPr defaultColWidth="9" defaultRowHeight="38.1" customHeight="1"/>
  <cols>
    <col min="1" max="1" width="20.5" style="166" bestFit="1" customWidth="1"/>
    <col min="2" max="5" width="4.625" style="166" hidden="1" customWidth="1"/>
    <col min="6" max="6" width="9" style="152" hidden="1" customWidth="1"/>
    <col min="7" max="9" width="12.625" style="152" hidden="1" customWidth="1"/>
    <col min="10" max="11" width="30.625" style="146" customWidth="1"/>
    <col min="12" max="12" width="12.25" style="152" bestFit="1" customWidth="1"/>
    <col min="13" max="13" width="8.25" style="152" customWidth="1"/>
    <col min="14" max="14" width="10.625" style="152" bestFit="1" customWidth="1"/>
    <col min="15" max="15" width="12.75" style="152" bestFit="1" customWidth="1"/>
    <col min="16" max="16" width="12" style="152" bestFit="1" customWidth="1"/>
    <col min="17" max="17" width="15" style="152" bestFit="1" customWidth="1"/>
    <col min="18" max="18" width="9" style="152" customWidth="1"/>
    <col min="19" max="19" width="8.375" style="152" bestFit="1" customWidth="1"/>
    <col min="20" max="20" width="10.5" style="152" customWidth="1"/>
    <col min="21" max="21" width="8.375" style="152" bestFit="1" customWidth="1"/>
    <col min="22" max="22" width="15.625" style="152" bestFit="1" customWidth="1"/>
    <col min="23" max="23" width="10.625" style="66" bestFit="1" customWidth="1"/>
    <col min="24" max="24" width="8.5" style="152" bestFit="1" customWidth="1"/>
    <col min="25" max="16384" width="9" style="152"/>
  </cols>
  <sheetData>
    <row r="1" spans="1:24" ht="19.899999999999999" customHeight="1">
      <c r="A1" s="175"/>
      <c r="B1" s="175"/>
      <c r="C1" s="175"/>
      <c r="D1" s="175"/>
      <c r="E1" s="175"/>
      <c r="F1" s="175"/>
      <c r="G1" s="175"/>
      <c r="H1" s="175"/>
      <c r="I1" s="175"/>
      <c r="N1" s="66"/>
      <c r="O1" s="150" t="s">
        <v>100</v>
      </c>
      <c r="Q1" s="150" t="s">
        <v>100</v>
      </c>
      <c r="S1" s="150" t="s">
        <v>100</v>
      </c>
      <c r="U1" s="150" t="s">
        <v>100</v>
      </c>
    </row>
    <row r="2" spans="1:24" ht="19.899999999999999" customHeight="1" thickBot="1">
      <c r="A2" s="175"/>
      <c r="B2" s="175"/>
      <c r="C2" s="175"/>
      <c r="D2" s="175"/>
      <c r="E2" s="175"/>
      <c r="F2" s="175"/>
      <c r="G2" s="175"/>
      <c r="H2" s="175"/>
      <c r="I2" s="175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53"/>
      <c r="B3" s="154"/>
      <c r="C3" s="154"/>
      <c r="D3" s="154"/>
      <c r="E3" s="154"/>
      <c r="F3" s="154" t="s">
        <v>101</v>
      </c>
      <c r="G3" s="154"/>
      <c r="H3" s="154"/>
      <c r="I3" s="154"/>
      <c r="J3" s="186" t="s">
        <v>102</v>
      </c>
      <c r="K3" s="186"/>
      <c r="L3" s="184" t="s">
        <v>48</v>
      </c>
      <c r="M3" s="184" t="s">
        <v>5</v>
      </c>
      <c r="N3" s="180" t="s">
        <v>103</v>
      </c>
      <c r="O3" s="180"/>
      <c r="P3" s="180" t="s">
        <v>104</v>
      </c>
      <c r="Q3" s="180"/>
      <c r="R3" s="181" t="s">
        <v>105</v>
      </c>
      <c r="S3" s="181"/>
      <c r="T3" s="181" t="s">
        <v>106</v>
      </c>
      <c r="U3" s="181"/>
      <c r="V3" s="182" t="s">
        <v>107</v>
      </c>
      <c r="W3" s="178" t="s">
        <v>108</v>
      </c>
      <c r="X3" s="176" t="s">
        <v>46</v>
      </c>
    </row>
    <row r="4" spans="1:24" ht="19.899999999999999" customHeight="1">
      <c r="A4" s="69" t="s">
        <v>109</v>
      </c>
      <c r="B4" s="151"/>
      <c r="C4" s="151"/>
      <c r="D4" s="151"/>
      <c r="E4" s="151"/>
      <c r="F4" s="70" t="s">
        <v>110</v>
      </c>
      <c r="G4" s="70" t="s">
        <v>111</v>
      </c>
      <c r="H4" s="70" t="s">
        <v>112</v>
      </c>
      <c r="I4" s="70" t="s">
        <v>113</v>
      </c>
      <c r="J4" s="147" t="s">
        <v>114</v>
      </c>
      <c r="K4" s="147" t="s">
        <v>115</v>
      </c>
      <c r="L4" s="185"/>
      <c r="M4" s="185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3"/>
      <c r="W4" s="179"/>
      <c r="X4" s="177"/>
    </row>
    <row r="5" spans="1:24" s="155" customFormat="1" ht="38.1" customHeight="1">
      <c r="A5" s="73" t="str">
        <f t="shared" ref="A5:A6" si="0">F5&amp;G5&amp;H5&amp;I5</f>
        <v>M020853710050101</v>
      </c>
      <c r="B5" s="108"/>
      <c r="C5" s="108"/>
      <c r="D5" s="108"/>
      <c r="E5" s="108"/>
      <c r="F5" s="102"/>
      <c r="G5" s="74"/>
      <c r="H5" s="74" t="s">
        <v>155</v>
      </c>
      <c r="I5" s="102"/>
      <c r="J5" s="145" t="s">
        <v>156</v>
      </c>
      <c r="K5" s="145" t="s">
        <v>171</v>
      </c>
      <c r="L5" s="122" t="s">
        <v>164</v>
      </c>
      <c r="M5" s="144">
        <v>9.6910000000000007</v>
      </c>
      <c r="N5" s="167">
        <v>20900</v>
      </c>
      <c r="O5" s="139">
        <f t="shared" ref="O5" si="1">SUM(N5:N5)*M5*$O$2</f>
        <v>169122.4865</v>
      </c>
      <c r="P5" s="138"/>
      <c r="Q5" s="139">
        <f t="shared" ref="Q5:Q17" si="2">(P5*M5)*$Q$2</f>
        <v>0</v>
      </c>
      <c r="R5" s="140"/>
      <c r="S5" s="139">
        <f t="shared" ref="S5:S17" si="3">R5*M5*$S$2</f>
        <v>0</v>
      </c>
      <c r="T5" s="140"/>
      <c r="U5" s="139">
        <f t="shared" ref="U5:U17" si="4">T5*M5*$U$2</f>
        <v>0</v>
      </c>
      <c r="V5" s="77">
        <f t="shared" ref="V5:V17" si="5">SUM(O5+Q5)+S5+U5</f>
        <v>169122.4865</v>
      </c>
      <c r="W5" s="121"/>
      <c r="X5" s="78"/>
    </row>
    <row r="6" spans="1:24" s="155" customFormat="1" ht="38.1" customHeight="1">
      <c r="A6" s="73" t="str">
        <f t="shared" si="0"/>
        <v>E00000803071260301</v>
      </c>
      <c r="B6" s="108"/>
      <c r="C6" s="108"/>
      <c r="D6" s="108"/>
      <c r="E6" s="108"/>
      <c r="F6" s="102"/>
      <c r="G6" s="74" t="s">
        <v>120</v>
      </c>
      <c r="H6" s="74"/>
      <c r="I6" s="102"/>
      <c r="J6" s="145" t="s">
        <v>122</v>
      </c>
      <c r="K6" s="145" t="s">
        <v>165</v>
      </c>
      <c r="L6" s="75" t="s">
        <v>121</v>
      </c>
      <c r="M6" s="144">
        <v>2.956</v>
      </c>
      <c r="N6" s="141"/>
      <c r="O6" s="139">
        <f t="shared" ref="O6" si="6">SUM(N6:N6)*M6*$O$2</f>
        <v>0</v>
      </c>
      <c r="P6" s="138">
        <v>487076</v>
      </c>
      <c r="Q6" s="139">
        <f t="shared" ref="Q6" si="7">(P6*M6)*$Q$2</f>
        <v>1202230.2077599999</v>
      </c>
      <c r="R6" s="140"/>
      <c r="S6" s="139">
        <f t="shared" ref="S6" si="8">R6*M6*$S$2</f>
        <v>0</v>
      </c>
      <c r="T6" s="140"/>
      <c r="U6" s="139">
        <f t="shared" ref="U6" si="9">T6*M6*$U$2</f>
        <v>0</v>
      </c>
      <c r="V6" s="77">
        <f t="shared" ref="V6" si="10">SUM(O6+Q6)+S6+U6</f>
        <v>1202230.2077599999</v>
      </c>
      <c r="W6" s="121"/>
      <c r="X6" s="78"/>
    </row>
    <row r="7" spans="1:24" s="155" customFormat="1" ht="38.1" customHeight="1">
      <c r="A7" s="73" t="str">
        <f t="shared" ref="A7:A18" si="11">F7&amp;G7&amp;H7&amp;I7</f>
        <v>E00000803071260301</v>
      </c>
      <c r="B7" s="108"/>
      <c r="C7" s="108"/>
      <c r="D7" s="108"/>
      <c r="E7" s="108"/>
      <c r="F7" s="102"/>
      <c r="G7" s="74" t="s">
        <v>120</v>
      </c>
      <c r="H7" s="74"/>
      <c r="I7" s="102"/>
      <c r="J7" s="145" t="s">
        <v>123</v>
      </c>
      <c r="K7" s="145" t="s">
        <v>170</v>
      </c>
      <c r="L7" s="75" t="s">
        <v>121</v>
      </c>
      <c r="M7" s="144">
        <v>0.68569999999999998</v>
      </c>
      <c r="N7" s="141"/>
      <c r="O7" s="139">
        <f t="shared" ref="O7:O17" si="12">SUM(N7:N7)*M7*$O$2</f>
        <v>0</v>
      </c>
      <c r="P7" s="138">
        <v>487076</v>
      </c>
      <c r="Q7" s="139">
        <f t="shared" si="2"/>
        <v>278879.99102199997</v>
      </c>
      <c r="R7" s="140"/>
      <c r="S7" s="139">
        <f t="shared" si="3"/>
        <v>0</v>
      </c>
      <c r="T7" s="140"/>
      <c r="U7" s="139">
        <f t="shared" si="4"/>
        <v>0</v>
      </c>
      <c r="V7" s="77">
        <f t="shared" si="5"/>
        <v>278879.99102199997</v>
      </c>
      <c r="W7" s="121"/>
      <c r="X7" s="78"/>
    </row>
    <row r="8" spans="1:24" s="155" customFormat="1" ht="38.1" customHeight="1">
      <c r="A8" s="73" t="str">
        <f t="shared" si="11"/>
        <v>M020809012520101</v>
      </c>
      <c r="B8" s="108"/>
      <c r="C8" s="108"/>
      <c r="D8" s="108"/>
      <c r="E8" s="108"/>
      <c r="F8" s="102"/>
      <c r="G8" s="74"/>
      <c r="H8" s="74" t="s">
        <v>158</v>
      </c>
      <c r="I8" s="102"/>
      <c r="J8" s="145" t="s">
        <v>159</v>
      </c>
      <c r="K8" s="145" t="s">
        <v>160</v>
      </c>
      <c r="L8" s="122" t="s">
        <v>157</v>
      </c>
      <c r="M8" s="144">
        <v>59.5</v>
      </c>
      <c r="N8" s="142">
        <v>13000</v>
      </c>
      <c r="O8" s="139">
        <f t="shared" si="12"/>
        <v>645872.5</v>
      </c>
      <c r="P8" s="138"/>
      <c r="Q8" s="139">
        <f t="shared" si="2"/>
        <v>0</v>
      </c>
      <c r="R8" s="140"/>
      <c r="S8" s="139">
        <f t="shared" si="3"/>
        <v>0</v>
      </c>
      <c r="T8" s="140"/>
      <c r="U8" s="139">
        <f t="shared" si="4"/>
        <v>0</v>
      </c>
      <c r="V8" s="77">
        <f t="shared" si="5"/>
        <v>645872.5</v>
      </c>
      <c r="W8" s="121"/>
      <c r="X8" s="78"/>
    </row>
    <row r="9" spans="1:24" s="155" customFormat="1" ht="38.1" customHeight="1">
      <c r="A9" s="73" t="str">
        <f t="shared" si="11"/>
        <v>E00000803071260401</v>
      </c>
      <c r="B9" s="108"/>
      <c r="C9" s="108"/>
      <c r="D9" s="108"/>
      <c r="E9" s="108"/>
      <c r="F9" s="102"/>
      <c r="G9" s="74" t="s">
        <v>124</v>
      </c>
      <c r="H9" s="74"/>
      <c r="I9" s="102"/>
      <c r="J9" s="145" t="s">
        <v>125</v>
      </c>
      <c r="K9" s="145" t="s">
        <v>166</v>
      </c>
      <c r="L9" s="75" t="s">
        <v>121</v>
      </c>
      <c r="M9" s="144">
        <v>0.97540000000000004</v>
      </c>
      <c r="N9" s="141"/>
      <c r="O9" s="139">
        <f t="shared" si="12"/>
        <v>0</v>
      </c>
      <c r="P9" s="138">
        <v>487076</v>
      </c>
      <c r="Q9" s="139">
        <f t="shared" si="2"/>
        <v>396703.43188400002</v>
      </c>
      <c r="R9" s="140"/>
      <c r="S9" s="139">
        <f t="shared" si="3"/>
        <v>0</v>
      </c>
      <c r="T9" s="140"/>
      <c r="U9" s="139">
        <f t="shared" si="4"/>
        <v>0</v>
      </c>
      <c r="V9" s="77">
        <f t="shared" si="5"/>
        <v>396703.43188400002</v>
      </c>
      <c r="W9" s="121"/>
      <c r="X9" s="78"/>
    </row>
    <row r="10" spans="1:24" s="155" customFormat="1" ht="38.1" customHeight="1">
      <c r="A10" s="73" t="str">
        <f t="shared" si="11"/>
        <v>M020412614110102</v>
      </c>
      <c r="B10" s="108"/>
      <c r="C10" s="108"/>
      <c r="D10" s="108"/>
      <c r="E10" s="108"/>
      <c r="F10" s="102"/>
      <c r="G10" s="74"/>
      <c r="H10" s="134" t="s">
        <v>150</v>
      </c>
      <c r="I10" s="102"/>
      <c r="J10" s="148" t="s">
        <v>149</v>
      </c>
      <c r="K10" s="148" t="s">
        <v>144</v>
      </c>
      <c r="L10" s="135" t="s">
        <v>143</v>
      </c>
      <c r="M10" s="144">
        <v>0.5</v>
      </c>
      <c r="N10" s="143">
        <v>65500</v>
      </c>
      <c r="O10" s="139">
        <f t="shared" si="12"/>
        <v>27346.25</v>
      </c>
      <c r="P10" s="138"/>
      <c r="Q10" s="139"/>
      <c r="R10" s="140"/>
      <c r="S10" s="139"/>
      <c r="T10" s="140"/>
      <c r="U10" s="139"/>
      <c r="V10" s="77">
        <f t="shared" si="5"/>
        <v>27346.25</v>
      </c>
      <c r="W10" s="121"/>
      <c r="X10" s="78"/>
    </row>
    <row r="11" spans="1:24" s="155" customFormat="1" ht="38.1" customHeight="1">
      <c r="A11" s="73" t="str">
        <f t="shared" si="11"/>
        <v>E00000803061120402</v>
      </c>
      <c r="B11" s="108"/>
      <c r="C11" s="108"/>
      <c r="D11" s="108"/>
      <c r="E11" s="108"/>
      <c r="F11" s="102"/>
      <c r="G11" s="74" t="s">
        <v>126</v>
      </c>
      <c r="H11" s="74"/>
      <c r="I11" s="102"/>
      <c r="J11" s="145" t="s">
        <v>127</v>
      </c>
      <c r="K11" s="145" t="s">
        <v>128</v>
      </c>
      <c r="L11" s="122" t="s">
        <v>141</v>
      </c>
      <c r="M11" s="144">
        <v>48</v>
      </c>
      <c r="N11" s="138"/>
      <c r="O11" s="139">
        <f t="shared" si="12"/>
        <v>0</v>
      </c>
      <c r="P11" s="138">
        <v>10432</v>
      </c>
      <c r="Q11" s="139">
        <f t="shared" si="2"/>
        <v>418114.56</v>
      </c>
      <c r="R11" s="140"/>
      <c r="S11" s="139">
        <f t="shared" si="3"/>
        <v>0</v>
      </c>
      <c r="T11" s="140"/>
      <c r="U11" s="139">
        <f t="shared" si="4"/>
        <v>0</v>
      </c>
      <c r="V11" s="77">
        <f t="shared" si="5"/>
        <v>418114.56</v>
      </c>
      <c r="W11" s="121"/>
      <c r="X11" s="78"/>
    </row>
    <row r="12" spans="1:24" s="155" customFormat="1" ht="38.1" customHeight="1">
      <c r="A12" s="73" t="str">
        <f t="shared" si="11"/>
        <v>E00000803061300201</v>
      </c>
      <c r="B12" s="108"/>
      <c r="C12" s="108"/>
      <c r="D12" s="108"/>
      <c r="E12" s="108"/>
      <c r="F12" s="102"/>
      <c r="G12" s="74" t="s">
        <v>130</v>
      </c>
      <c r="H12" s="74"/>
      <c r="I12" s="102"/>
      <c r="J12" s="145" t="s">
        <v>131</v>
      </c>
      <c r="K12" s="145" t="s">
        <v>132</v>
      </c>
      <c r="L12" s="122" t="s">
        <v>129</v>
      </c>
      <c r="M12" s="144">
        <v>48</v>
      </c>
      <c r="N12" s="138"/>
      <c r="O12" s="139">
        <f t="shared" si="12"/>
        <v>0</v>
      </c>
      <c r="P12" s="138">
        <v>6179</v>
      </c>
      <c r="Q12" s="139">
        <f t="shared" si="2"/>
        <v>247654.31999999998</v>
      </c>
      <c r="R12" s="140"/>
      <c r="S12" s="139">
        <f t="shared" si="3"/>
        <v>0</v>
      </c>
      <c r="T12" s="140"/>
      <c r="U12" s="139">
        <f t="shared" si="4"/>
        <v>0</v>
      </c>
      <c r="V12" s="77">
        <f t="shared" si="5"/>
        <v>247654.31999999998</v>
      </c>
      <c r="W12" s="121"/>
      <c r="X12" s="78"/>
    </row>
    <row r="13" spans="1:24" s="155" customFormat="1" ht="38.1" customHeight="1">
      <c r="A13" s="73" t="str">
        <f t="shared" si="11"/>
        <v>M020411810170101</v>
      </c>
      <c r="B13" s="108"/>
      <c r="C13" s="108"/>
      <c r="D13" s="108"/>
      <c r="E13" s="108"/>
      <c r="F13" s="102"/>
      <c r="G13" s="74"/>
      <c r="H13" s="134" t="s">
        <v>145</v>
      </c>
      <c r="I13" s="102"/>
      <c r="J13" s="148" t="s">
        <v>146</v>
      </c>
      <c r="K13" s="148" t="s">
        <v>147</v>
      </c>
      <c r="L13" s="135" t="s">
        <v>143</v>
      </c>
      <c r="M13" s="144">
        <v>0.2</v>
      </c>
      <c r="N13" s="143">
        <v>89800</v>
      </c>
      <c r="O13" s="139">
        <f t="shared" si="12"/>
        <v>14996.599999999999</v>
      </c>
      <c r="P13" s="138"/>
      <c r="Q13" s="139"/>
      <c r="R13" s="140"/>
      <c r="S13" s="139">
        <f t="shared" si="3"/>
        <v>0</v>
      </c>
      <c r="T13" s="140"/>
      <c r="U13" s="139">
        <f t="shared" si="4"/>
        <v>0</v>
      </c>
      <c r="V13" s="77">
        <f t="shared" si="5"/>
        <v>14996.599999999999</v>
      </c>
      <c r="W13" s="121"/>
      <c r="X13" s="78"/>
    </row>
    <row r="14" spans="1:24" s="155" customFormat="1" ht="38.1" customHeight="1">
      <c r="A14" s="73" t="str">
        <f t="shared" si="11"/>
        <v>E00000803061120802</v>
      </c>
      <c r="B14" s="108"/>
      <c r="C14" s="108"/>
      <c r="D14" s="108"/>
      <c r="E14" s="108"/>
      <c r="F14" s="102"/>
      <c r="G14" s="74" t="s">
        <v>133</v>
      </c>
      <c r="H14" s="74"/>
      <c r="I14" s="102"/>
      <c r="J14" s="145" t="s">
        <v>134</v>
      </c>
      <c r="K14" s="145" t="s">
        <v>135</v>
      </c>
      <c r="L14" s="122" t="s">
        <v>129</v>
      </c>
      <c r="M14" s="144">
        <v>16</v>
      </c>
      <c r="N14" s="156"/>
      <c r="O14" s="76">
        <f t="shared" si="12"/>
        <v>0</v>
      </c>
      <c r="P14" s="157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1"/>
      <c r="X14" s="78"/>
    </row>
    <row r="15" spans="1:24" s="155" customFormat="1" ht="38.1" customHeight="1">
      <c r="A15" s="73" t="str">
        <f t="shared" si="11"/>
        <v>E00000803061300701</v>
      </c>
      <c r="B15" s="108"/>
      <c r="C15" s="108"/>
      <c r="D15" s="108"/>
      <c r="E15" s="108"/>
      <c r="F15" s="102"/>
      <c r="G15" s="74" t="s">
        <v>136</v>
      </c>
      <c r="H15" s="74"/>
      <c r="I15" s="102"/>
      <c r="J15" s="145" t="s">
        <v>137</v>
      </c>
      <c r="K15" s="145" t="s">
        <v>132</v>
      </c>
      <c r="L15" s="122" t="s">
        <v>129</v>
      </c>
      <c r="M15" s="144">
        <v>16</v>
      </c>
      <c r="N15" s="123"/>
      <c r="O15" s="76">
        <f t="shared" si="12"/>
        <v>0</v>
      </c>
      <c r="P15" s="157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1"/>
      <c r="X15" s="78"/>
    </row>
    <row r="16" spans="1:24" s="155" customFormat="1" ht="38.1" customHeight="1">
      <c r="A16" s="73" t="str">
        <f t="shared" si="11"/>
        <v>E00000803061120802</v>
      </c>
      <c r="B16" s="108"/>
      <c r="C16" s="108"/>
      <c r="D16" s="108"/>
      <c r="E16" s="108"/>
      <c r="F16" s="102"/>
      <c r="G16" s="74" t="s">
        <v>133</v>
      </c>
      <c r="H16" s="74"/>
      <c r="I16" s="102"/>
      <c r="J16" s="145" t="s">
        <v>138</v>
      </c>
      <c r="K16" s="145" t="s">
        <v>135</v>
      </c>
      <c r="L16" s="122" t="s">
        <v>129</v>
      </c>
      <c r="M16" s="144">
        <v>2</v>
      </c>
      <c r="N16" s="156"/>
      <c r="O16" s="76">
        <f t="shared" si="12"/>
        <v>0</v>
      </c>
      <c r="P16" s="157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1"/>
      <c r="X16" s="78"/>
    </row>
    <row r="17" spans="1:24" s="155" customFormat="1" ht="38.1" customHeight="1">
      <c r="A17" s="73" t="str">
        <f t="shared" si="11"/>
        <v>E00000803061300401</v>
      </c>
      <c r="B17" s="108"/>
      <c r="C17" s="108"/>
      <c r="D17" s="108"/>
      <c r="E17" s="108"/>
      <c r="F17" s="102"/>
      <c r="G17" s="74" t="s">
        <v>139</v>
      </c>
      <c r="H17" s="74"/>
      <c r="I17" s="102"/>
      <c r="J17" s="145" t="s">
        <v>140</v>
      </c>
      <c r="K17" s="145" t="s">
        <v>132</v>
      </c>
      <c r="L17" s="122" t="s">
        <v>129</v>
      </c>
      <c r="M17" s="144">
        <v>2</v>
      </c>
      <c r="N17" s="123"/>
      <c r="O17" s="76">
        <f t="shared" si="12"/>
        <v>0</v>
      </c>
      <c r="P17" s="157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1"/>
      <c r="X17" s="78"/>
    </row>
    <row r="18" spans="1:24" s="155" customFormat="1" ht="38.1" customHeight="1">
      <c r="A18" s="73" t="str">
        <f t="shared" si="11"/>
        <v>E00000801011510701</v>
      </c>
      <c r="B18" s="108"/>
      <c r="C18" s="108"/>
      <c r="D18" s="108"/>
      <c r="E18" s="108"/>
      <c r="F18" s="102"/>
      <c r="G18" s="74" t="s">
        <v>163</v>
      </c>
      <c r="H18" s="74"/>
      <c r="I18" s="102"/>
      <c r="J18" s="158" t="s">
        <v>153</v>
      </c>
      <c r="K18" s="158" t="s">
        <v>162</v>
      </c>
      <c r="L18" s="159" t="s">
        <v>154</v>
      </c>
      <c r="M18" s="144">
        <v>100</v>
      </c>
      <c r="N18" s="156"/>
      <c r="O18" s="76">
        <f t="shared" ref="O18" si="13">SUM(N18:N18)*M18*$O$2</f>
        <v>0</v>
      </c>
      <c r="P18" s="168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1"/>
      <c r="X18" s="78"/>
    </row>
    <row r="19" spans="1:24" s="165" customFormat="1" ht="38.1" customHeight="1">
      <c r="A19" s="160"/>
      <c r="B19" s="161"/>
      <c r="C19" s="161"/>
      <c r="D19" s="161"/>
      <c r="E19" s="161"/>
      <c r="F19" s="161"/>
      <c r="G19" s="161"/>
      <c r="H19" s="161"/>
      <c r="I19" s="161"/>
      <c r="J19" s="149"/>
      <c r="K19" s="149"/>
      <c r="L19" s="161"/>
      <c r="M19" s="161"/>
      <c r="N19" s="161"/>
      <c r="O19" s="162">
        <f>SUM(O5:O18)</f>
        <v>857337.83649999998</v>
      </c>
      <c r="P19" s="163"/>
      <c r="Q19" s="162">
        <f>SUM(Q5:Q18)</f>
        <v>3054306.9206659999</v>
      </c>
      <c r="R19" s="163"/>
      <c r="S19" s="162">
        <f>SUM(S5:S18)</f>
        <v>0</v>
      </c>
      <c r="T19" s="163"/>
      <c r="U19" s="162">
        <f>SUM(U5:U18)</f>
        <v>0</v>
      </c>
      <c r="V19" s="164">
        <f>SUM(V5:V18)</f>
        <v>3911644.7571660001</v>
      </c>
      <c r="W19" s="111"/>
      <c r="X19" s="16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F38" sqref="F38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9"/>
  </cols>
  <sheetData>
    <row r="1" spans="1:16" ht="27" customHeight="1">
      <c r="A1" s="198" t="s">
        <v>60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6" ht="15" customHeight="1">
      <c r="A2" s="199" t="s">
        <v>61</v>
      </c>
      <c r="B2" s="200" t="s">
        <v>62</v>
      </c>
      <c r="C2" s="201" t="s">
        <v>48</v>
      </c>
      <c r="D2" s="201" t="s">
        <v>63</v>
      </c>
      <c r="E2" s="203" t="s">
        <v>64</v>
      </c>
      <c r="F2" s="200"/>
      <c r="G2" s="200" t="s">
        <v>65</v>
      </c>
      <c r="H2" s="200"/>
      <c r="I2" s="204" t="s">
        <v>66</v>
      </c>
      <c r="J2" s="205"/>
      <c r="K2" s="204" t="s">
        <v>67</v>
      </c>
      <c r="L2" s="205"/>
      <c r="M2" s="203" t="s">
        <v>68</v>
      </c>
      <c r="N2" s="200"/>
      <c r="O2" s="206" t="s">
        <v>69</v>
      </c>
    </row>
    <row r="3" spans="1:16" ht="15" customHeight="1">
      <c r="A3" s="199"/>
      <c r="B3" s="200"/>
      <c r="C3" s="202"/>
      <c r="D3" s="202"/>
      <c r="E3" s="133" t="s">
        <v>70</v>
      </c>
      <c r="F3" s="133" t="s">
        <v>71</v>
      </c>
      <c r="G3" s="80" t="s">
        <v>70</v>
      </c>
      <c r="H3" s="133" t="s">
        <v>72</v>
      </c>
      <c r="I3" s="133"/>
      <c r="J3" s="133"/>
      <c r="K3" s="80" t="s">
        <v>70</v>
      </c>
      <c r="L3" s="133" t="s">
        <v>72</v>
      </c>
      <c r="M3" s="80" t="s">
        <v>70</v>
      </c>
      <c r="N3" s="133" t="s">
        <v>72</v>
      </c>
      <c r="O3" s="207"/>
    </row>
    <row r="4" spans="1:16" ht="15" customHeight="1">
      <c r="A4" s="196" t="s">
        <v>169</v>
      </c>
      <c r="B4" s="197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>
      <c r="A5" s="188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190" t="s">
        <v>151</v>
      </c>
    </row>
    <row r="6" spans="1:16" ht="15" customHeight="1">
      <c r="A6" s="189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191"/>
    </row>
    <row r="7" spans="1:16" ht="15" customHeight="1">
      <c r="A7" s="189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191"/>
      <c r="P7" s="119">
        <f>D6+D8+D10+D12</f>
        <v>24</v>
      </c>
    </row>
    <row r="8" spans="1:16" ht="15" customHeight="1">
      <c r="A8" s="189"/>
      <c r="B8" s="210" t="s">
        <v>78</v>
      </c>
      <c r="C8" s="211" t="s">
        <v>75</v>
      </c>
      <c r="D8" s="208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191"/>
    </row>
    <row r="9" spans="1:16" ht="15" customHeight="1">
      <c r="A9" s="189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191"/>
    </row>
    <row r="10" spans="1:16" ht="15" customHeight="1">
      <c r="A10" s="189"/>
      <c r="B10" s="210" t="s">
        <v>80</v>
      </c>
      <c r="C10" s="211" t="s">
        <v>75</v>
      </c>
      <c r="D10" s="208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191"/>
    </row>
    <row r="11" spans="1:16" ht="15" customHeight="1">
      <c r="A11" s="189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191"/>
    </row>
    <row r="12" spans="1:16" ht="15" customHeight="1">
      <c r="A12" s="189"/>
      <c r="B12" s="210" t="s">
        <v>82</v>
      </c>
      <c r="C12" s="211" t="s">
        <v>75</v>
      </c>
      <c r="D12" s="208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191"/>
    </row>
    <row r="13" spans="1:16" ht="15" customHeight="1">
      <c r="A13" s="112" t="s">
        <v>83</v>
      </c>
      <c r="B13" s="113"/>
      <c r="C13" s="114"/>
      <c r="D13" s="115">
        <f>SUM(D5:D12)</f>
        <v>160</v>
      </c>
      <c r="E13" s="124"/>
      <c r="F13" s="116">
        <f>SUM(F5:F12)</f>
        <v>169120</v>
      </c>
      <c r="G13" s="116"/>
      <c r="H13" s="116">
        <f>SUM(H5:H12)</f>
        <v>1481044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1650164</v>
      </c>
      <c r="O13" s="116"/>
    </row>
    <row r="14" spans="1:16" ht="15" customHeight="1">
      <c r="A14" s="192" t="s">
        <v>152</v>
      </c>
      <c r="B14" s="82" t="s">
        <v>84</v>
      </c>
      <c r="C14" s="83" t="s">
        <v>75</v>
      </c>
      <c r="D14" s="125">
        <v>28.9</v>
      </c>
      <c r="E14" s="85">
        <v>10855</v>
      </c>
      <c r="F14" s="126">
        <f>D14*E14</f>
        <v>313709.5</v>
      </c>
      <c r="G14" s="85">
        <v>6668.1</v>
      </c>
      <c r="H14" s="126">
        <f>D14*G14</f>
        <v>192708.09</v>
      </c>
      <c r="I14" s="126"/>
      <c r="J14" s="126"/>
      <c r="K14" s="85"/>
      <c r="L14" s="126"/>
      <c r="M14" s="85"/>
      <c r="N14" s="126">
        <f t="shared" ref="N14:N17" si="3">F14+H14+J14+L14</f>
        <v>506417.58999999997</v>
      </c>
      <c r="O14" s="191"/>
    </row>
    <row r="15" spans="1:16" ht="15" customHeight="1">
      <c r="A15" s="192"/>
      <c r="B15" s="82" t="s">
        <v>85</v>
      </c>
      <c r="C15" s="83" t="s">
        <v>75</v>
      </c>
      <c r="D15" s="127">
        <v>12.4</v>
      </c>
      <c r="E15" s="85">
        <v>10855</v>
      </c>
      <c r="F15" s="126">
        <f>D15*E15</f>
        <v>134602</v>
      </c>
      <c r="G15" s="85">
        <v>6668.1</v>
      </c>
      <c r="H15" s="126">
        <f>D15*G15</f>
        <v>82684.44</v>
      </c>
      <c r="I15" s="126"/>
      <c r="J15" s="126"/>
      <c r="K15" s="85"/>
      <c r="L15" s="126"/>
      <c r="M15" s="85"/>
      <c r="N15" s="126">
        <f t="shared" si="3"/>
        <v>217286.44</v>
      </c>
      <c r="O15" s="191"/>
    </row>
    <row r="16" spans="1:16" ht="15" customHeight="1">
      <c r="A16" s="192"/>
      <c r="B16" s="82" t="s">
        <v>86</v>
      </c>
      <c r="C16" s="83" t="s">
        <v>75</v>
      </c>
      <c r="D16" s="127">
        <v>9.9</v>
      </c>
      <c r="E16" s="85">
        <v>10855</v>
      </c>
      <c r="F16" s="126">
        <f>D16*E16</f>
        <v>107464.5</v>
      </c>
      <c r="G16" s="85">
        <v>6668.1</v>
      </c>
      <c r="H16" s="126">
        <f>D16*G16</f>
        <v>66014.19</v>
      </c>
      <c r="I16" s="126"/>
      <c r="J16" s="126"/>
      <c r="K16" s="85"/>
      <c r="L16" s="126"/>
      <c r="M16" s="85"/>
      <c r="N16" s="126">
        <f t="shared" si="3"/>
        <v>173478.69</v>
      </c>
      <c r="O16" s="191"/>
    </row>
    <row r="17" spans="1:15" ht="15" customHeight="1">
      <c r="A17" s="193"/>
      <c r="B17" s="82" t="s">
        <v>87</v>
      </c>
      <c r="C17" s="83" t="s">
        <v>75</v>
      </c>
      <c r="D17" s="127">
        <v>8.3000000000000007</v>
      </c>
      <c r="E17" s="85">
        <v>10855</v>
      </c>
      <c r="F17" s="126">
        <f>D17*E17</f>
        <v>90096.500000000015</v>
      </c>
      <c r="G17" s="85">
        <v>6668.1</v>
      </c>
      <c r="H17" s="126">
        <f>D17*G17</f>
        <v>55345.23000000001</v>
      </c>
      <c r="I17" s="126"/>
      <c r="J17" s="126"/>
      <c r="K17" s="85"/>
      <c r="L17" s="126"/>
      <c r="M17" s="85"/>
      <c r="N17" s="126">
        <f t="shared" si="3"/>
        <v>145441.73000000004</v>
      </c>
      <c r="O17" s="194"/>
    </row>
    <row r="18" spans="1:15" ht="15" customHeight="1">
      <c r="A18" s="103" t="s">
        <v>83</v>
      </c>
      <c r="B18" s="86"/>
      <c r="C18" s="90"/>
      <c r="D18" s="120">
        <f>SUM(D14:D17)</f>
        <v>59.5</v>
      </c>
      <c r="E18" s="89"/>
      <c r="F18" s="89">
        <f>SUM(F14:F17)</f>
        <v>645872.5</v>
      </c>
      <c r="G18" s="89"/>
      <c r="H18" s="89">
        <f>SUM(H14:H17)</f>
        <v>396751.95000000007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1042624.45</v>
      </c>
      <c r="O18" s="89"/>
    </row>
    <row r="19" spans="1:15" ht="15" customHeight="1">
      <c r="A19" s="109" t="s">
        <v>88</v>
      </c>
      <c r="B19" s="91"/>
      <c r="C19" s="92"/>
      <c r="D19" s="93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>
      <c r="A20" s="128" t="s">
        <v>148</v>
      </c>
      <c r="B20" s="136" t="s">
        <v>144</v>
      </c>
      <c r="C20" s="136" t="s">
        <v>143</v>
      </c>
      <c r="D20" s="117">
        <v>0.5</v>
      </c>
      <c r="E20" s="85">
        <v>54693</v>
      </c>
      <c r="F20" s="126">
        <f>D20*E20</f>
        <v>27346.5</v>
      </c>
      <c r="G20" s="85"/>
      <c r="H20" s="85"/>
      <c r="I20" s="85"/>
      <c r="J20" s="85"/>
      <c r="K20" s="85"/>
      <c r="L20" s="85"/>
      <c r="M20" s="85"/>
      <c r="N20" s="129">
        <f t="shared" ref="N20:N29" si="4">F20+H20+J20+L20</f>
        <v>27346.5</v>
      </c>
      <c r="O20" s="85"/>
    </row>
    <row r="21" spans="1:15" ht="15" customHeight="1">
      <c r="A21" s="195" t="s">
        <v>89</v>
      </c>
      <c r="B21" s="91" t="s">
        <v>90</v>
      </c>
      <c r="C21" s="92" t="s">
        <v>75</v>
      </c>
      <c r="D21" s="93">
        <v>24</v>
      </c>
      <c r="E21" s="129"/>
      <c r="F21" s="129">
        <f>D21*E21</f>
        <v>0</v>
      </c>
      <c r="G21" s="129">
        <v>8711</v>
      </c>
      <c r="H21" s="129">
        <f t="shared" ref="H21:H27" si="5">D21*G21</f>
        <v>209064</v>
      </c>
      <c r="I21" s="129"/>
      <c r="J21" s="129"/>
      <c r="K21" s="129"/>
      <c r="L21" s="129"/>
      <c r="M21" s="129"/>
      <c r="N21" s="129">
        <f t="shared" si="4"/>
        <v>209064</v>
      </c>
      <c r="O21" s="85"/>
    </row>
    <row r="22" spans="1:15" ht="15" customHeight="1">
      <c r="A22" s="195"/>
      <c r="B22" s="91" t="s">
        <v>91</v>
      </c>
      <c r="C22" s="92" t="s">
        <v>75</v>
      </c>
      <c r="D22" s="93">
        <v>24</v>
      </c>
      <c r="E22" s="129"/>
      <c r="F22" s="129">
        <f t="shared" ref="F22:F29" si="6">D22*E22</f>
        <v>0</v>
      </c>
      <c r="G22" s="129">
        <v>5159</v>
      </c>
      <c r="H22" s="129">
        <f t="shared" si="5"/>
        <v>123816</v>
      </c>
      <c r="I22" s="129"/>
      <c r="J22" s="129"/>
      <c r="K22" s="129"/>
      <c r="L22" s="129"/>
      <c r="M22" s="129"/>
      <c r="N22" s="129">
        <f t="shared" si="4"/>
        <v>123816</v>
      </c>
      <c r="O22" s="85"/>
    </row>
    <row r="23" spans="1:15" ht="15" customHeight="1">
      <c r="A23" s="195" t="s">
        <v>92</v>
      </c>
      <c r="B23" s="91" t="s">
        <v>90</v>
      </c>
      <c r="C23" s="92" t="s">
        <v>75</v>
      </c>
      <c r="D23" s="93">
        <v>24</v>
      </c>
      <c r="E23" s="129"/>
      <c r="F23" s="129">
        <f>D23*E23</f>
        <v>0</v>
      </c>
      <c r="G23" s="129">
        <v>8711</v>
      </c>
      <c r="H23" s="129">
        <f t="shared" si="5"/>
        <v>209064</v>
      </c>
      <c r="I23" s="129"/>
      <c r="J23" s="129"/>
      <c r="K23" s="129"/>
      <c r="L23" s="129"/>
      <c r="M23" s="129"/>
      <c r="N23" s="129">
        <f t="shared" si="4"/>
        <v>209064</v>
      </c>
      <c r="O23" s="85"/>
    </row>
    <row r="24" spans="1:15" ht="15" customHeight="1">
      <c r="A24" s="195"/>
      <c r="B24" s="91" t="s">
        <v>91</v>
      </c>
      <c r="C24" s="92" t="s">
        <v>75</v>
      </c>
      <c r="D24" s="93">
        <v>24</v>
      </c>
      <c r="E24" s="129"/>
      <c r="F24" s="129">
        <f t="shared" ref="F24:F27" si="7">D24*E24</f>
        <v>0</v>
      </c>
      <c r="G24" s="129">
        <v>5159</v>
      </c>
      <c r="H24" s="129">
        <f t="shared" si="5"/>
        <v>123816</v>
      </c>
      <c r="I24" s="129"/>
      <c r="J24" s="129"/>
      <c r="K24" s="129"/>
      <c r="L24" s="129"/>
      <c r="M24" s="129"/>
      <c r="N24" s="129">
        <f t="shared" si="4"/>
        <v>123816</v>
      </c>
      <c r="O24" s="85"/>
    </row>
    <row r="25" spans="1:15" ht="15" customHeight="1">
      <c r="A25" s="137" t="s">
        <v>146</v>
      </c>
      <c r="B25" s="136" t="s">
        <v>147</v>
      </c>
      <c r="C25" s="136" t="s">
        <v>143</v>
      </c>
      <c r="D25" s="117">
        <v>0.2</v>
      </c>
      <c r="E25" s="85">
        <v>74987</v>
      </c>
      <c r="F25" s="129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9">
        <f t="shared" si="4"/>
        <v>14997.400000000001</v>
      </c>
      <c r="O25" s="85"/>
    </row>
    <row r="26" spans="1:15" ht="15" customHeight="1">
      <c r="A26" s="187" t="s">
        <v>93</v>
      </c>
      <c r="B26" s="91" t="s">
        <v>94</v>
      </c>
      <c r="C26" s="92" t="s">
        <v>75</v>
      </c>
      <c r="D26" s="93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6"/>
      <c r="M26" s="85"/>
      <c r="N26" s="126">
        <f t="shared" si="4"/>
        <v>32352</v>
      </c>
      <c r="O26" s="85"/>
    </row>
    <row r="27" spans="1:15" ht="15" customHeight="1">
      <c r="A27" s="187"/>
      <c r="B27" s="91" t="s">
        <v>95</v>
      </c>
      <c r="C27" s="92" t="s">
        <v>75</v>
      </c>
      <c r="D27" s="93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6"/>
      <c r="M27" s="85"/>
      <c r="N27" s="126">
        <f t="shared" si="4"/>
        <v>50176</v>
      </c>
      <c r="O27" s="85"/>
    </row>
    <row r="28" spans="1:15" ht="15" customHeight="1">
      <c r="A28" s="187" t="s">
        <v>96</v>
      </c>
      <c r="B28" s="91" t="s">
        <v>94</v>
      </c>
      <c r="C28" s="92" t="s">
        <v>75</v>
      </c>
      <c r="D28" s="93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6"/>
      <c r="M28" s="85"/>
      <c r="N28" s="126">
        <f t="shared" si="4"/>
        <v>4044</v>
      </c>
      <c r="O28" s="85"/>
    </row>
    <row r="29" spans="1:15" ht="15" customHeight="1">
      <c r="A29" s="187"/>
      <c r="B29" s="91" t="s">
        <v>97</v>
      </c>
      <c r="C29" s="92" t="s">
        <v>75</v>
      </c>
      <c r="D29" s="93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6"/>
      <c r="M29" s="85"/>
      <c r="N29" s="126">
        <f t="shared" si="4"/>
        <v>9480</v>
      </c>
      <c r="O29" s="85"/>
    </row>
    <row r="30" spans="1:15" ht="15" customHeight="1">
      <c r="A30" s="103" t="s">
        <v>83</v>
      </c>
      <c r="B30" s="94"/>
      <c r="C30" s="95"/>
      <c r="D30" s="88"/>
      <c r="E30" s="89"/>
      <c r="F30" s="89">
        <f>SUM(F19:F29)</f>
        <v>42343.9</v>
      </c>
      <c r="G30" s="89"/>
      <c r="H30" s="89">
        <f>SUM(H19:H29)</f>
        <v>761812</v>
      </c>
      <c r="I30" s="89"/>
      <c r="J30" s="89">
        <f>SUM(J19:J29)</f>
        <v>0</v>
      </c>
      <c r="K30" s="89"/>
      <c r="L30" s="89">
        <f>SUM(L19:L29)</f>
        <v>0</v>
      </c>
      <c r="M30" s="89"/>
      <c r="N30" s="89">
        <f>SUM(N19:N29)</f>
        <v>804155.9</v>
      </c>
      <c r="O30" s="89"/>
    </row>
    <row r="31" spans="1:15" ht="15" customHeight="1">
      <c r="A31" s="110" t="s">
        <v>98</v>
      </c>
      <c r="B31" s="82" t="s">
        <v>161</v>
      </c>
      <c r="C31" s="83" t="s">
        <v>75</v>
      </c>
      <c r="D31" s="130">
        <v>100</v>
      </c>
      <c r="E31" s="126"/>
      <c r="F31" s="126"/>
      <c r="G31" s="85">
        <v>4147</v>
      </c>
      <c r="H31" s="126">
        <f>D31*G31</f>
        <v>414700</v>
      </c>
      <c r="I31" s="126"/>
      <c r="J31" s="126"/>
      <c r="K31" s="126"/>
      <c r="L31" s="126"/>
      <c r="M31" s="126"/>
      <c r="N31" s="126">
        <f>F31+H31+J31+L31</f>
        <v>414700</v>
      </c>
      <c r="O31" s="96" t="s">
        <v>99</v>
      </c>
    </row>
    <row r="32" spans="1:15" ht="15" customHeight="1">
      <c r="A32" s="104" t="s">
        <v>83</v>
      </c>
      <c r="B32" s="86"/>
      <c r="C32" s="87"/>
      <c r="D32" s="97"/>
      <c r="E32" s="98"/>
      <c r="F32" s="98"/>
      <c r="G32" s="98"/>
      <c r="H32" s="89">
        <f>SUM(H31:H31)</f>
        <v>414700</v>
      </c>
      <c r="I32" s="98"/>
      <c r="J32" s="89">
        <f t="shared" ref="J32:N32" si="9">SUM(J31:J31)</f>
        <v>0</v>
      </c>
      <c r="K32" s="89"/>
      <c r="L32" s="89">
        <f t="shared" si="9"/>
        <v>0</v>
      </c>
      <c r="M32" s="89"/>
      <c r="N32" s="89">
        <f t="shared" si="9"/>
        <v>414700</v>
      </c>
      <c r="O32" s="98"/>
    </row>
    <row r="33" spans="1:15" ht="15" customHeight="1">
      <c r="A33" s="103" t="s">
        <v>142</v>
      </c>
      <c r="B33" s="86"/>
      <c r="C33" s="87"/>
      <c r="D33" s="97"/>
      <c r="E33" s="99"/>
      <c r="F33" s="100">
        <f>F13+F18+F30+F32</f>
        <v>857336.4</v>
      </c>
      <c r="G33" s="100"/>
      <c r="H33" s="100">
        <f>H13+H18+H30+H32</f>
        <v>3054307.95</v>
      </c>
      <c r="I33" s="99"/>
      <c r="J33" s="100">
        <f>J13+J18+J30+J32</f>
        <v>0</v>
      </c>
      <c r="K33" s="99"/>
      <c r="L33" s="100">
        <f>L13+L18+L30+L32</f>
        <v>0</v>
      </c>
      <c r="M33" s="99"/>
      <c r="N33" s="100">
        <f>N13+N18+N30+N32</f>
        <v>3911644.35</v>
      </c>
      <c r="O33" s="99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</row>
    <row r="2" spans="1:6">
      <c r="A2" s="106" t="str">
        <f>'내역서(표준단가)'!A5</f>
        <v>M020853710050101</v>
      </c>
      <c r="B2" s="107">
        <f>'내역서(표준단가)'!F5</f>
        <v>0</v>
      </c>
      <c r="C2" s="107">
        <f>'내역서(표준단가)'!G5</f>
        <v>0</v>
      </c>
      <c r="D2" s="107" t="str">
        <f>'내역서(표준단가)'!H5</f>
        <v>M020853710050101</v>
      </c>
      <c r="E2" s="107">
        <f>'내역서(표준단가)'!I5</f>
        <v>0</v>
      </c>
      <c r="F2" s="118">
        <f>'내역서(표준단가)'!M5</f>
        <v>9.6910000000000007</v>
      </c>
    </row>
    <row r="3" spans="1:6">
      <c r="A3" s="106" t="str">
        <f>'내역서(표준단가)'!A6</f>
        <v>E00000803071260301</v>
      </c>
      <c r="B3" s="107">
        <f>'내역서(표준단가)'!F6</f>
        <v>0</v>
      </c>
      <c r="C3" s="107" t="str">
        <f>'내역서(표준단가)'!G6</f>
        <v>E00000803071260301</v>
      </c>
      <c r="D3" s="107">
        <f>'내역서(표준단가)'!H6</f>
        <v>0</v>
      </c>
      <c r="E3" s="107">
        <f>'내역서(표준단가)'!I6</f>
        <v>0</v>
      </c>
      <c r="F3" s="118">
        <f>'내역서(표준단가)'!M6</f>
        <v>2.956</v>
      </c>
    </row>
    <row r="4" spans="1:6">
      <c r="A4" s="106" t="str">
        <f>'내역서(표준단가)'!A7</f>
        <v>E00000803071260301</v>
      </c>
      <c r="B4" s="107">
        <f>'내역서(표준단가)'!F7</f>
        <v>0</v>
      </c>
      <c r="C4" s="107" t="str">
        <f>'내역서(표준단가)'!G7</f>
        <v>E00000803071260301</v>
      </c>
      <c r="D4" s="107">
        <f>'내역서(표준단가)'!H7</f>
        <v>0</v>
      </c>
      <c r="E4" s="107">
        <f>'내역서(표준단가)'!I7</f>
        <v>0</v>
      </c>
      <c r="F4" s="118">
        <f>'내역서(표준단가)'!M7</f>
        <v>0.68569999999999998</v>
      </c>
    </row>
    <row r="5" spans="1:6">
      <c r="A5" s="106" t="str">
        <f>'내역서(표준단가)'!A8</f>
        <v>M020809012520101</v>
      </c>
      <c r="B5" s="107">
        <f>'내역서(표준단가)'!F8</f>
        <v>0</v>
      </c>
      <c r="C5" s="107">
        <f>'내역서(표준단가)'!G8</f>
        <v>0</v>
      </c>
      <c r="D5" s="107" t="str">
        <f>'내역서(표준단가)'!H8</f>
        <v>M020809012520101</v>
      </c>
      <c r="E5" s="107">
        <f>'내역서(표준단가)'!I8</f>
        <v>0</v>
      </c>
      <c r="F5" s="118">
        <f>'내역서(표준단가)'!M8</f>
        <v>59.5</v>
      </c>
    </row>
    <row r="6" spans="1:6">
      <c r="A6" s="106" t="str">
        <f>'내역서(표준단가)'!A9</f>
        <v>E00000803071260401</v>
      </c>
      <c r="B6" s="107">
        <f>'내역서(표준단가)'!F9</f>
        <v>0</v>
      </c>
      <c r="C6" s="107" t="str">
        <f>'내역서(표준단가)'!G9</f>
        <v>E00000803071260401</v>
      </c>
      <c r="D6" s="107">
        <f>'내역서(표준단가)'!H9</f>
        <v>0</v>
      </c>
      <c r="E6" s="107">
        <f>'내역서(표준단가)'!I9</f>
        <v>0</v>
      </c>
      <c r="F6" s="118">
        <f>'내역서(표준단가)'!M9</f>
        <v>0.97540000000000004</v>
      </c>
    </row>
    <row r="7" spans="1:6">
      <c r="A7" s="106" t="str">
        <f>'내역서(표준단가)'!A10</f>
        <v>M020412614110102</v>
      </c>
      <c r="B7" s="107">
        <f>'내역서(표준단가)'!F10</f>
        <v>0</v>
      </c>
      <c r="C7" s="107">
        <f>'내역서(표준단가)'!G10</f>
        <v>0</v>
      </c>
      <c r="D7" s="107" t="str">
        <f>'내역서(표준단가)'!H10</f>
        <v>M020412614110102</v>
      </c>
      <c r="E7" s="107">
        <f>'내역서(표준단가)'!I10</f>
        <v>0</v>
      </c>
      <c r="F7" s="118">
        <f>'내역서(표준단가)'!M10</f>
        <v>0.5</v>
      </c>
    </row>
    <row r="8" spans="1:6">
      <c r="A8" s="106" t="str">
        <f>'내역서(표준단가)'!A11</f>
        <v>E00000803061120402</v>
      </c>
      <c r="B8" s="107">
        <f>'내역서(표준단가)'!F11</f>
        <v>0</v>
      </c>
      <c r="C8" s="107" t="str">
        <f>'내역서(표준단가)'!G11</f>
        <v>E00000803061120402</v>
      </c>
      <c r="D8" s="107">
        <f>'내역서(표준단가)'!H11</f>
        <v>0</v>
      </c>
      <c r="E8" s="107">
        <f>'내역서(표준단가)'!I11</f>
        <v>0</v>
      </c>
      <c r="F8" s="118">
        <f>'내역서(표준단가)'!M11</f>
        <v>48</v>
      </c>
    </row>
    <row r="9" spans="1:6">
      <c r="A9" s="106" t="str">
        <f>'내역서(표준단가)'!A12</f>
        <v>E00000803061300201</v>
      </c>
      <c r="B9" s="107">
        <f>'내역서(표준단가)'!F12</f>
        <v>0</v>
      </c>
      <c r="C9" s="107" t="str">
        <f>'내역서(표준단가)'!G12</f>
        <v>E00000803061300201</v>
      </c>
      <c r="D9" s="107">
        <f>'내역서(표준단가)'!H12</f>
        <v>0</v>
      </c>
      <c r="E9" s="107">
        <f>'내역서(표준단가)'!I12</f>
        <v>0</v>
      </c>
      <c r="F9" s="118">
        <f>'내역서(표준단가)'!M12</f>
        <v>48</v>
      </c>
    </row>
    <row r="10" spans="1:6">
      <c r="A10" s="106" t="str">
        <f>'내역서(표준단가)'!A13</f>
        <v>M020411810170101</v>
      </c>
      <c r="B10" s="107">
        <f>'내역서(표준단가)'!F13</f>
        <v>0</v>
      </c>
      <c r="C10" s="107">
        <f>'내역서(표준단가)'!G13</f>
        <v>0</v>
      </c>
      <c r="D10" s="107" t="str">
        <f>'내역서(표준단가)'!H13</f>
        <v>M020411810170101</v>
      </c>
      <c r="E10" s="107">
        <f>'내역서(표준단가)'!I13</f>
        <v>0</v>
      </c>
      <c r="F10" s="118">
        <f>'내역서(표준단가)'!M13</f>
        <v>0.2</v>
      </c>
    </row>
    <row r="11" spans="1:6">
      <c r="A11" s="106" t="str">
        <f>'내역서(표준단가)'!A14</f>
        <v>E00000803061120802</v>
      </c>
      <c r="B11" s="107">
        <f>'내역서(표준단가)'!F14</f>
        <v>0</v>
      </c>
      <c r="C11" s="107" t="str">
        <f>'내역서(표준단가)'!G14</f>
        <v>E00000803061120802</v>
      </c>
      <c r="D11" s="107">
        <f>'내역서(표준단가)'!H14</f>
        <v>0</v>
      </c>
      <c r="E11" s="107">
        <f>'내역서(표준단가)'!I14</f>
        <v>0</v>
      </c>
      <c r="F11" s="118">
        <f>'내역서(표준단가)'!M14</f>
        <v>16</v>
      </c>
    </row>
    <row r="12" spans="1:6">
      <c r="A12" s="106" t="str">
        <f>'내역서(표준단가)'!A15</f>
        <v>E00000803061300701</v>
      </c>
      <c r="B12" s="107">
        <f>'내역서(표준단가)'!F15</f>
        <v>0</v>
      </c>
      <c r="C12" s="107" t="str">
        <f>'내역서(표준단가)'!G15</f>
        <v>E00000803061300701</v>
      </c>
      <c r="D12" s="107">
        <f>'내역서(표준단가)'!H15</f>
        <v>0</v>
      </c>
      <c r="E12" s="107">
        <f>'내역서(표준단가)'!I15</f>
        <v>0</v>
      </c>
      <c r="F12" s="118">
        <f>'내역서(표준단가)'!M15</f>
        <v>16</v>
      </c>
    </row>
    <row r="13" spans="1:6">
      <c r="A13" s="106" t="str">
        <f>'내역서(표준단가)'!A16</f>
        <v>E00000803061120802</v>
      </c>
      <c r="B13" s="107">
        <f>'내역서(표준단가)'!F16</f>
        <v>0</v>
      </c>
      <c r="C13" s="107" t="str">
        <f>'내역서(표준단가)'!G16</f>
        <v>E00000803061120802</v>
      </c>
      <c r="D13" s="107">
        <f>'내역서(표준단가)'!H16</f>
        <v>0</v>
      </c>
      <c r="E13" s="107">
        <f>'내역서(표준단가)'!I16</f>
        <v>0</v>
      </c>
      <c r="F13" s="118">
        <f>'내역서(표준단가)'!M16</f>
        <v>2</v>
      </c>
    </row>
    <row r="14" spans="1:6">
      <c r="A14" s="106" t="str">
        <f>'내역서(표준단가)'!A17</f>
        <v>E00000803061300401</v>
      </c>
      <c r="B14" s="107">
        <f>'내역서(표준단가)'!F17</f>
        <v>0</v>
      </c>
      <c r="C14" s="107" t="str">
        <f>'내역서(표준단가)'!G17</f>
        <v>E00000803061300401</v>
      </c>
      <c r="D14" s="107">
        <f>'내역서(표준단가)'!H17</f>
        <v>0</v>
      </c>
      <c r="E14" s="107">
        <f>'내역서(표준단가)'!I17</f>
        <v>0</v>
      </c>
      <c r="F14" s="118">
        <f>'내역서(표준단가)'!M17</f>
        <v>2</v>
      </c>
    </row>
    <row r="15" spans="1:6">
      <c r="A15" s="106" t="str">
        <f>'내역서(표준단가)'!A18</f>
        <v>E00000801011510701</v>
      </c>
      <c r="B15" s="107">
        <f>'내역서(표준단가)'!F18</f>
        <v>0</v>
      </c>
      <c r="C15" s="107" t="str">
        <f>'내역서(표준단가)'!G18</f>
        <v>E00000801011510701</v>
      </c>
      <c r="D15" s="107">
        <f>'내역서(표준단가)'!H18</f>
        <v>0</v>
      </c>
      <c r="E15" s="107">
        <f>'내역서(표준단가)'!I18</f>
        <v>0</v>
      </c>
      <c r="F15" s="118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3.5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2026-01-14T04:05:33Z</dcterms:modified>
</cp:coreProperties>
</file>
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D:\02 기숙사 및 사택\02 견적작업\02 견적서\02 화학\250210\03 당사안\"/>
    </mc:Choice>
  </mc:AlternateContent>
  <xr:revisionPtr revIDLastSave="0" documentId="13_ncr:1_{70FAA2DD-4D32-4D65-AC00-CE180622DCCA}" xr6:coauthVersionLast="47" xr6:coauthVersionMax="47" xr10:uidLastSave="{00000000-0000-0000-0000-000000000000}"/>
  <bookViews>
    <workbookView xWindow="14355" yWindow="0" windowWidth="14490" windowHeight="15525" tabRatio="868" xr2:uid="{00000000-000D-0000-FFFF-FFFF00000000}"/>
  </bookViews>
  <sheets>
    <sheet name="갑지" sheetId="5" r:id="rId1"/>
    <sheet name="내역서(표준단가)" sheetId="26" r:id="rId2"/>
    <sheet name="주요물량산출서" sheetId="22" state="hidden" r:id="rId3"/>
    <sheet name="공사수립계획서" sheetId="23" r:id="rId4"/>
    <sheet name="내역서업로드" sheetId="21" state="hidden" r:id="rId5"/>
    <sheet name="Upload" sheetId="24" r:id="rId6"/>
    <sheet name="할증기준" sheetId="9" r:id="rId7"/>
    <sheet name="Upload(참조) (2)" sheetId="25" state="hidden" r:id="rId8"/>
    <sheet name="Upload(참조)" sheetId="10" state="hidden" r:id="rId9"/>
  </sheets>
  <externalReferences>
    <externalReference r:id="rId10"/>
    <externalReference r:id="rId11"/>
  </externalReferences>
  <definedNames>
    <definedName name="_Fill" localSheetId="5" hidden="1">#REF!</definedName>
    <definedName name="_Fill" localSheetId="3" hidden="1">[1]암거날개벽!#REF!</definedName>
    <definedName name="_Fill" localSheetId="2" hidden="1">[1]암거날개벽!#REF!</definedName>
    <definedName name="_Fill" hidden="1">[1]암거날개벽!#REF!</definedName>
    <definedName name="_xlnm._FilterDatabase" localSheetId="5" hidden="1">Upload!$A$1:$F$1</definedName>
    <definedName name="_xlnm._FilterDatabase" localSheetId="8" hidden="1">'Upload(참조)'!$A$1:$AA$1</definedName>
    <definedName name="_xlnm._FilterDatabase" localSheetId="7" hidden="1">'Upload(참조) (2)'!$A$1:$AA$1</definedName>
    <definedName name="_xlnm._FilterDatabase" localSheetId="3" hidden="1">공사수립계획서!$A$5:$F$6</definedName>
    <definedName name="_xlnm._FilterDatabase" localSheetId="1" hidden="1">'내역서(표준단가)'!$H$5:$X$3472</definedName>
    <definedName name="_xlnm._FilterDatabase" localSheetId="4" hidden="1">내역서업로드!$A$5:$P$99</definedName>
    <definedName name="_Key1" localSheetId="5" hidden="1">[2]내역서!#REF!</definedName>
    <definedName name="_Key1" localSheetId="3" hidden="1">[2]내역서!#REF!</definedName>
    <definedName name="_Key1" localSheetId="2" hidden="1">[2]내역서!#REF!</definedName>
    <definedName name="_Key1" hidden="1">[2]내역서!#REF!</definedName>
    <definedName name="_Order1" hidden="1">255</definedName>
    <definedName name="_Order2" hidden="1">255</definedName>
    <definedName name="_Regression_Int" hidden="1">1</definedName>
    <definedName name="_Sort" localSheetId="5" hidden="1">[2]내역서!#REF!</definedName>
    <definedName name="_Sort" localSheetId="0" hidden="1">[2]내역서!#REF!</definedName>
    <definedName name="_Sort" localSheetId="3" hidden="1">[2]내역서!#REF!</definedName>
    <definedName name="_Sort" localSheetId="2" hidden="1">[2]내역서!#REF!</definedName>
    <definedName name="_Sort" hidden="1">[2]내역서!#REF!</definedName>
    <definedName name="a\" localSheetId="0" hidden="1">{#N/A,#N/A,TRUE,"자재관리";#N/A,#N/A,TRUE,"품질"}</definedName>
    <definedName name="a\" localSheetId="3" hidden="1">{#N/A,#N/A,TRUE,"자재관리";#N/A,#N/A,TRUE,"품질"}</definedName>
    <definedName name="a\" localSheetId="1" hidden="1">{#N/A,#N/A,TRUE,"자재관리";#N/A,#N/A,TRUE,"품질"}</definedName>
    <definedName name="a\" localSheetId="4" hidden="1">{#N/A,#N/A,TRUE,"자재관리";#N/A,#N/A,TRUE,"품질"}</definedName>
    <definedName name="a\" localSheetId="2" hidden="1">{#N/A,#N/A,TRUE,"자재관리";#N/A,#N/A,TRUE,"품질"}</definedName>
    <definedName name="a\" hidden="1">{#N/A,#N/A,TRUE,"자재관리";#N/A,#N/A,TRUE,"품질"}</definedName>
    <definedName name="AccessDatabase" hidden="1">"D:\공무jaje\98년품의-수불\98146.mdb"</definedName>
    <definedName name="BUSH" localSheetId="0" hidden="1">{"'Sheet1'!$E$23","'Sheet1'!$A$3:$H$19","'Sheet1'!$A$1:$H$19"}</definedName>
    <definedName name="BUSH" localSheetId="3" hidden="1">{"'Sheet1'!$E$23","'Sheet1'!$A$3:$H$19","'Sheet1'!$A$1:$H$19"}</definedName>
    <definedName name="BUSH" localSheetId="1" hidden="1">{"'Sheet1'!$E$23","'Sheet1'!$A$3:$H$19","'Sheet1'!$A$1:$H$19"}</definedName>
    <definedName name="BUSH" localSheetId="4" hidden="1">{"'Sheet1'!$E$23","'Sheet1'!$A$3:$H$19","'Sheet1'!$A$1:$H$19"}</definedName>
    <definedName name="BUSH" localSheetId="2" hidden="1">{"'Sheet1'!$E$23","'Sheet1'!$A$3:$H$19","'Sheet1'!$A$1:$H$19"}</definedName>
    <definedName name="BUSH" hidden="1">{"'Sheet1'!$E$23","'Sheet1'!$A$3:$H$19","'Sheet1'!$A$1:$H$19"}</definedName>
    <definedName name="copy2" localSheetId="0" hidden="1">{#N/A,#N/A,TRUE,"자재관리";#N/A,#N/A,TRUE,"품질"}</definedName>
    <definedName name="copy2" localSheetId="3" hidden="1">{#N/A,#N/A,TRUE,"자재관리";#N/A,#N/A,TRUE,"품질"}</definedName>
    <definedName name="copy2" localSheetId="1" hidden="1">{#N/A,#N/A,TRUE,"자재관리";#N/A,#N/A,TRUE,"품질"}</definedName>
    <definedName name="copy2" localSheetId="4" hidden="1">{#N/A,#N/A,TRUE,"자재관리";#N/A,#N/A,TRUE,"품질"}</definedName>
    <definedName name="copy2" localSheetId="2" hidden="1">{#N/A,#N/A,TRUE,"자재관리";#N/A,#N/A,TRUE,"품질"}</definedName>
    <definedName name="copy2" hidden="1">{#N/A,#N/A,TRUE,"자재관리";#N/A,#N/A,TRUE,"품질"}</definedName>
    <definedName name="copy3" localSheetId="0" hidden="1">{#N/A,#N/A,TRUE,"자재관리";#N/A,#N/A,TRUE,"품질"}</definedName>
    <definedName name="copy3" localSheetId="3" hidden="1">{#N/A,#N/A,TRUE,"자재관리";#N/A,#N/A,TRUE,"품질"}</definedName>
    <definedName name="copy3" localSheetId="1" hidden="1">{#N/A,#N/A,TRUE,"자재관리";#N/A,#N/A,TRUE,"품질"}</definedName>
    <definedName name="copy3" localSheetId="4" hidden="1">{#N/A,#N/A,TRUE,"자재관리";#N/A,#N/A,TRUE,"품질"}</definedName>
    <definedName name="copy3" localSheetId="2"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3" hidden="1">{#N/A,#N/A,FALSE,"자재관리";#N/A,#N/A,FALSE,"자재관리";#N/A,#N/A,FALSE,"자재관리"}</definedName>
    <definedName name="copy4" localSheetId="1" hidden="1">{#N/A,#N/A,FALSE,"자재관리";#N/A,#N/A,FALSE,"자재관리";#N/A,#N/A,FALSE,"자재관리"}</definedName>
    <definedName name="copy4" localSheetId="4" hidden="1">{#N/A,#N/A,FALSE,"자재관리";#N/A,#N/A,FALSE,"자재관리";#N/A,#N/A,FALSE,"자재관리"}</definedName>
    <definedName name="copy4" localSheetId="2" hidden="1">{#N/A,#N/A,FALSE,"자재관리";#N/A,#N/A,FALSE,"자재관리";#N/A,#N/A,FALSE,"자재관리"}</definedName>
    <definedName name="copy4" hidden="1">{#N/A,#N/A,FALSE,"자재관리";#N/A,#N/A,FALSE,"자재관리";#N/A,#N/A,FALSE,"자재관리"}</definedName>
    <definedName name="D" localSheetId="0" hidden="1">{#N/A,#N/A,FALSE,"자재관리";#N/A,#N/A,FALSE,"자재관리";#N/A,#N/A,FALSE,"자재관리"}</definedName>
    <definedName name="D" localSheetId="3" hidden="1">{#N/A,#N/A,FALSE,"자재관리";#N/A,#N/A,FALSE,"자재관리";#N/A,#N/A,FALSE,"자재관리"}</definedName>
    <definedName name="D" localSheetId="1" hidden="1">{#N/A,#N/A,FALSE,"자재관리";#N/A,#N/A,FALSE,"자재관리";#N/A,#N/A,FALSE,"자재관리"}</definedName>
    <definedName name="D" localSheetId="4" hidden="1">{#N/A,#N/A,FALSE,"자재관리";#N/A,#N/A,FALSE,"자재관리";#N/A,#N/A,FALSE,"자재관리"}</definedName>
    <definedName name="D" localSheetId="2" hidden="1">{#N/A,#N/A,FALSE,"자재관리";#N/A,#N/A,FALSE,"자재관리";#N/A,#N/A,FALSE,"자재관리"}</definedName>
    <definedName name="D" hidden="1">{#N/A,#N/A,FALSE,"자재관리";#N/A,#N/A,FALSE,"자재관리";#N/A,#N/A,FALSE,"자재관리"}</definedName>
    <definedName name="DFV" localSheetId="0" hidden="1">{#N/A,#N/A,FALSE,"자재관리";#N/A,#N/A,FALSE,"자재관리";#N/A,#N/A,FALSE,"자재관리"}</definedName>
    <definedName name="DFV" localSheetId="3" hidden="1">{#N/A,#N/A,FALSE,"자재관리";#N/A,#N/A,FALSE,"자재관리";#N/A,#N/A,FALSE,"자재관리"}</definedName>
    <definedName name="DFV" localSheetId="1" hidden="1">{#N/A,#N/A,FALSE,"자재관리";#N/A,#N/A,FALSE,"자재관리";#N/A,#N/A,FALSE,"자재관리"}</definedName>
    <definedName name="DFV" localSheetId="4" hidden="1">{#N/A,#N/A,FALSE,"자재관리";#N/A,#N/A,FALSE,"자재관리";#N/A,#N/A,FALSE,"자재관리"}</definedName>
    <definedName name="DFV" localSheetId="2" hidden="1">{#N/A,#N/A,FALSE,"자재관리";#N/A,#N/A,FALSE,"자재관리";#N/A,#N/A,FALSE,"자재관리"}</definedName>
    <definedName name="DFV" hidden="1">{#N/A,#N/A,FALSE,"자재관리";#N/A,#N/A,FALSE,"자재관리";#N/A,#N/A,FALSE,"자재관리"}</definedName>
    <definedName name="dkd" localSheetId="0" hidden="1">{#N/A,#N/A,FALSE,"자재관리";#N/A,#N/A,FALSE,"자재관리";#N/A,#N/A,FALSE,"자재관리"}</definedName>
    <definedName name="dkd" localSheetId="3" hidden="1">{#N/A,#N/A,FALSE,"자재관리";#N/A,#N/A,FALSE,"자재관리";#N/A,#N/A,FALSE,"자재관리"}</definedName>
    <definedName name="dkd" localSheetId="1" hidden="1">{#N/A,#N/A,FALSE,"자재관리";#N/A,#N/A,FALSE,"자재관리";#N/A,#N/A,FALSE,"자재관리"}</definedName>
    <definedName name="dkd" localSheetId="4" hidden="1">{#N/A,#N/A,FALSE,"자재관리";#N/A,#N/A,FALSE,"자재관리";#N/A,#N/A,FALSE,"자재관리"}</definedName>
    <definedName name="dkd" localSheetId="2"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3" hidden="1">{#N/A,#N/A,FALSE,"전력간선"}</definedName>
    <definedName name="DKFDK" localSheetId="1" hidden="1">{#N/A,#N/A,FALSE,"전력간선"}</definedName>
    <definedName name="DKFDK" localSheetId="4" hidden="1">{#N/A,#N/A,FALSE,"전력간선"}</definedName>
    <definedName name="DKFDK" localSheetId="2" hidden="1">{#N/A,#N/A,FALSE,"전력간선"}</definedName>
    <definedName name="DKFDK" hidden="1">{#N/A,#N/A,FALSE,"전력간선"}</definedName>
    <definedName name="FFF" localSheetId="0" hidden="1">{#N/A,#N/A,FALSE,"CCTV"}</definedName>
    <definedName name="FFF" localSheetId="3" hidden="1">{#N/A,#N/A,FALSE,"CCTV"}</definedName>
    <definedName name="FFF" localSheetId="1" hidden="1">{#N/A,#N/A,FALSE,"CCTV"}</definedName>
    <definedName name="FFF" localSheetId="4" hidden="1">{#N/A,#N/A,FALSE,"CCTV"}</definedName>
    <definedName name="FFF" localSheetId="2" hidden="1">{#N/A,#N/A,FALSE,"CCTV"}</definedName>
    <definedName name="FFF" hidden="1">{#N/A,#N/A,FALSE,"CCTV"}</definedName>
    <definedName name="FFFF" localSheetId="0" hidden="1">{#N/A,#N/A,FALSE,"자재관리";#N/A,#N/A,FALSE,"자재관리";#N/A,#N/A,FALSE,"자재관리"}</definedName>
    <definedName name="FFFF" localSheetId="3" hidden="1">{#N/A,#N/A,FALSE,"자재관리";#N/A,#N/A,FALSE,"자재관리";#N/A,#N/A,FALSE,"자재관리"}</definedName>
    <definedName name="FFFF" localSheetId="1" hidden="1">{#N/A,#N/A,FALSE,"자재관리";#N/A,#N/A,FALSE,"자재관리";#N/A,#N/A,FALSE,"자재관리"}</definedName>
    <definedName name="FFFF" localSheetId="4" hidden="1">{#N/A,#N/A,FALSE,"자재관리";#N/A,#N/A,FALSE,"자재관리";#N/A,#N/A,FALSE,"자재관리"}</definedName>
    <definedName name="FFFF" localSheetId="2"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3" hidden="1">{#N/A,#N/A,FALSE,"자재관리";#N/A,#N/A,FALSE,"자재관리";#N/A,#N/A,FALSE,"자재관리"}</definedName>
    <definedName name="FFFFFF" localSheetId="1" hidden="1">{#N/A,#N/A,FALSE,"자재관리";#N/A,#N/A,FALSE,"자재관리";#N/A,#N/A,FALSE,"자재관리"}</definedName>
    <definedName name="FFFFFF" localSheetId="4"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3" hidden="1">{#N/A,#N/A,FALSE,"자재관리";#N/A,#N/A,FALSE,"자재관리";#N/A,#N/A,FALSE,"자재관리"}</definedName>
    <definedName name="fffffff" localSheetId="1" hidden="1">{#N/A,#N/A,FALSE,"자재관리";#N/A,#N/A,FALSE,"자재관리";#N/A,#N/A,FALSE,"자재관리"}</definedName>
    <definedName name="fffffff" localSheetId="4"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3" hidden="1">{#N/A,#N/A,FALSE,"전력간선"}</definedName>
    <definedName name="fg" localSheetId="1" hidden="1">{#N/A,#N/A,FALSE,"전력간선"}</definedName>
    <definedName name="fg" localSheetId="4" hidden="1">{#N/A,#N/A,FALSE,"전력간선"}</definedName>
    <definedName name="fg" localSheetId="2" hidden="1">{#N/A,#N/A,FALSE,"전력간선"}</definedName>
    <definedName name="fg" hidden="1">{#N/A,#N/A,FALSE,"전력간선"}</definedName>
    <definedName name="HHHHH" localSheetId="0" hidden="1">{#N/A,#N/A,FALSE,"자재관리";#N/A,#N/A,FALSE,"자재관리";#N/A,#N/A,FALSE,"자재관리"}</definedName>
    <definedName name="HHHHH" localSheetId="3" hidden="1">{#N/A,#N/A,FALSE,"자재관리";#N/A,#N/A,FALSE,"자재관리";#N/A,#N/A,FALSE,"자재관리"}</definedName>
    <definedName name="HHHHH" localSheetId="1" hidden="1">{#N/A,#N/A,FALSE,"자재관리";#N/A,#N/A,FALSE,"자재관리";#N/A,#N/A,FALSE,"자재관리"}</definedName>
    <definedName name="HHHHH" localSheetId="4" hidden="1">{#N/A,#N/A,FALSE,"자재관리";#N/A,#N/A,FALSE,"자재관리";#N/A,#N/A,FALSE,"자재관리"}</definedName>
    <definedName name="HHHHH" localSheetId="2"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3" hidden="1">{#N/A,#N/A,FALSE,"자재관리";#N/A,#N/A,FALSE,"자재관리";#N/A,#N/A,FALSE,"자재관리"}</definedName>
    <definedName name="HHHHHH" localSheetId="1" hidden="1">{#N/A,#N/A,FALSE,"자재관리";#N/A,#N/A,FALSE,"자재관리";#N/A,#N/A,FALSE,"자재관리"}</definedName>
    <definedName name="HHHHHH" localSheetId="4"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TML_CodePage" hidden="1">949</definedName>
    <definedName name="HTML_Control" localSheetId="0" hidden="1">{"'Sheet1'!$E$23","'Sheet1'!$A$3:$H$19","'Sheet1'!$A$1:$H$19"}</definedName>
    <definedName name="HTML_Control" localSheetId="3" hidden="1">{"'Sheet1'!$E$23","'Sheet1'!$A$3:$H$19","'Sheet1'!$A$1:$H$19"}</definedName>
    <definedName name="HTML_Control" localSheetId="1" hidden="1">{"'Sheet1'!$E$23","'Sheet1'!$A$3:$H$19","'Sheet1'!$A$1:$H$19"}</definedName>
    <definedName name="HTML_Control" localSheetId="4" hidden="1">{"'Sheet1'!$E$23","'Sheet1'!$A$3:$H$19","'Sheet1'!$A$1:$H$19"}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msi" localSheetId="5" hidden="1">#REF!</definedName>
    <definedName name="imsi" hidden="1">#REF!</definedName>
    <definedName name="JJJJ" localSheetId="0" hidden="1">{#N/A,#N/A,FALSE,"자재관리";#N/A,#N/A,FALSE,"자재관리";#N/A,#N/A,FALSE,"자재관리"}</definedName>
    <definedName name="JJJJ" localSheetId="3" hidden="1">{#N/A,#N/A,FALSE,"자재관리";#N/A,#N/A,FALSE,"자재관리";#N/A,#N/A,FALSE,"자재관리"}</definedName>
    <definedName name="JJJJ" localSheetId="1" hidden="1">{#N/A,#N/A,FALSE,"자재관리";#N/A,#N/A,FALSE,"자재관리";#N/A,#N/A,FALSE,"자재관리"}</definedName>
    <definedName name="JJJJ" localSheetId="4" hidden="1">{#N/A,#N/A,FALSE,"자재관리";#N/A,#N/A,FALSE,"자재관리";#N/A,#N/A,FALSE,"자재관리"}</definedName>
    <definedName name="JJJJ" localSheetId="2" hidden="1">{#N/A,#N/A,FALSE,"자재관리";#N/A,#N/A,FALSE,"자재관리";#N/A,#N/A,FALSE,"자재관리"}</definedName>
    <definedName name="JJJJ" hidden="1">{#N/A,#N/A,FALSE,"자재관리";#N/A,#N/A,FALSE,"자재관리";#N/A,#N/A,FALSE,"자재관리"}</definedName>
    <definedName name="K" localSheetId="0" hidden="1">{#N/A,#N/A,FALSE,"자재관리";#N/A,#N/A,FALSE,"자재관리";#N/A,#N/A,FALSE,"자재관리"}</definedName>
    <definedName name="K" localSheetId="3" hidden="1">{#N/A,#N/A,FALSE,"자재관리";#N/A,#N/A,FALSE,"자재관리";#N/A,#N/A,FALSE,"자재관리"}</definedName>
    <definedName name="K" localSheetId="1" hidden="1">{#N/A,#N/A,FALSE,"자재관리";#N/A,#N/A,FALSE,"자재관리";#N/A,#N/A,FALSE,"자재관리"}</definedName>
    <definedName name="K" localSheetId="4" hidden="1">{#N/A,#N/A,FALSE,"자재관리";#N/A,#N/A,FALSE,"자재관리";#N/A,#N/A,FALSE,"자재관리"}</definedName>
    <definedName name="K" localSheetId="2" hidden="1">{#N/A,#N/A,FALSE,"자재관리";#N/A,#N/A,FALSE,"자재관리";#N/A,#N/A,FALSE,"자재관리"}</definedName>
    <definedName name="K" hidden="1">{#N/A,#N/A,FALSE,"자재관리";#N/A,#N/A,FALSE,"자재관리";#N/A,#N/A,FALSE,"자재관리"}</definedName>
    <definedName name="kkkkk" localSheetId="0" hidden="1">{#N/A,#N/A,FALSE,"자재관리";#N/A,#N/A,FALSE,"자재관리";#N/A,#N/A,FALSE,"자재관리"}</definedName>
    <definedName name="kkkkk" localSheetId="3" hidden="1">{#N/A,#N/A,FALSE,"자재관리";#N/A,#N/A,FALSE,"자재관리";#N/A,#N/A,FALSE,"자재관리"}</definedName>
    <definedName name="kkkkk" localSheetId="1" hidden="1">{#N/A,#N/A,FALSE,"자재관리";#N/A,#N/A,FALSE,"자재관리";#N/A,#N/A,FALSE,"자재관리"}</definedName>
    <definedName name="kkkkk" localSheetId="4" hidden="1">{#N/A,#N/A,FALSE,"자재관리";#N/A,#N/A,FALSE,"자재관리";#N/A,#N/A,FALSE,"자재관리"}</definedName>
    <definedName name="kkkkk" localSheetId="2"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3" hidden="1">{#N/A,#N/A,FALSE,"자재관리";#N/A,#N/A,FALSE,"자재관리";#N/A,#N/A,FALSE,"자재관리"}</definedName>
    <definedName name="knauf" localSheetId="1" hidden="1">{#N/A,#N/A,FALSE,"자재관리";#N/A,#N/A,FALSE,"자재관리";#N/A,#N/A,FALSE,"자재관리"}</definedName>
    <definedName name="knauf" localSheetId="4"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L" localSheetId="0" hidden="1">{#N/A,#N/A,TRUE,"자재관리";#N/A,#N/A,TRUE,"품질"}</definedName>
    <definedName name="L" localSheetId="3" hidden="1">{#N/A,#N/A,TRUE,"자재관리";#N/A,#N/A,TRUE,"품질"}</definedName>
    <definedName name="L" localSheetId="1" hidden="1">{#N/A,#N/A,TRUE,"자재관리";#N/A,#N/A,TRUE,"품질"}</definedName>
    <definedName name="L" localSheetId="4" hidden="1">{#N/A,#N/A,TRUE,"자재관리";#N/A,#N/A,TRUE,"품질"}</definedName>
    <definedName name="L" localSheetId="2" hidden="1">{#N/A,#N/A,TRUE,"자재관리";#N/A,#N/A,TRUE,"품질"}</definedName>
    <definedName name="L" hidden="1">{#N/A,#N/A,TRUE,"자재관리";#N/A,#N/A,TRUE,"품질"}</definedName>
    <definedName name="MC" localSheetId="0" hidden="1">{#N/A,#N/A,FALSE,"자재관리";#N/A,#N/A,FALSE,"자재관리";#N/A,#N/A,FALSE,"자재관리"}</definedName>
    <definedName name="MC" localSheetId="3" hidden="1">{#N/A,#N/A,FALSE,"자재관리";#N/A,#N/A,FALSE,"자재관리";#N/A,#N/A,FALSE,"자재관리"}</definedName>
    <definedName name="MC" localSheetId="1" hidden="1">{#N/A,#N/A,FALSE,"자재관리";#N/A,#N/A,FALSE,"자재관리";#N/A,#N/A,FALSE,"자재관리"}</definedName>
    <definedName name="MC" localSheetId="4" hidden="1">{#N/A,#N/A,FALSE,"자재관리";#N/A,#N/A,FALSE,"자재관리";#N/A,#N/A,FALSE,"자재관리"}</definedName>
    <definedName name="MC" localSheetId="2" hidden="1">{#N/A,#N/A,FALSE,"자재관리";#N/A,#N/A,FALSE,"자재관리";#N/A,#N/A,FALSE,"자재관리"}</definedName>
    <definedName name="MC" hidden="1">{#N/A,#N/A,FALSE,"자재관리";#N/A,#N/A,FALSE,"자재관리";#N/A,#N/A,FALSE,"자재관리"}</definedName>
    <definedName name="Neotech" localSheetId="0" hidden="1">{#N/A,#N/A,FALSE,"자재관리";#N/A,#N/A,FALSE,"자재관리";#N/A,#N/A,FALSE,"자재관리"}</definedName>
    <definedName name="Neotech" localSheetId="3" hidden="1">{#N/A,#N/A,FALSE,"자재관리";#N/A,#N/A,FALSE,"자재관리";#N/A,#N/A,FALSE,"자재관리"}</definedName>
    <definedName name="Neotech" localSheetId="1" hidden="1">{#N/A,#N/A,FALSE,"자재관리";#N/A,#N/A,FALSE,"자재관리";#N/A,#N/A,FALSE,"자재관리"}</definedName>
    <definedName name="Neotech" localSheetId="4" hidden="1">{#N/A,#N/A,FALSE,"자재관리";#N/A,#N/A,FALSE,"자재관리";#N/A,#N/A,FALSE,"자재관리"}</definedName>
    <definedName name="Neotech" localSheetId="2"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3" hidden="1">{#N/A,#N/A,FALSE,"CCTV"}</definedName>
    <definedName name="NEWNAME" localSheetId="1" hidden="1">{#N/A,#N/A,FALSE,"CCTV"}</definedName>
    <definedName name="NEWNAME" localSheetId="4" hidden="1">{#N/A,#N/A,FALSE,"CCTV"}</definedName>
    <definedName name="NEWNAME" localSheetId="2" hidden="1">{#N/A,#N/A,FALSE,"CCTV"}</definedName>
    <definedName name="NEWNAME" hidden="1">{#N/A,#N/A,FALSE,"CCTV"}</definedName>
    <definedName name="OOOOOO" localSheetId="0" hidden="1">{#N/A,#N/A,FALSE,"자재관리";#N/A,#N/A,FALSE,"자재관리";#N/A,#N/A,FALSE,"자재관리"}</definedName>
    <definedName name="OOOOOO" localSheetId="3" hidden="1">{#N/A,#N/A,FALSE,"자재관리";#N/A,#N/A,FALSE,"자재관리";#N/A,#N/A,FALSE,"자재관리"}</definedName>
    <definedName name="OOOOOO" localSheetId="1" hidden="1">{#N/A,#N/A,FALSE,"자재관리";#N/A,#N/A,FALSE,"자재관리";#N/A,#N/A,FALSE,"자재관리"}</definedName>
    <definedName name="OOOOOO" localSheetId="4" hidden="1">{#N/A,#N/A,FALSE,"자재관리";#N/A,#N/A,FALSE,"자재관리";#N/A,#N/A,FALSE,"자재관리"}</definedName>
    <definedName name="OOOOOO" localSheetId="2"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3" hidden="1">{"'Sheet1'!$E$23","'Sheet1'!$A$3:$H$19","'Sheet1'!$A$1:$H$19"}</definedName>
    <definedName name="PRESS" localSheetId="1" hidden="1">{"'Sheet1'!$E$23","'Sheet1'!$A$3:$H$19","'Sheet1'!$A$1:$H$19"}</definedName>
    <definedName name="PRESS" localSheetId="4" hidden="1">{"'Sheet1'!$E$23","'Sheet1'!$A$3:$H$19","'Sheet1'!$A$1:$H$19"}</definedName>
    <definedName name="PRESS" localSheetId="2" hidden="1">{"'Sheet1'!$E$23","'Sheet1'!$A$3:$H$19","'Sheet1'!$A$1:$H$19"}</definedName>
    <definedName name="PRESS" hidden="1">{"'Sheet1'!$E$23","'Sheet1'!$A$3:$H$19","'Sheet1'!$A$1:$H$19"}</definedName>
    <definedName name="press1" localSheetId="0" hidden="1">{"'Sheet1'!$E$23","'Sheet1'!$A$3:$H$19","'Sheet1'!$A$1:$H$19"}</definedName>
    <definedName name="press1" localSheetId="3" hidden="1">{"'Sheet1'!$E$23","'Sheet1'!$A$3:$H$19","'Sheet1'!$A$1:$H$19"}</definedName>
    <definedName name="press1" localSheetId="1" hidden="1">{"'Sheet1'!$E$23","'Sheet1'!$A$3:$H$19","'Sheet1'!$A$1:$H$19"}</definedName>
    <definedName name="press1" localSheetId="4" hidden="1">{"'Sheet1'!$E$23","'Sheet1'!$A$3:$H$19","'Sheet1'!$A$1:$H$19"}</definedName>
    <definedName name="press1" localSheetId="2" hidden="1">{"'Sheet1'!$E$23","'Sheet1'!$A$3:$H$19","'Sheet1'!$A$1:$H$19"}</definedName>
    <definedName name="press1" hidden="1">{"'Sheet1'!$E$23","'Sheet1'!$A$3:$H$19","'Sheet1'!$A$1:$H$19"}</definedName>
    <definedName name="_xlnm.Print_Area" localSheetId="3">공사수립계획서!$A$1:$G$30</definedName>
    <definedName name="Q" localSheetId="0" hidden="1">{#N/A,#N/A,FALSE,"자재관리";#N/A,#N/A,FALSE,"자재관리";#N/A,#N/A,FALSE,"자재관리"}</definedName>
    <definedName name="Q" localSheetId="3" hidden="1">{#N/A,#N/A,FALSE,"자재관리";#N/A,#N/A,FALSE,"자재관리";#N/A,#N/A,FALSE,"자재관리"}</definedName>
    <definedName name="Q" localSheetId="1" hidden="1">{#N/A,#N/A,FALSE,"자재관리";#N/A,#N/A,FALSE,"자재관리";#N/A,#N/A,FALSE,"자재관리"}</definedName>
    <definedName name="Q" localSheetId="4" hidden="1">{#N/A,#N/A,FALSE,"자재관리";#N/A,#N/A,FALSE,"자재관리";#N/A,#N/A,FALSE,"자재관리"}</definedName>
    <definedName name="Q" localSheetId="2"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3" hidden="1">{#N/A,#N/A,FALSE,"전력간선"}</definedName>
    <definedName name="qqq" localSheetId="1" hidden="1">{#N/A,#N/A,FALSE,"전력간선"}</definedName>
    <definedName name="qqq" localSheetId="4" hidden="1">{#N/A,#N/A,FALSE,"전력간선"}</definedName>
    <definedName name="qqq" localSheetId="2" hidden="1">{#N/A,#N/A,FALSE,"전력간선"}</definedName>
    <definedName name="qqq" hidden="1">{#N/A,#N/A,FALSE,"전력간선"}</definedName>
    <definedName name="QQQW" localSheetId="0" hidden="1">{#N/A,#N/A,FALSE,"전력간선"}</definedName>
    <definedName name="QQQW" localSheetId="3" hidden="1">{#N/A,#N/A,FALSE,"전력간선"}</definedName>
    <definedName name="QQQW" localSheetId="1" hidden="1">{#N/A,#N/A,FALSE,"전력간선"}</definedName>
    <definedName name="QQQW" localSheetId="4" hidden="1">{#N/A,#N/A,FALSE,"전력간선"}</definedName>
    <definedName name="QQQW" localSheetId="2" hidden="1">{#N/A,#N/A,FALSE,"전력간선"}</definedName>
    <definedName name="QQQW" hidden="1">{#N/A,#N/A,FALSE,"전력간선"}</definedName>
    <definedName name="ret" localSheetId="0" hidden="1">{#N/A,#N/A,FALSE,"전력간선"}</definedName>
    <definedName name="ret" localSheetId="3" hidden="1">{#N/A,#N/A,FALSE,"전력간선"}</definedName>
    <definedName name="ret" localSheetId="1" hidden="1">{#N/A,#N/A,FALSE,"전력간선"}</definedName>
    <definedName name="ret" localSheetId="4" hidden="1">{#N/A,#N/A,FALSE,"전력간선"}</definedName>
    <definedName name="ret" localSheetId="2" hidden="1">{#N/A,#N/A,FALSE,"전력간선"}</definedName>
    <definedName name="ret" hidden="1">{#N/A,#N/A,FALSE,"전력간선"}</definedName>
    <definedName name="RIRI" localSheetId="0" hidden="1">{#N/A,#N/A,FALSE,"전력간선"}</definedName>
    <definedName name="RIRI" localSheetId="3" hidden="1">{#N/A,#N/A,FALSE,"전력간선"}</definedName>
    <definedName name="RIRI" localSheetId="1" hidden="1">{#N/A,#N/A,FALSE,"전력간선"}</definedName>
    <definedName name="RIRI" localSheetId="4" hidden="1">{#N/A,#N/A,FALSE,"전력간선"}</definedName>
    <definedName name="RIRI" localSheetId="2" hidden="1">{#N/A,#N/A,FALSE,"전력간선"}</definedName>
    <definedName name="RIRI" hidden="1">{#N/A,#N/A,FALSE,"전력간선"}</definedName>
    <definedName name="rthyetyuety" localSheetId="0" hidden="1">{#N/A,#N/A,TRUE,"자재관리";#N/A,#N/A,TRUE,"품질"}</definedName>
    <definedName name="rthyetyuety" localSheetId="3" hidden="1">{#N/A,#N/A,TRUE,"자재관리";#N/A,#N/A,TRUE,"품질"}</definedName>
    <definedName name="rthyetyuety" localSheetId="1" hidden="1">{#N/A,#N/A,TRUE,"자재관리";#N/A,#N/A,TRUE,"품질"}</definedName>
    <definedName name="rthyetyuety" localSheetId="4" hidden="1">{#N/A,#N/A,TRUE,"자재관리";#N/A,#N/A,TRUE,"품질"}</definedName>
    <definedName name="rthyetyuety" localSheetId="2"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3" hidden="1">{#N/A,#N/A,FALSE,"자재관리";#N/A,#N/A,FALSE,"자재관리";#N/A,#N/A,FALSE,"자재관리"}</definedName>
    <definedName name="SD" localSheetId="1" hidden="1">{#N/A,#N/A,FALSE,"자재관리";#N/A,#N/A,FALSE,"자재관리";#N/A,#N/A,FALSE,"자재관리"}</definedName>
    <definedName name="SD" localSheetId="4" hidden="1">{#N/A,#N/A,FALSE,"자재관리";#N/A,#N/A,FALSE,"자재관리";#N/A,#N/A,FALSE,"자재관리"}</definedName>
    <definedName name="SD" localSheetId="2" hidden="1">{#N/A,#N/A,FALSE,"자재관리";#N/A,#N/A,FALSE,"자재관리";#N/A,#N/A,FALSE,"자재관리"}</definedName>
    <definedName name="SD" hidden="1">{#N/A,#N/A,FALSE,"자재관리";#N/A,#N/A,FALSE,"자재관리";#N/A,#N/A,FALSE,"자재관리"}</definedName>
    <definedName name="sss" localSheetId="0" hidden="1">{#N/A,#N/A,FALSE,"전력간선"}</definedName>
    <definedName name="sss" localSheetId="3" hidden="1">{#N/A,#N/A,FALSE,"전력간선"}</definedName>
    <definedName name="sss" localSheetId="1" hidden="1">{#N/A,#N/A,FALSE,"전력간선"}</definedName>
    <definedName name="sss" localSheetId="4" hidden="1">{#N/A,#N/A,FALSE,"전력간선"}</definedName>
    <definedName name="sss" localSheetId="2" hidden="1">{#N/A,#N/A,FALSE,"전력간선"}</definedName>
    <definedName name="sss" hidden="1">{#N/A,#N/A,FALSE,"전력간선"}</definedName>
    <definedName name="t" localSheetId="0" hidden="1">{#N/A,#N/A,TRUE,"자재관리";#N/A,#N/A,TRUE,"품질"}</definedName>
    <definedName name="t" localSheetId="3" hidden="1">{#N/A,#N/A,TRUE,"자재관리";#N/A,#N/A,TRUE,"품질"}</definedName>
    <definedName name="t" localSheetId="1" hidden="1">{#N/A,#N/A,TRUE,"자재관리";#N/A,#N/A,TRUE,"품질"}</definedName>
    <definedName name="t" localSheetId="4" hidden="1">{#N/A,#N/A,TRUE,"자재관리";#N/A,#N/A,TRUE,"품질"}</definedName>
    <definedName name="t" localSheetId="2" hidden="1">{#N/A,#N/A,TRUE,"자재관리";#N/A,#N/A,TRUE,"품질"}</definedName>
    <definedName name="t" hidden="1">{#N/A,#N/A,TRUE,"자재관리";#N/A,#N/A,TRUE,"품질"}</definedName>
    <definedName name="uwehdiueih" localSheetId="0" hidden="1">{#N/A,#N/A,FALSE,"자재관리";#N/A,#N/A,FALSE,"자재관리";#N/A,#N/A,FALSE,"자재관리"}</definedName>
    <definedName name="uwehdiueih" localSheetId="3" hidden="1">{#N/A,#N/A,FALSE,"자재관리";#N/A,#N/A,FALSE,"자재관리";#N/A,#N/A,FALSE,"자재관리"}</definedName>
    <definedName name="uwehdiueih" localSheetId="1" hidden="1">{#N/A,#N/A,FALSE,"자재관리";#N/A,#N/A,FALSE,"자재관리";#N/A,#N/A,FALSE,"자재관리"}</definedName>
    <definedName name="uwehdiueih" localSheetId="4" hidden="1">{#N/A,#N/A,FALSE,"자재관리";#N/A,#N/A,FALSE,"자재관리";#N/A,#N/A,FALSE,"자재관리"}</definedName>
    <definedName name="uwehdiueih" localSheetId="2"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3" hidden="1">{#N/A,#N/A,FALSE,"CCTV"}</definedName>
    <definedName name="WRITE" localSheetId="1" hidden="1">{#N/A,#N/A,FALSE,"CCTV"}</definedName>
    <definedName name="WRITE" localSheetId="4" hidden="1">{#N/A,#N/A,FALSE,"CCTV"}</definedName>
    <definedName name="WRITE" localSheetId="2"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3" hidden="1">{#N/A,#N/A,FALSE,"자재관리";#N/A,#N/A,FALSE,"자재관리";#N/A,#N/A,FALSE,"자재관리"}</definedName>
    <definedName name="wrn.6월._.자재관리._.현황." localSheetId="1" hidden="1">{#N/A,#N/A,FALSE,"자재관리";#N/A,#N/A,FALSE,"자재관리";#N/A,#N/A,FALSE,"자재관리"}</definedName>
    <definedName name="wrn.6월._.자재관리._.현황." localSheetId="4" hidden="1">{#N/A,#N/A,FALSE,"자재관리";#N/A,#N/A,FALSE,"자재관리";#N/A,#N/A,FALSE,"자재관리"}</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c30prn." localSheetId="0"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3" hidden="1">{#N/A,#N/A,FALSE,"CCTV"}</definedName>
    <definedName name="wrn.BM." localSheetId="1" hidden="1">{#N/A,#N/A,FALSE,"CCTV"}</definedName>
    <definedName name="wrn.BM." localSheetId="4" hidden="1">{#N/A,#N/A,FALSE,"CCTV"}</definedName>
    <definedName name="wrn.BM." localSheetId="2"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0" hidden="1">{#N/A,#N/A,FALSE,"전력간선"}</definedName>
    <definedName name="wrn.교육청." localSheetId="3" hidden="1">{#N/A,#N/A,FALSE,"전력간선"}</definedName>
    <definedName name="wrn.교육청." localSheetId="1" hidden="1">{#N/A,#N/A,FALSE,"전력간선"}</definedName>
    <definedName name="wrn.교육청." localSheetId="4" hidden="1">{#N/A,#N/A,FALSE,"전력간선"}</definedName>
    <definedName name="wrn.교육청." localSheetId="2" hidden="1">{#N/A,#N/A,FALSE,"전력간선"}</definedName>
    <definedName name="wrn.교육청." hidden="1">{#N/A,#N/A,FALSE,"전력간선"}</definedName>
    <definedName name="wrn.기성." localSheetId="0" hidden="1">{#N/A,#N/A,FALSE,"신청통보";#N/A,#N/A,FALSE,"기성확인서";#N/A,#N/A,FALSE,"기성내역서"}</definedName>
    <definedName name="wrn.기성." localSheetId="3" hidden="1">{#N/A,#N/A,FALSE,"신청통보";#N/A,#N/A,FALSE,"기성확인서";#N/A,#N/A,FALSE,"기성내역서"}</definedName>
    <definedName name="wrn.기성." localSheetId="1" hidden="1">{#N/A,#N/A,FALSE,"신청통보";#N/A,#N/A,FALSE,"기성확인서";#N/A,#N/A,FALSE,"기성내역서"}</definedName>
    <definedName name="wrn.기성." localSheetId="4" hidden="1">{#N/A,#N/A,FALSE,"신청통보";#N/A,#N/A,FALSE,"기성확인서";#N/A,#N/A,FALSE,"기성내역서"}</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3" hidden="1">{#N/A,#N/A,TRUE,"자재관리";#N/A,#N/A,TRUE,"품질"}</definedName>
    <definedName name="wrn.보고서." localSheetId="1" hidden="1">{#N/A,#N/A,TRUE,"자재관리";#N/A,#N/A,TRUE,"품질"}</definedName>
    <definedName name="wrn.보고서." localSheetId="4" hidden="1">{#N/A,#N/A,TRUE,"자재관리";#N/A,#N/A,TRUE,"품질"}</definedName>
    <definedName name="wrn.보고서." localSheetId="2"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3" hidden="1">{#N/A,#N/A,FALSE,"신청통보";#N/A,#N/A,FALSE,"기성확인서";#N/A,#N/A,FALSE,"기성내역서"}</definedName>
    <definedName name="wrn.외주기성." localSheetId="1" hidden="1">{#N/A,#N/A,FALSE,"신청통보";#N/A,#N/A,FALSE,"기성확인서";#N/A,#N/A,FALSE,"기성내역서"}</definedName>
    <definedName name="wrn.외주기성." localSheetId="4" hidden="1">{#N/A,#N/A,FALSE,"신청통보";#N/A,#N/A,FALSE,"기성확인서";#N/A,#N/A,FALSE,"기성내역서"}</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X" localSheetId="0" hidden="1">{#N/A,#N/A,TRUE,"자재관리";#N/A,#N/A,TRUE,"품질"}</definedName>
    <definedName name="X" localSheetId="3" hidden="1">{#N/A,#N/A,TRUE,"자재관리";#N/A,#N/A,TRUE,"품질"}</definedName>
    <definedName name="X" localSheetId="1" hidden="1">{#N/A,#N/A,TRUE,"자재관리";#N/A,#N/A,TRUE,"품질"}</definedName>
    <definedName name="X" localSheetId="4" hidden="1">{#N/A,#N/A,TRUE,"자재관리";#N/A,#N/A,TRUE,"품질"}</definedName>
    <definedName name="X" localSheetId="2" hidden="1">{#N/A,#N/A,TRUE,"자재관리";#N/A,#N/A,TRUE,"품질"}</definedName>
    <definedName name="X" hidden="1">{#N/A,#N/A,TRUE,"자재관리";#N/A,#N/A,TRUE,"품질"}</definedName>
    <definedName name="겨격" localSheetId="5" hidden="1">#REF!</definedName>
    <definedName name="겨격" localSheetId="0" hidden="1">#REF!</definedName>
    <definedName name="겨격" localSheetId="3" hidden="1">#REF!</definedName>
    <definedName name="겨격" localSheetId="2" hidden="1">#REF!</definedName>
    <definedName name="겨격" hidden="1">#REF!</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 localSheetId="0" hidden="1">{#N/A,#N/A,FALSE,"도급대비시행율";#N/A,#N/A,FALSE,"결의서";#N/A,#N/A,FALSE,"내역서";#N/A,#N/A,FALSE,"도급예상"}</definedName>
    <definedName name="경수" localSheetId="3"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4" hidden="1">{#N/A,#N/A,FALSE,"도급대비시행율";#N/A,#N/A,FALSE,"결의서";#N/A,#N/A,FALSE,"내역서";#N/A,#N/A,FALSE,"도급예상"}</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3" hidden="1">{#N/A,#N/A,FALSE,"자재관리";#N/A,#N/A,FALSE,"자재관리";#N/A,#N/A,FALSE,"자재관리"}</definedName>
    <definedName name="경영목표2" localSheetId="1" hidden="1">{#N/A,#N/A,FALSE,"자재관리";#N/A,#N/A,FALSE,"자재관리";#N/A,#N/A,FALSE,"자재관리"}</definedName>
    <definedName name="경영목표2" localSheetId="4" hidden="1">{#N/A,#N/A,FALSE,"자재관리";#N/A,#N/A,FALSE,"자재관리";#N/A,#N/A,FALSE,"자재관리"}</definedName>
    <definedName name="경영목표2" localSheetId="2" hidden="1">{#N/A,#N/A,FALSE,"자재관리";#N/A,#N/A,FALSE,"자재관리";#N/A,#N/A,FALSE,"자재관리"}</definedName>
    <definedName name="경영목표2" hidden="1">{#N/A,#N/A,FALSE,"자재관리";#N/A,#N/A,FALSE,"자재관리";#N/A,#N/A,FALSE,"자재관리"}</definedName>
    <definedName name="공문" localSheetId="0" hidden="1">{#N/A,#N/A,FALSE,"자재관리";#N/A,#N/A,FALSE,"자재관리";#N/A,#N/A,FALSE,"자재관리"}</definedName>
    <definedName name="공문" localSheetId="3" hidden="1">{#N/A,#N/A,FALSE,"자재관리";#N/A,#N/A,FALSE,"자재관리";#N/A,#N/A,FALSE,"자재관리"}</definedName>
    <definedName name="공문" localSheetId="1" hidden="1">{#N/A,#N/A,FALSE,"자재관리";#N/A,#N/A,FALSE,"자재관리";#N/A,#N/A,FALSE,"자재관리"}</definedName>
    <definedName name="공문" localSheetId="4" hidden="1">{#N/A,#N/A,FALSE,"자재관리";#N/A,#N/A,FALSE,"자재관리";#N/A,#N/A,FALSE,"자재관리"}</definedName>
    <definedName name="공문" localSheetId="2"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3" hidden="1">{#N/A,#N/A,FALSE,"자재관리";#N/A,#N/A,FALSE,"자재관리";#N/A,#N/A,FALSE,"자재관리"}</definedName>
    <definedName name="공문1" localSheetId="1" hidden="1">{#N/A,#N/A,FALSE,"자재관리";#N/A,#N/A,FALSE,"자재관리";#N/A,#N/A,FALSE,"자재관리"}</definedName>
    <definedName name="공문1" localSheetId="4"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3" hidden="1">{#N/A,#N/A,FALSE,"신청통보";#N/A,#N/A,FALSE,"기성확인서";#N/A,#N/A,FALSE,"기성내역서"}</definedName>
    <definedName name="구자관" localSheetId="1" hidden="1">{#N/A,#N/A,FALSE,"신청통보";#N/A,#N/A,FALSE,"기성확인서";#N/A,#N/A,FALSE,"기성내역서"}</definedName>
    <definedName name="구자관" localSheetId="4" hidden="1">{#N/A,#N/A,FALSE,"신청통보";#N/A,#N/A,FALSE,"기성확인서";#N/A,#N/A,FALSE,"기성내역서"}</definedName>
    <definedName name="구자관" localSheetId="2" hidden="1">{#N/A,#N/A,FALSE,"신청통보";#N/A,#N/A,FALSE,"기성확인서";#N/A,#N/A,FALSE,"기성내역서"}</definedName>
    <definedName name="구자관" hidden="1">{#N/A,#N/A,FALSE,"신청통보";#N/A,#N/A,FALSE,"기성확인서";#N/A,#N/A,FALSE,"기성내역서"}</definedName>
    <definedName name="기" localSheetId="0" hidden="1">{#N/A,#N/A,TRUE,"자재관리";#N/A,#N/A,TRUE,"품질"}</definedName>
    <definedName name="기" localSheetId="3" hidden="1">{#N/A,#N/A,TRUE,"자재관리";#N/A,#N/A,TRUE,"품질"}</definedName>
    <definedName name="기" localSheetId="1" hidden="1">{#N/A,#N/A,TRUE,"자재관리";#N/A,#N/A,TRUE,"품질"}</definedName>
    <definedName name="기" localSheetId="4" hidden="1">{#N/A,#N/A,TRUE,"자재관리";#N/A,#N/A,TRUE,"품질"}</definedName>
    <definedName name="기" localSheetId="2" hidden="1">{#N/A,#N/A,TRUE,"자재관리";#N/A,#N/A,TRUE,"품질"}</definedName>
    <definedName name="기" hidden="1">{#N/A,#N/A,TRUE,"자재관리";#N/A,#N/A,TRUE,"품질"}</definedName>
    <definedName name="기계단가1" localSheetId="0" hidden="1">{#N/A,#N/A,FALSE,"전력간선"}</definedName>
    <definedName name="기계단가1" localSheetId="3" hidden="1">{#N/A,#N/A,FALSE,"전력간선"}</definedName>
    <definedName name="기계단가1" localSheetId="1" hidden="1">{#N/A,#N/A,FALSE,"전력간선"}</definedName>
    <definedName name="기계단가1" localSheetId="4" hidden="1">{#N/A,#N/A,FALSE,"전력간선"}</definedName>
    <definedName name="기계단가1" localSheetId="2" hidden="1">{#N/A,#N/A,FALSE,"전력간선"}</definedName>
    <definedName name="기계단가1" hidden="1">{#N/A,#N/A,FALSE,"전력간선"}</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3"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4" hidden="1">{#N/A,#N/A,FALSE,"도급대비시행율";#N/A,#N/A,FALSE,"결의서";#N/A,#N/A,FALSE,"내역서";#N/A,#N/A,FALSE,"도급예상"}</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0" hidden="1">{#N/A,#N/A,TRUE,"자재관리";#N/A,#N/A,TRUE,"품질"}</definedName>
    <definedName name="ㄴ" localSheetId="3" hidden="1">{#N/A,#N/A,TRUE,"자재관리";#N/A,#N/A,TRUE,"품질"}</definedName>
    <definedName name="ㄴ" localSheetId="1" hidden="1">{#N/A,#N/A,TRUE,"자재관리";#N/A,#N/A,TRUE,"품질"}</definedName>
    <definedName name="ㄴ" localSheetId="4" hidden="1">{#N/A,#N/A,TRUE,"자재관리";#N/A,#N/A,TRUE,"품질"}</definedName>
    <definedName name="ㄴ" localSheetId="2" hidden="1">{#N/A,#N/A,TRUE,"자재관리";#N/A,#N/A,TRUE,"품질"}</definedName>
    <definedName name="ㄴ" hidden="1">{#N/A,#N/A,TRUE,"자재관리";#N/A,#N/A,TRUE,"품질"}</definedName>
    <definedName name="ㄴㄴㄴ" localSheetId="5" hidden="1">#REF!</definedName>
    <definedName name="ㄴㄴㄴ" localSheetId="0" hidden="1">{#N/A,#N/A,FALSE,"자재관리";#N/A,#N/A,FALSE,"자재관리";#N/A,#N/A,FALSE,"자재관리"}</definedName>
    <definedName name="ㄴㄴㄴ" localSheetId="3" hidden="1">{#N/A,#N/A,FALSE,"자재관리";#N/A,#N/A,FALSE,"자재관리";#N/A,#N/A,FALSE,"자재관리"}</definedName>
    <definedName name="ㄴㄴㄴ" localSheetId="1" hidden="1">{#N/A,#N/A,FALSE,"자재관리";#N/A,#N/A,FALSE,"자재관리";#N/A,#N/A,FALSE,"자재관리"}</definedName>
    <definedName name="ㄴㄴㄴ" localSheetId="4" hidden="1">{#N/A,#N/A,FALSE,"자재관리";#N/A,#N/A,FALSE,"자재관리";#N/A,#N/A,FALSE,"자재관리"}</definedName>
    <definedName name="ㄴㄴㄴ" localSheetId="2"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3" hidden="1">{#N/A,#N/A,TRUE,"자재관리";#N/A,#N/A,TRUE,"품질"}</definedName>
    <definedName name="ㄴㄴㄴㄴㄴ" localSheetId="1" hidden="1">{#N/A,#N/A,TRUE,"자재관리";#N/A,#N/A,TRUE,"품질"}</definedName>
    <definedName name="ㄴㄴㄴㄴㄴ" localSheetId="4" hidden="1">{#N/A,#N/A,TRUE,"자재관리";#N/A,#N/A,TRUE,"품질"}</definedName>
    <definedName name="ㄴㄴㄴㄴㄴ" localSheetId="2"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3" hidden="1">{#N/A,#N/A,FALSE,"자재관리";#N/A,#N/A,FALSE,"자재관리";#N/A,#N/A,FALSE,"자재관리"}</definedName>
    <definedName name="ㄴㅁㅁㅁ" localSheetId="1" hidden="1">{#N/A,#N/A,FALSE,"자재관리";#N/A,#N/A,FALSE,"자재관리";#N/A,#N/A,FALSE,"자재관리"}</definedName>
    <definedName name="ㄴㅁㅁㅁ" localSheetId="4" hidden="1">{#N/A,#N/A,FALSE,"자재관리";#N/A,#N/A,FALSE,"자재관리";#N/A,#N/A,FALSE,"자재관리"}</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3" hidden="1">{#N/A,#N/A,FALSE,"CCTV"}</definedName>
    <definedName name="ㄴㅌㄴㅌ" localSheetId="1" hidden="1">{#N/A,#N/A,FALSE,"CCTV"}</definedName>
    <definedName name="ㄴㅌㄴㅌ" localSheetId="4" hidden="1">{#N/A,#N/A,FALSE,"CCTV"}</definedName>
    <definedName name="ㄴㅌㄴㅌ" localSheetId="2" hidden="1">{#N/A,#N/A,FALSE,"CCTV"}</definedName>
    <definedName name="ㄴㅌㄴㅌ" hidden="1">{#N/A,#N/A,FALSE,"CCTV"}</definedName>
    <definedName name="내역" localSheetId="0" hidden="1">{#N/A,#N/A,FALSE,"CCTV"}</definedName>
    <definedName name="내역" localSheetId="3" hidden="1">{#N/A,#N/A,FALSE,"CCTV"}</definedName>
    <definedName name="내역" localSheetId="1" hidden="1">{#N/A,#N/A,FALSE,"CCTV"}</definedName>
    <definedName name="내역" localSheetId="4" hidden="1">{#N/A,#N/A,FALSE,"CCTV"}</definedName>
    <definedName name="내역" localSheetId="2" hidden="1">{#N/A,#N/A,FALSE,"CCTV"}</definedName>
    <definedName name="내역" hidden="1">{#N/A,#N/A,FALSE,"CCTV"}</definedName>
    <definedName name="단가산출서" localSheetId="0" hidden="1">{#N/A,#N/A,FALSE,"전력간선"}</definedName>
    <definedName name="단가산출서" localSheetId="3" hidden="1">{#N/A,#N/A,FALSE,"전력간선"}</definedName>
    <definedName name="단가산출서" localSheetId="1" hidden="1">{#N/A,#N/A,FALSE,"전력간선"}</definedName>
    <definedName name="단가산출서" localSheetId="4" hidden="1">{#N/A,#N/A,FALSE,"전력간선"}</definedName>
    <definedName name="단가산출서" localSheetId="2" hidden="1">{#N/A,#N/A,FALSE,"전력간선"}</definedName>
    <definedName name="단가산출서" hidden="1">{#N/A,#N/A,FALSE,"전력간선"}</definedName>
    <definedName name="ㄹ32" localSheetId="5" hidden="1">#REF!</definedName>
    <definedName name="ㄹ32" localSheetId="0" hidden="1">#REF!</definedName>
    <definedName name="ㄹ32" localSheetId="3" hidden="1">#REF!</definedName>
    <definedName name="ㄹ32" localSheetId="2" hidden="1">#REF!</definedName>
    <definedName name="ㄹ32" hidden="1">#REF!</definedName>
    <definedName name="러헐" localSheetId="0" hidden="1">{#N/A,#N/A,FALSE,"도급대비시행율";#N/A,#N/A,FALSE,"결의서";#N/A,#N/A,FALSE,"내역서";#N/A,#N/A,FALSE,"도급예상"}</definedName>
    <definedName name="러헐" localSheetId="3"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4" hidden="1">{#N/A,#N/A,FALSE,"도급대비시행율";#N/A,#N/A,FALSE,"결의서";#N/A,#N/A,FALSE,"내역서";#N/A,#N/A,FALSE,"도급예상"}</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ㅁ" localSheetId="0" hidden="1">{#N/A,#N/A,FALSE,"자재관리";#N/A,#N/A,FALSE,"자재관리";#N/A,#N/A,FALSE,"자재관리"}</definedName>
    <definedName name="ㅁ" localSheetId="3" hidden="1">{#N/A,#N/A,FALSE,"자재관리";#N/A,#N/A,FALSE,"자재관리";#N/A,#N/A,FALSE,"자재관리"}</definedName>
    <definedName name="ㅁ" localSheetId="1" hidden="1">{#N/A,#N/A,FALSE,"자재관리";#N/A,#N/A,FALSE,"자재관리";#N/A,#N/A,FALSE,"자재관리"}</definedName>
    <definedName name="ㅁ" localSheetId="4" hidden="1">{#N/A,#N/A,FALSE,"자재관리";#N/A,#N/A,FALSE,"자재관리";#N/A,#N/A,FALSE,"자재관리"}</definedName>
    <definedName name="ㅁ" localSheetId="2"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3" hidden="1">{#N/A,#N/A,FALSE,"자재관리";#N/A,#N/A,FALSE,"자재관리";#N/A,#N/A,FALSE,"자재관리"}</definedName>
    <definedName name="ㅁㄱㄷ" localSheetId="1" hidden="1">{#N/A,#N/A,FALSE,"자재관리";#N/A,#N/A,FALSE,"자재관리";#N/A,#N/A,FALSE,"자재관리"}</definedName>
    <definedName name="ㅁㄱㄷ" localSheetId="4"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3" hidden="1">{#N/A,#N/A,FALSE,"전력간선"}</definedName>
    <definedName name="ㅁㅁ" localSheetId="1" hidden="1">{#N/A,#N/A,FALSE,"전력간선"}</definedName>
    <definedName name="ㅁㅁ" localSheetId="4" hidden="1">{#N/A,#N/A,FALSE,"전력간선"}</definedName>
    <definedName name="ㅁㅁ" localSheetId="2" hidden="1">{#N/A,#N/A,FALSE,"전력간선"}</definedName>
    <definedName name="ㅁㅁ" hidden="1">{#N/A,#N/A,FALSE,"전력간선"}</definedName>
    <definedName name="ㅁㅇ" localSheetId="0" hidden="1">{#N/A,#N/A,FALSE,"자재관리";#N/A,#N/A,FALSE,"자재관리";#N/A,#N/A,FALSE,"자재관리"}</definedName>
    <definedName name="ㅁㅇ" localSheetId="3" hidden="1">{#N/A,#N/A,FALSE,"자재관리";#N/A,#N/A,FALSE,"자재관리";#N/A,#N/A,FALSE,"자재관리"}</definedName>
    <definedName name="ㅁㅇ" localSheetId="1" hidden="1">{#N/A,#N/A,FALSE,"자재관리";#N/A,#N/A,FALSE,"자재관리";#N/A,#N/A,FALSE,"자재관리"}</definedName>
    <definedName name="ㅁㅇ" localSheetId="4" hidden="1">{#N/A,#N/A,FALSE,"자재관리";#N/A,#N/A,FALSE,"자재관리";#N/A,#N/A,FALSE,"자재관리"}</definedName>
    <definedName name="ㅁㅇ" localSheetId="2" hidden="1">{#N/A,#N/A,FALSE,"자재관리";#N/A,#N/A,FALSE,"자재관리";#N/A,#N/A,FALSE,"자재관리"}</definedName>
    <definedName name="ㅁㅇ" hidden="1">{#N/A,#N/A,FALSE,"자재관리";#N/A,#N/A,FALSE,"자재관리";#N/A,#N/A,FALSE,"자재관리"}</definedName>
    <definedName name="목표" localSheetId="0" hidden="1">{#N/A,#N/A,FALSE,"자재관리";#N/A,#N/A,FALSE,"자재관리";#N/A,#N/A,FALSE,"자재관리"}</definedName>
    <definedName name="목표" localSheetId="3" hidden="1">{#N/A,#N/A,FALSE,"자재관리";#N/A,#N/A,FALSE,"자재관리";#N/A,#N/A,FALSE,"자재관리"}</definedName>
    <definedName name="목표" localSheetId="1" hidden="1">{#N/A,#N/A,FALSE,"자재관리";#N/A,#N/A,FALSE,"자재관리";#N/A,#N/A,FALSE,"자재관리"}</definedName>
    <definedName name="목표" localSheetId="4" hidden="1">{#N/A,#N/A,FALSE,"자재관리";#N/A,#N/A,FALSE,"자재관리";#N/A,#N/A,FALSE,"자재관리"}</definedName>
    <definedName name="목표" localSheetId="2" hidden="1">{#N/A,#N/A,FALSE,"자재관리";#N/A,#N/A,FALSE,"자재관리";#N/A,#N/A,FALSE,"자재관리"}</definedName>
    <definedName name="목표" hidden="1">{#N/A,#N/A,FALSE,"자재관리";#N/A,#N/A,FALSE,"자재관리";#N/A,#N/A,FALSE,"자재관리"}</definedName>
    <definedName name="ㅂ" localSheetId="0" hidden="1">{#N/A,#N/A,FALSE,"전력간선"}</definedName>
    <definedName name="ㅂ" localSheetId="3" hidden="1">{#N/A,#N/A,FALSE,"전력간선"}</definedName>
    <definedName name="ㅂ" localSheetId="1" hidden="1">{#N/A,#N/A,FALSE,"전력간선"}</definedName>
    <definedName name="ㅂ" localSheetId="4" hidden="1">{#N/A,#N/A,FALSE,"전력간선"}</definedName>
    <definedName name="ㅂ" localSheetId="2" hidden="1">{#N/A,#N/A,FALSE,"전력간선"}</definedName>
    <definedName name="ㅂ" hidden="1">{#N/A,#N/A,FALSE,"전력간선"}</definedName>
    <definedName name="ㅅ" localSheetId="0" hidden="1">{#N/A,#N/A,FALSE,"자재관리";#N/A,#N/A,FALSE,"자재관리";#N/A,#N/A,FALSE,"자재관리"}</definedName>
    <definedName name="ㅅ" localSheetId="3" hidden="1">{#N/A,#N/A,FALSE,"자재관리";#N/A,#N/A,FALSE,"자재관리";#N/A,#N/A,FALSE,"자재관리"}</definedName>
    <definedName name="ㅅ" localSheetId="1" hidden="1">{#N/A,#N/A,FALSE,"자재관리";#N/A,#N/A,FALSE,"자재관리";#N/A,#N/A,FALSE,"자재관리"}</definedName>
    <definedName name="ㅅ" localSheetId="4" hidden="1">{#N/A,#N/A,FALSE,"자재관리";#N/A,#N/A,FALSE,"자재관리";#N/A,#N/A,FALSE,"자재관리"}</definedName>
    <definedName name="ㅅ" localSheetId="2" hidden="1">{#N/A,#N/A,FALSE,"자재관리";#N/A,#N/A,FALSE,"자재관리";#N/A,#N/A,FALSE,"자재관리"}</definedName>
    <definedName name="ㅅ" hidden="1">{#N/A,#N/A,FALSE,"자재관리";#N/A,#N/A,FALSE,"자재관리";#N/A,#N/A,FALSE,"자재관리"}</definedName>
    <definedName name="서원열" localSheetId="0" hidden="1">{#N/A,#N/A,FALSE,"자재관리";#N/A,#N/A,FALSE,"자재관리";#N/A,#N/A,FALSE,"자재관리"}</definedName>
    <definedName name="서원열" localSheetId="3" hidden="1">{#N/A,#N/A,FALSE,"자재관리";#N/A,#N/A,FALSE,"자재관리";#N/A,#N/A,FALSE,"자재관리"}</definedName>
    <definedName name="서원열" localSheetId="1" hidden="1">{#N/A,#N/A,FALSE,"자재관리";#N/A,#N/A,FALSE,"자재관리";#N/A,#N/A,FALSE,"자재관리"}</definedName>
    <definedName name="서원열" localSheetId="4" hidden="1">{#N/A,#N/A,FALSE,"자재관리";#N/A,#N/A,FALSE,"자재관리";#N/A,#N/A,FALSE,"자재관리"}</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3" hidden="1">{#N/A,#N/A,FALSE,"자재관리";#N/A,#N/A,FALSE,"자재관리";#N/A,#N/A,FALSE,"자재관리"}</definedName>
    <definedName name="서원영" localSheetId="1" hidden="1">{#N/A,#N/A,FALSE,"자재관리";#N/A,#N/A,FALSE,"자재관리";#N/A,#N/A,FALSE,"자재관리"}</definedName>
    <definedName name="서원영" localSheetId="4"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세현" localSheetId="0" hidden="1">{#N/A,#N/A,FALSE,"자재관리";#N/A,#N/A,FALSE,"자재관리";#N/A,#N/A,FALSE,"자재관리"}</definedName>
    <definedName name="세현" localSheetId="3" hidden="1">{#N/A,#N/A,FALSE,"자재관리";#N/A,#N/A,FALSE,"자재관리";#N/A,#N/A,FALSE,"자재관리"}</definedName>
    <definedName name="세현" localSheetId="1" hidden="1">{#N/A,#N/A,FALSE,"자재관리";#N/A,#N/A,FALSE,"자재관리";#N/A,#N/A,FALSE,"자재관리"}</definedName>
    <definedName name="세현" localSheetId="4" hidden="1">{#N/A,#N/A,FALSE,"자재관리";#N/A,#N/A,FALSE,"자재관리";#N/A,#N/A,FALSE,"자재관리"}</definedName>
    <definedName name="세현" localSheetId="2"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3" hidden="1">{#N/A,#N/A,FALSE,"CCTV"}</definedName>
    <definedName name="소화갑지" localSheetId="1" hidden="1">{#N/A,#N/A,FALSE,"CCTV"}</definedName>
    <definedName name="소화갑지" localSheetId="4" hidden="1">{#N/A,#N/A,FALSE,"CCTV"}</definedName>
    <definedName name="소화갑지" localSheetId="2" hidden="1">{#N/A,#N/A,FALSE,"CCTV"}</definedName>
    <definedName name="소화갑지" hidden="1">{#N/A,#N/A,FALSE,"CCTV"}</definedName>
    <definedName name="ㅇ" localSheetId="0" hidden="1">{#N/A,#N/A,TRUE,"자재관리";#N/A,#N/A,TRUE,"품질"}</definedName>
    <definedName name="ㅇ" localSheetId="3" hidden="1">{#N/A,#N/A,TRUE,"자재관리";#N/A,#N/A,TRUE,"품질"}</definedName>
    <definedName name="ㅇ" localSheetId="1" hidden="1">{#N/A,#N/A,TRUE,"자재관리";#N/A,#N/A,TRUE,"품질"}</definedName>
    <definedName name="ㅇ" localSheetId="4" hidden="1">{#N/A,#N/A,TRUE,"자재관리";#N/A,#N/A,TRUE,"품질"}</definedName>
    <definedName name="ㅇ" localSheetId="2" hidden="1">{#N/A,#N/A,TRUE,"자재관리";#N/A,#N/A,TRUE,"품질"}</definedName>
    <definedName name="ㅇ" hidden="1">{#N/A,#N/A,TRUE,"자재관리";#N/A,#N/A,TRUE,"품질"}</definedName>
    <definedName name="ㅇㄴㅇㄴ" localSheetId="0" hidden="1">{#N/A,#N/A,FALSE,"CCTV"}</definedName>
    <definedName name="ㅇㄴㅇㄴ" localSheetId="3" hidden="1">{#N/A,#N/A,FALSE,"CCTV"}</definedName>
    <definedName name="ㅇㄴㅇㄴ" localSheetId="1" hidden="1">{#N/A,#N/A,FALSE,"CCTV"}</definedName>
    <definedName name="ㅇㄴㅇㄴ" localSheetId="4" hidden="1">{#N/A,#N/A,FALSE,"CCTV"}</definedName>
    <definedName name="ㅇㄴㅇㄴ" localSheetId="2" hidden="1">{#N/A,#N/A,FALSE,"CCTV"}</definedName>
    <definedName name="ㅇㄴㅇㄴ" hidden="1">{#N/A,#N/A,FALSE,"CCTV"}</definedName>
    <definedName name="ㅇㅇ" localSheetId="0" hidden="1">{#N/A,#N/A,FALSE,"자재관리";#N/A,#N/A,FALSE,"자재관리";#N/A,#N/A,FALSE,"자재관리"}</definedName>
    <definedName name="ㅇㅇ" localSheetId="3" hidden="1">{#N/A,#N/A,FALSE,"자재관리";#N/A,#N/A,FALSE,"자재관리";#N/A,#N/A,FALSE,"자재관리"}</definedName>
    <definedName name="ㅇㅇ" localSheetId="1" hidden="1">{#N/A,#N/A,FALSE,"자재관리";#N/A,#N/A,FALSE,"자재관리";#N/A,#N/A,FALSE,"자재관리"}</definedName>
    <definedName name="ㅇㅇ" localSheetId="4" hidden="1">{#N/A,#N/A,FALSE,"자재관리";#N/A,#N/A,FALSE,"자재관리";#N/A,#N/A,FALSE,"자재관리"}</definedName>
    <definedName name="ㅇㅇ" localSheetId="2"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3" hidden="1">{#N/A,#N/A,FALSE,"자재관리";#N/A,#N/A,FALSE,"자재관리";#N/A,#N/A,FALSE,"자재관리"}</definedName>
    <definedName name="ㅇㅇㄹㄴㅁㄹ" localSheetId="1" hidden="1">{#N/A,#N/A,FALSE,"자재관리";#N/A,#N/A,FALSE,"자재관리";#N/A,#N/A,FALSE,"자재관리"}</definedName>
    <definedName name="ㅇㅇㄹㄴㅁㄹ" localSheetId="4" hidden="1">{#N/A,#N/A,FALSE,"자재관리";#N/A,#N/A,FALSE,"자재관리";#N/A,#N/A,FALSE,"자재관리"}</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3" hidden="1">{#N/A,#N/A,TRUE,"자재관리";#N/A,#N/A,TRUE,"품질"}</definedName>
    <definedName name="ㅇㅇㅇㅇㅇ" localSheetId="1" hidden="1">{#N/A,#N/A,TRUE,"자재관리";#N/A,#N/A,TRUE,"품질"}</definedName>
    <definedName name="ㅇㅇㅇㅇㅇ" localSheetId="4" hidden="1">{#N/A,#N/A,TRUE,"자재관리";#N/A,#N/A,TRUE,"품질"}</definedName>
    <definedName name="ㅇㅇㅇㅇㅇ" localSheetId="2"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3" hidden="1">{#N/A,#N/A,FALSE,"자재관리";#N/A,#N/A,FALSE,"자재관리";#N/A,#N/A,FALSE,"자재관리"}</definedName>
    <definedName name="아" localSheetId="1" hidden="1">{#N/A,#N/A,FALSE,"자재관리";#N/A,#N/A,FALSE,"자재관리";#N/A,#N/A,FALSE,"자재관리"}</definedName>
    <definedName name="아" localSheetId="4" hidden="1">{#N/A,#N/A,FALSE,"자재관리";#N/A,#N/A,FALSE,"자재관리";#N/A,#N/A,FALSE,"자재관리"}</definedName>
    <definedName name="아" localSheetId="2" hidden="1">{#N/A,#N/A,FALSE,"자재관리";#N/A,#N/A,FALSE,"자재관리";#N/A,#N/A,FALSE,"자재관리"}</definedName>
    <definedName name="아" hidden="1">{#N/A,#N/A,FALSE,"자재관리";#N/A,#N/A,FALSE,"자재관리";#N/A,#N/A,FALSE,"자재관리"}</definedName>
    <definedName name="아이템별투자" localSheetId="0" hidden="1">{#N/A,#N/A,FALSE,"자재관리";#N/A,#N/A,FALSE,"자재관리";#N/A,#N/A,FALSE,"자재관리"}</definedName>
    <definedName name="아이템별투자" localSheetId="3" hidden="1">{#N/A,#N/A,FALSE,"자재관리";#N/A,#N/A,FALSE,"자재관리";#N/A,#N/A,FALSE,"자재관리"}</definedName>
    <definedName name="아이템별투자" localSheetId="1" hidden="1">{#N/A,#N/A,FALSE,"자재관리";#N/A,#N/A,FALSE,"자재관리";#N/A,#N/A,FALSE,"자재관리"}</definedName>
    <definedName name="아이템별투자" localSheetId="4" hidden="1">{#N/A,#N/A,FALSE,"자재관리";#N/A,#N/A,FALSE,"자재관리";#N/A,#N/A,FALSE,"자재관리"}</definedName>
    <definedName name="아이템별투자" localSheetId="2" hidden="1">{#N/A,#N/A,FALSE,"자재관리";#N/A,#N/A,FALSE,"자재관리";#N/A,#N/A,FALSE,"자재관리"}</definedName>
    <definedName name="아이템별투자" hidden="1">{#N/A,#N/A,FALSE,"자재관리";#N/A,#N/A,FALSE,"자재관리";#N/A,#N/A,FALSE,"자재관리"}</definedName>
    <definedName name="암거" localSheetId="5" hidden="1">#REF!</definedName>
    <definedName name="암거" localSheetId="0" hidden="1">#REF!</definedName>
    <definedName name="암거" localSheetId="3" hidden="1">#REF!</definedName>
    <definedName name="암거" localSheetId="2" hidden="1">#REF!</definedName>
    <definedName name="암거" hidden="1">#REF!</definedName>
    <definedName name="앙" localSheetId="0" hidden="1">{#N/A,#N/A,FALSE,"자재관리";#N/A,#N/A,FALSE,"자재관리";#N/A,#N/A,FALSE,"자재관리"}</definedName>
    <definedName name="앙" localSheetId="3" hidden="1">{#N/A,#N/A,FALSE,"자재관리";#N/A,#N/A,FALSE,"자재관리";#N/A,#N/A,FALSE,"자재관리"}</definedName>
    <definedName name="앙" localSheetId="1" hidden="1">{#N/A,#N/A,FALSE,"자재관리";#N/A,#N/A,FALSE,"자재관리";#N/A,#N/A,FALSE,"자재관리"}</definedName>
    <definedName name="앙" localSheetId="4" hidden="1">{#N/A,#N/A,FALSE,"자재관리";#N/A,#N/A,FALSE,"자재관리";#N/A,#N/A,FALSE,"자재관리"}</definedName>
    <definedName name="앙" localSheetId="2"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3" hidden="1">{#N/A,#N/A,FALSE,"자재관리";#N/A,#N/A,FALSE,"자재관리";#N/A,#N/A,FALSE,"자재관리"}</definedName>
    <definedName name="양" localSheetId="1" hidden="1">{#N/A,#N/A,FALSE,"자재관리";#N/A,#N/A,FALSE,"자재관리";#N/A,#N/A,FALSE,"자재관리"}</definedName>
    <definedName name="양" localSheetId="4" hidden="1">{#N/A,#N/A,FALSE,"자재관리";#N/A,#N/A,FALSE,"자재관리";#N/A,#N/A,FALSE,"자재관리"}</definedName>
    <definedName name="양" localSheetId="2" hidden="1">{#N/A,#N/A,FALSE,"자재관리";#N/A,#N/A,FALSE,"자재관리";#N/A,#N/A,FALSE,"자재관리"}</definedName>
    <definedName name="양" hidden="1">{#N/A,#N/A,FALSE,"자재관리";#N/A,#N/A,FALSE,"자재관리";#N/A,#N/A,FALSE,"자재관리"}</definedName>
    <definedName name="업" localSheetId="0"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3" hidden="1">{#N/A,#N/A,TRUE,"자재관리";#N/A,#N/A,TRUE,"품질"}</definedName>
    <definedName name="업소용" localSheetId="1" hidden="1">{#N/A,#N/A,TRUE,"자재관리";#N/A,#N/A,TRUE,"품질"}</definedName>
    <definedName name="업소용" localSheetId="4" hidden="1">{#N/A,#N/A,TRUE,"자재관리";#N/A,#N/A,TRUE,"품질"}</definedName>
    <definedName name="업소용" localSheetId="2"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3" hidden="1">{#N/A,#N/A,FALSE,"자재관리";#N/A,#N/A,FALSE,"자재관리";#N/A,#N/A,FALSE,"자재관리"}</definedName>
    <definedName name="업소용생산1팀" localSheetId="1" hidden="1">{#N/A,#N/A,FALSE,"자재관리";#N/A,#N/A,FALSE,"자재관리";#N/A,#N/A,FALSE,"자재관리"}</definedName>
    <definedName name="업소용생산1팀" localSheetId="4" hidden="1">{#N/A,#N/A,FALSE,"자재관리";#N/A,#N/A,FALSE,"자재관리";#N/A,#N/A,FALSE,"자재관리"}</definedName>
    <definedName name="업소용생산1팀" localSheetId="2" hidden="1">{#N/A,#N/A,FALSE,"자재관리";#N/A,#N/A,FALSE,"자재관리";#N/A,#N/A,FALSE,"자재관리"}</definedName>
    <definedName name="업소용생산1팀" hidden="1">{#N/A,#N/A,FALSE,"자재관리";#N/A,#N/A,FALSE,"자재관리";#N/A,#N/A,FALSE,"자재관리"}</definedName>
    <definedName name="예상도급내역" localSheetId="0" hidden="1">{#N/A,#N/A,FALSE,"CCTV"}</definedName>
    <definedName name="예상도급내역" localSheetId="3" hidden="1">{#N/A,#N/A,FALSE,"CCTV"}</definedName>
    <definedName name="예상도급내역" localSheetId="1" hidden="1">{#N/A,#N/A,FALSE,"CCTV"}</definedName>
    <definedName name="예상도급내역" localSheetId="4" hidden="1">{#N/A,#N/A,FALSE,"CCTV"}</definedName>
    <definedName name="예상도급내역" localSheetId="2" hidden="1">{#N/A,#N/A,FALSE,"CCTV"}</definedName>
    <definedName name="예상도급내역" hidden="1">{#N/A,#N/A,FALSE,"CCTV"}</definedName>
    <definedName name="우인보고표지" localSheetId="0" hidden="1">{#N/A,#N/A,FALSE,"자재관리";#N/A,#N/A,FALSE,"자재관리";#N/A,#N/A,FALSE,"자재관리"}</definedName>
    <definedName name="우인보고표지" localSheetId="3" hidden="1">{#N/A,#N/A,FALSE,"자재관리";#N/A,#N/A,FALSE,"자재관리";#N/A,#N/A,FALSE,"자재관리"}</definedName>
    <definedName name="우인보고표지" localSheetId="1" hidden="1">{#N/A,#N/A,FALSE,"자재관리";#N/A,#N/A,FALSE,"자재관리";#N/A,#N/A,FALSE,"자재관리"}</definedName>
    <definedName name="우인보고표지" localSheetId="4" hidden="1">{#N/A,#N/A,FALSE,"자재관리";#N/A,#N/A,FALSE,"자재관리";#N/A,#N/A,FALSE,"자재관리"}</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3" hidden="1">{#N/A,#N/A,TRUE,"자재관리";#N/A,#N/A,TRUE,"품질"}</definedName>
    <definedName name="우인표지" localSheetId="1" hidden="1">{#N/A,#N/A,TRUE,"자재관리";#N/A,#N/A,TRUE,"품질"}</definedName>
    <definedName name="우인표지" localSheetId="4" hidden="1">{#N/A,#N/A,TRUE,"자재관리";#N/A,#N/A,TRUE,"품질"}</definedName>
    <definedName name="우인표지" localSheetId="2" hidden="1">{#N/A,#N/A,TRUE,"자재관리";#N/A,#N/A,TRUE,"품질"}</definedName>
    <definedName name="우인표지" hidden="1">{#N/A,#N/A,TRUE,"자재관리";#N/A,#N/A,TRUE,"품질"}</definedName>
    <definedName name="원가TABLE" localSheetId="0" hidden="1">{#N/A,#N/A,TRUE,"자재관리";#N/A,#N/A,TRUE,"품질"}</definedName>
    <definedName name="원가TABLE" localSheetId="3" hidden="1">{#N/A,#N/A,TRUE,"자재관리";#N/A,#N/A,TRUE,"품질"}</definedName>
    <definedName name="원가TABLE" localSheetId="1" hidden="1">{#N/A,#N/A,TRUE,"자재관리";#N/A,#N/A,TRUE,"품질"}</definedName>
    <definedName name="원가TABLE" localSheetId="4" hidden="1">{#N/A,#N/A,TRUE,"자재관리";#N/A,#N/A,TRUE,"품질"}</definedName>
    <definedName name="원가TABLE" localSheetId="2" hidden="1">{#N/A,#N/A,TRUE,"자재관리";#N/A,#N/A,TRUE,"품질"}</definedName>
    <definedName name="원가TABLE" hidden="1">{#N/A,#N/A,TRUE,"자재관리";#N/A,#N/A,TRUE,"품질"}</definedName>
    <definedName name="을" localSheetId="0" hidden="1">{#N/A,#N/A,FALSE,"도급대비시행율";#N/A,#N/A,FALSE,"결의서";#N/A,#N/A,FALSE,"내역서";#N/A,#N/A,FALSE,"도급예상"}</definedName>
    <definedName name="을" localSheetId="3" hidden="1">{#N/A,#N/A,FALSE,"도급대비시행율";#N/A,#N/A,FALSE,"결의서";#N/A,#N/A,FALSE,"내역서";#N/A,#N/A,FALSE,"도급예상"}</definedName>
    <definedName name="을" localSheetId="1" hidden="1">{#N/A,#N/A,FALSE,"도급대비시행율";#N/A,#N/A,FALSE,"결의서";#N/A,#N/A,FALSE,"내역서";#N/A,#N/A,FALSE,"도급예상"}</definedName>
    <definedName name="을" localSheetId="4" hidden="1">{#N/A,#N/A,FALSE,"도급대비시행율";#N/A,#N/A,FALSE,"결의서";#N/A,#N/A,FALSE,"내역서";#N/A,#N/A,FALSE,"도급예상"}</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3" hidden="1">{#N/A,#N/A,FALSE,"자재관리";#N/A,#N/A,FALSE,"자재관리";#N/A,#N/A,FALSE,"자재관리"}</definedName>
    <definedName name="이" localSheetId="1" hidden="1">{#N/A,#N/A,FALSE,"자재관리";#N/A,#N/A,FALSE,"자재관리";#N/A,#N/A,FALSE,"자재관리"}</definedName>
    <definedName name="이" localSheetId="4" hidden="1">{#N/A,#N/A,FALSE,"자재관리";#N/A,#N/A,FALSE,"자재관리";#N/A,#N/A,FALSE,"자재관리"}</definedName>
    <definedName name="이" localSheetId="2"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3" hidden="1">{#N/A,#N/A,FALSE,"전력간선"}</definedName>
    <definedName name="이름" localSheetId="1" hidden="1">{#N/A,#N/A,FALSE,"전력간선"}</definedName>
    <definedName name="이름" localSheetId="4" hidden="1">{#N/A,#N/A,FALSE,"전력간선"}</definedName>
    <definedName name="이름" localSheetId="2" hidden="1">{#N/A,#N/A,FALSE,"전력간선"}</definedName>
    <definedName name="이름" hidden="1">{#N/A,#N/A,FALSE,"전력간선"}</definedName>
    <definedName name="이봉해" localSheetId="0" hidden="1">{#N/A,#N/A,FALSE,"자재관리";#N/A,#N/A,FALSE,"자재관리";#N/A,#N/A,FALSE,"자재관리"}</definedName>
    <definedName name="이봉해" localSheetId="3" hidden="1">{#N/A,#N/A,FALSE,"자재관리";#N/A,#N/A,FALSE,"자재관리";#N/A,#N/A,FALSE,"자재관리"}</definedName>
    <definedName name="이봉해" localSheetId="1" hidden="1">{#N/A,#N/A,FALSE,"자재관리";#N/A,#N/A,FALSE,"자재관리";#N/A,#N/A,FALSE,"자재관리"}</definedName>
    <definedName name="이봉해" localSheetId="4" hidden="1">{#N/A,#N/A,FALSE,"자재관리";#N/A,#N/A,FALSE,"자재관리";#N/A,#N/A,FALSE,"자재관리"}</definedName>
    <definedName name="이봉해" localSheetId="2" hidden="1">{#N/A,#N/A,FALSE,"자재관리";#N/A,#N/A,FALSE,"자재관리";#N/A,#N/A,FALSE,"자재관리"}</definedName>
    <definedName name="이봉해" hidden="1">{#N/A,#N/A,FALSE,"자재관리";#N/A,#N/A,FALSE,"자재관리";#N/A,#N/A,FALSE,"자재관리"}</definedName>
    <definedName name="일" localSheetId="0" hidden="1">{#N/A,#N/A,FALSE,"도급대비시행율";#N/A,#N/A,FALSE,"결의서";#N/A,#N/A,FALSE,"내역서";#N/A,#N/A,FALSE,"도급예상"}</definedName>
    <definedName name="일" localSheetId="3" hidden="1">{#N/A,#N/A,FALSE,"도급대비시행율";#N/A,#N/A,FALSE,"결의서";#N/A,#N/A,FALSE,"내역서";#N/A,#N/A,FALSE,"도급예상"}</definedName>
    <definedName name="일" localSheetId="1" hidden="1">{#N/A,#N/A,FALSE,"도급대비시행율";#N/A,#N/A,FALSE,"결의서";#N/A,#N/A,FALSE,"내역서";#N/A,#N/A,FALSE,"도급예상"}</definedName>
    <definedName name="일" localSheetId="4" hidden="1">{#N/A,#N/A,FALSE,"도급대비시행율";#N/A,#N/A,FALSE,"결의서";#N/A,#N/A,FALSE,"내역서";#N/A,#N/A,FALSE,"도급예상"}</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3" hidden="1">{#N/A,#N/A,FALSE,"자재관리";#N/A,#N/A,FALSE,"자재관리";#N/A,#N/A,FALSE,"자재관리"}</definedName>
    <definedName name="ㅈ" localSheetId="1" hidden="1">{#N/A,#N/A,FALSE,"자재관리";#N/A,#N/A,FALSE,"자재관리";#N/A,#N/A,FALSE,"자재관리"}</definedName>
    <definedName name="ㅈ" localSheetId="4" hidden="1">{#N/A,#N/A,FALSE,"자재관리";#N/A,#N/A,FALSE,"자재관리";#N/A,#N/A,FALSE,"자재관리"}</definedName>
    <definedName name="ㅈ" localSheetId="2" hidden="1">{#N/A,#N/A,FALSE,"자재관리";#N/A,#N/A,FALSE,"자재관리";#N/A,#N/A,FALSE,"자재관리"}</definedName>
    <definedName name="ㅈ" hidden="1">{#N/A,#N/A,FALSE,"자재관리";#N/A,#N/A,FALSE,"자재관리";#N/A,#N/A,FALSE,"자재관리"}</definedName>
    <definedName name="재료" localSheetId="0" hidden="1">{#N/A,#N/A,FALSE,"자재관리";#N/A,#N/A,FALSE,"자재관리";#N/A,#N/A,FALSE,"자재관리"}</definedName>
    <definedName name="재료" localSheetId="3" hidden="1">{#N/A,#N/A,FALSE,"자재관리";#N/A,#N/A,FALSE,"자재관리";#N/A,#N/A,FALSE,"자재관리"}</definedName>
    <definedName name="재료" localSheetId="1" hidden="1">{#N/A,#N/A,FALSE,"자재관리";#N/A,#N/A,FALSE,"자재관리";#N/A,#N/A,FALSE,"자재관리"}</definedName>
    <definedName name="재료" localSheetId="4" hidden="1">{#N/A,#N/A,FALSE,"자재관리";#N/A,#N/A,FALSE,"자재관리";#N/A,#N/A,FALSE,"자재관리"}</definedName>
    <definedName name="재료" localSheetId="2"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3" hidden="1">{#N/A,#N/A,FALSE,"자재관리";#N/A,#N/A,FALSE,"자재관리";#N/A,#N/A,FALSE,"자재관리"}</definedName>
    <definedName name="재료비1" localSheetId="1" hidden="1">{#N/A,#N/A,FALSE,"자재관리";#N/A,#N/A,FALSE,"자재관리";#N/A,#N/A,FALSE,"자재관리"}</definedName>
    <definedName name="재료비1" localSheetId="4"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년" localSheetId="0" hidden="1">{#N/A,#N/A,FALSE,"자재관리";#N/A,#N/A,FALSE,"자재관리";#N/A,#N/A,FALSE,"자재관리"}</definedName>
    <definedName name="전년" localSheetId="3" hidden="1">{#N/A,#N/A,FALSE,"자재관리";#N/A,#N/A,FALSE,"자재관리";#N/A,#N/A,FALSE,"자재관리"}</definedName>
    <definedName name="전년" localSheetId="1" hidden="1">{#N/A,#N/A,FALSE,"자재관리";#N/A,#N/A,FALSE,"자재관리";#N/A,#N/A,FALSE,"자재관리"}</definedName>
    <definedName name="전년" localSheetId="4" hidden="1">{#N/A,#N/A,FALSE,"자재관리";#N/A,#N/A,FALSE,"자재관리";#N/A,#N/A,FALSE,"자재관리"}</definedName>
    <definedName name="전년" localSheetId="2"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3" hidden="1">{#N/A,#N/A,FALSE,"자재관리";#N/A,#N/A,FALSE,"자재관리";#N/A,#N/A,FALSE,"자재관리"}</definedName>
    <definedName name="전년월" localSheetId="1" hidden="1">{#N/A,#N/A,FALSE,"자재관리";#N/A,#N/A,FALSE,"자재관리";#N/A,#N/A,FALSE,"자재관리"}</definedName>
    <definedName name="전년월" localSheetId="4"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진우1" localSheetId="0" hidden="1">{#N/A,#N/A,FALSE,"자재관리";#N/A,#N/A,FALSE,"자재관리";#N/A,#N/A,FALSE,"자재관리"}</definedName>
    <definedName name="진우1" localSheetId="3" hidden="1">{#N/A,#N/A,FALSE,"자재관리";#N/A,#N/A,FALSE,"자재관리";#N/A,#N/A,FALSE,"자재관리"}</definedName>
    <definedName name="진우1" localSheetId="1" hidden="1">{#N/A,#N/A,FALSE,"자재관리";#N/A,#N/A,FALSE,"자재관리";#N/A,#N/A,FALSE,"자재관리"}</definedName>
    <definedName name="진우1" localSheetId="4" hidden="1">{#N/A,#N/A,FALSE,"자재관리";#N/A,#N/A,FALSE,"자재관리";#N/A,#N/A,FALSE,"자재관리"}</definedName>
    <definedName name="진우1" localSheetId="2" hidden="1">{#N/A,#N/A,FALSE,"자재관리";#N/A,#N/A,FALSE,"자재관리";#N/A,#N/A,FALSE,"자재관리"}</definedName>
    <definedName name="진우1" hidden="1">{#N/A,#N/A,FALSE,"자재관리";#N/A,#N/A,FALSE,"자재관리";#N/A,#N/A,FALSE,"자재관리"}</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ㅌㅍㅊㅇㅌㅎ" localSheetId="0"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투자및자재" localSheetId="0" hidden="1">{#N/A,#N/A,FALSE,"자재관리";#N/A,#N/A,FALSE,"자재관리";#N/A,#N/A,FALSE,"자재관리"}</definedName>
    <definedName name="투자및자재" localSheetId="3" hidden="1">{#N/A,#N/A,FALSE,"자재관리";#N/A,#N/A,FALSE,"자재관리";#N/A,#N/A,FALSE,"자재관리"}</definedName>
    <definedName name="투자및자재" localSheetId="1" hidden="1">{#N/A,#N/A,FALSE,"자재관리";#N/A,#N/A,FALSE,"자재관리";#N/A,#N/A,FALSE,"자재관리"}</definedName>
    <definedName name="투자및자재" localSheetId="4" hidden="1">{#N/A,#N/A,FALSE,"자재관리";#N/A,#N/A,FALSE,"자재관리";#N/A,#N/A,FALSE,"자재관리"}</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3" hidden="1">{#N/A,#N/A,TRUE,"자재관리";#N/A,#N/A,TRUE,"품질"}</definedName>
    <definedName name="투자비내역" localSheetId="1" hidden="1">{#N/A,#N/A,TRUE,"자재관리";#N/A,#N/A,TRUE,"품질"}</definedName>
    <definedName name="투자비내역" localSheetId="4" hidden="1">{#N/A,#N/A,TRUE,"자재관리";#N/A,#N/A,TRUE,"품질"}</definedName>
    <definedName name="투자비내역" localSheetId="2"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3" hidden="1">{#N/A,#N/A,FALSE,"자재관리";#N/A,#N/A,FALSE,"자재관리";#N/A,#N/A,FALSE,"자재관리"}</definedName>
    <definedName name="팀별" localSheetId="1" hidden="1">{#N/A,#N/A,FALSE,"자재관리";#N/A,#N/A,FALSE,"자재관리";#N/A,#N/A,FALSE,"자재관리"}</definedName>
    <definedName name="팀별" localSheetId="4" hidden="1">{#N/A,#N/A,FALSE,"자재관리";#N/A,#N/A,FALSE,"자재관리";#N/A,#N/A,FALSE,"자재관리"}</definedName>
    <definedName name="팀별" localSheetId="2" hidden="1">{#N/A,#N/A,FALSE,"자재관리";#N/A,#N/A,FALSE,"자재관리";#N/A,#N/A,FALSE,"자재관리"}</definedName>
    <definedName name="팀별" hidden="1">{#N/A,#N/A,FALSE,"자재관리";#N/A,#N/A,FALSE,"자재관리";#N/A,#N/A,FALSE,"자재관리"}</definedName>
    <definedName name="표지1" localSheetId="0" hidden="1">{#N/A,#N/A,FALSE,"자재관리";#N/A,#N/A,FALSE,"자재관리";#N/A,#N/A,FALSE,"자재관리"}</definedName>
    <definedName name="표지1" localSheetId="3" hidden="1">{#N/A,#N/A,FALSE,"자재관리";#N/A,#N/A,FALSE,"자재관리";#N/A,#N/A,FALSE,"자재관리"}</definedName>
    <definedName name="표지1" localSheetId="1" hidden="1">{#N/A,#N/A,FALSE,"자재관리";#N/A,#N/A,FALSE,"자재관리";#N/A,#N/A,FALSE,"자재관리"}</definedName>
    <definedName name="표지1" localSheetId="4" hidden="1">{#N/A,#N/A,FALSE,"자재관리";#N/A,#N/A,FALSE,"자재관리";#N/A,#N/A,FALSE,"자재관리"}</definedName>
    <definedName name="표지1" localSheetId="2"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3" hidden="1">{#N/A,#N/A,TRUE,"자재관리";#N/A,#N/A,TRUE,"품질"}</definedName>
    <definedName name="ㅎ" localSheetId="1" hidden="1">{#N/A,#N/A,TRUE,"자재관리";#N/A,#N/A,TRUE,"품질"}</definedName>
    <definedName name="ㅎ" localSheetId="4" hidden="1">{#N/A,#N/A,TRUE,"자재관리";#N/A,#N/A,TRUE,"품질"}</definedName>
    <definedName name="ㅎ" localSheetId="2" hidden="1">{#N/A,#N/A,TRUE,"자재관리";#N/A,#N/A,TRUE,"품질"}</definedName>
    <definedName name="ㅎ" hidden="1">{#N/A,#N/A,TRUE,"자재관리";#N/A,#N/A,TRUE,"품질"}</definedName>
    <definedName name="ㅎㅀㅀㅀㅀㄹ" localSheetId="0" hidden="1">{#N/A,#N/A,FALSE,"CCTV"}</definedName>
    <definedName name="ㅎㅀㅀㅀㅀㄹ" localSheetId="3" hidden="1">{#N/A,#N/A,FALSE,"CCTV"}</definedName>
    <definedName name="ㅎㅀㅀㅀㅀㄹ" localSheetId="1" hidden="1">{#N/A,#N/A,FALSE,"CCTV"}</definedName>
    <definedName name="ㅎㅀㅀㅀㅀㄹ" localSheetId="4" hidden="1">{#N/A,#N/A,FALSE,"CCTV"}</definedName>
    <definedName name="ㅎㅀㅀㅀㅀㄹ" localSheetId="2" hidden="1">{#N/A,#N/A,FALSE,"CCTV"}</definedName>
    <definedName name="ㅎㅀㅀㅀㅀㄹ" hidden="1">{#N/A,#N/A,FALSE,"CCTV"}</definedName>
    <definedName name="ㅏㅏㅏ" localSheetId="0" hidden="1">{"'Sheet1'!$E$23","'Sheet1'!$A$3:$H$19","'Sheet1'!$A$1:$H$19"}</definedName>
    <definedName name="ㅏㅏㅏ" localSheetId="3" hidden="1">{"'Sheet1'!$E$23","'Sheet1'!$A$3:$H$19","'Sheet1'!$A$1:$H$19"}</definedName>
    <definedName name="ㅏㅏㅏ" localSheetId="1" hidden="1">{"'Sheet1'!$E$23","'Sheet1'!$A$3:$H$19","'Sheet1'!$A$1:$H$19"}</definedName>
    <definedName name="ㅏㅏㅏ" localSheetId="4" hidden="1">{"'Sheet1'!$E$23","'Sheet1'!$A$3:$H$19","'Sheet1'!$A$1:$H$19"}</definedName>
    <definedName name="ㅏㅏㅏ" localSheetId="2"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3" hidden="1">{#N/A,#N/A,FALSE,"전력간선"}</definedName>
    <definedName name="ㅏㅓㅗ" localSheetId="1" hidden="1">{#N/A,#N/A,FALSE,"전력간선"}</definedName>
    <definedName name="ㅏㅓㅗ" localSheetId="4" hidden="1">{#N/A,#N/A,FALSE,"전력간선"}</definedName>
    <definedName name="ㅏㅓㅗ" localSheetId="2" hidden="1">{#N/A,#N/A,FALSE,"전력간선"}</definedName>
    <definedName name="ㅏㅓㅗ" hidden="1">{#N/A,#N/A,FALSE,"전력간선"}</definedName>
    <definedName name="ㅓ" localSheetId="0" hidden="1">{#N/A,#N/A,TRUE,"자재관리";#N/A,#N/A,TRUE,"품질"}</definedName>
    <definedName name="ㅓ" localSheetId="3" hidden="1">{#N/A,#N/A,TRUE,"자재관리";#N/A,#N/A,TRUE,"품질"}</definedName>
    <definedName name="ㅓ" localSheetId="1" hidden="1">{#N/A,#N/A,TRUE,"자재관리";#N/A,#N/A,TRUE,"품질"}</definedName>
    <definedName name="ㅓ" localSheetId="4" hidden="1">{#N/A,#N/A,TRUE,"자재관리";#N/A,#N/A,TRUE,"품질"}</definedName>
    <definedName name="ㅓ" localSheetId="2" hidden="1">{#N/A,#N/A,TRUE,"자재관리";#N/A,#N/A,TRUE,"품질"}</definedName>
    <definedName name="ㅓ" hidden="1">{#N/A,#N/A,TRUE,"자재관리";#N/A,#N/A,TRUE,"품질"}</definedName>
    <definedName name="ㅛ" localSheetId="0" hidden="1">{#N/A,#N/A,FALSE,"자재관리";#N/A,#N/A,FALSE,"자재관리";#N/A,#N/A,FALSE,"자재관리"}</definedName>
    <definedName name="ㅛ" localSheetId="3" hidden="1">{#N/A,#N/A,FALSE,"자재관리";#N/A,#N/A,FALSE,"자재관리";#N/A,#N/A,FALSE,"자재관리"}</definedName>
    <definedName name="ㅛ" localSheetId="1" hidden="1">{#N/A,#N/A,FALSE,"자재관리";#N/A,#N/A,FALSE,"자재관리";#N/A,#N/A,FALSE,"자재관리"}</definedName>
    <definedName name="ㅛ" localSheetId="4" hidden="1">{#N/A,#N/A,FALSE,"자재관리";#N/A,#N/A,FALSE,"자재관리";#N/A,#N/A,FALSE,"자재관리"}</definedName>
    <definedName name="ㅛ" localSheetId="2"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ㅡㅗ" localSheetId="0" hidden="1">{#N/A,#N/A,FALSE,"전력간선"}</definedName>
    <definedName name="ㅡㅗ" localSheetId="3" hidden="1">{#N/A,#N/A,FALSE,"전력간선"}</definedName>
    <definedName name="ㅡㅗ" localSheetId="1" hidden="1">{#N/A,#N/A,FALSE,"전력간선"}</definedName>
    <definedName name="ㅡㅗ" localSheetId="4" hidden="1">{#N/A,#N/A,FALSE,"전력간선"}</definedName>
    <definedName name="ㅡㅗ" localSheetId="2"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472" i="26" l="1"/>
  <c r="Q79" i="26"/>
  <c r="Q81" i="26"/>
  <c r="Q10" i="26"/>
  <c r="V10" i="26" s="1"/>
  <c r="Q12" i="26"/>
  <c r="V12" i="26" s="1"/>
  <c r="Q14" i="26"/>
  <c r="V14" i="26" s="1"/>
  <c r="Q16" i="26"/>
  <c r="V16" i="26" s="1"/>
  <c r="Q18" i="26"/>
  <c r="V18" i="26" s="1"/>
  <c r="Q20" i="26"/>
  <c r="V20" i="26" s="1"/>
  <c r="Q22" i="26"/>
  <c r="V22" i="26" s="1"/>
  <c r="Q24" i="26"/>
  <c r="V24" i="26" s="1"/>
  <c r="Q26" i="26"/>
  <c r="V26" i="26" s="1"/>
  <c r="Q28" i="26"/>
  <c r="V28" i="26" s="1"/>
  <c r="Q30" i="26"/>
  <c r="V30" i="26" s="1"/>
  <c r="Q32" i="26"/>
  <c r="V32" i="26" s="1"/>
  <c r="Q34" i="26"/>
  <c r="V34" i="26" s="1"/>
  <c r="Q36" i="26"/>
  <c r="V36" i="26" s="1"/>
  <c r="Q38" i="26"/>
  <c r="V38" i="26" s="1"/>
  <c r="Q40" i="26"/>
  <c r="V40" i="26" s="1"/>
  <c r="Q42" i="26"/>
  <c r="V42" i="26" s="1"/>
  <c r="Q44" i="26"/>
  <c r="V44" i="26" s="1"/>
  <c r="Q46" i="26"/>
  <c r="V46" i="26" s="1"/>
  <c r="Q48" i="26"/>
  <c r="V48" i="26" s="1"/>
  <c r="Q50" i="26"/>
  <c r="V50" i="26" s="1"/>
  <c r="Q52" i="26"/>
  <c r="V52" i="26" s="1"/>
  <c r="Q54" i="26"/>
  <c r="V54" i="26" s="1"/>
  <c r="Q56" i="26"/>
  <c r="V56" i="26" s="1"/>
  <c r="Q58" i="26"/>
  <c r="V58" i="26" s="1"/>
  <c r="Q60" i="26"/>
  <c r="V60" i="26" s="1"/>
  <c r="Q62" i="26"/>
  <c r="V62" i="26" s="1"/>
  <c r="Q64" i="26"/>
  <c r="V64" i="26" s="1"/>
  <c r="Q66" i="26"/>
  <c r="V66" i="26" s="1"/>
  <c r="Q68" i="26"/>
  <c r="V68" i="26" s="1"/>
  <c r="Q70" i="26"/>
  <c r="V70" i="26" s="1"/>
  <c r="Q8" i="26"/>
  <c r="V8" i="26" s="1"/>
  <c r="O9" i="26"/>
  <c r="V9" i="26" s="1"/>
  <c r="O11" i="26"/>
  <c r="V11" i="26" s="1"/>
  <c r="O13" i="26"/>
  <c r="V13" i="26" s="1"/>
  <c r="O15" i="26"/>
  <c r="V15" i="26" s="1"/>
  <c r="O17" i="26"/>
  <c r="V17" i="26" s="1"/>
  <c r="O19" i="26"/>
  <c r="V19" i="26" s="1"/>
  <c r="O21" i="26"/>
  <c r="V21" i="26" s="1"/>
  <c r="O23" i="26"/>
  <c r="V23" i="26" s="1"/>
  <c r="O25" i="26"/>
  <c r="V25" i="26" s="1"/>
  <c r="O27" i="26"/>
  <c r="V27" i="26" s="1"/>
  <c r="O29" i="26"/>
  <c r="V29" i="26" s="1"/>
  <c r="O31" i="26"/>
  <c r="V31" i="26" s="1"/>
  <c r="O33" i="26"/>
  <c r="V33" i="26" s="1"/>
  <c r="O35" i="26"/>
  <c r="V35" i="26" s="1"/>
  <c r="O37" i="26"/>
  <c r="V37" i="26" s="1"/>
  <c r="O39" i="26"/>
  <c r="V39" i="26" s="1"/>
  <c r="O41" i="26"/>
  <c r="V41" i="26" s="1"/>
  <c r="O43" i="26"/>
  <c r="V43" i="26" s="1"/>
  <c r="O45" i="26"/>
  <c r="V45" i="26" s="1"/>
  <c r="O47" i="26"/>
  <c r="V47" i="26" s="1"/>
  <c r="O49" i="26"/>
  <c r="V49" i="26" s="1"/>
  <c r="O51" i="26"/>
  <c r="V51" i="26" s="1"/>
  <c r="O53" i="26"/>
  <c r="V53" i="26" s="1"/>
  <c r="O55" i="26"/>
  <c r="V55" i="26" s="1"/>
  <c r="O57" i="26"/>
  <c r="V57" i="26" s="1"/>
  <c r="O59" i="26"/>
  <c r="V59" i="26" s="1"/>
  <c r="O61" i="26"/>
  <c r="V61" i="26" s="1"/>
  <c r="O63" i="26"/>
  <c r="V63" i="26" s="1"/>
  <c r="O65" i="26"/>
  <c r="V65" i="26" s="1"/>
  <c r="O67" i="26"/>
  <c r="V67" i="26" s="1"/>
  <c r="O69" i="26"/>
  <c r="V69" i="26" s="1"/>
  <c r="O7" i="26"/>
  <c r="V7" i="26" s="1"/>
  <c r="Q1089" i="26" l="1"/>
  <c r="V1089" i="26" s="1"/>
  <c r="O2237" i="26"/>
  <c r="V2237" i="26" s="1"/>
  <c r="O2236" i="26"/>
  <c r="V2236" i="26" s="1"/>
  <c r="Q721" i="26"/>
  <c r="O721" i="26"/>
  <c r="O731" i="26"/>
  <c r="Q731" i="26"/>
  <c r="Q704" i="26"/>
  <c r="O704" i="26"/>
  <c r="Q1189" i="26"/>
  <c r="V1189" i="26" s="1"/>
  <c r="Q1190" i="26"/>
  <c r="V1190" i="26" s="1"/>
  <c r="Q1191" i="26"/>
  <c r="V1191" i="26" s="1"/>
  <c r="Q1181" i="26"/>
  <c r="V1181" i="26" s="1"/>
  <c r="Q1180" i="26"/>
  <c r="V1180" i="26" s="1"/>
  <c r="Q1179" i="26"/>
  <c r="V1179" i="26" s="1"/>
  <c r="Q1178" i="26"/>
  <c r="V1178" i="26" s="1"/>
  <c r="Q1177" i="26"/>
  <c r="V1177" i="26" s="1"/>
  <c r="Q1176" i="26"/>
  <c r="V1176" i="26" s="1"/>
  <c r="Q1175" i="26"/>
  <c r="V1175" i="26" s="1"/>
  <c r="O256" i="26"/>
  <c r="Q1088" i="26"/>
  <c r="O1088" i="26"/>
  <c r="Q256" i="26"/>
  <c r="Q700" i="26"/>
  <c r="O700" i="26"/>
  <c r="O405" i="26"/>
  <c r="O406" i="26"/>
  <c r="Q405" i="26"/>
  <c r="Q406" i="26"/>
  <c r="S3456" i="26"/>
  <c r="S3455" i="26"/>
  <c r="S3454" i="26"/>
  <c r="S3453" i="26"/>
  <c r="S3452" i="26"/>
  <c r="S3451" i="26"/>
  <c r="S3450" i="26"/>
  <c r="S3449" i="26"/>
  <c r="S3448" i="26"/>
  <c r="S3447" i="26"/>
  <c r="S3446" i="26"/>
  <c r="S3445" i="26"/>
  <c r="S3444" i="26"/>
  <c r="S3443" i="26"/>
  <c r="S3442" i="26"/>
  <c r="S3441" i="26"/>
  <c r="S3440" i="26"/>
  <c r="S3439" i="26"/>
  <c r="S3438" i="26"/>
  <c r="S3437" i="26"/>
  <c r="S3436" i="26"/>
  <c r="S3435" i="26"/>
  <c r="S3434" i="26"/>
  <c r="S3433" i="26"/>
  <c r="S3432" i="26"/>
  <c r="S3431" i="26"/>
  <c r="S3430" i="26"/>
  <c r="S3429" i="26"/>
  <c r="S3428" i="26"/>
  <c r="S3427" i="26"/>
  <c r="Q1590" i="26"/>
  <c r="Q1591" i="26"/>
  <c r="Q1592" i="26"/>
  <c r="Q1593" i="26"/>
  <c r="Q1594" i="26"/>
  <c r="Q1595" i="26"/>
  <c r="Q1596" i="26"/>
  <c r="Q1597" i="26"/>
  <c r="Q1598" i="26"/>
  <c r="Q1599" i="26"/>
  <c r="Q1600" i="26"/>
  <c r="Q1601" i="26"/>
  <c r="Q1602" i="26"/>
  <c r="Q1603" i="26"/>
  <c r="Q1604" i="26"/>
  <c r="Q1605" i="26"/>
  <c r="Q1606" i="26"/>
  <c r="Q1607" i="26"/>
  <c r="Q1608" i="26"/>
  <c r="Q1609" i="26"/>
  <c r="Q1610" i="26"/>
  <c r="Q1611" i="26"/>
  <c r="Q1612" i="26"/>
  <c r="Q1613" i="26"/>
  <c r="Q1614" i="26"/>
  <c r="Q1615" i="26"/>
  <c r="Q1616" i="26"/>
  <c r="Q1617" i="26"/>
  <c r="Q1618" i="26"/>
  <c r="Q1619" i="26"/>
  <c r="Q1620" i="26"/>
  <c r="Q1621" i="26"/>
  <c r="Q1622" i="26"/>
  <c r="Q1623" i="26"/>
  <c r="Q1624" i="26"/>
  <c r="Q1625" i="26"/>
  <c r="Q1626" i="26"/>
  <c r="Q1627" i="26"/>
  <c r="Q1628" i="26"/>
  <c r="Q1629" i="26"/>
  <c r="Q1630" i="26"/>
  <c r="Q1631" i="26"/>
  <c r="Q1632" i="26"/>
  <c r="Q1633" i="26"/>
  <c r="Q1634" i="26"/>
  <c r="Q1635" i="26"/>
  <c r="Q1636" i="26"/>
  <c r="Q1637" i="26"/>
  <c r="Q1638" i="26"/>
  <c r="Q1639" i="26"/>
  <c r="Q1640" i="26"/>
  <c r="Q1641" i="26"/>
  <c r="Q1642" i="26"/>
  <c r="Q1643" i="26"/>
  <c r="Q1644" i="26"/>
  <c r="Q1645" i="26"/>
  <c r="Q1646" i="26"/>
  <c r="Q1647" i="26"/>
  <c r="Q1648" i="26"/>
  <c r="Q1649" i="26"/>
  <c r="Q1650" i="26"/>
  <c r="Q1651" i="26"/>
  <c r="Q1652" i="26"/>
  <c r="Q1653" i="26"/>
  <c r="Q1654" i="26"/>
  <c r="Q1655" i="26"/>
  <c r="Q1656" i="26"/>
  <c r="Q1657" i="26"/>
  <c r="Q1658" i="26"/>
  <c r="Q1659" i="26"/>
  <c r="Q1660" i="26"/>
  <c r="Q1661" i="26"/>
  <c r="Q1662" i="26"/>
  <c r="Q1663" i="26"/>
  <c r="Q1664" i="26"/>
  <c r="Q1665" i="26"/>
  <c r="Q1666" i="26"/>
  <c r="Q1667" i="26"/>
  <c r="Q1668" i="26"/>
  <c r="Q1669" i="26"/>
  <c r="Q1670" i="26"/>
  <c r="Q1671" i="26"/>
  <c r="Q1672" i="26"/>
  <c r="Q1673" i="26"/>
  <c r="Q1674" i="26"/>
  <c r="Q1675" i="26"/>
  <c r="Q1676" i="26"/>
  <c r="Q1677" i="26"/>
  <c r="Q1678" i="26"/>
  <c r="Q1679" i="26"/>
  <c r="Q1680" i="26"/>
  <c r="Q1681" i="26"/>
  <c r="Q1682" i="26"/>
  <c r="Q1683" i="26"/>
  <c r="Q1684" i="26"/>
  <c r="Q1685" i="26"/>
  <c r="Q1686" i="26"/>
  <c r="Q1687" i="26"/>
  <c r="Q1688" i="26"/>
  <c r="Q1689" i="26"/>
  <c r="Q1690" i="26"/>
  <c r="Q1691" i="26"/>
  <c r="Q1692" i="26"/>
  <c r="Q1693" i="26"/>
  <c r="Q1694" i="26"/>
  <c r="Q1695" i="26"/>
  <c r="Q1696" i="26"/>
  <c r="Q1697" i="26"/>
  <c r="Q1698" i="26"/>
  <c r="Q1699" i="26"/>
  <c r="Q1700" i="26"/>
  <c r="Q1701" i="26"/>
  <c r="Q1702" i="26"/>
  <c r="Q1703" i="26"/>
  <c r="Q1704" i="26"/>
  <c r="Q1705" i="26"/>
  <c r="Q1706" i="26"/>
  <c r="Q1707" i="26"/>
  <c r="Q1708" i="26"/>
  <c r="Q1709" i="26"/>
  <c r="Q1710" i="26"/>
  <c r="Q1711" i="26"/>
  <c r="Q1712" i="26"/>
  <c r="Q1713" i="26"/>
  <c r="Q1714" i="26"/>
  <c r="Q1715" i="26"/>
  <c r="Q1716" i="26"/>
  <c r="Q1717" i="26"/>
  <c r="Q1718" i="26"/>
  <c r="Q1719" i="26"/>
  <c r="Q1720" i="26"/>
  <c r="Q1721" i="26"/>
  <c r="Q1722" i="26"/>
  <c r="Q1723" i="26"/>
  <c r="Q1724" i="26"/>
  <c r="Q1725" i="26"/>
  <c r="Q1726" i="26"/>
  <c r="Q1727" i="26"/>
  <c r="Q1728" i="26"/>
  <c r="Q1729" i="26"/>
  <c r="Q1730" i="26"/>
  <c r="Q1731" i="26"/>
  <c r="Q1732" i="26"/>
  <c r="Q1733" i="26"/>
  <c r="Q1734" i="26"/>
  <c r="Q1735" i="26"/>
  <c r="Q1736" i="26"/>
  <c r="Q1737" i="26"/>
  <c r="Q1738" i="26"/>
  <c r="Q1739" i="26"/>
  <c r="Q1740" i="26"/>
  <c r="Q1741" i="26"/>
  <c r="Q1742" i="26"/>
  <c r="Q1743" i="26"/>
  <c r="Q1744" i="26"/>
  <c r="Q1745" i="26"/>
  <c r="Q1746" i="26"/>
  <c r="Q1747" i="26"/>
  <c r="Q1748" i="26"/>
  <c r="Q1749" i="26"/>
  <c r="Q1750" i="26"/>
  <c r="Q1751" i="26"/>
  <c r="Q1752" i="26"/>
  <c r="Q1753" i="26"/>
  <c r="Q1754" i="26"/>
  <c r="Q1755" i="26"/>
  <c r="Q1756" i="26"/>
  <c r="Q1757" i="26"/>
  <c r="Q1758" i="26"/>
  <c r="Q1759" i="26"/>
  <c r="Q1760" i="26"/>
  <c r="Q1761" i="26"/>
  <c r="Q1762" i="26"/>
  <c r="Q1763" i="26"/>
  <c r="Q1764" i="26"/>
  <c r="Q1765" i="26"/>
  <c r="Q1766" i="26"/>
  <c r="Q1767" i="26"/>
  <c r="Q1768" i="26"/>
  <c r="Q1769" i="26"/>
  <c r="Q1770" i="26"/>
  <c r="Q1771" i="26"/>
  <c r="Q1772" i="26"/>
  <c r="Q1773" i="26"/>
  <c r="Q1774" i="26"/>
  <c r="Q1775" i="26"/>
  <c r="Q1776" i="26"/>
  <c r="Q1777" i="26"/>
  <c r="Q1778" i="26"/>
  <c r="Q1779" i="26"/>
  <c r="Q1780" i="26"/>
  <c r="Q1781" i="26"/>
  <c r="Q1782" i="26"/>
  <c r="Q1783" i="26"/>
  <c r="Q1784" i="26"/>
  <c r="Q1785" i="26"/>
  <c r="Q1786" i="26"/>
  <c r="Q1787" i="26"/>
  <c r="Q1788" i="26"/>
  <c r="Q1789" i="26"/>
  <c r="Q1790" i="26"/>
  <c r="Q1791" i="26"/>
  <c r="Q1792" i="26"/>
  <c r="Q1793" i="26"/>
  <c r="Q1794" i="26"/>
  <c r="Q1795" i="26"/>
  <c r="Q1796" i="26"/>
  <c r="Q1797" i="26"/>
  <c r="Q1798" i="26"/>
  <c r="Q1799" i="26"/>
  <c r="Q1800" i="26"/>
  <c r="Q1801" i="26"/>
  <c r="Q1802" i="26"/>
  <c r="Q1803" i="26"/>
  <c r="Q1804" i="26"/>
  <c r="Q1805" i="26"/>
  <c r="Q1806" i="26"/>
  <c r="Q1807" i="26"/>
  <c r="Q1808" i="26"/>
  <c r="Q1809" i="26"/>
  <c r="Q1810" i="26"/>
  <c r="Q1811" i="26"/>
  <c r="Q1812" i="26"/>
  <c r="Q1813" i="26"/>
  <c r="Q1814" i="26"/>
  <c r="Q1815" i="26"/>
  <c r="Q1816" i="26"/>
  <c r="Q1817" i="26"/>
  <c r="Q1818" i="26"/>
  <c r="Q1819" i="26"/>
  <c r="Q1820" i="26"/>
  <c r="Q1821" i="26"/>
  <c r="Q1822" i="26"/>
  <c r="Q1823" i="26"/>
  <c r="Q1824" i="26"/>
  <c r="Q1825" i="26"/>
  <c r="Q1826" i="26"/>
  <c r="Q1827" i="26"/>
  <c r="Q1828" i="26"/>
  <c r="Q1829" i="26"/>
  <c r="Q1830" i="26"/>
  <c r="Q1831" i="26"/>
  <c r="Q1832" i="26"/>
  <c r="Q1833" i="26"/>
  <c r="Q1834" i="26"/>
  <c r="Q1835" i="26"/>
  <c r="Q1836" i="26"/>
  <c r="Q1837" i="26"/>
  <c r="Q1838" i="26"/>
  <c r="Q1839" i="26"/>
  <c r="Q1840" i="26"/>
  <c r="Q1841" i="26"/>
  <c r="Q1842" i="26"/>
  <c r="Q1843" i="26"/>
  <c r="Q1844" i="26"/>
  <c r="Q1845" i="26"/>
  <c r="Q1846" i="26"/>
  <c r="Q1847" i="26"/>
  <c r="Q1848" i="26"/>
  <c r="Q1849" i="26"/>
  <c r="Q1850" i="26"/>
  <c r="Q1851" i="26"/>
  <c r="Q1852" i="26"/>
  <c r="Q1853" i="26"/>
  <c r="Q1854" i="26"/>
  <c r="Q1855" i="26"/>
  <c r="Q1856" i="26"/>
  <c r="Q1857" i="26"/>
  <c r="Q1858" i="26"/>
  <c r="Q1859" i="26"/>
  <c r="Q1860" i="26"/>
  <c r="Q1861" i="26"/>
  <c r="Q1862" i="26"/>
  <c r="Q1863" i="26"/>
  <c r="Q1864" i="26"/>
  <c r="Q1865" i="26"/>
  <c r="Q1866" i="26"/>
  <c r="Q1867" i="26"/>
  <c r="Q1868" i="26"/>
  <c r="Q1869" i="26"/>
  <c r="Q1870" i="26"/>
  <c r="Q1871" i="26"/>
  <c r="Q1872" i="26"/>
  <c r="Q1873" i="26"/>
  <c r="Q1874" i="26"/>
  <c r="Q1875" i="26"/>
  <c r="Q1876" i="26"/>
  <c r="Q1877" i="26"/>
  <c r="Q1878" i="26"/>
  <c r="Q1879" i="26"/>
  <c r="Q1880" i="26"/>
  <c r="Q1881" i="26"/>
  <c r="Q1882" i="26"/>
  <c r="Q1883" i="26"/>
  <c r="Q1884" i="26"/>
  <c r="Q1885" i="26"/>
  <c r="Q1886" i="26"/>
  <c r="Q1887" i="26"/>
  <c r="Q1888" i="26"/>
  <c r="Q1889" i="26"/>
  <c r="Q1890" i="26"/>
  <c r="Q1891" i="26"/>
  <c r="Q1892" i="26"/>
  <c r="Q1893" i="26"/>
  <c r="Q1894" i="26"/>
  <c r="Q1895" i="26"/>
  <c r="Q1896" i="26"/>
  <c r="Q1897" i="26"/>
  <c r="Q1898" i="26"/>
  <c r="Q1899" i="26"/>
  <c r="Q1900" i="26"/>
  <c r="Q1901" i="26"/>
  <c r="Q1902" i="26"/>
  <c r="Q1903" i="26"/>
  <c r="Q1904" i="26"/>
  <c r="Q1905" i="26"/>
  <c r="Q1906" i="26"/>
  <c r="Q1907" i="26"/>
  <c r="Q1908" i="26"/>
  <c r="Q1909" i="26"/>
  <c r="Q1910" i="26"/>
  <c r="Q1911" i="26"/>
  <c r="Q1912" i="26"/>
  <c r="Q1913" i="26"/>
  <c r="Q1914" i="26"/>
  <c r="Q1915" i="26"/>
  <c r="Q1916" i="26"/>
  <c r="Q1917" i="26"/>
  <c r="Q1918" i="26"/>
  <c r="Q1919" i="26"/>
  <c r="V1927" i="26"/>
  <c r="Q2664" i="26"/>
  <c r="Q2665" i="26"/>
  <c r="Q2666" i="26"/>
  <c r="Q2667" i="26"/>
  <c r="Q2668" i="26"/>
  <c r="Q2669" i="26"/>
  <c r="Q2670" i="26"/>
  <c r="Q2671" i="26"/>
  <c r="Q2672" i="26"/>
  <c r="Q2673" i="26"/>
  <c r="Q2674" i="26"/>
  <c r="Q2675" i="26"/>
  <c r="Q2676" i="26"/>
  <c r="Q2677" i="26"/>
  <c r="Q2678" i="26"/>
  <c r="Q2679" i="26"/>
  <c r="Q2680" i="26"/>
  <c r="Q2681" i="26"/>
  <c r="Q2682" i="26"/>
  <c r="Q2683" i="26"/>
  <c r="Q2684" i="26"/>
  <c r="Q2685" i="26"/>
  <c r="Q2686" i="26"/>
  <c r="Q2687" i="26"/>
  <c r="Q2688" i="26"/>
  <c r="Q2689" i="26"/>
  <c r="Q2690" i="26"/>
  <c r="Q2691" i="26"/>
  <c r="Q2692" i="26"/>
  <c r="Q2693" i="26"/>
  <c r="Q2694" i="26"/>
  <c r="Q2695" i="26"/>
  <c r="Q2696" i="26"/>
  <c r="Q2697" i="26"/>
  <c r="Q2698" i="26"/>
  <c r="Q2699" i="26"/>
  <c r="Q2700" i="26"/>
  <c r="Q2701" i="26"/>
  <c r="Q2702" i="26"/>
  <c r="Q2703" i="26"/>
  <c r="Q2704" i="26"/>
  <c r="Q2705" i="26"/>
  <c r="Q2706" i="26"/>
  <c r="Q2707" i="26"/>
  <c r="Q2708" i="26"/>
  <c r="Q2709" i="26"/>
  <c r="Q2710" i="26"/>
  <c r="Q2711" i="26"/>
  <c r="Q2712" i="26"/>
  <c r="Q2713" i="26"/>
  <c r="Q2714" i="26"/>
  <c r="Q2715" i="26"/>
  <c r="Q2716" i="26"/>
  <c r="Q2717" i="26"/>
  <c r="Q2718" i="26"/>
  <c r="Q2719" i="26"/>
  <c r="Q2720" i="26"/>
  <c r="Q2721" i="26"/>
  <c r="Q2722" i="26"/>
  <c r="Q2723" i="26"/>
  <c r="Q2724" i="26"/>
  <c r="Q2725" i="26"/>
  <c r="Q2726" i="26"/>
  <c r="Q2727" i="26"/>
  <c r="Q2728" i="26"/>
  <c r="Q2729" i="26"/>
  <c r="Q2730" i="26"/>
  <c r="Q2731" i="26"/>
  <c r="Q2732" i="26"/>
  <c r="Q2733" i="26"/>
  <c r="Q2734" i="26"/>
  <c r="Q2735" i="26"/>
  <c r="Q2736" i="26"/>
  <c r="Q2737" i="26"/>
  <c r="Q2738" i="26"/>
  <c r="Q2739" i="26"/>
  <c r="Q2740" i="26"/>
  <c r="Q2741" i="26"/>
  <c r="Q2742" i="26"/>
  <c r="Q2743" i="26"/>
  <c r="Q2744" i="26"/>
  <c r="Q2745" i="26"/>
  <c r="Q2746" i="26"/>
  <c r="Q2747" i="26"/>
  <c r="Q2748" i="26"/>
  <c r="Q2749" i="26"/>
  <c r="Q2750" i="26"/>
  <c r="Q2751" i="26"/>
  <c r="Q2752" i="26"/>
  <c r="Q2753" i="26"/>
  <c r="Q2754" i="26"/>
  <c r="Q2755" i="26"/>
  <c r="Q2756" i="26"/>
  <c r="Q2757" i="26"/>
  <c r="Q2758" i="26"/>
  <c r="Q2759" i="26"/>
  <c r="Q2760" i="26"/>
  <c r="Q2761" i="26"/>
  <c r="Q2762" i="26"/>
  <c r="Q2763" i="26"/>
  <c r="Q2764" i="26"/>
  <c r="Q2765" i="26"/>
  <c r="Q2766" i="26"/>
  <c r="Q2767" i="26"/>
  <c r="Q2768" i="26"/>
  <c r="Q2769" i="26"/>
  <c r="Q2770" i="26"/>
  <c r="Q2771" i="26"/>
  <c r="Q2772" i="26"/>
  <c r="Q2773" i="26"/>
  <c r="Q2774" i="26"/>
  <c r="Q2775" i="26"/>
  <c r="Q2776" i="26"/>
  <c r="Q2777" i="26"/>
  <c r="Q2778" i="26"/>
  <c r="Q2779" i="26"/>
  <c r="Q2780" i="26"/>
  <c r="Q2781" i="26"/>
  <c r="Q2782" i="26"/>
  <c r="Q2783" i="26"/>
  <c r="Q2784" i="26"/>
  <c r="Q2785" i="26"/>
  <c r="Q2786" i="26"/>
  <c r="Q2787" i="26"/>
  <c r="Q2788" i="26"/>
  <c r="Q2789" i="26"/>
  <c r="Q2790" i="26"/>
  <c r="Q2791" i="26"/>
  <c r="Q2792" i="26"/>
  <c r="Q2793" i="26"/>
  <c r="Q2794" i="26"/>
  <c r="Q2795" i="26"/>
  <c r="Q2796" i="26"/>
  <c r="Q2797" i="26"/>
  <c r="Q2798" i="26"/>
  <c r="Q2799" i="26"/>
  <c r="Q2800" i="26"/>
  <c r="Q2801" i="26"/>
  <c r="Q2802" i="26"/>
  <c r="Q2803" i="26"/>
  <c r="Q2804" i="26"/>
  <c r="Q2805" i="26"/>
  <c r="Q2806" i="26"/>
  <c r="Q2807" i="26"/>
  <c r="Q2808" i="26"/>
  <c r="Q2809" i="26"/>
  <c r="Q2810" i="26"/>
  <c r="Q2811" i="26"/>
  <c r="Q2812" i="26"/>
  <c r="Q2813" i="26"/>
  <c r="Q2814" i="26"/>
  <c r="Q2815" i="26"/>
  <c r="Q2816" i="26"/>
  <c r="Q2817" i="26"/>
  <c r="Q2818" i="26"/>
  <c r="Q2819" i="26"/>
  <c r="Q2820" i="26"/>
  <c r="Q2821" i="26"/>
  <c r="Q2822" i="26"/>
  <c r="Q2823" i="26"/>
  <c r="Q2824" i="26"/>
  <c r="Q2825" i="26"/>
  <c r="Q2826" i="26"/>
  <c r="Q2827" i="26"/>
  <c r="Q2828" i="26"/>
  <c r="Q2829" i="26"/>
  <c r="Q2830" i="26"/>
  <c r="Q2831" i="26"/>
  <c r="Q2832" i="26"/>
  <c r="Q2833" i="26"/>
  <c r="Q2834" i="26"/>
  <c r="Q2835" i="26"/>
  <c r="Q2836" i="26"/>
  <c r="Q2837" i="26"/>
  <c r="Q2838" i="26"/>
  <c r="Q2839" i="26"/>
  <c r="Q2840" i="26"/>
  <c r="Q2841" i="26"/>
  <c r="Q2842" i="26"/>
  <c r="Q2843" i="26"/>
  <c r="Q2844" i="26"/>
  <c r="Q2845" i="26"/>
  <c r="Q2846" i="26"/>
  <c r="Q2847" i="26"/>
  <c r="Q2848" i="26"/>
  <c r="Q2849" i="26"/>
  <c r="Q2850" i="26"/>
  <c r="Q2851" i="26"/>
  <c r="Q2852" i="26"/>
  <c r="Q2853" i="26"/>
  <c r="Q2854" i="26"/>
  <c r="Q2855" i="26"/>
  <c r="Q2856" i="26"/>
  <c r="Q2857" i="26"/>
  <c r="Q2858" i="26"/>
  <c r="Q2859" i="26"/>
  <c r="Q2860" i="26"/>
  <c r="Q2861" i="26"/>
  <c r="Q2862" i="26"/>
  <c r="Q2863" i="26"/>
  <c r="Q2864" i="26"/>
  <c r="Q2865" i="26"/>
  <c r="Q2866" i="26"/>
  <c r="Q2867" i="26"/>
  <c r="Q2868" i="26"/>
  <c r="Q2869" i="26"/>
  <c r="Q2870" i="26"/>
  <c r="Q2871" i="26"/>
  <c r="Q2872" i="26"/>
  <c r="Q2873" i="26"/>
  <c r="Q2874" i="26"/>
  <c r="Q2875" i="26"/>
  <c r="Q2876" i="26"/>
  <c r="Q2877" i="26"/>
  <c r="Q2878" i="26"/>
  <c r="Q2879" i="26"/>
  <c r="Q2880" i="26"/>
  <c r="Q2881" i="26"/>
  <c r="Q2882" i="26"/>
  <c r="Q2883" i="26"/>
  <c r="Q2884" i="26"/>
  <c r="Q2885" i="26"/>
  <c r="Q2886" i="26"/>
  <c r="Q2887" i="26"/>
  <c r="Q2888" i="26"/>
  <c r="Q2889" i="26"/>
  <c r="Q2890" i="26"/>
  <c r="Q2891" i="26"/>
  <c r="Q2892" i="26"/>
  <c r="Q2893" i="26"/>
  <c r="Q2894" i="26"/>
  <c r="Q2895" i="26"/>
  <c r="Q2896" i="26"/>
  <c r="Q2897" i="26"/>
  <c r="Q2898" i="26"/>
  <c r="Q2899" i="26"/>
  <c r="Q2900" i="26"/>
  <c r="Q2901" i="26"/>
  <c r="Q2902" i="26"/>
  <c r="Q2903" i="26"/>
  <c r="Q2904" i="26"/>
  <c r="Q2905" i="26"/>
  <c r="Q2906" i="26"/>
  <c r="Q2907" i="26"/>
  <c r="Q2908" i="26"/>
  <c r="Q2909" i="26"/>
  <c r="Q2910" i="26"/>
  <c r="Q2911" i="26"/>
  <c r="Q2912" i="26"/>
  <c r="Q2913" i="26"/>
  <c r="Q2914" i="26"/>
  <c r="Q2915" i="26"/>
  <c r="Q2916" i="26"/>
  <c r="Q2917" i="26"/>
  <c r="Q2918" i="26"/>
  <c r="Q2919" i="26"/>
  <c r="Q2920" i="26"/>
  <c r="Q2921" i="26"/>
  <c r="Q2922" i="26"/>
  <c r="Q2923" i="26"/>
  <c r="Q2924" i="26"/>
  <c r="Q2925" i="26"/>
  <c r="Q2926" i="26"/>
  <c r="Q2927" i="26"/>
  <c r="Q2928" i="26"/>
  <c r="Q2929" i="26"/>
  <c r="Q2930" i="26"/>
  <c r="Q2931" i="26"/>
  <c r="Q2932" i="26"/>
  <c r="Q2933" i="26"/>
  <c r="Q2934" i="26"/>
  <c r="Q2935" i="26"/>
  <c r="Q2936" i="26"/>
  <c r="Q2937" i="26"/>
  <c r="Q2938" i="26"/>
  <c r="Q2939" i="26"/>
  <c r="Q2940" i="26"/>
  <c r="Q2941" i="26"/>
  <c r="Q2942" i="26"/>
  <c r="Q2943" i="26"/>
  <c r="Q2944" i="26"/>
  <c r="Q2945" i="26"/>
  <c r="Q2946" i="26"/>
  <c r="Q2947" i="26"/>
  <c r="Q2948" i="26"/>
  <c r="Q2949" i="26"/>
  <c r="Q2950" i="26"/>
  <c r="Q2951" i="26"/>
  <c r="Q2952" i="26"/>
  <c r="Q2953" i="26"/>
  <c r="Q2954" i="26"/>
  <c r="Q2955" i="26"/>
  <c r="Q2956" i="26"/>
  <c r="Q2957" i="26"/>
  <c r="Q2958" i="26"/>
  <c r="Q2959" i="26"/>
  <c r="Q2960" i="26"/>
  <c r="Q2961" i="26"/>
  <c r="Q2962" i="26"/>
  <c r="Q2963" i="26"/>
  <c r="Q2964" i="26"/>
  <c r="Q2965" i="26"/>
  <c r="Q2966" i="26"/>
  <c r="Q2967" i="26"/>
  <c r="Q2968" i="26"/>
  <c r="Q2969" i="26"/>
  <c r="Q2970" i="26"/>
  <c r="Q2971" i="26"/>
  <c r="Q2972" i="26"/>
  <c r="Q2973" i="26"/>
  <c r="Q2974" i="26"/>
  <c r="Q2975" i="26"/>
  <c r="Q2976" i="26"/>
  <c r="Q2977" i="26"/>
  <c r="Q2978" i="26"/>
  <c r="Q2979" i="26"/>
  <c r="Q2980" i="26"/>
  <c r="Q2981" i="26"/>
  <c r="Q2982" i="26"/>
  <c r="Q2983" i="26"/>
  <c r="Q2984" i="26"/>
  <c r="Q2985" i="26"/>
  <c r="Q2986" i="26"/>
  <c r="Q2987" i="26"/>
  <c r="Q2988" i="26"/>
  <c r="Q2989" i="26"/>
  <c r="Q2990" i="26"/>
  <c r="Q2991" i="26"/>
  <c r="Q2992" i="26"/>
  <c r="Q2993" i="26"/>
  <c r="Q2994" i="26"/>
  <c r="Q2995" i="26"/>
  <c r="Q2996" i="26"/>
  <c r="Q2997" i="26"/>
  <c r="Q2998" i="26"/>
  <c r="Q2999" i="26"/>
  <c r="Q3000" i="26"/>
  <c r="Q3001" i="26"/>
  <c r="Q3002" i="26"/>
  <c r="Q3003" i="26"/>
  <c r="Q3004" i="26"/>
  <c r="Q3005" i="26"/>
  <c r="Q3006" i="26"/>
  <c r="Q3007" i="26"/>
  <c r="Q3008" i="26"/>
  <c r="Q3009" i="26"/>
  <c r="Q3010" i="26"/>
  <c r="Q3011" i="26"/>
  <c r="Q3012" i="26"/>
  <c r="Q3013" i="26"/>
  <c r="Q3014" i="26"/>
  <c r="Q3015" i="26"/>
  <c r="Q3016" i="26"/>
  <c r="Q3017" i="26"/>
  <c r="Q3018" i="26"/>
  <c r="Q3019" i="26"/>
  <c r="Q3020" i="26"/>
  <c r="Q3021" i="26"/>
  <c r="Q3022" i="26"/>
  <c r="Q3023" i="26"/>
  <c r="Q3024" i="26"/>
  <c r="Q3025" i="26"/>
  <c r="Q3026" i="26"/>
  <c r="Q3027" i="26"/>
  <c r="Q3028" i="26"/>
  <c r="Q3029" i="26"/>
  <c r="Q3030" i="26"/>
  <c r="Q3031" i="26"/>
  <c r="Q3032" i="26"/>
  <c r="Q3033" i="26"/>
  <c r="Q3034" i="26"/>
  <c r="Q3035" i="26"/>
  <c r="Q3036" i="26"/>
  <c r="Q3037" i="26"/>
  <c r="Q3038" i="26"/>
  <c r="Q3039" i="26"/>
  <c r="Q3040" i="26"/>
  <c r="Q3041" i="26"/>
  <c r="Q3042" i="26"/>
  <c r="Q3043" i="26"/>
  <c r="Q3044" i="26"/>
  <c r="Q3045" i="26"/>
  <c r="Q3046" i="26"/>
  <c r="Q3047" i="26"/>
  <c r="Q3048" i="26"/>
  <c r="Q3049" i="26"/>
  <c r="Q3050" i="26"/>
  <c r="Q3051" i="26"/>
  <c r="Q3052" i="26"/>
  <c r="Q3053" i="26"/>
  <c r="Q3054" i="26"/>
  <c r="Q3055" i="26"/>
  <c r="Q3056" i="26"/>
  <c r="Q3057" i="26"/>
  <c r="Q3058" i="26"/>
  <c r="Q3059" i="26"/>
  <c r="Q3060" i="26"/>
  <c r="Q3061" i="26"/>
  <c r="Q3062" i="26"/>
  <c r="Q3063" i="26"/>
  <c r="Q3064" i="26"/>
  <c r="Q3065" i="26"/>
  <c r="Q3066" i="26"/>
  <c r="Q3067" i="26"/>
  <c r="Q3068" i="26"/>
  <c r="Q3069" i="26"/>
  <c r="Q3070" i="26"/>
  <c r="Q3071" i="26"/>
  <c r="Q3072" i="26"/>
  <c r="Q3073" i="26"/>
  <c r="Q3074" i="26"/>
  <c r="Q3075" i="26"/>
  <c r="Q3076" i="26"/>
  <c r="Q3077" i="26"/>
  <c r="Q3078" i="26"/>
  <c r="Q3079" i="26"/>
  <c r="Q3080" i="26"/>
  <c r="Q3081" i="26"/>
  <c r="Q3082" i="26"/>
  <c r="Q3083" i="26"/>
  <c r="Q3084" i="26"/>
  <c r="Q3085" i="26"/>
  <c r="Q3086" i="26"/>
  <c r="Q3087" i="26"/>
  <c r="Q3088" i="26"/>
  <c r="Q3089" i="26"/>
  <c r="Q3090" i="26"/>
  <c r="Q3091" i="26"/>
  <c r="Q3092" i="26"/>
  <c r="Q3093" i="26"/>
  <c r="Q3094" i="26"/>
  <c r="Q3095" i="26"/>
  <c r="Q3096" i="26"/>
  <c r="Q3097" i="26"/>
  <c r="Q3098" i="26"/>
  <c r="Q3099" i="26"/>
  <c r="Q3100" i="26"/>
  <c r="Q3101" i="26"/>
  <c r="Q3102" i="26"/>
  <c r="Q3103" i="26"/>
  <c r="Q3104" i="26"/>
  <c r="Q3105" i="26"/>
  <c r="Q3106" i="26"/>
  <c r="Q3107" i="26"/>
  <c r="Q3108" i="26"/>
  <c r="Q3109" i="26"/>
  <c r="Q3110" i="26"/>
  <c r="Q3111" i="26"/>
  <c r="Q3112" i="26"/>
  <c r="Q3113" i="26"/>
  <c r="Q3114" i="26"/>
  <c r="Q3115" i="26"/>
  <c r="Q3116" i="26"/>
  <c r="Q3117" i="26"/>
  <c r="Q3118" i="26"/>
  <c r="Q3119" i="26"/>
  <c r="Q3120" i="26"/>
  <c r="Q3121" i="26"/>
  <c r="Q3122" i="26"/>
  <c r="Q3123" i="26"/>
  <c r="Q3124" i="26"/>
  <c r="Q3125" i="26"/>
  <c r="Q3126" i="26"/>
  <c r="Q3127" i="26"/>
  <c r="Q3128" i="26"/>
  <c r="Q3129" i="26"/>
  <c r="Q3130" i="26"/>
  <c r="Q3131" i="26"/>
  <c r="Q3132" i="26"/>
  <c r="Q3133" i="26"/>
  <c r="Q3134" i="26"/>
  <c r="Q3135" i="26"/>
  <c r="Q3136" i="26"/>
  <c r="Q3137" i="26"/>
  <c r="Q3138" i="26"/>
  <c r="Q3139" i="26"/>
  <c r="Q3140" i="26"/>
  <c r="Q3141" i="26"/>
  <c r="Q3142" i="26"/>
  <c r="Q3143" i="26"/>
  <c r="Q3144" i="26"/>
  <c r="Q3145" i="26"/>
  <c r="Q3146" i="26"/>
  <c r="Q3147" i="26"/>
  <c r="Q3148" i="26"/>
  <c r="Q3149" i="26"/>
  <c r="Q3150" i="26"/>
  <c r="Q3151" i="26"/>
  <c r="Q3152" i="26"/>
  <c r="Q3153" i="26"/>
  <c r="Q3154" i="26"/>
  <c r="Q3155" i="26"/>
  <c r="Q3156" i="26"/>
  <c r="Q3157" i="26"/>
  <c r="Q3158" i="26"/>
  <c r="Q3159" i="26"/>
  <c r="Q3160" i="26"/>
  <c r="Q3161" i="26"/>
  <c r="Q3162" i="26"/>
  <c r="Q3163" i="26"/>
  <c r="Q3164" i="26"/>
  <c r="Q3165" i="26"/>
  <c r="Q3166" i="26"/>
  <c r="Q3167" i="26"/>
  <c r="Q3168" i="26"/>
  <c r="Q3169" i="26"/>
  <c r="Q3170" i="26"/>
  <c r="Q3171" i="26"/>
  <c r="Q3172" i="26"/>
  <c r="Q3173" i="26"/>
  <c r="Q3174" i="26"/>
  <c r="Q3175" i="26"/>
  <c r="Q3176" i="26"/>
  <c r="Q3177" i="26"/>
  <c r="Q3178" i="26"/>
  <c r="Q3179" i="26"/>
  <c r="Q3180" i="26"/>
  <c r="Q3181" i="26"/>
  <c r="Q3182" i="26"/>
  <c r="Q3183" i="26"/>
  <c r="Q3184" i="26"/>
  <c r="Q3185" i="26"/>
  <c r="Q3186" i="26"/>
  <c r="Q3187" i="26"/>
  <c r="Q3188" i="26"/>
  <c r="Q3189" i="26"/>
  <c r="Q3190" i="26"/>
  <c r="Q3191" i="26"/>
  <c r="Q3192" i="26"/>
  <c r="Q3193" i="26"/>
  <c r="Q3194" i="26"/>
  <c r="Q3195" i="26"/>
  <c r="Q3196" i="26"/>
  <c r="Q3197" i="26"/>
  <c r="Q3198" i="26"/>
  <c r="Q3199" i="26"/>
  <c r="Q3200" i="26"/>
  <c r="Q3201" i="26"/>
  <c r="Q3202" i="26"/>
  <c r="Q3203" i="26"/>
  <c r="Q3204" i="26"/>
  <c r="Q3205" i="26"/>
  <c r="Q3206" i="26"/>
  <c r="Q3207" i="26"/>
  <c r="Q3208" i="26"/>
  <c r="Q3209" i="26"/>
  <c r="Q3210" i="26"/>
  <c r="Q3211" i="26"/>
  <c r="Q3212" i="26"/>
  <c r="Q3213" i="26"/>
  <c r="Q3214" i="26"/>
  <c r="Q3215" i="26"/>
  <c r="Q3216" i="26"/>
  <c r="Q3217" i="26"/>
  <c r="Q3218" i="26"/>
  <c r="Q3219" i="26"/>
  <c r="Q3220" i="26"/>
  <c r="Q3221" i="26"/>
  <c r="Q3222" i="26"/>
  <c r="Q3223" i="26"/>
  <c r="Q3224" i="26"/>
  <c r="Q3225" i="26"/>
  <c r="Q3226" i="26"/>
  <c r="Q3227" i="26"/>
  <c r="Q3228" i="26"/>
  <c r="Q3229" i="26"/>
  <c r="Q3230" i="26"/>
  <c r="Q3231" i="26"/>
  <c r="Q3232" i="26"/>
  <c r="Q3233" i="26"/>
  <c r="Q3234" i="26"/>
  <c r="Q3235" i="26"/>
  <c r="Q3236" i="26"/>
  <c r="Q3237" i="26"/>
  <c r="Q3238" i="26"/>
  <c r="Q3239" i="26"/>
  <c r="Q3240" i="26"/>
  <c r="Q3241" i="26"/>
  <c r="Q3242" i="26"/>
  <c r="Q3243" i="26"/>
  <c r="Q3244" i="26"/>
  <c r="Q3245" i="26"/>
  <c r="Q3246" i="26"/>
  <c r="Q3247" i="26"/>
  <c r="Q3248" i="26"/>
  <c r="Q3249" i="26"/>
  <c r="Q3250" i="26"/>
  <c r="Q3251" i="26"/>
  <c r="Q3252" i="26"/>
  <c r="Q3253" i="26"/>
  <c r="Q3254" i="26"/>
  <c r="Q3255" i="26"/>
  <c r="Q3256" i="26"/>
  <c r="Q3257" i="26"/>
  <c r="Q3258" i="26"/>
  <c r="Q3259" i="26"/>
  <c r="Q3260" i="26"/>
  <c r="Q3261" i="26"/>
  <c r="Q3262" i="26"/>
  <c r="Q3263" i="26"/>
  <c r="Q3264" i="26"/>
  <c r="Q3265" i="26"/>
  <c r="Q3266" i="26"/>
  <c r="Q3267" i="26"/>
  <c r="Q3268" i="26"/>
  <c r="Q3269" i="26"/>
  <c r="Q3270" i="26"/>
  <c r="Q3271" i="26"/>
  <c r="Q3272" i="26"/>
  <c r="Q3273" i="26"/>
  <c r="Q3274" i="26"/>
  <c r="Q3275" i="26"/>
  <c r="Q3276" i="26"/>
  <c r="Q3277" i="26"/>
  <c r="Q3278" i="26"/>
  <c r="Q3279" i="26"/>
  <c r="Q3280" i="26"/>
  <c r="Q3281" i="26"/>
  <c r="Q3282" i="26"/>
  <c r="Q3283" i="26"/>
  <c r="Q3284" i="26"/>
  <c r="Q3285" i="26"/>
  <c r="Q3286" i="26"/>
  <c r="Q3287" i="26"/>
  <c r="Q3288" i="26"/>
  <c r="Q3289" i="26"/>
  <c r="Q3290" i="26"/>
  <c r="Q3291" i="26"/>
  <c r="Q3292" i="26"/>
  <c r="Q3293" i="26"/>
  <c r="Q3294" i="26"/>
  <c r="Q3295" i="26"/>
  <c r="Q3296" i="26"/>
  <c r="Q3297" i="26"/>
  <c r="Q3298" i="26"/>
  <c r="Q3299" i="26"/>
  <c r="Q3300" i="26"/>
  <c r="Q3301" i="26"/>
  <c r="Q3302" i="26"/>
  <c r="Q3303" i="26"/>
  <c r="Q3304" i="26"/>
  <c r="Q3305" i="26"/>
  <c r="Q3306" i="26"/>
  <c r="Q3307" i="26"/>
  <c r="Q3308" i="26"/>
  <c r="Q3309" i="26"/>
  <c r="Q3310" i="26"/>
  <c r="Q3311" i="26"/>
  <c r="Q3312" i="26"/>
  <c r="Q3313" i="26"/>
  <c r="Q3314" i="26"/>
  <c r="Q3315" i="26"/>
  <c r="Q3316" i="26"/>
  <c r="Q3317" i="26"/>
  <c r="Q3318" i="26"/>
  <c r="Q3319" i="26"/>
  <c r="Q3320" i="26"/>
  <c r="Q3321" i="26"/>
  <c r="Q3322" i="26"/>
  <c r="Q3323" i="26"/>
  <c r="Q3324" i="26"/>
  <c r="Q3325" i="26"/>
  <c r="Q3326" i="26"/>
  <c r="Q3327" i="26"/>
  <c r="Q3328" i="26"/>
  <c r="Q3329" i="26"/>
  <c r="Q3330" i="26"/>
  <c r="Q3331" i="26"/>
  <c r="Q3332" i="26"/>
  <c r="Q3333" i="26"/>
  <c r="Q3334" i="26"/>
  <c r="Q3335" i="26"/>
  <c r="Q3336" i="26"/>
  <c r="Q3337" i="26"/>
  <c r="Q3338" i="26"/>
  <c r="Q3339" i="26"/>
  <c r="Q3340" i="26"/>
  <c r="Q3341" i="26"/>
  <c r="Q3342" i="26"/>
  <c r="Q3343" i="26"/>
  <c r="Q3344" i="26"/>
  <c r="Q3345" i="26"/>
  <c r="Q3346" i="26"/>
  <c r="Q3347" i="26"/>
  <c r="Q3348" i="26"/>
  <c r="Q3349" i="26"/>
  <c r="Q3350" i="26"/>
  <c r="Q3351" i="26"/>
  <c r="Q3352" i="26"/>
  <c r="Q3353" i="26"/>
  <c r="Q3354" i="26"/>
  <c r="Q3355" i="26"/>
  <c r="Q3356" i="26"/>
  <c r="Q3357" i="26"/>
  <c r="Q3358" i="26"/>
  <c r="Q3359" i="26"/>
  <c r="Q3360" i="26"/>
  <c r="Q3361" i="26"/>
  <c r="Q3362" i="26"/>
  <c r="Q3363" i="26"/>
  <c r="Q3364" i="26"/>
  <c r="Q3365" i="26"/>
  <c r="Q3366" i="26"/>
  <c r="Q3367" i="26"/>
  <c r="Q3368" i="26"/>
  <c r="Q3369" i="26"/>
  <c r="Q3370" i="26"/>
  <c r="Q3371" i="26"/>
  <c r="Q3372" i="26"/>
  <c r="Q3373" i="26"/>
  <c r="Q3374" i="26"/>
  <c r="Q3375" i="26"/>
  <c r="Q3376" i="26"/>
  <c r="Q3377" i="26"/>
  <c r="Q3378" i="26"/>
  <c r="Q3379" i="26"/>
  <c r="Q3380" i="26"/>
  <c r="Q3381" i="26"/>
  <c r="Q3382" i="26"/>
  <c r="Q3383" i="26"/>
  <c r="Q3384" i="26"/>
  <c r="Q3385" i="26"/>
  <c r="Q3386" i="26"/>
  <c r="Q3387" i="26"/>
  <c r="Q3388" i="26"/>
  <c r="Q3389" i="26"/>
  <c r="Q3390" i="26"/>
  <c r="Q3391" i="26"/>
  <c r="Q3392" i="26"/>
  <c r="Q3393" i="26"/>
  <c r="Q3394" i="26"/>
  <c r="Q3395" i="26"/>
  <c r="Q3396" i="26"/>
  <c r="Q3397" i="26"/>
  <c r="Q3398" i="26"/>
  <c r="Q3399" i="26"/>
  <c r="Q3400" i="26"/>
  <c r="Q3401" i="26"/>
  <c r="Q3402" i="26"/>
  <c r="Q3403" i="26"/>
  <c r="Q3404" i="26"/>
  <c r="Q3405" i="26"/>
  <c r="Q3406" i="26"/>
  <c r="Q3407" i="26"/>
  <c r="Q3408" i="26"/>
  <c r="Q3409" i="26"/>
  <c r="Q3410" i="26"/>
  <c r="Q3411" i="26"/>
  <c r="Q3412" i="26"/>
  <c r="Q3413" i="26"/>
  <c r="Q3414" i="26"/>
  <c r="Q3415" i="26"/>
  <c r="Q3416" i="26"/>
  <c r="Q3417" i="26"/>
  <c r="Q3418" i="26"/>
  <c r="Q3419" i="26"/>
  <c r="Q3420" i="26"/>
  <c r="Q3421" i="26"/>
  <c r="Q3422" i="26"/>
  <c r="Q3423" i="26"/>
  <c r="Q3424" i="26"/>
  <c r="Q3425" i="26"/>
  <c r="Q3426" i="26"/>
  <c r="Q3427" i="26"/>
  <c r="Q3428" i="26"/>
  <c r="Q3429" i="26"/>
  <c r="Q3430" i="26"/>
  <c r="Q3431" i="26"/>
  <c r="Q3432" i="26"/>
  <c r="Q3433" i="26"/>
  <c r="Q3434" i="26"/>
  <c r="Q3435" i="26"/>
  <c r="Q3436" i="26"/>
  <c r="Q3437" i="26"/>
  <c r="Q3438" i="26"/>
  <c r="Q3439" i="26"/>
  <c r="Q3440" i="26"/>
  <c r="Q3441" i="26"/>
  <c r="Q3442" i="26"/>
  <c r="Q3443" i="26"/>
  <c r="Q3444" i="26"/>
  <c r="Q3445" i="26"/>
  <c r="Q3446" i="26"/>
  <c r="Q3447" i="26"/>
  <c r="Q3448" i="26"/>
  <c r="Q3449" i="26"/>
  <c r="Q3450" i="26"/>
  <c r="Q3451" i="26"/>
  <c r="Q3452" i="26"/>
  <c r="Q3453" i="26"/>
  <c r="Q3454" i="26"/>
  <c r="Q3455" i="26"/>
  <c r="Q3456" i="26"/>
  <c r="O2267" i="26"/>
  <c r="O2268" i="26"/>
  <c r="O2269" i="26"/>
  <c r="O2270" i="26"/>
  <c r="O2271" i="26"/>
  <c r="O2272" i="26"/>
  <c r="O2273" i="26"/>
  <c r="O2274" i="26"/>
  <c r="O2275" i="26"/>
  <c r="O2276" i="26"/>
  <c r="O2277" i="26"/>
  <c r="O2278" i="26"/>
  <c r="O2279" i="26"/>
  <c r="O2280" i="26"/>
  <c r="O2281" i="26"/>
  <c r="O2282" i="26"/>
  <c r="O2283" i="26"/>
  <c r="O2284" i="26"/>
  <c r="O2285" i="26"/>
  <c r="O2286" i="26"/>
  <c r="O2287" i="26"/>
  <c r="O2288" i="26"/>
  <c r="O2289" i="26"/>
  <c r="O2290" i="26"/>
  <c r="O2291" i="26"/>
  <c r="O2292" i="26"/>
  <c r="O2293" i="26"/>
  <c r="O2294" i="26"/>
  <c r="O2295" i="26"/>
  <c r="O2296" i="26"/>
  <c r="O2297" i="26"/>
  <c r="O2298" i="26"/>
  <c r="O2299" i="26"/>
  <c r="O2300" i="26"/>
  <c r="O2301" i="26"/>
  <c r="O2302" i="26"/>
  <c r="O2303" i="26"/>
  <c r="O2304" i="26"/>
  <c r="O2305" i="26"/>
  <c r="O2306" i="26"/>
  <c r="O2307" i="26"/>
  <c r="O2308" i="26"/>
  <c r="O2309" i="26"/>
  <c r="O2310" i="26"/>
  <c r="O2311" i="26"/>
  <c r="O2312" i="26"/>
  <c r="O2313" i="26"/>
  <c r="O2314" i="26"/>
  <c r="O2315" i="26"/>
  <c r="O2316" i="26"/>
  <c r="O2317" i="26"/>
  <c r="O2318" i="26"/>
  <c r="O2319" i="26"/>
  <c r="O2320" i="26"/>
  <c r="O2321" i="26"/>
  <c r="O2322" i="26"/>
  <c r="O2323" i="26"/>
  <c r="O2324" i="26"/>
  <c r="O2325" i="26"/>
  <c r="O2326" i="26"/>
  <c r="O2327" i="26"/>
  <c r="O2328" i="26"/>
  <c r="O2329" i="26"/>
  <c r="O2330" i="26"/>
  <c r="O2331" i="26"/>
  <c r="O2332" i="26"/>
  <c r="O2333" i="26"/>
  <c r="O2334" i="26"/>
  <c r="O2335" i="26"/>
  <c r="O2336" i="26"/>
  <c r="O2337" i="26"/>
  <c r="O2338" i="26"/>
  <c r="O2339" i="26"/>
  <c r="O2340" i="26"/>
  <c r="O2341" i="26"/>
  <c r="O2342" i="26"/>
  <c r="O2343" i="26"/>
  <c r="O2344" i="26"/>
  <c r="O2345" i="26"/>
  <c r="O2346" i="26"/>
  <c r="O2347" i="26"/>
  <c r="O2348" i="26"/>
  <c r="O2349" i="26"/>
  <c r="O2350" i="26"/>
  <c r="O2351" i="26"/>
  <c r="O2352" i="26"/>
  <c r="O2353" i="26"/>
  <c r="O2354" i="26"/>
  <c r="O2355" i="26"/>
  <c r="O2356" i="26"/>
  <c r="O2357" i="26"/>
  <c r="O2358" i="26"/>
  <c r="O2359" i="26"/>
  <c r="O2360" i="26"/>
  <c r="O2361" i="26"/>
  <c r="O2362" i="26"/>
  <c r="O2363" i="26"/>
  <c r="O2364" i="26"/>
  <c r="O2365" i="26"/>
  <c r="O2366" i="26"/>
  <c r="O2367" i="26"/>
  <c r="O2368" i="26"/>
  <c r="O2369" i="26"/>
  <c r="O2370" i="26"/>
  <c r="O2371" i="26"/>
  <c r="O2372" i="26"/>
  <c r="O2373" i="26"/>
  <c r="O2374" i="26"/>
  <c r="O2375" i="26"/>
  <c r="O2376" i="26"/>
  <c r="O2377" i="26"/>
  <c r="O2378" i="26"/>
  <c r="O2379" i="26"/>
  <c r="O2380" i="26"/>
  <c r="O2381" i="26"/>
  <c r="O2382" i="26"/>
  <c r="O2383" i="26"/>
  <c r="O2384" i="26"/>
  <c r="O2385" i="26"/>
  <c r="O2386" i="26"/>
  <c r="O2387" i="26"/>
  <c r="O2388" i="26"/>
  <c r="O2389" i="26"/>
  <c r="O2390" i="26"/>
  <c r="O2391" i="26"/>
  <c r="O2392" i="26"/>
  <c r="O2393" i="26"/>
  <c r="O2394" i="26"/>
  <c r="O2395" i="26"/>
  <c r="O2396" i="26"/>
  <c r="O2397" i="26"/>
  <c r="O2398" i="26"/>
  <c r="O2399" i="26"/>
  <c r="O2400" i="26"/>
  <c r="O2401" i="26"/>
  <c r="O2402" i="26"/>
  <c r="O2403" i="26"/>
  <c r="O2404" i="26"/>
  <c r="O2405" i="26"/>
  <c r="O2406" i="26"/>
  <c r="O2407" i="26"/>
  <c r="O2408" i="26"/>
  <c r="O2409" i="26"/>
  <c r="O2410" i="26"/>
  <c r="O2411" i="26"/>
  <c r="O2412" i="26"/>
  <c r="O2413" i="26"/>
  <c r="O2414" i="26"/>
  <c r="O2415" i="26"/>
  <c r="O2416" i="26"/>
  <c r="O2417" i="26"/>
  <c r="O2418" i="26"/>
  <c r="O2419" i="26"/>
  <c r="O2420" i="26"/>
  <c r="O2421" i="26"/>
  <c r="O2422" i="26"/>
  <c r="O2423" i="26"/>
  <c r="O2424" i="26"/>
  <c r="O2425" i="26"/>
  <c r="O2426" i="26"/>
  <c r="O2427" i="26"/>
  <c r="O2428" i="26"/>
  <c r="O2429" i="26"/>
  <c r="O2430" i="26"/>
  <c r="O2431" i="26"/>
  <c r="O2432" i="26"/>
  <c r="O2433" i="26"/>
  <c r="O2434" i="26"/>
  <c r="O2435" i="26"/>
  <c r="O2436" i="26"/>
  <c r="O2437" i="26"/>
  <c r="O2438" i="26"/>
  <c r="O2439" i="26"/>
  <c r="O2440" i="26"/>
  <c r="O2441" i="26"/>
  <c r="O2442" i="26"/>
  <c r="O2443" i="26"/>
  <c r="O2444" i="26"/>
  <c r="O2445" i="26"/>
  <c r="O2446" i="26"/>
  <c r="O2447" i="26"/>
  <c r="O2448" i="26"/>
  <c r="O2449" i="26"/>
  <c r="O2450" i="26"/>
  <c r="O2451" i="26"/>
  <c r="O2452" i="26"/>
  <c r="O2453" i="26"/>
  <c r="O2454" i="26"/>
  <c r="O2455" i="26"/>
  <c r="O2456" i="26"/>
  <c r="O2457" i="26"/>
  <c r="O2458" i="26"/>
  <c r="O2459" i="26"/>
  <c r="O2460" i="26"/>
  <c r="O2461" i="26"/>
  <c r="O2462" i="26"/>
  <c r="O2463" i="26"/>
  <c r="O2464" i="26"/>
  <c r="O2465" i="26"/>
  <c r="O2466" i="26"/>
  <c r="O2467" i="26"/>
  <c r="O2468" i="26"/>
  <c r="O2469" i="26"/>
  <c r="O2470" i="26"/>
  <c r="O2471" i="26"/>
  <c r="O2472" i="26"/>
  <c r="O2473" i="26"/>
  <c r="O2474" i="26"/>
  <c r="O2475" i="26"/>
  <c r="O2476" i="26"/>
  <c r="O2477" i="26"/>
  <c r="O2478" i="26"/>
  <c r="O2479" i="26"/>
  <c r="O2480" i="26"/>
  <c r="O2481" i="26"/>
  <c r="O2482" i="26"/>
  <c r="O2483" i="26"/>
  <c r="O2484" i="26"/>
  <c r="O2485" i="26"/>
  <c r="O2486" i="26"/>
  <c r="O2487" i="26"/>
  <c r="O2488" i="26"/>
  <c r="O2489" i="26"/>
  <c r="O2490" i="26"/>
  <c r="O2491" i="26"/>
  <c r="O2492" i="26"/>
  <c r="O2493" i="26"/>
  <c r="O2494" i="26"/>
  <c r="O2495" i="26"/>
  <c r="O2496" i="26"/>
  <c r="O2497" i="26"/>
  <c r="O2498" i="26"/>
  <c r="O2499" i="26"/>
  <c r="O2500" i="26"/>
  <c r="O2501" i="26"/>
  <c r="O2502" i="26"/>
  <c r="O2503" i="26"/>
  <c r="O2504" i="26"/>
  <c r="O2505" i="26"/>
  <c r="O2506" i="26"/>
  <c r="O2507" i="26"/>
  <c r="O2508" i="26"/>
  <c r="O2509" i="26"/>
  <c r="O2510" i="26"/>
  <c r="O2511" i="26"/>
  <c r="O2512" i="26"/>
  <c r="O2513" i="26"/>
  <c r="O2514" i="26"/>
  <c r="O2515" i="26"/>
  <c r="O2516" i="26"/>
  <c r="O2517" i="26"/>
  <c r="O2518" i="26"/>
  <c r="O2519" i="26"/>
  <c r="O2520" i="26"/>
  <c r="O2521" i="26"/>
  <c r="O2522" i="26"/>
  <c r="O2523" i="26"/>
  <c r="O2524" i="26"/>
  <c r="O2525" i="26"/>
  <c r="O2526" i="26"/>
  <c r="O2527" i="26"/>
  <c r="O2528" i="26"/>
  <c r="O2529" i="26"/>
  <c r="O2530" i="26"/>
  <c r="O2531" i="26"/>
  <c r="O2532" i="26"/>
  <c r="O2533" i="26"/>
  <c r="O2534" i="26"/>
  <c r="O2535" i="26"/>
  <c r="O2536" i="26"/>
  <c r="O2537" i="26"/>
  <c r="O2538" i="26"/>
  <c r="O2539" i="26"/>
  <c r="O2540" i="26"/>
  <c r="O2541" i="26"/>
  <c r="O2542" i="26"/>
  <c r="O2543" i="26"/>
  <c r="O2544" i="26"/>
  <c r="O2545" i="26"/>
  <c r="O2546" i="26"/>
  <c r="O2547" i="26"/>
  <c r="O2548" i="26"/>
  <c r="O2549" i="26"/>
  <c r="O2550" i="26"/>
  <c r="O2551" i="26"/>
  <c r="O2552" i="26"/>
  <c r="O2553" i="26"/>
  <c r="O2554" i="26"/>
  <c r="O2555" i="26"/>
  <c r="O2556" i="26"/>
  <c r="O2557" i="26"/>
  <c r="O2558" i="26"/>
  <c r="O2559" i="26"/>
  <c r="O2560" i="26"/>
  <c r="O2561" i="26"/>
  <c r="O2562" i="26"/>
  <c r="O2563" i="26"/>
  <c r="O2564" i="26"/>
  <c r="O2565" i="26"/>
  <c r="O2566" i="26"/>
  <c r="O2567" i="26"/>
  <c r="O2568" i="26"/>
  <c r="O2569" i="26"/>
  <c r="O2570" i="26"/>
  <c r="O2571" i="26"/>
  <c r="O2572" i="26"/>
  <c r="O2573" i="26"/>
  <c r="O2574" i="26"/>
  <c r="O2575" i="26"/>
  <c r="O2576" i="26"/>
  <c r="O2577" i="26"/>
  <c r="O2578" i="26"/>
  <c r="O2579" i="26"/>
  <c r="O2580" i="26"/>
  <c r="O2581" i="26"/>
  <c r="O2582" i="26"/>
  <c r="O2583" i="26"/>
  <c r="O2584" i="26"/>
  <c r="O2585" i="26"/>
  <c r="O2586" i="26"/>
  <c r="O2587" i="26"/>
  <c r="O2588" i="26"/>
  <c r="O2589" i="26"/>
  <c r="O2590" i="26"/>
  <c r="O2591" i="26"/>
  <c r="O2592" i="26"/>
  <c r="O2593" i="26"/>
  <c r="O2594" i="26"/>
  <c r="O2595" i="26"/>
  <c r="O2596" i="26"/>
  <c r="O2597" i="26"/>
  <c r="O2598" i="26"/>
  <c r="O2599" i="26"/>
  <c r="O2600" i="26"/>
  <c r="O2601" i="26"/>
  <c r="O2602" i="26"/>
  <c r="O2603" i="26"/>
  <c r="O2604" i="26"/>
  <c r="O2605" i="26"/>
  <c r="O2606" i="26"/>
  <c r="O2607" i="26"/>
  <c r="O2608" i="26"/>
  <c r="O2609" i="26"/>
  <c r="O2610" i="26"/>
  <c r="O2611" i="26"/>
  <c r="O2612" i="26"/>
  <c r="O2613" i="26"/>
  <c r="O2614" i="26"/>
  <c r="O2615" i="26"/>
  <c r="O2616" i="26"/>
  <c r="O2617" i="26"/>
  <c r="O2618" i="26"/>
  <c r="O2619" i="26"/>
  <c r="O2620" i="26"/>
  <c r="O2621" i="26"/>
  <c r="O2622" i="26"/>
  <c r="O2623" i="26"/>
  <c r="O2624" i="26"/>
  <c r="O2625" i="26"/>
  <c r="O2626" i="26"/>
  <c r="O2627" i="26"/>
  <c r="O2628" i="26"/>
  <c r="O2629" i="26"/>
  <c r="O2630" i="26"/>
  <c r="O2631" i="26"/>
  <c r="O2632" i="26"/>
  <c r="O2633" i="26"/>
  <c r="O2634" i="26"/>
  <c r="O2635" i="26"/>
  <c r="O2636" i="26"/>
  <c r="O2637" i="26"/>
  <c r="O2638" i="26"/>
  <c r="O2639" i="26"/>
  <c r="O2640" i="26"/>
  <c r="O2641" i="26"/>
  <c r="O2642" i="26"/>
  <c r="O2643" i="26"/>
  <c r="O2644" i="26"/>
  <c r="O2645" i="26"/>
  <c r="O2646" i="26"/>
  <c r="O2647" i="26"/>
  <c r="O2648" i="26"/>
  <c r="O2649" i="26"/>
  <c r="O2650" i="26"/>
  <c r="O2651" i="26"/>
  <c r="O2652" i="26"/>
  <c r="O2653" i="26"/>
  <c r="O2654" i="26"/>
  <c r="O2655" i="26"/>
  <c r="O2656" i="26"/>
  <c r="O2657" i="26"/>
  <c r="O2658" i="26"/>
  <c r="O2659" i="26"/>
  <c r="O2660" i="26"/>
  <c r="O2661" i="26"/>
  <c r="O2662" i="26"/>
  <c r="O2663" i="26"/>
  <c r="O2664" i="26"/>
  <c r="O2665" i="26"/>
  <c r="O2666" i="26"/>
  <c r="O2667" i="26"/>
  <c r="O2668" i="26"/>
  <c r="O2669" i="26"/>
  <c r="O2670" i="26"/>
  <c r="O2671" i="26"/>
  <c r="O2672" i="26"/>
  <c r="O2673" i="26"/>
  <c r="O2674" i="26"/>
  <c r="O2675" i="26"/>
  <c r="O2676" i="26"/>
  <c r="O2677" i="26"/>
  <c r="O2678" i="26"/>
  <c r="O2679" i="26"/>
  <c r="O2680" i="26"/>
  <c r="O2681" i="26"/>
  <c r="O2682" i="26"/>
  <c r="O2683" i="26"/>
  <c r="O2684" i="26"/>
  <c r="O2685" i="26"/>
  <c r="O2686" i="26"/>
  <c r="O2687" i="26"/>
  <c r="O2688" i="26"/>
  <c r="O2689" i="26"/>
  <c r="O2690" i="26"/>
  <c r="O2691" i="26"/>
  <c r="O2692" i="26"/>
  <c r="O2693" i="26"/>
  <c r="O2694" i="26"/>
  <c r="O2695" i="26"/>
  <c r="O2696" i="26"/>
  <c r="O2697" i="26"/>
  <c r="O2698" i="26"/>
  <c r="O2699" i="26"/>
  <c r="O2700" i="26"/>
  <c r="O2701" i="26"/>
  <c r="O2702" i="26"/>
  <c r="O2703" i="26"/>
  <c r="O2704" i="26"/>
  <c r="O2705" i="26"/>
  <c r="O2706" i="26"/>
  <c r="O2707" i="26"/>
  <c r="O2708" i="26"/>
  <c r="O2709" i="26"/>
  <c r="O2710" i="26"/>
  <c r="O2711" i="26"/>
  <c r="O2712" i="26"/>
  <c r="O2713" i="26"/>
  <c r="O2714" i="26"/>
  <c r="O2715" i="26"/>
  <c r="O2716" i="26"/>
  <c r="O2717" i="26"/>
  <c r="O2718" i="26"/>
  <c r="O2719" i="26"/>
  <c r="O2720" i="26"/>
  <c r="O2721" i="26"/>
  <c r="O2722" i="26"/>
  <c r="O2723" i="26"/>
  <c r="O2724" i="26"/>
  <c r="O2725" i="26"/>
  <c r="O2726" i="26"/>
  <c r="O2727" i="26"/>
  <c r="O2728" i="26"/>
  <c r="O2729" i="26"/>
  <c r="O2730" i="26"/>
  <c r="O2731" i="26"/>
  <c r="O2732" i="26"/>
  <c r="O2733" i="26"/>
  <c r="O2734" i="26"/>
  <c r="O2735" i="26"/>
  <c r="O2736" i="26"/>
  <c r="O2737" i="26"/>
  <c r="O2738" i="26"/>
  <c r="O2739" i="26"/>
  <c r="O2740" i="26"/>
  <c r="O2741" i="26"/>
  <c r="O2742" i="26"/>
  <c r="O2743" i="26"/>
  <c r="O2744" i="26"/>
  <c r="O2745" i="26"/>
  <c r="O2746" i="26"/>
  <c r="O2747" i="26"/>
  <c r="O2748" i="26"/>
  <c r="O2749" i="26"/>
  <c r="O2750" i="26"/>
  <c r="O2751" i="26"/>
  <c r="O2752" i="26"/>
  <c r="O2753" i="26"/>
  <c r="O2754" i="26"/>
  <c r="O2755" i="26"/>
  <c r="O2756" i="26"/>
  <c r="O2757" i="26"/>
  <c r="O2758" i="26"/>
  <c r="O2759" i="26"/>
  <c r="O2760" i="26"/>
  <c r="O2761" i="26"/>
  <c r="O2762" i="26"/>
  <c r="O2763" i="26"/>
  <c r="O2764" i="26"/>
  <c r="O2765" i="26"/>
  <c r="O2766" i="26"/>
  <c r="O2767" i="26"/>
  <c r="O2768" i="26"/>
  <c r="O2769" i="26"/>
  <c r="O2770" i="26"/>
  <c r="O2771" i="26"/>
  <c r="O2772" i="26"/>
  <c r="O2773" i="26"/>
  <c r="O2774" i="26"/>
  <c r="O2775" i="26"/>
  <c r="O2776" i="26"/>
  <c r="O2777" i="26"/>
  <c r="O2778" i="26"/>
  <c r="O2779" i="26"/>
  <c r="O2780" i="26"/>
  <c r="O2781" i="26"/>
  <c r="O2782" i="26"/>
  <c r="O2783" i="26"/>
  <c r="O2784" i="26"/>
  <c r="O2785" i="26"/>
  <c r="O2786" i="26"/>
  <c r="O2787" i="26"/>
  <c r="O2788" i="26"/>
  <c r="O2789" i="26"/>
  <c r="O2790" i="26"/>
  <c r="O2791" i="26"/>
  <c r="O2792" i="26"/>
  <c r="O2793" i="26"/>
  <c r="O2794" i="26"/>
  <c r="O2795" i="26"/>
  <c r="O2796" i="26"/>
  <c r="O2797" i="26"/>
  <c r="O2798" i="26"/>
  <c r="O2799" i="26"/>
  <c r="O2800" i="26"/>
  <c r="O2801" i="26"/>
  <c r="O2802" i="26"/>
  <c r="O2803" i="26"/>
  <c r="O2804" i="26"/>
  <c r="O2805" i="26"/>
  <c r="O2806" i="26"/>
  <c r="O2807" i="26"/>
  <c r="O2808" i="26"/>
  <c r="O2809" i="26"/>
  <c r="O2810" i="26"/>
  <c r="O2811" i="26"/>
  <c r="O2812" i="26"/>
  <c r="O2813" i="26"/>
  <c r="O2814" i="26"/>
  <c r="O2815" i="26"/>
  <c r="O2816" i="26"/>
  <c r="O2817" i="26"/>
  <c r="O2818" i="26"/>
  <c r="O2819" i="26"/>
  <c r="O2820" i="26"/>
  <c r="O2821" i="26"/>
  <c r="O2822" i="26"/>
  <c r="O2823" i="26"/>
  <c r="O2824" i="26"/>
  <c r="O2825" i="26"/>
  <c r="O2826" i="26"/>
  <c r="O2827" i="26"/>
  <c r="O2828" i="26"/>
  <c r="O2829" i="26"/>
  <c r="O2830" i="26"/>
  <c r="O2831" i="26"/>
  <c r="O2832" i="26"/>
  <c r="O2833" i="26"/>
  <c r="O2834" i="26"/>
  <c r="O2835" i="26"/>
  <c r="O2836" i="26"/>
  <c r="O2837" i="26"/>
  <c r="O2838" i="26"/>
  <c r="O2839" i="26"/>
  <c r="O2840" i="26"/>
  <c r="O2841" i="26"/>
  <c r="O2842" i="26"/>
  <c r="O2843" i="26"/>
  <c r="O2844" i="26"/>
  <c r="O2845" i="26"/>
  <c r="O2846" i="26"/>
  <c r="O2847" i="26"/>
  <c r="O2848" i="26"/>
  <c r="O2849" i="26"/>
  <c r="O2850" i="26"/>
  <c r="O2851" i="26"/>
  <c r="O2852" i="26"/>
  <c r="O2853" i="26"/>
  <c r="O2854" i="26"/>
  <c r="O2855" i="26"/>
  <c r="O2856" i="26"/>
  <c r="O2857" i="26"/>
  <c r="O2858" i="26"/>
  <c r="O2859" i="26"/>
  <c r="O2860" i="26"/>
  <c r="O2861" i="26"/>
  <c r="O2862" i="26"/>
  <c r="O2863" i="26"/>
  <c r="O2864" i="26"/>
  <c r="O2865" i="26"/>
  <c r="O2866" i="26"/>
  <c r="O2867" i="26"/>
  <c r="O2868" i="26"/>
  <c r="O2869" i="26"/>
  <c r="O2870" i="26"/>
  <c r="O2871" i="26"/>
  <c r="O2872" i="26"/>
  <c r="O2873" i="26"/>
  <c r="O2874" i="26"/>
  <c r="O2875" i="26"/>
  <c r="O2876" i="26"/>
  <c r="O2877" i="26"/>
  <c r="O2878" i="26"/>
  <c r="O2879" i="26"/>
  <c r="O2880" i="26"/>
  <c r="O2881" i="26"/>
  <c r="O2882" i="26"/>
  <c r="O2883" i="26"/>
  <c r="O2884" i="26"/>
  <c r="O2885" i="26"/>
  <c r="O2886" i="26"/>
  <c r="O2887" i="26"/>
  <c r="O2888" i="26"/>
  <c r="O2889" i="26"/>
  <c r="O2890" i="26"/>
  <c r="O2891" i="26"/>
  <c r="O2892" i="26"/>
  <c r="O2893" i="26"/>
  <c r="O2894" i="26"/>
  <c r="O2895" i="26"/>
  <c r="O2896" i="26"/>
  <c r="O2897" i="26"/>
  <c r="O2898" i="26"/>
  <c r="O2899" i="26"/>
  <c r="O2900" i="26"/>
  <c r="O2901" i="26"/>
  <c r="O2902" i="26"/>
  <c r="O2903" i="26"/>
  <c r="O2904" i="26"/>
  <c r="O2905" i="26"/>
  <c r="O2906" i="26"/>
  <c r="O2907" i="26"/>
  <c r="O2908" i="26"/>
  <c r="O2909" i="26"/>
  <c r="O2910" i="26"/>
  <c r="O2911" i="26"/>
  <c r="O2912" i="26"/>
  <c r="O2913" i="26"/>
  <c r="O2914" i="26"/>
  <c r="O2915" i="26"/>
  <c r="O2916" i="26"/>
  <c r="O2917" i="26"/>
  <c r="O2918" i="26"/>
  <c r="O2919" i="26"/>
  <c r="O2920" i="26"/>
  <c r="O2921" i="26"/>
  <c r="O2922" i="26"/>
  <c r="O2923" i="26"/>
  <c r="O2924" i="26"/>
  <c r="O2925" i="26"/>
  <c r="O2926" i="26"/>
  <c r="O2927" i="26"/>
  <c r="O2928" i="26"/>
  <c r="O2929" i="26"/>
  <c r="O2930" i="26"/>
  <c r="O2931" i="26"/>
  <c r="O2932" i="26"/>
  <c r="O2933" i="26"/>
  <c r="O2934" i="26"/>
  <c r="O2935" i="26"/>
  <c r="O2936" i="26"/>
  <c r="O2937" i="26"/>
  <c r="O2938" i="26"/>
  <c r="O2939" i="26"/>
  <c r="O2940" i="26"/>
  <c r="O2941" i="26"/>
  <c r="O2942" i="26"/>
  <c r="O2943" i="26"/>
  <c r="O2944" i="26"/>
  <c r="O2945" i="26"/>
  <c r="O2946" i="26"/>
  <c r="O2947" i="26"/>
  <c r="O2948" i="26"/>
  <c r="O2949" i="26"/>
  <c r="O2950" i="26"/>
  <c r="O2951" i="26"/>
  <c r="O2952" i="26"/>
  <c r="O2953" i="26"/>
  <c r="O2954" i="26"/>
  <c r="O2955" i="26"/>
  <c r="O2956" i="26"/>
  <c r="O2957" i="26"/>
  <c r="O2958" i="26"/>
  <c r="O2959" i="26"/>
  <c r="O2960" i="26"/>
  <c r="O2961" i="26"/>
  <c r="O2962" i="26"/>
  <c r="O2963" i="26"/>
  <c r="O2964" i="26"/>
  <c r="O2965" i="26"/>
  <c r="O2966" i="26"/>
  <c r="O2967" i="26"/>
  <c r="O2968" i="26"/>
  <c r="O2969" i="26"/>
  <c r="O2970" i="26"/>
  <c r="O2971" i="26"/>
  <c r="O2972" i="26"/>
  <c r="O2973" i="26"/>
  <c r="O2974" i="26"/>
  <c r="O2975" i="26"/>
  <c r="O2976" i="26"/>
  <c r="O2977" i="26"/>
  <c r="O2978" i="26"/>
  <c r="O2979" i="26"/>
  <c r="O2980" i="26"/>
  <c r="O2981" i="26"/>
  <c r="O2982" i="26"/>
  <c r="O2983" i="26"/>
  <c r="O2984" i="26"/>
  <c r="O2985" i="26"/>
  <c r="O2986" i="26"/>
  <c r="O2987" i="26"/>
  <c r="O2988" i="26"/>
  <c r="O2989" i="26"/>
  <c r="O2990" i="26"/>
  <c r="O2991" i="26"/>
  <c r="O2992" i="26"/>
  <c r="O2993" i="26"/>
  <c r="O2994" i="26"/>
  <c r="O2995" i="26"/>
  <c r="O2996" i="26"/>
  <c r="O2997" i="26"/>
  <c r="O2998" i="26"/>
  <c r="O2999" i="26"/>
  <c r="O3000" i="26"/>
  <c r="O3001" i="26"/>
  <c r="O3002" i="26"/>
  <c r="O3003" i="26"/>
  <c r="O3004" i="26"/>
  <c r="O3005" i="26"/>
  <c r="O3006" i="26"/>
  <c r="O3007" i="26"/>
  <c r="O3008" i="26"/>
  <c r="O3009" i="26"/>
  <c r="O3010" i="26"/>
  <c r="O3011" i="26"/>
  <c r="O3012" i="26"/>
  <c r="O3013" i="26"/>
  <c r="O3014" i="26"/>
  <c r="O3015" i="26"/>
  <c r="O3016" i="26"/>
  <c r="O3017" i="26"/>
  <c r="O3018" i="26"/>
  <c r="O3019" i="26"/>
  <c r="O3020" i="26"/>
  <c r="O3021" i="26"/>
  <c r="O3022" i="26"/>
  <c r="O3023" i="26"/>
  <c r="O3024" i="26"/>
  <c r="O3025" i="26"/>
  <c r="O3026" i="26"/>
  <c r="O3027" i="26"/>
  <c r="O3028" i="26"/>
  <c r="O3029" i="26"/>
  <c r="O3030" i="26"/>
  <c r="O3031" i="26"/>
  <c r="O3032" i="26"/>
  <c r="O3033" i="26"/>
  <c r="O3034" i="26"/>
  <c r="O3035" i="26"/>
  <c r="O3036" i="26"/>
  <c r="O3037" i="26"/>
  <c r="O3038" i="26"/>
  <c r="O3039" i="26"/>
  <c r="O3040" i="26"/>
  <c r="O3041" i="26"/>
  <c r="O3042" i="26"/>
  <c r="O3043" i="26"/>
  <c r="O3044" i="26"/>
  <c r="O3045" i="26"/>
  <c r="O3046" i="26"/>
  <c r="O3047" i="26"/>
  <c r="O3048" i="26"/>
  <c r="O3049" i="26"/>
  <c r="O3050" i="26"/>
  <c r="O3051" i="26"/>
  <c r="O3052" i="26"/>
  <c r="O3053" i="26"/>
  <c r="O3054" i="26"/>
  <c r="O3055" i="26"/>
  <c r="O3056" i="26"/>
  <c r="O3057" i="26"/>
  <c r="O3058" i="26"/>
  <c r="O3059" i="26"/>
  <c r="O3060" i="26"/>
  <c r="O3061" i="26"/>
  <c r="O3062" i="26"/>
  <c r="O3063" i="26"/>
  <c r="O3064" i="26"/>
  <c r="O3065" i="26"/>
  <c r="O3066" i="26"/>
  <c r="O3067" i="26"/>
  <c r="O3068" i="26"/>
  <c r="O3069" i="26"/>
  <c r="O3070" i="26"/>
  <c r="O3071" i="26"/>
  <c r="O3072" i="26"/>
  <c r="O3073" i="26"/>
  <c r="O3074" i="26"/>
  <c r="O3075" i="26"/>
  <c r="O3076" i="26"/>
  <c r="O3077" i="26"/>
  <c r="O3078" i="26"/>
  <c r="O3079" i="26"/>
  <c r="O3080" i="26"/>
  <c r="O3081" i="26"/>
  <c r="O3082" i="26"/>
  <c r="O3083" i="26"/>
  <c r="O3084" i="26"/>
  <c r="O3085" i="26"/>
  <c r="O3086" i="26"/>
  <c r="O3087" i="26"/>
  <c r="O3088" i="26"/>
  <c r="O3089" i="26"/>
  <c r="O3090" i="26"/>
  <c r="O3091" i="26"/>
  <c r="O3092" i="26"/>
  <c r="O3093" i="26"/>
  <c r="O3094" i="26"/>
  <c r="O3095" i="26"/>
  <c r="O3096" i="26"/>
  <c r="O3097" i="26"/>
  <c r="O3098" i="26"/>
  <c r="O3099" i="26"/>
  <c r="O3100" i="26"/>
  <c r="O3101" i="26"/>
  <c r="O3102" i="26"/>
  <c r="O3103" i="26"/>
  <c r="O3104" i="26"/>
  <c r="O3105" i="26"/>
  <c r="O3106" i="26"/>
  <c r="O3107" i="26"/>
  <c r="O3108" i="26"/>
  <c r="O3109" i="26"/>
  <c r="O3110" i="26"/>
  <c r="O3111" i="26"/>
  <c r="O3112" i="26"/>
  <c r="O3113" i="26"/>
  <c r="O3114" i="26"/>
  <c r="O3115" i="26"/>
  <c r="O3116" i="26"/>
  <c r="O3117" i="26"/>
  <c r="O3118" i="26"/>
  <c r="O3119" i="26"/>
  <c r="O3120" i="26"/>
  <c r="O3121" i="26"/>
  <c r="O3122" i="26"/>
  <c r="O3123" i="26"/>
  <c r="O3124" i="26"/>
  <c r="O3125" i="26"/>
  <c r="O3126" i="26"/>
  <c r="O3127" i="26"/>
  <c r="O3128" i="26"/>
  <c r="O3129" i="26"/>
  <c r="O3130" i="26"/>
  <c r="O3131" i="26"/>
  <c r="O3132" i="26"/>
  <c r="O3133" i="26"/>
  <c r="O3134" i="26"/>
  <c r="O3135" i="26"/>
  <c r="O3136" i="26"/>
  <c r="O3137" i="26"/>
  <c r="O3138" i="26"/>
  <c r="O3139" i="26"/>
  <c r="O3140" i="26"/>
  <c r="O3141" i="26"/>
  <c r="O3142" i="26"/>
  <c r="O3143" i="26"/>
  <c r="O3144" i="26"/>
  <c r="O3145" i="26"/>
  <c r="O3146" i="26"/>
  <c r="O3147" i="26"/>
  <c r="O3148" i="26"/>
  <c r="O3149" i="26"/>
  <c r="O3150" i="26"/>
  <c r="O3151" i="26"/>
  <c r="O3152" i="26"/>
  <c r="O3153" i="26"/>
  <c r="O3154" i="26"/>
  <c r="O3155" i="26"/>
  <c r="O3156" i="26"/>
  <c r="O3157" i="26"/>
  <c r="O3158" i="26"/>
  <c r="O3159" i="26"/>
  <c r="O3160" i="26"/>
  <c r="O3161" i="26"/>
  <c r="O3162" i="26"/>
  <c r="O3163" i="26"/>
  <c r="O3164" i="26"/>
  <c r="O3165" i="26"/>
  <c r="O3166" i="26"/>
  <c r="O3167" i="26"/>
  <c r="O3168" i="26"/>
  <c r="O3169" i="26"/>
  <c r="O3170" i="26"/>
  <c r="O3171" i="26"/>
  <c r="O3172" i="26"/>
  <c r="O3173" i="26"/>
  <c r="O3174" i="26"/>
  <c r="O3175" i="26"/>
  <c r="O3176" i="26"/>
  <c r="O3177" i="26"/>
  <c r="O3178" i="26"/>
  <c r="O3179" i="26"/>
  <c r="O3180" i="26"/>
  <c r="O3181" i="26"/>
  <c r="O3182" i="26"/>
  <c r="O3183" i="26"/>
  <c r="O3184" i="26"/>
  <c r="O3185" i="26"/>
  <c r="O3186" i="26"/>
  <c r="O3187" i="26"/>
  <c r="O3188" i="26"/>
  <c r="O3189" i="26"/>
  <c r="O3190" i="26"/>
  <c r="O3191" i="26"/>
  <c r="O3192" i="26"/>
  <c r="O3193" i="26"/>
  <c r="O3194" i="26"/>
  <c r="O3195" i="26"/>
  <c r="O3196" i="26"/>
  <c r="O3197" i="26"/>
  <c r="O3198" i="26"/>
  <c r="O3199" i="26"/>
  <c r="O3200" i="26"/>
  <c r="O3201" i="26"/>
  <c r="O3202" i="26"/>
  <c r="O3203" i="26"/>
  <c r="O3204" i="26"/>
  <c r="O3205" i="26"/>
  <c r="O3206" i="26"/>
  <c r="O3207" i="26"/>
  <c r="O3208" i="26"/>
  <c r="O3209" i="26"/>
  <c r="O3210" i="26"/>
  <c r="O3211" i="26"/>
  <c r="O3212" i="26"/>
  <c r="O3213" i="26"/>
  <c r="O3214" i="26"/>
  <c r="O3215" i="26"/>
  <c r="O3216" i="26"/>
  <c r="O3217" i="26"/>
  <c r="O3218" i="26"/>
  <c r="O3219" i="26"/>
  <c r="O3220" i="26"/>
  <c r="O3221" i="26"/>
  <c r="O3222" i="26"/>
  <c r="O3223" i="26"/>
  <c r="O3224" i="26"/>
  <c r="O3225" i="26"/>
  <c r="O3226" i="26"/>
  <c r="O3227" i="26"/>
  <c r="O3228" i="26"/>
  <c r="O3229" i="26"/>
  <c r="O3230" i="26"/>
  <c r="O3231" i="26"/>
  <c r="O3232" i="26"/>
  <c r="O3233" i="26"/>
  <c r="O3234" i="26"/>
  <c r="O3235" i="26"/>
  <c r="O3236" i="26"/>
  <c r="O3237" i="26"/>
  <c r="O3238" i="26"/>
  <c r="O3239" i="26"/>
  <c r="O3240" i="26"/>
  <c r="O3241" i="26"/>
  <c r="O3242" i="26"/>
  <c r="O3243" i="26"/>
  <c r="O3244" i="26"/>
  <c r="O3245" i="26"/>
  <c r="O3246" i="26"/>
  <c r="O3247" i="26"/>
  <c r="O3248" i="26"/>
  <c r="O3249" i="26"/>
  <c r="O3250" i="26"/>
  <c r="O3251" i="26"/>
  <c r="O3252" i="26"/>
  <c r="O3253" i="26"/>
  <c r="O3254" i="26"/>
  <c r="O3255" i="26"/>
  <c r="O3256" i="26"/>
  <c r="O3257" i="26"/>
  <c r="O3258" i="26"/>
  <c r="O3259" i="26"/>
  <c r="O3260" i="26"/>
  <c r="O3261" i="26"/>
  <c r="O3262" i="26"/>
  <c r="O3263" i="26"/>
  <c r="O3264" i="26"/>
  <c r="O3265" i="26"/>
  <c r="O3266" i="26"/>
  <c r="O3267" i="26"/>
  <c r="O3268" i="26"/>
  <c r="O3269" i="26"/>
  <c r="O3270" i="26"/>
  <c r="O3271" i="26"/>
  <c r="O3272" i="26"/>
  <c r="O3273" i="26"/>
  <c r="O3274" i="26"/>
  <c r="O3275" i="26"/>
  <c r="O3276" i="26"/>
  <c r="O3277" i="26"/>
  <c r="O3278" i="26"/>
  <c r="O3279" i="26"/>
  <c r="O3280" i="26"/>
  <c r="O3281" i="26"/>
  <c r="O3282" i="26"/>
  <c r="O3283" i="26"/>
  <c r="O3284" i="26"/>
  <c r="O3285" i="26"/>
  <c r="O3286" i="26"/>
  <c r="O3287" i="26"/>
  <c r="O3288" i="26"/>
  <c r="O3289" i="26"/>
  <c r="O3290" i="26"/>
  <c r="O3291" i="26"/>
  <c r="O3292" i="26"/>
  <c r="O3293" i="26"/>
  <c r="O3294" i="26"/>
  <c r="O3295" i="26"/>
  <c r="O3296" i="26"/>
  <c r="O3297" i="26"/>
  <c r="O3298" i="26"/>
  <c r="O3299" i="26"/>
  <c r="O3300" i="26"/>
  <c r="O3301" i="26"/>
  <c r="O3302" i="26"/>
  <c r="O3303" i="26"/>
  <c r="O3304" i="26"/>
  <c r="O3305" i="26"/>
  <c r="O3306" i="26"/>
  <c r="O3307" i="26"/>
  <c r="O3308" i="26"/>
  <c r="O3309" i="26"/>
  <c r="O3310" i="26"/>
  <c r="O3311" i="26"/>
  <c r="O3312" i="26"/>
  <c r="O3313" i="26"/>
  <c r="O3314" i="26"/>
  <c r="O3315" i="26"/>
  <c r="O3316" i="26"/>
  <c r="O3317" i="26"/>
  <c r="O3318" i="26"/>
  <c r="O3319" i="26"/>
  <c r="O3320" i="26"/>
  <c r="O3321" i="26"/>
  <c r="O3322" i="26"/>
  <c r="O3323" i="26"/>
  <c r="O3324" i="26"/>
  <c r="O3325" i="26"/>
  <c r="O3326" i="26"/>
  <c r="O3327" i="26"/>
  <c r="O3328" i="26"/>
  <c r="O3329" i="26"/>
  <c r="O3330" i="26"/>
  <c r="O3331" i="26"/>
  <c r="O3332" i="26"/>
  <c r="O3333" i="26"/>
  <c r="O3334" i="26"/>
  <c r="O3335" i="26"/>
  <c r="O3336" i="26"/>
  <c r="O3337" i="26"/>
  <c r="O3338" i="26"/>
  <c r="O3339" i="26"/>
  <c r="O3340" i="26"/>
  <c r="O3341" i="26"/>
  <c r="O3342" i="26"/>
  <c r="O3343" i="26"/>
  <c r="O3344" i="26"/>
  <c r="O3345" i="26"/>
  <c r="O3346" i="26"/>
  <c r="O3347" i="26"/>
  <c r="O3348" i="26"/>
  <c r="O3349" i="26"/>
  <c r="O3350" i="26"/>
  <c r="O3351" i="26"/>
  <c r="O3352" i="26"/>
  <c r="O3353" i="26"/>
  <c r="O3354" i="26"/>
  <c r="O3355" i="26"/>
  <c r="O3356" i="26"/>
  <c r="O3357" i="26"/>
  <c r="O3358" i="26"/>
  <c r="O3359" i="26"/>
  <c r="O3360" i="26"/>
  <c r="O3361" i="26"/>
  <c r="O3362" i="26"/>
  <c r="O3363" i="26"/>
  <c r="O3364" i="26"/>
  <c r="O3365" i="26"/>
  <c r="O3366" i="26"/>
  <c r="O3367" i="26"/>
  <c r="O3368" i="26"/>
  <c r="O3369" i="26"/>
  <c r="O3370" i="26"/>
  <c r="O3371" i="26"/>
  <c r="O3372" i="26"/>
  <c r="O3373" i="26"/>
  <c r="O3374" i="26"/>
  <c r="O3375" i="26"/>
  <c r="O3376" i="26"/>
  <c r="O3377" i="26"/>
  <c r="O3378" i="26"/>
  <c r="O3379" i="26"/>
  <c r="O3380" i="26"/>
  <c r="O3381" i="26"/>
  <c r="O3382" i="26"/>
  <c r="O3383" i="26"/>
  <c r="O3384" i="26"/>
  <c r="O3385" i="26"/>
  <c r="O3386" i="26"/>
  <c r="O3387" i="26"/>
  <c r="O3388" i="26"/>
  <c r="O3389" i="26"/>
  <c r="O3390" i="26"/>
  <c r="O3391" i="26"/>
  <c r="O3392" i="26"/>
  <c r="O3393" i="26"/>
  <c r="O3394" i="26"/>
  <c r="O3395" i="26"/>
  <c r="O3396" i="26"/>
  <c r="O3397" i="26"/>
  <c r="O3398" i="26"/>
  <c r="O3399" i="26"/>
  <c r="O3400" i="26"/>
  <c r="O3401" i="26"/>
  <c r="O3402" i="26"/>
  <c r="O3403" i="26"/>
  <c r="O3404" i="26"/>
  <c r="O3405" i="26"/>
  <c r="O3406" i="26"/>
  <c r="O3407" i="26"/>
  <c r="O3408" i="26"/>
  <c r="O3409" i="26"/>
  <c r="O3410" i="26"/>
  <c r="O3411" i="26"/>
  <c r="O3412" i="26"/>
  <c r="O3413" i="26"/>
  <c r="O3414" i="26"/>
  <c r="O3415" i="26"/>
  <c r="O3416" i="26"/>
  <c r="O3417" i="26"/>
  <c r="O3418" i="26"/>
  <c r="O3419" i="26"/>
  <c r="O3420" i="26"/>
  <c r="O3421" i="26"/>
  <c r="O3422" i="26"/>
  <c r="O3423" i="26"/>
  <c r="O3424" i="26"/>
  <c r="O3425" i="26"/>
  <c r="O3426" i="26"/>
  <c r="O3427" i="26"/>
  <c r="O3428" i="26"/>
  <c r="O3429" i="26"/>
  <c r="O3430" i="26"/>
  <c r="O3431" i="26"/>
  <c r="O3432" i="26"/>
  <c r="O3433" i="26"/>
  <c r="O3434" i="26"/>
  <c r="O3435" i="26"/>
  <c r="O3436" i="26"/>
  <c r="O3437" i="26"/>
  <c r="O3438" i="26"/>
  <c r="O3439" i="26"/>
  <c r="O3440" i="26"/>
  <c r="O3441" i="26"/>
  <c r="O3442" i="26"/>
  <c r="O3443" i="26"/>
  <c r="O3444" i="26"/>
  <c r="O3445" i="26"/>
  <c r="O3446" i="26"/>
  <c r="O3447" i="26"/>
  <c r="O3448" i="26"/>
  <c r="O3449" i="26"/>
  <c r="O3450" i="26"/>
  <c r="O3451" i="26"/>
  <c r="O3452" i="26"/>
  <c r="O3453" i="26"/>
  <c r="O3454" i="26"/>
  <c r="O3455" i="26"/>
  <c r="O3456" i="26"/>
  <c r="O3457" i="26"/>
  <c r="O3458" i="26"/>
  <c r="O3459" i="26"/>
  <c r="O3460" i="26"/>
  <c r="O3461" i="26"/>
  <c r="O3462" i="26"/>
  <c r="O3463" i="26"/>
  <c r="O3464" i="26"/>
  <c r="O3465" i="26"/>
  <c r="O3466" i="26"/>
  <c r="O3467" i="26"/>
  <c r="O3468" i="26"/>
  <c r="Q3468" i="26"/>
  <c r="Q3467" i="26"/>
  <c r="Q3466" i="26"/>
  <c r="Q3465" i="26"/>
  <c r="Q3464" i="26"/>
  <c r="Q3463" i="26"/>
  <c r="Q3462" i="26"/>
  <c r="Q3461" i="26"/>
  <c r="Q3460" i="26"/>
  <c r="Q3459" i="26"/>
  <c r="Q3458" i="26"/>
  <c r="Q3457" i="26"/>
  <c r="V721" i="26" l="1"/>
  <c r="V731" i="26"/>
  <c r="V704" i="26"/>
  <c r="V256" i="26"/>
  <c r="V1088" i="26"/>
  <c r="V700" i="26"/>
  <c r="S3471" i="26"/>
  <c r="F18" i="5" s="1"/>
  <c r="V2325" i="26"/>
  <c r="V2313" i="26"/>
  <c r="V2301" i="26"/>
  <c r="V405" i="26"/>
  <c r="V2372" i="26"/>
  <c r="V2360" i="26"/>
  <c r="V2336" i="26"/>
  <c r="V2324" i="26"/>
  <c r="V2312" i="26"/>
  <c r="V2300" i="26"/>
  <c r="V2288" i="26"/>
  <c r="V2276" i="26"/>
  <c r="V406" i="26"/>
  <c r="V2370" i="26"/>
  <c r="V2358" i="26"/>
  <c r="V2346" i="26"/>
  <c r="V2334" i="26"/>
  <c r="V2322" i="26"/>
  <c r="V2310" i="26"/>
  <c r="V2298" i="26"/>
  <c r="V2286" i="26"/>
  <c r="V2274" i="26"/>
  <c r="V2341" i="26"/>
  <c r="V2329" i="26"/>
  <c r="V3399" i="26"/>
  <c r="V3363" i="26"/>
  <c r="V3327" i="26"/>
  <c r="V3303" i="26"/>
  <c r="V3291" i="26"/>
  <c r="V3267" i="26"/>
  <c r="V3243" i="26"/>
  <c r="V3219" i="26"/>
  <c r="V3195" i="26"/>
  <c r="V3183" i="26"/>
  <c r="V3159" i="26"/>
  <c r="V3135" i="26"/>
  <c r="V3111" i="26"/>
  <c r="V3087" i="26"/>
  <c r="V3075" i="26"/>
  <c r="V3051" i="26"/>
  <c r="V3039" i="26"/>
  <c r="V3027" i="26"/>
  <c r="V3015" i="26"/>
  <c r="V2991" i="26"/>
  <c r="V2979" i="26"/>
  <c r="V2967" i="26"/>
  <c r="V2955" i="26"/>
  <c r="V2943" i="26"/>
  <c r="V2931" i="26"/>
  <c r="V2919" i="26"/>
  <c r="V2907" i="26"/>
  <c r="V2895" i="26"/>
  <c r="V2883" i="26"/>
  <c r="V2871" i="26"/>
  <c r="V2859" i="26"/>
  <c r="V2847" i="26"/>
  <c r="V2835" i="26"/>
  <c r="V2823" i="26"/>
  <c r="V2811" i="26"/>
  <c r="V2799" i="26"/>
  <c r="V2787" i="26"/>
  <c r="V2775" i="26"/>
  <c r="V2763" i="26"/>
  <c r="V2751" i="26"/>
  <c r="V2739" i="26"/>
  <c r="V2727" i="26"/>
  <c r="V2715" i="26"/>
  <c r="V2703" i="26"/>
  <c r="V2691" i="26"/>
  <c r="V2679" i="26"/>
  <c r="V2667" i="26"/>
  <c r="V2655" i="26"/>
  <c r="V2643" i="26"/>
  <c r="V2631" i="26"/>
  <c r="V2619" i="26"/>
  <c r="V2607" i="26"/>
  <c r="V2595" i="26"/>
  <c r="V2583" i="26"/>
  <c r="V2571" i="26"/>
  <c r="V2559" i="26"/>
  <c r="V2547" i="26"/>
  <c r="V2535" i="26"/>
  <c r="V2523" i="26"/>
  <c r="V2511" i="26"/>
  <c r="V2499" i="26"/>
  <c r="V2487" i="26"/>
  <c r="V2475" i="26"/>
  <c r="V2463" i="26"/>
  <c r="V2451" i="26"/>
  <c r="V2439" i="26"/>
  <c r="V2427" i="26"/>
  <c r="V2415" i="26"/>
  <c r="V2403" i="26"/>
  <c r="V3423" i="26"/>
  <c r="V3411" i="26"/>
  <c r="V3375" i="26"/>
  <c r="V3339" i="26"/>
  <c r="V3315" i="26"/>
  <c r="V3279" i="26"/>
  <c r="V3255" i="26"/>
  <c r="V3231" i="26"/>
  <c r="V3207" i="26"/>
  <c r="V3171" i="26"/>
  <c r="V3147" i="26"/>
  <c r="V3123" i="26"/>
  <c r="V3099" i="26"/>
  <c r="V3063" i="26"/>
  <c r="V3003" i="26"/>
  <c r="V3447" i="26"/>
  <c r="V3351" i="26"/>
  <c r="V3387" i="26"/>
  <c r="V2391" i="26"/>
  <c r="V2381" i="26"/>
  <c r="V2371" i="26"/>
  <c r="V2359" i="26"/>
  <c r="V2335" i="26"/>
  <c r="V2323" i="26"/>
  <c r="V3409" i="26"/>
  <c r="V3373" i="26"/>
  <c r="V3349" i="26"/>
  <c r="V3337" i="26"/>
  <c r="V3325" i="26"/>
  <c r="V3313" i="26"/>
  <c r="V3301" i="26"/>
  <c r="V3289" i="26"/>
  <c r="V3277" i="26"/>
  <c r="V3265" i="26"/>
  <c r="V3253" i="26"/>
  <c r="V3241" i="26"/>
  <c r="V3229" i="26"/>
  <c r="V3217" i="26"/>
  <c r="V3205" i="26"/>
  <c r="V3193" i="26"/>
  <c r="V3181" i="26"/>
  <c r="V3169" i="26"/>
  <c r="V3157" i="26"/>
  <c r="V3145" i="26"/>
  <c r="V3133" i="26"/>
  <c r="V3121" i="26"/>
  <c r="V3109" i="26"/>
  <c r="V3097" i="26"/>
  <c r="V3085" i="26"/>
  <c r="V3073" i="26"/>
  <c r="V3061" i="26"/>
  <c r="V3049" i="26"/>
  <c r="V3037" i="26"/>
  <c r="V3025" i="26"/>
  <c r="V3013" i="26"/>
  <c r="V3001" i="26"/>
  <c r="V2989" i="26"/>
  <c r="V2977" i="26"/>
  <c r="V2965" i="26"/>
  <c r="V2953" i="26"/>
  <c r="V2941" i="26"/>
  <c r="V2929" i="26"/>
  <c r="V2917" i="26"/>
  <c r="V2905" i="26"/>
  <c r="V2893" i="26"/>
  <c r="V2881" i="26"/>
  <c r="V2869" i="26"/>
  <c r="V2857" i="26"/>
  <c r="V2845" i="26"/>
  <c r="V2833" i="26"/>
  <c r="V2821" i="26"/>
  <c r="V2809" i="26"/>
  <c r="V2797" i="26"/>
  <c r="V2785" i="26"/>
  <c r="V2773" i="26"/>
  <c r="V2761" i="26"/>
  <c r="V2749" i="26"/>
  <c r="V2737" i="26"/>
  <c r="V2725" i="26"/>
  <c r="V2713" i="26"/>
  <c r="V2701" i="26"/>
  <c r="V2689" i="26"/>
  <c r="V2677" i="26"/>
  <c r="V2665" i="26"/>
  <c r="V2653" i="26"/>
  <c r="V2641" i="26"/>
  <c r="V2629" i="26"/>
  <c r="V2617" i="26"/>
  <c r="V2605" i="26"/>
  <c r="V2593" i="26"/>
  <c r="V2581" i="26"/>
  <c r="V2569" i="26"/>
  <c r="V2557" i="26"/>
  <c r="V2545" i="26"/>
  <c r="V2533" i="26"/>
  <c r="V2521" i="26"/>
  <c r="V2509" i="26"/>
  <c r="V2497" i="26"/>
  <c r="V2485" i="26"/>
  <c r="V2473" i="26"/>
  <c r="V2461" i="26"/>
  <c r="V2449" i="26"/>
  <c r="V2437" i="26"/>
  <c r="V2425" i="26"/>
  <c r="V2413" i="26"/>
  <c r="V2401" i="26"/>
  <c r="V2389" i="26"/>
  <c r="V2379" i="26"/>
  <c r="V3397" i="26"/>
  <c r="V3456" i="26"/>
  <c r="V3420" i="26"/>
  <c r="V3384" i="26"/>
  <c r="V3348" i="26"/>
  <c r="V3312" i="26"/>
  <c r="V3252" i="26"/>
  <c r="V3216" i="26"/>
  <c r="V3180" i="26"/>
  <c r="V3132" i="26"/>
  <c r="V3108" i="26"/>
  <c r="V3072" i="26"/>
  <c r="V3036" i="26"/>
  <c r="V3012" i="26"/>
  <c r="V3000" i="26"/>
  <c r="V2988" i="26"/>
  <c r="V2964" i="26"/>
  <c r="V2940" i="26"/>
  <c r="V2928" i="26"/>
  <c r="V2916" i="26"/>
  <c r="V2904" i="26"/>
  <c r="V2892" i="26"/>
  <c r="V2880" i="26"/>
  <c r="V2868" i="26"/>
  <c r="V2856" i="26"/>
  <c r="V2844" i="26"/>
  <c r="V2832" i="26"/>
  <c r="V2820" i="26"/>
  <c r="V2808" i="26"/>
  <c r="V2796" i="26"/>
  <c r="V2784" i="26"/>
  <c r="V2772" i="26"/>
  <c r="V2760" i="26"/>
  <c r="V2748" i="26"/>
  <c r="V2736" i="26"/>
  <c r="V2724" i="26"/>
  <c r="V2712" i="26"/>
  <c r="V2700" i="26"/>
  <c r="V2688" i="26"/>
  <c r="V2676" i="26"/>
  <c r="V2664" i="26"/>
  <c r="V2652" i="26"/>
  <c r="V2640" i="26"/>
  <c r="V2628" i="26"/>
  <c r="V2616" i="26"/>
  <c r="V2604" i="26"/>
  <c r="V2592" i="26"/>
  <c r="V2580" i="26"/>
  <c r="V2568" i="26"/>
  <c r="V2556" i="26"/>
  <c r="V2544" i="26"/>
  <c r="V2532" i="26"/>
  <c r="V2520" i="26"/>
  <c r="V2508" i="26"/>
  <c r="V2496" i="26"/>
  <c r="V2484" i="26"/>
  <c r="V2472" i="26"/>
  <c r="V2460" i="26"/>
  <c r="V2448" i="26"/>
  <c r="V2436" i="26"/>
  <c r="V2424" i="26"/>
  <c r="V2412" i="26"/>
  <c r="V2400" i="26"/>
  <c r="V2388" i="26"/>
  <c r="V3421" i="26"/>
  <c r="V3385" i="26"/>
  <c r="V3444" i="26"/>
  <c r="V3408" i="26"/>
  <c r="V3360" i="26"/>
  <c r="V3324" i="26"/>
  <c r="V3288" i="26"/>
  <c r="V3264" i="26"/>
  <c r="V3228" i="26"/>
  <c r="V3192" i="26"/>
  <c r="V3144" i="26"/>
  <c r="V3096" i="26"/>
  <c r="V3048" i="26"/>
  <c r="V2952" i="26"/>
  <c r="V3361" i="26"/>
  <c r="V3432" i="26"/>
  <c r="V3396" i="26"/>
  <c r="V3372" i="26"/>
  <c r="V3336" i="26"/>
  <c r="V3300" i="26"/>
  <c r="V3276" i="26"/>
  <c r="V3240" i="26"/>
  <c r="V3204" i="26"/>
  <c r="V3168" i="26"/>
  <c r="V3156" i="26"/>
  <c r="V3120" i="26"/>
  <c r="V3084" i="26"/>
  <c r="V3060" i="26"/>
  <c r="V3024" i="26"/>
  <c r="V2976" i="26"/>
  <c r="V3443" i="26"/>
  <c r="V3371" i="26"/>
  <c r="V3299" i="26"/>
  <c r="V3227" i="26"/>
  <c r="V3143" i="26"/>
  <c r="V3047" i="26"/>
  <c r="V2963" i="26"/>
  <c r="V2879" i="26"/>
  <c r="V2783" i="26"/>
  <c r="V2675" i="26"/>
  <c r="V2543" i="26"/>
  <c r="V3430" i="26"/>
  <c r="V3346" i="26"/>
  <c r="V3286" i="26"/>
  <c r="V3190" i="26"/>
  <c r="V3106" i="26"/>
  <c r="V3022" i="26"/>
  <c r="V2938" i="26"/>
  <c r="V2866" i="26"/>
  <c r="V2794" i="26"/>
  <c r="V2698" i="26"/>
  <c r="V2638" i="26"/>
  <c r="V2566" i="26"/>
  <c r="V2518" i="26"/>
  <c r="V2494" i="26"/>
  <c r="V2446" i="26"/>
  <c r="V2319" i="26"/>
  <c r="V3383" i="26"/>
  <c r="V3323" i="26"/>
  <c r="V3263" i="26"/>
  <c r="V3203" i="26"/>
  <c r="V3131" i="26"/>
  <c r="V3071" i="26"/>
  <c r="V3011" i="26"/>
  <c r="V2951" i="26"/>
  <c r="V2891" i="26"/>
  <c r="V2831" i="26"/>
  <c r="V2771" i="26"/>
  <c r="V2711" i="26"/>
  <c r="V2627" i="26"/>
  <c r="V2567" i="26"/>
  <c r="V2495" i="26"/>
  <c r="V3382" i="26"/>
  <c r="V3310" i="26"/>
  <c r="V3250" i="26"/>
  <c r="V3178" i="26"/>
  <c r="V3130" i="26"/>
  <c r="V3070" i="26"/>
  <c r="V3010" i="26"/>
  <c r="V2950" i="26"/>
  <c r="V2902" i="26"/>
  <c r="V2842" i="26"/>
  <c r="V2782" i="26"/>
  <c r="V2734" i="26"/>
  <c r="V2674" i="26"/>
  <c r="V2626" i="26"/>
  <c r="V2578" i="26"/>
  <c r="V2530" i="26"/>
  <c r="V2470" i="26"/>
  <c r="V3419" i="26"/>
  <c r="V3359" i="26"/>
  <c r="V3287" i="26"/>
  <c r="V3215" i="26"/>
  <c r="V3155" i="26"/>
  <c r="V3083" i="26"/>
  <c r="V3023" i="26"/>
  <c r="V2939" i="26"/>
  <c r="V2867" i="26"/>
  <c r="V2807" i="26"/>
  <c r="V2759" i="26"/>
  <c r="V2699" i="26"/>
  <c r="V2615" i="26"/>
  <c r="V2579" i="26"/>
  <c r="V2519" i="26"/>
  <c r="V2471" i="26"/>
  <c r="V2435" i="26"/>
  <c r="V2423" i="26"/>
  <c r="V2387" i="26"/>
  <c r="V3454" i="26"/>
  <c r="V3358" i="26"/>
  <c r="V3274" i="26"/>
  <c r="V3214" i="26"/>
  <c r="V3142" i="26"/>
  <c r="V3058" i="26"/>
  <c r="V2998" i="26"/>
  <c r="V2926" i="26"/>
  <c r="V2878" i="26"/>
  <c r="V2830" i="26"/>
  <c r="V2770" i="26"/>
  <c r="V2722" i="26"/>
  <c r="V2662" i="26"/>
  <c r="V2614" i="26"/>
  <c r="V2554" i="26"/>
  <c r="V2542" i="26"/>
  <c r="V2506" i="26"/>
  <c r="V2482" i="26"/>
  <c r="V2458" i="26"/>
  <c r="V2434" i="26"/>
  <c r="V2410" i="26"/>
  <c r="V2398" i="26"/>
  <c r="V2331" i="26"/>
  <c r="V3455" i="26"/>
  <c r="V3347" i="26"/>
  <c r="V3275" i="26"/>
  <c r="V3191" i="26"/>
  <c r="V3095" i="26"/>
  <c r="V2987" i="26"/>
  <c r="V2903" i="26"/>
  <c r="V2819" i="26"/>
  <c r="V2735" i="26"/>
  <c r="V2663" i="26"/>
  <c r="V2603" i="26"/>
  <c r="V2531" i="26"/>
  <c r="V2459" i="26"/>
  <c r="V2399" i="26"/>
  <c r="V3394" i="26"/>
  <c r="V3322" i="26"/>
  <c r="V3202" i="26"/>
  <c r="V3118" i="26"/>
  <c r="V3046" i="26"/>
  <c r="V2962" i="26"/>
  <c r="V2890" i="26"/>
  <c r="V2806" i="26"/>
  <c r="V2710" i="26"/>
  <c r="V2602" i="26"/>
  <c r="V2386" i="26"/>
  <c r="V3395" i="26"/>
  <c r="V3311" i="26"/>
  <c r="V3239" i="26"/>
  <c r="V3167" i="26"/>
  <c r="V3107" i="26"/>
  <c r="V3035" i="26"/>
  <c r="V2975" i="26"/>
  <c r="V2915" i="26"/>
  <c r="V2843" i="26"/>
  <c r="V2747" i="26"/>
  <c r="V2651" i="26"/>
  <c r="V2555" i="26"/>
  <c r="V2378" i="26"/>
  <c r="V3418" i="26"/>
  <c r="V3370" i="26"/>
  <c r="V3298" i="26"/>
  <c r="V3238" i="26"/>
  <c r="V3166" i="26"/>
  <c r="V3082" i="26"/>
  <c r="V2974" i="26"/>
  <c r="V2758" i="26"/>
  <c r="V3407" i="26"/>
  <c r="V3335" i="26"/>
  <c r="V3251" i="26"/>
  <c r="V3179" i="26"/>
  <c r="V3119" i="26"/>
  <c r="V3059" i="26"/>
  <c r="V2999" i="26"/>
  <c r="V2927" i="26"/>
  <c r="V2855" i="26"/>
  <c r="V2795" i="26"/>
  <c r="V2723" i="26"/>
  <c r="V2687" i="26"/>
  <c r="V2639" i="26"/>
  <c r="V2591" i="26"/>
  <c r="V2507" i="26"/>
  <c r="V2483" i="26"/>
  <c r="V2447" i="26"/>
  <c r="V2411" i="26"/>
  <c r="V3406" i="26"/>
  <c r="V3334" i="26"/>
  <c r="V3262" i="26"/>
  <c r="V3226" i="26"/>
  <c r="V3154" i="26"/>
  <c r="V3094" i="26"/>
  <c r="V3034" i="26"/>
  <c r="V2986" i="26"/>
  <c r="V2914" i="26"/>
  <c r="V2854" i="26"/>
  <c r="V2818" i="26"/>
  <c r="V2746" i="26"/>
  <c r="V2686" i="26"/>
  <c r="V2650" i="26"/>
  <c r="V2590" i="26"/>
  <c r="V2422" i="26"/>
  <c r="V2374" i="26"/>
  <c r="V2362" i="26"/>
  <c r="V2350" i="26"/>
  <c r="V3463" i="26"/>
  <c r="V2369" i="26"/>
  <c r="V2357" i="26"/>
  <c r="V3429" i="26"/>
  <c r="V3417" i="26"/>
  <c r="V3405" i="26"/>
  <c r="V3393" i="26"/>
  <c r="V3381" i="26"/>
  <c r="V3369" i="26"/>
  <c r="V2885" i="26"/>
  <c r="V3437" i="26"/>
  <c r="V3413" i="26"/>
  <c r="V3389" i="26"/>
  <c r="V3353" i="26"/>
  <c r="V3329" i="26"/>
  <c r="V3305" i="26"/>
  <c r="V3281" i="26"/>
  <c r="V3269" i="26"/>
  <c r="V3245" i="26"/>
  <c r="V3221" i="26"/>
  <c r="V3197" i="26"/>
  <c r="V3185" i="26"/>
  <c r="V3173" i="26"/>
  <c r="V3149" i="26"/>
  <c r="V3137" i="26"/>
  <c r="V3125" i="26"/>
  <c r="V3113" i="26"/>
  <c r="V3101" i="26"/>
  <c r="V3089" i="26"/>
  <c r="V3077" i="26"/>
  <c r="V3065" i="26"/>
  <c r="V3053" i="26"/>
  <c r="V3041" i="26"/>
  <c r="V3017" i="26"/>
  <c r="V2993" i="26"/>
  <c r="V2969" i="26"/>
  <c r="V2957" i="26"/>
  <c r="V2933" i="26"/>
  <c r="V2921" i="26"/>
  <c r="V2909" i="26"/>
  <c r="V3459" i="26"/>
  <c r="V3448" i="26"/>
  <c r="V3436" i="26"/>
  <c r="V3424" i="26"/>
  <c r="V3412" i="26"/>
  <c r="V3400" i="26"/>
  <c r="V3388" i="26"/>
  <c r="V3376" i="26"/>
  <c r="V3364" i="26"/>
  <c r="V3425" i="26"/>
  <c r="V3401" i="26"/>
  <c r="V3377" i="26"/>
  <c r="V3365" i="26"/>
  <c r="V3341" i="26"/>
  <c r="V3317" i="26"/>
  <c r="V3293" i="26"/>
  <c r="V3257" i="26"/>
  <c r="V3233" i="26"/>
  <c r="V3209" i="26"/>
  <c r="V3161" i="26"/>
  <c r="V3029" i="26"/>
  <c r="V3005" i="26"/>
  <c r="V2981" i="26"/>
  <c r="V2945" i="26"/>
  <c r="V2897" i="26"/>
  <c r="V3357" i="26"/>
  <c r="V3345" i="26"/>
  <c r="V3333" i="26"/>
  <c r="V3321" i="26"/>
  <c r="V3309" i="26"/>
  <c r="V3297" i="26"/>
  <c r="V3285" i="26"/>
  <c r="V3273" i="26"/>
  <c r="V3261" i="26"/>
  <c r="V3249" i="26"/>
  <c r="V3237" i="26"/>
  <c r="V3225" i="26"/>
  <c r="V3213" i="26"/>
  <c r="V3201" i="26"/>
  <c r="V3189" i="26"/>
  <c r="V3177" i="26"/>
  <c r="V3165" i="26"/>
  <c r="V3153" i="26"/>
  <c r="V3141" i="26"/>
  <c r="V3129" i="26"/>
  <c r="V3117" i="26"/>
  <c r="V3105" i="26"/>
  <c r="V3093" i="26"/>
  <c r="V3081" i="26"/>
  <c r="V3069" i="26"/>
  <c r="V3057" i="26"/>
  <c r="V3045" i="26"/>
  <c r="V3033" i="26"/>
  <c r="V3021" i="26"/>
  <c r="V3009" i="26"/>
  <c r="V2997" i="26"/>
  <c r="V2985" i="26"/>
  <c r="V2973" i="26"/>
  <c r="V2961" i="26"/>
  <c r="V2949" i="26"/>
  <c r="V2937" i="26"/>
  <c r="V2925" i="26"/>
  <c r="V2913" i="26"/>
  <c r="V2901" i="26"/>
  <c r="V2889" i="26"/>
  <c r="V2877" i="26"/>
  <c r="V2865" i="26"/>
  <c r="V2853" i="26"/>
  <c r="V2841" i="26"/>
  <c r="V2829" i="26"/>
  <c r="V2817" i="26"/>
  <c r="V2805" i="26"/>
  <c r="V2793" i="26"/>
  <c r="V2781" i="26"/>
  <c r="V2769" i="26"/>
  <c r="V2757" i="26"/>
  <c r="V2745" i="26"/>
  <c r="V2733" i="26"/>
  <c r="V2721" i="26"/>
  <c r="V2709" i="26"/>
  <c r="V2697" i="26"/>
  <c r="V2685" i="26"/>
  <c r="V2673" i="26"/>
  <c r="V2661" i="26"/>
  <c r="V2649" i="26"/>
  <c r="V2637" i="26"/>
  <c r="V2625" i="26"/>
  <c r="V2613" i="26"/>
  <c r="V2601" i="26"/>
  <c r="V2589" i="26"/>
  <c r="V2577" i="26"/>
  <c r="V2565" i="26"/>
  <c r="V2553" i="26"/>
  <c r="V2541" i="26"/>
  <c r="V2529" i="26"/>
  <c r="V2517" i="26"/>
  <c r="V2505" i="26"/>
  <c r="V2493" i="26"/>
  <c r="V2481" i="26"/>
  <c r="V2469" i="26"/>
  <c r="V2457" i="26"/>
  <c r="V2445" i="26"/>
  <c r="V2433" i="26"/>
  <c r="V2421" i="26"/>
  <c r="V2409" i="26"/>
  <c r="V2397" i="26"/>
  <c r="V2377" i="26"/>
  <c r="V2368" i="26"/>
  <c r="V2356" i="26"/>
  <c r="V2873" i="26"/>
  <c r="V2861" i="26"/>
  <c r="V2849" i="26"/>
  <c r="V2837" i="26"/>
  <c r="V2825" i="26"/>
  <c r="V2813" i="26"/>
  <c r="V2801" i="26"/>
  <c r="V2789" i="26"/>
  <c r="V2777" i="26"/>
  <c r="V2765" i="26"/>
  <c r="V2753" i="26"/>
  <c r="V2741" i="26"/>
  <c r="V2729" i="26"/>
  <c r="V2717" i="26"/>
  <c r="V2705" i="26"/>
  <c r="V2693" i="26"/>
  <c r="V2681" i="26"/>
  <c r="V2669" i="26"/>
  <c r="V2657" i="26"/>
  <c r="V2645" i="26"/>
  <c r="V2633" i="26"/>
  <c r="V2621" i="26"/>
  <c r="V2609" i="26"/>
  <c r="V2597" i="26"/>
  <c r="V2585" i="26"/>
  <c r="V2573" i="26"/>
  <c r="V2561" i="26"/>
  <c r="V2549" i="26"/>
  <c r="V2537" i="26"/>
  <c r="V2525" i="26"/>
  <c r="V2513" i="26"/>
  <c r="V2501" i="26"/>
  <c r="V2489" i="26"/>
  <c r="V2477" i="26"/>
  <c r="V2465" i="26"/>
  <c r="V2453" i="26"/>
  <c r="V2441" i="26"/>
  <c r="V2429" i="26"/>
  <c r="V2417" i="26"/>
  <c r="V2340" i="26"/>
  <c r="V2328" i="26"/>
  <c r="V2280" i="26"/>
  <c r="V2268" i="26"/>
  <c r="V3352" i="26"/>
  <c r="V3340" i="26"/>
  <c r="V3328" i="26"/>
  <c r="V3316" i="26"/>
  <c r="V3304" i="26"/>
  <c r="V3292" i="26"/>
  <c r="V3280" i="26"/>
  <c r="V3268" i="26"/>
  <c r="V3256" i="26"/>
  <c r="V3244" i="26"/>
  <c r="V3232" i="26"/>
  <c r="V3220" i="26"/>
  <c r="V3208" i="26"/>
  <c r="V3196" i="26"/>
  <c r="V3184" i="26"/>
  <c r="V3172" i="26"/>
  <c r="V3160" i="26"/>
  <c r="V3148" i="26"/>
  <c r="V3136" i="26"/>
  <c r="V3124" i="26"/>
  <c r="V3112" i="26"/>
  <c r="V3100" i="26"/>
  <c r="V3088" i="26"/>
  <c r="V3076" i="26"/>
  <c r="V3064" i="26"/>
  <c r="V3052" i="26"/>
  <c r="V3040" i="26"/>
  <c r="V3028" i="26"/>
  <c r="V3016" i="26"/>
  <c r="V3004" i="26"/>
  <c r="V2992" i="26"/>
  <c r="V2980" i="26"/>
  <c r="V2968" i="26"/>
  <c r="V2956" i="26"/>
  <c r="V2944" i="26"/>
  <c r="V2932" i="26"/>
  <c r="V2920" i="26"/>
  <c r="V2908" i="26"/>
  <c r="V2896" i="26"/>
  <c r="V2884" i="26"/>
  <c r="V2872" i="26"/>
  <c r="V2860" i="26"/>
  <c r="V2848" i="26"/>
  <c r="V2836" i="26"/>
  <c r="V2824" i="26"/>
  <c r="V2812" i="26"/>
  <c r="V2800" i="26"/>
  <c r="V2788" i="26"/>
  <c r="V2776" i="26"/>
  <c r="V2764" i="26"/>
  <c r="V2752" i="26"/>
  <c r="V2740" i="26"/>
  <c r="V2728" i="26"/>
  <c r="V2716" i="26"/>
  <c r="V2704" i="26"/>
  <c r="V2692" i="26"/>
  <c r="V2680" i="26"/>
  <c r="V2668" i="26"/>
  <c r="V2656" i="26"/>
  <c r="V2644" i="26"/>
  <c r="V2632" i="26"/>
  <c r="V2620" i="26"/>
  <c r="V2608" i="26"/>
  <c r="V2596" i="26"/>
  <c r="V2584" i="26"/>
  <c r="V2572" i="26"/>
  <c r="V2560" i="26"/>
  <c r="V2548" i="26"/>
  <c r="V2536" i="26"/>
  <c r="V2524" i="26"/>
  <c r="V2512" i="26"/>
  <c r="V2500" i="26"/>
  <c r="V2488" i="26"/>
  <c r="V2476" i="26"/>
  <c r="V2464" i="26"/>
  <c r="V2452" i="26"/>
  <c r="V2440" i="26"/>
  <c r="V2428" i="26"/>
  <c r="V2416" i="26"/>
  <c r="V2404" i="26"/>
  <c r="V2392" i="26"/>
  <c r="V2382" i="26"/>
  <c r="V2363" i="26"/>
  <c r="V2351" i="26"/>
  <c r="V3414" i="26"/>
  <c r="V3390" i="26"/>
  <c r="V3366" i="26"/>
  <c r="V3342" i="26"/>
  <c r="V3330" i="26"/>
  <c r="V3306" i="26"/>
  <c r="V3282" i="26"/>
  <c r="V3258" i="26"/>
  <c r="V3246" i="26"/>
  <c r="V3222" i="26"/>
  <c r="V3198" i="26"/>
  <c r="V3174" i="26"/>
  <c r="V3150" i="26"/>
  <c r="V3138" i="26"/>
  <c r="V3114" i="26"/>
  <c r="V3090" i="26"/>
  <c r="V3066" i="26"/>
  <c r="V3042" i="26"/>
  <c r="V3018" i="26"/>
  <c r="V2994" i="26"/>
  <c r="V2970" i="26"/>
  <c r="V2886" i="26"/>
  <c r="V3458" i="26"/>
  <c r="V3422" i="26"/>
  <c r="V3410" i="26"/>
  <c r="V3398" i="26"/>
  <c r="V3386" i="26"/>
  <c r="V3374" i="26"/>
  <c r="V3362" i="26"/>
  <c r="V3350" i="26"/>
  <c r="V3338" i="26"/>
  <c r="V3326" i="26"/>
  <c r="V3314" i="26"/>
  <c r="V3302" i="26"/>
  <c r="V3290" i="26"/>
  <c r="V3278" i="26"/>
  <c r="V3266" i="26"/>
  <c r="V3254" i="26"/>
  <c r="V3242" i="26"/>
  <c r="V3230" i="26"/>
  <c r="V3218" i="26"/>
  <c r="V3206" i="26"/>
  <c r="V3194" i="26"/>
  <c r="V3182" i="26"/>
  <c r="V3170" i="26"/>
  <c r="V3158" i="26"/>
  <c r="V3146" i="26"/>
  <c r="V3134" i="26"/>
  <c r="V3122" i="26"/>
  <c r="V3110" i="26"/>
  <c r="V3098" i="26"/>
  <c r="V3086" i="26"/>
  <c r="V3074" i="26"/>
  <c r="V3062" i="26"/>
  <c r="V3050" i="26"/>
  <c r="V3038" i="26"/>
  <c r="V3026" i="26"/>
  <c r="V3014" i="26"/>
  <c r="V3002" i="26"/>
  <c r="V2990" i="26"/>
  <c r="V2978" i="26"/>
  <c r="V2966" i="26"/>
  <c r="V2954" i="26"/>
  <c r="V2942" i="26"/>
  <c r="V2930" i="26"/>
  <c r="V2918" i="26"/>
  <c r="V2906" i="26"/>
  <c r="V2894" i="26"/>
  <c r="V2882" i="26"/>
  <c r="V2870" i="26"/>
  <c r="V2858" i="26"/>
  <c r="V2846" i="26"/>
  <c r="V2834" i="26"/>
  <c r="V2822" i="26"/>
  <c r="V2810" i="26"/>
  <c r="V2798" i="26"/>
  <c r="V2786" i="26"/>
  <c r="V2774" i="26"/>
  <c r="V2762" i="26"/>
  <c r="V3426" i="26"/>
  <c r="V3402" i="26"/>
  <c r="V3378" i="26"/>
  <c r="V3354" i="26"/>
  <c r="V3318" i="26"/>
  <c r="V3294" i="26"/>
  <c r="V3270" i="26"/>
  <c r="V3234" i="26"/>
  <c r="V3210" i="26"/>
  <c r="V3186" i="26"/>
  <c r="V3162" i="26"/>
  <c r="V3126" i="26"/>
  <c r="V3102" i="26"/>
  <c r="V3078" i="26"/>
  <c r="V3054" i="26"/>
  <c r="V3030" i="26"/>
  <c r="V3006" i="26"/>
  <c r="V2982" i="26"/>
  <c r="V2958" i="26"/>
  <c r="V2946" i="26"/>
  <c r="V2934" i="26"/>
  <c r="V2922" i="26"/>
  <c r="V2910" i="26"/>
  <c r="V2898" i="26"/>
  <c r="V2874" i="26"/>
  <c r="V2862" i="26"/>
  <c r="V2850" i="26"/>
  <c r="V2838" i="26"/>
  <c r="V2826" i="26"/>
  <c r="V2814" i="26"/>
  <c r="V2802" i="26"/>
  <c r="V2790" i="26"/>
  <c r="V2778" i="26"/>
  <c r="V2766" i="26"/>
  <c r="V2754" i="26"/>
  <c r="V2742" i="26"/>
  <c r="V2730" i="26"/>
  <c r="V2718" i="26"/>
  <c r="V2706" i="26"/>
  <c r="V2694" i="26"/>
  <c r="V2682" i="26"/>
  <c r="V2670" i="26"/>
  <c r="V2658" i="26"/>
  <c r="V2646" i="26"/>
  <c r="V2634" i="26"/>
  <c r="V2622" i="26"/>
  <c r="V2610" i="26"/>
  <c r="V2598" i="26"/>
  <c r="V2586" i="26"/>
  <c r="V2574" i="26"/>
  <c r="V2562" i="26"/>
  <c r="V2550" i="26"/>
  <c r="V2538" i="26"/>
  <c r="V2526" i="26"/>
  <c r="V2514" i="26"/>
  <c r="V2502" i="26"/>
  <c r="V2490" i="26"/>
  <c r="V2478" i="26"/>
  <c r="V2466" i="26"/>
  <c r="V2454" i="26"/>
  <c r="V2442" i="26"/>
  <c r="V2430" i="26"/>
  <c r="V2418" i="26"/>
  <c r="V2406" i="26"/>
  <c r="V2394" i="26"/>
  <c r="V2384" i="26"/>
  <c r="V2365" i="26"/>
  <c r="V2353" i="26"/>
  <c r="V2348" i="26"/>
  <c r="V2349" i="26"/>
  <c r="V2347" i="26"/>
  <c r="V2343" i="26"/>
  <c r="V2337" i="26"/>
  <c r="V2338" i="26"/>
  <c r="V2326" i="26"/>
  <c r="V2317" i="26"/>
  <c r="V2316" i="26"/>
  <c r="V2311" i="26"/>
  <c r="V2304" i="26"/>
  <c r="V2278" i="26"/>
  <c r="V2314" i="26"/>
  <c r="V2290" i="26"/>
  <c r="V2302" i="26"/>
  <c r="V2271" i="26"/>
  <c r="V2295" i="26"/>
  <c r="V2307" i="26"/>
  <c r="V2305" i="26"/>
  <c r="V2293" i="26"/>
  <c r="V2281" i="26"/>
  <c r="V2292" i="26"/>
  <c r="V2299" i="26"/>
  <c r="V3392" i="26"/>
  <c r="V3284" i="26"/>
  <c r="V3164" i="26"/>
  <c r="V3020" i="26"/>
  <c r="V2900" i="26"/>
  <c r="V2804" i="26"/>
  <c r="V2732" i="26"/>
  <c r="V2612" i="26"/>
  <c r="V2516" i="26"/>
  <c r="V2420" i="26"/>
  <c r="V2333" i="26"/>
  <c r="V3416" i="26"/>
  <c r="V3296" i="26"/>
  <c r="V3176" i="26"/>
  <c r="V3068" i="26"/>
  <c r="V2960" i="26"/>
  <c r="V2840" i="26"/>
  <c r="V2708" i="26"/>
  <c r="V2564" i="26"/>
  <c r="V2273" i="26"/>
  <c r="V3308" i="26"/>
  <c r="V3212" i="26"/>
  <c r="V3116" i="26"/>
  <c r="V3008" i="26"/>
  <c r="V2936" i="26"/>
  <c r="V2852" i="26"/>
  <c r="V2756" i="26"/>
  <c r="V2648" i="26"/>
  <c r="V2540" i="26"/>
  <c r="V2444" i="26"/>
  <c r="V2297" i="26"/>
  <c r="V3404" i="26"/>
  <c r="V3272" i="26"/>
  <c r="V3152" i="26"/>
  <c r="V3032" i="26"/>
  <c r="V2888" i="26"/>
  <c r="V2672" i="26"/>
  <c r="V2285" i="26"/>
  <c r="V3368" i="26"/>
  <c r="V3200" i="26"/>
  <c r="V3080" i="26"/>
  <c r="V2924" i="26"/>
  <c r="V2780" i="26"/>
  <c r="V2636" i="26"/>
  <c r="V2504" i="26"/>
  <c r="V2367" i="26"/>
  <c r="V3356" i="26"/>
  <c r="V3260" i="26"/>
  <c r="V3128" i="26"/>
  <c r="V2996" i="26"/>
  <c r="V2864" i="26"/>
  <c r="V2720" i="26"/>
  <c r="V2588" i="26"/>
  <c r="V2456" i="26"/>
  <c r="V2309" i="26"/>
  <c r="V3344" i="26"/>
  <c r="V3188" i="26"/>
  <c r="V3056" i="26"/>
  <c r="V2912" i="26"/>
  <c r="V2792" i="26"/>
  <c r="V2684" i="26"/>
  <c r="V2600" i="26"/>
  <c r="V2492" i="26"/>
  <c r="V2385" i="26"/>
  <c r="V2355" i="26"/>
  <c r="V3439" i="26"/>
  <c r="V3403" i="26"/>
  <c r="V3379" i="26"/>
  <c r="V3355" i="26"/>
  <c r="V3307" i="26"/>
  <c r="V2539" i="26"/>
  <c r="V3380" i="26"/>
  <c r="V3248" i="26"/>
  <c r="V3092" i="26"/>
  <c r="V2972" i="26"/>
  <c r="V2816" i="26"/>
  <c r="V2696" i="26"/>
  <c r="V2576" i="26"/>
  <c r="V2480" i="26"/>
  <c r="V2408" i="26"/>
  <c r="V2345" i="26"/>
  <c r="V3331" i="26"/>
  <c r="V3461" i="26"/>
  <c r="V3440" i="26"/>
  <c r="V3332" i="26"/>
  <c r="V3224" i="26"/>
  <c r="V3104" i="26"/>
  <c r="V2984" i="26"/>
  <c r="V2876" i="26"/>
  <c r="V2768" i="26"/>
  <c r="V2660" i="26"/>
  <c r="V2552" i="26"/>
  <c r="V2468" i="26"/>
  <c r="V2396" i="26"/>
  <c r="V2321" i="26"/>
  <c r="V3391" i="26"/>
  <c r="V3367" i="26"/>
  <c r="V3319" i="26"/>
  <c r="V3452" i="26"/>
  <c r="V3320" i="26"/>
  <c r="V3236" i="26"/>
  <c r="V3140" i="26"/>
  <c r="V3044" i="26"/>
  <c r="V2948" i="26"/>
  <c r="V2828" i="26"/>
  <c r="V2744" i="26"/>
  <c r="V2624" i="26"/>
  <c r="V2528" i="26"/>
  <c r="V2432" i="26"/>
  <c r="V3462" i="26"/>
  <c r="V3415" i="26"/>
  <c r="V3343" i="26"/>
  <c r="V3295" i="26"/>
  <c r="V3283" i="26"/>
  <c r="V3271" i="26"/>
  <c r="V3259" i="26"/>
  <c r="V3247" i="26"/>
  <c r="V3235" i="26"/>
  <c r="V3223" i="26"/>
  <c r="V3211" i="26"/>
  <c r="V3199" i="26"/>
  <c r="V3187" i="26"/>
  <c r="V3175" i="26"/>
  <c r="V3163" i="26"/>
  <c r="V3151" i="26"/>
  <c r="V3139" i="26"/>
  <c r="V3127" i="26"/>
  <c r="V3115" i="26"/>
  <c r="V3103" i="26"/>
  <c r="V3091" i="26"/>
  <c r="V3079" i="26"/>
  <c r="V3067" i="26"/>
  <c r="V3055" i="26"/>
  <c r="V3043" i="26"/>
  <c r="V3031" i="26"/>
  <c r="V3019" i="26"/>
  <c r="V3007" i="26"/>
  <c r="V2995" i="26"/>
  <c r="V2983" i="26"/>
  <c r="V2971" i="26"/>
  <c r="V2959" i="26"/>
  <c r="V2947" i="26"/>
  <c r="V2935" i="26"/>
  <c r="V2923" i="26"/>
  <c r="V2911" i="26"/>
  <c r="V2899" i="26"/>
  <c r="V2887" i="26"/>
  <c r="V2875" i="26"/>
  <c r="V2863" i="26"/>
  <c r="V2851" i="26"/>
  <c r="V2839" i="26"/>
  <c r="V2827" i="26"/>
  <c r="V2815" i="26"/>
  <c r="V2803" i="26"/>
  <c r="V2791" i="26"/>
  <c r="V2779" i="26"/>
  <c r="V2767" i="26"/>
  <c r="V2755" i="26"/>
  <c r="V2743" i="26"/>
  <c r="V2731" i="26"/>
  <c r="V2719" i="26"/>
  <c r="V2707" i="26"/>
  <c r="V2695" i="26"/>
  <c r="V2683" i="26"/>
  <c r="V2671" i="26"/>
  <c r="V2659" i="26"/>
  <c r="V2647" i="26"/>
  <c r="V2635" i="26"/>
  <c r="V2623" i="26"/>
  <c r="V2611" i="26"/>
  <c r="V2599" i="26"/>
  <c r="V2587" i="26"/>
  <c r="V2575" i="26"/>
  <c r="V2563" i="26"/>
  <c r="V2551" i="26"/>
  <c r="V2527" i="26"/>
  <c r="V2515" i="26"/>
  <c r="V2503" i="26"/>
  <c r="V2491" i="26"/>
  <c r="V2479" i="26"/>
  <c r="V2467" i="26"/>
  <c r="V2455" i="26"/>
  <c r="V2443" i="26"/>
  <c r="V2431" i="26"/>
  <c r="V2419" i="26"/>
  <c r="V2407" i="26"/>
  <c r="V2395" i="26"/>
  <c r="V2376" i="26"/>
  <c r="V2366" i="26"/>
  <c r="V2354" i="26"/>
  <c r="V2344" i="26"/>
  <c r="V2332" i="26"/>
  <c r="V2320" i="26"/>
  <c r="V2308" i="26"/>
  <c r="V2296" i="26"/>
  <c r="V3460" i="26"/>
  <c r="V3446" i="26"/>
  <c r="V3434" i="26"/>
  <c r="V2750" i="26"/>
  <c r="V2738" i="26"/>
  <c r="V2726" i="26"/>
  <c r="V2714" i="26"/>
  <c r="V2702" i="26"/>
  <c r="V2690" i="26"/>
  <c r="V2678" i="26"/>
  <c r="V2666" i="26"/>
  <c r="V2654" i="26"/>
  <c r="V2642" i="26"/>
  <c r="V2630" i="26"/>
  <c r="V2618" i="26"/>
  <c r="V2606" i="26"/>
  <c r="V2594" i="26"/>
  <c r="V2582" i="26"/>
  <c r="V2570" i="26"/>
  <c r="V2558" i="26"/>
  <c r="V2546" i="26"/>
  <c r="V2534" i="26"/>
  <c r="V2522" i="26"/>
  <c r="V2510" i="26"/>
  <c r="V2498" i="26"/>
  <c r="V2486" i="26"/>
  <c r="V2474" i="26"/>
  <c r="V2462" i="26"/>
  <c r="V2450" i="26"/>
  <c r="V2438" i="26"/>
  <c r="V2426" i="26"/>
  <c r="V2414" i="26"/>
  <c r="V2402" i="26"/>
  <c r="V2390" i="26"/>
  <c r="V2380" i="26"/>
  <c r="V2373" i="26"/>
  <c r="V2361" i="26"/>
  <c r="V2339" i="26"/>
  <c r="V2327" i="26"/>
  <c r="V2315" i="26"/>
  <c r="V2303" i="26"/>
  <c r="V3445" i="26"/>
  <c r="V3433" i="26"/>
  <c r="V2291" i="26"/>
  <c r="V2267" i="26"/>
  <c r="V2289" i="26"/>
  <c r="V2277" i="26"/>
  <c r="V2283" i="26"/>
  <c r="V2284" i="26"/>
  <c r="V2287" i="26"/>
  <c r="V2272" i="26"/>
  <c r="V2269" i="26"/>
  <c r="V2279" i="26"/>
  <c r="V2275" i="26"/>
  <c r="V3427" i="26"/>
  <c r="V3468" i="26"/>
  <c r="V3467" i="26"/>
  <c r="V3466" i="26"/>
  <c r="V3457" i="26"/>
  <c r="V3465" i="26"/>
  <c r="V3464" i="26"/>
  <c r="V2405" i="26"/>
  <c r="V2393" i="26"/>
  <c r="V2383" i="26"/>
  <c r="V2375" i="26"/>
  <c r="V2364" i="26"/>
  <c r="V2352" i="26"/>
  <c r="V2342" i="26"/>
  <c r="V2330" i="26"/>
  <c r="V2318" i="26"/>
  <c r="V2306" i="26"/>
  <c r="V2294" i="26"/>
  <c r="V2282" i="26"/>
  <c r="V2270" i="26"/>
  <c r="V3451" i="26"/>
  <c r="V3441" i="26"/>
  <c r="V3453" i="26"/>
  <c r="V3438" i="26"/>
  <c r="V3450" i="26"/>
  <c r="V3428" i="26"/>
  <c r="V3442" i="26"/>
  <c r="V3431" i="26"/>
  <c r="V3435" i="26"/>
  <c r="V3449" i="26"/>
  <c r="Q280" i="26"/>
  <c r="Q281" i="26"/>
  <c r="Q282" i="26"/>
  <c r="Q283" i="26"/>
  <c r="Q284" i="26"/>
  <c r="Q285" i="26"/>
  <c r="Q286" i="26"/>
  <c r="Q287" i="26"/>
  <c r="Q288" i="26"/>
  <c r="Q289" i="26"/>
  <c r="Q290" i="26"/>
  <c r="Q291" i="26"/>
  <c r="Q292" i="26"/>
  <c r="Q293" i="26"/>
  <c r="Q294" i="26"/>
  <c r="Q295" i="26"/>
  <c r="Q296" i="26"/>
  <c r="Q297" i="26"/>
  <c r="Q298" i="26"/>
  <c r="Q299" i="26"/>
  <c r="Q300" i="26"/>
  <c r="Q301" i="26"/>
  <c r="Q302" i="26"/>
  <c r="Q303" i="26"/>
  <c r="Q304" i="26"/>
  <c r="Q305" i="26"/>
  <c r="Q306" i="26"/>
  <c r="Q307" i="26"/>
  <c r="Q308" i="26"/>
  <c r="Q309" i="26"/>
  <c r="Q310" i="26"/>
  <c r="Q311" i="26"/>
  <c r="Q312" i="26"/>
  <c r="Q313" i="26"/>
  <c r="Q314" i="26"/>
  <c r="Q315" i="26"/>
  <c r="Q316" i="26"/>
  <c r="Q317" i="26"/>
  <c r="Q318" i="26"/>
  <c r="Q319" i="26"/>
  <c r="Q320" i="26"/>
  <c r="Q321" i="26"/>
  <c r="Q322" i="26"/>
  <c r="Q323" i="26"/>
  <c r="Q324" i="26"/>
  <c r="Q325" i="26"/>
  <c r="Q326" i="26"/>
  <c r="Q327" i="26"/>
  <c r="Q328" i="26"/>
  <c r="Q329" i="26"/>
  <c r="Q330" i="26"/>
  <c r="Q331" i="26"/>
  <c r="Q332" i="26"/>
  <c r="Q333" i="26"/>
  <c r="Q334" i="26"/>
  <c r="Q335" i="26"/>
  <c r="Q336" i="26"/>
  <c r="Q337" i="26"/>
  <c r="Q338" i="26"/>
  <c r="Q339" i="26"/>
  <c r="Q340" i="26"/>
  <c r="Q341" i="26"/>
  <c r="Q342" i="26"/>
  <c r="Q343" i="26"/>
  <c r="Q344" i="26"/>
  <c r="Q345" i="26"/>
  <c r="Q346" i="26"/>
  <c r="Q347" i="26"/>
  <c r="Q348" i="26"/>
  <c r="Q349" i="26"/>
  <c r="Q350" i="26"/>
  <c r="Q351" i="26"/>
  <c r="Q352" i="26"/>
  <c r="Q353" i="26"/>
  <c r="Q354" i="26"/>
  <c r="Q355" i="26"/>
  <c r="Q356" i="26"/>
  <c r="Q357" i="26"/>
  <c r="Q358" i="26"/>
  <c r="Q359" i="26"/>
  <c r="Q360" i="26"/>
  <c r="Q361" i="26"/>
  <c r="Q362" i="26"/>
  <c r="Q363" i="26"/>
  <c r="Q364" i="26"/>
  <c r="Q365" i="26"/>
  <c r="Q366" i="26"/>
  <c r="Q367" i="26"/>
  <c r="Q368" i="26"/>
  <c r="Q369" i="26"/>
  <c r="Q370" i="26"/>
  <c r="Q371" i="26"/>
  <c r="Q372" i="26"/>
  <c r="Q373" i="26"/>
  <c r="Q374" i="26"/>
  <c r="Q375" i="26"/>
  <c r="Q376" i="26"/>
  <c r="Q377" i="26"/>
  <c r="Q378" i="26"/>
  <c r="Q379" i="26"/>
  <c r="Q380" i="26"/>
  <c r="Q381" i="26"/>
  <c r="Q382" i="26"/>
  <c r="Q383" i="26"/>
  <c r="Q384" i="26"/>
  <c r="Q385" i="26"/>
  <c r="Q386" i="26"/>
  <c r="Q387" i="26"/>
  <c r="Q388" i="26"/>
  <c r="Q389" i="26"/>
  <c r="Q390" i="26"/>
  <c r="Q391" i="26"/>
  <c r="Q392" i="26"/>
  <c r="Q393" i="26"/>
  <c r="Q394" i="26"/>
  <c r="Q395" i="26"/>
  <c r="Q396" i="26"/>
  <c r="Q397" i="26"/>
  <c r="Q398" i="26"/>
  <c r="Q399" i="26"/>
  <c r="Q400" i="26"/>
  <c r="Q401" i="26"/>
  <c r="Q402" i="26"/>
  <c r="Q403" i="26"/>
  <c r="Q404" i="26"/>
  <c r="Q407" i="26"/>
  <c r="Q408" i="26"/>
  <c r="Q409" i="26"/>
  <c r="Q410" i="26"/>
  <c r="Q411" i="26"/>
  <c r="Q412" i="26"/>
  <c r="Q413" i="26"/>
  <c r="Q414" i="26"/>
  <c r="Q415" i="26"/>
  <c r="Q416" i="26"/>
  <c r="Q417" i="26"/>
  <c r="Q418" i="26"/>
  <c r="Q419" i="26"/>
  <c r="Q420" i="26"/>
  <c r="Q421" i="26"/>
  <c r="Q422" i="26"/>
  <c r="Q423" i="26"/>
  <c r="Q424" i="26"/>
  <c r="Q425" i="26"/>
  <c r="Q426" i="26"/>
  <c r="Q427" i="26"/>
  <c r="Q428" i="26"/>
  <c r="Q429" i="26"/>
  <c r="Q430" i="26"/>
  <c r="Q431" i="26"/>
  <c r="Q432" i="26"/>
  <c r="Q433" i="26"/>
  <c r="Q434" i="26"/>
  <c r="Q435" i="26"/>
  <c r="Q436" i="26"/>
  <c r="Q437" i="26"/>
  <c r="Q438" i="26"/>
  <c r="Q439" i="26"/>
  <c r="Q440" i="26"/>
  <c r="Q441" i="26"/>
  <c r="Q442" i="26"/>
  <c r="Q443" i="26"/>
  <c r="Q444" i="26"/>
  <c r="Q445" i="26"/>
  <c r="Q446" i="26"/>
  <c r="Q447" i="26"/>
  <c r="Q448" i="26"/>
  <c r="Q449" i="26"/>
  <c r="Q450" i="26"/>
  <c r="Q451" i="26"/>
  <c r="Q452" i="26"/>
  <c r="Q453" i="26"/>
  <c r="Q454" i="26"/>
  <c r="Q455" i="26"/>
  <c r="Q456" i="26"/>
  <c r="Q457" i="26"/>
  <c r="Q458" i="26"/>
  <c r="Q459" i="26"/>
  <c r="Q460" i="26"/>
  <c r="Q461" i="26"/>
  <c r="Q462" i="26"/>
  <c r="Q463" i="26"/>
  <c r="Q464" i="26"/>
  <c r="Q465" i="26"/>
  <c r="Q466" i="26"/>
  <c r="Q467" i="26"/>
  <c r="Q468" i="26"/>
  <c r="Q469" i="26"/>
  <c r="Q470" i="26"/>
  <c r="Q471" i="26"/>
  <c r="Q472" i="26"/>
  <c r="Q473" i="26"/>
  <c r="Q474" i="26"/>
  <c r="Q475" i="26"/>
  <c r="Q476" i="26"/>
  <c r="Q477" i="26"/>
  <c r="Q478" i="26"/>
  <c r="Q479" i="26"/>
  <c r="Q480" i="26"/>
  <c r="Q481" i="26"/>
  <c r="Q482" i="26"/>
  <c r="Q483" i="26"/>
  <c r="Q484" i="26"/>
  <c r="Q485" i="26"/>
  <c r="Q486" i="26"/>
  <c r="Q487" i="26"/>
  <c r="Q488" i="26"/>
  <c r="Q489" i="26"/>
  <c r="Q490" i="26"/>
  <c r="Q491" i="26"/>
  <c r="Q492" i="26"/>
  <c r="Q493" i="26"/>
  <c r="Q494" i="26"/>
  <c r="Q495" i="26"/>
  <c r="Q496" i="26"/>
  <c r="Q497" i="26"/>
  <c r="Q498" i="26"/>
  <c r="Q499" i="26"/>
  <c r="Q500" i="26"/>
  <c r="Q501" i="26"/>
  <c r="Q502" i="26"/>
  <c r="Q503" i="26"/>
  <c r="Q504" i="26"/>
  <c r="Q505" i="26"/>
  <c r="Q506" i="26"/>
  <c r="Q507" i="26"/>
  <c r="Q508" i="26"/>
  <c r="Q509" i="26"/>
  <c r="Q510" i="26"/>
  <c r="Q511" i="26"/>
  <c r="Q512" i="26"/>
  <c r="Q513" i="26"/>
  <c r="Q514" i="26"/>
  <c r="Q515" i="26"/>
  <c r="Q516" i="26"/>
  <c r="Q517" i="26"/>
  <c r="Q518" i="26"/>
  <c r="Q519" i="26"/>
  <c r="Q520" i="26"/>
  <c r="Q521" i="26"/>
  <c r="Q522" i="26"/>
  <c r="Q523" i="26"/>
  <c r="Q524" i="26"/>
  <c r="Q525" i="26"/>
  <c r="Q526" i="26"/>
  <c r="Q527" i="26"/>
  <c r="Q528" i="26"/>
  <c r="Q529" i="26"/>
  <c r="Q530" i="26"/>
  <c r="Q531" i="26"/>
  <c r="Q532" i="26"/>
  <c r="Q533" i="26"/>
  <c r="Q534" i="26"/>
  <c r="Q535" i="26"/>
  <c r="Q536" i="26"/>
  <c r="Q537" i="26"/>
  <c r="Q538" i="26"/>
  <c r="Q539" i="26"/>
  <c r="Q540" i="26"/>
  <c r="Q541" i="26"/>
  <c r="Q542" i="26"/>
  <c r="Q543" i="26"/>
  <c r="Q544" i="26"/>
  <c r="Q545" i="26"/>
  <c r="Q546" i="26"/>
  <c r="Q547" i="26"/>
  <c r="Q548" i="26"/>
  <c r="Q549" i="26"/>
  <c r="Q550" i="26"/>
  <c r="Q551" i="26"/>
  <c r="Q552" i="26"/>
  <c r="Q553" i="26"/>
  <c r="Q554" i="26"/>
  <c r="Q555" i="26"/>
  <c r="Q556" i="26"/>
  <c r="Q557" i="26"/>
  <c r="Q558" i="26"/>
  <c r="Q559" i="26"/>
  <c r="Q560" i="26"/>
  <c r="Q561" i="26"/>
  <c r="Q562" i="26"/>
  <c r="Q563" i="26"/>
  <c r="Q564" i="26"/>
  <c r="Q565" i="26"/>
  <c r="Q566" i="26"/>
  <c r="Q567" i="26"/>
  <c r="Q568" i="26"/>
  <c r="Q569" i="26"/>
  <c r="Q570" i="26"/>
  <c r="Q571" i="26"/>
  <c r="Q572" i="26"/>
  <c r="Q573" i="26"/>
  <c r="Q574" i="26"/>
  <c r="Q575" i="26"/>
  <c r="Q576" i="26"/>
  <c r="Q577" i="26"/>
  <c r="Q578" i="26"/>
  <c r="Q579" i="26"/>
  <c r="Q580" i="26"/>
  <c r="Q581" i="26"/>
  <c r="Q582" i="26"/>
  <c r="Q583" i="26"/>
  <c r="Q584" i="26"/>
  <c r="Q585" i="26"/>
  <c r="Q586" i="26"/>
  <c r="Q587" i="26"/>
  <c r="Q588" i="26"/>
  <c r="Q589" i="26"/>
  <c r="Q590" i="26"/>
  <c r="Q591" i="26"/>
  <c r="Q592" i="26"/>
  <c r="Q593" i="26"/>
  <c r="Q594" i="26"/>
  <c r="Q595" i="26"/>
  <c r="Q596" i="26"/>
  <c r="Q597" i="26"/>
  <c r="Q598" i="26"/>
  <c r="Q599" i="26"/>
  <c r="Q600" i="26"/>
  <c r="Q601" i="26"/>
  <c r="Q602" i="26"/>
  <c r="Q603" i="26"/>
  <c r="Q604" i="26"/>
  <c r="Q605" i="26"/>
  <c r="Q606" i="26"/>
  <c r="Q607" i="26"/>
  <c r="Q608" i="26"/>
  <c r="Q609" i="26"/>
  <c r="Q610" i="26"/>
  <c r="Q611" i="26"/>
  <c r="Q612" i="26"/>
  <c r="Q613" i="26"/>
  <c r="Q614" i="26"/>
  <c r="Q615" i="26"/>
  <c r="Q616" i="26"/>
  <c r="Q617" i="26"/>
  <c r="Q618" i="26"/>
  <c r="Q619" i="26"/>
  <c r="Q620" i="26"/>
  <c r="Q621" i="26"/>
  <c r="Q622" i="26"/>
  <c r="Q623" i="26"/>
  <c r="Q624" i="26"/>
  <c r="Q625" i="26"/>
  <c r="Q626" i="26"/>
  <c r="Q627" i="26"/>
  <c r="Q628" i="26"/>
  <c r="Q629" i="26"/>
  <c r="Q630" i="26"/>
  <c r="Q631" i="26"/>
  <c r="Q632" i="26"/>
  <c r="Q633" i="26"/>
  <c r="Q634" i="26"/>
  <c r="Q635" i="26"/>
  <c r="Q636" i="26"/>
  <c r="Q637" i="26"/>
  <c r="Q638" i="26"/>
  <c r="Q639" i="26"/>
  <c r="Q640" i="26"/>
  <c r="Q641" i="26"/>
  <c r="Q642" i="26"/>
  <c r="Q643" i="26"/>
  <c r="Q644" i="26"/>
  <c r="Q645" i="26"/>
  <c r="Q646" i="26"/>
  <c r="Q647" i="26"/>
  <c r="Q648" i="26"/>
  <c r="Q649" i="26"/>
  <c r="Q650" i="26"/>
  <c r="Q651" i="26"/>
  <c r="Q652" i="26"/>
  <c r="Q653" i="26"/>
  <c r="Q654" i="26"/>
  <c r="Q655" i="26"/>
  <c r="Q656" i="26"/>
  <c r="Q657" i="26"/>
  <c r="Q658" i="26"/>
  <c r="Q659" i="26"/>
  <c r="Q660" i="26"/>
  <c r="Q661" i="26"/>
  <c r="Q662" i="26"/>
  <c r="Q663" i="26"/>
  <c r="Q664" i="26"/>
  <c r="Q665" i="26"/>
  <c r="Q666" i="26"/>
  <c r="Q667" i="26"/>
  <c r="Q668" i="26"/>
  <c r="Q669" i="26"/>
  <c r="Q670" i="26"/>
  <c r="Q671" i="26"/>
  <c r="Q672" i="26"/>
  <c r="Q673" i="26"/>
  <c r="Q674" i="26"/>
  <c r="Q675" i="26"/>
  <c r="Q676" i="26"/>
  <c r="Q677" i="26"/>
  <c r="Q678" i="26"/>
  <c r="Q679" i="26"/>
  <c r="Q680" i="26"/>
  <c r="Q681" i="26"/>
  <c r="Q682" i="26"/>
  <c r="Q683" i="26"/>
  <c r="Q684" i="26"/>
  <c r="Q685" i="26"/>
  <c r="Q686" i="26"/>
  <c r="Q687" i="26"/>
  <c r="Q688" i="26"/>
  <c r="Q689" i="26"/>
  <c r="Q690" i="26"/>
  <c r="Q691" i="26"/>
  <c r="Q692" i="26"/>
  <c r="Q693" i="26"/>
  <c r="Q694" i="26"/>
  <c r="Q695" i="26"/>
  <c r="Q696" i="26"/>
  <c r="Q697" i="26"/>
  <c r="Q698" i="26"/>
  <c r="Q699" i="26"/>
  <c r="Q701" i="26"/>
  <c r="Q702" i="26"/>
  <c r="Q703" i="26"/>
  <c r="Q705" i="26"/>
  <c r="Q706" i="26"/>
  <c r="Q707" i="26"/>
  <c r="Q708" i="26"/>
  <c r="Q709" i="26"/>
  <c r="Q710" i="26"/>
  <c r="Q711" i="26"/>
  <c r="Q712" i="26"/>
  <c r="Q713" i="26"/>
  <c r="Q714" i="26"/>
  <c r="Q715" i="26"/>
  <c r="Q716" i="26"/>
  <c r="Q717" i="26"/>
  <c r="Q718" i="26"/>
  <c r="Q719" i="26"/>
  <c r="Q720" i="26"/>
  <c r="Q722" i="26"/>
  <c r="Q723" i="26"/>
  <c r="Q724" i="26"/>
  <c r="Q725" i="26"/>
  <c r="Q726" i="26"/>
  <c r="Q727" i="26"/>
  <c r="Q728" i="26"/>
  <c r="Q729" i="26"/>
  <c r="Q730" i="26"/>
  <c r="Q732" i="26"/>
  <c r="Q733" i="26"/>
  <c r="Q734" i="26"/>
  <c r="Q735" i="26"/>
  <c r="Q736" i="26"/>
  <c r="Q737" i="26"/>
  <c r="Q738" i="26"/>
  <c r="Q739" i="26"/>
  <c r="Q740" i="26"/>
  <c r="Q741" i="26"/>
  <c r="Q742" i="26"/>
  <c r="Q743" i="26"/>
  <c r="Q744" i="26"/>
  <c r="Q745" i="26"/>
  <c r="Q746" i="26"/>
  <c r="Q747" i="26"/>
  <c r="Q748" i="26"/>
  <c r="Q749" i="26"/>
  <c r="Q750" i="26"/>
  <c r="Q751" i="26"/>
  <c r="Q752" i="26"/>
  <c r="Q753" i="26"/>
  <c r="Q754" i="26"/>
  <c r="Q755" i="26"/>
  <c r="Q756" i="26"/>
  <c r="Q757" i="26"/>
  <c r="Q758" i="26"/>
  <c r="Q759" i="26"/>
  <c r="Q760" i="26"/>
  <c r="Q761" i="26"/>
  <c r="Q762" i="26"/>
  <c r="Q763" i="26"/>
  <c r="Q764" i="26"/>
  <c r="Q765" i="26"/>
  <c r="Q766" i="26"/>
  <c r="Q767" i="26"/>
  <c r="Q768" i="26"/>
  <c r="Q769" i="26"/>
  <c r="Q770" i="26"/>
  <c r="Q771" i="26"/>
  <c r="Q772" i="26"/>
  <c r="Q773" i="26"/>
  <c r="Q774" i="26"/>
  <c r="Q775" i="26"/>
  <c r="Q776" i="26"/>
  <c r="Q777" i="26"/>
  <c r="Q778" i="26"/>
  <c r="Q779" i="26"/>
  <c r="Q780" i="26"/>
  <c r="Q781" i="26"/>
  <c r="Q782" i="26"/>
  <c r="Q783" i="26"/>
  <c r="Q784" i="26"/>
  <c r="Q785" i="26"/>
  <c r="Q786" i="26"/>
  <c r="Q787" i="26"/>
  <c r="Q788" i="26"/>
  <c r="Q789" i="26"/>
  <c r="Q790" i="26"/>
  <c r="Q791" i="26"/>
  <c r="Q792" i="26"/>
  <c r="Q793" i="26"/>
  <c r="Q794" i="26"/>
  <c r="Q795" i="26"/>
  <c r="Q796" i="26"/>
  <c r="Q797" i="26"/>
  <c r="Q798" i="26"/>
  <c r="Q799" i="26"/>
  <c r="Q800" i="26"/>
  <c r="Q801" i="26"/>
  <c r="Q802" i="26"/>
  <c r="Q803" i="26"/>
  <c r="Q804" i="26"/>
  <c r="Q805" i="26"/>
  <c r="Q806" i="26"/>
  <c r="Q807" i="26"/>
  <c r="Q808" i="26"/>
  <c r="Q809" i="26"/>
  <c r="Q810" i="26"/>
  <c r="Q811" i="26"/>
  <c r="Q812" i="26"/>
  <c r="Q813" i="26"/>
  <c r="Q814" i="26"/>
  <c r="Q815" i="26"/>
  <c r="Q816" i="26"/>
  <c r="Q817" i="26"/>
  <c r="Q818" i="26"/>
  <c r="Q819" i="26"/>
  <c r="Q820" i="26"/>
  <c r="Q821" i="26"/>
  <c r="Q822" i="26"/>
  <c r="Q823" i="26"/>
  <c r="Q824" i="26"/>
  <c r="Q825" i="26"/>
  <c r="Q826" i="26"/>
  <c r="Q827" i="26"/>
  <c r="Q828" i="26"/>
  <c r="Q829" i="26"/>
  <c r="Q830" i="26"/>
  <c r="Q831" i="26"/>
  <c r="Q832" i="26"/>
  <c r="Q833" i="26"/>
  <c r="Q834" i="26"/>
  <c r="Q835" i="26"/>
  <c r="Q836" i="26"/>
  <c r="Q837" i="26"/>
  <c r="Q838" i="26"/>
  <c r="Q839" i="26"/>
  <c r="Q840" i="26"/>
  <c r="Q841" i="26"/>
  <c r="Q842" i="26"/>
  <c r="Q843" i="26"/>
  <c r="Q844" i="26"/>
  <c r="Q845" i="26"/>
  <c r="Q846" i="26"/>
  <c r="Q847" i="26"/>
  <c r="Q848" i="26"/>
  <c r="Q849" i="26"/>
  <c r="Q850" i="26"/>
  <c r="Q851" i="26"/>
  <c r="Q852" i="26"/>
  <c r="Q853" i="26"/>
  <c r="Q854" i="26"/>
  <c r="Q855" i="26"/>
  <c r="Q856" i="26"/>
  <c r="Q857" i="26"/>
  <c r="Q858" i="26"/>
  <c r="Q859" i="26"/>
  <c r="Q860" i="26"/>
  <c r="Q861" i="26"/>
  <c r="Q862" i="26"/>
  <c r="Q863" i="26"/>
  <c r="Q864" i="26"/>
  <c r="Q865" i="26"/>
  <c r="Q866" i="26"/>
  <c r="Q867" i="26"/>
  <c r="Q868" i="26"/>
  <c r="Q869" i="26"/>
  <c r="Q870" i="26"/>
  <c r="Q871" i="26"/>
  <c r="Q872" i="26"/>
  <c r="Q873" i="26"/>
  <c r="Q874" i="26"/>
  <c r="Q875" i="26"/>
  <c r="Q876" i="26"/>
  <c r="Q877" i="26"/>
  <c r="Q878" i="26"/>
  <c r="Q879" i="26"/>
  <c r="Q880" i="26"/>
  <c r="Q881" i="26"/>
  <c r="Q882" i="26"/>
  <c r="Q883" i="26"/>
  <c r="Q884" i="26"/>
  <c r="Q885" i="26"/>
  <c r="Q886" i="26"/>
  <c r="Q887" i="26"/>
  <c r="Q888" i="26"/>
  <c r="Q889" i="26"/>
  <c r="Q890" i="26"/>
  <c r="Q891" i="26"/>
  <c r="Q892" i="26"/>
  <c r="Q893" i="26"/>
  <c r="Q894" i="26"/>
  <c r="Q895" i="26"/>
  <c r="Q896" i="26"/>
  <c r="Q897" i="26"/>
  <c r="Q898" i="26"/>
  <c r="Q899" i="26"/>
  <c r="Q900" i="26"/>
  <c r="Q901" i="26"/>
  <c r="Q902" i="26"/>
  <c r="Q903" i="26"/>
  <c r="Q904" i="26"/>
  <c r="Q905" i="26"/>
  <c r="Q906" i="26"/>
  <c r="Q907" i="26"/>
  <c r="Q908" i="26"/>
  <c r="Q909" i="26"/>
  <c r="Q910" i="26"/>
  <c r="Q911" i="26"/>
  <c r="Q912" i="26"/>
  <c r="Q913" i="26"/>
  <c r="Q914" i="26"/>
  <c r="Q915" i="26"/>
  <c r="Q916" i="26"/>
  <c r="Q917" i="26"/>
  <c r="Q918" i="26"/>
  <c r="Q919" i="26"/>
  <c r="Q920" i="26"/>
  <c r="Q921" i="26"/>
  <c r="Q922" i="26"/>
  <c r="Q923" i="26"/>
  <c r="Q924" i="26"/>
  <c r="Q925" i="26"/>
  <c r="Q926" i="26"/>
  <c r="Q927" i="26"/>
  <c r="Q928" i="26"/>
  <c r="Q929" i="26"/>
  <c r="Q930" i="26"/>
  <c r="Q931" i="26"/>
  <c r="Q932" i="26"/>
  <c r="Q933" i="26"/>
  <c r="Q934" i="26"/>
  <c r="Q935" i="26"/>
  <c r="Q936" i="26"/>
  <c r="Q937" i="26"/>
  <c r="Q938" i="26"/>
  <c r="Q939" i="26"/>
  <c r="Q940" i="26"/>
  <c r="Q941" i="26"/>
  <c r="Q942" i="26"/>
  <c r="Q943" i="26"/>
  <c r="Q944" i="26"/>
  <c r="Q945" i="26"/>
  <c r="Q946" i="26"/>
  <c r="Q947" i="26"/>
  <c r="Q948" i="26"/>
  <c r="Q949" i="26"/>
  <c r="Q950" i="26"/>
  <c r="Q951" i="26"/>
  <c r="Q952" i="26"/>
  <c r="Q953" i="26"/>
  <c r="Q954" i="26"/>
  <c r="Q955" i="26"/>
  <c r="Q956" i="26"/>
  <c r="Q957" i="26"/>
  <c r="Q958" i="26"/>
  <c r="Q959" i="26"/>
  <c r="Q960" i="26"/>
  <c r="Q961" i="26"/>
  <c r="Q962" i="26"/>
  <c r="Q963" i="26"/>
  <c r="Q964" i="26"/>
  <c r="Q965" i="26"/>
  <c r="Q966" i="26"/>
  <c r="Q967" i="26"/>
  <c r="Q968" i="26"/>
  <c r="Q969" i="26"/>
  <c r="Q970" i="26"/>
  <c r="Q971" i="26"/>
  <c r="Q972" i="26"/>
  <c r="Q973" i="26"/>
  <c r="Q974" i="26"/>
  <c r="Q975" i="26"/>
  <c r="Q976" i="26"/>
  <c r="Q977" i="26"/>
  <c r="Q978" i="26"/>
  <c r="Q979" i="26"/>
  <c r="Q980" i="26"/>
  <c r="Q981" i="26"/>
  <c r="Q982" i="26"/>
  <c r="Q983" i="26"/>
  <c r="Q984" i="26"/>
  <c r="Q985" i="26"/>
  <c r="Q986" i="26"/>
  <c r="Q987" i="26"/>
  <c r="Q988" i="26"/>
  <c r="Q989" i="26"/>
  <c r="Q990" i="26"/>
  <c r="Q991" i="26"/>
  <c r="Q992" i="26"/>
  <c r="Q993" i="26"/>
  <c r="Q994" i="26"/>
  <c r="Q995" i="26"/>
  <c r="Q996" i="26"/>
  <c r="Q997" i="26"/>
  <c r="Q998" i="26"/>
  <c r="Q999" i="26"/>
  <c r="Q1000" i="26"/>
  <c r="Q1001" i="26"/>
  <c r="Q1002" i="26"/>
  <c r="Q1003" i="26"/>
  <c r="Q1004" i="26"/>
  <c r="Q1005" i="26"/>
  <c r="Q1006" i="26"/>
  <c r="Q1007" i="26"/>
  <c r="Q1008" i="26"/>
  <c r="Q1009" i="26"/>
  <c r="Q1010" i="26"/>
  <c r="Q1011" i="26"/>
  <c r="Q1012" i="26"/>
  <c r="Q1013" i="26"/>
  <c r="Q1014" i="26"/>
  <c r="Q1015" i="26"/>
  <c r="Q1016" i="26"/>
  <c r="Q1017" i="26"/>
  <c r="Q1018" i="26"/>
  <c r="Q1019" i="26"/>
  <c r="Q1020" i="26"/>
  <c r="Q1021" i="26"/>
  <c r="Q1022" i="26"/>
  <c r="Q1023" i="26"/>
  <c r="Q1024" i="26"/>
  <c r="Q1025" i="26"/>
  <c r="Q1026" i="26"/>
  <c r="Q1027" i="26"/>
  <c r="Q1028" i="26"/>
  <c r="Q1029" i="26"/>
  <c r="Q1030" i="26"/>
  <c r="Q1031" i="26"/>
  <c r="Q1032" i="26"/>
  <c r="Q1033" i="26"/>
  <c r="Q1034" i="26"/>
  <c r="Q1035" i="26"/>
  <c r="Q1036" i="26"/>
  <c r="Q1037" i="26"/>
  <c r="Q1038" i="26"/>
  <c r="Q1039" i="26"/>
  <c r="Q1040" i="26"/>
  <c r="Q1041" i="26"/>
  <c r="Q1042" i="26"/>
  <c r="Q1043" i="26"/>
  <c r="Q1044" i="26"/>
  <c r="Q1045" i="26"/>
  <c r="Q1046" i="26"/>
  <c r="Q1047" i="26"/>
  <c r="Q1048" i="26"/>
  <c r="Q1049" i="26"/>
  <c r="Q1050" i="26"/>
  <c r="Q1051" i="26"/>
  <c r="Q1052" i="26"/>
  <c r="Q1053" i="26"/>
  <c r="Q1054" i="26"/>
  <c r="Q1055" i="26"/>
  <c r="Q1056" i="26"/>
  <c r="Q1057" i="26"/>
  <c r="Q1058" i="26"/>
  <c r="Q1059" i="26"/>
  <c r="Q1060" i="26"/>
  <c r="Q1061" i="26"/>
  <c r="Q1062" i="26"/>
  <c r="Q1063" i="26"/>
  <c r="Q1064" i="26"/>
  <c r="Q1065" i="26"/>
  <c r="Q1066" i="26"/>
  <c r="Q1067" i="26"/>
  <c r="Q1068" i="26"/>
  <c r="Q1069" i="26"/>
  <c r="Q1070" i="26"/>
  <c r="Q1071" i="26"/>
  <c r="Q1072" i="26"/>
  <c r="Q1073" i="26"/>
  <c r="Q1074" i="26"/>
  <c r="Q1075" i="26"/>
  <c r="Q1076" i="26"/>
  <c r="Q1077" i="26"/>
  <c r="Q1078" i="26"/>
  <c r="Q1079" i="26"/>
  <c r="Q1080" i="26"/>
  <c r="Q1081" i="26"/>
  <c r="Q1082" i="26"/>
  <c r="Q1083" i="26"/>
  <c r="Q1084" i="26"/>
  <c r="Q1085" i="26"/>
  <c r="Q1086" i="26"/>
  <c r="Q1087" i="26"/>
  <c r="Q1090" i="26"/>
  <c r="Q1091" i="26"/>
  <c r="Q1092" i="26"/>
  <c r="Q1093" i="26"/>
  <c r="Q1094" i="26"/>
  <c r="Q1095" i="26"/>
  <c r="Q1096" i="26"/>
  <c r="Q1097" i="26"/>
  <c r="Q1098" i="26"/>
  <c r="Q1099" i="26"/>
  <c r="Q1100" i="26"/>
  <c r="Q1101" i="26"/>
  <c r="Q1102" i="26"/>
  <c r="Q1103" i="26"/>
  <c r="Q1104" i="26"/>
  <c r="Q1105" i="26"/>
  <c r="Q1106" i="26"/>
  <c r="Q1107" i="26"/>
  <c r="Q1108" i="26"/>
  <c r="Q1109" i="26"/>
  <c r="Q1110" i="26"/>
  <c r="Q1111" i="26"/>
  <c r="Q1112" i="26"/>
  <c r="Q1113" i="26"/>
  <c r="Q1114" i="26"/>
  <c r="Q1115" i="26"/>
  <c r="Q1116" i="26"/>
  <c r="Q1117" i="26"/>
  <c r="Q1118" i="26"/>
  <c r="Q1119" i="26"/>
  <c r="Q1120" i="26"/>
  <c r="Q1121" i="26"/>
  <c r="Q1122" i="26"/>
  <c r="Q1123" i="26"/>
  <c r="Q1124" i="26"/>
  <c r="Q1125" i="26"/>
  <c r="Q1126" i="26"/>
  <c r="Q1127" i="26"/>
  <c r="Q1128" i="26"/>
  <c r="Q1129" i="26"/>
  <c r="Q1130" i="26"/>
  <c r="Q1131" i="26"/>
  <c r="Q1132" i="26"/>
  <c r="Q1133" i="26"/>
  <c r="Q1134" i="26"/>
  <c r="Q1135" i="26"/>
  <c r="Q1136" i="26"/>
  <c r="Q1137" i="26"/>
  <c r="Q1138" i="26"/>
  <c r="Q1139" i="26"/>
  <c r="Q1140" i="26"/>
  <c r="Q1141" i="26"/>
  <c r="Q1142" i="26"/>
  <c r="Q1143" i="26"/>
  <c r="Q1144" i="26"/>
  <c r="Q1145" i="26"/>
  <c r="Q1146" i="26"/>
  <c r="Q1147" i="26"/>
  <c r="Q1148" i="26"/>
  <c r="Q1149" i="26"/>
  <c r="Q1150" i="26"/>
  <c r="Q1151" i="26"/>
  <c r="Q1152" i="26"/>
  <c r="Q1153" i="26"/>
  <c r="Q1154" i="26"/>
  <c r="Q1155" i="26"/>
  <c r="Q1156" i="26"/>
  <c r="Q1157" i="26"/>
  <c r="Q1158" i="26"/>
  <c r="Q1159" i="26"/>
  <c r="Q1160" i="26"/>
  <c r="Q1161" i="26"/>
  <c r="Q1162" i="26"/>
  <c r="Q1163" i="26"/>
  <c r="Q1164" i="26"/>
  <c r="Q1165" i="26"/>
  <c r="Q1166" i="26"/>
  <c r="Q1167" i="26"/>
  <c r="Q1168" i="26"/>
  <c r="Q1169" i="26"/>
  <c r="Q1170" i="26"/>
  <c r="Q1171" i="26"/>
  <c r="Q1172" i="26"/>
  <c r="Q1173" i="26"/>
  <c r="Q1174" i="26"/>
  <c r="Q1182" i="26"/>
  <c r="Q1183" i="26"/>
  <c r="Q1184" i="26"/>
  <c r="Q1185" i="26"/>
  <c r="Q1186" i="26"/>
  <c r="Q1187" i="26"/>
  <c r="Q1188" i="26"/>
  <c r="Q1192" i="26"/>
  <c r="V1192" i="26" s="1"/>
  <c r="Q1193" i="26"/>
  <c r="Q1194" i="26"/>
  <c r="Q1195" i="26"/>
  <c r="Q1196" i="26"/>
  <c r="Q1197" i="26"/>
  <c r="Q1198" i="26"/>
  <c r="Q1199" i="26"/>
  <c r="Q1200" i="26"/>
  <c r="Q1201" i="26"/>
  <c r="Q1202" i="26"/>
  <c r="Q1203" i="26"/>
  <c r="Q1204" i="26"/>
  <c r="Q1205" i="26"/>
  <c r="Q1206" i="26"/>
  <c r="Q1207" i="26"/>
  <c r="Q1208" i="26"/>
  <c r="Q1209" i="26"/>
  <c r="Q1210" i="26"/>
  <c r="Q1211" i="26"/>
  <c r="Q1212" i="26"/>
  <c r="Q1213" i="26"/>
  <c r="Q1214" i="26"/>
  <c r="Q1215" i="26"/>
  <c r="Q1216" i="26"/>
  <c r="Q1217" i="26"/>
  <c r="Q1218" i="26"/>
  <c r="Q1219" i="26"/>
  <c r="Q1220" i="26"/>
  <c r="Q1221" i="26"/>
  <c r="Q1222" i="26"/>
  <c r="Q1223" i="26"/>
  <c r="Q1224" i="26"/>
  <c r="Q1225" i="26"/>
  <c r="Q1226" i="26"/>
  <c r="Q1227" i="26"/>
  <c r="Q1228" i="26"/>
  <c r="Q1229" i="26"/>
  <c r="Q1230" i="26"/>
  <c r="Q1231" i="26"/>
  <c r="Q1232" i="26"/>
  <c r="Q1233" i="26"/>
  <c r="Q1234" i="26"/>
  <c r="Q1235" i="26"/>
  <c r="Q1236" i="26"/>
  <c r="Q1237" i="26"/>
  <c r="Q1238" i="26"/>
  <c r="Q1239" i="26"/>
  <c r="Q1240" i="26"/>
  <c r="Q1241" i="26"/>
  <c r="Q1242" i="26"/>
  <c r="Q1243" i="26"/>
  <c r="Q1244" i="26"/>
  <c r="Q1245" i="26"/>
  <c r="Q1246" i="26"/>
  <c r="Q1247" i="26"/>
  <c r="Q1248" i="26"/>
  <c r="Q1249" i="26"/>
  <c r="Q1250" i="26"/>
  <c r="Q1251" i="26"/>
  <c r="Q1252" i="26"/>
  <c r="Q1253" i="26"/>
  <c r="Q1254" i="26"/>
  <c r="Q1255" i="26"/>
  <c r="Q1256" i="26"/>
  <c r="Q1257" i="26"/>
  <c r="Q1258" i="26"/>
  <c r="Q1259" i="26"/>
  <c r="Q1260" i="26"/>
  <c r="Q1261" i="26"/>
  <c r="Q1262" i="26"/>
  <c r="Q1263" i="26"/>
  <c r="Q1264" i="26"/>
  <c r="Q1265" i="26"/>
  <c r="Q1266" i="26"/>
  <c r="Q1267" i="26"/>
  <c r="Q1268" i="26"/>
  <c r="Q1269" i="26"/>
  <c r="Q1270" i="26"/>
  <c r="Q1271" i="26"/>
  <c r="Q1272" i="26"/>
  <c r="Q1273" i="26"/>
  <c r="Q1274" i="26"/>
  <c r="Q1275" i="26"/>
  <c r="Q1276" i="26"/>
  <c r="Q1277" i="26"/>
  <c r="Q1278" i="26"/>
  <c r="Q1279" i="26"/>
  <c r="Q1280" i="26"/>
  <c r="Q1281" i="26"/>
  <c r="Q1282" i="26"/>
  <c r="Q1283" i="26"/>
  <c r="Q1284" i="26"/>
  <c r="Q1285" i="26"/>
  <c r="Q1286" i="26"/>
  <c r="Q1287" i="26"/>
  <c r="Q1288" i="26"/>
  <c r="Q1289" i="26"/>
  <c r="Q1290" i="26"/>
  <c r="Q1291" i="26"/>
  <c r="Q1292" i="26"/>
  <c r="Q1293" i="26"/>
  <c r="Q1294" i="26"/>
  <c r="Q1295" i="26"/>
  <c r="Q1296" i="26"/>
  <c r="Q1297" i="26"/>
  <c r="Q1298" i="26"/>
  <c r="Q1299" i="26"/>
  <c r="Q1300" i="26"/>
  <c r="Q1301" i="26"/>
  <c r="Q1302" i="26"/>
  <c r="Q1303" i="26"/>
  <c r="Q1304" i="26"/>
  <c r="Q1305" i="26"/>
  <c r="Q1306" i="26"/>
  <c r="Q1307" i="26"/>
  <c r="Q1308" i="26"/>
  <c r="Q1309" i="26"/>
  <c r="Q1310" i="26"/>
  <c r="Q1311" i="26"/>
  <c r="Q1312" i="26"/>
  <c r="Q1313" i="26"/>
  <c r="Q1314" i="26"/>
  <c r="Q1315" i="26"/>
  <c r="Q1316" i="26"/>
  <c r="Q1317" i="26"/>
  <c r="Q1318" i="26"/>
  <c r="Q1319" i="26"/>
  <c r="Q1320" i="26"/>
  <c r="Q1321" i="26"/>
  <c r="Q1322" i="26"/>
  <c r="Q1323" i="26"/>
  <c r="Q1324" i="26"/>
  <c r="Q1325" i="26"/>
  <c r="Q1326" i="26"/>
  <c r="Q1327" i="26"/>
  <c r="Q1328" i="26"/>
  <c r="Q1329" i="26"/>
  <c r="Q1330" i="26"/>
  <c r="Q1331" i="26"/>
  <c r="Q1332" i="26"/>
  <c r="Q1333" i="26"/>
  <c r="Q1334" i="26"/>
  <c r="Q1335" i="26"/>
  <c r="Q1336" i="26"/>
  <c r="Q1337" i="26"/>
  <c r="Q1338" i="26"/>
  <c r="Q1339" i="26"/>
  <c r="Q1340" i="26"/>
  <c r="Q1341" i="26"/>
  <c r="Q1342" i="26"/>
  <c r="Q1343" i="26"/>
  <c r="Q1344" i="26"/>
  <c r="Q1345" i="26"/>
  <c r="Q1346" i="26"/>
  <c r="Q1347" i="26"/>
  <c r="Q1348" i="26"/>
  <c r="Q1349" i="26"/>
  <c r="Q1350" i="26"/>
  <c r="Q1351" i="26"/>
  <c r="Q1352" i="26"/>
  <c r="Q1353" i="26"/>
  <c r="Q1354" i="26"/>
  <c r="Q1355" i="26"/>
  <c r="Q1356" i="26"/>
  <c r="Q1357" i="26"/>
  <c r="Q1358" i="26"/>
  <c r="Q1359" i="26"/>
  <c r="Q1360" i="26"/>
  <c r="Q1361" i="26"/>
  <c r="Q1362" i="26"/>
  <c r="Q1363" i="26"/>
  <c r="Q1364" i="26"/>
  <c r="Q1365" i="26"/>
  <c r="Q1366" i="26"/>
  <c r="Q1367" i="26"/>
  <c r="Q1368" i="26"/>
  <c r="Q1369" i="26"/>
  <c r="Q1370" i="26"/>
  <c r="Q1371" i="26"/>
  <c r="Q1372" i="26"/>
  <c r="Q1373" i="26"/>
  <c r="Q1374" i="26"/>
  <c r="Q1375" i="26"/>
  <c r="Q1376" i="26"/>
  <c r="Q1377" i="26"/>
  <c r="Q1378" i="26"/>
  <c r="Q1379" i="26"/>
  <c r="Q1380" i="26"/>
  <c r="Q1381" i="26"/>
  <c r="Q1382" i="26"/>
  <c r="Q1383" i="26"/>
  <c r="Q1384" i="26"/>
  <c r="Q1385" i="26"/>
  <c r="Q1386" i="26"/>
  <c r="Q1387" i="26"/>
  <c r="Q1388" i="26"/>
  <c r="Q1389" i="26"/>
  <c r="Q1390" i="26"/>
  <c r="Q1391" i="26"/>
  <c r="Q1392" i="26"/>
  <c r="Q1393" i="26"/>
  <c r="Q1394" i="26"/>
  <c r="Q1395" i="26"/>
  <c r="Q1396" i="26"/>
  <c r="Q1397" i="26"/>
  <c r="Q1398" i="26"/>
  <c r="Q1399" i="26"/>
  <c r="Q1400" i="26"/>
  <c r="Q1401" i="26"/>
  <c r="Q1402" i="26"/>
  <c r="Q1403" i="26"/>
  <c r="Q1404" i="26"/>
  <c r="Q1405" i="26"/>
  <c r="Q1406" i="26"/>
  <c r="Q1407" i="26"/>
  <c r="Q1408" i="26"/>
  <c r="Q1409" i="26"/>
  <c r="Q1410" i="26"/>
  <c r="Q1411" i="26"/>
  <c r="Q1412" i="26"/>
  <c r="Q1413" i="26"/>
  <c r="Q1414" i="26"/>
  <c r="Q1415" i="26"/>
  <c r="Q1416" i="26"/>
  <c r="Q1417" i="26"/>
  <c r="Q1418" i="26"/>
  <c r="Q1419" i="26"/>
  <c r="Q1420" i="26"/>
  <c r="Q1421" i="26"/>
  <c r="Q1422" i="26"/>
  <c r="Q1423" i="26"/>
  <c r="Q1424" i="26"/>
  <c r="Q1425" i="26"/>
  <c r="Q1426" i="26"/>
  <c r="Q1427" i="26"/>
  <c r="Q1428" i="26"/>
  <c r="Q1429" i="26"/>
  <c r="Q1430" i="26"/>
  <c r="Q1431" i="26"/>
  <c r="Q1432" i="26"/>
  <c r="Q1433" i="26"/>
  <c r="Q1434" i="26"/>
  <c r="Q1435" i="26"/>
  <c r="Q1436" i="26"/>
  <c r="Q1437" i="26"/>
  <c r="Q1438" i="26"/>
  <c r="Q1439" i="26"/>
  <c r="Q1440" i="26"/>
  <c r="Q1441" i="26"/>
  <c r="Q1442" i="26"/>
  <c r="Q1443" i="26"/>
  <c r="Q1444" i="26"/>
  <c r="Q1445" i="26"/>
  <c r="Q1446" i="26"/>
  <c r="Q1447" i="26"/>
  <c r="Q1448" i="26"/>
  <c r="Q1449" i="26"/>
  <c r="Q1450" i="26"/>
  <c r="Q1451" i="26"/>
  <c r="Q1452" i="26"/>
  <c r="Q1453" i="26"/>
  <c r="Q1454" i="26"/>
  <c r="Q1455" i="26"/>
  <c r="Q1456" i="26"/>
  <c r="Q1457" i="26"/>
  <c r="Q1458" i="26"/>
  <c r="Q1459" i="26"/>
  <c r="Q1460" i="26"/>
  <c r="Q1461" i="26"/>
  <c r="Q1462" i="26"/>
  <c r="Q1463" i="26"/>
  <c r="Q1464" i="26"/>
  <c r="Q1465" i="26"/>
  <c r="Q1466" i="26"/>
  <c r="Q1467" i="26"/>
  <c r="Q1468" i="26"/>
  <c r="Q1469" i="26"/>
  <c r="Q1470" i="26"/>
  <c r="Q1471" i="26"/>
  <c r="Q1472" i="26"/>
  <c r="Q1473" i="26"/>
  <c r="Q1474" i="26"/>
  <c r="Q1475" i="26"/>
  <c r="Q1476" i="26"/>
  <c r="Q1477" i="26"/>
  <c r="Q1478" i="26"/>
  <c r="Q1479" i="26"/>
  <c r="Q1480" i="26"/>
  <c r="Q1481" i="26"/>
  <c r="Q1482" i="26"/>
  <c r="Q1483" i="26"/>
  <c r="Q1484" i="26"/>
  <c r="Q1485" i="26"/>
  <c r="Q1486" i="26"/>
  <c r="Q1487" i="26"/>
  <c r="Q1488" i="26"/>
  <c r="Q1489" i="26"/>
  <c r="Q1490" i="26"/>
  <c r="Q1491" i="26"/>
  <c r="Q1492" i="26"/>
  <c r="Q1493" i="26"/>
  <c r="Q1494" i="26"/>
  <c r="Q1495" i="26"/>
  <c r="Q1496" i="26"/>
  <c r="Q1497" i="26"/>
  <c r="Q1498" i="26"/>
  <c r="Q1499" i="26"/>
  <c r="Q1500" i="26"/>
  <c r="Q1501" i="26"/>
  <c r="Q1502" i="26"/>
  <c r="Q1503" i="26"/>
  <c r="Q1504" i="26"/>
  <c r="Q1505" i="26"/>
  <c r="Q1506" i="26"/>
  <c r="Q1507" i="26"/>
  <c r="Q1508" i="26"/>
  <c r="Q1509" i="26"/>
  <c r="Q1510" i="26"/>
  <c r="Q1511" i="26"/>
  <c r="Q1512" i="26"/>
  <c r="Q1513" i="26"/>
  <c r="Q1514" i="26"/>
  <c r="Q1515" i="26"/>
  <c r="Q1516" i="26"/>
  <c r="Q1517" i="26"/>
  <c r="Q1518" i="26"/>
  <c r="Q1519" i="26"/>
  <c r="Q1520" i="26"/>
  <c r="Q1521" i="26"/>
  <c r="Q1522" i="26"/>
  <c r="Q1523" i="26"/>
  <c r="Q1524" i="26"/>
  <c r="Q1525" i="26"/>
  <c r="Q1526" i="26"/>
  <c r="Q1527" i="26"/>
  <c r="Q1528" i="26"/>
  <c r="Q1529" i="26"/>
  <c r="Q1530" i="26"/>
  <c r="Q1531" i="26"/>
  <c r="Q1532" i="26"/>
  <c r="Q1533" i="26"/>
  <c r="Q1534" i="26"/>
  <c r="Q1535" i="26"/>
  <c r="Q1536" i="26"/>
  <c r="Q1537" i="26"/>
  <c r="Q1538" i="26"/>
  <c r="Q1539" i="26"/>
  <c r="Q1540" i="26"/>
  <c r="Q1541" i="26"/>
  <c r="Q1542" i="26"/>
  <c r="Q1543" i="26"/>
  <c r="Q1544" i="26"/>
  <c r="Q1545" i="26"/>
  <c r="Q1546" i="26"/>
  <c r="Q1547" i="26"/>
  <c r="Q1548" i="26"/>
  <c r="Q1549" i="26"/>
  <c r="Q1550" i="26"/>
  <c r="Q1551" i="26"/>
  <c r="Q1552" i="26"/>
  <c r="Q1553" i="26"/>
  <c r="Q1554" i="26"/>
  <c r="Q1555" i="26"/>
  <c r="Q1556" i="26"/>
  <c r="Q1557" i="26"/>
  <c r="Q1558" i="26"/>
  <c r="Q1559" i="26"/>
  <c r="Q1560" i="26"/>
  <c r="Q1561" i="26"/>
  <c r="Q1562" i="26"/>
  <c r="Q1563" i="26"/>
  <c r="Q1564" i="26"/>
  <c r="Q1565" i="26"/>
  <c r="Q1566" i="26"/>
  <c r="Q1567" i="26"/>
  <c r="Q1568" i="26"/>
  <c r="Q1569" i="26"/>
  <c r="Q1570" i="26"/>
  <c r="Q1571" i="26"/>
  <c r="Q1572" i="26"/>
  <c r="Q1573" i="26"/>
  <c r="Q1574" i="26"/>
  <c r="Q1575" i="26"/>
  <c r="Q1576" i="26"/>
  <c r="Q1577" i="26"/>
  <c r="Q1578" i="26"/>
  <c r="Q1579" i="26"/>
  <c r="Q1580" i="26"/>
  <c r="Q1581" i="26"/>
  <c r="Q1582" i="26"/>
  <c r="Q1583" i="26"/>
  <c r="Q1584" i="26"/>
  <c r="Q1585" i="26"/>
  <c r="Q1586" i="26"/>
  <c r="Q1587" i="26"/>
  <c r="Q1588" i="26"/>
  <c r="Q1589" i="26"/>
  <c r="V1590" i="26"/>
  <c r="V1591" i="26"/>
  <c r="V1592" i="26"/>
  <c r="V1593" i="26"/>
  <c r="V1594" i="26"/>
  <c r="V1595" i="26"/>
  <c r="V1596" i="26"/>
  <c r="V1597" i="26"/>
  <c r="V1598" i="26"/>
  <c r="V1599" i="26"/>
  <c r="V1600" i="26"/>
  <c r="V1601" i="26"/>
  <c r="V1602" i="26"/>
  <c r="V1603" i="26"/>
  <c r="V1604" i="26"/>
  <c r="V1605" i="26"/>
  <c r="V1606" i="26"/>
  <c r="V1607" i="26"/>
  <c r="V1608" i="26"/>
  <c r="V1609" i="26"/>
  <c r="V1610" i="26"/>
  <c r="V1611" i="26"/>
  <c r="V1612" i="26"/>
  <c r="V1613" i="26"/>
  <c r="V1614" i="26"/>
  <c r="V1615" i="26"/>
  <c r="V1616" i="26"/>
  <c r="V1617" i="26"/>
  <c r="V1618" i="26"/>
  <c r="V1619" i="26"/>
  <c r="V1620" i="26"/>
  <c r="V1621" i="26"/>
  <c r="V1622" i="26"/>
  <c r="V1623" i="26"/>
  <c r="V1624" i="26"/>
  <c r="V1625" i="26"/>
  <c r="V1626" i="26"/>
  <c r="V1627" i="26"/>
  <c r="V1628" i="26"/>
  <c r="V1629" i="26"/>
  <c r="V1630" i="26"/>
  <c r="V1631" i="26"/>
  <c r="V1632" i="26"/>
  <c r="V1633" i="26"/>
  <c r="V1634" i="26"/>
  <c r="V1635" i="26"/>
  <c r="V1636" i="26"/>
  <c r="V1637" i="26"/>
  <c r="V1638" i="26"/>
  <c r="V1639" i="26"/>
  <c r="V1640" i="26"/>
  <c r="V1641" i="26"/>
  <c r="V1642" i="26"/>
  <c r="V1643" i="26"/>
  <c r="V1644" i="26"/>
  <c r="V1645" i="26"/>
  <c r="V1646" i="26"/>
  <c r="V1647" i="26"/>
  <c r="V1648" i="26"/>
  <c r="V1649" i="26"/>
  <c r="V1650" i="26"/>
  <c r="V1651" i="26"/>
  <c r="V1652" i="26"/>
  <c r="V1653" i="26"/>
  <c r="V1654" i="26"/>
  <c r="V1655" i="26"/>
  <c r="V1656" i="26"/>
  <c r="V1657" i="26"/>
  <c r="V1658" i="26"/>
  <c r="V1659" i="26"/>
  <c r="V1660" i="26"/>
  <c r="V1661" i="26"/>
  <c r="V1662" i="26"/>
  <c r="V1663" i="26"/>
  <c r="V1664" i="26"/>
  <c r="V1665" i="26"/>
  <c r="V1666" i="26"/>
  <c r="V1667" i="26"/>
  <c r="V1668" i="26"/>
  <c r="V1669" i="26"/>
  <c r="V1670" i="26"/>
  <c r="V1671" i="26"/>
  <c r="V1672" i="26"/>
  <c r="V1673" i="26"/>
  <c r="V1674" i="26"/>
  <c r="V1675" i="26"/>
  <c r="V1676" i="26"/>
  <c r="V1677" i="26"/>
  <c r="V1678" i="26"/>
  <c r="V1679" i="26"/>
  <c r="V1680" i="26"/>
  <c r="V1681" i="26"/>
  <c r="V1682" i="26"/>
  <c r="V1683" i="26"/>
  <c r="V1684" i="26"/>
  <c r="V1685" i="26"/>
  <c r="V1686" i="26"/>
  <c r="V1687" i="26"/>
  <c r="V1688" i="26"/>
  <c r="V1689" i="26"/>
  <c r="V1690" i="26"/>
  <c r="V1691" i="26"/>
  <c r="V1692" i="26"/>
  <c r="V1693" i="26"/>
  <c r="V1694" i="26"/>
  <c r="V1695" i="26"/>
  <c r="V1696" i="26"/>
  <c r="V1697" i="26"/>
  <c r="V1698" i="26"/>
  <c r="V1699" i="26"/>
  <c r="V1700" i="26"/>
  <c r="V1701" i="26"/>
  <c r="V1702" i="26"/>
  <c r="V1703" i="26"/>
  <c r="V1704" i="26"/>
  <c r="V1705" i="26"/>
  <c r="V1706" i="26"/>
  <c r="V1707" i="26"/>
  <c r="V1708" i="26"/>
  <c r="V1709" i="26"/>
  <c r="V1710" i="26"/>
  <c r="V1711" i="26"/>
  <c r="V1712" i="26"/>
  <c r="V1713" i="26"/>
  <c r="V1714" i="26"/>
  <c r="V1715" i="26"/>
  <c r="V1716" i="26"/>
  <c r="V1717" i="26"/>
  <c r="V1718" i="26"/>
  <c r="V1719" i="26"/>
  <c r="V1720" i="26"/>
  <c r="V1721" i="26"/>
  <c r="V1722" i="26"/>
  <c r="V1723" i="26"/>
  <c r="V1724" i="26"/>
  <c r="V1725" i="26"/>
  <c r="V1726" i="26"/>
  <c r="V1727" i="26"/>
  <c r="V1728" i="26"/>
  <c r="V1729" i="26"/>
  <c r="V1730" i="26"/>
  <c r="V1731" i="26"/>
  <c r="V1732" i="26"/>
  <c r="V1733" i="26"/>
  <c r="V1734" i="26"/>
  <c r="V1735" i="26"/>
  <c r="V1736" i="26"/>
  <c r="V1737" i="26"/>
  <c r="V1738" i="26"/>
  <c r="V1739" i="26"/>
  <c r="V1740" i="26"/>
  <c r="V1741" i="26"/>
  <c r="V1742" i="26"/>
  <c r="V1743" i="26"/>
  <c r="V1744" i="26"/>
  <c r="V1745" i="26"/>
  <c r="V1746" i="26"/>
  <c r="V1747" i="26"/>
  <c r="V1748" i="26"/>
  <c r="V1749" i="26"/>
  <c r="V1750" i="26"/>
  <c r="V1751" i="26"/>
  <c r="V1752" i="26"/>
  <c r="V1753" i="26"/>
  <c r="V1754" i="26"/>
  <c r="V1755" i="26"/>
  <c r="V1756" i="26"/>
  <c r="V1757" i="26"/>
  <c r="V1758" i="26"/>
  <c r="V1759" i="26"/>
  <c r="V1760" i="26"/>
  <c r="V1761" i="26"/>
  <c r="V1762" i="26"/>
  <c r="V1763" i="26"/>
  <c r="V1764" i="26"/>
  <c r="V1765" i="26"/>
  <c r="V1766" i="26"/>
  <c r="V1767" i="26"/>
  <c r="V1768" i="26"/>
  <c r="V1769" i="26"/>
  <c r="V1770" i="26"/>
  <c r="V1771" i="26"/>
  <c r="V1772" i="26"/>
  <c r="V1773" i="26"/>
  <c r="V1774" i="26"/>
  <c r="V1775" i="26"/>
  <c r="V1776" i="26"/>
  <c r="V1777" i="26"/>
  <c r="V1778" i="26"/>
  <c r="V1779" i="26"/>
  <c r="V1780" i="26"/>
  <c r="V1781" i="26"/>
  <c r="V1782" i="26"/>
  <c r="V1783" i="26"/>
  <c r="V1784" i="26"/>
  <c r="V1785" i="26"/>
  <c r="V1786" i="26"/>
  <c r="V1787" i="26"/>
  <c r="V1788" i="26"/>
  <c r="V1789" i="26"/>
  <c r="V1790" i="26"/>
  <c r="V1791" i="26"/>
  <c r="V1792" i="26"/>
  <c r="V1793" i="26"/>
  <c r="V1794" i="26"/>
  <c r="V1795" i="26"/>
  <c r="V1796" i="26"/>
  <c r="V1797" i="26"/>
  <c r="V1798" i="26"/>
  <c r="V1799" i="26"/>
  <c r="V1800" i="26"/>
  <c r="V1801" i="26"/>
  <c r="V1802" i="26"/>
  <c r="V1803" i="26"/>
  <c r="V1804" i="26"/>
  <c r="V1805" i="26"/>
  <c r="V1806" i="26"/>
  <c r="V1807" i="26"/>
  <c r="V1808" i="26"/>
  <c r="V1809" i="26"/>
  <c r="V1810" i="26"/>
  <c r="V1811" i="26"/>
  <c r="V1812" i="26"/>
  <c r="V1813" i="26"/>
  <c r="V1814" i="26"/>
  <c r="V1815" i="26"/>
  <c r="V1816" i="26"/>
  <c r="V1817" i="26"/>
  <c r="V1818" i="26"/>
  <c r="V1819" i="26"/>
  <c r="V1820" i="26"/>
  <c r="V1821" i="26"/>
  <c r="V1822" i="26"/>
  <c r="V1823" i="26"/>
  <c r="V1824" i="26"/>
  <c r="V1825" i="26"/>
  <c r="V1826" i="26"/>
  <c r="V1827" i="26"/>
  <c r="V1828" i="26"/>
  <c r="V1829" i="26"/>
  <c r="V1830" i="26"/>
  <c r="V1831" i="26"/>
  <c r="V1832" i="26"/>
  <c r="V1833" i="26"/>
  <c r="V1834" i="26"/>
  <c r="V1835" i="26"/>
  <c r="V1836" i="26"/>
  <c r="V1837" i="26"/>
  <c r="V1838" i="26"/>
  <c r="V1839" i="26"/>
  <c r="V1840" i="26"/>
  <c r="V1841" i="26"/>
  <c r="V1842" i="26"/>
  <c r="V1843" i="26"/>
  <c r="V1844" i="26"/>
  <c r="V1845" i="26"/>
  <c r="V1846" i="26"/>
  <c r="V1847" i="26"/>
  <c r="V1848" i="26"/>
  <c r="V1849" i="26"/>
  <c r="V1850" i="26"/>
  <c r="V1851" i="26"/>
  <c r="V1852" i="26"/>
  <c r="V1853" i="26"/>
  <c r="V1854" i="26"/>
  <c r="V1855" i="26"/>
  <c r="V1856" i="26"/>
  <c r="V1857" i="26"/>
  <c r="V1858" i="26"/>
  <c r="V1859" i="26"/>
  <c r="V1860" i="26"/>
  <c r="V1861" i="26"/>
  <c r="V1862" i="26"/>
  <c r="V1863" i="26"/>
  <c r="V1864" i="26"/>
  <c r="V1865" i="26"/>
  <c r="V1866" i="26"/>
  <c r="V1867" i="26"/>
  <c r="V1868" i="26"/>
  <c r="V1869" i="26"/>
  <c r="V1870" i="26"/>
  <c r="V1871" i="26"/>
  <c r="V1872" i="26"/>
  <c r="V1873" i="26"/>
  <c r="V1874" i="26"/>
  <c r="V1875" i="26"/>
  <c r="V1876" i="26"/>
  <c r="V1877" i="26"/>
  <c r="V1878" i="26"/>
  <c r="V1879" i="26"/>
  <c r="V1880" i="26"/>
  <c r="V1881" i="26"/>
  <c r="V1882" i="26"/>
  <c r="V1883" i="26"/>
  <c r="V1884" i="26"/>
  <c r="V1885" i="26"/>
  <c r="V1886" i="26"/>
  <c r="V1887" i="26"/>
  <c r="V1888" i="26"/>
  <c r="V1889" i="26"/>
  <c r="V1890" i="26"/>
  <c r="V1891" i="26"/>
  <c r="V1892" i="26"/>
  <c r="V1893" i="26"/>
  <c r="V1894" i="26"/>
  <c r="V1895" i="26"/>
  <c r="V1896" i="26"/>
  <c r="V1897" i="26"/>
  <c r="V1898" i="26"/>
  <c r="V1899" i="26"/>
  <c r="V1900" i="26"/>
  <c r="V1901" i="26"/>
  <c r="V1902" i="26"/>
  <c r="V1903" i="26"/>
  <c r="V1904" i="26"/>
  <c r="V1905" i="26"/>
  <c r="V1906" i="26"/>
  <c r="V1907" i="26"/>
  <c r="V1908" i="26"/>
  <c r="V1909" i="26"/>
  <c r="V1910" i="26"/>
  <c r="V1911" i="26"/>
  <c r="V1912" i="26"/>
  <c r="V1913" i="26"/>
  <c r="V1914" i="26"/>
  <c r="V1915" i="26"/>
  <c r="V1916" i="26"/>
  <c r="V1917" i="26"/>
  <c r="V1918" i="26"/>
  <c r="V1919" i="26"/>
  <c r="O1920" i="26"/>
  <c r="V1920" i="26" s="1"/>
  <c r="O1921" i="26"/>
  <c r="V1921" i="26" s="1"/>
  <c r="O1922" i="26"/>
  <c r="V1922" i="26" s="1"/>
  <c r="O1923" i="26"/>
  <c r="V1923" i="26" s="1"/>
  <c r="O1924" i="26"/>
  <c r="V1924" i="26" s="1"/>
  <c r="O1925" i="26"/>
  <c r="V1925" i="26" s="1"/>
  <c r="O1926" i="26"/>
  <c r="V1926" i="26" s="1"/>
  <c r="O1928" i="26"/>
  <c r="V1928" i="26" s="1"/>
  <c r="O1929" i="26"/>
  <c r="V1929" i="26" s="1"/>
  <c r="O1930" i="26"/>
  <c r="V1930" i="26" s="1"/>
  <c r="O1931" i="26"/>
  <c r="V1931" i="26" s="1"/>
  <c r="O1932" i="26"/>
  <c r="V1932" i="26" s="1"/>
  <c r="O1933" i="26"/>
  <c r="V1933" i="26" s="1"/>
  <c r="O1934" i="26"/>
  <c r="V1934" i="26" s="1"/>
  <c r="O1935" i="26"/>
  <c r="V1935" i="26" s="1"/>
  <c r="O1936" i="26"/>
  <c r="V1936" i="26" s="1"/>
  <c r="O1937" i="26"/>
  <c r="V1937" i="26" s="1"/>
  <c r="O1938" i="26"/>
  <c r="V1938" i="26" s="1"/>
  <c r="O1939" i="26"/>
  <c r="V1939" i="26" s="1"/>
  <c r="O1940" i="26"/>
  <c r="V1940" i="26" s="1"/>
  <c r="O1941" i="26"/>
  <c r="V1941" i="26" s="1"/>
  <c r="O1942" i="26"/>
  <c r="V1942" i="26" s="1"/>
  <c r="O1943" i="26"/>
  <c r="V1943" i="26" s="1"/>
  <c r="O1944" i="26"/>
  <c r="V1944" i="26" s="1"/>
  <c r="O1945" i="26"/>
  <c r="V1945" i="26" s="1"/>
  <c r="O1946" i="26"/>
  <c r="V1946" i="26" s="1"/>
  <c r="O1947" i="26"/>
  <c r="V1947" i="26" s="1"/>
  <c r="O1948" i="26"/>
  <c r="V1948" i="26" s="1"/>
  <c r="O1949" i="26"/>
  <c r="V1949" i="26" s="1"/>
  <c r="O1950" i="26"/>
  <c r="V1950" i="26" s="1"/>
  <c r="O1951" i="26"/>
  <c r="V1951" i="26" s="1"/>
  <c r="O1952" i="26"/>
  <c r="V1952" i="26" s="1"/>
  <c r="O1953" i="26"/>
  <c r="V1953" i="26" s="1"/>
  <c r="O1954" i="26"/>
  <c r="V1954" i="26" s="1"/>
  <c r="O1955" i="26"/>
  <c r="V1955" i="26" s="1"/>
  <c r="O1956" i="26"/>
  <c r="V1956" i="26" s="1"/>
  <c r="O1957" i="26"/>
  <c r="V1957" i="26" s="1"/>
  <c r="O1958" i="26"/>
  <c r="V1958" i="26" s="1"/>
  <c r="O1959" i="26"/>
  <c r="V1959" i="26" s="1"/>
  <c r="O1960" i="26"/>
  <c r="V1960" i="26" s="1"/>
  <c r="O1961" i="26"/>
  <c r="V1961" i="26" s="1"/>
  <c r="O1962" i="26"/>
  <c r="V1962" i="26" s="1"/>
  <c r="O1963" i="26"/>
  <c r="V1963" i="26" s="1"/>
  <c r="O1964" i="26"/>
  <c r="V1964" i="26" s="1"/>
  <c r="O1965" i="26"/>
  <c r="V1965" i="26" s="1"/>
  <c r="O1966" i="26"/>
  <c r="V1966" i="26" s="1"/>
  <c r="O1967" i="26"/>
  <c r="V1967" i="26" s="1"/>
  <c r="O1968" i="26"/>
  <c r="V1968" i="26" s="1"/>
  <c r="O1969" i="26"/>
  <c r="V1969" i="26" s="1"/>
  <c r="O1970" i="26"/>
  <c r="V1970" i="26" s="1"/>
  <c r="O1971" i="26"/>
  <c r="V1971" i="26" s="1"/>
  <c r="O1972" i="26"/>
  <c r="V1972" i="26" s="1"/>
  <c r="O1973" i="26"/>
  <c r="V1973" i="26" s="1"/>
  <c r="O1974" i="26"/>
  <c r="V1974" i="26" s="1"/>
  <c r="O1975" i="26"/>
  <c r="V1975" i="26" s="1"/>
  <c r="O1976" i="26"/>
  <c r="V1976" i="26" s="1"/>
  <c r="O1977" i="26"/>
  <c r="V1977" i="26" s="1"/>
  <c r="O1978" i="26"/>
  <c r="V1978" i="26" s="1"/>
  <c r="O1979" i="26"/>
  <c r="V1979" i="26" s="1"/>
  <c r="O1980" i="26"/>
  <c r="V1980" i="26" s="1"/>
  <c r="O1981" i="26"/>
  <c r="V1981" i="26" s="1"/>
  <c r="O1982" i="26"/>
  <c r="V1982" i="26" s="1"/>
  <c r="O1983" i="26"/>
  <c r="V1983" i="26" s="1"/>
  <c r="O1984" i="26"/>
  <c r="V1984" i="26" s="1"/>
  <c r="O1985" i="26"/>
  <c r="V1985" i="26" s="1"/>
  <c r="O1986" i="26"/>
  <c r="V1986" i="26" s="1"/>
  <c r="O1987" i="26"/>
  <c r="V1987" i="26" s="1"/>
  <c r="O1988" i="26"/>
  <c r="V1988" i="26" s="1"/>
  <c r="O1989" i="26"/>
  <c r="V1989" i="26" s="1"/>
  <c r="O1990" i="26"/>
  <c r="V1990" i="26" s="1"/>
  <c r="O1991" i="26"/>
  <c r="V1991" i="26" s="1"/>
  <c r="O1992" i="26"/>
  <c r="V1992" i="26" s="1"/>
  <c r="O1993" i="26"/>
  <c r="V1993" i="26" s="1"/>
  <c r="O1994" i="26"/>
  <c r="V1994" i="26" s="1"/>
  <c r="O1995" i="26"/>
  <c r="V1995" i="26" s="1"/>
  <c r="O1996" i="26"/>
  <c r="V1996" i="26" s="1"/>
  <c r="O1997" i="26"/>
  <c r="V1997" i="26" s="1"/>
  <c r="O1998" i="26"/>
  <c r="V1998" i="26" s="1"/>
  <c r="O1999" i="26"/>
  <c r="V1999" i="26" s="1"/>
  <c r="O2000" i="26"/>
  <c r="V2000" i="26" s="1"/>
  <c r="O2001" i="26"/>
  <c r="V2001" i="26" s="1"/>
  <c r="O2002" i="26"/>
  <c r="V2002" i="26" s="1"/>
  <c r="O2003" i="26"/>
  <c r="V2003" i="26" s="1"/>
  <c r="O2004" i="26"/>
  <c r="V2004" i="26" s="1"/>
  <c r="O2005" i="26"/>
  <c r="V2005" i="26" s="1"/>
  <c r="O2006" i="26"/>
  <c r="V2006" i="26" s="1"/>
  <c r="O2007" i="26"/>
  <c r="V2007" i="26" s="1"/>
  <c r="O2008" i="26"/>
  <c r="V2008" i="26" s="1"/>
  <c r="O2009" i="26"/>
  <c r="V2009" i="26" s="1"/>
  <c r="O2010" i="26"/>
  <c r="V2010" i="26" s="1"/>
  <c r="O2011" i="26"/>
  <c r="V2011" i="26" s="1"/>
  <c r="O2012" i="26"/>
  <c r="V2012" i="26" s="1"/>
  <c r="O2013" i="26"/>
  <c r="V2013" i="26" s="1"/>
  <c r="O2014" i="26"/>
  <c r="V2014" i="26" s="1"/>
  <c r="O2015" i="26"/>
  <c r="V2015" i="26" s="1"/>
  <c r="O2016" i="26"/>
  <c r="V2016" i="26" s="1"/>
  <c r="O2017" i="26"/>
  <c r="V2017" i="26" s="1"/>
  <c r="O2018" i="26"/>
  <c r="V2018" i="26" s="1"/>
  <c r="O2019" i="26"/>
  <c r="V2019" i="26" s="1"/>
  <c r="O2020" i="26"/>
  <c r="V2020" i="26" s="1"/>
  <c r="O2021" i="26"/>
  <c r="V2021" i="26" s="1"/>
  <c r="O2022" i="26"/>
  <c r="V2022" i="26" s="1"/>
  <c r="O2023" i="26"/>
  <c r="V2023" i="26" s="1"/>
  <c r="O2024" i="26"/>
  <c r="V2024" i="26" s="1"/>
  <c r="O2025" i="26"/>
  <c r="V2025" i="26" s="1"/>
  <c r="O2026" i="26"/>
  <c r="V2026" i="26" s="1"/>
  <c r="O2027" i="26"/>
  <c r="V2027" i="26" s="1"/>
  <c r="O2028" i="26"/>
  <c r="V2028" i="26" s="1"/>
  <c r="O2029" i="26"/>
  <c r="V2029" i="26" s="1"/>
  <c r="O2030" i="26"/>
  <c r="V2030" i="26" s="1"/>
  <c r="O2031" i="26"/>
  <c r="V2031" i="26" s="1"/>
  <c r="O2032" i="26"/>
  <c r="V2032" i="26" s="1"/>
  <c r="O2033" i="26"/>
  <c r="V2033" i="26" s="1"/>
  <c r="O2034" i="26"/>
  <c r="V2034" i="26" s="1"/>
  <c r="O2035" i="26"/>
  <c r="V2035" i="26" s="1"/>
  <c r="O2036" i="26"/>
  <c r="V2036" i="26" s="1"/>
  <c r="O2037" i="26"/>
  <c r="V2037" i="26" s="1"/>
  <c r="O2038" i="26"/>
  <c r="V2038" i="26" s="1"/>
  <c r="O2039" i="26"/>
  <c r="V2039" i="26" s="1"/>
  <c r="O2040" i="26"/>
  <c r="V2040" i="26" s="1"/>
  <c r="O2041" i="26"/>
  <c r="V2041" i="26" s="1"/>
  <c r="O2042" i="26"/>
  <c r="V2042" i="26" s="1"/>
  <c r="O2043" i="26"/>
  <c r="V2043" i="26" s="1"/>
  <c r="O2044" i="26"/>
  <c r="V2044" i="26" s="1"/>
  <c r="O2045" i="26"/>
  <c r="V2045" i="26" s="1"/>
  <c r="O2046" i="26"/>
  <c r="V2046" i="26" s="1"/>
  <c r="O2047" i="26"/>
  <c r="V2047" i="26" s="1"/>
  <c r="O2048" i="26"/>
  <c r="V2048" i="26" s="1"/>
  <c r="O2049" i="26"/>
  <c r="V2049" i="26" s="1"/>
  <c r="O2050" i="26"/>
  <c r="V2050" i="26" s="1"/>
  <c r="O2051" i="26"/>
  <c r="V2051" i="26" s="1"/>
  <c r="O2052" i="26"/>
  <c r="V2052" i="26" s="1"/>
  <c r="O2053" i="26"/>
  <c r="V2053" i="26" s="1"/>
  <c r="O2054" i="26"/>
  <c r="V2054" i="26" s="1"/>
  <c r="O2055" i="26"/>
  <c r="V2055" i="26" s="1"/>
  <c r="O2056" i="26"/>
  <c r="V2056" i="26" s="1"/>
  <c r="O2057" i="26"/>
  <c r="V2057" i="26" s="1"/>
  <c r="O2058" i="26"/>
  <c r="V2058" i="26" s="1"/>
  <c r="O2059" i="26"/>
  <c r="V2059" i="26" s="1"/>
  <c r="O2060" i="26"/>
  <c r="V2060" i="26" s="1"/>
  <c r="O2061" i="26"/>
  <c r="V2061" i="26" s="1"/>
  <c r="O2062" i="26"/>
  <c r="V2062" i="26" s="1"/>
  <c r="O2063" i="26"/>
  <c r="V2063" i="26" s="1"/>
  <c r="O2064" i="26"/>
  <c r="V2064" i="26" s="1"/>
  <c r="O2065" i="26"/>
  <c r="V2065" i="26" s="1"/>
  <c r="O2066" i="26"/>
  <c r="V2066" i="26" s="1"/>
  <c r="O2067" i="26"/>
  <c r="V2067" i="26" s="1"/>
  <c r="O2068" i="26"/>
  <c r="V2068" i="26" s="1"/>
  <c r="O2069" i="26"/>
  <c r="V2069" i="26" s="1"/>
  <c r="O2070" i="26"/>
  <c r="V2070" i="26" s="1"/>
  <c r="O2071" i="26"/>
  <c r="V2071" i="26" s="1"/>
  <c r="O2072" i="26"/>
  <c r="V2072" i="26" s="1"/>
  <c r="O2073" i="26"/>
  <c r="V2073" i="26" s="1"/>
  <c r="O2074" i="26"/>
  <c r="V2074" i="26" s="1"/>
  <c r="O2075" i="26"/>
  <c r="V2075" i="26" s="1"/>
  <c r="O2076" i="26"/>
  <c r="V2076" i="26" s="1"/>
  <c r="O2077" i="26"/>
  <c r="V2077" i="26" s="1"/>
  <c r="O2078" i="26"/>
  <c r="V2078" i="26" s="1"/>
  <c r="O2079" i="26"/>
  <c r="V2079" i="26" s="1"/>
  <c r="O2080" i="26"/>
  <c r="V2080" i="26" s="1"/>
  <c r="O2081" i="26"/>
  <c r="V2081" i="26" s="1"/>
  <c r="O2082" i="26"/>
  <c r="V2082" i="26" s="1"/>
  <c r="O2083" i="26"/>
  <c r="V2083" i="26" s="1"/>
  <c r="O2084" i="26"/>
  <c r="V2084" i="26" s="1"/>
  <c r="O2085" i="26"/>
  <c r="V2085" i="26" s="1"/>
  <c r="O2086" i="26"/>
  <c r="V2086" i="26" s="1"/>
  <c r="O2087" i="26"/>
  <c r="V2087" i="26" s="1"/>
  <c r="O2088" i="26"/>
  <c r="V2088" i="26" s="1"/>
  <c r="O2089" i="26"/>
  <c r="V2089" i="26" s="1"/>
  <c r="O2090" i="26"/>
  <c r="V2090" i="26" s="1"/>
  <c r="O2091" i="26"/>
  <c r="V2091" i="26" s="1"/>
  <c r="O2092" i="26"/>
  <c r="V2092" i="26" s="1"/>
  <c r="O2093" i="26"/>
  <c r="V2093" i="26" s="1"/>
  <c r="O2094" i="26"/>
  <c r="V2094" i="26" s="1"/>
  <c r="O2095" i="26"/>
  <c r="V2095" i="26" s="1"/>
  <c r="O2096" i="26"/>
  <c r="V2096" i="26" s="1"/>
  <c r="O2097" i="26"/>
  <c r="V2097" i="26" s="1"/>
  <c r="O2098" i="26"/>
  <c r="V2098" i="26" s="1"/>
  <c r="O2099" i="26"/>
  <c r="V2099" i="26" s="1"/>
  <c r="O2100" i="26"/>
  <c r="V2100" i="26" s="1"/>
  <c r="O2101" i="26"/>
  <c r="V2101" i="26" s="1"/>
  <c r="O2102" i="26"/>
  <c r="V2102" i="26" s="1"/>
  <c r="O2103" i="26"/>
  <c r="V2103" i="26" s="1"/>
  <c r="O2104" i="26"/>
  <c r="V2104" i="26" s="1"/>
  <c r="O2105" i="26"/>
  <c r="V2105" i="26" s="1"/>
  <c r="O2106" i="26"/>
  <c r="V2106" i="26" s="1"/>
  <c r="O2107" i="26"/>
  <c r="V2107" i="26" s="1"/>
  <c r="O2108" i="26"/>
  <c r="V2108" i="26" s="1"/>
  <c r="O2109" i="26"/>
  <c r="V2109" i="26" s="1"/>
  <c r="O2110" i="26"/>
  <c r="V2110" i="26" s="1"/>
  <c r="O2111" i="26"/>
  <c r="V2111" i="26" s="1"/>
  <c r="O2112" i="26"/>
  <c r="V2112" i="26" s="1"/>
  <c r="O2113" i="26"/>
  <c r="V2113" i="26" s="1"/>
  <c r="O2114" i="26"/>
  <c r="V2114" i="26" s="1"/>
  <c r="O2115" i="26"/>
  <c r="V2115" i="26" s="1"/>
  <c r="O2116" i="26"/>
  <c r="V2116" i="26" s="1"/>
  <c r="O2117" i="26"/>
  <c r="V2117" i="26" s="1"/>
  <c r="O2118" i="26"/>
  <c r="V2118" i="26" s="1"/>
  <c r="O2119" i="26"/>
  <c r="V2119" i="26" s="1"/>
  <c r="O2120" i="26"/>
  <c r="V2120" i="26" s="1"/>
  <c r="O2121" i="26"/>
  <c r="V2121" i="26" s="1"/>
  <c r="O2122" i="26"/>
  <c r="V2122" i="26" s="1"/>
  <c r="O2123" i="26"/>
  <c r="V2123" i="26" s="1"/>
  <c r="O2124" i="26"/>
  <c r="V2124" i="26" s="1"/>
  <c r="O2125" i="26"/>
  <c r="V2125" i="26" s="1"/>
  <c r="O2126" i="26"/>
  <c r="V2126" i="26" s="1"/>
  <c r="O2127" i="26"/>
  <c r="V2127" i="26" s="1"/>
  <c r="O2128" i="26"/>
  <c r="V2128" i="26" s="1"/>
  <c r="O2129" i="26"/>
  <c r="V2129" i="26" s="1"/>
  <c r="O2130" i="26"/>
  <c r="V2130" i="26" s="1"/>
  <c r="O2131" i="26"/>
  <c r="V2131" i="26" s="1"/>
  <c r="O2132" i="26"/>
  <c r="V2132" i="26" s="1"/>
  <c r="O2133" i="26"/>
  <c r="V2133" i="26" s="1"/>
  <c r="O2134" i="26"/>
  <c r="V2134" i="26" s="1"/>
  <c r="O2135" i="26"/>
  <c r="V2135" i="26" s="1"/>
  <c r="O2136" i="26"/>
  <c r="V2136" i="26" s="1"/>
  <c r="O2137" i="26"/>
  <c r="V2137" i="26" s="1"/>
  <c r="O2138" i="26"/>
  <c r="V2138" i="26" s="1"/>
  <c r="O2139" i="26"/>
  <c r="V2139" i="26" s="1"/>
  <c r="O2140" i="26"/>
  <c r="V2140" i="26" s="1"/>
  <c r="O2141" i="26"/>
  <c r="V2141" i="26" s="1"/>
  <c r="O2142" i="26"/>
  <c r="V2142" i="26" s="1"/>
  <c r="O2143" i="26"/>
  <c r="V2143" i="26" s="1"/>
  <c r="O2144" i="26"/>
  <c r="V2144" i="26" s="1"/>
  <c r="O2145" i="26"/>
  <c r="V2145" i="26" s="1"/>
  <c r="O2146" i="26"/>
  <c r="V2146" i="26" s="1"/>
  <c r="O2147" i="26"/>
  <c r="V2147" i="26" s="1"/>
  <c r="O2148" i="26"/>
  <c r="V2148" i="26" s="1"/>
  <c r="O2149" i="26"/>
  <c r="V2149" i="26" s="1"/>
  <c r="O2150" i="26"/>
  <c r="V2150" i="26" s="1"/>
  <c r="O2151" i="26"/>
  <c r="V2151" i="26" s="1"/>
  <c r="O2152" i="26"/>
  <c r="V2152" i="26" s="1"/>
  <c r="O2153" i="26"/>
  <c r="V2153" i="26" s="1"/>
  <c r="O2154" i="26"/>
  <c r="V2154" i="26" s="1"/>
  <c r="O2155" i="26"/>
  <c r="V2155" i="26" s="1"/>
  <c r="O2156" i="26"/>
  <c r="V2156" i="26" s="1"/>
  <c r="O2157" i="26"/>
  <c r="V2157" i="26" s="1"/>
  <c r="O2158" i="26"/>
  <c r="V2158" i="26" s="1"/>
  <c r="O2159" i="26"/>
  <c r="V2159" i="26" s="1"/>
  <c r="O2160" i="26"/>
  <c r="V2160" i="26" s="1"/>
  <c r="O2161" i="26"/>
  <c r="V2161" i="26" s="1"/>
  <c r="O2162" i="26"/>
  <c r="V2162" i="26" s="1"/>
  <c r="O2163" i="26"/>
  <c r="V2163" i="26" s="1"/>
  <c r="O2164" i="26"/>
  <c r="V2164" i="26" s="1"/>
  <c r="O2165" i="26"/>
  <c r="V2165" i="26" s="1"/>
  <c r="O2166" i="26"/>
  <c r="V2166" i="26" s="1"/>
  <c r="O2167" i="26"/>
  <c r="V2167" i="26" s="1"/>
  <c r="O2168" i="26"/>
  <c r="V2168" i="26" s="1"/>
  <c r="O2169" i="26"/>
  <c r="V2169" i="26" s="1"/>
  <c r="O2170" i="26"/>
  <c r="V2170" i="26" s="1"/>
  <c r="O2171" i="26"/>
  <c r="V2171" i="26" s="1"/>
  <c r="O2172" i="26"/>
  <c r="V2172" i="26" s="1"/>
  <c r="O2173" i="26"/>
  <c r="V2173" i="26" s="1"/>
  <c r="O2174" i="26"/>
  <c r="V2174" i="26" s="1"/>
  <c r="O2175" i="26"/>
  <c r="V2175" i="26" s="1"/>
  <c r="O2176" i="26"/>
  <c r="V2176" i="26" s="1"/>
  <c r="O2177" i="26"/>
  <c r="V2177" i="26" s="1"/>
  <c r="O2178" i="26"/>
  <c r="V2178" i="26" s="1"/>
  <c r="O2179" i="26"/>
  <c r="V2179" i="26" s="1"/>
  <c r="O2180" i="26"/>
  <c r="V2180" i="26" s="1"/>
  <c r="O2181" i="26"/>
  <c r="V2181" i="26" s="1"/>
  <c r="O2182" i="26"/>
  <c r="V2182" i="26" s="1"/>
  <c r="O2183" i="26"/>
  <c r="V2183" i="26" s="1"/>
  <c r="O2184" i="26"/>
  <c r="V2184" i="26" s="1"/>
  <c r="O2185" i="26"/>
  <c r="V2185" i="26" s="1"/>
  <c r="O2186" i="26"/>
  <c r="V2186" i="26" s="1"/>
  <c r="O2187" i="26"/>
  <c r="V2187" i="26" s="1"/>
  <c r="O2188" i="26"/>
  <c r="V2188" i="26" s="1"/>
  <c r="O2189" i="26"/>
  <c r="V2189" i="26" s="1"/>
  <c r="O2190" i="26"/>
  <c r="V2190" i="26" s="1"/>
  <c r="O2191" i="26"/>
  <c r="V2191" i="26" s="1"/>
  <c r="O2192" i="26"/>
  <c r="V2192" i="26" s="1"/>
  <c r="O2193" i="26"/>
  <c r="V2193" i="26" s="1"/>
  <c r="O2194" i="26"/>
  <c r="V2194" i="26" s="1"/>
  <c r="O2195" i="26"/>
  <c r="V2195" i="26" s="1"/>
  <c r="O2196" i="26"/>
  <c r="V2196" i="26" s="1"/>
  <c r="O2197" i="26"/>
  <c r="V2197" i="26" s="1"/>
  <c r="O2198" i="26"/>
  <c r="V2198" i="26" s="1"/>
  <c r="O2199" i="26"/>
  <c r="V2199" i="26" s="1"/>
  <c r="O2200" i="26"/>
  <c r="V2200" i="26" s="1"/>
  <c r="O2201" i="26"/>
  <c r="V2201" i="26" s="1"/>
  <c r="O2202" i="26"/>
  <c r="V2202" i="26" s="1"/>
  <c r="O2203" i="26"/>
  <c r="V2203" i="26" s="1"/>
  <c r="O2204" i="26"/>
  <c r="V2204" i="26" s="1"/>
  <c r="O2205" i="26"/>
  <c r="V2205" i="26" s="1"/>
  <c r="O2206" i="26"/>
  <c r="V2206" i="26" s="1"/>
  <c r="O2207" i="26"/>
  <c r="V2207" i="26" s="1"/>
  <c r="O2208" i="26"/>
  <c r="V2208" i="26" s="1"/>
  <c r="O2209" i="26"/>
  <c r="V2209" i="26" s="1"/>
  <c r="O2210" i="26"/>
  <c r="V2210" i="26" s="1"/>
  <c r="O2211" i="26"/>
  <c r="V2211" i="26" s="1"/>
  <c r="O2212" i="26"/>
  <c r="V2212" i="26" s="1"/>
  <c r="O2213" i="26"/>
  <c r="V2213" i="26" s="1"/>
  <c r="O2214" i="26"/>
  <c r="V2214" i="26" s="1"/>
  <c r="O2215" i="26"/>
  <c r="V2215" i="26" s="1"/>
  <c r="O2216" i="26"/>
  <c r="V2216" i="26" s="1"/>
  <c r="O2217" i="26"/>
  <c r="V2217" i="26" s="1"/>
  <c r="O2218" i="26"/>
  <c r="V2218" i="26" s="1"/>
  <c r="O2219" i="26"/>
  <c r="V2219" i="26" s="1"/>
  <c r="O2220" i="26"/>
  <c r="V2220" i="26" s="1"/>
  <c r="O2221" i="26"/>
  <c r="V2221" i="26" s="1"/>
  <c r="O2222" i="26"/>
  <c r="V2222" i="26" s="1"/>
  <c r="O2223" i="26"/>
  <c r="V2223" i="26" s="1"/>
  <c r="O2224" i="26"/>
  <c r="V2224" i="26" s="1"/>
  <c r="O2225" i="26"/>
  <c r="V2225" i="26" s="1"/>
  <c r="O2226" i="26"/>
  <c r="V2226" i="26" s="1"/>
  <c r="O2227" i="26"/>
  <c r="V2227" i="26" s="1"/>
  <c r="O2228" i="26"/>
  <c r="V2228" i="26" s="1"/>
  <c r="O2229" i="26"/>
  <c r="V2229" i="26" s="1"/>
  <c r="O2230" i="26"/>
  <c r="V2230" i="26" s="1"/>
  <c r="O2231" i="26"/>
  <c r="V2231" i="26" s="1"/>
  <c r="O2232" i="26"/>
  <c r="V2232" i="26" s="1"/>
  <c r="O2233" i="26"/>
  <c r="V2233" i="26" s="1"/>
  <c r="O2234" i="26"/>
  <c r="V2234" i="26" s="1"/>
  <c r="O2235" i="26"/>
  <c r="V2235" i="26" s="1"/>
  <c r="O2238" i="26"/>
  <c r="V2238" i="26" s="1"/>
  <c r="O2239" i="26"/>
  <c r="V2239" i="26" s="1"/>
  <c r="O2240" i="26"/>
  <c r="V2240" i="26" s="1"/>
  <c r="O2241" i="26"/>
  <c r="V2241" i="26" s="1"/>
  <c r="O2242" i="26"/>
  <c r="V2242" i="26" s="1"/>
  <c r="O2243" i="26"/>
  <c r="V2243" i="26" s="1"/>
  <c r="O2244" i="26"/>
  <c r="V2244" i="26" s="1"/>
  <c r="O2245" i="26"/>
  <c r="V2245" i="26" s="1"/>
  <c r="O2246" i="26"/>
  <c r="V2246" i="26" s="1"/>
  <c r="O2247" i="26"/>
  <c r="V2247" i="26" s="1"/>
  <c r="O2248" i="26"/>
  <c r="V2248" i="26" s="1"/>
  <c r="O2249" i="26"/>
  <c r="V2249" i="26" s="1"/>
  <c r="O2250" i="26"/>
  <c r="V2250" i="26" s="1"/>
  <c r="O2251" i="26"/>
  <c r="V2251" i="26" s="1"/>
  <c r="O2252" i="26"/>
  <c r="V2252" i="26" s="1"/>
  <c r="O2253" i="26"/>
  <c r="V2253" i="26" s="1"/>
  <c r="O2254" i="26"/>
  <c r="V2254" i="26" s="1"/>
  <c r="O2255" i="26"/>
  <c r="V2255" i="26" s="1"/>
  <c r="O2256" i="26"/>
  <c r="V2256" i="26" s="1"/>
  <c r="O2257" i="26"/>
  <c r="V2257" i="26" s="1"/>
  <c r="O2258" i="26"/>
  <c r="V2258" i="26" s="1"/>
  <c r="O2259" i="26"/>
  <c r="V2259" i="26" s="1"/>
  <c r="O2260" i="26"/>
  <c r="V2260" i="26" s="1"/>
  <c r="O2261" i="26"/>
  <c r="V2261" i="26" s="1"/>
  <c r="O2262" i="26"/>
  <c r="V2262" i="26" s="1"/>
  <c r="O2263" i="26"/>
  <c r="V2263" i="26" s="1"/>
  <c r="O2264" i="26"/>
  <c r="V2264" i="26" s="1"/>
  <c r="O2265" i="26"/>
  <c r="V2265" i="26" s="1"/>
  <c r="O2266" i="26"/>
  <c r="V2266" i="26" s="1"/>
  <c r="V1588" i="26" l="1"/>
  <c r="V1576" i="26"/>
  <c r="V1564" i="26"/>
  <c r="V1552" i="26"/>
  <c r="V1540" i="26"/>
  <c r="V1528" i="26"/>
  <c r="V1516" i="26"/>
  <c r="V1504" i="26"/>
  <c r="V1492" i="26"/>
  <c r="V1480" i="26"/>
  <c r="V1468" i="26"/>
  <c r="V1456" i="26"/>
  <c r="V1432" i="26"/>
  <c r="V1420" i="26"/>
  <c r="V1408" i="26"/>
  <c r="V1396" i="26"/>
  <c r="V1384" i="26"/>
  <c r="V1372" i="26"/>
  <c r="V1360" i="26"/>
  <c r="V1348" i="26"/>
  <c r="V1336" i="26"/>
  <c r="V1324" i="26"/>
  <c r="V1312" i="26"/>
  <c r="V1300" i="26"/>
  <c r="V1288" i="26"/>
  <c r="V1276" i="26"/>
  <c r="V1264" i="26"/>
  <c r="V1252" i="26"/>
  <c r="V1240" i="26"/>
  <c r="V1228" i="26"/>
  <c r="V1505" i="26"/>
  <c r="V1397" i="26"/>
  <c r="V1337" i="26"/>
  <c r="V1277" i="26"/>
  <c r="V1553" i="26"/>
  <c r="V1493" i="26"/>
  <c r="V1409" i="26"/>
  <c r="V1361" i="26"/>
  <c r="V1265" i="26"/>
  <c r="V1541" i="26"/>
  <c r="V1481" i="26"/>
  <c r="V1385" i="26"/>
  <c r="V1325" i="26"/>
  <c r="V1253" i="26"/>
  <c r="V1587" i="26"/>
  <c r="V1575" i="26"/>
  <c r="V1563" i="26"/>
  <c r="V1551" i="26"/>
  <c r="V1539" i="26"/>
  <c r="V1527" i="26"/>
  <c r="V1515" i="26"/>
  <c r="V1503" i="26"/>
  <c r="V1491" i="26"/>
  <c r="V1479" i="26"/>
  <c r="V1467" i="26"/>
  <c r="V1455" i="26"/>
  <c r="V1443" i="26"/>
  <c r="V1431" i="26"/>
  <c r="V1419" i="26"/>
  <c r="V1407" i="26"/>
  <c r="V1395" i="26"/>
  <c r="V1383" i="26"/>
  <c r="V1371" i="26"/>
  <c r="V1359" i="26"/>
  <c r="V1347" i="26"/>
  <c r="V1335" i="26"/>
  <c r="V1589" i="26"/>
  <c r="V1469" i="26"/>
  <c r="V1373" i="26"/>
  <c r="V1241" i="26"/>
  <c r="V1586" i="26"/>
  <c r="V1574" i="26"/>
  <c r="V1562" i="26"/>
  <c r="V1550" i="26"/>
  <c r="V1538" i="26"/>
  <c r="V1526" i="26"/>
  <c r="V1514" i="26"/>
  <c r="V1565" i="26"/>
  <c r="V1457" i="26"/>
  <c r="V1313" i="26"/>
  <c r="V1577" i="26"/>
  <c r="V1445" i="26"/>
  <c r="V1289" i="26"/>
  <c r="V1529" i="26"/>
  <c r="V1421" i="26"/>
  <c r="V1301" i="26"/>
  <c r="V1517" i="26"/>
  <c r="V1433" i="26"/>
  <c r="V1349" i="26"/>
  <c r="V1229" i="26"/>
  <c r="V1579" i="26"/>
  <c r="V1567" i="26"/>
  <c r="V1555" i="26"/>
  <c r="V1543" i="26"/>
  <c r="V1531" i="26"/>
  <c r="V1519" i="26"/>
  <c r="V1507" i="26"/>
  <c r="V1495" i="26"/>
  <c r="V1483" i="26"/>
  <c r="V1471" i="26"/>
  <c r="V1459" i="26"/>
  <c r="V1447" i="26"/>
  <c r="V1435" i="26"/>
  <c r="V1423" i="26"/>
  <c r="V1411" i="26"/>
  <c r="V1399" i="26"/>
  <c r="V1387" i="26"/>
  <c r="V1375" i="26"/>
  <c r="V1363" i="26"/>
  <c r="V1351" i="26"/>
  <c r="V1339" i="26"/>
  <c r="V1327" i="26"/>
  <c r="V1315" i="26"/>
  <c r="V1303" i="26"/>
  <c r="V1291" i="26"/>
  <c r="V1279" i="26"/>
  <c r="V1267" i="26"/>
  <c r="V1255" i="26"/>
  <c r="V1243" i="26"/>
  <c r="V1231" i="26"/>
  <c r="V1578" i="26"/>
  <c r="V1566" i="26"/>
  <c r="V1502" i="26"/>
  <c r="V1490" i="26"/>
  <c r="V1478" i="26"/>
  <c r="V1466" i="26"/>
  <c r="V1454" i="26"/>
  <c r="V1442" i="26"/>
  <c r="V1554" i="26"/>
  <c r="V1542" i="26"/>
  <c r="V1530" i="26"/>
  <c r="V1518" i="26"/>
  <c r="V1506" i="26"/>
  <c r="V1494" i="26"/>
  <c r="V1482" i="26"/>
  <c r="V1470" i="26"/>
  <c r="V1458" i="26"/>
  <c r="V1446" i="26"/>
  <c r="V1434" i="26"/>
  <c r="V1422" i="26"/>
  <c r="V1410" i="26"/>
  <c r="V1398" i="26"/>
  <c r="V1386" i="26"/>
  <c r="V1374" i="26"/>
  <c r="V1362" i="26"/>
  <c r="V1350" i="26"/>
  <c r="V1338" i="26"/>
  <c r="V1326" i="26"/>
  <c r="V1314" i="26"/>
  <c r="V1302" i="26"/>
  <c r="V1290" i="26"/>
  <c r="V1278" i="26"/>
  <c r="V1266" i="26"/>
  <c r="V1254" i="26"/>
  <c r="V1242" i="26"/>
  <c r="V1230" i="26"/>
  <c r="V1323" i="26"/>
  <c r="V1311" i="26"/>
  <c r="V1299" i="26"/>
  <c r="V1287" i="26"/>
  <c r="V1275" i="26"/>
  <c r="V1263" i="26"/>
  <c r="V1251" i="26"/>
  <c r="V1239" i="26"/>
  <c r="V1227" i="26"/>
  <c r="V1581" i="26"/>
  <c r="V1569" i="26"/>
  <c r="V1557" i="26"/>
  <c r="V1545" i="26"/>
  <c r="V1533" i="26"/>
  <c r="V1521" i="26"/>
  <c r="V1509" i="26"/>
  <c r="V1497" i="26"/>
  <c r="V1485" i="26"/>
  <c r="V1473" i="26"/>
  <c r="V1461" i="26"/>
  <c r="V1449" i="26"/>
  <c r="V1437" i="26"/>
  <c r="V1425" i="26"/>
  <c r="V1413" i="26"/>
  <c r="V1401" i="26"/>
  <c r="V1389" i="26"/>
  <c r="V1377" i="26"/>
  <c r="V1365" i="26"/>
  <c r="V1353" i="26"/>
  <c r="V1341" i="26"/>
  <c r="V1329" i="26"/>
  <c r="V1317" i="26"/>
  <c r="V1305" i="26"/>
  <c r="V1293" i="26"/>
  <c r="V1281" i="26"/>
  <c r="V1269" i="26"/>
  <c r="V1257" i="26"/>
  <c r="V1245" i="26"/>
  <c r="V1233" i="26"/>
  <c r="V1430" i="26"/>
  <c r="V1418" i="26"/>
  <c r="V1406" i="26"/>
  <c r="V1394" i="26"/>
  <c r="V1382" i="26"/>
  <c r="V1370" i="26"/>
  <c r="V1358" i="26"/>
  <c r="V1346" i="26"/>
  <c r="V1334" i="26"/>
  <c r="V1322" i="26"/>
  <c r="V1310" i="26"/>
  <c r="V1298" i="26"/>
  <c r="V1286" i="26"/>
  <c r="V1274" i="26"/>
  <c r="V1262" i="26"/>
  <c r="V1250" i="26"/>
  <c r="V1238" i="26"/>
  <c r="V1226" i="26"/>
  <c r="V1444" i="26"/>
  <c r="V1582" i="26"/>
  <c r="V1570" i="26"/>
  <c r="V1558" i="26"/>
  <c r="V1546" i="26"/>
  <c r="V1534" i="26"/>
  <c r="V1522" i="26"/>
  <c r="V1510" i="26"/>
  <c r="V1498" i="26"/>
  <c r="V1486" i="26"/>
  <c r="V1474" i="26"/>
  <c r="V1462" i="26"/>
  <c r="V1450" i="26"/>
  <c r="V1438" i="26"/>
  <c r="V1426" i="26"/>
  <c r="V1414" i="26"/>
  <c r="V1402" i="26"/>
  <c r="V1390" i="26"/>
  <c r="V1378" i="26"/>
  <c r="V1366" i="26"/>
  <c r="V1354" i="26"/>
  <c r="V1342" i="26"/>
  <c r="V1330" i="26"/>
  <c r="V1318" i="26"/>
  <c r="V1306" i="26"/>
  <c r="V1294" i="26"/>
  <c r="V1282" i="26"/>
  <c r="V1270" i="26"/>
  <c r="V1258" i="26"/>
  <c r="V1246" i="26"/>
  <c r="V1234" i="26"/>
  <c r="V1222" i="26"/>
  <c r="V1580" i="26"/>
  <c r="V1568" i="26"/>
  <c r="V1556" i="26"/>
  <c r="V1544" i="26"/>
  <c r="V1532" i="26"/>
  <c r="V1520" i="26"/>
  <c r="V1508" i="26"/>
  <c r="V1496" i="26"/>
  <c r="V1484" i="26"/>
  <c r="V1472" i="26"/>
  <c r="V1460" i="26"/>
  <c r="V1448" i="26"/>
  <c r="V1436" i="26"/>
  <c r="V1424" i="26"/>
  <c r="V1412" i="26"/>
  <c r="V1400" i="26"/>
  <c r="V1388" i="26"/>
  <c r="V1376" i="26"/>
  <c r="V1364" i="26"/>
  <c r="V1352" i="26"/>
  <c r="V1340" i="26"/>
  <c r="V1328" i="26"/>
  <c r="V1316" i="26"/>
  <c r="V1304" i="26"/>
  <c r="V1292" i="26"/>
  <c r="V1280" i="26"/>
  <c r="V1268" i="26"/>
  <c r="V1256" i="26"/>
  <c r="V1244" i="26"/>
  <c r="V1232" i="26"/>
  <c r="V1585" i="26"/>
  <c r="V1573" i="26"/>
  <c r="V1561" i="26"/>
  <c r="V1549" i="26"/>
  <c r="V1537" i="26"/>
  <c r="V1525" i="26"/>
  <c r="V1513" i="26"/>
  <c r="V1501" i="26"/>
  <c r="V1489" i="26"/>
  <c r="V1477" i="26"/>
  <c r="V1465" i="26"/>
  <c r="V1453" i="26"/>
  <c r="V1441" i="26"/>
  <c r="V1429" i="26"/>
  <c r="V1417" i="26"/>
  <c r="V1405" i="26"/>
  <c r="V1393" i="26"/>
  <c r="V1381" i="26"/>
  <c r="V1369" i="26"/>
  <c r="V1357" i="26"/>
  <c r="V1345" i="26"/>
  <c r="V1333" i="26"/>
  <c r="V1321" i="26"/>
  <c r="V1309" i="26"/>
  <c r="V1297" i="26"/>
  <c r="V1285" i="26"/>
  <c r="V1273" i="26"/>
  <c r="V1249" i="26"/>
  <c r="V1237" i="26"/>
  <c r="V1225" i="26"/>
  <c r="V1261" i="26"/>
  <c r="V1584" i="26"/>
  <c r="V1572" i="26"/>
  <c r="V1560" i="26"/>
  <c r="V1548" i="26"/>
  <c r="V1536" i="26"/>
  <c r="V1524" i="26"/>
  <c r="V1512" i="26"/>
  <c r="V1500" i="26"/>
  <c r="V1488" i="26"/>
  <c r="V1476" i="26"/>
  <c r="V1464" i="26"/>
  <c r="V1452" i="26"/>
  <c r="V1440" i="26"/>
  <c r="V1428" i="26"/>
  <c r="V1416" i="26"/>
  <c r="V1404" i="26"/>
  <c r="V1392" i="26"/>
  <c r="V1380" i="26"/>
  <c r="V1368" i="26"/>
  <c r="V1356" i="26"/>
  <c r="V1344" i="26"/>
  <c r="V1332" i="26"/>
  <c r="V1320" i="26"/>
  <c r="V1308" i="26"/>
  <c r="V1296" i="26"/>
  <c r="V1284" i="26"/>
  <c r="V1272" i="26"/>
  <c r="V1260" i="26"/>
  <c r="V1248" i="26"/>
  <c r="V1236" i="26"/>
  <c r="V1224" i="26"/>
  <c r="V1583" i="26"/>
  <c r="V1571" i="26"/>
  <c r="V1559" i="26"/>
  <c r="V1547" i="26"/>
  <c r="V1535" i="26"/>
  <c r="V1523" i="26"/>
  <c r="V1511" i="26"/>
  <c r="V1499" i="26"/>
  <c r="V1487" i="26"/>
  <c r="V1475" i="26"/>
  <c r="V1463" i="26"/>
  <c r="V1451" i="26"/>
  <c r="V1439" i="26"/>
  <c r="V1427" i="26"/>
  <c r="V1415" i="26"/>
  <c r="V1403" i="26"/>
  <c r="V1391" i="26"/>
  <c r="V1379" i="26"/>
  <c r="V1367" i="26"/>
  <c r="V1355" i="26"/>
  <c r="V1343" i="26"/>
  <c r="V1331" i="26"/>
  <c r="V1319" i="26"/>
  <c r="V1307" i="26"/>
  <c r="V1295" i="26"/>
  <c r="V1283" i="26"/>
  <c r="V1271" i="26"/>
  <c r="V1259" i="26"/>
  <c r="V1247" i="26"/>
  <c r="V1235" i="26"/>
  <c r="V1223" i="26"/>
  <c r="Q152" i="26" l="1"/>
  <c r="O152" i="26"/>
  <c r="Q157" i="26"/>
  <c r="O157" i="26"/>
  <c r="Q161" i="26"/>
  <c r="O161" i="26"/>
  <c r="Q160" i="26"/>
  <c r="O160" i="26"/>
  <c r="Q159" i="26"/>
  <c r="O159" i="26"/>
  <c r="Q104" i="26"/>
  <c r="Q105" i="26"/>
  <c r="Q106" i="26"/>
  <c r="Q107" i="26"/>
  <c r="Q108" i="26"/>
  <c r="Q109" i="26"/>
  <c r="Q110" i="26"/>
  <c r="Q111" i="26"/>
  <c r="Q112" i="26"/>
  <c r="Q113" i="26"/>
  <c r="Q114" i="26"/>
  <c r="Q115" i="26"/>
  <c r="Q116" i="26"/>
  <c r="Q117" i="26"/>
  <c r="Q118" i="26"/>
  <c r="Q119" i="26"/>
  <c r="Q120" i="26"/>
  <c r="Q121" i="26"/>
  <c r="Q122" i="26"/>
  <c r="Q123" i="26"/>
  <c r="Q124" i="26"/>
  <c r="Q125" i="26"/>
  <c r="Q126" i="26"/>
  <c r="Q127" i="26"/>
  <c r="Q128" i="26"/>
  <c r="Q129" i="26"/>
  <c r="Q130" i="26"/>
  <c r="Q131" i="26"/>
  <c r="Q132" i="26"/>
  <c r="Q133" i="26"/>
  <c r="Q134" i="26"/>
  <c r="Q135" i="26"/>
  <c r="Q136" i="26"/>
  <c r="Q137" i="26"/>
  <c r="Q138" i="26"/>
  <c r="Q139" i="26"/>
  <c r="Q140" i="26"/>
  <c r="Q141" i="26"/>
  <c r="Q142" i="26"/>
  <c r="Q143" i="26"/>
  <c r="Q144" i="26"/>
  <c r="Q145" i="26"/>
  <c r="Q146" i="26"/>
  <c r="Q147" i="26"/>
  <c r="Q148" i="26"/>
  <c r="Q149" i="26"/>
  <c r="Q150" i="26"/>
  <c r="Q151" i="26"/>
  <c r="Q153" i="26"/>
  <c r="Q154" i="26"/>
  <c r="Q155" i="26"/>
  <c r="Q156" i="26"/>
  <c r="Q158" i="26"/>
  <c r="Q162" i="26"/>
  <c r="Q163" i="26"/>
  <c r="Q164" i="26"/>
  <c r="Q165" i="26"/>
  <c r="Q166" i="26"/>
  <c r="Q167" i="26"/>
  <c r="Q168" i="26"/>
  <c r="Q169" i="26"/>
  <c r="Q170" i="26"/>
  <c r="Q171" i="26"/>
  <c r="Q172" i="26"/>
  <c r="Q173" i="26"/>
  <c r="Q174" i="26"/>
  <c r="Q175" i="26"/>
  <c r="Q176" i="26"/>
  <c r="Q177" i="26"/>
  <c r="Q178" i="26"/>
  <c r="Q179" i="26"/>
  <c r="Q180" i="26"/>
  <c r="Q181" i="26"/>
  <c r="Q182" i="26"/>
  <c r="Q183" i="26"/>
  <c r="Q184" i="26"/>
  <c r="Q185" i="26"/>
  <c r="Q186" i="26"/>
  <c r="Q187" i="26"/>
  <c r="Q188" i="26"/>
  <c r="Q189" i="26"/>
  <c r="Q190" i="26"/>
  <c r="Q191" i="26"/>
  <c r="Q192" i="26"/>
  <c r="Q193" i="26"/>
  <c r="Q194" i="26"/>
  <c r="Q195" i="26"/>
  <c r="Q196" i="26"/>
  <c r="Q197" i="26"/>
  <c r="Q198" i="26"/>
  <c r="Q199" i="26"/>
  <c r="Q200" i="26"/>
  <c r="Q201" i="26"/>
  <c r="Q202" i="26"/>
  <c r="Q203" i="26"/>
  <c r="Q204" i="26"/>
  <c r="Q205" i="26"/>
  <c r="Q206" i="26"/>
  <c r="Q207" i="26"/>
  <c r="Q208" i="26"/>
  <c r="Q209" i="26"/>
  <c r="Q210" i="26"/>
  <c r="Q211" i="26"/>
  <c r="Q212" i="26"/>
  <c r="Q213" i="26"/>
  <c r="Q214" i="26"/>
  <c r="Q215" i="26"/>
  <c r="Q216" i="26"/>
  <c r="Q217" i="26"/>
  <c r="Q218" i="26"/>
  <c r="Q219" i="26"/>
  <c r="Q220" i="26"/>
  <c r="Q221" i="26"/>
  <c r="Q222" i="26"/>
  <c r="Q223" i="26"/>
  <c r="Q224" i="26"/>
  <c r="Q225" i="26"/>
  <c r="Q226" i="26"/>
  <c r="Q227" i="26"/>
  <c r="Q228" i="26"/>
  <c r="Q229" i="26"/>
  <c r="Q230" i="26"/>
  <c r="Q231" i="26"/>
  <c r="Q232" i="26"/>
  <c r="Q233" i="26"/>
  <c r="Q234" i="26"/>
  <c r="Q235" i="26"/>
  <c r="Q236" i="26"/>
  <c r="Q237" i="26"/>
  <c r="Q238" i="26"/>
  <c r="Q239" i="26"/>
  <c r="Q240" i="26"/>
  <c r="Q241" i="26"/>
  <c r="Q242" i="26"/>
  <c r="Q243" i="26"/>
  <c r="Q244" i="26"/>
  <c r="Q245" i="26"/>
  <c r="Q246" i="26"/>
  <c r="Q247" i="26"/>
  <c r="Q248" i="26"/>
  <c r="Q249" i="26"/>
  <c r="Q250" i="26"/>
  <c r="Q251" i="26"/>
  <c r="Q252" i="26"/>
  <c r="Q253" i="26"/>
  <c r="Q254" i="26"/>
  <c r="Q255" i="26"/>
  <c r="Q257" i="26"/>
  <c r="Q258" i="26"/>
  <c r="Q259" i="26"/>
  <c r="Q260" i="26"/>
  <c r="Q261" i="26"/>
  <c r="Q262" i="26"/>
  <c r="Q263" i="26"/>
  <c r="Q264" i="26"/>
  <c r="Q265" i="26"/>
  <c r="Q266" i="26"/>
  <c r="Q267" i="26"/>
  <c r="Q268" i="26"/>
  <c r="Q269" i="26"/>
  <c r="Q270" i="26"/>
  <c r="Q271" i="26"/>
  <c r="Q272" i="26"/>
  <c r="Q273" i="26"/>
  <c r="Q274" i="26"/>
  <c r="Q275" i="26"/>
  <c r="Q276" i="26"/>
  <c r="Q277" i="26"/>
  <c r="Q278" i="26"/>
  <c r="Q279" i="26"/>
  <c r="V1091" i="26"/>
  <c r="V1092" i="26"/>
  <c r="V1093" i="26"/>
  <c r="V1094" i="26"/>
  <c r="V1095" i="26"/>
  <c r="V1096" i="26"/>
  <c r="V1097" i="26"/>
  <c r="V1098" i="26"/>
  <c r="V1099" i="26"/>
  <c r="V1100" i="26"/>
  <c r="V1101" i="26"/>
  <c r="V1102" i="26"/>
  <c r="V1103" i="26"/>
  <c r="V1104" i="26"/>
  <c r="V1105" i="26"/>
  <c r="V1106" i="26"/>
  <c r="V1107" i="26"/>
  <c r="V1108" i="26"/>
  <c r="V1109" i="26"/>
  <c r="V1110" i="26"/>
  <c r="V1111" i="26"/>
  <c r="V1112" i="26"/>
  <c r="V1113" i="26"/>
  <c r="V1114" i="26"/>
  <c r="V1115" i="26"/>
  <c r="V1116" i="26"/>
  <c r="V1117" i="26"/>
  <c r="V1118" i="26"/>
  <c r="V1119" i="26"/>
  <c r="V1120" i="26"/>
  <c r="V1121" i="26"/>
  <c r="V1122" i="26"/>
  <c r="V1123" i="26"/>
  <c r="V1124" i="26"/>
  <c r="V1125" i="26"/>
  <c r="V1126" i="26"/>
  <c r="V1127" i="26"/>
  <c r="V1128" i="26"/>
  <c r="V1129" i="26"/>
  <c r="V1130" i="26"/>
  <c r="V1131" i="26"/>
  <c r="V1132" i="26"/>
  <c r="V1133" i="26"/>
  <c r="V1134" i="26"/>
  <c r="V1135" i="26"/>
  <c r="V1136" i="26"/>
  <c r="V1137" i="26"/>
  <c r="V1138" i="26"/>
  <c r="V1139" i="26"/>
  <c r="V1140" i="26"/>
  <c r="V1141" i="26"/>
  <c r="V1142" i="26"/>
  <c r="V1143" i="26"/>
  <c r="V1144" i="26"/>
  <c r="V1145" i="26"/>
  <c r="V1146" i="26"/>
  <c r="V1147" i="26"/>
  <c r="V1148" i="26"/>
  <c r="V1149" i="26"/>
  <c r="V1150" i="26"/>
  <c r="V1151" i="26"/>
  <c r="V1152" i="26"/>
  <c r="V1153" i="26"/>
  <c r="V1154" i="26"/>
  <c r="V1155" i="26"/>
  <c r="V1156" i="26"/>
  <c r="V1157" i="26"/>
  <c r="V1158" i="26"/>
  <c r="V1159" i="26"/>
  <c r="V1160" i="26"/>
  <c r="V1161" i="26"/>
  <c r="V1162" i="26"/>
  <c r="V1163" i="26"/>
  <c r="V1164" i="26"/>
  <c r="V1165" i="26"/>
  <c r="V1166" i="26"/>
  <c r="V1167" i="26"/>
  <c r="V1168" i="26"/>
  <c r="V1169" i="26"/>
  <c r="V1170" i="26"/>
  <c r="V1171" i="26"/>
  <c r="V1172" i="26"/>
  <c r="V1173" i="26"/>
  <c r="V1174" i="26"/>
  <c r="V1182" i="26"/>
  <c r="V1183" i="26"/>
  <c r="V1184" i="26"/>
  <c r="V1185" i="26"/>
  <c r="V1186" i="26"/>
  <c r="V1187" i="26"/>
  <c r="V1188" i="26"/>
  <c r="V1193" i="26"/>
  <c r="V1194" i="26"/>
  <c r="V1195" i="26"/>
  <c r="V1196" i="26"/>
  <c r="V1197" i="26"/>
  <c r="V1198" i="26"/>
  <c r="V1199" i="26"/>
  <c r="V1200" i="26"/>
  <c r="V1201" i="26"/>
  <c r="V1202" i="26"/>
  <c r="V1203" i="26"/>
  <c r="V1204" i="26"/>
  <c r="V1205" i="26"/>
  <c r="V1206" i="26"/>
  <c r="V1207" i="26"/>
  <c r="V1208" i="26"/>
  <c r="V1209" i="26"/>
  <c r="V1210" i="26"/>
  <c r="V1211" i="26"/>
  <c r="V1212" i="26"/>
  <c r="V1213" i="26"/>
  <c r="V1214" i="26"/>
  <c r="V1215" i="26"/>
  <c r="V1216" i="26"/>
  <c r="V1217" i="26"/>
  <c r="V1218" i="26"/>
  <c r="V1219" i="26"/>
  <c r="V1220" i="26"/>
  <c r="V1221" i="26"/>
  <c r="O107" i="26"/>
  <c r="O108" i="26"/>
  <c r="O109" i="26"/>
  <c r="O110" i="26"/>
  <c r="O111" i="26"/>
  <c r="O112" i="26"/>
  <c r="O113" i="26"/>
  <c r="O114" i="26"/>
  <c r="O115" i="26"/>
  <c r="O116" i="26"/>
  <c r="O117" i="26"/>
  <c r="O118" i="26"/>
  <c r="O119" i="26"/>
  <c r="O120" i="26"/>
  <c r="O121" i="26"/>
  <c r="O122" i="26"/>
  <c r="O123" i="26"/>
  <c r="O124" i="26"/>
  <c r="O125" i="26"/>
  <c r="O126" i="26"/>
  <c r="O127" i="26"/>
  <c r="O128" i="26"/>
  <c r="O129" i="26"/>
  <c r="O130" i="26"/>
  <c r="O131" i="26"/>
  <c r="O132" i="26"/>
  <c r="O133" i="26"/>
  <c r="O134" i="26"/>
  <c r="O135" i="26"/>
  <c r="O136" i="26"/>
  <c r="O137" i="26"/>
  <c r="O138" i="26"/>
  <c r="O139" i="26"/>
  <c r="O140" i="26"/>
  <c r="O141" i="26"/>
  <c r="O142" i="26"/>
  <c r="O143" i="26"/>
  <c r="O144" i="26"/>
  <c r="O145" i="26"/>
  <c r="O146" i="26"/>
  <c r="O147" i="26"/>
  <c r="O148" i="26"/>
  <c r="O149" i="26"/>
  <c r="O150" i="26"/>
  <c r="O151" i="26"/>
  <c r="O153" i="26"/>
  <c r="O154" i="26"/>
  <c r="O155" i="26"/>
  <c r="O156" i="26"/>
  <c r="O158" i="26"/>
  <c r="O162" i="26"/>
  <c r="O163" i="26"/>
  <c r="O164" i="26"/>
  <c r="O165" i="26"/>
  <c r="O166" i="26"/>
  <c r="O167" i="26"/>
  <c r="O168" i="26"/>
  <c r="O169" i="26"/>
  <c r="O170" i="26"/>
  <c r="O171" i="26"/>
  <c r="O172" i="26"/>
  <c r="O173" i="26"/>
  <c r="O174" i="26"/>
  <c r="O175" i="26"/>
  <c r="O176" i="26"/>
  <c r="O177" i="26"/>
  <c r="O178" i="26"/>
  <c r="O179" i="26"/>
  <c r="O180" i="26"/>
  <c r="O181" i="26"/>
  <c r="O182" i="26"/>
  <c r="O183" i="26"/>
  <c r="O184" i="26"/>
  <c r="O185" i="26"/>
  <c r="O186" i="26"/>
  <c r="O187" i="26"/>
  <c r="O188" i="26"/>
  <c r="O189" i="26"/>
  <c r="O190" i="26"/>
  <c r="O191" i="26"/>
  <c r="O192" i="26"/>
  <c r="O193" i="26"/>
  <c r="O194" i="26"/>
  <c r="O195" i="26"/>
  <c r="O196" i="26"/>
  <c r="O197" i="26"/>
  <c r="O198" i="26"/>
  <c r="O199" i="26"/>
  <c r="O200" i="26"/>
  <c r="O201" i="26"/>
  <c r="O202" i="26"/>
  <c r="O203" i="26"/>
  <c r="O204" i="26"/>
  <c r="O205" i="26"/>
  <c r="O206" i="26"/>
  <c r="O207" i="26"/>
  <c r="O208" i="26"/>
  <c r="O209" i="26"/>
  <c r="O210" i="26"/>
  <c r="O211" i="26"/>
  <c r="O212" i="26"/>
  <c r="O213" i="26"/>
  <c r="O214" i="26"/>
  <c r="O215" i="26"/>
  <c r="O216" i="26"/>
  <c r="O217" i="26"/>
  <c r="O218" i="26"/>
  <c r="O219" i="26"/>
  <c r="O220" i="26"/>
  <c r="O221" i="26"/>
  <c r="O222" i="26"/>
  <c r="O223" i="26"/>
  <c r="O224" i="26"/>
  <c r="O225" i="26"/>
  <c r="O226" i="26"/>
  <c r="O227" i="26"/>
  <c r="O228" i="26"/>
  <c r="O229" i="26"/>
  <c r="O230" i="26"/>
  <c r="O231" i="26"/>
  <c r="O232" i="26"/>
  <c r="O233" i="26"/>
  <c r="O234" i="26"/>
  <c r="O235" i="26"/>
  <c r="O236" i="26"/>
  <c r="O237" i="26"/>
  <c r="O238" i="26"/>
  <c r="O239" i="26"/>
  <c r="O240" i="26"/>
  <c r="O241" i="26"/>
  <c r="O242" i="26"/>
  <c r="O243" i="26"/>
  <c r="O244" i="26"/>
  <c r="O245" i="26"/>
  <c r="O246" i="26"/>
  <c r="O247" i="26"/>
  <c r="O248" i="26"/>
  <c r="O249" i="26"/>
  <c r="O250" i="26"/>
  <c r="O251" i="26"/>
  <c r="O252" i="26"/>
  <c r="O253" i="26"/>
  <c r="O254" i="26"/>
  <c r="O255" i="26"/>
  <c r="O257" i="26"/>
  <c r="O258" i="26"/>
  <c r="O259" i="26"/>
  <c r="O260" i="26"/>
  <c r="O261" i="26"/>
  <c r="O262" i="26"/>
  <c r="O263" i="26"/>
  <c r="O264" i="26"/>
  <c r="O265" i="26"/>
  <c r="O266" i="26"/>
  <c r="O267" i="26"/>
  <c r="O268" i="26"/>
  <c r="O269" i="26"/>
  <c r="O270" i="26"/>
  <c r="O271" i="26"/>
  <c r="O272" i="26"/>
  <c r="O273" i="26"/>
  <c r="O274" i="26"/>
  <c r="O275" i="26"/>
  <c r="O276" i="26"/>
  <c r="O277" i="26"/>
  <c r="O278" i="26"/>
  <c r="O279" i="26"/>
  <c r="O280" i="26"/>
  <c r="O281" i="26"/>
  <c r="O282" i="26"/>
  <c r="O283" i="26"/>
  <c r="O284" i="26"/>
  <c r="O285" i="26"/>
  <c r="O286" i="26"/>
  <c r="O287" i="26"/>
  <c r="O288" i="26"/>
  <c r="O289" i="26"/>
  <c r="O290" i="26"/>
  <c r="O291" i="26"/>
  <c r="O292" i="26"/>
  <c r="O293" i="26"/>
  <c r="O294" i="26"/>
  <c r="O295" i="26"/>
  <c r="O296" i="26"/>
  <c r="O297" i="26"/>
  <c r="O298" i="26"/>
  <c r="O299" i="26"/>
  <c r="O300" i="26"/>
  <c r="O301" i="26"/>
  <c r="O302" i="26"/>
  <c r="O303" i="26"/>
  <c r="O304" i="26"/>
  <c r="O305" i="26"/>
  <c r="O306" i="26"/>
  <c r="O307" i="26"/>
  <c r="O308" i="26"/>
  <c r="O309" i="26"/>
  <c r="O310" i="26"/>
  <c r="O311" i="26"/>
  <c r="O312" i="26"/>
  <c r="O313" i="26"/>
  <c r="O314" i="26"/>
  <c r="O315" i="26"/>
  <c r="O316" i="26"/>
  <c r="O317" i="26"/>
  <c r="O318" i="26"/>
  <c r="O319" i="26"/>
  <c r="O320" i="26"/>
  <c r="O321" i="26"/>
  <c r="O322" i="26"/>
  <c r="O323" i="26"/>
  <c r="O324" i="26"/>
  <c r="O325" i="26"/>
  <c r="O326" i="26"/>
  <c r="O327" i="26"/>
  <c r="O328" i="26"/>
  <c r="O329" i="26"/>
  <c r="O330" i="26"/>
  <c r="O331" i="26"/>
  <c r="O332" i="26"/>
  <c r="O333" i="26"/>
  <c r="O334" i="26"/>
  <c r="O335" i="26"/>
  <c r="O336" i="26"/>
  <c r="O337" i="26"/>
  <c r="O338" i="26"/>
  <c r="O339" i="26"/>
  <c r="O340" i="26"/>
  <c r="O341" i="26"/>
  <c r="O342" i="26"/>
  <c r="O343" i="26"/>
  <c r="O344" i="26"/>
  <c r="O345" i="26"/>
  <c r="O346" i="26"/>
  <c r="O347" i="26"/>
  <c r="O348" i="26"/>
  <c r="O349" i="26"/>
  <c r="O350" i="26"/>
  <c r="O351" i="26"/>
  <c r="O352" i="26"/>
  <c r="O353" i="26"/>
  <c r="O354" i="26"/>
  <c r="O355" i="26"/>
  <c r="O356" i="26"/>
  <c r="O357" i="26"/>
  <c r="O358" i="26"/>
  <c r="O359" i="26"/>
  <c r="O360" i="26"/>
  <c r="O361" i="26"/>
  <c r="O362" i="26"/>
  <c r="O363" i="26"/>
  <c r="O364" i="26"/>
  <c r="O365" i="26"/>
  <c r="O366" i="26"/>
  <c r="O367" i="26"/>
  <c r="O368" i="26"/>
  <c r="O369" i="26"/>
  <c r="O370" i="26"/>
  <c r="O371" i="26"/>
  <c r="O372" i="26"/>
  <c r="O373" i="26"/>
  <c r="O374" i="26"/>
  <c r="O375" i="26"/>
  <c r="O376" i="26"/>
  <c r="O377" i="26"/>
  <c r="O378" i="26"/>
  <c r="O379" i="26"/>
  <c r="O380" i="26"/>
  <c r="O381" i="26"/>
  <c r="O382" i="26"/>
  <c r="O383" i="26"/>
  <c r="O384" i="26"/>
  <c r="O385" i="26"/>
  <c r="O386" i="26"/>
  <c r="O387" i="26"/>
  <c r="O388" i="26"/>
  <c r="O389" i="26"/>
  <c r="O390" i="26"/>
  <c r="O391" i="26"/>
  <c r="O392" i="26"/>
  <c r="O393" i="26"/>
  <c r="O394" i="26"/>
  <c r="O395" i="26"/>
  <c r="O396" i="26"/>
  <c r="O397" i="26"/>
  <c r="O398" i="26"/>
  <c r="O399" i="26"/>
  <c r="O400" i="26"/>
  <c r="O401" i="26"/>
  <c r="O402" i="26"/>
  <c r="O403" i="26"/>
  <c r="O404" i="26"/>
  <c r="O407" i="26"/>
  <c r="O408" i="26"/>
  <c r="O409" i="26"/>
  <c r="O410" i="26"/>
  <c r="O411" i="26"/>
  <c r="O412" i="26"/>
  <c r="O413" i="26"/>
  <c r="O414" i="26"/>
  <c r="O415" i="26"/>
  <c r="O416" i="26"/>
  <c r="O417" i="26"/>
  <c r="O418" i="26"/>
  <c r="O419" i="26"/>
  <c r="O420" i="26"/>
  <c r="O421" i="26"/>
  <c r="O422" i="26"/>
  <c r="O423" i="26"/>
  <c r="O424" i="26"/>
  <c r="O425" i="26"/>
  <c r="O426" i="26"/>
  <c r="O427" i="26"/>
  <c r="O428" i="26"/>
  <c r="O429" i="26"/>
  <c r="O430" i="26"/>
  <c r="O431" i="26"/>
  <c r="O432" i="26"/>
  <c r="O433" i="26"/>
  <c r="O434" i="26"/>
  <c r="O435" i="26"/>
  <c r="O436" i="26"/>
  <c r="O437" i="26"/>
  <c r="O438" i="26"/>
  <c r="O439" i="26"/>
  <c r="O440" i="26"/>
  <c r="O441" i="26"/>
  <c r="O442" i="26"/>
  <c r="O443" i="26"/>
  <c r="O444" i="26"/>
  <c r="O445" i="26"/>
  <c r="O446" i="26"/>
  <c r="O447" i="26"/>
  <c r="O448" i="26"/>
  <c r="O449" i="26"/>
  <c r="O450" i="26"/>
  <c r="O451" i="26"/>
  <c r="O452" i="26"/>
  <c r="O453" i="26"/>
  <c r="O454" i="26"/>
  <c r="O455" i="26"/>
  <c r="O456" i="26"/>
  <c r="O457" i="26"/>
  <c r="O458" i="26"/>
  <c r="O459" i="26"/>
  <c r="O460" i="26"/>
  <c r="O461" i="26"/>
  <c r="O462" i="26"/>
  <c r="O463" i="26"/>
  <c r="O464" i="26"/>
  <c r="O465" i="26"/>
  <c r="O466" i="26"/>
  <c r="O467" i="26"/>
  <c r="O468" i="26"/>
  <c r="O469" i="26"/>
  <c r="O470" i="26"/>
  <c r="O471" i="26"/>
  <c r="O472" i="26"/>
  <c r="O473" i="26"/>
  <c r="O474" i="26"/>
  <c r="O475" i="26"/>
  <c r="O476" i="26"/>
  <c r="O477" i="26"/>
  <c r="O478" i="26"/>
  <c r="O479" i="26"/>
  <c r="O480" i="26"/>
  <c r="O481" i="26"/>
  <c r="O482" i="26"/>
  <c r="O483" i="26"/>
  <c r="O484" i="26"/>
  <c r="O485" i="26"/>
  <c r="O486" i="26"/>
  <c r="O487" i="26"/>
  <c r="O488" i="26"/>
  <c r="O489" i="26"/>
  <c r="O490" i="26"/>
  <c r="O491" i="26"/>
  <c r="O492" i="26"/>
  <c r="O493" i="26"/>
  <c r="O494" i="26"/>
  <c r="O495" i="26"/>
  <c r="O496" i="26"/>
  <c r="O497" i="26"/>
  <c r="O498" i="26"/>
  <c r="O499" i="26"/>
  <c r="O500" i="26"/>
  <c r="O501" i="26"/>
  <c r="O502" i="26"/>
  <c r="O503" i="26"/>
  <c r="O504" i="26"/>
  <c r="O505" i="26"/>
  <c r="O506" i="26"/>
  <c r="O507" i="26"/>
  <c r="O508" i="26"/>
  <c r="O509" i="26"/>
  <c r="O510" i="26"/>
  <c r="O511" i="26"/>
  <c r="O512" i="26"/>
  <c r="O513" i="26"/>
  <c r="O514" i="26"/>
  <c r="O515" i="26"/>
  <c r="O516" i="26"/>
  <c r="O517" i="26"/>
  <c r="O518" i="26"/>
  <c r="O519" i="26"/>
  <c r="O520" i="26"/>
  <c r="O521" i="26"/>
  <c r="O522" i="26"/>
  <c r="O523" i="26"/>
  <c r="O524" i="26"/>
  <c r="O525" i="26"/>
  <c r="O526" i="26"/>
  <c r="O527" i="26"/>
  <c r="O528" i="26"/>
  <c r="O529" i="26"/>
  <c r="O530" i="26"/>
  <c r="O531" i="26"/>
  <c r="O532" i="26"/>
  <c r="O533" i="26"/>
  <c r="O534" i="26"/>
  <c r="O535" i="26"/>
  <c r="O536" i="26"/>
  <c r="O537" i="26"/>
  <c r="O538" i="26"/>
  <c r="O539" i="26"/>
  <c r="O540" i="26"/>
  <c r="O541" i="26"/>
  <c r="O542" i="26"/>
  <c r="O543" i="26"/>
  <c r="O544" i="26"/>
  <c r="O545" i="26"/>
  <c r="O546" i="26"/>
  <c r="O547" i="26"/>
  <c r="O548" i="26"/>
  <c r="O549" i="26"/>
  <c r="O550" i="26"/>
  <c r="O551" i="26"/>
  <c r="O552" i="26"/>
  <c r="O553" i="26"/>
  <c r="O554" i="26"/>
  <c r="O555" i="26"/>
  <c r="O556" i="26"/>
  <c r="O557" i="26"/>
  <c r="O558" i="26"/>
  <c r="O559" i="26"/>
  <c r="O560" i="26"/>
  <c r="O561" i="26"/>
  <c r="O562" i="26"/>
  <c r="O563" i="26"/>
  <c r="O564" i="26"/>
  <c r="O565" i="26"/>
  <c r="O566" i="26"/>
  <c r="O567" i="26"/>
  <c r="O568" i="26"/>
  <c r="O569" i="26"/>
  <c r="O570" i="26"/>
  <c r="O571" i="26"/>
  <c r="O572" i="26"/>
  <c r="O573" i="26"/>
  <c r="O574" i="26"/>
  <c r="O575" i="26"/>
  <c r="O576" i="26"/>
  <c r="O577" i="26"/>
  <c r="O578" i="26"/>
  <c r="O579" i="26"/>
  <c r="O580" i="26"/>
  <c r="O581" i="26"/>
  <c r="O582" i="26"/>
  <c r="O583" i="26"/>
  <c r="O584" i="26"/>
  <c r="O585" i="26"/>
  <c r="O586" i="26"/>
  <c r="O587" i="26"/>
  <c r="O588" i="26"/>
  <c r="O589" i="26"/>
  <c r="O590" i="26"/>
  <c r="O591" i="26"/>
  <c r="O592" i="26"/>
  <c r="O593" i="26"/>
  <c r="O594" i="26"/>
  <c r="O595" i="26"/>
  <c r="O596" i="26"/>
  <c r="O597" i="26"/>
  <c r="O598" i="26"/>
  <c r="O599" i="26"/>
  <c r="O600" i="26"/>
  <c r="O601" i="26"/>
  <c r="O602" i="26"/>
  <c r="O603" i="26"/>
  <c r="O604" i="26"/>
  <c r="O605" i="26"/>
  <c r="O606" i="26"/>
  <c r="O607" i="26"/>
  <c r="O608" i="26"/>
  <c r="O609" i="26"/>
  <c r="O610" i="26"/>
  <c r="O611" i="26"/>
  <c r="O612" i="26"/>
  <c r="O613" i="26"/>
  <c r="O614" i="26"/>
  <c r="O615" i="26"/>
  <c r="O616" i="26"/>
  <c r="O617" i="26"/>
  <c r="O618" i="26"/>
  <c r="O619" i="26"/>
  <c r="O620" i="26"/>
  <c r="O621" i="26"/>
  <c r="O622" i="26"/>
  <c r="O623" i="26"/>
  <c r="O624" i="26"/>
  <c r="O625" i="26"/>
  <c r="O626" i="26"/>
  <c r="O627" i="26"/>
  <c r="O628" i="26"/>
  <c r="O629" i="26"/>
  <c r="O630" i="26"/>
  <c r="O631" i="26"/>
  <c r="O632" i="26"/>
  <c r="O633" i="26"/>
  <c r="O634" i="26"/>
  <c r="O635" i="26"/>
  <c r="O636" i="26"/>
  <c r="O637" i="26"/>
  <c r="O638" i="26"/>
  <c r="O639" i="26"/>
  <c r="O640" i="26"/>
  <c r="O641" i="26"/>
  <c r="O642" i="26"/>
  <c r="O643" i="26"/>
  <c r="O644" i="26"/>
  <c r="O645" i="26"/>
  <c r="O646" i="26"/>
  <c r="O647" i="26"/>
  <c r="O648" i="26"/>
  <c r="O649" i="26"/>
  <c r="O650" i="26"/>
  <c r="O651" i="26"/>
  <c r="O652" i="26"/>
  <c r="O653" i="26"/>
  <c r="O654" i="26"/>
  <c r="O655" i="26"/>
  <c r="O656" i="26"/>
  <c r="O657" i="26"/>
  <c r="O658" i="26"/>
  <c r="O659" i="26"/>
  <c r="O660" i="26"/>
  <c r="O661" i="26"/>
  <c r="O662" i="26"/>
  <c r="O663" i="26"/>
  <c r="O664" i="26"/>
  <c r="O665" i="26"/>
  <c r="O666" i="26"/>
  <c r="O667" i="26"/>
  <c r="O668" i="26"/>
  <c r="O669" i="26"/>
  <c r="O670" i="26"/>
  <c r="O671" i="26"/>
  <c r="O672" i="26"/>
  <c r="O673" i="26"/>
  <c r="O674" i="26"/>
  <c r="O675" i="26"/>
  <c r="O676" i="26"/>
  <c r="O677" i="26"/>
  <c r="O678" i="26"/>
  <c r="O679" i="26"/>
  <c r="O680" i="26"/>
  <c r="O681" i="26"/>
  <c r="O682" i="26"/>
  <c r="O683" i="26"/>
  <c r="O684" i="26"/>
  <c r="O685" i="26"/>
  <c r="O686" i="26"/>
  <c r="O687" i="26"/>
  <c r="O688" i="26"/>
  <c r="O689" i="26"/>
  <c r="O690" i="26"/>
  <c r="O691" i="26"/>
  <c r="O692" i="26"/>
  <c r="O693" i="26"/>
  <c r="O694" i="26"/>
  <c r="O695" i="26"/>
  <c r="O696" i="26"/>
  <c r="O697" i="26"/>
  <c r="O698" i="26"/>
  <c r="O699" i="26"/>
  <c r="O701" i="26"/>
  <c r="O702" i="26"/>
  <c r="O703" i="26"/>
  <c r="O705" i="26"/>
  <c r="O706" i="26"/>
  <c r="O707" i="26"/>
  <c r="O708" i="26"/>
  <c r="O709" i="26"/>
  <c r="O710" i="26"/>
  <c r="O711" i="26"/>
  <c r="O712" i="26"/>
  <c r="O713" i="26"/>
  <c r="O714" i="26"/>
  <c r="O715" i="26"/>
  <c r="O716" i="26"/>
  <c r="O717" i="26"/>
  <c r="O718" i="26"/>
  <c r="O719" i="26"/>
  <c r="O720" i="26"/>
  <c r="O722" i="26"/>
  <c r="O723" i="26"/>
  <c r="O724" i="26"/>
  <c r="O725" i="26"/>
  <c r="O726" i="26"/>
  <c r="O727" i="26"/>
  <c r="O728" i="26"/>
  <c r="O729" i="26"/>
  <c r="O730" i="26"/>
  <c r="O732" i="26"/>
  <c r="O733" i="26"/>
  <c r="O734" i="26"/>
  <c r="O735" i="26"/>
  <c r="O736" i="26"/>
  <c r="O737" i="26"/>
  <c r="O738" i="26"/>
  <c r="O739" i="26"/>
  <c r="O740" i="26"/>
  <c r="O741" i="26"/>
  <c r="O742" i="26"/>
  <c r="O743" i="26"/>
  <c r="O744" i="26"/>
  <c r="O745" i="26"/>
  <c r="O746" i="26"/>
  <c r="O747" i="26"/>
  <c r="O748" i="26"/>
  <c r="O749" i="26"/>
  <c r="O750" i="26"/>
  <c r="O751" i="26"/>
  <c r="O752" i="26"/>
  <c r="O753" i="26"/>
  <c r="O754" i="26"/>
  <c r="O755" i="26"/>
  <c r="O756" i="26"/>
  <c r="O757" i="26"/>
  <c r="O758" i="26"/>
  <c r="O759" i="26"/>
  <c r="O760" i="26"/>
  <c r="O761" i="26"/>
  <c r="O762" i="26"/>
  <c r="O763" i="26"/>
  <c r="O764" i="26"/>
  <c r="O765" i="26"/>
  <c r="O766" i="26"/>
  <c r="O767" i="26"/>
  <c r="O768" i="26"/>
  <c r="O769" i="26"/>
  <c r="O770" i="26"/>
  <c r="O771" i="26"/>
  <c r="O772" i="26"/>
  <c r="O773" i="26"/>
  <c r="O774" i="26"/>
  <c r="O775" i="26"/>
  <c r="O776" i="26"/>
  <c r="O777" i="26"/>
  <c r="O778" i="26"/>
  <c r="O779" i="26"/>
  <c r="O780" i="26"/>
  <c r="O781" i="26"/>
  <c r="O782" i="26"/>
  <c r="O783" i="26"/>
  <c r="O784" i="26"/>
  <c r="O785" i="26"/>
  <c r="O786" i="26"/>
  <c r="O787" i="26"/>
  <c r="O788" i="26"/>
  <c r="O789" i="26"/>
  <c r="O790" i="26"/>
  <c r="O791" i="26"/>
  <c r="O792" i="26"/>
  <c r="O793" i="26"/>
  <c r="O794" i="26"/>
  <c r="O795" i="26"/>
  <c r="O796" i="26"/>
  <c r="O797" i="26"/>
  <c r="O798" i="26"/>
  <c r="O799" i="26"/>
  <c r="O800" i="26"/>
  <c r="O801" i="26"/>
  <c r="O802" i="26"/>
  <c r="O803" i="26"/>
  <c r="O804" i="26"/>
  <c r="O805" i="26"/>
  <c r="O806" i="26"/>
  <c r="O807" i="26"/>
  <c r="O808" i="26"/>
  <c r="O809" i="26"/>
  <c r="O810" i="26"/>
  <c r="O811" i="26"/>
  <c r="O812" i="26"/>
  <c r="O813" i="26"/>
  <c r="O814" i="26"/>
  <c r="O815" i="26"/>
  <c r="O816" i="26"/>
  <c r="O817" i="26"/>
  <c r="O818" i="26"/>
  <c r="O819" i="26"/>
  <c r="O820" i="26"/>
  <c r="O821" i="26"/>
  <c r="O822" i="26"/>
  <c r="O823" i="26"/>
  <c r="O824" i="26"/>
  <c r="O825" i="26"/>
  <c r="O826" i="26"/>
  <c r="O827" i="26"/>
  <c r="O828" i="26"/>
  <c r="O829" i="26"/>
  <c r="O830" i="26"/>
  <c r="O831" i="26"/>
  <c r="O832" i="26"/>
  <c r="O833" i="26"/>
  <c r="O834" i="26"/>
  <c r="O835" i="26"/>
  <c r="O836" i="26"/>
  <c r="O837" i="26"/>
  <c r="O838" i="26"/>
  <c r="O839" i="26"/>
  <c r="O840" i="26"/>
  <c r="O841" i="26"/>
  <c r="O842" i="26"/>
  <c r="O843" i="26"/>
  <c r="O844" i="26"/>
  <c r="O845" i="26"/>
  <c r="O846" i="26"/>
  <c r="O847" i="26"/>
  <c r="O848" i="26"/>
  <c r="O849" i="26"/>
  <c r="O850" i="26"/>
  <c r="O851" i="26"/>
  <c r="O852" i="26"/>
  <c r="O853" i="26"/>
  <c r="O854" i="26"/>
  <c r="O855" i="26"/>
  <c r="O856" i="26"/>
  <c r="O857" i="26"/>
  <c r="O858" i="26"/>
  <c r="O859" i="26"/>
  <c r="O860" i="26"/>
  <c r="O861" i="26"/>
  <c r="O862" i="26"/>
  <c r="O863" i="26"/>
  <c r="O864" i="26"/>
  <c r="O865" i="26"/>
  <c r="O866" i="26"/>
  <c r="O867" i="26"/>
  <c r="O868" i="26"/>
  <c r="O869" i="26"/>
  <c r="O870" i="26"/>
  <c r="O871" i="26"/>
  <c r="O872" i="26"/>
  <c r="O873" i="26"/>
  <c r="O874" i="26"/>
  <c r="O875" i="26"/>
  <c r="O876" i="26"/>
  <c r="O877" i="26"/>
  <c r="O878" i="26"/>
  <c r="O879" i="26"/>
  <c r="O880" i="26"/>
  <c r="O881" i="26"/>
  <c r="O882" i="26"/>
  <c r="O883" i="26"/>
  <c r="O884" i="26"/>
  <c r="O885" i="26"/>
  <c r="O886" i="26"/>
  <c r="O887" i="26"/>
  <c r="O888" i="26"/>
  <c r="O889" i="26"/>
  <c r="O890" i="26"/>
  <c r="O891" i="26"/>
  <c r="O892" i="26"/>
  <c r="O893" i="26"/>
  <c r="O894" i="26"/>
  <c r="O895" i="26"/>
  <c r="O896" i="26"/>
  <c r="O897" i="26"/>
  <c r="O898" i="26"/>
  <c r="O899" i="26"/>
  <c r="O900" i="26"/>
  <c r="O901" i="26"/>
  <c r="O902" i="26"/>
  <c r="O903" i="26"/>
  <c r="O904" i="26"/>
  <c r="O905" i="26"/>
  <c r="O906" i="26"/>
  <c r="O907" i="26"/>
  <c r="O908" i="26"/>
  <c r="O909" i="26"/>
  <c r="O910" i="26"/>
  <c r="O911" i="26"/>
  <c r="O912" i="26"/>
  <c r="O913" i="26"/>
  <c r="O914" i="26"/>
  <c r="O915" i="26"/>
  <c r="O916" i="26"/>
  <c r="O917" i="26"/>
  <c r="O918" i="26"/>
  <c r="O919" i="26"/>
  <c r="O920" i="26"/>
  <c r="O921" i="26"/>
  <c r="O922" i="26"/>
  <c r="O923" i="26"/>
  <c r="O924" i="26"/>
  <c r="O925" i="26"/>
  <c r="O926" i="26"/>
  <c r="O927" i="26"/>
  <c r="O928" i="26"/>
  <c r="O929" i="26"/>
  <c r="O930" i="26"/>
  <c r="O931" i="26"/>
  <c r="O932" i="26"/>
  <c r="O933" i="26"/>
  <c r="O934" i="26"/>
  <c r="O935" i="26"/>
  <c r="O936" i="26"/>
  <c r="O937" i="26"/>
  <c r="O938" i="26"/>
  <c r="O939" i="26"/>
  <c r="O940" i="26"/>
  <c r="O941" i="26"/>
  <c r="O942" i="26"/>
  <c r="O943" i="26"/>
  <c r="O944" i="26"/>
  <c r="O945" i="26"/>
  <c r="O946" i="26"/>
  <c r="O947" i="26"/>
  <c r="O948" i="26"/>
  <c r="O949" i="26"/>
  <c r="O950" i="26"/>
  <c r="O951" i="26"/>
  <c r="O952" i="26"/>
  <c r="O953" i="26"/>
  <c r="O954" i="26"/>
  <c r="O955" i="26"/>
  <c r="O956" i="26"/>
  <c r="O957" i="26"/>
  <c r="O958" i="26"/>
  <c r="O959" i="26"/>
  <c r="O960" i="26"/>
  <c r="O961" i="26"/>
  <c r="O962" i="26"/>
  <c r="O963" i="26"/>
  <c r="O964" i="26"/>
  <c r="O965" i="26"/>
  <c r="O966" i="26"/>
  <c r="O967" i="26"/>
  <c r="O968" i="26"/>
  <c r="O969" i="26"/>
  <c r="O970" i="26"/>
  <c r="O971" i="26"/>
  <c r="O972" i="26"/>
  <c r="O973" i="26"/>
  <c r="O974" i="26"/>
  <c r="O975" i="26"/>
  <c r="O976" i="26"/>
  <c r="O977" i="26"/>
  <c r="O978" i="26"/>
  <c r="O979" i="26"/>
  <c r="O980" i="26"/>
  <c r="O981" i="26"/>
  <c r="O982" i="26"/>
  <c r="O983" i="26"/>
  <c r="O984" i="26"/>
  <c r="O985" i="26"/>
  <c r="O986" i="26"/>
  <c r="O987" i="26"/>
  <c r="O988" i="26"/>
  <c r="O989" i="26"/>
  <c r="O990" i="26"/>
  <c r="O991" i="26"/>
  <c r="O992" i="26"/>
  <c r="O993" i="26"/>
  <c r="O994" i="26"/>
  <c r="O995" i="26"/>
  <c r="O996" i="26"/>
  <c r="O997" i="26"/>
  <c r="O998" i="26"/>
  <c r="O999" i="26"/>
  <c r="O1000" i="26"/>
  <c r="O1001" i="26"/>
  <c r="O1002" i="26"/>
  <c r="O1003" i="26"/>
  <c r="O1004" i="26"/>
  <c r="O1005" i="26"/>
  <c r="O1006" i="26"/>
  <c r="O1007" i="26"/>
  <c r="O1008" i="26"/>
  <c r="O1009" i="26"/>
  <c r="O1010" i="26"/>
  <c r="O1011" i="26"/>
  <c r="O1012" i="26"/>
  <c r="O1013" i="26"/>
  <c r="O1014" i="26"/>
  <c r="O1015" i="26"/>
  <c r="O1016" i="26"/>
  <c r="O1017" i="26"/>
  <c r="O1018" i="26"/>
  <c r="O1019" i="26"/>
  <c r="O1020" i="26"/>
  <c r="O1021" i="26"/>
  <c r="O1022" i="26"/>
  <c r="O1023" i="26"/>
  <c r="O1024" i="26"/>
  <c r="O1025" i="26"/>
  <c r="O1026" i="26"/>
  <c r="O1027" i="26"/>
  <c r="O1028" i="26"/>
  <c r="O1029" i="26"/>
  <c r="O1030" i="26"/>
  <c r="O1031" i="26"/>
  <c r="O1032" i="26"/>
  <c r="O1033" i="26"/>
  <c r="O1034" i="26"/>
  <c r="O1035" i="26"/>
  <c r="O1036" i="26"/>
  <c r="O1037" i="26"/>
  <c r="O1038" i="26"/>
  <c r="O1039" i="26"/>
  <c r="O1040" i="26"/>
  <c r="O1041" i="26"/>
  <c r="O1042" i="26"/>
  <c r="O1043" i="26"/>
  <c r="O1044" i="26"/>
  <c r="O1045" i="26"/>
  <c r="O1046" i="26"/>
  <c r="O1047" i="26"/>
  <c r="O1048" i="26"/>
  <c r="O1049" i="26"/>
  <c r="O1050" i="26"/>
  <c r="O1051" i="26"/>
  <c r="O1052" i="26"/>
  <c r="O1053" i="26"/>
  <c r="O1054" i="26"/>
  <c r="O1055" i="26"/>
  <c r="O1056" i="26"/>
  <c r="O1057" i="26"/>
  <c r="O1058" i="26"/>
  <c r="O1059" i="26"/>
  <c r="O1060" i="26"/>
  <c r="O1061" i="26"/>
  <c r="O1062" i="26"/>
  <c r="O1063" i="26"/>
  <c r="O1064" i="26"/>
  <c r="O1065" i="26"/>
  <c r="O1066" i="26"/>
  <c r="O1067" i="26"/>
  <c r="O1068" i="26"/>
  <c r="O1069" i="26"/>
  <c r="O1070" i="26"/>
  <c r="O1071" i="26"/>
  <c r="O1072" i="26"/>
  <c r="O1073" i="26"/>
  <c r="O1074" i="26"/>
  <c r="O1075" i="26"/>
  <c r="O1076" i="26"/>
  <c r="O1077" i="26"/>
  <c r="O1078" i="26"/>
  <c r="O1079" i="26"/>
  <c r="O1080" i="26"/>
  <c r="O1081" i="26"/>
  <c r="O1082" i="26"/>
  <c r="O1083" i="26"/>
  <c r="O1084" i="26"/>
  <c r="O1085" i="26"/>
  <c r="O1086" i="26"/>
  <c r="O1087" i="26"/>
  <c r="V111" i="26" l="1"/>
  <c r="V112" i="26"/>
  <c r="V110" i="26"/>
  <c r="V143" i="26"/>
  <c r="V131" i="26"/>
  <c r="V119" i="26"/>
  <c r="V107" i="26"/>
  <c r="V156" i="26"/>
  <c r="V1090" i="26"/>
  <c r="V117" i="26"/>
  <c r="V129" i="26"/>
  <c r="V141" i="26"/>
  <c r="V154" i="26"/>
  <c r="V153" i="26"/>
  <c r="V116" i="26"/>
  <c r="V128" i="26"/>
  <c r="V140" i="26"/>
  <c r="V152" i="26"/>
  <c r="V155" i="26"/>
  <c r="V142" i="26"/>
  <c r="V130" i="26"/>
  <c r="V118" i="26"/>
  <c r="V157" i="26"/>
  <c r="V160" i="26"/>
  <c r="V161" i="26"/>
  <c r="V162" i="26"/>
  <c r="V145" i="26"/>
  <c r="V133" i="26"/>
  <c r="V121" i="26"/>
  <c r="V109" i="26"/>
  <c r="V159" i="26"/>
  <c r="V158" i="26"/>
  <c r="V144" i="26"/>
  <c r="V132" i="26"/>
  <c r="V120" i="26"/>
  <c r="V108" i="26"/>
  <c r="V1071" i="26"/>
  <c r="V1047" i="26"/>
  <c r="V1023" i="26"/>
  <c r="V999" i="26"/>
  <c r="V963" i="26"/>
  <c r="V939" i="26"/>
  <c r="V927" i="26"/>
  <c r="V903" i="26"/>
  <c r="V879" i="26"/>
  <c r="V855" i="26"/>
  <c r="V819" i="26"/>
  <c r="V795" i="26"/>
  <c r="V771" i="26"/>
  <c r="V759" i="26"/>
  <c r="V735" i="26"/>
  <c r="V709" i="26"/>
  <c r="V683" i="26"/>
  <c r="V659" i="26"/>
  <c r="V635" i="26"/>
  <c r="V611" i="26"/>
  <c r="V587" i="26"/>
  <c r="V575" i="26"/>
  <c r="V563" i="26"/>
  <c r="V551" i="26"/>
  <c r="V539" i="26"/>
  <c r="V527" i="26"/>
  <c r="V515" i="26"/>
  <c r="V491" i="26"/>
  <c r="V479" i="26"/>
  <c r="V467" i="26"/>
  <c r="V455" i="26"/>
  <c r="V443" i="26"/>
  <c r="V431" i="26"/>
  <c r="V419" i="26"/>
  <c r="V407" i="26"/>
  <c r="V393" i="26"/>
  <c r="V381" i="26"/>
  <c r="V369" i="26"/>
  <c r="V357" i="26"/>
  <c r="V345" i="26"/>
  <c r="V333" i="26"/>
  <c r="V321" i="26"/>
  <c r="V309" i="26"/>
  <c r="V297" i="26"/>
  <c r="V285" i="26"/>
  <c r="V273" i="26"/>
  <c r="V261" i="26"/>
  <c r="V248" i="26"/>
  <c r="V236" i="26"/>
  <c r="V224" i="26"/>
  <c r="V212" i="26"/>
  <c r="V200" i="26"/>
  <c r="V188" i="26"/>
  <c r="V176" i="26"/>
  <c r="V151" i="26"/>
  <c r="V139" i="26"/>
  <c r="V127" i="26"/>
  <c r="V1083" i="26"/>
  <c r="V1059" i="26"/>
  <c r="V1035" i="26"/>
  <c r="V1011" i="26"/>
  <c r="V987" i="26"/>
  <c r="V975" i="26"/>
  <c r="V951" i="26"/>
  <c r="V915" i="26"/>
  <c r="V891" i="26"/>
  <c r="V867" i="26"/>
  <c r="V843" i="26"/>
  <c r="V831" i="26"/>
  <c r="V807" i="26"/>
  <c r="V783" i="26"/>
  <c r="V747" i="26"/>
  <c r="V722" i="26"/>
  <c r="V695" i="26"/>
  <c r="V671" i="26"/>
  <c r="V647" i="26"/>
  <c r="V623" i="26"/>
  <c r="V503" i="26"/>
  <c r="V1085" i="26"/>
  <c r="V1073" i="26"/>
  <c r="V1061" i="26"/>
  <c r="V1049" i="26"/>
  <c r="V1037" i="26"/>
  <c r="V1025" i="26"/>
  <c r="V1013" i="26"/>
  <c r="V1001" i="26"/>
  <c r="V989" i="26"/>
  <c r="V977" i="26"/>
  <c r="V965" i="26"/>
  <c r="V953" i="26"/>
  <c r="V941" i="26"/>
  <c r="V929" i="26"/>
  <c r="V917" i="26"/>
  <c r="V905" i="26"/>
  <c r="V893" i="26"/>
  <c r="V881" i="26"/>
  <c r="V869" i="26"/>
  <c r="V857" i="26"/>
  <c r="V845" i="26"/>
  <c r="V833" i="26"/>
  <c r="V821" i="26"/>
  <c r="V809" i="26"/>
  <c r="V797" i="26"/>
  <c r="V785" i="26"/>
  <c r="V773" i="26"/>
  <c r="V761" i="26"/>
  <c r="V749" i="26"/>
  <c r="V737" i="26"/>
  <c r="V724" i="26"/>
  <c r="V711" i="26"/>
  <c r="V697" i="26"/>
  <c r="V685" i="26"/>
  <c r="V673" i="26"/>
  <c r="V661" i="26"/>
  <c r="V649" i="26"/>
  <c r="V637" i="26"/>
  <c r="V625" i="26"/>
  <c r="V613" i="26"/>
  <c r="V589" i="26"/>
  <c r="V577" i="26"/>
  <c r="V565" i="26"/>
  <c r="V553" i="26"/>
  <c r="V541" i="26"/>
  <c r="V529" i="26"/>
  <c r="V517" i="26"/>
  <c r="V505" i="26"/>
  <c r="V493" i="26"/>
  <c r="V481" i="26"/>
  <c r="V469" i="26"/>
  <c r="V457" i="26"/>
  <c r="V445" i="26"/>
  <c r="V433" i="26"/>
  <c r="V421" i="26"/>
  <c r="V409" i="26"/>
  <c r="V395" i="26"/>
  <c r="V383" i="26"/>
  <c r="V371" i="26"/>
  <c r="V359" i="26"/>
  <c r="V347" i="26"/>
  <c r="V335" i="26"/>
  <c r="V323" i="26"/>
  <c r="V311" i="26"/>
  <c r="V299" i="26"/>
  <c r="V287" i="26"/>
  <c r="V275" i="26"/>
  <c r="V263" i="26"/>
  <c r="V250" i="26"/>
  <c r="V238" i="26"/>
  <c r="V226" i="26"/>
  <c r="V214" i="26"/>
  <c r="V202" i="26"/>
  <c r="V190" i="26"/>
  <c r="V178" i="26"/>
  <c r="V1078" i="26"/>
  <c r="V1066" i="26"/>
  <c r="V1054" i="26"/>
  <c r="V1042" i="26"/>
  <c r="V1030" i="26"/>
  <c r="V1018" i="26"/>
  <c r="V1006" i="26"/>
  <c r="V994" i="26"/>
  <c r="V982" i="26"/>
  <c r="V970" i="26"/>
  <c r="V958" i="26"/>
  <c r="V946" i="26"/>
  <c r="V934" i="26"/>
  <c r="V922" i="26"/>
  <c r="V910" i="26"/>
  <c r="V898" i="26"/>
  <c r="V886" i="26"/>
  <c r="V874" i="26"/>
  <c r="V862" i="26"/>
  <c r="V850" i="26"/>
  <c r="V838" i="26"/>
  <c r="V826" i="26"/>
  <c r="V814" i="26"/>
  <c r="V802" i="26"/>
  <c r="V790" i="26"/>
  <c r="V778" i="26"/>
  <c r="V766" i="26"/>
  <c r="V754" i="26"/>
  <c r="V742" i="26"/>
  <c r="V729" i="26"/>
  <c r="V716" i="26"/>
  <c r="V703" i="26"/>
  <c r="V690" i="26"/>
  <c r="V678" i="26"/>
  <c r="V666" i="26"/>
  <c r="V654" i="26"/>
  <c r="V642" i="26"/>
  <c r="V630" i="26"/>
  <c r="V618" i="26"/>
  <c r="V606" i="26"/>
  <c r="V594" i="26"/>
  <c r="V582" i="26"/>
  <c r="V570" i="26"/>
  <c r="V558" i="26"/>
  <c r="V546" i="26"/>
  <c r="V534" i="26"/>
  <c r="V522" i="26"/>
  <c r="V510" i="26"/>
  <c r="V498" i="26"/>
  <c r="V486" i="26"/>
  <c r="V474" i="26"/>
  <c r="V462" i="26"/>
  <c r="V450" i="26"/>
  <c r="V438" i="26"/>
  <c r="V426" i="26"/>
  <c r="V414" i="26"/>
  <c r="V400" i="26"/>
  <c r="V388" i="26"/>
  <c r="V376" i="26"/>
  <c r="V364" i="26"/>
  <c r="V352" i="26"/>
  <c r="V340" i="26"/>
  <c r="V328" i="26"/>
  <c r="V316" i="26"/>
  <c r="V304" i="26"/>
  <c r="V292" i="26"/>
  <c r="V280" i="26"/>
  <c r="V268" i="26"/>
  <c r="V255" i="26"/>
  <c r="V243" i="26"/>
  <c r="V231" i="26"/>
  <c r="V219" i="26"/>
  <c r="V207" i="26"/>
  <c r="V195" i="26"/>
  <c r="V183" i="26"/>
  <c r="V171" i="26"/>
  <c r="V1065" i="26"/>
  <c r="V1041" i="26"/>
  <c r="V1017" i="26"/>
  <c r="V981" i="26"/>
  <c r="V957" i="26"/>
  <c r="V945" i="26"/>
  <c r="V921" i="26"/>
  <c r="V897" i="26"/>
  <c r="V873" i="26"/>
  <c r="V849" i="26"/>
  <c r="V825" i="26"/>
  <c r="V801" i="26"/>
  <c r="V777" i="26"/>
  <c r="V753" i="26"/>
  <c r="V728" i="26"/>
  <c r="V702" i="26"/>
  <c r="V677" i="26"/>
  <c r="V665" i="26"/>
  <c r="V641" i="26"/>
  <c r="V629" i="26"/>
  <c r="V605" i="26"/>
  <c r="V581" i="26"/>
  <c r="V557" i="26"/>
  <c r="V533" i="26"/>
  <c r="V509" i="26"/>
  <c r="V485" i="26"/>
  <c r="V461" i="26"/>
  <c r="V449" i="26"/>
  <c r="V425" i="26"/>
  <c r="V399" i="26"/>
  <c r="V375" i="26"/>
  <c r="V363" i="26"/>
  <c r="V339" i="26"/>
  <c r="V315" i="26"/>
  <c r="V303" i="26"/>
  <c r="V279" i="26"/>
  <c r="V267" i="26"/>
  <c r="V254" i="26"/>
  <c r="V242" i="26"/>
  <c r="V230" i="26"/>
  <c r="V218" i="26"/>
  <c r="V206" i="26"/>
  <c r="V194" i="26"/>
  <c r="V182" i="26"/>
  <c r="V167" i="26"/>
  <c r="V1053" i="26"/>
  <c r="V1029" i="26"/>
  <c r="V1005" i="26"/>
  <c r="V969" i="26"/>
  <c r="V933" i="26"/>
  <c r="V909" i="26"/>
  <c r="V885" i="26"/>
  <c r="V861" i="26"/>
  <c r="V837" i="26"/>
  <c r="V813" i="26"/>
  <c r="V789" i="26"/>
  <c r="V765" i="26"/>
  <c r="V741" i="26"/>
  <c r="V715" i="26"/>
  <c r="V689" i="26"/>
  <c r="V653" i="26"/>
  <c r="V617" i="26"/>
  <c r="V593" i="26"/>
  <c r="V569" i="26"/>
  <c r="V545" i="26"/>
  <c r="V521" i="26"/>
  <c r="V497" i="26"/>
  <c r="V473" i="26"/>
  <c r="V437" i="26"/>
  <c r="V413" i="26"/>
  <c r="V387" i="26"/>
  <c r="V351" i="26"/>
  <c r="V327" i="26"/>
  <c r="V291" i="26"/>
  <c r="V170" i="26"/>
  <c r="V993" i="26"/>
  <c r="V1077" i="26"/>
  <c r="V1076" i="26"/>
  <c r="V1064" i="26"/>
  <c r="V1052" i="26"/>
  <c r="V1040" i="26"/>
  <c r="V1028" i="26"/>
  <c r="V1016" i="26"/>
  <c r="V1004" i="26"/>
  <c r="V992" i="26"/>
  <c r="V980" i="26"/>
  <c r="V968" i="26"/>
  <c r="V956" i="26"/>
  <c r="V944" i="26"/>
  <c r="V932" i="26"/>
  <c r="V920" i="26"/>
  <c r="V908" i="26"/>
  <c r="V896" i="26"/>
  <c r="V884" i="26"/>
  <c r="V872" i="26"/>
  <c r="V860" i="26"/>
  <c r="V848" i="26"/>
  <c r="V836" i="26"/>
  <c r="V824" i="26"/>
  <c r="V812" i="26"/>
  <c r="V800" i="26"/>
  <c r="V788" i="26"/>
  <c r="V776" i="26"/>
  <c r="V764" i="26"/>
  <c r="V752" i="26"/>
  <c r="V740" i="26"/>
  <c r="V727" i="26"/>
  <c r="V714" i="26"/>
  <c r="V701" i="26"/>
  <c r="V688" i="26"/>
  <c r="V676" i="26"/>
  <c r="V664" i="26"/>
  <c r="V652" i="26"/>
  <c r="V640" i="26"/>
  <c r="V628" i="26"/>
  <c r="V616" i="26"/>
  <c r="V604" i="26"/>
  <c r="V592" i="26"/>
  <c r="V580" i="26"/>
  <c r="V568" i="26"/>
  <c r="V556" i="26"/>
  <c r="V544" i="26"/>
  <c r="V532" i="26"/>
  <c r="V520" i="26"/>
  <c r="V508" i="26"/>
  <c r="V496" i="26"/>
  <c r="V484" i="26"/>
  <c r="V472" i="26"/>
  <c r="V460" i="26"/>
  <c r="V448" i="26"/>
  <c r="V436" i="26"/>
  <c r="V424" i="26"/>
  <c r="V412" i="26"/>
  <c r="V398" i="26"/>
  <c r="V386" i="26"/>
  <c r="V374" i="26"/>
  <c r="V362" i="26"/>
  <c r="V350" i="26"/>
  <c r="V338" i="26"/>
  <c r="V326" i="26"/>
  <c r="V314" i="26"/>
  <c r="V302" i="26"/>
  <c r="V290" i="26"/>
  <c r="V278" i="26"/>
  <c r="V266" i="26"/>
  <c r="V253" i="26"/>
  <c r="V241" i="26"/>
  <c r="V229" i="26"/>
  <c r="V217" i="26"/>
  <c r="V205" i="26"/>
  <c r="V193" i="26"/>
  <c r="V181" i="26"/>
  <c r="V169" i="26"/>
  <c r="V166" i="26"/>
  <c r="V1087" i="26"/>
  <c r="V1063" i="26"/>
  <c r="V1051" i="26"/>
  <c r="V1027" i="26"/>
  <c r="V1003" i="26"/>
  <c r="V979" i="26"/>
  <c r="V955" i="26"/>
  <c r="V931" i="26"/>
  <c r="V907" i="26"/>
  <c r="V883" i="26"/>
  <c r="V859" i="26"/>
  <c r="V835" i="26"/>
  <c r="V823" i="26"/>
  <c r="V811" i="26"/>
  <c r="V799" i="26"/>
  <c r="V787" i="26"/>
  <c r="V775" i="26"/>
  <c r="V751" i="26"/>
  <c r="V739" i="26"/>
  <c r="V726" i="26"/>
  <c r="V713" i="26"/>
  <c r="V699" i="26"/>
  <c r="V687" i="26"/>
  <c r="V675" i="26"/>
  <c r="V663" i="26"/>
  <c r="V651" i="26"/>
  <c r="V639" i="26"/>
  <c r="V627" i="26"/>
  <c r="V615" i="26"/>
  <c r="V603" i="26"/>
  <c r="V591" i="26"/>
  <c r="V579" i="26"/>
  <c r="V567" i="26"/>
  <c r="V555" i="26"/>
  <c r="V543" i="26"/>
  <c r="V531" i="26"/>
  <c r="V519" i="26"/>
  <c r="V507" i="26"/>
  <c r="V495" i="26"/>
  <c r="V483" i="26"/>
  <c r="V471" i="26"/>
  <c r="V459" i="26"/>
  <c r="V447" i="26"/>
  <c r="V435" i="26"/>
  <c r="V423" i="26"/>
  <c r="V411" i="26"/>
  <c r="V397" i="26"/>
  <c r="V385" i="26"/>
  <c r="V373" i="26"/>
  <c r="V361" i="26"/>
  <c r="V349" i="26"/>
  <c r="V337" i="26"/>
  <c r="V325" i="26"/>
  <c r="V313" i="26"/>
  <c r="V301" i="26"/>
  <c r="V289" i="26"/>
  <c r="V277" i="26"/>
  <c r="V265" i="26"/>
  <c r="V252" i="26"/>
  <c r="V240" i="26"/>
  <c r="V228" i="26"/>
  <c r="V216" i="26"/>
  <c r="V204" i="26"/>
  <c r="V192" i="26"/>
  <c r="V180" i="26"/>
  <c r="V168" i="26"/>
  <c r="V165" i="26"/>
  <c r="V1075" i="26"/>
  <c r="V1039" i="26"/>
  <c r="V1015" i="26"/>
  <c r="V991" i="26"/>
  <c r="V967" i="26"/>
  <c r="V943" i="26"/>
  <c r="V919" i="26"/>
  <c r="V895" i="26"/>
  <c r="V871" i="26"/>
  <c r="V847" i="26"/>
  <c r="V763" i="26"/>
  <c r="V482" i="26"/>
  <c r="V470" i="26"/>
  <c r="V458" i="26"/>
  <c r="V446" i="26"/>
  <c r="V434" i="26"/>
  <c r="V422" i="26"/>
  <c r="V410" i="26"/>
  <c r="V396" i="26"/>
  <c r="V384" i="26"/>
  <c r="V372" i="26"/>
  <c r="V360" i="26"/>
  <c r="V348" i="26"/>
  <c r="V336" i="26"/>
  <c r="V324" i="26"/>
  <c r="V312" i="26"/>
  <c r="V300" i="26"/>
  <c r="V288" i="26"/>
  <c r="V276" i="26"/>
  <c r="V264" i="26"/>
  <c r="V251" i="26"/>
  <c r="V239" i="26"/>
  <c r="V227" i="26"/>
  <c r="V215" i="26"/>
  <c r="V203" i="26"/>
  <c r="V191" i="26"/>
  <c r="V179" i="26"/>
  <c r="V164" i="26"/>
  <c r="V1084" i="26"/>
  <c r="V1072" i="26"/>
  <c r="V1060" i="26"/>
  <c r="V1048" i="26"/>
  <c r="V1036" i="26"/>
  <c r="V1024" i="26"/>
  <c r="V1012" i="26"/>
  <c r="V1000" i="26"/>
  <c r="V988" i="26"/>
  <c r="V976" i="26"/>
  <c r="V964" i="26"/>
  <c r="V952" i="26"/>
  <c r="V940" i="26"/>
  <c r="V928" i="26"/>
  <c r="V916" i="26"/>
  <c r="V904" i="26"/>
  <c r="V892" i="26"/>
  <c r="V880" i="26"/>
  <c r="V868" i="26"/>
  <c r="V856" i="26"/>
  <c r="V844" i="26"/>
  <c r="V832" i="26"/>
  <c r="V820" i="26"/>
  <c r="V808" i="26"/>
  <c r="V796" i="26"/>
  <c r="V784" i="26"/>
  <c r="V772" i="26"/>
  <c r="V760" i="26"/>
  <c r="V748" i="26"/>
  <c r="V736" i="26"/>
  <c r="V723" i="26"/>
  <c r="V710" i="26"/>
  <c r="V696" i="26"/>
  <c r="V684" i="26"/>
  <c r="V672" i="26"/>
  <c r="V660" i="26"/>
  <c r="V648" i="26"/>
  <c r="V636" i="26"/>
  <c r="V624" i="26"/>
  <c r="V612" i="26"/>
  <c r="V588" i="26"/>
  <c r="V576" i="26"/>
  <c r="V564" i="26"/>
  <c r="V552" i="26"/>
  <c r="V540" i="26"/>
  <c r="V528" i="26"/>
  <c r="V516" i="26"/>
  <c r="V504" i="26"/>
  <c r="V492" i="26"/>
  <c r="V480" i="26"/>
  <c r="V468" i="26"/>
  <c r="V456" i="26"/>
  <c r="V444" i="26"/>
  <c r="V432" i="26"/>
  <c r="V420" i="26"/>
  <c r="V408" i="26"/>
  <c r="V394" i="26"/>
  <c r="V382" i="26"/>
  <c r="V370" i="26"/>
  <c r="V358" i="26"/>
  <c r="V346" i="26"/>
  <c r="V334" i="26"/>
  <c r="V322" i="26"/>
  <c r="V310" i="26"/>
  <c r="V298" i="26"/>
  <c r="V286" i="26"/>
  <c r="V274" i="26"/>
  <c r="V262" i="26"/>
  <c r="V249" i="26"/>
  <c r="V237" i="26"/>
  <c r="V225" i="26"/>
  <c r="V213" i="26"/>
  <c r="V201" i="26"/>
  <c r="V189" i="26"/>
  <c r="V177" i="26"/>
  <c r="V1069" i="26"/>
  <c r="V1033" i="26"/>
  <c r="V1021" i="26"/>
  <c r="V1009" i="26"/>
  <c r="V997" i="26"/>
  <c r="V961" i="26"/>
  <c r="V949" i="26"/>
  <c r="V937" i="26"/>
  <c r="V925" i="26"/>
  <c r="V913" i="26"/>
  <c r="V901" i="26"/>
  <c r="V889" i="26"/>
  <c r="V877" i="26"/>
  <c r="V865" i="26"/>
  <c r="V853" i="26"/>
  <c r="V841" i="26"/>
  <c r="V829" i="26"/>
  <c r="V817" i="26"/>
  <c r="V805" i="26"/>
  <c r="V793" i="26"/>
  <c r="V781" i="26"/>
  <c r="V769" i="26"/>
  <c r="V757" i="26"/>
  <c r="V745" i="26"/>
  <c r="V733" i="26"/>
  <c r="V719" i="26"/>
  <c r="V707" i="26"/>
  <c r="V693" i="26"/>
  <c r="V681" i="26"/>
  <c r="V669" i="26"/>
  <c r="V657" i="26"/>
  <c r="V645" i="26"/>
  <c r="V633" i="26"/>
  <c r="V621" i="26"/>
  <c r="V609" i="26"/>
  <c r="V597" i="26"/>
  <c r="V585" i="26"/>
  <c r="V573" i="26"/>
  <c r="V561" i="26"/>
  <c r="V549" i="26"/>
  <c r="V537" i="26"/>
  <c r="V525" i="26"/>
  <c r="V513" i="26"/>
  <c r="V501" i="26"/>
  <c r="V489" i="26"/>
  <c r="V477" i="26"/>
  <c r="V465" i="26"/>
  <c r="V453" i="26"/>
  <c r="V441" i="26"/>
  <c r="V429" i="26"/>
  <c r="V417" i="26"/>
  <c r="V403" i="26"/>
  <c r="V391" i="26"/>
  <c r="V379" i="26"/>
  <c r="V367" i="26"/>
  <c r="V355" i="26"/>
  <c r="V343" i="26"/>
  <c r="V331" i="26"/>
  <c r="V319" i="26"/>
  <c r="V307" i="26"/>
  <c r="V295" i="26"/>
  <c r="V283" i="26"/>
  <c r="V271" i="26"/>
  <c r="V259" i="26"/>
  <c r="V246" i="26"/>
  <c r="V234" i="26"/>
  <c r="V222" i="26"/>
  <c r="V210" i="26"/>
  <c r="V198" i="26"/>
  <c r="V186" i="26"/>
  <c r="V174" i="26"/>
  <c r="V148" i="26"/>
  <c r="V136" i="26"/>
  <c r="V124" i="26"/>
  <c r="V115" i="26"/>
  <c r="V1045" i="26"/>
  <c r="V973" i="26"/>
  <c r="V1081" i="26"/>
  <c r="V1057" i="26"/>
  <c r="V985" i="26"/>
  <c r="V1068" i="26"/>
  <c r="V1044" i="26"/>
  <c r="V1020" i="26"/>
  <c r="V996" i="26"/>
  <c r="V972" i="26"/>
  <c r="V948" i="26"/>
  <c r="V924" i="26"/>
  <c r="V900" i="26"/>
  <c r="V876" i="26"/>
  <c r="V852" i="26"/>
  <c r="V816" i="26"/>
  <c r="V792" i="26"/>
  <c r="V780" i="26"/>
  <c r="V768" i="26"/>
  <c r="V756" i="26"/>
  <c r="V744" i="26"/>
  <c r="V732" i="26"/>
  <c r="V718" i="26"/>
  <c r="V692" i="26"/>
  <c r="V680" i="26"/>
  <c r="V668" i="26"/>
  <c r="V656" i="26"/>
  <c r="V644" i="26"/>
  <c r="V632" i="26"/>
  <c r="V620" i="26"/>
  <c r="V608" i="26"/>
  <c r="V596" i="26"/>
  <c r="V584" i="26"/>
  <c r="V572" i="26"/>
  <c r="V560" i="26"/>
  <c r="V548" i="26"/>
  <c r="V536" i="26"/>
  <c r="V524" i="26"/>
  <c r="V512" i="26"/>
  <c r="V500" i="26"/>
  <c r="V488" i="26"/>
  <c r="V476" i="26"/>
  <c r="V464" i="26"/>
  <c r="V452" i="26"/>
  <c r="V440" i="26"/>
  <c r="V428" i="26"/>
  <c r="V416" i="26"/>
  <c r="V402" i="26"/>
  <c r="V390" i="26"/>
  <c r="V378" i="26"/>
  <c r="V366" i="26"/>
  <c r="V354" i="26"/>
  <c r="V342" i="26"/>
  <c r="V330" i="26"/>
  <c r="V318" i="26"/>
  <c r="V306" i="26"/>
  <c r="V294" i="26"/>
  <c r="V282" i="26"/>
  <c r="V270" i="26"/>
  <c r="V258" i="26"/>
  <c r="V245" i="26"/>
  <c r="V233" i="26"/>
  <c r="V221" i="26"/>
  <c r="V209" i="26"/>
  <c r="V197" i="26"/>
  <c r="V185" i="26"/>
  <c r="V173" i="26"/>
  <c r="V147" i="26"/>
  <c r="V135" i="26"/>
  <c r="V123" i="26"/>
  <c r="V114" i="26"/>
  <c r="V1080" i="26"/>
  <c r="V1056" i="26"/>
  <c r="V1032" i="26"/>
  <c r="V1008" i="26"/>
  <c r="V984" i="26"/>
  <c r="V960" i="26"/>
  <c r="V936" i="26"/>
  <c r="V912" i="26"/>
  <c r="V888" i="26"/>
  <c r="V864" i="26"/>
  <c r="V840" i="26"/>
  <c r="V828" i="26"/>
  <c r="V804" i="26"/>
  <c r="V706" i="26"/>
  <c r="V1055" i="26"/>
  <c r="V1043" i="26"/>
  <c r="V1031" i="26"/>
  <c r="V1019" i="26"/>
  <c r="V1007" i="26"/>
  <c r="V995" i="26"/>
  <c r="V983" i="26"/>
  <c r="V971" i="26"/>
  <c r="V959" i="26"/>
  <c r="V947" i="26"/>
  <c r="V935" i="26"/>
  <c r="V923" i="26"/>
  <c r="V911" i="26"/>
  <c r="V899" i="26"/>
  <c r="V887" i="26"/>
  <c r="V875" i="26"/>
  <c r="V863" i="26"/>
  <c r="V851" i="26"/>
  <c r="V839" i="26"/>
  <c r="V827" i="26"/>
  <c r="V815" i="26"/>
  <c r="V803" i="26"/>
  <c r="V791" i="26"/>
  <c r="V779" i="26"/>
  <c r="V767" i="26"/>
  <c r="V755" i="26"/>
  <c r="V743" i="26"/>
  <c r="V730" i="26"/>
  <c r="V717" i="26"/>
  <c r="V705" i="26"/>
  <c r="V691" i="26"/>
  <c r="V679" i="26"/>
  <c r="V667" i="26"/>
  <c r="V655" i="26"/>
  <c r="V643" i="26"/>
  <c r="V631" i="26"/>
  <c r="V619" i="26"/>
  <c r="V607" i="26"/>
  <c r="V595" i="26"/>
  <c r="V583" i="26"/>
  <c r="V571" i="26"/>
  <c r="V559" i="26"/>
  <c r="V547" i="26"/>
  <c r="V535" i="26"/>
  <c r="V523" i="26"/>
  <c r="V511" i="26"/>
  <c r="V499" i="26"/>
  <c r="V487" i="26"/>
  <c r="V475" i="26"/>
  <c r="V463" i="26"/>
  <c r="V451" i="26"/>
  <c r="V439" i="26"/>
  <c r="V427" i="26"/>
  <c r="V415" i="26"/>
  <c r="V401" i="26"/>
  <c r="V389" i="26"/>
  <c r="V377" i="26"/>
  <c r="V365" i="26"/>
  <c r="V353" i="26"/>
  <c r="V341" i="26"/>
  <c r="V329" i="26"/>
  <c r="V317" i="26"/>
  <c r="V305" i="26"/>
  <c r="V293" i="26"/>
  <c r="V281" i="26"/>
  <c r="V269" i="26"/>
  <c r="V257" i="26"/>
  <c r="V244" i="26"/>
  <c r="V232" i="26"/>
  <c r="V220" i="26"/>
  <c r="V208" i="26"/>
  <c r="V196" i="26"/>
  <c r="V184" i="26"/>
  <c r="V172" i="26"/>
  <c r="V163" i="26"/>
  <c r="V146" i="26"/>
  <c r="V134" i="26"/>
  <c r="V122" i="26"/>
  <c r="V113" i="26"/>
  <c r="V1079" i="26"/>
  <c r="V1067" i="26"/>
  <c r="V1082" i="26"/>
  <c r="V1070" i="26"/>
  <c r="V1058" i="26"/>
  <c r="V1046" i="26"/>
  <c r="V1034" i="26"/>
  <c r="V1022" i="26"/>
  <c r="V1010" i="26"/>
  <c r="V998" i="26"/>
  <c r="V986" i="26"/>
  <c r="V974" i="26"/>
  <c r="V962" i="26"/>
  <c r="V950" i="26"/>
  <c r="V938" i="26"/>
  <c r="V926" i="26"/>
  <c r="V914" i="26"/>
  <c r="V902" i="26"/>
  <c r="V890" i="26"/>
  <c r="V878" i="26"/>
  <c r="V866" i="26"/>
  <c r="V854" i="26"/>
  <c r="V842" i="26"/>
  <c r="V830" i="26"/>
  <c r="V818" i="26"/>
  <c r="V806" i="26"/>
  <c r="V794" i="26"/>
  <c r="V782" i="26"/>
  <c r="V770" i="26"/>
  <c r="V758" i="26"/>
  <c r="V746" i="26"/>
  <c r="V734" i="26"/>
  <c r="V720" i="26"/>
  <c r="V708" i="26"/>
  <c r="V694" i="26"/>
  <c r="V682" i="26"/>
  <c r="V670" i="26"/>
  <c r="V658" i="26"/>
  <c r="V646" i="26"/>
  <c r="V634" i="26"/>
  <c r="V622" i="26"/>
  <c r="V610" i="26"/>
  <c r="V598" i="26"/>
  <c r="V586" i="26"/>
  <c r="V574" i="26"/>
  <c r="V562" i="26"/>
  <c r="V550" i="26"/>
  <c r="V538" i="26"/>
  <c r="V526" i="26"/>
  <c r="V514" i="26"/>
  <c r="V502" i="26"/>
  <c r="V490" i="26"/>
  <c r="V478" i="26"/>
  <c r="V466" i="26"/>
  <c r="V454" i="26"/>
  <c r="V442" i="26"/>
  <c r="V430" i="26"/>
  <c r="V418" i="26"/>
  <c r="V404" i="26"/>
  <c r="V392" i="26"/>
  <c r="V380" i="26"/>
  <c r="V368" i="26"/>
  <c r="V356" i="26"/>
  <c r="V344" i="26"/>
  <c r="V332" i="26"/>
  <c r="V320" i="26"/>
  <c r="V308" i="26"/>
  <c r="V296" i="26"/>
  <c r="V284" i="26"/>
  <c r="V272" i="26"/>
  <c r="V260" i="26"/>
  <c r="V247" i="26"/>
  <c r="V235" i="26"/>
  <c r="V223" i="26"/>
  <c r="V211" i="26"/>
  <c r="V199" i="26"/>
  <c r="V187" i="26"/>
  <c r="V175" i="26"/>
  <c r="V149" i="26"/>
  <c r="V137" i="26"/>
  <c r="V125" i="26"/>
  <c r="V1086" i="26"/>
  <c r="V1074" i="26"/>
  <c r="V1062" i="26"/>
  <c r="V1050" i="26"/>
  <c r="V1038" i="26"/>
  <c r="V1026" i="26"/>
  <c r="V1014" i="26"/>
  <c r="V1002" i="26"/>
  <c r="V990" i="26"/>
  <c r="V978" i="26"/>
  <c r="V966" i="26"/>
  <c r="V954" i="26"/>
  <c r="V942" i="26"/>
  <c r="V930" i="26"/>
  <c r="V918" i="26"/>
  <c r="V906" i="26"/>
  <c r="V894" i="26"/>
  <c r="V882" i="26"/>
  <c r="V870" i="26"/>
  <c r="V858" i="26"/>
  <c r="V846" i="26"/>
  <c r="V834" i="26"/>
  <c r="V822" i="26"/>
  <c r="V810" i="26"/>
  <c r="V798" i="26"/>
  <c r="V786" i="26"/>
  <c r="V774" i="26"/>
  <c r="V762" i="26"/>
  <c r="V750" i="26"/>
  <c r="V738" i="26"/>
  <c r="V725" i="26"/>
  <c r="V712" i="26"/>
  <c r="V698" i="26"/>
  <c r="V686" i="26"/>
  <c r="V674" i="26"/>
  <c r="V662" i="26"/>
  <c r="V650" i="26"/>
  <c r="V638" i="26"/>
  <c r="V626" i="26"/>
  <c r="V614" i="26"/>
  <c r="V590" i="26"/>
  <c r="V578" i="26"/>
  <c r="V566" i="26"/>
  <c r="V554" i="26"/>
  <c r="V542" i="26"/>
  <c r="V530" i="26"/>
  <c r="V518" i="26"/>
  <c r="V506" i="26"/>
  <c r="V494" i="26"/>
  <c r="V150" i="26"/>
  <c r="V138" i="26"/>
  <c r="V126" i="26"/>
  <c r="V602" i="26"/>
  <c r="V601" i="26"/>
  <c r="V600" i="26"/>
  <c r="V599" i="26"/>
  <c r="J3" i="26" l="1"/>
  <c r="Q71" i="26" l="1"/>
  <c r="O71" i="26"/>
  <c r="Q72" i="26" l="1"/>
  <c r="Q73" i="26"/>
  <c r="Q74" i="26"/>
  <c r="Q75" i="26"/>
  <c r="Q76" i="26"/>
  <c r="Q77" i="26"/>
  <c r="Q83" i="26"/>
  <c r="Q84" i="26"/>
  <c r="Q85" i="26"/>
  <c r="Q86" i="26"/>
  <c r="Q87" i="26"/>
  <c r="Q88" i="26"/>
  <c r="Q89" i="26"/>
  <c r="Q90" i="26"/>
  <c r="Q91" i="26"/>
  <c r="Q92" i="26"/>
  <c r="Q93" i="26"/>
  <c r="Q94" i="26"/>
  <c r="Q95" i="26"/>
  <c r="Q96" i="26"/>
  <c r="Q97" i="26"/>
  <c r="Q98" i="26"/>
  <c r="Q99" i="26"/>
  <c r="Q100" i="26"/>
  <c r="Q101" i="26"/>
  <c r="Q102" i="26"/>
  <c r="Q103" i="26"/>
  <c r="O72" i="26"/>
  <c r="O73" i="26"/>
  <c r="O74" i="26"/>
  <c r="O75" i="26"/>
  <c r="O76" i="26"/>
  <c r="O77" i="26"/>
  <c r="O78" i="26"/>
  <c r="O80" i="26"/>
  <c r="O82" i="26"/>
  <c r="O83" i="26"/>
  <c r="O84" i="26"/>
  <c r="O85" i="26"/>
  <c r="O86" i="26"/>
  <c r="O87" i="26"/>
  <c r="O88" i="26"/>
  <c r="O89" i="26"/>
  <c r="O90" i="26"/>
  <c r="O91" i="26"/>
  <c r="O92" i="26"/>
  <c r="O93" i="26"/>
  <c r="O94" i="26"/>
  <c r="O95" i="26"/>
  <c r="O96" i="26"/>
  <c r="O97" i="26"/>
  <c r="O98" i="26"/>
  <c r="O99" i="26"/>
  <c r="O100" i="26"/>
  <c r="O101" i="26"/>
  <c r="O102" i="26"/>
  <c r="O103" i="26"/>
  <c r="O104" i="26"/>
  <c r="V104" i="26" s="1"/>
  <c r="O105" i="26"/>
  <c r="V105" i="26" s="1"/>
  <c r="O106" i="26"/>
  <c r="V106" i="26" s="1"/>
  <c r="O3471" i="26" l="1"/>
  <c r="F16" i="5" s="1"/>
  <c r="Q3471" i="26"/>
  <c r="F17" i="5" s="1"/>
  <c r="V103" i="26"/>
  <c r="V102" i="26"/>
  <c r="V97" i="26"/>
  <c r="V85" i="26"/>
  <c r="V94" i="26"/>
  <c r="V82" i="26"/>
  <c r="V101" i="26"/>
  <c r="V89" i="26"/>
  <c r="V75" i="26"/>
  <c r="V92" i="26"/>
  <c r="V78" i="26"/>
  <c r="V91" i="26"/>
  <c r="V77" i="26"/>
  <c r="V90" i="26"/>
  <c r="V76" i="26"/>
  <c r="V98" i="26"/>
  <c r="V86" i="26"/>
  <c r="V72" i="26"/>
  <c r="V71" i="26"/>
  <c r="V100" i="26"/>
  <c r="V88" i="26"/>
  <c r="V74" i="26"/>
  <c r="V99" i="26"/>
  <c r="V87" i="26"/>
  <c r="V73" i="26"/>
  <c r="V96" i="26"/>
  <c r="V84" i="26"/>
  <c r="V95" i="26"/>
  <c r="V83" i="26"/>
  <c r="V93" i="26"/>
  <c r="V80" i="26"/>
  <c r="F26" i="5" l="1"/>
  <c r="V3471" i="26"/>
  <c r="V116" i="25"/>
  <c r="V115" i="25"/>
  <c r="V114" i="25"/>
  <c r="V113" i="25"/>
  <c r="V112" i="25"/>
  <c r="V111" i="25"/>
  <c r="V110" i="25"/>
  <c r="V109" i="25"/>
  <c r="V108" i="25"/>
  <c r="V107" i="25"/>
  <c r="V106" i="25"/>
  <c r="V105" i="25"/>
  <c r="V104" i="25"/>
  <c r="V103" i="25"/>
  <c r="V102" i="25"/>
  <c r="V101" i="25"/>
  <c r="V100" i="25"/>
  <c r="V99" i="25"/>
  <c r="V98" i="25"/>
  <c r="V97" i="25"/>
  <c r="V96" i="25"/>
  <c r="V95" i="25"/>
  <c r="V94" i="25"/>
  <c r="V93" i="25"/>
  <c r="V92" i="25"/>
  <c r="V91" i="25"/>
  <c r="V90" i="25"/>
  <c r="V89" i="25"/>
  <c r="V88" i="25"/>
  <c r="V87" i="25"/>
  <c r="F85" i="24" s="1"/>
  <c r="V86" i="25"/>
  <c r="F84" i="24" s="1"/>
  <c r="V85" i="25"/>
  <c r="F83" i="24" s="1"/>
  <c r="V84" i="25"/>
  <c r="F82" i="24" s="1"/>
  <c r="V83" i="25"/>
  <c r="V82" i="25"/>
  <c r="F80" i="24" s="1"/>
  <c r="V81" i="25"/>
  <c r="F79" i="24" s="1"/>
  <c r="V80" i="25"/>
  <c r="F78" i="24" s="1"/>
  <c r="V79" i="25"/>
  <c r="F77" i="24" s="1"/>
  <c r="V78" i="25"/>
  <c r="F76" i="24" s="1"/>
  <c r="V77" i="25"/>
  <c r="F75" i="24" s="1"/>
  <c r="V76" i="25"/>
  <c r="F74" i="24" s="1"/>
  <c r="V75" i="25"/>
  <c r="V74" i="25"/>
  <c r="F72" i="24" s="1"/>
  <c r="V73" i="25"/>
  <c r="F71" i="24" s="1"/>
  <c r="V72" i="25"/>
  <c r="F70" i="24" s="1"/>
  <c r="V71" i="25"/>
  <c r="F69" i="24" s="1"/>
  <c r="V70" i="25"/>
  <c r="F68" i="24" s="1"/>
  <c r="V69" i="25"/>
  <c r="F67" i="24" s="1"/>
  <c r="V68" i="25"/>
  <c r="F66" i="24" s="1"/>
  <c r="V67" i="25"/>
  <c r="F65" i="24" s="1"/>
  <c r="V66" i="25"/>
  <c r="F64" i="24" s="1"/>
  <c r="V65" i="25"/>
  <c r="F63" i="24" s="1"/>
  <c r="V64" i="25"/>
  <c r="F62" i="24" s="1"/>
  <c r="V63" i="25"/>
  <c r="F61" i="24" s="1"/>
  <c r="V62" i="25"/>
  <c r="F60" i="24" s="1"/>
  <c r="V61" i="25"/>
  <c r="F59" i="24" s="1"/>
  <c r="V60" i="25"/>
  <c r="F58" i="24" s="1"/>
  <c r="V59" i="25"/>
  <c r="F57" i="24" s="1"/>
  <c r="V58" i="25"/>
  <c r="F56" i="24" s="1"/>
  <c r="V57" i="25"/>
  <c r="F55" i="24" s="1"/>
  <c r="V56" i="25"/>
  <c r="F54" i="24" s="1"/>
  <c r="V55" i="25"/>
  <c r="F53" i="24" s="1"/>
  <c r="V54" i="25"/>
  <c r="V53" i="25"/>
  <c r="F51" i="24" s="1"/>
  <c r="V52" i="25"/>
  <c r="F50" i="24" s="1"/>
  <c r="V51" i="25"/>
  <c r="F49" i="24" s="1"/>
  <c r="V50" i="25"/>
  <c r="F48" i="24" s="1"/>
  <c r="V49" i="25"/>
  <c r="F47" i="24" s="1"/>
  <c r="V48" i="25"/>
  <c r="F46" i="24" s="1"/>
  <c r="V47" i="25"/>
  <c r="F45" i="24" s="1"/>
  <c r="V46" i="25"/>
  <c r="F44" i="24" s="1"/>
  <c r="V45" i="25"/>
  <c r="F43" i="24" s="1"/>
  <c r="V44" i="25"/>
  <c r="V43" i="25"/>
  <c r="F41" i="24" s="1"/>
  <c r="V42" i="25"/>
  <c r="F40" i="24" s="1"/>
  <c r="V41" i="25"/>
  <c r="F39" i="24" s="1"/>
  <c r="V40" i="25"/>
  <c r="F38" i="24" s="1"/>
  <c r="V39" i="25"/>
  <c r="F37" i="24" s="1"/>
  <c r="V38" i="25"/>
  <c r="F36" i="24" s="1"/>
  <c r="V37" i="25"/>
  <c r="F35" i="24" s="1"/>
  <c r="V36" i="25"/>
  <c r="F34" i="24" s="1"/>
  <c r="V35" i="25"/>
  <c r="F33" i="24" s="1"/>
  <c r="V34" i="25"/>
  <c r="F32" i="24" s="1"/>
  <c r="V33" i="25"/>
  <c r="F31" i="24" s="1"/>
  <c r="V32" i="25"/>
  <c r="V31" i="25"/>
  <c r="F29" i="24" s="1"/>
  <c r="V30" i="25"/>
  <c r="V29" i="25"/>
  <c r="F27" i="24" s="1"/>
  <c r="V28" i="25"/>
  <c r="F26" i="24" s="1"/>
  <c r="V27" i="25"/>
  <c r="F25" i="24" s="1"/>
  <c r="V26" i="25"/>
  <c r="F24" i="24" s="1"/>
  <c r="V25" i="25"/>
  <c r="F23" i="24" s="1"/>
  <c r="V24" i="25"/>
  <c r="F22" i="24" s="1"/>
  <c r="V23" i="25"/>
  <c r="F21" i="24" s="1"/>
  <c r="V22" i="25"/>
  <c r="F20" i="24" s="1"/>
  <c r="V21" i="25"/>
  <c r="F19" i="24" s="1"/>
  <c r="V20" i="25"/>
  <c r="F18" i="24" s="1"/>
  <c r="V19" i="25"/>
  <c r="F17" i="24" s="1"/>
  <c r="V18" i="25"/>
  <c r="F16" i="24" s="1"/>
  <c r="V17" i="25"/>
  <c r="F15" i="24" s="1"/>
  <c r="V16" i="25"/>
  <c r="F14" i="24" s="1"/>
  <c r="V15" i="25"/>
  <c r="F13" i="24" s="1"/>
  <c r="V14" i="25"/>
  <c r="F12" i="24" s="1"/>
  <c r="V13" i="25"/>
  <c r="F11" i="24" s="1"/>
  <c r="V12" i="25"/>
  <c r="F10" i="24" s="1"/>
  <c r="V11" i="25"/>
  <c r="F9" i="24" s="1"/>
  <c r="V10" i="25"/>
  <c r="V9" i="25"/>
  <c r="F8" i="24" s="1"/>
  <c r="V8" i="25"/>
  <c r="F7" i="24" s="1"/>
  <c r="V7" i="25"/>
  <c r="F6" i="24" s="1"/>
  <c r="V6" i="25"/>
  <c r="F5" i="24" s="1"/>
  <c r="V5" i="25"/>
  <c r="F4" i="24" s="1"/>
  <c r="V4" i="25"/>
  <c r="F3" i="24" s="1"/>
  <c r="V3" i="25"/>
  <c r="V2" i="25"/>
  <c r="F2" i="24" s="1"/>
  <c r="F28" i="24"/>
  <c r="F30" i="24"/>
  <c r="F42" i="24"/>
  <c r="F52" i="24"/>
  <c r="F73" i="24"/>
  <c r="F81" i="24"/>
  <c r="I4" i="25"/>
  <c r="J4" i="25" s="1"/>
  <c r="I5" i="25"/>
  <c r="J5" i="25" s="1"/>
  <c r="I6" i="25"/>
  <c r="J6" i="25" s="1"/>
  <c r="I7" i="25"/>
  <c r="J7" i="25" s="1"/>
  <c r="I8" i="25"/>
  <c r="J8" i="25" s="1"/>
  <c r="M8" i="25" s="1"/>
  <c r="S8" i="25" s="1"/>
  <c r="X8" i="25" s="1"/>
  <c r="I9" i="25"/>
  <c r="J9" i="25" s="1"/>
  <c r="L9" i="25" s="1"/>
  <c r="R9" i="25" s="1"/>
  <c r="I10" i="25"/>
  <c r="J10" i="25" s="1"/>
  <c r="O10" i="25" s="1"/>
  <c r="I11" i="25"/>
  <c r="J11" i="25" s="1"/>
  <c r="I12" i="25"/>
  <c r="J12" i="25" s="1"/>
  <c r="I13" i="25"/>
  <c r="J13" i="25" s="1"/>
  <c r="I14" i="25"/>
  <c r="J14" i="25" s="1"/>
  <c r="I15" i="25"/>
  <c r="J15" i="25" s="1"/>
  <c r="N15" i="25" s="1"/>
  <c r="I16" i="25"/>
  <c r="J16" i="25" s="1"/>
  <c r="M16" i="25" s="1"/>
  <c r="S16" i="25" s="1"/>
  <c r="X16" i="25" s="1"/>
  <c r="I17" i="25"/>
  <c r="J17" i="25" s="1"/>
  <c r="I18" i="25"/>
  <c r="J18" i="25" s="1"/>
  <c r="I19" i="25"/>
  <c r="J19" i="25" s="1"/>
  <c r="L19" i="25" s="1"/>
  <c r="R19" i="25" s="1"/>
  <c r="I20" i="25"/>
  <c r="J20" i="25" s="1"/>
  <c r="M20" i="25" s="1"/>
  <c r="S20" i="25" s="1"/>
  <c r="X20" i="25" s="1"/>
  <c r="I21" i="25"/>
  <c r="J21" i="25" s="1"/>
  <c r="L21" i="25" s="1"/>
  <c r="R21" i="25" s="1"/>
  <c r="I22" i="25"/>
  <c r="J22" i="25" s="1"/>
  <c r="O22" i="25" s="1"/>
  <c r="I23" i="25"/>
  <c r="J23" i="25" s="1"/>
  <c r="I24" i="25"/>
  <c r="J24" i="25" s="1"/>
  <c r="I25" i="25"/>
  <c r="J25" i="25" s="1"/>
  <c r="I26" i="25"/>
  <c r="J26" i="25" s="1"/>
  <c r="I27" i="25"/>
  <c r="J27" i="25" s="1"/>
  <c r="N27" i="25" s="1"/>
  <c r="I28" i="25"/>
  <c r="J28" i="25" s="1"/>
  <c r="I29" i="25"/>
  <c r="J29" i="25" s="1"/>
  <c r="I30" i="25"/>
  <c r="J30" i="25" s="1"/>
  <c r="I31" i="25"/>
  <c r="J31" i="25" s="1"/>
  <c r="L31" i="25" s="1"/>
  <c r="R31" i="25" s="1"/>
  <c r="I32" i="25"/>
  <c r="J32" i="25" s="1"/>
  <c r="M32" i="25" s="1"/>
  <c r="S32" i="25" s="1"/>
  <c r="X32" i="25" s="1"/>
  <c r="I33" i="25"/>
  <c r="J33" i="25" s="1"/>
  <c r="L33" i="25" s="1"/>
  <c r="R33" i="25" s="1"/>
  <c r="I34" i="25"/>
  <c r="J34" i="25" s="1"/>
  <c r="O34" i="25" s="1"/>
  <c r="I35" i="25"/>
  <c r="J35" i="25" s="1"/>
  <c r="I36" i="25"/>
  <c r="J36" i="25" s="1"/>
  <c r="I37" i="25"/>
  <c r="J37" i="25" s="1"/>
  <c r="I38" i="25"/>
  <c r="J38" i="25" s="1"/>
  <c r="I39" i="25"/>
  <c r="J39" i="25" s="1"/>
  <c r="I40" i="25"/>
  <c r="J40" i="25" s="1"/>
  <c r="M40" i="25" s="1"/>
  <c r="S40" i="25" s="1"/>
  <c r="X40" i="25" s="1"/>
  <c r="I41" i="25"/>
  <c r="J41" i="25" s="1"/>
  <c r="I42" i="25"/>
  <c r="J42" i="25" s="1"/>
  <c r="I43" i="25"/>
  <c r="J43" i="25" s="1"/>
  <c r="L43" i="25" s="1"/>
  <c r="R43" i="25" s="1"/>
  <c r="I44" i="25"/>
  <c r="J44" i="25" s="1"/>
  <c r="M44" i="25" s="1"/>
  <c r="S44" i="25" s="1"/>
  <c r="X44" i="25" s="1"/>
  <c r="I45" i="25"/>
  <c r="J45" i="25" s="1"/>
  <c r="L45" i="25" s="1"/>
  <c r="R45" i="25" s="1"/>
  <c r="I46" i="25"/>
  <c r="J46" i="25" s="1"/>
  <c r="O46" i="25" s="1"/>
  <c r="I47" i="25"/>
  <c r="J47" i="25" s="1"/>
  <c r="M47" i="25" s="1"/>
  <c r="S47" i="25" s="1"/>
  <c r="X47" i="25" s="1"/>
  <c r="I48" i="25"/>
  <c r="J48" i="25" s="1"/>
  <c r="I49" i="25"/>
  <c r="J49" i="25" s="1"/>
  <c r="I50" i="25"/>
  <c r="J50" i="25" s="1"/>
  <c r="I51" i="25"/>
  <c r="J51" i="25" s="1"/>
  <c r="I52" i="25"/>
  <c r="J52" i="25" s="1"/>
  <c r="M52" i="25" s="1"/>
  <c r="S52" i="25" s="1"/>
  <c r="X52" i="25" s="1"/>
  <c r="I53" i="25"/>
  <c r="J53" i="25" s="1"/>
  <c r="I54" i="25"/>
  <c r="J54" i="25" s="1"/>
  <c r="N54" i="25" s="1"/>
  <c r="I55" i="25"/>
  <c r="J55" i="25" s="1"/>
  <c r="I56" i="25"/>
  <c r="J56" i="25" s="1"/>
  <c r="M56" i="25" s="1"/>
  <c r="S56" i="25" s="1"/>
  <c r="X56" i="25" s="1"/>
  <c r="I57" i="25"/>
  <c r="J57" i="25" s="1"/>
  <c r="M57" i="25" s="1"/>
  <c r="S57" i="25" s="1"/>
  <c r="X57" i="25" s="1"/>
  <c r="I58" i="25"/>
  <c r="J58" i="25" s="1"/>
  <c r="N58" i="25" s="1"/>
  <c r="I59" i="25"/>
  <c r="J59" i="25" s="1"/>
  <c r="N59" i="25" s="1"/>
  <c r="I60" i="25"/>
  <c r="J60" i="25" s="1"/>
  <c r="I61" i="25"/>
  <c r="J61" i="25" s="1"/>
  <c r="I62" i="25"/>
  <c r="J62" i="25" s="1"/>
  <c r="I63" i="25"/>
  <c r="J63" i="25" s="1"/>
  <c r="L63" i="25" s="1"/>
  <c r="R63" i="25" s="1"/>
  <c r="I64" i="25"/>
  <c r="J64" i="25" s="1"/>
  <c r="I65" i="25"/>
  <c r="J65" i="25" s="1"/>
  <c r="I66" i="25"/>
  <c r="J66" i="25" s="1"/>
  <c r="L66" i="25" s="1"/>
  <c r="R66" i="25" s="1"/>
  <c r="I67" i="25"/>
  <c r="J67" i="25"/>
  <c r="N67" i="25" s="1"/>
  <c r="I68" i="25"/>
  <c r="J68" i="25" s="1"/>
  <c r="O68" i="25" s="1"/>
  <c r="I69" i="25"/>
  <c r="J69" i="25" s="1"/>
  <c r="I70" i="25"/>
  <c r="J70" i="25" s="1"/>
  <c r="M70" i="25" s="1"/>
  <c r="S70" i="25" s="1"/>
  <c r="X70" i="25" s="1"/>
  <c r="I71" i="25"/>
  <c r="J71" i="25" s="1"/>
  <c r="I72" i="25"/>
  <c r="J72" i="25" s="1"/>
  <c r="I73" i="25"/>
  <c r="J73" i="25" s="1"/>
  <c r="L73" i="25" s="1"/>
  <c r="R73" i="25" s="1"/>
  <c r="I74" i="25"/>
  <c r="J74" i="25" s="1"/>
  <c r="I75" i="25"/>
  <c r="J75" i="25" s="1"/>
  <c r="I76" i="25"/>
  <c r="J76" i="25" s="1"/>
  <c r="I77" i="25"/>
  <c r="J77" i="25" s="1"/>
  <c r="I78" i="25"/>
  <c r="J78" i="25" s="1"/>
  <c r="I79" i="25"/>
  <c r="J79" i="25" s="1"/>
  <c r="I80" i="25"/>
  <c r="J80" i="25" s="1"/>
  <c r="I81" i="25"/>
  <c r="J81" i="25" s="1"/>
  <c r="I82" i="25"/>
  <c r="J82" i="25" s="1"/>
  <c r="M82" i="25" s="1"/>
  <c r="S82" i="25" s="1"/>
  <c r="X82" i="25" s="1"/>
  <c r="I83" i="25"/>
  <c r="J83" i="25" s="1"/>
  <c r="L83" i="25" s="1"/>
  <c r="R83" i="25" s="1"/>
  <c r="I84" i="25"/>
  <c r="J84" i="25" s="1"/>
  <c r="I85" i="25"/>
  <c r="J85" i="25"/>
  <c r="L85" i="25" s="1"/>
  <c r="R85" i="25" s="1"/>
  <c r="I86" i="25"/>
  <c r="J86" i="25" s="1"/>
  <c r="I87" i="25"/>
  <c r="J87" i="25" s="1"/>
  <c r="I88" i="25"/>
  <c r="J88" i="25" s="1"/>
  <c r="I89" i="25"/>
  <c r="J89" i="25" s="1"/>
  <c r="I90" i="25"/>
  <c r="J90" i="25" s="1"/>
  <c r="I91" i="25"/>
  <c r="J91" i="25" s="1"/>
  <c r="I92" i="25"/>
  <c r="J92" i="25" s="1"/>
  <c r="I93" i="25"/>
  <c r="J93" i="25" s="1"/>
  <c r="I94" i="25"/>
  <c r="J94" i="25" s="1"/>
  <c r="M94" i="25" s="1"/>
  <c r="S94" i="25" s="1"/>
  <c r="X94" i="25" s="1"/>
  <c r="I95" i="25"/>
  <c r="J95" i="25" s="1"/>
  <c r="L95" i="25" s="1"/>
  <c r="R95" i="25" s="1"/>
  <c r="I96" i="25"/>
  <c r="J96" i="25" s="1"/>
  <c r="O96" i="25" s="1"/>
  <c r="I97" i="25"/>
  <c r="J97" i="25" s="1"/>
  <c r="L97" i="25" s="1"/>
  <c r="R97" i="25" s="1"/>
  <c r="I98" i="25"/>
  <c r="J98" i="25" s="1"/>
  <c r="I99" i="25"/>
  <c r="J99" i="25" s="1"/>
  <c r="I100" i="25"/>
  <c r="J100" i="25" s="1"/>
  <c r="I101" i="25"/>
  <c r="J101" i="25" s="1"/>
  <c r="I102" i="25"/>
  <c r="J102" i="25" s="1"/>
  <c r="I103" i="25"/>
  <c r="J103" i="25" s="1"/>
  <c r="I104" i="25"/>
  <c r="J104" i="25" s="1"/>
  <c r="I105" i="25"/>
  <c r="J105" i="25" s="1"/>
  <c r="I106" i="25"/>
  <c r="J106" i="25" s="1"/>
  <c r="M106" i="25" s="1"/>
  <c r="S106" i="25" s="1"/>
  <c r="X106" i="25" s="1"/>
  <c r="I107" i="25"/>
  <c r="J107" i="25" s="1"/>
  <c r="L107" i="25" s="1"/>
  <c r="R107" i="25" s="1"/>
  <c r="I108" i="25"/>
  <c r="J108" i="25" s="1"/>
  <c r="I109" i="25"/>
  <c r="J109" i="25"/>
  <c r="L109" i="25" s="1"/>
  <c r="R109" i="25" s="1"/>
  <c r="I110" i="25"/>
  <c r="J110" i="25" s="1"/>
  <c r="I111" i="25"/>
  <c r="J111" i="25" s="1"/>
  <c r="I112" i="25"/>
  <c r="J112" i="25" s="1"/>
  <c r="I113" i="25"/>
  <c r="J113" i="25" s="1"/>
  <c r="I114" i="25"/>
  <c r="J114" i="25" s="1"/>
  <c r="I115" i="25"/>
  <c r="J115" i="25" s="1"/>
  <c r="O115" i="25" s="1"/>
  <c r="I116" i="25"/>
  <c r="J116" i="25" s="1"/>
  <c r="I3" i="25"/>
  <c r="J3" i="25" s="1"/>
  <c r="O3" i="25" s="1"/>
  <c r="I2" i="25"/>
  <c r="J2" i="25" s="1"/>
  <c r="O2" i="25" s="1"/>
  <c r="M99" i="21"/>
  <c r="K99" i="21"/>
  <c r="F22" i="5" l="1"/>
  <c r="F23" i="5" s="1"/>
  <c r="F25" i="5"/>
  <c r="F24" i="5"/>
  <c r="N80" i="25"/>
  <c r="L80" i="25"/>
  <c r="R80" i="25" s="1"/>
  <c r="M80" i="25"/>
  <c r="S80" i="25" s="1"/>
  <c r="X80" i="25" s="1"/>
  <c r="O80" i="25"/>
  <c r="O108" i="25"/>
  <c r="M108" i="25"/>
  <c r="S108" i="25" s="1"/>
  <c r="X108" i="25" s="1"/>
  <c r="M116" i="25"/>
  <c r="S116" i="25" s="1"/>
  <c r="X116" i="25" s="1"/>
  <c r="N116" i="25"/>
  <c r="L116" i="25"/>
  <c r="R116" i="25" s="1"/>
  <c r="W116" i="25" s="1"/>
  <c r="O116" i="25"/>
  <c r="N104" i="25"/>
  <c r="O104" i="25"/>
  <c r="M104" i="25"/>
  <c r="S104" i="25" s="1"/>
  <c r="X104" i="25" s="1"/>
  <c r="L104" i="25"/>
  <c r="R104" i="25" s="1"/>
  <c r="O103" i="25"/>
  <c r="N103" i="25"/>
  <c r="L103" i="25"/>
  <c r="R103" i="25" s="1"/>
  <c r="W103" i="25" s="1"/>
  <c r="M103" i="25"/>
  <c r="S103" i="25" s="1"/>
  <c r="X103" i="25" s="1"/>
  <c r="N115" i="25"/>
  <c r="M115" i="25"/>
  <c r="S115" i="25" s="1"/>
  <c r="X115" i="25" s="1"/>
  <c r="L115" i="25"/>
  <c r="R115" i="25" s="1"/>
  <c r="W115" i="25" s="1"/>
  <c r="T115" i="25" s="1"/>
  <c r="O67" i="25"/>
  <c r="M109" i="25"/>
  <c r="S109" i="25" s="1"/>
  <c r="X109" i="25" s="1"/>
  <c r="O79" i="25"/>
  <c r="L79" i="25"/>
  <c r="R79" i="25" s="1"/>
  <c r="W79" i="25" s="1"/>
  <c r="N79" i="25"/>
  <c r="M79" i="25"/>
  <c r="S79" i="25" s="1"/>
  <c r="X79" i="25" s="1"/>
  <c r="O72" i="25"/>
  <c r="M72" i="25"/>
  <c r="S72" i="25" s="1"/>
  <c r="X72" i="25" s="1"/>
  <c r="L39" i="25"/>
  <c r="R39" i="25" s="1"/>
  <c r="M39" i="25"/>
  <c r="S39" i="25" s="1"/>
  <c r="X39" i="25" s="1"/>
  <c r="N39" i="25"/>
  <c r="O39" i="25"/>
  <c r="M28" i="25"/>
  <c r="S28" i="25" s="1"/>
  <c r="X28" i="25" s="1"/>
  <c r="N28" i="25"/>
  <c r="L28" i="25"/>
  <c r="R28" i="25" s="1"/>
  <c r="L92" i="25"/>
  <c r="R92" i="25" s="1"/>
  <c r="W92" i="25" s="1"/>
  <c r="M92" i="25"/>
  <c r="S92" i="25" s="1"/>
  <c r="X92" i="25" s="1"/>
  <c r="O92" i="25"/>
  <c r="N92" i="25"/>
  <c r="O84" i="25"/>
  <c r="M84" i="25"/>
  <c r="S84" i="25" s="1"/>
  <c r="X84" i="25" s="1"/>
  <c r="M37" i="25"/>
  <c r="S37" i="25" s="1"/>
  <c r="X37" i="25" s="1"/>
  <c r="N37" i="25"/>
  <c r="L37" i="25"/>
  <c r="R37" i="25" s="1"/>
  <c r="W37" i="25" s="1"/>
  <c r="O37" i="25"/>
  <c r="M49" i="25"/>
  <c r="S49" i="25" s="1"/>
  <c r="X49" i="25" s="1"/>
  <c r="L49" i="25"/>
  <c r="R49" i="25" s="1"/>
  <c r="N49" i="25"/>
  <c r="O49" i="25"/>
  <c r="O91" i="25"/>
  <c r="L91" i="25"/>
  <c r="R91" i="25" s="1"/>
  <c r="W91" i="25" s="1"/>
  <c r="M91" i="25"/>
  <c r="S91" i="25" s="1"/>
  <c r="X91" i="25" s="1"/>
  <c r="U91" i="25" s="1"/>
  <c r="N91" i="25"/>
  <c r="M61" i="25"/>
  <c r="S61" i="25" s="1"/>
  <c r="X61" i="25" s="1"/>
  <c r="O61" i="25"/>
  <c r="N61" i="25"/>
  <c r="L69" i="25"/>
  <c r="R69" i="25" s="1"/>
  <c r="W69" i="25" s="1"/>
  <c r="M69" i="25"/>
  <c r="S69" i="25" s="1"/>
  <c r="X69" i="25" s="1"/>
  <c r="N69" i="25"/>
  <c r="O69" i="25"/>
  <c r="L51" i="25"/>
  <c r="R51" i="25" s="1"/>
  <c r="W51" i="25" s="1"/>
  <c r="N51" i="25"/>
  <c r="M51" i="25"/>
  <c r="S51" i="25" s="1"/>
  <c r="X51" i="25" s="1"/>
  <c r="O51" i="25"/>
  <c r="O63" i="25"/>
  <c r="M96" i="25"/>
  <c r="S96" i="25" s="1"/>
  <c r="X96" i="25" s="1"/>
  <c r="M63" i="25"/>
  <c r="S63" i="25" s="1"/>
  <c r="X63" i="25" s="1"/>
  <c r="L52" i="25"/>
  <c r="R52" i="25" s="1"/>
  <c r="W52" i="25" s="1"/>
  <c r="M85" i="25"/>
  <c r="S85" i="25" s="1"/>
  <c r="X85" i="25" s="1"/>
  <c r="L70" i="25"/>
  <c r="R70" i="25" s="1"/>
  <c r="M67" i="25"/>
  <c r="S67" i="25" s="1"/>
  <c r="X67" i="25" s="1"/>
  <c r="N40" i="25"/>
  <c r="L67" i="25"/>
  <c r="R67" i="25" s="1"/>
  <c r="L40" i="25"/>
  <c r="R40" i="25" s="1"/>
  <c r="M73" i="25"/>
  <c r="S73" i="25" s="1"/>
  <c r="X73" i="25" s="1"/>
  <c r="M97" i="25"/>
  <c r="S97" i="25" s="1"/>
  <c r="X97" i="25" s="1"/>
  <c r="M59" i="25"/>
  <c r="S59" i="25" s="1"/>
  <c r="X59" i="25" s="1"/>
  <c r="M68" i="25"/>
  <c r="S68" i="25" s="1"/>
  <c r="X68" i="25" s="1"/>
  <c r="N63" i="25"/>
  <c r="O58" i="25"/>
  <c r="N52" i="25"/>
  <c r="M25" i="25"/>
  <c r="S25" i="25" s="1"/>
  <c r="X25" i="25" s="1"/>
  <c r="L25" i="25"/>
  <c r="R25" i="25" s="1"/>
  <c r="O25" i="25"/>
  <c r="M13" i="25"/>
  <c r="S13" i="25" s="1"/>
  <c r="X13" i="25" s="1"/>
  <c r="O13" i="25"/>
  <c r="L13" i="25"/>
  <c r="R13" i="25" s="1"/>
  <c r="W13" i="25" s="1"/>
  <c r="L16" i="25"/>
  <c r="R16" i="25" s="1"/>
  <c r="W16" i="25" s="1"/>
  <c r="N16" i="25"/>
  <c r="W104" i="25"/>
  <c r="L102" i="25"/>
  <c r="R102" i="25" s="1"/>
  <c r="M102" i="25"/>
  <c r="S102" i="25" s="1"/>
  <c r="X102" i="25" s="1"/>
  <c r="N102" i="25"/>
  <c r="O102" i="25"/>
  <c r="L93" i="25"/>
  <c r="R93" i="25" s="1"/>
  <c r="M93" i="25"/>
  <c r="S93" i="25" s="1"/>
  <c r="X93" i="25" s="1"/>
  <c r="N93" i="25"/>
  <c r="O93" i="25"/>
  <c r="N77" i="25"/>
  <c r="L77" i="25"/>
  <c r="R77" i="25" s="1"/>
  <c r="O77" i="25"/>
  <c r="M77" i="25"/>
  <c r="S77" i="25" s="1"/>
  <c r="X77" i="25" s="1"/>
  <c r="W63" i="25"/>
  <c r="L111" i="25"/>
  <c r="R111" i="25" s="1"/>
  <c r="M111" i="25"/>
  <c r="S111" i="25" s="1"/>
  <c r="X111" i="25" s="1"/>
  <c r="N111" i="25"/>
  <c r="O111" i="25"/>
  <c r="W107" i="25"/>
  <c r="O86" i="25"/>
  <c r="L86" i="25"/>
  <c r="R86" i="25" s="1"/>
  <c r="M86" i="25"/>
  <c r="S86" i="25" s="1"/>
  <c r="X86" i="25" s="1"/>
  <c r="N86" i="25"/>
  <c r="O98" i="25"/>
  <c r="L98" i="25"/>
  <c r="R98" i="25" s="1"/>
  <c r="M98" i="25"/>
  <c r="S98" i="25" s="1"/>
  <c r="X98" i="25" s="1"/>
  <c r="N98" i="25"/>
  <c r="N101" i="25"/>
  <c r="O101" i="25"/>
  <c r="L101" i="25"/>
  <c r="R101" i="25" s="1"/>
  <c r="M101" i="25"/>
  <c r="S101" i="25" s="1"/>
  <c r="X101" i="25" s="1"/>
  <c r="L76" i="25"/>
  <c r="R76" i="25" s="1"/>
  <c r="B74" i="24" s="1"/>
  <c r="M76" i="25"/>
  <c r="S76" i="25" s="1"/>
  <c r="X76" i="25" s="1"/>
  <c r="N76" i="25"/>
  <c r="O76" i="25"/>
  <c r="W66" i="25"/>
  <c r="O110" i="25"/>
  <c r="L110" i="25"/>
  <c r="R110" i="25" s="1"/>
  <c r="M110" i="25"/>
  <c r="S110" i="25" s="1"/>
  <c r="X110" i="25" s="1"/>
  <c r="N110" i="25"/>
  <c r="M62" i="25"/>
  <c r="S62" i="25" s="1"/>
  <c r="X62" i="25" s="1"/>
  <c r="N62" i="25"/>
  <c r="O62" i="25"/>
  <c r="L62" i="25"/>
  <c r="R62" i="25" s="1"/>
  <c r="L100" i="25"/>
  <c r="R100" i="25" s="1"/>
  <c r="M100" i="25"/>
  <c r="S100" i="25" s="1"/>
  <c r="X100" i="25" s="1"/>
  <c r="N100" i="25"/>
  <c r="O100" i="25"/>
  <c r="W85" i="25"/>
  <c r="L75" i="25"/>
  <c r="R75" i="25" s="1"/>
  <c r="M75" i="25"/>
  <c r="S75" i="25" s="1"/>
  <c r="X75" i="25" s="1"/>
  <c r="N75" i="25"/>
  <c r="O75" i="25"/>
  <c r="L71" i="25"/>
  <c r="R71" i="25" s="1"/>
  <c r="M71" i="25"/>
  <c r="S71" i="25" s="1"/>
  <c r="X71" i="25" s="1"/>
  <c r="N71" i="25"/>
  <c r="O71" i="25"/>
  <c r="L90" i="25"/>
  <c r="R90" i="25" s="1"/>
  <c r="M90" i="25"/>
  <c r="S90" i="25" s="1"/>
  <c r="X90" i="25" s="1"/>
  <c r="N90" i="25"/>
  <c r="O90" i="25"/>
  <c r="L81" i="25"/>
  <c r="R81" i="25" s="1"/>
  <c r="M81" i="25"/>
  <c r="S81" i="25" s="1"/>
  <c r="X81" i="25" s="1"/>
  <c r="N81" i="25"/>
  <c r="O81" i="25"/>
  <c r="L65" i="25"/>
  <c r="R65" i="25" s="1"/>
  <c r="M65" i="25"/>
  <c r="S65" i="25" s="1"/>
  <c r="X65" i="25" s="1"/>
  <c r="N65" i="25"/>
  <c r="O65" i="25"/>
  <c r="W109" i="25"/>
  <c r="L99" i="25"/>
  <c r="R99" i="25" s="1"/>
  <c r="M99" i="25"/>
  <c r="S99" i="25" s="1"/>
  <c r="X99" i="25" s="1"/>
  <c r="N99" i="25"/>
  <c r="O99" i="25"/>
  <c r="W95" i="25"/>
  <c r="O74" i="25"/>
  <c r="L74" i="25"/>
  <c r="R74" i="25" s="1"/>
  <c r="M74" i="25"/>
  <c r="S74" i="25" s="1"/>
  <c r="X74" i="25" s="1"/>
  <c r="N74" i="25"/>
  <c r="W70" i="25"/>
  <c r="L114" i="25"/>
  <c r="R114" i="25" s="1"/>
  <c r="M114" i="25"/>
  <c r="S114" i="25" s="1"/>
  <c r="X114" i="25" s="1"/>
  <c r="N114" i="25"/>
  <c r="O114" i="25"/>
  <c r="L105" i="25"/>
  <c r="R105" i="25" s="1"/>
  <c r="M105" i="25"/>
  <c r="S105" i="25" s="1"/>
  <c r="X105" i="25" s="1"/>
  <c r="N105" i="25"/>
  <c r="O105" i="25"/>
  <c r="N89" i="25"/>
  <c r="L89" i="25"/>
  <c r="R89" i="25" s="1"/>
  <c r="O89" i="25"/>
  <c r="M89" i="25"/>
  <c r="S89" i="25" s="1"/>
  <c r="X89" i="25" s="1"/>
  <c r="L64" i="25"/>
  <c r="R64" i="25" s="1"/>
  <c r="B62" i="24" s="1"/>
  <c r="M64" i="25"/>
  <c r="S64" i="25" s="1"/>
  <c r="X64" i="25" s="1"/>
  <c r="N64" i="25"/>
  <c r="O64" i="25"/>
  <c r="N113" i="25"/>
  <c r="O113" i="25"/>
  <c r="L113" i="25"/>
  <c r="R113" i="25" s="1"/>
  <c r="M113" i="25"/>
  <c r="S113" i="25" s="1"/>
  <c r="X113" i="25" s="1"/>
  <c r="L88" i="25"/>
  <c r="R88" i="25" s="1"/>
  <c r="M88" i="25"/>
  <c r="S88" i="25" s="1"/>
  <c r="X88" i="25" s="1"/>
  <c r="N88" i="25"/>
  <c r="O88" i="25"/>
  <c r="W73" i="25"/>
  <c r="T91" i="25"/>
  <c r="W80" i="25"/>
  <c r="L78" i="25"/>
  <c r="R78" i="25" s="1"/>
  <c r="M78" i="25"/>
  <c r="S78" i="25" s="1"/>
  <c r="X78" i="25" s="1"/>
  <c r="N78" i="25"/>
  <c r="O78" i="25"/>
  <c r="W67" i="25"/>
  <c r="L112" i="25"/>
  <c r="R112" i="25" s="1"/>
  <c r="M112" i="25"/>
  <c r="S112" i="25" s="1"/>
  <c r="X112" i="25" s="1"/>
  <c r="N112" i="25"/>
  <c r="O112" i="25"/>
  <c r="W97" i="25"/>
  <c r="L87" i="25"/>
  <c r="R87" i="25" s="1"/>
  <c r="M87" i="25"/>
  <c r="S87" i="25" s="1"/>
  <c r="X87" i="25" s="1"/>
  <c r="N87" i="25"/>
  <c r="O87" i="25"/>
  <c r="W83" i="25"/>
  <c r="L36" i="25"/>
  <c r="R36" i="25" s="1"/>
  <c r="M36" i="25"/>
  <c r="S36" i="25" s="1"/>
  <c r="X36" i="25" s="1"/>
  <c r="N36" i="25"/>
  <c r="O36" i="25"/>
  <c r="N108" i="25"/>
  <c r="L106" i="25"/>
  <c r="R106" i="25" s="1"/>
  <c r="N96" i="25"/>
  <c r="L94" i="25"/>
  <c r="R94" i="25" s="1"/>
  <c r="N84" i="25"/>
  <c r="L82" i="25"/>
  <c r="R82" i="25" s="1"/>
  <c r="N72" i="25"/>
  <c r="N68" i="25"/>
  <c r="L41" i="25"/>
  <c r="R41" i="25" s="1"/>
  <c r="B39" i="24" s="1"/>
  <c r="M41" i="25"/>
  <c r="S41" i="25" s="1"/>
  <c r="X41" i="25" s="1"/>
  <c r="N41" i="25"/>
  <c r="O41" i="25"/>
  <c r="L17" i="25"/>
  <c r="R17" i="25" s="1"/>
  <c r="M17" i="25"/>
  <c r="S17" i="25" s="1"/>
  <c r="X17" i="25" s="1"/>
  <c r="N17" i="25"/>
  <c r="O17" i="25"/>
  <c r="L14" i="25"/>
  <c r="R14" i="25" s="1"/>
  <c r="M14" i="25"/>
  <c r="S14" i="25" s="1"/>
  <c r="X14" i="25" s="1"/>
  <c r="N14" i="25"/>
  <c r="O14" i="25"/>
  <c r="L11" i="25"/>
  <c r="R11" i="25" s="1"/>
  <c r="M11" i="25"/>
  <c r="S11" i="25" s="1"/>
  <c r="X11" i="25" s="1"/>
  <c r="N11" i="25"/>
  <c r="O11" i="25"/>
  <c r="L108" i="25"/>
  <c r="R108" i="25" s="1"/>
  <c r="L96" i="25"/>
  <c r="R96" i="25" s="1"/>
  <c r="L84" i="25"/>
  <c r="R84" i="25" s="1"/>
  <c r="B82" i="24" s="1"/>
  <c r="L72" i="25"/>
  <c r="R72" i="25" s="1"/>
  <c r="B70" i="24" s="1"/>
  <c r="L68" i="25"/>
  <c r="R68" i="25" s="1"/>
  <c r="L60" i="25"/>
  <c r="R60" i="25" s="1"/>
  <c r="M60" i="25"/>
  <c r="S60" i="25" s="1"/>
  <c r="X60" i="25" s="1"/>
  <c r="N60" i="25"/>
  <c r="O60" i="25"/>
  <c r="L57" i="25"/>
  <c r="R57" i="25" s="1"/>
  <c r="N57" i="25"/>
  <c r="O57" i="25"/>
  <c r="W49" i="25"/>
  <c r="L29" i="25"/>
  <c r="R29" i="25" s="1"/>
  <c r="M29" i="25"/>
  <c r="S29" i="25" s="1"/>
  <c r="X29" i="25" s="1"/>
  <c r="N29" i="25"/>
  <c r="O29" i="25"/>
  <c r="L26" i="25"/>
  <c r="R26" i="25" s="1"/>
  <c r="B24" i="24" s="1"/>
  <c r="M26" i="25"/>
  <c r="S26" i="25" s="1"/>
  <c r="X26" i="25" s="1"/>
  <c r="N26" i="25"/>
  <c r="O26" i="25"/>
  <c r="L23" i="25"/>
  <c r="R23" i="25" s="1"/>
  <c r="M23" i="25"/>
  <c r="S23" i="25" s="1"/>
  <c r="X23" i="25" s="1"/>
  <c r="N23" i="25"/>
  <c r="O23" i="25"/>
  <c r="L7" i="25"/>
  <c r="R7" i="25" s="1"/>
  <c r="M7" i="25"/>
  <c r="S7" i="25" s="1"/>
  <c r="X7" i="25" s="1"/>
  <c r="N7" i="25"/>
  <c r="O7" i="25"/>
  <c r="W40" i="25"/>
  <c r="L38" i="25"/>
  <c r="R38" i="25" s="1"/>
  <c r="M38" i="25"/>
  <c r="S38" i="25" s="1"/>
  <c r="X38" i="25" s="1"/>
  <c r="N38" i="25"/>
  <c r="O38" i="25"/>
  <c r="N32" i="25"/>
  <c r="O32" i="25"/>
  <c r="L32" i="25"/>
  <c r="R32" i="25" s="1"/>
  <c r="L10" i="25"/>
  <c r="R10" i="25" s="1"/>
  <c r="M10" i="25"/>
  <c r="S10" i="25" s="1"/>
  <c r="X10" i="25" s="1"/>
  <c r="N10" i="25"/>
  <c r="L53" i="25"/>
  <c r="R53" i="25" s="1"/>
  <c r="M53" i="25"/>
  <c r="S53" i="25" s="1"/>
  <c r="X53" i="25" s="1"/>
  <c r="N53" i="25"/>
  <c r="O53" i="25"/>
  <c r="O107" i="25"/>
  <c r="O95" i="25"/>
  <c r="O83" i="25"/>
  <c r="O66" i="25"/>
  <c r="W43" i="25"/>
  <c r="L35" i="25"/>
  <c r="R35" i="25" s="1"/>
  <c r="M35" i="25"/>
  <c r="S35" i="25" s="1"/>
  <c r="X35" i="25" s="1"/>
  <c r="N35" i="25"/>
  <c r="O35" i="25"/>
  <c r="W19" i="25"/>
  <c r="N107" i="25"/>
  <c r="N95" i="25"/>
  <c r="N83" i="25"/>
  <c r="N66" i="25"/>
  <c r="L61" i="25"/>
  <c r="R61" i="25" s="1"/>
  <c r="L46" i="25"/>
  <c r="R46" i="25" s="1"/>
  <c r="M46" i="25"/>
  <c r="S46" i="25" s="1"/>
  <c r="X46" i="25" s="1"/>
  <c r="N46" i="25"/>
  <c r="W28" i="25"/>
  <c r="L22" i="25"/>
  <c r="R22" i="25" s="1"/>
  <c r="M22" i="25"/>
  <c r="S22" i="25" s="1"/>
  <c r="X22" i="25" s="1"/>
  <c r="N22" i="25"/>
  <c r="L6" i="25"/>
  <c r="R6" i="25" s="1"/>
  <c r="M6" i="25"/>
  <c r="S6" i="25" s="1"/>
  <c r="X6" i="25" s="1"/>
  <c r="N6" i="25"/>
  <c r="O6" i="25"/>
  <c r="L55" i="25"/>
  <c r="R55" i="25" s="1"/>
  <c r="M55" i="25"/>
  <c r="S55" i="25" s="1"/>
  <c r="X55" i="25" s="1"/>
  <c r="N55" i="25"/>
  <c r="O55" i="25"/>
  <c r="O109" i="25"/>
  <c r="M107" i="25"/>
  <c r="S107" i="25" s="1"/>
  <c r="X107" i="25" s="1"/>
  <c r="O97" i="25"/>
  <c r="M95" i="25"/>
  <c r="S95" i="25" s="1"/>
  <c r="X95" i="25" s="1"/>
  <c r="O85" i="25"/>
  <c r="M83" i="25"/>
  <c r="S83" i="25" s="1"/>
  <c r="X83" i="25" s="1"/>
  <c r="O73" i="25"/>
  <c r="O70" i="25"/>
  <c r="M66" i="25"/>
  <c r="S66" i="25" s="1"/>
  <c r="X66" i="25" s="1"/>
  <c r="L58" i="25"/>
  <c r="R58" i="25" s="1"/>
  <c r="B56" i="24" s="1"/>
  <c r="M58" i="25"/>
  <c r="S58" i="25" s="1"/>
  <c r="X58" i="25" s="1"/>
  <c r="W31" i="25"/>
  <c r="W25" i="25"/>
  <c r="W9" i="25"/>
  <c r="N20" i="25"/>
  <c r="O20" i="25"/>
  <c r="L20" i="25"/>
  <c r="R20" i="25" s="1"/>
  <c r="N109" i="25"/>
  <c r="N97" i="25"/>
  <c r="N85" i="25"/>
  <c r="N73" i="25"/>
  <c r="N70" i="25"/>
  <c r="O59" i="25"/>
  <c r="L34" i="25"/>
  <c r="R34" i="25" s="1"/>
  <c r="B32" i="24" s="1"/>
  <c r="M34" i="25"/>
  <c r="S34" i="25" s="1"/>
  <c r="X34" i="25" s="1"/>
  <c r="N34" i="25"/>
  <c r="L54" i="25"/>
  <c r="R54" i="25" s="1"/>
  <c r="M54" i="25"/>
  <c r="S54" i="25" s="1"/>
  <c r="X54" i="25" s="1"/>
  <c r="O54" i="25"/>
  <c r="L48" i="25"/>
  <c r="R48" i="25" s="1"/>
  <c r="M48" i="25"/>
  <c r="S48" i="25" s="1"/>
  <c r="X48" i="25" s="1"/>
  <c r="N48" i="25"/>
  <c r="O48" i="25"/>
  <c r="W45" i="25"/>
  <c r="L42" i="25"/>
  <c r="R42" i="25" s="1"/>
  <c r="M42" i="25"/>
  <c r="S42" i="25" s="1"/>
  <c r="X42" i="25" s="1"/>
  <c r="N42" i="25"/>
  <c r="O42" i="25"/>
  <c r="W21" i="25"/>
  <c r="L18" i="25"/>
  <c r="R18" i="25" s="1"/>
  <c r="M18" i="25"/>
  <c r="S18" i="25" s="1"/>
  <c r="X18" i="25" s="1"/>
  <c r="N18" i="25"/>
  <c r="O18" i="25"/>
  <c r="L47" i="25"/>
  <c r="R47" i="25" s="1"/>
  <c r="N47" i="25"/>
  <c r="O47" i="25"/>
  <c r="O106" i="25"/>
  <c r="O94" i="25"/>
  <c r="O82" i="25"/>
  <c r="L59" i="25"/>
  <c r="R59" i="25" s="1"/>
  <c r="N56" i="25"/>
  <c r="O56" i="25"/>
  <c r="L56" i="25"/>
  <c r="R56" i="25" s="1"/>
  <c r="L50" i="25"/>
  <c r="R50" i="25" s="1"/>
  <c r="M50" i="25"/>
  <c r="S50" i="25" s="1"/>
  <c r="X50" i="25" s="1"/>
  <c r="N50" i="25"/>
  <c r="O50" i="25"/>
  <c r="O15" i="25"/>
  <c r="L15" i="25"/>
  <c r="R15" i="25" s="1"/>
  <c r="M15" i="25"/>
  <c r="S15" i="25" s="1"/>
  <c r="X15" i="25" s="1"/>
  <c r="L12" i="25"/>
  <c r="R12" i="25" s="1"/>
  <c r="M12" i="25"/>
  <c r="S12" i="25" s="1"/>
  <c r="X12" i="25" s="1"/>
  <c r="N12" i="25"/>
  <c r="O12" i="25"/>
  <c r="L5" i="25"/>
  <c r="R5" i="25" s="1"/>
  <c r="M5" i="25"/>
  <c r="S5" i="25" s="1"/>
  <c r="X5" i="25" s="1"/>
  <c r="N5" i="25"/>
  <c r="O5" i="25"/>
  <c r="N106" i="25"/>
  <c r="N94" i="25"/>
  <c r="N82" i="25"/>
  <c r="W33" i="25"/>
  <c r="L30" i="25"/>
  <c r="R30" i="25" s="1"/>
  <c r="B28" i="24" s="1"/>
  <c r="M30" i="25"/>
  <c r="S30" i="25" s="1"/>
  <c r="X30" i="25" s="1"/>
  <c r="N30" i="25"/>
  <c r="O30" i="25"/>
  <c r="N44" i="25"/>
  <c r="O44" i="25"/>
  <c r="L44" i="25"/>
  <c r="R44" i="25" s="1"/>
  <c r="B42" i="24" s="1"/>
  <c r="W39" i="25"/>
  <c r="O27" i="25"/>
  <c r="L27" i="25"/>
  <c r="R27" i="25" s="1"/>
  <c r="M27" i="25"/>
  <c r="S27" i="25" s="1"/>
  <c r="X27" i="25" s="1"/>
  <c r="L24" i="25"/>
  <c r="R24" i="25" s="1"/>
  <c r="M24" i="25"/>
  <c r="S24" i="25" s="1"/>
  <c r="X24" i="25" s="1"/>
  <c r="N24" i="25"/>
  <c r="O24" i="25"/>
  <c r="N8" i="25"/>
  <c r="O8" i="25"/>
  <c r="L8" i="25"/>
  <c r="R8" i="25" s="1"/>
  <c r="L4" i="25"/>
  <c r="R4" i="25" s="1"/>
  <c r="M4" i="25"/>
  <c r="S4" i="25" s="1"/>
  <c r="X4" i="25" s="1"/>
  <c r="N4" i="25"/>
  <c r="O4" i="25"/>
  <c r="O43" i="25"/>
  <c r="O31" i="25"/>
  <c r="O19" i="25"/>
  <c r="N43" i="25"/>
  <c r="N31" i="25"/>
  <c r="N19" i="25"/>
  <c r="O45" i="25"/>
  <c r="M43" i="25"/>
  <c r="S43" i="25" s="1"/>
  <c r="X43" i="25" s="1"/>
  <c r="O33" i="25"/>
  <c r="M31" i="25"/>
  <c r="S31" i="25" s="1"/>
  <c r="X31" i="25" s="1"/>
  <c r="O21" i="25"/>
  <c r="M19" i="25"/>
  <c r="S19" i="25" s="1"/>
  <c r="X19" i="25" s="1"/>
  <c r="O9" i="25"/>
  <c r="O52" i="25"/>
  <c r="N45" i="25"/>
  <c r="O40" i="25"/>
  <c r="N33" i="25"/>
  <c r="O28" i="25"/>
  <c r="N21" i="25"/>
  <c r="O16" i="25"/>
  <c r="N9" i="25"/>
  <c r="M45" i="25"/>
  <c r="S45" i="25" s="1"/>
  <c r="X45" i="25" s="1"/>
  <c r="M33" i="25"/>
  <c r="S33" i="25" s="1"/>
  <c r="X33" i="25" s="1"/>
  <c r="M21" i="25"/>
  <c r="S21" i="25" s="1"/>
  <c r="X21" i="25" s="1"/>
  <c r="M9" i="25"/>
  <c r="S9" i="25" s="1"/>
  <c r="X9" i="25" s="1"/>
  <c r="N25" i="25"/>
  <c r="N13" i="25"/>
  <c r="B71" i="24"/>
  <c r="C69" i="24"/>
  <c r="B19" i="24"/>
  <c r="C49" i="24"/>
  <c r="B29" i="24"/>
  <c r="B47" i="24"/>
  <c r="C58" i="24"/>
  <c r="B83" i="24"/>
  <c r="C45" i="24"/>
  <c r="C78" i="24"/>
  <c r="B26" i="24"/>
  <c r="C48" i="24"/>
  <c r="C7" i="24"/>
  <c r="B49" i="24"/>
  <c r="B65" i="24"/>
  <c r="C23" i="24"/>
  <c r="C57" i="24"/>
  <c r="L2" i="25"/>
  <c r="R2" i="25" s="1"/>
  <c r="N2" i="25"/>
  <c r="M2" i="25"/>
  <c r="S2" i="25" s="1"/>
  <c r="N3" i="25"/>
  <c r="L3" i="25"/>
  <c r="R3" i="25" s="1"/>
  <c r="M3" i="25"/>
  <c r="S3" i="25" s="1"/>
  <c r="E4" i="23"/>
  <c r="C5" i="23"/>
  <c r="B3" i="22"/>
  <c r="T103" i="25" l="1"/>
  <c r="AA103" i="25" s="1"/>
  <c r="C73" i="24"/>
  <c r="C24" i="24"/>
  <c r="C33" i="24"/>
  <c r="Z91" i="25"/>
  <c r="Q91" i="25" s="1"/>
  <c r="C32" i="24"/>
  <c r="U103" i="25"/>
  <c r="Y103" i="25" s="1"/>
  <c r="C12" i="24"/>
  <c r="U115" i="25"/>
  <c r="AA115" i="25" s="1"/>
  <c r="B35" i="24"/>
  <c r="C81" i="24"/>
  <c r="C39" i="24"/>
  <c r="Y91" i="25"/>
  <c r="Y115" i="25"/>
  <c r="T79" i="25"/>
  <c r="Z115" i="25"/>
  <c r="Q115" i="25" s="1"/>
  <c r="U79" i="25"/>
  <c r="T19" i="25"/>
  <c r="Y19" i="25" s="1"/>
  <c r="U19" i="25"/>
  <c r="W108" i="25"/>
  <c r="W106" i="25"/>
  <c r="T67" i="25"/>
  <c r="U67" i="25"/>
  <c r="E65" i="24" s="1"/>
  <c r="W8" i="25"/>
  <c r="T39" i="25"/>
  <c r="U39" i="25"/>
  <c r="W15" i="25"/>
  <c r="T37" i="25"/>
  <c r="U37" i="25"/>
  <c r="W61" i="25"/>
  <c r="W17" i="25"/>
  <c r="W87" i="25"/>
  <c r="U85" i="25"/>
  <c r="T85" i="25"/>
  <c r="W76" i="25"/>
  <c r="W111" i="25"/>
  <c r="W93" i="25"/>
  <c r="T33" i="25"/>
  <c r="U33" i="25"/>
  <c r="W46" i="25"/>
  <c r="W44" i="25"/>
  <c r="W6" i="25"/>
  <c r="W26" i="25"/>
  <c r="W74" i="25"/>
  <c r="W32" i="25"/>
  <c r="W57" i="25"/>
  <c r="W48" i="25"/>
  <c r="T73" i="25"/>
  <c r="U73" i="25"/>
  <c r="W64" i="25"/>
  <c r="W114" i="25"/>
  <c r="U109" i="25"/>
  <c r="T109" i="25"/>
  <c r="W81" i="25"/>
  <c r="W110" i="25"/>
  <c r="W101" i="25"/>
  <c r="W4" i="25"/>
  <c r="W47" i="25"/>
  <c r="W20" i="25"/>
  <c r="W35" i="25"/>
  <c r="W53" i="25"/>
  <c r="W60" i="25"/>
  <c r="T116" i="25"/>
  <c r="U116" i="25"/>
  <c r="W86" i="25"/>
  <c r="T21" i="25"/>
  <c r="U21" i="25"/>
  <c r="E19" i="24" s="1"/>
  <c r="T31" i="25"/>
  <c r="U31" i="25"/>
  <c r="W22" i="25"/>
  <c r="W68" i="25"/>
  <c r="W11" i="25"/>
  <c r="W41" i="25"/>
  <c r="W36" i="25"/>
  <c r="U97" i="25"/>
  <c r="T97" i="25"/>
  <c r="W78" i="25"/>
  <c r="W71" i="25"/>
  <c r="W100" i="25"/>
  <c r="T63" i="25"/>
  <c r="U63" i="25"/>
  <c r="W102" i="25"/>
  <c r="W50" i="25"/>
  <c r="W54" i="25"/>
  <c r="T13" i="25"/>
  <c r="U13" i="25"/>
  <c r="W38" i="25"/>
  <c r="W7" i="25"/>
  <c r="W29" i="25"/>
  <c r="W72" i="25"/>
  <c r="T80" i="25"/>
  <c r="U80" i="25"/>
  <c r="W89" i="25"/>
  <c r="T104" i="25"/>
  <c r="U104" i="25"/>
  <c r="W24" i="25"/>
  <c r="W5" i="25"/>
  <c r="B4" i="24"/>
  <c r="W56" i="25"/>
  <c r="W42" i="25"/>
  <c r="T52" i="25"/>
  <c r="U52" i="25"/>
  <c r="W10" i="25"/>
  <c r="T49" i="25"/>
  <c r="U49" i="25"/>
  <c r="W88" i="25"/>
  <c r="U95" i="25"/>
  <c r="T95" i="25"/>
  <c r="U51" i="25"/>
  <c r="E49" i="24" s="1"/>
  <c r="T51" i="25"/>
  <c r="W90" i="25"/>
  <c r="W62" i="25"/>
  <c r="W30" i="25"/>
  <c r="W18" i="25"/>
  <c r="T43" i="25"/>
  <c r="U43" i="25"/>
  <c r="W84" i="25"/>
  <c r="W82" i="25"/>
  <c r="T92" i="25"/>
  <c r="U92" i="25"/>
  <c r="W98" i="25"/>
  <c r="W77" i="25"/>
  <c r="W27" i="25"/>
  <c r="W34" i="25"/>
  <c r="W58" i="25"/>
  <c r="T28" i="25"/>
  <c r="U28" i="25"/>
  <c r="W14" i="25"/>
  <c r="U83" i="25"/>
  <c r="T83" i="25"/>
  <c r="W112" i="25"/>
  <c r="W113" i="25"/>
  <c r="W75" i="25"/>
  <c r="T66" i="25"/>
  <c r="U66" i="25"/>
  <c r="U107" i="25"/>
  <c r="T107" i="25"/>
  <c r="W59" i="25"/>
  <c r="T9" i="25"/>
  <c r="U9" i="25"/>
  <c r="W55" i="25"/>
  <c r="T40" i="25"/>
  <c r="U40" i="25"/>
  <c r="W23" i="25"/>
  <c r="W96" i="25"/>
  <c r="W94" i="25"/>
  <c r="U70" i="25"/>
  <c r="T70" i="25"/>
  <c r="W12" i="25"/>
  <c r="T45" i="25"/>
  <c r="U45" i="25"/>
  <c r="T25" i="25"/>
  <c r="U25" i="25"/>
  <c r="T16" i="25"/>
  <c r="U16" i="25"/>
  <c r="AA91" i="25"/>
  <c r="W105" i="25"/>
  <c r="W99" i="25"/>
  <c r="W65" i="25"/>
  <c r="T69" i="25"/>
  <c r="U69" i="25"/>
  <c r="B14" i="24"/>
  <c r="C35" i="24"/>
  <c r="B50" i="24"/>
  <c r="B33" i="24"/>
  <c r="B23" i="24"/>
  <c r="B11" i="24"/>
  <c r="B34" i="24"/>
  <c r="B66" i="24"/>
  <c r="C68" i="24"/>
  <c r="C19" i="24"/>
  <c r="C77" i="24"/>
  <c r="C65" i="24"/>
  <c r="C10" i="24"/>
  <c r="C34" i="24"/>
  <c r="C11" i="24"/>
  <c r="C53" i="24"/>
  <c r="C56" i="24"/>
  <c r="C79" i="24"/>
  <c r="B53" i="24"/>
  <c r="C36" i="24"/>
  <c r="C17" i="24"/>
  <c r="C59" i="24"/>
  <c r="C3" i="24"/>
  <c r="B48" i="24"/>
  <c r="B45" i="24"/>
  <c r="B85" i="24"/>
  <c r="C28" i="24"/>
  <c r="C26" i="24"/>
  <c r="B73" i="24"/>
  <c r="W2" i="25"/>
  <c r="B2" i="24"/>
  <c r="B21" i="24"/>
  <c r="B76" i="24"/>
  <c r="C74" i="24"/>
  <c r="C85" i="24"/>
  <c r="B7" i="24"/>
  <c r="B6" i="24"/>
  <c r="B51" i="24"/>
  <c r="X3" i="25"/>
  <c r="B59" i="24"/>
  <c r="B3" i="24"/>
  <c r="C76" i="24"/>
  <c r="D71" i="24"/>
  <c r="B10" i="24"/>
  <c r="B52" i="24"/>
  <c r="C6" i="24"/>
  <c r="B37" i="24"/>
  <c r="W3" i="25"/>
  <c r="C14" i="24"/>
  <c r="B9" i="24"/>
  <c r="B27" i="24"/>
  <c r="C82" i="24"/>
  <c r="B81" i="24"/>
  <c r="B72" i="24"/>
  <c r="B78" i="24"/>
  <c r="C75" i="24"/>
  <c r="C52" i="24"/>
  <c r="C37" i="24"/>
  <c r="B15" i="24"/>
  <c r="C9" i="24"/>
  <c r="C27" i="24"/>
  <c r="B20" i="24"/>
  <c r="C13" i="24"/>
  <c r="C70" i="24"/>
  <c r="B55" i="24"/>
  <c r="B67" i="24"/>
  <c r="B84" i="24"/>
  <c r="C72" i="24"/>
  <c r="B75" i="24"/>
  <c r="B80" i="24"/>
  <c r="C15" i="24"/>
  <c r="C4" i="24"/>
  <c r="C20" i="24"/>
  <c r="C66" i="24"/>
  <c r="C55" i="24"/>
  <c r="C67" i="24"/>
  <c r="C84" i="24"/>
  <c r="B13" i="24"/>
  <c r="B61" i="24"/>
  <c r="C46" i="24"/>
  <c r="C62" i="24"/>
  <c r="C61" i="24"/>
  <c r="C38" i="24"/>
  <c r="B54" i="24"/>
  <c r="D83" i="24"/>
  <c r="B22" i="24"/>
  <c r="B31" i="24"/>
  <c r="B5" i="24"/>
  <c r="C60" i="24"/>
  <c r="B60" i="24"/>
  <c r="C41" i="24"/>
  <c r="B40" i="24"/>
  <c r="B38" i="24"/>
  <c r="C54" i="24"/>
  <c r="B30" i="24"/>
  <c r="C22" i="24"/>
  <c r="B8" i="24"/>
  <c r="C5" i="24"/>
  <c r="B16" i="24"/>
  <c r="E83" i="24"/>
  <c r="C83" i="24"/>
  <c r="B58" i="24"/>
  <c r="B46" i="24"/>
  <c r="B77" i="24"/>
  <c r="B63" i="24"/>
  <c r="C50" i="24"/>
  <c r="C40" i="24"/>
  <c r="B36" i="24"/>
  <c r="C80" i="24"/>
  <c r="B69" i="24"/>
  <c r="B64" i="24"/>
  <c r="C51" i="24"/>
  <c r="C30" i="24"/>
  <c r="B18" i="24"/>
  <c r="C16" i="24"/>
  <c r="B57" i="24"/>
  <c r="C71" i="24"/>
  <c r="B41" i="24"/>
  <c r="B68" i="24"/>
  <c r="C47" i="24"/>
  <c r="C29" i="24"/>
  <c r="B25" i="24"/>
  <c r="C64" i="24"/>
  <c r="B43" i="24"/>
  <c r="B44" i="24"/>
  <c r="B12" i="24"/>
  <c r="C8" i="24"/>
  <c r="C31" i="24"/>
  <c r="C18" i="24"/>
  <c r="B79" i="24"/>
  <c r="C63" i="24"/>
  <c r="C42" i="24"/>
  <c r="C25" i="24"/>
  <c r="C43" i="24"/>
  <c r="C44" i="24"/>
  <c r="B17" i="24"/>
  <c r="X2" i="25"/>
  <c r="C2" i="24"/>
  <c r="C21" i="24"/>
  <c r="B3" i="21"/>
  <c r="Z103" i="25" l="1"/>
  <c r="Q103" i="25" s="1"/>
  <c r="Y21" i="25"/>
  <c r="Y79" i="25"/>
  <c r="Z21" i="25"/>
  <c r="Q21" i="25" s="1"/>
  <c r="AA21" i="25"/>
  <c r="Z33" i="25"/>
  <c r="Q33" i="25" s="1"/>
  <c r="Y95" i="25"/>
  <c r="Y9" i="25"/>
  <c r="AA43" i="25"/>
  <c r="Z45" i="25"/>
  <c r="Q45" i="25" s="1"/>
  <c r="Z19" i="25"/>
  <c r="Q19" i="25" s="1"/>
  <c r="Z79" i="25"/>
  <c r="Q79" i="25" s="1"/>
  <c r="Y33" i="25"/>
  <c r="Z107" i="25"/>
  <c r="Q107" i="25" s="1"/>
  <c r="Z31" i="25"/>
  <c r="Q31" i="25" s="1"/>
  <c r="AA79" i="25"/>
  <c r="Y45" i="25"/>
  <c r="AA107" i="25"/>
  <c r="AA31" i="25"/>
  <c r="Y66" i="25"/>
  <c r="AA95" i="25"/>
  <c r="AA33" i="25"/>
  <c r="AA19" i="25"/>
  <c r="T12" i="25"/>
  <c r="U12" i="25"/>
  <c r="E10" i="24" s="1"/>
  <c r="T18" i="25"/>
  <c r="U18" i="25"/>
  <c r="E16" i="24" s="1"/>
  <c r="T30" i="25"/>
  <c r="U30" i="25"/>
  <c r="E28" i="24" s="1"/>
  <c r="Y49" i="25"/>
  <c r="Z49" i="25"/>
  <c r="Q49" i="25" s="1"/>
  <c r="AA49" i="25"/>
  <c r="T48" i="25"/>
  <c r="U48" i="25"/>
  <c r="E46" i="24" s="1"/>
  <c r="T74" i="25"/>
  <c r="U74" i="25"/>
  <c r="T44" i="25"/>
  <c r="U44" i="25"/>
  <c r="T111" i="25"/>
  <c r="U111" i="25"/>
  <c r="Y25" i="25"/>
  <c r="AA25" i="25"/>
  <c r="Z25" i="25"/>
  <c r="Q25" i="25" s="1"/>
  <c r="T94" i="25"/>
  <c r="U94" i="25"/>
  <c r="Y40" i="25"/>
  <c r="Z40" i="25"/>
  <c r="Q40" i="25" s="1"/>
  <c r="AA40" i="25"/>
  <c r="T59" i="25"/>
  <c r="U59" i="25"/>
  <c r="T113" i="25"/>
  <c r="U113" i="25"/>
  <c r="U14" i="25"/>
  <c r="E12" i="24" s="1"/>
  <c r="T14" i="25"/>
  <c r="T34" i="25"/>
  <c r="D32" i="24" s="1"/>
  <c r="U34" i="25"/>
  <c r="E32" i="24" s="1"/>
  <c r="Y107" i="25"/>
  <c r="T90" i="25"/>
  <c r="U90" i="25"/>
  <c r="T47" i="25"/>
  <c r="U47" i="25"/>
  <c r="E45" i="24" s="1"/>
  <c r="T114" i="25"/>
  <c r="U114" i="25"/>
  <c r="Y37" i="25"/>
  <c r="Z37" i="25"/>
  <c r="Q37" i="25" s="1"/>
  <c r="AA37" i="25"/>
  <c r="Y67" i="25"/>
  <c r="Z67" i="25"/>
  <c r="Q67" i="25" s="1"/>
  <c r="AA67" i="25"/>
  <c r="T23" i="25"/>
  <c r="U23" i="25"/>
  <c r="E21" i="24" s="1"/>
  <c r="Y92" i="25"/>
  <c r="Z92" i="25"/>
  <c r="Q92" i="25" s="1"/>
  <c r="AA92" i="25"/>
  <c r="T24" i="25"/>
  <c r="U24" i="25"/>
  <c r="E22" i="24" s="1"/>
  <c r="Y51" i="25"/>
  <c r="Z51" i="25"/>
  <c r="Q51" i="25" s="1"/>
  <c r="A49" i="24" s="1"/>
  <c r="AA51" i="25"/>
  <c r="T56" i="25"/>
  <c r="U56" i="25"/>
  <c r="E54" i="24" s="1"/>
  <c r="Y104" i="25"/>
  <c r="Z104" i="25"/>
  <c r="Q104" i="25" s="1"/>
  <c r="AA104" i="25"/>
  <c r="T72" i="25"/>
  <c r="U72" i="25"/>
  <c r="T36" i="25"/>
  <c r="U36" i="25"/>
  <c r="E34" i="24" s="1"/>
  <c r="T68" i="25"/>
  <c r="D66" i="24" s="1"/>
  <c r="U68" i="25"/>
  <c r="E66" i="24" s="1"/>
  <c r="U53" i="25"/>
  <c r="T53" i="25"/>
  <c r="T64" i="25"/>
  <c r="U64" i="25"/>
  <c r="E62" i="24" s="1"/>
  <c r="U57" i="25"/>
  <c r="E55" i="24" s="1"/>
  <c r="T57" i="25"/>
  <c r="T58" i="25"/>
  <c r="D56" i="24" s="1"/>
  <c r="U58" i="25"/>
  <c r="U38" i="25"/>
  <c r="T38" i="25"/>
  <c r="U71" i="25"/>
  <c r="E69" i="24" s="1"/>
  <c r="T71" i="25"/>
  <c r="T86" i="25"/>
  <c r="U86" i="25"/>
  <c r="E84" i="24" s="1"/>
  <c r="T35" i="25"/>
  <c r="U35" i="25"/>
  <c r="E33" i="24" s="1"/>
  <c r="T110" i="25"/>
  <c r="U110" i="25"/>
  <c r="T106" i="25"/>
  <c r="U106" i="25"/>
  <c r="T75" i="25"/>
  <c r="U75" i="25"/>
  <c r="E73" i="24" s="1"/>
  <c r="Y28" i="25"/>
  <c r="Z28" i="25"/>
  <c r="Q28" i="25" s="1"/>
  <c r="AA28" i="25"/>
  <c r="T84" i="25"/>
  <c r="U84" i="25"/>
  <c r="E82" i="24" s="1"/>
  <c r="T10" i="25"/>
  <c r="U10" i="25"/>
  <c r="AA66" i="25"/>
  <c r="Z95" i="25"/>
  <c r="Q95" i="25" s="1"/>
  <c r="U26" i="25"/>
  <c r="T26" i="25"/>
  <c r="T5" i="25"/>
  <c r="D4" i="24" s="1"/>
  <c r="U5" i="25"/>
  <c r="E4" i="24" s="1"/>
  <c r="AA45" i="25"/>
  <c r="T98" i="25"/>
  <c r="U98" i="25"/>
  <c r="Z66" i="25"/>
  <c r="Q66" i="25" s="1"/>
  <c r="Y13" i="25"/>
  <c r="Z13" i="25"/>
  <c r="Q13" i="25" s="1"/>
  <c r="AA13" i="25"/>
  <c r="T102" i="25"/>
  <c r="U102" i="25"/>
  <c r="T6" i="25"/>
  <c r="U6" i="25"/>
  <c r="E5" i="24" s="1"/>
  <c r="T46" i="25"/>
  <c r="U46" i="25"/>
  <c r="E44" i="24" s="1"/>
  <c r="T15" i="25"/>
  <c r="U15" i="25"/>
  <c r="E13" i="24" s="1"/>
  <c r="Y69" i="25"/>
  <c r="AA69" i="25"/>
  <c r="Z69" i="25"/>
  <c r="Q69" i="25" s="1"/>
  <c r="T105" i="25"/>
  <c r="U105" i="25"/>
  <c r="T96" i="25"/>
  <c r="U96" i="25"/>
  <c r="T55" i="25"/>
  <c r="U55" i="25"/>
  <c r="E53" i="24" s="1"/>
  <c r="Y43" i="25"/>
  <c r="Z43" i="25"/>
  <c r="Q43" i="25" s="1"/>
  <c r="Y52" i="25"/>
  <c r="AA52" i="25"/>
  <c r="Z52" i="25"/>
  <c r="Q52" i="25" s="1"/>
  <c r="T41" i="25"/>
  <c r="U41" i="25"/>
  <c r="E39" i="24" s="1"/>
  <c r="Y116" i="25"/>
  <c r="Z116" i="25"/>
  <c r="Q116" i="25" s="1"/>
  <c r="AA116" i="25"/>
  <c r="T17" i="25"/>
  <c r="U17" i="25"/>
  <c r="E15" i="24" s="1"/>
  <c r="T65" i="25"/>
  <c r="U65" i="25"/>
  <c r="T112" i="25"/>
  <c r="U112" i="25"/>
  <c r="Z9" i="25"/>
  <c r="Q9" i="25" s="1"/>
  <c r="U62" i="25"/>
  <c r="E60" i="24" s="1"/>
  <c r="T62" i="25"/>
  <c r="AA9" i="25"/>
  <c r="T89" i="25"/>
  <c r="U89" i="25"/>
  <c r="T29" i="25"/>
  <c r="U29" i="25"/>
  <c r="E27" i="24" s="1"/>
  <c r="T54" i="25"/>
  <c r="U54" i="25"/>
  <c r="Y63" i="25"/>
  <c r="AA63" i="25"/>
  <c r="Z63" i="25"/>
  <c r="Q63" i="25" s="1"/>
  <c r="T11" i="25"/>
  <c r="U11" i="25"/>
  <c r="E9" i="24" s="1"/>
  <c r="T22" i="25"/>
  <c r="U22" i="25"/>
  <c r="E20" i="24" s="1"/>
  <c r="T60" i="25"/>
  <c r="U60" i="25"/>
  <c r="E58" i="24" s="1"/>
  <c r="Y31" i="25"/>
  <c r="T4" i="25"/>
  <c r="U4" i="25"/>
  <c r="E3" i="24" s="1"/>
  <c r="T81" i="25"/>
  <c r="U81" i="25"/>
  <c r="E79" i="24" s="1"/>
  <c r="Y73" i="25"/>
  <c r="Z73" i="25"/>
  <c r="Q73" i="25" s="1"/>
  <c r="A71" i="24" s="1"/>
  <c r="AA73" i="25"/>
  <c r="T32" i="25"/>
  <c r="U32" i="25"/>
  <c r="E30" i="24" s="1"/>
  <c r="T76" i="25"/>
  <c r="D74" i="24" s="1"/>
  <c r="U76" i="25"/>
  <c r="E74" i="24" s="1"/>
  <c r="Z39" i="25"/>
  <c r="Q39" i="25" s="1"/>
  <c r="AA39" i="25"/>
  <c r="Y39" i="25"/>
  <c r="T78" i="25"/>
  <c r="U78" i="25"/>
  <c r="E76" i="24" s="1"/>
  <c r="Y109" i="25"/>
  <c r="Z109" i="25"/>
  <c r="Q109" i="25" s="1"/>
  <c r="AA109" i="25"/>
  <c r="Z85" i="25"/>
  <c r="Q85" i="25" s="1"/>
  <c r="A83" i="24" s="1"/>
  <c r="AA85" i="25"/>
  <c r="Y85" i="25"/>
  <c r="T27" i="25"/>
  <c r="U27" i="25"/>
  <c r="E25" i="24" s="1"/>
  <c r="T88" i="25"/>
  <c r="U88" i="25"/>
  <c r="Y97" i="25"/>
  <c r="Z97" i="25"/>
  <c r="Q97" i="25" s="1"/>
  <c r="AA97" i="25"/>
  <c r="T101" i="25"/>
  <c r="U101" i="25"/>
  <c r="T108" i="25"/>
  <c r="U108" i="25"/>
  <c r="Y83" i="25"/>
  <c r="Z83" i="25"/>
  <c r="Q83" i="25" s="1"/>
  <c r="AA83" i="25"/>
  <c r="T42" i="25"/>
  <c r="U42" i="25"/>
  <c r="E40" i="24" s="1"/>
  <c r="Y16" i="25"/>
  <c r="Z16" i="25"/>
  <c r="Q16" i="25" s="1"/>
  <c r="AA16" i="25"/>
  <c r="Z70" i="25"/>
  <c r="Q70" i="25" s="1"/>
  <c r="Y70" i="25"/>
  <c r="AA70" i="25"/>
  <c r="T77" i="25"/>
  <c r="U77" i="25"/>
  <c r="E75" i="24" s="1"/>
  <c r="T82" i="25"/>
  <c r="U82" i="25"/>
  <c r="E80" i="24" s="1"/>
  <c r="U50" i="25"/>
  <c r="E48" i="24" s="1"/>
  <c r="T50" i="25"/>
  <c r="T20" i="25"/>
  <c r="U20" i="25"/>
  <c r="E18" i="24" s="1"/>
  <c r="T61" i="25"/>
  <c r="U61" i="25"/>
  <c r="E59" i="24" s="1"/>
  <c r="T8" i="25"/>
  <c r="U8" i="25"/>
  <c r="E7" i="24" s="1"/>
  <c r="T99" i="25"/>
  <c r="U99" i="25"/>
  <c r="Y80" i="25"/>
  <c r="Z80" i="25"/>
  <c r="Q80" i="25" s="1"/>
  <c r="AA80" i="25"/>
  <c r="T7" i="25"/>
  <c r="U7" i="25"/>
  <c r="E6" i="24" s="1"/>
  <c r="T100" i="25"/>
  <c r="U100" i="25"/>
  <c r="T93" i="25"/>
  <c r="U93" i="25"/>
  <c r="T87" i="25"/>
  <c r="U87" i="25"/>
  <c r="E85" i="24" s="1"/>
  <c r="E24" i="24"/>
  <c r="E35" i="24"/>
  <c r="E56" i="24"/>
  <c r="E23" i="24"/>
  <c r="E29" i="24"/>
  <c r="A65" i="24"/>
  <c r="E47" i="24"/>
  <c r="E70" i="24"/>
  <c r="D11" i="24"/>
  <c r="E11" i="24"/>
  <c r="A19" i="24"/>
  <c r="E78" i="24"/>
  <c r="E81" i="24"/>
  <c r="D14" i="24"/>
  <c r="E14" i="24"/>
  <c r="E26" i="24"/>
  <c r="E52" i="24"/>
  <c r="D24" i="24"/>
  <c r="E50" i="24"/>
  <c r="E17" i="24"/>
  <c r="D19" i="24"/>
  <c r="E41" i="24"/>
  <c r="E57" i="24"/>
  <c r="E64" i="24"/>
  <c r="E63" i="24"/>
  <c r="E42" i="24"/>
  <c r="E43" i="24"/>
  <c r="E68" i="24"/>
  <c r="E71" i="24"/>
  <c r="E36" i="24"/>
  <c r="E77" i="24"/>
  <c r="D50" i="24"/>
  <c r="E31" i="24"/>
  <c r="E37" i="24"/>
  <c r="D65" i="24"/>
  <c r="T2" i="25"/>
  <c r="U2" i="25"/>
  <c r="E2" i="24" s="1"/>
  <c r="E38" i="24"/>
  <c r="T3" i="25"/>
  <c r="U3" i="25"/>
  <c r="D23" i="24"/>
  <c r="D29" i="24"/>
  <c r="D35" i="24"/>
  <c r="E67" i="24"/>
  <c r="E8" i="24"/>
  <c r="E72" i="24"/>
  <c r="D49" i="24"/>
  <c r="E51" i="24"/>
  <c r="E61" i="24"/>
  <c r="AA53" i="25" l="1"/>
  <c r="Y53" i="25"/>
  <c r="Z53" i="25"/>
  <c r="Q53" i="25" s="1"/>
  <c r="AA56" i="25"/>
  <c r="Z56" i="25"/>
  <c r="Q56" i="25" s="1"/>
  <c r="Y56" i="25"/>
  <c r="Y7" i="25"/>
  <c r="Z7" i="25"/>
  <c r="Q7" i="25" s="1"/>
  <c r="A6" i="24" s="1"/>
  <c r="AA7" i="25"/>
  <c r="AA50" i="25"/>
  <c r="Y50" i="25"/>
  <c r="Z50" i="25"/>
  <c r="Q50" i="25" s="1"/>
  <c r="A48" i="24" s="1"/>
  <c r="Y15" i="25"/>
  <c r="Z15" i="25"/>
  <c r="Q15" i="25" s="1"/>
  <c r="A13" i="24" s="1"/>
  <c r="AA15" i="25"/>
  <c r="Z98" i="25"/>
  <c r="Q98" i="25" s="1"/>
  <c r="AA98" i="25"/>
  <c r="Y98" i="25"/>
  <c r="Y86" i="25"/>
  <c r="Z86" i="25"/>
  <c r="Q86" i="25" s="1"/>
  <c r="AA86" i="25"/>
  <c r="Z34" i="25"/>
  <c r="Q34" i="25" s="1"/>
  <c r="A32" i="24" s="1"/>
  <c r="AA34" i="25"/>
  <c r="Y34" i="25"/>
  <c r="Y93" i="25"/>
  <c r="Z93" i="25"/>
  <c r="Q93" i="25" s="1"/>
  <c r="AA93" i="25"/>
  <c r="AA101" i="25"/>
  <c r="Y101" i="25"/>
  <c r="Z101" i="25"/>
  <c r="Q101" i="25" s="1"/>
  <c r="Z90" i="25"/>
  <c r="Q90" i="25" s="1"/>
  <c r="AA90" i="25"/>
  <c r="Y90" i="25"/>
  <c r="Y35" i="25"/>
  <c r="Z35" i="25"/>
  <c r="Q35" i="25" s="1"/>
  <c r="A33" i="24" s="1"/>
  <c r="AA35" i="25"/>
  <c r="Y112" i="25"/>
  <c r="Z112" i="25"/>
  <c r="Q112" i="25" s="1"/>
  <c r="AA112" i="25"/>
  <c r="Z94" i="25"/>
  <c r="Q94" i="25" s="1"/>
  <c r="Y94" i="25"/>
  <c r="AA94" i="25"/>
  <c r="Y42" i="25"/>
  <c r="Z42" i="25"/>
  <c r="Q42" i="25" s="1"/>
  <c r="A40" i="24" s="1"/>
  <c r="AA42" i="25"/>
  <c r="Z88" i="25"/>
  <c r="Q88" i="25" s="1"/>
  <c r="AA88" i="25"/>
  <c r="Y88" i="25"/>
  <c r="Y4" i="25"/>
  <c r="Z4" i="25"/>
  <c r="Q4" i="25" s="1"/>
  <c r="A3" i="24" s="1"/>
  <c r="AA4" i="25"/>
  <c r="Z54" i="25"/>
  <c r="Q54" i="25" s="1"/>
  <c r="Y54" i="25"/>
  <c r="AA54" i="25"/>
  <c r="Y65" i="25"/>
  <c r="AA65" i="25"/>
  <c r="Z65" i="25"/>
  <c r="Q65" i="25" s="1"/>
  <c r="A63" i="24" s="1"/>
  <c r="Y71" i="25"/>
  <c r="Z71" i="25"/>
  <c r="Q71" i="25" s="1"/>
  <c r="A69" i="24" s="1"/>
  <c r="AA71" i="25"/>
  <c r="Z14" i="25"/>
  <c r="Q14" i="25" s="1"/>
  <c r="A12" i="24" s="1"/>
  <c r="AA14" i="25"/>
  <c r="Y14" i="25"/>
  <c r="Y41" i="25"/>
  <c r="Z41" i="25"/>
  <c r="Q41" i="25" s="1"/>
  <c r="A39" i="24" s="1"/>
  <c r="AA41" i="25"/>
  <c r="Z61" i="25"/>
  <c r="Q61" i="25" s="1"/>
  <c r="Y61" i="25"/>
  <c r="AA61" i="25"/>
  <c r="Y23" i="25"/>
  <c r="Z23" i="25"/>
  <c r="Q23" i="25" s="1"/>
  <c r="A21" i="24" s="1"/>
  <c r="AA23" i="25"/>
  <c r="Y46" i="25"/>
  <c r="Z46" i="25"/>
  <c r="Q46" i="25" s="1"/>
  <c r="AA46" i="25"/>
  <c r="AA68" i="25"/>
  <c r="Y68" i="25"/>
  <c r="Z68" i="25"/>
  <c r="Q68" i="25" s="1"/>
  <c r="Y11" i="25"/>
  <c r="Z11" i="25"/>
  <c r="Q11" i="25" s="1"/>
  <c r="A9" i="24" s="1"/>
  <c r="AA11" i="25"/>
  <c r="Y74" i="25"/>
  <c r="Z74" i="25"/>
  <c r="Q74" i="25" s="1"/>
  <c r="A72" i="24" s="1"/>
  <c r="AA74" i="25"/>
  <c r="Y10" i="25"/>
  <c r="Z10" i="25"/>
  <c r="Q10" i="25" s="1"/>
  <c r="AA10" i="25"/>
  <c r="Y48" i="25"/>
  <c r="Z48" i="25"/>
  <c r="Q48" i="25" s="1"/>
  <c r="A46" i="24" s="1"/>
  <c r="AA48" i="25"/>
  <c r="AA20" i="25"/>
  <c r="Y20" i="25"/>
  <c r="Z20" i="25"/>
  <c r="Q20" i="25" s="1"/>
  <c r="A18" i="24" s="1"/>
  <c r="Y78" i="25"/>
  <c r="Z78" i="25"/>
  <c r="Q78" i="25" s="1"/>
  <c r="A76" i="24" s="1"/>
  <c r="AA78" i="25"/>
  <c r="Z84" i="25"/>
  <c r="Q84" i="25" s="1"/>
  <c r="A82" i="24" s="1"/>
  <c r="Y84" i="25"/>
  <c r="AA84" i="25"/>
  <c r="D39" i="24"/>
  <c r="AA82" i="25"/>
  <c r="Y82" i="25"/>
  <c r="Z82" i="25"/>
  <c r="Q82" i="25" s="1"/>
  <c r="A80" i="24" s="1"/>
  <c r="Y27" i="25"/>
  <c r="Z27" i="25"/>
  <c r="Q27" i="25" s="1"/>
  <c r="A25" i="24" s="1"/>
  <c r="AA27" i="25"/>
  <c r="Y29" i="25"/>
  <c r="Z29" i="25"/>
  <c r="Q29" i="25" s="1"/>
  <c r="A27" i="24" s="1"/>
  <c r="AA29" i="25"/>
  <c r="Y17" i="25"/>
  <c r="Z17" i="25"/>
  <c r="Q17" i="25" s="1"/>
  <c r="A15" i="24" s="1"/>
  <c r="AA17" i="25"/>
  <c r="Y55" i="25"/>
  <c r="Z55" i="25"/>
  <c r="Q55" i="25" s="1"/>
  <c r="AA55" i="25"/>
  <c r="Y5" i="25"/>
  <c r="Z5" i="25"/>
  <c r="Q5" i="25" s="1"/>
  <c r="A4" i="24" s="1"/>
  <c r="AA5" i="25"/>
  <c r="AA38" i="25"/>
  <c r="Y38" i="25"/>
  <c r="Z38" i="25"/>
  <c r="Q38" i="25" s="1"/>
  <c r="A36" i="24" s="1"/>
  <c r="Y30" i="25"/>
  <c r="Z30" i="25"/>
  <c r="Q30" i="25" s="1"/>
  <c r="AA30" i="25"/>
  <c r="Y110" i="25"/>
  <c r="Z110" i="25"/>
  <c r="Q110" i="25" s="1"/>
  <c r="AA110" i="25"/>
  <c r="Y100" i="25"/>
  <c r="Z100" i="25"/>
  <c r="Q100" i="25" s="1"/>
  <c r="AA100" i="25"/>
  <c r="Y6" i="25"/>
  <c r="Z6" i="25"/>
  <c r="Q6" i="25" s="1"/>
  <c r="A5" i="24" s="1"/>
  <c r="AA6" i="25"/>
  <c r="Y26" i="25"/>
  <c r="Z26" i="25"/>
  <c r="Q26" i="25" s="1"/>
  <c r="A24" i="24" s="1"/>
  <c r="AA26" i="25"/>
  <c r="Y75" i="25"/>
  <c r="Z75" i="25"/>
  <c r="Q75" i="25" s="1"/>
  <c r="A73" i="24" s="1"/>
  <c r="AA75" i="25"/>
  <c r="AA36" i="25"/>
  <c r="Y36" i="25"/>
  <c r="Z36" i="25"/>
  <c r="Q36" i="25" s="1"/>
  <c r="A34" i="24" s="1"/>
  <c r="Y24" i="25"/>
  <c r="Z24" i="25"/>
  <c r="Q24" i="25" s="1"/>
  <c r="A22" i="24" s="1"/>
  <c r="AA24" i="25"/>
  <c r="Y113" i="25"/>
  <c r="AA113" i="25"/>
  <c r="Z113" i="25"/>
  <c r="Q113" i="25" s="1"/>
  <c r="Y111" i="25"/>
  <c r="Z111" i="25"/>
  <c r="Q111" i="25" s="1"/>
  <c r="AA111" i="25"/>
  <c r="Y64" i="25"/>
  <c r="Z64" i="25"/>
  <c r="Q64" i="25" s="1"/>
  <c r="A62" i="24" s="1"/>
  <c r="AA64" i="25"/>
  <c r="Y81" i="25"/>
  <c r="Z81" i="25"/>
  <c r="Q81" i="25" s="1"/>
  <c r="A79" i="24" s="1"/>
  <c r="AA81" i="25"/>
  <c r="Y76" i="25"/>
  <c r="Z76" i="25"/>
  <c r="Q76" i="25" s="1"/>
  <c r="A74" i="24" s="1"/>
  <c r="AA76" i="25"/>
  <c r="Y60" i="25"/>
  <c r="Z60" i="25"/>
  <c r="Q60" i="25" s="1"/>
  <c r="A58" i="24" s="1"/>
  <c r="AA60" i="25"/>
  <c r="D34" i="24"/>
  <c r="Y99" i="25"/>
  <c r="Z99" i="25"/>
  <c r="Q99" i="25" s="1"/>
  <c r="AA99" i="25"/>
  <c r="Y77" i="25"/>
  <c r="Z77" i="25"/>
  <c r="Q77" i="25" s="1"/>
  <c r="A75" i="24" s="1"/>
  <c r="AA77" i="25"/>
  <c r="AA89" i="25"/>
  <c r="Z89" i="25"/>
  <c r="Q89" i="25" s="1"/>
  <c r="Y89" i="25"/>
  <c r="Z96" i="25"/>
  <c r="Q96" i="25" s="1"/>
  <c r="Y96" i="25"/>
  <c r="AA96" i="25"/>
  <c r="Z114" i="25"/>
  <c r="Q114" i="25" s="1"/>
  <c r="AA114" i="25"/>
  <c r="Y114" i="25"/>
  <c r="Y18" i="25"/>
  <c r="Z18" i="25"/>
  <c r="Q18" i="25" s="1"/>
  <c r="A16" i="24" s="1"/>
  <c r="AA18" i="25"/>
  <c r="D62" i="24"/>
  <c r="Y87" i="25"/>
  <c r="Z87" i="25"/>
  <c r="Q87" i="25" s="1"/>
  <c r="A85" i="24" s="1"/>
  <c r="AA87" i="25"/>
  <c r="Y108" i="25"/>
  <c r="Z108" i="25"/>
  <c r="Q108" i="25" s="1"/>
  <c r="AA108" i="25"/>
  <c r="AA32" i="25"/>
  <c r="Y32" i="25"/>
  <c r="Z32" i="25"/>
  <c r="Q32" i="25" s="1"/>
  <c r="A30" i="24" s="1"/>
  <c r="Y22" i="25"/>
  <c r="Z22" i="25"/>
  <c r="Q22" i="25" s="1"/>
  <c r="A20" i="24" s="1"/>
  <c r="AA22" i="25"/>
  <c r="Y102" i="25"/>
  <c r="Z102" i="25"/>
  <c r="Q102" i="25" s="1"/>
  <c r="AA102" i="25"/>
  <c r="Z106" i="25"/>
  <c r="Q106" i="25" s="1"/>
  <c r="AA106" i="25"/>
  <c r="Y106" i="25"/>
  <c r="Y58" i="25"/>
  <c r="Z58" i="25"/>
  <c r="Q58" i="25" s="1"/>
  <c r="A56" i="24" s="1"/>
  <c r="AA58" i="25"/>
  <c r="Z72" i="25"/>
  <c r="Q72" i="25" s="1"/>
  <c r="A70" i="24" s="1"/>
  <c r="AA72" i="25"/>
  <c r="Y72" i="25"/>
  <c r="Z59" i="25"/>
  <c r="Q59" i="25" s="1"/>
  <c r="A57" i="24" s="1"/>
  <c r="AA59" i="25"/>
  <c r="Y59" i="25"/>
  <c r="Y44" i="25"/>
  <c r="Z44" i="25"/>
  <c r="Q44" i="25" s="1"/>
  <c r="A42" i="24" s="1"/>
  <c r="AA44" i="25"/>
  <c r="AA8" i="25"/>
  <c r="Y8" i="25"/>
  <c r="Z8" i="25"/>
  <c r="Q8" i="25" s="1"/>
  <c r="A7" i="24" s="1"/>
  <c r="Z62" i="25"/>
  <c r="Q62" i="25" s="1"/>
  <c r="A60" i="24" s="1"/>
  <c r="AA62" i="25"/>
  <c r="Y62" i="25"/>
  <c r="Y105" i="25"/>
  <c r="Z105" i="25"/>
  <c r="Q105" i="25" s="1"/>
  <c r="AA105" i="25"/>
  <c r="Y57" i="25"/>
  <c r="AA57" i="25"/>
  <c r="Z57" i="25"/>
  <c r="Q57" i="25" s="1"/>
  <c r="A55" i="24" s="1"/>
  <c r="Y47" i="25"/>
  <c r="AA47" i="25"/>
  <c r="Z47" i="25"/>
  <c r="Q47" i="25" s="1"/>
  <c r="A45" i="24" s="1"/>
  <c r="Y12" i="25"/>
  <c r="Z12" i="25"/>
  <c r="Q12" i="25" s="1"/>
  <c r="A10" i="24" s="1"/>
  <c r="AA12" i="25"/>
  <c r="D33" i="24"/>
  <c r="A38" i="24"/>
  <c r="A81" i="24"/>
  <c r="A29" i="24"/>
  <c r="D28" i="24"/>
  <c r="A28" i="24"/>
  <c r="A67" i="24"/>
  <c r="A11" i="24"/>
  <c r="A66" i="24"/>
  <c r="D82" i="24"/>
  <c r="A23" i="24"/>
  <c r="A50" i="24"/>
  <c r="A64" i="24"/>
  <c r="A68" i="24"/>
  <c r="A35" i="24"/>
  <c r="D70" i="24"/>
  <c r="A47" i="24"/>
  <c r="D47" i="24"/>
  <c r="A14" i="24"/>
  <c r="A26" i="24"/>
  <c r="D26" i="24"/>
  <c r="D42" i="24"/>
  <c r="D75" i="24"/>
  <c r="D69" i="24"/>
  <c r="D17" i="24"/>
  <c r="A17" i="24"/>
  <c r="D8" i="24"/>
  <c r="A8" i="24"/>
  <c r="D46" i="24"/>
  <c r="D45" i="24"/>
  <c r="D60" i="24"/>
  <c r="D38" i="24"/>
  <c r="D9" i="24"/>
  <c r="D85" i="24"/>
  <c r="D18" i="24"/>
  <c r="D10" i="24"/>
  <c r="D80" i="24"/>
  <c r="D3" i="24"/>
  <c r="D21" i="24"/>
  <c r="D44" i="24"/>
  <c r="A44" i="24"/>
  <c r="D79" i="24"/>
  <c r="D51" i="24"/>
  <c r="A51" i="24"/>
  <c r="D40" i="24"/>
  <c r="D54" i="24"/>
  <c r="A54" i="24"/>
  <c r="D36" i="24"/>
  <c r="D31" i="24"/>
  <c r="A31" i="24"/>
  <c r="D13" i="24"/>
  <c r="D59" i="24"/>
  <c r="A59" i="24"/>
  <c r="D55" i="24"/>
  <c r="D73" i="24"/>
  <c r="D64" i="24"/>
  <c r="D6" i="24"/>
  <c r="D61" i="24"/>
  <c r="A61" i="24"/>
  <c r="D48" i="24"/>
  <c r="AA3" i="25"/>
  <c r="Y3" i="25"/>
  <c r="Z3" i="25"/>
  <c r="Q3" i="25" s="1"/>
  <c r="D52" i="24"/>
  <c r="A52" i="24"/>
  <c r="D78" i="24"/>
  <c r="A78" i="24"/>
  <c r="D57" i="24"/>
  <c r="D5" i="24"/>
  <c r="D67" i="24"/>
  <c r="D81" i="24"/>
  <c r="D30" i="24"/>
  <c r="D76" i="24"/>
  <c r="D68" i="24"/>
  <c r="D12" i="24"/>
  <c r="D27" i="24"/>
  <c r="D2" i="24"/>
  <c r="Y2" i="25"/>
  <c r="AA2" i="25"/>
  <c r="Z2" i="25"/>
  <c r="Q2" i="25" s="1"/>
  <c r="A2" i="24" s="1"/>
  <c r="D16" i="24"/>
  <c r="D37" i="24"/>
  <c r="A37" i="24"/>
  <c r="D77" i="24"/>
  <c r="A77" i="24"/>
  <c r="D58" i="24"/>
  <c r="D63" i="24"/>
  <c r="D41" i="24"/>
  <c r="A41" i="24"/>
  <c r="D20" i="24"/>
  <c r="D7" i="24"/>
  <c r="D25" i="24"/>
  <c r="D72" i="24"/>
  <c r="D53" i="24"/>
  <c r="A53" i="24"/>
  <c r="D22" i="24"/>
  <c r="D84" i="24"/>
  <c r="A84" i="24"/>
  <c r="D15" i="24"/>
  <c r="D43" i="24"/>
  <c r="A43" i="24"/>
  <c r="G99" i="21" l="1"/>
  <c r="I99" i="2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J9" i="10" l="1"/>
  <c r="L9" i="10" s="1"/>
  <c r="J49" i="10"/>
  <c r="L49" i="10" s="1"/>
  <c r="J113" i="10"/>
  <c r="L113" i="10" s="1"/>
  <c r="J177" i="10"/>
  <c r="J241" i="10"/>
  <c r="J305" i="10"/>
  <c r="J369" i="10"/>
  <c r="J433" i="10"/>
  <c r="J497" i="10"/>
  <c r="J561" i="10"/>
  <c r="L561" i="10" s="1"/>
  <c r="J625" i="10"/>
  <c r="L625" i="10" s="1"/>
  <c r="J689" i="10"/>
  <c r="L689" i="10" s="1"/>
  <c r="J753" i="10"/>
  <c r="L753" i="10" s="1"/>
  <c r="J817" i="10"/>
  <c r="J881" i="10"/>
  <c r="L881" i="10" s="1"/>
  <c r="J945" i="10"/>
  <c r="M945" i="10" s="1"/>
  <c r="J7" i="10"/>
  <c r="J8" i="10"/>
  <c r="J10" i="10"/>
  <c r="J11" i="10"/>
  <c r="J12" i="10"/>
  <c r="J13" i="10"/>
  <c r="J14" i="10"/>
  <c r="J15" i="10"/>
  <c r="J16" i="10"/>
  <c r="J17" i="10"/>
  <c r="J18" i="10"/>
  <c r="J19" i="10"/>
  <c r="J20" i="10"/>
  <c r="J21" i="10"/>
  <c r="J22" i="10"/>
  <c r="J23" i="10"/>
  <c r="J24" i="10"/>
  <c r="J25" i="10"/>
  <c r="J26" i="10"/>
  <c r="J27" i="10"/>
  <c r="J28" i="10"/>
  <c r="J29" i="10"/>
  <c r="J30" i="10"/>
  <c r="J31" i="10"/>
  <c r="J32" i="10"/>
  <c r="J33" i="10"/>
  <c r="L33" i="10" s="1"/>
  <c r="J34" i="10"/>
  <c r="J35" i="10"/>
  <c r="J36" i="10"/>
  <c r="J37" i="10"/>
  <c r="J38" i="10"/>
  <c r="J39" i="10"/>
  <c r="J40" i="10"/>
  <c r="J41" i="10"/>
  <c r="J42" i="10"/>
  <c r="J43" i="10"/>
  <c r="J44" i="10"/>
  <c r="J45" i="10"/>
  <c r="J46" i="10"/>
  <c r="J47" i="10"/>
  <c r="J48"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L89" i="10" s="1"/>
  <c r="J90" i="10"/>
  <c r="J91" i="10"/>
  <c r="J92" i="10"/>
  <c r="J93" i="10"/>
  <c r="J94" i="10"/>
  <c r="J95" i="10"/>
  <c r="J96" i="10"/>
  <c r="J97" i="10"/>
  <c r="L97" i="10" s="1"/>
  <c r="J98" i="10"/>
  <c r="J99" i="10"/>
  <c r="J100" i="10"/>
  <c r="J101" i="10"/>
  <c r="J102" i="10"/>
  <c r="J103" i="10"/>
  <c r="J104" i="10"/>
  <c r="J105" i="10"/>
  <c r="J106" i="10"/>
  <c r="J107" i="10"/>
  <c r="J108" i="10"/>
  <c r="J109" i="10"/>
  <c r="J110" i="10"/>
  <c r="J111" i="10"/>
  <c r="J112"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L137" i="10" s="1"/>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L169" i="10" s="1"/>
  <c r="J170" i="10"/>
  <c r="J171" i="10"/>
  <c r="J172" i="10"/>
  <c r="J173" i="10"/>
  <c r="J174" i="10"/>
  <c r="J175" i="10"/>
  <c r="J176"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L201" i="10" s="1"/>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2" i="10"/>
  <c r="J243" i="10"/>
  <c r="J244" i="10"/>
  <c r="J245" i="10"/>
  <c r="J246" i="10"/>
  <c r="J247" i="10"/>
  <c r="J248" i="10"/>
  <c r="J249" i="10"/>
  <c r="J250" i="10"/>
  <c r="J251" i="10"/>
  <c r="J252" i="10"/>
  <c r="J253" i="10"/>
  <c r="J254" i="10"/>
  <c r="J255" i="10"/>
  <c r="J256" i="10"/>
  <c r="J257" i="10"/>
  <c r="L257" i="10" s="1"/>
  <c r="J258" i="10"/>
  <c r="J259" i="10"/>
  <c r="J260" i="10"/>
  <c r="J261" i="10"/>
  <c r="J262" i="10"/>
  <c r="J263" i="10"/>
  <c r="J264" i="10"/>
  <c r="J265" i="10"/>
  <c r="J266" i="10"/>
  <c r="J267" i="10"/>
  <c r="J268" i="10"/>
  <c r="J269" i="10"/>
  <c r="J270" i="10"/>
  <c r="J271" i="10"/>
  <c r="J272" i="10"/>
  <c r="J273" i="10"/>
  <c r="L273" i="10" s="1"/>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6" i="10"/>
  <c r="J307" i="10"/>
  <c r="J308" i="10"/>
  <c r="J309" i="10"/>
  <c r="J310" i="10"/>
  <c r="J311" i="10"/>
  <c r="J312" i="10"/>
  <c r="J313" i="10"/>
  <c r="J314" i="10"/>
  <c r="J315" i="10"/>
  <c r="J316" i="10"/>
  <c r="J317" i="10"/>
  <c r="J318" i="10"/>
  <c r="J319" i="10"/>
  <c r="J320" i="10"/>
  <c r="J321" i="10"/>
  <c r="L321" i="10" s="1"/>
  <c r="J322" i="10"/>
  <c r="J323" i="10"/>
  <c r="J324" i="10"/>
  <c r="J325" i="10"/>
  <c r="J326" i="10"/>
  <c r="J327" i="10"/>
  <c r="J328" i="10"/>
  <c r="J329" i="10"/>
  <c r="L329" i="10" s="1"/>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70" i="10"/>
  <c r="J371" i="10"/>
  <c r="J372" i="10"/>
  <c r="J373" i="10"/>
  <c r="J374" i="10"/>
  <c r="J375" i="10"/>
  <c r="J376" i="10"/>
  <c r="J377" i="10"/>
  <c r="L377" i="10" s="1"/>
  <c r="J378" i="10"/>
  <c r="J379" i="10"/>
  <c r="J380" i="10"/>
  <c r="J381" i="10"/>
  <c r="J382" i="10"/>
  <c r="J383" i="10"/>
  <c r="J384" i="10"/>
  <c r="J385" i="10"/>
  <c r="L385" i="10" s="1"/>
  <c r="J386" i="10"/>
  <c r="J387" i="10"/>
  <c r="J388" i="10"/>
  <c r="J389" i="10"/>
  <c r="J390" i="10"/>
  <c r="J391" i="10"/>
  <c r="J392" i="10"/>
  <c r="J393" i="10"/>
  <c r="L393" i="10" s="1"/>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4" i="10"/>
  <c r="J435" i="10"/>
  <c r="J436" i="10"/>
  <c r="J437" i="10"/>
  <c r="J438" i="10"/>
  <c r="J439" i="10"/>
  <c r="J440" i="10"/>
  <c r="J441" i="10"/>
  <c r="J442" i="10"/>
  <c r="J443" i="10"/>
  <c r="J444" i="10"/>
  <c r="J445" i="10"/>
  <c r="J446" i="10"/>
  <c r="J447" i="10"/>
  <c r="J448" i="10"/>
  <c r="J449" i="10"/>
  <c r="L449" i="10" s="1"/>
  <c r="J450" i="10"/>
  <c r="J451" i="10"/>
  <c r="J452" i="10"/>
  <c r="J453" i="10"/>
  <c r="J454" i="10"/>
  <c r="J455" i="10"/>
  <c r="J456" i="10"/>
  <c r="J457" i="10"/>
  <c r="L457" i="10" s="1"/>
  <c r="J458" i="10"/>
  <c r="J459" i="10"/>
  <c r="J460" i="10"/>
  <c r="J461" i="10"/>
  <c r="J462" i="10"/>
  <c r="J463" i="10"/>
  <c r="J464" i="10"/>
  <c r="J465" i="10"/>
  <c r="L465" i="10" s="1"/>
  <c r="J466" i="10"/>
  <c r="J467" i="10"/>
  <c r="J468" i="10"/>
  <c r="J469" i="10"/>
  <c r="J470" i="10"/>
  <c r="J471" i="10"/>
  <c r="J472" i="10"/>
  <c r="J473" i="10"/>
  <c r="L473" i="10" s="1"/>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8" i="10"/>
  <c r="J499" i="10"/>
  <c r="J500" i="10"/>
  <c r="J501" i="10"/>
  <c r="J502" i="10"/>
  <c r="J503" i="10"/>
  <c r="J504" i="10"/>
  <c r="J505" i="10"/>
  <c r="L505" i="10" s="1"/>
  <c r="J506" i="10"/>
  <c r="J507" i="10"/>
  <c r="J508" i="10"/>
  <c r="J509" i="10"/>
  <c r="J510" i="10"/>
  <c r="J511" i="10"/>
  <c r="J512" i="10"/>
  <c r="J513" i="10"/>
  <c r="L513" i="10" s="1"/>
  <c r="J514" i="10"/>
  <c r="J515" i="10"/>
  <c r="J516" i="10"/>
  <c r="J517" i="10"/>
  <c r="J518" i="10"/>
  <c r="J519" i="10"/>
  <c r="J520" i="10"/>
  <c r="J521" i="10"/>
  <c r="L521" i="10" s="1"/>
  <c r="J522" i="10"/>
  <c r="J523" i="10"/>
  <c r="J524" i="10"/>
  <c r="J525" i="10"/>
  <c r="J526" i="10"/>
  <c r="J527" i="10"/>
  <c r="J528" i="10"/>
  <c r="J529" i="10"/>
  <c r="L529" i="10" s="1"/>
  <c r="J530" i="10"/>
  <c r="J531" i="10"/>
  <c r="J532" i="10"/>
  <c r="J533" i="10"/>
  <c r="J534" i="10"/>
  <c r="J535" i="10"/>
  <c r="J536" i="10"/>
  <c r="J537" i="10"/>
  <c r="L537" i="10" s="1"/>
  <c r="J538" i="10"/>
  <c r="J539" i="10"/>
  <c r="J540" i="10"/>
  <c r="J541" i="10"/>
  <c r="J542" i="10"/>
  <c r="J543" i="10"/>
  <c r="J544" i="10"/>
  <c r="J545" i="10"/>
  <c r="L545" i="10" s="1"/>
  <c r="J546" i="10"/>
  <c r="J547" i="10"/>
  <c r="J548" i="10"/>
  <c r="J549" i="10"/>
  <c r="J550" i="10"/>
  <c r="J551" i="10"/>
  <c r="J552" i="10"/>
  <c r="J553" i="10"/>
  <c r="J554" i="10"/>
  <c r="J555" i="10"/>
  <c r="J556" i="10"/>
  <c r="J557" i="10"/>
  <c r="J558" i="10"/>
  <c r="J559" i="10"/>
  <c r="J560" i="10"/>
  <c r="J562" i="10"/>
  <c r="J563" i="10"/>
  <c r="J564" i="10"/>
  <c r="J565" i="10"/>
  <c r="J566" i="10"/>
  <c r="J567" i="10"/>
  <c r="J568" i="10"/>
  <c r="J569" i="10"/>
  <c r="L569" i="10" s="1"/>
  <c r="J570" i="10"/>
  <c r="J571" i="10"/>
  <c r="J572" i="10"/>
  <c r="J573" i="10"/>
  <c r="J574" i="10"/>
  <c r="J575" i="10"/>
  <c r="J576" i="10"/>
  <c r="J577" i="10"/>
  <c r="L577" i="10" s="1"/>
  <c r="J578" i="10"/>
  <c r="J579" i="10"/>
  <c r="J580" i="10"/>
  <c r="J581" i="10"/>
  <c r="J582" i="10"/>
  <c r="J583" i="10"/>
  <c r="J584" i="10"/>
  <c r="J585" i="10"/>
  <c r="J586" i="10"/>
  <c r="J587" i="10"/>
  <c r="J588" i="10"/>
  <c r="J589" i="10"/>
  <c r="J590" i="10"/>
  <c r="J591" i="10"/>
  <c r="J592" i="10"/>
  <c r="J593" i="10"/>
  <c r="L593" i="10" s="1"/>
  <c r="J594" i="10"/>
  <c r="J595" i="10"/>
  <c r="J596" i="10"/>
  <c r="J597" i="10"/>
  <c r="J598" i="10"/>
  <c r="J599" i="10"/>
  <c r="J600" i="10"/>
  <c r="J601" i="10"/>
  <c r="L601" i="10" s="1"/>
  <c r="J602" i="10"/>
  <c r="J603" i="10"/>
  <c r="J604" i="10"/>
  <c r="J605" i="10"/>
  <c r="J606" i="10"/>
  <c r="J607" i="10"/>
  <c r="J608" i="10"/>
  <c r="J609" i="10"/>
  <c r="J610" i="10"/>
  <c r="J611" i="10"/>
  <c r="J612" i="10"/>
  <c r="J613" i="10"/>
  <c r="J614" i="10"/>
  <c r="J615" i="10"/>
  <c r="J616" i="10"/>
  <c r="J617" i="10"/>
  <c r="L617" i="10" s="1"/>
  <c r="J618" i="10"/>
  <c r="J619" i="10"/>
  <c r="J620" i="10"/>
  <c r="J621" i="10"/>
  <c r="J622" i="10"/>
  <c r="J623" i="10"/>
  <c r="J624" i="10"/>
  <c r="J626" i="10"/>
  <c r="J627" i="10"/>
  <c r="J628" i="10"/>
  <c r="J629" i="10"/>
  <c r="J630" i="10"/>
  <c r="J631" i="10"/>
  <c r="J632" i="10"/>
  <c r="J633" i="10"/>
  <c r="J634" i="10"/>
  <c r="J635" i="10"/>
  <c r="J636" i="10"/>
  <c r="J637" i="10"/>
  <c r="J638" i="10"/>
  <c r="J639" i="10"/>
  <c r="J640" i="10"/>
  <c r="J641" i="10"/>
  <c r="L641" i="10" s="1"/>
  <c r="J642" i="10"/>
  <c r="J643" i="10"/>
  <c r="J644" i="10"/>
  <c r="J645" i="10"/>
  <c r="J646" i="10"/>
  <c r="J647" i="10"/>
  <c r="J648" i="10"/>
  <c r="J649" i="10"/>
  <c r="J650" i="10"/>
  <c r="J651" i="10"/>
  <c r="J652" i="10"/>
  <c r="J653" i="10"/>
  <c r="J654" i="10"/>
  <c r="J655" i="10"/>
  <c r="J656" i="10"/>
  <c r="J657" i="10"/>
  <c r="L657" i="10" s="1"/>
  <c r="J658" i="10"/>
  <c r="J659" i="10"/>
  <c r="J660" i="10"/>
  <c r="J661" i="10"/>
  <c r="J662" i="10"/>
  <c r="J663" i="10"/>
  <c r="J664" i="10"/>
  <c r="J665" i="10"/>
  <c r="L665" i="10" s="1"/>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90" i="10"/>
  <c r="J691" i="10"/>
  <c r="J692" i="10"/>
  <c r="J693" i="10"/>
  <c r="J694" i="10"/>
  <c r="J695" i="10"/>
  <c r="J696" i="10"/>
  <c r="J697" i="10"/>
  <c r="L697" i="10" s="1"/>
  <c r="J698" i="10"/>
  <c r="J699" i="10"/>
  <c r="J700" i="10"/>
  <c r="J701" i="10"/>
  <c r="J702" i="10"/>
  <c r="J703" i="10"/>
  <c r="J704" i="10"/>
  <c r="J705" i="10"/>
  <c r="L705" i="10" s="1"/>
  <c r="J706" i="10"/>
  <c r="J707" i="10"/>
  <c r="J708" i="10"/>
  <c r="J709" i="10"/>
  <c r="J710" i="10"/>
  <c r="J711" i="10"/>
  <c r="J712" i="10"/>
  <c r="J713" i="10"/>
  <c r="L713" i="10" s="1"/>
  <c r="J714" i="10"/>
  <c r="J715" i="10"/>
  <c r="J716" i="10"/>
  <c r="J717" i="10"/>
  <c r="J718" i="10"/>
  <c r="J719" i="10"/>
  <c r="J720" i="10"/>
  <c r="J721" i="10"/>
  <c r="L721" i="10" s="1"/>
  <c r="J722" i="10"/>
  <c r="J723" i="10"/>
  <c r="J724" i="10"/>
  <c r="J725" i="10"/>
  <c r="J726" i="10"/>
  <c r="J727" i="10"/>
  <c r="J728" i="10"/>
  <c r="J729" i="10"/>
  <c r="L729" i="10" s="1"/>
  <c r="J730" i="10"/>
  <c r="J731" i="10"/>
  <c r="J732" i="10"/>
  <c r="J733" i="10"/>
  <c r="J734" i="10"/>
  <c r="J735" i="10"/>
  <c r="J736" i="10"/>
  <c r="J737" i="10"/>
  <c r="J738" i="10"/>
  <c r="J739" i="10"/>
  <c r="J740" i="10"/>
  <c r="J741" i="10"/>
  <c r="J742" i="10"/>
  <c r="J743" i="10"/>
  <c r="J744" i="10"/>
  <c r="J745" i="10"/>
  <c r="L745" i="10" s="1"/>
  <c r="J746" i="10"/>
  <c r="J747" i="10"/>
  <c r="J748" i="10"/>
  <c r="J749" i="10"/>
  <c r="J750" i="10"/>
  <c r="J751" i="10"/>
  <c r="J752" i="10"/>
  <c r="J754" i="10"/>
  <c r="J755" i="10"/>
  <c r="J756" i="10"/>
  <c r="J757" i="10"/>
  <c r="J758" i="10"/>
  <c r="J759" i="10"/>
  <c r="J760" i="10"/>
  <c r="J761" i="10"/>
  <c r="J762" i="10"/>
  <c r="J763" i="10"/>
  <c r="J764" i="10"/>
  <c r="J765" i="10"/>
  <c r="J766" i="10"/>
  <c r="J767" i="10"/>
  <c r="J768" i="10"/>
  <c r="J769" i="10"/>
  <c r="L769" i="10" s="1"/>
  <c r="J770" i="10"/>
  <c r="J771" i="10"/>
  <c r="J772" i="10"/>
  <c r="J773" i="10"/>
  <c r="J774" i="10"/>
  <c r="J775" i="10"/>
  <c r="J776" i="10"/>
  <c r="J777" i="10"/>
  <c r="L777" i="10" s="1"/>
  <c r="J778" i="10"/>
  <c r="J779" i="10"/>
  <c r="J780" i="10"/>
  <c r="J781" i="10"/>
  <c r="J782" i="10"/>
  <c r="J783" i="10"/>
  <c r="J784" i="10"/>
  <c r="J785" i="10"/>
  <c r="L785" i="10" s="1"/>
  <c r="J786" i="10"/>
  <c r="J787" i="10"/>
  <c r="J788" i="10"/>
  <c r="J789" i="10"/>
  <c r="J790" i="10"/>
  <c r="J791" i="10"/>
  <c r="J792" i="10"/>
  <c r="J793" i="10"/>
  <c r="L793" i="10" s="1"/>
  <c r="J794" i="10"/>
  <c r="J795" i="10"/>
  <c r="J796" i="10"/>
  <c r="J797" i="10"/>
  <c r="J798" i="10"/>
  <c r="J799" i="10"/>
  <c r="J800" i="10"/>
  <c r="J801" i="10"/>
  <c r="L801" i="10" s="1"/>
  <c r="J802" i="10"/>
  <c r="J803" i="10"/>
  <c r="J804" i="10"/>
  <c r="J805" i="10"/>
  <c r="J806" i="10"/>
  <c r="J807" i="10"/>
  <c r="J808" i="10"/>
  <c r="J809" i="10"/>
  <c r="J810" i="10"/>
  <c r="J811" i="10"/>
  <c r="J812" i="10"/>
  <c r="J813" i="10"/>
  <c r="J814" i="10"/>
  <c r="J815" i="10"/>
  <c r="J816" i="10"/>
  <c r="J818" i="10"/>
  <c r="J819" i="10"/>
  <c r="J820" i="10"/>
  <c r="J821" i="10"/>
  <c r="J822" i="10"/>
  <c r="J823" i="10"/>
  <c r="J824" i="10"/>
  <c r="J825" i="10"/>
  <c r="L825" i="10" s="1"/>
  <c r="J826" i="10"/>
  <c r="J827" i="10"/>
  <c r="J828" i="10"/>
  <c r="J829" i="10"/>
  <c r="J830" i="10"/>
  <c r="J831" i="10"/>
  <c r="J832" i="10"/>
  <c r="J833" i="10"/>
  <c r="L833" i="10" s="1"/>
  <c r="J834" i="10"/>
  <c r="J835" i="10"/>
  <c r="J836" i="10"/>
  <c r="J837" i="10"/>
  <c r="J838" i="10"/>
  <c r="J839" i="10"/>
  <c r="J840" i="10"/>
  <c r="J841" i="10"/>
  <c r="L841" i="10" s="1"/>
  <c r="J842" i="10"/>
  <c r="J843" i="10"/>
  <c r="J844" i="10"/>
  <c r="J845" i="10"/>
  <c r="J846" i="10"/>
  <c r="J847" i="10"/>
  <c r="J848" i="10"/>
  <c r="J849" i="10"/>
  <c r="L849" i="10" s="1"/>
  <c r="J850" i="10"/>
  <c r="J851" i="10"/>
  <c r="J852" i="10"/>
  <c r="J853" i="10"/>
  <c r="J854" i="10"/>
  <c r="J855" i="10"/>
  <c r="J856" i="10"/>
  <c r="J857" i="10"/>
  <c r="J858" i="10"/>
  <c r="J859" i="10"/>
  <c r="J860" i="10"/>
  <c r="J861" i="10"/>
  <c r="J862" i="10"/>
  <c r="J863" i="10"/>
  <c r="J864" i="10"/>
  <c r="J865" i="10"/>
  <c r="L865" i="10" s="1"/>
  <c r="J866" i="10"/>
  <c r="J867" i="10"/>
  <c r="J868" i="10"/>
  <c r="J869" i="10"/>
  <c r="J870" i="10"/>
  <c r="J871" i="10"/>
  <c r="J872" i="10"/>
  <c r="J873" i="10"/>
  <c r="L873" i="10" s="1"/>
  <c r="J874" i="10"/>
  <c r="J875" i="10"/>
  <c r="J876" i="10"/>
  <c r="J877" i="10"/>
  <c r="J878" i="10"/>
  <c r="J879" i="10"/>
  <c r="J880"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L905" i="10" s="1"/>
  <c r="J906" i="10"/>
  <c r="J907" i="10"/>
  <c r="J908" i="10"/>
  <c r="J909" i="10"/>
  <c r="J910" i="10"/>
  <c r="J911" i="10"/>
  <c r="J912" i="10"/>
  <c r="J913" i="10"/>
  <c r="L913" i="10" s="1"/>
  <c r="J914" i="10"/>
  <c r="J915" i="10"/>
  <c r="J916" i="10"/>
  <c r="J917" i="10"/>
  <c r="J918" i="10"/>
  <c r="J919" i="10"/>
  <c r="J920" i="10"/>
  <c r="J921" i="10"/>
  <c r="M921" i="10" s="1"/>
  <c r="J922" i="10"/>
  <c r="J923" i="10"/>
  <c r="J924" i="10"/>
  <c r="J925" i="10"/>
  <c r="J926" i="10"/>
  <c r="J927" i="10"/>
  <c r="J928" i="10"/>
  <c r="J929" i="10"/>
  <c r="J930" i="10"/>
  <c r="J931" i="10"/>
  <c r="J932" i="10"/>
  <c r="J933" i="10"/>
  <c r="J934" i="10"/>
  <c r="J935" i="10"/>
  <c r="J936" i="10"/>
  <c r="J937" i="10"/>
  <c r="O937" i="10" s="1"/>
  <c r="J938" i="10"/>
  <c r="J939" i="10"/>
  <c r="J940" i="10"/>
  <c r="J941" i="10"/>
  <c r="J942" i="10"/>
  <c r="J943" i="10"/>
  <c r="J944" i="10"/>
  <c r="J946" i="10"/>
  <c r="J947" i="10"/>
  <c r="J948" i="10"/>
  <c r="J949" i="10"/>
  <c r="J950" i="10"/>
  <c r="J951" i="10"/>
  <c r="J952" i="10"/>
  <c r="J953" i="10"/>
  <c r="L953" i="10" s="1"/>
  <c r="J954" i="10"/>
  <c r="J955" i="10"/>
  <c r="J956" i="10"/>
  <c r="J957" i="10"/>
  <c r="J958" i="10"/>
  <c r="J959" i="10"/>
  <c r="J960" i="10"/>
  <c r="J961" i="10"/>
  <c r="J962" i="10"/>
  <c r="J963" i="10"/>
  <c r="J964" i="10"/>
  <c r="J965" i="10"/>
  <c r="J966" i="10"/>
  <c r="J967" i="10"/>
  <c r="J968" i="10"/>
  <c r="J969" i="10"/>
  <c r="L969" i="10" s="1"/>
  <c r="J970" i="10"/>
  <c r="J971" i="10"/>
  <c r="J972" i="10"/>
  <c r="J973" i="10"/>
  <c r="J974" i="10"/>
  <c r="J975" i="10"/>
  <c r="J976" i="10"/>
  <c r="J977" i="10"/>
  <c r="L977" i="10" s="1"/>
  <c r="J978" i="10"/>
  <c r="J979" i="10"/>
  <c r="J980" i="10"/>
  <c r="J981" i="10"/>
  <c r="J982" i="10"/>
  <c r="J983" i="10"/>
  <c r="J984" i="10"/>
  <c r="J985" i="10"/>
  <c r="M985" i="10" s="1"/>
  <c r="J986" i="10"/>
  <c r="J987" i="10"/>
  <c r="J988" i="10"/>
  <c r="O959" i="10" l="1"/>
  <c r="N959" i="10"/>
  <c r="M959" i="10"/>
  <c r="L959" i="10"/>
  <c r="O903" i="10"/>
  <c r="N903" i="10"/>
  <c r="M903" i="10"/>
  <c r="L903" i="10"/>
  <c r="O847" i="10"/>
  <c r="N847" i="10"/>
  <c r="L847" i="10"/>
  <c r="M847" i="10"/>
  <c r="O791" i="10"/>
  <c r="N791" i="10"/>
  <c r="M791" i="10"/>
  <c r="L791" i="10"/>
  <c r="O735" i="10"/>
  <c r="N735" i="10"/>
  <c r="M735" i="10"/>
  <c r="L735" i="10"/>
  <c r="O679" i="10"/>
  <c r="N679" i="10"/>
  <c r="M679" i="10"/>
  <c r="L679" i="10"/>
  <c r="O623" i="10"/>
  <c r="N623" i="10"/>
  <c r="M623" i="10"/>
  <c r="L623" i="10"/>
  <c r="O567" i="10"/>
  <c r="N567" i="10"/>
  <c r="M567" i="10"/>
  <c r="L567" i="10"/>
  <c r="O519" i="10"/>
  <c r="N519" i="10"/>
  <c r="M519" i="10"/>
  <c r="L519" i="10"/>
  <c r="O463" i="10"/>
  <c r="N463" i="10"/>
  <c r="M463" i="10"/>
  <c r="L463" i="10"/>
  <c r="O407" i="10"/>
  <c r="N407" i="10"/>
  <c r="M407" i="10"/>
  <c r="L407" i="10"/>
  <c r="O351" i="10"/>
  <c r="N351" i="10"/>
  <c r="M351" i="10"/>
  <c r="L351" i="10"/>
  <c r="O303" i="10"/>
  <c r="N303" i="10"/>
  <c r="M303" i="10"/>
  <c r="L303" i="10"/>
  <c r="O247" i="10"/>
  <c r="N247" i="10"/>
  <c r="M247" i="10"/>
  <c r="L247" i="10"/>
  <c r="O191" i="10"/>
  <c r="N191" i="10"/>
  <c r="M191" i="10"/>
  <c r="L191" i="10"/>
  <c r="O127" i="10"/>
  <c r="N127" i="10"/>
  <c r="M127" i="10"/>
  <c r="L127" i="10"/>
  <c r="O23" i="10"/>
  <c r="N23" i="10"/>
  <c r="M23" i="10"/>
  <c r="L23" i="10"/>
  <c r="O982" i="10"/>
  <c r="M982" i="10"/>
  <c r="N982" i="10"/>
  <c r="L982" i="10"/>
  <c r="O934" i="10"/>
  <c r="M934" i="10"/>
  <c r="N934" i="10"/>
  <c r="L934" i="10"/>
  <c r="O870" i="10"/>
  <c r="N870" i="10"/>
  <c r="M870" i="10"/>
  <c r="L870" i="10"/>
  <c r="O806" i="10"/>
  <c r="N806" i="10"/>
  <c r="M806" i="10"/>
  <c r="L806" i="10"/>
  <c r="O984" i="10"/>
  <c r="N984" i="10"/>
  <c r="M984" i="10"/>
  <c r="L984" i="10"/>
  <c r="O976" i="10"/>
  <c r="N976" i="10"/>
  <c r="L976" i="10"/>
  <c r="M976" i="10"/>
  <c r="O968" i="10"/>
  <c r="N968" i="10"/>
  <c r="M968" i="10"/>
  <c r="L968" i="10"/>
  <c r="O960" i="10"/>
  <c r="N960" i="10"/>
  <c r="M960" i="10"/>
  <c r="L960" i="10"/>
  <c r="O952" i="10"/>
  <c r="N952" i="10"/>
  <c r="L952" i="10"/>
  <c r="M952" i="10"/>
  <c r="O944" i="10"/>
  <c r="N944" i="10"/>
  <c r="M944" i="10"/>
  <c r="L944" i="10"/>
  <c r="O936" i="10"/>
  <c r="N936" i="10"/>
  <c r="L936" i="10"/>
  <c r="M936" i="10"/>
  <c r="O928" i="10"/>
  <c r="M928" i="10"/>
  <c r="L928" i="10"/>
  <c r="N928" i="10"/>
  <c r="O920" i="10"/>
  <c r="N920" i="10"/>
  <c r="M920" i="10"/>
  <c r="L920" i="10"/>
  <c r="O912" i="10"/>
  <c r="N912" i="10"/>
  <c r="L912" i="10"/>
  <c r="M912" i="10"/>
  <c r="O904" i="10"/>
  <c r="N904" i="10"/>
  <c r="M904" i="10"/>
  <c r="L904" i="10"/>
  <c r="O896" i="10"/>
  <c r="N896" i="10"/>
  <c r="M896" i="10"/>
  <c r="L896" i="10"/>
  <c r="O888" i="10"/>
  <c r="N888" i="10"/>
  <c r="L888" i="10"/>
  <c r="M888" i="10"/>
  <c r="O880" i="10"/>
  <c r="M880" i="10"/>
  <c r="L880" i="10"/>
  <c r="N880" i="10"/>
  <c r="O872" i="10"/>
  <c r="N872" i="10"/>
  <c r="L872" i="10"/>
  <c r="M872" i="10"/>
  <c r="O864" i="10"/>
  <c r="N864" i="10"/>
  <c r="M864" i="10"/>
  <c r="L864" i="10"/>
  <c r="O856" i="10"/>
  <c r="N856" i="10"/>
  <c r="M856" i="10"/>
  <c r="L856" i="10"/>
  <c r="O848" i="10"/>
  <c r="N848" i="10"/>
  <c r="M848" i="10"/>
  <c r="L848" i="10"/>
  <c r="O840" i="10"/>
  <c r="N840" i="10"/>
  <c r="M840" i="10"/>
  <c r="L840" i="10"/>
  <c r="O832" i="10"/>
  <c r="M832" i="10"/>
  <c r="N832" i="10"/>
  <c r="L832" i="10"/>
  <c r="O824" i="10"/>
  <c r="N824" i="10"/>
  <c r="M824" i="10"/>
  <c r="L824" i="10"/>
  <c r="O816" i="10"/>
  <c r="N816" i="10"/>
  <c r="M816" i="10"/>
  <c r="L816" i="10"/>
  <c r="O808" i="10"/>
  <c r="N808" i="10"/>
  <c r="M808" i="10"/>
  <c r="L808" i="10"/>
  <c r="O800" i="10"/>
  <c r="M800" i="10"/>
  <c r="N800" i="10"/>
  <c r="L800" i="10"/>
  <c r="O792" i="10"/>
  <c r="N792" i="10"/>
  <c r="M792" i="10"/>
  <c r="L792" i="10"/>
  <c r="O784" i="10"/>
  <c r="N784" i="10"/>
  <c r="M784" i="10"/>
  <c r="L784" i="10"/>
  <c r="O776" i="10"/>
  <c r="N776" i="10"/>
  <c r="M776" i="10"/>
  <c r="L776" i="10"/>
  <c r="N768" i="10"/>
  <c r="O768" i="10"/>
  <c r="M768" i="10"/>
  <c r="L768" i="10"/>
  <c r="O760" i="10"/>
  <c r="N760" i="10"/>
  <c r="M760" i="10"/>
  <c r="L760" i="10"/>
  <c r="O752" i="10"/>
  <c r="N752" i="10"/>
  <c r="M752" i="10"/>
  <c r="L752" i="10"/>
  <c r="N744" i="10"/>
  <c r="O744" i="10"/>
  <c r="M744" i="10"/>
  <c r="L744" i="10"/>
  <c r="O736" i="10"/>
  <c r="N736" i="10"/>
  <c r="M736" i="10"/>
  <c r="L736" i="10"/>
  <c r="N728" i="10"/>
  <c r="L728" i="10"/>
  <c r="O728" i="10"/>
  <c r="M728" i="10"/>
  <c r="O720" i="10"/>
  <c r="N720" i="10"/>
  <c r="M720" i="10"/>
  <c r="L720" i="10"/>
  <c r="O712" i="10"/>
  <c r="N712" i="10"/>
  <c r="M712" i="10"/>
  <c r="L712" i="10"/>
  <c r="N704" i="10"/>
  <c r="O704" i="10"/>
  <c r="L704" i="10"/>
  <c r="M704" i="10"/>
  <c r="O696" i="10"/>
  <c r="N696" i="10"/>
  <c r="M696" i="10"/>
  <c r="L696" i="10"/>
  <c r="O688" i="10"/>
  <c r="N688" i="10"/>
  <c r="L688" i="10"/>
  <c r="M688" i="10"/>
  <c r="N680" i="10"/>
  <c r="O680" i="10"/>
  <c r="M680" i="10"/>
  <c r="L680" i="10"/>
  <c r="O672" i="10"/>
  <c r="N672" i="10"/>
  <c r="M672" i="10"/>
  <c r="L672" i="10"/>
  <c r="N664" i="10"/>
  <c r="O664" i="10"/>
  <c r="L664" i="10"/>
  <c r="M664" i="10"/>
  <c r="O656" i="10"/>
  <c r="N656" i="10"/>
  <c r="M656" i="10"/>
  <c r="L656" i="10"/>
  <c r="O648" i="10"/>
  <c r="N648" i="10"/>
  <c r="M648" i="10"/>
  <c r="L648" i="10"/>
  <c r="N640" i="10"/>
  <c r="O640" i="10"/>
  <c r="L640" i="10"/>
  <c r="M640" i="10"/>
  <c r="O632" i="10"/>
  <c r="N632" i="10"/>
  <c r="M632" i="10"/>
  <c r="L632" i="10"/>
  <c r="O624" i="10"/>
  <c r="N624" i="10"/>
  <c r="M624" i="10"/>
  <c r="L624" i="10"/>
  <c r="N616" i="10"/>
  <c r="O616" i="10"/>
  <c r="M616" i="10"/>
  <c r="L616" i="10"/>
  <c r="O608" i="10"/>
  <c r="N608" i="10"/>
  <c r="M608" i="10"/>
  <c r="L608" i="10"/>
  <c r="O600" i="10"/>
  <c r="N600" i="10"/>
  <c r="L600" i="10"/>
  <c r="M600" i="10"/>
  <c r="O592" i="10"/>
  <c r="N592" i="10"/>
  <c r="M592" i="10"/>
  <c r="L592" i="10"/>
  <c r="N584" i="10"/>
  <c r="O584" i="10"/>
  <c r="M584" i="10"/>
  <c r="L584" i="10"/>
  <c r="O576" i="10"/>
  <c r="N576" i="10"/>
  <c r="L576" i="10"/>
  <c r="M576" i="10"/>
  <c r="O568" i="10"/>
  <c r="N568" i="10"/>
  <c r="M568" i="10"/>
  <c r="L568" i="10"/>
  <c r="O560" i="10"/>
  <c r="N560" i="10"/>
  <c r="L560" i="10"/>
  <c r="M560" i="10"/>
  <c r="N552" i="10"/>
  <c r="O552" i="10"/>
  <c r="M552" i="10"/>
  <c r="L552" i="10"/>
  <c r="O544" i="10"/>
  <c r="N544" i="10"/>
  <c r="M544" i="10"/>
  <c r="L544" i="10"/>
  <c r="O536" i="10"/>
  <c r="N536" i="10"/>
  <c r="L536" i="10"/>
  <c r="M536" i="10"/>
  <c r="O528" i="10"/>
  <c r="N528" i="10"/>
  <c r="M528" i="10"/>
  <c r="L528" i="10"/>
  <c r="N520" i="10"/>
  <c r="O520" i="10"/>
  <c r="L520" i="10"/>
  <c r="M520" i="10"/>
  <c r="O512" i="10"/>
  <c r="N512" i="10"/>
  <c r="L512" i="10"/>
  <c r="M512" i="10"/>
  <c r="O504" i="10"/>
  <c r="N504" i="10"/>
  <c r="L504" i="10"/>
  <c r="M504" i="10"/>
  <c r="O496" i="10"/>
  <c r="N496" i="10"/>
  <c r="L496" i="10"/>
  <c r="M496" i="10"/>
  <c r="N488" i="10"/>
  <c r="O488" i="10"/>
  <c r="L488" i="10"/>
  <c r="M488" i="10"/>
  <c r="O480" i="10"/>
  <c r="N480" i="10"/>
  <c r="L480" i="10"/>
  <c r="M480" i="10"/>
  <c r="O472" i="10"/>
  <c r="N472" i="10"/>
  <c r="L472" i="10"/>
  <c r="M472" i="10"/>
  <c r="O464" i="10"/>
  <c r="N464" i="10"/>
  <c r="M464" i="10"/>
  <c r="L464" i="10"/>
  <c r="N456" i="10"/>
  <c r="O456" i="10"/>
  <c r="M456" i="10"/>
  <c r="L456" i="10"/>
  <c r="O448" i="10"/>
  <c r="N448" i="10"/>
  <c r="M448" i="10"/>
  <c r="L448" i="10"/>
  <c r="O440" i="10"/>
  <c r="N440" i="10"/>
  <c r="M440" i="10"/>
  <c r="L440" i="10"/>
  <c r="O432" i="10"/>
  <c r="N432" i="10"/>
  <c r="M432" i="10"/>
  <c r="L432" i="10"/>
  <c r="N424" i="10"/>
  <c r="O424" i="10"/>
  <c r="M424" i="10"/>
  <c r="L424" i="10"/>
  <c r="O416" i="10"/>
  <c r="N416" i="10"/>
  <c r="M416" i="10"/>
  <c r="L416" i="10"/>
  <c r="O408" i="10"/>
  <c r="N408" i="10"/>
  <c r="M408" i="10"/>
  <c r="L408" i="10"/>
  <c r="O400" i="10"/>
  <c r="N400" i="10"/>
  <c r="M400" i="10"/>
  <c r="L400" i="10"/>
  <c r="N392" i="10"/>
  <c r="O392" i="10"/>
  <c r="M392" i="10"/>
  <c r="L392" i="10"/>
  <c r="O384" i="10"/>
  <c r="N384" i="10"/>
  <c r="M384" i="10"/>
  <c r="L384" i="10"/>
  <c r="O376" i="10"/>
  <c r="N376" i="10"/>
  <c r="M376" i="10"/>
  <c r="L376" i="10"/>
  <c r="O368" i="10"/>
  <c r="N368" i="10"/>
  <c r="M368" i="10"/>
  <c r="L368" i="10"/>
  <c r="N360" i="10"/>
  <c r="O360" i="10"/>
  <c r="M360" i="10"/>
  <c r="L360" i="10"/>
  <c r="O352" i="10"/>
  <c r="N352" i="10"/>
  <c r="M352" i="10"/>
  <c r="L352" i="10"/>
  <c r="O344" i="10"/>
  <c r="N344" i="10"/>
  <c r="M344" i="10"/>
  <c r="L344" i="10"/>
  <c r="O336" i="10"/>
  <c r="N336" i="10"/>
  <c r="M336" i="10"/>
  <c r="L336" i="10"/>
  <c r="N328" i="10"/>
  <c r="O328" i="10"/>
  <c r="M328" i="10"/>
  <c r="L328" i="10"/>
  <c r="O320" i="10"/>
  <c r="N320" i="10"/>
  <c r="M320" i="10"/>
  <c r="L320" i="10"/>
  <c r="O312" i="10"/>
  <c r="N312" i="10"/>
  <c r="M312" i="10"/>
  <c r="L312" i="10"/>
  <c r="O304" i="10"/>
  <c r="N304" i="10"/>
  <c r="M304" i="10"/>
  <c r="L304" i="10"/>
  <c r="N296" i="10"/>
  <c r="O296" i="10"/>
  <c r="M296" i="10"/>
  <c r="L296" i="10"/>
  <c r="O288" i="10"/>
  <c r="N288" i="10"/>
  <c r="M288" i="10"/>
  <c r="L288" i="10"/>
  <c r="O280" i="10"/>
  <c r="N280" i="10"/>
  <c r="M280" i="10"/>
  <c r="L280" i="10"/>
  <c r="O272" i="10"/>
  <c r="N272" i="10"/>
  <c r="M272" i="10"/>
  <c r="L272" i="10"/>
  <c r="N264" i="10"/>
  <c r="O264" i="10"/>
  <c r="M264" i="10"/>
  <c r="L264" i="10"/>
  <c r="O256" i="10"/>
  <c r="N256" i="10"/>
  <c r="M256" i="10"/>
  <c r="L256" i="10"/>
  <c r="O248" i="10"/>
  <c r="N248" i="10"/>
  <c r="M248" i="10"/>
  <c r="L248" i="10"/>
  <c r="O240" i="10"/>
  <c r="N240" i="10"/>
  <c r="M240" i="10"/>
  <c r="L240" i="10"/>
  <c r="N232" i="10"/>
  <c r="O232" i="10"/>
  <c r="M232" i="10"/>
  <c r="L232" i="10"/>
  <c r="O224" i="10"/>
  <c r="N224" i="10"/>
  <c r="M224" i="10"/>
  <c r="L224" i="10"/>
  <c r="O216" i="10"/>
  <c r="N216" i="10"/>
  <c r="M216" i="10"/>
  <c r="L216" i="10"/>
  <c r="O208" i="10"/>
  <c r="N208" i="10"/>
  <c r="M208" i="10"/>
  <c r="L208" i="10"/>
  <c r="N200" i="10"/>
  <c r="O200" i="10"/>
  <c r="M200" i="10"/>
  <c r="L200" i="10"/>
  <c r="O192" i="10"/>
  <c r="N192" i="10"/>
  <c r="M192" i="10"/>
  <c r="L192" i="10"/>
  <c r="O184" i="10"/>
  <c r="N184" i="10"/>
  <c r="M184" i="10"/>
  <c r="L184" i="10"/>
  <c r="O176" i="10"/>
  <c r="N176" i="10"/>
  <c r="M176" i="10"/>
  <c r="L176" i="10"/>
  <c r="N168" i="10"/>
  <c r="O168" i="10"/>
  <c r="M168" i="10"/>
  <c r="L168" i="10"/>
  <c r="O160" i="10"/>
  <c r="N160" i="10"/>
  <c r="M160" i="10"/>
  <c r="L160" i="10"/>
  <c r="O152" i="10"/>
  <c r="N152" i="10"/>
  <c r="M152" i="10"/>
  <c r="L152" i="10"/>
  <c r="O144" i="10"/>
  <c r="N144" i="10"/>
  <c r="M144" i="10"/>
  <c r="L144" i="10"/>
  <c r="N136" i="10"/>
  <c r="O136" i="10"/>
  <c r="M136" i="10"/>
  <c r="L136" i="10"/>
  <c r="O128" i="10"/>
  <c r="N128" i="10"/>
  <c r="M128" i="10"/>
  <c r="L128" i="10"/>
  <c r="O120" i="10"/>
  <c r="N120" i="10"/>
  <c r="M120" i="10"/>
  <c r="L120" i="10"/>
  <c r="O112" i="10"/>
  <c r="N112" i="10"/>
  <c r="M112" i="10"/>
  <c r="L112" i="10"/>
  <c r="N104" i="10"/>
  <c r="O104" i="10"/>
  <c r="M104" i="10"/>
  <c r="L104" i="10"/>
  <c r="O96" i="10"/>
  <c r="N96" i="10"/>
  <c r="M96" i="10"/>
  <c r="L96" i="10"/>
  <c r="O88" i="10"/>
  <c r="N88" i="10"/>
  <c r="M88" i="10"/>
  <c r="L88" i="10"/>
  <c r="O80" i="10"/>
  <c r="N80" i="10"/>
  <c r="M80" i="10"/>
  <c r="L80" i="10"/>
  <c r="N72" i="10"/>
  <c r="O72" i="10"/>
  <c r="M72" i="10"/>
  <c r="L72" i="10"/>
  <c r="O64" i="10"/>
  <c r="N64" i="10"/>
  <c r="M64" i="10"/>
  <c r="L64" i="10"/>
  <c r="O56" i="10"/>
  <c r="N56" i="10"/>
  <c r="M56" i="10"/>
  <c r="L56" i="10"/>
  <c r="O48" i="10"/>
  <c r="N48" i="10"/>
  <c r="M48" i="10"/>
  <c r="L48" i="10"/>
  <c r="N40" i="10"/>
  <c r="O40" i="10"/>
  <c r="M40" i="10"/>
  <c r="L40" i="10"/>
  <c r="O32" i="10"/>
  <c r="N32" i="10"/>
  <c r="M32" i="10"/>
  <c r="L32" i="10"/>
  <c r="O24" i="10"/>
  <c r="N24" i="10"/>
  <c r="M24" i="10"/>
  <c r="L24" i="10"/>
  <c r="O16" i="10"/>
  <c r="N16" i="10"/>
  <c r="M16" i="10"/>
  <c r="L16" i="10"/>
  <c r="O935" i="10"/>
  <c r="N935" i="10"/>
  <c r="L935" i="10"/>
  <c r="M935" i="10"/>
  <c r="O879" i="10"/>
  <c r="N879" i="10"/>
  <c r="M879" i="10"/>
  <c r="L879" i="10"/>
  <c r="O823" i="10"/>
  <c r="N823" i="10"/>
  <c r="M823" i="10"/>
  <c r="L823" i="10"/>
  <c r="O767" i="10"/>
  <c r="N767" i="10"/>
  <c r="L767" i="10"/>
  <c r="M767" i="10"/>
  <c r="O711" i="10"/>
  <c r="N711" i="10"/>
  <c r="M711" i="10"/>
  <c r="L711" i="10"/>
  <c r="O655" i="10"/>
  <c r="N655" i="10"/>
  <c r="M655" i="10"/>
  <c r="L655" i="10"/>
  <c r="O591" i="10"/>
  <c r="N591" i="10"/>
  <c r="M591" i="10"/>
  <c r="L591" i="10"/>
  <c r="O535" i="10"/>
  <c r="N535" i="10"/>
  <c r="M535" i="10"/>
  <c r="L535" i="10"/>
  <c r="O479" i="10"/>
  <c r="N479" i="10"/>
  <c r="M479" i="10"/>
  <c r="L479" i="10"/>
  <c r="O415" i="10"/>
  <c r="N415" i="10"/>
  <c r="M415" i="10"/>
  <c r="L415" i="10"/>
  <c r="O367" i="10"/>
  <c r="N367" i="10"/>
  <c r="M367" i="10"/>
  <c r="L367" i="10"/>
  <c r="O319" i="10"/>
  <c r="N319" i="10"/>
  <c r="M319" i="10"/>
  <c r="L319" i="10"/>
  <c r="O271" i="10"/>
  <c r="N271" i="10"/>
  <c r="M271" i="10"/>
  <c r="L271" i="10"/>
  <c r="O207" i="10"/>
  <c r="N207" i="10"/>
  <c r="M207" i="10"/>
  <c r="L207" i="10"/>
  <c r="O143" i="10"/>
  <c r="N143" i="10"/>
  <c r="M143" i="10"/>
  <c r="L143" i="10"/>
  <c r="O95" i="10"/>
  <c r="N95" i="10"/>
  <c r="M95" i="10"/>
  <c r="L95" i="10"/>
  <c r="O71" i="10"/>
  <c r="N71" i="10"/>
  <c r="M71" i="10"/>
  <c r="L71" i="10"/>
  <c r="O55" i="10"/>
  <c r="N55" i="10"/>
  <c r="M55" i="10"/>
  <c r="L55" i="10"/>
  <c r="O47" i="10"/>
  <c r="N47" i="10"/>
  <c r="M47" i="10"/>
  <c r="L47" i="10"/>
  <c r="O31" i="10"/>
  <c r="N31" i="10"/>
  <c r="M31" i="10"/>
  <c r="L31" i="10"/>
  <c r="O967" i="10"/>
  <c r="N967" i="10"/>
  <c r="M967" i="10"/>
  <c r="L967" i="10"/>
  <c r="O911" i="10"/>
  <c r="N911" i="10"/>
  <c r="L911" i="10"/>
  <c r="M911" i="10"/>
  <c r="O855" i="10"/>
  <c r="N855" i="10"/>
  <c r="M855" i="10"/>
  <c r="L855" i="10"/>
  <c r="O799" i="10"/>
  <c r="N799" i="10"/>
  <c r="L799" i="10"/>
  <c r="M799" i="10"/>
  <c r="O743" i="10"/>
  <c r="N743" i="10"/>
  <c r="M743" i="10"/>
  <c r="L743" i="10"/>
  <c r="O687" i="10"/>
  <c r="N687" i="10"/>
  <c r="M687" i="10"/>
  <c r="L687" i="10"/>
  <c r="O631" i="10"/>
  <c r="N631" i="10"/>
  <c r="M631" i="10"/>
  <c r="L631" i="10"/>
  <c r="O575" i="10"/>
  <c r="N575" i="10"/>
  <c r="M575" i="10"/>
  <c r="L575" i="10"/>
  <c r="O527" i="10"/>
  <c r="N527" i="10"/>
  <c r="M527" i="10"/>
  <c r="L527" i="10"/>
  <c r="O471" i="10"/>
  <c r="N471" i="10"/>
  <c r="M471" i="10"/>
  <c r="L471" i="10"/>
  <c r="O423" i="10"/>
  <c r="N423" i="10"/>
  <c r="M423" i="10"/>
  <c r="L423" i="10"/>
  <c r="O359" i="10"/>
  <c r="N359" i="10"/>
  <c r="M359" i="10"/>
  <c r="L359" i="10"/>
  <c r="O295" i="10"/>
  <c r="N295" i="10"/>
  <c r="M295" i="10"/>
  <c r="L295" i="10"/>
  <c r="O239" i="10"/>
  <c r="N239" i="10"/>
  <c r="M239" i="10"/>
  <c r="L239" i="10"/>
  <c r="O167" i="10"/>
  <c r="N167" i="10"/>
  <c r="M167" i="10"/>
  <c r="L167" i="10"/>
  <c r="O39" i="10"/>
  <c r="N39" i="10"/>
  <c r="M39" i="10"/>
  <c r="L39" i="10"/>
  <c r="O974" i="10"/>
  <c r="M974" i="10"/>
  <c r="L974" i="10"/>
  <c r="N974" i="10"/>
  <c r="O910" i="10"/>
  <c r="M910" i="10"/>
  <c r="N910" i="10"/>
  <c r="L910" i="10"/>
  <c r="O862" i="10"/>
  <c r="N862" i="10"/>
  <c r="M862" i="10"/>
  <c r="L862" i="10"/>
  <c r="O798" i="10"/>
  <c r="N798" i="10"/>
  <c r="M798" i="10"/>
  <c r="L798" i="10"/>
  <c r="O742" i="10"/>
  <c r="N742" i="10"/>
  <c r="M742" i="10"/>
  <c r="L742" i="10"/>
  <c r="O686" i="10"/>
  <c r="N686" i="10"/>
  <c r="M686" i="10"/>
  <c r="L686" i="10"/>
  <c r="O622" i="10"/>
  <c r="N622" i="10"/>
  <c r="M622" i="10"/>
  <c r="L622" i="10"/>
  <c r="O574" i="10"/>
  <c r="N574" i="10"/>
  <c r="M574" i="10"/>
  <c r="L574" i="10"/>
  <c r="O502" i="10"/>
  <c r="N502" i="10"/>
  <c r="M502" i="10"/>
  <c r="L502" i="10"/>
  <c r="O438" i="10"/>
  <c r="N438" i="10"/>
  <c r="M438" i="10"/>
  <c r="L438" i="10"/>
  <c r="O382" i="10"/>
  <c r="N382" i="10"/>
  <c r="M382" i="10"/>
  <c r="L382" i="10"/>
  <c r="O326" i="10"/>
  <c r="N326" i="10"/>
  <c r="M326" i="10"/>
  <c r="L326" i="10"/>
  <c r="O286" i="10"/>
  <c r="N286" i="10"/>
  <c r="M286" i="10"/>
  <c r="L286" i="10"/>
  <c r="O278" i="10"/>
  <c r="N278" i="10"/>
  <c r="M278" i="10"/>
  <c r="L278" i="10"/>
  <c r="O270" i="10"/>
  <c r="N270" i="10"/>
  <c r="M270" i="10"/>
  <c r="L270" i="10"/>
  <c r="O262" i="10"/>
  <c r="N262" i="10"/>
  <c r="M262" i="10"/>
  <c r="L262" i="10"/>
  <c r="O254" i="10"/>
  <c r="N254" i="10"/>
  <c r="M254" i="10"/>
  <c r="L254" i="10"/>
  <c r="O246" i="10"/>
  <c r="N246" i="10"/>
  <c r="M246" i="10"/>
  <c r="L246" i="10"/>
  <c r="O238" i="10"/>
  <c r="N238" i="10"/>
  <c r="M238" i="10"/>
  <c r="L238" i="10"/>
  <c r="O230" i="10"/>
  <c r="N230" i="10"/>
  <c r="M230" i="10"/>
  <c r="L230" i="10"/>
  <c r="O222" i="10"/>
  <c r="N222" i="10"/>
  <c r="M222" i="10"/>
  <c r="L222" i="10"/>
  <c r="O214" i="10"/>
  <c r="N214" i="10"/>
  <c r="M214" i="10"/>
  <c r="L214" i="10"/>
  <c r="O206" i="10"/>
  <c r="N206" i="10"/>
  <c r="M206" i="10"/>
  <c r="L206" i="10"/>
  <c r="O198" i="10"/>
  <c r="N198" i="10"/>
  <c r="M198" i="10"/>
  <c r="L198" i="10"/>
  <c r="O190" i="10"/>
  <c r="N190" i="10"/>
  <c r="M190" i="10"/>
  <c r="L190" i="10"/>
  <c r="O182" i="10"/>
  <c r="N182" i="10"/>
  <c r="M182" i="10"/>
  <c r="L182" i="10"/>
  <c r="O174" i="10"/>
  <c r="N174" i="10"/>
  <c r="M174" i="10"/>
  <c r="L174" i="10"/>
  <c r="O166" i="10"/>
  <c r="N166" i="10"/>
  <c r="M166" i="10"/>
  <c r="L166" i="10"/>
  <c r="O158" i="10"/>
  <c r="N158" i="10"/>
  <c r="M158" i="10"/>
  <c r="L158" i="10"/>
  <c r="O150" i="10"/>
  <c r="N150" i="10"/>
  <c r="M150" i="10"/>
  <c r="L150" i="10"/>
  <c r="O142" i="10"/>
  <c r="N142" i="10"/>
  <c r="M142" i="10"/>
  <c r="L142" i="10"/>
  <c r="O134" i="10"/>
  <c r="N134" i="10"/>
  <c r="M134" i="10"/>
  <c r="L134" i="10"/>
  <c r="O126" i="10"/>
  <c r="N126" i="10"/>
  <c r="M126" i="10"/>
  <c r="L126" i="10"/>
  <c r="O118" i="10"/>
  <c r="N118" i="10"/>
  <c r="M118" i="10"/>
  <c r="L118" i="10"/>
  <c r="O110" i="10"/>
  <c r="N110" i="10"/>
  <c r="M110" i="10"/>
  <c r="L110" i="10"/>
  <c r="O102" i="10"/>
  <c r="N102" i="10"/>
  <c r="M102" i="10"/>
  <c r="L102" i="10"/>
  <c r="O94" i="10"/>
  <c r="N94" i="10"/>
  <c r="M94" i="10"/>
  <c r="L94" i="10"/>
  <c r="O86" i="10"/>
  <c r="N86" i="10"/>
  <c r="M86" i="10"/>
  <c r="L86" i="10"/>
  <c r="O78" i="10"/>
  <c r="N78" i="10"/>
  <c r="M78" i="10"/>
  <c r="L78" i="10"/>
  <c r="O70" i="10"/>
  <c r="N70" i="10"/>
  <c r="M70" i="10"/>
  <c r="L70" i="10"/>
  <c r="O62" i="10"/>
  <c r="N62" i="10"/>
  <c r="M62" i="10"/>
  <c r="L62" i="10"/>
  <c r="O54" i="10"/>
  <c r="N54" i="10"/>
  <c r="M54" i="10"/>
  <c r="L54" i="10"/>
  <c r="O46" i="10"/>
  <c r="N46" i="10"/>
  <c r="M46" i="10"/>
  <c r="L46" i="10"/>
  <c r="O38" i="10"/>
  <c r="N38" i="10"/>
  <c r="M38" i="10"/>
  <c r="L38" i="10"/>
  <c r="O30" i="10"/>
  <c r="N30" i="10"/>
  <c r="M30" i="10"/>
  <c r="L30" i="10"/>
  <c r="O22" i="10"/>
  <c r="N22" i="10"/>
  <c r="M22" i="10"/>
  <c r="L22" i="10"/>
  <c r="O14" i="10"/>
  <c r="N14" i="10"/>
  <c r="M14" i="10"/>
  <c r="L14" i="10"/>
  <c r="O951" i="10"/>
  <c r="N951" i="10"/>
  <c r="L951" i="10"/>
  <c r="M951" i="10"/>
  <c r="O895" i="10"/>
  <c r="N895" i="10"/>
  <c r="M895" i="10"/>
  <c r="L895" i="10"/>
  <c r="O839" i="10"/>
  <c r="N839" i="10"/>
  <c r="M839" i="10"/>
  <c r="L839" i="10"/>
  <c r="O783" i="10"/>
  <c r="N783" i="10"/>
  <c r="M783" i="10"/>
  <c r="L783" i="10"/>
  <c r="O719" i="10"/>
  <c r="N719" i="10"/>
  <c r="M719" i="10"/>
  <c r="L719" i="10"/>
  <c r="O663" i="10"/>
  <c r="N663" i="10"/>
  <c r="M663" i="10"/>
  <c r="L663" i="10"/>
  <c r="O607" i="10"/>
  <c r="N607" i="10"/>
  <c r="M607" i="10"/>
  <c r="L607" i="10"/>
  <c r="O559" i="10"/>
  <c r="N559" i="10"/>
  <c r="M559" i="10"/>
  <c r="L559" i="10"/>
  <c r="O503" i="10"/>
  <c r="N503" i="10"/>
  <c r="M503" i="10"/>
  <c r="L503" i="10"/>
  <c r="O439" i="10"/>
  <c r="N439" i="10"/>
  <c r="M439" i="10"/>
  <c r="L439" i="10"/>
  <c r="O399" i="10"/>
  <c r="N399" i="10"/>
  <c r="M399" i="10"/>
  <c r="L399" i="10"/>
  <c r="O335" i="10"/>
  <c r="N335" i="10"/>
  <c r="M335" i="10"/>
  <c r="L335" i="10"/>
  <c r="O287" i="10"/>
  <c r="N287" i="10"/>
  <c r="M287" i="10"/>
  <c r="L287" i="10"/>
  <c r="O223" i="10"/>
  <c r="N223" i="10"/>
  <c r="M223" i="10"/>
  <c r="L223" i="10"/>
  <c r="O175" i="10"/>
  <c r="N175" i="10"/>
  <c r="M175" i="10"/>
  <c r="L175" i="10"/>
  <c r="O111" i="10"/>
  <c r="N111" i="10"/>
  <c r="M111" i="10"/>
  <c r="L111" i="10"/>
  <c r="O950" i="10"/>
  <c r="N950" i="10"/>
  <c r="M950" i="10"/>
  <c r="L950" i="10"/>
  <c r="O894" i="10"/>
  <c r="M894" i="10"/>
  <c r="N894" i="10"/>
  <c r="L894" i="10"/>
  <c r="O854" i="10"/>
  <c r="N854" i="10"/>
  <c r="M854" i="10"/>
  <c r="L854" i="10"/>
  <c r="O822" i="10"/>
  <c r="N822" i="10"/>
  <c r="M822" i="10"/>
  <c r="L822" i="10"/>
  <c r="O766" i="10"/>
  <c r="N766" i="10"/>
  <c r="M766" i="10"/>
  <c r="L766" i="10"/>
  <c r="O726" i="10"/>
  <c r="N726" i="10"/>
  <c r="M726" i="10"/>
  <c r="L726" i="10"/>
  <c r="O702" i="10"/>
  <c r="N702" i="10"/>
  <c r="M702" i="10"/>
  <c r="L702" i="10"/>
  <c r="O654" i="10"/>
  <c r="N654" i="10"/>
  <c r="M654" i="10"/>
  <c r="L654" i="10"/>
  <c r="O614" i="10"/>
  <c r="N614" i="10"/>
  <c r="M614" i="10"/>
  <c r="L614" i="10"/>
  <c r="O582" i="10"/>
  <c r="N582" i="10"/>
  <c r="M582" i="10"/>
  <c r="L582" i="10"/>
  <c r="O542" i="10"/>
  <c r="N542" i="10"/>
  <c r="M542" i="10"/>
  <c r="L542" i="10"/>
  <c r="O510" i="10"/>
  <c r="N510" i="10"/>
  <c r="M510" i="10"/>
  <c r="L510" i="10"/>
  <c r="O470" i="10"/>
  <c r="N470" i="10"/>
  <c r="M470" i="10"/>
  <c r="L470" i="10"/>
  <c r="O430" i="10"/>
  <c r="N430" i="10"/>
  <c r="M430" i="10"/>
  <c r="L430" i="10"/>
  <c r="O398" i="10"/>
  <c r="N398" i="10"/>
  <c r="M398" i="10"/>
  <c r="L398" i="10"/>
  <c r="O358" i="10"/>
  <c r="N358" i="10"/>
  <c r="M358" i="10"/>
  <c r="L358" i="10"/>
  <c r="O342" i="10"/>
  <c r="N342" i="10"/>
  <c r="M342" i="10"/>
  <c r="L342" i="10"/>
  <c r="O294" i="10"/>
  <c r="N294" i="10"/>
  <c r="M294" i="10"/>
  <c r="L294" i="10"/>
  <c r="M981" i="10"/>
  <c r="O981" i="10"/>
  <c r="N981" i="10"/>
  <c r="L981" i="10"/>
  <c r="R981" i="10" s="1"/>
  <c r="O973" i="10"/>
  <c r="M973" i="10"/>
  <c r="L973" i="10"/>
  <c r="N973" i="10"/>
  <c r="M965" i="10"/>
  <c r="O965" i="10"/>
  <c r="L965" i="10"/>
  <c r="N965" i="10"/>
  <c r="M957" i="10"/>
  <c r="O957" i="10"/>
  <c r="L957" i="10"/>
  <c r="N957" i="10"/>
  <c r="M949" i="10"/>
  <c r="O949" i="10"/>
  <c r="N949" i="10"/>
  <c r="L949" i="10"/>
  <c r="M941" i="10"/>
  <c r="N941" i="10"/>
  <c r="O941" i="10"/>
  <c r="L941" i="10"/>
  <c r="M933" i="10"/>
  <c r="O933" i="10"/>
  <c r="N933" i="10"/>
  <c r="L933" i="10"/>
  <c r="M925" i="10"/>
  <c r="O925" i="10"/>
  <c r="N925" i="10"/>
  <c r="L925" i="10"/>
  <c r="N917" i="10"/>
  <c r="M917" i="10"/>
  <c r="O917" i="10"/>
  <c r="L917" i="10"/>
  <c r="O909" i="10"/>
  <c r="M909" i="10"/>
  <c r="N909" i="10"/>
  <c r="L909" i="10"/>
  <c r="O901" i="10"/>
  <c r="N901" i="10"/>
  <c r="M901" i="10"/>
  <c r="L901" i="10"/>
  <c r="O893" i="10"/>
  <c r="M893" i="10"/>
  <c r="N893" i="10"/>
  <c r="L893" i="10"/>
  <c r="O885" i="10"/>
  <c r="N885" i="10"/>
  <c r="M885" i="10"/>
  <c r="L885" i="10"/>
  <c r="O877" i="10"/>
  <c r="M877" i="10"/>
  <c r="N877" i="10"/>
  <c r="L877" i="10"/>
  <c r="O869" i="10"/>
  <c r="M869" i="10"/>
  <c r="N869" i="10"/>
  <c r="L869" i="10"/>
  <c r="O861" i="10"/>
  <c r="M861" i="10"/>
  <c r="L861" i="10"/>
  <c r="N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O805" i="10"/>
  <c r="N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O741" i="10"/>
  <c r="N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O677" i="10"/>
  <c r="N677" i="10"/>
  <c r="M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O613" i="10"/>
  <c r="N613" i="10"/>
  <c r="M613" i="10"/>
  <c r="L613" i="10"/>
  <c r="O605" i="10"/>
  <c r="N605" i="10"/>
  <c r="M605" i="10"/>
  <c r="L605" i="10"/>
  <c r="O597" i="10"/>
  <c r="N597" i="10"/>
  <c r="M597" i="10"/>
  <c r="L597" i="10"/>
  <c r="O589" i="10"/>
  <c r="N589" i="10"/>
  <c r="M589" i="10"/>
  <c r="L589" i="10"/>
  <c r="O581" i="10"/>
  <c r="N581" i="10"/>
  <c r="M581" i="10"/>
  <c r="L581" i="10"/>
  <c r="O573" i="10"/>
  <c r="N573" i="10"/>
  <c r="M573" i="10"/>
  <c r="L573" i="10"/>
  <c r="O565" i="10"/>
  <c r="N565" i="10"/>
  <c r="M565" i="10"/>
  <c r="L565" i="10"/>
  <c r="O557" i="10"/>
  <c r="N557" i="10"/>
  <c r="M557" i="10"/>
  <c r="L557" i="10"/>
  <c r="O549" i="10"/>
  <c r="N549" i="10"/>
  <c r="M549" i="10"/>
  <c r="L549" i="10"/>
  <c r="O541" i="10"/>
  <c r="N541" i="10"/>
  <c r="M541" i="10"/>
  <c r="L541" i="10"/>
  <c r="O533" i="10"/>
  <c r="N533" i="10"/>
  <c r="M533" i="10"/>
  <c r="L533" i="10"/>
  <c r="O525" i="10"/>
  <c r="N525" i="10"/>
  <c r="M525" i="10"/>
  <c r="L525" i="10"/>
  <c r="O517" i="10"/>
  <c r="N517" i="10"/>
  <c r="M517" i="10"/>
  <c r="L517" i="10"/>
  <c r="O509" i="10"/>
  <c r="N509" i="10"/>
  <c r="M509" i="10"/>
  <c r="L509" i="10"/>
  <c r="O501" i="10"/>
  <c r="N501" i="10"/>
  <c r="M501" i="10"/>
  <c r="L501" i="10"/>
  <c r="O493" i="10"/>
  <c r="N493" i="10"/>
  <c r="M493" i="10"/>
  <c r="L493" i="10"/>
  <c r="O485" i="10"/>
  <c r="N485" i="10"/>
  <c r="M485" i="10"/>
  <c r="L485" i="10"/>
  <c r="O477" i="10"/>
  <c r="N477" i="10"/>
  <c r="M477" i="10"/>
  <c r="L477" i="10"/>
  <c r="O469" i="10"/>
  <c r="N469" i="10"/>
  <c r="M469" i="10"/>
  <c r="L469" i="10"/>
  <c r="O461" i="10"/>
  <c r="N461" i="10"/>
  <c r="M461" i="10"/>
  <c r="L461" i="10"/>
  <c r="O453" i="10"/>
  <c r="N453" i="10"/>
  <c r="M453" i="10"/>
  <c r="L453" i="10"/>
  <c r="O445" i="10"/>
  <c r="N445" i="10"/>
  <c r="M445" i="10"/>
  <c r="L445" i="10"/>
  <c r="O437" i="10"/>
  <c r="N437" i="10"/>
  <c r="M437" i="10"/>
  <c r="L437" i="10"/>
  <c r="O429" i="10"/>
  <c r="N429" i="10"/>
  <c r="M429" i="10"/>
  <c r="L429" i="10"/>
  <c r="O421" i="10"/>
  <c r="N421" i="10"/>
  <c r="M421" i="10"/>
  <c r="L421" i="10"/>
  <c r="O413" i="10"/>
  <c r="N413" i="10"/>
  <c r="M413" i="10"/>
  <c r="L413" i="10"/>
  <c r="O405" i="10"/>
  <c r="N405" i="10"/>
  <c r="M405" i="10"/>
  <c r="L405" i="10"/>
  <c r="O397" i="10"/>
  <c r="N397" i="10"/>
  <c r="M397" i="10"/>
  <c r="L397" i="10"/>
  <c r="O389" i="10"/>
  <c r="N389" i="10"/>
  <c r="M389" i="10"/>
  <c r="L389" i="10"/>
  <c r="O381" i="10"/>
  <c r="N381" i="10"/>
  <c r="M381" i="10"/>
  <c r="L381" i="10"/>
  <c r="O373" i="10"/>
  <c r="N373" i="10"/>
  <c r="M373" i="10"/>
  <c r="L373" i="10"/>
  <c r="O365" i="10"/>
  <c r="N365" i="10"/>
  <c r="M365" i="10"/>
  <c r="L365" i="10"/>
  <c r="O357" i="10"/>
  <c r="N357" i="10"/>
  <c r="M357" i="10"/>
  <c r="L357" i="10"/>
  <c r="O349" i="10"/>
  <c r="N349" i="10"/>
  <c r="M349" i="10"/>
  <c r="L349" i="10"/>
  <c r="O341" i="10"/>
  <c r="N341" i="10"/>
  <c r="M341" i="10"/>
  <c r="L341" i="10"/>
  <c r="O333" i="10"/>
  <c r="N333" i="10"/>
  <c r="M333" i="10"/>
  <c r="L333" i="10"/>
  <c r="O325" i="10"/>
  <c r="N325" i="10"/>
  <c r="M325" i="10"/>
  <c r="L325" i="10"/>
  <c r="O317" i="10"/>
  <c r="N317" i="10"/>
  <c r="M317" i="10"/>
  <c r="L317" i="10"/>
  <c r="O309" i="10"/>
  <c r="N309" i="10"/>
  <c r="M309" i="10"/>
  <c r="L309" i="10"/>
  <c r="O301" i="10"/>
  <c r="N301" i="10"/>
  <c r="M301" i="10"/>
  <c r="L301" i="10"/>
  <c r="O293" i="10"/>
  <c r="N293" i="10"/>
  <c r="M293" i="10"/>
  <c r="L293" i="10"/>
  <c r="O285" i="10"/>
  <c r="N285" i="10"/>
  <c r="M285" i="10"/>
  <c r="L285" i="10"/>
  <c r="O277" i="10"/>
  <c r="N277" i="10"/>
  <c r="M277" i="10"/>
  <c r="L277" i="10"/>
  <c r="O269" i="10"/>
  <c r="N269" i="10"/>
  <c r="M269" i="10"/>
  <c r="L269" i="10"/>
  <c r="O261" i="10"/>
  <c r="N261" i="10"/>
  <c r="M261" i="10"/>
  <c r="L261" i="10"/>
  <c r="O253" i="10"/>
  <c r="N253" i="10"/>
  <c r="M253" i="10"/>
  <c r="L253" i="10"/>
  <c r="O245" i="10"/>
  <c r="N245" i="10"/>
  <c r="M245" i="10"/>
  <c r="L245" i="10"/>
  <c r="O237" i="10"/>
  <c r="N237" i="10"/>
  <c r="M237" i="10"/>
  <c r="L237" i="10"/>
  <c r="O229" i="10"/>
  <c r="N229" i="10"/>
  <c r="M229" i="10"/>
  <c r="L229" i="10"/>
  <c r="O221" i="10"/>
  <c r="N221" i="10"/>
  <c r="M221" i="10"/>
  <c r="L221" i="10"/>
  <c r="O213" i="10"/>
  <c r="N213" i="10"/>
  <c r="M213" i="10"/>
  <c r="L213" i="10"/>
  <c r="O205" i="10"/>
  <c r="N205" i="10"/>
  <c r="M205" i="10"/>
  <c r="L205" i="10"/>
  <c r="O197" i="10"/>
  <c r="N197" i="10"/>
  <c r="M197" i="10"/>
  <c r="L197" i="10"/>
  <c r="O189" i="10"/>
  <c r="N189" i="10"/>
  <c r="M189" i="10"/>
  <c r="L189" i="10"/>
  <c r="O181" i="10"/>
  <c r="N181" i="10"/>
  <c r="M181" i="10"/>
  <c r="L181" i="10"/>
  <c r="O173" i="10"/>
  <c r="N173" i="10"/>
  <c r="M173" i="10"/>
  <c r="L173" i="10"/>
  <c r="O165" i="10"/>
  <c r="N165" i="10"/>
  <c r="M165" i="10"/>
  <c r="L165" i="10"/>
  <c r="O157" i="10"/>
  <c r="N157" i="10"/>
  <c r="M157" i="10"/>
  <c r="L157" i="10"/>
  <c r="O149" i="10"/>
  <c r="N149" i="10"/>
  <c r="M149" i="10"/>
  <c r="L149" i="10"/>
  <c r="O141" i="10"/>
  <c r="N141" i="10"/>
  <c r="M141" i="10"/>
  <c r="L141" i="10"/>
  <c r="O133" i="10"/>
  <c r="N133" i="10"/>
  <c r="M133" i="10"/>
  <c r="L133" i="10"/>
  <c r="O125" i="10"/>
  <c r="N125" i="10"/>
  <c r="M125" i="10"/>
  <c r="L125" i="10"/>
  <c r="O117" i="10"/>
  <c r="N117" i="10"/>
  <c r="M117" i="10"/>
  <c r="L117" i="10"/>
  <c r="O109" i="10"/>
  <c r="N109" i="10"/>
  <c r="M109" i="10"/>
  <c r="L109" i="10"/>
  <c r="O101" i="10"/>
  <c r="N101" i="10"/>
  <c r="M101" i="10"/>
  <c r="L101" i="10"/>
  <c r="O93" i="10"/>
  <c r="N93" i="10"/>
  <c r="M93" i="10"/>
  <c r="L93" i="10"/>
  <c r="O85" i="10"/>
  <c r="N85" i="10"/>
  <c r="M85" i="10"/>
  <c r="L85" i="10"/>
  <c r="O77" i="10"/>
  <c r="N77" i="10"/>
  <c r="M77" i="10"/>
  <c r="L77" i="10"/>
  <c r="O69" i="10"/>
  <c r="N69" i="10"/>
  <c r="M69" i="10"/>
  <c r="L69" i="10"/>
  <c r="O61" i="10"/>
  <c r="N61" i="10"/>
  <c r="M61" i="10"/>
  <c r="L61" i="10"/>
  <c r="O53" i="10"/>
  <c r="N53" i="10"/>
  <c r="M53" i="10"/>
  <c r="L53" i="10"/>
  <c r="O45" i="10"/>
  <c r="N45" i="10"/>
  <c r="M45" i="10"/>
  <c r="L45" i="10"/>
  <c r="O37" i="10"/>
  <c r="N37" i="10"/>
  <c r="M37" i="10"/>
  <c r="L37" i="10"/>
  <c r="O29" i="10"/>
  <c r="N29" i="10"/>
  <c r="M29" i="10"/>
  <c r="L29" i="10"/>
  <c r="O21" i="10"/>
  <c r="N21" i="10"/>
  <c r="M21" i="10"/>
  <c r="L21" i="10"/>
  <c r="O13" i="10"/>
  <c r="N13" i="10"/>
  <c r="M13" i="10"/>
  <c r="L13" i="10"/>
  <c r="O943" i="10"/>
  <c r="N943" i="10"/>
  <c r="M943" i="10"/>
  <c r="L943" i="10"/>
  <c r="O887" i="10"/>
  <c r="N887" i="10"/>
  <c r="L887" i="10"/>
  <c r="M887" i="10"/>
  <c r="O831" i="10"/>
  <c r="N831" i="10"/>
  <c r="L831" i="10"/>
  <c r="M831" i="10"/>
  <c r="O775" i="10"/>
  <c r="N775" i="10"/>
  <c r="M775" i="10"/>
  <c r="L775" i="10"/>
  <c r="O727" i="10"/>
  <c r="N727" i="10"/>
  <c r="M727" i="10"/>
  <c r="L727" i="10"/>
  <c r="O671" i="10"/>
  <c r="N671" i="10"/>
  <c r="M671" i="10"/>
  <c r="L671" i="10"/>
  <c r="O615" i="10"/>
  <c r="N615" i="10"/>
  <c r="M615" i="10"/>
  <c r="L615" i="10"/>
  <c r="O543" i="10"/>
  <c r="N543" i="10"/>
  <c r="M543" i="10"/>
  <c r="L543" i="10"/>
  <c r="O495" i="10"/>
  <c r="N495" i="10"/>
  <c r="M495" i="10"/>
  <c r="L495" i="10"/>
  <c r="O447" i="10"/>
  <c r="N447" i="10"/>
  <c r="M447" i="10"/>
  <c r="L447" i="10"/>
  <c r="O391" i="10"/>
  <c r="N391" i="10"/>
  <c r="M391" i="10"/>
  <c r="L391" i="10"/>
  <c r="O343" i="10"/>
  <c r="N343" i="10"/>
  <c r="M343" i="10"/>
  <c r="L343" i="10"/>
  <c r="O279" i="10"/>
  <c r="N279" i="10"/>
  <c r="M279" i="10"/>
  <c r="L279" i="10"/>
  <c r="O231" i="10"/>
  <c r="N231" i="10"/>
  <c r="M231" i="10"/>
  <c r="L231" i="10"/>
  <c r="O183" i="10"/>
  <c r="N183" i="10"/>
  <c r="M183" i="10"/>
  <c r="L183" i="10"/>
  <c r="O135" i="10"/>
  <c r="N135" i="10"/>
  <c r="M135" i="10"/>
  <c r="L135" i="10"/>
  <c r="O87" i="10"/>
  <c r="N87" i="10"/>
  <c r="M87" i="10"/>
  <c r="L87" i="10"/>
  <c r="O63" i="10"/>
  <c r="N63" i="10"/>
  <c r="M63" i="10"/>
  <c r="L63" i="10"/>
  <c r="O942" i="10"/>
  <c r="M942" i="10"/>
  <c r="N942" i="10"/>
  <c r="L942" i="10"/>
  <c r="O902" i="10"/>
  <c r="N902" i="10"/>
  <c r="M902" i="10"/>
  <c r="L902" i="10"/>
  <c r="O846" i="10"/>
  <c r="N846" i="10"/>
  <c r="M846" i="10"/>
  <c r="L846" i="10"/>
  <c r="O814" i="10"/>
  <c r="N814" i="10"/>
  <c r="M814" i="10"/>
  <c r="L814" i="10"/>
  <c r="O774" i="10"/>
  <c r="N774" i="10"/>
  <c r="M774" i="10"/>
  <c r="L774" i="10"/>
  <c r="O734" i="10"/>
  <c r="N734" i="10"/>
  <c r="M734" i="10"/>
  <c r="L734" i="10"/>
  <c r="O694" i="10"/>
  <c r="N694" i="10"/>
  <c r="M694" i="10"/>
  <c r="L694" i="10"/>
  <c r="O662" i="10"/>
  <c r="N662" i="10"/>
  <c r="M662" i="10"/>
  <c r="L662" i="10"/>
  <c r="O630" i="10"/>
  <c r="N630" i="10"/>
  <c r="M630" i="10"/>
  <c r="L630" i="10"/>
  <c r="O606" i="10"/>
  <c r="N606" i="10"/>
  <c r="M606" i="10"/>
  <c r="L606" i="10"/>
  <c r="O566" i="10"/>
  <c r="N566" i="10"/>
  <c r="M566" i="10"/>
  <c r="L566" i="10"/>
  <c r="O534" i="10"/>
  <c r="N534" i="10"/>
  <c r="M534" i="10"/>
  <c r="L534" i="10"/>
  <c r="O494" i="10"/>
  <c r="N494" i="10"/>
  <c r="M494" i="10"/>
  <c r="L494" i="10"/>
  <c r="O462" i="10"/>
  <c r="N462" i="10"/>
  <c r="M462" i="10"/>
  <c r="L462" i="10"/>
  <c r="O422" i="10"/>
  <c r="N422" i="10"/>
  <c r="M422" i="10"/>
  <c r="L422" i="10"/>
  <c r="O390" i="10"/>
  <c r="N390" i="10"/>
  <c r="M390" i="10"/>
  <c r="L390" i="10"/>
  <c r="O350" i="10"/>
  <c r="N350" i="10"/>
  <c r="M350" i="10"/>
  <c r="L350" i="10"/>
  <c r="O334" i="10"/>
  <c r="N334" i="10"/>
  <c r="M334" i="10"/>
  <c r="L334" i="10"/>
  <c r="O302" i="10"/>
  <c r="N302" i="10"/>
  <c r="M302" i="10"/>
  <c r="L302" i="10"/>
  <c r="O980" i="10"/>
  <c r="N980" i="10"/>
  <c r="L980" i="10"/>
  <c r="M980" i="10"/>
  <c r="O972" i="10"/>
  <c r="N972" i="10"/>
  <c r="L972" i="10"/>
  <c r="M972" i="10"/>
  <c r="O964" i="10"/>
  <c r="N964" i="10"/>
  <c r="L964" i="10"/>
  <c r="M964" i="10"/>
  <c r="O956" i="10"/>
  <c r="N956" i="10"/>
  <c r="L956" i="10"/>
  <c r="M956" i="10"/>
  <c r="O948" i="10"/>
  <c r="N948" i="10"/>
  <c r="L948" i="10"/>
  <c r="M948" i="10"/>
  <c r="O940" i="10"/>
  <c r="N940" i="10"/>
  <c r="M940" i="10"/>
  <c r="L940" i="10"/>
  <c r="O932" i="10"/>
  <c r="N932" i="10"/>
  <c r="L932" i="10"/>
  <c r="M932" i="10"/>
  <c r="O924" i="10"/>
  <c r="N924" i="10"/>
  <c r="L924" i="10"/>
  <c r="M924" i="10"/>
  <c r="N916" i="10"/>
  <c r="O916" i="10"/>
  <c r="L916" i="10"/>
  <c r="M916" i="10"/>
  <c r="N908" i="10"/>
  <c r="O908" i="10"/>
  <c r="L908" i="10"/>
  <c r="M908" i="10"/>
  <c r="O900" i="10"/>
  <c r="N900" i="10"/>
  <c r="L900" i="10"/>
  <c r="M900" i="10"/>
  <c r="N892" i="10"/>
  <c r="O892" i="10"/>
  <c r="L892" i="10"/>
  <c r="M892" i="10"/>
  <c r="N884" i="10"/>
  <c r="O884" i="10"/>
  <c r="L884" i="10"/>
  <c r="M884" i="10"/>
  <c r="N876" i="10"/>
  <c r="O876" i="10"/>
  <c r="M876" i="10"/>
  <c r="L876" i="10"/>
  <c r="N868" i="10"/>
  <c r="O868" i="10"/>
  <c r="L868" i="10"/>
  <c r="M868" i="10"/>
  <c r="N860" i="10"/>
  <c r="O860" i="10"/>
  <c r="L860" i="10"/>
  <c r="M860" i="10"/>
  <c r="N852" i="10"/>
  <c r="O852" i="10"/>
  <c r="L852" i="10"/>
  <c r="M852" i="10"/>
  <c r="N844" i="10"/>
  <c r="O844" i="10"/>
  <c r="L844" i="10"/>
  <c r="M844" i="10"/>
  <c r="O836" i="10"/>
  <c r="N836" i="10"/>
  <c r="L836" i="10"/>
  <c r="M836" i="10"/>
  <c r="N828" i="10"/>
  <c r="O828" i="10"/>
  <c r="L828" i="10"/>
  <c r="M828" i="10"/>
  <c r="N820" i="10"/>
  <c r="O820" i="10"/>
  <c r="L820" i="10"/>
  <c r="M820" i="10"/>
  <c r="N812" i="10"/>
  <c r="O812" i="10"/>
  <c r="L812" i="10"/>
  <c r="M812" i="10"/>
  <c r="N804" i="10"/>
  <c r="O804" i="10"/>
  <c r="L804" i="10"/>
  <c r="M804" i="10"/>
  <c r="N796" i="10"/>
  <c r="O796" i="10"/>
  <c r="L796" i="10"/>
  <c r="M796" i="10"/>
  <c r="N788" i="10"/>
  <c r="O788" i="10"/>
  <c r="L788" i="10"/>
  <c r="M788" i="10"/>
  <c r="N780" i="10"/>
  <c r="O780" i="10"/>
  <c r="L780" i="10"/>
  <c r="M780" i="10"/>
  <c r="O772" i="10"/>
  <c r="N772" i="10"/>
  <c r="L772" i="10"/>
  <c r="M772" i="10"/>
  <c r="N764" i="10"/>
  <c r="O764" i="10"/>
  <c r="L764" i="10"/>
  <c r="M764" i="10"/>
  <c r="N756" i="10"/>
  <c r="O756" i="10"/>
  <c r="L756" i="10"/>
  <c r="M756" i="10"/>
  <c r="N748" i="10"/>
  <c r="O748" i="10"/>
  <c r="L748" i="10"/>
  <c r="M748" i="10"/>
  <c r="N740" i="10"/>
  <c r="O740" i="10"/>
  <c r="L740" i="10"/>
  <c r="M740" i="10"/>
  <c r="N732" i="10"/>
  <c r="O732" i="10"/>
  <c r="M732" i="10"/>
  <c r="L732" i="10"/>
  <c r="N724" i="10"/>
  <c r="O724" i="10"/>
  <c r="L724" i="10"/>
  <c r="M724" i="10"/>
  <c r="N716" i="10"/>
  <c r="O716" i="10"/>
  <c r="L716" i="10"/>
  <c r="M716" i="10"/>
  <c r="O708" i="10"/>
  <c r="N708" i="10"/>
  <c r="L708" i="10"/>
  <c r="M708" i="10"/>
  <c r="N700" i="10"/>
  <c r="O700" i="10"/>
  <c r="L700" i="10"/>
  <c r="M700" i="10"/>
  <c r="N692" i="10"/>
  <c r="O692" i="10"/>
  <c r="L692" i="10"/>
  <c r="M692" i="10"/>
  <c r="N684" i="10"/>
  <c r="O684" i="10"/>
  <c r="L684" i="10"/>
  <c r="M684" i="10"/>
  <c r="N676" i="10"/>
  <c r="O676" i="10"/>
  <c r="L676" i="10"/>
  <c r="M676" i="10"/>
  <c r="N668" i="10"/>
  <c r="O668" i="10"/>
  <c r="M668" i="10"/>
  <c r="L668" i="10"/>
  <c r="N660" i="10"/>
  <c r="O660" i="10"/>
  <c r="L660" i="10"/>
  <c r="M660" i="10"/>
  <c r="N652" i="10"/>
  <c r="O652" i="10"/>
  <c r="L652" i="10"/>
  <c r="M652" i="10"/>
  <c r="O644" i="10"/>
  <c r="N644" i="10"/>
  <c r="L644" i="10"/>
  <c r="M644" i="10"/>
  <c r="N636" i="10"/>
  <c r="O636" i="10"/>
  <c r="L636" i="10"/>
  <c r="M636" i="10"/>
  <c r="N628" i="10"/>
  <c r="O628" i="10"/>
  <c r="L628" i="10"/>
  <c r="M628" i="10"/>
  <c r="O620" i="10"/>
  <c r="N620" i="10"/>
  <c r="L620" i="10"/>
  <c r="M620" i="10"/>
  <c r="O612" i="10"/>
  <c r="N612" i="10"/>
  <c r="L612" i="10"/>
  <c r="M612" i="10"/>
  <c r="O604" i="10"/>
  <c r="N604" i="10"/>
  <c r="M604" i="10"/>
  <c r="L604" i="10"/>
  <c r="O596" i="10"/>
  <c r="N596" i="10"/>
  <c r="L596" i="10"/>
  <c r="M596" i="10"/>
  <c r="O588" i="10"/>
  <c r="N588" i="10"/>
  <c r="L588" i="10"/>
  <c r="M588" i="10"/>
  <c r="O580" i="10"/>
  <c r="N580" i="10"/>
  <c r="L580" i="10"/>
  <c r="M580" i="10"/>
  <c r="O572" i="10"/>
  <c r="N572" i="10"/>
  <c r="L572" i="10"/>
  <c r="M572" i="10"/>
  <c r="O564" i="10"/>
  <c r="N564" i="10"/>
  <c r="L564" i="10"/>
  <c r="M564" i="10"/>
  <c r="O556" i="10"/>
  <c r="N556" i="10"/>
  <c r="L556" i="10"/>
  <c r="M556" i="10"/>
  <c r="O548" i="10"/>
  <c r="N548" i="10"/>
  <c r="L548" i="10"/>
  <c r="M548" i="10"/>
  <c r="O540" i="10"/>
  <c r="N540" i="10"/>
  <c r="M540" i="10"/>
  <c r="L540" i="10"/>
  <c r="O532" i="10"/>
  <c r="N532" i="10"/>
  <c r="L532" i="10"/>
  <c r="M532" i="10"/>
  <c r="O524" i="10"/>
  <c r="N524" i="10"/>
  <c r="L524" i="10"/>
  <c r="M524" i="10"/>
  <c r="O516" i="10"/>
  <c r="N516" i="10"/>
  <c r="L516" i="10"/>
  <c r="M516" i="10"/>
  <c r="O508" i="10"/>
  <c r="N508" i="10"/>
  <c r="L508" i="10"/>
  <c r="M508" i="10"/>
  <c r="O500" i="10"/>
  <c r="N500" i="10"/>
  <c r="M500" i="10"/>
  <c r="L500" i="10"/>
  <c r="O492" i="10"/>
  <c r="N492" i="10"/>
  <c r="L492" i="10"/>
  <c r="M492" i="10"/>
  <c r="O484" i="10"/>
  <c r="N484" i="10"/>
  <c r="M484" i="10"/>
  <c r="L484" i="10"/>
  <c r="O476" i="10"/>
  <c r="N476" i="10"/>
  <c r="M476" i="10"/>
  <c r="L476" i="10"/>
  <c r="O468" i="10"/>
  <c r="N468" i="10"/>
  <c r="L468" i="10"/>
  <c r="M468" i="10"/>
  <c r="O460" i="10"/>
  <c r="N460" i="10"/>
  <c r="L460" i="10"/>
  <c r="M460" i="10"/>
  <c r="O452" i="10"/>
  <c r="N452" i="10"/>
  <c r="M452" i="10"/>
  <c r="L452" i="10"/>
  <c r="O444" i="10"/>
  <c r="N444" i="10"/>
  <c r="L444" i="10"/>
  <c r="M444" i="10"/>
  <c r="O436" i="10"/>
  <c r="N436" i="10"/>
  <c r="L436" i="10"/>
  <c r="M436" i="10"/>
  <c r="O428" i="10"/>
  <c r="N428" i="10"/>
  <c r="M428" i="10"/>
  <c r="L428" i="10"/>
  <c r="O420" i="10"/>
  <c r="N420" i="10"/>
  <c r="M420" i="10"/>
  <c r="L420" i="10"/>
  <c r="O412" i="10"/>
  <c r="N412" i="10"/>
  <c r="M412" i="10"/>
  <c r="L412" i="10"/>
  <c r="O404" i="10"/>
  <c r="N404" i="10"/>
  <c r="L404" i="10"/>
  <c r="M404" i="10"/>
  <c r="O396" i="10"/>
  <c r="N396" i="10"/>
  <c r="L396" i="10"/>
  <c r="M396" i="10"/>
  <c r="O388" i="10"/>
  <c r="N388" i="10"/>
  <c r="M388" i="10"/>
  <c r="L388" i="10"/>
  <c r="O380" i="10"/>
  <c r="N380" i="10"/>
  <c r="L380" i="10"/>
  <c r="M380" i="10"/>
  <c r="O372" i="10"/>
  <c r="N372" i="10"/>
  <c r="L372" i="10"/>
  <c r="M372" i="10"/>
  <c r="O364" i="10"/>
  <c r="N364" i="10"/>
  <c r="M364" i="10"/>
  <c r="L364" i="10"/>
  <c r="O356" i="10"/>
  <c r="N356" i="10"/>
  <c r="M356" i="10"/>
  <c r="L356" i="10"/>
  <c r="O348" i="10"/>
  <c r="N348" i="10"/>
  <c r="M348" i="10"/>
  <c r="L348" i="10"/>
  <c r="O340" i="10"/>
  <c r="N340" i="10"/>
  <c r="L340" i="10"/>
  <c r="M340" i="10"/>
  <c r="O332" i="10"/>
  <c r="N332" i="10"/>
  <c r="L332" i="10"/>
  <c r="M332" i="10"/>
  <c r="O324" i="10"/>
  <c r="N324" i="10"/>
  <c r="M324" i="10"/>
  <c r="L324" i="10"/>
  <c r="O316" i="10"/>
  <c r="N316" i="10"/>
  <c r="L316" i="10"/>
  <c r="M316" i="10"/>
  <c r="O308" i="10"/>
  <c r="N308" i="10"/>
  <c r="L308" i="10"/>
  <c r="M308" i="10"/>
  <c r="O300" i="10"/>
  <c r="N300" i="10"/>
  <c r="M300" i="10"/>
  <c r="L300" i="10"/>
  <c r="O292" i="10"/>
  <c r="N292" i="10"/>
  <c r="M292" i="10"/>
  <c r="L292" i="10"/>
  <c r="O284" i="10"/>
  <c r="N284" i="10"/>
  <c r="L284" i="10"/>
  <c r="M284" i="10"/>
  <c r="O276" i="10"/>
  <c r="N276" i="10"/>
  <c r="L276" i="10"/>
  <c r="M276" i="10"/>
  <c r="O268" i="10"/>
  <c r="N268" i="10"/>
  <c r="L268" i="10"/>
  <c r="M268" i="10"/>
  <c r="O260" i="10"/>
  <c r="N260" i="10"/>
  <c r="M260" i="10"/>
  <c r="L260" i="10"/>
  <c r="O252" i="10"/>
  <c r="N252" i="10"/>
  <c r="L252" i="10"/>
  <c r="M252" i="10"/>
  <c r="O244" i="10"/>
  <c r="N244" i="10"/>
  <c r="L244" i="10"/>
  <c r="M244" i="10"/>
  <c r="O236" i="10"/>
  <c r="N236" i="10"/>
  <c r="M236" i="10"/>
  <c r="L236" i="10"/>
  <c r="O228" i="10"/>
  <c r="N228" i="10"/>
  <c r="M228" i="10"/>
  <c r="L228" i="10"/>
  <c r="O220" i="10"/>
  <c r="N220" i="10"/>
  <c r="M220" i="10"/>
  <c r="L220" i="10"/>
  <c r="O212" i="10"/>
  <c r="N212" i="10"/>
  <c r="M212" i="10"/>
  <c r="L212" i="10"/>
  <c r="O204" i="10"/>
  <c r="N204" i="10"/>
  <c r="L204" i="10"/>
  <c r="M204" i="10"/>
  <c r="O196" i="10"/>
  <c r="N196" i="10"/>
  <c r="M196" i="10"/>
  <c r="L196" i="10"/>
  <c r="O188" i="10"/>
  <c r="N188" i="10"/>
  <c r="L188" i="10"/>
  <c r="M188" i="10"/>
  <c r="O180" i="10"/>
  <c r="N180" i="10"/>
  <c r="M180" i="10"/>
  <c r="L180" i="10"/>
  <c r="O172" i="10"/>
  <c r="N172" i="10"/>
  <c r="L172" i="10"/>
  <c r="M172" i="10"/>
  <c r="O164" i="10"/>
  <c r="N164" i="10"/>
  <c r="M164" i="10"/>
  <c r="L164" i="10"/>
  <c r="O156" i="10"/>
  <c r="N156" i="10"/>
  <c r="M156" i="10"/>
  <c r="L156" i="10"/>
  <c r="O148" i="10"/>
  <c r="N148" i="10"/>
  <c r="M148" i="10"/>
  <c r="L148" i="10"/>
  <c r="O140" i="10"/>
  <c r="N140" i="10"/>
  <c r="L140" i="10"/>
  <c r="M140" i="10"/>
  <c r="O132" i="10"/>
  <c r="N132" i="10"/>
  <c r="M132" i="10"/>
  <c r="L132" i="10"/>
  <c r="O124" i="10"/>
  <c r="N124" i="10"/>
  <c r="L124" i="10"/>
  <c r="M124" i="10"/>
  <c r="O116" i="10"/>
  <c r="N116" i="10"/>
  <c r="L116" i="10"/>
  <c r="M116" i="10"/>
  <c r="O108" i="10"/>
  <c r="N108" i="10"/>
  <c r="L108" i="10"/>
  <c r="M108" i="10"/>
  <c r="O100" i="10"/>
  <c r="N100" i="10"/>
  <c r="L100" i="10"/>
  <c r="M100" i="10"/>
  <c r="O92" i="10"/>
  <c r="N92" i="10"/>
  <c r="L92" i="10"/>
  <c r="M92" i="10"/>
  <c r="O84" i="10"/>
  <c r="N84" i="10"/>
  <c r="L84" i="10"/>
  <c r="M84" i="10"/>
  <c r="O76" i="10"/>
  <c r="N76" i="10"/>
  <c r="L76" i="10"/>
  <c r="M76" i="10"/>
  <c r="O68" i="10"/>
  <c r="N68" i="10"/>
  <c r="L68" i="10"/>
  <c r="M68" i="10"/>
  <c r="O60" i="10"/>
  <c r="N60" i="10"/>
  <c r="L60" i="10"/>
  <c r="M60" i="10"/>
  <c r="O52" i="10"/>
  <c r="N52" i="10"/>
  <c r="L52" i="10"/>
  <c r="M52" i="10"/>
  <c r="O44" i="10"/>
  <c r="N44" i="10"/>
  <c r="L44" i="10"/>
  <c r="M44" i="10"/>
  <c r="O36" i="10"/>
  <c r="N36" i="10"/>
  <c r="L36" i="10"/>
  <c r="M36" i="10"/>
  <c r="O28" i="10"/>
  <c r="N28" i="10"/>
  <c r="L28" i="10"/>
  <c r="M28" i="10"/>
  <c r="O20" i="10"/>
  <c r="N20" i="10"/>
  <c r="L20" i="10"/>
  <c r="M20" i="10"/>
  <c r="O12" i="10"/>
  <c r="N12" i="10"/>
  <c r="L12" i="10"/>
  <c r="M12" i="10"/>
  <c r="O983" i="10"/>
  <c r="N983" i="10"/>
  <c r="M983" i="10"/>
  <c r="L983" i="10"/>
  <c r="O927" i="10"/>
  <c r="N927" i="10"/>
  <c r="L927" i="10"/>
  <c r="M927" i="10"/>
  <c r="O871" i="10"/>
  <c r="N871" i="10"/>
  <c r="L871" i="10"/>
  <c r="M871" i="10"/>
  <c r="O815" i="10"/>
  <c r="N815" i="10"/>
  <c r="L815" i="10"/>
  <c r="M815" i="10"/>
  <c r="O759" i="10"/>
  <c r="N759" i="10"/>
  <c r="M759" i="10"/>
  <c r="L759" i="10"/>
  <c r="O703" i="10"/>
  <c r="N703" i="10"/>
  <c r="M703" i="10"/>
  <c r="L703" i="10"/>
  <c r="O639" i="10"/>
  <c r="N639" i="10"/>
  <c r="M639" i="10"/>
  <c r="L639" i="10"/>
  <c r="O583" i="10"/>
  <c r="N583" i="10"/>
  <c r="M583" i="10"/>
  <c r="L583" i="10"/>
  <c r="O511" i="10"/>
  <c r="N511" i="10"/>
  <c r="M511" i="10"/>
  <c r="L511" i="10"/>
  <c r="O455" i="10"/>
  <c r="N455" i="10"/>
  <c r="M455" i="10"/>
  <c r="L455" i="10"/>
  <c r="O375" i="10"/>
  <c r="N375" i="10"/>
  <c r="M375" i="10"/>
  <c r="L375" i="10"/>
  <c r="O327" i="10"/>
  <c r="N327" i="10"/>
  <c r="M327" i="10"/>
  <c r="L327" i="10"/>
  <c r="O255" i="10"/>
  <c r="N255" i="10"/>
  <c r="M255" i="10"/>
  <c r="L255" i="10"/>
  <c r="O215" i="10"/>
  <c r="N215" i="10"/>
  <c r="M215" i="10"/>
  <c r="L215" i="10"/>
  <c r="O159" i="10"/>
  <c r="N159" i="10"/>
  <c r="M159" i="10"/>
  <c r="L159" i="10"/>
  <c r="O103" i="10"/>
  <c r="N103" i="10"/>
  <c r="M103" i="10"/>
  <c r="L103" i="10"/>
  <c r="O15" i="10"/>
  <c r="N15" i="10"/>
  <c r="M15" i="10"/>
  <c r="L15" i="10"/>
  <c r="O958" i="10"/>
  <c r="M958" i="10"/>
  <c r="L958" i="10"/>
  <c r="N958" i="10"/>
  <c r="O926" i="10"/>
  <c r="M926" i="10"/>
  <c r="L926" i="10"/>
  <c r="N926" i="10"/>
  <c r="O886" i="10"/>
  <c r="N886" i="10"/>
  <c r="M886" i="10"/>
  <c r="L886" i="10"/>
  <c r="O838" i="10"/>
  <c r="N838" i="10"/>
  <c r="M838" i="10"/>
  <c r="L838" i="10"/>
  <c r="O790" i="10"/>
  <c r="N790" i="10"/>
  <c r="M790" i="10"/>
  <c r="L790" i="10"/>
  <c r="O758" i="10"/>
  <c r="N758" i="10"/>
  <c r="M758" i="10"/>
  <c r="L758" i="10"/>
  <c r="O718" i="10"/>
  <c r="N718" i="10"/>
  <c r="M718" i="10"/>
  <c r="L718" i="10"/>
  <c r="O678" i="10"/>
  <c r="N678" i="10"/>
  <c r="M678" i="10"/>
  <c r="L678" i="10"/>
  <c r="O646" i="10"/>
  <c r="N646" i="10"/>
  <c r="M646" i="10"/>
  <c r="L646" i="10"/>
  <c r="O598" i="10"/>
  <c r="N598" i="10"/>
  <c r="M598" i="10"/>
  <c r="L598" i="10"/>
  <c r="O558" i="10"/>
  <c r="N558" i="10"/>
  <c r="M558" i="10"/>
  <c r="L558" i="10"/>
  <c r="O518" i="10"/>
  <c r="N518" i="10"/>
  <c r="M518" i="10"/>
  <c r="L518" i="10"/>
  <c r="O478" i="10"/>
  <c r="N478" i="10"/>
  <c r="M478" i="10"/>
  <c r="L478" i="10"/>
  <c r="O446" i="10"/>
  <c r="N446" i="10"/>
  <c r="M446" i="10"/>
  <c r="L446" i="10"/>
  <c r="O406" i="10"/>
  <c r="N406" i="10"/>
  <c r="M406" i="10"/>
  <c r="L406" i="10"/>
  <c r="O366" i="10"/>
  <c r="N366" i="10"/>
  <c r="M366" i="10"/>
  <c r="L366" i="10"/>
  <c r="O310" i="10"/>
  <c r="N310" i="10"/>
  <c r="M310" i="10"/>
  <c r="L310" i="10"/>
  <c r="O971" i="10"/>
  <c r="N971" i="10"/>
  <c r="M971" i="10"/>
  <c r="L971" i="10"/>
  <c r="O955" i="10"/>
  <c r="N955" i="10"/>
  <c r="M955" i="10"/>
  <c r="L955" i="10"/>
  <c r="O947" i="10"/>
  <c r="N947" i="10"/>
  <c r="L947" i="10"/>
  <c r="M947" i="10"/>
  <c r="O939" i="10"/>
  <c r="N939" i="10"/>
  <c r="M939" i="10"/>
  <c r="L939" i="10"/>
  <c r="O931" i="10"/>
  <c r="N931" i="10"/>
  <c r="M931" i="10"/>
  <c r="L931" i="10"/>
  <c r="O923" i="10"/>
  <c r="N923" i="10"/>
  <c r="L923" i="10"/>
  <c r="M923" i="10"/>
  <c r="O915" i="10"/>
  <c r="M915" i="10"/>
  <c r="N915" i="10"/>
  <c r="L915" i="10"/>
  <c r="O907" i="10"/>
  <c r="N907" i="10"/>
  <c r="M907" i="10"/>
  <c r="L907" i="10"/>
  <c r="O899" i="10"/>
  <c r="N899" i="10"/>
  <c r="L899" i="10"/>
  <c r="M899" i="10"/>
  <c r="O891" i="10"/>
  <c r="N891" i="10"/>
  <c r="M891" i="10"/>
  <c r="L891" i="10"/>
  <c r="O883" i="10"/>
  <c r="N883" i="10"/>
  <c r="L883" i="10"/>
  <c r="M883" i="10"/>
  <c r="O875" i="10"/>
  <c r="N875" i="10"/>
  <c r="M875" i="10"/>
  <c r="L875" i="10"/>
  <c r="O867" i="10"/>
  <c r="N867" i="10"/>
  <c r="M867" i="10"/>
  <c r="L867" i="10"/>
  <c r="O859" i="10"/>
  <c r="L859" i="10"/>
  <c r="N859" i="10"/>
  <c r="M859" i="10"/>
  <c r="O851" i="10"/>
  <c r="N851" i="10"/>
  <c r="M851" i="10"/>
  <c r="L851" i="10"/>
  <c r="O843" i="10"/>
  <c r="N843" i="10"/>
  <c r="L843" i="10"/>
  <c r="M843" i="10"/>
  <c r="O835" i="10"/>
  <c r="N835" i="10"/>
  <c r="M835" i="10"/>
  <c r="L835" i="10"/>
  <c r="O827" i="10"/>
  <c r="N827" i="10"/>
  <c r="M827" i="10"/>
  <c r="L827" i="10"/>
  <c r="O819" i="10"/>
  <c r="N819" i="10"/>
  <c r="M819" i="10"/>
  <c r="L819" i="10"/>
  <c r="O811" i="10"/>
  <c r="N811" i="10"/>
  <c r="L811" i="10"/>
  <c r="M811" i="10"/>
  <c r="O803" i="10"/>
  <c r="N803" i="10"/>
  <c r="M803" i="10"/>
  <c r="L803" i="10"/>
  <c r="O795" i="10"/>
  <c r="N795" i="10"/>
  <c r="M795" i="10"/>
  <c r="L795" i="10"/>
  <c r="O787" i="10"/>
  <c r="N787" i="10"/>
  <c r="M787" i="10"/>
  <c r="L787" i="10"/>
  <c r="O779" i="10"/>
  <c r="N779" i="10"/>
  <c r="L779" i="10"/>
  <c r="M779" i="10"/>
  <c r="O771" i="10"/>
  <c r="N771" i="10"/>
  <c r="M771" i="10"/>
  <c r="L771" i="10"/>
  <c r="O763" i="10"/>
  <c r="N763" i="10"/>
  <c r="M763" i="10"/>
  <c r="L763" i="10"/>
  <c r="O755" i="10"/>
  <c r="M755" i="10"/>
  <c r="N755" i="10"/>
  <c r="L755" i="10"/>
  <c r="O747" i="10"/>
  <c r="L747" i="10"/>
  <c r="M747" i="10"/>
  <c r="N747" i="10"/>
  <c r="O739" i="10"/>
  <c r="N739" i="10"/>
  <c r="M739" i="10"/>
  <c r="L739" i="10"/>
  <c r="R739" i="10" s="1"/>
  <c r="O731" i="10"/>
  <c r="N731" i="10"/>
  <c r="M731" i="10"/>
  <c r="L731" i="10"/>
  <c r="O723" i="10"/>
  <c r="N723" i="10"/>
  <c r="L723" i="10"/>
  <c r="M723" i="10"/>
  <c r="O715" i="10"/>
  <c r="N715" i="10"/>
  <c r="M715" i="10"/>
  <c r="L715" i="10"/>
  <c r="O707" i="10"/>
  <c r="N707" i="10"/>
  <c r="L707" i="10"/>
  <c r="M707" i="10"/>
  <c r="O699" i="10"/>
  <c r="N699" i="10"/>
  <c r="M699" i="10"/>
  <c r="L699" i="10"/>
  <c r="O691" i="10"/>
  <c r="M691" i="10"/>
  <c r="L691" i="10"/>
  <c r="N691" i="10"/>
  <c r="O683" i="10"/>
  <c r="L683" i="10"/>
  <c r="N683" i="10"/>
  <c r="M683" i="10"/>
  <c r="O675" i="10"/>
  <c r="N675" i="10"/>
  <c r="M675" i="10"/>
  <c r="L675" i="10"/>
  <c r="O667" i="10"/>
  <c r="N667" i="10"/>
  <c r="M667" i="10"/>
  <c r="L667" i="10"/>
  <c r="O659" i="10"/>
  <c r="N659" i="10"/>
  <c r="L659" i="10"/>
  <c r="M659" i="10"/>
  <c r="O651" i="10"/>
  <c r="N651" i="10"/>
  <c r="M651" i="10"/>
  <c r="L651" i="10"/>
  <c r="O643" i="10"/>
  <c r="N643" i="10"/>
  <c r="L643" i="10"/>
  <c r="M643" i="10"/>
  <c r="O635" i="10"/>
  <c r="N635" i="10"/>
  <c r="M635" i="10"/>
  <c r="L635" i="10"/>
  <c r="O627" i="10"/>
  <c r="M627" i="10"/>
  <c r="L627" i="10"/>
  <c r="N627" i="10"/>
  <c r="O619" i="10"/>
  <c r="N619" i="10"/>
  <c r="L619" i="10"/>
  <c r="M619" i="10"/>
  <c r="O611" i="10"/>
  <c r="N611" i="10"/>
  <c r="M611" i="10"/>
  <c r="L611" i="10"/>
  <c r="O603" i="10"/>
  <c r="N603" i="10"/>
  <c r="M603" i="10"/>
  <c r="L603" i="10"/>
  <c r="O595" i="10"/>
  <c r="N595" i="10"/>
  <c r="L595" i="10"/>
  <c r="M595" i="10"/>
  <c r="O587" i="10"/>
  <c r="N587" i="10"/>
  <c r="M587" i="10"/>
  <c r="L587" i="10"/>
  <c r="O579" i="10"/>
  <c r="N579" i="10"/>
  <c r="L579" i="10"/>
  <c r="M579" i="10"/>
  <c r="O571" i="10"/>
  <c r="N571" i="10"/>
  <c r="M571" i="10"/>
  <c r="L571" i="10"/>
  <c r="O563" i="10"/>
  <c r="M563" i="10"/>
  <c r="N563" i="10"/>
  <c r="L563" i="10"/>
  <c r="O555" i="10"/>
  <c r="N555" i="10"/>
  <c r="L555" i="10"/>
  <c r="M555" i="10"/>
  <c r="O547" i="10"/>
  <c r="N547" i="10"/>
  <c r="M547" i="10"/>
  <c r="L547" i="10"/>
  <c r="O539" i="10"/>
  <c r="N539" i="10"/>
  <c r="L539" i="10"/>
  <c r="M539" i="10"/>
  <c r="O531" i="10"/>
  <c r="N531" i="10"/>
  <c r="L531" i="10"/>
  <c r="M531" i="10"/>
  <c r="O523" i="10"/>
  <c r="N523" i="10"/>
  <c r="M523" i="10"/>
  <c r="L523" i="10"/>
  <c r="O515" i="10"/>
  <c r="N515" i="10"/>
  <c r="L515" i="10"/>
  <c r="M515" i="10"/>
  <c r="O507" i="10"/>
  <c r="N507" i="10"/>
  <c r="L507" i="10"/>
  <c r="M507" i="10"/>
  <c r="O499" i="10"/>
  <c r="M499" i="10"/>
  <c r="L499" i="10"/>
  <c r="N499" i="10"/>
  <c r="O491" i="10"/>
  <c r="L491" i="10"/>
  <c r="M491" i="10"/>
  <c r="N491" i="10"/>
  <c r="O483" i="10"/>
  <c r="N483" i="10"/>
  <c r="M483" i="10"/>
  <c r="L483" i="10"/>
  <c r="O475" i="10"/>
  <c r="N475" i="10"/>
  <c r="M475" i="10"/>
  <c r="L475" i="10"/>
  <c r="O467" i="10"/>
  <c r="N467" i="10"/>
  <c r="M467" i="10"/>
  <c r="L467" i="10"/>
  <c r="O459" i="10"/>
  <c r="N459" i="10"/>
  <c r="M459" i="10"/>
  <c r="L459" i="10"/>
  <c r="O451" i="10"/>
  <c r="N451" i="10"/>
  <c r="M451" i="10"/>
  <c r="L451" i="10"/>
  <c r="O443" i="10"/>
  <c r="N443" i="10"/>
  <c r="L443" i="10"/>
  <c r="M443" i="10"/>
  <c r="O435" i="10"/>
  <c r="L435" i="10"/>
  <c r="M435" i="10"/>
  <c r="N435" i="10"/>
  <c r="O427" i="10"/>
  <c r="M427" i="10"/>
  <c r="L427" i="10"/>
  <c r="N427" i="10"/>
  <c r="O419" i="10"/>
  <c r="N419" i="10"/>
  <c r="M419" i="10"/>
  <c r="L419" i="10"/>
  <c r="O411" i="10"/>
  <c r="N411" i="10"/>
  <c r="L411" i="10"/>
  <c r="M411" i="10"/>
  <c r="O403" i="10"/>
  <c r="N403" i="10"/>
  <c r="M403" i="10"/>
  <c r="L403" i="10"/>
  <c r="O395" i="10"/>
  <c r="N395" i="10"/>
  <c r="M395" i="10"/>
  <c r="L395" i="10"/>
  <c r="O387" i="10"/>
  <c r="N387" i="10"/>
  <c r="M387" i="10"/>
  <c r="L387" i="10"/>
  <c r="O379" i="10"/>
  <c r="N379" i="10"/>
  <c r="L379" i="10"/>
  <c r="M379" i="10"/>
  <c r="O371" i="10"/>
  <c r="L371" i="10"/>
  <c r="N371" i="10"/>
  <c r="M371" i="10"/>
  <c r="O363" i="10"/>
  <c r="N363" i="10"/>
  <c r="M363" i="10"/>
  <c r="L363" i="10"/>
  <c r="O355" i="10"/>
  <c r="N355" i="10"/>
  <c r="M355" i="10"/>
  <c r="L355" i="10"/>
  <c r="O347" i="10"/>
  <c r="N347" i="10"/>
  <c r="L347" i="10"/>
  <c r="M347" i="10"/>
  <c r="O339" i="10"/>
  <c r="N339" i="10"/>
  <c r="M339" i="10"/>
  <c r="L339" i="10"/>
  <c r="O331" i="10"/>
  <c r="N331" i="10"/>
  <c r="M331" i="10"/>
  <c r="L331" i="10"/>
  <c r="O323" i="10"/>
  <c r="N323" i="10"/>
  <c r="M323" i="10"/>
  <c r="L323" i="10"/>
  <c r="O315" i="10"/>
  <c r="N315" i="10"/>
  <c r="L315" i="10"/>
  <c r="M315" i="10"/>
  <c r="O307" i="10"/>
  <c r="N307" i="10"/>
  <c r="L307" i="10"/>
  <c r="M307" i="10"/>
  <c r="O299" i="10"/>
  <c r="N299" i="10"/>
  <c r="M299" i="10"/>
  <c r="L299" i="10"/>
  <c r="O291" i="10"/>
  <c r="N291" i="10"/>
  <c r="M291" i="10"/>
  <c r="L291" i="10"/>
  <c r="O283" i="10"/>
  <c r="N283" i="10"/>
  <c r="L283" i="10"/>
  <c r="M283" i="10"/>
  <c r="O275" i="10"/>
  <c r="N275" i="10"/>
  <c r="M275" i="10"/>
  <c r="L275" i="10"/>
  <c r="O267" i="10"/>
  <c r="N267" i="10"/>
  <c r="M267" i="10"/>
  <c r="L267" i="10"/>
  <c r="O259" i="10"/>
  <c r="N259" i="10"/>
  <c r="M259" i="10"/>
  <c r="L259" i="10"/>
  <c r="O251" i="10"/>
  <c r="N251" i="10"/>
  <c r="L251" i="10"/>
  <c r="M251" i="10"/>
  <c r="O243" i="10"/>
  <c r="L243" i="10"/>
  <c r="M243" i="10"/>
  <c r="N243" i="10"/>
  <c r="O235" i="10"/>
  <c r="M235" i="10"/>
  <c r="L235" i="10"/>
  <c r="N235" i="10"/>
  <c r="O227" i="10"/>
  <c r="N227" i="10"/>
  <c r="M227" i="10"/>
  <c r="L227" i="10"/>
  <c r="O219" i="10"/>
  <c r="N219" i="10"/>
  <c r="L219" i="10"/>
  <c r="M219" i="10"/>
  <c r="O211" i="10"/>
  <c r="N211" i="10"/>
  <c r="M211" i="10"/>
  <c r="L211" i="10"/>
  <c r="O203" i="10"/>
  <c r="L203" i="10"/>
  <c r="N203" i="10"/>
  <c r="M203" i="10"/>
  <c r="O195" i="10"/>
  <c r="L195" i="10"/>
  <c r="N195" i="10"/>
  <c r="M195" i="10"/>
  <c r="O187" i="10"/>
  <c r="N187" i="10"/>
  <c r="L187" i="10"/>
  <c r="M187" i="10"/>
  <c r="O179" i="10"/>
  <c r="L179" i="10"/>
  <c r="M179" i="10"/>
  <c r="N179" i="10"/>
  <c r="O171" i="10"/>
  <c r="L171" i="10"/>
  <c r="M171" i="10"/>
  <c r="N171" i="10"/>
  <c r="O163" i="10"/>
  <c r="L163" i="10"/>
  <c r="N163" i="10"/>
  <c r="M163" i="10"/>
  <c r="O155" i="10"/>
  <c r="L155" i="10"/>
  <c r="N155" i="10"/>
  <c r="M155" i="10"/>
  <c r="O147" i="10"/>
  <c r="L147" i="10"/>
  <c r="N147" i="10"/>
  <c r="M147" i="10"/>
  <c r="O139" i="10"/>
  <c r="L139" i="10"/>
  <c r="N139" i="10"/>
  <c r="M139" i="10"/>
  <c r="O131" i="10"/>
  <c r="L131" i="10"/>
  <c r="N131" i="10"/>
  <c r="M131" i="10"/>
  <c r="O123" i="10"/>
  <c r="N123" i="10"/>
  <c r="L123" i="10"/>
  <c r="M123" i="10"/>
  <c r="O115" i="10"/>
  <c r="L115" i="10"/>
  <c r="N115" i="10"/>
  <c r="M115" i="10"/>
  <c r="O107" i="10"/>
  <c r="L107" i="10"/>
  <c r="N107" i="10"/>
  <c r="M107" i="10"/>
  <c r="O99" i="10"/>
  <c r="L99" i="10"/>
  <c r="N99" i="10"/>
  <c r="M99" i="10"/>
  <c r="O91" i="10"/>
  <c r="L91" i="10"/>
  <c r="N91" i="10"/>
  <c r="M91" i="10"/>
  <c r="O83" i="10"/>
  <c r="L83" i="10"/>
  <c r="N83" i="10"/>
  <c r="M83" i="10"/>
  <c r="O75" i="10"/>
  <c r="L75" i="10"/>
  <c r="N75" i="10"/>
  <c r="M75" i="10"/>
  <c r="O67" i="10"/>
  <c r="L67" i="10"/>
  <c r="N67" i="10"/>
  <c r="M67" i="10"/>
  <c r="O59" i="10"/>
  <c r="N59" i="10"/>
  <c r="L59" i="10"/>
  <c r="M59" i="10"/>
  <c r="O51" i="10"/>
  <c r="L51" i="10"/>
  <c r="N51" i="10"/>
  <c r="M51" i="10"/>
  <c r="O43" i="10"/>
  <c r="L43" i="10"/>
  <c r="N43" i="10"/>
  <c r="M43" i="10"/>
  <c r="O35" i="10"/>
  <c r="L35" i="10"/>
  <c r="N35" i="10"/>
  <c r="M35" i="10"/>
  <c r="O27" i="10"/>
  <c r="L27" i="10"/>
  <c r="N27" i="10"/>
  <c r="M27" i="10"/>
  <c r="O19" i="10"/>
  <c r="L19" i="10"/>
  <c r="N19" i="10"/>
  <c r="M19" i="10"/>
  <c r="O11" i="10"/>
  <c r="L11" i="10"/>
  <c r="N11" i="10"/>
  <c r="M11" i="10"/>
  <c r="O975" i="10"/>
  <c r="N975" i="10"/>
  <c r="L975" i="10"/>
  <c r="M975" i="10"/>
  <c r="O919" i="10"/>
  <c r="N919" i="10"/>
  <c r="M919" i="10"/>
  <c r="L919" i="10"/>
  <c r="O863" i="10"/>
  <c r="N863" i="10"/>
  <c r="M863" i="10"/>
  <c r="L863" i="10"/>
  <c r="O807" i="10"/>
  <c r="N807" i="10"/>
  <c r="M807" i="10"/>
  <c r="L807" i="10"/>
  <c r="O751" i="10"/>
  <c r="N751" i="10"/>
  <c r="L751" i="10"/>
  <c r="M751" i="10"/>
  <c r="O695" i="10"/>
  <c r="N695" i="10"/>
  <c r="M695" i="10"/>
  <c r="L695" i="10"/>
  <c r="O647" i="10"/>
  <c r="N647" i="10"/>
  <c r="M647" i="10"/>
  <c r="L647" i="10"/>
  <c r="O599" i="10"/>
  <c r="N599" i="10"/>
  <c r="M599" i="10"/>
  <c r="L599" i="10"/>
  <c r="O551" i="10"/>
  <c r="N551" i="10"/>
  <c r="M551" i="10"/>
  <c r="L551" i="10"/>
  <c r="O487" i="10"/>
  <c r="N487" i="10"/>
  <c r="M487" i="10"/>
  <c r="L487" i="10"/>
  <c r="O431" i="10"/>
  <c r="N431" i="10"/>
  <c r="M431" i="10"/>
  <c r="L431" i="10"/>
  <c r="O383" i="10"/>
  <c r="N383" i="10"/>
  <c r="M383" i="10"/>
  <c r="L383" i="10"/>
  <c r="O311" i="10"/>
  <c r="N311" i="10"/>
  <c r="M311" i="10"/>
  <c r="L311" i="10"/>
  <c r="O263" i="10"/>
  <c r="N263" i="10"/>
  <c r="M263" i="10"/>
  <c r="L263" i="10"/>
  <c r="O199" i="10"/>
  <c r="N199" i="10"/>
  <c r="M199" i="10"/>
  <c r="L199" i="10"/>
  <c r="O151" i="10"/>
  <c r="N151" i="10"/>
  <c r="M151" i="10"/>
  <c r="L151" i="10"/>
  <c r="O119" i="10"/>
  <c r="N119" i="10"/>
  <c r="M119" i="10"/>
  <c r="L119" i="10"/>
  <c r="O79" i="10"/>
  <c r="N79" i="10"/>
  <c r="M79" i="10"/>
  <c r="L79" i="10"/>
  <c r="O966" i="10"/>
  <c r="M966" i="10"/>
  <c r="L966" i="10"/>
  <c r="N966" i="10"/>
  <c r="O918" i="10"/>
  <c r="N918" i="10"/>
  <c r="M918" i="10"/>
  <c r="L918" i="10"/>
  <c r="O878" i="10"/>
  <c r="N878" i="10"/>
  <c r="M878" i="10"/>
  <c r="L878" i="10"/>
  <c r="O830" i="10"/>
  <c r="N830" i="10"/>
  <c r="M830" i="10"/>
  <c r="L830" i="10"/>
  <c r="O782" i="10"/>
  <c r="N782" i="10"/>
  <c r="M782" i="10"/>
  <c r="L782" i="10"/>
  <c r="O750" i="10"/>
  <c r="N750" i="10"/>
  <c r="M750" i="10"/>
  <c r="L750" i="10"/>
  <c r="O710" i="10"/>
  <c r="N710" i="10"/>
  <c r="M710" i="10"/>
  <c r="L710" i="10"/>
  <c r="O670" i="10"/>
  <c r="N670" i="10"/>
  <c r="M670" i="10"/>
  <c r="L670" i="10"/>
  <c r="O638" i="10"/>
  <c r="N638" i="10"/>
  <c r="M638" i="10"/>
  <c r="L638" i="10"/>
  <c r="O590" i="10"/>
  <c r="N590" i="10"/>
  <c r="M590" i="10"/>
  <c r="L590" i="10"/>
  <c r="O550" i="10"/>
  <c r="N550" i="10"/>
  <c r="M550" i="10"/>
  <c r="L550" i="10"/>
  <c r="O526" i="10"/>
  <c r="N526" i="10"/>
  <c r="M526" i="10"/>
  <c r="L526" i="10"/>
  <c r="O486" i="10"/>
  <c r="N486" i="10"/>
  <c r="M486" i="10"/>
  <c r="L486" i="10"/>
  <c r="O454" i="10"/>
  <c r="N454" i="10"/>
  <c r="M454" i="10"/>
  <c r="L454" i="10"/>
  <c r="O414" i="10"/>
  <c r="N414" i="10"/>
  <c r="M414" i="10"/>
  <c r="L414" i="10"/>
  <c r="O374" i="10"/>
  <c r="N374" i="10"/>
  <c r="M374" i="10"/>
  <c r="L374" i="10"/>
  <c r="O318" i="10"/>
  <c r="N318" i="10"/>
  <c r="M318" i="10"/>
  <c r="L318" i="10"/>
  <c r="O979" i="10"/>
  <c r="N979" i="10"/>
  <c r="M979" i="10"/>
  <c r="L979" i="10"/>
  <c r="O963" i="10"/>
  <c r="N963" i="10"/>
  <c r="L963" i="10"/>
  <c r="M963" i="10"/>
  <c r="O986" i="10"/>
  <c r="N986" i="10"/>
  <c r="M986" i="10"/>
  <c r="L986" i="10"/>
  <c r="O978" i="10"/>
  <c r="N978" i="10"/>
  <c r="M978" i="10"/>
  <c r="L978" i="10"/>
  <c r="O970" i="10"/>
  <c r="N970" i="10"/>
  <c r="M970" i="10"/>
  <c r="L970" i="10"/>
  <c r="O962" i="10"/>
  <c r="N962" i="10"/>
  <c r="M962" i="10"/>
  <c r="L962" i="10"/>
  <c r="O954" i="10"/>
  <c r="N954" i="10"/>
  <c r="M954" i="10"/>
  <c r="L954" i="10"/>
  <c r="O946" i="10"/>
  <c r="N946" i="10"/>
  <c r="M946" i="10"/>
  <c r="L946" i="10"/>
  <c r="O938" i="10"/>
  <c r="N938" i="10"/>
  <c r="M938" i="10"/>
  <c r="L938" i="10"/>
  <c r="O930" i="10"/>
  <c r="N930" i="10"/>
  <c r="M930" i="10"/>
  <c r="L930" i="10"/>
  <c r="O922" i="10"/>
  <c r="N922" i="10"/>
  <c r="M922" i="10"/>
  <c r="L922" i="10"/>
  <c r="O914" i="10"/>
  <c r="N914" i="10"/>
  <c r="M914" i="10"/>
  <c r="L914" i="10"/>
  <c r="O906" i="10"/>
  <c r="N906" i="10"/>
  <c r="M906" i="10"/>
  <c r="L906" i="10"/>
  <c r="N898" i="10"/>
  <c r="M898" i="10"/>
  <c r="O898" i="10"/>
  <c r="L898" i="10"/>
  <c r="O890" i="10"/>
  <c r="N890" i="10"/>
  <c r="M890" i="10"/>
  <c r="L890" i="10"/>
  <c r="O882" i="10"/>
  <c r="N882" i="10"/>
  <c r="M882" i="10"/>
  <c r="L882" i="10"/>
  <c r="O874" i="10"/>
  <c r="N874" i="10"/>
  <c r="M874" i="10"/>
  <c r="L874" i="10"/>
  <c r="O866" i="10"/>
  <c r="N866" i="10"/>
  <c r="M866" i="10"/>
  <c r="L866" i="10"/>
  <c r="O858" i="10"/>
  <c r="N858" i="10"/>
  <c r="M858" i="10"/>
  <c r="L858" i="10"/>
  <c r="O850" i="10"/>
  <c r="N850" i="10"/>
  <c r="M850" i="10"/>
  <c r="L850" i="10"/>
  <c r="O842" i="10"/>
  <c r="N842" i="10"/>
  <c r="M842" i="10"/>
  <c r="L842" i="10"/>
  <c r="N834" i="10"/>
  <c r="O834" i="10"/>
  <c r="M834" i="10"/>
  <c r="L834" i="10"/>
  <c r="O826" i="10"/>
  <c r="N826" i="10"/>
  <c r="M826" i="10"/>
  <c r="L826" i="10"/>
  <c r="O818" i="10"/>
  <c r="N818" i="10"/>
  <c r="M818" i="10"/>
  <c r="L818" i="10"/>
  <c r="O810" i="10"/>
  <c r="N810" i="10"/>
  <c r="M810" i="10"/>
  <c r="L810" i="10"/>
  <c r="O802" i="10"/>
  <c r="N802" i="10"/>
  <c r="M802" i="10"/>
  <c r="L802" i="10"/>
  <c r="O794" i="10"/>
  <c r="N794" i="10"/>
  <c r="M794" i="10"/>
  <c r="L794" i="10"/>
  <c r="O786" i="10"/>
  <c r="N786" i="10"/>
  <c r="M786" i="10"/>
  <c r="L786" i="10"/>
  <c r="O778" i="10"/>
  <c r="N778" i="10"/>
  <c r="M778" i="10"/>
  <c r="L778" i="10"/>
  <c r="N770" i="10"/>
  <c r="O770" i="10"/>
  <c r="M770" i="10"/>
  <c r="L770" i="10"/>
  <c r="O762" i="10"/>
  <c r="N762" i="10"/>
  <c r="M762" i="10"/>
  <c r="L762" i="10"/>
  <c r="O754" i="10"/>
  <c r="N754" i="10"/>
  <c r="M754" i="10"/>
  <c r="L754" i="10"/>
  <c r="O746" i="10"/>
  <c r="N746" i="10"/>
  <c r="M746" i="10"/>
  <c r="L746" i="10"/>
  <c r="O738" i="10"/>
  <c r="N738" i="10"/>
  <c r="M738" i="10"/>
  <c r="L738" i="10"/>
  <c r="O730" i="10"/>
  <c r="N730" i="10"/>
  <c r="M730" i="10"/>
  <c r="L730" i="10"/>
  <c r="O722" i="10"/>
  <c r="N722" i="10"/>
  <c r="M722" i="10"/>
  <c r="L722" i="10"/>
  <c r="O714" i="10"/>
  <c r="N714" i="10"/>
  <c r="M714" i="10"/>
  <c r="L714" i="10"/>
  <c r="N706" i="10"/>
  <c r="M706" i="10"/>
  <c r="O706" i="10"/>
  <c r="L706" i="10"/>
  <c r="O698" i="10"/>
  <c r="N698" i="10"/>
  <c r="M698" i="10"/>
  <c r="L698" i="10"/>
  <c r="O690" i="10"/>
  <c r="N690" i="10"/>
  <c r="M690" i="10"/>
  <c r="L690" i="10"/>
  <c r="O682" i="10"/>
  <c r="N682" i="10"/>
  <c r="M682" i="10"/>
  <c r="L682" i="10"/>
  <c r="O674" i="10"/>
  <c r="N674" i="10"/>
  <c r="M674" i="10"/>
  <c r="L674" i="10"/>
  <c r="O666" i="10"/>
  <c r="N666" i="10"/>
  <c r="M666" i="10"/>
  <c r="L666" i="10"/>
  <c r="O658" i="10"/>
  <c r="N658" i="10"/>
  <c r="M658" i="10"/>
  <c r="L658" i="10"/>
  <c r="O650" i="10"/>
  <c r="N650" i="10"/>
  <c r="M650" i="10"/>
  <c r="L650" i="10"/>
  <c r="N642" i="10"/>
  <c r="O642" i="10"/>
  <c r="M642" i="10"/>
  <c r="L642" i="10"/>
  <c r="O634" i="10"/>
  <c r="N634" i="10"/>
  <c r="M634" i="10"/>
  <c r="L634" i="10"/>
  <c r="O626" i="10"/>
  <c r="N626" i="10"/>
  <c r="M626" i="10"/>
  <c r="L626" i="10"/>
  <c r="N618" i="10"/>
  <c r="O618" i="10"/>
  <c r="M618" i="10"/>
  <c r="L618" i="10"/>
  <c r="O610" i="10"/>
  <c r="N610" i="10"/>
  <c r="M610" i="10"/>
  <c r="L610" i="10"/>
  <c r="O602" i="10"/>
  <c r="N602" i="10"/>
  <c r="M602" i="10"/>
  <c r="L602" i="10"/>
  <c r="O594" i="10"/>
  <c r="N594" i="10"/>
  <c r="M594" i="10"/>
  <c r="L594" i="10"/>
  <c r="N586" i="10"/>
  <c r="O586" i="10"/>
  <c r="M586" i="10"/>
  <c r="L586" i="10"/>
  <c r="O578" i="10"/>
  <c r="N578" i="10"/>
  <c r="M578" i="10"/>
  <c r="L578" i="10"/>
  <c r="O570" i="10"/>
  <c r="N570" i="10"/>
  <c r="M570" i="10"/>
  <c r="L570" i="10"/>
  <c r="O562" i="10"/>
  <c r="N562" i="10"/>
  <c r="M562" i="10"/>
  <c r="L562" i="10"/>
  <c r="N554" i="10"/>
  <c r="O554" i="10"/>
  <c r="M554" i="10"/>
  <c r="L554" i="10"/>
  <c r="O546" i="10"/>
  <c r="N546" i="10"/>
  <c r="M546" i="10"/>
  <c r="L546" i="10"/>
  <c r="O538" i="10"/>
  <c r="N538" i="10"/>
  <c r="M538" i="10"/>
  <c r="L538" i="10"/>
  <c r="O530" i="10"/>
  <c r="N530" i="10"/>
  <c r="M530" i="10"/>
  <c r="L530" i="10"/>
  <c r="N522" i="10"/>
  <c r="M522" i="10"/>
  <c r="O522" i="10"/>
  <c r="L522" i="10"/>
  <c r="O514" i="10"/>
  <c r="N514" i="10"/>
  <c r="M514" i="10"/>
  <c r="L514" i="10"/>
  <c r="O506" i="10"/>
  <c r="N506" i="10"/>
  <c r="M506" i="10"/>
  <c r="L506" i="10"/>
  <c r="O498" i="10"/>
  <c r="N498" i="10"/>
  <c r="M498" i="10"/>
  <c r="L498" i="10"/>
  <c r="N490" i="10"/>
  <c r="M490" i="10"/>
  <c r="O490" i="10"/>
  <c r="L490" i="10"/>
  <c r="O482" i="10"/>
  <c r="N482" i="10"/>
  <c r="M482" i="10"/>
  <c r="L482" i="10"/>
  <c r="O474" i="10"/>
  <c r="N474" i="10"/>
  <c r="M474" i="10"/>
  <c r="L474" i="10"/>
  <c r="O466" i="10"/>
  <c r="N466" i="10"/>
  <c r="M466" i="10"/>
  <c r="L466" i="10"/>
  <c r="N458" i="10"/>
  <c r="O458" i="10"/>
  <c r="M458" i="10"/>
  <c r="L458" i="10"/>
  <c r="O450" i="10"/>
  <c r="N450" i="10"/>
  <c r="M450" i="10"/>
  <c r="L450" i="10"/>
  <c r="O442" i="10"/>
  <c r="N442" i="10"/>
  <c r="M442" i="10"/>
  <c r="L442" i="10"/>
  <c r="O434" i="10"/>
  <c r="N434" i="10"/>
  <c r="M434" i="10"/>
  <c r="L434" i="10"/>
  <c r="N426" i="10"/>
  <c r="O426" i="10"/>
  <c r="M426" i="10"/>
  <c r="L426" i="10"/>
  <c r="O418" i="10"/>
  <c r="N418" i="10"/>
  <c r="M418" i="10"/>
  <c r="L418" i="10"/>
  <c r="O410" i="10"/>
  <c r="N410" i="10"/>
  <c r="M410" i="10"/>
  <c r="L410" i="10"/>
  <c r="O402" i="10"/>
  <c r="N402" i="10"/>
  <c r="M402" i="10"/>
  <c r="L402" i="10"/>
  <c r="N394" i="10"/>
  <c r="O394" i="10"/>
  <c r="M394" i="10"/>
  <c r="L394" i="10"/>
  <c r="O386" i="10"/>
  <c r="N386" i="10"/>
  <c r="M386" i="10"/>
  <c r="L386" i="10"/>
  <c r="O378" i="10"/>
  <c r="N378" i="10"/>
  <c r="M378" i="10"/>
  <c r="L378" i="10"/>
  <c r="O370" i="10"/>
  <c r="N370" i="10"/>
  <c r="M370" i="10"/>
  <c r="L370" i="10"/>
  <c r="N362" i="10"/>
  <c r="O362" i="10"/>
  <c r="M362" i="10"/>
  <c r="L362" i="10"/>
  <c r="O354" i="10"/>
  <c r="N354" i="10"/>
  <c r="M354" i="10"/>
  <c r="L354" i="10"/>
  <c r="O346" i="10"/>
  <c r="N346" i="10"/>
  <c r="M346" i="10"/>
  <c r="L346" i="10"/>
  <c r="O338" i="10"/>
  <c r="N338" i="10"/>
  <c r="M338" i="10"/>
  <c r="L338" i="10"/>
  <c r="N330" i="10"/>
  <c r="O330" i="10"/>
  <c r="M330" i="10"/>
  <c r="L330" i="10"/>
  <c r="O322" i="10"/>
  <c r="N322" i="10"/>
  <c r="M322" i="10"/>
  <c r="L322" i="10"/>
  <c r="O314" i="10"/>
  <c r="N314" i="10"/>
  <c r="M314" i="10"/>
  <c r="L314" i="10"/>
  <c r="O306" i="10"/>
  <c r="N306" i="10"/>
  <c r="M306" i="10"/>
  <c r="L306" i="10"/>
  <c r="N298" i="10"/>
  <c r="O298" i="10"/>
  <c r="M298" i="10"/>
  <c r="L298" i="10"/>
  <c r="O290" i="10"/>
  <c r="N290" i="10"/>
  <c r="M290" i="10"/>
  <c r="L290" i="10"/>
  <c r="O282" i="10"/>
  <c r="N282" i="10"/>
  <c r="M282" i="10"/>
  <c r="L282" i="10"/>
  <c r="O274" i="10"/>
  <c r="N274" i="10"/>
  <c r="M274" i="10"/>
  <c r="L274" i="10"/>
  <c r="N266" i="10"/>
  <c r="M266" i="10"/>
  <c r="O266" i="10"/>
  <c r="L266" i="10"/>
  <c r="O258" i="10"/>
  <c r="N258" i="10"/>
  <c r="M258" i="10"/>
  <c r="L258" i="10"/>
  <c r="O250" i="10"/>
  <c r="N250" i="10"/>
  <c r="M250" i="10"/>
  <c r="L250" i="10"/>
  <c r="O242" i="10"/>
  <c r="N242" i="10"/>
  <c r="M242" i="10"/>
  <c r="L242" i="10"/>
  <c r="N234" i="10"/>
  <c r="M234" i="10"/>
  <c r="O234" i="10"/>
  <c r="L234" i="10"/>
  <c r="O226" i="10"/>
  <c r="N226" i="10"/>
  <c r="M226" i="10"/>
  <c r="L226" i="10"/>
  <c r="O218" i="10"/>
  <c r="N218" i="10"/>
  <c r="M218" i="10"/>
  <c r="L218" i="10"/>
  <c r="O210" i="10"/>
  <c r="N210" i="10"/>
  <c r="M210" i="10"/>
  <c r="L210" i="10"/>
  <c r="N202" i="10"/>
  <c r="O202" i="10"/>
  <c r="M202" i="10"/>
  <c r="L202" i="10"/>
  <c r="O194" i="10"/>
  <c r="N194" i="10"/>
  <c r="M194" i="10"/>
  <c r="L194" i="10"/>
  <c r="O186" i="10"/>
  <c r="N186" i="10"/>
  <c r="M186" i="10"/>
  <c r="L186" i="10"/>
  <c r="O178" i="10"/>
  <c r="N178" i="10"/>
  <c r="M178" i="10"/>
  <c r="L178" i="10"/>
  <c r="N170" i="10"/>
  <c r="O170" i="10"/>
  <c r="M170" i="10"/>
  <c r="L170" i="10"/>
  <c r="O162" i="10"/>
  <c r="N162" i="10"/>
  <c r="M162" i="10"/>
  <c r="L162" i="10"/>
  <c r="O154" i="10"/>
  <c r="N154" i="10"/>
  <c r="M154" i="10"/>
  <c r="L154" i="10"/>
  <c r="O146" i="10"/>
  <c r="N146" i="10"/>
  <c r="M146" i="10"/>
  <c r="L146" i="10"/>
  <c r="N138" i="10"/>
  <c r="O138" i="10"/>
  <c r="M138" i="10"/>
  <c r="L138" i="10"/>
  <c r="O130" i="10"/>
  <c r="N130" i="10"/>
  <c r="M130" i="10"/>
  <c r="L130" i="10"/>
  <c r="O122" i="10"/>
  <c r="N122" i="10"/>
  <c r="M122" i="10"/>
  <c r="L122" i="10"/>
  <c r="O114" i="10"/>
  <c r="N114" i="10"/>
  <c r="M114" i="10"/>
  <c r="L114" i="10"/>
  <c r="N106" i="10"/>
  <c r="O106" i="10"/>
  <c r="M106" i="10"/>
  <c r="L106" i="10"/>
  <c r="O98" i="10"/>
  <c r="N98" i="10"/>
  <c r="M98" i="10"/>
  <c r="L98" i="10"/>
  <c r="O90" i="10"/>
  <c r="N90" i="10"/>
  <c r="M90" i="10"/>
  <c r="L90" i="10"/>
  <c r="O82" i="10"/>
  <c r="N82" i="10"/>
  <c r="M82" i="10"/>
  <c r="L82" i="10"/>
  <c r="N74" i="10"/>
  <c r="O74" i="10"/>
  <c r="M74" i="10"/>
  <c r="L74" i="10"/>
  <c r="O66" i="10"/>
  <c r="N66" i="10"/>
  <c r="M66" i="10"/>
  <c r="L66" i="10"/>
  <c r="O58" i="10"/>
  <c r="N58" i="10"/>
  <c r="M58" i="10"/>
  <c r="L58" i="10"/>
  <c r="O50" i="10"/>
  <c r="N50" i="10"/>
  <c r="M50" i="10"/>
  <c r="L50" i="10"/>
  <c r="N42" i="10"/>
  <c r="O42" i="10"/>
  <c r="M42" i="10"/>
  <c r="L42" i="10"/>
  <c r="O34" i="10"/>
  <c r="N34" i="10"/>
  <c r="M34" i="10"/>
  <c r="L34" i="10"/>
  <c r="O26" i="10"/>
  <c r="N26" i="10"/>
  <c r="M26" i="10"/>
  <c r="L26" i="10"/>
  <c r="O18" i="10"/>
  <c r="N18" i="10"/>
  <c r="M18" i="10"/>
  <c r="L18" i="10"/>
  <c r="N10" i="10"/>
  <c r="M10" i="10"/>
  <c r="O10" i="10"/>
  <c r="L10" i="10"/>
  <c r="O897" i="10"/>
  <c r="N897" i="10"/>
  <c r="O857" i="10"/>
  <c r="N857" i="10"/>
  <c r="M857" i="10"/>
  <c r="O809" i="10"/>
  <c r="N809" i="10"/>
  <c r="M809" i="10"/>
  <c r="O737" i="10"/>
  <c r="N737" i="10"/>
  <c r="M737" i="10"/>
  <c r="O673" i="10"/>
  <c r="N673" i="10"/>
  <c r="M673" i="10"/>
  <c r="O609" i="10"/>
  <c r="N609" i="10"/>
  <c r="M609" i="10"/>
  <c r="O225" i="10"/>
  <c r="N225" i="10"/>
  <c r="M225" i="10"/>
  <c r="M937" i="10"/>
  <c r="M873" i="10"/>
  <c r="N937" i="10"/>
  <c r="O961" i="10"/>
  <c r="N961" i="10"/>
  <c r="O929" i="10"/>
  <c r="N929" i="10"/>
  <c r="O889" i="10"/>
  <c r="N889" i="10"/>
  <c r="O817" i="10"/>
  <c r="N817" i="10"/>
  <c r="M817" i="10"/>
  <c r="O761" i="10"/>
  <c r="N761" i="10"/>
  <c r="M761" i="10"/>
  <c r="O681" i="10"/>
  <c r="N681" i="10"/>
  <c r="M681" i="10"/>
  <c r="O649" i="10"/>
  <c r="N649" i="10"/>
  <c r="M649" i="10"/>
  <c r="O633" i="10"/>
  <c r="N633" i="10"/>
  <c r="M633" i="10"/>
  <c r="O585" i="10"/>
  <c r="N585" i="10"/>
  <c r="M585" i="10"/>
  <c r="O553" i="10"/>
  <c r="N553" i="10"/>
  <c r="M553" i="10"/>
  <c r="O513" i="10"/>
  <c r="N513" i="10"/>
  <c r="M513" i="10"/>
  <c r="O481" i="10"/>
  <c r="N481" i="10"/>
  <c r="M481" i="10"/>
  <c r="O449" i="10"/>
  <c r="N449" i="10"/>
  <c r="M449" i="10"/>
  <c r="O401" i="10"/>
  <c r="N401" i="10"/>
  <c r="M401" i="10"/>
  <c r="O369" i="10"/>
  <c r="N369" i="10"/>
  <c r="M369" i="10"/>
  <c r="O337" i="10"/>
  <c r="N337" i="10"/>
  <c r="M337" i="10"/>
  <c r="O297" i="10"/>
  <c r="N297" i="10"/>
  <c r="M297" i="10"/>
  <c r="O265" i="10"/>
  <c r="N265" i="10"/>
  <c r="M265" i="10"/>
  <c r="O209" i="10"/>
  <c r="N209" i="10"/>
  <c r="M209" i="10"/>
  <c r="O177" i="10"/>
  <c r="N177" i="10"/>
  <c r="M177" i="10"/>
  <c r="O137" i="10"/>
  <c r="N137" i="10"/>
  <c r="M137" i="10"/>
  <c r="O113" i="10"/>
  <c r="N113" i="10"/>
  <c r="M113" i="10"/>
  <c r="O73" i="10"/>
  <c r="N73" i="10"/>
  <c r="M73" i="10"/>
  <c r="O17" i="10"/>
  <c r="N17" i="10"/>
  <c r="M17" i="10"/>
  <c r="L985" i="10"/>
  <c r="L961" i="10"/>
  <c r="L945" i="10"/>
  <c r="L937" i="10"/>
  <c r="L929" i="10"/>
  <c r="L921" i="10"/>
  <c r="L897" i="10"/>
  <c r="L889" i="10"/>
  <c r="L857" i="10"/>
  <c r="L817" i="10"/>
  <c r="L809" i="10"/>
  <c r="L761" i="10"/>
  <c r="L737" i="10"/>
  <c r="L681" i="10"/>
  <c r="L673" i="10"/>
  <c r="L649" i="10"/>
  <c r="L633" i="10"/>
  <c r="L609" i="10"/>
  <c r="L585" i="10"/>
  <c r="L553" i="10"/>
  <c r="L265" i="10"/>
  <c r="L73" i="10"/>
  <c r="M961" i="10"/>
  <c r="M897" i="10"/>
  <c r="O969" i="10"/>
  <c r="N969" i="10"/>
  <c r="O905" i="10"/>
  <c r="N905" i="10"/>
  <c r="O865" i="10"/>
  <c r="N865" i="10"/>
  <c r="O825" i="10"/>
  <c r="N825" i="10"/>
  <c r="M825" i="10"/>
  <c r="O753" i="10"/>
  <c r="N753" i="10"/>
  <c r="M753" i="10"/>
  <c r="O689" i="10"/>
  <c r="N689" i="10"/>
  <c r="M689" i="10"/>
  <c r="O641" i="10"/>
  <c r="N641" i="10"/>
  <c r="M641" i="10"/>
  <c r="O593" i="10"/>
  <c r="N593" i="10"/>
  <c r="M593" i="10"/>
  <c r="O561" i="10"/>
  <c r="N561" i="10"/>
  <c r="M561" i="10"/>
  <c r="O521" i="10"/>
  <c r="N521" i="10"/>
  <c r="M521" i="10"/>
  <c r="O489" i="10"/>
  <c r="N489" i="10"/>
  <c r="M489" i="10"/>
  <c r="O441" i="10"/>
  <c r="N441" i="10"/>
  <c r="M441" i="10"/>
  <c r="O409" i="10"/>
  <c r="N409" i="10"/>
  <c r="M409" i="10"/>
  <c r="O361" i="10"/>
  <c r="N361" i="10"/>
  <c r="M361" i="10"/>
  <c r="O329" i="10"/>
  <c r="N329" i="10"/>
  <c r="M329" i="10"/>
  <c r="O289" i="10"/>
  <c r="N289" i="10"/>
  <c r="M289" i="10"/>
  <c r="O249" i="10"/>
  <c r="N249" i="10"/>
  <c r="M249" i="10"/>
  <c r="O217" i="10"/>
  <c r="N217" i="10"/>
  <c r="M217" i="10"/>
  <c r="O185" i="10"/>
  <c r="N185" i="10"/>
  <c r="M185" i="10"/>
  <c r="O145" i="10"/>
  <c r="N145" i="10"/>
  <c r="M145" i="10"/>
  <c r="O105" i="10"/>
  <c r="N105" i="10"/>
  <c r="M105" i="10"/>
  <c r="O81" i="10"/>
  <c r="N81" i="10"/>
  <c r="M81" i="10"/>
  <c r="O49" i="10"/>
  <c r="N49" i="10"/>
  <c r="M49" i="10"/>
  <c r="O25" i="10"/>
  <c r="N25" i="10"/>
  <c r="M25" i="10"/>
  <c r="L249" i="10"/>
  <c r="L25" i="10"/>
  <c r="L401" i="10"/>
  <c r="L337" i="10"/>
  <c r="L209" i="10"/>
  <c r="L177" i="10"/>
  <c r="L145" i="10"/>
  <c r="O985" i="10"/>
  <c r="N985" i="10"/>
  <c r="O953" i="10"/>
  <c r="N953" i="10"/>
  <c r="O921" i="10"/>
  <c r="N921" i="10"/>
  <c r="O881" i="10"/>
  <c r="N881" i="10"/>
  <c r="O849" i="10"/>
  <c r="N849" i="10"/>
  <c r="M849" i="10"/>
  <c r="O793" i="10"/>
  <c r="N793" i="10"/>
  <c r="M793" i="10"/>
  <c r="O769" i="10"/>
  <c r="N769" i="10"/>
  <c r="M769" i="10"/>
  <c r="O729" i="10"/>
  <c r="N729" i="10"/>
  <c r="M729" i="10"/>
  <c r="O713" i="10"/>
  <c r="N713" i="10"/>
  <c r="M713" i="10"/>
  <c r="O665" i="10"/>
  <c r="N665" i="10"/>
  <c r="M665" i="10"/>
  <c r="O617" i="10"/>
  <c r="N617" i="10"/>
  <c r="M617" i="10"/>
  <c r="O569" i="10"/>
  <c r="N569" i="10"/>
  <c r="M569" i="10"/>
  <c r="O537" i="10"/>
  <c r="N537" i="10"/>
  <c r="M537" i="10"/>
  <c r="O505" i="10"/>
  <c r="N505" i="10"/>
  <c r="M505" i="10"/>
  <c r="O465" i="10"/>
  <c r="N465" i="10"/>
  <c r="M465" i="10"/>
  <c r="O417" i="10"/>
  <c r="N417" i="10"/>
  <c r="M417" i="10"/>
  <c r="O385" i="10"/>
  <c r="N385" i="10"/>
  <c r="M385" i="10"/>
  <c r="O345" i="10"/>
  <c r="N345" i="10"/>
  <c r="M345" i="10"/>
  <c r="O305" i="10"/>
  <c r="N305" i="10"/>
  <c r="M305" i="10"/>
  <c r="O281" i="10"/>
  <c r="N281" i="10"/>
  <c r="M281" i="10"/>
  <c r="O233" i="10"/>
  <c r="N233" i="10"/>
  <c r="M233" i="10"/>
  <c r="O193" i="10"/>
  <c r="N193" i="10"/>
  <c r="M193" i="10"/>
  <c r="O153" i="10"/>
  <c r="N153" i="10"/>
  <c r="M153" i="10"/>
  <c r="O121" i="10"/>
  <c r="N121" i="10"/>
  <c r="M121" i="10"/>
  <c r="O89" i="10"/>
  <c r="N89" i="10"/>
  <c r="M89" i="10"/>
  <c r="O57" i="10"/>
  <c r="N57" i="10"/>
  <c r="M57" i="10"/>
  <c r="O9" i="10"/>
  <c r="N9" i="10"/>
  <c r="M9" i="10"/>
  <c r="L409" i="10"/>
  <c r="L345" i="10"/>
  <c r="L281" i="10"/>
  <c r="L217" i="10"/>
  <c r="L121" i="10"/>
  <c r="L57" i="10"/>
  <c r="M881" i="10"/>
  <c r="O977" i="10"/>
  <c r="N977" i="10"/>
  <c r="O945" i="10"/>
  <c r="N945" i="10"/>
  <c r="O913" i="10"/>
  <c r="N913" i="10"/>
  <c r="O873" i="10"/>
  <c r="N873" i="10"/>
  <c r="O841" i="10"/>
  <c r="N841" i="10"/>
  <c r="M841" i="10"/>
  <c r="O801" i="10"/>
  <c r="N801" i="10"/>
  <c r="M801" i="10"/>
  <c r="O777" i="10"/>
  <c r="N777" i="10"/>
  <c r="M777" i="10"/>
  <c r="O721" i="10"/>
  <c r="N721" i="10"/>
  <c r="M721" i="10"/>
  <c r="O697" i="10"/>
  <c r="N697" i="10"/>
  <c r="M697" i="10"/>
  <c r="O625" i="10"/>
  <c r="N625" i="10"/>
  <c r="M625" i="10"/>
  <c r="O577" i="10"/>
  <c r="N577" i="10"/>
  <c r="M577" i="10"/>
  <c r="O529" i="10"/>
  <c r="N529" i="10"/>
  <c r="M529" i="10"/>
  <c r="O497" i="10"/>
  <c r="N497" i="10"/>
  <c r="M497" i="10"/>
  <c r="O457" i="10"/>
  <c r="N457" i="10"/>
  <c r="M457" i="10"/>
  <c r="O425" i="10"/>
  <c r="N425" i="10"/>
  <c r="M425" i="10"/>
  <c r="O393" i="10"/>
  <c r="N393" i="10"/>
  <c r="M393" i="10"/>
  <c r="O353" i="10"/>
  <c r="N353" i="10"/>
  <c r="M353" i="10"/>
  <c r="O313" i="10"/>
  <c r="N313" i="10"/>
  <c r="M313" i="10"/>
  <c r="O273" i="10"/>
  <c r="N273" i="10"/>
  <c r="M273" i="10"/>
  <c r="O241" i="10"/>
  <c r="N241" i="10"/>
  <c r="M241" i="10"/>
  <c r="O201" i="10"/>
  <c r="N201" i="10"/>
  <c r="M201" i="10"/>
  <c r="O161" i="10"/>
  <c r="N161" i="10"/>
  <c r="M161" i="10"/>
  <c r="O129" i="10"/>
  <c r="N129" i="10"/>
  <c r="M129" i="10"/>
  <c r="O97" i="10"/>
  <c r="N97" i="10"/>
  <c r="M97" i="10"/>
  <c r="O65" i="10"/>
  <c r="N65" i="10"/>
  <c r="M65" i="10"/>
  <c r="O33" i="10"/>
  <c r="N33" i="10"/>
  <c r="M33" i="10"/>
  <c r="L441" i="10"/>
  <c r="L313" i="10"/>
  <c r="M977" i="10"/>
  <c r="M913" i="10"/>
  <c r="L481" i="10"/>
  <c r="L417" i="10"/>
  <c r="L353" i="10"/>
  <c r="L289" i="10"/>
  <c r="L225" i="10"/>
  <c r="L185" i="10"/>
  <c r="L153" i="10"/>
  <c r="L81" i="10"/>
  <c r="L17" i="10"/>
  <c r="M969" i="10"/>
  <c r="M905" i="10"/>
  <c r="O833" i="10"/>
  <c r="N833" i="10"/>
  <c r="M833" i="10"/>
  <c r="O785" i="10"/>
  <c r="N785" i="10"/>
  <c r="M785" i="10"/>
  <c r="O745" i="10"/>
  <c r="N745" i="10"/>
  <c r="M745" i="10"/>
  <c r="O705" i="10"/>
  <c r="N705" i="10"/>
  <c r="M705" i="10"/>
  <c r="O657" i="10"/>
  <c r="N657" i="10"/>
  <c r="M657" i="10"/>
  <c r="O601" i="10"/>
  <c r="N601" i="10"/>
  <c r="M601" i="10"/>
  <c r="O545" i="10"/>
  <c r="N545" i="10"/>
  <c r="M545" i="10"/>
  <c r="O473" i="10"/>
  <c r="N473" i="10"/>
  <c r="M473" i="10"/>
  <c r="O433" i="10"/>
  <c r="N433" i="10"/>
  <c r="M433" i="10"/>
  <c r="O377" i="10"/>
  <c r="N377" i="10"/>
  <c r="M377" i="10"/>
  <c r="O321" i="10"/>
  <c r="N321" i="10"/>
  <c r="M321" i="10"/>
  <c r="O257" i="10"/>
  <c r="N257" i="10"/>
  <c r="M257" i="10"/>
  <c r="O169" i="10"/>
  <c r="N169" i="10"/>
  <c r="M169" i="10"/>
  <c r="O41" i="10"/>
  <c r="N41" i="10"/>
  <c r="M41" i="10"/>
  <c r="L489" i="10"/>
  <c r="L425" i="10"/>
  <c r="L361" i="10"/>
  <c r="L297" i="10"/>
  <c r="L233" i="10"/>
  <c r="L105" i="10"/>
  <c r="L41" i="10"/>
  <c r="M929" i="10"/>
  <c r="M865" i="10"/>
  <c r="L497" i="10"/>
  <c r="L433" i="10"/>
  <c r="L369" i="10"/>
  <c r="L305" i="10"/>
  <c r="L241" i="10"/>
  <c r="L193" i="10"/>
  <c r="L161" i="10"/>
  <c r="L129" i="10"/>
  <c r="L65" i="10"/>
  <c r="M953" i="10"/>
  <c r="M889" i="10"/>
  <c r="L8" i="10"/>
  <c r="N8" i="10"/>
  <c r="O8" i="10"/>
  <c r="M8" i="10"/>
  <c r="O7" i="10"/>
  <c r="M7" i="10"/>
  <c r="N7" i="10"/>
  <c r="L7"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2" i="10"/>
  <c r="J3" i="10"/>
  <c r="J4" i="10"/>
  <c r="J5" i="10"/>
  <c r="N5" i="10" s="1"/>
  <c r="J6" i="10"/>
  <c r="I2" i="10"/>
  <c r="J2" i="10" s="1"/>
  <c r="O2" i="10" s="1"/>
  <c r="O6" i="10" l="1"/>
  <c r="N6" i="10"/>
  <c r="M6" i="10"/>
  <c r="S6" i="10" s="1"/>
  <c r="O5" i="10"/>
  <c r="M5" i="10"/>
  <c r="S5" i="10" s="1"/>
  <c r="S849" i="10"/>
  <c r="S399" i="10"/>
  <c r="R158" i="10"/>
  <c r="R285" i="10"/>
  <c r="S285" i="10"/>
  <c r="R529" i="10"/>
  <c r="S529" i="10"/>
  <c r="R126" i="10"/>
  <c r="S415" i="10"/>
  <c r="R418" i="10"/>
  <c r="S522" i="10"/>
  <c r="S85" i="10"/>
  <c r="R85" i="10"/>
  <c r="S101" i="10"/>
  <c r="X101" i="10" s="1"/>
  <c r="R101" i="10"/>
  <c r="R77" i="10"/>
  <c r="S77" i="10"/>
  <c r="R32" i="10"/>
  <c r="S32" i="10"/>
  <c r="S330" i="10"/>
  <c r="R413" i="10"/>
  <c r="S413" i="10"/>
  <c r="R22" i="10"/>
  <c r="S22" i="10"/>
  <c r="S271" i="10"/>
  <c r="R309" i="10"/>
  <c r="S309" i="10"/>
  <c r="R389" i="10"/>
  <c r="S389" i="10"/>
  <c r="R501" i="10"/>
  <c r="S501" i="10"/>
  <c r="R57" i="10"/>
  <c r="S57" i="10"/>
  <c r="R312" i="10"/>
  <c r="S312" i="10"/>
  <c r="R471" i="10"/>
  <c r="S471" i="10"/>
  <c r="R534" i="10"/>
  <c r="S534" i="10"/>
  <c r="R654" i="10"/>
  <c r="S654" i="10"/>
  <c r="R855" i="10"/>
  <c r="S855" i="10"/>
  <c r="R978" i="10"/>
  <c r="S978" i="10"/>
  <c r="R49" i="10"/>
  <c r="S49" i="10"/>
  <c r="R129" i="10"/>
  <c r="S129" i="10"/>
  <c r="R240" i="10"/>
  <c r="S240" i="10"/>
  <c r="S341" i="10"/>
  <c r="R341" i="10"/>
  <c r="R639" i="10"/>
  <c r="S678" i="10"/>
  <c r="R678" i="10"/>
  <c r="R725" i="10"/>
  <c r="S725" i="10"/>
  <c r="R104" i="10"/>
  <c r="R133" i="10"/>
  <c r="S133" i="10"/>
  <c r="R199" i="10"/>
  <c r="R218" i="10"/>
  <c r="S218" i="10"/>
  <c r="R292" i="10"/>
  <c r="R354" i="10"/>
  <c r="S354" i="10"/>
  <c r="S370" i="10"/>
  <c r="R378" i="10"/>
  <c r="S378" i="10"/>
  <c r="R437" i="10"/>
  <c r="R472" i="10"/>
  <c r="R565" i="10"/>
  <c r="S565" i="10"/>
  <c r="R579" i="10"/>
  <c r="S579" i="10"/>
  <c r="S631" i="10"/>
  <c r="R635" i="10"/>
  <c r="S635" i="10"/>
  <c r="R643" i="10"/>
  <c r="S643" i="10"/>
  <c r="S689" i="10"/>
  <c r="S705" i="10"/>
  <c r="R780" i="10"/>
  <c r="S780" i="10"/>
  <c r="S979" i="10"/>
  <c r="R73" i="10"/>
  <c r="S73" i="10"/>
  <c r="S176" i="10"/>
  <c r="R210" i="10"/>
  <c r="S210" i="10"/>
  <c r="R255" i="10"/>
  <c r="S255" i="10"/>
  <c r="S295" i="10"/>
  <c r="S336" i="10"/>
  <c r="R503" i="10"/>
  <c r="R634" i="10"/>
  <c r="R42" i="10"/>
  <c r="S42" i="10"/>
  <c r="R81" i="10"/>
  <c r="S81" i="10"/>
  <c r="R137" i="10"/>
  <c r="S137" i="10"/>
  <c r="S275" i="10"/>
  <c r="S361" i="10"/>
  <c r="R429" i="10"/>
  <c r="S429" i="10"/>
  <c r="S535" i="10"/>
  <c r="R593" i="10"/>
  <c r="S593" i="10"/>
  <c r="R651" i="10"/>
  <c r="S651" i="10"/>
  <c r="R38" i="10"/>
  <c r="S38" i="10"/>
  <c r="R118" i="10"/>
  <c r="S118" i="10"/>
  <c r="R144" i="10"/>
  <c r="S144" i="10"/>
  <c r="S229" i="10"/>
  <c r="R229" i="10"/>
  <c r="R263" i="10"/>
  <c r="S322" i="10"/>
  <c r="R333" i="10"/>
  <c r="S333" i="10"/>
  <c r="S346" i="10"/>
  <c r="S386" i="10"/>
  <c r="S410" i="10"/>
  <c r="R421" i="10"/>
  <c r="R445" i="10"/>
  <c r="S445" i="10"/>
  <c r="R453" i="10"/>
  <c r="S453" i="10"/>
  <c r="R476" i="10"/>
  <c r="R569" i="10"/>
  <c r="S569" i="10"/>
  <c r="R43" i="10"/>
  <c r="S43" i="10"/>
  <c r="S46" i="10"/>
  <c r="R63" i="10"/>
  <c r="S63" i="10"/>
  <c r="R105" i="10"/>
  <c r="S105" i="10"/>
  <c r="R141" i="10"/>
  <c r="S141" i="10"/>
  <c r="R145" i="10"/>
  <c r="S145" i="10"/>
  <c r="R167" i="10"/>
  <c r="S167" i="10"/>
  <c r="R214" i="10"/>
  <c r="R222" i="10"/>
  <c r="S222" i="10"/>
  <c r="R245" i="10"/>
  <c r="S245" i="10"/>
  <c r="S288" i="10"/>
  <c r="S314" i="10"/>
  <c r="R326" i="10"/>
  <c r="S326" i="10"/>
  <c r="S338" i="10"/>
  <c r="S350" i="10"/>
  <c r="S362" i="10"/>
  <c r="S374" i="10"/>
  <c r="S406" i="10"/>
  <c r="R458" i="10"/>
  <c r="S458" i="10"/>
  <c r="S469" i="10"/>
  <c r="R469" i="10"/>
  <c r="S473" i="10"/>
  <c r="S505" i="10"/>
  <c r="R509" i="10"/>
  <c r="S509" i="10"/>
  <c r="S543" i="10"/>
  <c r="R603" i="10"/>
  <c r="S603" i="10"/>
  <c r="R623" i="10"/>
  <c r="S627" i="10"/>
  <c r="R670" i="10"/>
  <c r="S670" i="10"/>
  <c r="R717" i="10"/>
  <c r="S717" i="10"/>
  <c r="R742" i="10"/>
  <c r="S742" i="10"/>
  <c r="S29" i="10"/>
  <c r="R29" i="10"/>
  <c r="S149" i="10"/>
  <c r="R149" i="10"/>
  <c r="R237" i="10"/>
  <c r="S237" i="10"/>
  <c r="S289" i="10"/>
  <c r="R301" i="10"/>
  <c r="S301" i="10"/>
  <c r="R371" i="10"/>
  <c r="R462" i="10"/>
  <c r="S462" i="10"/>
  <c r="S514" i="10"/>
  <c r="R611" i="10"/>
  <c r="S611" i="10"/>
  <c r="R619" i="10"/>
  <c r="S619" i="10"/>
  <c r="R657" i="10"/>
  <c r="R671" i="10"/>
  <c r="S671" i="10"/>
  <c r="R698" i="10"/>
  <c r="R731" i="10"/>
  <c r="S731" i="10"/>
  <c r="S774" i="10"/>
  <c r="R949" i="10"/>
  <c r="W949" i="10" s="1"/>
  <c r="S949" i="10"/>
  <c r="R967" i="10"/>
  <c r="S967" i="10"/>
  <c r="S299" i="10"/>
  <c r="S13" i="10"/>
  <c r="R13" i="10"/>
  <c r="R177" i="10"/>
  <c r="W177" i="10" s="1"/>
  <c r="S177" i="10"/>
  <c r="R337" i="10"/>
  <c r="S337" i="10"/>
  <c r="R647" i="10"/>
  <c r="S647" i="10"/>
  <c r="S70" i="10"/>
  <c r="R70" i="10"/>
  <c r="R130" i="10"/>
  <c r="R178" i="10"/>
  <c r="R208" i="10"/>
  <c r="S208" i="10"/>
  <c r="R253" i="10"/>
  <c r="S253" i="10"/>
  <c r="S293" i="10"/>
  <c r="R293" i="10"/>
  <c r="R323" i="10"/>
  <c r="R347" i="10"/>
  <c r="R407" i="10"/>
  <c r="R450" i="10"/>
  <c r="R466" i="10"/>
  <c r="S466" i="10"/>
  <c r="R477" i="10"/>
  <c r="S477" i="10"/>
  <c r="R525" i="10"/>
  <c r="S525" i="10"/>
  <c r="R599" i="10"/>
  <c r="S599" i="10"/>
  <c r="R19" i="10"/>
  <c r="S19" i="10"/>
  <c r="R86" i="10"/>
  <c r="S86" i="10"/>
  <c r="R112" i="10"/>
  <c r="S112" i="10"/>
  <c r="R209" i="10"/>
  <c r="S209" i="10"/>
  <c r="R230" i="10"/>
  <c r="S265" i="10"/>
  <c r="R269" i="10"/>
  <c r="S269" i="10"/>
  <c r="S277" i="10"/>
  <c r="R277" i="10"/>
  <c r="R319" i="10"/>
  <c r="S319" i="10"/>
  <c r="R327" i="10"/>
  <c r="R343" i="10"/>
  <c r="S343" i="10"/>
  <c r="R367" i="10"/>
  <c r="S383" i="10"/>
  <c r="R403" i="10"/>
  <c r="R423" i="10"/>
  <c r="S423" i="10"/>
  <c r="R431" i="10"/>
  <c r="R459" i="10"/>
  <c r="S459" i="10"/>
  <c r="R482" i="10"/>
  <c r="S482" i="10"/>
  <c r="R490" i="10"/>
  <c r="S490" i="10"/>
  <c r="R506" i="10"/>
  <c r="S506" i="10"/>
  <c r="R518" i="10"/>
  <c r="S518" i="10"/>
  <c r="S544" i="10"/>
  <c r="R563" i="10"/>
  <c r="S563" i="10"/>
  <c r="X563" i="10" s="1"/>
  <c r="R573" i="10"/>
  <c r="S573" i="10"/>
  <c r="R595" i="10"/>
  <c r="S595" i="10"/>
  <c r="S620" i="10"/>
  <c r="S649" i="10"/>
  <c r="S694" i="10"/>
  <c r="R694" i="10"/>
  <c r="S710" i="10"/>
  <c r="R710" i="10"/>
  <c r="R727" i="10"/>
  <c r="R61" i="10"/>
  <c r="S61" i="10"/>
  <c r="S202" i="10"/>
  <c r="R217" i="10"/>
  <c r="S217" i="10"/>
  <c r="R247" i="10"/>
  <c r="S247" i="10"/>
  <c r="S546" i="10"/>
  <c r="R575" i="10"/>
  <c r="S575" i="10"/>
  <c r="R605" i="10"/>
  <c r="S605" i="10"/>
  <c r="R894" i="10"/>
  <c r="S894" i="10"/>
  <c r="R110" i="10"/>
  <c r="R198" i="10"/>
  <c r="R397" i="10"/>
  <c r="S397" i="10"/>
  <c r="R449" i="10"/>
  <c r="S449" i="10"/>
  <c r="R558" i="10"/>
  <c r="S558" i="10"/>
  <c r="R655" i="10"/>
  <c r="S655" i="10"/>
  <c r="S846" i="10"/>
  <c r="R913" i="10"/>
  <c r="S913" i="10"/>
  <c r="R93" i="10"/>
  <c r="S93" i="10"/>
  <c r="R138" i="10"/>
  <c r="S156" i="10"/>
  <c r="R196" i="10"/>
  <c r="R249" i="10"/>
  <c r="S306" i="10"/>
  <c r="R446" i="10"/>
  <c r="S446" i="10"/>
  <c r="S548" i="10"/>
  <c r="R587" i="10"/>
  <c r="S587" i="10"/>
  <c r="R607" i="10"/>
  <c r="R64" i="10"/>
  <c r="R78" i="10"/>
  <c r="S78" i="10"/>
  <c r="R90" i="10"/>
  <c r="S90" i="10"/>
  <c r="S23" i="10"/>
  <c r="R33" i="10"/>
  <c r="S33" i="10"/>
  <c r="R65" i="10"/>
  <c r="S65" i="10"/>
  <c r="S79" i="10"/>
  <c r="S83" i="10"/>
  <c r="R98" i="10"/>
  <c r="S98" i="10"/>
  <c r="R113" i="10"/>
  <c r="S113" i="10"/>
  <c r="S135" i="10"/>
  <c r="R161" i="10"/>
  <c r="S161" i="10"/>
  <c r="R169" i="10"/>
  <c r="S169" i="10"/>
  <c r="R186" i="10"/>
  <c r="R197" i="10"/>
  <c r="S197" i="10"/>
  <c r="S231" i="10"/>
  <c r="S250" i="10"/>
  <c r="R261" i="10"/>
  <c r="S261" i="10"/>
  <c r="S290" i="10"/>
  <c r="R302" i="10"/>
  <c r="S302" i="10"/>
  <c r="S311" i="10"/>
  <c r="S439" i="10"/>
  <c r="S455" i="10"/>
  <c r="R486" i="10"/>
  <c r="S486" i="10"/>
  <c r="S498" i="10"/>
  <c r="R498" i="10"/>
  <c r="S515" i="10"/>
  <c r="S545" i="10"/>
  <c r="S549" i="10"/>
  <c r="R549" i="10"/>
  <c r="R581" i="10"/>
  <c r="S581" i="10"/>
  <c r="S596" i="10"/>
  <c r="R637" i="10"/>
  <c r="S637" i="10"/>
  <c r="R663" i="10"/>
  <c r="S663" i="10"/>
  <c r="R686" i="10"/>
  <c r="S686" i="10"/>
  <c r="R702" i="10"/>
  <c r="S702" i="10"/>
  <c r="R736" i="10"/>
  <c r="R858" i="10"/>
  <c r="S858" i="10"/>
  <c r="S929" i="10"/>
  <c r="R16" i="10"/>
  <c r="S16" i="10"/>
  <c r="R48" i="10"/>
  <c r="S48" i="10"/>
  <c r="R95" i="10"/>
  <c r="R173" i="10"/>
  <c r="S173" i="10"/>
  <c r="S228" i="10"/>
  <c r="R479" i="10"/>
  <c r="R561" i="10"/>
  <c r="S561" i="10"/>
  <c r="R850" i="10"/>
  <c r="W850" i="10" s="1"/>
  <c r="S850" i="10"/>
  <c r="R973" i="10"/>
  <c r="S973" i="10"/>
  <c r="R17" i="10"/>
  <c r="S17" i="10"/>
  <c r="R206" i="10"/>
  <c r="R244" i="10"/>
  <c r="S244" i="10"/>
  <c r="R317" i="10"/>
  <c r="S317" i="10"/>
  <c r="R365" i="10"/>
  <c r="S365" i="10"/>
  <c r="R405" i="10"/>
  <c r="S508" i="10"/>
  <c r="S665" i="10"/>
  <c r="S36" i="10"/>
  <c r="S82" i="10"/>
  <c r="R153" i="10"/>
  <c r="S153" i="10"/>
  <c r="R185" i="10"/>
  <c r="S185" i="10"/>
  <c r="S219" i="10"/>
  <c r="S264" i="10"/>
  <c r="S12" i="10"/>
  <c r="S20" i="10"/>
  <c r="R41" i="10"/>
  <c r="S41" i="10"/>
  <c r="S52" i="10"/>
  <c r="R72" i="10"/>
  <c r="S72" i="10"/>
  <c r="S87" i="10"/>
  <c r="R94" i="10"/>
  <c r="S94" i="10"/>
  <c r="S102" i="10"/>
  <c r="R117" i="10"/>
  <c r="S117" i="10"/>
  <c r="R121" i="10"/>
  <c r="S121" i="10"/>
  <c r="S124" i="10"/>
  <c r="R150" i="10"/>
  <c r="S150" i="10"/>
  <c r="S165" i="10"/>
  <c r="R165" i="10"/>
  <c r="R182" i="10"/>
  <c r="R190" i="10"/>
  <c r="R205" i="10"/>
  <c r="S205" i="10"/>
  <c r="R239" i="10"/>
  <c r="W239" i="10" s="1"/>
  <c r="S239" i="10"/>
  <c r="S258" i="10"/>
  <c r="S266" i="10"/>
  <c r="R278" i="10"/>
  <c r="S278" i="10"/>
  <c r="S282" i="10"/>
  <c r="S303" i="10"/>
  <c r="S316" i="10"/>
  <c r="S340" i="10"/>
  <c r="S392" i="10"/>
  <c r="R396" i="10"/>
  <c r="S396" i="10"/>
  <c r="R483" i="10"/>
  <c r="S483" i="10"/>
  <c r="R487" i="10"/>
  <c r="S487" i="10"/>
  <c r="R511" i="10"/>
  <c r="R519" i="10"/>
  <c r="S519" i="10"/>
  <c r="R530" i="10"/>
  <c r="S530" i="10"/>
  <c r="R538" i="10"/>
  <c r="S538" i="10"/>
  <c r="R601" i="10"/>
  <c r="R613" i="10"/>
  <c r="W613" i="10" s="1"/>
  <c r="S613" i="10"/>
  <c r="R621" i="10"/>
  <c r="S621" i="10"/>
  <c r="S673" i="10"/>
  <c r="R719" i="10"/>
  <c r="R724" i="10"/>
  <c r="S724" i="10"/>
  <c r="R733" i="10"/>
  <c r="S733" i="10"/>
  <c r="R737" i="10"/>
  <c r="S737" i="10"/>
  <c r="R761" i="10"/>
  <c r="S761" i="10"/>
  <c r="S790" i="10"/>
  <c r="R802" i="10"/>
  <c r="S802" i="10"/>
  <c r="S916" i="10"/>
  <c r="R159" i="10"/>
  <c r="S159" i="10"/>
  <c r="R188" i="10"/>
  <c r="R324" i="10"/>
  <c r="S324" i="10"/>
  <c r="S368" i="10"/>
  <c r="R382" i="10"/>
  <c r="S382" i="10"/>
  <c r="R411" i="10"/>
  <c r="S411" i="10"/>
  <c r="R422" i="10"/>
  <c r="S422" i="10"/>
  <c r="R440" i="10"/>
  <c r="R460" i="10"/>
  <c r="R491" i="10"/>
  <c r="S491" i="10"/>
  <c r="R532" i="10"/>
  <c r="S532" i="10"/>
  <c r="R539" i="10"/>
  <c r="R556" i="10"/>
  <c r="S556" i="10"/>
  <c r="R576" i="10"/>
  <c r="S576" i="10"/>
  <c r="R584" i="10"/>
  <c r="S584" i="10"/>
  <c r="R608" i="10"/>
  <c r="S608" i="10"/>
  <c r="R628" i="10"/>
  <c r="S628" i="10"/>
  <c r="R646" i="10"/>
  <c r="S646" i="10"/>
  <c r="R658" i="10"/>
  <c r="S658" i="10"/>
  <c r="R664" i="10"/>
  <c r="S680" i="10"/>
  <c r="R688" i="10"/>
  <c r="R708" i="10"/>
  <c r="S708" i="10"/>
  <c r="R777" i="10"/>
  <c r="S830" i="10"/>
  <c r="R843" i="10"/>
  <c r="S843" i="10"/>
  <c r="R897" i="10"/>
  <c r="S897" i="10"/>
  <c r="R921" i="10"/>
  <c r="S921" i="10"/>
  <c r="S27" i="10"/>
  <c r="R96" i="10"/>
  <c r="S96" i="10"/>
  <c r="R139" i="10"/>
  <c r="S139" i="10"/>
  <c r="R171" i="10"/>
  <c r="S171" i="10"/>
  <c r="R200" i="10"/>
  <c r="S200" i="10"/>
  <c r="R235" i="10"/>
  <c r="S235" i="10"/>
  <c r="S259" i="10"/>
  <c r="R262" i="10"/>
  <c r="S262" i="10"/>
  <c r="S276" i="10"/>
  <c r="R296" i="10"/>
  <c r="R300" i="10"/>
  <c r="S300" i="10"/>
  <c r="R321" i="10"/>
  <c r="S321" i="10"/>
  <c r="R331" i="10"/>
  <c r="S331" i="10"/>
  <c r="R334" i="10"/>
  <c r="S334" i="10"/>
  <c r="S345" i="10"/>
  <c r="S369" i="10"/>
  <c r="R400" i="10"/>
  <c r="R404" i="10"/>
  <c r="S404" i="10"/>
  <c r="R416" i="10"/>
  <c r="S416" i="10"/>
  <c r="R419" i="10"/>
  <c r="R435" i="10"/>
  <c r="S435" i="10"/>
  <c r="R441" i="10"/>
  <c r="S441" i="10"/>
  <c r="R444" i="10"/>
  <c r="S457" i="10"/>
  <c r="R467" i="10"/>
  <c r="S467" i="10"/>
  <c r="R470" i="10"/>
  <c r="S470" i="10"/>
  <c r="R481" i="10"/>
  <c r="R513" i="10"/>
  <c r="R523" i="10"/>
  <c r="R526" i="10"/>
  <c r="S526" i="10"/>
  <c r="R553" i="10"/>
  <c r="R590" i="10"/>
  <c r="S590" i="10"/>
  <c r="R618" i="10"/>
  <c r="S624" i="10"/>
  <c r="R650" i="10"/>
  <c r="S650" i="10"/>
  <c r="R681" i="10"/>
  <c r="R695" i="10"/>
  <c r="S695" i="10"/>
  <c r="R711" i="10"/>
  <c r="S711" i="10"/>
  <c r="R743" i="10"/>
  <c r="S743" i="10"/>
  <c r="R750" i="10"/>
  <c r="S750" i="10"/>
  <c r="R754" i="10"/>
  <c r="R758" i="10"/>
  <c r="S758" i="10"/>
  <c r="R762" i="10"/>
  <c r="S762" i="10"/>
  <c r="R784" i="10"/>
  <c r="S784" i="10"/>
  <c r="R816" i="10"/>
  <c r="S816" i="10"/>
  <c r="R820" i="10"/>
  <c r="S820" i="10"/>
  <c r="X820" i="10" s="1"/>
  <c r="S839" i="10"/>
  <c r="S851" i="10"/>
  <c r="R863" i="10"/>
  <c r="S863" i="10"/>
  <c r="S873" i="10"/>
  <c r="R881" i="10"/>
  <c r="S881" i="10"/>
  <c r="R885" i="10"/>
  <c r="S885" i="10"/>
  <c r="R889" i="10"/>
  <c r="S889" i="10"/>
  <c r="R893" i="10"/>
  <c r="S893" i="10"/>
  <c r="R901" i="10"/>
  <c r="S901" i="10"/>
  <c r="R917" i="10"/>
  <c r="S917" i="10"/>
  <c r="R938" i="10"/>
  <c r="S938" i="10"/>
  <c r="S942" i="10"/>
  <c r="R974" i="10"/>
  <c r="S974" i="10"/>
  <c r="S136" i="10"/>
  <c r="R211" i="10"/>
  <c r="S211" i="10"/>
  <c r="S241" i="10"/>
  <c r="R320" i="10"/>
  <c r="S320" i="10"/>
  <c r="S344" i="10"/>
  <c r="S355" i="10"/>
  <c r="S379" i="10"/>
  <c r="R393" i="10"/>
  <c r="S393" i="10"/>
  <c r="R456" i="10"/>
  <c r="S456" i="10"/>
  <c r="R480" i="10"/>
  <c r="S480" i="10"/>
  <c r="R494" i="10"/>
  <c r="S494" i="10"/>
  <c r="R512" i="10"/>
  <c r="S512" i="10"/>
  <c r="R542" i="10"/>
  <c r="S542" i="10"/>
  <c r="R552" i="10"/>
  <c r="R652" i="10"/>
  <c r="S652" i="10"/>
  <c r="R661" i="10"/>
  <c r="S661" i="10"/>
  <c r="R685" i="10"/>
  <c r="S685" i="10"/>
  <c r="R692" i="10"/>
  <c r="S692" i="10"/>
  <c r="R819" i="10"/>
  <c r="S819" i="10"/>
  <c r="R847" i="10"/>
  <c r="S847" i="10"/>
  <c r="R905" i="10"/>
  <c r="S905" i="10"/>
  <c r="R925" i="10"/>
  <c r="S925" i="10"/>
  <c r="R962" i="10"/>
  <c r="S962" i="10"/>
  <c r="S30" i="10"/>
  <c r="R30" i="10"/>
  <c r="S37" i="10"/>
  <c r="R37" i="10"/>
  <c r="R40" i="10"/>
  <c r="S40" i="10"/>
  <c r="S44" i="10"/>
  <c r="R50" i="10"/>
  <c r="S50" i="10"/>
  <c r="S54" i="10"/>
  <c r="R62" i="10"/>
  <c r="S62" i="10"/>
  <c r="R68" i="10"/>
  <c r="R76" i="10"/>
  <c r="S76" i="10"/>
  <c r="S108" i="10"/>
  <c r="R125" i="10"/>
  <c r="W125" i="10" s="1"/>
  <c r="S125" i="10"/>
  <c r="R128" i="10"/>
  <c r="R151" i="10"/>
  <c r="S151" i="10"/>
  <c r="R157" i="10"/>
  <c r="S157" i="10"/>
  <c r="X157" i="10" s="1"/>
  <c r="R160" i="10"/>
  <c r="S160" i="10"/>
  <c r="R203" i="10"/>
  <c r="S203" i="10"/>
  <c r="R238" i="10"/>
  <c r="S238" i="10"/>
  <c r="R279" i="10"/>
  <c r="R283" i="10"/>
  <c r="R286" i="10"/>
  <c r="S286" i="10"/>
  <c r="R297" i="10"/>
  <c r="R310" i="10"/>
  <c r="S310" i="10"/>
  <c r="R352" i="10"/>
  <c r="S352" i="10"/>
  <c r="R376" i="10"/>
  <c r="S387" i="10"/>
  <c r="R390" i="10"/>
  <c r="W390" i="10" s="1"/>
  <c r="S390" i="10"/>
  <c r="R401" i="10"/>
  <c r="S401" i="10"/>
  <c r="S408" i="10"/>
  <c r="R414" i="10"/>
  <c r="S414" i="10"/>
  <c r="R417" i="10"/>
  <c r="S417" i="10"/>
  <c r="R432" i="10"/>
  <c r="S432" i="10"/>
  <c r="S474" i="10"/>
  <c r="R488" i="10"/>
  <c r="R495" i="10"/>
  <c r="R502" i="10"/>
  <c r="R540" i="10"/>
  <c r="R568" i="10"/>
  <c r="S568" i="10"/>
  <c r="R571" i="10"/>
  <c r="S574" i="10"/>
  <c r="S577" i="10"/>
  <c r="R582" i="10"/>
  <c r="S582" i="10"/>
  <c r="S585" i="10"/>
  <c r="R588" i="10"/>
  <c r="S588" i="10"/>
  <c r="R597" i="10"/>
  <c r="S597" i="10"/>
  <c r="R600" i="10"/>
  <c r="S600" i="10"/>
  <c r="R638" i="10"/>
  <c r="S638" i="10"/>
  <c r="R644" i="10"/>
  <c r="S644" i="10"/>
  <c r="R659" i="10"/>
  <c r="S659" i="10"/>
  <c r="S668" i="10"/>
  <c r="R668" i="10"/>
  <c r="R675" i="10"/>
  <c r="S675" i="10"/>
  <c r="R715" i="10"/>
  <c r="S715" i="10"/>
  <c r="R721" i="10"/>
  <c r="S721" i="10"/>
  <c r="R800" i="10"/>
  <c r="S800" i="10"/>
  <c r="S812" i="10"/>
  <c r="S852" i="10"/>
  <c r="S922" i="10"/>
  <c r="S943" i="10"/>
  <c r="R950" i="10"/>
  <c r="S950" i="10"/>
  <c r="R963" i="10"/>
  <c r="S963" i="10"/>
  <c r="R88" i="10"/>
  <c r="R107" i="10"/>
  <c r="S107" i="10"/>
  <c r="R179" i="10"/>
  <c r="S21" i="10"/>
  <c r="R21" i="10"/>
  <c r="S34" i="10"/>
  <c r="S47" i="10"/>
  <c r="R91" i="10"/>
  <c r="R163" i="10"/>
  <c r="R192" i="10"/>
  <c r="S192" i="10"/>
  <c r="R221" i="10"/>
  <c r="S221" i="10"/>
  <c r="R251" i="10"/>
  <c r="S256" i="10"/>
  <c r="R332" i="10"/>
  <c r="R366" i="10"/>
  <c r="S366" i="10"/>
  <c r="R373" i="10"/>
  <c r="S373" i="10"/>
  <c r="R412" i="10"/>
  <c r="S412" i="10"/>
  <c r="R427" i="10"/>
  <c r="R520" i="10"/>
  <c r="S520" i="10"/>
  <c r="S527" i="10"/>
  <c r="S533" i="10"/>
  <c r="R533" i="10"/>
  <c r="S559" i="10"/>
  <c r="R566" i="10"/>
  <c r="S566" i="10"/>
  <c r="R591" i="10"/>
  <c r="S591" i="10"/>
  <c r="R629" i="10"/>
  <c r="S629" i="10"/>
  <c r="R653" i="10"/>
  <c r="S653" i="10"/>
  <c r="S706" i="10"/>
  <c r="S712" i="10"/>
  <c r="R732" i="10"/>
  <c r="S732" i="10"/>
  <c r="R734" i="10"/>
  <c r="W734" i="10" s="1"/>
  <c r="S734" i="10"/>
  <c r="R744" i="10"/>
  <c r="S744" i="10"/>
  <c r="R751" i="10"/>
  <c r="S751" i="10"/>
  <c r="R755" i="10"/>
  <c r="S755" i="10"/>
  <c r="R759" i="10"/>
  <c r="S759" i="10"/>
  <c r="S772" i="10"/>
  <c r="R772" i="10"/>
  <c r="R785" i="10"/>
  <c r="S785" i="10"/>
  <c r="R792" i="10"/>
  <c r="S792" i="10"/>
  <c r="R817" i="10"/>
  <c r="S817" i="10"/>
  <c r="R840" i="10"/>
  <c r="R845" i="10"/>
  <c r="S845" i="10"/>
  <c r="R864" i="10"/>
  <c r="S864" i="10"/>
  <c r="R869" i="10"/>
  <c r="W869" i="10" s="1"/>
  <c r="S869" i="10"/>
  <c r="R874" i="10"/>
  <c r="S874" i="10"/>
  <c r="R898" i="10"/>
  <c r="R902" i="10"/>
  <c r="S902" i="10"/>
  <c r="S910" i="10"/>
  <c r="R926" i="10"/>
  <c r="S926" i="10"/>
  <c r="S947" i="10"/>
  <c r="R947" i="10"/>
  <c r="R971" i="10"/>
  <c r="S971" i="10"/>
  <c r="R80" i="10"/>
  <c r="S80" i="10"/>
  <c r="R168" i="10"/>
  <c r="S168" i="10"/>
  <c r="R358" i="10"/>
  <c r="S358" i="10"/>
  <c r="R28" i="10"/>
  <c r="S28" i="10"/>
  <c r="R97" i="10"/>
  <c r="S97" i="10"/>
  <c r="R142" i="10"/>
  <c r="S142" i="10"/>
  <c r="R183" i="10"/>
  <c r="S183" i="10"/>
  <c r="R201" i="10"/>
  <c r="S201" i="10"/>
  <c r="R232" i="10"/>
  <c r="S232" i="10"/>
  <c r="S242" i="10"/>
  <c r="S260" i="10"/>
  <c r="R325" i="10"/>
  <c r="S325" i="10"/>
  <c r="R349" i="10"/>
  <c r="S349" i="10"/>
  <c r="R363" i="10"/>
  <c r="R377" i="10"/>
  <c r="R409" i="10"/>
  <c r="S409" i="10"/>
  <c r="R420" i="10"/>
  <c r="S420" i="10"/>
  <c r="R430" i="10"/>
  <c r="S430" i="10"/>
  <c r="R438" i="10"/>
  <c r="S438" i="10"/>
  <c r="R447" i="10"/>
  <c r="S447" i="10"/>
  <c r="R461" i="10"/>
  <c r="S461" i="10"/>
  <c r="S464" i="10"/>
  <c r="S485" i="10"/>
  <c r="R485" i="10"/>
  <c r="R517" i="10"/>
  <c r="S517" i="10"/>
  <c r="R537" i="10"/>
  <c r="S537" i="10"/>
  <c r="S562" i="10"/>
  <c r="R564" i="10"/>
  <c r="S564" i="10"/>
  <c r="S606" i="10"/>
  <c r="S609" i="10"/>
  <c r="S612" i="10"/>
  <c r="S625" i="10"/>
  <c r="R632" i="10"/>
  <c r="W632" i="10" s="1"/>
  <c r="S632" i="10"/>
  <c r="R662" i="10"/>
  <c r="S662" i="10"/>
  <c r="R18" i="10"/>
  <c r="S31" i="10"/>
  <c r="R51" i="10"/>
  <c r="S51" i="10"/>
  <c r="R84" i="10"/>
  <c r="R100" i="10"/>
  <c r="S100" i="10"/>
  <c r="S111" i="10"/>
  <c r="S120" i="10"/>
  <c r="R143" i="10"/>
  <c r="S143" i="10"/>
  <c r="S152" i="10"/>
  <c r="R195" i="10"/>
  <c r="S195" i="10"/>
  <c r="S204" i="10"/>
  <c r="R227" i="10"/>
  <c r="S227" i="10"/>
  <c r="S233" i="10"/>
  <c r="R236" i="10"/>
  <c r="S236" i="10"/>
  <c r="R257" i="10"/>
  <c r="S257" i="10"/>
  <c r="R267" i="10"/>
  <c r="R270" i="10"/>
  <c r="S270" i="10"/>
  <c r="R280" i="10"/>
  <c r="S280" i="10"/>
  <c r="R284" i="10"/>
  <c r="S284" i="10"/>
  <c r="S291" i="10"/>
  <c r="R294" i="10"/>
  <c r="S294" i="10"/>
  <c r="S304" i="10"/>
  <c r="R308" i="10"/>
  <c r="R315" i="10"/>
  <c r="S315" i="10"/>
  <c r="S318" i="10"/>
  <c r="S329" i="10"/>
  <c r="R342" i="10"/>
  <c r="S342" i="10"/>
  <c r="S384" i="10"/>
  <c r="R388" i="10"/>
  <c r="R433" i="10"/>
  <c r="S433" i="10"/>
  <c r="S451" i="10"/>
  <c r="R454" i="10"/>
  <c r="S454" i="10"/>
  <c r="R465" i="10"/>
  <c r="S465" i="10"/>
  <c r="R475" i="10"/>
  <c r="S478" i="10"/>
  <c r="S500" i="10"/>
  <c r="R507" i="10"/>
  <c r="S507" i="10"/>
  <c r="R510" i="10"/>
  <c r="S510" i="10"/>
  <c r="R521" i="10"/>
  <c r="S521" i="10"/>
  <c r="S550" i="10"/>
  <c r="R636" i="10"/>
  <c r="S636" i="10"/>
  <c r="S642" i="10"/>
  <c r="S656" i="10"/>
  <c r="R669" i="10"/>
  <c r="S669" i="10"/>
  <c r="S672" i="10"/>
  <c r="R709" i="10"/>
  <c r="S709" i="10"/>
  <c r="R718" i="10"/>
  <c r="S718" i="10"/>
  <c r="S722" i="10"/>
  <c r="S729" i="10"/>
  <c r="R735" i="10"/>
  <c r="S735" i="10"/>
  <c r="R789" i="10"/>
  <c r="S789" i="10"/>
  <c r="R793" i="10"/>
  <c r="S793" i="10"/>
  <c r="S813" i="10"/>
  <c r="R825" i="10"/>
  <c r="S825" i="10"/>
  <c r="R841" i="10"/>
  <c r="R849" i="10"/>
  <c r="R853" i="10"/>
  <c r="S853" i="10"/>
  <c r="S865" i="10"/>
  <c r="S886" i="10"/>
  <c r="R890" i="10"/>
  <c r="R907" i="10"/>
  <c r="S918" i="10"/>
  <c r="R976" i="10"/>
  <c r="S976" i="10"/>
  <c r="R372" i="10"/>
  <c r="R24" i="10"/>
  <c r="S24" i="10"/>
  <c r="R59" i="10"/>
  <c r="S59" i="10"/>
  <c r="R89" i="10"/>
  <c r="S89" i="10"/>
  <c r="X89" i="10" s="1"/>
  <c r="R140" i="10"/>
  <c r="S140" i="10"/>
  <c r="R154" i="10"/>
  <c r="R174" i="10"/>
  <c r="S174" i="10"/>
  <c r="R189" i="10"/>
  <c r="S189" i="10"/>
  <c r="R224" i="10"/>
  <c r="S224" i="10"/>
  <c r="R254" i="10"/>
  <c r="S254" i="10"/>
  <c r="S328" i="10"/>
  <c r="R359" i="10"/>
  <c r="S394" i="10"/>
  <c r="R15" i="10"/>
  <c r="S25" i="10"/>
  <c r="R35" i="10"/>
  <c r="S35" i="10"/>
  <c r="R45" i="10"/>
  <c r="S45" i="10"/>
  <c r="R56" i="10"/>
  <c r="S56" i="10"/>
  <c r="R60" i="10"/>
  <c r="S60" i="10"/>
  <c r="R66" i="10"/>
  <c r="S66" i="10"/>
  <c r="R69" i="10"/>
  <c r="S69" i="10"/>
  <c r="R74" i="10"/>
  <c r="S74" i="10"/>
  <c r="R92" i="10"/>
  <c r="S92" i="10"/>
  <c r="R103" i="10"/>
  <c r="R109" i="10"/>
  <c r="S109" i="10"/>
  <c r="R114" i="10"/>
  <c r="S123" i="10"/>
  <c r="R132" i="10"/>
  <c r="R134" i="10"/>
  <c r="S134" i="10"/>
  <c r="R146" i="10"/>
  <c r="S146" i="10"/>
  <c r="R155" i="10"/>
  <c r="R166" i="10"/>
  <c r="S175" i="10"/>
  <c r="R181" i="10"/>
  <c r="S181" i="10"/>
  <c r="R184" i="10"/>
  <c r="R193" i="10"/>
  <c r="S193" i="10"/>
  <c r="R207" i="10"/>
  <c r="S213" i="10"/>
  <c r="R213" i="10"/>
  <c r="R216" i="10"/>
  <c r="S216" i="10"/>
  <c r="R225" i="10"/>
  <c r="S225" i="10"/>
  <c r="R243" i="10"/>
  <c r="S243" i="10"/>
  <c r="R246" i="10"/>
  <c r="S246" i="10"/>
  <c r="R248" i="10"/>
  <c r="S248" i="10"/>
  <c r="R274" i="10"/>
  <c r="S274" i="10"/>
  <c r="R281" i="10"/>
  <c r="S281" i="10"/>
  <c r="R298" i="10"/>
  <c r="S298" i="10"/>
  <c r="R305" i="10"/>
  <c r="S305" i="10"/>
  <c r="S357" i="10"/>
  <c r="R357" i="10"/>
  <c r="S360" i="10"/>
  <c r="S364" i="10"/>
  <c r="R381" i="10"/>
  <c r="S381" i="10"/>
  <c r="S385" i="10"/>
  <c r="R395" i="10"/>
  <c r="R402" i="10"/>
  <c r="R425" i="10"/>
  <c r="S425" i="10"/>
  <c r="S428" i="10"/>
  <c r="R436" i="10"/>
  <c r="S436" i="10"/>
  <c r="S442" i="10"/>
  <c r="R448" i="10"/>
  <c r="S448" i="10"/>
  <c r="R493" i="10"/>
  <c r="S493" i="10"/>
  <c r="R497" i="10"/>
  <c r="R528" i="10"/>
  <c r="R541" i="10"/>
  <c r="S541" i="10"/>
  <c r="R557" i="10"/>
  <c r="S557" i="10"/>
  <c r="S560" i="10"/>
  <c r="R567" i="10"/>
  <c r="S567" i="10"/>
  <c r="R583" i="10"/>
  <c r="S583" i="10"/>
  <c r="R589" i="10"/>
  <c r="S589" i="10"/>
  <c r="R592" i="10"/>
  <c r="S592" i="10"/>
  <c r="R610" i="10"/>
  <c r="S610" i="10"/>
  <c r="R616" i="10"/>
  <c r="S616" i="10"/>
  <c r="R622" i="10"/>
  <c r="S622" i="10"/>
  <c r="R626" i="10"/>
  <c r="R633" i="10"/>
  <c r="S633" i="10"/>
  <c r="R645" i="10"/>
  <c r="S645" i="10"/>
  <c r="R648" i="10"/>
  <c r="S648" i="10"/>
  <c r="R676" i="10"/>
  <c r="R679" i="10"/>
  <c r="S679" i="10"/>
  <c r="R683" i="10"/>
  <c r="R697" i="10"/>
  <c r="R703" i="10"/>
  <c r="S703" i="10"/>
  <c r="R713" i="10"/>
  <c r="S713" i="10"/>
  <c r="R716" i="10"/>
  <c r="S716" i="10"/>
  <c r="R745" i="10"/>
  <c r="S745" i="10"/>
  <c r="S748" i="10"/>
  <c r="R767" i="10"/>
  <c r="S767" i="10"/>
  <c r="R829" i="10"/>
  <c r="S829" i="10"/>
  <c r="R833" i="10"/>
  <c r="R837" i="10"/>
  <c r="W837" i="10" s="1"/>
  <c r="S837" i="10"/>
  <c r="R861" i="10"/>
  <c r="S861" i="10"/>
  <c r="S870" i="10"/>
  <c r="R875" i="10"/>
  <c r="S875" i="10"/>
  <c r="S878" i="10"/>
  <c r="S919" i="10"/>
  <c r="R948" i="10"/>
  <c r="S948" i="10"/>
  <c r="R965" i="10"/>
  <c r="S965" i="10"/>
  <c r="R555" i="10"/>
  <c r="R570" i="10"/>
  <c r="S570" i="10"/>
  <c r="R598" i="10"/>
  <c r="S598" i="10"/>
  <c r="S602" i="10"/>
  <c r="R640" i="10"/>
  <c r="S640" i="10"/>
  <c r="S660" i="10"/>
  <c r="R667" i="10"/>
  <c r="S667" i="10"/>
  <c r="S684" i="10"/>
  <c r="R687" i="10"/>
  <c r="S687" i="10"/>
  <c r="S723" i="10"/>
  <c r="R753" i="10"/>
  <c r="S753" i="10"/>
  <c r="R764" i="10"/>
  <c r="R770" i="10"/>
  <c r="S770" i="10"/>
  <c r="R776" i="10"/>
  <c r="S776" i="10"/>
  <c r="R810" i="10"/>
  <c r="S810" i="10"/>
  <c r="R854" i="10"/>
  <c r="S854" i="10"/>
  <c r="R887" i="10"/>
  <c r="S887" i="10"/>
  <c r="R928" i="10"/>
  <c r="S928" i="10"/>
  <c r="R933" i="10"/>
  <c r="S933" i="10"/>
  <c r="S937" i="10"/>
  <c r="R945" i="10"/>
  <c r="S945" i="10"/>
  <c r="R953" i="10"/>
  <c r="S953" i="10"/>
  <c r="R674" i="10"/>
  <c r="S674" i="10"/>
  <c r="R720" i="10"/>
  <c r="S720" i="10"/>
  <c r="R765" i="10"/>
  <c r="R778" i="10"/>
  <c r="S778" i="10"/>
  <c r="R803" i="10"/>
  <c r="S803" i="10"/>
  <c r="R807" i="10"/>
  <c r="R823" i="10"/>
  <c r="S823" i="10"/>
  <c r="S826" i="10"/>
  <c r="S872" i="10"/>
  <c r="R876" i="10"/>
  <c r="R879" i="10"/>
  <c r="S879" i="10"/>
  <c r="S895" i="10"/>
  <c r="R904" i="10"/>
  <c r="S904" i="10"/>
  <c r="R908" i="10"/>
  <c r="R939" i="10"/>
  <c r="S939" i="10"/>
  <c r="S977" i="10"/>
  <c r="R677" i="10"/>
  <c r="S677" i="10"/>
  <c r="R693" i="10"/>
  <c r="S693" i="10"/>
  <c r="R701" i="10"/>
  <c r="S701" i="10"/>
  <c r="S707" i="10"/>
  <c r="R714" i="10"/>
  <c r="R773" i="10"/>
  <c r="S773" i="10"/>
  <c r="S775" i="10"/>
  <c r="S781" i="10"/>
  <c r="S797" i="10"/>
  <c r="R804" i="10"/>
  <c r="S804" i="10"/>
  <c r="S834" i="10"/>
  <c r="R856" i="10"/>
  <c r="S856" i="10"/>
  <c r="R920" i="10"/>
  <c r="S920" i="10"/>
  <c r="R936" i="10"/>
  <c r="S936" i="10"/>
  <c r="R956" i="10"/>
  <c r="S956" i="10"/>
  <c r="S968" i="10"/>
  <c r="R980" i="10"/>
  <c r="S980" i="10"/>
  <c r="R682" i="10"/>
  <c r="S682" i="10"/>
  <c r="S691" i="10"/>
  <c r="R738" i="10"/>
  <c r="S738" i="10"/>
  <c r="R746" i="10"/>
  <c r="S746" i="10"/>
  <c r="S749" i="10"/>
  <c r="R757" i="10"/>
  <c r="S757" i="10"/>
  <c r="R801" i="10"/>
  <c r="S801" i="10"/>
  <c r="R815" i="10"/>
  <c r="S815" i="10"/>
  <c r="R842" i="10"/>
  <c r="S842" i="10"/>
  <c r="R848" i="10"/>
  <c r="S848" i="10"/>
  <c r="R883" i="10"/>
  <c r="S883" i="10"/>
  <c r="R914" i="10"/>
  <c r="S914" i="10"/>
  <c r="R930" i="10"/>
  <c r="S930" i="10"/>
  <c r="S959" i="10"/>
  <c r="R972" i="10"/>
  <c r="S972" i="10"/>
  <c r="R982" i="10"/>
  <c r="S982" i="10"/>
  <c r="S739" i="10"/>
  <c r="S696" i="10"/>
  <c r="R700" i="10"/>
  <c r="S700" i="10"/>
  <c r="R704" i="10"/>
  <c r="S704" i="10"/>
  <c r="R726" i="10"/>
  <c r="S726" i="10"/>
  <c r="R730" i="10"/>
  <c r="S730" i="10"/>
  <c r="R752" i="10"/>
  <c r="S752" i="10"/>
  <c r="R763" i="10"/>
  <c r="S763" i="10"/>
  <c r="R766" i="10"/>
  <c r="S766" i="10"/>
  <c r="R768" i="10"/>
  <c r="S768" i="10"/>
  <c r="R771" i="10"/>
  <c r="S771" i="10"/>
  <c r="R788" i="10"/>
  <c r="R791" i="10"/>
  <c r="S791" i="10"/>
  <c r="R794" i="10"/>
  <c r="R808" i="10"/>
  <c r="S808" i="10"/>
  <c r="R818" i="10"/>
  <c r="W818" i="10" s="1"/>
  <c r="S818" i="10"/>
  <c r="R821" i="10"/>
  <c r="S821" i="10"/>
  <c r="S824" i="10"/>
  <c r="S828" i="10"/>
  <c r="R831" i="10"/>
  <c r="S831" i="10"/>
  <c r="R835" i="10"/>
  <c r="S838" i="10"/>
  <c r="R857" i="10"/>
  <c r="S857" i="10"/>
  <c r="R859" i="10"/>
  <c r="S862" i="10"/>
  <c r="R877" i="10"/>
  <c r="S877" i="10"/>
  <c r="R880" i="10"/>
  <c r="S880" i="10"/>
  <c r="R884" i="10"/>
  <c r="S884" i="10"/>
  <c r="R896" i="10"/>
  <c r="S896" i="10"/>
  <c r="R899" i="10"/>
  <c r="R909" i="10"/>
  <c r="S909" i="10"/>
  <c r="R924" i="10"/>
  <c r="R927" i="10"/>
  <c r="S927" i="10"/>
  <c r="S981" i="10"/>
  <c r="R931" i="10"/>
  <c r="R941" i="10"/>
  <c r="W941" i="10" s="1"/>
  <c r="S941" i="10"/>
  <c r="R946" i="10"/>
  <c r="S946" i="10"/>
  <c r="S951" i="10"/>
  <c r="R954" i="10"/>
  <c r="S954" i="10"/>
  <c r="R957" i="10"/>
  <c r="S957" i="10"/>
  <c r="R747" i="10"/>
  <c r="S747" i="10"/>
  <c r="R783" i="10"/>
  <c r="S783" i="10"/>
  <c r="R799" i="10"/>
  <c r="R832" i="10"/>
  <c r="S832" i="10"/>
  <c r="R868" i="10"/>
  <c r="S900" i="10"/>
  <c r="R903" i="10"/>
  <c r="S903" i="10"/>
  <c r="S906" i="10"/>
  <c r="R912" i="10"/>
  <c r="S912" i="10"/>
  <c r="S932" i="10"/>
  <c r="R934" i="10"/>
  <c r="S934" i="10"/>
  <c r="R961" i="10"/>
  <c r="S961" i="10"/>
  <c r="R966" i="10"/>
  <c r="S966" i="10"/>
  <c r="R970" i="10"/>
  <c r="S970" i="10"/>
  <c r="X970" i="10" s="1"/>
  <c r="S975" i="10"/>
  <c r="S984" i="10"/>
  <c r="S915" i="10"/>
  <c r="L4" i="10"/>
  <c r="R4" i="10" s="1"/>
  <c r="O4" i="10"/>
  <c r="L3" i="10"/>
  <c r="R3" i="10" s="1"/>
  <c r="M3" i="10"/>
  <c r="S3" i="10" s="1"/>
  <c r="N3" i="10"/>
  <c r="O3" i="10"/>
  <c r="M2" i="10"/>
  <c r="S2" i="10" s="1"/>
  <c r="S7" i="10"/>
  <c r="L2" i="10"/>
  <c r="R2" i="10" s="1"/>
  <c r="N4" i="10"/>
  <c r="R8" i="10"/>
  <c r="N2" i="10"/>
  <c r="R7" i="10"/>
  <c r="M4" i="10"/>
  <c r="S4" i="10" s="1"/>
  <c r="L6" i="10"/>
  <c r="R6" i="10" s="1"/>
  <c r="L5" i="10"/>
  <c r="R5" i="10" s="1"/>
  <c r="R872" i="10"/>
  <c r="R408" i="10"/>
  <c r="R120" i="10"/>
  <c r="R944" i="10"/>
  <c r="R152" i="10"/>
  <c r="R911" i="10"/>
  <c r="R176" i="10"/>
  <c r="R136" i="10"/>
  <c r="R895" i="10"/>
  <c r="S736" i="10"/>
  <c r="S664" i="10"/>
  <c r="S840" i="10"/>
  <c r="S688" i="10"/>
  <c r="S99" i="10"/>
  <c r="R99" i="10"/>
  <c r="S58" i="10"/>
  <c r="R58" i="10"/>
  <c r="R12" i="10"/>
  <c r="R27" i="10"/>
  <c r="S91" i="10"/>
  <c r="R54" i="10"/>
  <c r="S14" i="10"/>
  <c r="R14" i="10"/>
  <c r="R52" i="10"/>
  <c r="S39" i="10"/>
  <c r="R39" i="10"/>
  <c r="R44" i="10"/>
  <c r="R47" i="10"/>
  <c r="R31" i="10"/>
  <c r="R34" i="10"/>
  <c r="R36" i="10"/>
  <c r="S8" i="10"/>
  <c r="S11" i="10"/>
  <c r="R11" i="10"/>
  <c r="R23" i="10"/>
  <c r="S26" i="10"/>
  <c r="R26" i="10"/>
  <c r="R79" i="10"/>
  <c r="S15" i="10"/>
  <c r="S18" i="10"/>
  <c r="R20" i="10"/>
  <c r="S53" i="10"/>
  <c r="R53" i="10"/>
  <c r="R55" i="10"/>
  <c r="S55" i="10"/>
  <c r="S75" i="10"/>
  <c r="R75" i="10"/>
  <c r="S116" i="10"/>
  <c r="R116" i="10"/>
  <c r="R46" i="10"/>
  <c r="S64" i="10"/>
  <c r="S68" i="10"/>
  <c r="R82" i="10"/>
  <c r="X85" i="10"/>
  <c r="S95" i="10"/>
  <c r="S128" i="10"/>
  <c r="S132" i="10"/>
  <c r="S138" i="10"/>
  <c r="S147" i="10"/>
  <c r="R147" i="10"/>
  <c r="S196" i="10"/>
  <c r="R202" i="10"/>
  <c r="S207" i="10"/>
  <c r="S279" i="10"/>
  <c r="S131" i="10"/>
  <c r="R131" i="10"/>
  <c r="S71" i="10"/>
  <c r="R71" i="10"/>
  <c r="X113" i="10"/>
  <c r="R156" i="10"/>
  <c r="W157" i="10"/>
  <c r="S162" i="10"/>
  <c r="R162" i="10"/>
  <c r="S220" i="10"/>
  <c r="R220" i="10"/>
  <c r="W221" i="10"/>
  <c r="S226" i="10"/>
  <c r="R226" i="10"/>
  <c r="S347" i="10"/>
  <c r="R369" i="10"/>
  <c r="S388" i="10"/>
  <c r="S186" i="10"/>
  <c r="R25" i="10"/>
  <c r="S103" i="10"/>
  <c r="S104" i="10"/>
  <c r="S155" i="10"/>
  <c r="X161" i="10"/>
  <c r="R204" i="10"/>
  <c r="S215" i="10"/>
  <c r="R215" i="10"/>
  <c r="R219" i="10"/>
  <c r="S283" i="10"/>
  <c r="R83" i="10"/>
  <c r="S127" i="10"/>
  <c r="R127" i="10"/>
  <c r="S191" i="10"/>
  <c r="R191" i="10"/>
  <c r="W76" i="10"/>
  <c r="S84" i="10"/>
  <c r="S106" i="10"/>
  <c r="R106" i="10"/>
  <c r="R111" i="10"/>
  <c r="S115" i="10"/>
  <c r="R115" i="10"/>
  <c r="X141" i="10"/>
  <c r="S164" i="10"/>
  <c r="R164" i="10"/>
  <c r="S170" i="10"/>
  <c r="R170" i="10"/>
  <c r="R175" i="10"/>
  <c r="S179" i="10"/>
  <c r="X205" i="10"/>
  <c r="R228" i="10"/>
  <c r="W229" i="10"/>
  <c r="R87" i="10"/>
  <c r="R102" i="10"/>
  <c r="R124" i="10"/>
  <c r="S130" i="10"/>
  <c r="R135" i="10"/>
  <c r="S184" i="10"/>
  <c r="S188" i="10"/>
  <c r="S194" i="10"/>
  <c r="R194" i="10"/>
  <c r="S199" i="10"/>
  <c r="R260" i="10"/>
  <c r="S67" i="10"/>
  <c r="R67" i="10"/>
  <c r="W90" i="10"/>
  <c r="W129" i="10"/>
  <c r="X144" i="10"/>
  <c r="S148" i="10"/>
  <c r="R148" i="10"/>
  <c r="S154" i="10"/>
  <c r="S163" i="10"/>
  <c r="X208" i="10"/>
  <c r="S212" i="10"/>
  <c r="R212" i="10"/>
  <c r="S223" i="10"/>
  <c r="R223" i="10"/>
  <c r="W255" i="10"/>
  <c r="R442" i="10"/>
  <c r="S122" i="10"/>
  <c r="R122" i="10"/>
  <c r="S180" i="10"/>
  <c r="R180" i="10"/>
  <c r="X221" i="10"/>
  <c r="S88" i="10"/>
  <c r="R108" i="10"/>
  <c r="S114" i="10"/>
  <c r="S119" i="10"/>
  <c r="R119" i="10"/>
  <c r="R123" i="10"/>
  <c r="X129" i="10"/>
  <c r="S172" i="10"/>
  <c r="R172" i="10"/>
  <c r="W173" i="10"/>
  <c r="S178" i="10"/>
  <c r="S187" i="10"/>
  <c r="R187" i="10"/>
  <c r="R350" i="10"/>
  <c r="R384" i="10"/>
  <c r="S495" i="10"/>
  <c r="R545" i="10"/>
  <c r="S110" i="10"/>
  <c r="S126" i="10"/>
  <c r="S158" i="10"/>
  <c r="S166" i="10"/>
  <c r="S182" i="10"/>
  <c r="S190" i="10"/>
  <c r="S198" i="10"/>
  <c r="S206" i="10"/>
  <c r="S214" i="10"/>
  <c r="S230" i="10"/>
  <c r="R241" i="10"/>
  <c r="W261" i="10"/>
  <c r="S272" i="10"/>
  <c r="R272" i="10"/>
  <c r="R276" i="10"/>
  <c r="R295" i="10"/>
  <c r="R299" i="10"/>
  <c r="R336" i="10"/>
  <c r="R340" i="10"/>
  <c r="S359" i="10"/>
  <c r="S363" i="10"/>
  <c r="R374" i="10"/>
  <c r="R385" i="10"/>
  <c r="S476" i="10"/>
  <c r="S234" i="10"/>
  <c r="R234" i="10"/>
  <c r="R256" i="10"/>
  <c r="X261" i="10"/>
  <c r="R264" i="10"/>
  <c r="S268" i="10"/>
  <c r="R268" i="10"/>
  <c r="S287" i="10"/>
  <c r="R287" i="10"/>
  <c r="R291" i="10"/>
  <c r="W302" i="10"/>
  <c r="S313" i="10"/>
  <c r="R313" i="10"/>
  <c r="R328" i="10"/>
  <c r="S332" i="10"/>
  <c r="S351" i="10"/>
  <c r="R351" i="10"/>
  <c r="R355" i="10"/>
  <c r="X370" i="10"/>
  <c r="S377" i="10"/>
  <c r="R392" i="10"/>
  <c r="S405" i="10"/>
  <c r="R424" i="10"/>
  <c r="S424" i="10"/>
  <c r="R271" i="10"/>
  <c r="R275" i="10"/>
  <c r="S297" i="10"/>
  <c r="R316" i="10"/>
  <c r="S335" i="10"/>
  <c r="R335" i="10"/>
  <c r="R339" i="10"/>
  <c r="S339" i="10"/>
  <c r="R361" i="10"/>
  <c r="S376" i="10"/>
  <c r="S380" i="10"/>
  <c r="R380" i="10"/>
  <c r="R455" i="10"/>
  <c r="S502" i="10"/>
  <c r="R615" i="10"/>
  <c r="S615" i="10"/>
  <c r="R233" i="10"/>
  <c r="S249" i="10"/>
  <c r="S252" i="10"/>
  <c r="R252" i="10"/>
  <c r="S263" i="10"/>
  <c r="S267" i="10"/>
  <c r="R289" i="10"/>
  <c r="X301" i="10"/>
  <c r="R304" i="10"/>
  <c r="S308" i="10"/>
  <c r="S327" i="10"/>
  <c r="S353" i="10"/>
  <c r="R353" i="10"/>
  <c r="R368" i="10"/>
  <c r="S372" i="10"/>
  <c r="S391" i="10"/>
  <c r="R391" i="10"/>
  <c r="S395" i="10"/>
  <c r="S251" i="10"/>
  <c r="R259" i="10"/>
  <c r="S296" i="10"/>
  <c r="S323" i="10"/>
  <c r="R345" i="10"/>
  <c r="R360" i="10"/>
  <c r="R364" i="10"/>
  <c r="R383" i="10"/>
  <c r="R387" i="10"/>
  <c r="R406" i="10"/>
  <c r="R499" i="10"/>
  <c r="S499" i="10"/>
  <c r="S273" i="10"/>
  <c r="R273" i="10"/>
  <c r="R288" i="10"/>
  <c r="S292" i="10"/>
  <c r="R311" i="10"/>
  <c r="W326" i="10"/>
  <c r="S356" i="10"/>
  <c r="R356" i="10"/>
  <c r="S375" i="10"/>
  <c r="R375" i="10"/>
  <c r="R379" i="10"/>
  <c r="S398" i="10"/>
  <c r="R398" i="10"/>
  <c r="X413" i="10"/>
  <c r="S472" i="10"/>
  <c r="R231" i="10"/>
  <c r="R265" i="10"/>
  <c r="R303" i="10"/>
  <c r="R307" i="10"/>
  <c r="S307" i="10"/>
  <c r="R318" i="10"/>
  <c r="R329" i="10"/>
  <c r="R344" i="10"/>
  <c r="S348" i="10"/>
  <c r="R348" i="10"/>
  <c r="S367" i="10"/>
  <c r="S371" i="10"/>
  <c r="X469" i="10"/>
  <c r="S402" i="10"/>
  <c r="W417" i="10"/>
  <c r="R439" i="10"/>
  <c r="S444" i="10"/>
  <c r="W446" i="10"/>
  <c r="R457" i="10"/>
  <c r="R473" i="10"/>
  <c r="S488" i="10"/>
  <c r="S492" i="10"/>
  <c r="R492" i="10"/>
  <c r="S511" i="10"/>
  <c r="R515" i="10"/>
  <c r="R535" i="10"/>
  <c r="S539" i="10"/>
  <c r="R550" i="10"/>
  <c r="R596" i="10"/>
  <c r="S728" i="10"/>
  <c r="R728" i="10"/>
  <c r="S403" i="10"/>
  <c r="S421" i="10"/>
  <c r="S431" i="10"/>
  <c r="S440" i="10"/>
  <c r="R443" i="10"/>
  <c r="S443" i="10"/>
  <c r="X477" i="10"/>
  <c r="S484" i="10"/>
  <c r="R484" i="10"/>
  <c r="S503" i="10"/>
  <c r="R531" i="10"/>
  <c r="S531" i="10"/>
  <c r="S553" i="10"/>
  <c r="R680" i="10"/>
  <c r="R415" i="10"/>
  <c r="S452" i="10"/>
  <c r="R452" i="10"/>
  <c r="R464" i="10"/>
  <c r="S468" i="10"/>
  <c r="R468" i="10"/>
  <c r="S513" i="10"/>
  <c r="S528" i="10"/>
  <c r="S552" i="10"/>
  <c r="R559" i="10"/>
  <c r="R722" i="10"/>
  <c r="S407" i="10"/>
  <c r="S434" i="10"/>
  <c r="R434" i="10"/>
  <c r="R451" i="10"/>
  <c r="X453" i="10"/>
  <c r="S479" i="10"/>
  <c r="R505" i="10"/>
  <c r="X517" i="10"/>
  <c r="S524" i="10"/>
  <c r="R524" i="10"/>
  <c r="R544" i="10"/>
  <c r="R548" i="10"/>
  <c r="R631" i="10"/>
  <c r="R399" i="10"/>
  <c r="S426" i="10"/>
  <c r="R426" i="10"/>
  <c r="S450" i="10"/>
  <c r="S463" i="10"/>
  <c r="R463" i="10"/>
  <c r="S475" i="10"/>
  <c r="S497" i="10"/>
  <c r="S516" i="10"/>
  <c r="R516" i="10"/>
  <c r="S536" i="10"/>
  <c r="R536" i="10"/>
  <c r="S540" i="10"/>
  <c r="X568" i="10"/>
  <c r="S614" i="10"/>
  <c r="R614" i="10"/>
  <c r="X695" i="10"/>
  <c r="S754" i="10"/>
  <c r="R242" i="10"/>
  <c r="R250" i="10"/>
  <c r="R258" i="10"/>
  <c r="R266" i="10"/>
  <c r="R282" i="10"/>
  <c r="R290" i="10"/>
  <c r="R306" i="10"/>
  <c r="R314" i="10"/>
  <c r="R322" i="10"/>
  <c r="R330" i="10"/>
  <c r="R338" i="10"/>
  <c r="R346" i="10"/>
  <c r="R362" i="10"/>
  <c r="R370" i="10"/>
  <c r="R386" i="10"/>
  <c r="R394" i="10"/>
  <c r="S400" i="10"/>
  <c r="S418" i="10"/>
  <c r="S427" i="10"/>
  <c r="R428" i="10"/>
  <c r="S460" i="10"/>
  <c r="R478" i="10"/>
  <c r="S489" i="10"/>
  <c r="R489" i="10"/>
  <c r="S504" i="10"/>
  <c r="R504" i="10"/>
  <c r="R508" i="10"/>
  <c r="R527" i="10"/>
  <c r="S551" i="10"/>
  <c r="R551" i="10"/>
  <c r="S554" i="10"/>
  <c r="R554" i="10"/>
  <c r="W643" i="10"/>
  <c r="X655" i="10"/>
  <c r="S683" i="10"/>
  <c r="W702" i="10"/>
  <c r="R410" i="10"/>
  <c r="S419" i="10"/>
  <c r="S437" i="10"/>
  <c r="S481" i="10"/>
  <c r="S496" i="10"/>
  <c r="R496" i="10"/>
  <c r="R500" i="10"/>
  <c r="S523" i="10"/>
  <c r="R543" i="10"/>
  <c r="R547" i="10"/>
  <c r="S547" i="10"/>
  <c r="S630" i="10"/>
  <c r="R630" i="10"/>
  <c r="W694" i="10"/>
  <c r="R723" i="10"/>
  <c r="R577" i="10"/>
  <c r="S580" i="10"/>
  <c r="R580" i="10"/>
  <c r="S618" i="10"/>
  <c r="S623" i="10"/>
  <c r="S634" i="10"/>
  <c r="S639" i="10"/>
  <c r="R656" i="10"/>
  <c r="S657" i="10"/>
  <c r="R660" i="10"/>
  <c r="R689" i="10"/>
  <c r="R696" i="10"/>
  <c r="S697" i="10"/>
  <c r="R705" i="10"/>
  <c r="R712" i="10"/>
  <c r="W736" i="10"/>
  <c r="R826" i="10"/>
  <c r="R828" i="10"/>
  <c r="S555" i="10"/>
  <c r="R562" i="10"/>
  <c r="S594" i="10"/>
  <c r="R594" i="10"/>
  <c r="S617" i="10"/>
  <c r="R617" i="10"/>
  <c r="R620" i="10"/>
  <c r="R684" i="10"/>
  <c r="X692" i="10"/>
  <c r="X708" i="10"/>
  <c r="R812" i="10"/>
  <c r="R839" i="10"/>
  <c r="S931" i="10"/>
  <c r="X972" i="10"/>
  <c r="S571" i="10"/>
  <c r="S572" i="10"/>
  <c r="R572" i="10"/>
  <c r="R649" i="10"/>
  <c r="S681" i="10"/>
  <c r="R729" i="10"/>
  <c r="R790" i="10"/>
  <c r="X817" i="10"/>
  <c r="R560" i="10"/>
  <c r="S586" i="10"/>
  <c r="R586" i="10"/>
  <c r="R609" i="10"/>
  <c r="R612" i="10"/>
  <c r="W647" i="10"/>
  <c r="W659" i="10"/>
  <c r="S666" i="10"/>
  <c r="R666" i="10"/>
  <c r="R672" i="10"/>
  <c r="R673" i="10"/>
  <c r="S676" i="10"/>
  <c r="R760" i="10"/>
  <c r="S760" i="10"/>
  <c r="S779" i="10"/>
  <c r="R779" i="10"/>
  <c r="R585" i="10"/>
  <c r="S626" i="10"/>
  <c r="R627" i="10"/>
  <c r="R642" i="10"/>
  <c r="R665" i="10"/>
  <c r="S719" i="10"/>
  <c r="S727" i="10"/>
  <c r="W735" i="10"/>
  <c r="W739" i="10"/>
  <c r="R748" i="10"/>
  <c r="S795" i="10"/>
  <c r="R795" i="10"/>
  <c r="R474" i="10"/>
  <c r="R514" i="10"/>
  <c r="R522" i="10"/>
  <c r="R546" i="10"/>
  <c r="R574" i="10"/>
  <c r="R602" i="10"/>
  <c r="R606" i="10"/>
  <c r="S607" i="10"/>
  <c r="R624" i="10"/>
  <c r="R625" i="10"/>
  <c r="S641" i="10"/>
  <c r="R641" i="10"/>
  <c r="X671" i="10"/>
  <c r="R824" i="10"/>
  <c r="R834" i="10"/>
  <c r="S578" i="10"/>
  <c r="R578" i="10"/>
  <c r="S601" i="10"/>
  <c r="S604" i="10"/>
  <c r="R604" i="10"/>
  <c r="W651" i="10"/>
  <c r="S690" i="10"/>
  <c r="R690" i="10"/>
  <c r="R691" i="10"/>
  <c r="S698" i="10"/>
  <c r="S699" i="10"/>
  <c r="R699" i="10"/>
  <c r="R706" i="10"/>
  <c r="R707" i="10"/>
  <c r="S714" i="10"/>
  <c r="X751" i="10"/>
  <c r="S786" i="10"/>
  <c r="R786" i="10"/>
  <c r="S860" i="10"/>
  <c r="R860" i="10"/>
  <c r="R915" i="10"/>
  <c r="W778" i="10"/>
  <c r="W858" i="10"/>
  <c r="R873" i="10"/>
  <c r="R935" i="10"/>
  <c r="S935" i="10"/>
  <c r="W758" i="10"/>
  <c r="S769" i="10"/>
  <c r="R769" i="10"/>
  <c r="S794" i="10"/>
  <c r="S811" i="10"/>
  <c r="R811" i="10"/>
  <c r="R852" i="10"/>
  <c r="S866" i="10"/>
  <c r="R866" i="10"/>
  <c r="R937" i="10"/>
  <c r="W750" i="10"/>
  <c r="S777" i="10"/>
  <c r="S841" i="10"/>
  <c r="S868" i="10"/>
  <c r="S888" i="10"/>
  <c r="R888" i="10"/>
  <c r="W901" i="10"/>
  <c r="R916" i="10"/>
  <c r="R951" i="10"/>
  <c r="S740" i="10"/>
  <c r="R740" i="10"/>
  <c r="X758" i="10"/>
  <c r="S765" i="10"/>
  <c r="R796" i="10"/>
  <c r="S796" i="10"/>
  <c r="S805" i="10"/>
  <c r="R805" i="10"/>
  <c r="X810" i="10"/>
  <c r="S827" i="10"/>
  <c r="R827" i="10"/>
  <c r="S859" i="10"/>
  <c r="R919" i="10"/>
  <c r="R932" i="10"/>
  <c r="S741" i="10"/>
  <c r="R741" i="10"/>
  <c r="S764" i="10"/>
  <c r="R775" i="10"/>
  <c r="S799" i="10"/>
  <c r="S833" i="10"/>
  <c r="S890" i="10"/>
  <c r="R906" i="10"/>
  <c r="R749" i="10"/>
  <c r="S756" i="10"/>
  <c r="R756" i="10"/>
  <c r="S787" i="10"/>
  <c r="R787" i="10"/>
  <c r="S809" i="10"/>
  <c r="R809" i="10"/>
  <c r="X830" i="10"/>
  <c r="S835" i="10"/>
  <c r="S867" i="10"/>
  <c r="R867" i="10"/>
  <c r="R871" i="10"/>
  <c r="S871" i="10"/>
  <c r="S782" i="10"/>
  <c r="R782" i="10"/>
  <c r="S814" i="10"/>
  <c r="R814" i="10"/>
  <c r="S891" i="10"/>
  <c r="R891" i="10"/>
  <c r="S892" i="10"/>
  <c r="R892" i="10"/>
  <c r="R959" i="10"/>
  <c r="R975" i="10"/>
  <c r="S907" i="10"/>
  <c r="S908" i="10"/>
  <c r="S983" i="10"/>
  <c r="R983" i="10"/>
  <c r="R781" i="10"/>
  <c r="S788" i="10"/>
  <c r="R797" i="10"/>
  <c r="X800" i="10"/>
  <c r="S806" i="10"/>
  <c r="R806" i="10"/>
  <c r="S836" i="10"/>
  <c r="R836" i="10"/>
  <c r="R865" i="10"/>
  <c r="S911" i="10"/>
  <c r="R929" i="10"/>
  <c r="W849" i="10"/>
  <c r="S882" i="10"/>
  <c r="R882" i="10"/>
  <c r="S923" i="10"/>
  <c r="R923" i="10"/>
  <c r="S924" i="10"/>
  <c r="S958" i="10"/>
  <c r="R958" i="10"/>
  <c r="S807" i="10"/>
  <c r="R813" i="10"/>
  <c r="S822" i="10"/>
  <c r="R822" i="10"/>
  <c r="S844" i="10"/>
  <c r="R844" i="10"/>
  <c r="X849" i="10"/>
  <c r="W895" i="10"/>
  <c r="S899" i="10"/>
  <c r="R900" i="10"/>
  <c r="R922" i="10"/>
  <c r="S960" i="10"/>
  <c r="R960" i="10"/>
  <c r="R964" i="10"/>
  <c r="S964" i="10"/>
  <c r="R774" i="10"/>
  <c r="S798" i="10"/>
  <c r="R798" i="10"/>
  <c r="R851" i="10"/>
  <c r="S876" i="10"/>
  <c r="S898" i="10"/>
  <c r="W921" i="10"/>
  <c r="S940" i="10"/>
  <c r="R940" i="10"/>
  <c r="R830" i="10"/>
  <c r="R838" i="10"/>
  <c r="R846" i="10"/>
  <c r="R862" i="10"/>
  <c r="R870" i="10"/>
  <c r="R878" i="10"/>
  <c r="R886" i="10"/>
  <c r="R910" i="10"/>
  <c r="R918" i="10"/>
  <c r="R942" i="10"/>
  <c r="R943" i="10"/>
  <c r="S944" i="10"/>
  <c r="S955" i="10"/>
  <c r="R955" i="10"/>
  <c r="R968" i="10"/>
  <c r="S969" i="10"/>
  <c r="R969" i="10"/>
  <c r="W978" i="10"/>
  <c r="S952" i="10"/>
  <c r="R952" i="10"/>
  <c r="R984" i="10"/>
  <c r="S985" i="10"/>
  <c r="R985" i="10"/>
  <c r="R986" i="10"/>
  <c r="S986" i="10"/>
  <c r="R977" i="10"/>
  <c r="W981" i="10"/>
  <c r="R979" i="10"/>
  <c r="X759" i="10" l="1"/>
  <c r="X870" i="10"/>
  <c r="W169" i="10"/>
  <c r="W912" i="10"/>
  <c r="X76" i="10"/>
  <c r="X501" i="10"/>
  <c r="W715" i="10"/>
  <c r="X709" i="10"/>
  <c r="X945" i="10"/>
  <c r="X529" i="10"/>
  <c r="W408" i="10"/>
  <c r="T408" i="10" s="1"/>
  <c r="W820" i="10"/>
  <c r="U820" i="10" s="1"/>
  <c r="W954" i="10"/>
  <c r="T954" i="10" s="1"/>
  <c r="X576" i="10"/>
  <c r="X236" i="10"/>
  <c r="X973" i="10"/>
  <c r="X752" i="10"/>
  <c r="X266" i="10"/>
  <c r="W45" i="10"/>
  <c r="W905" i="10"/>
  <c r="W607" i="10"/>
  <c r="X632" i="10"/>
  <c r="U632" i="10" s="1"/>
  <c r="W591" i="10"/>
  <c r="T591" i="10" s="1"/>
  <c r="X700" i="10"/>
  <c r="W441" i="10"/>
  <c r="T441" i="10" s="1"/>
  <c r="X738" i="10"/>
  <c r="X766" i="10"/>
  <c r="W217" i="10"/>
  <c r="W48" i="10"/>
  <c r="X903" i="10"/>
  <c r="X189" i="10"/>
  <c r="X77" i="10"/>
  <c r="W529" i="10"/>
  <c r="W776" i="10"/>
  <c r="W829" i="10"/>
  <c r="T829" i="10" s="1"/>
  <c r="W945" i="10"/>
  <c r="T945" i="10" s="1"/>
  <c r="X920" i="10"/>
  <c r="X982" i="10"/>
  <c r="W973" i="10"/>
  <c r="T973" i="10" s="1"/>
  <c r="W885" i="10"/>
  <c r="T885" i="10" s="1"/>
  <c r="W77" i="10"/>
  <c r="X767" i="10"/>
  <c r="W711" i="10"/>
  <c r="T711" i="10" s="1"/>
  <c r="X333" i="10"/>
  <c r="W486" i="10"/>
  <c r="X637" i="10"/>
  <c r="X121" i="10"/>
  <c r="W738" i="10"/>
  <c r="T738" i="10" s="1"/>
  <c r="W197" i="10"/>
  <c r="T197" i="10" s="1"/>
  <c r="W904" i="10"/>
  <c r="T904" i="10" s="1"/>
  <c r="W285" i="10"/>
  <c r="T285" i="10" s="1"/>
  <c r="W896" i="10"/>
  <c r="X640" i="10"/>
  <c r="W654" i="10"/>
  <c r="X149" i="10"/>
  <c r="X785" i="10"/>
  <c r="W81" i="10"/>
  <c r="X847" i="10"/>
  <c r="X747" i="10"/>
  <c r="W693" i="10"/>
  <c r="T693" i="10" s="1"/>
  <c r="W745" i="10"/>
  <c r="T745" i="10" s="1"/>
  <c r="W109" i="10"/>
  <c r="T109" i="10" s="1"/>
  <c r="W181" i="10"/>
  <c r="T181" i="10" s="1"/>
  <c r="X693" i="10"/>
  <c r="X981" i="10"/>
  <c r="X848" i="10"/>
  <c r="W857" i="10"/>
  <c r="T857" i="10" s="1"/>
  <c r="W470" i="10"/>
  <c r="X254" i="10"/>
  <c r="X229" i="10"/>
  <c r="U229" i="10" s="1"/>
  <c r="W141" i="10"/>
  <c r="T141" i="10" s="1"/>
  <c r="X619" i="10"/>
  <c r="X872" i="10"/>
  <c r="W804" i="10"/>
  <c r="T804" i="10" s="1"/>
  <c r="W667" i="10"/>
  <c r="T667" i="10" s="1"/>
  <c r="X217" i="10"/>
  <c r="W733" i="10"/>
  <c r="X386" i="10"/>
  <c r="X225" i="10"/>
  <c r="W709" i="10"/>
  <c r="X213" i="10"/>
  <c r="X592" i="10"/>
  <c r="X494" i="10"/>
  <c r="W635" i="10"/>
  <c r="T635" i="10" s="1"/>
  <c r="W193" i="10"/>
  <c r="T193" i="10" s="1"/>
  <c r="X957" i="10"/>
  <c r="X411" i="10"/>
  <c r="X664" i="10"/>
  <c r="X253" i="10"/>
  <c r="W213" i="10"/>
  <c r="X145" i="10"/>
  <c r="W65" i="10"/>
  <c r="W965" i="10"/>
  <c r="T965" i="10" s="1"/>
  <c r="X929" i="10"/>
  <c r="X879" i="10"/>
  <c r="W542" i="10"/>
  <c r="T542" i="10" s="1"/>
  <c r="W430" i="10"/>
  <c r="T430" i="10" s="1"/>
  <c r="W185" i="10"/>
  <c r="T185" i="10" s="1"/>
  <c r="X24" i="10"/>
  <c r="W717" i="10"/>
  <c r="T717" i="10" s="1"/>
  <c r="X645" i="10"/>
  <c r="W616" i="10"/>
  <c r="X762" i="10"/>
  <c r="X46" i="10"/>
  <c r="W21" i="10"/>
  <c r="T21" i="10" s="1"/>
  <c r="W877" i="10"/>
  <c r="T877" i="10" s="1"/>
  <c r="X309" i="10"/>
  <c r="X396" i="10"/>
  <c r="X69" i="10"/>
  <c r="W845" i="10"/>
  <c r="W772" i="10"/>
  <c r="T772" i="10" s="1"/>
  <c r="W429" i="10"/>
  <c r="T429" i="10" s="1"/>
  <c r="X621" i="10"/>
  <c r="W201" i="10"/>
  <c r="W32" i="10"/>
  <c r="X768" i="10"/>
  <c r="W933" i="10"/>
  <c r="T933" i="10" s="1"/>
  <c r="X583" i="10"/>
  <c r="W761" i="10"/>
  <c r="T761" i="10" s="1"/>
  <c r="W686" i="10"/>
  <c r="T686" i="10" s="1"/>
  <c r="W913" i="10"/>
  <c r="W669" i="10"/>
  <c r="X354" i="10"/>
  <c r="X246" i="10"/>
  <c r="W270" i="10"/>
  <c r="T270" i="10" s="1"/>
  <c r="X185" i="10"/>
  <c r="X608" i="10"/>
  <c r="W640" i="10"/>
  <c r="X65" i="10"/>
  <c r="W825" i="10"/>
  <c r="T825" i="10" s="1"/>
  <c r="X616" i="10"/>
  <c r="X381" i="10"/>
  <c r="W767" i="10"/>
  <c r="T767" i="10" s="1"/>
  <c r="X408" i="10"/>
  <c r="X201" i="10"/>
  <c r="X840" i="10"/>
  <c r="W911" i="10"/>
  <c r="T911" i="10" s="1"/>
  <c r="W747" i="10"/>
  <c r="W980" i="10"/>
  <c r="T980" i="10" s="1"/>
  <c r="W807" i="10"/>
  <c r="T807" i="10" s="1"/>
  <c r="X294" i="10"/>
  <c r="W751" i="10"/>
  <c r="T751" i="10" s="1"/>
  <c r="W800" i="10"/>
  <c r="T800" i="10" s="1"/>
  <c r="W692" i="10"/>
  <c r="T692" i="10" s="1"/>
  <c r="W863" i="10"/>
  <c r="T863" i="10" s="1"/>
  <c r="W784" i="10"/>
  <c r="T784" i="10" s="1"/>
  <c r="X404" i="10"/>
  <c r="W16" i="10"/>
  <c r="T16" i="10" s="1"/>
  <c r="W161" i="10"/>
  <c r="W477" i="10"/>
  <c r="X293" i="10"/>
  <c r="X522" i="10"/>
  <c r="W808" i="10"/>
  <c r="T808" i="10" s="1"/>
  <c r="X776" i="10"/>
  <c r="W436" i="10"/>
  <c r="T436" i="10" s="1"/>
  <c r="W246" i="10"/>
  <c r="T246" i="10" s="1"/>
  <c r="X45" i="10"/>
  <c r="W294" i="10"/>
  <c r="W662" i="10"/>
  <c r="T662" i="10" s="1"/>
  <c r="X950" i="10"/>
  <c r="W575" i="10"/>
  <c r="W237" i="10"/>
  <c r="T237" i="10" s="1"/>
  <c r="X445" i="10"/>
  <c r="X726" i="10"/>
  <c r="W879" i="10"/>
  <c r="T879" i="10" s="1"/>
  <c r="X953" i="10"/>
  <c r="X598" i="10"/>
  <c r="W948" i="10"/>
  <c r="T948" i="10" s="1"/>
  <c r="W840" i="10"/>
  <c r="T840" i="10" s="1"/>
  <c r="X584" i="10"/>
  <c r="W663" i="10"/>
  <c r="W832" i="10"/>
  <c r="T832" i="10" s="1"/>
  <c r="W726" i="10"/>
  <c r="T726" i="10" s="1"/>
  <c r="W956" i="10"/>
  <c r="X493" i="10"/>
  <c r="W254" i="10"/>
  <c r="X533" i="10"/>
  <c r="W96" i="10"/>
  <c r="T96" i="10" s="1"/>
  <c r="X302" i="10"/>
  <c r="U302" i="10" s="1"/>
  <c r="W113" i="10"/>
  <c r="T113" i="10" s="1"/>
  <c r="W710" i="10"/>
  <c r="T710" i="10" s="1"/>
  <c r="W670" i="10"/>
  <c r="T670" i="10" s="1"/>
  <c r="W678" i="10"/>
  <c r="T678" i="10" s="1"/>
  <c r="W126" i="10"/>
  <c r="T126" i="10" s="1"/>
  <c r="X704" i="10"/>
  <c r="X570" i="10"/>
  <c r="X274" i="10"/>
  <c r="X366" i="10"/>
  <c r="W568" i="10"/>
  <c r="T568" i="10" s="1"/>
  <c r="X30" i="10"/>
  <c r="W573" i="10"/>
  <c r="T573" i="10" s="1"/>
  <c r="W821" i="10"/>
  <c r="T821" i="10" s="1"/>
  <c r="W972" i="10"/>
  <c r="U972" i="10" s="1"/>
  <c r="X478" i="10"/>
  <c r="X732" i="10"/>
  <c r="W366" i="10"/>
  <c r="T366" i="10" s="1"/>
  <c r="X638" i="10"/>
  <c r="W160" i="10"/>
  <c r="W646" i="10"/>
  <c r="T646" i="10" s="1"/>
  <c r="X48" i="10"/>
  <c r="W558" i="10"/>
  <c r="T558" i="10" s="1"/>
  <c r="X112" i="10"/>
  <c r="X525" i="10"/>
  <c r="X29" i="10"/>
  <c r="W137" i="10"/>
  <c r="T137" i="10" s="1"/>
  <c r="W501" i="10"/>
  <c r="W134" i="10"/>
  <c r="T134" i="10" s="1"/>
  <c r="W92" i="10"/>
  <c r="T92" i="10" s="1"/>
  <c r="X672" i="10"/>
  <c r="X97" i="10"/>
  <c r="W732" i="10"/>
  <c r="T732" i="10" s="1"/>
  <c r="W962" i="10"/>
  <c r="X750" i="10"/>
  <c r="U750" i="10" s="1"/>
  <c r="W708" i="10"/>
  <c r="T708" i="10" s="1"/>
  <c r="W724" i="10"/>
  <c r="T724" i="10" s="1"/>
  <c r="X449" i="10"/>
  <c r="X482" i="10"/>
  <c r="W144" i="10"/>
  <c r="W903" i="10"/>
  <c r="W920" i="10"/>
  <c r="W582" i="10"/>
  <c r="T582" i="10" s="1"/>
  <c r="X897" i="10"/>
  <c r="W561" i="10"/>
  <c r="T561" i="10" s="1"/>
  <c r="X686" i="10"/>
  <c r="W449" i="10"/>
  <c r="T449" i="10" s="1"/>
  <c r="X269" i="10"/>
  <c r="W742" i="10"/>
  <c r="T742" i="10" s="1"/>
  <c r="X856" i="10"/>
  <c r="X438" i="10"/>
  <c r="X325" i="10"/>
  <c r="X193" i="10"/>
  <c r="X81" i="10"/>
  <c r="X534" i="10"/>
  <c r="X746" i="10"/>
  <c r="X587" i="10"/>
  <c r="X169" i="10"/>
  <c r="U169" i="10" s="1"/>
  <c r="X461" i="10"/>
  <c r="X93" i="10"/>
  <c r="X317" i="10"/>
  <c r="X117" i="10"/>
  <c r="X739" i="10"/>
  <c r="U739" i="10" s="1"/>
  <c r="W817" i="10"/>
  <c r="U817" i="10" s="1"/>
  <c r="W789" i="10"/>
  <c r="T789" i="10" s="1"/>
  <c r="W214" i="10"/>
  <c r="W897" i="10"/>
  <c r="T897" i="10" s="1"/>
  <c r="W145" i="10"/>
  <c r="T145" i="10" s="1"/>
  <c r="W85" i="10"/>
  <c r="T85" i="10" s="1"/>
  <c r="W766" i="10"/>
  <c r="W93" i="10"/>
  <c r="W78" i="10"/>
  <c r="W152" i="10"/>
  <c r="T152" i="10" s="1"/>
  <c r="W117" i="10"/>
  <c r="T117" i="10" s="1"/>
  <c r="W893" i="10"/>
  <c r="W788" i="10"/>
  <c r="T788" i="10" s="1"/>
  <c r="W153" i="10"/>
  <c r="T153" i="10" s="1"/>
  <c r="X896" i="10"/>
  <c r="W703" i="10"/>
  <c r="W847" i="10"/>
  <c r="T847" i="10" s="1"/>
  <c r="X971" i="10"/>
  <c r="X793" i="10"/>
  <c r="W225" i="10"/>
  <c r="T225" i="10" s="1"/>
  <c r="X133" i="10"/>
  <c r="X808" i="10"/>
  <c r="X965" i="10"/>
  <c r="X948" i="10"/>
  <c r="W768" i="10"/>
  <c r="X556" i="10"/>
  <c r="X613" i="10"/>
  <c r="U613" i="10" s="1"/>
  <c r="W563" i="10"/>
  <c r="U563" i="10" s="1"/>
  <c r="X600" i="10"/>
  <c r="X70" i="10"/>
  <c r="X176" i="10"/>
  <c r="X716" i="10"/>
  <c r="X564" i="10"/>
  <c r="X857" i="10"/>
  <c r="W792" i="10"/>
  <c r="T792" i="10" s="1"/>
  <c r="X643" i="10"/>
  <c r="U643" i="10" s="1"/>
  <c r="X389" i="10"/>
  <c r="W567" i="10"/>
  <c r="T567" i="10" s="1"/>
  <c r="W136" i="10"/>
  <c r="T136" i="10" s="1"/>
  <c r="W121" i="10"/>
  <c r="T121" i="10" s="1"/>
  <c r="X816" i="10"/>
  <c r="X565" i="10"/>
  <c r="W334" i="10"/>
  <c r="T334" i="10" s="1"/>
  <c r="X16" i="10"/>
  <c r="X57" i="10"/>
  <c r="X781" i="10"/>
  <c r="W791" i="10"/>
  <c r="T791" i="10" s="1"/>
  <c r="X837" i="10"/>
  <c r="U837" i="10" s="1"/>
  <c r="X921" i="10"/>
  <c r="U921" i="10" s="1"/>
  <c r="X239" i="10"/>
  <c r="U239" i="10" s="1"/>
  <c r="X818" i="10"/>
  <c r="U818" i="10" s="1"/>
  <c r="W583" i="10"/>
  <c r="X390" i="10"/>
  <c r="U390" i="10" s="1"/>
  <c r="X905" i="10"/>
  <c r="X558" i="10"/>
  <c r="W579" i="10"/>
  <c r="X813" i="10"/>
  <c r="X949" i="10"/>
  <c r="U949" i="10" s="1"/>
  <c r="X887" i="10"/>
  <c r="X573" i="10"/>
  <c r="X105" i="10"/>
  <c r="X197" i="10"/>
  <c r="W133" i="10"/>
  <c r="X603" i="10"/>
  <c r="X509" i="10"/>
  <c r="X541" i="10"/>
  <c r="X486" i="10"/>
  <c r="X277" i="10"/>
  <c r="X927" i="10"/>
  <c r="X825" i="10"/>
  <c r="W600" i="10"/>
  <c r="T600" i="10" s="1"/>
  <c r="X669" i="10"/>
  <c r="W773" i="10"/>
  <c r="T773" i="10" s="1"/>
  <c r="X341" i="10"/>
  <c r="W69" i="10"/>
  <c r="T69" i="10" s="1"/>
  <c r="W37" i="10"/>
  <c r="T37" i="10" s="1"/>
  <c r="W793" i="10"/>
  <c r="T793" i="10" s="1"/>
  <c r="W725" i="10"/>
  <c r="T725" i="10" s="1"/>
  <c r="W677" i="10"/>
  <c r="T677" i="10" s="1"/>
  <c r="W412" i="10"/>
  <c r="T412" i="10" s="1"/>
  <c r="W534" i="10"/>
  <c r="T534" i="10" s="1"/>
  <c r="X334" i="10"/>
  <c r="W209" i="10"/>
  <c r="T209" i="10" s="1"/>
  <c r="X560" i="10"/>
  <c r="W701" i="10"/>
  <c r="T701" i="10" s="1"/>
  <c r="W403" i="10"/>
  <c r="T403" i="10" s="1"/>
  <c r="X92" i="10"/>
  <c r="W448" i="10"/>
  <c r="T448" i="10" s="1"/>
  <c r="W592" i="10"/>
  <c r="T592" i="10" s="1"/>
  <c r="X432" i="10"/>
  <c r="X358" i="10"/>
  <c r="X237" i="10"/>
  <c r="X235" i="10"/>
  <c r="X980" i="10"/>
  <c r="X717" i="10"/>
  <c r="W639" i="10"/>
  <c r="W629" i="10"/>
  <c r="T629" i="10" s="1"/>
  <c r="W549" i="10"/>
  <c r="T549" i="10" s="1"/>
  <c r="W759" i="10"/>
  <c r="U759" i="10" s="1"/>
  <c r="X428" i="10"/>
  <c r="X242" i="10"/>
  <c r="X326" i="10"/>
  <c r="U326" i="10" s="1"/>
  <c r="W333" i="10"/>
  <c r="U333" i="10" s="1"/>
  <c r="W325" i="10"/>
  <c r="X761" i="10"/>
  <c r="X409" i="10"/>
  <c r="W719" i="10"/>
  <c r="T719" i="10" s="1"/>
  <c r="W584" i="10"/>
  <c r="T584" i="10" s="1"/>
  <c r="X349" i="10"/>
  <c r="X73" i="10"/>
  <c r="W89" i="10"/>
  <c r="T89" i="10" s="1"/>
  <c r="W925" i="10"/>
  <c r="X880" i="10"/>
  <c r="X823" i="10"/>
  <c r="W389" i="10"/>
  <c r="T389" i="10" s="1"/>
  <c r="W953" i="10"/>
  <c r="T953" i="10" s="1"/>
  <c r="X763" i="10"/>
  <c r="X778" i="10"/>
  <c r="U778" i="10" s="1"/>
  <c r="X663" i="10"/>
  <c r="X711" i="10"/>
  <c r="X635" i="10"/>
  <c r="X173" i="10"/>
  <c r="U173" i="10" s="1"/>
  <c r="X832" i="10"/>
  <c r="X703" i="10"/>
  <c r="X285" i="10"/>
  <c r="W595" i="10"/>
  <c r="T595" i="10" s="1"/>
  <c r="X783" i="10"/>
  <c r="W970" i="10"/>
  <c r="U970" i="10" s="1"/>
  <c r="X694" i="10"/>
  <c r="U694" i="10" s="1"/>
  <c r="X624" i="10"/>
  <c r="X357" i="10"/>
  <c r="X538" i="10"/>
  <c r="X181" i="10"/>
  <c r="W872" i="10"/>
  <c r="T872" i="10" s="1"/>
  <c r="X886" i="10"/>
  <c r="X912" i="10"/>
  <c r="U912" i="10" s="1"/>
  <c r="W518" i="10"/>
  <c r="T518" i="10" s="1"/>
  <c r="W556" i="10"/>
  <c r="T556" i="10" s="1"/>
  <c r="W189" i="10"/>
  <c r="X561" i="10"/>
  <c r="X742" i="10"/>
  <c r="X735" i="10"/>
  <c r="U735" i="10" s="1"/>
  <c r="X510" i="10"/>
  <c r="X858" i="10"/>
  <c r="U858" i="10" s="1"/>
  <c r="W469" i="10"/>
  <c r="U469" i="10" s="1"/>
  <c r="X374" i="10"/>
  <c r="W645" i="10"/>
  <c r="T645" i="10" s="1"/>
  <c r="X941" i="10"/>
  <c r="U941" i="10" s="1"/>
  <c r="X789" i="10"/>
  <c r="X474" i="10"/>
  <c r="X457" i="10"/>
  <c r="X13" i="10"/>
  <c r="X877" i="10"/>
  <c r="W557" i="10"/>
  <c r="T557" i="10" s="1"/>
  <c r="X718" i="10"/>
  <c r="W461" i="10"/>
  <c r="X574" i="10"/>
  <c r="X654" i="10"/>
  <c r="X918" i="10"/>
  <c r="X582" i="10"/>
  <c r="X526" i="10"/>
  <c r="X506" i="10"/>
  <c r="W746" i="10"/>
  <c r="T746" i="10" s="1"/>
  <c r="X962" i="10"/>
  <c r="X590" i="10"/>
  <c r="X530" i="10"/>
  <c r="W381" i="10"/>
  <c r="W84" i="10"/>
  <c r="W485" i="10"/>
  <c r="T485" i="10" s="1"/>
  <c r="W317" i="10"/>
  <c r="X913" i="10"/>
  <c r="X550" i="10"/>
  <c r="X342" i="10"/>
  <c r="X943" i="10"/>
  <c r="X37" i="10"/>
  <c r="W762" i="10"/>
  <c r="X262" i="10"/>
  <c r="X422" i="10"/>
  <c r="W222" i="10"/>
  <c r="W445" i="10"/>
  <c r="W341" i="10"/>
  <c r="T341" i="10" s="1"/>
  <c r="W357" i="10"/>
  <c r="X662" i="10"/>
  <c r="X310" i="10"/>
  <c r="W68" i="10"/>
  <c r="T68" i="10" s="1"/>
  <c r="X737" i="10"/>
  <c r="W587" i="10"/>
  <c r="X490" i="10"/>
  <c r="W120" i="10"/>
  <c r="T120" i="10" s="1"/>
  <c r="X712" i="10"/>
  <c r="X606" i="10"/>
  <c r="X420" i="10"/>
  <c r="W349" i="10"/>
  <c r="T349" i="10" s="1"/>
  <c r="X755" i="10"/>
  <c r="X96" i="10"/>
  <c r="W603" i="10"/>
  <c r="W509" i="10"/>
  <c r="T509" i="10" s="1"/>
  <c r="X688" i="10"/>
  <c r="X282" i="10"/>
  <c r="X152" i="10"/>
  <c r="W142" i="10"/>
  <c r="W97" i="10"/>
  <c r="T97" i="10" s="1"/>
  <c r="W262" i="10"/>
  <c r="T262" i="10" s="1"/>
  <c r="W235" i="10"/>
  <c r="W205" i="10"/>
  <c r="U205" i="10" s="1"/>
  <c r="W525" i="10"/>
  <c r="T525" i="10" s="1"/>
  <c r="W253" i="10"/>
  <c r="T253" i="10" s="1"/>
  <c r="W685" i="10"/>
  <c r="T685" i="10" s="1"/>
  <c r="W456" i="10"/>
  <c r="W150" i="10"/>
  <c r="T150" i="10" s="1"/>
  <c r="X954" i="10"/>
  <c r="X902" i="10"/>
  <c r="X270" i="10"/>
  <c r="X318" i="10"/>
  <c r="W100" i="10"/>
  <c r="T100" i="10" s="1"/>
  <c r="W88" i="10"/>
  <c r="T88" i="10" s="1"/>
  <c r="X441" i="10"/>
  <c r="X22" i="10"/>
  <c r="X394" i="10"/>
  <c r="X542" i="10"/>
  <c r="W149" i="10"/>
  <c r="T149" i="10" s="1"/>
  <c r="X314" i="10"/>
  <c r="X429" i="10"/>
  <c r="X32" i="10"/>
  <c r="W101" i="10"/>
  <c r="T101" i="10" s="1"/>
  <c r="X792" i="10"/>
  <c r="X878" i="10"/>
  <c r="W853" i="10"/>
  <c r="T853" i="10" s="1"/>
  <c r="X743" i="10"/>
  <c r="W700" i="10"/>
  <c r="W716" i="10"/>
  <c r="T716" i="10" s="1"/>
  <c r="W533" i="10"/>
  <c r="W816" i="10"/>
  <c r="T816" i="10" s="1"/>
  <c r="X549" i="10"/>
  <c r="W605" i="10"/>
  <c r="W293" i="10"/>
  <c r="X255" i="10"/>
  <c r="U255" i="10" s="1"/>
  <c r="X736" i="10"/>
  <c r="U736" i="10" s="1"/>
  <c r="W675" i="10"/>
  <c r="X82" i="10"/>
  <c r="X109" i="10"/>
  <c r="W655" i="10"/>
  <c r="U655" i="10" s="1"/>
  <c r="X177" i="10"/>
  <c r="U177" i="10" s="1"/>
  <c r="X298" i="10"/>
  <c r="W718" i="10"/>
  <c r="T718" i="10" s="1"/>
  <c r="W510" i="10"/>
  <c r="T510" i="10" s="1"/>
  <c r="X373" i="10"/>
  <c r="W309" i="10"/>
  <c r="W917" i="10"/>
  <c r="T917" i="10" s="1"/>
  <c r="X365" i="10"/>
  <c r="X306" i="10"/>
  <c r="W413" i="10"/>
  <c r="U413" i="10" s="1"/>
  <c r="W112" i="10"/>
  <c r="W165" i="10"/>
  <c r="X86" i="10"/>
  <c r="W541" i="10"/>
  <c r="X589" i="10"/>
  <c r="X56" i="10"/>
  <c r="X926" i="10"/>
  <c r="X412" i="10"/>
  <c r="X963" i="10"/>
  <c r="W661" i="10"/>
  <c r="T661" i="10" s="1"/>
  <c r="X382" i="10"/>
  <c r="W190" i="10"/>
  <c r="T190" i="10" s="1"/>
  <c r="X498" i="10"/>
  <c r="W599" i="10"/>
  <c r="T599" i="10" s="1"/>
  <c r="W301" i="10"/>
  <c r="U301" i="10" s="1"/>
  <c r="W453" i="10"/>
  <c r="U453" i="10" s="1"/>
  <c r="W421" i="10"/>
  <c r="T421" i="10" s="1"/>
  <c r="X378" i="10"/>
  <c r="W118" i="10"/>
  <c r="T118" i="10" s="1"/>
  <c r="W801" i="10"/>
  <c r="W753" i="10"/>
  <c r="T753" i="10" s="1"/>
  <c r="X687" i="10"/>
  <c r="X622" i="10"/>
  <c r="W589" i="10"/>
  <c r="W74" i="10"/>
  <c r="T74" i="10" s="1"/>
  <c r="X233" i="10"/>
  <c r="X125" i="10"/>
  <c r="U125" i="10" s="1"/>
  <c r="X40" i="10"/>
  <c r="X885" i="10"/>
  <c r="X470" i="10"/>
  <c r="U470" i="10" s="1"/>
  <c r="W621" i="10"/>
  <c r="U621" i="10" s="1"/>
  <c r="X278" i="10"/>
  <c r="X258" i="10"/>
  <c r="W206" i="10"/>
  <c r="T206" i="10" s="1"/>
  <c r="X702" i="10"/>
  <c r="U702" i="10" s="1"/>
  <c r="X397" i="10"/>
  <c r="W277" i="10"/>
  <c r="T277" i="10" s="1"/>
  <c r="W565" i="10"/>
  <c r="T565" i="10" s="1"/>
  <c r="W752" i="10"/>
  <c r="U752" i="10" s="1"/>
  <c r="W555" i="10"/>
  <c r="T555" i="10" s="1"/>
  <c r="W416" i="10"/>
  <c r="T416" i="10" s="1"/>
  <c r="W110" i="10"/>
  <c r="T110" i="10" s="1"/>
  <c r="W927" i="10"/>
  <c r="T927" i="10" s="1"/>
  <c r="W957" i="10"/>
  <c r="T957" i="10" s="1"/>
  <c r="W909" i="10"/>
  <c r="T909" i="10" s="1"/>
  <c r="X821" i="10"/>
  <c r="W687" i="10"/>
  <c r="T687" i="10" s="1"/>
  <c r="X679" i="10"/>
  <c r="W493" i="10"/>
  <c r="X853" i="10"/>
  <c r="X653" i="10"/>
  <c r="X925" i="10"/>
  <c r="X893" i="10"/>
  <c r="W743" i="10"/>
  <c r="W397" i="10"/>
  <c r="W731" i="10"/>
  <c r="W671" i="10"/>
  <c r="U671" i="10" s="1"/>
  <c r="W619" i="10"/>
  <c r="X514" i="10"/>
  <c r="W105" i="10"/>
  <c r="T105" i="10" s="1"/>
  <c r="W63" i="10"/>
  <c r="T63" i="10" s="1"/>
  <c r="W158" i="10"/>
  <c r="X41" i="10"/>
  <c r="W785" i="10"/>
  <c r="T785" i="10" s="1"/>
  <c r="W783" i="10"/>
  <c r="T783" i="10" s="1"/>
  <c r="X862" i="10"/>
  <c r="X904" i="10"/>
  <c r="X854" i="10"/>
  <c r="X829" i="10"/>
  <c r="W679" i="10"/>
  <c r="T679" i="10" s="1"/>
  <c r="X216" i="10"/>
  <c r="W184" i="10"/>
  <c r="T184" i="10" s="1"/>
  <c r="X25" i="10"/>
  <c r="X485" i="10"/>
  <c r="W232" i="10"/>
  <c r="T232" i="10" s="1"/>
  <c r="W653" i="10"/>
  <c r="W597" i="10"/>
  <c r="X414" i="10"/>
  <c r="X401" i="10"/>
  <c r="W695" i="10"/>
  <c r="U695" i="10" s="1"/>
  <c r="W419" i="10"/>
  <c r="T419" i="10" s="1"/>
  <c r="W737" i="10"/>
  <c r="T737" i="10" s="1"/>
  <c r="X724" i="10"/>
  <c r="X78" i="10"/>
  <c r="X518" i="10"/>
  <c r="W208" i="10"/>
  <c r="U208" i="10" s="1"/>
  <c r="X647" i="10"/>
  <c r="U647" i="10" s="1"/>
  <c r="X245" i="10"/>
  <c r="W569" i="10"/>
  <c r="X137" i="10"/>
  <c r="W73" i="10"/>
  <c r="T73" i="10" s="1"/>
  <c r="X780" i="10"/>
  <c r="X330" i="10"/>
  <c r="X869" i="10"/>
  <c r="U869" i="10" s="1"/>
  <c r="X734" i="10"/>
  <c r="U734" i="10" s="1"/>
  <c r="X974" i="10"/>
  <c r="W435" i="10"/>
  <c r="W581" i="10"/>
  <c r="T581" i="10" s="1"/>
  <c r="X901" i="10"/>
  <c r="U901" i="10" s="1"/>
  <c r="W727" i="10"/>
  <c r="T727" i="10" s="1"/>
  <c r="X250" i="10"/>
  <c r="X209" i="10"/>
  <c r="W856" i="10"/>
  <c r="T856" i="10" s="1"/>
  <c r="X928" i="10"/>
  <c r="W887" i="10"/>
  <c r="T887" i="10" s="1"/>
  <c r="X745" i="10"/>
  <c r="W216" i="10"/>
  <c r="T216" i="10" s="1"/>
  <c r="W517" i="10"/>
  <c r="U517" i="10" s="1"/>
  <c r="W755" i="10"/>
  <c r="T755" i="10" s="1"/>
  <c r="W373" i="10"/>
  <c r="T373" i="10" s="1"/>
  <c r="X881" i="10"/>
  <c r="W182" i="10"/>
  <c r="T182" i="10" s="1"/>
  <c r="W365" i="10"/>
  <c r="X17" i="10"/>
  <c r="X850" i="10"/>
  <c r="U850" i="10" s="1"/>
  <c r="X710" i="10"/>
  <c r="W230" i="10"/>
  <c r="T230" i="10" s="1"/>
  <c r="X466" i="10"/>
  <c r="W245" i="10"/>
  <c r="T245" i="10" s="1"/>
  <c r="X38" i="10"/>
  <c r="W780" i="10"/>
  <c r="T780" i="10" s="1"/>
  <c r="W61" i="10"/>
  <c r="T61" i="10" s="1"/>
  <c r="X934" i="10"/>
  <c r="X861" i="10"/>
  <c r="X436" i="10"/>
  <c r="W166" i="10"/>
  <c r="T166" i="10" s="1"/>
  <c r="X60" i="10"/>
  <c r="W224" i="10"/>
  <c r="T224" i="10" s="1"/>
  <c r="W192" i="10"/>
  <c r="X21" i="10"/>
  <c r="W664" i="10"/>
  <c r="T664" i="10" s="1"/>
  <c r="X646" i="10"/>
  <c r="W608" i="10"/>
  <c r="T608" i="10" s="1"/>
  <c r="W576" i="10"/>
  <c r="W440" i="10"/>
  <c r="T440" i="10" s="1"/>
  <c r="W411" i="10"/>
  <c r="U411" i="10" s="1"/>
  <c r="X231" i="10"/>
  <c r="X33" i="10"/>
  <c r="X90" i="10"/>
  <c r="U90" i="10" s="1"/>
  <c r="W269" i="10"/>
  <c r="X362" i="10"/>
  <c r="X338" i="10"/>
  <c r="W437" i="10"/>
  <c r="T437" i="10" s="1"/>
  <c r="X49" i="10"/>
  <c r="X855" i="10"/>
  <c r="W947" i="10"/>
  <c r="W29" i="10"/>
  <c r="W880" i="10"/>
  <c r="T880" i="10" s="1"/>
  <c r="W848" i="10"/>
  <c r="T848" i="10" s="1"/>
  <c r="W936" i="10"/>
  <c r="T936" i="10" s="1"/>
  <c r="W823" i="10"/>
  <c r="T823" i="10" s="1"/>
  <c r="W833" i="10"/>
  <c r="T833" i="10" s="1"/>
  <c r="W174" i="10"/>
  <c r="T174" i="10" s="1"/>
  <c r="X656" i="10"/>
  <c r="X910" i="10"/>
  <c r="W427" i="10"/>
  <c r="T427" i="10" s="1"/>
  <c r="W128" i="10"/>
  <c r="T128" i="10" s="1"/>
  <c r="W400" i="10"/>
  <c r="W637" i="10"/>
  <c r="X846" i="10"/>
  <c r="W198" i="10"/>
  <c r="T198" i="10" s="1"/>
  <c r="X546" i="10"/>
  <c r="W247" i="10"/>
  <c r="W611" i="10"/>
  <c r="X670" i="10"/>
  <c r="W623" i="10"/>
  <c r="T623" i="10" s="1"/>
  <c r="X346" i="10"/>
  <c r="X322" i="10"/>
  <c r="W104" i="10"/>
  <c r="X678" i="10"/>
  <c r="W855" i="10"/>
  <c r="T855" i="10" s="1"/>
  <c r="X667" i="10"/>
  <c r="U667" i="10" s="1"/>
  <c r="X575" i="10"/>
  <c r="U575" i="10" s="1"/>
  <c r="X909" i="10"/>
  <c r="X947" i="10"/>
  <c r="W861" i="10"/>
  <c r="X784" i="10"/>
  <c r="X290" i="10"/>
  <c r="X74" i="10"/>
  <c r="W80" i="10"/>
  <c r="W24" i="10"/>
  <c r="X567" i="10"/>
  <c r="X685" i="10"/>
  <c r="X579" i="10"/>
  <c r="X801" i="10"/>
  <c r="X865" i="10"/>
  <c r="X895" i="10"/>
  <c r="U895" i="10" s="1"/>
  <c r="X753" i="10"/>
  <c r="W944" i="10"/>
  <c r="T944" i="10" s="1"/>
  <c r="X165" i="10"/>
  <c r="W176" i="10"/>
  <c r="T176" i="10" s="1"/>
  <c r="W40" i="10"/>
  <c r="T40" i="10" s="1"/>
  <c r="X98" i="10"/>
  <c r="W56" i="10"/>
  <c r="X611" i="10"/>
  <c r="X651" i="10"/>
  <c r="U651" i="10" s="1"/>
  <c r="X725" i="10"/>
  <c r="X562" i="10"/>
  <c r="W414" i="10"/>
  <c r="T414" i="10" s="1"/>
  <c r="X168" i="10"/>
  <c r="X894" i="10"/>
  <c r="X773" i="10"/>
  <c r="X677" i="10"/>
  <c r="X425" i="10"/>
  <c r="X845" i="10"/>
  <c r="X675" i="10"/>
  <c r="X733" i="10"/>
  <c r="U733" i="10" s="1"/>
  <c r="X605" i="10"/>
  <c r="X595" i="10"/>
  <c r="X797" i="10"/>
  <c r="X715" i="10"/>
  <c r="U715" i="10" s="1"/>
  <c r="X247" i="10"/>
  <c r="W200" i="10"/>
  <c r="T200" i="10" s="1"/>
  <c r="X838" i="10"/>
  <c r="X933" i="10"/>
  <c r="X629" i="10"/>
  <c r="X659" i="10"/>
  <c r="U659" i="10" s="1"/>
  <c r="X417" i="10"/>
  <c r="U417" i="10" s="1"/>
  <c r="X942" i="10"/>
  <c r="X917" i="10"/>
  <c r="X979" i="10"/>
  <c r="X978" i="10"/>
  <c r="U978" i="10" s="1"/>
  <c r="X430" i="10"/>
  <c r="X696" i="10"/>
  <c r="W358" i="10"/>
  <c r="T358" i="10" s="1"/>
  <c r="X153" i="10"/>
  <c r="X80" i="10"/>
  <c r="X701" i="10"/>
  <c r="X597" i="10"/>
  <c r="X661" i="10"/>
  <c r="X435" i="10"/>
  <c r="X581" i="10"/>
  <c r="X66" i="10"/>
  <c r="X446" i="10"/>
  <c r="U446" i="10" s="1"/>
  <c r="X731" i="10"/>
  <c r="X462" i="10"/>
  <c r="X2" i="10"/>
  <c r="W7" i="10"/>
  <c r="T7" i="10" s="1"/>
  <c r="X3" i="10"/>
  <c r="W2" i="10"/>
  <c r="W432" i="10"/>
  <c r="T432" i="10" s="1"/>
  <c r="W928" i="10"/>
  <c r="T928" i="10" s="1"/>
  <c r="W72" i="10"/>
  <c r="T72" i="10" s="1"/>
  <c r="W64" i="10"/>
  <c r="T64" i="10" s="1"/>
  <c r="W168" i="10"/>
  <c r="T168" i="10" s="1"/>
  <c r="X864" i="10"/>
  <c r="W876" i="10"/>
  <c r="W813" i="10"/>
  <c r="W757" i="10"/>
  <c r="W794" i="10"/>
  <c r="W562" i="10"/>
  <c r="W688" i="10"/>
  <c r="X650" i="10"/>
  <c r="W362" i="10"/>
  <c r="W280" i="10"/>
  <c r="X499" i="10"/>
  <c r="X248" i="10"/>
  <c r="T235" i="10"/>
  <c r="W295" i="10"/>
  <c r="W212" i="10"/>
  <c r="X324" i="10"/>
  <c r="X320" i="10"/>
  <c r="X53" i="10"/>
  <c r="W39" i="10"/>
  <c r="T48" i="10"/>
  <c r="X984" i="10"/>
  <c r="W926" i="10"/>
  <c r="W958" i="10"/>
  <c r="W838" i="10"/>
  <c r="X944" i="10"/>
  <c r="W830" i="10"/>
  <c r="X960" i="10"/>
  <c r="X977" i="10"/>
  <c r="W985" i="10"/>
  <c r="W974" i="10"/>
  <c r="W886" i="10"/>
  <c r="W898" i="10"/>
  <c r="T895" i="10"/>
  <c r="W822" i="10"/>
  <c r="W923" i="10"/>
  <c r="T905" i="10"/>
  <c r="X883" i="10"/>
  <c r="X983" i="10"/>
  <c r="W959" i="10"/>
  <c r="X814" i="10"/>
  <c r="W871" i="10"/>
  <c r="X906" i="10"/>
  <c r="W874" i="10"/>
  <c r="W799" i="10"/>
  <c r="W763" i="10"/>
  <c r="X741" i="10"/>
  <c r="W932" i="10"/>
  <c r="W796" i="10"/>
  <c r="X930" i="10"/>
  <c r="X937" i="10"/>
  <c r="X831" i="10"/>
  <c r="T858" i="10"/>
  <c r="W699" i="10"/>
  <c r="W658" i="10"/>
  <c r="W602" i="10"/>
  <c r="W538" i="10"/>
  <c r="W474" i="10"/>
  <c r="X727" i="10"/>
  <c r="W642" i="10"/>
  <c r="W588" i="10"/>
  <c r="W819" i="10"/>
  <c r="W666" i="10"/>
  <c r="W609" i="10"/>
  <c r="W586" i="10"/>
  <c r="W729" i="10"/>
  <c r="X571" i="10"/>
  <c r="X967" i="10"/>
  <c r="W633" i="10"/>
  <c r="W570" i="10"/>
  <c r="X826" i="10"/>
  <c r="W712" i="10"/>
  <c r="W689" i="10"/>
  <c r="W660" i="10"/>
  <c r="X634" i="10"/>
  <c r="W519" i="10"/>
  <c r="X459" i="10"/>
  <c r="X437" i="10"/>
  <c r="X419" i="10"/>
  <c r="W410" i="10"/>
  <c r="T702" i="10"/>
  <c r="W648" i="10"/>
  <c r="W532" i="10"/>
  <c r="X489" i="10"/>
  <c r="W462" i="10"/>
  <c r="X427" i="10"/>
  <c r="X418" i="10"/>
  <c r="W378" i="10"/>
  <c r="W314" i="10"/>
  <c r="W250" i="10"/>
  <c r="W754" i="10"/>
  <c r="X614" i="10"/>
  <c r="W516" i="10"/>
  <c r="T486" i="10"/>
  <c r="W471" i="10"/>
  <c r="W426" i="10"/>
  <c r="X399" i="10"/>
  <c r="W520" i="10"/>
  <c r="X483" i="10"/>
  <c r="X528" i="10"/>
  <c r="W513" i="10"/>
  <c r="W487" i="10"/>
  <c r="W415" i="10"/>
  <c r="X730" i="10"/>
  <c r="W507" i="10"/>
  <c r="X456" i="10"/>
  <c r="X421" i="10"/>
  <c r="W550" i="10"/>
  <c r="W488" i="10"/>
  <c r="X439" i="10"/>
  <c r="T417" i="10"/>
  <c r="W402" i="10"/>
  <c r="X393" i="10"/>
  <c r="W367" i="10"/>
  <c r="W284" i="10"/>
  <c r="X472" i="10"/>
  <c r="X398" i="10"/>
  <c r="W352" i="10"/>
  <c r="W292" i="10"/>
  <c r="W521" i="10"/>
  <c r="W387" i="10"/>
  <c r="X296" i="10"/>
  <c r="W281" i="10"/>
  <c r="X372" i="10"/>
  <c r="X304" i="10"/>
  <c r="W289" i="10"/>
  <c r="W267" i="10"/>
  <c r="X249" i="10"/>
  <c r="X380" i="10"/>
  <c r="X339" i="10"/>
  <c r="X297" i="10"/>
  <c r="X271" i="10"/>
  <c r="X424" i="10"/>
  <c r="W351" i="10"/>
  <c r="X291" i="10"/>
  <c r="W476" i="10"/>
  <c r="W336" i="10"/>
  <c r="X299" i="10"/>
  <c r="X257" i="10"/>
  <c r="X222" i="10"/>
  <c r="X158" i="10"/>
  <c r="X545" i="10"/>
  <c r="X350" i="10"/>
  <c r="W178" i="10"/>
  <c r="W119" i="10"/>
  <c r="X88" i="10"/>
  <c r="X122" i="10"/>
  <c r="W343" i="10"/>
  <c r="X240" i="10"/>
  <c r="X218" i="10"/>
  <c r="W154" i="10"/>
  <c r="T129" i="10"/>
  <c r="U129" i="10"/>
  <c r="X67" i="10"/>
  <c r="T93" i="10"/>
  <c r="X260" i="10"/>
  <c r="W199" i="10"/>
  <c r="W135" i="10"/>
  <c r="X102" i="10"/>
  <c r="W175" i="10"/>
  <c r="W111" i="10"/>
  <c r="W283" i="10"/>
  <c r="X210" i="10"/>
  <c r="X146" i="10"/>
  <c r="X104" i="10"/>
  <c r="X63" i="10"/>
  <c r="W347" i="10"/>
  <c r="W226" i="10"/>
  <c r="T201" i="10"/>
  <c r="X167" i="10"/>
  <c r="U157" i="10"/>
  <c r="T157" i="10"/>
  <c r="W71" i="10"/>
  <c r="X207" i="10"/>
  <c r="T177" i="10"/>
  <c r="X143" i="10"/>
  <c r="X95" i="10"/>
  <c r="X64" i="10"/>
  <c r="W22" i="10"/>
  <c r="W55" i="10"/>
  <c r="X34" i="10"/>
  <c r="X6" i="10"/>
  <c r="W42" i="10"/>
  <c r="X52" i="10"/>
  <c r="W19" i="10"/>
  <c r="W27" i="10"/>
  <c r="X62" i="10"/>
  <c r="W35" i="10"/>
  <c r="X5" i="10"/>
  <c r="T956" i="10"/>
  <c r="W870" i="10"/>
  <c r="X966" i="10"/>
  <c r="W888" i="10"/>
  <c r="W866" i="10"/>
  <c r="T778" i="10"/>
  <c r="W698" i="10"/>
  <c r="W834" i="10"/>
  <c r="X719" i="10"/>
  <c r="T607" i="10"/>
  <c r="X610" i="10"/>
  <c r="X839" i="10"/>
  <c r="W684" i="10"/>
  <c r="W500" i="10"/>
  <c r="W298" i="10"/>
  <c r="W512" i="10"/>
  <c r="X548" i="10"/>
  <c r="W552" i="10"/>
  <c r="X379" i="10"/>
  <c r="W331" i="10"/>
  <c r="W361" i="10"/>
  <c r="X321" i="10"/>
  <c r="X142" i="10"/>
  <c r="W194" i="10"/>
  <c r="X100" i="10"/>
  <c r="X138" i="10"/>
  <c r="W13" i="10"/>
  <c r="X14" i="10"/>
  <c r="X952" i="10"/>
  <c r="W862" i="10"/>
  <c r="W902" i="10"/>
  <c r="T921" i="10"/>
  <c r="W986" i="10"/>
  <c r="W955" i="10"/>
  <c r="W894" i="10"/>
  <c r="X955" i="10"/>
  <c r="W943" i="10"/>
  <c r="W979" i="10"/>
  <c r="W976" i="10"/>
  <c r="X985" i="10"/>
  <c r="W942" i="10"/>
  <c r="W878" i="10"/>
  <c r="X898" i="10"/>
  <c r="W798" i="10"/>
  <c r="X822" i="10"/>
  <c r="X923" i="10"/>
  <c r="T869" i="10"/>
  <c r="W797" i="10"/>
  <c r="X959" i="10"/>
  <c r="W867" i="10"/>
  <c r="X874" i="10"/>
  <c r="W966" i="10"/>
  <c r="X932" i="10"/>
  <c r="W859" i="10"/>
  <c r="W827" i="10"/>
  <c r="W765" i="10"/>
  <c r="W916" i="10"/>
  <c r="W831" i="10"/>
  <c r="X935" i="10"/>
  <c r="W889" i="10"/>
  <c r="W860" i="10"/>
  <c r="X699" i="10"/>
  <c r="X658" i="10"/>
  <c r="W578" i="10"/>
  <c r="X602" i="10"/>
  <c r="W574" i="10"/>
  <c r="W530" i="10"/>
  <c r="W466" i="10"/>
  <c r="W795" i="10"/>
  <c r="X642" i="10"/>
  <c r="X588" i="10"/>
  <c r="X819" i="10"/>
  <c r="X666" i="10"/>
  <c r="T613" i="10"/>
  <c r="X609" i="10"/>
  <c r="X586" i="10"/>
  <c r="W790" i="10"/>
  <c r="X729" i="10"/>
  <c r="W610" i="10"/>
  <c r="W931" i="10"/>
  <c r="T912" i="10"/>
  <c r="X633" i="10"/>
  <c r="X569" i="10"/>
  <c r="T736" i="10"/>
  <c r="X689" i="10"/>
  <c r="X660" i="10"/>
  <c r="X623" i="10"/>
  <c r="W650" i="10"/>
  <c r="X519" i="10"/>
  <c r="W459" i="10"/>
  <c r="X410" i="10"/>
  <c r="X648" i="10"/>
  <c r="X532" i="10"/>
  <c r="W370" i="10"/>
  <c r="W306" i="10"/>
  <c r="W242" i="10"/>
  <c r="X516" i="10"/>
  <c r="X471" i="10"/>
  <c r="X426" i="10"/>
  <c r="W548" i="10"/>
  <c r="X520" i="10"/>
  <c r="W505" i="10"/>
  <c r="W483" i="10"/>
  <c r="W434" i="10"/>
  <c r="X513" i="10"/>
  <c r="X487" i="10"/>
  <c r="X415" i="10"/>
  <c r="W553" i="10"/>
  <c r="W503" i="10"/>
  <c r="X488" i="10"/>
  <c r="W473" i="10"/>
  <c r="T446" i="10"/>
  <c r="W444" i="10"/>
  <c r="X402" i="10"/>
  <c r="X367" i="10"/>
  <c r="W318" i="10"/>
  <c r="X284" i="10"/>
  <c r="X352" i="10"/>
  <c r="W337" i="10"/>
  <c r="X292" i="10"/>
  <c r="X521" i="10"/>
  <c r="W423" i="10"/>
  <c r="W383" i="10"/>
  <c r="X323" i="10"/>
  <c r="X281" i="10"/>
  <c r="W248" i="10"/>
  <c r="W368" i="10"/>
  <c r="X331" i="10"/>
  <c r="X289" i="10"/>
  <c r="W263" i="10"/>
  <c r="X615" i="10"/>
  <c r="W376" i="10"/>
  <c r="W339" i="10"/>
  <c r="W424" i="10"/>
  <c r="X351" i="10"/>
  <c r="W291" i="10"/>
  <c r="X476" i="10"/>
  <c r="X336" i="10"/>
  <c r="W321" i="10"/>
  <c r="W299" i="10"/>
  <c r="X214" i="10"/>
  <c r="U214" i="10" s="1"/>
  <c r="X150" i="10"/>
  <c r="W495" i="10"/>
  <c r="X178" i="10"/>
  <c r="X119" i="10"/>
  <c r="X343" i="10"/>
  <c r="T214" i="10"/>
  <c r="X154" i="10"/>
  <c r="T77" i="10"/>
  <c r="U77" i="10"/>
  <c r="X199" i="10"/>
  <c r="T169" i="10"/>
  <c r="U144" i="10"/>
  <c r="T144" i="10"/>
  <c r="X135" i="10"/>
  <c r="T125" i="10"/>
  <c r="W102" i="10"/>
  <c r="W3" i="10"/>
  <c r="T229" i="10"/>
  <c r="X175" i="10"/>
  <c r="X111" i="10"/>
  <c r="W238" i="10"/>
  <c r="W324" i="10"/>
  <c r="W103" i="10"/>
  <c r="W49" i="10"/>
  <c r="W388" i="10"/>
  <c r="W320" i="10"/>
  <c r="T239" i="10"/>
  <c r="X226" i="10"/>
  <c r="W162" i="10"/>
  <c r="X71" i="10"/>
  <c r="W202" i="10"/>
  <c r="W138" i="10"/>
  <c r="X94" i="10"/>
  <c r="X61" i="10"/>
  <c r="X7" i="10"/>
  <c r="T161" i="10"/>
  <c r="U161" i="10"/>
  <c r="W116" i="10"/>
  <c r="W53" i="10"/>
  <c r="W20" i="10"/>
  <c r="W50" i="10"/>
  <c r="W28" i="10"/>
  <c r="W11" i="10"/>
  <c r="W31" i="10"/>
  <c r="W4" i="10"/>
  <c r="X42" i="10"/>
  <c r="W14" i="10"/>
  <c r="W54" i="10"/>
  <c r="X19" i="10"/>
  <c r="X27" i="10"/>
  <c r="X35" i="10"/>
  <c r="W5" i="10"/>
  <c r="T5" i="10" s="1"/>
  <c r="W952" i="10"/>
  <c r="W836" i="10"/>
  <c r="X765" i="10"/>
  <c r="X578" i="10"/>
  <c r="W564" i="10"/>
  <c r="W938" i="10"/>
  <c r="W723" i="10"/>
  <c r="T470" i="10"/>
  <c r="W527" i="10"/>
  <c r="W348" i="10"/>
  <c r="X263" i="10"/>
  <c r="W256" i="10"/>
  <c r="U76" i="10"/>
  <c r="T76" i="10"/>
  <c r="X103" i="10"/>
  <c r="X50" i="10"/>
  <c r="X4" i="10"/>
  <c r="X788" i="10"/>
  <c r="X908" i="10"/>
  <c r="W919" i="10"/>
  <c r="W805" i="10"/>
  <c r="T776" i="10"/>
  <c r="W914" i="10"/>
  <c r="X888" i="10"/>
  <c r="W841" i="10"/>
  <c r="X866" i="10"/>
  <c r="W811" i="10"/>
  <c r="X794" i="10"/>
  <c r="W873" i="10"/>
  <c r="X815" i="10"/>
  <c r="X714" i="10"/>
  <c r="X698" i="10"/>
  <c r="W604" i="10"/>
  <c r="X834" i="10"/>
  <c r="W644" i="10"/>
  <c r="W625" i="10"/>
  <c r="W514" i="10"/>
  <c r="W748" i="10"/>
  <c r="T739" i="10"/>
  <c r="X668" i="10"/>
  <c r="X627" i="10"/>
  <c r="X585" i="10"/>
  <c r="X938" i="10"/>
  <c r="X779" i="10"/>
  <c r="X676" i="10"/>
  <c r="W560" i="10"/>
  <c r="X681" i="10"/>
  <c r="W839" i="10"/>
  <c r="X684" i="10"/>
  <c r="W620" i="10"/>
  <c r="X555" i="10"/>
  <c r="T747" i="10"/>
  <c r="X697" i="10"/>
  <c r="X657" i="10"/>
  <c r="W618" i="10"/>
  <c r="W580" i="10"/>
  <c r="X723" i="10"/>
  <c r="X500" i="10"/>
  <c r="W401" i="10"/>
  <c r="X527" i="10"/>
  <c r="W478" i="10"/>
  <c r="W409" i="10"/>
  <c r="W354" i="10"/>
  <c r="W290" i="10"/>
  <c r="X803" i="10"/>
  <c r="X540" i="10"/>
  <c r="X512" i="10"/>
  <c r="W497" i="10"/>
  <c r="X463" i="10"/>
  <c r="W544" i="10"/>
  <c r="X479" i="10"/>
  <c r="W425" i="10"/>
  <c r="W407" i="10"/>
  <c r="W722" i="10"/>
  <c r="X559" i="10"/>
  <c r="X552" i="10"/>
  <c r="W537" i="10"/>
  <c r="X468" i="10"/>
  <c r="X452" i="10"/>
  <c r="W680" i="10"/>
  <c r="W484" i="10"/>
  <c r="X443" i="10"/>
  <c r="W728" i="10"/>
  <c r="W596" i="10"/>
  <c r="X539" i="10"/>
  <c r="W515" i="10"/>
  <c r="W720" i="10"/>
  <c r="W382" i="10"/>
  <c r="X348" i="10"/>
  <c r="X280" i="10"/>
  <c r="W265" i="10"/>
  <c r="X454" i="10"/>
  <c r="W379" i="10"/>
  <c r="X288" i="10"/>
  <c r="W273" i="10"/>
  <c r="W499" i="10"/>
  <c r="W406" i="10"/>
  <c r="W364" i="10"/>
  <c r="W319" i="10"/>
  <c r="X259" i="10"/>
  <c r="X395" i="10"/>
  <c r="X353" i="10"/>
  <c r="W327" i="10"/>
  <c r="W502" i="10"/>
  <c r="X361" i="10"/>
  <c r="X335" i="10"/>
  <c r="X392" i="10"/>
  <c r="W377" i="10"/>
  <c r="X332" i="10"/>
  <c r="X287" i="10"/>
  <c r="X256" i="10"/>
  <c r="W385" i="10"/>
  <c r="W363" i="10"/>
  <c r="X295" i="10"/>
  <c r="W244" i="10"/>
  <c r="X198" i="10"/>
  <c r="X134" i="10"/>
  <c r="W172" i="10"/>
  <c r="X114" i="10"/>
  <c r="W195" i="10"/>
  <c r="W227" i="10"/>
  <c r="X212" i="10"/>
  <c r="W148" i="10"/>
  <c r="X194" i="10"/>
  <c r="X130" i="10"/>
  <c r="T78" i="10"/>
  <c r="X170" i="10"/>
  <c r="X106" i="10"/>
  <c r="W98" i="10"/>
  <c r="W191" i="10"/>
  <c r="W127" i="10"/>
  <c r="X83" i="10"/>
  <c r="W219" i="10"/>
  <c r="X204" i="10"/>
  <c r="W155" i="10"/>
  <c r="X140" i="10"/>
  <c r="X72" i="10"/>
  <c r="W33" i="10"/>
  <c r="W286" i="10"/>
  <c r="W220" i="10"/>
  <c r="T81" i="10"/>
  <c r="W57" i="10"/>
  <c r="W51" i="10"/>
  <c r="W18" i="10"/>
  <c r="W26" i="10"/>
  <c r="W43" i="10"/>
  <c r="W47" i="10"/>
  <c r="W59" i="10"/>
  <c r="X39" i="10"/>
  <c r="W91" i="10"/>
  <c r="X58" i="10"/>
  <c r="W971" i="10"/>
  <c r="W969" i="10"/>
  <c r="T949" i="10"/>
  <c r="W908" i="10"/>
  <c r="W787" i="10"/>
  <c r="X859" i="10"/>
  <c r="W935" i="10"/>
  <c r="W627" i="10"/>
  <c r="W779" i="10"/>
  <c r="X790" i="10"/>
  <c r="W697" i="10"/>
  <c r="W540" i="10"/>
  <c r="X434" i="10"/>
  <c r="X553" i="10"/>
  <c r="W323" i="10"/>
  <c r="W353" i="10"/>
  <c r="X376" i="10"/>
  <c r="W392" i="10"/>
  <c r="W287" i="10"/>
  <c r="U261" i="10"/>
  <c r="T261" i="10"/>
  <c r="W170" i="10"/>
  <c r="W83" i="10"/>
  <c r="W94" i="10"/>
  <c r="X28" i="10"/>
  <c r="X31" i="10"/>
  <c r="X59" i="10"/>
  <c r="W58" i="10"/>
  <c r="W963" i="10"/>
  <c r="W810" i="10"/>
  <c r="W882" i="10"/>
  <c r="W961" i="10"/>
  <c r="W782" i="10"/>
  <c r="X787" i="10"/>
  <c r="X757" i="10"/>
  <c r="T978" i="10"/>
  <c r="W968" i="10"/>
  <c r="W918" i="10"/>
  <c r="W854" i="10"/>
  <c r="W940" i="10"/>
  <c r="W875" i="10"/>
  <c r="X964" i="10"/>
  <c r="W922" i="10"/>
  <c r="W900" i="10"/>
  <c r="X807" i="10"/>
  <c r="U807" i="10" s="1"/>
  <c r="X958" i="10"/>
  <c r="X882" i="10"/>
  <c r="X961" i="10"/>
  <c r="W907" i="10"/>
  <c r="W892" i="10"/>
  <c r="X782" i="10"/>
  <c r="W835" i="10"/>
  <c r="X775" i="10"/>
  <c r="X805" i="10"/>
  <c r="W740" i="10"/>
  <c r="X914" i="10"/>
  <c r="W868" i="10"/>
  <c r="X841" i="10"/>
  <c r="X811" i="10"/>
  <c r="X873" i="10"/>
  <c r="W842" i="10"/>
  <c r="W815" i="10"/>
  <c r="W771" i="10"/>
  <c r="W707" i="10"/>
  <c r="W691" i="10"/>
  <c r="T651" i="10"/>
  <c r="X604" i="10"/>
  <c r="X824" i="10"/>
  <c r="X644" i="10"/>
  <c r="X625" i="10"/>
  <c r="X557" i="10"/>
  <c r="W506" i="10"/>
  <c r="X748" i="10"/>
  <c r="W665" i="10"/>
  <c r="W626" i="10"/>
  <c r="U584" i="10"/>
  <c r="X760" i="10"/>
  <c r="W673" i="10"/>
  <c r="T659" i="10"/>
  <c r="W674" i="10"/>
  <c r="W652" i="10"/>
  <c r="X620" i="10"/>
  <c r="X599" i="10"/>
  <c r="W705" i="10"/>
  <c r="W696" i="10"/>
  <c r="W656" i="10"/>
  <c r="X618" i="10"/>
  <c r="X580" i="10"/>
  <c r="X547" i="10"/>
  <c r="W496" i="10"/>
  <c r="W447" i="10"/>
  <c r="W683" i="10"/>
  <c r="W554" i="10"/>
  <c r="W508" i="10"/>
  <c r="X400" i="10"/>
  <c r="W346" i="10"/>
  <c r="W282" i="10"/>
  <c r="W536" i="10"/>
  <c r="X497" i="10"/>
  <c r="W450" i="10"/>
  <c r="W566" i="10"/>
  <c r="X544" i="10"/>
  <c r="X407" i="10"/>
  <c r="X722" i="10"/>
  <c r="W559" i="10"/>
  <c r="X537" i="10"/>
  <c r="W464" i="10"/>
  <c r="X680" i="10"/>
  <c r="X531" i="10"/>
  <c r="X484" i="10"/>
  <c r="W443" i="10"/>
  <c r="X728" i="10"/>
  <c r="X596" i="10"/>
  <c r="W539" i="10"/>
  <c r="W511" i="10"/>
  <c r="U477" i="10"/>
  <c r="T477" i="10"/>
  <c r="X720" i="10"/>
  <c r="W344" i="10"/>
  <c r="X307" i="10"/>
  <c r="X265" i="10"/>
  <c r="W682" i="10"/>
  <c r="T390" i="10"/>
  <c r="W375" i="10"/>
  <c r="X315" i="10"/>
  <c r="X273" i="10"/>
  <c r="X406" i="10"/>
  <c r="X364" i="10"/>
  <c r="X319" i="10"/>
  <c r="W259" i="10"/>
  <c r="W395" i="10"/>
  <c r="X327" i="10"/>
  <c r="W278" i="10"/>
  <c r="X502" i="10"/>
  <c r="W316" i="10"/>
  <c r="X377" i="10"/>
  <c r="W328" i="10"/>
  <c r="W268" i="10"/>
  <c r="X385" i="10"/>
  <c r="W359" i="10"/>
  <c r="W276" i="10"/>
  <c r="X244" i="10"/>
  <c r="X190" i="10"/>
  <c r="X126" i="10"/>
  <c r="W187" i="10"/>
  <c r="X172" i="10"/>
  <c r="X195" i="10"/>
  <c r="T255" i="10"/>
  <c r="X227" i="10"/>
  <c r="W163" i="10"/>
  <c r="X148" i="10"/>
  <c r="X191" i="10"/>
  <c r="X127" i="10"/>
  <c r="X219" i="10"/>
  <c r="X200" i="10"/>
  <c r="X155" i="10"/>
  <c r="X136" i="10"/>
  <c r="W25" i="10"/>
  <c r="X286" i="10"/>
  <c r="X220" i="10"/>
  <c r="W156" i="10"/>
  <c r="W279" i="10"/>
  <c r="W196" i="10"/>
  <c r="W132" i="10"/>
  <c r="X51" i="10"/>
  <c r="X18" i="10"/>
  <c r="X26" i="10"/>
  <c r="X43" i="10"/>
  <c r="X47" i="10"/>
  <c r="X91" i="10"/>
  <c r="U45" i="10"/>
  <c r="T45" i="10"/>
  <c r="W99" i="10"/>
  <c r="X867" i="10"/>
  <c r="X889" i="10"/>
  <c r="X795" i="10"/>
  <c r="W668" i="10"/>
  <c r="W676" i="10"/>
  <c r="W622" i="10"/>
  <c r="T529" i="10"/>
  <c r="W803" i="10"/>
  <c r="W463" i="10"/>
  <c r="X473" i="10"/>
  <c r="X337" i="10"/>
  <c r="X368" i="10"/>
  <c r="W615" i="10"/>
  <c r="W332" i="10"/>
  <c r="X363" i="10"/>
  <c r="T294" i="10"/>
  <c r="X238" i="10"/>
  <c r="W204" i="10"/>
  <c r="X202" i="10"/>
  <c r="W60" i="10"/>
  <c r="X20" i="10"/>
  <c r="X969" i="10"/>
  <c r="X876" i="10"/>
  <c r="X843" i="10"/>
  <c r="W929" i="10"/>
  <c r="X836" i="10"/>
  <c r="W982" i="10"/>
  <c r="U962" i="10"/>
  <c r="T962" i="10"/>
  <c r="X968" i="10"/>
  <c r="W910" i="10"/>
  <c r="W846" i="10"/>
  <c r="X940" i="10"/>
  <c r="X875" i="10"/>
  <c r="W851" i="10"/>
  <c r="W774" i="10"/>
  <c r="W964" i="10"/>
  <c r="X922" i="10"/>
  <c r="X900" i="10"/>
  <c r="W881" i="10"/>
  <c r="W844" i="10"/>
  <c r="X804" i="10"/>
  <c r="T849" i="10"/>
  <c r="U849" i="10"/>
  <c r="W884" i="10"/>
  <c r="W865" i="10"/>
  <c r="W806" i="10"/>
  <c r="X907" i="10"/>
  <c r="X892" i="10"/>
  <c r="X835" i="10"/>
  <c r="W775" i="10"/>
  <c r="W802" i="10"/>
  <c r="X740" i="10"/>
  <c r="W946" i="10"/>
  <c r="X868" i="10"/>
  <c r="U758" i="10"/>
  <c r="T758" i="10"/>
  <c r="X842" i="10"/>
  <c r="X771" i="10"/>
  <c r="W786" i="10"/>
  <c r="X707" i="10"/>
  <c r="X691" i="10"/>
  <c r="W601" i="10"/>
  <c r="W824" i="10"/>
  <c r="W641" i="10"/>
  <c r="W624" i="10"/>
  <c r="W498" i="10"/>
  <c r="X665" i="10"/>
  <c r="X626" i="10"/>
  <c r="W760" i="10"/>
  <c r="X673" i="10"/>
  <c r="W628" i="10"/>
  <c r="W721" i="10"/>
  <c r="X674" i="10"/>
  <c r="X652" i="10"/>
  <c r="W572" i="10"/>
  <c r="W617" i="10"/>
  <c r="W598" i="10"/>
  <c r="W828" i="10"/>
  <c r="T733" i="10"/>
  <c r="X705" i="10"/>
  <c r="X639" i="10"/>
  <c r="W577" i="10"/>
  <c r="W630" i="10"/>
  <c r="W547" i="10"/>
  <c r="X496" i="10"/>
  <c r="W481" i="10"/>
  <c r="X447" i="10"/>
  <c r="X683" i="10"/>
  <c r="T643" i="10"/>
  <c r="X554" i="10"/>
  <c r="X508" i="10"/>
  <c r="W460" i="10"/>
  <c r="W338" i="10"/>
  <c r="W274" i="10"/>
  <c r="X536" i="10"/>
  <c r="X450" i="10"/>
  <c r="X631" i="10"/>
  <c r="X566" i="10"/>
  <c r="W494" i="10"/>
  <c r="X416" i="10"/>
  <c r="W396" i="10"/>
  <c r="X464" i="10"/>
  <c r="W593" i="10"/>
  <c r="W531" i="10"/>
  <c r="W480" i="10"/>
  <c r="W431" i="10"/>
  <c r="W404" i="10"/>
  <c r="W535" i="10"/>
  <c r="X511" i="10"/>
  <c r="W458" i="10"/>
  <c r="T445" i="10"/>
  <c r="W433" i="10"/>
  <c r="X344" i="10"/>
  <c r="W329" i="10"/>
  <c r="W307" i="10"/>
  <c r="W236" i="10"/>
  <c r="X682" i="10"/>
  <c r="X375" i="10"/>
  <c r="W315" i="10"/>
  <c r="W360" i="10"/>
  <c r="W300" i="10"/>
  <c r="X251" i="10"/>
  <c r="W391" i="10"/>
  <c r="T357" i="10"/>
  <c r="W308" i="10"/>
  <c r="W252" i="10"/>
  <c r="W233" i="10"/>
  <c r="W455" i="10"/>
  <c r="X316" i="10"/>
  <c r="X275" i="10"/>
  <c r="X328" i="10"/>
  <c r="W313" i="10"/>
  <c r="X268" i="10"/>
  <c r="X359" i="10"/>
  <c r="W310" i="10"/>
  <c r="X276" i="10"/>
  <c r="W241" i="10"/>
  <c r="X182" i="10"/>
  <c r="X118" i="10"/>
  <c r="W384" i="10"/>
  <c r="X187" i="10"/>
  <c r="W108" i="10"/>
  <c r="W70" i="10"/>
  <c r="W180" i="10"/>
  <c r="W223" i="10"/>
  <c r="X163" i="10"/>
  <c r="W188" i="10"/>
  <c r="W124" i="10"/>
  <c r="W87" i="10"/>
  <c r="W228" i="10"/>
  <c r="W164" i="10"/>
  <c r="W66" i="10"/>
  <c r="W305" i="10"/>
  <c r="W215" i="10"/>
  <c r="W151" i="10"/>
  <c r="W186" i="10"/>
  <c r="W369" i="10"/>
  <c r="W171" i="10"/>
  <c r="X156" i="10"/>
  <c r="X279" i="10"/>
  <c r="W211" i="10"/>
  <c r="X196" i="10"/>
  <c r="W147" i="10"/>
  <c r="X132" i="10"/>
  <c r="W82" i="10"/>
  <c r="W46" i="10"/>
  <c r="W75" i="10"/>
  <c r="X15" i="10"/>
  <c r="W79" i="10"/>
  <c r="X23" i="10"/>
  <c r="W8" i="10"/>
  <c r="W36" i="10"/>
  <c r="T84" i="10"/>
  <c r="X99" i="10"/>
  <c r="X976" i="10"/>
  <c r="X919" i="10"/>
  <c r="X916" i="10"/>
  <c r="X860" i="10"/>
  <c r="W714" i="10"/>
  <c r="W681" i="10"/>
  <c r="W657" i="10"/>
  <c r="X505" i="10"/>
  <c r="W452" i="10"/>
  <c r="X515" i="10"/>
  <c r="W454" i="10"/>
  <c r="W288" i="10"/>
  <c r="X383" i="10"/>
  <c r="W335" i="10"/>
  <c r="T302" i="10"/>
  <c r="X206" i="10"/>
  <c r="X388" i="10"/>
  <c r="X116" i="10"/>
  <c r="X11" i="10"/>
  <c r="W950" i="10"/>
  <c r="X851" i="10"/>
  <c r="X774" i="10"/>
  <c r="W960" i="10"/>
  <c r="W899" i="10"/>
  <c r="T850" i="10"/>
  <c r="X844" i="10"/>
  <c r="W924" i="10"/>
  <c r="X911" i="10"/>
  <c r="U911" i="10" s="1"/>
  <c r="X884" i="10"/>
  <c r="W864" i="10"/>
  <c r="X806" i="10"/>
  <c r="W781" i="10"/>
  <c r="W975" i="10"/>
  <c r="W891" i="10"/>
  <c r="W809" i="10"/>
  <c r="W756" i="10"/>
  <c r="W749" i="10"/>
  <c r="X936" i="10"/>
  <c r="W890" i="10"/>
  <c r="X833" i="10"/>
  <c r="W764" i="10"/>
  <c r="X802" i="10"/>
  <c r="W951" i="10"/>
  <c r="X946" i="10"/>
  <c r="T901" i="10"/>
  <c r="W777" i="10"/>
  <c r="T750" i="10"/>
  <c r="W852" i="10"/>
  <c r="W769" i="10"/>
  <c r="W915" i="10"/>
  <c r="X786" i="10"/>
  <c r="X744" i="10"/>
  <c r="W706" i="10"/>
  <c r="W690" i="10"/>
  <c r="T639" i="10"/>
  <c r="T605" i="10"/>
  <c r="X601" i="10"/>
  <c r="T575" i="10"/>
  <c r="X641" i="10"/>
  <c r="X607" i="10"/>
  <c r="U607" i="10" s="1"/>
  <c r="W490" i="10"/>
  <c r="T735" i="10"/>
  <c r="T715" i="10"/>
  <c r="W672" i="10"/>
  <c r="T647" i="10"/>
  <c r="X628" i="10"/>
  <c r="W612" i="10"/>
  <c r="X591" i="10"/>
  <c r="X721" i="10"/>
  <c r="W649" i="10"/>
  <c r="X572" i="10"/>
  <c r="X812" i="10"/>
  <c r="X770" i="10"/>
  <c r="W636" i="10"/>
  <c r="X617" i="10"/>
  <c r="W594" i="10"/>
  <c r="X828" i="10"/>
  <c r="W713" i="10"/>
  <c r="W704" i="10"/>
  <c r="W638" i="10"/>
  <c r="X577" i="10"/>
  <c r="T694" i="10"/>
  <c r="X630" i="10"/>
  <c r="W543" i="10"/>
  <c r="X523" i="10"/>
  <c r="X481" i="10"/>
  <c r="W551" i="10"/>
  <c r="W504" i="10"/>
  <c r="X467" i="10"/>
  <c r="X460" i="10"/>
  <c r="W394" i="10"/>
  <c r="W330" i="10"/>
  <c r="W266" i="10"/>
  <c r="U709" i="10"/>
  <c r="T709" i="10"/>
  <c r="U501" i="10"/>
  <c r="T501" i="10"/>
  <c r="X475" i="10"/>
  <c r="W631" i="10"/>
  <c r="W524" i="10"/>
  <c r="X451" i="10"/>
  <c r="X491" i="10"/>
  <c r="X593" i="10"/>
  <c r="X480" i="10"/>
  <c r="W465" i="10"/>
  <c r="X431" i="10"/>
  <c r="X403" i="10"/>
  <c r="T654" i="10"/>
  <c r="U654" i="10"/>
  <c r="X535" i="10"/>
  <c r="W492" i="10"/>
  <c r="X458" i="10"/>
  <c r="X433" i="10"/>
  <c r="X371" i="10"/>
  <c r="X329" i="10"/>
  <c r="W303" i="10"/>
  <c r="X232" i="10"/>
  <c r="W356" i="10"/>
  <c r="T326" i="10"/>
  <c r="W311" i="10"/>
  <c r="X360" i="10"/>
  <c r="W345" i="10"/>
  <c r="X300" i="10"/>
  <c r="W251" i="10"/>
  <c r="X391" i="10"/>
  <c r="W342" i="10"/>
  <c r="X308" i="10"/>
  <c r="X252" i="10"/>
  <c r="X455" i="10"/>
  <c r="W312" i="10"/>
  <c r="W275" i="10"/>
  <c r="X405" i="10"/>
  <c r="X355" i="10"/>
  <c r="X313" i="10"/>
  <c r="W264" i="10"/>
  <c r="X243" i="10"/>
  <c r="W234" i="10"/>
  <c r="W340" i="10"/>
  <c r="W272" i="10"/>
  <c r="X241" i="10"/>
  <c r="X174" i="10"/>
  <c r="X110" i="10"/>
  <c r="X384" i="10"/>
  <c r="W183" i="10"/>
  <c r="W123" i="10"/>
  <c r="X108" i="10"/>
  <c r="X180" i="10"/>
  <c r="W442" i="10"/>
  <c r="X223" i="10"/>
  <c r="T213" i="10"/>
  <c r="W159" i="10"/>
  <c r="T90" i="10"/>
  <c r="W203" i="10"/>
  <c r="X188" i="10"/>
  <c r="W139" i="10"/>
  <c r="X124" i="10"/>
  <c r="X87" i="10"/>
  <c r="X228" i="10"/>
  <c r="W179" i="10"/>
  <c r="X164" i="10"/>
  <c r="W115" i="10"/>
  <c r="X305" i="10"/>
  <c r="X215" i="10"/>
  <c r="T160" i="10"/>
  <c r="X151" i="10"/>
  <c r="T65" i="10"/>
  <c r="X186" i="10"/>
  <c r="X369" i="10"/>
  <c r="X171" i="10"/>
  <c r="W107" i="10"/>
  <c r="W131" i="10"/>
  <c r="X211" i="10"/>
  <c r="X192" i="10"/>
  <c r="X147" i="10"/>
  <c r="X128" i="10"/>
  <c r="X68" i="10"/>
  <c r="W38" i="10"/>
  <c r="X75" i="10"/>
  <c r="W15" i="10"/>
  <c r="X79" i="10"/>
  <c r="W23" i="10"/>
  <c r="X8" i="10"/>
  <c r="X36" i="10"/>
  <c r="W44" i="10"/>
  <c r="X12" i="10"/>
  <c r="W984" i="10"/>
  <c r="W934" i="10"/>
  <c r="X798" i="10"/>
  <c r="W843" i="10"/>
  <c r="X791" i="10"/>
  <c r="T941" i="10"/>
  <c r="X827" i="10"/>
  <c r="W522" i="10"/>
  <c r="W585" i="10"/>
  <c r="X931" i="10"/>
  <c r="T632" i="10"/>
  <c r="W479" i="10"/>
  <c r="W468" i="10"/>
  <c r="X503" i="10"/>
  <c r="X444" i="10"/>
  <c r="X423" i="10"/>
  <c r="X495" i="10"/>
  <c r="W114" i="10"/>
  <c r="W130" i="10"/>
  <c r="W106" i="10"/>
  <c r="W140" i="10"/>
  <c r="W41" i="10"/>
  <c r="X162" i="10"/>
  <c r="X54" i="10"/>
  <c r="T981" i="10"/>
  <c r="U981" i="10"/>
  <c r="X986" i="10"/>
  <c r="X956" i="10"/>
  <c r="U956" i="10" s="1"/>
  <c r="W939" i="10"/>
  <c r="W977" i="10"/>
  <c r="X939" i="10"/>
  <c r="X899" i="10"/>
  <c r="X863" i="10"/>
  <c r="X772" i="10"/>
  <c r="X924" i="10"/>
  <c r="W883" i="10"/>
  <c r="T837" i="10"/>
  <c r="W983" i="10"/>
  <c r="X975" i="10"/>
  <c r="X891" i="10"/>
  <c r="W814" i="10"/>
  <c r="X871" i="10"/>
  <c r="X809" i="10"/>
  <c r="T762" i="10"/>
  <c r="X756" i="10"/>
  <c r="X749" i="10"/>
  <c r="W906" i="10"/>
  <c r="X890" i="10"/>
  <c r="X799" i="10"/>
  <c r="X764" i="10"/>
  <c r="W741" i="10"/>
  <c r="T818" i="10"/>
  <c r="X796" i="10"/>
  <c r="X951" i="10"/>
  <c r="W930" i="10"/>
  <c r="X777" i="10"/>
  <c r="W937" i="10"/>
  <c r="X852" i="10"/>
  <c r="X769" i="10"/>
  <c r="X915" i="10"/>
  <c r="W744" i="10"/>
  <c r="X706" i="10"/>
  <c r="X690" i="10"/>
  <c r="T640" i="10"/>
  <c r="U640" i="10"/>
  <c r="W606" i="10"/>
  <c r="W546" i="10"/>
  <c r="W482" i="10"/>
  <c r="T734" i="10"/>
  <c r="X612" i="10"/>
  <c r="W590" i="10"/>
  <c r="X649" i="10"/>
  <c r="W571" i="10"/>
  <c r="W967" i="10"/>
  <c r="W812" i="10"/>
  <c r="W770" i="10"/>
  <c r="X636" i="10"/>
  <c r="T616" i="10"/>
  <c r="X594" i="10"/>
  <c r="W826" i="10"/>
  <c r="X713" i="10"/>
  <c r="W634" i="10"/>
  <c r="X543" i="10"/>
  <c r="W523" i="10"/>
  <c r="W438" i="10"/>
  <c r="W420" i="10"/>
  <c r="X551" i="10"/>
  <c r="X504" i="10"/>
  <c r="W489" i="10"/>
  <c r="W467" i="10"/>
  <c r="X448" i="10"/>
  <c r="W428" i="10"/>
  <c r="W418" i="10"/>
  <c r="W386" i="10"/>
  <c r="W322" i="10"/>
  <c r="W258" i="10"/>
  <c r="X754" i="10"/>
  <c r="W614" i="10"/>
  <c r="W475" i="10"/>
  <c r="W399" i="10"/>
  <c r="X524" i="10"/>
  <c r="W451" i="10"/>
  <c r="W528" i="10"/>
  <c r="W491" i="10"/>
  <c r="W730" i="10"/>
  <c r="X507" i="10"/>
  <c r="X465" i="10"/>
  <c r="X440" i="10"/>
  <c r="W422" i="10"/>
  <c r="W526" i="10"/>
  <c r="X492" i="10"/>
  <c r="W457" i="10"/>
  <c r="W439" i="10"/>
  <c r="W393" i="10"/>
  <c r="W371" i="10"/>
  <c r="X303" i="10"/>
  <c r="W231" i="10"/>
  <c r="W472" i="10"/>
  <c r="W398" i="10"/>
  <c r="X356" i="10"/>
  <c r="X311" i="10"/>
  <c r="X387" i="10"/>
  <c r="X345" i="10"/>
  <c r="W296" i="10"/>
  <c r="W372" i="10"/>
  <c r="W304" i="10"/>
  <c r="X267" i="10"/>
  <c r="W249" i="10"/>
  <c r="W380" i="10"/>
  <c r="X312" i="10"/>
  <c r="W297" i="10"/>
  <c r="W271" i="10"/>
  <c r="W405" i="10"/>
  <c r="W355" i="10"/>
  <c r="X264" i="10"/>
  <c r="W243" i="10"/>
  <c r="X234" i="10"/>
  <c r="W374" i="10"/>
  <c r="X340" i="10"/>
  <c r="X272" i="10"/>
  <c r="W257" i="10"/>
  <c r="X230" i="10"/>
  <c r="X166" i="10"/>
  <c r="W545" i="10"/>
  <c r="W350" i="10"/>
  <c r="T254" i="10"/>
  <c r="T192" i="10"/>
  <c r="X183" i="10"/>
  <c r="T173" i="10"/>
  <c r="X123" i="10"/>
  <c r="W122" i="10"/>
  <c r="X442" i="10"/>
  <c r="W240" i="10"/>
  <c r="W218" i="10"/>
  <c r="U168" i="10"/>
  <c r="X159" i="10"/>
  <c r="W67" i="10"/>
  <c r="W260" i="10"/>
  <c r="X203" i="10"/>
  <c r="X184" i="10"/>
  <c r="X139" i="10"/>
  <c r="X120" i="10"/>
  <c r="X224" i="10"/>
  <c r="X179" i="10"/>
  <c r="X160" i="10"/>
  <c r="U160" i="10" s="1"/>
  <c r="X115" i="10"/>
  <c r="X84" i="10"/>
  <c r="U84" i="10" s="1"/>
  <c r="W17" i="10"/>
  <c r="X283" i="10"/>
  <c r="W210" i="10"/>
  <c r="W146" i="10"/>
  <c r="W86" i="10"/>
  <c r="X347" i="10"/>
  <c r="U221" i="10"/>
  <c r="T221" i="10"/>
  <c r="W167" i="10"/>
  <c r="X107" i="10"/>
  <c r="X131" i="10"/>
  <c r="W207" i="10"/>
  <c r="W143" i="10"/>
  <c r="W95" i="10"/>
  <c r="W30" i="10"/>
  <c r="X55" i="10"/>
  <c r="W34" i="10"/>
  <c r="W6" i="10"/>
  <c r="X44" i="10"/>
  <c r="W52" i="10"/>
  <c r="W12" i="10"/>
  <c r="W62" i="10"/>
  <c r="U189" i="10" l="1"/>
  <c r="U905" i="10"/>
  <c r="U768" i="10"/>
  <c r="U821" i="10"/>
  <c r="U529" i="10"/>
  <c r="U486" i="10"/>
  <c r="Z486" i="10" s="1"/>
  <c r="Q486" i="10" s="1"/>
  <c r="U81" i="10"/>
  <c r="U791" i="10"/>
  <c r="U686" i="10"/>
  <c r="T820" i="10"/>
  <c r="U436" i="10"/>
  <c r="Z436" i="10" s="1"/>
  <c r="Q436" i="10" s="1"/>
  <c r="U100" i="10"/>
  <c r="Z100" i="10" s="1"/>
  <c r="Q100" i="10" s="1"/>
  <c r="U945" i="10"/>
  <c r="Y945" i="10" s="1"/>
  <c r="T671" i="10"/>
  <c r="Y671" i="10" s="1"/>
  <c r="U29" i="10"/>
  <c r="U141" i="10"/>
  <c r="U113" i="10"/>
  <c r="AA113" i="10" s="1"/>
  <c r="U493" i="10"/>
  <c r="Y493" i="10" s="1"/>
  <c r="U192" i="10"/>
  <c r="U78" i="10"/>
  <c r="U635" i="10"/>
  <c r="U445" i="10"/>
  <c r="AA445" i="10" s="1"/>
  <c r="U747" i="10"/>
  <c r="Z747" i="10" s="1"/>
  <c r="Q747" i="10" s="1"/>
  <c r="T768" i="10"/>
  <c r="Y768" i="10" s="1"/>
  <c r="U403" i="10"/>
  <c r="Y403" i="10" s="1"/>
  <c r="U863" i="10"/>
  <c r="AA863" i="10" s="1"/>
  <c r="U829" i="10"/>
  <c r="Z829" i="10" s="1"/>
  <c r="Q829" i="10" s="1"/>
  <c r="U788" i="10"/>
  <c r="Y788" i="10" s="1"/>
  <c r="U525" i="10"/>
  <c r="Z525" i="10" s="1"/>
  <c r="Q525" i="10" s="1"/>
  <c r="T817" i="10"/>
  <c r="AA817" i="10" s="1"/>
  <c r="U309" i="10"/>
  <c r="U761" i="10"/>
  <c r="U591" i="10"/>
  <c r="U637" i="10"/>
  <c r="U48" i="10"/>
  <c r="Y48" i="10" s="1"/>
  <c r="U619" i="10"/>
  <c r="U913" i="10"/>
  <c r="U89" i="10"/>
  <c r="AA89" i="10" s="1"/>
  <c r="T493" i="10"/>
  <c r="U193" i="10"/>
  <c r="T913" i="10"/>
  <c r="U461" i="10"/>
  <c r="U441" i="10"/>
  <c r="AA441" i="10" s="1"/>
  <c r="U745" i="10"/>
  <c r="U121" i="10"/>
  <c r="U954" i="10"/>
  <c r="U920" i="10"/>
  <c r="U448" i="10"/>
  <c r="Z448" i="10" s="1"/>
  <c r="Q448" i="10" s="1"/>
  <c r="U599" i="10"/>
  <c r="AA599" i="10" s="1"/>
  <c r="U600" i="10"/>
  <c r="Z600" i="10" s="1"/>
  <c r="Q600" i="10" s="1"/>
  <c r="U294" i="10"/>
  <c r="U573" i="10"/>
  <c r="U948" i="10"/>
  <c r="AA948" i="10" s="1"/>
  <c r="U65" i="10"/>
  <c r="Z65" i="10" s="1"/>
  <c r="Q65" i="10" s="1"/>
  <c r="U201" i="10"/>
  <c r="U928" i="10"/>
  <c r="T29" i="10"/>
  <c r="U63" i="10"/>
  <c r="U693" i="10"/>
  <c r="Y693" i="10" s="1"/>
  <c r="U766" i="10"/>
  <c r="U896" i="10"/>
  <c r="U772" i="10"/>
  <c r="Y772" i="10" s="1"/>
  <c r="U217" i="10"/>
  <c r="T920" i="10"/>
  <c r="U149" i="10"/>
  <c r="Y149" i="10" s="1"/>
  <c r="U440" i="10"/>
  <c r="Z440" i="10" s="1"/>
  <c r="Q440" i="10" s="1"/>
  <c r="T896" i="10"/>
  <c r="U595" i="10"/>
  <c r="U725" i="10"/>
  <c r="U885" i="10"/>
  <c r="U285" i="10"/>
  <c r="AA285" i="10" s="1"/>
  <c r="U973" i="10"/>
  <c r="U24" i="10"/>
  <c r="U708" i="10"/>
  <c r="U181" i="10"/>
  <c r="T217" i="10"/>
  <c r="T637" i="10"/>
  <c r="U269" i="10"/>
  <c r="T766" i="10"/>
  <c r="U366" i="10"/>
  <c r="U710" i="10"/>
  <c r="U137" i="10"/>
  <c r="U903" i="10"/>
  <c r="U408" i="10"/>
  <c r="AA408" i="10" s="1"/>
  <c r="U785" i="10"/>
  <c r="T972" i="10"/>
  <c r="AA972" i="10" s="1"/>
  <c r="U293" i="10"/>
  <c r="U800" i="10"/>
  <c r="U646" i="10"/>
  <c r="U980" i="10"/>
  <c r="Z980" i="10" s="1"/>
  <c r="Q980" i="10" s="1"/>
  <c r="U825" i="10"/>
  <c r="Z825" i="10" s="1"/>
  <c r="Q825" i="10" s="1"/>
  <c r="U74" i="10"/>
  <c r="U724" i="10"/>
  <c r="U877" i="10"/>
  <c r="U742" i="10"/>
  <c r="U663" i="10"/>
  <c r="Z663" i="10" s="1"/>
  <c r="Q663" i="10" s="1"/>
  <c r="U669" i="10"/>
  <c r="U738" i="10"/>
  <c r="AA738" i="10" s="1"/>
  <c r="U381" i="10"/>
  <c r="U701" i="10"/>
  <c r="U773" i="10"/>
  <c r="U784" i="10"/>
  <c r="U670" i="10"/>
  <c r="Z670" i="10" s="1"/>
  <c r="Q670" i="10" s="1"/>
  <c r="U542" i="10"/>
  <c r="T208" i="10"/>
  <c r="U700" i="10"/>
  <c r="U789" i="10"/>
  <c r="U845" i="10"/>
  <c r="Z845" i="10" s="1"/>
  <c r="Q845" i="10" s="1"/>
  <c r="U879" i="10"/>
  <c r="U185" i="10"/>
  <c r="Y185" i="10" s="1"/>
  <c r="T903" i="10"/>
  <c r="U97" i="10"/>
  <c r="U533" i="10"/>
  <c r="U568" i="10"/>
  <c r="T663" i="10"/>
  <c r="T669" i="10"/>
  <c r="U134" i="10"/>
  <c r="U904" i="10"/>
  <c r="T845" i="10"/>
  <c r="U605" i="10"/>
  <c r="U109" i="10"/>
  <c r="U608" i="10"/>
  <c r="AA608" i="10" s="1"/>
  <c r="U32" i="10"/>
  <c r="U762" i="10"/>
  <c r="U225" i="10"/>
  <c r="U808" i="10"/>
  <c r="Y808" i="10" s="1"/>
  <c r="U804" i="10"/>
  <c r="Z804" i="10" s="1"/>
  <c r="Q804" i="10" s="1"/>
  <c r="U678" i="10"/>
  <c r="U662" i="10"/>
  <c r="U726" i="10"/>
  <c r="AA726" i="10" s="1"/>
  <c r="U561" i="10"/>
  <c r="U235" i="10"/>
  <c r="U558" i="10"/>
  <c r="T32" i="10"/>
  <c r="U776" i="10"/>
  <c r="U317" i="10"/>
  <c r="U421" i="10"/>
  <c r="U703" i="10"/>
  <c r="U152" i="10"/>
  <c r="U711" i="10"/>
  <c r="U857" i="10"/>
  <c r="U197" i="10"/>
  <c r="U430" i="10"/>
  <c r="Z430" i="10" s="1"/>
  <c r="Q430" i="10" s="1"/>
  <c r="U616" i="10"/>
  <c r="U213" i="10"/>
  <c r="U254" i="10"/>
  <c r="AA254" i="10" s="1"/>
  <c r="T703" i="10"/>
  <c r="U567" i="10"/>
  <c r="U732" i="10"/>
  <c r="U555" i="10"/>
  <c r="U237" i="10"/>
  <c r="T333" i="10"/>
  <c r="U92" i="10"/>
  <c r="U246" i="10"/>
  <c r="U416" i="10"/>
  <c r="U21" i="10"/>
  <c r="U176" i="10"/>
  <c r="U953" i="10"/>
  <c r="U840" i="10"/>
  <c r="AA840" i="10" s="1"/>
  <c r="U664" i="10"/>
  <c r="U437" i="10"/>
  <c r="U247" i="10"/>
  <c r="U325" i="10"/>
  <c r="U685" i="10"/>
  <c r="AA685" i="10" s="1"/>
  <c r="U485" i="10"/>
  <c r="U792" i="10"/>
  <c r="T247" i="10"/>
  <c r="T533" i="10"/>
  <c r="U412" i="10"/>
  <c r="U583" i="10"/>
  <c r="Z583" i="10" s="1"/>
  <c r="Q583" i="10" s="1"/>
  <c r="U751" i="10"/>
  <c r="U856" i="10"/>
  <c r="U69" i="10"/>
  <c r="U365" i="10"/>
  <c r="U112" i="10"/>
  <c r="U692" i="10"/>
  <c r="U96" i="10"/>
  <c r="U587" i="10"/>
  <c r="U136" i="10"/>
  <c r="U717" i="10"/>
  <c r="U832" i="10"/>
  <c r="U629" i="10"/>
  <c r="Z629" i="10" s="1"/>
  <c r="Q629" i="10" s="1"/>
  <c r="U557" i="10"/>
  <c r="U150" i="10"/>
  <c r="U80" i="10"/>
  <c r="U16" i="10"/>
  <c r="Y16" i="10" s="1"/>
  <c r="U429" i="10"/>
  <c r="U126" i="10"/>
  <c r="U927" i="10"/>
  <c r="U7" i="10"/>
  <c r="U349" i="10"/>
  <c r="AA349" i="10" s="1"/>
  <c r="U277" i="10"/>
  <c r="U897" i="10"/>
  <c r="U93" i="10"/>
  <c r="U645" i="10"/>
  <c r="U603" i="10"/>
  <c r="U101" i="10"/>
  <c r="T80" i="10"/>
  <c r="U965" i="10"/>
  <c r="U456" i="10"/>
  <c r="U783" i="10"/>
  <c r="Y783" i="10" s="1"/>
  <c r="U639" i="10"/>
  <c r="U432" i="10"/>
  <c r="U334" i="10"/>
  <c r="U556" i="10"/>
  <c r="U893" i="10"/>
  <c r="U933" i="10"/>
  <c r="T381" i="10"/>
  <c r="U767" i="10"/>
  <c r="T563" i="10"/>
  <c r="Y563" i="10" s="1"/>
  <c r="U270" i="10"/>
  <c r="AA270" i="10" s="1"/>
  <c r="T583" i="10"/>
  <c r="U153" i="10"/>
  <c r="T325" i="10"/>
  <c r="U872" i="10"/>
  <c r="T456" i="10"/>
  <c r="U145" i="10"/>
  <c r="U2" i="10"/>
  <c r="U909" i="10"/>
  <c r="U449" i="10"/>
  <c r="T893" i="10"/>
  <c r="U737" i="10"/>
  <c r="Y737" i="10" s="1"/>
  <c r="U581" i="10"/>
  <c r="Y581" i="10" s="1"/>
  <c r="U582" i="10"/>
  <c r="U653" i="10"/>
  <c r="U661" i="10"/>
  <c r="U357" i="10"/>
  <c r="U358" i="10"/>
  <c r="U117" i="10"/>
  <c r="U104" i="10"/>
  <c r="U509" i="10"/>
  <c r="U182" i="10"/>
  <c r="U133" i="10"/>
  <c r="T2" i="10"/>
  <c r="U746" i="10"/>
  <c r="U541" i="10"/>
  <c r="U743" i="10"/>
  <c r="U947" i="10"/>
  <c r="T621" i="10"/>
  <c r="AA621" i="10" s="1"/>
  <c r="U72" i="10"/>
  <c r="U677" i="10"/>
  <c r="U118" i="10"/>
  <c r="T461" i="10"/>
  <c r="U847" i="10"/>
  <c r="T970" i="10"/>
  <c r="U341" i="10"/>
  <c r="AA341" i="10" s="1"/>
  <c r="U389" i="10"/>
  <c r="U793" i="10"/>
  <c r="T752" i="10"/>
  <c r="U85" i="10"/>
  <c r="U716" i="10"/>
  <c r="U944" i="10"/>
  <c r="T653" i="10"/>
  <c r="U68" i="10"/>
  <c r="U174" i="10"/>
  <c r="U190" i="10"/>
  <c r="T413" i="10"/>
  <c r="Z413" i="10" s="1"/>
  <c r="Q413" i="10" s="1"/>
  <c r="U128" i="10"/>
  <c r="T695" i="10"/>
  <c r="T104" i="10"/>
  <c r="U534" i="10"/>
  <c r="U565" i="10"/>
  <c r="T453" i="10"/>
  <c r="Z453" i="10" s="1"/>
  <c r="Q453" i="10" s="1"/>
  <c r="U198" i="10"/>
  <c r="U623" i="10"/>
  <c r="U400" i="10"/>
  <c r="U780" i="10"/>
  <c r="U435" i="10"/>
  <c r="U569" i="10"/>
  <c r="U597" i="10"/>
  <c r="U925" i="10"/>
  <c r="U579" i="10"/>
  <c r="U184" i="10"/>
  <c r="U64" i="10"/>
  <c r="U816" i="10"/>
  <c r="T569" i="10"/>
  <c r="T24" i="10"/>
  <c r="U419" i="10"/>
  <c r="AA419" i="10" s="1"/>
  <c r="T655" i="10"/>
  <c r="U209" i="10"/>
  <c r="T597" i="10"/>
  <c r="T579" i="10"/>
  <c r="T133" i="10"/>
  <c r="T317" i="10"/>
  <c r="U679" i="10"/>
  <c r="U589" i="10"/>
  <c r="U230" i="10"/>
  <c r="T947" i="10"/>
  <c r="U936" i="10"/>
  <c r="T435" i="10"/>
  <c r="T400" i="10"/>
  <c r="U592" i="10"/>
  <c r="T925" i="10"/>
  <c r="U611" i="10"/>
  <c r="T112" i="10"/>
  <c r="T365" i="10"/>
  <c r="U518" i="10"/>
  <c r="U373" i="10"/>
  <c r="U675" i="10"/>
  <c r="U549" i="10"/>
  <c r="U222" i="10"/>
  <c r="U37" i="10"/>
  <c r="U510" i="10"/>
  <c r="U917" i="10"/>
  <c r="U158" i="10"/>
  <c r="U687" i="10"/>
  <c r="U165" i="10"/>
  <c r="U110" i="10"/>
  <c r="T189" i="10"/>
  <c r="U206" i="10"/>
  <c r="T743" i="10"/>
  <c r="T222" i="10"/>
  <c r="T587" i="10"/>
  <c r="T675" i="10"/>
  <c r="U731" i="10"/>
  <c r="U40" i="10"/>
  <c r="U801" i="10"/>
  <c r="U253" i="10"/>
  <c r="U142" i="10"/>
  <c r="U262" i="10"/>
  <c r="T158" i="10"/>
  <c r="T759" i="10"/>
  <c r="Y436" i="10"/>
  <c r="T165" i="10"/>
  <c r="T619" i="10"/>
  <c r="U166" i="10"/>
  <c r="Z166" i="10" s="1"/>
  <c r="Q166" i="10" s="1"/>
  <c r="U61" i="10"/>
  <c r="U719" i="10"/>
  <c r="U414" i="10"/>
  <c r="T589" i="10"/>
  <c r="U861" i="10"/>
  <c r="U427" i="10"/>
  <c r="U216" i="10"/>
  <c r="U105" i="10"/>
  <c r="U848" i="10"/>
  <c r="U853" i="10"/>
  <c r="T142" i="10"/>
  <c r="T469" i="10"/>
  <c r="T269" i="10"/>
  <c r="T801" i="10"/>
  <c r="T411" i="10"/>
  <c r="T293" i="10"/>
  <c r="U120" i="10"/>
  <c r="T731" i="10"/>
  <c r="U957" i="10"/>
  <c r="U755" i="10"/>
  <c r="U224" i="10"/>
  <c r="Z911" i="10"/>
  <c r="Q911" i="10" s="1"/>
  <c r="T603" i="10"/>
  <c r="T541" i="10"/>
  <c r="U833" i="10"/>
  <c r="U727" i="10"/>
  <c r="U245" i="10"/>
  <c r="U718" i="10"/>
  <c r="U880" i="10"/>
  <c r="T861" i="10"/>
  <c r="U232" i="10"/>
  <c r="U200" i="10"/>
  <c r="U88" i="10"/>
  <c r="Y88" i="10" s="1"/>
  <c r="U753" i="10"/>
  <c r="T611" i="10"/>
  <c r="T301" i="10"/>
  <c r="T205" i="10"/>
  <c r="T517" i="10"/>
  <c r="T700" i="10"/>
  <c r="T309" i="10"/>
  <c r="U73" i="10"/>
  <c r="U855" i="10"/>
  <c r="U56" i="10"/>
  <c r="T56" i="10"/>
  <c r="U887" i="10"/>
  <c r="U823" i="10"/>
  <c r="U397" i="10"/>
  <c r="T397" i="10"/>
  <c r="T576" i="10"/>
  <c r="U576" i="10"/>
  <c r="Y911" i="10"/>
  <c r="Z214" i="10"/>
  <c r="Q214" i="10" s="1"/>
  <c r="Z607" i="10"/>
  <c r="Q607" i="10" s="1"/>
  <c r="Y160" i="10"/>
  <c r="AA804" i="10"/>
  <c r="U115" i="10"/>
  <c r="T115" i="10"/>
  <c r="U312" i="10"/>
  <c r="T312" i="10"/>
  <c r="U266" i="10"/>
  <c r="T266" i="10"/>
  <c r="Z901" i="10"/>
  <c r="Q901" i="10" s="1"/>
  <c r="Y901" i="10"/>
  <c r="AA901" i="10"/>
  <c r="T276" i="10"/>
  <c r="U276" i="10"/>
  <c r="U842" i="10"/>
  <c r="T842" i="10"/>
  <c r="U155" i="10"/>
  <c r="T155" i="10"/>
  <c r="T406" i="10"/>
  <c r="U406" i="10"/>
  <c r="U578" i="10"/>
  <c r="T578" i="10"/>
  <c r="U415" i="10"/>
  <c r="T415" i="10"/>
  <c r="Y486" i="10"/>
  <c r="U609" i="10"/>
  <c r="T609" i="10"/>
  <c r="U799" i="10"/>
  <c r="T799" i="10"/>
  <c r="U12" i="10"/>
  <c r="T12" i="10"/>
  <c r="U218" i="10"/>
  <c r="T218" i="10"/>
  <c r="T380" i="10"/>
  <c r="U380" i="10"/>
  <c r="U249" i="10"/>
  <c r="T249" i="10"/>
  <c r="U451" i="10"/>
  <c r="T451" i="10"/>
  <c r="U399" i="10"/>
  <c r="T399" i="10"/>
  <c r="U322" i="10"/>
  <c r="T322" i="10"/>
  <c r="U523" i="10"/>
  <c r="T523" i="10"/>
  <c r="U967" i="10"/>
  <c r="T967" i="10"/>
  <c r="U546" i="10"/>
  <c r="T546" i="10"/>
  <c r="Y829" i="10"/>
  <c r="U130" i="10"/>
  <c r="T130" i="10"/>
  <c r="U131" i="10"/>
  <c r="T131" i="10"/>
  <c r="U264" i="10"/>
  <c r="T264" i="10"/>
  <c r="Y654" i="10"/>
  <c r="AA654" i="10"/>
  <c r="Z654" i="10"/>
  <c r="Q654" i="10" s="1"/>
  <c r="U690" i="10"/>
  <c r="T690" i="10"/>
  <c r="U891" i="10"/>
  <c r="T891" i="10"/>
  <c r="T454" i="10"/>
  <c r="U454" i="10"/>
  <c r="U75" i="10"/>
  <c r="T75" i="10"/>
  <c r="U82" i="10"/>
  <c r="T82" i="10"/>
  <c r="U147" i="10"/>
  <c r="T147" i="10"/>
  <c r="U211" i="10"/>
  <c r="T211" i="10"/>
  <c r="U369" i="10"/>
  <c r="T369" i="10"/>
  <c r="T310" i="10"/>
  <c r="U310" i="10"/>
  <c r="T252" i="10"/>
  <c r="U252" i="10"/>
  <c r="T236" i="10"/>
  <c r="U236" i="10"/>
  <c r="Z445" i="10"/>
  <c r="Q445" i="10" s="1"/>
  <c r="T630" i="10"/>
  <c r="U630" i="10"/>
  <c r="T598" i="10"/>
  <c r="U598" i="10"/>
  <c r="T624" i="10"/>
  <c r="U624" i="10"/>
  <c r="U775" i="10"/>
  <c r="T775" i="10"/>
  <c r="AA945" i="10"/>
  <c r="Z945" i="10"/>
  <c r="Q945" i="10" s="1"/>
  <c r="U774" i="10"/>
  <c r="T774" i="10"/>
  <c r="Y962" i="10"/>
  <c r="Z962" i="10"/>
  <c r="Q962" i="10" s="1"/>
  <c r="AA962" i="10"/>
  <c r="T268" i="10"/>
  <c r="U268" i="10"/>
  <c r="U328" i="10"/>
  <c r="T328" i="10"/>
  <c r="U464" i="10"/>
  <c r="T464" i="10"/>
  <c r="U665" i="10"/>
  <c r="T665" i="10"/>
  <c r="Z807" i="10"/>
  <c r="Q807" i="10" s="1"/>
  <c r="Y807" i="10"/>
  <c r="U961" i="10"/>
  <c r="T961" i="10"/>
  <c r="U779" i="10"/>
  <c r="T779" i="10"/>
  <c r="U627" i="10"/>
  <c r="T627" i="10"/>
  <c r="Y949" i="10"/>
  <c r="AA949" i="10"/>
  <c r="Z949" i="10"/>
  <c r="Q949" i="10" s="1"/>
  <c r="U91" i="10"/>
  <c r="T91" i="10"/>
  <c r="U57" i="10"/>
  <c r="T57" i="10"/>
  <c r="U148" i="10"/>
  <c r="T148" i="10"/>
  <c r="U195" i="10"/>
  <c r="T195" i="10"/>
  <c r="U596" i="10"/>
  <c r="T596" i="10"/>
  <c r="U537" i="10"/>
  <c r="T537" i="10"/>
  <c r="T409" i="10"/>
  <c r="U409" i="10"/>
  <c r="T401" i="10"/>
  <c r="U401" i="10"/>
  <c r="U580" i="10"/>
  <c r="T580" i="10"/>
  <c r="U618" i="10"/>
  <c r="T618" i="10"/>
  <c r="Z739" i="10"/>
  <c r="Q739" i="10" s="1"/>
  <c r="AA739" i="10"/>
  <c r="Y739" i="10"/>
  <c r="U644" i="10"/>
  <c r="T644" i="10"/>
  <c r="T805" i="10"/>
  <c r="U805" i="10"/>
  <c r="Z470" i="10"/>
  <c r="Q470" i="10" s="1"/>
  <c r="Y470" i="10"/>
  <c r="AA470" i="10"/>
  <c r="U11" i="10"/>
  <c r="T11" i="10"/>
  <c r="U20" i="10"/>
  <c r="T20" i="10"/>
  <c r="U53" i="10"/>
  <c r="T53" i="10"/>
  <c r="Y161" i="10"/>
  <c r="Z161" i="10"/>
  <c r="Q161" i="10" s="1"/>
  <c r="AA161" i="10"/>
  <c r="Z113" i="10"/>
  <c r="Q113" i="10" s="1"/>
  <c r="Y113" i="10"/>
  <c r="U202" i="10"/>
  <c r="T202" i="10"/>
  <c r="Z239" i="10"/>
  <c r="Q239" i="10" s="1"/>
  <c r="Y239" i="10"/>
  <c r="AA239" i="10"/>
  <c r="Y125" i="10"/>
  <c r="Z125" i="10"/>
  <c r="Q125" i="10" s="1"/>
  <c r="AA125" i="10"/>
  <c r="U248" i="10"/>
  <c r="T248" i="10"/>
  <c r="U483" i="10"/>
  <c r="T483" i="10"/>
  <c r="U505" i="10"/>
  <c r="T505" i="10"/>
  <c r="U610" i="10"/>
  <c r="T610" i="10"/>
  <c r="T574" i="10"/>
  <c r="U574" i="10"/>
  <c r="T862" i="10"/>
  <c r="U862" i="10"/>
  <c r="U194" i="10"/>
  <c r="T194" i="10"/>
  <c r="U552" i="10"/>
  <c r="T552" i="10"/>
  <c r="T175" i="10"/>
  <c r="U175" i="10"/>
  <c r="T135" i="10"/>
  <c r="U135" i="10"/>
  <c r="T476" i="10"/>
  <c r="U476" i="10"/>
  <c r="U281" i="10"/>
  <c r="T281" i="10"/>
  <c r="T292" i="10"/>
  <c r="U292" i="10"/>
  <c r="U352" i="10"/>
  <c r="T352" i="10"/>
  <c r="U507" i="10"/>
  <c r="T507" i="10"/>
  <c r="U487" i="10"/>
  <c r="T487" i="10"/>
  <c r="U729" i="10"/>
  <c r="T729" i="10"/>
  <c r="U474" i="10"/>
  <c r="T474" i="10"/>
  <c r="U699" i="10"/>
  <c r="T699" i="10"/>
  <c r="U822" i="10"/>
  <c r="T822" i="10"/>
  <c r="U898" i="10"/>
  <c r="T898" i="10"/>
  <c r="T830" i="10"/>
  <c r="U830" i="10"/>
  <c r="T838" i="10"/>
  <c r="U838" i="10"/>
  <c r="U212" i="10"/>
  <c r="T212" i="10"/>
  <c r="Y84" i="10"/>
  <c r="Y173" i="10"/>
  <c r="AA173" i="10"/>
  <c r="Z173" i="10"/>
  <c r="Q173" i="10" s="1"/>
  <c r="U465" i="10"/>
  <c r="T465" i="10"/>
  <c r="U764" i="10"/>
  <c r="T764" i="10"/>
  <c r="T864" i="10"/>
  <c r="U864" i="10"/>
  <c r="Z302" i="10"/>
  <c r="Q302" i="10" s="1"/>
  <c r="Y302" i="10"/>
  <c r="AA302" i="10"/>
  <c r="U228" i="10"/>
  <c r="T228" i="10"/>
  <c r="Z643" i="10"/>
  <c r="Q643" i="10" s="1"/>
  <c r="AA643" i="10"/>
  <c r="Y643" i="10"/>
  <c r="U815" i="10"/>
  <c r="T815" i="10"/>
  <c r="T238" i="10"/>
  <c r="U238" i="10"/>
  <c r="U495" i="10"/>
  <c r="T495" i="10"/>
  <c r="AA417" i="10"/>
  <c r="Y417" i="10"/>
  <c r="Z417" i="10"/>
  <c r="Q417" i="10" s="1"/>
  <c r="T143" i="10"/>
  <c r="U143" i="10"/>
  <c r="T86" i="10"/>
  <c r="U86" i="10"/>
  <c r="U67" i="10"/>
  <c r="T67" i="10"/>
  <c r="U355" i="10"/>
  <c r="T355" i="10"/>
  <c r="T372" i="10"/>
  <c r="U372" i="10"/>
  <c r="U231" i="10"/>
  <c r="T231" i="10"/>
  <c r="U439" i="10"/>
  <c r="T439" i="10"/>
  <c r="T457" i="10"/>
  <c r="U457" i="10"/>
  <c r="U418" i="10"/>
  <c r="T418" i="10"/>
  <c r="AA734" i="10"/>
  <c r="Y734" i="10"/>
  <c r="Z734" i="10"/>
  <c r="Q734" i="10" s="1"/>
  <c r="U977" i="10"/>
  <c r="T977" i="10"/>
  <c r="U41" i="10"/>
  <c r="T41" i="10"/>
  <c r="U479" i="10"/>
  <c r="T479" i="10"/>
  <c r="AA632" i="10"/>
  <c r="Z632" i="10"/>
  <c r="Q632" i="10" s="1"/>
  <c r="Y632" i="10"/>
  <c r="U179" i="10"/>
  <c r="T179" i="10"/>
  <c r="Y326" i="10"/>
  <c r="AA326" i="10"/>
  <c r="Z326" i="10"/>
  <c r="Q326" i="10" s="1"/>
  <c r="Z403" i="10"/>
  <c r="Q403" i="10" s="1"/>
  <c r="Y685" i="10"/>
  <c r="Z685" i="10"/>
  <c r="Q685" i="10" s="1"/>
  <c r="T524" i="10"/>
  <c r="U524" i="10"/>
  <c r="Y928" i="10"/>
  <c r="AA928" i="10"/>
  <c r="Z928" i="10"/>
  <c r="Q928" i="10" s="1"/>
  <c r="U636" i="10"/>
  <c r="T636" i="10"/>
  <c r="Y647" i="10"/>
  <c r="AA647" i="10"/>
  <c r="Z647" i="10"/>
  <c r="Q647" i="10" s="1"/>
  <c r="U490" i="10"/>
  <c r="T490" i="10"/>
  <c r="AA750" i="10"/>
  <c r="Y750" i="10"/>
  <c r="Z750" i="10"/>
  <c r="Q750" i="10" s="1"/>
  <c r="U951" i="10"/>
  <c r="T951" i="10"/>
  <c r="U749" i="10"/>
  <c r="T749" i="10"/>
  <c r="Z850" i="10"/>
  <c r="Q850" i="10" s="1"/>
  <c r="Y850" i="10"/>
  <c r="AA850" i="10"/>
  <c r="T8" i="10"/>
  <c r="U8" i="10"/>
  <c r="U79" i="10"/>
  <c r="T79" i="10"/>
  <c r="T46" i="10"/>
  <c r="U46" i="10"/>
  <c r="T151" i="10"/>
  <c r="U151" i="10"/>
  <c r="T223" i="10"/>
  <c r="U223" i="10"/>
  <c r="U180" i="10"/>
  <c r="T180" i="10"/>
  <c r="T460" i="10"/>
  <c r="U460" i="10"/>
  <c r="Z733" i="10"/>
  <c r="Q733" i="10" s="1"/>
  <c r="Y733" i="10"/>
  <c r="AA733" i="10"/>
  <c r="Z745" i="10"/>
  <c r="Q745" i="10" s="1"/>
  <c r="Y745" i="10"/>
  <c r="AA745" i="10"/>
  <c r="U964" i="10"/>
  <c r="T964" i="10"/>
  <c r="T910" i="10"/>
  <c r="U910" i="10"/>
  <c r="Z529" i="10"/>
  <c r="Q529" i="10" s="1"/>
  <c r="AA529" i="10"/>
  <c r="Y529" i="10"/>
  <c r="U279" i="10"/>
  <c r="T279" i="10"/>
  <c r="U163" i="10"/>
  <c r="T163" i="10"/>
  <c r="Z390" i="10"/>
  <c r="Q390" i="10" s="1"/>
  <c r="Y390" i="10"/>
  <c r="AA390" i="10"/>
  <c r="T566" i="10"/>
  <c r="U566" i="10"/>
  <c r="T696" i="10"/>
  <c r="U696" i="10"/>
  <c r="Z659" i="10"/>
  <c r="Q659" i="10" s="1"/>
  <c r="Y659" i="10"/>
  <c r="AA659" i="10"/>
  <c r="U707" i="10"/>
  <c r="T707" i="10"/>
  <c r="U835" i="10"/>
  <c r="T835" i="10"/>
  <c r="T918" i="10"/>
  <c r="U918" i="10"/>
  <c r="U968" i="10"/>
  <c r="T968" i="10"/>
  <c r="U782" i="10"/>
  <c r="T782" i="10"/>
  <c r="U59" i="10"/>
  <c r="T59" i="10"/>
  <c r="U18" i="10"/>
  <c r="T18" i="10"/>
  <c r="T286" i="10"/>
  <c r="U286" i="10"/>
  <c r="U227" i="10"/>
  <c r="T227" i="10"/>
  <c r="U354" i="10"/>
  <c r="T354" i="10"/>
  <c r="U938" i="10"/>
  <c r="T938" i="10"/>
  <c r="U31" i="10"/>
  <c r="T31" i="10"/>
  <c r="T3" i="10"/>
  <c r="U3" i="10"/>
  <c r="U299" i="10"/>
  <c r="T299" i="10"/>
  <c r="U321" i="10"/>
  <c r="T321" i="10"/>
  <c r="U424" i="10"/>
  <c r="T424" i="10"/>
  <c r="U263" i="10"/>
  <c r="T263" i="10"/>
  <c r="U337" i="10"/>
  <c r="T337" i="10"/>
  <c r="T318" i="10"/>
  <c r="U318" i="10"/>
  <c r="T444" i="10"/>
  <c r="U444" i="10"/>
  <c r="AA686" i="10"/>
  <c r="Y686" i="10"/>
  <c r="Z686" i="10"/>
  <c r="Q686" i="10" s="1"/>
  <c r="U503" i="10"/>
  <c r="T503" i="10"/>
  <c r="U553" i="10"/>
  <c r="T553" i="10"/>
  <c r="U306" i="10"/>
  <c r="T306" i="10"/>
  <c r="U459" i="10"/>
  <c r="T459" i="10"/>
  <c r="U795" i="10"/>
  <c r="T795" i="10"/>
  <c r="U916" i="10"/>
  <c r="T916" i="10"/>
  <c r="U765" i="10"/>
  <c r="T765" i="10"/>
  <c r="U966" i="10"/>
  <c r="T966" i="10"/>
  <c r="T797" i="10"/>
  <c r="U797" i="10"/>
  <c r="AA921" i="10"/>
  <c r="Z921" i="10"/>
  <c r="Q921" i="10" s="1"/>
  <c r="Y921" i="10"/>
  <c r="U35" i="10"/>
  <c r="T35" i="10"/>
  <c r="AA177" i="10"/>
  <c r="Z177" i="10"/>
  <c r="Q177" i="10" s="1"/>
  <c r="Y177" i="10"/>
  <c r="U71" i="10"/>
  <c r="T71" i="10"/>
  <c r="Z176" i="10"/>
  <c r="Q176" i="10" s="1"/>
  <c r="Y176" i="10"/>
  <c r="U283" i="10"/>
  <c r="T283" i="10"/>
  <c r="U488" i="10"/>
  <c r="T488" i="10"/>
  <c r="U520" i="10"/>
  <c r="T520" i="10"/>
  <c r="U250" i="10"/>
  <c r="T250" i="10"/>
  <c r="T532" i="10"/>
  <c r="U532" i="10"/>
  <c r="U689" i="10"/>
  <c r="T689" i="10"/>
  <c r="U588" i="10"/>
  <c r="T588" i="10"/>
  <c r="U874" i="10"/>
  <c r="T874" i="10"/>
  <c r="U959" i="10"/>
  <c r="T959" i="10"/>
  <c r="AA905" i="10"/>
  <c r="Z905" i="10"/>
  <c r="Q905" i="10" s="1"/>
  <c r="Y905" i="10"/>
  <c r="U985" i="10"/>
  <c r="T985" i="10"/>
  <c r="T926" i="10"/>
  <c r="U926" i="10"/>
  <c r="Z567" i="10"/>
  <c r="Q567" i="10" s="1"/>
  <c r="Y567" i="10"/>
  <c r="T813" i="10"/>
  <c r="U813" i="10"/>
  <c r="U296" i="10"/>
  <c r="T296" i="10"/>
  <c r="U275" i="10"/>
  <c r="T275" i="10"/>
  <c r="U171" i="10"/>
  <c r="T171" i="10"/>
  <c r="T946" i="10"/>
  <c r="U946" i="10"/>
  <c r="U908" i="10"/>
  <c r="T908" i="10"/>
  <c r="T502" i="10"/>
  <c r="U502" i="10"/>
  <c r="U914" i="10"/>
  <c r="T914" i="10"/>
  <c r="U39" i="10"/>
  <c r="T39" i="10"/>
  <c r="T62" i="10"/>
  <c r="U62" i="10"/>
  <c r="Z254" i="10"/>
  <c r="Q254" i="10" s="1"/>
  <c r="U243" i="10"/>
  <c r="T243" i="10"/>
  <c r="T614" i="10"/>
  <c r="U614" i="10"/>
  <c r="U258" i="10"/>
  <c r="T258" i="10"/>
  <c r="U634" i="10"/>
  <c r="T634" i="10"/>
  <c r="U826" i="10"/>
  <c r="T826" i="10"/>
  <c r="U812" i="10"/>
  <c r="T812" i="10"/>
  <c r="U482" i="10"/>
  <c r="T482" i="10"/>
  <c r="U937" i="10"/>
  <c r="T937" i="10"/>
  <c r="U106" i="10"/>
  <c r="T106" i="10"/>
  <c r="U843" i="10"/>
  <c r="T843" i="10"/>
  <c r="AA185" i="10"/>
  <c r="U123" i="10"/>
  <c r="T123" i="10"/>
  <c r="T342" i="10"/>
  <c r="U342" i="10"/>
  <c r="U345" i="10"/>
  <c r="T345" i="10"/>
  <c r="U551" i="10"/>
  <c r="T551" i="10"/>
  <c r="U713" i="10"/>
  <c r="T713" i="10"/>
  <c r="U594" i="10"/>
  <c r="T594" i="10"/>
  <c r="U649" i="10"/>
  <c r="T649" i="10"/>
  <c r="U612" i="10"/>
  <c r="T612" i="10"/>
  <c r="U777" i="10"/>
  <c r="T777" i="10"/>
  <c r="U809" i="10"/>
  <c r="T809" i="10"/>
  <c r="U960" i="10"/>
  <c r="T960" i="10"/>
  <c r="U36" i="10"/>
  <c r="T36" i="10"/>
  <c r="U188" i="10"/>
  <c r="T188" i="10"/>
  <c r="U108" i="10"/>
  <c r="T108" i="10"/>
  <c r="U241" i="10"/>
  <c r="T241" i="10"/>
  <c r="U458" i="10"/>
  <c r="T458" i="10"/>
  <c r="U535" i="10"/>
  <c r="T535" i="10"/>
  <c r="U480" i="10"/>
  <c r="T480" i="10"/>
  <c r="AA808" i="10"/>
  <c r="U498" i="10"/>
  <c r="T498" i="10"/>
  <c r="T824" i="10"/>
  <c r="U824" i="10"/>
  <c r="T929" i="10"/>
  <c r="U929" i="10"/>
  <c r="T622" i="10"/>
  <c r="U622" i="10"/>
  <c r="U676" i="10"/>
  <c r="T676" i="10"/>
  <c r="AA45" i="10"/>
  <c r="Z45" i="10"/>
  <c r="Q45" i="10" s="1"/>
  <c r="Y45" i="10"/>
  <c r="AA214" i="10"/>
  <c r="U359" i="10"/>
  <c r="T359" i="10"/>
  <c r="U511" i="10"/>
  <c r="T511" i="10"/>
  <c r="U536" i="10"/>
  <c r="T536" i="10"/>
  <c r="U346" i="10"/>
  <c r="T346" i="10"/>
  <c r="U447" i="10"/>
  <c r="T447" i="10"/>
  <c r="U496" i="10"/>
  <c r="T496" i="10"/>
  <c r="U875" i="10"/>
  <c r="T875" i="10"/>
  <c r="AA978" i="10"/>
  <c r="Z978" i="10"/>
  <c r="Q978" i="10" s="1"/>
  <c r="Y978" i="10"/>
  <c r="U170" i="10"/>
  <c r="T170" i="10"/>
  <c r="U353" i="10"/>
  <c r="T353" i="10"/>
  <c r="U697" i="10"/>
  <c r="T697" i="10"/>
  <c r="U787" i="10"/>
  <c r="T787" i="10"/>
  <c r="U969" i="10"/>
  <c r="T969" i="10"/>
  <c r="U26" i="10"/>
  <c r="T26" i="10"/>
  <c r="T191" i="10"/>
  <c r="U191" i="10"/>
  <c r="Y136" i="10"/>
  <c r="Z74" i="10"/>
  <c r="Q74" i="10" s="1"/>
  <c r="AA74" i="10"/>
  <c r="Y74" i="10"/>
  <c r="T720" i="10"/>
  <c r="U720" i="10"/>
  <c r="T680" i="10"/>
  <c r="U680" i="10"/>
  <c r="U722" i="10"/>
  <c r="T722" i="10"/>
  <c r="U497" i="10"/>
  <c r="T497" i="10"/>
  <c r="Z687" i="10"/>
  <c r="Q687" i="10" s="1"/>
  <c r="U748" i="10"/>
  <c r="T748" i="10"/>
  <c r="U811" i="10"/>
  <c r="T811" i="10"/>
  <c r="U919" i="10"/>
  <c r="T919" i="10"/>
  <c r="U256" i="10"/>
  <c r="T256" i="10"/>
  <c r="T348" i="10"/>
  <c r="U348" i="10"/>
  <c r="T564" i="10"/>
  <c r="U564" i="10"/>
  <c r="U952" i="10"/>
  <c r="T952" i="10"/>
  <c r="U5" i="10"/>
  <c r="U14" i="10"/>
  <c r="T14" i="10"/>
  <c r="U138" i="10"/>
  <c r="T138" i="10"/>
  <c r="U162" i="10"/>
  <c r="T162" i="10"/>
  <c r="T103" i="10"/>
  <c r="U103" i="10"/>
  <c r="Z145" i="10"/>
  <c r="Q145" i="10" s="1"/>
  <c r="U102" i="10"/>
  <c r="T102" i="10"/>
  <c r="U339" i="10"/>
  <c r="T339" i="10"/>
  <c r="U376" i="10"/>
  <c r="T376" i="10"/>
  <c r="U368" i="10"/>
  <c r="T368" i="10"/>
  <c r="U434" i="10"/>
  <c r="T434" i="10"/>
  <c r="AA412" i="10"/>
  <c r="Z412" i="10"/>
  <c r="Q412" i="10" s="1"/>
  <c r="Y412" i="10"/>
  <c r="U931" i="10"/>
  <c r="T931" i="10"/>
  <c r="U889" i="10"/>
  <c r="T889" i="10"/>
  <c r="U859" i="10"/>
  <c r="T859" i="10"/>
  <c r="U867" i="10"/>
  <c r="T867" i="10"/>
  <c r="T902" i="10"/>
  <c r="U902" i="10"/>
  <c r="T13" i="10"/>
  <c r="U13" i="10"/>
  <c r="U684" i="10"/>
  <c r="T684" i="10"/>
  <c r="U866" i="10"/>
  <c r="T866" i="10"/>
  <c r="U19" i="10"/>
  <c r="T19" i="10"/>
  <c r="T111" i="10"/>
  <c r="U111" i="10"/>
  <c r="U351" i="10"/>
  <c r="T351" i="10"/>
  <c r="AA510" i="10"/>
  <c r="AA333" i="10"/>
  <c r="Y333" i="10"/>
  <c r="Z333" i="10"/>
  <c r="Q333" i="10" s="1"/>
  <c r="T516" i="10"/>
  <c r="U516" i="10"/>
  <c r="T462" i="10"/>
  <c r="U462" i="10"/>
  <c r="U633" i="10"/>
  <c r="T633" i="10"/>
  <c r="U642" i="10"/>
  <c r="T642" i="10"/>
  <c r="U658" i="10"/>
  <c r="T658" i="10"/>
  <c r="U796" i="10"/>
  <c r="T796" i="10"/>
  <c r="AA791" i="10"/>
  <c r="T562" i="10"/>
  <c r="U562" i="10"/>
  <c r="U757" i="10"/>
  <c r="T757" i="10"/>
  <c r="Y791" i="10"/>
  <c r="AA807" i="10"/>
  <c r="T468" i="10"/>
  <c r="U468" i="10"/>
  <c r="U384" i="10"/>
  <c r="T384" i="10"/>
  <c r="U884" i="10"/>
  <c r="T884" i="10"/>
  <c r="U443" i="10"/>
  <c r="T443" i="10"/>
  <c r="U922" i="10"/>
  <c r="T922" i="10"/>
  <c r="AA669" i="10"/>
  <c r="Z669" i="10"/>
  <c r="Q669" i="10" s="1"/>
  <c r="Y669" i="10"/>
  <c r="U379" i="10"/>
  <c r="T379" i="10"/>
  <c r="U831" i="10"/>
  <c r="T831" i="10"/>
  <c r="AA956" i="10"/>
  <c r="U347" i="10"/>
  <c r="T347" i="10"/>
  <c r="AA129" i="10"/>
  <c r="Z129" i="10"/>
  <c r="Q129" i="10" s="1"/>
  <c r="Y129" i="10"/>
  <c r="U280" i="10"/>
  <c r="T280" i="10"/>
  <c r="T95" i="10"/>
  <c r="U95" i="10"/>
  <c r="Y221" i="10"/>
  <c r="AA221" i="10"/>
  <c r="Z221" i="10"/>
  <c r="Q221" i="10" s="1"/>
  <c r="T260" i="10"/>
  <c r="U260" i="10"/>
  <c r="U122" i="10"/>
  <c r="T122" i="10"/>
  <c r="U545" i="10"/>
  <c r="T545" i="10"/>
  <c r="T374" i="10"/>
  <c r="U374" i="10"/>
  <c r="U297" i="10"/>
  <c r="T297" i="10"/>
  <c r="T422" i="10"/>
  <c r="U422" i="10"/>
  <c r="U491" i="10"/>
  <c r="T491" i="10"/>
  <c r="U528" i="10"/>
  <c r="T528" i="10"/>
  <c r="T438" i="10"/>
  <c r="U438" i="10"/>
  <c r="T606" i="10"/>
  <c r="U606" i="10"/>
  <c r="U883" i="10"/>
  <c r="T883" i="10"/>
  <c r="Y941" i="10"/>
  <c r="AA941" i="10"/>
  <c r="Z941" i="10"/>
  <c r="Q941" i="10" s="1"/>
  <c r="U23" i="10"/>
  <c r="T23" i="10"/>
  <c r="U15" i="10"/>
  <c r="T15" i="10"/>
  <c r="Z141" i="10"/>
  <c r="Q141" i="10" s="1"/>
  <c r="Y141" i="10"/>
  <c r="AA141" i="10"/>
  <c r="U394" i="10"/>
  <c r="T394" i="10"/>
  <c r="T672" i="10"/>
  <c r="U672" i="10"/>
  <c r="Z715" i="10"/>
  <c r="Q715" i="10" s="1"/>
  <c r="AA715" i="10"/>
  <c r="Y715" i="10"/>
  <c r="T769" i="10"/>
  <c r="U769" i="10"/>
  <c r="U924" i="10"/>
  <c r="T924" i="10"/>
  <c r="U950" i="10"/>
  <c r="T950" i="10"/>
  <c r="U681" i="10"/>
  <c r="T681" i="10"/>
  <c r="U714" i="10"/>
  <c r="T714" i="10"/>
  <c r="Z817" i="10"/>
  <c r="Q817" i="10" s="1"/>
  <c r="U186" i="10"/>
  <c r="T186" i="10"/>
  <c r="U164" i="10"/>
  <c r="T164" i="10"/>
  <c r="U70" i="10"/>
  <c r="T70" i="10"/>
  <c r="U313" i="10"/>
  <c r="T313" i="10"/>
  <c r="Z270" i="10"/>
  <c r="Q270" i="10" s="1"/>
  <c r="Y270" i="10"/>
  <c r="T433" i="10"/>
  <c r="U433" i="10"/>
  <c r="U431" i="10"/>
  <c r="T431" i="10"/>
  <c r="T396" i="10"/>
  <c r="U396" i="10"/>
  <c r="U338" i="10"/>
  <c r="T338" i="10"/>
  <c r="U760" i="10"/>
  <c r="T760" i="10"/>
  <c r="U802" i="10"/>
  <c r="T802" i="10"/>
  <c r="T846" i="10"/>
  <c r="U846" i="10"/>
  <c r="U982" i="10"/>
  <c r="T982" i="10"/>
  <c r="Y294" i="10"/>
  <c r="U615" i="10"/>
  <c r="T615" i="10"/>
  <c r="U803" i="10"/>
  <c r="T803" i="10"/>
  <c r="U196" i="10"/>
  <c r="T196" i="10"/>
  <c r="T656" i="10"/>
  <c r="U656" i="10"/>
  <c r="U626" i="10"/>
  <c r="T626" i="10"/>
  <c r="Z896" i="10"/>
  <c r="Q896" i="10" s="1"/>
  <c r="Y896" i="10"/>
  <c r="AA896" i="10"/>
  <c r="U691" i="10"/>
  <c r="T691" i="10"/>
  <c r="Y820" i="10"/>
  <c r="Z820" i="10"/>
  <c r="Q820" i="10" s="1"/>
  <c r="AA820" i="10"/>
  <c r="U900" i="10"/>
  <c r="T900" i="10"/>
  <c r="T854" i="10"/>
  <c r="U854" i="10"/>
  <c r="U810" i="10"/>
  <c r="T810" i="10"/>
  <c r="U83" i="10"/>
  <c r="T83" i="10"/>
  <c r="U392" i="10"/>
  <c r="T392" i="10"/>
  <c r="U935" i="10"/>
  <c r="T935" i="10"/>
  <c r="U363" i="10"/>
  <c r="T363" i="10"/>
  <c r="U385" i="10"/>
  <c r="T385" i="10"/>
  <c r="T364" i="10"/>
  <c r="U364" i="10"/>
  <c r="U544" i="10"/>
  <c r="T544" i="10"/>
  <c r="U290" i="10"/>
  <c r="T290" i="10"/>
  <c r="U620" i="10"/>
  <c r="T620" i="10"/>
  <c r="AA671" i="10"/>
  <c r="U873" i="10"/>
  <c r="T873" i="10"/>
  <c r="U527" i="10"/>
  <c r="T527" i="10"/>
  <c r="U723" i="10"/>
  <c r="T723" i="10"/>
  <c r="U28" i="10"/>
  <c r="T28" i="10"/>
  <c r="T324" i="10"/>
  <c r="U324" i="10"/>
  <c r="Y229" i="10"/>
  <c r="AA229" i="10"/>
  <c r="Z229" i="10"/>
  <c r="Q229" i="10" s="1"/>
  <c r="Y144" i="10"/>
  <c r="AA144" i="10"/>
  <c r="Z144" i="10"/>
  <c r="Q144" i="10" s="1"/>
  <c r="U473" i="10"/>
  <c r="T473" i="10"/>
  <c r="T548" i="10"/>
  <c r="U548" i="10"/>
  <c r="AA736" i="10"/>
  <c r="Y736" i="10"/>
  <c r="Z736" i="10"/>
  <c r="Q736" i="10" s="1"/>
  <c r="U790" i="10"/>
  <c r="T790" i="10"/>
  <c r="U530" i="10"/>
  <c r="T530" i="10"/>
  <c r="Y869" i="10"/>
  <c r="Z869" i="10"/>
  <c r="Q869" i="10" s="1"/>
  <c r="AA869" i="10"/>
  <c r="U976" i="10"/>
  <c r="T976" i="10"/>
  <c r="U943" i="10"/>
  <c r="T943" i="10"/>
  <c r="U331" i="10"/>
  <c r="T331" i="10"/>
  <c r="U698" i="10"/>
  <c r="T698" i="10"/>
  <c r="Z791" i="10"/>
  <c r="Q791" i="10" s="1"/>
  <c r="U55" i="10"/>
  <c r="T55" i="10"/>
  <c r="T22" i="10"/>
  <c r="U22" i="10"/>
  <c r="AA201" i="10"/>
  <c r="Z201" i="10"/>
  <c r="Q201" i="10" s="1"/>
  <c r="Y201" i="10"/>
  <c r="U178" i="10"/>
  <c r="T178" i="10"/>
  <c r="Z788" i="10"/>
  <c r="Q788" i="10" s="1"/>
  <c r="U387" i="10"/>
  <c r="T387" i="10"/>
  <c r="U521" i="10"/>
  <c r="T521" i="10"/>
  <c r="U402" i="10"/>
  <c r="T402" i="10"/>
  <c r="T550" i="10"/>
  <c r="U550" i="10"/>
  <c r="Z702" i="10"/>
  <c r="Q702" i="10" s="1"/>
  <c r="AA702" i="10"/>
  <c r="Y702" i="10"/>
  <c r="U819" i="10"/>
  <c r="T819" i="10"/>
  <c r="U602" i="10"/>
  <c r="T602" i="10"/>
  <c r="T886" i="10"/>
  <c r="U886" i="10"/>
  <c r="U974" i="10"/>
  <c r="T974" i="10"/>
  <c r="U295" i="10"/>
  <c r="T295" i="10"/>
  <c r="AA160" i="10"/>
  <c r="AA168" i="10"/>
  <c r="Z168" i="10"/>
  <c r="Q168" i="10" s="1"/>
  <c r="Y168" i="10"/>
  <c r="AA90" i="10"/>
  <c r="Z90" i="10"/>
  <c r="Q90" i="10" s="1"/>
  <c r="Y90" i="10"/>
  <c r="T356" i="10"/>
  <c r="U356" i="10"/>
  <c r="U547" i="10"/>
  <c r="T547" i="10"/>
  <c r="U601" i="10"/>
  <c r="T601" i="10"/>
  <c r="T881" i="10"/>
  <c r="U881" i="10"/>
  <c r="U187" i="10"/>
  <c r="T187" i="10"/>
  <c r="AA261" i="10"/>
  <c r="Z261" i="10"/>
  <c r="Q261" i="10" s="1"/>
  <c r="Y261" i="10"/>
  <c r="U219" i="10"/>
  <c r="T219" i="10"/>
  <c r="U650" i="10"/>
  <c r="T650" i="10"/>
  <c r="U361" i="10"/>
  <c r="T361" i="10"/>
  <c r="U660" i="10"/>
  <c r="T660" i="10"/>
  <c r="U666" i="10"/>
  <c r="T666" i="10"/>
  <c r="Z832" i="10"/>
  <c r="Q832" i="10" s="1"/>
  <c r="Y832" i="10"/>
  <c r="AA832" i="10"/>
  <c r="U210" i="10"/>
  <c r="T210" i="10"/>
  <c r="AA193" i="10"/>
  <c r="Z193" i="10"/>
  <c r="Q193" i="10" s="1"/>
  <c r="Y193" i="10"/>
  <c r="T350" i="10"/>
  <c r="U350" i="10"/>
  <c r="U257" i="10"/>
  <c r="T257" i="10"/>
  <c r="U386" i="10"/>
  <c r="T386" i="10"/>
  <c r="U571" i="10"/>
  <c r="T571" i="10"/>
  <c r="T590" i="10"/>
  <c r="U590" i="10"/>
  <c r="U744" i="10"/>
  <c r="T744" i="10"/>
  <c r="Z818" i="10"/>
  <c r="Q818" i="10" s="1"/>
  <c r="AA818" i="10"/>
  <c r="Y818" i="10"/>
  <c r="U741" i="10"/>
  <c r="T741" i="10"/>
  <c r="U983" i="10"/>
  <c r="T983" i="10"/>
  <c r="U114" i="10"/>
  <c r="T114" i="10"/>
  <c r="U107" i="10"/>
  <c r="T107" i="10"/>
  <c r="U139" i="10"/>
  <c r="T139" i="10"/>
  <c r="U203" i="10"/>
  <c r="T203" i="10"/>
  <c r="T159" i="10"/>
  <c r="U159" i="10"/>
  <c r="T183" i="10"/>
  <c r="U183" i="10"/>
  <c r="U272" i="10"/>
  <c r="T272" i="10"/>
  <c r="U311" i="10"/>
  <c r="T311" i="10"/>
  <c r="AA635" i="10"/>
  <c r="Y635" i="10"/>
  <c r="Z635" i="10"/>
  <c r="Q635" i="10" s="1"/>
  <c r="Y501" i="10"/>
  <c r="AA501" i="10"/>
  <c r="Z501" i="10"/>
  <c r="Q501" i="10" s="1"/>
  <c r="T704" i="10"/>
  <c r="U704" i="10"/>
  <c r="Y575" i="10"/>
  <c r="AA575" i="10"/>
  <c r="Z575" i="10"/>
  <c r="Q575" i="10" s="1"/>
  <c r="U706" i="10"/>
  <c r="T706" i="10"/>
  <c r="U852" i="10"/>
  <c r="T852" i="10"/>
  <c r="U756" i="10"/>
  <c r="T756" i="10"/>
  <c r="U975" i="10"/>
  <c r="T975" i="10"/>
  <c r="T781" i="10"/>
  <c r="U781" i="10"/>
  <c r="U335" i="10"/>
  <c r="T335" i="10"/>
  <c r="U288" i="10"/>
  <c r="T288" i="10"/>
  <c r="AA117" i="10"/>
  <c r="U87" i="10"/>
  <c r="T87" i="10"/>
  <c r="U124" i="10"/>
  <c r="T124" i="10"/>
  <c r="T308" i="10"/>
  <c r="U308" i="10"/>
  <c r="T300" i="10"/>
  <c r="U300" i="10"/>
  <c r="U360" i="10"/>
  <c r="T360" i="10"/>
  <c r="U307" i="10"/>
  <c r="T307" i="10"/>
  <c r="U329" i="10"/>
  <c r="T329" i="10"/>
  <c r="U531" i="10"/>
  <c r="T531" i="10"/>
  <c r="U593" i="10"/>
  <c r="T593" i="10"/>
  <c r="U572" i="10"/>
  <c r="T572" i="10"/>
  <c r="U628" i="10"/>
  <c r="T628" i="10"/>
  <c r="AA758" i="10"/>
  <c r="Y758" i="10"/>
  <c r="Z758" i="10"/>
  <c r="Q758" i="10" s="1"/>
  <c r="U806" i="10"/>
  <c r="T806" i="10"/>
  <c r="T865" i="10"/>
  <c r="U865" i="10"/>
  <c r="T60" i="10"/>
  <c r="U60" i="10"/>
  <c r="T316" i="10"/>
  <c r="U316" i="10"/>
  <c r="T278" i="10"/>
  <c r="U278" i="10"/>
  <c r="U375" i="10"/>
  <c r="T375" i="10"/>
  <c r="U682" i="10"/>
  <c r="T682" i="10"/>
  <c r="U559" i="10"/>
  <c r="T559" i="10"/>
  <c r="AA509" i="10"/>
  <c r="Z509" i="10"/>
  <c r="Q509" i="10" s="1"/>
  <c r="Y509" i="10"/>
  <c r="U673" i="10"/>
  <c r="T673" i="10"/>
  <c r="U771" i="10"/>
  <c r="T771" i="10"/>
  <c r="U907" i="10"/>
  <c r="T907" i="10"/>
  <c r="U58" i="10"/>
  <c r="T58" i="10"/>
  <c r="U323" i="10"/>
  <c r="T323" i="10"/>
  <c r="U220" i="10"/>
  <c r="T220" i="10"/>
  <c r="AA78" i="10"/>
  <c r="Z78" i="10"/>
  <c r="Q78" i="10" s="1"/>
  <c r="Y78" i="10"/>
  <c r="T244" i="10"/>
  <c r="U244" i="10"/>
  <c r="T728" i="10"/>
  <c r="U728" i="10"/>
  <c r="T484" i="10"/>
  <c r="U484" i="10"/>
  <c r="U407" i="10"/>
  <c r="T407" i="10"/>
  <c r="T425" i="10"/>
  <c r="U425" i="10"/>
  <c r="T478" i="10"/>
  <c r="U478" i="10"/>
  <c r="U839" i="10"/>
  <c r="T839" i="10"/>
  <c r="U625" i="10"/>
  <c r="T625" i="10"/>
  <c r="U116" i="10"/>
  <c r="T116" i="10"/>
  <c r="U320" i="10"/>
  <c r="T320" i="10"/>
  <c r="U423" i="10"/>
  <c r="T423" i="10"/>
  <c r="U242" i="10"/>
  <c r="T242" i="10"/>
  <c r="AA613" i="10"/>
  <c r="Z613" i="10"/>
  <c r="Q613" i="10" s="1"/>
  <c r="Y613" i="10"/>
  <c r="U860" i="10"/>
  <c r="T860" i="10"/>
  <c r="U798" i="10"/>
  <c r="T798" i="10"/>
  <c r="T878" i="10"/>
  <c r="U878" i="10"/>
  <c r="T942" i="10"/>
  <c r="U942" i="10"/>
  <c r="U986" i="10"/>
  <c r="T986" i="10"/>
  <c r="T870" i="10"/>
  <c r="U870" i="10"/>
  <c r="U27" i="10"/>
  <c r="T27" i="10"/>
  <c r="Y157" i="10"/>
  <c r="AA157" i="10"/>
  <c r="Z157" i="10"/>
  <c r="Q157" i="10" s="1"/>
  <c r="Z160" i="10"/>
  <c r="Q160" i="10" s="1"/>
  <c r="T199" i="10"/>
  <c r="U199" i="10"/>
  <c r="U154" i="10"/>
  <c r="T154" i="10"/>
  <c r="T119" i="10"/>
  <c r="U119" i="10"/>
  <c r="U426" i="10"/>
  <c r="T426" i="10"/>
  <c r="U314" i="10"/>
  <c r="T314" i="10"/>
  <c r="U519" i="10"/>
  <c r="T519" i="10"/>
  <c r="U538" i="10"/>
  <c r="T538" i="10"/>
  <c r="AA785" i="10"/>
  <c r="Z785" i="10"/>
  <c r="Q785" i="10" s="1"/>
  <c r="Y785" i="10"/>
  <c r="T763" i="10"/>
  <c r="U763" i="10"/>
  <c r="U362" i="10"/>
  <c r="T362" i="10"/>
  <c r="U730" i="10"/>
  <c r="T730" i="10"/>
  <c r="AA640" i="10"/>
  <c r="Z640" i="10"/>
  <c r="Q640" i="10" s="1"/>
  <c r="Y640" i="10"/>
  <c r="U906" i="10"/>
  <c r="T906" i="10"/>
  <c r="U522" i="10"/>
  <c r="T522" i="10"/>
  <c r="U251" i="10"/>
  <c r="T251" i="10"/>
  <c r="U99" i="10"/>
  <c r="T99" i="10"/>
  <c r="T25" i="10"/>
  <c r="U25" i="10"/>
  <c r="U259" i="10"/>
  <c r="T259" i="10"/>
  <c r="AA403" i="10"/>
  <c r="U450" i="10"/>
  <c r="T450" i="10"/>
  <c r="T540" i="10"/>
  <c r="U540" i="10"/>
  <c r="Y214" i="10"/>
  <c r="T894" i="10"/>
  <c r="U894" i="10"/>
  <c r="U298" i="10"/>
  <c r="T298" i="10"/>
  <c r="U754" i="10"/>
  <c r="T754" i="10"/>
  <c r="U52" i="10"/>
  <c r="T52" i="10"/>
  <c r="T6" i="10"/>
  <c r="U6" i="10"/>
  <c r="U34" i="10"/>
  <c r="T34" i="10"/>
  <c r="T207" i="10"/>
  <c r="U207" i="10"/>
  <c r="U17" i="10"/>
  <c r="T17" i="10"/>
  <c r="U240" i="10"/>
  <c r="T240" i="10"/>
  <c r="AA192" i="10"/>
  <c r="Z192" i="10"/>
  <c r="Q192" i="10" s="1"/>
  <c r="Y192" i="10"/>
  <c r="U271" i="10"/>
  <c r="T271" i="10"/>
  <c r="U472" i="10"/>
  <c r="T472" i="10"/>
  <c r="T526" i="10"/>
  <c r="U526" i="10"/>
  <c r="U475" i="10"/>
  <c r="T475" i="10"/>
  <c r="T428" i="10"/>
  <c r="U428" i="10"/>
  <c r="U467" i="10"/>
  <c r="T467" i="10"/>
  <c r="U489" i="10"/>
  <c r="T489" i="10"/>
  <c r="T420" i="10"/>
  <c r="U420" i="10"/>
  <c r="T770" i="10"/>
  <c r="U770" i="10"/>
  <c r="Y956" i="10"/>
  <c r="AA981" i="10"/>
  <c r="Z981" i="10"/>
  <c r="Q981" i="10" s="1"/>
  <c r="Y981" i="10"/>
  <c r="Y429" i="10"/>
  <c r="AA429" i="10"/>
  <c r="Z429" i="10"/>
  <c r="Q429" i="10" s="1"/>
  <c r="U585" i="10"/>
  <c r="T585" i="10"/>
  <c r="AA381" i="10"/>
  <c r="U303" i="10"/>
  <c r="T303" i="10"/>
  <c r="T492" i="10"/>
  <c r="U492" i="10"/>
  <c r="AA453" i="10"/>
  <c r="Y761" i="10"/>
  <c r="AA761" i="10"/>
  <c r="Z761" i="10"/>
  <c r="Q761" i="10" s="1"/>
  <c r="U631" i="10"/>
  <c r="T631" i="10"/>
  <c r="Y573" i="10"/>
  <c r="Z573" i="10"/>
  <c r="Q573" i="10" s="1"/>
  <c r="AA573" i="10"/>
  <c r="T638" i="10"/>
  <c r="U638" i="10"/>
  <c r="Z667" i="10"/>
  <c r="Q667" i="10" s="1"/>
  <c r="AA667" i="10"/>
  <c r="Y667" i="10"/>
  <c r="U915" i="10"/>
  <c r="T915" i="10"/>
  <c r="U899" i="10"/>
  <c r="T899" i="10"/>
  <c r="T452" i="10"/>
  <c r="U452" i="10"/>
  <c r="T215" i="10"/>
  <c r="U215" i="10"/>
  <c r="U305" i="10"/>
  <c r="T305" i="10"/>
  <c r="AA150" i="10"/>
  <c r="U455" i="10"/>
  <c r="T455" i="10"/>
  <c r="T233" i="10"/>
  <c r="U233" i="10"/>
  <c r="U391" i="10"/>
  <c r="T391" i="10"/>
  <c r="Z701" i="10"/>
  <c r="Q701" i="10" s="1"/>
  <c r="Y701" i="10"/>
  <c r="AA701" i="10"/>
  <c r="U481" i="10"/>
  <c r="T481" i="10"/>
  <c r="U828" i="10"/>
  <c r="T828" i="10"/>
  <c r="U641" i="10"/>
  <c r="T641" i="10"/>
  <c r="U786" i="10"/>
  <c r="T786" i="10"/>
  <c r="Y849" i="10"/>
  <c r="AA849" i="10"/>
  <c r="Z849" i="10"/>
  <c r="Q849" i="10" s="1"/>
  <c r="U844" i="10"/>
  <c r="T844" i="10"/>
  <c r="U851" i="10"/>
  <c r="T851" i="10"/>
  <c r="U132" i="10"/>
  <c r="T132" i="10"/>
  <c r="Y255" i="10"/>
  <c r="Z255" i="10"/>
  <c r="Q255" i="10" s="1"/>
  <c r="AA255" i="10"/>
  <c r="U395" i="10"/>
  <c r="T395" i="10"/>
  <c r="U344" i="10"/>
  <c r="T344" i="10"/>
  <c r="U539" i="10"/>
  <c r="T539" i="10"/>
  <c r="U282" i="10"/>
  <c r="T282" i="10"/>
  <c r="T963" i="10"/>
  <c r="U963" i="10"/>
  <c r="U287" i="10"/>
  <c r="T287" i="10"/>
  <c r="T971" i="10"/>
  <c r="U971" i="10"/>
  <c r="Z84" i="10"/>
  <c r="Q84" i="10" s="1"/>
  <c r="U47" i="10"/>
  <c r="T47" i="10"/>
  <c r="U51" i="10"/>
  <c r="T51" i="10"/>
  <c r="T127" i="10"/>
  <c r="U127" i="10"/>
  <c r="U499" i="10"/>
  <c r="T499" i="10"/>
  <c r="U273" i="10"/>
  <c r="T273" i="10"/>
  <c r="T382" i="10"/>
  <c r="U382" i="10"/>
  <c r="T560" i="10"/>
  <c r="U560" i="10"/>
  <c r="Z76" i="10"/>
  <c r="Q76" i="10" s="1"/>
  <c r="Y76" i="10"/>
  <c r="AA76" i="10"/>
  <c r="U50" i="10"/>
  <c r="T50" i="10"/>
  <c r="U49" i="10"/>
  <c r="T49" i="10"/>
  <c r="Y109" i="10"/>
  <c r="Z109" i="10"/>
  <c r="Q109" i="10" s="1"/>
  <c r="AA109" i="10"/>
  <c r="U370" i="10"/>
  <c r="T370" i="10"/>
  <c r="U827" i="10"/>
  <c r="T827" i="10"/>
  <c r="T979" i="10"/>
  <c r="U979" i="10"/>
  <c r="T500" i="10"/>
  <c r="U500" i="10"/>
  <c r="Y607" i="10"/>
  <c r="Z778" i="10"/>
  <c r="Q778" i="10" s="1"/>
  <c r="AA778" i="10"/>
  <c r="Y778" i="10"/>
  <c r="T888" i="10"/>
  <c r="U888" i="10"/>
  <c r="AA152" i="10"/>
  <c r="Y152" i="10"/>
  <c r="Z152" i="10"/>
  <c r="Q152" i="10" s="1"/>
  <c r="U343" i="10"/>
  <c r="T343" i="10"/>
  <c r="U336" i="10"/>
  <c r="T336" i="10"/>
  <c r="U267" i="10"/>
  <c r="T267" i="10"/>
  <c r="U289" i="10"/>
  <c r="T289" i="10"/>
  <c r="T284" i="10"/>
  <c r="U284" i="10"/>
  <c r="U513" i="10"/>
  <c r="T513" i="10"/>
  <c r="U471" i="10"/>
  <c r="T471" i="10"/>
  <c r="U410" i="10"/>
  <c r="T410" i="10"/>
  <c r="T712" i="10"/>
  <c r="U712" i="10"/>
  <c r="U586" i="10"/>
  <c r="T586" i="10"/>
  <c r="U923" i="10"/>
  <c r="T923" i="10"/>
  <c r="AA895" i="10"/>
  <c r="Z895" i="10"/>
  <c r="Q895" i="10" s="1"/>
  <c r="Y895" i="10"/>
  <c r="U958" i="10"/>
  <c r="T958" i="10"/>
  <c r="T688" i="10"/>
  <c r="U688" i="10"/>
  <c r="U794" i="10"/>
  <c r="T794" i="10"/>
  <c r="U876" i="10"/>
  <c r="T876" i="10"/>
  <c r="Z956" i="10"/>
  <c r="Q956" i="10" s="1"/>
  <c r="Y213" i="10"/>
  <c r="Z213" i="10"/>
  <c r="Q213" i="10" s="1"/>
  <c r="AA213" i="10"/>
  <c r="U890" i="10"/>
  <c r="T890" i="10"/>
  <c r="Z599" i="10"/>
  <c r="Q599" i="10" s="1"/>
  <c r="Y599" i="10"/>
  <c r="T508" i="10"/>
  <c r="U508" i="10"/>
  <c r="T98" i="10"/>
  <c r="U98" i="10"/>
  <c r="U327" i="10"/>
  <c r="T327" i="10"/>
  <c r="T841" i="10"/>
  <c r="U841" i="10"/>
  <c r="U383" i="10"/>
  <c r="T383" i="10"/>
  <c r="U42" i="10"/>
  <c r="T42" i="10"/>
  <c r="U378" i="10"/>
  <c r="T378" i="10"/>
  <c r="Z858" i="10"/>
  <c r="Q858" i="10" s="1"/>
  <c r="Y858" i="10"/>
  <c r="AA858" i="10"/>
  <c r="T30" i="10"/>
  <c r="U30" i="10"/>
  <c r="T167" i="10"/>
  <c r="U167" i="10"/>
  <c r="U146" i="10"/>
  <c r="T146" i="10"/>
  <c r="AA97" i="10"/>
  <c r="Y97" i="10"/>
  <c r="Z97" i="10"/>
  <c r="Q97" i="10" s="1"/>
  <c r="U405" i="10"/>
  <c r="T405" i="10"/>
  <c r="U304" i="10"/>
  <c r="T304" i="10"/>
  <c r="T398" i="10"/>
  <c r="U398" i="10"/>
  <c r="U371" i="10"/>
  <c r="T371" i="10"/>
  <c r="U393" i="10"/>
  <c r="T393" i="10"/>
  <c r="U930" i="10"/>
  <c r="T930" i="10"/>
  <c r="U814" i="10"/>
  <c r="T814" i="10"/>
  <c r="Z837" i="10"/>
  <c r="Q837" i="10" s="1"/>
  <c r="Y837" i="10"/>
  <c r="AA837" i="10"/>
  <c r="U939" i="10"/>
  <c r="T939" i="10"/>
  <c r="U140" i="10"/>
  <c r="T140" i="10"/>
  <c r="T934" i="10"/>
  <c r="U934" i="10"/>
  <c r="U984" i="10"/>
  <c r="T984" i="10"/>
  <c r="U44" i="10"/>
  <c r="T44" i="10"/>
  <c r="T38" i="10"/>
  <c r="U38" i="10"/>
  <c r="U442" i="10"/>
  <c r="T442" i="10"/>
  <c r="T340" i="10"/>
  <c r="U340" i="10"/>
  <c r="U234" i="10"/>
  <c r="T234" i="10"/>
  <c r="Y542" i="10"/>
  <c r="AA542" i="10"/>
  <c r="Z542" i="10"/>
  <c r="Q542" i="10" s="1"/>
  <c r="Y709" i="10"/>
  <c r="AA709" i="10"/>
  <c r="Z709" i="10"/>
  <c r="Q709" i="10" s="1"/>
  <c r="U330" i="10"/>
  <c r="T330" i="10"/>
  <c r="U504" i="10"/>
  <c r="T504" i="10"/>
  <c r="U543" i="10"/>
  <c r="T543" i="10"/>
  <c r="Y694" i="10"/>
  <c r="AA694" i="10"/>
  <c r="Z694" i="10"/>
  <c r="Q694" i="10" s="1"/>
  <c r="AA735" i="10"/>
  <c r="Z735" i="10"/>
  <c r="Q735" i="10" s="1"/>
  <c r="Y735" i="10"/>
  <c r="U657" i="10"/>
  <c r="T657" i="10"/>
  <c r="AA583" i="10"/>
  <c r="U66" i="10"/>
  <c r="T66" i="10"/>
  <c r="U315" i="10"/>
  <c r="T315" i="10"/>
  <c r="T404" i="10"/>
  <c r="U404" i="10"/>
  <c r="T494" i="10"/>
  <c r="U494" i="10"/>
  <c r="U274" i="10"/>
  <c r="T274" i="10"/>
  <c r="U577" i="10"/>
  <c r="T577" i="10"/>
  <c r="U617" i="10"/>
  <c r="T617" i="10"/>
  <c r="U721" i="10"/>
  <c r="T721" i="10"/>
  <c r="U204" i="10"/>
  <c r="T204" i="10"/>
  <c r="T332" i="10"/>
  <c r="U332" i="10"/>
  <c r="U463" i="10"/>
  <c r="T463" i="10"/>
  <c r="U668" i="10"/>
  <c r="T668" i="10"/>
  <c r="AA84" i="10"/>
  <c r="U156" i="10"/>
  <c r="T156" i="10"/>
  <c r="AA477" i="10"/>
  <c r="Z477" i="10"/>
  <c r="Q477" i="10" s="1"/>
  <c r="Y477" i="10"/>
  <c r="T554" i="10"/>
  <c r="U554" i="10"/>
  <c r="U683" i="10"/>
  <c r="T683" i="10"/>
  <c r="U705" i="10"/>
  <c r="T705" i="10"/>
  <c r="U652" i="10"/>
  <c r="T652" i="10"/>
  <c r="U674" i="10"/>
  <c r="T674" i="10"/>
  <c r="AA584" i="10"/>
  <c r="Z584" i="10"/>
  <c r="Q584" i="10" s="1"/>
  <c r="Y584" i="10"/>
  <c r="U506" i="10"/>
  <c r="T506" i="10"/>
  <c r="Z651" i="10"/>
  <c r="Q651" i="10" s="1"/>
  <c r="Y651" i="10"/>
  <c r="AA651" i="10"/>
  <c r="U868" i="10"/>
  <c r="T868" i="10"/>
  <c r="U740" i="10"/>
  <c r="T740" i="10"/>
  <c r="U892" i="10"/>
  <c r="T892" i="10"/>
  <c r="Y821" i="10"/>
  <c r="Z821" i="10"/>
  <c r="Q821" i="10" s="1"/>
  <c r="AA821" i="10"/>
  <c r="U940" i="10"/>
  <c r="T940" i="10"/>
  <c r="U882" i="10"/>
  <c r="T882" i="10"/>
  <c r="U94" i="10"/>
  <c r="T94" i="10"/>
  <c r="U43" i="10"/>
  <c r="T43" i="10"/>
  <c r="Z81" i="10"/>
  <c r="Q81" i="10" s="1"/>
  <c r="AA81" i="10"/>
  <c r="Y81" i="10"/>
  <c r="U33" i="10"/>
  <c r="T33" i="10"/>
  <c r="U172" i="10"/>
  <c r="T172" i="10"/>
  <c r="U377" i="10"/>
  <c r="T377" i="10"/>
  <c r="U319" i="10"/>
  <c r="T319" i="10"/>
  <c r="U265" i="10"/>
  <c r="T265" i="10"/>
  <c r="U515" i="10"/>
  <c r="T515" i="10"/>
  <c r="U514" i="10"/>
  <c r="T514" i="10"/>
  <c r="U604" i="10"/>
  <c r="T604" i="10"/>
  <c r="Z965" i="10"/>
  <c r="Q965" i="10" s="1"/>
  <c r="AA965" i="10"/>
  <c r="Y965" i="10"/>
  <c r="U836" i="10"/>
  <c r="T836" i="10"/>
  <c r="U54" i="10"/>
  <c r="T54" i="10"/>
  <c r="T4" i="10"/>
  <c r="U4" i="10"/>
  <c r="T388" i="10"/>
  <c r="U388" i="10"/>
  <c r="Y169" i="10"/>
  <c r="Z169" i="10"/>
  <c r="Q169" i="10" s="1"/>
  <c r="AA169" i="10"/>
  <c r="Z77" i="10"/>
  <c r="Q77" i="10" s="1"/>
  <c r="Y77" i="10"/>
  <c r="AA77" i="10"/>
  <c r="U291" i="10"/>
  <c r="T291" i="10"/>
  <c r="Z446" i="10"/>
  <c r="Q446" i="10" s="1"/>
  <c r="Y446" i="10"/>
  <c r="AA446" i="10"/>
  <c r="Y912" i="10"/>
  <c r="Z912" i="10"/>
  <c r="Q912" i="10" s="1"/>
  <c r="AA912" i="10"/>
  <c r="U466" i="10"/>
  <c r="T466" i="10"/>
  <c r="U955" i="10"/>
  <c r="T955" i="10"/>
  <c r="U512" i="10"/>
  <c r="T512" i="10"/>
  <c r="U834" i="10"/>
  <c r="T834" i="10"/>
  <c r="U226" i="10"/>
  <c r="T226" i="10"/>
  <c r="AA366" i="10"/>
  <c r="Z366" i="10"/>
  <c r="Q366" i="10" s="1"/>
  <c r="Y366" i="10"/>
  <c r="U367" i="10"/>
  <c r="T367" i="10"/>
  <c r="T648" i="10"/>
  <c r="U648" i="10"/>
  <c r="T570" i="10"/>
  <c r="U570" i="10"/>
  <c r="U932" i="10"/>
  <c r="T932" i="10"/>
  <c r="U871" i="10"/>
  <c r="T871" i="10"/>
  <c r="Z595" i="10"/>
  <c r="Q595" i="10" s="1"/>
  <c r="AA595" i="10"/>
  <c r="Y595" i="10"/>
  <c r="AA607" i="10"/>
  <c r="AA557" i="10"/>
  <c r="AA911" i="10"/>
  <c r="AA100" i="10" l="1"/>
  <c r="Y100" i="10"/>
  <c r="Y453" i="10"/>
  <c r="AA747" i="10"/>
  <c r="Z768" i="10"/>
  <c r="Q768" i="10" s="1"/>
  <c r="Y747" i="10"/>
  <c r="AA48" i="10"/>
  <c r="Z48" i="10"/>
  <c r="Q48" i="10" s="1"/>
  <c r="AA825" i="10"/>
  <c r="Z581" i="10"/>
  <c r="Q581" i="10" s="1"/>
  <c r="Y825" i="10"/>
  <c r="AA436" i="10"/>
  <c r="AA581" i="10"/>
  <c r="Z441" i="10"/>
  <c r="Q441" i="10" s="1"/>
  <c r="Y441" i="10"/>
  <c r="AA768" i="10"/>
  <c r="Z737" i="10"/>
  <c r="Q737" i="10" s="1"/>
  <c r="AA486" i="10"/>
  <c r="Y65" i="10"/>
  <c r="Y913" i="10"/>
  <c r="Y583" i="10"/>
  <c r="Z671" i="10"/>
  <c r="Q671" i="10" s="1"/>
  <c r="Z185" i="10"/>
  <c r="Q185" i="10" s="1"/>
  <c r="Y254" i="10"/>
  <c r="Z772" i="10"/>
  <c r="Q772" i="10" s="1"/>
  <c r="Y608" i="10"/>
  <c r="Z608" i="10"/>
  <c r="Q608" i="10" s="1"/>
  <c r="Y629" i="10"/>
  <c r="Y738" i="10"/>
  <c r="AA629" i="10"/>
  <c r="Z863" i="10"/>
  <c r="Q863" i="10" s="1"/>
  <c r="Y863" i="10"/>
  <c r="Z738" i="10"/>
  <c r="Q738" i="10" s="1"/>
  <c r="Z89" i="10"/>
  <c r="Q89" i="10" s="1"/>
  <c r="Y89" i="10"/>
  <c r="Y600" i="10"/>
  <c r="AA772" i="10"/>
  <c r="AA600" i="10"/>
  <c r="Z493" i="10"/>
  <c r="Q493" i="10" s="1"/>
  <c r="AA493" i="10"/>
  <c r="Y817" i="10"/>
  <c r="Z808" i="10"/>
  <c r="Q808" i="10" s="1"/>
  <c r="AA65" i="10"/>
  <c r="AA737" i="10"/>
  <c r="AA440" i="10"/>
  <c r="AA525" i="10"/>
  <c r="Y525" i="10"/>
  <c r="Y440" i="10"/>
  <c r="Y445" i="10"/>
  <c r="Z16" i="10"/>
  <c r="Q16" i="10" s="1"/>
  <c r="AA16" i="10"/>
  <c r="Z913" i="10"/>
  <c r="Q913" i="10" s="1"/>
  <c r="AA563" i="10"/>
  <c r="AA913" i="10"/>
  <c r="Z563" i="10"/>
  <c r="Q563" i="10" s="1"/>
  <c r="AA788" i="10"/>
  <c r="Z121" i="10"/>
  <c r="Q121" i="10" s="1"/>
  <c r="AA725" i="10"/>
  <c r="AA829" i="10"/>
  <c r="Y591" i="10"/>
  <c r="Z591" i="10"/>
  <c r="Q591" i="10" s="1"/>
  <c r="Z325" i="10"/>
  <c r="Q325" i="10" s="1"/>
  <c r="AA591" i="10"/>
  <c r="Y954" i="10"/>
  <c r="Y710" i="10"/>
  <c r="Y725" i="10"/>
  <c r="AA121" i="10"/>
  <c r="Z725" i="10"/>
  <c r="Q725" i="10" s="1"/>
  <c r="Y208" i="10"/>
  <c r="Z134" i="10"/>
  <c r="Q134" i="10" s="1"/>
  <c r="Z389" i="10"/>
  <c r="Q389" i="10" s="1"/>
  <c r="Y121" i="10"/>
  <c r="Z208" i="10"/>
  <c r="Q208" i="10" s="1"/>
  <c r="AA389" i="10"/>
  <c r="Z92" i="10"/>
  <c r="Q92" i="10" s="1"/>
  <c r="AA208" i="10"/>
  <c r="Y389" i="10"/>
  <c r="AA92" i="10"/>
  <c r="Y485" i="10"/>
  <c r="Y92" i="10"/>
  <c r="AA485" i="10"/>
  <c r="AA134" i="10"/>
  <c r="Z485" i="10"/>
  <c r="Q485" i="10" s="1"/>
  <c r="Z29" i="10"/>
  <c r="Q29" i="10" s="1"/>
  <c r="AA29" i="10"/>
  <c r="Z710" i="10"/>
  <c r="Q710" i="10" s="1"/>
  <c r="Y134" i="10"/>
  <c r="Y29" i="10"/>
  <c r="AA710" i="10"/>
  <c r="AA953" i="10"/>
  <c r="Y953" i="10"/>
  <c r="AA746" i="10"/>
  <c r="Z972" i="10"/>
  <c r="Q972" i="10" s="1"/>
  <c r="Z953" i="10"/>
  <c r="Q953" i="10" s="1"/>
  <c r="AA294" i="10"/>
  <c r="Z954" i="10"/>
  <c r="Q954" i="10" s="1"/>
  <c r="Z294" i="10"/>
  <c r="Q294" i="10" s="1"/>
  <c r="AA954" i="10"/>
  <c r="Y661" i="10"/>
  <c r="Y885" i="10"/>
  <c r="Y104" i="10"/>
  <c r="Z677" i="10"/>
  <c r="Q677" i="10" s="1"/>
  <c r="AA677" i="10"/>
  <c r="Y677" i="10"/>
  <c r="Z7" i="10"/>
  <c r="Q7" i="10" s="1"/>
  <c r="Z933" i="10"/>
  <c r="Q933" i="10" s="1"/>
  <c r="Y904" i="10"/>
  <c r="AA7" i="10"/>
  <c r="AA357" i="10"/>
  <c r="AA235" i="10"/>
  <c r="Y357" i="10"/>
  <c r="Y448" i="10"/>
  <c r="Z357" i="10"/>
  <c r="Q357" i="10" s="1"/>
  <c r="AA448" i="10"/>
  <c r="Z766" i="10"/>
  <c r="Q766" i="10" s="1"/>
  <c r="Z85" i="10"/>
  <c r="Q85" i="10" s="1"/>
  <c r="Y663" i="10"/>
  <c r="AA85" i="10"/>
  <c r="Y717" i="10"/>
  <c r="Z717" i="10"/>
  <c r="Q717" i="10" s="1"/>
  <c r="Y456" i="10"/>
  <c r="AA717" i="10"/>
  <c r="AA973" i="10"/>
  <c r="Y430" i="10"/>
  <c r="Y432" i="10"/>
  <c r="Y972" i="10"/>
  <c r="AA416" i="10"/>
  <c r="AA845" i="10"/>
  <c r="Z136" i="10"/>
  <c r="Q136" i="10" s="1"/>
  <c r="Z752" i="10"/>
  <c r="Q752" i="10" s="1"/>
  <c r="Y789" i="10"/>
  <c r="Y845" i="10"/>
  <c r="AA679" i="10"/>
  <c r="AA136" i="10"/>
  <c r="AA752" i="10"/>
  <c r="AA789" i="10"/>
  <c r="AA518" i="10"/>
  <c r="Y752" i="10"/>
  <c r="Z789" i="10"/>
  <c r="Q789" i="10" s="1"/>
  <c r="AA743" i="10"/>
  <c r="Y518" i="10"/>
  <c r="Z920" i="10"/>
  <c r="Q920" i="10" s="1"/>
  <c r="Y980" i="10"/>
  <c r="Z518" i="10"/>
  <c r="Q518" i="10" s="1"/>
  <c r="Y416" i="10"/>
  <c r="Y285" i="10"/>
  <c r="Z349" i="10"/>
  <c r="Q349" i="10" s="1"/>
  <c r="Z285" i="10"/>
  <c r="Q285" i="10" s="1"/>
  <c r="Y561" i="10"/>
  <c r="Z561" i="10"/>
  <c r="Q561" i="10" s="1"/>
  <c r="Y349" i="10"/>
  <c r="Z693" i="10"/>
  <c r="Q693" i="10" s="1"/>
  <c r="AA432" i="10"/>
  <c r="AA430" i="10"/>
  <c r="AA693" i="10"/>
  <c r="Z432" i="10"/>
  <c r="Q432" i="10" s="1"/>
  <c r="Y784" i="10"/>
  <c r="AA784" i="10"/>
  <c r="Z217" i="10"/>
  <c r="Q217" i="10" s="1"/>
  <c r="Z784" i="10"/>
  <c r="Q784" i="10" s="1"/>
  <c r="Y662" i="10"/>
  <c r="AA662" i="10"/>
  <c r="AA724" i="10"/>
  <c r="Z662" i="10"/>
  <c r="Q662" i="10" s="1"/>
  <c r="Z724" i="10"/>
  <c r="Q724" i="10" s="1"/>
  <c r="AA920" i="10"/>
  <c r="Z678" i="10"/>
  <c r="Q678" i="10" s="1"/>
  <c r="Y800" i="10"/>
  <c r="Y920" i="10"/>
  <c r="Y724" i="10"/>
  <c r="Y762" i="10"/>
  <c r="Z762" i="10"/>
  <c r="Q762" i="10" s="1"/>
  <c r="AA762" i="10"/>
  <c r="AA567" i="10"/>
  <c r="Y746" i="10"/>
  <c r="Y126" i="10"/>
  <c r="Z533" i="10"/>
  <c r="Q533" i="10" s="1"/>
  <c r="Z149" i="10"/>
  <c r="Q149" i="10" s="1"/>
  <c r="Z948" i="10"/>
  <c r="Q948" i="10" s="1"/>
  <c r="Y948" i="10"/>
  <c r="Z637" i="10"/>
  <c r="Q637" i="10" s="1"/>
  <c r="Z101" i="10"/>
  <c r="Q101" i="10" s="1"/>
  <c r="Z225" i="10"/>
  <c r="Q225" i="10" s="1"/>
  <c r="Z416" i="10"/>
  <c r="Q416" i="10" s="1"/>
  <c r="Z746" i="10"/>
  <c r="Q746" i="10" s="1"/>
  <c r="AA616" i="10"/>
  <c r="Z277" i="10"/>
  <c r="Q277" i="10" s="1"/>
  <c r="AA561" i="10"/>
  <c r="Y766" i="10"/>
  <c r="AA21" i="10"/>
  <c r="AA277" i="10"/>
  <c r="AA766" i="10"/>
  <c r="Z456" i="10"/>
  <c r="Q456" i="10" s="1"/>
  <c r="AA205" i="10"/>
  <c r="AA663" i="10"/>
  <c r="Y235" i="10"/>
  <c r="Z408" i="10"/>
  <c r="Q408" i="10" s="1"/>
  <c r="Y21" i="10"/>
  <c r="Z605" i="10"/>
  <c r="Q605" i="10" s="1"/>
  <c r="Y277" i="10"/>
  <c r="Z800" i="10"/>
  <c r="Q800" i="10" s="1"/>
  <c r="Z235" i="10"/>
  <c r="Q235" i="10" s="1"/>
  <c r="Y408" i="10"/>
  <c r="Z21" i="10"/>
  <c r="Q21" i="10" s="1"/>
  <c r="AA605" i="10"/>
  <c r="Z568" i="10"/>
  <c r="Q568" i="10" s="1"/>
  <c r="Y605" i="10"/>
  <c r="AA695" i="10"/>
  <c r="Z973" i="10"/>
  <c r="Q973" i="10" s="1"/>
  <c r="Y616" i="10"/>
  <c r="Y973" i="10"/>
  <c r="Z616" i="10"/>
  <c r="Q616" i="10" s="1"/>
  <c r="Y621" i="10"/>
  <c r="Y381" i="10"/>
  <c r="AA217" i="10"/>
  <c r="Z112" i="10"/>
  <c r="Q112" i="10" s="1"/>
  <c r="Z557" i="10"/>
  <c r="Q557" i="10" s="1"/>
  <c r="AA933" i="10"/>
  <c r="AA980" i="10"/>
  <c r="Y933" i="10"/>
  <c r="AA776" i="10"/>
  <c r="Y776" i="10"/>
  <c r="AA909" i="10"/>
  <c r="AA32" i="10"/>
  <c r="Z776" i="10"/>
  <c r="Q776" i="10" s="1"/>
  <c r="Y909" i="10"/>
  <c r="Y32" i="10"/>
  <c r="Z909" i="10"/>
  <c r="Q909" i="10" s="1"/>
  <c r="Y703" i="10"/>
  <c r="Z32" i="10"/>
  <c r="Q32" i="10" s="1"/>
  <c r="Y181" i="10"/>
  <c r="Z903" i="10"/>
  <c r="Q903" i="10" s="1"/>
  <c r="Y557" i="10"/>
  <c r="Z703" i="10"/>
  <c r="Q703" i="10" s="1"/>
  <c r="AA269" i="10"/>
  <c r="Z181" i="10"/>
  <c r="Q181" i="10" s="1"/>
  <c r="Z317" i="10"/>
  <c r="Q317" i="10" s="1"/>
  <c r="Y317" i="10"/>
  <c r="AA317" i="10"/>
  <c r="AA703" i="10"/>
  <c r="AA181" i="10"/>
  <c r="Z621" i="10"/>
  <c r="Q621" i="10" s="1"/>
  <c r="Z381" i="10"/>
  <c r="Q381" i="10" s="1"/>
  <c r="Y217" i="10"/>
  <c r="Y903" i="10"/>
  <c r="Y533" i="10"/>
  <c r="Y117" i="10"/>
  <c r="AA225" i="10"/>
  <c r="Y63" i="10"/>
  <c r="AA646" i="10"/>
  <c r="AA101" i="10"/>
  <c r="AA149" i="10"/>
  <c r="AA421" i="10"/>
  <c r="Z421" i="10"/>
  <c r="Q421" i="10" s="1"/>
  <c r="AA63" i="10"/>
  <c r="Y80" i="10"/>
  <c r="Y421" i="10"/>
  <c r="Y101" i="10"/>
  <c r="Z646" i="10"/>
  <c r="Q646" i="10" s="1"/>
  <c r="Y773" i="10"/>
  <c r="AA773" i="10"/>
  <c r="Z63" i="10"/>
  <c r="Q63" i="10" s="1"/>
  <c r="Z773" i="10"/>
  <c r="Q773" i="10" s="1"/>
  <c r="AA637" i="10"/>
  <c r="Y637" i="10"/>
  <c r="AA639" i="10"/>
  <c r="Y646" i="10"/>
  <c r="AA533" i="10"/>
  <c r="Z117" i="10"/>
  <c r="Q117" i="10" s="1"/>
  <c r="Y225" i="10"/>
  <c r="Y639" i="10"/>
  <c r="AA904" i="10"/>
  <c r="Z885" i="10"/>
  <c r="Q885" i="10" s="1"/>
  <c r="Z904" i="10"/>
  <c r="Q904" i="10" s="1"/>
  <c r="AA885" i="10"/>
  <c r="Z587" i="10"/>
  <c r="Q587" i="10" s="1"/>
  <c r="AA246" i="10"/>
  <c r="Y246" i="10"/>
  <c r="Z246" i="10"/>
  <c r="Q246" i="10" s="1"/>
  <c r="AA792" i="10"/>
  <c r="AA708" i="10"/>
  <c r="AA877" i="10"/>
  <c r="Y153" i="10"/>
  <c r="Y137" i="10"/>
  <c r="Z877" i="10"/>
  <c r="Q877" i="10" s="1"/>
  <c r="AA153" i="10"/>
  <c r="AA137" i="10"/>
  <c r="Y877" i="10"/>
  <c r="Z153" i="10"/>
  <c r="Q153" i="10" s="1"/>
  <c r="Z137" i="10"/>
  <c r="Q137" i="10" s="1"/>
  <c r="AA88" i="10"/>
  <c r="AA936" i="10"/>
  <c r="Y7" i="10"/>
  <c r="Y678" i="10"/>
  <c r="Y708" i="10"/>
  <c r="AA970" i="10"/>
  <c r="Z970" i="10"/>
  <c r="Q970" i="10" s="1"/>
  <c r="Z639" i="10"/>
  <c r="Q639" i="10" s="1"/>
  <c r="AA176" i="10"/>
  <c r="Y970" i="10"/>
  <c r="Z879" i="10"/>
  <c r="Q879" i="10" s="1"/>
  <c r="AA879" i="10"/>
  <c r="AA678" i="10"/>
  <c r="Z708" i="10"/>
  <c r="Q708" i="10" s="1"/>
  <c r="Y879" i="10"/>
  <c r="Z840" i="10"/>
  <c r="Q840" i="10" s="1"/>
  <c r="Y840" i="10"/>
  <c r="Y670" i="10"/>
  <c r="Y358" i="10"/>
  <c r="AA670" i="10"/>
  <c r="Y804" i="10"/>
  <c r="Y742" i="10"/>
  <c r="Z742" i="10"/>
  <c r="Q742" i="10" s="1"/>
  <c r="AA742" i="10"/>
  <c r="Y85" i="10"/>
  <c r="AA800" i="10"/>
  <c r="AA903" i="10"/>
  <c r="Z853" i="10"/>
  <c r="Q853" i="10" s="1"/>
  <c r="Y927" i="10"/>
  <c r="Z792" i="10"/>
  <c r="Q792" i="10" s="1"/>
  <c r="Y792" i="10"/>
  <c r="Y726" i="10"/>
  <c r="Z726" i="10"/>
  <c r="Q726" i="10" s="1"/>
  <c r="AA237" i="10"/>
  <c r="Z237" i="10"/>
  <c r="Q237" i="10" s="1"/>
  <c r="Y751" i="10"/>
  <c r="Y558" i="10"/>
  <c r="Z558" i="10"/>
  <c r="Q558" i="10" s="1"/>
  <c r="AA568" i="10"/>
  <c r="Z96" i="10"/>
  <c r="Q96" i="10" s="1"/>
  <c r="Y568" i="10"/>
  <c r="Z510" i="10"/>
  <c r="Q510" i="10" s="1"/>
  <c r="Z661" i="10"/>
  <c r="Q661" i="10" s="1"/>
  <c r="AA661" i="10"/>
  <c r="Z664" i="10"/>
  <c r="Q664" i="10" s="1"/>
  <c r="Z897" i="10"/>
  <c r="Q897" i="10" s="1"/>
  <c r="Y150" i="10"/>
  <c r="AA664" i="10"/>
  <c r="AA897" i="10"/>
  <c r="AA334" i="10"/>
  <c r="Y664" i="10"/>
  <c r="Y897" i="10"/>
  <c r="Z856" i="10"/>
  <c r="Q856" i="10" s="1"/>
  <c r="Z711" i="10"/>
  <c r="Q711" i="10" s="1"/>
  <c r="AA461" i="10"/>
  <c r="AA856" i="10"/>
  <c r="Y711" i="10"/>
  <c r="Y856" i="10"/>
  <c r="AA711" i="10"/>
  <c r="Z150" i="10"/>
  <c r="Q150" i="10" s="1"/>
  <c r="Y510" i="10"/>
  <c r="Y145" i="10"/>
  <c r="Z37" i="10"/>
  <c r="Q37" i="10" s="1"/>
  <c r="Z555" i="10"/>
  <c r="Q555" i="10" s="1"/>
  <c r="Y587" i="10"/>
  <c r="Y128" i="10"/>
  <c r="AA556" i="10"/>
  <c r="Y579" i="10"/>
  <c r="AA587" i="10"/>
  <c r="Z69" i="10"/>
  <c r="Q69" i="10" s="1"/>
  <c r="AA558" i="10"/>
  <c r="AA555" i="10"/>
  <c r="Z556" i="10"/>
  <c r="Q556" i="10" s="1"/>
  <c r="AA857" i="10"/>
  <c r="AA579" i="10"/>
  <c r="Y247" i="10"/>
  <c r="AA69" i="10"/>
  <c r="Z93" i="10"/>
  <c r="Q93" i="10" s="1"/>
  <c r="Z197" i="10"/>
  <c r="Q197" i="10" s="1"/>
  <c r="Y556" i="10"/>
  <c r="Y857" i="10"/>
  <c r="Z579" i="10"/>
  <c r="Q579" i="10" s="1"/>
  <c r="Y69" i="10"/>
  <c r="AA216" i="10"/>
  <c r="AA93" i="10"/>
  <c r="AA197" i="10"/>
  <c r="Z857" i="10"/>
  <c r="Q857" i="10" s="1"/>
  <c r="Y174" i="10"/>
  <c r="Y93" i="10"/>
  <c r="Y197" i="10"/>
  <c r="Z645" i="10"/>
  <c r="Q645" i="10" s="1"/>
  <c r="Y555" i="10"/>
  <c r="AA645" i="10"/>
  <c r="Z925" i="10"/>
  <c r="Q925" i="10" s="1"/>
  <c r="Y437" i="10"/>
  <c r="Y237" i="10"/>
  <c r="AA174" i="10"/>
  <c r="Y645" i="10"/>
  <c r="Y925" i="10"/>
  <c r="Z461" i="10"/>
  <c r="Q461" i="10" s="1"/>
  <c r="AA437" i="10"/>
  <c r="AA925" i="10"/>
  <c r="Z592" i="10"/>
  <c r="Q592" i="10" s="1"/>
  <c r="Y461" i="10"/>
  <c r="AA456" i="10"/>
  <c r="Z437" i="10"/>
  <c r="Q437" i="10" s="1"/>
  <c r="AA145" i="10"/>
  <c r="Z174" i="10"/>
  <c r="Q174" i="10" s="1"/>
  <c r="Z927" i="10"/>
  <c r="Q927" i="10" s="1"/>
  <c r="Y419" i="10"/>
  <c r="Z419" i="10"/>
  <c r="Q419" i="10" s="1"/>
  <c r="Y158" i="10"/>
  <c r="Z198" i="10"/>
  <c r="Q198" i="10" s="1"/>
  <c r="AA126" i="10"/>
  <c r="AA732" i="10"/>
  <c r="Y732" i="10"/>
  <c r="AA751" i="10"/>
  <c r="Z751" i="10"/>
  <c r="Q751" i="10" s="1"/>
  <c r="Z732" i="10"/>
  <c r="Q732" i="10" s="1"/>
  <c r="Z247" i="10"/>
  <c r="Q247" i="10" s="1"/>
  <c r="Z126" i="10"/>
  <c r="Q126" i="10" s="1"/>
  <c r="AA247" i="10"/>
  <c r="AA128" i="10"/>
  <c r="AA96" i="10"/>
  <c r="AA198" i="10"/>
  <c r="Y569" i="10"/>
  <c r="Y936" i="10"/>
  <c r="Y198" i="10"/>
  <c r="AA158" i="10"/>
  <c r="Y582" i="10"/>
  <c r="Y166" i="10"/>
  <c r="AA582" i="10"/>
  <c r="AA166" i="10"/>
  <c r="Z936" i="10"/>
  <c r="Q936" i="10" s="1"/>
  <c r="Z158" i="10"/>
  <c r="Q158" i="10" s="1"/>
  <c r="Z253" i="10"/>
  <c r="Q253" i="10" s="1"/>
  <c r="Y118" i="10"/>
  <c r="Z582" i="10"/>
  <c r="Q582" i="10" s="1"/>
  <c r="AA569" i="10"/>
  <c r="AA927" i="10"/>
  <c r="Y692" i="10"/>
  <c r="Z692" i="10"/>
  <c r="Q692" i="10" s="1"/>
  <c r="AA692" i="10"/>
  <c r="Z569" i="10"/>
  <c r="Q569" i="10" s="1"/>
  <c r="Z128" i="10"/>
  <c r="Q128" i="10" s="1"/>
  <c r="Y73" i="10"/>
  <c r="AA718" i="10"/>
  <c r="Y96" i="10"/>
  <c r="Z847" i="10"/>
  <c r="Q847" i="10" s="1"/>
  <c r="AA2" i="10"/>
  <c r="Y2" i="10"/>
  <c r="Z2" i="10"/>
  <c r="Q2" i="10" s="1"/>
  <c r="AA413" i="10"/>
  <c r="Y413" i="10"/>
  <c r="Y449" i="10"/>
  <c r="Y653" i="10"/>
  <c r="AA118" i="10"/>
  <c r="AA104" i="10"/>
  <c r="AA449" i="10"/>
  <c r="Z653" i="10"/>
  <c r="Q653" i="10" s="1"/>
  <c r="Y743" i="10"/>
  <c r="Z80" i="10"/>
  <c r="Q80" i="10" s="1"/>
  <c r="Z449" i="10"/>
  <c r="Q449" i="10" s="1"/>
  <c r="AA653" i="10"/>
  <c r="AA133" i="10"/>
  <c r="Y325" i="10"/>
  <c r="Z743" i="10"/>
  <c r="Q743" i="10" s="1"/>
  <c r="AA80" i="10"/>
  <c r="AA325" i="10"/>
  <c r="Z373" i="10"/>
  <c r="Q373" i="10" s="1"/>
  <c r="Y205" i="10"/>
  <c r="Z118" i="10"/>
  <c r="Q118" i="10" s="1"/>
  <c r="Y655" i="10"/>
  <c r="Z205" i="10"/>
  <c r="Q205" i="10" s="1"/>
  <c r="AA655" i="10"/>
  <c r="Z104" i="10"/>
  <c r="Q104" i="10" s="1"/>
  <c r="Z655" i="10"/>
  <c r="Q655" i="10" s="1"/>
  <c r="Y334" i="10"/>
  <c r="Z334" i="10"/>
  <c r="Q334" i="10" s="1"/>
  <c r="Z133" i="10"/>
  <c r="Q133" i="10" s="1"/>
  <c r="Z783" i="10"/>
  <c r="Q783" i="10" s="1"/>
  <c r="Y565" i="10"/>
  <c r="AA365" i="10"/>
  <c r="Z861" i="10"/>
  <c r="Q861" i="10" s="1"/>
  <c r="AA72" i="10"/>
  <c r="Z872" i="10"/>
  <c r="Q872" i="10" s="1"/>
  <c r="Y133" i="10"/>
  <c r="Y262" i="10"/>
  <c r="Z767" i="10"/>
  <c r="Q767" i="10" s="1"/>
  <c r="Z565" i="10"/>
  <c r="Q565" i="10" s="1"/>
  <c r="Y365" i="10"/>
  <c r="AA861" i="10"/>
  <c r="AA24" i="10"/>
  <c r="AA872" i="10"/>
  <c r="AA783" i="10"/>
  <c r="Z262" i="10"/>
  <c r="Q262" i="10" s="1"/>
  <c r="AA767" i="10"/>
  <c r="Z68" i="10"/>
  <c r="Q68" i="10" s="1"/>
  <c r="AA565" i="10"/>
  <c r="Z365" i="10"/>
  <c r="Q365" i="10" s="1"/>
  <c r="Y861" i="10"/>
  <c r="Y24" i="10"/>
  <c r="Y68" i="10"/>
  <c r="Y793" i="10"/>
  <c r="Y872" i="10"/>
  <c r="Y767" i="10"/>
  <c r="Y917" i="10"/>
  <c r="Z24" i="10"/>
  <c r="Q24" i="10" s="1"/>
  <c r="AA793" i="10"/>
  <c r="AA68" i="10"/>
  <c r="Y72" i="10"/>
  <c r="Z72" i="10"/>
  <c r="Q72" i="10" s="1"/>
  <c r="Z917" i="10"/>
  <c r="Q917" i="10" s="1"/>
  <c r="Z793" i="10"/>
  <c r="Q793" i="10" s="1"/>
  <c r="Y695" i="10"/>
  <c r="AA262" i="10"/>
  <c r="AA917" i="10"/>
  <c r="Z695" i="10"/>
  <c r="Q695" i="10" s="1"/>
  <c r="AA893" i="10"/>
  <c r="Z619" i="10"/>
  <c r="Q619" i="10" s="1"/>
  <c r="AA112" i="10"/>
  <c r="AA37" i="10"/>
  <c r="Y269" i="10"/>
  <c r="Y947" i="10"/>
  <c r="Y893" i="10"/>
  <c r="Y619" i="10"/>
  <c r="Y112" i="10"/>
  <c r="Z947" i="10"/>
  <c r="Q947" i="10" s="1"/>
  <c r="Z182" i="10"/>
  <c r="Q182" i="10" s="1"/>
  <c r="Y944" i="10"/>
  <c r="AA182" i="10"/>
  <c r="Z893" i="10"/>
  <c r="Q893" i="10" s="1"/>
  <c r="AA619" i="10"/>
  <c r="Z206" i="10"/>
  <c r="Q206" i="10" s="1"/>
  <c r="AA944" i="10"/>
  <c r="Y182" i="10"/>
  <c r="AA947" i="10"/>
  <c r="AA206" i="10"/>
  <c r="Y206" i="10"/>
  <c r="Z944" i="10"/>
  <c r="Q944" i="10" s="1"/>
  <c r="Y341" i="10"/>
  <c r="Z358" i="10"/>
  <c r="Q358" i="10" s="1"/>
  <c r="Y37" i="10"/>
  <c r="AA435" i="10"/>
  <c r="Z269" i="10"/>
  <c r="Q269" i="10" s="1"/>
  <c r="Z341" i="10"/>
  <c r="Q341" i="10" s="1"/>
  <c r="AA358" i="10"/>
  <c r="Z224" i="10"/>
  <c r="Q224" i="10" s="1"/>
  <c r="Y719" i="10"/>
  <c r="Z88" i="10"/>
  <c r="Q88" i="10" s="1"/>
  <c r="Z753" i="10"/>
  <c r="Q753" i="10" s="1"/>
  <c r="Y887" i="10"/>
  <c r="AA541" i="10"/>
  <c r="Y847" i="10"/>
  <c r="Z848" i="10"/>
  <c r="Q848" i="10" s="1"/>
  <c r="Z603" i="10"/>
  <c r="Q603" i="10" s="1"/>
  <c r="AA230" i="10"/>
  <c r="Z597" i="10"/>
  <c r="Q597" i="10" s="1"/>
  <c r="AA716" i="10"/>
  <c r="Y224" i="10"/>
  <c r="Z716" i="10"/>
  <c r="Q716" i="10" s="1"/>
  <c r="Z64" i="10"/>
  <c r="Q64" i="10" s="1"/>
  <c r="Y549" i="10"/>
  <c r="Y64" i="10"/>
  <c r="Z400" i="10"/>
  <c r="Q400" i="10" s="1"/>
  <c r="AA847" i="10"/>
  <c r="Z165" i="10"/>
  <c r="Q165" i="10" s="1"/>
  <c r="Z755" i="10"/>
  <c r="Q755" i="10" s="1"/>
  <c r="AA780" i="10"/>
  <c r="AA64" i="10"/>
  <c r="Y755" i="10"/>
  <c r="Y679" i="10"/>
  <c r="Y880" i="10"/>
  <c r="Y780" i="10"/>
  <c r="Y400" i="10"/>
  <c r="AA400" i="10"/>
  <c r="AA755" i="10"/>
  <c r="Z679" i="10"/>
  <c r="Q679" i="10" s="1"/>
  <c r="Z780" i="10"/>
  <c r="Q780" i="10" s="1"/>
  <c r="AA592" i="10"/>
  <c r="AA373" i="10"/>
  <c r="AA623" i="10"/>
  <c r="AA687" i="10"/>
  <c r="Y623" i="10"/>
  <c r="Z190" i="10"/>
  <c r="Q190" i="10" s="1"/>
  <c r="Z759" i="10"/>
  <c r="Q759" i="10" s="1"/>
  <c r="Y184" i="10"/>
  <c r="Z623" i="10"/>
  <c r="Q623" i="10" s="1"/>
  <c r="AA534" i="10"/>
  <c r="Y534" i="10"/>
  <c r="AA957" i="10"/>
  <c r="Y597" i="10"/>
  <c r="Z534" i="10"/>
  <c r="Q534" i="10" s="1"/>
  <c r="AA184" i="10"/>
  <c r="Z184" i="10"/>
  <c r="Q184" i="10" s="1"/>
  <c r="Y716" i="10"/>
  <c r="Y592" i="10"/>
  <c r="Y373" i="10"/>
  <c r="Y190" i="10"/>
  <c r="Y687" i="10"/>
  <c r="AA190" i="10"/>
  <c r="AA597" i="10"/>
  <c r="Y222" i="10"/>
  <c r="AA165" i="10"/>
  <c r="Z222" i="10"/>
  <c r="Q222" i="10" s="1"/>
  <c r="AA222" i="10"/>
  <c r="AA414" i="10"/>
  <c r="Y230" i="10"/>
  <c r="Y165" i="10"/>
  <c r="Y189" i="10"/>
  <c r="Y414" i="10"/>
  <c r="Y293" i="10"/>
  <c r="Y517" i="10"/>
  <c r="Z189" i="10"/>
  <c r="Q189" i="10" s="1"/>
  <c r="Z414" i="10"/>
  <c r="Q414" i="10" s="1"/>
  <c r="Z293" i="10"/>
  <c r="Q293" i="10" s="1"/>
  <c r="Y801" i="10"/>
  <c r="Z230" i="10"/>
  <c r="Q230" i="10" s="1"/>
  <c r="Z517" i="10"/>
  <c r="Q517" i="10" s="1"/>
  <c r="AA189" i="10"/>
  <c r="Y848" i="10"/>
  <c r="Y731" i="10"/>
  <c r="AA293" i="10"/>
  <c r="Z816" i="10"/>
  <c r="Q816" i="10" s="1"/>
  <c r="AA517" i="10"/>
  <c r="Y611" i="10"/>
  <c r="AA848" i="10"/>
  <c r="AA801" i="10"/>
  <c r="Y435" i="10"/>
  <c r="AA816" i="10"/>
  <c r="AA224" i="10"/>
  <c r="Z880" i="10"/>
  <c r="Q880" i="10" s="1"/>
  <c r="AA611" i="10"/>
  <c r="Z435" i="10"/>
  <c r="Q435" i="10" s="1"/>
  <c r="Y816" i="10"/>
  <c r="AA880" i="10"/>
  <c r="Z611" i="10"/>
  <c r="Q611" i="10" s="1"/>
  <c r="Z110" i="10"/>
  <c r="Q110" i="10" s="1"/>
  <c r="AA40" i="10"/>
  <c r="Y309" i="10"/>
  <c r="Y469" i="10"/>
  <c r="Z549" i="10"/>
  <c r="Q549" i="10" s="1"/>
  <c r="Z718" i="10"/>
  <c r="Q718" i="10" s="1"/>
  <c r="Y40" i="10"/>
  <c r="Z309" i="10"/>
  <c r="Q309" i="10" s="1"/>
  <c r="Z469" i="10"/>
  <c r="Q469" i="10" s="1"/>
  <c r="Y727" i="10"/>
  <c r="AA727" i="10"/>
  <c r="AA549" i="10"/>
  <c r="Y301" i="10"/>
  <c r="Z245" i="10"/>
  <c r="Q245" i="10" s="1"/>
  <c r="AA110" i="10"/>
  <c r="Z40" i="10"/>
  <c r="Q40" i="10" s="1"/>
  <c r="AA309" i="10"/>
  <c r="AA469" i="10"/>
  <c r="Z727" i="10"/>
  <c r="Q727" i="10" s="1"/>
  <c r="Z301" i="10"/>
  <c r="Q301" i="10" s="1"/>
  <c r="Y718" i="10"/>
  <c r="AA301" i="10"/>
  <c r="AA245" i="10"/>
  <c r="Y589" i="10"/>
  <c r="AA209" i="10"/>
  <c r="Y110" i="10"/>
  <c r="Z589" i="10"/>
  <c r="Q589" i="10" s="1"/>
  <c r="Z209" i="10"/>
  <c r="Q209" i="10" s="1"/>
  <c r="AA589" i="10"/>
  <c r="Y209" i="10"/>
  <c r="Z216" i="10"/>
  <c r="Q216" i="10" s="1"/>
  <c r="AA731" i="10"/>
  <c r="Z675" i="10"/>
  <c r="Q675" i="10" s="1"/>
  <c r="AA120" i="10"/>
  <c r="Y759" i="10"/>
  <c r="Y120" i="10"/>
  <c r="Z731" i="10"/>
  <c r="Q731" i="10" s="1"/>
  <c r="Y675" i="10"/>
  <c r="AA759" i="10"/>
  <c r="Z61" i="10"/>
  <c r="Q61" i="10" s="1"/>
  <c r="AA253" i="10"/>
  <c r="Y253" i="10"/>
  <c r="AA427" i="10"/>
  <c r="AA675" i="10"/>
  <c r="Z232" i="10"/>
  <c r="Q232" i="10" s="1"/>
  <c r="Y411" i="10"/>
  <c r="Z427" i="10"/>
  <c r="Q427" i="10" s="1"/>
  <c r="AA232" i="10"/>
  <c r="Y603" i="10"/>
  <c r="Z411" i="10"/>
  <c r="Q411" i="10" s="1"/>
  <c r="Z719" i="10"/>
  <c r="Q719" i="10" s="1"/>
  <c r="Z120" i="10"/>
  <c r="Q120" i="10" s="1"/>
  <c r="Y427" i="10"/>
  <c r="Z801" i="10"/>
  <c r="Q801" i="10" s="1"/>
  <c r="AA603" i="10"/>
  <c r="AA411" i="10"/>
  <c r="Y61" i="10"/>
  <c r="AA853" i="10"/>
  <c r="AA719" i="10"/>
  <c r="AA61" i="10"/>
  <c r="Y216" i="10"/>
  <c r="Y232" i="10"/>
  <c r="Y853" i="10"/>
  <c r="AA105" i="10"/>
  <c r="Z105" i="10"/>
  <c r="Q105" i="10" s="1"/>
  <c r="AA200" i="10"/>
  <c r="AA142" i="10"/>
  <c r="Y105" i="10"/>
  <c r="Z142" i="10"/>
  <c r="Q142" i="10" s="1"/>
  <c r="Y957" i="10"/>
  <c r="Y245" i="10"/>
  <c r="Z957" i="10"/>
  <c r="Q957" i="10" s="1"/>
  <c r="Y142" i="10"/>
  <c r="Y541" i="10"/>
  <c r="AA73" i="10"/>
  <c r="AA700" i="10"/>
  <c r="Y700" i="10"/>
  <c r="Z700" i="10"/>
  <c r="Q700" i="10" s="1"/>
  <c r="Z73" i="10"/>
  <c r="Q73" i="10" s="1"/>
  <c r="AA833" i="10"/>
  <c r="Z200" i="10"/>
  <c r="Q200" i="10" s="1"/>
  <c r="Y833" i="10"/>
  <c r="AA753" i="10"/>
  <c r="Y753" i="10"/>
  <c r="Y200" i="10"/>
  <c r="Y855" i="10"/>
  <c r="Z855" i="10"/>
  <c r="Q855" i="10" s="1"/>
  <c r="AA855" i="10"/>
  <c r="Z541" i="10"/>
  <c r="Q541" i="10" s="1"/>
  <c r="Z833" i="10"/>
  <c r="Q833" i="10" s="1"/>
  <c r="Y576" i="10"/>
  <c r="AA576" i="10"/>
  <c r="Z576" i="10"/>
  <c r="Q576" i="10" s="1"/>
  <c r="AA887" i="10"/>
  <c r="Z887" i="10"/>
  <c r="Q887" i="10" s="1"/>
  <c r="AA56" i="10"/>
  <c r="Y56" i="10"/>
  <c r="Z56" i="10"/>
  <c r="Q56" i="10" s="1"/>
  <c r="Z397" i="10"/>
  <c r="Q397" i="10" s="1"/>
  <c r="Y397" i="10"/>
  <c r="AA397" i="10"/>
  <c r="Z823" i="10"/>
  <c r="Q823" i="10" s="1"/>
  <c r="AA823" i="10"/>
  <c r="Y823" i="10"/>
  <c r="Z834" i="10"/>
  <c r="Q834" i="10" s="1"/>
  <c r="Y834" i="10"/>
  <c r="AA834" i="10"/>
  <c r="AA377" i="10"/>
  <c r="Y377" i="10"/>
  <c r="Z377" i="10"/>
  <c r="Q377" i="10" s="1"/>
  <c r="AA124" i="10"/>
  <c r="Z124" i="10"/>
  <c r="Q124" i="10" s="1"/>
  <c r="Y124" i="10"/>
  <c r="AA290" i="10"/>
  <c r="Z290" i="10"/>
  <c r="Q290" i="10" s="1"/>
  <c r="Y290" i="10"/>
  <c r="Z722" i="10"/>
  <c r="Q722" i="10" s="1"/>
  <c r="AA722" i="10"/>
  <c r="Y722" i="10"/>
  <c r="AA908" i="10"/>
  <c r="Y908" i="10"/>
  <c r="Z908" i="10"/>
  <c r="Q908" i="10" s="1"/>
  <c r="Z263" i="10"/>
  <c r="Q263" i="10" s="1"/>
  <c r="Y263" i="10"/>
  <c r="AA263" i="10"/>
  <c r="AA537" i="10"/>
  <c r="Y537" i="10"/>
  <c r="Z537" i="10"/>
  <c r="Q537" i="10" s="1"/>
  <c r="Y891" i="10"/>
  <c r="Z891" i="10"/>
  <c r="Q891" i="10" s="1"/>
  <c r="AA891" i="10"/>
  <c r="Z932" i="10"/>
  <c r="Q932" i="10" s="1"/>
  <c r="Y932" i="10"/>
  <c r="AA932" i="10"/>
  <c r="AA4" i="10"/>
  <c r="Z4" i="10"/>
  <c r="Q4" i="10" s="1"/>
  <c r="Y4" i="10"/>
  <c r="Y94" i="10"/>
  <c r="AA94" i="10"/>
  <c r="Z94" i="10"/>
  <c r="Q94" i="10" s="1"/>
  <c r="AA683" i="10"/>
  <c r="Y683" i="10"/>
  <c r="Z683" i="10"/>
  <c r="Q683" i="10" s="1"/>
  <c r="AA204" i="10"/>
  <c r="Y204" i="10"/>
  <c r="Z204" i="10"/>
  <c r="Q204" i="10" s="1"/>
  <c r="Z404" i="10"/>
  <c r="Q404" i="10" s="1"/>
  <c r="AA404" i="10"/>
  <c r="Y404" i="10"/>
  <c r="Z304" i="10"/>
  <c r="Q304" i="10" s="1"/>
  <c r="Y304" i="10"/>
  <c r="AA304" i="10"/>
  <c r="Y383" i="10"/>
  <c r="AA383" i="10"/>
  <c r="Z383" i="10"/>
  <c r="Q383" i="10" s="1"/>
  <c r="Y888" i="10"/>
  <c r="AA888" i="10"/>
  <c r="Z888" i="10"/>
  <c r="Q888" i="10" s="1"/>
  <c r="Y500" i="10"/>
  <c r="AA500" i="10"/>
  <c r="Z500" i="10"/>
  <c r="Q500" i="10" s="1"/>
  <c r="AA273" i="10"/>
  <c r="Y273" i="10"/>
  <c r="Z273" i="10"/>
  <c r="Q273" i="10" s="1"/>
  <c r="Y391" i="10"/>
  <c r="AA391" i="10"/>
  <c r="Z391" i="10"/>
  <c r="Q391" i="10" s="1"/>
  <c r="Z6" i="10"/>
  <c r="Q6" i="10" s="1"/>
  <c r="AA6" i="10"/>
  <c r="Y6" i="10"/>
  <c r="AA894" i="10"/>
  <c r="Z894" i="10"/>
  <c r="Q894" i="10" s="1"/>
  <c r="Y894" i="10"/>
  <c r="AA540" i="10"/>
  <c r="Z540" i="10"/>
  <c r="Q540" i="10" s="1"/>
  <c r="Y540" i="10"/>
  <c r="Z426" i="10"/>
  <c r="Q426" i="10" s="1"/>
  <c r="Y426" i="10"/>
  <c r="AA426" i="10"/>
  <c r="Y27" i="10"/>
  <c r="Z27" i="10"/>
  <c r="Q27" i="10" s="1"/>
  <c r="AA27" i="10"/>
  <c r="AA860" i="10"/>
  <c r="Y860" i="10"/>
  <c r="Z860" i="10"/>
  <c r="Q860" i="10" s="1"/>
  <c r="AA423" i="10"/>
  <c r="Z423" i="10"/>
  <c r="Q423" i="10" s="1"/>
  <c r="Y423" i="10"/>
  <c r="Z839" i="10"/>
  <c r="Q839" i="10" s="1"/>
  <c r="Y839" i="10"/>
  <c r="AA839" i="10"/>
  <c r="Z323" i="10"/>
  <c r="Q323" i="10" s="1"/>
  <c r="Y323" i="10"/>
  <c r="AA323" i="10"/>
  <c r="AA907" i="10"/>
  <c r="Y907" i="10"/>
  <c r="Z907" i="10"/>
  <c r="Q907" i="10" s="1"/>
  <c r="Y375" i="10"/>
  <c r="AA375" i="10"/>
  <c r="Z375" i="10"/>
  <c r="Q375" i="10" s="1"/>
  <c r="Y593" i="10"/>
  <c r="AA593" i="10"/>
  <c r="Z593" i="10"/>
  <c r="Q593" i="10" s="1"/>
  <c r="Z360" i="10"/>
  <c r="Q360" i="10" s="1"/>
  <c r="Y360" i="10"/>
  <c r="AA360" i="10"/>
  <c r="Z183" i="10"/>
  <c r="Q183" i="10" s="1"/>
  <c r="Y183" i="10"/>
  <c r="AA183" i="10"/>
  <c r="Z590" i="10"/>
  <c r="Q590" i="10" s="1"/>
  <c r="Y590" i="10"/>
  <c r="AA590" i="10"/>
  <c r="Y881" i="10"/>
  <c r="AA881" i="10"/>
  <c r="Z881" i="10"/>
  <c r="Q881" i="10" s="1"/>
  <c r="Z974" i="10"/>
  <c r="Q974" i="10" s="1"/>
  <c r="Y974" i="10"/>
  <c r="AA974" i="10"/>
  <c r="AA521" i="10"/>
  <c r="Z521" i="10"/>
  <c r="Q521" i="10" s="1"/>
  <c r="Y521" i="10"/>
  <c r="AA698" i="10"/>
  <c r="Z698" i="10"/>
  <c r="Q698" i="10" s="1"/>
  <c r="Y698" i="10"/>
  <c r="AA548" i="10"/>
  <c r="Z548" i="10"/>
  <c r="Q548" i="10" s="1"/>
  <c r="Y548" i="10"/>
  <c r="AA384" i="10"/>
  <c r="Z384" i="10"/>
  <c r="Q384" i="10" s="1"/>
  <c r="Y384" i="10"/>
  <c r="Z757" i="10"/>
  <c r="Q757" i="10" s="1"/>
  <c r="AA757" i="10"/>
  <c r="Y757" i="10"/>
  <c r="AA13" i="10"/>
  <c r="Z13" i="10"/>
  <c r="Q13" i="10" s="1"/>
  <c r="Y13" i="10"/>
  <c r="AA348" i="10"/>
  <c r="Z348" i="10"/>
  <c r="Q348" i="10" s="1"/>
  <c r="Y348" i="10"/>
  <c r="AA720" i="10"/>
  <c r="Z720" i="10"/>
  <c r="Q720" i="10" s="1"/>
  <c r="Y720" i="10"/>
  <c r="Y447" i="10"/>
  <c r="AA447" i="10"/>
  <c r="Z447" i="10"/>
  <c r="Q447" i="10" s="1"/>
  <c r="Y359" i="10"/>
  <c r="AA359" i="10"/>
  <c r="Z359" i="10"/>
  <c r="Q359" i="10" s="1"/>
  <c r="Y241" i="10"/>
  <c r="AA241" i="10"/>
  <c r="Z241" i="10"/>
  <c r="Q241" i="10" s="1"/>
  <c r="Y960" i="10"/>
  <c r="Z960" i="10"/>
  <c r="Q960" i="10" s="1"/>
  <c r="AA960" i="10"/>
  <c r="Y713" i="10"/>
  <c r="Z713" i="10"/>
  <c r="Q713" i="10" s="1"/>
  <c r="AA713" i="10"/>
  <c r="Y345" i="10"/>
  <c r="Z345" i="10"/>
  <c r="Q345" i="10" s="1"/>
  <c r="AA345" i="10"/>
  <c r="AA106" i="10"/>
  <c r="Y106" i="10"/>
  <c r="Z106" i="10"/>
  <c r="Q106" i="10" s="1"/>
  <c r="AA482" i="10"/>
  <c r="Y482" i="10"/>
  <c r="Z482" i="10"/>
  <c r="Q482" i="10" s="1"/>
  <c r="Y985" i="10"/>
  <c r="AA985" i="10"/>
  <c r="Z985" i="10"/>
  <c r="Q985" i="10" s="1"/>
  <c r="Y874" i="10"/>
  <c r="AA874" i="10"/>
  <c r="Z874" i="10"/>
  <c r="Q874" i="10" s="1"/>
  <c r="Y488" i="10"/>
  <c r="AA488" i="10"/>
  <c r="Z488" i="10"/>
  <c r="Q488" i="10" s="1"/>
  <c r="AA765" i="10"/>
  <c r="Y765" i="10"/>
  <c r="Z765" i="10"/>
  <c r="Q765" i="10" s="1"/>
  <c r="Y3" i="10"/>
  <c r="Z3" i="10"/>
  <c r="Q3" i="10" s="1"/>
  <c r="AA3" i="10"/>
  <c r="Y227" i="10"/>
  <c r="AA227" i="10"/>
  <c r="Z227" i="10"/>
  <c r="Q227" i="10" s="1"/>
  <c r="Z18" i="10"/>
  <c r="Q18" i="10" s="1"/>
  <c r="Y18" i="10"/>
  <c r="AA18" i="10"/>
  <c r="Z460" i="10"/>
  <c r="Q460" i="10" s="1"/>
  <c r="AA460" i="10"/>
  <c r="Y460" i="10"/>
  <c r="Y951" i="10"/>
  <c r="AA951" i="10"/>
  <c r="Z951" i="10"/>
  <c r="Q951" i="10" s="1"/>
  <c r="Z41" i="10"/>
  <c r="Q41" i="10" s="1"/>
  <c r="Y41" i="10"/>
  <c r="AA41" i="10"/>
  <c r="Y418" i="10"/>
  <c r="AA418" i="10"/>
  <c r="Z418" i="10"/>
  <c r="Q418" i="10" s="1"/>
  <c r="AA86" i="10"/>
  <c r="Z86" i="10"/>
  <c r="Q86" i="10" s="1"/>
  <c r="Y86" i="10"/>
  <c r="Z864" i="10"/>
  <c r="Q864" i="10" s="1"/>
  <c r="Y864" i="10"/>
  <c r="AA864" i="10"/>
  <c r="Z135" i="10"/>
  <c r="Q135" i="10" s="1"/>
  <c r="AA135" i="10"/>
  <c r="Y135" i="10"/>
  <c r="AA194" i="10"/>
  <c r="Z194" i="10"/>
  <c r="Q194" i="10" s="1"/>
  <c r="Y194" i="10"/>
  <c r="Y805" i="10"/>
  <c r="Z805" i="10"/>
  <c r="Q805" i="10" s="1"/>
  <c r="AA805" i="10"/>
  <c r="Z630" i="10"/>
  <c r="Q630" i="10" s="1"/>
  <c r="AA630" i="10"/>
  <c r="Y630" i="10"/>
  <c r="AA82" i="10"/>
  <c r="Z82" i="10"/>
  <c r="Q82" i="10" s="1"/>
  <c r="Y82" i="10"/>
  <c r="Y546" i="10"/>
  <c r="AA546" i="10"/>
  <c r="Z546" i="10"/>
  <c r="Q546" i="10" s="1"/>
  <c r="Z523" i="10"/>
  <c r="Q523" i="10" s="1"/>
  <c r="AA523" i="10"/>
  <c r="Y523" i="10"/>
  <c r="Y249" i="10"/>
  <c r="AA249" i="10"/>
  <c r="Z249" i="10"/>
  <c r="Q249" i="10" s="1"/>
  <c r="AA12" i="10"/>
  <c r="Y12" i="10"/>
  <c r="Z12" i="10"/>
  <c r="Q12" i="10" s="1"/>
  <c r="Z406" i="10"/>
  <c r="Q406" i="10" s="1"/>
  <c r="Y406" i="10"/>
  <c r="AA406" i="10"/>
  <c r="Y410" i="10"/>
  <c r="AA410" i="10"/>
  <c r="Z410" i="10"/>
  <c r="Q410" i="10" s="1"/>
  <c r="AA305" i="10"/>
  <c r="Y305" i="10"/>
  <c r="Z305" i="10"/>
  <c r="Q305" i="10" s="1"/>
  <c r="AA942" i="10"/>
  <c r="Z942" i="10"/>
  <c r="Q942" i="10" s="1"/>
  <c r="Y942" i="10"/>
  <c r="Y787" i="10"/>
  <c r="Z787" i="10"/>
  <c r="Q787" i="10" s="1"/>
  <c r="AA787" i="10"/>
  <c r="AA676" i="10"/>
  <c r="Z676" i="10"/>
  <c r="Q676" i="10" s="1"/>
  <c r="Y676" i="10"/>
  <c r="Y926" i="10"/>
  <c r="AA926" i="10"/>
  <c r="Z926" i="10"/>
  <c r="Q926" i="10" s="1"/>
  <c r="Z512" i="10"/>
  <c r="Q512" i="10" s="1"/>
  <c r="Y512" i="10"/>
  <c r="AA512" i="10"/>
  <c r="AA54" i="10"/>
  <c r="Y54" i="10"/>
  <c r="Z54" i="10"/>
  <c r="Q54" i="10" s="1"/>
  <c r="AA604" i="10"/>
  <c r="Z604" i="10"/>
  <c r="Q604" i="10" s="1"/>
  <c r="Y604" i="10"/>
  <c r="AA515" i="10"/>
  <c r="Z515" i="10"/>
  <c r="Q515" i="10" s="1"/>
  <c r="Y515" i="10"/>
  <c r="AA172" i="10"/>
  <c r="Y172" i="10"/>
  <c r="Z172" i="10"/>
  <c r="Q172" i="10" s="1"/>
  <c r="Y274" i="10"/>
  <c r="AA274" i="10"/>
  <c r="Z274" i="10"/>
  <c r="Q274" i="10" s="1"/>
  <c r="AA315" i="10"/>
  <c r="Z315" i="10"/>
  <c r="Q315" i="10" s="1"/>
  <c r="Y315" i="10"/>
  <c r="AA657" i="10"/>
  <c r="Z657" i="10"/>
  <c r="Q657" i="10" s="1"/>
  <c r="Y657" i="10"/>
  <c r="AA340" i="10"/>
  <c r="Z340" i="10"/>
  <c r="Q340" i="10" s="1"/>
  <c r="Y340" i="10"/>
  <c r="Y984" i="10"/>
  <c r="AA984" i="10"/>
  <c r="Z984" i="10"/>
  <c r="Q984" i="10" s="1"/>
  <c r="AA146" i="10"/>
  <c r="Z146" i="10"/>
  <c r="Q146" i="10" s="1"/>
  <c r="Y146" i="10"/>
  <c r="AA508" i="10"/>
  <c r="Z508" i="10"/>
  <c r="Q508" i="10" s="1"/>
  <c r="Y508" i="10"/>
  <c r="AA890" i="10"/>
  <c r="Z890" i="10"/>
  <c r="Q890" i="10" s="1"/>
  <c r="Y890" i="10"/>
  <c r="AA876" i="10"/>
  <c r="Z876" i="10"/>
  <c r="Q876" i="10" s="1"/>
  <c r="Y876" i="10"/>
  <c r="Y471" i="10"/>
  <c r="AA471" i="10"/>
  <c r="Z471" i="10"/>
  <c r="Q471" i="10" s="1"/>
  <c r="Y267" i="10"/>
  <c r="AA267" i="10"/>
  <c r="Z267" i="10"/>
  <c r="Q267" i="10" s="1"/>
  <c r="Z50" i="10"/>
  <c r="Q50" i="10" s="1"/>
  <c r="Y50" i="10"/>
  <c r="AA50" i="10"/>
  <c r="Y127" i="10"/>
  <c r="AA127" i="10"/>
  <c r="Z127" i="10"/>
  <c r="Q127" i="10" s="1"/>
  <c r="Y971" i="10"/>
  <c r="AA971" i="10"/>
  <c r="Z971" i="10"/>
  <c r="Q971" i="10" s="1"/>
  <c r="Y963" i="10"/>
  <c r="AA963" i="10"/>
  <c r="Z963" i="10"/>
  <c r="Q963" i="10" s="1"/>
  <c r="Y770" i="10"/>
  <c r="AA770" i="10"/>
  <c r="Z770" i="10"/>
  <c r="Q770" i="10" s="1"/>
  <c r="Z428" i="10"/>
  <c r="Q428" i="10" s="1"/>
  <c r="AA428" i="10"/>
  <c r="Y428" i="10"/>
  <c r="Y17" i="10"/>
  <c r="AA17" i="10"/>
  <c r="Z17" i="10"/>
  <c r="Q17" i="10" s="1"/>
  <c r="Y52" i="10"/>
  <c r="AA52" i="10"/>
  <c r="Z52" i="10"/>
  <c r="Q52" i="10" s="1"/>
  <c r="AA259" i="10"/>
  <c r="Z259" i="10"/>
  <c r="Q259" i="10" s="1"/>
  <c r="Y259" i="10"/>
  <c r="Z119" i="10"/>
  <c r="Q119" i="10" s="1"/>
  <c r="Y119" i="10"/>
  <c r="AA119" i="10"/>
  <c r="Z199" i="10"/>
  <c r="Q199" i="10" s="1"/>
  <c r="Y199" i="10"/>
  <c r="AA199" i="10"/>
  <c r="Z878" i="10"/>
  <c r="Q878" i="10" s="1"/>
  <c r="Y878" i="10"/>
  <c r="AA878" i="10"/>
  <c r="Z484" i="10"/>
  <c r="Q484" i="10" s="1"/>
  <c r="Y484" i="10"/>
  <c r="AA484" i="10"/>
  <c r="Y60" i="10"/>
  <c r="Z60" i="10"/>
  <c r="Q60" i="10" s="1"/>
  <c r="AA60" i="10"/>
  <c r="Y87" i="10"/>
  <c r="AA87" i="10"/>
  <c r="Z87" i="10"/>
  <c r="Q87" i="10" s="1"/>
  <c r="Y335" i="10"/>
  <c r="AA335" i="10"/>
  <c r="Z335" i="10"/>
  <c r="Q335" i="10" s="1"/>
  <c r="Z852" i="10"/>
  <c r="Q852" i="10" s="1"/>
  <c r="Y852" i="10"/>
  <c r="AA852" i="10"/>
  <c r="Z983" i="10"/>
  <c r="Q983" i="10" s="1"/>
  <c r="Y983" i="10"/>
  <c r="AA983" i="10"/>
  <c r="Z744" i="10"/>
  <c r="Q744" i="10" s="1"/>
  <c r="Y744" i="10"/>
  <c r="AA744" i="10"/>
  <c r="Z571" i="10"/>
  <c r="Q571" i="10" s="1"/>
  <c r="AA571" i="10"/>
  <c r="Y571" i="10"/>
  <c r="Z350" i="10"/>
  <c r="Q350" i="10" s="1"/>
  <c r="Y350" i="10"/>
  <c r="AA350" i="10"/>
  <c r="Y601" i="10"/>
  <c r="AA601" i="10"/>
  <c r="Z601" i="10"/>
  <c r="Q601" i="10" s="1"/>
  <c r="Y473" i="10"/>
  <c r="AA473" i="10"/>
  <c r="Z473" i="10"/>
  <c r="Q473" i="10" s="1"/>
  <c r="Y527" i="10"/>
  <c r="AA527" i="10"/>
  <c r="Z527" i="10"/>
  <c r="Q527" i="10" s="1"/>
  <c r="AA620" i="10"/>
  <c r="Z620" i="10"/>
  <c r="Q620" i="10" s="1"/>
  <c r="Y620" i="10"/>
  <c r="Y544" i="10"/>
  <c r="Z544" i="10"/>
  <c r="Q544" i="10" s="1"/>
  <c r="AA544" i="10"/>
  <c r="AA935" i="10"/>
  <c r="Z935" i="10"/>
  <c r="Q935" i="10" s="1"/>
  <c r="Y935" i="10"/>
  <c r="Y691" i="10"/>
  <c r="AA691" i="10"/>
  <c r="Z691" i="10"/>
  <c r="Q691" i="10" s="1"/>
  <c r="AA196" i="10"/>
  <c r="Z196" i="10"/>
  <c r="Q196" i="10" s="1"/>
  <c r="Y196" i="10"/>
  <c r="AA760" i="10"/>
  <c r="Z760" i="10"/>
  <c r="Q760" i="10" s="1"/>
  <c r="Y760" i="10"/>
  <c r="AA70" i="10"/>
  <c r="Z70" i="10"/>
  <c r="Q70" i="10" s="1"/>
  <c r="Y70" i="10"/>
  <c r="Y681" i="10"/>
  <c r="Z681" i="10"/>
  <c r="Q681" i="10" s="1"/>
  <c r="AA681" i="10"/>
  <c r="Z769" i="10"/>
  <c r="Q769" i="10" s="1"/>
  <c r="AA769" i="10"/>
  <c r="Y769" i="10"/>
  <c r="Y122" i="10"/>
  <c r="AA122" i="10"/>
  <c r="Z122" i="10"/>
  <c r="Q122" i="10" s="1"/>
  <c r="AA347" i="10"/>
  <c r="Z347" i="10"/>
  <c r="Q347" i="10" s="1"/>
  <c r="Y347" i="10"/>
  <c r="AA379" i="10"/>
  <c r="Z379" i="10"/>
  <c r="Q379" i="10" s="1"/>
  <c r="Y379" i="10"/>
  <c r="Z796" i="10"/>
  <c r="Q796" i="10" s="1"/>
  <c r="Y796" i="10"/>
  <c r="AA796" i="10"/>
  <c r="AA684" i="10"/>
  <c r="Z684" i="10"/>
  <c r="Q684" i="10" s="1"/>
  <c r="Y684" i="10"/>
  <c r="Y859" i="10"/>
  <c r="AA859" i="10"/>
  <c r="Z859" i="10"/>
  <c r="Q859" i="10" s="1"/>
  <c r="Z368" i="10"/>
  <c r="Q368" i="10" s="1"/>
  <c r="Y368" i="10"/>
  <c r="AA368" i="10"/>
  <c r="AA5" i="10"/>
  <c r="Z5" i="10"/>
  <c r="Q5" i="10" s="1"/>
  <c r="Y5" i="10"/>
  <c r="Z256" i="10"/>
  <c r="Q256" i="10" s="1"/>
  <c r="Y256" i="10"/>
  <c r="AA256" i="10"/>
  <c r="AA697" i="10"/>
  <c r="Y697" i="10"/>
  <c r="Z697" i="10"/>
  <c r="Q697" i="10" s="1"/>
  <c r="AA258" i="10"/>
  <c r="Z258" i="10"/>
  <c r="Q258" i="10" s="1"/>
  <c r="Y258" i="10"/>
  <c r="AA275" i="10"/>
  <c r="Z275" i="10"/>
  <c r="Q275" i="10" s="1"/>
  <c r="Y275" i="10"/>
  <c r="Y459" i="10"/>
  <c r="Z459" i="10"/>
  <c r="Q459" i="10" s="1"/>
  <c r="AA459" i="10"/>
  <c r="AA553" i="10"/>
  <c r="Z553" i="10"/>
  <c r="Q553" i="10" s="1"/>
  <c r="Y553" i="10"/>
  <c r="Y424" i="10"/>
  <c r="AA424" i="10"/>
  <c r="Z424" i="10"/>
  <c r="Q424" i="10" s="1"/>
  <c r="AA31" i="10"/>
  <c r="Y31" i="10"/>
  <c r="Z31" i="10"/>
  <c r="Q31" i="10" s="1"/>
  <c r="AA918" i="10"/>
  <c r="Z918" i="10"/>
  <c r="Q918" i="10" s="1"/>
  <c r="Y918" i="10"/>
  <c r="Z46" i="10"/>
  <c r="Q46" i="10" s="1"/>
  <c r="AA46" i="10"/>
  <c r="Y46" i="10"/>
  <c r="Z228" i="10"/>
  <c r="Q228" i="10" s="1"/>
  <c r="AA228" i="10"/>
  <c r="Y228" i="10"/>
  <c r="Y764" i="10"/>
  <c r="AA764" i="10"/>
  <c r="Z764" i="10"/>
  <c r="Q764" i="10" s="1"/>
  <c r="Y838" i="10"/>
  <c r="Z838" i="10"/>
  <c r="Q838" i="10" s="1"/>
  <c r="AA838" i="10"/>
  <c r="AA729" i="10"/>
  <c r="Z729" i="10"/>
  <c r="Q729" i="10" s="1"/>
  <c r="Y729" i="10"/>
  <c r="Z507" i="10"/>
  <c r="Q507" i="10" s="1"/>
  <c r="AA507" i="10"/>
  <c r="Y507" i="10"/>
  <c r="Z574" i="10"/>
  <c r="Q574" i="10" s="1"/>
  <c r="AA574" i="10"/>
  <c r="Y574" i="10"/>
  <c r="Z248" i="10"/>
  <c r="Q248" i="10" s="1"/>
  <c r="Y248" i="10"/>
  <c r="AA248" i="10"/>
  <c r="Z53" i="10"/>
  <c r="Q53" i="10" s="1"/>
  <c r="AA53" i="10"/>
  <c r="Y53" i="10"/>
  <c r="Z644" i="10"/>
  <c r="Q644" i="10" s="1"/>
  <c r="AA644" i="10"/>
  <c r="Y644" i="10"/>
  <c r="Z580" i="10"/>
  <c r="Q580" i="10" s="1"/>
  <c r="AA580" i="10"/>
  <c r="Y580" i="10"/>
  <c r="Y596" i="10"/>
  <c r="AA596" i="10"/>
  <c r="Z596" i="10"/>
  <c r="Q596" i="10" s="1"/>
  <c r="AA148" i="10"/>
  <c r="Y148" i="10"/>
  <c r="Z148" i="10"/>
  <c r="Q148" i="10" s="1"/>
  <c r="AA775" i="10"/>
  <c r="Z775" i="10"/>
  <c r="Q775" i="10" s="1"/>
  <c r="Y775" i="10"/>
  <c r="AA236" i="10"/>
  <c r="Z236" i="10"/>
  <c r="Q236" i="10" s="1"/>
  <c r="Y236" i="10"/>
  <c r="Z690" i="10"/>
  <c r="Q690" i="10" s="1"/>
  <c r="AA690" i="10"/>
  <c r="Y690" i="10"/>
  <c r="Y578" i="10"/>
  <c r="Z578" i="10"/>
  <c r="Q578" i="10" s="1"/>
  <c r="AA578" i="10"/>
  <c r="AA155" i="10"/>
  <c r="Z155" i="10"/>
  <c r="Q155" i="10" s="1"/>
  <c r="Y155" i="10"/>
  <c r="Y330" i="10"/>
  <c r="AA330" i="10"/>
  <c r="Z330" i="10"/>
  <c r="Q330" i="10" s="1"/>
  <c r="Z930" i="10"/>
  <c r="Q930" i="10" s="1"/>
  <c r="Y930" i="10"/>
  <c r="AA930" i="10"/>
  <c r="Y958" i="10"/>
  <c r="AA958" i="10"/>
  <c r="Z958" i="10"/>
  <c r="Q958" i="10" s="1"/>
  <c r="AA844" i="10"/>
  <c r="Z844" i="10"/>
  <c r="Q844" i="10" s="1"/>
  <c r="Y844" i="10"/>
  <c r="Y303" i="10"/>
  <c r="AA303" i="10"/>
  <c r="Z303" i="10"/>
  <c r="Q303" i="10" s="1"/>
  <c r="AA288" i="10"/>
  <c r="Z288" i="10"/>
  <c r="Q288" i="10" s="1"/>
  <c r="Y288" i="10"/>
  <c r="AA107" i="10"/>
  <c r="Z107" i="10"/>
  <c r="Q107" i="10" s="1"/>
  <c r="Y107" i="10"/>
  <c r="AA660" i="10"/>
  <c r="Z660" i="10"/>
  <c r="Q660" i="10" s="1"/>
  <c r="Y660" i="10"/>
  <c r="Z866" i="10"/>
  <c r="Q866" i="10" s="1"/>
  <c r="Y866" i="10"/>
  <c r="AA866" i="10"/>
  <c r="Y748" i="10"/>
  <c r="Z748" i="10"/>
  <c r="Q748" i="10" s="1"/>
  <c r="AA748" i="10"/>
  <c r="Y495" i="10"/>
  <c r="AA495" i="10"/>
  <c r="Z495" i="10"/>
  <c r="Q495" i="10" s="1"/>
  <c r="Y474" i="10"/>
  <c r="AA474" i="10"/>
  <c r="Z474" i="10"/>
  <c r="Q474" i="10" s="1"/>
  <c r="AA43" i="10"/>
  <c r="Z43" i="10"/>
  <c r="Q43" i="10" s="1"/>
  <c r="Y43" i="10"/>
  <c r="Z882" i="10"/>
  <c r="Q882" i="10" s="1"/>
  <c r="Y882" i="10"/>
  <c r="AA882" i="10"/>
  <c r="Y892" i="10"/>
  <c r="Z892" i="10"/>
  <c r="Q892" i="10" s="1"/>
  <c r="AA892" i="10"/>
  <c r="Z674" i="10"/>
  <c r="Q674" i="10" s="1"/>
  <c r="Y674" i="10"/>
  <c r="AA674" i="10"/>
  <c r="Z668" i="10"/>
  <c r="Q668" i="10" s="1"/>
  <c r="Y668" i="10"/>
  <c r="AA668" i="10"/>
  <c r="AA721" i="10"/>
  <c r="Z721" i="10"/>
  <c r="Q721" i="10" s="1"/>
  <c r="Y721" i="10"/>
  <c r="AA393" i="10"/>
  <c r="Y393" i="10"/>
  <c r="Z393" i="10"/>
  <c r="Q393" i="10" s="1"/>
  <c r="Y405" i="10"/>
  <c r="AA405" i="10"/>
  <c r="Z405" i="10"/>
  <c r="Q405" i="10" s="1"/>
  <c r="Y979" i="10"/>
  <c r="AA979" i="10"/>
  <c r="Z979" i="10"/>
  <c r="Q979" i="10" s="1"/>
  <c r="Y499" i="10"/>
  <c r="AA499" i="10"/>
  <c r="Z499" i="10"/>
  <c r="Q499" i="10" s="1"/>
  <c r="Y287" i="10"/>
  <c r="AA287" i="10"/>
  <c r="Z287" i="10"/>
  <c r="Q287" i="10" s="1"/>
  <c r="Y215" i="10"/>
  <c r="AA215" i="10"/>
  <c r="Z215" i="10"/>
  <c r="Q215" i="10" s="1"/>
  <c r="Y475" i="10"/>
  <c r="AA475" i="10"/>
  <c r="Z475" i="10"/>
  <c r="Q475" i="10" s="1"/>
  <c r="Y526" i="10"/>
  <c r="AA526" i="10"/>
  <c r="Z526" i="10"/>
  <c r="Q526" i="10" s="1"/>
  <c r="Y154" i="10"/>
  <c r="AA154" i="10"/>
  <c r="Z154" i="10"/>
  <c r="Q154" i="10" s="1"/>
  <c r="Z798" i="10"/>
  <c r="Q798" i="10" s="1"/>
  <c r="Y798" i="10"/>
  <c r="AA798" i="10"/>
  <c r="Y625" i="10"/>
  <c r="AA625" i="10"/>
  <c r="Z625" i="10"/>
  <c r="Q625" i="10" s="1"/>
  <c r="AA220" i="10"/>
  <c r="Y220" i="10"/>
  <c r="Z220" i="10"/>
  <c r="Q220" i="10" s="1"/>
  <c r="Z58" i="10"/>
  <c r="Q58" i="10" s="1"/>
  <c r="AA58" i="10"/>
  <c r="Y58" i="10"/>
  <c r="Z531" i="10"/>
  <c r="Q531" i="10" s="1"/>
  <c r="Y531" i="10"/>
  <c r="AA531" i="10"/>
  <c r="Z704" i="10"/>
  <c r="Q704" i="10" s="1"/>
  <c r="Y704" i="10"/>
  <c r="AA704" i="10"/>
  <c r="Z159" i="10"/>
  <c r="Q159" i="10" s="1"/>
  <c r="Y159" i="10"/>
  <c r="AA159" i="10"/>
  <c r="AA356" i="10"/>
  <c r="Z356" i="10"/>
  <c r="Q356" i="10" s="1"/>
  <c r="Y356" i="10"/>
  <c r="AA387" i="10"/>
  <c r="Z387" i="10"/>
  <c r="Q387" i="10" s="1"/>
  <c r="Y387" i="10"/>
  <c r="AA331" i="10"/>
  <c r="Z331" i="10"/>
  <c r="Q331" i="10" s="1"/>
  <c r="Y331" i="10"/>
  <c r="AA854" i="10"/>
  <c r="Z854" i="10"/>
  <c r="Q854" i="10" s="1"/>
  <c r="Y854" i="10"/>
  <c r="Z656" i="10"/>
  <c r="Q656" i="10" s="1"/>
  <c r="Y656" i="10"/>
  <c r="AA656" i="10"/>
  <c r="AA396" i="10"/>
  <c r="Z396" i="10"/>
  <c r="Q396" i="10" s="1"/>
  <c r="Y396" i="10"/>
  <c r="Z422" i="10"/>
  <c r="Q422" i="10" s="1"/>
  <c r="Y422" i="10"/>
  <c r="AA422" i="10"/>
  <c r="Z95" i="10"/>
  <c r="Q95" i="10" s="1"/>
  <c r="Y95" i="10"/>
  <c r="AA95" i="10"/>
  <c r="AA922" i="10"/>
  <c r="Z922" i="10"/>
  <c r="Q922" i="10" s="1"/>
  <c r="Y922" i="10"/>
  <c r="AA462" i="10"/>
  <c r="Z462" i="10"/>
  <c r="Q462" i="10" s="1"/>
  <c r="Y462" i="10"/>
  <c r="AA902" i="10"/>
  <c r="Z902" i="10"/>
  <c r="Q902" i="10" s="1"/>
  <c r="Y902" i="10"/>
  <c r="Z103" i="10"/>
  <c r="Q103" i="10" s="1"/>
  <c r="Y103" i="10"/>
  <c r="AA103" i="10"/>
  <c r="AA191" i="10"/>
  <c r="Z191" i="10"/>
  <c r="Q191" i="10" s="1"/>
  <c r="Y191" i="10"/>
  <c r="AA346" i="10"/>
  <c r="Z346" i="10"/>
  <c r="Q346" i="10" s="1"/>
  <c r="Y346" i="10"/>
  <c r="AA622" i="10"/>
  <c r="Z622" i="10"/>
  <c r="Q622" i="10" s="1"/>
  <c r="Y622" i="10"/>
  <c r="Z480" i="10"/>
  <c r="Q480" i="10" s="1"/>
  <c r="Y480" i="10"/>
  <c r="AA480" i="10"/>
  <c r="Y108" i="10"/>
  <c r="Z108" i="10"/>
  <c r="Q108" i="10" s="1"/>
  <c r="AA108" i="10"/>
  <c r="AA809" i="10"/>
  <c r="Z809" i="10"/>
  <c r="Q809" i="10" s="1"/>
  <c r="Y809" i="10"/>
  <c r="Y612" i="10"/>
  <c r="AA612" i="10"/>
  <c r="Z612" i="10"/>
  <c r="Q612" i="10" s="1"/>
  <c r="AA551" i="10"/>
  <c r="Y551" i="10"/>
  <c r="Z551" i="10"/>
  <c r="Q551" i="10" s="1"/>
  <c r="AA937" i="10"/>
  <c r="Y937" i="10"/>
  <c r="Z937" i="10"/>
  <c r="Q937" i="10" s="1"/>
  <c r="AA812" i="10"/>
  <c r="Z812" i="10"/>
  <c r="Q812" i="10" s="1"/>
  <c r="Y812" i="10"/>
  <c r="AA588" i="10"/>
  <c r="Y588" i="10"/>
  <c r="Z588" i="10"/>
  <c r="Q588" i="10" s="1"/>
  <c r="Z71" i="10"/>
  <c r="Q71" i="10" s="1"/>
  <c r="Y71" i="10"/>
  <c r="AA71" i="10"/>
  <c r="AA35" i="10"/>
  <c r="Y35" i="10"/>
  <c r="Z35" i="10"/>
  <c r="Q35" i="10" s="1"/>
  <c r="Y916" i="10"/>
  <c r="AA916" i="10"/>
  <c r="Z916" i="10"/>
  <c r="Q916" i="10" s="1"/>
  <c r="Z444" i="10"/>
  <c r="Q444" i="10" s="1"/>
  <c r="AA444" i="10"/>
  <c r="Y444" i="10"/>
  <c r="AA354" i="10"/>
  <c r="Z354" i="10"/>
  <c r="Q354" i="10" s="1"/>
  <c r="Y354" i="10"/>
  <c r="Z59" i="10"/>
  <c r="Q59" i="10" s="1"/>
  <c r="Y59" i="10"/>
  <c r="AA59" i="10"/>
  <c r="AA835" i="10"/>
  <c r="Z835" i="10"/>
  <c r="Q835" i="10" s="1"/>
  <c r="Y835" i="10"/>
  <c r="Z566" i="10"/>
  <c r="Q566" i="10" s="1"/>
  <c r="AA566" i="10"/>
  <c r="Y566" i="10"/>
  <c r="Y180" i="10"/>
  <c r="Z180" i="10"/>
  <c r="Q180" i="10" s="1"/>
  <c r="AA180" i="10"/>
  <c r="AA79" i="10"/>
  <c r="Z79" i="10"/>
  <c r="Q79" i="10" s="1"/>
  <c r="Y79" i="10"/>
  <c r="AA490" i="10"/>
  <c r="Z490" i="10"/>
  <c r="Q490" i="10" s="1"/>
  <c r="Y490" i="10"/>
  <c r="Y179" i="10"/>
  <c r="AA179" i="10"/>
  <c r="Z179" i="10"/>
  <c r="Q179" i="10" s="1"/>
  <c r="Y977" i="10"/>
  <c r="Z977" i="10"/>
  <c r="Q977" i="10" s="1"/>
  <c r="AA977" i="10"/>
  <c r="AA143" i="10"/>
  <c r="Z143" i="10"/>
  <c r="Q143" i="10" s="1"/>
  <c r="Y143" i="10"/>
  <c r="Z238" i="10"/>
  <c r="Q238" i="10" s="1"/>
  <c r="Y238" i="10"/>
  <c r="AA238" i="10"/>
  <c r="AA212" i="10"/>
  <c r="Y212" i="10"/>
  <c r="Z212" i="10"/>
  <c r="Q212" i="10" s="1"/>
  <c r="Z822" i="10"/>
  <c r="Q822" i="10" s="1"/>
  <c r="AA822" i="10"/>
  <c r="Y822" i="10"/>
  <c r="Z292" i="10"/>
  <c r="Q292" i="10" s="1"/>
  <c r="AA292" i="10"/>
  <c r="Y292" i="10"/>
  <c r="AA175" i="10"/>
  <c r="Y175" i="10"/>
  <c r="Z175" i="10"/>
  <c r="Q175" i="10" s="1"/>
  <c r="Z610" i="10"/>
  <c r="Q610" i="10" s="1"/>
  <c r="Y610" i="10"/>
  <c r="AA610" i="10"/>
  <c r="AA665" i="10"/>
  <c r="Z665" i="10"/>
  <c r="Q665" i="10" s="1"/>
  <c r="Y665" i="10"/>
  <c r="Z328" i="10"/>
  <c r="Q328" i="10" s="1"/>
  <c r="Y328" i="10"/>
  <c r="AA328" i="10"/>
  <c r="AA369" i="10"/>
  <c r="Y369" i="10"/>
  <c r="Z369" i="10"/>
  <c r="Q369" i="10" s="1"/>
  <c r="Y75" i="10"/>
  <c r="Z75" i="10"/>
  <c r="Q75" i="10" s="1"/>
  <c r="AA75" i="10"/>
  <c r="AA130" i="10"/>
  <c r="Z130" i="10"/>
  <c r="Q130" i="10" s="1"/>
  <c r="Y130" i="10"/>
  <c r="Z967" i="10"/>
  <c r="Q967" i="10" s="1"/>
  <c r="Y967" i="10"/>
  <c r="AA967" i="10"/>
  <c r="Y322" i="10"/>
  <c r="AA322" i="10"/>
  <c r="Z322" i="10"/>
  <c r="Q322" i="10" s="1"/>
  <c r="Z332" i="10"/>
  <c r="Q332" i="10" s="1"/>
  <c r="Y332" i="10"/>
  <c r="AA332" i="10"/>
  <c r="AA44" i="10"/>
  <c r="Z44" i="10"/>
  <c r="Q44" i="10" s="1"/>
  <c r="Y44" i="10"/>
  <c r="AA398" i="10"/>
  <c r="Z398" i="10"/>
  <c r="Q398" i="10" s="1"/>
  <c r="Y398" i="10"/>
  <c r="Y98" i="10"/>
  <c r="AA98" i="10"/>
  <c r="Z98" i="10"/>
  <c r="Q98" i="10" s="1"/>
  <c r="Y49" i="10"/>
  <c r="AA49" i="10"/>
  <c r="Z49" i="10"/>
  <c r="Q49" i="10" s="1"/>
  <c r="Y650" i="10"/>
  <c r="Z650" i="10"/>
  <c r="Q650" i="10" s="1"/>
  <c r="AA650" i="10"/>
  <c r="AA626" i="10"/>
  <c r="Z626" i="10"/>
  <c r="Q626" i="10" s="1"/>
  <c r="Y626" i="10"/>
  <c r="AA313" i="10"/>
  <c r="Y313" i="10"/>
  <c r="Z313" i="10"/>
  <c r="Q313" i="10" s="1"/>
  <c r="Y867" i="10"/>
  <c r="AA867" i="10"/>
  <c r="Z867" i="10"/>
  <c r="Q867" i="10" s="1"/>
  <c r="AA14" i="10"/>
  <c r="Z14" i="10"/>
  <c r="Q14" i="10" s="1"/>
  <c r="Y14" i="10"/>
  <c r="Z815" i="10"/>
  <c r="Q815" i="10" s="1"/>
  <c r="Y815" i="10"/>
  <c r="AA815" i="10"/>
  <c r="Z195" i="10"/>
  <c r="Q195" i="10" s="1"/>
  <c r="Y195" i="10"/>
  <c r="AA195" i="10"/>
  <c r="Z570" i="10"/>
  <c r="Q570" i="10" s="1"/>
  <c r="AA570" i="10"/>
  <c r="Y570" i="10"/>
  <c r="AA955" i="10"/>
  <c r="Z955" i="10"/>
  <c r="Q955" i="10" s="1"/>
  <c r="Y955" i="10"/>
  <c r="Z291" i="10"/>
  <c r="Q291" i="10" s="1"/>
  <c r="Y291" i="10"/>
  <c r="AA291" i="10"/>
  <c r="AA836" i="10"/>
  <c r="Z836" i="10"/>
  <c r="Q836" i="10" s="1"/>
  <c r="Y836" i="10"/>
  <c r="Y514" i="10"/>
  <c r="AA514" i="10"/>
  <c r="Z514" i="10"/>
  <c r="Q514" i="10" s="1"/>
  <c r="AA265" i="10"/>
  <c r="Y265" i="10"/>
  <c r="Z265" i="10"/>
  <c r="Q265" i="10" s="1"/>
  <c r="AA33" i="10"/>
  <c r="Z33" i="10"/>
  <c r="Q33" i="10" s="1"/>
  <c r="Y33" i="10"/>
  <c r="AA554" i="10"/>
  <c r="Y554" i="10"/>
  <c r="Z554" i="10"/>
  <c r="Q554" i="10" s="1"/>
  <c r="AA66" i="10"/>
  <c r="Z66" i="10"/>
  <c r="Q66" i="10" s="1"/>
  <c r="Y66" i="10"/>
  <c r="AA543" i="10"/>
  <c r="Z543" i="10"/>
  <c r="Q543" i="10" s="1"/>
  <c r="Y543" i="10"/>
  <c r="Y442" i="10"/>
  <c r="AA442" i="10"/>
  <c r="Z442" i="10"/>
  <c r="Q442" i="10" s="1"/>
  <c r="Y841" i="10"/>
  <c r="AA841" i="10"/>
  <c r="Z841" i="10"/>
  <c r="Q841" i="10" s="1"/>
  <c r="Z794" i="10"/>
  <c r="Q794" i="10" s="1"/>
  <c r="Y794" i="10"/>
  <c r="AA794" i="10"/>
  <c r="AA513" i="10"/>
  <c r="Y513" i="10"/>
  <c r="Z513" i="10"/>
  <c r="Q513" i="10" s="1"/>
  <c r="Z336" i="10"/>
  <c r="Q336" i="10" s="1"/>
  <c r="Y336" i="10"/>
  <c r="AA336" i="10"/>
  <c r="Z51" i="10"/>
  <c r="Q51" i="10" s="1"/>
  <c r="AA51" i="10"/>
  <c r="Y51" i="10"/>
  <c r="Z282" i="10"/>
  <c r="Q282" i="10" s="1"/>
  <c r="Y282" i="10"/>
  <c r="AA282" i="10"/>
  <c r="Z344" i="10"/>
  <c r="Q344" i="10" s="1"/>
  <c r="Y344" i="10"/>
  <c r="AA344" i="10"/>
  <c r="AA233" i="10"/>
  <c r="Z233" i="10"/>
  <c r="Q233" i="10" s="1"/>
  <c r="Y233" i="10"/>
  <c r="Y631" i="10"/>
  <c r="AA631" i="10"/>
  <c r="Z631" i="10"/>
  <c r="Q631" i="10" s="1"/>
  <c r="Z420" i="10"/>
  <c r="Q420" i="10" s="1"/>
  <c r="AA420" i="10"/>
  <c r="Y420" i="10"/>
  <c r="Z472" i="10"/>
  <c r="Q472" i="10" s="1"/>
  <c r="Y472" i="10"/>
  <c r="AA472" i="10"/>
  <c r="Z240" i="10"/>
  <c r="Q240" i="10" s="1"/>
  <c r="AA240" i="10"/>
  <c r="Y240" i="10"/>
  <c r="AA754" i="10"/>
  <c r="Z754" i="10"/>
  <c r="Q754" i="10" s="1"/>
  <c r="Y754" i="10"/>
  <c r="AA251" i="10"/>
  <c r="Z251" i="10"/>
  <c r="Q251" i="10" s="1"/>
  <c r="Y251" i="10"/>
  <c r="Y519" i="10"/>
  <c r="AA519" i="10"/>
  <c r="Z519" i="10"/>
  <c r="Q519" i="10" s="1"/>
  <c r="Z870" i="10"/>
  <c r="Q870" i="10" s="1"/>
  <c r="Y870" i="10"/>
  <c r="AA870" i="10"/>
  <c r="Z478" i="10"/>
  <c r="Q478" i="10" s="1"/>
  <c r="Y478" i="10"/>
  <c r="AA478" i="10"/>
  <c r="Z728" i="10"/>
  <c r="Q728" i="10" s="1"/>
  <c r="Y728" i="10"/>
  <c r="AA728" i="10"/>
  <c r="Z278" i="10"/>
  <c r="Q278" i="10" s="1"/>
  <c r="Y278" i="10"/>
  <c r="AA278" i="10"/>
  <c r="Z300" i="10"/>
  <c r="Q300" i="10" s="1"/>
  <c r="Y300" i="10"/>
  <c r="AA300" i="10"/>
  <c r="Z706" i="10"/>
  <c r="Q706" i="10" s="1"/>
  <c r="AA706" i="10"/>
  <c r="Y706" i="10"/>
  <c r="Y311" i="10"/>
  <c r="AA311" i="10"/>
  <c r="Z311" i="10"/>
  <c r="Q311" i="10" s="1"/>
  <c r="Z203" i="10"/>
  <c r="Q203" i="10" s="1"/>
  <c r="AA203" i="10"/>
  <c r="Y203" i="10"/>
  <c r="Z741" i="10"/>
  <c r="Q741" i="10" s="1"/>
  <c r="AA741" i="10"/>
  <c r="Y741" i="10"/>
  <c r="AA386" i="10"/>
  <c r="Z386" i="10"/>
  <c r="Q386" i="10" s="1"/>
  <c r="Y386" i="10"/>
  <c r="AA547" i="10"/>
  <c r="Z547" i="10"/>
  <c r="Q547" i="10" s="1"/>
  <c r="Y547" i="10"/>
  <c r="AA886" i="10"/>
  <c r="Z886" i="10"/>
  <c r="Q886" i="10" s="1"/>
  <c r="Y886" i="10"/>
  <c r="Y873" i="10"/>
  <c r="AA873" i="10"/>
  <c r="Z873" i="10"/>
  <c r="Q873" i="10" s="1"/>
  <c r="Z392" i="10"/>
  <c r="Q392" i="10" s="1"/>
  <c r="AA392" i="10"/>
  <c r="Y392" i="10"/>
  <c r="AA900" i="10"/>
  <c r="Z900" i="10"/>
  <c r="Q900" i="10" s="1"/>
  <c r="Y900" i="10"/>
  <c r="Y803" i="10"/>
  <c r="AA803" i="10"/>
  <c r="Z803" i="10"/>
  <c r="Q803" i="10" s="1"/>
  <c r="Y982" i="10"/>
  <c r="AA982" i="10"/>
  <c r="Z982" i="10"/>
  <c r="Q982" i="10" s="1"/>
  <c r="AA338" i="10"/>
  <c r="Z338" i="10"/>
  <c r="Q338" i="10" s="1"/>
  <c r="Y338" i="10"/>
  <c r="Y431" i="10"/>
  <c r="AA431" i="10"/>
  <c r="Z431" i="10"/>
  <c r="Q431" i="10" s="1"/>
  <c r="AA15" i="10"/>
  <c r="Z15" i="10"/>
  <c r="Q15" i="10" s="1"/>
  <c r="Y15" i="10"/>
  <c r="AA883" i="10"/>
  <c r="Y883" i="10"/>
  <c r="Z883" i="10"/>
  <c r="Q883" i="10" s="1"/>
  <c r="AA297" i="10"/>
  <c r="Z297" i="10"/>
  <c r="Q297" i="10" s="1"/>
  <c r="Y297" i="10"/>
  <c r="AA280" i="10"/>
  <c r="Z280" i="10"/>
  <c r="Q280" i="10" s="1"/>
  <c r="Y280" i="10"/>
  <c r="Z562" i="10"/>
  <c r="Q562" i="10" s="1"/>
  <c r="Y562" i="10"/>
  <c r="AA562" i="10"/>
  <c r="Z658" i="10"/>
  <c r="Q658" i="10" s="1"/>
  <c r="AA658" i="10"/>
  <c r="Y658" i="10"/>
  <c r="AA111" i="10"/>
  <c r="Z111" i="10"/>
  <c r="Q111" i="10" s="1"/>
  <c r="Y111" i="10"/>
  <c r="AA889" i="10"/>
  <c r="Y889" i="10"/>
  <c r="Z889" i="10"/>
  <c r="Q889" i="10" s="1"/>
  <c r="AA434" i="10"/>
  <c r="Z434" i="10"/>
  <c r="Q434" i="10" s="1"/>
  <c r="Y434" i="10"/>
  <c r="Z376" i="10"/>
  <c r="Q376" i="10" s="1"/>
  <c r="Y376" i="10"/>
  <c r="AA376" i="10"/>
  <c r="AA162" i="10"/>
  <c r="Y162" i="10"/>
  <c r="Z162" i="10"/>
  <c r="Q162" i="10" s="1"/>
  <c r="Y952" i="10"/>
  <c r="AA952" i="10"/>
  <c r="Z952" i="10"/>
  <c r="Q952" i="10" s="1"/>
  <c r="AA919" i="10"/>
  <c r="Z919" i="10"/>
  <c r="Q919" i="10" s="1"/>
  <c r="Y919" i="10"/>
  <c r="AA26" i="10"/>
  <c r="Y26" i="10"/>
  <c r="Z26" i="10"/>
  <c r="Q26" i="10" s="1"/>
  <c r="Y353" i="10"/>
  <c r="AA353" i="10"/>
  <c r="Z353" i="10"/>
  <c r="Q353" i="10" s="1"/>
  <c r="Z342" i="10"/>
  <c r="Q342" i="10" s="1"/>
  <c r="Y342" i="10"/>
  <c r="AA342" i="10"/>
  <c r="AA914" i="10"/>
  <c r="Z914" i="10"/>
  <c r="Q914" i="10" s="1"/>
  <c r="Y914" i="10"/>
  <c r="AA171" i="10"/>
  <c r="Z171" i="10"/>
  <c r="Q171" i="10" s="1"/>
  <c r="Y171" i="10"/>
  <c r="AA296" i="10"/>
  <c r="Z296" i="10"/>
  <c r="Q296" i="10" s="1"/>
  <c r="Y296" i="10"/>
  <c r="AA532" i="10"/>
  <c r="Z532" i="10"/>
  <c r="Q532" i="10" s="1"/>
  <c r="Y532" i="10"/>
  <c r="Z306" i="10"/>
  <c r="Q306" i="10" s="1"/>
  <c r="AA306" i="10"/>
  <c r="Y306" i="10"/>
  <c r="Z503" i="10"/>
  <c r="Q503" i="10" s="1"/>
  <c r="Y503" i="10"/>
  <c r="AA503" i="10"/>
  <c r="Y321" i="10"/>
  <c r="Z321" i="10"/>
  <c r="Q321" i="10" s="1"/>
  <c r="AA321" i="10"/>
  <c r="Y286" i="10"/>
  <c r="Z286" i="10"/>
  <c r="Q286" i="10" s="1"/>
  <c r="AA286" i="10"/>
  <c r="Y163" i="10"/>
  <c r="AA163" i="10"/>
  <c r="Z163" i="10"/>
  <c r="Q163" i="10" s="1"/>
  <c r="AA524" i="10"/>
  <c r="Y524" i="10"/>
  <c r="Z524" i="10"/>
  <c r="Q524" i="10" s="1"/>
  <c r="Y457" i="10"/>
  <c r="Z457" i="10"/>
  <c r="Q457" i="10" s="1"/>
  <c r="AA457" i="10"/>
  <c r="Z465" i="10"/>
  <c r="Q465" i="10" s="1"/>
  <c r="AA465" i="10"/>
  <c r="Y465" i="10"/>
  <c r="AA830" i="10"/>
  <c r="Y830" i="10"/>
  <c r="Z830" i="10"/>
  <c r="Q830" i="10" s="1"/>
  <c r="AA281" i="10"/>
  <c r="Y281" i="10"/>
  <c r="Z281" i="10"/>
  <c r="Q281" i="10" s="1"/>
  <c r="AA862" i="10"/>
  <c r="Y862" i="10"/>
  <c r="Z862" i="10"/>
  <c r="Q862" i="10" s="1"/>
  <c r="Z20" i="10"/>
  <c r="Q20" i="10" s="1"/>
  <c r="Y20" i="10"/>
  <c r="AA20" i="10"/>
  <c r="AA57" i="10"/>
  <c r="Y57" i="10"/>
  <c r="Z57" i="10"/>
  <c r="Q57" i="10" s="1"/>
  <c r="AA627" i="10"/>
  <c r="Y627" i="10"/>
  <c r="Z627" i="10"/>
  <c r="Q627" i="10" s="1"/>
  <c r="Z774" i="10"/>
  <c r="Q774" i="10" s="1"/>
  <c r="Y774" i="10"/>
  <c r="AA774" i="10"/>
  <c r="Z252" i="10"/>
  <c r="Q252" i="10" s="1"/>
  <c r="AA252" i="10"/>
  <c r="Y252" i="10"/>
  <c r="Z380" i="10"/>
  <c r="Q380" i="10" s="1"/>
  <c r="AA380" i="10"/>
  <c r="Y380" i="10"/>
  <c r="Z799" i="10"/>
  <c r="Q799" i="10" s="1"/>
  <c r="Y799" i="10"/>
  <c r="AA799" i="10"/>
  <c r="Y415" i="10"/>
  <c r="AA415" i="10"/>
  <c r="Z415" i="10"/>
  <c r="Q415" i="10" s="1"/>
  <c r="AA842" i="10"/>
  <c r="Z842" i="10"/>
  <c r="Q842" i="10" s="1"/>
  <c r="Y842" i="10"/>
  <c r="AA266" i="10"/>
  <c r="Z266" i="10"/>
  <c r="Q266" i="10" s="1"/>
  <c r="Y266" i="10"/>
  <c r="AA156" i="10"/>
  <c r="Y156" i="10"/>
  <c r="Z156" i="10"/>
  <c r="Q156" i="10" s="1"/>
  <c r="AA289" i="10"/>
  <c r="Y289" i="10"/>
  <c r="Z289" i="10"/>
  <c r="Q289" i="10" s="1"/>
  <c r="Y827" i="10"/>
  <c r="AA827" i="10"/>
  <c r="Z827" i="10"/>
  <c r="Q827" i="10" s="1"/>
  <c r="Y382" i="10"/>
  <c r="AA382" i="10"/>
  <c r="Z382" i="10"/>
  <c r="Q382" i="10" s="1"/>
  <c r="AA132" i="10"/>
  <c r="Y132" i="10"/>
  <c r="Z132" i="10"/>
  <c r="Q132" i="10" s="1"/>
  <c r="AA481" i="10"/>
  <c r="Y481" i="10"/>
  <c r="Z481" i="10"/>
  <c r="Q481" i="10" s="1"/>
  <c r="Y915" i="10"/>
  <c r="AA915" i="10"/>
  <c r="Z915" i="10"/>
  <c r="Q915" i="10" s="1"/>
  <c r="Y756" i="10"/>
  <c r="AA756" i="10"/>
  <c r="Z756" i="10"/>
  <c r="Q756" i="10" s="1"/>
  <c r="Y723" i="10"/>
  <c r="AA723" i="10"/>
  <c r="Z723" i="10"/>
  <c r="Q723" i="10" s="1"/>
  <c r="Z802" i="10"/>
  <c r="Q802" i="10" s="1"/>
  <c r="AA802" i="10"/>
  <c r="Y802" i="10"/>
  <c r="AA102" i="10"/>
  <c r="Z102" i="10"/>
  <c r="Q102" i="10" s="1"/>
  <c r="Y102" i="10"/>
  <c r="Y498" i="10"/>
  <c r="AA498" i="10"/>
  <c r="Z498" i="10"/>
  <c r="Q498" i="10" s="1"/>
  <c r="Y151" i="10"/>
  <c r="AA151" i="10"/>
  <c r="Z151" i="10"/>
  <c r="Q151" i="10" s="1"/>
  <c r="AA487" i="10"/>
  <c r="Z487" i="10"/>
  <c r="Q487" i="10" s="1"/>
  <c r="Y487" i="10"/>
  <c r="Z131" i="10"/>
  <c r="Q131" i="10" s="1"/>
  <c r="Y131" i="10"/>
  <c r="AA131" i="10"/>
  <c r="AA226" i="10"/>
  <c r="Z226" i="10"/>
  <c r="Q226" i="10" s="1"/>
  <c r="Y226" i="10"/>
  <c r="Z940" i="10"/>
  <c r="Q940" i="10" s="1"/>
  <c r="Y940" i="10"/>
  <c r="AA940" i="10"/>
  <c r="AA740" i="10"/>
  <c r="Z740" i="10"/>
  <c r="Q740" i="10" s="1"/>
  <c r="Y740" i="10"/>
  <c r="Y506" i="10"/>
  <c r="AA506" i="10"/>
  <c r="Z506" i="10"/>
  <c r="Q506" i="10" s="1"/>
  <c r="Z652" i="10"/>
  <c r="Q652" i="10" s="1"/>
  <c r="AA652" i="10"/>
  <c r="Y652" i="10"/>
  <c r="Y463" i="10"/>
  <c r="AA463" i="10"/>
  <c r="Z463" i="10"/>
  <c r="Q463" i="10" s="1"/>
  <c r="AA617" i="10"/>
  <c r="Z617" i="10"/>
  <c r="Q617" i="10" s="1"/>
  <c r="Y617" i="10"/>
  <c r="AA934" i="10"/>
  <c r="Z934" i="10"/>
  <c r="Q934" i="10" s="1"/>
  <c r="Y934" i="10"/>
  <c r="AA371" i="10"/>
  <c r="Z371" i="10"/>
  <c r="Q371" i="10" s="1"/>
  <c r="Y371" i="10"/>
  <c r="Z167" i="10"/>
  <c r="Q167" i="10" s="1"/>
  <c r="AA167" i="10"/>
  <c r="Y167" i="10"/>
  <c r="AA378" i="10"/>
  <c r="Z378" i="10"/>
  <c r="Q378" i="10" s="1"/>
  <c r="Y378" i="10"/>
  <c r="Y327" i="10"/>
  <c r="AA327" i="10"/>
  <c r="Z327" i="10"/>
  <c r="Q327" i="10" s="1"/>
  <c r="Z455" i="10"/>
  <c r="Q455" i="10" s="1"/>
  <c r="Y455" i="10"/>
  <c r="AA455" i="10"/>
  <c r="Z452" i="10"/>
  <c r="Q452" i="10" s="1"/>
  <c r="AA452" i="10"/>
  <c r="Y452" i="10"/>
  <c r="AA489" i="10"/>
  <c r="Y489" i="10"/>
  <c r="Z489" i="10"/>
  <c r="Q489" i="10" s="1"/>
  <c r="Y207" i="10"/>
  <c r="AA207" i="10"/>
  <c r="Z207" i="10"/>
  <c r="Q207" i="10" s="1"/>
  <c r="Y25" i="10"/>
  <c r="AA25" i="10"/>
  <c r="Z25" i="10"/>
  <c r="Q25" i="10" s="1"/>
  <c r="AA362" i="10"/>
  <c r="Z362" i="10"/>
  <c r="Q362" i="10" s="1"/>
  <c r="Y362" i="10"/>
  <c r="AA986" i="10"/>
  <c r="Z986" i="10"/>
  <c r="Q986" i="10" s="1"/>
  <c r="Y986" i="10"/>
  <c r="Z116" i="10"/>
  <c r="Q116" i="10" s="1"/>
  <c r="AA116" i="10"/>
  <c r="Y116" i="10"/>
  <c r="Y771" i="10"/>
  <c r="Z771" i="10"/>
  <c r="Q771" i="10" s="1"/>
  <c r="AA771" i="10"/>
  <c r="AA559" i="10"/>
  <c r="Y559" i="10"/>
  <c r="Z559" i="10"/>
  <c r="Q559" i="10" s="1"/>
  <c r="AA628" i="10"/>
  <c r="Z628" i="10"/>
  <c r="Q628" i="10" s="1"/>
  <c r="Y628" i="10"/>
  <c r="Z329" i="10"/>
  <c r="Q329" i="10" s="1"/>
  <c r="AA329" i="10"/>
  <c r="Y329" i="10"/>
  <c r="AA781" i="10"/>
  <c r="Z781" i="10"/>
  <c r="Q781" i="10" s="1"/>
  <c r="Y781" i="10"/>
  <c r="AA602" i="10"/>
  <c r="Z602" i="10"/>
  <c r="Q602" i="10" s="1"/>
  <c r="Y602" i="10"/>
  <c r="AA22" i="10"/>
  <c r="Y22" i="10"/>
  <c r="Z22" i="10"/>
  <c r="Q22" i="10" s="1"/>
  <c r="AA943" i="10"/>
  <c r="Z943" i="10"/>
  <c r="Q943" i="10" s="1"/>
  <c r="Y943" i="10"/>
  <c r="AA530" i="10"/>
  <c r="Z530" i="10"/>
  <c r="Q530" i="10" s="1"/>
  <c r="Y530" i="10"/>
  <c r="AA324" i="10"/>
  <c r="Z324" i="10"/>
  <c r="Q324" i="10" s="1"/>
  <c r="Y324" i="10"/>
  <c r="AA364" i="10"/>
  <c r="Z364" i="10"/>
  <c r="Q364" i="10" s="1"/>
  <c r="Y364" i="10"/>
  <c r="AA164" i="10"/>
  <c r="Z164" i="10"/>
  <c r="Q164" i="10" s="1"/>
  <c r="Y164" i="10"/>
  <c r="Z950" i="10"/>
  <c r="Q950" i="10" s="1"/>
  <c r="AA950" i="10"/>
  <c r="Y950" i="10"/>
  <c r="AA394" i="10"/>
  <c r="Z394" i="10"/>
  <c r="Q394" i="10" s="1"/>
  <c r="Y394" i="10"/>
  <c r="Z438" i="10"/>
  <c r="Q438" i="10" s="1"/>
  <c r="Y438" i="10"/>
  <c r="AA438" i="10"/>
  <c r="AA260" i="10"/>
  <c r="Z260" i="10"/>
  <c r="Q260" i="10" s="1"/>
  <c r="Y260" i="10"/>
  <c r="Z443" i="10"/>
  <c r="Q443" i="10" s="1"/>
  <c r="Y443" i="10"/>
  <c r="AA443" i="10"/>
  <c r="AA516" i="10"/>
  <c r="Z516" i="10"/>
  <c r="Q516" i="10" s="1"/>
  <c r="Y516" i="10"/>
  <c r="Z536" i="10"/>
  <c r="Q536" i="10" s="1"/>
  <c r="Y536" i="10"/>
  <c r="AA536" i="10"/>
  <c r="AA929" i="10"/>
  <c r="Y929" i="10"/>
  <c r="Z929" i="10"/>
  <c r="Q929" i="10" s="1"/>
  <c r="Y535" i="10"/>
  <c r="AA535" i="10"/>
  <c r="Z535" i="10"/>
  <c r="Q535" i="10" s="1"/>
  <c r="AA188" i="10"/>
  <c r="Y188" i="10"/>
  <c r="Z188" i="10"/>
  <c r="Q188" i="10" s="1"/>
  <c r="AA777" i="10"/>
  <c r="Z777" i="10"/>
  <c r="Q777" i="10" s="1"/>
  <c r="Y777" i="10"/>
  <c r="AA649" i="10"/>
  <c r="Y649" i="10"/>
  <c r="Z649" i="10"/>
  <c r="Q649" i="10" s="1"/>
  <c r="Z123" i="10"/>
  <c r="Q123" i="10" s="1"/>
  <c r="Y123" i="10"/>
  <c r="AA123" i="10"/>
  <c r="Y826" i="10"/>
  <c r="Z826" i="10"/>
  <c r="Q826" i="10" s="1"/>
  <c r="AA826" i="10"/>
  <c r="AA614" i="10"/>
  <c r="Z614" i="10"/>
  <c r="Q614" i="10" s="1"/>
  <c r="Y614" i="10"/>
  <c r="Z62" i="10"/>
  <c r="Q62" i="10" s="1"/>
  <c r="Y62" i="10"/>
  <c r="AA62" i="10"/>
  <c r="Z689" i="10"/>
  <c r="Q689" i="10" s="1"/>
  <c r="Y689" i="10"/>
  <c r="AA689" i="10"/>
  <c r="Y250" i="10"/>
  <c r="AA250" i="10"/>
  <c r="Z250" i="10"/>
  <c r="Q250" i="10" s="1"/>
  <c r="Y283" i="10"/>
  <c r="AA283" i="10"/>
  <c r="Z283" i="10"/>
  <c r="Q283" i="10" s="1"/>
  <c r="Z795" i="10"/>
  <c r="Q795" i="10" s="1"/>
  <c r="Y795" i="10"/>
  <c r="AA795" i="10"/>
  <c r="Z318" i="10"/>
  <c r="Q318" i="10" s="1"/>
  <c r="Y318" i="10"/>
  <c r="AA318" i="10"/>
  <c r="Y938" i="10"/>
  <c r="AA938" i="10"/>
  <c r="Z938" i="10"/>
  <c r="Q938" i="10" s="1"/>
  <c r="Y782" i="10"/>
  <c r="AA782" i="10"/>
  <c r="Z782" i="10"/>
  <c r="Q782" i="10" s="1"/>
  <c r="Y707" i="10"/>
  <c r="Z707" i="10"/>
  <c r="Q707" i="10" s="1"/>
  <c r="AA707" i="10"/>
  <c r="Y696" i="10"/>
  <c r="Z696" i="10"/>
  <c r="Q696" i="10" s="1"/>
  <c r="AA696" i="10"/>
  <c r="AA910" i="10"/>
  <c r="Z910" i="10"/>
  <c r="Q910" i="10" s="1"/>
  <c r="Y910" i="10"/>
  <c r="AA636" i="10"/>
  <c r="Z636" i="10"/>
  <c r="Q636" i="10" s="1"/>
  <c r="Y636" i="10"/>
  <c r="Y439" i="10"/>
  <c r="AA439" i="10"/>
  <c r="Z439" i="10"/>
  <c r="Q439" i="10" s="1"/>
  <c r="Z67" i="10"/>
  <c r="Q67" i="10" s="1"/>
  <c r="Y67" i="10"/>
  <c r="AA67" i="10"/>
  <c r="Z898" i="10"/>
  <c r="Q898" i="10" s="1"/>
  <c r="Y898" i="10"/>
  <c r="AA898" i="10"/>
  <c r="AA505" i="10"/>
  <c r="Y505" i="10"/>
  <c r="Z505" i="10"/>
  <c r="Q505" i="10" s="1"/>
  <c r="AA401" i="10"/>
  <c r="Y401" i="10"/>
  <c r="Z401" i="10"/>
  <c r="Q401" i="10" s="1"/>
  <c r="Z464" i="10"/>
  <c r="Q464" i="10" s="1"/>
  <c r="Y464" i="10"/>
  <c r="AA464" i="10"/>
  <c r="AA624" i="10"/>
  <c r="Z624" i="10"/>
  <c r="Q624" i="10" s="1"/>
  <c r="Y624" i="10"/>
  <c r="Z211" i="10"/>
  <c r="Q211" i="10" s="1"/>
  <c r="Y211" i="10"/>
  <c r="AA211" i="10"/>
  <c r="AA399" i="10"/>
  <c r="Y399" i="10"/>
  <c r="Z399" i="10"/>
  <c r="Q399" i="10" s="1"/>
  <c r="AA218" i="10"/>
  <c r="Z218" i="10"/>
  <c r="Q218" i="10" s="1"/>
  <c r="Y218" i="10"/>
  <c r="Y939" i="10"/>
  <c r="AA939" i="10"/>
  <c r="Z939" i="10"/>
  <c r="Q939" i="10" s="1"/>
  <c r="Z586" i="10"/>
  <c r="Q586" i="10" s="1"/>
  <c r="AA586" i="10"/>
  <c r="Y586" i="10"/>
  <c r="Y641" i="10"/>
  <c r="AA641" i="10"/>
  <c r="Z641" i="10"/>
  <c r="Q641" i="10" s="1"/>
  <c r="AA906" i="10"/>
  <c r="Z906" i="10"/>
  <c r="Q906" i="10" s="1"/>
  <c r="Y906" i="10"/>
  <c r="Y810" i="10"/>
  <c r="Z810" i="10"/>
  <c r="Q810" i="10" s="1"/>
  <c r="AA810" i="10"/>
  <c r="Z714" i="10"/>
  <c r="Q714" i="10" s="1"/>
  <c r="Y714" i="10"/>
  <c r="AA714" i="10"/>
  <c r="Z672" i="10"/>
  <c r="Q672" i="10" s="1"/>
  <c r="Y672" i="10"/>
  <c r="AA672" i="10"/>
  <c r="Y545" i="10"/>
  <c r="AA545" i="10"/>
  <c r="Z545" i="10"/>
  <c r="Q545" i="10" s="1"/>
  <c r="AA468" i="10"/>
  <c r="Z468" i="10"/>
  <c r="Q468" i="10" s="1"/>
  <c r="Y468" i="10"/>
  <c r="Y875" i="10"/>
  <c r="AA875" i="10"/>
  <c r="Z875" i="10"/>
  <c r="Q875" i="10" s="1"/>
  <c r="Z352" i="10"/>
  <c r="Q352" i="10" s="1"/>
  <c r="Y352" i="10"/>
  <c r="AA352" i="10"/>
  <c r="AA202" i="10"/>
  <c r="Z202" i="10"/>
  <c r="Q202" i="10" s="1"/>
  <c r="Y202" i="10"/>
  <c r="Z618" i="10"/>
  <c r="Q618" i="10" s="1"/>
  <c r="AA618" i="10"/>
  <c r="Y618" i="10"/>
  <c r="AA115" i="10"/>
  <c r="Z115" i="10"/>
  <c r="Q115" i="10" s="1"/>
  <c r="Y115" i="10"/>
  <c r="AA648" i="10"/>
  <c r="Z648" i="10"/>
  <c r="Q648" i="10" s="1"/>
  <c r="Y648" i="10"/>
  <c r="Y466" i="10"/>
  <c r="AA466" i="10"/>
  <c r="Z466" i="10"/>
  <c r="Q466" i="10" s="1"/>
  <c r="AA319" i="10"/>
  <c r="Z319" i="10"/>
  <c r="Q319" i="10" s="1"/>
  <c r="Y319" i="10"/>
  <c r="Z504" i="10"/>
  <c r="Q504" i="10" s="1"/>
  <c r="Y504" i="10"/>
  <c r="AA504" i="10"/>
  <c r="AA140" i="10"/>
  <c r="Y140" i="10"/>
  <c r="Z140" i="10"/>
  <c r="Q140" i="10" s="1"/>
  <c r="Y814" i="10"/>
  <c r="AA814" i="10"/>
  <c r="Z814" i="10"/>
  <c r="Q814" i="10" s="1"/>
  <c r="Y923" i="10"/>
  <c r="AA923" i="10"/>
  <c r="Z923" i="10"/>
  <c r="Q923" i="10" s="1"/>
  <c r="Y343" i="10"/>
  <c r="AA343" i="10"/>
  <c r="Z343" i="10"/>
  <c r="Q343" i="10" s="1"/>
  <c r="Z370" i="10"/>
  <c r="Q370" i="10" s="1"/>
  <c r="Y370" i="10"/>
  <c r="AA370" i="10"/>
  <c r="Y560" i="10"/>
  <c r="Z560" i="10"/>
  <c r="Q560" i="10" s="1"/>
  <c r="AA560" i="10"/>
  <c r="Y47" i="10"/>
  <c r="AA47" i="10"/>
  <c r="Z47" i="10"/>
  <c r="Q47" i="10" s="1"/>
  <c r="Y539" i="10"/>
  <c r="AA539" i="10"/>
  <c r="Z539" i="10"/>
  <c r="Q539" i="10" s="1"/>
  <c r="Z395" i="10"/>
  <c r="Q395" i="10" s="1"/>
  <c r="Y395" i="10"/>
  <c r="AA395" i="10"/>
  <c r="Y851" i="10"/>
  <c r="AA851" i="10"/>
  <c r="Z851" i="10"/>
  <c r="Q851" i="10" s="1"/>
  <c r="Z786" i="10"/>
  <c r="Q786" i="10" s="1"/>
  <c r="Y786" i="10"/>
  <c r="AA786" i="10"/>
  <c r="AA828" i="10"/>
  <c r="Y828" i="10"/>
  <c r="Z828" i="10"/>
  <c r="Q828" i="10" s="1"/>
  <c r="Y899" i="10"/>
  <c r="AA899" i="10"/>
  <c r="Z899" i="10"/>
  <c r="Q899" i="10" s="1"/>
  <c r="Y585" i="10"/>
  <c r="AA585" i="10"/>
  <c r="Z585" i="10"/>
  <c r="Q585" i="10" s="1"/>
  <c r="Y271" i="10"/>
  <c r="AA271" i="10"/>
  <c r="Z271" i="10"/>
  <c r="Q271" i="10" s="1"/>
  <c r="AA34" i="10"/>
  <c r="Z34" i="10"/>
  <c r="Q34" i="10" s="1"/>
  <c r="Y34" i="10"/>
  <c r="AA298" i="10"/>
  <c r="Z298" i="10"/>
  <c r="Q298" i="10" s="1"/>
  <c r="Y298" i="10"/>
  <c r="AA450" i="10"/>
  <c r="Z450" i="10"/>
  <c r="Q450" i="10" s="1"/>
  <c r="Y450" i="10"/>
  <c r="Z99" i="10"/>
  <c r="Q99" i="10" s="1"/>
  <c r="Y99" i="10"/>
  <c r="AA99" i="10"/>
  <c r="AA522" i="10"/>
  <c r="Z522" i="10"/>
  <c r="Q522" i="10" s="1"/>
  <c r="Y522" i="10"/>
  <c r="Y730" i="10"/>
  <c r="Z730" i="10"/>
  <c r="Q730" i="10" s="1"/>
  <c r="AA730" i="10"/>
  <c r="AA538" i="10"/>
  <c r="Z538" i="10"/>
  <c r="Q538" i="10" s="1"/>
  <c r="Y538" i="10"/>
  <c r="Z425" i="10"/>
  <c r="Q425" i="10" s="1"/>
  <c r="AA425" i="10"/>
  <c r="Y425" i="10"/>
  <c r="Z244" i="10"/>
  <c r="Q244" i="10" s="1"/>
  <c r="Y244" i="10"/>
  <c r="AA244" i="10"/>
  <c r="Z316" i="10"/>
  <c r="Q316" i="10" s="1"/>
  <c r="Y316" i="10"/>
  <c r="AA316" i="10"/>
  <c r="Y865" i="10"/>
  <c r="AA865" i="10"/>
  <c r="Z865" i="10"/>
  <c r="Q865" i="10" s="1"/>
  <c r="Z308" i="10"/>
  <c r="Q308" i="10" s="1"/>
  <c r="Y308" i="10"/>
  <c r="AA308" i="10"/>
  <c r="AA975" i="10"/>
  <c r="Z975" i="10"/>
  <c r="Q975" i="10" s="1"/>
  <c r="Y975" i="10"/>
  <c r="AA272" i="10"/>
  <c r="Z272" i="10"/>
  <c r="Q272" i="10" s="1"/>
  <c r="Y272" i="10"/>
  <c r="AA139" i="10"/>
  <c r="Z139" i="10"/>
  <c r="Q139" i="10" s="1"/>
  <c r="Y139" i="10"/>
  <c r="Y666" i="10"/>
  <c r="Z666" i="10"/>
  <c r="Q666" i="10" s="1"/>
  <c r="AA666" i="10"/>
  <c r="Z361" i="10"/>
  <c r="Q361" i="10" s="1"/>
  <c r="AA361" i="10"/>
  <c r="Y361" i="10"/>
  <c r="AA187" i="10"/>
  <c r="Z187" i="10"/>
  <c r="Q187" i="10" s="1"/>
  <c r="Y187" i="10"/>
  <c r="Z550" i="10"/>
  <c r="Q550" i="10" s="1"/>
  <c r="Y550" i="10"/>
  <c r="AA550" i="10"/>
  <c r="Y178" i="10"/>
  <c r="AA178" i="10"/>
  <c r="Z178" i="10"/>
  <c r="Q178" i="10" s="1"/>
  <c r="Y55" i="10"/>
  <c r="AA55" i="10"/>
  <c r="Z55" i="10"/>
  <c r="Q55" i="10" s="1"/>
  <c r="AA28" i="10"/>
  <c r="Z28" i="10"/>
  <c r="Q28" i="10" s="1"/>
  <c r="Y28" i="10"/>
  <c r="Y385" i="10"/>
  <c r="AA385" i="10"/>
  <c r="Z385" i="10"/>
  <c r="Q385" i="10" s="1"/>
  <c r="Z83" i="10"/>
  <c r="Q83" i="10" s="1"/>
  <c r="Y83" i="10"/>
  <c r="AA83" i="10"/>
  <c r="AA615" i="10"/>
  <c r="Z615" i="10"/>
  <c r="Q615" i="10" s="1"/>
  <c r="Y615" i="10"/>
  <c r="AA23" i="10"/>
  <c r="Z23" i="10"/>
  <c r="Q23" i="10" s="1"/>
  <c r="Y23" i="10"/>
  <c r="Z528" i="10"/>
  <c r="Q528" i="10" s="1"/>
  <c r="AA528" i="10"/>
  <c r="Y528" i="10"/>
  <c r="AA831" i="10"/>
  <c r="Z831" i="10"/>
  <c r="Q831" i="10" s="1"/>
  <c r="Y831" i="10"/>
  <c r="AA642" i="10"/>
  <c r="Z642" i="10"/>
  <c r="Q642" i="10" s="1"/>
  <c r="Y642" i="10"/>
  <c r="AA351" i="10"/>
  <c r="Y351" i="10"/>
  <c r="Z351" i="10"/>
  <c r="Q351" i="10" s="1"/>
  <c r="Z19" i="10"/>
  <c r="Q19" i="10" s="1"/>
  <c r="AA19" i="10"/>
  <c r="Y19" i="10"/>
  <c r="AA931" i="10"/>
  <c r="Z931" i="10"/>
  <c r="Q931" i="10" s="1"/>
  <c r="Y931" i="10"/>
  <c r="AA339" i="10"/>
  <c r="Z339" i="10"/>
  <c r="Q339" i="10" s="1"/>
  <c r="Y339" i="10"/>
  <c r="AA138" i="10"/>
  <c r="Y138" i="10"/>
  <c r="Z138" i="10"/>
  <c r="Q138" i="10" s="1"/>
  <c r="AA811" i="10"/>
  <c r="Y811" i="10"/>
  <c r="Z811" i="10"/>
  <c r="Q811" i="10" s="1"/>
  <c r="AA497" i="10"/>
  <c r="Y497" i="10"/>
  <c r="Z497" i="10"/>
  <c r="Q497" i="10" s="1"/>
  <c r="Y969" i="10"/>
  <c r="AA969" i="10"/>
  <c r="Z969" i="10"/>
  <c r="Q969" i="10" s="1"/>
  <c r="AA170" i="10"/>
  <c r="Y170" i="10"/>
  <c r="Z170" i="10"/>
  <c r="Q170" i="10" s="1"/>
  <c r="AA243" i="10"/>
  <c r="Y243" i="10"/>
  <c r="Z243" i="10"/>
  <c r="Q243" i="10" s="1"/>
  <c r="AA39" i="10"/>
  <c r="Z39" i="10"/>
  <c r="Q39" i="10" s="1"/>
  <c r="Y39" i="10"/>
  <c r="Y813" i="10"/>
  <c r="AA813" i="10"/>
  <c r="Z813" i="10"/>
  <c r="Q813" i="10" s="1"/>
  <c r="Y797" i="10"/>
  <c r="AA797" i="10"/>
  <c r="Z797" i="10"/>
  <c r="Q797" i="10" s="1"/>
  <c r="Y337" i="10"/>
  <c r="Z337" i="10"/>
  <c r="Q337" i="10" s="1"/>
  <c r="AA337" i="10"/>
  <c r="Y299" i="10"/>
  <c r="AA299" i="10"/>
  <c r="Z299" i="10"/>
  <c r="Q299" i="10" s="1"/>
  <c r="Z279" i="10"/>
  <c r="Q279" i="10" s="1"/>
  <c r="Y279" i="10"/>
  <c r="AA279" i="10"/>
  <c r="Y964" i="10"/>
  <c r="AA964" i="10"/>
  <c r="Z964" i="10"/>
  <c r="Q964" i="10" s="1"/>
  <c r="Y223" i="10"/>
  <c r="AA223" i="10"/>
  <c r="Z223" i="10"/>
  <c r="Q223" i="10" s="1"/>
  <c r="AA8" i="10"/>
  <c r="Z8" i="10"/>
  <c r="Q8" i="10" s="1"/>
  <c r="Y8" i="10"/>
  <c r="Y372" i="10"/>
  <c r="AA372" i="10"/>
  <c r="Z372" i="10"/>
  <c r="Q372" i="10" s="1"/>
  <c r="AA699" i="10"/>
  <c r="Y699" i="10"/>
  <c r="Z699" i="10"/>
  <c r="Q699" i="10" s="1"/>
  <c r="Z11" i="10"/>
  <c r="Q11" i="10" s="1"/>
  <c r="AA11" i="10"/>
  <c r="Y11" i="10"/>
  <c r="AA91" i="10"/>
  <c r="Y91" i="10"/>
  <c r="Z91" i="10"/>
  <c r="Q91" i="10" s="1"/>
  <c r="Y779" i="10"/>
  <c r="Z779" i="10"/>
  <c r="Q779" i="10" s="1"/>
  <c r="AA779" i="10"/>
  <c r="Y961" i="10"/>
  <c r="Z961" i="10"/>
  <c r="Q961" i="10" s="1"/>
  <c r="AA961" i="10"/>
  <c r="Z268" i="10"/>
  <c r="Q268" i="10" s="1"/>
  <c r="AA268" i="10"/>
  <c r="Y268" i="10"/>
  <c r="AA310" i="10"/>
  <c r="Y310" i="10"/>
  <c r="Z310" i="10"/>
  <c r="Q310" i="10" s="1"/>
  <c r="Z264" i="10"/>
  <c r="Q264" i="10" s="1"/>
  <c r="Y264" i="10"/>
  <c r="AA264" i="10"/>
  <c r="Y609" i="10"/>
  <c r="AA609" i="10"/>
  <c r="Z609" i="10"/>
  <c r="Q609" i="10" s="1"/>
  <c r="AA312" i="10"/>
  <c r="Z312" i="10"/>
  <c r="Q312" i="10" s="1"/>
  <c r="Y312" i="10"/>
  <c r="Z763" i="10"/>
  <c r="Q763" i="10" s="1"/>
  <c r="Y763" i="10"/>
  <c r="AA763" i="10"/>
  <c r="AA219" i="10"/>
  <c r="Z219" i="10"/>
  <c r="Q219" i="10" s="1"/>
  <c r="Y219" i="10"/>
  <c r="AA363" i="10"/>
  <c r="Z363" i="10"/>
  <c r="Q363" i="10" s="1"/>
  <c r="Y363" i="10"/>
  <c r="AA491" i="10"/>
  <c r="Z491" i="10"/>
  <c r="Q491" i="10" s="1"/>
  <c r="Y491" i="10"/>
  <c r="AA633" i="10"/>
  <c r="Y633" i="10"/>
  <c r="Z633" i="10"/>
  <c r="Q633" i="10" s="1"/>
  <c r="AA871" i="10"/>
  <c r="Z871" i="10"/>
  <c r="Q871" i="10" s="1"/>
  <c r="Y871" i="10"/>
  <c r="AA367" i="10"/>
  <c r="Z367" i="10"/>
  <c r="Q367" i="10" s="1"/>
  <c r="Y367" i="10"/>
  <c r="AA388" i="10"/>
  <c r="Z388" i="10"/>
  <c r="Q388" i="10" s="1"/>
  <c r="Y388" i="10"/>
  <c r="Z868" i="10"/>
  <c r="Q868" i="10" s="1"/>
  <c r="Y868" i="10"/>
  <c r="AA868" i="10"/>
  <c r="AA705" i="10"/>
  <c r="Z705" i="10"/>
  <c r="Q705" i="10" s="1"/>
  <c r="Y705" i="10"/>
  <c r="AA577" i="10"/>
  <c r="Z577" i="10"/>
  <c r="Q577" i="10" s="1"/>
  <c r="Y577" i="10"/>
  <c r="AA494" i="10"/>
  <c r="Z494" i="10"/>
  <c r="Q494" i="10" s="1"/>
  <c r="Y494" i="10"/>
  <c r="Y234" i="10"/>
  <c r="AA234" i="10"/>
  <c r="Z234" i="10"/>
  <c r="Q234" i="10" s="1"/>
  <c r="AA38" i="10"/>
  <c r="Z38" i="10"/>
  <c r="Q38" i="10" s="1"/>
  <c r="Y38" i="10"/>
  <c r="AA30" i="10"/>
  <c r="Z30" i="10"/>
  <c r="Q30" i="10" s="1"/>
  <c r="Y30" i="10"/>
  <c r="Y42" i="10"/>
  <c r="Z42" i="10"/>
  <c r="Q42" i="10" s="1"/>
  <c r="AA42" i="10"/>
  <c r="Y688" i="10"/>
  <c r="AA688" i="10"/>
  <c r="Z688" i="10"/>
  <c r="Q688" i="10" s="1"/>
  <c r="Y712" i="10"/>
  <c r="AA712" i="10"/>
  <c r="Z712" i="10"/>
  <c r="Q712" i="10" s="1"/>
  <c r="Y284" i="10"/>
  <c r="AA284" i="10"/>
  <c r="Z284" i="10"/>
  <c r="Q284" i="10" s="1"/>
  <c r="Y638" i="10"/>
  <c r="AA638" i="10"/>
  <c r="Z638" i="10"/>
  <c r="Q638" i="10" s="1"/>
  <c r="Y492" i="10"/>
  <c r="AA492" i="10"/>
  <c r="Z492" i="10"/>
  <c r="Q492" i="10" s="1"/>
  <c r="Y467" i="10"/>
  <c r="AA467" i="10"/>
  <c r="Z467" i="10"/>
  <c r="Q467" i="10" s="1"/>
  <c r="AA314" i="10"/>
  <c r="Z314" i="10"/>
  <c r="Q314" i="10" s="1"/>
  <c r="Y314" i="10"/>
  <c r="AA242" i="10"/>
  <c r="Y242" i="10"/>
  <c r="Z242" i="10"/>
  <c r="Q242" i="10" s="1"/>
  <c r="Z320" i="10"/>
  <c r="Q320" i="10" s="1"/>
  <c r="AA320" i="10"/>
  <c r="Y320" i="10"/>
  <c r="AA407" i="10"/>
  <c r="Z407" i="10"/>
  <c r="Q407" i="10" s="1"/>
  <c r="Y407" i="10"/>
  <c r="Y673" i="10"/>
  <c r="AA673" i="10"/>
  <c r="Z673" i="10"/>
  <c r="Q673" i="10" s="1"/>
  <c r="Y682" i="10"/>
  <c r="Z682" i="10"/>
  <c r="Q682" i="10" s="1"/>
  <c r="AA682" i="10"/>
  <c r="Z806" i="10"/>
  <c r="Q806" i="10" s="1"/>
  <c r="Y806" i="10"/>
  <c r="AA806" i="10"/>
  <c r="Z572" i="10"/>
  <c r="Q572" i="10" s="1"/>
  <c r="AA572" i="10"/>
  <c r="Y572" i="10"/>
  <c r="Z307" i="10"/>
  <c r="Q307" i="10" s="1"/>
  <c r="Y307" i="10"/>
  <c r="AA307" i="10"/>
  <c r="Y114" i="10"/>
  <c r="AA114" i="10"/>
  <c r="Z114" i="10"/>
  <c r="Q114" i="10" s="1"/>
  <c r="AA257" i="10"/>
  <c r="Y257" i="10"/>
  <c r="Z257" i="10"/>
  <c r="Q257" i="10" s="1"/>
  <c r="Y210" i="10"/>
  <c r="AA210" i="10"/>
  <c r="Z210" i="10"/>
  <c r="Q210" i="10" s="1"/>
  <c r="Y295" i="10"/>
  <c r="Z295" i="10"/>
  <c r="Q295" i="10" s="1"/>
  <c r="AA295" i="10"/>
  <c r="Y819" i="10"/>
  <c r="AA819" i="10"/>
  <c r="Z819" i="10"/>
  <c r="Q819" i="10" s="1"/>
  <c r="AA402" i="10"/>
  <c r="Z402" i="10"/>
  <c r="Q402" i="10" s="1"/>
  <c r="Y402" i="10"/>
  <c r="AA976" i="10"/>
  <c r="Y976" i="10"/>
  <c r="Z976" i="10"/>
  <c r="Q976" i="10" s="1"/>
  <c r="AA790" i="10"/>
  <c r="Z790" i="10"/>
  <c r="Q790" i="10" s="1"/>
  <c r="Y790" i="10"/>
  <c r="AA846" i="10"/>
  <c r="Z846" i="10"/>
  <c r="Q846" i="10" s="1"/>
  <c r="Y846" i="10"/>
  <c r="AA433" i="10"/>
  <c r="Y433" i="10"/>
  <c r="Z433" i="10"/>
  <c r="Q433" i="10" s="1"/>
  <c r="Y186" i="10"/>
  <c r="Z186" i="10"/>
  <c r="Q186" i="10" s="1"/>
  <c r="AA186" i="10"/>
  <c r="AA924" i="10"/>
  <c r="Y924" i="10"/>
  <c r="Z924" i="10"/>
  <c r="Q924" i="10" s="1"/>
  <c r="AA606" i="10"/>
  <c r="Z606" i="10"/>
  <c r="Q606" i="10" s="1"/>
  <c r="Y606" i="10"/>
  <c r="Z374" i="10"/>
  <c r="Q374" i="10" s="1"/>
  <c r="Y374" i="10"/>
  <c r="AA374" i="10"/>
  <c r="AA884" i="10"/>
  <c r="Z884" i="10"/>
  <c r="Q884" i="10" s="1"/>
  <c r="Y884" i="10"/>
  <c r="Z564" i="10"/>
  <c r="Q564" i="10" s="1"/>
  <c r="AA564" i="10"/>
  <c r="Y564" i="10"/>
  <c r="Z680" i="10"/>
  <c r="Q680" i="10" s="1"/>
  <c r="AA680" i="10"/>
  <c r="Y680" i="10"/>
  <c r="Y496" i="10"/>
  <c r="Z496" i="10"/>
  <c r="Q496" i="10" s="1"/>
  <c r="AA496" i="10"/>
  <c r="AA511" i="10"/>
  <c r="Y511" i="10"/>
  <c r="Z511" i="10"/>
  <c r="Q511" i="10" s="1"/>
  <c r="Y824" i="10"/>
  <c r="AA824" i="10"/>
  <c r="Z824" i="10"/>
  <c r="Q824" i="10" s="1"/>
  <c r="Y458" i="10"/>
  <c r="AA458" i="10"/>
  <c r="Z458" i="10"/>
  <c r="Q458" i="10" s="1"/>
  <c r="AA36" i="10"/>
  <c r="Z36" i="10"/>
  <c r="Q36" i="10" s="1"/>
  <c r="Y36" i="10"/>
  <c r="Z594" i="10"/>
  <c r="Q594" i="10" s="1"/>
  <c r="Y594" i="10"/>
  <c r="AA594" i="10"/>
  <c r="Y843" i="10"/>
  <c r="AA843" i="10"/>
  <c r="Z843" i="10"/>
  <c r="Q843" i="10" s="1"/>
  <c r="Z634" i="10"/>
  <c r="Q634" i="10" s="1"/>
  <c r="AA634" i="10"/>
  <c r="Y634" i="10"/>
  <c r="Z502" i="10"/>
  <c r="Q502" i="10" s="1"/>
  <c r="Y502" i="10"/>
  <c r="AA502" i="10"/>
  <c r="AA946" i="10"/>
  <c r="Z946" i="10"/>
  <c r="Q946" i="10" s="1"/>
  <c r="Y946" i="10"/>
  <c r="Y959" i="10"/>
  <c r="AA959" i="10"/>
  <c r="Z959" i="10"/>
  <c r="Q959" i="10" s="1"/>
  <c r="Y520" i="10"/>
  <c r="AA520" i="10"/>
  <c r="Z520" i="10"/>
  <c r="Q520" i="10" s="1"/>
  <c r="Z966" i="10"/>
  <c r="Q966" i="10" s="1"/>
  <c r="AA966" i="10"/>
  <c r="Y966" i="10"/>
  <c r="Z968" i="10"/>
  <c r="Q968" i="10" s="1"/>
  <c r="AA968" i="10"/>
  <c r="Y968" i="10"/>
  <c r="AA749" i="10"/>
  <c r="Y749" i="10"/>
  <c r="Z749" i="10"/>
  <c r="Q749" i="10" s="1"/>
  <c r="Z479" i="10"/>
  <c r="Q479" i="10" s="1"/>
  <c r="Y479" i="10"/>
  <c r="AA479" i="10"/>
  <c r="Z231" i="10"/>
  <c r="Q231" i="10" s="1"/>
  <c r="AA231" i="10"/>
  <c r="Y231" i="10"/>
  <c r="Y355" i="10"/>
  <c r="AA355" i="10"/>
  <c r="Z355" i="10"/>
  <c r="Q355" i="10" s="1"/>
  <c r="Z476" i="10"/>
  <c r="Q476" i="10" s="1"/>
  <c r="AA476" i="10"/>
  <c r="Y476" i="10"/>
  <c r="Z552" i="10"/>
  <c r="Q552" i="10" s="1"/>
  <c r="Y552" i="10"/>
  <c r="AA552" i="10"/>
  <c r="Z483" i="10"/>
  <c r="Q483" i="10" s="1"/>
  <c r="AA483" i="10"/>
  <c r="Y483" i="10"/>
  <c r="AA409" i="10"/>
  <c r="Y409" i="10"/>
  <c r="Z409" i="10"/>
  <c r="Q409" i="10" s="1"/>
  <c r="AA598" i="10"/>
  <c r="Y598" i="10"/>
  <c r="Z598" i="10"/>
  <c r="Q598" i="10" s="1"/>
  <c r="Z147" i="10"/>
  <c r="Q147" i="10" s="1"/>
  <c r="Y147" i="10"/>
  <c r="AA147" i="10"/>
  <c r="AA454" i="10"/>
  <c r="Z454" i="10"/>
  <c r="Q454" i="10" s="1"/>
  <c r="Y454" i="10"/>
  <c r="AA451" i="10"/>
  <c r="Z451" i="10"/>
  <c r="Q451" i="10" s="1"/>
  <c r="Y451" i="10"/>
  <c r="AA276" i="10"/>
  <c r="Z276" i="10"/>
  <c r="Q276" i="10" s="1"/>
  <c r="Y276" i="10"/>
  <c r="R9" i="10" l="1"/>
  <c r="S9" i="10"/>
  <c r="S10" i="10"/>
  <c r="R10" i="10"/>
  <c r="X9" i="10" l="1"/>
  <c r="W10" i="10"/>
  <c r="X10" i="10"/>
  <c r="W9" i="10"/>
  <c r="F21" i="5"/>
  <c r="U9" i="10" l="1"/>
  <c r="T9" i="10"/>
  <c r="T10" i="10"/>
  <c r="U10" i="10"/>
  <c r="AA10" i="10" l="1"/>
  <c r="Z10" i="10"/>
  <c r="Q10" i="10" s="1"/>
  <c r="Y10" i="10"/>
  <c r="Z9" i="10"/>
  <c r="Q9" i="10" s="1"/>
  <c r="Y9" i="10"/>
  <c r="AA9" i="10"/>
  <c r="F27" i="5"/>
  <c r="F28" i="5" s="1"/>
  <c r="F19" i="5"/>
  <c r="F30" i="5" l="1"/>
  <c r="F31" i="5" s="1"/>
  <c r="B1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4" authorId="0" shapeId="0" xr:uid="{8BFF2384-B139-4425-B81D-2F6CA9AD9647}">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19EB1DDA-F546-41D3-BC47-EE2E21C726BC}">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00000000-0006-0000-0600-000001000000}">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sharedStrings.xml><?xml version="1.0" encoding="utf-8"?>
<sst xmlns="http://schemas.openxmlformats.org/spreadsheetml/2006/main" count="13860" uniqueCount="7068">
  <si>
    <t>표준단가</t>
  </si>
  <si>
    <t>표준품셈</t>
  </si>
  <si>
    <t>물가정보</t>
  </si>
  <si>
    <t>노임단가</t>
  </si>
  <si>
    <t>수량</t>
  </si>
  <si>
    <t>m</t>
  </si>
  <si>
    <t>견 적 서</t>
    <phoneticPr fontId="13" type="noConversion"/>
  </si>
  <si>
    <t xml:space="preserve"> 수신인: </t>
    <phoneticPr fontId="13" type="noConversion"/>
  </si>
  <si>
    <t xml:space="preserve"> 공사명: </t>
    <phoneticPr fontId="13" type="noConversion"/>
  </si>
  <si>
    <t xml:space="preserve">금액: </t>
    <phoneticPr fontId="13" type="noConversion"/>
  </si>
  <si>
    <t>원정</t>
    <phoneticPr fontId="23" type="noConversion"/>
  </si>
  <si>
    <t xml:space="preserve">  </t>
  </si>
  <si>
    <t>NO</t>
  </si>
  <si>
    <t>품명</t>
    <phoneticPr fontId="23" type="noConversion"/>
  </si>
  <si>
    <t>규격</t>
    <phoneticPr fontId="23" type="noConversion"/>
  </si>
  <si>
    <t>수량</t>
    <phoneticPr fontId="23" type="noConversion"/>
  </si>
  <si>
    <t>단위</t>
    <phoneticPr fontId="23" type="noConversion"/>
  </si>
  <si>
    <t>금액</t>
    <phoneticPr fontId="23" type="noConversion"/>
  </si>
  <si>
    <t>비고</t>
    <phoneticPr fontId="23" type="noConversion"/>
  </si>
  <si>
    <t>직접비</t>
    <phoneticPr fontId="13" type="noConversion"/>
  </si>
  <si>
    <t>재료비</t>
    <phoneticPr fontId="13" type="noConversion"/>
  </si>
  <si>
    <t>노무비</t>
    <phoneticPr fontId="23" type="noConversion"/>
  </si>
  <si>
    <t>기계/기타경비</t>
    <phoneticPr fontId="13" type="noConversion"/>
  </si>
  <si>
    <t>소계</t>
    <phoneticPr fontId="13" type="noConversion"/>
  </si>
  <si>
    <t>간접비</t>
    <phoneticPr fontId="13" type="noConversion"/>
  </si>
  <si>
    <t>  국민연금</t>
    <phoneticPr fontId="23" type="noConversion"/>
  </si>
  <si>
    <t> 노무비*4.5%</t>
    <phoneticPr fontId="23" type="noConversion"/>
  </si>
  <si>
    <t>식</t>
    <phoneticPr fontId="23" type="noConversion"/>
  </si>
  <si>
    <t>모든공사에 적용</t>
    <phoneticPr fontId="23" type="noConversion"/>
  </si>
  <si>
    <t>  건강보험료</t>
    <phoneticPr fontId="23" type="noConversion"/>
  </si>
  <si>
    <t>모든공사에 적용</t>
    <phoneticPr fontId="23" type="noConversion"/>
  </si>
  <si>
    <t>  장기요양보험료</t>
    <phoneticPr fontId="23" type="noConversion"/>
  </si>
  <si>
    <t>  고용보험료</t>
    <phoneticPr fontId="23" type="noConversion"/>
  </si>
  <si>
    <t>  산재보험료</t>
    <phoneticPr fontId="23" type="noConversion"/>
  </si>
  <si>
    <t xml:space="preserve">  산업안전보건관리비</t>
    <phoneticPr fontId="23" type="noConversion"/>
  </si>
  <si>
    <t>소계</t>
    <phoneticPr fontId="13" type="noConversion"/>
  </si>
  <si>
    <t>합계(단수조정)</t>
    <phoneticPr fontId="13" type="noConversion"/>
  </si>
  <si>
    <t>VAT별도</t>
    <phoneticPr fontId="23" type="noConversion"/>
  </si>
  <si>
    <r>
      <rPr>
        <b/>
        <sz val="10"/>
        <color theme="1"/>
        <rFont val="LG스마트체 Regular"/>
        <family val="3"/>
        <charset val="129"/>
      </rPr>
      <t>▼낙찰율</t>
    </r>
    <phoneticPr fontId="7" type="noConversion"/>
  </si>
  <si>
    <t>■ atG 할증기준</t>
    <phoneticPr fontId="5" type="noConversion"/>
  </si>
  <si>
    <t>일반관리비/이윤</t>
    <phoneticPr fontId="23" type="noConversion"/>
  </si>
  <si>
    <t> (노무비+간접공사비)*5%</t>
    <phoneticPr fontId="23" type="noConversion"/>
  </si>
  <si>
    <t>구분</t>
    <phoneticPr fontId="5" type="noConversion"/>
  </si>
  <si>
    <t>예가내역서 코드</t>
    <phoneticPr fontId="41" type="noConversion"/>
  </si>
  <si>
    <t>코드구분</t>
    <phoneticPr fontId="41" type="noConversion"/>
  </si>
  <si>
    <t>표준단가</t>
    <phoneticPr fontId="41" type="noConversion"/>
  </si>
  <si>
    <t>표준품셈</t>
    <phoneticPr fontId="41" type="noConversion"/>
  </si>
  <si>
    <t>물가정보</t>
    <phoneticPr fontId="41" type="noConversion"/>
  </si>
  <si>
    <t>노임단가</t>
    <phoneticPr fontId="41" type="noConversion"/>
  </si>
  <si>
    <t>최종구분</t>
    <phoneticPr fontId="41" type="noConversion"/>
  </si>
  <si>
    <t>표준단가</t>
    <phoneticPr fontId="41" type="noConversion"/>
  </si>
  <si>
    <t>표준품셈</t>
    <phoneticPr fontId="41" type="noConversion"/>
  </si>
  <si>
    <t>노임단가</t>
    <phoneticPr fontId="41" type="noConversion"/>
  </si>
  <si>
    <t>수량</t>
    <phoneticPr fontId="41" type="noConversion"/>
  </si>
  <si>
    <t>표준단가</t>
    <phoneticPr fontId="41" type="noConversion"/>
  </si>
  <si>
    <t>표준품셈</t>
    <phoneticPr fontId="41" type="noConversion"/>
  </si>
  <si>
    <t>*(공란)</t>
    <phoneticPr fontId="41" type="noConversion"/>
  </si>
  <si>
    <t>&gt;&lt;(텍스트)</t>
    <phoneticPr fontId="41" type="noConversion"/>
  </si>
  <si>
    <t>&lt;&gt;(수식모두)</t>
    <phoneticPr fontId="41" type="noConversion"/>
  </si>
  <si>
    <t>2</t>
  </si>
  <si>
    <t>표준단가 품목</t>
    <phoneticPr fontId="5" type="noConversion"/>
  </si>
  <si>
    <t>노무비</t>
    <phoneticPr fontId="41" type="noConversion"/>
  </si>
  <si>
    <t>3</t>
  </si>
  <si>
    <t>표준품셈+물가정보 품목</t>
    <phoneticPr fontId="5" type="noConversion"/>
  </si>
  <si>
    <t>자재비</t>
    <phoneticPr fontId="41" type="noConversion"/>
  </si>
  <si>
    <t>4</t>
  </si>
  <si>
    <t>표준품셈만 있을떄</t>
    <phoneticPr fontId="5" type="noConversion"/>
  </si>
  <si>
    <t>표준단가</t>
    <phoneticPr fontId="41" type="noConversion"/>
  </si>
  <si>
    <t>5</t>
  </si>
  <si>
    <t>물가정보만 있을때</t>
    <phoneticPr fontId="5" type="noConversion"/>
  </si>
  <si>
    <t>표준품셈</t>
    <phoneticPr fontId="41" type="noConversion"/>
  </si>
  <si>
    <t>6</t>
  </si>
  <si>
    <t>노임단가만 있을떄</t>
    <phoneticPr fontId="5" type="noConversion"/>
  </si>
  <si>
    <t>표준단가 D</t>
    <phoneticPr fontId="41" type="noConversion"/>
  </si>
  <si>
    <r>
      <rPr>
        <b/>
        <sz val="10"/>
        <color theme="1"/>
        <rFont val="LG스마트체 Regular"/>
        <family val="3"/>
        <charset val="129"/>
      </rPr>
      <t>합계</t>
    </r>
    <phoneticPr fontId="7" type="noConversion"/>
  </si>
  <si>
    <r>
      <rPr>
        <b/>
        <sz val="10"/>
        <color theme="1"/>
        <rFont val="LG스마트체 Regular"/>
        <family val="3"/>
        <charset val="129"/>
      </rPr>
      <t>표준</t>
    </r>
    <r>
      <rPr>
        <b/>
        <sz val="10"/>
        <color theme="1"/>
        <rFont val="Arial"/>
        <family val="2"/>
      </rPr>
      <t xml:space="preserve"> Code</t>
    </r>
    <phoneticPr fontId="5" type="noConversion"/>
  </si>
  <si>
    <t>기준</t>
    <phoneticPr fontId="5" type="noConversion"/>
  </si>
  <si>
    <t>비고</t>
    <phoneticPr fontId="5"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</si>
  <si>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</si>
  <si>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</si>
  <si>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7"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</si>
  <si>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</si>
  <si>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</si>
  <si>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5"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</si>
  <si>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</si>
  <si>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</si>
  <si>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5" type="noConversion"/>
  </si>
  <si>
    <r>
      <rPr>
        <b/>
        <sz val="10"/>
        <color theme="1"/>
        <rFont val="LG스마트체 Regular"/>
        <family val="3"/>
        <charset val="129"/>
      </rPr>
      <t>노무비</t>
    </r>
    <phoneticPr fontId="7" type="noConversion"/>
  </si>
  <si>
    <r>
      <rPr>
        <b/>
        <sz val="10"/>
        <color theme="1"/>
        <rFont val="LG스마트체 Regular"/>
        <family val="3"/>
        <charset val="129"/>
      </rPr>
      <t>규격</t>
    </r>
    <phoneticPr fontId="5" type="noConversion"/>
  </si>
  <si>
    <r>
      <rPr>
        <b/>
        <sz val="10"/>
        <color theme="1"/>
        <rFont val="LG스마트체 Regular"/>
        <family val="3"/>
        <charset val="129"/>
      </rPr>
      <t>단가</t>
    </r>
    <phoneticPr fontId="5" type="noConversion"/>
  </si>
  <si>
    <r>
      <rPr>
        <b/>
        <sz val="10"/>
        <color theme="1"/>
        <rFont val="LG스마트체 Regular"/>
        <family val="3"/>
        <charset val="129"/>
      </rPr>
      <t>단가</t>
    </r>
    <phoneticPr fontId="7" type="noConversion"/>
  </si>
  <si>
    <r>
      <rPr>
        <b/>
        <sz val="10"/>
        <color theme="1"/>
        <rFont val="돋움"/>
        <family val="3"/>
        <charset val="129"/>
      </rPr>
      <t>할증율</t>
    </r>
    <r>
      <rPr>
        <b/>
        <sz val="10"/>
        <color theme="1"/>
        <rFont val="Arial"/>
        <family val="2"/>
      </rPr>
      <t>(%)</t>
    </r>
    <phoneticPr fontId="5" type="noConversion"/>
  </si>
  <si>
    <t>개</t>
  </si>
  <si>
    <t>D00005</t>
  </si>
  <si>
    <t>D00006</t>
  </si>
  <si>
    <t>D00007</t>
  </si>
  <si>
    <t>D00045</t>
  </si>
  <si>
    <t>D00046</t>
  </si>
  <si>
    <t>D00047</t>
  </si>
  <si>
    <t>D00048</t>
  </si>
  <si>
    <t>D00049</t>
  </si>
  <si>
    <t>D00050</t>
  </si>
  <si>
    <t>D00051</t>
  </si>
  <si>
    <t>D00052</t>
  </si>
  <si>
    <t>D00053</t>
  </si>
  <si>
    <t>D00054</t>
  </si>
  <si>
    <t>D00066</t>
  </si>
  <si>
    <t>D00067</t>
  </si>
  <si>
    <t>D00068</t>
  </si>
  <si>
    <t>D00069</t>
  </si>
  <si>
    <t>D00070</t>
  </si>
  <si>
    <t>D00071</t>
  </si>
  <si>
    <t>D00072</t>
  </si>
  <si>
    <t>D00073</t>
  </si>
  <si>
    <t>D00074</t>
  </si>
  <si>
    <t>D00075</t>
  </si>
  <si>
    <t>D00076</t>
  </si>
  <si>
    <t>D00077</t>
  </si>
  <si>
    <t>D00078</t>
  </si>
  <si>
    <t>D00103</t>
  </si>
  <si>
    <t>D00104</t>
  </si>
  <si>
    <t>D00105</t>
  </si>
  <si>
    <t>D00106</t>
  </si>
  <si>
    <t>D00107</t>
  </si>
  <si>
    <t>D00108</t>
  </si>
  <si>
    <t>D00109</t>
  </si>
  <si>
    <t>D00110</t>
  </si>
  <si>
    <t>D00111</t>
  </si>
  <si>
    <t>D00112</t>
  </si>
  <si>
    <t>D00113</t>
  </si>
  <si>
    <t>D00114</t>
  </si>
  <si>
    <t>D00115</t>
  </si>
  <si>
    <t>D00116</t>
  </si>
  <si>
    <t>D00117</t>
  </si>
  <si>
    <t>D00118</t>
  </si>
  <si>
    <t>D00119</t>
  </si>
  <si>
    <t>D00120</t>
  </si>
  <si>
    <t>D00121</t>
  </si>
  <si>
    <t>D00122</t>
  </si>
  <si>
    <t>D00123</t>
  </si>
  <si>
    <t>D00124</t>
  </si>
  <si>
    <t>D00125</t>
  </si>
  <si>
    <t>D00126</t>
  </si>
  <si>
    <t>D00127</t>
  </si>
  <si>
    <t>D00128</t>
  </si>
  <si>
    <t>D00129</t>
  </si>
  <si>
    <t>D00130</t>
  </si>
  <si>
    <t>D00131</t>
  </si>
  <si>
    <t>D00132</t>
  </si>
  <si>
    <t>D00133</t>
  </si>
  <si>
    <t>D00134</t>
  </si>
  <si>
    <t>D00135</t>
  </si>
  <si>
    <t>D00136</t>
  </si>
  <si>
    <t>D00137</t>
  </si>
  <si>
    <t>D00138</t>
  </si>
  <si>
    <t>D00139</t>
  </si>
  <si>
    <t>D00140</t>
  </si>
  <si>
    <t>D00141</t>
  </si>
  <si>
    <t>D00142</t>
  </si>
  <si>
    <t>D00143</t>
  </si>
  <si>
    <t>D00144</t>
  </si>
  <si>
    <t>D00145</t>
  </si>
  <si>
    <t>D00146</t>
  </si>
  <si>
    <t>D00156</t>
  </si>
  <si>
    <t>D00157</t>
  </si>
  <si>
    <t>D00158</t>
  </si>
  <si>
    <t>D00159</t>
  </si>
  <si>
    <t>D00160</t>
  </si>
  <si>
    <t>D00161</t>
  </si>
  <si>
    <t>D00162</t>
  </si>
  <si>
    <t>D00163</t>
  </si>
  <si>
    <t>D00164</t>
  </si>
  <si>
    <t>D00165</t>
  </si>
  <si>
    <t>D00166</t>
  </si>
  <si>
    <t>D00167</t>
  </si>
  <si>
    <t>D00168</t>
  </si>
  <si>
    <t>D00169</t>
  </si>
  <si>
    <t>D00170</t>
  </si>
  <si>
    <t>D00171</t>
  </si>
  <si>
    <t>D00172</t>
  </si>
  <si>
    <t>D00173</t>
  </si>
  <si>
    <t>D00174</t>
  </si>
  <si>
    <t>D00175</t>
  </si>
  <si>
    <t>D00176</t>
  </si>
  <si>
    <t>D00177</t>
  </si>
  <si>
    <t>D00185</t>
  </si>
  <si>
    <t>D00186</t>
  </si>
  <si>
    <t>D00187</t>
  </si>
  <si>
    <t>D00188</t>
  </si>
  <si>
    <t>D00189</t>
  </si>
  <si>
    <t>D00190</t>
  </si>
  <si>
    <t>D00191</t>
  </si>
  <si>
    <t>D00192</t>
  </si>
  <si>
    <t>D00193</t>
  </si>
  <si>
    <t>D00194</t>
  </si>
  <si>
    <t>D00195</t>
  </si>
  <si>
    <t>D00196</t>
  </si>
  <si>
    <t>D00197</t>
  </si>
  <si>
    <t>D00199</t>
  </si>
  <si>
    <t>D00200</t>
  </si>
  <si>
    <t>D00201</t>
  </si>
  <si>
    <t>D00203</t>
  </si>
  <si>
    <t>D00204</t>
  </si>
  <si>
    <t>D00205</t>
  </si>
  <si>
    <t>D00207</t>
  </si>
  <si>
    <t>D00208</t>
  </si>
  <si>
    <t>D00209</t>
  </si>
  <si>
    <t>D00211</t>
  </si>
  <si>
    <t>D00212</t>
  </si>
  <si>
    <t>D00213</t>
  </si>
  <si>
    <t>D00214</t>
  </si>
  <si>
    <t>D00215</t>
  </si>
  <si>
    <t>D00216</t>
  </si>
  <si>
    <t>D00217</t>
  </si>
  <si>
    <t>D00218</t>
  </si>
  <si>
    <t>D00219</t>
  </si>
  <si>
    <t>D00220</t>
  </si>
  <si>
    <t>D00221</t>
  </si>
  <si>
    <t>D00272</t>
  </si>
  <si>
    <t>D00273</t>
  </si>
  <si>
    <t>D00274</t>
  </si>
  <si>
    <t>D00275</t>
  </si>
  <si>
    <t>D00276</t>
  </si>
  <si>
    <t>D00277</t>
  </si>
  <si>
    <t>D00278</t>
  </si>
  <si>
    <t>D00279</t>
  </si>
  <si>
    <t>D00280</t>
  </si>
  <si>
    <t>D00281</t>
  </si>
  <si>
    <t>D00282</t>
  </si>
  <si>
    <t>D00283</t>
  </si>
  <si>
    <t>D00284</t>
  </si>
  <si>
    <t>D00285</t>
  </si>
  <si>
    <t>D00286</t>
  </si>
  <si>
    <t>D00287</t>
  </si>
  <si>
    <t>D00288</t>
  </si>
  <si>
    <t>D00289</t>
  </si>
  <si>
    <t>D00290</t>
  </si>
  <si>
    <t>D00291</t>
  </si>
  <si>
    <t>D00292</t>
  </si>
  <si>
    <t>D00293</t>
  </si>
  <si>
    <t>D00294</t>
  </si>
  <si>
    <t>D00295</t>
  </si>
  <si>
    <t>D00296</t>
  </si>
  <si>
    <t>D00297</t>
  </si>
  <si>
    <t>D00298</t>
  </si>
  <si>
    <t>D00299</t>
  </si>
  <si>
    <t>D00300</t>
  </si>
  <si>
    <t>D00301</t>
  </si>
  <si>
    <t>D00302</t>
  </si>
  <si>
    <t>D00303</t>
  </si>
  <si>
    <t>D00304</t>
  </si>
  <si>
    <t>D00305</t>
  </si>
  <si>
    <t>D00306</t>
  </si>
  <si>
    <t>D00307</t>
  </si>
  <si>
    <t>D00308</t>
  </si>
  <si>
    <t>D00309</t>
  </si>
  <si>
    <t>D00310</t>
  </si>
  <si>
    <t>D00311</t>
  </si>
  <si>
    <t>D00312</t>
  </si>
  <si>
    <t>D00313</t>
  </si>
  <si>
    <t>D00314</t>
  </si>
  <si>
    <t>D00315</t>
  </si>
  <si>
    <t>D00316</t>
  </si>
  <si>
    <t>D00317</t>
  </si>
  <si>
    <t>D00318</t>
  </si>
  <si>
    <t>D00319</t>
  </si>
  <si>
    <t>D00320</t>
  </si>
  <si>
    <t>D00321</t>
  </si>
  <si>
    <t>D00322</t>
  </si>
  <si>
    <t>D00323</t>
  </si>
  <si>
    <t>D00324</t>
  </si>
  <si>
    <t>D00325</t>
  </si>
  <si>
    <t>D00326</t>
  </si>
  <si>
    <t>D00327</t>
  </si>
  <si>
    <t>D00328</t>
  </si>
  <si>
    <t>D00329</t>
  </si>
  <si>
    <t>D00330</t>
  </si>
  <si>
    <t>D00331</t>
  </si>
  <si>
    <t>D00332</t>
  </si>
  <si>
    <t>D00333</t>
  </si>
  <si>
    <t>D00334</t>
  </si>
  <si>
    <t>D00335</t>
  </si>
  <si>
    <t>D00336</t>
  </si>
  <si>
    <t>D00337</t>
  </si>
  <si>
    <t>D00338</t>
  </si>
  <si>
    <t>D00339</t>
  </si>
  <si>
    <t>D00340</t>
  </si>
  <si>
    <t>D00341</t>
  </si>
  <si>
    <t>D00342</t>
  </si>
  <si>
    <t>D00343</t>
  </si>
  <si>
    <t>D00344</t>
  </si>
  <si>
    <t>D00345</t>
  </si>
  <si>
    <t>D00346</t>
  </si>
  <si>
    <t>D00347</t>
  </si>
  <si>
    <t>D00348</t>
  </si>
  <si>
    <t>D00349</t>
  </si>
  <si>
    <t>D00350</t>
  </si>
  <si>
    <t>D00351</t>
  </si>
  <si>
    <t>D00352</t>
  </si>
  <si>
    <t>D00353</t>
  </si>
  <si>
    <t>D00354</t>
  </si>
  <si>
    <t>D00358</t>
  </si>
  <si>
    <t>D00359</t>
  </si>
  <si>
    <t>D00360</t>
  </si>
  <si>
    <t>D00361</t>
  </si>
  <si>
    <t>D00362</t>
  </si>
  <si>
    <t>D00363</t>
  </si>
  <si>
    <t>D00364</t>
  </si>
  <si>
    <t>D00365</t>
  </si>
  <si>
    <t>D00366</t>
  </si>
  <si>
    <t>D00367</t>
  </si>
  <si>
    <t>D00368</t>
  </si>
  <si>
    <t>D00373</t>
  </si>
  <si>
    <t>D00374</t>
  </si>
  <si>
    <t>D00389</t>
  </si>
  <si>
    <t>D00390</t>
  </si>
  <si>
    <t>D00391</t>
  </si>
  <si>
    <t>D00392</t>
  </si>
  <si>
    <t>D00393</t>
  </si>
  <si>
    <t>D00394</t>
  </si>
  <si>
    <t>D00395</t>
  </si>
  <si>
    <t>D00396</t>
  </si>
  <si>
    <t>D00397</t>
  </si>
  <si>
    <t>D00398</t>
  </si>
  <si>
    <t>D00399</t>
  </si>
  <si>
    <t>D00400</t>
  </si>
  <si>
    <t>D00401</t>
  </si>
  <si>
    <t>D00402</t>
  </si>
  <si>
    <t>D00403</t>
  </si>
  <si>
    <t>D00404</t>
  </si>
  <si>
    <t>D00405</t>
  </si>
  <si>
    <t>D00406</t>
  </si>
  <si>
    <t>D00407</t>
  </si>
  <si>
    <t>D00408</t>
  </si>
  <si>
    <t>D00409</t>
  </si>
  <si>
    <t>D00413</t>
  </si>
  <si>
    <t>D00414</t>
  </si>
  <si>
    <t>D00415</t>
  </si>
  <si>
    <t>D00416</t>
  </si>
  <si>
    <t>D00417</t>
  </si>
  <si>
    <t>D00418</t>
  </si>
  <si>
    <t>D00422</t>
  </si>
  <si>
    <t>D00424</t>
  </si>
  <si>
    <t>D00425</t>
  </si>
  <si>
    <t>D00426</t>
  </si>
  <si>
    <t>D00427</t>
  </si>
  <si>
    <t>D00431</t>
  </si>
  <si>
    <t>D00433</t>
  </si>
  <si>
    <t>D00434</t>
  </si>
  <si>
    <t>D00435</t>
  </si>
  <si>
    <t>D00436</t>
  </si>
  <si>
    <t>D00437</t>
  </si>
  <si>
    <t>D00438</t>
  </si>
  <si>
    <t>D00439</t>
  </si>
  <si>
    <t>D00440</t>
  </si>
  <si>
    <t>D00441</t>
  </si>
  <si>
    <t>D00442</t>
  </si>
  <si>
    <t>D00443</t>
  </si>
  <si>
    <t>D00444</t>
  </si>
  <si>
    <t>D00445</t>
  </si>
  <si>
    <t>D00447</t>
  </si>
  <si>
    <t>D00448</t>
  </si>
  <si>
    <t>D00449</t>
  </si>
  <si>
    <t>D00450</t>
  </si>
  <si>
    <t>D00452</t>
  </si>
  <si>
    <t>D00453</t>
  </si>
  <si>
    <t>D00454</t>
  </si>
  <si>
    <t>D00456</t>
  </si>
  <si>
    <t>D00457</t>
  </si>
  <si>
    <t>D00458</t>
  </si>
  <si>
    <t>D00459</t>
  </si>
  <si>
    <t>D00461</t>
  </si>
  <si>
    <t>D00462</t>
  </si>
  <si>
    <t>D00463</t>
  </si>
  <si>
    <t>D00467</t>
  </si>
  <si>
    <t>D00468</t>
  </si>
  <si>
    <t>D00469</t>
  </si>
  <si>
    <t>D00470</t>
  </si>
  <si>
    <t>D00471</t>
  </si>
  <si>
    <t>D00472</t>
  </si>
  <si>
    <t>D00473</t>
  </si>
  <si>
    <t>D00474</t>
  </si>
  <si>
    <t>D00476</t>
  </si>
  <si>
    <t>D00477</t>
  </si>
  <si>
    <t>D00478</t>
  </si>
  <si>
    <t>D00480</t>
  </si>
  <si>
    <t>D00481</t>
  </si>
  <si>
    <t>D00482</t>
  </si>
  <si>
    <t>D00484</t>
  </si>
  <si>
    <t>D00485</t>
  </si>
  <si>
    <t>D00486</t>
  </si>
  <si>
    <t>D00488</t>
  </si>
  <si>
    <t>D00489</t>
  </si>
  <si>
    <t>D00490</t>
  </si>
  <si>
    <t>D00491</t>
  </si>
  <si>
    <t>D00492</t>
  </si>
  <si>
    <t>D00493</t>
  </si>
  <si>
    <t>D00494</t>
  </si>
  <si>
    <t>D00495</t>
  </si>
  <si>
    <t>D00496</t>
  </si>
  <si>
    <t>D00497</t>
  </si>
  <si>
    <t>D00498</t>
  </si>
  <si>
    <t>D00500</t>
  </si>
  <si>
    <t>D00501</t>
  </si>
  <si>
    <t>D00502</t>
  </si>
  <si>
    <t>D00504</t>
  </si>
  <si>
    <t>D00505</t>
  </si>
  <si>
    <t>D00506</t>
  </si>
  <si>
    <t>D00507</t>
  </si>
  <si>
    <t>D00509</t>
  </si>
  <si>
    <t>D00510</t>
  </si>
  <si>
    <t>D00512</t>
  </si>
  <si>
    <t>D00513</t>
  </si>
  <si>
    <t>D00514</t>
  </si>
  <si>
    <t>D00515</t>
  </si>
  <si>
    <t>D00516</t>
  </si>
  <si>
    <t>D00517</t>
  </si>
  <si>
    <t>D00518</t>
  </si>
  <si>
    <t>D00519</t>
  </si>
  <si>
    <t>D00520</t>
  </si>
  <si>
    <t>D00521</t>
  </si>
  <si>
    <t>D00522</t>
  </si>
  <si>
    <t>D00523</t>
  </si>
  <si>
    <t>D00525</t>
  </si>
  <si>
    <t>D00526</t>
  </si>
  <si>
    <t>D00527</t>
  </si>
  <si>
    <t>D00529</t>
  </si>
  <si>
    <t>D00530</t>
  </si>
  <si>
    <t>D00531</t>
  </si>
  <si>
    <t>D00533</t>
  </si>
  <si>
    <t>D00866</t>
  </si>
  <si>
    <t>D00867</t>
  </si>
  <si>
    <t>D00868</t>
  </si>
  <si>
    <t>D00869</t>
  </si>
  <si>
    <t>D00870</t>
  </si>
  <si>
    <t>D00871</t>
  </si>
  <si>
    <t>D00872</t>
  </si>
  <si>
    <t>D00873</t>
  </si>
  <si>
    <t>D00874</t>
  </si>
  <si>
    <t>D00875</t>
  </si>
  <si>
    <t>D00876</t>
  </si>
  <si>
    <t>D00877</t>
  </si>
  <si>
    <t>D00878</t>
  </si>
  <si>
    <t>D00879</t>
  </si>
  <si>
    <t>D00880</t>
  </si>
  <si>
    <t>D00881</t>
  </si>
  <si>
    <t>D00882</t>
  </si>
  <si>
    <t>D00883</t>
  </si>
  <si>
    <t>D00884</t>
  </si>
  <si>
    <t>D00885</t>
  </si>
  <si>
    <t>D00886</t>
  </si>
  <si>
    <t>D00887</t>
  </si>
  <si>
    <t>D00888</t>
  </si>
  <si>
    <t>D00889</t>
  </si>
  <si>
    <t>D00890</t>
  </si>
  <si>
    <t>D00891</t>
  </si>
  <si>
    <t>D00892</t>
  </si>
  <si>
    <t>D00893</t>
  </si>
  <si>
    <t>D00894</t>
  </si>
  <si>
    <t>D00896</t>
  </si>
  <si>
    <t>D00897</t>
  </si>
  <si>
    <t>D00898</t>
  </si>
  <si>
    <t>D00899</t>
  </si>
  <si>
    <t>D00900</t>
  </si>
  <si>
    <t>D00901</t>
  </si>
  <si>
    <t>D00903</t>
  </si>
  <si>
    <t>D00904</t>
  </si>
  <si>
    <t>D00905</t>
  </si>
  <si>
    <t>D00906</t>
  </si>
  <si>
    <t>D00907</t>
  </si>
  <si>
    <t>D00908</t>
  </si>
  <si>
    <t>D00909</t>
  </si>
  <si>
    <t>D00910</t>
  </si>
  <si>
    <t>D00911</t>
  </si>
  <si>
    <t>D00912</t>
  </si>
  <si>
    <t>D00913</t>
  </si>
  <si>
    <t>D00914</t>
  </si>
  <si>
    <t>D00915</t>
  </si>
  <si>
    <t>D00916</t>
  </si>
  <si>
    <t>D00917</t>
  </si>
  <si>
    <t>D00918</t>
  </si>
  <si>
    <t>D00919</t>
  </si>
  <si>
    <t>D00920</t>
  </si>
  <si>
    <t>D00921</t>
  </si>
  <si>
    <t>D00922</t>
  </si>
  <si>
    <t>D00923</t>
  </si>
  <si>
    <t>D00924</t>
  </si>
  <si>
    <t>D00925</t>
  </si>
  <si>
    <t>D00926</t>
  </si>
  <si>
    <t>D00927</t>
  </si>
  <si>
    <t>D00928</t>
  </si>
  <si>
    <t>D00929</t>
  </si>
  <si>
    <t>D00930</t>
  </si>
  <si>
    <t>D00931</t>
  </si>
  <si>
    <t>D00932</t>
  </si>
  <si>
    <t>D00933</t>
  </si>
  <si>
    <t>D00934</t>
  </si>
  <si>
    <t>D00935</t>
  </si>
  <si>
    <t>D00936</t>
  </si>
  <si>
    <t>D00937</t>
  </si>
  <si>
    <t>D00938</t>
  </si>
  <si>
    <t>D00939</t>
  </si>
  <si>
    <t>D00940</t>
  </si>
  <si>
    <t>D00941</t>
  </si>
  <si>
    <t>D00955</t>
  </si>
  <si>
    <t>D00956</t>
  </si>
  <si>
    <t>D00957</t>
  </si>
  <si>
    <t>D00958</t>
  </si>
  <si>
    <t>D00959</t>
  </si>
  <si>
    <t>D00960</t>
  </si>
  <si>
    <t>D00961</t>
  </si>
  <si>
    <t>D00971</t>
  </si>
  <si>
    <t>D00972</t>
  </si>
  <si>
    <t>D00973</t>
  </si>
  <si>
    <t>D00974</t>
  </si>
  <si>
    <t>D00975</t>
  </si>
  <si>
    <t>D00976</t>
  </si>
  <si>
    <t>D00977</t>
  </si>
  <si>
    <t>D00978</t>
  </si>
  <si>
    <t>D00979</t>
  </si>
  <si>
    <t>D00985</t>
  </si>
  <si>
    <t>D00986</t>
  </si>
  <si>
    <t>D00987</t>
  </si>
  <si>
    <t>D00988</t>
  </si>
  <si>
    <t>D00989</t>
  </si>
  <si>
    <t>D00992</t>
  </si>
  <si>
    <t>D00993</t>
  </si>
  <si>
    <t>D00994</t>
  </si>
  <si>
    <t>D00995</t>
  </si>
  <si>
    <t>D00996</t>
  </si>
  <si>
    <t>D00998</t>
  </si>
  <si>
    <t>D00999</t>
  </si>
  <si>
    <t>D01000</t>
  </si>
  <si>
    <t>D01001</t>
  </si>
  <si>
    <t>D01002</t>
  </si>
  <si>
    <t>D01003</t>
  </si>
  <si>
    <t>D01004</t>
  </si>
  <si>
    <t>D01005</t>
  </si>
  <si>
    <t>D01006</t>
  </si>
  <si>
    <t>D01007</t>
  </si>
  <si>
    <t>D01008</t>
  </si>
  <si>
    <t>D01009</t>
  </si>
  <si>
    <t>D01010</t>
  </si>
  <si>
    <t>D01011</t>
  </si>
  <si>
    <t>D01012</t>
  </si>
  <si>
    <t>D01013</t>
  </si>
  <si>
    <t>D01014</t>
  </si>
  <si>
    <t>D01015</t>
  </si>
  <si>
    <t>D01016</t>
  </si>
  <si>
    <t>D01017</t>
  </si>
  <si>
    <t>D01018</t>
  </si>
  <si>
    <t>D01019</t>
  </si>
  <si>
    <t>D01020</t>
  </si>
  <si>
    <t>D01021</t>
  </si>
  <si>
    <t>D01022</t>
  </si>
  <si>
    <t>D01024</t>
  </si>
  <si>
    <t>D01025</t>
  </si>
  <si>
    <t>D01026</t>
  </si>
  <si>
    <t>D01027</t>
  </si>
  <si>
    <t>D01028</t>
  </si>
  <si>
    <t>D01029</t>
  </si>
  <si>
    <t>D01030</t>
  </si>
  <si>
    <t>D01031</t>
  </si>
  <si>
    <t>D01032</t>
  </si>
  <si>
    <t>D01033</t>
  </si>
  <si>
    <t>D01034</t>
  </si>
  <si>
    <t>D01035</t>
  </si>
  <si>
    <t>D01036</t>
  </si>
  <si>
    <t>D01037</t>
  </si>
  <si>
    <t>D01038</t>
  </si>
  <si>
    <t>D01039</t>
  </si>
  <si>
    <t>D01040</t>
  </si>
  <si>
    <t>D01041</t>
  </si>
  <si>
    <t>D01042</t>
  </si>
  <si>
    <t>D01043</t>
  </si>
  <si>
    <t>D01057</t>
  </si>
  <si>
    <t>D01058</t>
  </si>
  <si>
    <t>D01059</t>
  </si>
  <si>
    <t>D01060</t>
  </si>
  <si>
    <t>D01061</t>
  </si>
  <si>
    <t>D01069</t>
  </si>
  <si>
    <t>D01070</t>
  </si>
  <si>
    <t>D01073</t>
  </si>
  <si>
    <t>D01075</t>
  </si>
  <si>
    <t>D01076</t>
  </si>
  <si>
    <t>D01077</t>
  </si>
  <si>
    <t>D01079</t>
  </si>
  <si>
    <t>D01080</t>
  </si>
  <si>
    <t>D01081</t>
  </si>
  <si>
    <t>D01082</t>
  </si>
  <si>
    <t>D01083</t>
  </si>
  <si>
    <t>D01085</t>
  </si>
  <si>
    <t>D01086</t>
  </si>
  <si>
    <t>D01087</t>
  </si>
  <si>
    <t>D01088</t>
  </si>
  <si>
    <t>D01090</t>
  </si>
  <si>
    <t>D01106</t>
  </si>
  <si>
    <t>D01107</t>
  </si>
  <si>
    <t>D01108</t>
  </si>
  <si>
    <t>D01109</t>
  </si>
  <si>
    <t>D01110</t>
  </si>
  <si>
    <t>D01111</t>
  </si>
  <si>
    <t>D01112</t>
  </si>
  <si>
    <t>D01113</t>
  </si>
  <si>
    <t>D01114</t>
  </si>
  <si>
    <t>D01115</t>
  </si>
  <si>
    <t>D01116</t>
  </si>
  <si>
    <t>D01124</t>
  </si>
  <si>
    <t>D01126</t>
  </si>
  <si>
    <t>D01127</t>
  </si>
  <si>
    <t>D01131</t>
  </si>
  <si>
    <t>D01132</t>
  </si>
  <si>
    <t>D01133</t>
  </si>
  <si>
    <t>D01134</t>
  </si>
  <si>
    <t>D01135</t>
  </si>
  <si>
    <t>D01136</t>
  </si>
  <si>
    <t>D01176</t>
  </si>
  <si>
    <t>D01177</t>
  </si>
  <si>
    <t>D01178</t>
  </si>
  <si>
    <t>D01179</t>
  </si>
  <si>
    <t>D01180</t>
  </si>
  <si>
    <t>D01181</t>
  </si>
  <si>
    <t>D01182</t>
  </si>
  <si>
    <t>D01183</t>
  </si>
  <si>
    <t>D01184</t>
  </si>
  <si>
    <t>D01185</t>
  </si>
  <si>
    <t>D01186</t>
  </si>
  <si>
    <t>D01187</t>
  </si>
  <si>
    <t>D01188</t>
  </si>
  <si>
    <t>D01189</t>
  </si>
  <si>
    <t>D01190</t>
  </si>
  <si>
    <t>D01191</t>
  </si>
  <si>
    <t>D01192</t>
  </si>
  <si>
    <t>D01193</t>
  </si>
  <si>
    <t>D01194</t>
  </si>
  <si>
    <t>D01195</t>
  </si>
  <si>
    <t>D01196</t>
  </si>
  <si>
    <t>D01197</t>
  </si>
  <si>
    <t>D01198</t>
  </si>
  <si>
    <t>D01199</t>
  </si>
  <si>
    <t>D01200</t>
  </si>
  <si>
    <t>D01201</t>
  </si>
  <si>
    <t>D01223</t>
  </si>
  <si>
    <t>D01224</t>
  </si>
  <si>
    <t>D01225</t>
  </si>
  <si>
    <t>D01226</t>
  </si>
  <si>
    <t>D01227</t>
  </si>
  <si>
    <t>D01228</t>
  </si>
  <si>
    <t>D01229</t>
  </si>
  <si>
    <t>D01230</t>
  </si>
  <si>
    <t>D01231</t>
  </si>
  <si>
    <t>D01232</t>
  </si>
  <si>
    <t>D01233</t>
  </si>
  <si>
    <t>D01234</t>
  </si>
  <si>
    <t>D01251</t>
  </si>
  <si>
    <t>D01252</t>
  </si>
  <si>
    <t>D01253</t>
  </si>
  <si>
    <t>D01254</t>
  </si>
  <si>
    <t>D01255</t>
  </si>
  <si>
    <t>D01256</t>
  </si>
  <si>
    <t>D01263</t>
  </si>
  <si>
    <t>D01264</t>
  </si>
  <si>
    <t>D01265</t>
  </si>
  <si>
    <t>D01266</t>
  </si>
  <si>
    <t>D01267</t>
  </si>
  <si>
    <t>D01268</t>
  </si>
  <si>
    <t>D01269</t>
  </si>
  <si>
    <t>D01270</t>
  </si>
  <si>
    <t>D01271</t>
  </si>
  <si>
    <t>D01329</t>
  </si>
  <si>
    <t>D01330</t>
  </si>
  <si>
    <t>D01331</t>
  </si>
  <si>
    <t>D01332</t>
  </si>
  <si>
    <t>D01333</t>
  </si>
  <si>
    <t>D01334</t>
  </si>
  <si>
    <t>D01335</t>
  </si>
  <si>
    <t>D01336</t>
  </si>
  <si>
    <t>D01352</t>
  </si>
  <si>
    <t>D01353</t>
  </si>
  <si>
    <t>D01354</t>
  </si>
  <si>
    <t>D01355</t>
  </si>
  <si>
    <t>D01356</t>
  </si>
  <si>
    <t>D01357</t>
  </si>
  <si>
    <t>D01358</t>
  </si>
  <si>
    <t>D01359</t>
  </si>
  <si>
    <t>D01360</t>
  </si>
  <si>
    <t>D01362</t>
  </si>
  <si>
    <t>D01363</t>
  </si>
  <si>
    <t>D01364</t>
  </si>
  <si>
    <t>D01365</t>
  </si>
  <si>
    <t>D01366</t>
  </si>
  <si>
    <t>D01367</t>
  </si>
  <si>
    <t>D01368</t>
  </si>
  <si>
    <t>D01369</t>
  </si>
  <si>
    <t>D01374</t>
  </si>
  <si>
    <t>D01375</t>
  </si>
  <si>
    <t>D01376</t>
  </si>
  <si>
    <t>·</t>
  </si>
  <si>
    <t>D05852</t>
  </si>
  <si>
    <t>D05853</t>
  </si>
  <si>
    <t>D05854</t>
  </si>
  <si>
    <t>D05855</t>
  </si>
  <si>
    <t>D05856</t>
  </si>
  <si>
    <t>D05857</t>
  </si>
  <si>
    <t>D05858</t>
  </si>
  <si>
    <t>D05859</t>
  </si>
  <si>
    <t>D05860</t>
  </si>
  <si>
    <t>D05861</t>
  </si>
  <si>
    <t>D05862</t>
  </si>
  <si>
    <t>D05863</t>
  </si>
  <si>
    <t>D05864</t>
  </si>
  <si>
    <t>D05865</t>
  </si>
  <si>
    <t>D05866</t>
  </si>
  <si>
    <t>D05867</t>
  </si>
  <si>
    <t>D05868</t>
  </si>
  <si>
    <t>D05869</t>
  </si>
  <si>
    <t>D05870</t>
  </si>
  <si>
    <t>D05871</t>
  </si>
  <si>
    <t>D05872</t>
  </si>
  <si>
    <t>D05873</t>
  </si>
  <si>
    <t>D05874</t>
  </si>
  <si>
    <t>D05875</t>
  </si>
  <si>
    <t>D05876</t>
  </si>
  <si>
    <t>D05877</t>
  </si>
  <si>
    <t>D05878</t>
  </si>
  <si>
    <t>D05879</t>
  </si>
  <si>
    <t>D05880</t>
  </si>
  <si>
    <t>D05881</t>
  </si>
  <si>
    <t>D05882</t>
  </si>
  <si>
    <t>D05883</t>
  </si>
  <si>
    <t>D05884</t>
  </si>
  <si>
    <t>D05885</t>
  </si>
  <si>
    <t>D05886</t>
  </si>
  <si>
    <t>D05887</t>
  </si>
  <si>
    <t>D05888</t>
  </si>
  <si>
    <t>D05889</t>
  </si>
  <si>
    <t>D05894</t>
  </si>
  <si>
    <t>D05895</t>
  </si>
  <si>
    <t>D05896</t>
  </si>
  <si>
    <t>D05897</t>
  </si>
  <si>
    <t>D05898</t>
  </si>
  <si>
    <t>D05899</t>
  </si>
  <si>
    <t>D05900</t>
  </si>
  <si>
    <t>D05901</t>
  </si>
  <si>
    <t>대</t>
  </si>
  <si>
    <t>본</t>
  </si>
  <si>
    <t>조</t>
  </si>
  <si>
    <t>면</t>
  </si>
  <si>
    <t>매입콘센트</t>
  </si>
  <si>
    <t>220V 접2구</t>
  </si>
  <si>
    <t>개소</t>
  </si>
  <si>
    <t>2개용 H75(3)㎜</t>
  </si>
  <si>
    <t>콘센트박스</t>
  </si>
  <si>
    <t>F-CV케이블</t>
  </si>
  <si>
    <t>0.6/1KV 3C 4㎟</t>
  </si>
  <si>
    <t>등</t>
  </si>
  <si>
    <t>주요 물량 산출서</t>
    <phoneticPr fontId="7" type="noConversion"/>
  </si>
  <si>
    <t>공사명:</t>
    <phoneticPr fontId="7" type="noConversion"/>
  </si>
  <si>
    <t>품명</t>
    <phoneticPr fontId="7" type="noConversion"/>
  </si>
  <si>
    <t>규격</t>
    <phoneticPr fontId="7" type="noConversion"/>
  </si>
  <si>
    <t>단위</t>
    <phoneticPr fontId="7" type="noConversion"/>
  </si>
  <si>
    <t>수량</t>
    <phoneticPr fontId="7" type="noConversion"/>
  </si>
  <si>
    <t>산출근거</t>
    <phoneticPr fontId="7" type="noConversion"/>
  </si>
  <si>
    <t>내역도면번호</t>
    <phoneticPr fontId="7" type="noConversion"/>
  </si>
  <si>
    <t>비고</t>
    <phoneticPr fontId="7" type="noConversion"/>
  </si>
  <si>
    <t>공사수립계획서</t>
    <phoneticPr fontId="23" type="noConversion"/>
  </si>
  <si>
    <t>업 체 명</t>
    <phoneticPr fontId="23" type="noConversion"/>
  </si>
  <si>
    <t>대양이엔씨</t>
    <phoneticPr fontId="7" type="noConversion"/>
  </si>
  <si>
    <t xml:space="preserve">일 시 </t>
    <phoneticPr fontId="23" type="noConversion"/>
  </si>
  <si>
    <t>공 사 명</t>
    <phoneticPr fontId="23" type="noConversion"/>
  </si>
  <si>
    <t>공사 업체</t>
    <phoneticPr fontId="23" type="noConversion"/>
  </si>
  <si>
    <t>■ 공사기간 : 입찰시스템 계약기간에 준함</t>
    <phoneticPr fontId="23" type="noConversion"/>
  </si>
  <si>
    <t>■ 시공방법</t>
    <phoneticPr fontId="23" type="noConversion"/>
  </si>
  <si>
    <t>■ 위험작업 유무 :  고소작업.전기작업</t>
    <phoneticPr fontId="23" type="noConversion"/>
  </si>
  <si>
    <t xml:space="preserve">■ 안전확보 방안 : </t>
    <phoneticPr fontId="23" type="noConversion"/>
  </si>
  <si>
    <t>-. 고소작업시 2인1조 작업</t>
    <phoneticPr fontId="23" type="noConversion"/>
  </si>
  <si>
    <t>-. 천정작업시 안전로프 설치</t>
    <phoneticPr fontId="23" type="noConversion"/>
  </si>
  <si>
    <t>-. 분전반 결선시 위험표지판 설치 및 차단기 락 설치</t>
    <phoneticPr fontId="23" type="noConversion"/>
  </si>
  <si>
    <t xml:space="preserve">■ 주요 사용물질 : </t>
    <phoneticPr fontId="23" type="noConversion"/>
  </si>
  <si>
    <t>대양이엔씨</t>
    <phoneticPr fontId="23" type="noConversion"/>
  </si>
  <si>
    <t>성명 :  홍정운</t>
    <phoneticPr fontId="23" type="noConversion"/>
  </si>
  <si>
    <t>(인감/서명)</t>
    <phoneticPr fontId="23" type="noConversion"/>
  </si>
  <si>
    <t>㈜ S&amp;I Corp.</t>
    <phoneticPr fontId="23" type="noConversion"/>
  </si>
  <si>
    <t>서명</t>
    <phoneticPr fontId="23" type="noConversion"/>
  </si>
  <si>
    <t xml:space="preserve"> 견적일:</t>
    <phoneticPr fontId="13" type="noConversion"/>
  </si>
  <si>
    <t>주 식 회 사 대 양 이 엔 씨 대 표 박 찬 현</t>
    <phoneticPr fontId="7" type="noConversion"/>
  </si>
  <si>
    <t>대전광역시 대덕구 아리랑로 125번길 11</t>
    <phoneticPr fontId="7" type="noConversion"/>
  </si>
  <si>
    <t>전화 : 042-628-8301 /FAX : 042-628-8304</t>
    <phoneticPr fontId="7" type="noConversion"/>
  </si>
  <si>
    <t>(주)에스앤아이코퍼레이션</t>
    <phoneticPr fontId="7" type="noConversion"/>
  </si>
  <si>
    <t>▼할증율</t>
    <phoneticPr fontId="7" type="noConversion"/>
  </si>
  <si>
    <t>㎥</t>
  </si>
  <si>
    <t>제 2호표  인력 터파기(보통토사)</t>
  </si>
  <si>
    <t>1m 이상 ~ 2m 미만</t>
  </si>
  <si>
    <t>제 2호표  인력 터파기(경질토사)</t>
  </si>
  <si>
    <t>제 2호표  인력 터파기(고사점토 및 자갈섞인 토사)</t>
  </si>
  <si>
    <t>제 2호표  인력 터파기(호박돌 섞인 토사)</t>
  </si>
  <si>
    <t>제 2호표  인력 터파기(연암 및 풍화암)</t>
  </si>
  <si>
    <t>제 2호표  인력 터파기(보통암)</t>
  </si>
  <si>
    <t>제 2호표  인력 터파기(경암)</t>
  </si>
  <si>
    <t>제 1호표  가전기구 설치</t>
  </si>
  <si>
    <t>환풍기(벽면)</t>
  </si>
  <si>
    <t>제 1호표  스위치류</t>
  </si>
  <si>
    <t>텀플러스위치 단로용</t>
  </si>
  <si>
    <t>제 5호표  스위치류</t>
  </si>
  <si>
    <t>푸시버튼</t>
  </si>
  <si>
    <t>제 7호표  스위치류</t>
  </si>
  <si>
    <t>리모콘셀렉터스위치6L이하</t>
  </si>
  <si>
    <t>100W 이하</t>
  </si>
  <si>
    <t>200W 이하</t>
  </si>
  <si>
    <t>제 4호표  POLE LIGHT 인력설치(1등용)</t>
  </si>
  <si>
    <t>가로등 높이 8m 이하</t>
  </si>
  <si>
    <t>제 5호표  POLE LIGHT 인력설치(1등용)</t>
  </si>
  <si>
    <t>가로등 높이 9m 이하</t>
  </si>
  <si>
    <t>제 6호표  POLE LIGHT 인력설치(1등용)</t>
  </si>
  <si>
    <t>가로등 높이 10m 이하</t>
  </si>
  <si>
    <t>구경 50㎜</t>
  </si>
  <si>
    <t>구경 75㎜</t>
  </si>
  <si>
    <t>구경 100㎜</t>
  </si>
  <si>
    <t>구경 150㎜</t>
  </si>
  <si>
    <t>구경 200㎜</t>
  </si>
  <si>
    <t>구경 250㎜</t>
  </si>
  <si>
    <t>구경 300㎜</t>
  </si>
  <si>
    <t>구경 350㎜</t>
  </si>
  <si>
    <t>구경 400㎜</t>
  </si>
  <si>
    <t>제 1호표  배관용 구멍뚫기(코어드릴 사용기준)-두께 150㎜ 이하, 바닥</t>
  </si>
  <si>
    <t>구경 25㎜</t>
  </si>
  <si>
    <t>제 2호표  배관용 구멍뚫기(코어드릴 사용기준)-두께 150㎜ 이하, 바닥</t>
  </si>
  <si>
    <t>제 3호표  배관용 구멍뚫기(코어드릴 사용기준)-두께 150㎜ 이하, 바닥</t>
  </si>
  <si>
    <t>제 4호표  배관용 구멍뚫기(코어드릴 사용기준)-두께 150㎜ 이하, 바닥</t>
  </si>
  <si>
    <t>제 5호표  배관용 구멍뚫기(코어드릴 사용기준)-두께 150㎜ 이하, 바닥</t>
  </si>
  <si>
    <t>제 6호표  배관용 구멍뚫기(코어드릴 사용기준)-두께 150㎜ 이하, 바닥</t>
  </si>
  <si>
    <t>제 7호표  배관용 구멍뚫기(코어드릴 사용기준)-두께 150㎜ 이하, 바닥</t>
  </si>
  <si>
    <t>제 8호표  배관용 구멍뚫기(코어드릴 사용기준)-두께 150㎜ 이하, 바닥</t>
  </si>
  <si>
    <t>제 9호표  배관용 구멍뚫기(코어드릴 사용기준)-두께 150㎜ 이하, 바닥</t>
  </si>
  <si>
    <t>제 10호표  배관용 구멍뚫기(코어드릴 사용기준)-두께 150㎜ 이하, 바닥</t>
  </si>
  <si>
    <t>제 10호표  음향 및 영상 기기 신설(TV수상기(VideoMonitor))</t>
  </si>
  <si>
    <t>설치</t>
  </si>
  <si>
    <t>시험 및 측정</t>
  </si>
  <si>
    <t>제 1호표  음향 및 영상 부대시설 공사(천장타공)</t>
  </si>
  <si>
    <t>8인치 이하</t>
  </si>
  <si>
    <t>제 1호표  음향 및 영상 부대시설 공사(스크린)</t>
  </si>
  <si>
    <t>전동 120인치 이하</t>
  </si>
  <si>
    <t>제 1호표  배관용 바닥 구멍뚫기(코어드릴 사용기준)</t>
  </si>
  <si>
    <t>두께 150㎜ 이하, 구경 25㎜</t>
  </si>
  <si>
    <t>제 2호표  배관용 바닥 구멍뚫기(코어드릴 사용기준)</t>
  </si>
  <si>
    <t>두께 150㎜ 이하, 구경 50㎜</t>
  </si>
  <si>
    <t>두께 300㎜ 이하, 구경 25㎜</t>
  </si>
  <si>
    <t>두께 300㎜ 이하, 구경 50㎜</t>
  </si>
  <si>
    <t>제 1호표  무정전 전원장치(UPS) 점검</t>
  </si>
  <si>
    <t>배터리 성능점검</t>
  </si>
  <si>
    <t>기본</t>
    <phoneticPr fontId="5" type="noConversion"/>
  </si>
  <si>
    <t>%</t>
    <phoneticPr fontId="5" type="noConversion"/>
  </si>
  <si>
    <t>F-CV케이블</t>
    <phoneticPr fontId="5" type="noConversion"/>
  </si>
  <si>
    <t>0.6/1KV 3C 4㎟</t>
    <phoneticPr fontId="5" type="noConversion"/>
  </si>
  <si>
    <t>M</t>
    <phoneticPr fontId="5" type="noConversion"/>
  </si>
  <si>
    <t> 노무비*1.01%</t>
    <phoneticPr fontId="23" type="noConversion"/>
  </si>
  <si>
    <t>D00079</t>
  </si>
  <si>
    <t>D00080</t>
  </si>
  <si>
    <t>D00081</t>
  </si>
  <si>
    <t>D00082</t>
  </si>
  <si>
    <t>D00083</t>
  </si>
  <si>
    <t>D00084</t>
  </si>
  <si>
    <t>D00085</t>
  </si>
  <si>
    <t>D00086</t>
  </si>
  <si>
    <t>D00087</t>
  </si>
  <si>
    <t>D00088</t>
  </si>
  <si>
    <t>D00089</t>
  </si>
  <si>
    <t>D00090</t>
  </si>
  <si>
    <t>D00091</t>
  </si>
  <si>
    <t>D00092</t>
  </si>
  <si>
    <t>D00093</t>
  </si>
  <si>
    <t>D00094</t>
  </si>
  <si>
    <t>D00095</t>
  </si>
  <si>
    <t>D00096</t>
  </si>
  <si>
    <t>D00097</t>
  </si>
  <si>
    <t>D00098</t>
  </si>
  <si>
    <t>D00099</t>
  </si>
  <si>
    <t>D00100</t>
  </si>
  <si>
    <t>D00101</t>
  </si>
  <si>
    <t>D00102</t>
  </si>
  <si>
    <t>D00152</t>
  </si>
  <si>
    <t>D00153</t>
  </si>
  <si>
    <t>D00154</t>
  </si>
  <si>
    <t>D00155</t>
  </si>
  <si>
    <t>D01117</t>
  </si>
  <si>
    <t>D01118</t>
  </si>
  <si>
    <t>D01119</t>
  </si>
  <si>
    <t>D01128</t>
  </si>
  <si>
    <t>D01129</t>
  </si>
  <si>
    <t>D01130</t>
  </si>
  <si>
    <t>D01144</t>
  </si>
  <si>
    <t>D01145</t>
  </si>
  <si>
    <t>D01146</t>
  </si>
  <si>
    <t>D01147</t>
  </si>
  <si>
    <t>D01148</t>
  </si>
  <si>
    <t>D01149</t>
  </si>
  <si>
    <t>D01150</t>
  </si>
  <si>
    <t>D01151</t>
  </si>
  <si>
    <t>D01152</t>
  </si>
  <si>
    <t>D00962</t>
  </si>
  <si>
    <t>D00963</t>
  </si>
  <si>
    <t>D00964</t>
  </si>
  <si>
    <t>D00965</t>
  </si>
  <si>
    <t>D00966</t>
  </si>
  <si>
    <t>D00967</t>
  </si>
  <si>
    <t>D00968</t>
  </si>
  <si>
    <t>D00984</t>
  </si>
  <si>
    <t>D01153</t>
  </si>
  <si>
    <t>D01154</t>
  </si>
  <si>
    <t>D02349</t>
  </si>
  <si>
    <t>D02350</t>
  </si>
  <si>
    <t>D02351</t>
  </si>
  <si>
    <t>D02352</t>
  </si>
  <si>
    <t>D02353</t>
  </si>
  <si>
    <t>D02354</t>
  </si>
  <si>
    <t>D02355</t>
  </si>
  <si>
    <t>D01238</t>
  </si>
  <si>
    <t>D01239</t>
  </si>
  <si>
    <t>D01241</t>
  </si>
  <si>
    <t>D01259</t>
  </si>
  <si>
    <t>D01260</t>
  </si>
  <si>
    <t>D01261</t>
  </si>
  <si>
    <t>D01361</t>
  </si>
  <si>
    <t>D03344</t>
  </si>
  <si>
    <t>D03345</t>
  </si>
  <si>
    <t>D03346</t>
  </si>
  <si>
    <t>D03087</t>
  </si>
  <si>
    <t>D03088</t>
  </si>
  <si>
    <t>D03089</t>
  </si>
  <si>
    <t>D03090</t>
  </si>
  <si>
    <t>제 5호표  금속 덕트 설치(단면적)200 X 100㎜ 이하(200㎠)</t>
  </si>
  <si>
    <t>제 6호표  금속 덕트 설치(단면적)300 X 100㎜ 이하(300㎠)</t>
  </si>
  <si>
    <t>제 7호표  금속 덕트 설치(단면적)400 X 150㎜ 이하(600㎠)</t>
  </si>
  <si>
    <t>제 8호표  금속 덕트 설치(단면적)500 X 200㎜ 이하(1,000㎠)</t>
  </si>
  <si>
    <t>제 3호표  금속 덕트 설치(단면적)100X 100㎜ 이하(100㎠)</t>
  </si>
  <si>
    <t>제 4호표  금속 덕트 설치(단면적)150 X 100㎜ 이하(150㎠)</t>
  </si>
  <si>
    <t>제 1호표  금속 덕트 설치(단면적)60 X 30㎜ 이하(18㎠)</t>
  </si>
  <si>
    <t>제 2호표  금속 덕트 설치(단면적)100 X 50㎜ 이하(50㎠)</t>
  </si>
  <si>
    <t>제 2호표  케이블 트레이 및 랙 설치(철제)30,000 ㎟ 이하</t>
  </si>
  <si>
    <t>제 3호표  케이블 트레이 및 랙 설치(철제)50,000 ㎟ 이하</t>
  </si>
  <si>
    <t>제 4호표  케이블 트레이 및 랙 설치(철제)60,000 ㎟ 이하</t>
  </si>
  <si>
    <t>제 5호표  케이블 트레이 및 랙 설치(철제)80,000 ㎟ 이하</t>
  </si>
  <si>
    <t>제 6호표  케이블 트레이 및 랙 설치(철제)90,000 ㎟ 이하</t>
  </si>
  <si>
    <t>제 7호표  케이블 트레이 및 랙 설치(철제)120,000 ㎟ 이하</t>
  </si>
  <si>
    <t>제 1호표  PVC 및 금속 몰딩 설치소형 210㎟ 이하</t>
  </si>
  <si>
    <t>제 1호표  레이스웨이 설치(40×40) 1,600 이하</t>
  </si>
  <si>
    <t>제 5호표  접지선 매설240㎟ 이하</t>
  </si>
  <si>
    <t>제 6호표  접지선 매설240㎟ 초과</t>
  </si>
  <si>
    <t>제 2호표  합성수지 파형관 설치30㎜ 이하</t>
  </si>
  <si>
    <t>제 3호표  합성수지 파형관 설치50㎜ 이하</t>
  </si>
  <si>
    <t>제 4호표  합성수지 파형관 설치80㎜ 이하</t>
  </si>
  <si>
    <t>제 5호표  합성수지 파형관 설치100㎜ 이하</t>
  </si>
  <si>
    <t>제 6호표  합성수지 파형관 설치125㎜ 이하</t>
  </si>
  <si>
    <t>제 7호표  합성수지 파형관 설치150㎜ 이하</t>
  </si>
  <si>
    <t>제 8호표  합성수지 파형관 설치175㎜ 이하</t>
  </si>
  <si>
    <t>제 9호표  합성수지 파형관 설치200㎜ 이하</t>
  </si>
  <si>
    <t>제 1호표  600V 이하 전력 케이블 단말처리16㎟ 이하 1C</t>
  </si>
  <si>
    <t>제 2호표  600V 이하 전력 케이블 단말처리25㎟ 이하 1C</t>
  </si>
  <si>
    <t>제 3호표  600V 이하 전력 케이블 단말처리35㎟ 이하 1C</t>
  </si>
  <si>
    <t>제 4호표  600V 이하 전력 케이블 단말처리50㎟ 이하 1C</t>
  </si>
  <si>
    <t>제 5호표  600V 이하 전력 케이블 단말처리70㎟ 이하 1C</t>
  </si>
  <si>
    <t>제 6호표  600V 이하 전력 케이블 단말처리95㎟ 이하 1C</t>
  </si>
  <si>
    <t>제 7호표  600V 이하 전력 케이블 단말처리120㎟ 이하 1C</t>
  </si>
  <si>
    <t>제 8호표  600V 이하 전력 케이블 단말처리185㎟ 이하 1C</t>
  </si>
  <si>
    <t>제 9호표  600V 이하 전력 케이블 단말처리240㎟ 이하 1C</t>
  </si>
  <si>
    <t>제 10호표  600V 이하 전력 케이블 단말처리300㎟ 이하 1C</t>
  </si>
  <si>
    <t>제 11호표  600V 이하 전력 케이블 단말처리400㎟ 이하 1C</t>
  </si>
  <si>
    <t>제 12호표  600V 이하 전력 케이블 단말처리500㎟ 이하 1C</t>
  </si>
  <si>
    <t>제 2호표  합성수지 전선관16㎜이하</t>
  </si>
  <si>
    <t>제 3호표  합성수지 전선관22㎜이하</t>
  </si>
  <si>
    <t>제 4호표  합성수지 전선관28㎜이하</t>
  </si>
  <si>
    <t>제 5호표  합성수지 전선관36㎜이하</t>
  </si>
  <si>
    <t>제 6호표  합성수지 전선관42㎜이하</t>
  </si>
  <si>
    <t>제 7호표  합성수지 전선관54㎜이하</t>
  </si>
  <si>
    <t>제 8호표  합성수지 전선관70㎜이하</t>
  </si>
  <si>
    <t>제 9호표  합성수지 전선관82㎜이하</t>
  </si>
  <si>
    <t>제 11호표  합성수지 전선관104㎜이하</t>
  </si>
  <si>
    <t>제 1호표  후강 전선관16㎜이하</t>
  </si>
  <si>
    <t>제 2호표  후강 전선관22㎜이하</t>
  </si>
  <si>
    <t>제 3호표  후강 전선관28㎜이하</t>
  </si>
  <si>
    <t>제 4호표  후강 전선관36㎜이하</t>
  </si>
  <si>
    <t>제 5호표  후강 전선관42㎜이하</t>
  </si>
  <si>
    <t>제 6호표  후강 전선관54㎜이하</t>
  </si>
  <si>
    <t>제 7호표  후강 전선관70㎜이하</t>
  </si>
  <si>
    <t>제 8호표  후강 전선관82㎜이하</t>
  </si>
  <si>
    <t>제 10호표  후강 전선관104㎜이하</t>
  </si>
  <si>
    <t>제 1호표  금속가요 전선관16㎜이하</t>
  </si>
  <si>
    <t>제 2호표  금속가요 전선관22㎜이하</t>
  </si>
  <si>
    <t>제 3호표  금속가요 전선관28㎜이하</t>
  </si>
  <si>
    <t>제 4호표  금속가요 전선관36㎜이하</t>
  </si>
  <si>
    <t>제 5호표  금속가요 전선관42㎜이하</t>
  </si>
  <si>
    <t>제 6호표  금속가요 전선관54㎜이하</t>
  </si>
  <si>
    <t>제 7호표  금속가요 전선관70㎜이하</t>
  </si>
  <si>
    <t>제 8호표  금속가요 전선관82㎜이하</t>
  </si>
  <si>
    <t>제 10호표  금속가요 전선관104㎜이하</t>
  </si>
  <si>
    <t>제 3호표  박스(Box) 설치Switch Box(2개용이하)</t>
  </si>
  <si>
    <t>제 5호표  박스(Box) 설치노출형 Box(콘크리트노출기준)</t>
  </si>
  <si>
    <t>제 1호표  풀박스(Pull Box) 설치(벽면)100㎜X100㎜X100㎜이하</t>
  </si>
  <si>
    <t>제 2호표  풀박스(Pull Box) 설치(벽면)250㎜X250㎜X200㎜이하</t>
  </si>
  <si>
    <t>제 3호표  풀박스(Pull Box) 설치(벽면)400㎜X400㎜X300㎜이하</t>
  </si>
  <si>
    <t>제 4호표  풀박스(Pull Box) 설치(벽면)700㎜X700㎜X400㎜이하</t>
  </si>
  <si>
    <t>제 1호표  제어용 케이블 설치(2C)2.5㎟ 이하</t>
  </si>
  <si>
    <t>제 2호표  제어용 케이블 설치(2C)4㎟ 이하</t>
  </si>
  <si>
    <t>제 3호표  제어용 케이블 설치(2C)6㎟ 이하</t>
  </si>
  <si>
    <t>제 1호표  제어용 케이블 설치(3C)2.5㎟ 이하</t>
  </si>
  <si>
    <t>제 2호표  제어용 케이블 설치(3C)4㎟ 이하</t>
  </si>
  <si>
    <t>제 3호표  제어용 케이블 설치(3C)6㎟ 이하</t>
  </si>
  <si>
    <t>제 1호표  제어용 케이블 설치(4C)2.5㎟ 이하</t>
  </si>
  <si>
    <t>제 2호표  제어용 케이블 설치(4C)4㎟ 이하</t>
  </si>
  <si>
    <t>제 3호표  제어용 케이블 설치(4C)6㎟ 이하</t>
  </si>
  <si>
    <t>제 1호표  제어용 케이블 설치(5C)2.5㎟ 이하</t>
  </si>
  <si>
    <t>제 2호표  제어용 케이블 설치(5C)4㎟ 이하</t>
  </si>
  <si>
    <t>제 3호표  제어용 케이블 설치(5C)6㎟ 이하</t>
  </si>
  <si>
    <t>제 1호표  제어용 케이블 설치(6C)2.5㎟ 이하</t>
  </si>
  <si>
    <t>제 2호표  제어용 케이블 설치(6C)4㎟ 이하</t>
  </si>
  <si>
    <t>제 3호표  제어용 케이블 설치(6C)6㎟ 이하</t>
  </si>
  <si>
    <t>제 1호표  제어용 케이블 설치(7C)2.5㎟ 이하</t>
  </si>
  <si>
    <t>제 2호표  제어용 케이블 설치(7C)4㎟ 이하</t>
  </si>
  <si>
    <t>제 3호표  제어용 케이블 설치(7C)6㎟ 이하</t>
  </si>
  <si>
    <t>제 1호표  제어용 케이블 설치(8C)2.5㎟ 이하</t>
  </si>
  <si>
    <t>제 2호표  제어용 케이블 설치(8C)4㎟ 이하</t>
  </si>
  <si>
    <t>제 3호표  제어용 케이블 설치(8C)6㎟ 이하</t>
  </si>
  <si>
    <t>제 1호표  제어용 케이블 설치(10C)2.5㎟ 이하</t>
  </si>
  <si>
    <t>제 2호표  제어용 케이블 설치(10C)4㎟ 이하</t>
  </si>
  <si>
    <t>제 3호표  제어용 케이블 설치(10C)6㎟ 이하</t>
  </si>
  <si>
    <t>제 1호표  제어용 케이블 설치(12C)2.5㎟ 이하</t>
  </si>
  <si>
    <t>제 2호표  제어용 케이블 설치(12C)4㎟ 이하</t>
  </si>
  <si>
    <t>제 3호표  제어용 케이블 설치(12C)6㎟ 이하</t>
  </si>
  <si>
    <t>제 1호표  제어용 케이블 설치(15C)2.5㎟ 이하</t>
  </si>
  <si>
    <t>제 2호표  제어용 케이블 설치(15C)4㎟ 이하</t>
  </si>
  <si>
    <t>제 1호표  제어용 케이블 설치(20C)2.5㎟ 이하</t>
  </si>
  <si>
    <t>제 2호표  제어용 케이블 설치(20C)4㎟ 이하</t>
  </si>
  <si>
    <t>제 1호표  제어용 케이블 설치(30C)2.5㎟ 이하</t>
  </si>
  <si>
    <t>제 1호표  제어용 케이블 설치(50C)2.5㎟ 이하</t>
  </si>
  <si>
    <t>제 2호표  레이스웨이 설치(70×40) 2,800 이하</t>
  </si>
  <si>
    <t>제 3호표  레이스웨이 설치(10×50) 5,500 이하</t>
  </si>
  <si>
    <t>제 7호표  박스(Box) 설치연결용 박스</t>
  </si>
  <si>
    <t>제 1호표  옥내(관내) 배선6㎟ 이하</t>
  </si>
  <si>
    <t>제 2호표  옥내(관내) 배선16㎟ 이하</t>
  </si>
  <si>
    <t>제 3호표  옥내(관내) 배선38㎟ 이하</t>
  </si>
  <si>
    <t>제 4호표  옥내(관내) 배선50㎟ 이하</t>
  </si>
  <si>
    <t>제 6호표  옥내(관내) 배선70㎟ 이하</t>
  </si>
  <si>
    <t>제 7호표  옥내(관내) 배선100㎟ 이하</t>
  </si>
  <si>
    <t>제 8호표  옥내(관내) 배선120㎟ 이하</t>
  </si>
  <si>
    <t>제 9호표  옥내(관내) 배선150㎟ 이하</t>
  </si>
  <si>
    <t>제 10호표  옥내(관내) 배선200㎟ 이하</t>
  </si>
  <si>
    <t>제 11호표  옥내(관내) 배선250㎟ 이하</t>
  </si>
  <si>
    <t>제 5호표  제어용 케이블 설치(2C)10㎟ 이하</t>
  </si>
  <si>
    <t>제 1호표  전력케이블 구내 설치(P.V.C 및 고무절연외장)600V 16㎟이하 X 1C</t>
  </si>
  <si>
    <t>제 2호표  전력케이블 구내 설치(P.V.C 및 고무절연외장)600V 25㎟이하 X 1C</t>
  </si>
  <si>
    <t>제 3호표  전력케이블 구내 설치(P.V.C 및 고무절연외장)600V 38㎟이하 X 1C</t>
  </si>
  <si>
    <t>제 5호표  제어용 케이블 설치(3C)10㎟ 이하</t>
  </si>
  <si>
    <t>제 5호표  제어용 케이블 설치(4C)10㎟ 이하</t>
  </si>
  <si>
    <t>제 5호표  제어용 케이블 설치(5C)10㎟ 이하</t>
  </si>
  <si>
    <t>제 5호표  제어용 케이블 설치(6C)10㎟ 이하</t>
  </si>
  <si>
    <t>제 1호표  제어용 케이블 설치(1C)2.5㎟ 이하</t>
  </si>
  <si>
    <t>제 2호표  제어용 케이블 설치(1C)4㎟ 이하</t>
  </si>
  <si>
    <t>제 3호표  제어용 케이블 설치(1C)6㎟ 이하</t>
  </si>
  <si>
    <t>제 5호표  제어용 케이블 설치(1C)10㎟ 이하</t>
  </si>
  <si>
    <t>제 4호표  전력케이블 구내 설치(P.V.C 및 고무절연외장)600V 50㎟이하 X 1C</t>
  </si>
  <si>
    <t>제 6호표  전력케이블 구내 설치(P.V.C 및 고무절연외장)600V 70㎟이하 X 1C</t>
  </si>
  <si>
    <t>제 8호표  전력케이블 구내 설치(P.V.C 및 고무절연외장)600V 100㎟이하 X 1C</t>
  </si>
  <si>
    <t>제 9호표  전력케이블 구내 설치(P.V.C 및 고무절연외장)600V 125㎟이하 X 1C</t>
  </si>
  <si>
    <t>제 10호표  전력케이블 구내 설치(P.V.C 및 고무절연외장)600V 150㎟이하 X 1C</t>
  </si>
  <si>
    <t>제 11호표  전력케이블 구내 설치(P.V.C 및 고무절연외장)600V 185㎟이하 X 1C</t>
  </si>
  <si>
    <t>제 13호표  전력케이블 구내 설치(P.V.C 및 고무절연외장)600V 240㎟이하 X 1C</t>
  </si>
  <si>
    <t>제 15호표  전력케이블 구내 설치(P.V.C 및 고무절연외장)600V 300㎟이하 X 1C</t>
  </si>
  <si>
    <t>제 18호표  전력케이블 구내 설치(P.V.C 및 고무절연외장)600V 500㎟이하 X 1C</t>
  </si>
  <si>
    <t>제 19호표  전력케이블 구내 설치(P.V.C 및 고무절연외장)600V 630㎟이하 X 1C</t>
  </si>
  <si>
    <t>제 1호표  스위치류텀플러스위치 단로용</t>
  </si>
  <si>
    <t>제 2호표  스위치류텀플러스위치 3로용</t>
  </si>
  <si>
    <t>제 9호표  형광등기구 설치(직부형)40W이하 X 2</t>
  </si>
  <si>
    <t>제 8호표  형광등기구 설치(직부형)40W이하 X 1</t>
  </si>
  <si>
    <t>제 12호표  형광등기구 설치(직부형)110W이하 X 1</t>
  </si>
  <si>
    <t>제 3호표  형광등기구 설치(직부형)20W이하 X 2</t>
  </si>
  <si>
    <t>제 1호표  LED 등기구 설치(매입 및 반매입)35W 이하</t>
  </si>
  <si>
    <t>제 3호표  LED 등기구 설치(매입 및 반매입)55W 이하</t>
  </si>
  <si>
    <t>제 1호표  LED 등기구 설치(다운라이트)15W 이하</t>
  </si>
  <si>
    <t>제 3호표  LED 등기구 설치(다운라이트)35W 이하</t>
  </si>
  <si>
    <t>제 1호표  LED 등기구 설치(직부등)15W 이하</t>
  </si>
  <si>
    <t>제 7호표  방전등기구(투광기)1kW 이하</t>
  </si>
  <si>
    <t>제 5호표  방전등기구(투광기)400W 이하</t>
  </si>
  <si>
    <t>제 1호표  방전등기구(투광기)100W 이하</t>
  </si>
  <si>
    <t>제 2호표  방전등기구(투광기)200W 이하</t>
  </si>
  <si>
    <t>제 3호표  방전등기구(투광기)250W 이하</t>
  </si>
  <si>
    <t>제 1호표  LED 가로등기구 설치100W 이하</t>
  </si>
  <si>
    <t>제 1호표  LED 가로등기구 설치</t>
  </si>
  <si>
    <t>제 2호표  LED 가로등기구 설치150W 이하</t>
  </si>
  <si>
    <t>제 2호표  LED 가로등기구 설치</t>
  </si>
  <si>
    <t>150W 이하</t>
  </si>
  <si>
    <t>제 3호표  LED 가로등기구 설치200W 이하</t>
  </si>
  <si>
    <t>제 3호표  LED 가로등기구 설치</t>
  </si>
  <si>
    <t>제 4호표  POLE LIGHT 인력설치(1등용)가로등 높이 8m 이하</t>
  </si>
  <si>
    <t>제 5호표  POLE LIGHT 인력설치(1등용)가로등 높이 9m 이하</t>
  </si>
  <si>
    <t>제 6호표  POLE LIGHT 인력설치(1등용)가로등 높이 10m 이하</t>
  </si>
  <si>
    <t>제 7호표  POLE LIGHT 인력설치(1등용)가로등 높이 12m 이하</t>
  </si>
  <si>
    <t>제 1호표  가로등 기초(기성품) 설치높이 12m 이하</t>
  </si>
  <si>
    <t>제 1호표  배관용 구멍뚫기(코어드릴 사용기준)-두께 150㎜ 이하, 바닥구경 25㎜</t>
  </si>
  <si>
    <t>제 2호표  배관용 구멍뚫기(코어드릴 사용기준)-두께 150㎜ 이하, 바닥구경 50㎜</t>
  </si>
  <si>
    <t>제 3호표  배관용 구멍뚫기(코어드릴 사용기준)-두께 150㎜ 이하, 바닥구경 75㎜</t>
  </si>
  <si>
    <t>제 4호표  배관용 구멍뚫기(코어드릴 사용기준)-두께 150㎜ 이하, 바닥구경 100㎜</t>
  </si>
  <si>
    <t>제 5호표  배관용 구멍뚫기(코어드릴 사용기준)-두께 150㎜ 이하, 바닥구경 150㎜</t>
  </si>
  <si>
    <t>제 6호표  배관용 구멍뚫기(코어드릴 사용기준)-두께 150㎜ 이하, 바닥구경 200㎜</t>
  </si>
  <si>
    <t>제 7호표  배관용 구멍뚫기(코어드릴 사용기준)-두께 150㎜ 이하, 바닥구경 250㎜</t>
  </si>
  <si>
    <t>제 8호표  배관용 구멍뚫기(코어드릴 사용기준)-두께 150㎜ 이하, 바닥구경 300㎜</t>
  </si>
  <si>
    <t>제 9호표  배관용 구멍뚫기(코어드릴 사용기준)-두께 150㎜ 이하, 바닥구경 350㎜</t>
  </si>
  <si>
    <t>제 1호표  배선용 차단기(3P)용량 30AF 이하</t>
  </si>
  <si>
    <t>제 2호표  배선용 차단기(3P)용량 50AF 이하</t>
  </si>
  <si>
    <t>제 3호표  배선용 차단기(3P)용량 100AF 이하</t>
  </si>
  <si>
    <t>제 1호표  배선용 차단기30AF 이하</t>
  </si>
  <si>
    <t>제 2호표  배선용 차단기50AF 이하</t>
  </si>
  <si>
    <t>제 3호표  배선용 차단기100AF 이하</t>
  </si>
  <si>
    <t>제 4호표  배선용 차단기225AF 이하</t>
  </si>
  <si>
    <t>제 5호표  배선용 차단기400AF 이하</t>
  </si>
  <si>
    <t>제 7호표  배선용 차단기800AF 이하</t>
  </si>
  <si>
    <t>제 1호표  저압용 개폐기-마그넷 스위치30A 이하</t>
  </si>
  <si>
    <t>제 2호표  저압용 개폐기-마그넷 스위치50A 이하</t>
  </si>
  <si>
    <t>제 3호표  저압용 개폐기-마그넷 스위치100A 이하</t>
  </si>
  <si>
    <t>제 4호표  저압용 개폐기-마그넷 스위치225A 이하</t>
  </si>
  <si>
    <t>제 5호표  저압용 개폐기-마그넷 스위치300A 이하</t>
  </si>
  <si>
    <t>제 6호표  저압용 개폐기-마그넷 스위치400A 이하</t>
  </si>
  <si>
    <t>제 7호표  저압용 개폐기-마그넷 스위치600A 이하</t>
  </si>
  <si>
    <t>제 8호표  저압용 개폐기-마그넷 스위치800A 이하</t>
  </si>
  <si>
    <t>제 3호표  전력량계 및 부속장치 설치전력량계 3Ø 4W용</t>
  </si>
  <si>
    <t>제 1호표  무정전전원장치(UPS) 설치전원선/접지선 연결</t>
  </si>
  <si>
    <t>제 1호표  무정전 전원장치(UPS) 점검배터리 성능점검</t>
  </si>
  <si>
    <t>제 2호표  나이프 스위치(3P)용량 60A 이하</t>
  </si>
  <si>
    <t>제 4호표  전력량계 및 부속장치 설치전류변성기(CT)(저·고압)</t>
  </si>
  <si>
    <t>제 5호표  전력량계 및 부속장치 설치전압변성기(PT)(저·고압)</t>
  </si>
  <si>
    <t>제 6호표  전력량계 및 부속장치 설치영상전류변성기(ZCT)</t>
  </si>
  <si>
    <t>제 1호표  가전기구 설치환풍기(벽면)</t>
  </si>
  <si>
    <t>제 1호표  가전기구 설치전극결선</t>
  </si>
  <si>
    <t>제 1호표  가전기구 설치전구교환</t>
  </si>
  <si>
    <t>제 2호표  콘센트류 2P콘센트 15A(접지극부)</t>
  </si>
  <si>
    <t>제 2호표  콘센트류 4P콘센트 30A(접지극부)</t>
  </si>
  <si>
    <t>제 2호표  콘센트류 3P콘센트 30A(접지극부)</t>
  </si>
  <si>
    <t>제 10호표  배관용 구멍뚫기(코어드릴 사용기준)-두께 150㎜ 이하, 바닥구경 400㎜</t>
  </si>
  <si>
    <t>제 1호표  음향 및 영상 부대시설 공사(천장타공)8인치 이하</t>
  </si>
  <si>
    <t>제 1호표  역률 개선용 콘덴서 설치(저압)5kVA 이하</t>
  </si>
  <si>
    <t>제 2호표  역률 개선용 콘덴서 설치(저압)10kVA 이하</t>
  </si>
  <si>
    <t>제 3호표  역률 개선용 콘덴서 설치(저압)20kVA 이하</t>
  </si>
  <si>
    <t>제 4호표  역률 개선용 콘덴서 설치(저압)50kVA 이하</t>
  </si>
  <si>
    <t>제 2호표  인력 터파기(보통토사)1m 이상 ~ 2m 미만</t>
  </si>
  <si>
    <t>제 2호표  인력 터파기(경질토사)1m 이상 ~ 2m 미만</t>
  </si>
  <si>
    <t>제 2호표  인력 터파기(고사점토 및 자갈섞인 토사)1m 이상 ~ 2m 미만</t>
  </si>
  <si>
    <t>제 2호표  인력 터파기(호박돌 섞인 토사)1m 이상 ~ 2m 미만</t>
  </si>
  <si>
    <t>제 2호표  인력 터파기(연암 및 풍화암)1m 이상 ~ 2m 미만</t>
  </si>
  <si>
    <t>제 2호표  인력 터파기(보통암)1m 이상 ~ 2m 미만</t>
  </si>
  <si>
    <t>제 2호표  인력 터파기(경암)1m 이상 ~ 2m 미만</t>
  </si>
  <si>
    <t>제 1호표  서지보호기(SPD) 설치서지보호기용 외함설치</t>
  </si>
  <si>
    <t>제 1호표  음향 및 영상 기기 신설(Beam Projector)설치</t>
  </si>
  <si>
    <t>제 1호표  음향 및 영상 기기 신설(Beam Projector)</t>
  </si>
  <si>
    <t>제 4호표  음향 및 영상 기기 신설(Beam Projector)시험 및 측정</t>
  </si>
  <si>
    <t>제 4호표  음향 및 영상 기기 신설(Beam Projector)</t>
  </si>
  <si>
    <t>제 1호표  음향 및 영상 부대시설 공사(스크린)전동 120인치 이하</t>
  </si>
  <si>
    <t>제 10호표  음향 및 영상 기기 신설(TV수상기(VideoMonitor))33 이상 설치</t>
  </si>
  <si>
    <t>33 이상 설치</t>
  </si>
  <si>
    <t>제 5호표  스위치류푸시버튼</t>
  </si>
  <si>
    <t>제 7호표  스위치류리모콘셀렉터스위치6L이하</t>
  </si>
  <si>
    <t>제 1호표  태양광 발전시스템(인버터)1kVA 이하</t>
  </si>
  <si>
    <t>제 2호표  태양광 발전시스템(인버터)3kVA 이하</t>
  </si>
  <si>
    <t>제 4호표  태양광 발전시스템(인버터)10kVA 이하</t>
  </si>
  <si>
    <t>제 1호표  축전지 설치(밀폐형 100AH 이하)12V 이하</t>
  </si>
  <si>
    <t>제 1호표  축전지 설치(밀폐형 200AH 이하)12V 이하</t>
  </si>
  <si>
    <t>제 8호표  스위치류리모콘셀렉터스위치12L이하</t>
  </si>
  <si>
    <t>제 17호표  스위치류조광스위치(IL용 800W)</t>
  </si>
  <si>
    <t>제 11호표  스위치류리모콘릴레이(2P)</t>
  </si>
  <si>
    <t>제 1호표  접지선 매설10㎟ 이하</t>
  </si>
  <si>
    <t>제 2호표  접지선 매설35㎟ 이하</t>
  </si>
  <si>
    <t>제 3호표  접지선 매설95㎟ 이하</t>
  </si>
  <si>
    <t>제 4호표  접지선 매설150㎟ 이하</t>
  </si>
  <si>
    <t>제 1호표  배전반 설치자립형 W800×H2,000 내외</t>
  </si>
  <si>
    <t>제 1호표  배관용 바닥 구멍뚫기(코어드릴 사용기준)두께 150㎜ 이하, 구경 25㎜</t>
  </si>
  <si>
    <t>제 2호표  배관용 바닥 구멍뚫기(코어드릴 사용기준)두께 150㎜ 이하, 구경 50㎜</t>
  </si>
  <si>
    <t>제 1호표  배관용 바닥 구멍뚫기(코어드릴 사용기준)두께 300㎜ 이하, 구경 25㎜</t>
  </si>
  <si>
    <t>제 2호표  배관용 바닥 구멍뚫기(코어드릴 사용기준)두께 300㎜ 이하, 구경 50㎜</t>
  </si>
  <si>
    <t>M070900400800401</t>
  </si>
  <si>
    <t>M070200200103801</t>
  </si>
  <si>
    <t>M071901000100201</t>
  </si>
  <si>
    <t> 노무비*3.545%</t>
    <phoneticPr fontId="23" type="noConversion"/>
  </si>
  <si>
    <t>D01240</t>
  </si>
  <si>
    <r>
      <rPr>
        <b/>
        <sz val="9"/>
        <color theme="1"/>
        <rFont val="LG스마트체 Regular"/>
        <family val="3"/>
        <charset val="129"/>
      </rPr>
      <t>▼낙찰율</t>
    </r>
    <phoneticPr fontId="7" type="noConversion"/>
  </si>
  <si>
    <r>
      <rPr>
        <b/>
        <sz val="9"/>
        <color indexed="8"/>
        <rFont val="돋움"/>
        <family val="3"/>
        <charset val="129"/>
      </rPr>
      <t>공사명</t>
    </r>
    <r>
      <rPr>
        <b/>
        <sz val="9"/>
        <color indexed="8"/>
        <rFont val="Arial"/>
        <family val="2"/>
      </rPr>
      <t xml:space="preserve">: </t>
    </r>
    <phoneticPr fontId="5" type="noConversion"/>
  </si>
  <si>
    <r>
      <rPr>
        <b/>
        <sz val="9"/>
        <color theme="1"/>
        <rFont val="LG스마트체 Regular"/>
        <family val="3"/>
        <charset val="129"/>
      </rPr>
      <t>표준</t>
    </r>
    <r>
      <rPr>
        <b/>
        <sz val="9"/>
        <color theme="1"/>
        <rFont val="Arial"/>
        <family val="2"/>
      </rPr>
      <t xml:space="preserve"> Code</t>
    </r>
    <phoneticPr fontId="5" type="noConversion"/>
  </si>
  <si>
    <r>
      <rPr>
        <b/>
        <sz val="9"/>
        <color theme="1"/>
        <rFont val="LG스마트체 Regular"/>
        <family val="3"/>
        <charset val="129"/>
      </rPr>
      <t>주요내역</t>
    </r>
    <phoneticPr fontId="5"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</si>
  <si>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</si>
  <si>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</si>
  <si>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7" type="noConversion"/>
  </si>
  <si>
    <r>
      <rPr>
        <b/>
        <sz val="9"/>
        <color theme="1"/>
        <rFont val="LG스마트체 Regular"/>
        <family val="3"/>
        <charset val="129"/>
      </rPr>
      <t>노무비</t>
    </r>
    <phoneticPr fontId="7" type="noConversion"/>
  </si>
  <si>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</si>
  <si>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7" type="noConversion"/>
  </si>
  <si>
    <r>
      <rPr>
        <b/>
        <sz val="9"/>
        <color theme="1"/>
        <rFont val="LG스마트체 Regular"/>
        <family val="3"/>
        <charset val="129"/>
      </rPr>
      <t>품목</t>
    </r>
    <phoneticPr fontId="5" type="noConversion"/>
  </si>
  <si>
    <r>
      <rPr>
        <b/>
        <sz val="9"/>
        <color theme="1"/>
        <rFont val="LG스마트체 Regular"/>
        <family val="3"/>
        <charset val="129"/>
      </rPr>
      <t>규격</t>
    </r>
    <phoneticPr fontId="5" type="noConversion"/>
  </si>
  <si>
    <r>
      <rPr>
        <b/>
        <sz val="9"/>
        <color theme="1"/>
        <rFont val="LG스마트체 Regular"/>
        <family val="3"/>
        <charset val="129"/>
      </rPr>
      <t>단가</t>
    </r>
    <phoneticPr fontId="5" type="noConversion"/>
  </si>
  <si>
    <r>
      <rPr>
        <b/>
        <sz val="9"/>
        <color theme="1"/>
        <rFont val="LG스마트체 Regular"/>
        <family val="3"/>
        <charset val="129"/>
      </rPr>
      <t>금액</t>
    </r>
  </si>
  <si>
    <r>
      <rPr>
        <b/>
        <sz val="9"/>
        <color theme="1"/>
        <rFont val="LG스마트체 Regular"/>
        <family val="3"/>
        <charset val="129"/>
      </rPr>
      <t>단가</t>
    </r>
    <phoneticPr fontId="7"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</si>
  <si>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</si>
  <si>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5" type="noConversion"/>
  </si>
  <si>
    <t>제 1호표  풀박스(Pull Box) 설치(천정면)100㎜X100㎜X100㎜이하</t>
  </si>
  <si>
    <t>제 2호표  풀박스(Pull Box) 설치(천정면)250㎜X250㎜X200㎜이하</t>
  </si>
  <si>
    <t>제 3호표  풀박스(Pull Box) 설치(천정면)400㎜X400㎜X300㎜이하</t>
  </si>
  <si>
    <t>D01347</t>
  </si>
  <si>
    <t>D01348</t>
  </si>
  <si>
    <t>D01349</t>
  </si>
  <si>
    <t>D01350</t>
  </si>
  <si>
    <t>D01351</t>
  </si>
  <si>
    <t>깊이 1m 미만</t>
  </si>
  <si>
    <t> 노무비*3.56%</t>
    <phoneticPr fontId="23" type="noConversion"/>
  </si>
  <si>
    <t> 건강보험료*12.95%</t>
    <phoneticPr fontId="23" type="noConversion"/>
  </si>
  <si>
    <t>D00224</t>
  </si>
  <si>
    <t>D00225</t>
  </si>
  <si>
    <t>D00227</t>
  </si>
  <si>
    <t>D00228</t>
  </si>
  <si>
    <t>D00229</t>
  </si>
  <si>
    <t>D00230</t>
  </si>
  <si>
    <t>D00232</t>
  </si>
  <si>
    <t>D00233</t>
  </si>
  <si>
    <t>D00234</t>
  </si>
  <si>
    <t>D00235</t>
  </si>
  <si>
    <t>D00236</t>
  </si>
  <si>
    <t>D00237</t>
  </si>
  <si>
    <t>D00238</t>
  </si>
  <si>
    <t>D00239</t>
  </si>
  <si>
    <t>D00240</t>
  </si>
  <si>
    <t>D00241</t>
  </si>
  <si>
    <t>D00242</t>
  </si>
  <si>
    <t>D00243</t>
  </si>
  <si>
    <t>D00244</t>
  </si>
  <si>
    <t>D00245</t>
  </si>
  <si>
    <t>D00247</t>
  </si>
  <si>
    <t>D00248</t>
  </si>
  <si>
    <t>D00249</t>
  </si>
  <si>
    <t>D00147</t>
  </si>
  <si>
    <t>D00148</t>
  </si>
  <si>
    <t>D00149</t>
  </si>
  <si>
    <t>D00150</t>
  </si>
  <si>
    <t>D00151</t>
  </si>
  <si>
    <t>D00250</t>
  </si>
  <si>
    <t>D00251</t>
  </si>
  <si>
    <t>D00252</t>
  </si>
  <si>
    <t>D00253</t>
  </si>
  <si>
    <t>D00254</t>
  </si>
  <si>
    <t>D00255</t>
  </si>
  <si>
    <t>D00256</t>
  </si>
  <si>
    <t>D00257</t>
  </si>
  <si>
    <t>D00258</t>
  </si>
  <si>
    <t>D00259</t>
  </si>
  <si>
    <t>D00261</t>
  </si>
  <si>
    <t>D00262</t>
  </si>
  <si>
    <t>D00263</t>
  </si>
  <si>
    <t>D00264</t>
  </si>
  <si>
    <t>D00266</t>
  </si>
  <si>
    <t>D00267</t>
  </si>
  <si>
    <t>D00268</t>
  </si>
  <si>
    <t>D00269</t>
  </si>
  <si>
    <t>D00271</t>
  </si>
  <si>
    <t>D00226</t>
  </si>
  <si>
    <t>D00231</t>
  </si>
  <si>
    <t>D00246</t>
  </si>
  <si>
    <t>D00260</t>
  </si>
  <si>
    <t>D00265</t>
  </si>
  <si>
    <t>D00270</t>
  </si>
  <si>
    <t>D00789</t>
  </si>
  <si>
    <t>D00793</t>
  </si>
  <si>
    <t>D00810</t>
  </si>
  <si>
    <t>D00815</t>
  </si>
  <si>
    <t>D00820</t>
  </si>
  <si>
    <t>D00824</t>
  </si>
  <si>
    <t>D01166</t>
  </si>
  <si>
    <t>D01171</t>
  </si>
  <si>
    <t>D03312</t>
  </si>
  <si>
    <t>D03314</t>
  </si>
  <si>
    <t>D03315</t>
  </si>
  <si>
    <t>D03316</t>
  </si>
  <si>
    <t>D03317</t>
  </si>
  <si>
    <t>D03318</t>
  </si>
  <si>
    <t>D03319</t>
  </si>
  <si>
    <t>D03320</t>
  </si>
  <si>
    <t>D03322</t>
  </si>
  <si>
    <t>D03323</t>
  </si>
  <si>
    <t>D03324</t>
  </si>
  <si>
    <t>D03325</t>
  </si>
  <si>
    <t>D03326</t>
  </si>
  <si>
    <t>D03328</t>
  </si>
  <si>
    <t>D06066</t>
  </si>
  <si>
    <t>D06068</t>
  </si>
  <si>
    <t>D06069</t>
  </si>
  <si>
    <t>D06070</t>
  </si>
  <si>
    <t>D06071</t>
  </si>
  <si>
    <t>D03352</t>
  </si>
  <si>
    <t>D03353</t>
  </si>
  <si>
    <t>D03354</t>
  </si>
  <si>
    <t>D03355</t>
  </si>
  <si>
    <t>D03356</t>
  </si>
  <si>
    <t>D03357</t>
  </si>
  <si>
    <t>D03359</t>
  </si>
  <si>
    <t>D03360</t>
  </si>
  <si>
    <t>D03361</t>
  </si>
  <si>
    <t>D03363</t>
  </si>
  <si>
    <t>D03364</t>
  </si>
  <si>
    <t>D03365</t>
  </si>
  <si>
    <t>D03366</t>
  </si>
  <si>
    <t>D03368</t>
  </si>
  <si>
    <t>D03369</t>
  </si>
  <si>
    <t>D03439</t>
  </si>
  <si>
    <t>D03440</t>
  </si>
  <si>
    <t>D03441</t>
  </si>
  <si>
    <t>D03442</t>
  </si>
  <si>
    <t>D03443</t>
  </si>
  <si>
    <t>D03444</t>
  </si>
  <si>
    <t>D03446</t>
  </si>
  <si>
    <t>D03447</t>
  </si>
  <si>
    <t>D03448</t>
  </si>
  <si>
    <t>D03450</t>
  </si>
  <si>
    <t>D03451</t>
  </si>
  <si>
    <t>D03452</t>
  </si>
  <si>
    <t>D03370</t>
  </si>
  <si>
    <t>D03371</t>
  </si>
  <si>
    <t>D03372</t>
  </si>
  <si>
    <t>D03373</t>
  </si>
  <si>
    <t>D03374</t>
  </si>
  <si>
    <t>D03375</t>
  </si>
  <si>
    <t>D03351</t>
  </si>
  <si>
    <t>D03377</t>
  </si>
  <si>
    <t>D03378</t>
  </si>
  <si>
    <t>D03379</t>
  </si>
  <si>
    <t>D06082</t>
  </si>
  <si>
    <t>D03381</t>
  </si>
  <si>
    <t>D06072</t>
  </si>
  <si>
    <t>D06073</t>
  </si>
  <si>
    <t>D06077</t>
  </si>
  <si>
    <t>D06078</t>
  </si>
  <si>
    <t>D06080</t>
  </si>
  <si>
    <t>D05768</t>
  </si>
  <si>
    <t>D05769</t>
  </si>
  <si>
    <t>D05772</t>
  </si>
  <si>
    <t>D05773</t>
  </si>
  <si>
    <t>D05775</t>
  </si>
  <si>
    <t>D05822</t>
  </si>
  <si>
    <t>D05823</t>
  </si>
  <si>
    <t>D05824</t>
  </si>
  <si>
    <t>D05825</t>
  </si>
  <si>
    <t>D03313</t>
  </si>
  <si>
    <t>D03358</t>
  </si>
  <si>
    <t>D03362</t>
  </si>
  <si>
    <t>D03367</t>
  </si>
  <si>
    <t>D03376</t>
  </si>
  <si>
    <t>D03380</t>
  </si>
  <si>
    <t>D05774</t>
  </si>
  <si>
    <t>D06067</t>
  </si>
  <si>
    <t>D06079</t>
  </si>
  <si>
    <t>D01155</t>
  </si>
  <si>
    <t>D01167</t>
  </si>
  <si>
    <t>D01168</t>
  </si>
  <si>
    <t>D01169</t>
  </si>
  <si>
    <t>D01170</t>
  </si>
  <si>
    <t>D01172</t>
  </si>
  <si>
    <t>D01173</t>
  </si>
  <si>
    <t>D01174</t>
  </si>
  <si>
    <t>D01175</t>
  </si>
  <si>
    <t>D01257</t>
  </si>
  <si>
    <t>D01301</t>
  </si>
  <si>
    <t>D01302</t>
  </si>
  <si>
    <t>D01303</t>
  </si>
  <si>
    <t>D01304</t>
  </si>
  <si>
    <t>D01305</t>
  </si>
  <si>
    <t>D00786</t>
  </si>
  <si>
    <t>D00787</t>
  </si>
  <si>
    <t>D00788</t>
  </si>
  <si>
    <t>D00790</t>
  </si>
  <si>
    <t>D00791</t>
  </si>
  <si>
    <t>D00792</t>
  </si>
  <si>
    <t>D00794</t>
  </si>
  <si>
    <t>D00795</t>
  </si>
  <si>
    <t>D00796</t>
  </si>
  <si>
    <t>D00797</t>
  </si>
  <si>
    <t>D00798</t>
  </si>
  <si>
    <t>D00799</t>
  </si>
  <si>
    <t>D00800</t>
  </si>
  <si>
    <t>D00801</t>
  </si>
  <si>
    <t>D00802</t>
  </si>
  <si>
    <t>D00803</t>
  </si>
  <si>
    <t>D00804</t>
  </si>
  <si>
    <t>D00805</t>
  </si>
  <si>
    <t>D00806</t>
  </si>
  <si>
    <t>D00807</t>
  </si>
  <si>
    <t>D00808</t>
  </si>
  <si>
    <t>D00809</t>
  </si>
  <si>
    <t>D00811</t>
  </si>
  <si>
    <t>D00812</t>
  </si>
  <si>
    <t>D00813</t>
  </si>
  <si>
    <t>D00814</t>
  </si>
  <si>
    <t>D00816</t>
  </si>
  <si>
    <t>D00817</t>
  </si>
  <si>
    <t>D00818</t>
  </si>
  <si>
    <t>D00819</t>
  </si>
  <si>
    <t>D00821</t>
  </si>
  <si>
    <t>D00822</t>
  </si>
  <si>
    <t>D00823</t>
  </si>
  <si>
    <t>D00825</t>
  </si>
  <si>
    <t>D00826</t>
  </si>
  <si>
    <t>D00827</t>
  </si>
  <si>
    <t>D00828</t>
  </si>
  <si>
    <t>D00829</t>
  </si>
  <si>
    <t>D00830</t>
  </si>
  <si>
    <t>D00831</t>
  </si>
  <si>
    <t>D00832</t>
  </si>
  <si>
    <t>D00833</t>
  </si>
  <si>
    <t>D00834</t>
  </si>
  <si>
    <t>D00835</t>
  </si>
  <si>
    <t>D00836</t>
  </si>
  <si>
    <t>D01202</t>
  </si>
  <si>
    <t>D01306</t>
  </si>
  <si>
    <t>D01307</t>
  </si>
  <si>
    <t>D01308</t>
  </si>
  <si>
    <t>D01309</t>
  </si>
  <si>
    <t>D01310</t>
  </si>
  <si>
    <t>D01311</t>
  </si>
  <si>
    <t>D01203</t>
  </si>
  <si>
    <t>D01204</t>
  </si>
  <si>
    <t>D01205</t>
  </si>
  <si>
    <t>D01206</t>
  </si>
  <si>
    <t>D01207</t>
  </si>
  <si>
    <t>D01208</t>
  </si>
  <si>
    <t>D01209</t>
  </si>
  <si>
    <t>D01210</t>
  </si>
  <si>
    <t>D01211</t>
  </si>
  <si>
    <t>D01212</t>
  </si>
  <si>
    <t>D01213</t>
  </si>
  <si>
    <t>D01214</t>
  </si>
  <si>
    <t>D01312</t>
  </si>
  <si>
    <t>D01313</t>
  </si>
  <si>
    <t>D01314</t>
  </si>
  <si>
    <t>D01315</t>
  </si>
  <si>
    <t>D01316</t>
  </si>
  <si>
    <t>D01317</t>
  </si>
  <si>
    <t>D01318</t>
  </si>
  <si>
    <t>D01319</t>
  </si>
  <si>
    <t>D01320</t>
  </si>
  <si>
    <t>D01321</t>
  </si>
  <si>
    <t>D01322</t>
  </si>
  <si>
    <t>D01323</t>
  </si>
  <si>
    <t>D01325</t>
  </si>
  <si>
    <t>D01326</t>
  </si>
  <si>
    <t>D01327</t>
  </si>
  <si>
    <t>D01328</t>
  </si>
  <si>
    <t>D00942</t>
  </si>
  <si>
    <t>D00943</t>
  </si>
  <si>
    <t>D00944</t>
  </si>
  <si>
    <t>D00946</t>
  </si>
  <si>
    <t>D00947</t>
  </si>
  <si>
    <t>D00948</t>
  </si>
  <si>
    <t>D00949</t>
  </si>
  <si>
    <t>D00950</t>
  </si>
  <si>
    <t>D00951</t>
  </si>
  <si>
    <t>D00952</t>
  </si>
  <si>
    <t>D00953</t>
  </si>
  <si>
    <t>D00954</t>
  </si>
  <si>
    <t>D01235</t>
  </si>
  <si>
    <t>D01236</t>
  </si>
  <si>
    <t>D01237</t>
  </si>
  <si>
    <t>D01337</t>
  </si>
  <si>
    <t>D01338</t>
  </si>
  <si>
    <t>D01339</t>
  </si>
  <si>
    <t>D01340</t>
  </si>
  <si>
    <t>D01341</t>
  </si>
  <si>
    <t>D01342</t>
  </si>
  <si>
    <t>D01343</t>
  </si>
  <si>
    <t>D01344</t>
  </si>
  <si>
    <t>D01345</t>
  </si>
  <si>
    <t>D01346</t>
  </si>
  <si>
    <t>D00980</t>
  </si>
  <si>
    <t>D00981</t>
  </si>
  <si>
    <t>D00982</t>
  </si>
  <si>
    <t>D00997</t>
  </si>
  <si>
    <t>제 1호표  배전반 설치 ＊ TS STEEL 일반형</t>
  </si>
  <si>
    <t>자립형 W800×H2,000 내외 ＊ 550×700×150, 1.0T</t>
  </si>
  <si>
    <t>자립형 W800×H2,000 내외 ＊ 550×800×150, 1.0T</t>
  </si>
  <si>
    <t>제 1호표  배전반 설치 ＊ TR STEEL 옥외이중방수형</t>
  </si>
  <si>
    <t>자립형 W800×H2,000 내외 ＊ 400×500×280, 1.6T</t>
  </si>
  <si>
    <t>자립형 W800×H2,000 내외 ＊ 500×600×320, 1.6T</t>
  </si>
  <si>
    <t>자립형 W800×H2,000 내외 ＊ 600×800×350, 1.6T</t>
  </si>
  <si>
    <t>자립형 W800×H2,000 내외 ＊ 600×1,000×350, 1.6T</t>
  </si>
  <si>
    <t>자립형 W800×H2,000 내외 ＊ 700×1,300×400, 1.6T</t>
  </si>
  <si>
    <t>제 1호표  배전반 설치 ＊ TSOD STS 옥외방수</t>
  </si>
  <si>
    <t>자립형 W800×H2,000 내외 ＊ 500×600×200, 1.2T</t>
  </si>
  <si>
    <t>자립형 W800×H2,000 내외 ＊ 600×800×250, 1.2T</t>
  </si>
  <si>
    <t>자립형 W800×H2,000 내외 ＊ 600×900×250, 1.2T</t>
  </si>
  <si>
    <t>자립형 W800×H2,000 내외 ＊ 700×1,000×250, 1.2T</t>
  </si>
  <si>
    <t>제 2호표  풀박스(Pull Box) 설치(벽면) ＊ 콘트롤BOX</t>
  </si>
  <si>
    <t>250㎜X250㎜X200㎜이하 ＊ DS-01, 플라스틱중판, 가로200×세로300×높이180</t>
  </si>
  <si>
    <t>250㎜X250㎜X200㎜이하 ＊ DS-012, 플라스틱중판, 가로225×세로275×높이120</t>
  </si>
  <si>
    <t>제 3호표  풀박스(Pull Box) 설치(벽면) ＊ 콘트롤BOX</t>
  </si>
  <si>
    <t>400㎜X400㎜X300㎜이하 ＊ DS-03, 플라스틱중판, 가로400×세로500×높이200</t>
  </si>
  <si>
    <t>제 6호표  접지선 매설 ＊ F-GV</t>
  </si>
  <si>
    <t>240㎟ 초과 ＊ 300㎟</t>
  </si>
  <si>
    <t>제 2호표  합성수지 파형관 설치 ＊ 파상형경질지중전선관</t>
  </si>
  <si>
    <t>30㎜ 이하 ＊ 내경 30㎜, 외경 40±2.0㎜, 피치 10㎜, 두께 1.3㎜, 길이 100m</t>
  </si>
  <si>
    <t>제 3호표  합성수지 파형관 설치 ＊ 파상형경질지중전선관</t>
  </si>
  <si>
    <t>50㎜ 이하 ＊ 내경 40㎜, 외경 53±2.0㎜, 피치 13㎜, 두께 1.3㎜, 길이 100m</t>
  </si>
  <si>
    <t>50㎜ 이하 ＊ 내경 50㎜, 외경 64±2.5㎜, 피치 17㎜, 두께 1.3㎜, 길이 100m</t>
  </si>
  <si>
    <t>제 4호표  합성수지 파형관 설치 ＊ 파상형경질지중전선관</t>
  </si>
  <si>
    <t>80㎜ 이하 ＊ 내경 65㎜, 외경 84±2.5㎜, 피치 21㎜, 두께 1.5㎜, 길이 100m</t>
  </si>
  <si>
    <t>80㎜ 이하 ＊ 내경 80㎜, 외경 105±3㎜, 피치 25㎜, 두께 1.5㎜, 길이 100m</t>
  </si>
  <si>
    <t>제 6호표  합성수지 파형관 설치 ＊ 파상형경질지중전선관</t>
  </si>
  <si>
    <t>125㎜ 이하 ＊ 내경 125㎜, 외경 160±4㎜, 피치 38㎜, 두께 2.5㎜, 길이 50m</t>
  </si>
  <si>
    <t>제 7호표  합성수지 파형관 설치 ＊ 파상형경질지중전선관</t>
  </si>
  <si>
    <t>150㎜ 이하 ＊ 내경 150㎜, 외경 188±4㎜, 피치 45㎜, 두께 3.0㎜, 길이 50m</t>
  </si>
  <si>
    <t>제 8호표  합성수지 파형관 설치 ＊ 파상형경질지중전선관</t>
  </si>
  <si>
    <t>175㎜ 이하 ＊ 내경 175㎜, 외경 230±4㎜, 피치 53㎜, 두께 3.5㎜, 길이 30m</t>
  </si>
  <si>
    <t>제 9호표  합성수지 파형관 설치 ＊ 파상형경질지중전선관</t>
  </si>
  <si>
    <t>200㎜ 이하 ＊ 내경 200㎜, 외경 260±4㎜, 피치 59㎜, 두께 4.0㎜, 길이 30m</t>
  </si>
  <si>
    <t>제 1호표  600V 이하 전력 케이블 단말처리 ＊ 동관단자</t>
  </si>
  <si>
    <t>16㎟ 이하 1C ＊ 16㎟ 1Hole</t>
  </si>
  <si>
    <t>제 2호표  600V 이하 전력 케이블 단말처리 ＊ 동관단자</t>
  </si>
  <si>
    <t>25㎟ 이하 1C ＊ 25㎟ 1Hole</t>
  </si>
  <si>
    <t>제 3호표  600V 이하 전력 케이블 단말처리 ＊ 동관단자</t>
  </si>
  <si>
    <t>35㎟ 이하 1C ＊ 35㎟ 1Hole</t>
  </si>
  <si>
    <t>제 4호표  600V 이하 전력 케이블 단말처리 ＊ 동관단자</t>
  </si>
  <si>
    <t>50㎟ 이하 1C ＊ 50㎟ 1Hole</t>
  </si>
  <si>
    <t>제 5호표  600V 이하 전력 케이블 단말처리 ＊ 동관단자</t>
  </si>
  <si>
    <t>70㎟ 이하 1C ＊ 70㎟ 1Hole</t>
  </si>
  <si>
    <t>제 6호표  600V 이하 전력 케이블 단말처리 ＊ 동관단자</t>
  </si>
  <si>
    <t>95㎟ 이하 1C ＊ 95㎟ 1Hole</t>
  </si>
  <si>
    <t>제 7호표  600V 이하 전력 케이블 단말처리 ＊ 동관단자</t>
  </si>
  <si>
    <t>120㎟ 이하 1C ＊ 120㎟ 1Hole</t>
  </si>
  <si>
    <t>제 8호표  600V 이하 전력 케이블 단말처리 ＊ 동관단자</t>
  </si>
  <si>
    <t>185㎟ 이하 1C ＊ 185㎟ 1Hole</t>
  </si>
  <si>
    <t>제 9호표  600V 이하 전력 케이블 단말처리 ＊ 동관단자</t>
  </si>
  <si>
    <t>240㎟ 이하 1C ＊ 240㎟ 1Hole</t>
  </si>
  <si>
    <t>제 10호표  600V 이하 전력 케이블 단말처리 ＊ 동관단자</t>
  </si>
  <si>
    <t>300㎟ 이하 1C ＊ 300㎟ 1Hole</t>
  </si>
  <si>
    <t>제 12호표  600V 이하 전력 케이블 단말처리 ＊ 동관단자</t>
  </si>
  <si>
    <t>500㎟ 이하 1C ＊ 500㎟ 1Hole</t>
  </si>
  <si>
    <t>제 2호표  600V 이하 전력 케이블 단말처리 ＊ IEC 온도변화용 동관단자</t>
  </si>
  <si>
    <t>25㎟ 이하 1C ＊ 25-1H</t>
  </si>
  <si>
    <t>제 3호표  600V 이하 전력 케이블 단말처리 ＊ IEC 온도변화용 동관단자</t>
  </si>
  <si>
    <t>35㎟ 이하 1C ＊ 35-1H</t>
  </si>
  <si>
    <t>제 4호표  600V 이하 전력 케이블 단말처리 ＊ IEC 온도변화용 동관단자</t>
  </si>
  <si>
    <t>50㎟ 이하 1C ＊ 50-1H</t>
  </si>
  <si>
    <t>제 6호표  600V 이하 전력 케이블 단말처리 ＊ IEC 온도변화용 동관단자</t>
  </si>
  <si>
    <t>95㎟ 이하 1C ＊ 95-1H</t>
  </si>
  <si>
    <t>제 7호표  600V 이하 전력 케이블 단말처리 ＊ IEC 온도변화용 동관단자</t>
  </si>
  <si>
    <t>120㎟ 이하 1C ＊ 120-1H</t>
  </si>
  <si>
    <t>제 6호표  금속가요 전선관 ＊ KOFLEX플렉시블전선관(일반방수)</t>
  </si>
  <si>
    <t>54㎜이하 ＊ GW-54, 52.0, 59.0</t>
  </si>
  <si>
    <t>제 7호표  금속가요 전선관 ＊ KOFLEX플렉시블전선관(일반방수)</t>
  </si>
  <si>
    <t>70㎜이하 ＊ GW-70, 64.0, 73.0</t>
  </si>
  <si>
    <t>제 8호표  금속가요 전선관 ＊ KOFLEX플렉시블전선관(일반방수)</t>
  </si>
  <si>
    <t>82㎜이하 ＊ GW-82, 79.0, 88.0</t>
  </si>
  <si>
    <t>제 1호표  금속가요 전선관 ＊ KOFLEX플렉시블전선관(고장력비방수)</t>
  </si>
  <si>
    <t>16㎜이하 ＊ SF-16, 16.0, 19.0</t>
  </si>
  <si>
    <t>제 2호표  금속가요 전선관 ＊ KOFLEX플렉시블전선관(고장력비방수)</t>
  </si>
  <si>
    <t>22㎜이하 ＊ SF-22, 21.0, 24.0</t>
  </si>
  <si>
    <t>제 3호표  금속가요 전선관 ＊ KOFLEX플렉시블전선관(고장력비방수)</t>
  </si>
  <si>
    <t>28㎜이하 ＊ SF-28, 27.5, 30.5</t>
  </si>
  <si>
    <t>제 4호표  금속가요 전선관 ＊ KOFLEX플렉시블전선관(고장력비방수)</t>
  </si>
  <si>
    <t>36㎜이하 ＊ SF-36, 35.5, 39.0</t>
  </si>
  <si>
    <t>제 5호표  금속가요 전선관 ＊ KOFLEX플렉시블전선관(고장력비방수)</t>
  </si>
  <si>
    <t>42㎜이하 ＊ SF-42, 40.5, 44.5</t>
  </si>
  <si>
    <t>제 6호표  금속가요 전선관 ＊ KOFLEX플렉시블전선관(고장력비방수)</t>
  </si>
  <si>
    <t>54㎜이하 ＊ SF-54, 52.0, 56.0</t>
  </si>
  <si>
    <t>제 7호표  금속가요 전선관 ＊ KOFLEX플렉시블전선관(고장력비방수)</t>
  </si>
  <si>
    <t>70㎜이하 ＊ SF-70, 64.0, 69.0</t>
  </si>
  <si>
    <t>제 8호표  금속가요 전선관 ＊ KOFLEX플렉시블전선관(고장력비방수)</t>
  </si>
  <si>
    <t>82㎜이하 ＊ SF-82, 79.0, 84.0</t>
  </si>
  <si>
    <t>제 3호표  박스(Box) 설치 ＊ 스위치박스</t>
  </si>
  <si>
    <t>Switch Box(2개용이하) ＊ 1개용 S/W Box H44(1½)㎜</t>
  </si>
  <si>
    <t>Switch Box(2개용이하) ＊ 1개용 S/W Box H54(2)㎜</t>
  </si>
  <si>
    <t>Switch Box(2개용이하) ＊ 1개용 S/W Box H75(3)㎜</t>
  </si>
  <si>
    <t>Switch Box(2개용이하) ＊ 2개용 S/W Box H44(1½)㎜</t>
  </si>
  <si>
    <t>Switch Box(2개용이하) ＊ 2개용 S/W Box H54(2)㎜</t>
  </si>
  <si>
    <t>Switch Box(2개용이하) ＊ 2개용 S/W Box H75(3)㎜</t>
  </si>
  <si>
    <t>제 5호표  박스(Box) 설치 ＊ 노출스위치박스(1개용)</t>
  </si>
  <si>
    <t>노출형 Box(콘크리트노출기준) ＊ 16㎜, 1방출</t>
  </si>
  <si>
    <t>노출형 Box(콘크리트노출기준) ＊ 22㎜, 1방출</t>
  </si>
  <si>
    <t>노출형 Box(콘크리트노출기준) ＊ 28㎜, 1방출</t>
  </si>
  <si>
    <t>노출형 Box(콘크리트노출기준) ＊ 16㎜, 2방출</t>
  </si>
  <si>
    <t>노출형 Box(콘크리트노출기준) ＊ 22㎜, 2방출</t>
  </si>
  <si>
    <t>노출형 Box(콘크리트노출기준) ＊ 28㎜, 2방출</t>
  </si>
  <si>
    <t>제 5호표  박스(Box) 설치 ＊ 노출스위치박스(2개용)</t>
  </si>
  <si>
    <t>제 1호표  풀박스(Pull Box) 설치(벽면) ＊ 풀박스</t>
  </si>
  <si>
    <t>100㎜X100㎜X100㎜이하 ＊ 100×100×50×1.0</t>
  </si>
  <si>
    <t>100㎜X100㎜X100㎜이하 ＊ 100×100×75×1.0</t>
  </si>
  <si>
    <t>100㎜X100㎜X100㎜이하 ＊ 100×100×100×1.0</t>
  </si>
  <si>
    <t>제 2호표  풀박스(Pull Box) 설치(벽면) ＊ 풀박스</t>
  </si>
  <si>
    <t>250㎜X250㎜X200㎜이하 ＊ 150×150×150×1.0</t>
  </si>
  <si>
    <t>250㎜X250㎜X200㎜이하 ＊ 200×200×100×1.0</t>
  </si>
  <si>
    <t>250㎜X250㎜X200㎜이하 ＊ 200×200×150×1.0</t>
  </si>
  <si>
    <t>250㎜X250㎜X200㎜이하 ＊ 250×250×100×1.0</t>
  </si>
  <si>
    <t>250㎜X250㎜X200㎜이하 ＊ 250×250×150×1.0</t>
  </si>
  <si>
    <t>250㎜X250㎜X200㎜이하 ＊ 250×250×200×1.0</t>
  </si>
  <si>
    <t>제 3호표  풀박스(Pull Box) 설치(벽면) ＊ 풀박스</t>
  </si>
  <si>
    <t>400㎜X400㎜X300㎜이하 ＊ 300×300×150×1.0</t>
  </si>
  <si>
    <t>400㎜X400㎜X300㎜이하 ＊ 300×300×200×1.0</t>
  </si>
  <si>
    <t>400㎜X400㎜X300㎜이하 ＊ 300×300×300×1.0</t>
  </si>
  <si>
    <t>400㎜X400㎜X300㎜이하 ＊ 400×400×200×1.0</t>
  </si>
  <si>
    <t>400㎜X400㎜X300㎜이하 ＊ 400×400×300×1.0</t>
  </si>
  <si>
    <t>제 4호표  풀박스(Pull Box) 설치(벽면) ＊ 풀박스</t>
  </si>
  <si>
    <t>700㎜X700㎜X400㎜이하 ＊ 500×500×200×1.0</t>
  </si>
  <si>
    <t>700㎜X700㎜X400㎜이하 ＊ 500×500×300×1.0</t>
  </si>
  <si>
    <t>700㎜X700㎜X400㎜이하 ＊ 600×600×300×1.0</t>
  </si>
  <si>
    <t>700㎜X700㎜X400㎜이하 ＊ 600×600×400×1.0</t>
  </si>
  <si>
    <t>400㎜X400㎜X300㎜이하 ＊ DS-01, 플라스틱중판, 가로200×세로300×높이180</t>
  </si>
  <si>
    <t>400㎜X400㎜X300㎜이하 ＊ DS-012, 플라스틱중판, 가로225×세로275×높이120</t>
  </si>
  <si>
    <t>400㎜X400㎜X300㎜이하 ＊ DS-015, 플라스틱중판, 가로200×세로300×높이150</t>
  </si>
  <si>
    <t>400㎜X400㎜X300㎜이하 ＊ DS-02, 플라스틱중판, 가로300×세로400×높이180</t>
  </si>
  <si>
    <t>제 4호표  풀박스(Pull Box) 설치(벽면) ＊ 콘트롤BOX</t>
  </si>
  <si>
    <t>700㎜X700㎜X400㎜이하 ＊ DS-03, 플라스틱중판, 가로400×세로500×높이200</t>
  </si>
  <si>
    <t>제 3호표  금속 덕트 설치(단면적) ＊ CABLE DUCT(바닥밀폐형, SOLID BOTTOM TRAY, 2.3T용융도금)</t>
  </si>
  <si>
    <t>100X 100㎜ 이하(100㎠) ＊ STRAIGHT, W100×H100</t>
  </si>
  <si>
    <t>제 4호표  금속 덕트 설치(단면적) ＊ CABLE DUCT(바닥밀폐형, SOLID BOTTOM TRAY, 2.3T용융도금)</t>
  </si>
  <si>
    <t>150 X 100㎜ 이하(150㎠) ＊ STRAIGHT, W150×H100</t>
  </si>
  <si>
    <t>제 6호표  금속 덕트 설치(단면적) ＊ CABLE DUCT(바닥밀폐형, SOLID BOTTOM TRAY, 2.3T용융도금)</t>
  </si>
  <si>
    <t>300 X 100㎜ 이하(300㎠) ＊ STRAIGHT, W300×H100</t>
  </si>
  <si>
    <t>제 7호표  금속 덕트 설치(단면적) ＊ CABLE DUCT(바닥밀폐형, SOLID BOTTOM TRAY, 2.3T용융도금)</t>
  </si>
  <si>
    <t>400 X 150㎜ 이하(600㎠) ＊ STRAIGHT, W400×H100</t>
  </si>
  <si>
    <t>400 X 150㎜ 이하(600㎠) ＊ STRAIGHT, W450×H100</t>
  </si>
  <si>
    <t>400 X 150㎜ 이하(600㎠) ＊ STRAIGHT, W500×H100</t>
  </si>
  <si>
    <t>제 8호표  금속 덕트 설치(단면적) ＊ CABLE DUCT(바닥밀폐형, SOLID BOTTOM TRAY, 2.3T용융도금)</t>
  </si>
  <si>
    <t>500 X 200㎜ 이하(1,000㎠) ＊ STRAIGHT, W700×H100</t>
  </si>
  <si>
    <t>500 X 200㎜ 이하(1,000㎠) ＊ STRAIGHT, W800×H100</t>
  </si>
  <si>
    <t>500 X 200㎜ 이하(1,000㎠) ＊ STRAIGHT, W900×H100</t>
  </si>
  <si>
    <t>500 X 200㎜ 이하(1,000㎠) ＊ STRAIGHT, W1000×H100</t>
  </si>
  <si>
    <t>100X 100㎜ 이하(100㎠) ＊ HOR(VER)-ELBOW/C, W100×H100</t>
  </si>
  <si>
    <t>150 X 100㎜ 이하(150㎠) ＊ HOR(VER)-ELBOW/C, W150×H100</t>
  </si>
  <si>
    <t>제 5호표  금속 덕트 설치(단면적) ＊ CABLE DUCT(바닥밀폐형, SOLID BOTTOM TRAY, 2.3T용융도금)</t>
  </si>
  <si>
    <t>200 X 100㎜ 이하(200㎠) ＊ HOR(VER)-ELBOW/C, W200×H100</t>
  </si>
  <si>
    <t>300 X 100㎜ 이하(300㎠) ＊ HOR(VER)-ELBOW/C, W300×H100</t>
  </si>
  <si>
    <t>400 X 150㎜ 이하(600㎠) ＊ HOR(VER)-ELBOW/C, W400×H100</t>
  </si>
  <si>
    <t>400 X 150㎜ 이하(600㎠) ＊ HOR(VER)-ELBOW/C, W450×H100</t>
  </si>
  <si>
    <t>400 X 150㎜ 이하(600㎠) ＊ HOR(VER)-ELBOW/C, W500×H100</t>
  </si>
  <si>
    <t>400 X 150㎜ 이하(600㎠) ＊ HOR(VER)-ELBOW/C, W600×H100</t>
  </si>
  <si>
    <t>500 X 200㎜ 이하(1,000㎠) ＊ HOR(VER)-ELBOW/C, W700×H100</t>
  </si>
  <si>
    <t>500 X 200㎜ 이하(1,000㎠) ＊ HOR(VER)-ELBOW/C, W800×H100</t>
  </si>
  <si>
    <t>500 X 200㎜ 이하(1,000㎠) ＊ HOR(VER)-ELBOW/C, W1000×H100</t>
  </si>
  <si>
    <t>100X 100㎜ 이하(100㎠) ＊ HOR-TEE/C, W100×H100</t>
  </si>
  <si>
    <t>150 X 100㎜ 이하(150㎠) ＊ HOR-TEE/C, W150×H100</t>
  </si>
  <si>
    <t>제 8호표  600V 이하 전력 케이블 단말처리 ＊ IEC 온도변화용 동관단자</t>
  </si>
  <si>
    <t>185㎟ 이하 1C ＊ 150-1H</t>
  </si>
  <si>
    <t>185㎟ 이하 1C ＊ 185-1H</t>
  </si>
  <si>
    <t>제 9호표  600V 이하 전력 케이블 단말처리 ＊ IEC 온도변화용 동관단자</t>
  </si>
  <si>
    <t>240㎟ 이하 1C ＊ 240-1H</t>
  </si>
  <si>
    <t>제 10호표  600V 이하 전력 케이블 단말처리 ＊ IEC 온도변화용 동관단자</t>
  </si>
  <si>
    <t>300㎟ 이하 1C ＊ 300-1H</t>
  </si>
  <si>
    <t>제 11호표  600V 이하 전력 케이블 단말처리 ＊ IEC 온도변화용 동관단자</t>
  </si>
  <si>
    <t>400㎟ 이하 1C ＊ 400-1H</t>
  </si>
  <si>
    <t>제 12호표  600V 이하 전력 케이블 단말처리 ＊ IEC 온도변화용 동관단자</t>
  </si>
  <si>
    <t>500㎟ 이하 1C ＊ 500-1H</t>
  </si>
  <si>
    <t>25㎟ 이하 1C ＊ 25-2H</t>
  </si>
  <si>
    <t>35㎟ 이하 1C ＊ 35-2H</t>
  </si>
  <si>
    <t>50㎟ 이하 1C ＊ 50-2H</t>
  </si>
  <si>
    <t>제 5호표  600V 이하 전력 케이블 단말처리 ＊ IEC 온도변화용 동관단자</t>
  </si>
  <si>
    <t>70㎟ 이하 1C ＊ 70-2H</t>
  </si>
  <si>
    <t>120㎟ 이하 1C ＊ 120-2H</t>
  </si>
  <si>
    <t>185㎟ 이하 1C ＊ 150-2H</t>
  </si>
  <si>
    <t>185㎟ 이하 1C ＊ 185-2H</t>
  </si>
  <si>
    <t>240㎟ 이하 1C ＊ 240-2H</t>
  </si>
  <si>
    <t>400㎟ 이하 1C ＊ 400-2H</t>
  </si>
  <si>
    <t>500㎟ 이하 1C ＊ 500-2H</t>
  </si>
  <si>
    <t>25㎟ 이하 1C ＊ 25㎟ 2Hole</t>
  </si>
  <si>
    <t>50㎟ 이하 1C ＊ 50㎟ 2Hole</t>
  </si>
  <si>
    <t>70㎟ 이하 1C ＊ 70㎟ 2Hole</t>
  </si>
  <si>
    <t>95㎟ 이하 1C ＊ 95㎟ 2Hole</t>
  </si>
  <si>
    <t>185㎟ 이하 1C ＊ 150㎟ 2Hole</t>
  </si>
  <si>
    <t>185㎟ 이하 1C ＊ 185㎟ 2Hole</t>
  </si>
  <si>
    <t>240㎟ 이하 1C ＊ 240㎟ 2Hole</t>
  </si>
  <si>
    <t>300㎟ 이하 1C ＊ 300㎟ 2Hole</t>
  </si>
  <si>
    <t>제 11호표  600V 이하 전력 케이블 단말처리 ＊ 동관단자</t>
  </si>
  <si>
    <t>400㎟ 이하 1C ＊ 400㎟ 2Hole</t>
  </si>
  <si>
    <t>500㎟ 이하 1C ＊ 500㎟ 2Hole</t>
  </si>
  <si>
    <t>제 1호표  600V 이하 전력 케이블 단말처리 ＊ 슬리브</t>
  </si>
  <si>
    <t>16㎟ 이하 1C ＊ B형, 16SQ</t>
  </si>
  <si>
    <t>제 2호표  600V 이하 전력 케이블 단말처리 ＊ 슬리브</t>
  </si>
  <si>
    <t>25㎟ 이하 1C ＊ B형, 25SQ</t>
  </si>
  <si>
    <t>제 3호표  600V 이하 전력 케이블 단말처리 ＊ 슬리브</t>
  </si>
  <si>
    <t>35㎟ 이하 1C ＊ B형, 35SQ</t>
  </si>
  <si>
    <t>제 4호표  600V 이하 전력 케이블 단말처리 ＊ 슬리브</t>
  </si>
  <si>
    <t>50㎟ 이하 1C ＊ B형, 50SQ</t>
  </si>
  <si>
    <t>제 5호표  600V 이하 전력 케이블 단말처리 ＊ 슬리브</t>
  </si>
  <si>
    <t>70㎟ 이하 1C ＊ B형, 70SQ</t>
  </si>
  <si>
    <t>제 6호표  600V 이하 전력 케이블 단말처리 ＊ 슬리브</t>
  </si>
  <si>
    <t>95㎟ 이하 1C ＊ B형, 95SQ</t>
  </si>
  <si>
    <t>제 7호표  600V 이하 전력 케이블 단말처리 ＊ 슬리브</t>
  </si>
  <si>
    <t>120㎟ 이하 1C ＊ B형, 120SQ</t>
  </si>
  <si>
    <t>제 8호표  600V 이하 전력 케이블 단말처리 ＊ 슬리브</t>
  </si>
  <si>
    <t>185㎟ 이하 1C ＊ B형, 150SQ</t>
  </si>
  <si>
    <t>185㎟ 이하 1C ＊ B형, 185SQ</t>
  </si>
  <si>
    <t>제 2호표  합성수지 전선관 ＊ 콘크리트매설용(난연CD)</t>
  </si>
  <si>
    <t>16㎜이하 ＊ 대전, 16㎜, 외경 21㎜, 길이 100m</t>
  </si>
  <si>
    <t>제 3호표  합성수지 전선관 ＊ 콘크리트매설용(난연CD)</t>
  </si>
  <si>
    <t>22㎜이하 ＊ 대전, 22㎜, 외경 28㎜, 길이 100m</t>
  </si>
  <si>
    <t>제 4호표  합성수지 전선관 ＊ 콘크리트매설용(난연CD)</t>
  </si>
  <si>
    <t>28㎜이하 ＊ 대전, 28㎜, 외경 34㎜, 길이 50m</t>
  </si>
  <si>
    <t>제 5호표  합성수지 전선관 ＊ 콘크리트매설용(난연CD)</t>
  </si>
  <si>
    <t>36㎜이하 ＊ 대전, 36㎜, 외경 42㎜, 길이 50m</t>
  </si>
  <si>
    <t>제 2호표  합성수지 전선관 ＊ 내충격용HI-VE전선관</t>
  </si>
  <si>
    <t>16㎜이하 ＊ 16㎜, 외경22㎜, 두께2.0㎜, 근사내경18㎜, 중량180g/m</t>
  </si>
  <si>
    <t>제 4호표  합성수지 전선관 ＊ 내충격용HI-VE전선관</t>
  </si>
  <si>
    <t>28㎜이하 ＊ 28㎜, 외경34㎜, 두께3.0㎜, 근사내경28㎜, 중량418g/m</t>
  </si>
  <si>
    <t>제 5호표  합성수지 전선관 ＊ 내충격용HI-VE전선관</t>
  </si>
  <si>
    <t>36㎜이하 ＊ 36㎜, 외경42㎜, 두께3.5㎜, 근사내경35㎜, 중량605g/m</t>
  </si>
  <si>
    <t>제 6호표  합성수지 전선관 ＊ 내충격용HI-VE전선관</t>
  </si>
  <si>
    <t>42㎜이하 ＊ 42㎜, 외경48㎜, 두께4.0㎜, 근사내경40㎜, 중량791g/m</t>
  </si>
  <si>
    <t>제 7호표  합성수지 전선관 ＊ 내충격용HI-VE전선관</t>
  </si>
  <si>
    <t>54㎜이하 ＊ 54㎜, 외경60㎜, 두께4.5㎜, 근사내경51㎜, 중량1,122g/m</t>
  </si>
  <si>
    <t>제 8호표  합성수지 전선관 ＊ 내충격용HI-VE전선관</t>
  </si>
  <si>
    <t>70㎜이하 ＊ 70㎜, 외경76㎜, 두께4.5㎜, 근사내경67㎜, 중량1,445g/m</t>
  </si>
  <si>
    <t>제 9호표  합성수지 전선관 ＊ 내충격용HI-VE전선관</t>
  </si>
  <si>
    <t>82㎜이하 ＊ 82㎜, 외경89㎜, 두께5.9㎜, 근사내경77㎜, 중량2,202g/m</t>
  </si>
  <si>
    <t>제 11호표  합성수지 전선관 ＊ 내충격용HI-VE전선관</t>
  </si>
  <si>
    <t>104㎜이하 ＊ 104㎜, 외경114㎜, 두께6.5㎜, 근사내경101㎜, 중량3.138g/m</t>
  </si>
  <si>
    <t>제 1호표  후강 전선관 ＊ 후강전선관 아연도금</t>
  </si>
  <si>
    <t>16㎜이하 ＊ 16㎜, 외경21.0㎜, 두께2.3㎜, 중량1.06㎏/m</t>
  </si>
  <si>
    <t>제 2호표  후강 전선관 ＊ 후강전선관 아연도금</t>
  </si>
  <si>
    <t>22㎜이하 ＊ 22㎜, 외경26.5㎜, 두께2.3㎜, 중량1.37㎏/m</t>
  </si>
  <si>
    <t>제 3호표  후강 전선관 ＊ 후강전선관 아연도금</t>
  </si>
  <si>
    <t>28㎜이하 ＊ 28㎜, 외경33.3㎜, 두께2.5㎜, 중량1.90㎏/m</t>
  </si>
  <si>
    <t>제 4호표  후강 전선관 ＊ 후강전선관 아연도금</t>
  </si>
  <si>
    <t>36㎜이하 ＊ 36㎜, 외경41.9㎜, 두께2.5㎜, 중량2.43㎏/m</t>
  </si>
  <si>
    <t>제 5호표  후강 전선관 ＊ 후강전선관 아연도금</t>
  </si>
  <si>
    <t>42㎜이하 ＊ 42㎜, 외경47.8㎜, 두께2.5㎜, 중량2.79㎏/m</t>
  </si>
  <si>
    <t>제 6호표  후강 전선관 ＊ 후강전선관 아연도금</t>
  </si>
  <si>
    <t>54㎜이하 ＊ 54㎜, 외경56.9㎜, 두께2.8㎜, 중량3.92㎏/m</t>
  </si>
  <si>
    <t>제 7호표  후강 전선관 ＊ 후강전선관 아연도금</t>
  </si>
  <si>
    <t>70㎜이하 ＊ 70㎜, 외경75.2㎜, 두께2.8㎜, 중량5.00㎏/m</t>
  </si>
  <si>
    <t>제 8호표  후강 전선관 ＊ 후강전선관 아연도금</t>
  </si>
  <si>
    <t>82㎜이하 ＊ 82㎜, 외경87.9㎜, 두께2.8㎜, 중량5.88㎏/m</t>
  </si>
  <si>
    <t>제 10호표  후강 전선관 ＊ 후강전선관 아연도금</t>
  </si>
  <si>
    <t>104㎜이하 ＊ 104㎜, 외경113.4㎜, 두께3.5㎜, 중량9.48㎏/m</t>
  </si>
  <si>
    <t>제 1호표  금속가요 전선관 ＊ KOFLEX플렉시블전선관(고장력방수)</t>
  </si>
  <si>
    <t>16㎜이하 ＊ SW-16, 16.0, 21.0</t>
  </si>
  <si>
    <t>제 2호표  금속가요 전선관 ＊ KOFLEX플렉시블전선관(고장력방수)</t>
  </si>
  <si>
    <t>22㎜이하 ＊ SW-22, 21.0, 26.0</t>
  </si>
  <si>
    <t>제 3호표  금속가요 전선관 ＊ KOFLEX플렉시블전선관(고장력방수)</t>
  </si>
  <si>
    <t>28㎜이하 ＊ SW-28, 27.5, 33.0</t>
  </si>
  <si>
    <t>제 4호표  금속가요 전선관 ＊ KOFLEX플렉시블전선관(고장력방수)</t>
  </si>
  <si>
    <t>36㎜이하 ＊ SW-36, 35.5, 42.0</t>
  </si>
  <si>
    <t>제 5호표  금속가요 전선관 ＊ KOFLEX플렉시블전선관(고장력방수)</t>
  </si>
  <si>
    <t>42㎜이하 ＊ SW-42, 40.5, 47.5</t>
  </si>
  <si>
    <t>제 6호표  금속가요 전선관 ＊ KOFLEX플렉시블전선관(고장력방수)</t>
  </si>
  <si>
    <t>54㎜이하 ＊ SW-54, 52.0, 59.0</t>
  </si>
  <si>
    <t>제 7호표  금속가요 전선관 ＊ KOFLEX플렉시블전선관(고장력방수)</t>
  </si>
  <si>
    <t>70㎜이하 ＊ SW-70, 64.0, 73.0</t>
  </si>
  <si>
    <t>제 10호표  금속가요 전선관 ＊ KOFLEX플렉시블전선관(고장력방수)</t>
  </si>
  <si>
    <t>104㎜이하 ＊ SW-104, 103.0, 113.0</t>
  </si>
  <si>
    <t>제 1호표  금속가요 전선관 ＊ KOFLEX플렉시블전선관(일반방수)</t>
  </si>
  <si>
    <t>16㎜이하 ＊ GW-16, 16.0, 21.0</t>
  </si>
  <si>
    <t>제 2호표  금속가요 전선관 ＊ KOFLEX플렉시블전선관(일반방수)</t>
  </si>
  <si>
    <t>22㎜이하 ＊ GW-22, 21.0, 26.5</t>
  </si>
  <si>
    <t>제 3호표  금속가요 전선관 ＊ KOFLEX플렉시블전선관(일반방수)</t>
  </si>
  <si>
    <t>28㎜이하 ＊ GW-28, 27.5, 33.0</t>
  </si>
  <si>
    <t>제 5호표  금속가요 전선관 ＊ KOFLEX플렉시블전선관(일반방수)</t>
  </si>
  <si>
    <t>42㎜이하 ＊ GW-42, 40.5, 47.5</t>
  </si>
  <si>
    <t>200 X 100㎜ 이하(200㎠) ＊ HOR-TEE/C, W200×H100</t>
  </si>
  <si>
    <t>300 X 100㎜ 이하(300㎠) ＊ HOR-TEE/C, W300×H100</t>
  </si>
  <si>
    <t>400 X 150㎜ 이하(600㎠) ＊ HOR-TEE/C, W400×H100</t>
  </si>
  <si>
    <t>400 X 150㎜ 이하(600㎠) ＊ HOR-TEE/C, W450×H100</t>
  </si>
  <si>
    <t>400 X 150㎜ 이하(600㎠) ＊ HOR-TEE/C, W500×H100</t>
  </si>
  <si>
    <t>400 X 150㎜ 이하(600㎠) ＊ HOR-TEE/C, W600×H100</t>
  </si>
  <si>
    <t>500 X 200㎜ 이하(1,000㎠) ＊ HOR-TEE/C, W700×H100</t>
  </si>
  <si>
    <t>500 X 200㎜ 이하(1,000㎠) ＊ HOR-TEE/C, W800×H100</t>
  </si>
  <si>
    <t>500 X 200㎜ 이하(1,000㎠) ＊ HOR-TEE/C, W900×H100</t>
  </si>
  <si>
    <t>500 X 200㎜ 이하(1,000㎠) ＊ HOR-TEE/C, W1000×H100</t>
  </si>
  <si>
    <t>150 X 100㎜ 이하(150㎠) ＊ HOR-CROSS/C, W150×H100</t>
  </si>
  <si>
    <t>200 X 100㎜ 이하(200㎠) ＊ HOR-CROSS/C, W200×H100</t>
  </si>
  <si>
    <t>300 X 100㎜ 이하(300㎠) ＊ HOR-CROSS/C, W300×H100</t>
  </si>
  <si>
    <t>400 X 150㎜ 이하(600㎠) ＊ HOR-CROSS/C, W400×H100</t>
  </si>
  <si>
    <t>400 X 150㎜ 이하(600㎠) ＊ HOR-CROSS/C, W500×H100</t>
  </si>
  <si>
    <t>400 X 150㎜ 이하(600㎠) ＊ HOR-CROSS/C, W600×H100</t>
  </si>
  <si>
    <t>500 X 200㎜ 이하(1,000㎠) ＊ HOR-CROSS/C, W700×H100</t>
  </si>
  <si>
    <t>500 X 200㎜ 이하(1,000㎠) ＊ HOR-CROSS/C, W800×H100</t>
  </si>
  <si>
    <t>500 X 200㎜ 이하(1,000㎠) ＊ HOR-CROSS/C, W1000×H100</t>
  </si>
  <si>
    <t>제 1호표  금속 덕트 설치(단면적) ＊ AL 덕트(분체도장가능)</t>
  </si>
  <si>
    <t>60 X 30㎜ 이하(18㎠) ＊ 50×35㎜, 1M (포장수:30), 3M</t>
  </si>
  <si>
    <t>제 2호표  금속 덕트 설치(단면적) ＊ AL 덕트(분체도장가능)</t>
  </si>
  <si>
    <t>100 X 50㎜ 이하(50㎠) ＊ 60×60㎜, 1M (포장수:30), 3M</t>
  </si>
  <si>
    <t>100 X 50㎜ 이하(50㎠) ＊ 70×40㎜, 1M (포장수:30), 3M</t>
  </si>
  <si>
    <t>100 X 50㎜ 이하(50㎠) ＊ 100×50㎜, 1M (포장수:20), 3M</t>
  </si>
  <si>
    <t>제 3호표  금속 덕트 설치(단면적) ＊ AL 덕트(분체도장가능)</t>
  </si>
  <si>
    <t>100X 100㎜ 이하(100㎠) ＊ 120×60㎜, 1M (포장수:14), 3M</t>
  </si>
  <si>
    <t>제 4호표  금속 덕트 설치(단면적) ＊ AL 덕트(분체도장가능)</t>
  </si>
  <si>
    <t>150 X 100㎜ 이하(150㎠) ＊ 150×100㎜, 1M (포장수:10), 3M</t>
  </si>
  <si>
    <t>제 2호표  케이블 트레이 및 랙 설치(철제) ＊ LADDER TRAY(사다리형)2.3T R.S.200㎜</t>
  </si>
  <si>
    <t>30,000 ㎟ 이하 ＊ STRAIGHT, W150×100H</t>
  </si>
  <si>
    <t>30,000 ㎟ 이하 ＊ STRAIGHT, W200×100H</t>
  </si>
  <si>
    <t>30,000 ㎟ 이하 ＊ STRAIGHT, W300×100H</t>
  </si>
  <si>
    <t>제 3호표  케이블 트레이 및 랙 설치(철제) ＊ LADDER TRAY(사다리형)2.3T R.S.200㎜</t>
  </si>
  <si>
    <t>50,000 ㎟ 이하 ＊ STRAIGHT, W400×100H</t>
  </si>
  <si>
    <t>제 4호표  케이블 트레이 및 랙 설치(철제) ＊ LADDER TRAY(사다리형)2.3T R.S.200㎜</t>
  </si>
  <si>
    <t>60,000 ㎟ 이하 ＊ STRAIGHT, W600×100H</t>
  </si>
  <si>
    <t>제 5호표  케이블 트레이 및 랙 설치(철제) ＊ LADDER TRAY(사다리형)2.3T R.S.200㎜</t>
  </si>
  <si>
    <t>80,000 ㎟ 이하 ＊ STRAIGHT, W700×100H</t>
  </si>
  <si>
    <t>80,000 ㎟ 이하 ＊ STRAIGHT, W800×100H</t>
  </si>
  <si>
    <t>제 6호표  케이블 트레이 및 랙 설치(철제) ＊ LADDER TRAY(사다리형)2.3T R.S.200㎜</t>
  </si>
  <si>
    <t>90,000 ㎟ 이하 ＊ STRAIGHT, W900×100H</t>
  </si>
  <si>
    <t>제 7호표  케이블 트레이 및 랙 설치(철제) ＊ LADDER TRAY(사다리형)2.3T R.S.200㎜</t>
  </si>
  <si>
    <t>120,000 ㎟ 이하 ＊ STRAIGHT, W1200×100H</t>
  </si>
  <si>
    <t>30,000 ㎟ 이하 ＊ H/ELBOW, W150×100H</t>
  </si>
  <si>
    <t>30,000 ㎟ 이하 ＊ H/ELBOW, W200×100H</t>
  </si>
  <si>
    <t>50,000 ㎟ 이하 ＊ H/ELBOW, W400×100H</t>
  </si>
  <si>
    <t>50,000 ㎟ 이하 ＊ H/ELBOW, W500×100H</t>
  </si>
  <si>
    <t>60,000 ㎟ 이하 ＊ H/ELBOW, W600×100H</t>
  </si>
  <si>
    <t>80,000 ㎟ 이하 ＊ H/ELBOW, W700×100H</t>
  </si>
  <si>
    <t>80,000 ㎟ 이하 ＊ H/ELBOW, W800×100H</t>
  </si>
  <si>
    <t>90,000 ㎟ 이하 ＊ H/ELBOW, W900×100H</t>
  </si>
  <si>
    <t>120,000 ㎟ 이하 ＊ H/ELBOW, W1000×100H</t>
  </si>
  <si>
    <t>120,000 ㎟ 이하 ＊ H/ELBOW, W1200×100H</t>
  </si>
  <si>
    <t>30,000 ㎟ 이하 ＊ V/ELBOW, W150×100H</t>
  </si>
  <si>
    <t>30,000 ㎟ 이하 ＊ V/ELBOW, W200×100H</t>
  </si>
  <si>
    <t>30,000 ㎟ 이하 ＊ V/ELBOW, W300×100H</t>
  </si>
  <si>
    <t>50,000 ㎟ 이하 ＊ V/ELBOW, W400×100H</t>
  </si>
  <si>
    <t>50,000 ㎟ 이하 ＊ V/ELBOW, W500×100H</t>
  </si>
  <si>
    <t>60,000 ㎟ 이하 ＊ V/ELBOW, W600×100H</t>
  </si>
  <si>
    <t>80,000 ㎟ 이하 ＊ V/ELBOW, W800×100H</t>
  </si>
  <si>
    <t>90,000 ㎟ 이하 ＊ V/ELBOW, W900×100H</t>
  </si>
  <si>
    <t>120,000 ㎟ 이하 ＊ V/ELBOW, W1000×100H</t>
  </si>
  <si>
    <t>120,000 ㎟ 이하 ＊ V/ELBOW, W1200×100H</t>
  </si>
  <si>
    <t>30,000 ㎟ 이하 ＊ H/TEE, W200×100H</t>
  </si>
  <si>
    <t>30,000 ㎟ 이하 ＊ H/TEE, W300×100H</t>
  </si>
  <si>
    <t>50,000 ㎟ 이하 ＊ H/TEE, W400×100H</t>
  </si>
  <si>
    <t>60,000 ㎟ 이하 ＊ H/TEE, W600×100H</t>
  </si>
  <si>
    <t>80,000 ㎟ 이하 ＊ H/TEE, W700×100H</t>
  </si>
  <si>
    <t>80,000 ㎟ 이하 ＊ H/TEE, W800×100H</t>
  </si>
  <si>
    <t>90,000 ㎟ 이하 ＊ H/TEE, W900×100H</t>
  </si>
  <si>
    <t>120,000 ㎟ 이하 ＊ H/TEE, W1000×100H</t>
  </si>
  <si>
    <t>120,000 ㎟ 이하 ＊ H/TEE, W1200×100H</t>
  </si>
  <si>
    <t>30,000 ㎟ 이하 ＊ V/TEE, W150×100H</t>
  </si>
  <si>
    <t>30,000 ㎟ 이하 ＊ V/TEE, W200×100H</t>
  </si>
  <si>
    <t>30,000 ㎟ 이하 ＊ V/TEE, W300×100H</t>
  </si>
  <si>
    <t>50,000 ㎟ 이하 ＊ V/TEE, W400×100H</t>
  </si>
  <si>
    <t>50,000 ㎟ 이하 ＊ V/TEE, W500×100H</t>
  </si>
  <si>
    <t>60,000 ㎟ 이하 ＊ V/TEE, W600×100H</t>
  </si>
  <si>
    <t>80,000 ㎟ 이하 ＊ V/TEE, W700×100H</t>
  </si>
  <si>
    <t>80,000 ㎟ 이하 ＊ V/TEE, W800×100H</t>
  </si>
  <si>
    <t>120,000 ㎟ 이하 ＊ V/TEE, W1000×100H</t>
  </si>
  <si>
    <t>120,000 ㎟ 이하 ＊ V/TEE, W1200×100H</t>
  </si>
  <si>
    <t>30,000 ㎟ 이하 ＊ H/CROSS, W150×100H</t>
  </si>
  <si>
    <t>30,000 ㎟ 이하 ＊ H/CROSS, W200×100H</t>
  </si>
  <si>
    <t>50,000 ㎟ 이하 ＊ H/CROSS, W400×100H</t>
  </si>
  <si>
    <t>50,000 ㎟ 이하 ＊ H/CROSS, W500×100H</t>
  </si>
  <si>
    <t>60,000 ㎟ 이하 ＊ H/CROSS, W600×100H</t>
  </si>
  <si>
    <t>80,000 ㎟ 이하 ＊ H/CROSS, W800×100H</t>
  </si>
  <si>
    <t>90,000 ㎟ 이하 ＊ H/CROSS, W900×100H</t>
  </si>
  <si>
    <t>120,000 ㎟ 이하 ＊ H/CROSS, W1000×100H</t>
  </si>
  <si>
    <t>120,000 ㎟ 이하 ＊ H/CROSS, W1200×100H</t>
  </si>
  <si>
    <t>30,000 ㎟ 이하 ＊ REDUCER, W150×100H</t>
  </si>
  <si>
    <t>30,000 ㎟ 이하 ＊ REDUCER, W200×100H</t>
  </si>
  <si>
    <t>30,000 ㎟ 이하 ＊ REDUCER, W300×100H</t>
  </si>
  <si>
    <t>50,000 ㎟ 이하 ＊ REDUCER, W400×100H</t>
  </si>
  <si>
    <t>50,000 ㎟ 이하 ＊ REDUCER, W500×100H</t>
  </si>
  <si>
    <t>60,000 ㎟ 이하 ＊ REDUCER, W600×100H</t>
  </si>
  <si>
    <t>80,000 ㎟ 이하 ＊ REDUCER, W700×100H</t>
  </si>
  <si>
    <t>80,000 ㎟ 이하 ＊ REDUCER, W800×100H</t>
  </si>
  <si>
    <t>120,000 ㎟ 이하 ＊ REDUCER, W1000×100H</t>
  </si>
  <si>
    <t>120,000 ㎟ 이하 ＊ REDUCER, W1200×100H</t>
  </si>
  <si>
    <t>제 1호표  PVC 및 금속 몰딩 설치 ＊ 사각몰드</t>
  </si>
  <si>
    <t>소형 210㎟ 이하 ＊ 1호, 15×10.5㎜, (포장수:200), 미색/나무/백색/밤색</t>
  </si>
  <si>
    <t>소형 210㎟ 이하 ＊ 2호, 19×12㎜, (포장수:200), 미색/나무/백색</t>
  </si>
  <si>
    <t>소형 210㎟ 이하 ＊ 3호, 22×12㎜, (포장수:100), 미색/나무/백색/밤색</t>
  </si>
  <si>
    <t>소형 210㎟ 이하 ＊ 4호, 26×13㎜, (포장수:100), 미색/나무/백색</t>
  </si>
  <si>
    <t>제 1호표  레이스웨이 설치 ＊ RACE WAY BODY</t>
  </si>
  <si>
    <t>(40×40) 1,600 이하 ＊ 40×40,</t>
  </si>
  <si>
    <t>제 5호표  접지선 매설 ＊ F-GV</t>
  </si>
  <si>
    <t>240㎟ 이하 ＊ 185㎟</t>
  </si>
  <si>
    <t>240㎟ 이하 ＊ 240㎟</t>
  </si>
  <si>
    <t>제 1호표  옥내(관내) 배선 ＊ HFIX</t>
  </si>
  <si>
    <t>제 1호표  옥내(관내) 배선 ＊ 450/700 KIV</t>
  </si>
  <si>
    <t>6㎟ 이하 ＊ 1.5㎟</t>
  </si>
  <si>
    <t>6㎟ 이하 ＊ 2.5㎟</t>
  </si>
  <si>
    <t>6㎟ 이하 ＊ 6㎟</t>
  </si>
  <si>
    <t>제 2호표  옥내(관내) 배선 ＊ 450/700 KIV</t>
  </si>
  <si>
    <t>16㎟ 이하 ＊ 10㎟</t>
  </si>
  <si>
    <t>16㎟ 이하 ＊ 16㎟</t>
  </si>
  <si>
    <t>제 3호표  옥내(관내) 배선 ＊ 450/700 KIV</t>
  </si>
  <si>
    <t>38㎟ 이하 ＊ 25㎟</t>
  </si>
  <si>
    <t>제 4호표  옥내(관내) 배선 ＊ 450/700 KIV</t>
  </si>
  <si>
    <t>50㎟ 이하 ＊ 50㎟</t>
  </si>
  <si>
    <t>제 6호표  옥내(관내) 배선 ＊ 450/700 KIV</t>
  </si>
  <si>
    <t>70㎟ 이하 ＊ 70㎟</t>
  </si>
  <si>
    <t>제 7호표  옥내(관내) 배선 ＊ 450/700 KIV</t>
  </si>
  <si>
    <t>100㎟ 이하 ＊ 95㎟</t>
  </si>
  <si>
    <t>제 8호표  옥내(관내) 배선 ＊ 450/700 KIV</t>
  </si>
  <si>
    <t>120㎟ 이하 ＊ 120㎟</t>
  </si>
  <si>
    <t>제 10호표  옥내(관내) 배선 ＊ 450/700 KIV</t>
  </si>
  <si>
    <t>200㎟ 이하 ＊ 185㎟</t>
  </si>
  <si>
    <t>제 11호표  옥내(관내) 배선 ＊ 450/700 KIV</t>
  </si>
  <si>
    <t>250㎟ 이하 ＊ 240㎟</t>
  </si>
  <si>
    <t>제 1호표  제어용 케이블 설치(2C) ＊ VCT</t>
  </si>
  <si>
    <t>2.5㎟ 이하 ＊ 2심, 1㎟</t>
  </si>
  <si>
    <t>2.5㎟ 이하 ＊ 2심, 1.5㎟</t>
  </si>
  <si>
    <t>2.5㎟ 이하 ＊ 2심, 2.5㎟</t>
  </si>
  <si>
    <t>제 2호표  제어용 케이블 설치(2C) ＊ VCT</t>
  </si>
  <si>
    <t>4㎟ 이하 ＊ 2심, 4㎟</t>
  </si>
  <si>
    <t>제 3호표  제어용 케이블 설치(2C) ＊ VCT</t>
  </si>
  <si>
    <t>6㎟ 이하 ＊ 2심, 6㎟</t>
  </si>
  <si>
    <t>제 5호표  제어용 케이블 설치(2C) ＊ VCT</t>
  </si>
  <si>
    <t>10㎟ 이하 ＊ 2심, 10㎟</t>
  </si>
  <si>
    <t>제 1호표  제어용 케이블 설치(3C) ＊ VCT</t>
  </si>
  <si>
    <t>2.5㎟ 이하 ＊ 3심, 1㎟</t>
  </si>
  <si>
    <t>2.5㎟ 이하 ＊ 3심, 1.5㎟</t>
  </si>
  <si>
    <t>2.5㎟ 이하 ＊ 3심, 2.5㎟</t>
  </si>
  <si>
    <t>제 2호표  제어용 케이블 설치(3C) ＊ VCT</t>
  </si>
  <si>
    <t>4㎟ 이하 ＊ 3심, 4㎟</t>
  </si>
  <si>
    <t>제 3호표  제어용 케이블 설치(3C) ＊ VCT</t>
  </si>
  <si>
    <t>6㎟ 이하 ＊ 3심, 6㎟</t>
  </si>
  <si>
    <t>제 5호표  제어용 케이블 설치(3C) ＊ VCT</t>
  </si>
  <si>
    <t>10㎟ 이하 ＊ 3심, 10㎟</t>
  </si>
  <si>
    <t>제 1호표  제어용 케이블 설치(4C) ＊ VCT</t>
  </si>
  <si>
    <t>2.5㎟ 이하 ＊ 4심, 1㎟</t>
  </si>
  <si>
    <t>2.5㎟ 이하 ＊ 4심, 2.5㎟</t>
  </si>
  <si>
    <t>제 2호표  제어용 케이블 설치(4C) ＊ VCT</t>
  </si>
  <si>
    <t>4㎟ 이하 ＊ 4심, 4㎟</t>
  </si>
  <si>
    <t>제 3호표  제어용 케이블 설치(4C) ＊ VCT</t>
  </si>
  <si>
    <t>6㎟ 이하 ＊ 4심, 6㎟</t>
  </si>
  <si>
    <t>제 5호표  제어용 케이블 설치(4C) ＊ VCT</t>
  </si>
  <si>
    <t>10㎟ 이하 ＊ 4심, 10㎟</t>
  </si>
  <si>
    <t>제 1호표  제어용 케이블 설치(5C) ＊ VCT</t>
  </si>
  <si>
    <t>2.5㎟ 이하 ＊ 5심, 1㎟</t>
  </si>
  <si>
    <t>2.5㎟ 이하 ＊ 5심, 2.5㎟</t>
  </si>
  <si>
    <t>제 2호표  제어용 케이블 설치(5C) ＊ VCT</t>
  </si>
  <si>
    <t>4㎟ 이하 ＊ 5심, 4㎟</t>
  </si>
  <si>
    <t>제 3호표  제어용 케이블 설치(5C) ＊ VCT</t>
  </si>
  <si>
    <t>6㎟ 이하 ＊ 5심, 6㎟</t>
  </si>
  <si>
    <t>제 5호표  제어용 케이블 설치(5C) ＊ VCT</t>
  </si>
  <si>
    <t>10㎟ 이하 ＊ 5심, 10㎟</t>
  </si>
  <si>
    <t>제 1호표  제어용 케이블 설치(6C) ＊ VCT</t>
  </si>
  <si>
    <t>2.5㎟ 이하 ＊ 6C, 1.0SQ</t>
  </si>
  <si>
    <t>2.5㎟ 이하 ＊ 6C, 1.5SQ</t>
  </si>
  <si>
    <t>2.5㎟ 이하 ＊ 6C, 2.5SQ</t>
  </si>
  <si>
    <t>제 2호표  제어용 케이블 설치(6C) ＊ VCT</t>
  </si>
  <si>
    <t>4㎟ 이하 ＊ 6C, 4SQ</t>
  </si>
  <si>
    <t>제 3호표  제어용 케이블 설치(6C) ＊ VCT</t>
  </si>
  <si>
    <t>6㎟ 이하 ＊ 6C, 6SQ</t>
  </si>
  <si>
    <t>제 5호표  제어용 케이블 설치(6C) ＊ VCT</t>
  </si>
  <si>
    <t>10㎟ 이하 ＊ 6C, 10SQ</t>
  </si>
  <si>
    <t>제 1호표  제어용 케이블 설치(8C) ＊ VCT</t>
  </si>
  <si>
    <t>2.5㎟ 이하 ＊ 8심, 1㎟</t>
  </si>
  <si>
    <t>2.5㎟ 이하 ＊ 8심, 1.5㎟</t>
  </si>
  <si>
    <t>2.5㎟ 이하 ＊ 8심, 2.5㎟</t>
  </si>
  <si>
    <t>제 3호표  제어용 케이블 설치(8C) ＊ VCT</t>
  </si>
  <si>
    <t>6㎟ 이하 ＊ 8심, 6㎟</t>
  </si>
  <si>
    <t>제 1호표  제어용 케이블 설치(10C) ＊ VCT</t>
  </si>
  <si>
    <t>2.5㎟ 이하 ＊ 10심, 1㎟</t>
  </si>
  <si>
    <t>2.5㎟ 이하 ＊ 10심, 1.5㎟</t>
  </si>
  <si>
    <t>2.5㎟ 이하 ＊ 10심, 2.5㎟</t>
  </si>
  <si>
    <t>제 3호표  제어용 케이블 설치(10C) ＊ VCT</t>
  </si>
  <si>
    <t>6㎟ 이하 ＊ 10심, 6㎟</t>
  </si>
  <si>
    <t>제 1호표  제어용 케이블 설치(12C) ＊ VCT</t>
  </si>
  <si>
    <t>2.5㎟ 이하 ＊ 12심, 1㎟</t>
  </si>
  <si>
    <t>2.5㎟ 이하 ＊ 12심, 1.5㎟</t>
  </si>
  <si>
    <t>제 2호표  제어용 케이블 설치(12C) ＊ VCT</t>
  </si>
  <si>
    <t>4㎟ 이하 ＊ 12심, 4㎟</t>
  </si>
  <si>
    <t>제 1호표  제어용 케이블 설치(15C) ＊ VCT</t>
  </si>
  <si>
    <t>2.5㎟ 이하 ＊ 15심, 1㎟</t>
  </si>
  <si>
    <t>2.5㎟ 이하 ＊ 15심, 1.5㎟</t>
  </si>
  <si>
    <t>2.5㎟ 이하 ＊ 15심, 2.5㎟</t>
  </si>
  <si>
    <t>제 1호표  제어용 케이블 설치(30C) ＊ VCT</t>
  </si>
  <si>
    <t>2.5㎟ 이하 ＊ 25심, 1㎟</t>
  </si>
  <si>
    <t>2.5㎟ 이하 ＊ 25심, 1.5㎟</t>
  </si>
  <si>
    <t>2.5㎟ 이하 ＊ 25심, 2.5㎟</t>
  </si>
  <si>
    <t>제 1호표  스위치류 ＊ 중4구 스위치</t>
  </si>
  <si>
    <t>텀플러스위치 단로용 ＊ 와이드,</t>
  </si>
  <si>
    <t>제 1호표  스위치류 ＊ 중5구 스위치</t>
  </si>
  <si>
    <t>제 1호표  스위치류 ＊ 중6구 스위치</t>
  </si>
  <si>
    <t>제 1호표  스위치류 ＊ 1구 스위치(램프)</t>
  </si>
  <si>
    <t>제 1호표  스위치류 ＊ 중3구 스위치(램프)</t>
  </si>
  <si>
    <t>제 1호표  스위치류 ＊ 중4구 스위치(램프)</t>
  </si>
  <si>
    <t>제 1호표  스위치류 ＊ 중5구 스위치(램프)</t>
  </si>
  <si>
    <t>제 1호표  스위치류 ＊ 중6구 스위치(램프)</t>
  </si>
  <si>
    <t>제 2호표  스위치류 ＊ 3로2구 스위치</t>
  </si>
  <si>
    <t>텀플러스위치 3로용 ＊ 와이드,</t>
  </si>
  <si>
    <t>제 2호표  스위치류 ＊ 3로3구 스위치</t>
  </si>
  <si>
    <t>제 2호표  스위치류 ＊ 3로1구 스위치(램프)</t>
  </si>
  <si>
    <t>제 1호표  제어용 케이블 설치(1C) ＊ F-CV케이블</t>
  </si>
  <si>
    <t>2.5㎟ 이하 ＊ 0.6/1KV 1C 1.5㎟</t>
  </si>
  <si>
    <t>2.5㎟ 이하 ＊ 0.6/1KV 1C 2.5㎟</t>
  </si>
  <si>
    <t>제 2호표  제어용 케이블 설치(1C) ＊ F-CV케이블</t>
  </si>
  <si>
    <t>4㎟ 이하 ＊ 0.6/1KV 1C 4㎟</t>
  </si>
  <si>
    <t>제 3호표  제어용 케이블 설치(1C) ＊ F-CV케이블</t>
  </si>
  <si>
    <t>6㎟ 이하 ＊ 0.6/1KV 1C 6㎟</t>
  </si>
  <si>
    <t>제 5호표  제어용 케이블 설치(1C) ＊ F-CV케이블</t>
  </si>
  <si>
    <t>10㎟ 이하 ＊ 0.6/1KV 1C 10㎟</t>
  </si>
  <si>
    <t>제 1호표  전력케이블 구내 설치(P.V.C 및 고무절연외장) ＊ F-CV케이블</t>
  </si>
  <si>
    <t>600V 16㎟이하 X 1C ＊ 0.6/1KV 1C 16㎟</t>
  </si>
  <si>
    <t>제 2호표  전력케이블 구내 설치(P.V.C 및 고무절연외장) ＊ F-CV케이블</t>
  </si>
  <si>
    <t>600V 25㎟이하 X 1C ＊ 0.6/1KV 1C 25㎟</t>
  </si>
  <si>
    <t>제 3호표  전력케이블 구내 설치(P.V.C 및 고무절연외장) ＊ F-CV케이블</t>
  </si>
  <si>
    <t>600V 38㎟이하 X 1C ＊ 0.6/1KV 1C 35㎟</t>
  </si>
  <si>
    <t>제 6호표  전력케이블 구내 설치(P.V.C 및 고무절연외장) ＊ F-CV케이블</t>
  </si>
  <si>
    <t>600V 70㎟이하 X 1C ＊ 0.6/1KV 1C 70㎟</t>
  </si>
  <si>
    <t>제 8호표  전력케이블 구내 설치(P.V.C 및 고무절연외장) ＊ F-CV케이블</t>
  </si>
  <si>
    <t>600V 100㎟이하 X 1C ＊ 0.6/1KV 1C 95㎟</t>
  </si>
  <si>
    <t>제 9호표  전력케이블 구내 설치(P.V.C 및 고무절연외장) ＊ F-CV케이블</t>
  </si>
  <si>
    <t>600V 125㎟이하 X 1C ＊ 0.6/1KV 1C 120㎟</t>
  </si>
  <si>
    <t>제 11호표  전력케이블 구내 설치(P.V.C 및 고무절연외장) ＊ F-CV케이블</t>
  </si>
  <si>
    <t>600V 185㎟이하 X 1C ＊ 0.6/1KV 1C 185㎟</t>
  </si>
  <si>
    <t>제 13호표  전력케이블 구내 설치(P.V.C 및 고무절연외장) ＊ F-CV케이블</t>
  </si>
  <si>
    <t>600V 240㎟이하 X 1C ＊ 0.6/1KV 1C 240㎟</t>
  </si>
  <si>
    <t>제 15호표  전력케이블 구내 설치(P.V.C 및 고무절연외장) ＊ F-CV케이블</t>
  </si>
  <si>
    <t>600V 300㎟이하 X 1C ＊ 0.6/1KV 1C 300㎟</t>
  </si>
  <si>
    <t>제 18호표  전력케이블 구내 설치(P.V.C 및 고무절연외장) ＊ F-CV케이블</t>
  </si>
  <si>
    <t>600V 500㎟이하 X 1C ＊ 0.6/1KV 1C 500㎟</t>
  </si>
  <si>
    <t>제 19호표  전력케이블 구내 설치(P.V.C 및 고무절연외장) ＊ F-CV케이블</t>
  </si>
  <si>
    <t>600V 630㎟이하 X 1C ＊ 0.6/1KV 1C 630㎟</t>
  </si>
  <si>
    <t>제 1호표  제어용 케이블 설치(2C) ＊ F-CV케이블</t>
  </si>
  <si>
    <t>2.5㎟ 이하 ＊ 0.6/1KV 2C 1.5㎟</t>
  </si>
  <si>
    <t>제 2호표  제어용 케이블 설치(2C) ＊ F-CV케이블</t>
  </si>
  <si>
    <t>4㎟ 이하 ＊ 0.6/1KV 2C 4㎟</t>
  </si>
  <si>
    <t>제 3호표  제어용 케이블 설치(2C) ＊ F-CV케이블</t>
  </si>
  <si>
    <t>6㎟ 이하 ＊ 0.6/1KV 2C 6㎟</t>
  </si>
  <si>
    <t>제 5호표  제어용 케이블 설치(2C) ＊ F-CV케이블</t>
  </si>
  <si>
    <t>10㎟ 이하 ＊ 0.6/1KV 2C 10㎟</t>
  </si>
  <si>
    <t>600V 16㎟이하 X 1C ＊ 0.6/1KV 2C 16㎟</t>
  </si>
  <si>
    <t>600V 25㎟이하 X 1C ＊ 0.6/1KV 2C 25㎟</t>
  </si>
  <si>
    <t>600V 38㎟이하 X 1C ＊ 0.6/1KV 2C 35㎟</t>
  </si>
  <si>
    <t>제 4호표  전력케이블 구내 설치(P.V.C 및 고무절연외장) ＊ F-CV케이블</t>
  </si>
  <si>
    <t>600V 50㎟이하 X 1C ＊ 0.6/1KV 2C 50㎟</t>
  </si>
  <si>
    <t>600V 70㎟이하 X 1C ＊ 0.6/1KV 2C 70㎟</t>
  </si>
  <si>
    <t>600V 100㎟이하 X 1C ＊ 0.6/1KV 2C 95㎟</t>
  </si>
  <si>
    <t>600V 125㎟이하 X 1C ＊ 0.6/1KV 2C 120㎟</t>
  </si>
  <si>
    <t>제 10호표  전력케이블 구내 설치(P.V.C 및 고무절연외장) ＊ F-CV케이블</t>
  </si>
  <si>
    <t>600V 150㎟이하 X 1C ＊ 0.6/1KV 2C 150㎟</t>
  </si>
  <si>
    <t>600V 240㎟이하 X 1C ＊ 0.6/1KV 2C 240㎟</t>
  </si>
  <si>
    <t>600V 300㎟이하 X 1C ＊ 0.6/1KV 2C 300㎟</t>
  </si>
  <si>
    <t>제 1호표  제어용 케이블 설치(3C) ＊ F-CV케이블</t>
  </si>
  <si>
    <t>2.5㎟ 이하 ＊ 0.6/1KV 3C 1.5㎟</t>
  </si>
  <si>
    <t>4㎟ 이하 ＊ 0.6/1KV 3C 4㎟</t>
  </si>
  <si>
    <t>제 3호표  제어용 케이블 설치(3C) ＊ F-CV케이블</t>
  </si>
  <si>
    <t>6㎟ 이하 ＊ 0.6/1KV 3C 6㎟</t>
  </si>
  <si>
    <t>제 5호표  제어용 케이블 설치(3C) ＊ F-CV케이블</t>
  </si>
  <si>
    <t>10㎟ 이하 ＊ 0.6/1KV 3C 10㎟</t>
  </si>
  <si>
    <t>600V 16㎟이하 X 1C ＊ 0.6/1KV 3C 16㎟</t>
  </si>
  <si>
    <t>600V 38㎟이하 X 1C ＊ 0.6/1KV 3C 35㎟</t>
  </si>
  <si>
    <t>600V 50㎟이하 X 1C ＊ 0.6/1KV 3C 50㎟</t>
  </si>
  <si>
    <t>600V 100㎟이하 X 1C ＊ 0.6/1KV 3C 95㎟</t>
  </si>
  <si>
    <t>600V 125㎟이하 X 1C ＊ 0.6/1KV 3C 120㎟</t>
  </si>
  <si>
    <t>600V 150㎟이하 X 1C ＊ 0.6/1KV 3C 150㎟</t>
  </si>
  <si>
    <t>600V 185㎟이하 X 1C ＊ 0.6/1KV 3C 185㎟</t>
  </si>
  <si>
    <t>600V 240㎟이하 X 1C ＊ 0.6/1KV 3C 240㎟</t>
  </si>
  <si>
    <t>600V 300㎟이하 X 1C ＊ 0.6/1KV 3C 300㎟</t>
  </si>
  <si>
    <t>제 1호표  제어용 케이블 설치(4C) ＊ F-CV케이블</t>
  </si>
  <si>
    <t>2.5㎟ 이하 ＊ 0.6/1KV 4C 1.5㎟</t>
  </si>
  <si>
    <t>2.5㎟ 이하 ＊ 0.6/1KV 4C 2.5㎟</t>
  </si>
  <si>
    <t>제 2호표  제어용 케이블 설치(4C) ＊ F-CV케이블</t>
  </si>
  <si>
    <t>4㎟ 이하 ＊ 0.6/1KV 4C 4㎟</t>
  </si>
  <si>
    <t>제 3호표  제어용 케이블 설치(4C) ＊ F-CV케이블</t>
  </si>
  <si>
    <t>6㎟ 이하 ＊ 0.6/1KV 4C 6㎟</t>
  </si>
  <si>
    <t>제 5호표  제어용 케이블 설치(4C) ＊ F-CV케이블</t>
  </si>
  <si>
    <t>10㎟ 이하 ＊ 0.6/1KV 4C 10㎟</t>
  </si>
  <si>
    <t>600V 16㎟이하 X 1C ＊ 0.6/1KV 4C 16㎟</t>
  </si>
  <si>
    <t>600V 38㎟이하 X 1C ＊ 0.6/1KV 4C 35㎟</t>
  </si>
  <si>
    <t>600V 50㎟이하 X 1C ＊ 0.6/1KV 4C 50㎟</t>
  </si>
  <si>
    <t>600V 70㎟이하 X 1C ＊ 0.6/1KV 4C 70㎟</t>
  </si>
  <si>
    <t>600V 125㎟이하 X 1C ＊ 0.6/1KV 4C 120㎟</t>
  </si>
  <si>
    <t>600V 150㎟이하 X 1C ＊ 0.6/1KV 4C 150㎟</t>
  </si>
  <si>
    <t>600V 185㎟이하 X 1C ＊ 0.6/1KV 4C 185㎟</t>
  </si>
  <si>
    <t>600V 300㎟이하 X 1C ＊ 0.6/1KV 4C 300㎟</t>
  </si>
  <si>
    <t>4㎟ 이하 ＊ 4㎟, 2심</t>
  </si>
  <si>
    <t>6㎟ 이하 ＊ 6㎟, 2심</t>
  </si>
  <si>
    <t>2.5㎟ 이하 ＊ 1.5㎟, 3심</t>
  </si>
  <si>
    <t>4㎟ 이하 ＊ 4㎟, 3심</t>
  </si>
  <si>
    <t>2.5㎟ 이하 ＊ 1.5㎟, 4심</t>
  </si>
  <si>
    <t>4㎟ 이하 ＊ 4㎟, 4심</t>
  </si>
  <si>
    <t>6㎟ 이하 ＊ 6㎟, 4심</t>
  </si>
  <si>
    <t>2.5㎟ 이하 ＊ 1.5㎟, 5심</t>
  </si>
  <si>
    <t>6㎟ 이하 ＊ 6㎟, 5심</t>
  </si>
  <si>
    <t>2.5㎟ 이하 ＊ 1.5㎟, 6심</t>
  </si>
  <si>
    <t>4㎟ 이하 ＊ 4㎟, 6심</t>
  </si>
  <si>
    <t>6㎟ 이하 ＊ 6㎟, 6심</t>
  </si>
  <si>
    <t>2.5㎟ 이하 ＊ 1.5㎟, 7심</t>
  </si>
  <si>
    <t>4㎟ 이하 ＊ 4㎟, 7심</t>
  </si>
  <si>
    <t>6㎟ 이하 ＊ 6㎟, 7심</t>
  </si>
  <si>
    <t>2.5㎟ 이하 ＊ 1.5㎟, 8심</t>
  </si>
  <si>
    <t>4㎟ 이하 ＊ 4㎟, 8심</t>
  </si>
  <si>
    <t>6㎟ 이하 ＊ 6㎟, 8심</t>
  </si>
  <si>
    <t>2.5㎟ 이하 ＊ 1.5㎟, 10심</t>
  </si>
  <si>
    <t>4㎟ 이하 ＊ 4㎟, 10심</t>
  </si>
  <si>
    <t>6㎟ 이하 ＊ 6㎟, 10심</t>
  </si>
  <si>
    <t>2.5㎟ 이하 ＊ 1.5㎟, 12심</t>
  </si>
  <si>
    <t>6㎟ 이하 ＊ 6㎟, 12심</t>
  </si>
  <si>
    <t>2.5㎟ 이하 ＊ 1.5㎟, 15심</t>
  </si>
  <si>
    <t>4㎟ 이하 ＊ 4㎟, 15심</t>
  </si>
  <si>
    <t>4㎟ 이하 ＊ 4㎟, 20심</t>
  </si>
  <si>
    <t>2.5㎟ 이하 ＊ 1.5㎟, 25심</t>
  </si>
  <si>
    <t>2.5㎟ 이하 ＊ 4㎟, 25심</t>
  </si>
  <si>
    <t>2.5㎟ 이하 ＊ 1.5㎟, 30심</t>
  </si>
  <si>
    <t>2.5㎟ 이하 ＊ 1.5㎟, 40심</t>
  </si>
  <si>
    <t>2.5㎟ 이하 ＊ 1.5㎟, 50심</t>
  </si>
  <si>
    <t>2.5㎟ 이하 ＊ 1.5㎟, 2심</t>
  </si>
  <si>
    <t>2.5㎟ 이하 ＊ 2.5㎟, 2심</t>
  </si>
  <si>
    <t>2.5㎟ 이하 ＊ 2.5㎟, 3심</t>
  </si>
  <si>
    <t>6㎟ 이하 ＊ 6㎟, 3심</t>
  </si>
  <si>
    <t>2.5㎟ 이하 ＊ 2.5㎟, 4심</t>
  </si>
  <si>
    <t>2.5㎟ 이하 ＊ 2.5㎟, 5심</t>
  </si>
  <si>
    <t>4㎟ 이하 ＊ 4㎟, 5심</t>
  </si>
  <si>
    <t>2.5㎟ 이하 ＊ 2.5㎟, 6심</t>
  </si>
  <si>
    <t>2.5㎟ 이하 ＊ 2.5㎟, 7심</t>
  </si>
  <si>
    <t>2.5㎟ 이하 ＊ 2.5㎟, 8심</t>
  </si>
  <si>
    <t>4㎟ 이하 ＊ 4㎟, 12심</t>
  </si>
  <si>
    <t>2.5㎟ 이하 ＊ 2.5㎟, 15심</t>
  </si>
  <si>
    <t>2.5㎟ 이하 ＊ 1.5㎟, 20심</t>
  </si>
  <si>
    <t>2.5㎟ 이하 ＊ 2.5㎟, 20심</t>
  </si>
  <si>
    <t>제 2호표  레이스웨이 설치 ＊ RACE WAY BODY</t>
  </si>
  <si>
    <t>(70×40) 2,800 이하 ＊ 70×40,</t>
  </si>
  <si>
    <t>제 3호표  레이스웨이 설치 ＊ RACE WAY BODY</t>
  </si>
  <si>
    <t>(10×50) 5,500 이하 ＊ 110×50,</t>
  </si>
  <si>
    <t>제 7호표  박스(Box) 설치 ＊ JOINT BOX</t>
  </si>
  <si>
    <t>연결용 박스 ＊ 40×40,</t>
  </si>
  <si>
    <t>연결용 박스 ＊ 70×40,</t>
  </si>
  <si>
    <t>연결용 박스 ＊ 110×50,</t>
  </si>
  <si>
    <t>6㎟ 이하 ＊ 2.5SQ</t>
  </si>
  <si>
    <t>6㎟ 이하 ＊ 4SQ</t>
  </si>
  <si>
    <t>제 1호표  접지선 매설 ＊ F-GV</t>
  </si>
  <si>
    <t>10㎟ 이하 ＊ 2.5㎟</t>
  </si>
  <si>
    <t>10㎟ 이하 ＊ 4㎟</t>
  </si>
  <si>
    <t>10㎟ 이하 ＊ 6㎟</t>
  </si>
  <si>
    <t>10㎟ 이하 ＊ 10㎟</t>
  </si>
  <si>
    <t>제 2호표  접지선 매설 ＊ F-GV</t>
  </si>
  <si>
    <t>35㎟ 이하 ＊ 16㎟</t>
  </si>
  <si>
    <t>35㎟ 이하 ＊ 25㎟</t>
  </si>
  <si>
    <t>35㎟ 이하 ＊ 35㎟</t>
  </si>
  <si>
    <t>제 3호표  접지선 매설 ＊ F-GV</t>
  </si>
  <si>
    <t>95㎟ 이하 ＊ 50㎟</t>
  </si>
  <si>
    <t>95㎟ 이하 ＊ 70㎟</t>
  </si>
  <si>
    <t>95㎟ 이하 ＊ 95㎟</t>
  </si>
  <si>
    <t>제 4호표  접지선 매설 ＊ F-GV</t>
  </si>
  <si>
    <t>150㎟ 이하 ＊ 120㎟</t>
  </si>
  <si>
    <t>150㎟ 이하 ＊ 150㎟</t>
  </si>
  <si>
    <t>자립형 W800×H2,000 내외 ＊ 600×700×250, 1.2T</t>
  </si>
  <si>
    <t>자립형 W800×H2,000 내외 ＊ 700×900×250, 1.2T</t>
  </si>
  <si>
    <t>자립형 W800×H2,000 내외 ＊ 400×500×150, 1.0T</t>
  </si>
  <si>
    <t>자립형 W800×H2,000 내외 ＊ 500×400×150, 1.0T</t>
  </si>
  <si>
    <t>자립형 W800×H2,000 내외 ＊ 500×400×200, 1.0T</t>
  </si>
  <si>
    <t>자립형 W800×H2,000 내외 ＊ 450×550×150, 1.0T</t>
  </si>
  <si>
    <t>자립형 W800×H2,000 내외 ＊ 450×550×200, 1.0T</t>
  </si>
  <si>
    <t>자립형 W800×H2,000 내외 ＊ 500×600×150, 1.0T</t>
  </si>
  <si>
    <t>자립형 W800×H2,000 내외 ＊ 500×600×220, 1.0T</t>
  </si>
  <si>
    <t>자립형 W800×H2,000 내외 ＊ 600×500×220, 1.0T</t>
  </si>
  <si>
    <t>자립형 W800×H2,000 내외 ＊ 500×700×150, 1.0T</t>
  </si>
  <si>
    <t>자립형 W800×H2,000 내외 ＊ 500×700×250, 1.0T</t>
  </si>
  <si>
    <t>제 5호표  합성수지 파형관 설치 ＊ 파상형경질지중전선관</t>
  </si>
  <si>
    <t>100㎜ 이하 ＊ 내경 100㎜, 외경 130±4㎜, 피치 30㎜, 두께 2.0㎜, 길이 100m</t>
  </si>
  <si>
    <t>185㎟ 이하 1C ＊ 150㎟ 1Hole</t>
  </si>
  <si>
    <t>400㎟ 이하 1C ＊ 400㎟ 1Hole</t>
  </si>
  <si>
    <t>70㎟ 이하 1C ＊ 70-1H</t>
  </si>
  <si>
    <t>95㎟ 이하 1C ＊ 95-2H</t>
  </si>
  <si>
    <t>300㎟ 이하 1C ＊ 300-2H</t>
  </si>
  <si>
    <t>35㎟ 이하 1C ＊ 35㎟ 2Hole</t>
  </si>
  <si>
    <t>120㎟ 이하 1C ＊ 120㎟ 2Hole</t>
  </si>
  <si>
    <t>제 9호표  600V 이하 전력 케이블 단말처리 ＊ 슬리브</t>
  </si>
  <si>
    <t>240㎟ 이하 1C ＊ B형, 240SQ</t>
  </si>
  <si>
    <t>제 3호표  합성수지 전선관 ＊ 내충격용HI-VE전선관</t>
  </si>
  <si>
    <t>22㎜이하 ＊ 22㎜, 외경26㎜, 두께2.0㎜, 근사내경22㎜, 중량216g/m</t>
  </si>
  <si>
    <t>제 8호표  금속가요 전선관 ＊ KOFLEX플렉시블전선관(고장력방수)</t>
  </si>
  <si>
    <t>82㎜이하 ＊ SW-82, 79.0, 88.0</t>
  </si>
  <si>
    <t>제 4호표  금속가요 전선관 ＊ KOFLEX플렉시블전선관(일반방수)</t>
  </si>
  <si>
    <t>36㎜이하 ＊ GW-36, 35.5, 42.0</t>
  </si>
  <si>
    <t>250㎜X250㎜X200㎜이하 ＊ 150×150×100×1.0</t>
  </si>
  <si>
    <t>250㎜X250㎜X200㎜이하 ＊ 200×200×200×1.0</t>
  </si>
  <si>
    <t>400㎜X400㎜X300㎜이하 ＊ 300×300×100×1.0</t>
  </si>
  <si>
    <t>200 X 100㎜ 이하(200㎠) ＊ STRAIGHT, W200×H100</t>
  </si>
  <si>
    <t>400 X 150㎜ 이하(600㎠) ＊ STRAIGHT, W600×H100</t>
  </si>
  <si>
    <t>500 X 200㎜ 이하(1,000㎠) ＊ HOR(VER)-ELBOW/C, W900×H100</t>
  </si>
  <si>
    <t>100X 100㎜ 이하(100㎠) ＊ HOR-CROSS/C, W100×H100</t>
  </si>
  <si>
    <t>400 X 150㎜ 이하(600㎠) ＊ HOR-CROSS/C, W450×H100</t>
  </si>
  <si>
    <t>500 X 200㎜ 이하(1,000㎠) ＊ HOR-CROSS/C, W900×H100</t>
  </si>
  <si>
    <t>50,000 ㎟ 이하 ＊ STRAIGHT, W500×100H</t>
  </si>
  <si>
    <t>120,000 ㎟ 이하 ＊ STRAIGHT, W1000×100H</t>
  </si>
  <si>
    <t>30,000 ㎟ 이하 ＊ H/ELBOW, W300×100H</t>
  </si>
  <si>
    <t>80,000 ㎟ 이하 ＊ V/ELBOW, W700×100H</t>
  </si>
  <si>
    <t>30,000 ㎟ 이하 ＊ H/TEE, W150×100H</t>
  </si>
  <si>
    <t>50,000 ㎟ 이하 ＊ H/TEE, W500×100H</t>
  </si>
  <si>
    <t>90,000 ㎟ 이하 ＊ V/TEE, W900×100H</t>
  </si>
  <si>
    <t>30,000 ㎟ 이하 ＊ H/CROSS, W300×100H</t>
  </si>
  <si>
    <t>80,000 ㎟ 이하 ＊ H/CROSS, W700×100H</t>
  </si>
  <si>
    <t>90,000 ㎟ 이하 ＊ REDUCER, W900×100H</t>
  </si>
  <si>
    <t>소형 210㎟ 이하 ＊ 5호, 31.5×14㎜, (포장수:100), 미색/나무/백색/밤색</t>
  </si>
  <si>
    <t>6㎟ 이하 ＊ 4㎟</t>
  </si>
  <si>
    <t>38㎟ 이하 ＊ 35㎟</t>
  </si>
  <si>
    <t>제 9호표  옥내(관내) 배선 ＊ 450/700 KIV</t>
  </si>
  <si>
    <t>2.5㎟ 이하 ＊ 2.5㎟, 10심</t>
  </si>
  <si>
    <t>2.5㎟ 이하 ＊ 2.5㎟, 12심</t>
  </si>
  <si>
    <t>제 3호표  제어용 케이블 설치(2C) ＊ F-CVV-SB</t>
  </si>
  <si>
    <t>제 3호표  제어용 케이블 설치(3C) ＊ F-CVV-SB</t>
  </si>
  <si>
    <t>제 1호표  제어용 케이블 설치(8C) ＊ F-CVV-SB</t>
  </si>
  <si>
    <t>제 1호표  제어용 케이블 설치(10C) ＊ F-CVV-SB</t>
  </si>
  <si>
    <t>제 2호표  제어용 케이블 설치(12C) ＊ F-CVV-SB</t>
  </si>
  <si>
    <t>제 2호표  제어용 케이블 설치(15C) ＊ F-CVV-SB</t>
  </si>
  <si>
    <t>제 1호표  배선용 차단기 ＊ 분전반용누전차단기</t>
  </si>
  <si>
    <t>제 1호표  배선용 차단기 ＊ EBS Type 누전차단기</t>
  </si>
  <si>
    <t>제 1호표  저압용 개폐기-마그넷 스위치 ＊ Metasol 교류조작형접촉기(AC조작형)</t>
  </si>
  <si>
    <t>30A 이하 ＊ MC-9b AC, 2.5㎾ 11A, 4㎾ 9A</t>
  </si>
  <si>
    <t>제 8호표  저압용 개폐기-마그넷 스위치 ＊ Metasol 교류조작형접촉기(AC/DC조작형)</t>
  </si>
  <si>
    <t>800A 이하 ＊ MC-630a AC/DC, 190㎾ 630A, 330㎾ 630A</t>
  </si>
  <si>
    <t>제 1호표  전력량계 및 부속장치 설치전력량계 1Ø 2W용</t>
  </si>
  <si>
    <t>제 1호표  전력량계 및 부속장치 설치 ＊ LD시리즈 단상</t>
  </si>
  <si>
    <t>제 1호표  무정전전원장치(UPS) 설치 ＊ 자동전압조정기 TRS방식</t>
  </si>
  <si>
    <t>전원선/접지선 연결 ＊ 상수3ø, 출력380/220V±1~2%(입력:±10~20%) 용량50kVA</t>
  </si>
  <si>
    <t>제 1호표  무정전전원장치(UPS) 설치 ＊ 무정전전원장치</t>
  </si>
  <si>
    <t>전원선/접지선 연결 ＊ 상수3ø 110/220V, 208/120V, 380/220V(입력:3ø208/220/380V) 용량 50kVA</t>
  </si>
  <si>
    <t>제 9호표  전력량계 및 부속장치 설치계기함</t>
  </si>
  <si>
    <t>제 9호표  전력량계 및 부속장치 설치 ＊ 옥외 STS 일반계량기함</t>
  </si>
  <si>
    <t>제 1호표  가전기구 설치 ＊ 플러그</t>
  </si>
  <si>
    <t>전구교환 ＊ 3P 50A</t>
  </si>
  <si>
    <t>제 2호표  콘센트류 4P ＊ 매입콘센트(산업용)</t>
  </si>
  <si>
    <t>콘센트 30A(접지극부) ＊ 매입 4P 20A</t>
  </si>
  <si>
    <t>제 2호표  콘센트류 2P ＊ 노출콘센트(산업용)</t>
  </si>
  <si>
    <t>콘센트 15A(접지극부) ＊ 노출접 2구</t>
  </si>
  <si>
    <t>제 2호표  콘센트류 4P ＊ 노출콘센트(산업용)</t>
  </si>
  <si>
    <t>콘센트 30A(접지극부) ＊ 노출 4P 30A</t>
  </si>
  <si>
    <t>제 1호표  스위치류 ＊ 중3구 스위치</t>
  </si>
  <si>
    <t>제 1호표  스위치류 ＊ 중2구 스위치(램프)</t>
  </si>
  <si>
    <t>제 2호표  스위치류 ＊ 3로1구 스위치</t>
  </si>
  <si>
    <t>제 3호표  LED 등기구 설치(매입 및 반매입) ＊ LED 평판등</t>
  </si>
  <si>
    <t>55W 이하 ＊ 50w (HK-EGS-50), 600×600</t>
  </si>
  <si>
    <t>제 1호표  LED 등기구 설치(다운라이트) ＊ LED 전구</t>
  </si>
  <si>
    <t>제 7호표  방전등기구(투광기) ＊ 메탈하라이드등안정기</t>
  </si>
  <si>
    <t>1kW 이하 ＊ CC형 220V 1000W</t>
  </si>
  <si>
    <t>제 11호표  자동 화재 경보장치 설치표시등(유도등)</t>
  </si>
  <si>
    <t>제 11호표  자동 화재 경보장치 설치 ＊ 거실통로유도등(LED)</t>
  </si>
  <si>
    <t>표시등(유도등) ＊ 중형, 60분용,</t>
  </si>
  <si>
    <t>제 1호표  역률 개선용 콘덴서 설치(저압) ＊ 저압진상용콘덴서(220V)</t>
  </si>
  <si>
    <t>5kVA 이하 ＊ 1P, 3P, 40, ㎌</t>
  </si>
  <si>
    <t>제 4호표  역률 개선용 콘덴서 설치(저압) ＊ 저압진상용콘덴서(220V)</t>
  </si>
  <si>
    <t>50kVA 이하 ＊ 1P, 3P, 25, KVAR</t>
  </si>
  <si>
    <t>제 1호표  역률 개선용 콘덴서 설치(저압) ＊ 저압진상용콘덴서(380V, 440V)</t>
  </si>
  <si>
    <t>5kVA 이하 ＊ 1P, 3P, 30, ㎌</t>
  </si>
  <si>
    <t>5kVA 이하 ＊ 1P, 3P, 100, ㎌</t>
  </si>
  <si>
    <t>제 1호표  서지보호기(SPD) 설치 ＊ 서지보호기-전원용 SPD(BOX Type)</t>
  </si>
  <si>
    <t>서지보호기용 외함설치 ＊ 1상2선, SB-PB080/2(Imax80kA/In40kA)</t>
  </si>
  <si>
    <t>제 6호표  태양광 발전시스템(인버터)30kVA 이하</t>
  </si>
  <si>
    <t>제 6호표  태양광 발전시스템(인버터) ＊ 경제형 인텔리전트 인버터 iG5A</t>
  </si>
  <si>
    <t>제 2호표  스위치류 ＊ 3로2구 스위치(램프)</t>
  </si>
  <si>
    <t>제 2호표  스위치류 ＊ 3로3구 스위치(램프)</t>
  </si>
  <si>
    <t>제 1호표  스위치류 ＊ 디지털타임스위치</t>
  </si>
  <si>
    <t>텀플러스위치 단로용 ＊ HTS-AT20S, 20A 주간타이머, 양력휴일꺼짐기능 외 다수 기능 내장</t>
  </si>
  <si>
    <t>텀플러스위치 단로용 ＊ HTS-AT10, 10A 주간타이머, 양력휴일꺼짐기능 외 다수 기능 내장</t>
  </si>
  <si>
    <t>제 1호표  음향 및 영상 부대시설 공사(Speaker)고정 30W 이하</t>
  </si>
  <si>
    <t>제 1호표  음향 및 영상 부대시설 공사(Speaker) ＊ Ceiling Speaker</t>
  </si>
  <si>
    <t>고정 30W 이하 ＊ CS-03M, 3W 실링 (알루미늄)</t>
  </si>
  <si>
    <t>제 1호표  음향 및 영상 구내 방송설비(Pre Amplifier)설치</t>
  </si>
  <si>
    <t>제 1호표  음향 및 영상 구내 방송설비(Pre Amplifier) ＊ Table Type Amp</t>
  </si>
  <si>
    <t>설치 ＊ APT-120, 120W EMERGECY 엠프</t>
  </si>
  <si>
    <t>설치 ＊ APT-200, 200W EMERGECY 엠프</t>
  </si>
  <si>
    <t>설치 ＊ APT-3632, 360W EMERGECY 엠프</t>
  </si>
  <si>
    <t>제 1호표  음향 및 영상 구내 방송설비(Pre Amplifier) ＊ Rack System 6000 Series</t>
  </si>
  <si>
    <t>설치 ＊ PA-6312, 120W 앰프</t>
  </si>
  <si>
    <t>설치 ＊ PA-6324, 240W 앰프</t>
  </si>
  <si>
    <t>설치 ＊ PA-6336, 360W 앰프</t>
  </si>
  <si>
    <t>설치 ＊ PA-6348, 480W 앰프</t>
  </si>
  <si>
    <t>제 11호표  자동 화재 경보장치 설치 ＊ 피난구유도등(LED)</t>
  </si>
  <si>
    <t>표시등(유도등) ＊ 대형, 단면, 60분용,</t>
  </si>
  <si>
    <t>표시등(유도등) ＊ 중형, 단면, 60분용,</t>
  </si>
  <si>
    <t>표시등(유도등) ＊ 소형, 단면, 60분용,</t>
  </si>
  <si>
    <t>제 11호표  자동 화재 경보장치 설치 ＊ 복도 통로유도등(LED)</t>
  </si>
  <si>
    <t>표시등(유도등) ＊ 소형, 60분용,</t>
  </si>
  <si>
    <t>제 11호표  자동 화재 경보장치 설치 ＊ 계단 통로유도등(LED)</t>
  </si>
  <si>
    <t>제 1호표  옥내(관내) 배선 ＊ F-GV</t>
  </si>
  <si>
    <t>제 1호표  음향 및 영상 부대시설 공사(Speaker) ＊ Column Speaker</t>
  </si>
  <si>
    <t>고정 30W 이하 ＊ CU-21F, 10W 컬럼(실내용)</t>
  </si>
  <si>
    <t>제 2호표  제어용 케이블 설치(2C) ＊ F-CVV-SB</t>
  </si>
  <si>
    <t>제 1호표  제어용 케이블 설치(3C) ＊ F-CVV-SB</t>
  </si>
  <si>
    <t>제 2호표  제어용 케이블 설치(3C) ＊ F-CVV-SB</t>
  </si>
  <si>
    <t>제 1호표  제어용 케이블 설치(4C) ＊ F-CVV-SB</t>
  </si>
  <si>
    <t>제 3호표  제어용 케이블 설치(4C) ＊ F-CVV-SB</t>
  </si>
  <si>
    <t>제 1호표  제어용 케이블 설치(5C) ＊ F-CVV-SB</t>
  </si>
  <si>
    <t>제 2호표  제어용 케이블 설치(5C) ＊ F-CVV-SB</t>
  </si>
  <si>
    <t>제 1호표  제어용 케이블 설치(6C) ＊ F-CVV-SB</t>
  </si>
  <si>
    <t>제 2호표  제어용 케이블 설치(6C) ＊ F-CVV-SB</t>
  </si>
  <si>
    <t>제 3호표  제어용 케이블 설치(6C) ＊ F-CVV-SB</t>
  </si>
  <si>
    <t>제 1호표  제어용 케이블 설치(7C) ＊ F-CVV-SB</t>
  </si>
  <si>
    <t>제 3호표  제어용 케이블 설치(7C) ＊ F-CVV-SB</t>
  </si>
  <si>
    <t>제 1호표  풀박스(Pull Box) 설치(천정면) ＊ 풀박스</t>
  </si>
  <si>
    <t>제 2호표  풀박스(Pull Box) 설치(천정면) ＊ 풀박스</t>
  </si>
  <si>
    <t>제 3호표  풀박스(Pull Box) 설치(천정면) ＊ 풀박스</t>
  </si>
  <si>
    <t>제 2호표  제어용 케이블 설치(8C) ＊ F-CVV-SB</t>
  </si>
  <si>
    <t>제 3호표  제어용 케이블 설치(8C) ＊ F-CVV-SB</t>
  </si>
  <si>
    <t>제 2호표  제어용 케이블 설치(10C) ＊ F-CVV-SB</t>
  </si>
  <si>
    <t>제 3호표  제어용 케이블 설치(10C) ＊ F-CVV-SB</t>
  </si>
  <si>
    <t>제 1호표  제어용 케이블 설치(12C) ＊ F-CVV-SB</t>
  </si>
  <si>
    <t>제 1호표  제어용 케이블 설치(2C) ＊ F-CVV-SB</t>
  </si>
  <si>
    <t>제 3호표  제어용 케이블 설치(12C) ＊ F-CVV-SB</t>
  </si>
  <si>
    <t>제 1호표  제어용 케이블 설치(15C) ＊ F-CVV-SB</t>
  </si>
  <si>
    <t>제 2호표  제어용 케이블 설치(20C) ＊ F-CVV-SB</t>
  </si>
  <si>
    <t>제 5호표  금속 몰딩(케이블 2선 포설)레이스웨이(70*40)</t>
  </si>
  <si>
    <t>제 5호표  금속 몰딩(케이블 2선 포설) ＊ 칼라(고강도)몰드</t>
  </si>
  <si>
    <t>레이스웨이(70*40) ＊ 5호, 65×22㎜, (포장수:30), 미색,나무,백색</t>
  </si>
  <si>
    <t>제 4호표  금속 몰딩(케이블 2선 포설)레이스웨이(40*40)</t>
  </si>
  <si>
    <t>제 4호표  금속 몰딩(케이블 2선 포설) ＊ 칼라(고강도)몰드</t>
  </si>
  <si>
    <t>레이스웨이(40*40) ＊ 4호, 51×19㎜, (포장수:50), 미색,나무,백색</t>
  </si>
  <si>
    <t>제 2호표  금속 몰딩(케이블 2선 포설)중형 595㎟ 이하</t>
  </si>
  <si>
    <t>제 5호표  금속 몰딩(케이블 2선 포설) ＊ 사각몰드</t>
  </si>
  <si>
    <t>레이스웨이(70*40) ＊ 5호, 31.5×14㎜, (포장수:100), 미색/나무/백색/밤색</t>
  </si>
  <si>
    <t>제 4호표  금속 몰딩(케이블 2선 포설) ＊ 사각몰드</t>
  </si>
  <si>
    <t>레이스웨이(40*40) ＊ 4호, 26×13㎜, (포장수:100), 미색/나무/백색</t>
  </si>
  <si>
    <t>제 2호표  금속 몰딩(케이블 2선 포설) ＊ 사각몰드</t>
  </si>
  <si>
    <t>중형 595㎟ 이하 ＊ 2호, 19×12㎜, (포장수:200), 미색/나무/백색</t>
  </si>
  <si>
    <t>16㎜이하 ＊ 서울, 16㎜, 외경 21㎜, 길이 100m</t>
  </si>
  <si>
    <t>22㎜이하 ＊ 서울, 22㎜, 외경 28㎜, 길이 100m</t>
  </si>
  <si>
    <t>28㎜이하 ＊ 서울, 28㎜, 외경 34㎜, 길이 50m</t>
  </si>
  <si>
    <t>36㎜이하 ＊ 서울, 36㎜, 외경 42㎜, 길이 50m</t>
  </si>
  <si>
    <t>제 2호표  제어용 케이블 설치(4C) ＊ F-CVV-SB</t>
  </si>
  <si>
    <t>제 3호표  제어용 케이블 설치(5C) ＊ F-CVV-SB</t>
  </si>
  <si>
    <t>제 2호표  제어용 케이블 설치(7C) ＊ F-CVV-SB</t>
  </si>
  <si>
    <t>제 1호표  제어용 케이블 설치(20C) ＊ F-CVV-SB</t>
  </si>
  <si>
    <t>제 3호표  금속 몰딩(케이블 2선 포설)대형 600㎟ 초과</t>
  </si>
  <si>
    <t>제 3호표  금속 몰딩(케이블 2선 포설) ＊ 사각몰드</t>
  </si>
  <si>
    <t>대형 600㎟ 초과 ＊ 3호, 22×12㎜, (포장수:100), 미색/나무/백색/밤색</t>
  </si>
  <si>
    <t>자립형 W800×H2,000 내외 ＊ 400×500×200, 1.0T</t>
  </si>
  <si>
    <t>자립형 W800×H2,000 내외 ＊ 600×500×150, 1.0T</t>
  </si>
  <si>
    <t>자립형 W800×H2,000 내외 ＊ 550×600×150, 1.0T</t>
  </si>
  <si>
    <t>자립형 W800×H2,000 내외 ＊ 600×1,200×350, 1.6T</t>
  </si>
  <si>
    <t>250㎜X250㎜X200㎜이하 ＊ DS-015, 플라스틱중판, 가로200×세로300×높이150</t>
  </si>
  <si>
    <t>제 1호표  배선용 차단기(3P) ＊ 인버터판넬</t>
  </si>
  <si>
    <t>용량 30AF 이하 ＊ ISP-075P, 7.5㎾</t>
  </si>
  <si>
    <t>용량 30AF 이하 ＊ ISP-110P, 11㎾</t>
  </si>
  <si>
    <t>용량 30AF 이하 ＊ ISP-150P, 15㎾</t>
  </si>
  <si>
    <t>제 2호표  배선용 차단기(3P) ＊ 인버터판넬</t>
  </si>
  <si>
    <t>용량 50AF 이하 ＊ ISP-185P, 18.5㎾</t>
  </si>
  <si>
    <t>용량 50AF 이하 ＊ ISP-220P, 22㎾</t>
  </si>
  <si>
    <t>용량 50AF 이하 ＊ ISP-300P, 30㎾</t>
  </si>
  <si>
    <t>용량 50AF 이하 ＊ ISP-370P, 37㎾</t>
  </si>
  <si>
    <t>제 3호표  배선용 차단기(3P) ＊ 인버터판넬</t>
  </si>
  <si>
    <t>용량 100AF 이하 ＊ ISP-450P, 45㎾</t>
  </si>
  <si>
    <t>용량 100AF 이하 ＊ ISP-550P, 55㎾</t>
  </si>
  <si>
    <t>용량 100AF 이하 ＊ ISP-750P, 75㎾</t>
  </si>
  <si>
    <t>제 1호표  축전지 설치(밀폐형 100AH 이하) ＊ 12V 고율 방전용 무보수 완전 밀폐형 축전지</t>
  </si>
  <si>
    <t>12V 이하 ＊ ESP 30-12, 12V 30AH</t>
  </si>
  <si>
    <t>제 1호표  스위치류 ＊ 중2구 스위치</t>
  </si>
  <si>
    <t>제 8호표  형광등기구 설치(직부형) ＊ LED방폭등</t>
  </si>
  <si>
    <t>40W이하 X 1 ＊ HB-CILE-03, LED 방폭등, 30W</t>
  </si>
  <si>
    <t>제 12호표  형광등기구 설치(직부형) ＊ LED방폭등</t>
  </si>
  <si>
    <t>110W이하 X 1 ＊ HB-CILE-04, LED 방폭등, 40W</t>
  </si>
  <si>
    <t>110W이하 X 1 ＊ HB-CILE-05, LED 방폭등, 50W</t>
  </si>
  <si>
    <t>110W이하 X 1 ＊ HB-CILE-60, LED 방폭등, 60W</t>
  </si>
  <si>
    <t>110W이하 X 1 ＊ HB-CILE-80, LED 방폭등, 80W</t>
  </si>
  <si>
    <t>12V 이하 ＊ ESP 40-12, 12V 40AH</t>
  </si>
  <si>
    <t>12V 이하 ＊ ESP 65-12, 12V 65AH</t>
  </si>
  <si>
    <t>제 1호표  축전지 설치(밀폐형 200AH 이하) ＊ 12V 고율 방전용 무보수 완전 밀폐형 축전지</t>
  </si>
  <si>
    <t>12V 이하 ＊ ESP 100-12, 12V 100AH</t>
  </si>
  <si>
    <t>12V 이하 ＊ ESP 120-12, 12V 120AH</t>
  </si>
  <si>
    <t>12V 이하 ＊ ESP 130-12, 12V 130AH</t>
  </si>
  <si>
    <t>12V 이하 ＊ ESP 150-12, 12V 150AH</t>
  </si>
  <si>
    <t>12V 이하 ＊ ESP 200-12, 12V 200AH</t>
  </si>
  <si>
    <t>제 8호표  스위치류 ＊ 22Ø ROTARY S/W</t>
  </si>
  <si>
    <t>리모콘셀렉터스위치12L이하 ＊ YS R22-211L(K), (1A1B)</t>
  </si>
  <si>
    <t>제 17호표  스위치류 ＊ 22Ø 조광형 SWITCH</t>
  </si>
  <si>
    <t>조광스위치(IL용 800W) ＊ YS APBL22-AL22 AC220V LED,</t>
  </si>
  <si>
    <t>제 11호표  스위치류 ＊ RELAY (MY TYPE)</t>
  </si>
  <si>
    <t>리모콘릴레이(2P) ＊ YS MY03-4P, (AC/DC) LED</t>
  </si>
  <si>
    <t>제 1호표  인력 터파기(보통토사)깊이 1m 미만</t>
  </si>
  <si>
    <t>제 1호표  인력 터파기(보통토사)</t>
  </si>
  <si>
    <t>5kVA 이하 ＊ 1P, 3P, 10, ㎌</t>
  </si>
  <si>
    <t>5kVA 이하 ＊ 1P, 3P, 15, ㎌</t>
  </si>
  <si>
    <t>5kVA 이하 ＊ 1P, 3P, 20, ㎌</t>
  </si>
  <si>
    <t>5kVA 이하 ＊ 1P, 3P, 50, ㎌</t>
  </si>
  <si>
    <t>5kVA 이하 ＊ 1P, 3P, 75, ㎌</t>
  </si>
  <si>
    <t>5kVA 이하 ＊ 1P, 3P, 150, ㎌</t>
  </si>
  <si>
    <t>110W이하 X 1 ＊ HB-CILE-120, LED 방폭등, 120W</t>
  </si>
  <si>
    <t>제 1호표  금속가요 전선관 ＊ 안전증방폭형(EXeⅡ)</t>
  </si>
  <si>
    <t>16㎜이하 ＊ ES-10, 50m</t>
  </si>
  <si>
    <t>16㎜이하 ＊ ES-12, 50m</t>
  </si>
  <si>
    <t>16㎜이하 ＊ ES-16, 50m</t>
  </si>
  <si>
    <t>제 2호표  금속가요 전선관 ＊ 안전증방폭형(EXeⅡ)</t>
  </si>
  <si>
    <t>22㎜이하 ＊ ES-22, 50m</t>
  </si>
  <si>
    <t>제 3호표  금속가요 전선관 ＊ 안전증방폭형(EXeⅡ)</t>
  </si>
  <si>
    <t>28㎜이하 ＊ ES-28, 30m</t>
  </si>
  <si>
    <t>제 4호표  금속가요 전선관 ＊ 안전증방폭형(EXeⅡ)</t>
  </si>
  <si>
    <t>36㎜이하 ＊ ES-36, 30m</t>
  </si>
  <si>
    <t>제 5호표  금속가요 전선관 ＊ 안전증방폭형(EXeⅡ)</t>
  </si>
  <si>
    <t>42㎜이하 ＊ ES-42, 20m</t>
  </si>
  <si>
    <t>제 6호표  금속가요 전선관 ＊ 안전증방폭형(EXeⅡ)</t>
  </si>
  <si>
    <t>54㎜이하 ＊ ES-54, 20m</t>
  </si>
  <si>
    <t>제 7호표  금속가요 전선관 ＊ 안전증방폭형(EXeⅡ)</t>
  </si>
  <si>
    <t>70㎜이하 ＊ ES-70, 10m</t>
  </si>
  <si>
    <t>110W이하 X 1 ＊ HB-CILE-100, LED 방폭등, 100W</t>
  </si>
  <si>
    <t>제 8호표  형광등기구 설치(직부형) ＊ T5 등기구</t>
  </si>
  <si>
    <t>40W이하 X 1 ＊ 8W, 310㎜×36㎜</t>
  </si>
  <si>
    <t>40W이하 X 1 ＊ 14W, 600㎜×36㎜</t>
  </si>
  <si>
    <t>40W이하 X 1 ＊ 21W, 900㎜×36㎜</t>
  </si>
  <si>
    <t>40W이하 X 1 ＊ 28W, 1,173㎜×36㎜</t>
  </si>
  <si>
    <t>40W이하 X 1 ＊ 35W, 1,449㎜×36㎜</t>
  </si>
  <si>
    <t>제 3호표  형광등기구 설치(직부형) ＊ 전자식안정기</t>
  </si>
  <si>
    <t>20W이하 X 2 ＊ FL 20W×1등</t>
  </si>
  <si>
    <t>제 9호표  형광등기구 설치(직부형) ＊ 전자식안정기</t>
  </si>
  <si>
    <t>40W이하 X 2 ＊ FL 40W×1등</t>
  </si>
  <si>
    <t>5kVA 이하 ＊ 1P, 3P, 175, ㎌</t>
  </si>
  <si>
    <t>55W 이하 ＊ 50w (HK-EGR-50), 1200×300</t>
  </si>
  <si>
    <t>제 1호표  LED 등기구 설치(다운라이트) ＊ LED 실내조명등기구</t>
  </si>
  <si>
    <t>15W 이하 ＊ HB-DL6IN20ES, LED 6인치 다운라이트, 20W</t>
  </si>
  <si>
    <t>제 3호표  LED 등기구 설치(다운라이트) ＊ LED 실내조명등기구</t>
  </si>
  <si>
    <t>35W 이하 ＊ HB-DL8IN35ES, LED 8인치 다운라이트, 35W</t>
  </si>
  <si>
    <t>제 8호표  형광등기구 설치(직부형) ＊ LED 레이스웨이등</t>
  </si>
  <si>
    <t>40W이하 X 1 ＊ 40w (HK-RW-40W)</t>
  </si>
  <si>
    <t>제 1호표  LED 등기구 설치(직부등) ＊ LED디밍센서</t>
  </si>
  <si>
    <t>15W 이하 ＊ LED18W, 20W, 26W, 40W, 주차장용</t>
  </si>
  <si>
    <t>제 8호표  형광등기구 설치(직부형) ＊ LED 실내조명등기구</t>
  </si>
  <si>
    <t>40W이하 X 1 ＊ HB-DPMP20ES, LED 방진방습등, 20W</t>
  </si>
  <si>
    <t>40W이하 X 1 ＊ HB-DPMP40ES, LED 방진방습등, 40W</t>
  </si>
  <si>
    <t>제 1호표  LED 등기구 설치(직부등) ＊ 재실감지기</t>
  </si>
  <si>
    <t>15W 이하 ＊ PS-16A, 16A 재실감지기(인체감지 센서)</t>
  </si>
  <si>
    <t>제 1호표  LED 등기구 설치(매입 및 반매입) ＊ LED직관램프</t>
  </si>
  <si>
    <t>35W 이하 ＊ 소비전력 17.2W (컨버터포함)</t>
  </si>
  <si>
    <t>15W 이하 ＊ 5W, 350㏐, Ø55×101㎜ (전구색)</t>
  </si>
  <si>
    <t>15W 이하 ＊ 5W, 350㏐, Ø55×101㎜ (주광색)</t>
  </si>
  <si>
    <t>15W 이하 ＊ 8W, 500㏐, Ø60×107㎜ (전구색)</t>
  </si>
  <si>
    <t>15W 이하 ＊ 10W, 700㏐, Ø60×107㎜ (전구색)</t>
  </si>
  <si>
    <t>제 1호표  방전등기구(투광기) ＊ 나트륨등안정기</t>
  </si>
  <si>
    <t>100W 이하 ＊ 고압, 220V, 50W</t>
  </si>
  <si>
    <t>100W 이하 ＊ 고압, 220V, 100W</t>
  </si>
  <si>
    <t>제 2호표  방전등기구(투광기) ＊ 나트륨등안정기</t>
  </si>
  <si>
    <t>200W 이하 ＊ 고압, 220V, 150W</t>
  </si>
  <si>
    <t>200W 이하 ＊ 고압, 220V, 200W</t>
  </si>
  <si>
    <t>제 3호표  방전등기구(투광기) ＊ 나트륨등안정기</t>
  </si>
  <si>
    <t>250W 이하 ＊ 고압, 220V, 250W</t>
  </si>
  <si>
    <t>제 5호표  방전등기구(투광기) ＊ 나트륨등안정기</t>
  </si>
  <si>
    <t>400W 이하 ＊ 고압, 220V, 400W</t>
  </si>
  <si>
    <t>제 7호표  방전등기구(투광기) ＊ 나트륨등안정기</t>
  </si>
  <si>
    <t>1kW 이하 ＊ 고압, 220, 1000W</t>
  </si>
  <si>
    <t>제 2호표  방전등기구(투광기) ＊ 메탈하라이드등안정기</t>
  </si>
  <si>
    <t>200W 이하 ＊ CC형 220V 175W</t>
  </si>
  <si>
    <t>제 3호표  방전등기구(투광기) ＊ 메탈하라이드등안정기</t>
  </si>
  <si>
    <t>250W 이하 ＊ CC형 220V 250W</t>
  </si>
  <si>
    <t>제 5호표  방전등기구(투광기) ＊ 메탈하라이드등안정기</t>
  </si>
  <si>
    <t>400W 이하 ＊ CC형 220V 400W</t>
  </si>
  <si>
    <t>제 4호표  POLE LIGHT 인력설치(1등용) ＊ 알루미늄가로등주</t>
  </si>
  <si>
    <t>가로등 높이 8m 이하 ＊ LSLP-1011, 8m×2m</t>
  </si>
  <si>
    <t>제 6호표  POLE LIGHT 인력설치(1등용) ＊ 알루미늄가로등주</t>
  </si>
  <si>
    <t>가로등 높이 10m 이하 ＊ LSLP-1011, 10m×2m</t>
  </si>
  <si>
    <t>제 7호표  POLE LIGHT 인력설치(1등용) ＊ 알루미늄가로등주</t>
  </si>
  <si>
    <t>가로등 높이 12m 이하 ＊ LSLP-1011, 12m×2.5m</t>
  </si>
  <si>
    <t>제 1호표  가로등 기초(기성품) 설치 ＊ 콘크리트기초(가로등기초)</t>
  </si>
  <si>
    <t>높이 12m 이하 ＊ DY-400A1(정방형), 400×700×700×600</t>
  </si>
  <si>
    <t>높이 12m 이하 ＊ DY-400A2(정방형), 400×750×750×700</t>
  </si>
  <si>
    <t>높이 12m 이하 ＊ DY-400A3(정방형), 400×800×800×800</t>
  </si>
  <si>
    <t>높이 12m 이하 ＊ DY-400B1(직각형), 400×700×550×600</t>
  </si>
  <si>
    <t>높이 12m 이하 ＊ DY-400B2(직각형), 400×750×575×700</t>
  </si>
  <si>
    <t>높이 12m 이하 ＊ DY-400B3(직각형), 400×800×600×800</t>
  </si>
  <si>
    <t>5kVA 이하 ＊ 1P, 3P, 200, ㎌</t>
  </si>
  <si>
    <t>5kVA 이하 ＊ 1P, 3P, 250, ㎌</t>
  </si>
  <si>
    <t>5kVA 이하 ＊ 1P, 3P, 300, ㎌</t>
  </si>
  <si>
    <t>5kVA 이하 ＊ 1P, 3P, 400, ㎌</t>
  </si>
  <si>
    <t>5kVA 이하 ＊ 1P, 3P, 500, ㎌</t>
  </si>
  <si>
    <t>5kVA 이하 ＊ 1P, 3P, 600, ㎌</t>
  </si>
  <si>
    <t>5kVA 이하 ＊ 1P, 3P, 750, ㎌</t>
  </si>
  <si>
    <t>5kVA 이하 ＊ 1P, 3P, 800, ㎌</t>
  </si>
  <si>
    <t>5kVA 이하 ＊ 1P, 3P, 1000, ㎌</t>
  </si>
  <si>
    <t>제 2호표  역률 개선용 콘덴서 설치(저압) ＊ 저압진상용콘덴서(220V)</t>
  </si>
  <si>
    <t>10kVA 이하 ＊ 1P, 3P, 10, KVAR</t>
  </si>
  <si>
    <t>제 3호표  역률 개선용 콘덴서 설치(저압) ＊ 저압진상용콘덴서(220V)</t>
  </si>
  <si>
    <t>20kVA 이하 ＊ 1P, 3P, 15, KVAR</t>
  </si>
  <si>
    <t>20kVA 이하 ＊ 1P, 3P, 20, KVAR</t>
  </si>
  <si>
    <t>5kVA 이하 ＊ 1P, 3P, 25, ㎌</t>
  </si>
  <si>
    <t>제 1호표  태양광 발전시스템(인버터) ＊ 경제형 인텔리전트 인버터 iG5A</t>
  </si>
  <si>
    <t>1kVA 이하 ＊ SV004iG5A-2, 200V, 0.4㎾</t>
  </si>
  <si>
    <t>1kVA 이하 ＊ SV008iG5A-2, 200V, 0.75㎾</t>
  </si>
  <si>
    <t>제 2호표  태양광 발전시스템(인버터) ＊ 경제형 인텔리전트 인버터 iG5A</t>
  </si>
  <si>
    <t>3kVA 이하 ＊ SV015iG5A-2, 200V, 1.5㎾</t>
  </si>
  <si>
    <t>3kVA 이하 ＊ SV022iG5A-2, 200V, 2.2㎾</t>
  </si>
  <si>
    <t>3kVA 이하 ＊ SV037iG5A-2, 200V, 3.7㎾</t>
  </si>
  <si>
    <t>2.5㎟ 이하 ＊ 2.5㎟, 25심</t>
  </si>
  <si>
    <t>2.5㎟ 이하 ＊ 2.5㎟, 30심</t>
  </si>
  <si>
    <t>2.5㎟ 이하 ＊ 2.5㎟, 40심</t>
  </si>
  <si>
    <t>2.5㎟ 이하 ＊ 2.5㎟, 50심</t>
  </si>
  <si>
    <t>제 1호표  제어용 케이블 설치(30C) ＊ F-CVV-SB</t>
  </si>
  <si>
    <t>제 1호표  제어용 케이블 설치(50C) ＊ F-CVV-SB</t>
  </si>
  <si>
    <t>3kVA 이하 ＊ SV040iG5A-2, 200V, 4㎾</t>
  </si>
  <si>
    <t>3kVA 이하 ＊ SV055iG5A-2, 200V, 5.5㎾</t>
  </si>
  <si>
    <t>3kVA 이하 ＊ SV075iG5A-2, 200V, 7.5㎾</t>
  </si>
  <si>
    <t>제 5호표  태양광 발전시스템(인버터)20kVA 이하</t>
  </si>
  <si>
    <t>제 5호표  태양광 발전시스템(인버터) ＊ 경제형 인텔리전트 인버터 iG5A</t>
  </si>
  <si>
    <t>20kVA 이하 ＊ SV110iG5A-2, 200V, 11㎾</t>
  </si>
  <si>
    <t>20kVA 이하 ＊ SV150iG5A-2, 200V, 15㎾</t>
  </si>
  <si>
    <t>20kVA 이하 ＊ SV185iG5A-2, 200V, 18.5㎾</t>
  </si>
  <si>
    <t>제 1호표  배선용 차단기 ＊ ABS Type 배선용차단기</t>
  </si>
  <si>
    <t>30AF 이하 ＊ ABS 32c , 정격전압:460V,14(10)kA 정격전류:3~30 극수:2P</t>
  </si>
  <si>
    <t>30AF 이하 ＊ ABS 33c , 정격전압:460V,14(10)kA 정격전류:3~30 극수:3P</t>
  </si>
  <si>
    <t>30AF 이하 ＊ ABS 34c , 정격전압:460V,14(10)kA 정격전류:3~30 극수:4P</t>
  </si>
  <si>
    <t>제 2호표  배선용 차단기 ＊ ABS Type 배선용차단기</t>
  </si>
  <si>
    <t>50AF 이하 ＊ ABS 52c , 정격전압:460V,18kA 정격전류:15~50 극수:2P</t>
  </si>
  <si>
    <t>50AF 이하 ＊ ABS 53c , 정격전압:460V,18kA 정격전류:15~50 극수:3P</t>
  </si>
  <si>
    <t>50AF 이하 ＊ ABS 54c , 정격전압:460V,18kA 정격전류:15~50 극수:4P</t>
  </si>
  <si>
    <t>제 3호표  배선용 차단기 ＊ ABS Type 배선용차단기</t>
  </si>
  <si>
    <t>100AF 이하 ＊ ABS 62c , 정격전압:460V,18kA 정격전류:15~60 극수:2P</t>
  </si>
  <si>
    <t>100AF 이하 ＊ ABS 63c , 정격전압:460V,18kA 정격전류:15~60 극수:3P</t>
  </si>
  <si>
    <t>100AF 이하 ＊ ABS 64c , 정격전압:460V,18kA 정격전류:15~60 극수:4P</t>
  </si>
  <si>
    <t>제 4호표  배선용 차단기 ＊ ABS Type 배선용차단기</t>
  </si>
  <si>
    <t>225AF 이하 ＊ ABS 102c , 정격전압:460V,37kA 정격전류:15~125 극수:2P</t>
  </si>
  <si>
    <t>제 4호표  배선용 차단기 ＊ 배선용차단기 (MCCB)</t>
  </si>
  <si>
    <t>225AF 이하 ＊ ABS 103c , 정격전압:460V,37kA 정격전류:15~125 극수:3P</t>
  </si>
  <si>
    <t>225AF 이하 ＊ ABS 104c , 정격전압:460V,37kA 정격전류:15~125 극수:4P</t>
  </si>
  <si>
    <t>제 5호표  배선용 차단기 ＊ 배선용차단기 (MCCB)</t>
  </si>
  <si>
    <t>400AF 이하 ＊ ABS 202c , 정격전압:460V,37kA 정격전류:100~250 극수:2P</t>
  </si>
  <si>
    <t>400AF 이하 ＊ ABS 203c , 정격전압:460V,37kA 정격전류:100~250 극수:3P</t>
  </si>
  <si>
    <t>제 2호표  역률 개선용 콘덴서 설치(저압) ＊ 저압진상용콘덴서(380V, 440V)</t>
  </si>
  <si>
    <t>제 3호표  역률 개선용 콘덴서 설치(저압) ＊ 저압진상용콘덴서(380V, 440V)</t>
  </si>
  <si>
    <t>제 4호표  역률 개선용 콘덴서 설치(저압) ＊ 저압진상용콘덴서(380V, 440V)</t>
  </si>
  <si>
    <t>50kVA 이하 ＊ 1P, 3P, 30, KVAR</t>
  </si>
  <si>
    <t>50kVA 이하 ＊ 1P, 3P, 50, KVAR</t>
  </si>
  <si>
    <t>50kVA 이하 ＊ 1P, 3P, 75, KVAR</t>
  </si>
  <si>
    <t>50kVA 이하 ＊ 1P, 3P, 100, KVAR</t>
  </si>
  <si>
    <t>50kVA 이하 ＊ 1P, 3P, 150, KVAR</t>
  </si>
  <si>
    <t>서지보호기용 외함설치 ＊ 1상2선, SB-PC020/2(Imax20kA/In10kA)</t>
  </si>
  <si>
    <t>서지보호기용 외함설치 ＊ 1상2선, SB-PB040/2(Imax40kA/In20kA)</t>
  </si>
  <si>
    <t>30kVA 이하 ＊ SV220iG5A-2, 200V, 22㎾</t>
  </si>
  <si>
    <t>1kVA 이하 ＊ SV004iG5A-4, 400V, 0.4㎾</t>
  </si>
  <si>
    <t>1kVA 이하 ＊ SV008iG5A-4, 400V, 0.75㎾</t>
  </si>
  <si>
    <t>3kVA 이하 ＊ SV015iG5A-4, 400V, 1.5㎾</t>
  </si>
  <si>
    <t>3kVA 이하 ＊ SV022iG5A-4, 400V, 2.2㎾</t>
  </si>
  <si>
    <t>3kVA 이하 ＊ SV037iG5A-4, 400V, 3.7㎾</t>
  </si>
  <si>
    <t>3kVA 이하 ＊ SV040iG5A-4, 400V, 4㎾</t>
  </si>
  <si>
    <t>3kVA 이하 ＊ SV055iG5A-4, 400V, 5.5㎾</t>
  </si>
  <si>
    <t>3kVA 이하 ＊ SV075iG5A-4, 400V, 7.5㎾</t>
  </si>
  <si>
    <t>20kVA 이하 ＊ SV110iG5A-4, 400V, 11㎾</t>
  </si>
  <si>
    <t>20kVA 이하 ＊ SV150iG5A-4, 400V, 15㎾</t>
  </si>
  <si>
    <t>20kVA 이하 ＊ SV185iG5A-4, 400V, 18.5㎾</t>
  </si>
  <si>
    <t>제 1호표  태양광 발전시스템(인버터) ＊ 차세대 범용 인버터 iS7</t>
  </si>
  <si>
    <t>1kVA 이하 ＊ SV0008iS7-2NOFD, 200V(리액터,필터 내장), 0.75㎾</t>
  </si>
  <si>
    <t>제 2호표  태양광 발전시스템(인버터) ＊ 차세대 범용 인버터 iS7</t>
  </si>
  <si>
    <t>3kVA 이하 ＊ SV0015iS7-2NOFD, 200V(리액터,필터 내장), 1.5㎾</t>
  </si>
  <si>
    <t>3kVA 이하 ＊ SV0022iS7-2NOFD, 200V(리액터,필터 내장), 2.2㎾</t>
  </si>
  <si>
    <t>3kVA 이하 ＊ SV0037iS7-2NOFD, 200V(리액터,필터 내장), 3.7㎾</t>
  </si>
  <si>
    <t>400AF 이하 ＊ ABS 204c , 정격전압:460V,37kA 정격전류:100~250 극수:4P</t>
  </si>
  <si>
    <t>400AF 이하 ＊ ABS 402c , 정격전압:460V,50kA 정격전류:250~400 극수:2P</t>
  </si>
  <si>
    <t>400AF 이하 ＊ ABS 403c, 정격전압:460V,50kA 정격전류:250~400 극수:3P</t>
  </si>
  <si>
    <t>400AF 이하 ＊ ABS 404c , 정격전압:460V,50kA 정격전류:250~400 극수:4P</t>
  </si>
  <si>
    <t>제 7호표  배선용 차단기 ＊ 배선용차단기 (MCCB)</t>
  </si>
  <si>
    <t>800AF 이하 ＊ ABS 602c , 정격전압:460V,65kA 정격전류:500~630 극수:2P</t>
  </si>
  <si>
    <t>800AF 이하 ＊ ABS 603c , 정격전압:460V,65kA 정격전류:500~630 극수:3P</t>
  </si>
  <si>
    <t>800AF 이하 ＊ ABS 604c , 정격전압:460V,65kA 정격전류:500~630 극수:4P</t>
  </si>
  <si>
    <t>800AF 이하 ＊ ABS 802c , 정격전압:460V,65kA 정격전류:700~800 극수:2P</t>
  </si>
  <si>
    <t>800AF 이하 ＊ ABS 803c , 정격전압:460V,65kA 정격전류:700~800 극수:3P</t>
  </si>
  <si>
    <t>800AF 이하 ＊ ABS 804c , 정격전압:460V,65kA 정격전류:700~800 극수:4P</t>
  </si>
  <si>
    <t>30AF 이하 ＊ 32KGRc, 극수:2P2E 정격전류:15,20,30 차단전류(220V):1.5kA 분전반용</t>
  </si>
  <si>
    <t>30AF 이하 ＊ 32GRc, 극수:2P2E 정격전류:15,20,30 차단전류(220V):1.5kA 분전반용</t>
  </si>
  <si>
    <t>30AF 이하 ＊ 32GRhc, 극수:2P2E 정격전류:15,20,30 차단전류(220V):1.5kA 분전반용</t>
  </si>
  <si>
    <t>30AF 이하 ＊ 32KGRd, 극수:2P2E 정격전류:15,20,30 차단전류(220V):2.5kA 분전반용</t>
  </si>
  <si>
    <t>30AF 이하 ＊ 32GRd, 극수:2P2E 정격전류:15,20,30 차단전류(220V):2.5kA 분전반용</t>
  </si>
  <si>
    <t>30AF 이하 ＊ EBE 32Fb, 극수:2P2E 정격전류:5,10,15,20,30 차단전류(220V):2.5kA 분전반용</t>
  </si>
  <si>
    <t>30AF 이하 ＊ EBE 33Fb, 극수:2P3E 정격전류:5,10,15,20,30 차단전류(220V):2.5kA 분전반용</t>
  </si>
  <si>
    <t>제 2호표  배선용 차단기 ＊ 분전반용누전차단기</t>
  </si>
  <si>
    <t>50AF 이하 ＊ EBE 52Fb, 극수:2P2E 정격전류:15,20,30,40,50 차단전류(220V):2.5kA 분전반용</t>
  </si>
  <si>
    <t>50AF 이하 ＊ EBE 53Fb, 극수:2P3E 정격전류:15,20,30,40,50 차단전류(220V):2.5kA 분전반용</t>
  </si>
  <si>
    <t>제 3호표  배선용 차단기 ＊ 분전반용누전차단기</t>
  </si>
  <si>
    <t>100AF 이하 ＊ EBE 102Fb, 극수:2P2E 정격전류:60,75,100 차단전류(220V):5kA 분전반용</t>
  </si>
  <si>
    <t>100AF 이하 ＊ EBE 103Fb, 극수:2P3E 정격전류:60,75,100 차단전류(220V):5kA 분전반용</t>
  </si>
  <si>
    <t>30AF 이하 ＊ EBS 34c, 극수:4P 정격전류:15~30 차단전류(460V):14kA</t>
  </si>
  <si>
    <t>제 2호표  배선용 차단기 ＊ EBS Type 누전차단기</t>
  </si>
  <si>
    <t>50AF 이하 ＊ EBS 53c, 극수:3P 정격전류:15~50 차단전류(460V):18kA</t>
  </si>
  <si>
    <t>50AF 이하 ＊ EBS 54c, 극수:4P 정격전류:15~50 차단전류(460V):18kA</t>
  </si>
  <si>
    <t>제 3호표  배선용 차단기 ＊ EBS Type 누전차단기</t>
  </si>
  <si>
    <t>100AF 이하 ＊ EBS 63c, 극수:3P 정격전류:60 차단전류(460V):18kA</t>
  </si>
  <si>
    <t>100AF 이하 ＊ EBS 64c, 극수:4P 정격전류:60 차단전류(460V):18kA</t>
  </si>
  <si>
    <t>제 4호표  배선용 차단기 ＊ EBS Type 누전차단기</t>
  </si>
  <si>
    <t>225AF 이하 ＊ EBS 103c, 극수:3P 정격전류:15~125 차단전류(460V):37kA</t>
  </si>
  <si>
    <t>225AF 이하 ＊ EBS 104c, 극수:4P 정격전류:15~125 차단전류(460V):37kA</t>
  </si>
  <si>
    <t>제 5호표  배선용 차단기 ＊ EBS Type 누전차단기</t>
  </si>
  <si>
    <t>400AF 이하 ＊ EBS 203c, 극수:3P 정격전류:100~250 차단전류(460V):37kA</t>
  </si>
  <si>
    <t>400AF 이하 ＊ EBS 204c, 극수:4P 정격전류:100~250 차단전류(460V):37kA</t>
  </si>
  <si>
    <t>400AF 이하 ＊ EBS 403c, 극수:3P 정격전류:250~400 차단전류(460V):50kA</t>
  </si>
  <si>
    <t>400AF 이하 ＊ EBS 404c, 극수:4P 정격전류:250~400 차단전류(460V):50kA</t>
  </si>
  <si>
    <t>제 7호표  배선용 차단기 ＊ EBS Type 누전차단기</t>
  </si>
  <si>
    <t>800AF 이하 ＊ EBS 603c, 극수:3P 정격전류:500~630 차단전류(460V):65kA</t>
  </si>
  <si>
    <t>800AF 이하 ＊ EBS 803c, 극수:3P 정격전류:700~800 차단전류(460V):65kA</t>
  </si>
  <si>
    <t>30A 이하 ＊ MC-6a AC, 2.2㎾ 9A, 3㎾ 7A</t>
  </si>
  <si>
    <t>30A 이하 ＊ MC-9a AC, 2.5㎾ 11A, 4㎾ 9A</t>
  </si>
  <si>
    <t>30A 이하 ＊ MC-12a AC, 3.5㎾ 13A, 5.5㎾ 12A</t>
  </si>
  <si>
    <t>30A 이하 ＊ MC-18a AC, 4.5㎾ 18A, 7.5㎾ 18A</t>
  </si>
  <si>
    <t>30A 이하 ＊ MC-12b AC, 3.5㎾ 13A, 5.5㎾ 12A</t>
  </si>
  <si>
    <t>30A 이하 ＊ MC-18b AC, 4.5㎾ 18A, 7.5㎾ 18A</t>
  </si>
  <si>
    <t>30A 이하 ＊ MC-22b AC, 5.5㎾ 22A, 11㎾ 22A</t>
  </si>
  <si>
    <t>30A 이하 ＊ MC-32a AC, 7.5㎾ 32A, 15㎾ 32A</t>
  </si>
  <si>
    <t>제 2호표  저압용 개폐기-마그넷 스위치 ＊ Metasol 교류조작형접촉기(AC조작형)</t>
  </si>
  <si>
    <t>50A 이하 ＊ MC-40a AC, 11㎾ 40A, 18.5㎾ 40A</t>
  </si>
  <si>
    <t>50A 이하 ＊ MC-50a AC, 18.5㎾ 65A, 30kW 65A</t>
  </si>
  <si>
    <t>50A 이하 ＊ MC-50a AC, 15㎾ 55A, 22㎾ 50A</t>
  </si>
  <si>
    <t>제 3호표  저압용 개폐기-마그넷 스위치 ＊ Metasol 교류조작형접촉기(AC조작형)</t>
  </si>
  <si>
    <t>100A 이하 ＊ MC-65a AC, 18.5㎾ 65A, 30㎾ 65A</t>
  </si>
  <si>
    <t>100A 이하 ＊ MC-75a AC, 22㎾ 75A, 37㎾ 75A</t>
  </si>
  <si>
    <t>100A 이하 ＊ MC-85a AC, 25㎾ 85A, 45㎾ 85A</t>
  </si>
  <si>
    <t>100A 이하 ＊ MC-100a AC, 30㎾ 105A, 55㎾ 105A</t>
  </si>
  <si>
    <t>제 4호표  저압용 개폐기-마그넷 스위치 ＊ Metasol 교류조작형접촉기(AC/DC조작형)</t>
  </si>
  <si>
    <t>225A 이하 ＊ MC-130a AC/DC, 37㎾ 130A, 60㎾ 130A</t>
  </si>
  <si>
    <t>225A 이하 ＊ MC-150a AC/DC, 45㎾ 150A, 75㎾ 150A</t>
  </si>
  <si>
    <t>225A 이하 ＊ MC-185a AC/DC, 55㎾ 185A, 90㎾ 185A</t>
  </si>
  <si>
    <t>225A 이하 ＊ MC-225a AC/DC, 75㎾ 225A, 132㎾ 225A</t>
  </si>
  <si>
    <t>제 5호표  저압용 개폐기-마그넷 스위치 ＊ Metasol 교류조작형접촉기(AC/DC조작형)</t>
  </si>
  <si>
    <t>300A 이하 ＊ MC-265a AC/DC, 80㎾ 265A, 147㎾ 265A</t>
  </si>
  <si>
    <t>제 6호표  저압용 개폐기-마그넷 스위치 ＊ Metasol 교류조작형접촉기(AC/DC조작형)</t>
  </si>
  <si>
    <t>400A 이하 ＊ MC-330a AC/DC, 90㎾ 330A, 160㎾ 330A</t>
  </si>
  <si>
    <t>400A 이하 ＊ MC-400a AC/DC, 125㎾ 400A, 200㎾ 400A</t>
  </si>
  <si>
    <t>제 7호표  저압용 개폐기-마그넷 스위치 ＊ Metasol 교류조작형접촉기(AC/DC조작형)</t>
  </si>
  <si>
    <t>600A 이하 ＊ MC-500a AC/DC, 147㎾ 500A, 265㎾ 500A</t>
  </si>
  <si>
    <t>800A 이하 ＊ MC-800a AC/DC, 220㎾ 800A, 500㎾ 800A</t>
  </si>
  <si>
    <t>전력량계 1Ø 2W용 ＊ 220V 1P2W 40(10)A</t>
  </si>
  <si>
    <t>전력량계 1Ø 2W용 ＊ 220V 1P2W 60(15)A</t>
  </si>
  <si>
    <t>전력량계 1Ø 2W용 ＊ 220V 1P2W 80(20)A</t>
  </si>
  <si>
    <t>제 3호표  전력량계 및 부속장치 설치 ＊ LD시리즈 삼상</t>
  </si>
  <si>
    <t>전력량계 3Ø 4W용 ＊ 220/380V 3P4W 40(10)A</t>
  </si>
  <si>
    <t>전력량계 3Ø 4W용 ＊ 220/380V 3P4W 80(20)A</t>
  </si>
  <si>
    <t>전력량계 3Ø 4W용 ＊ 220/380V 3P4W 120(30)A</t>
  </si>
  <si>
    <t>서지보호기용 외함설치 ＊ 1상2선, SB-PB120/2(Imax120kA/In60kA)</t>
  </si>
  <si>
    <t>서지보호기용 외함설치 ＊ 1상2선, SB-PB160/2(Imax160kA/In80kA)</t>
  </si>
  <si>
    <t>서지보호기용 외함설치 ＊ 1상2선, SB-PB200/2(Imax200kA/In100kA)</t>
  </si>
  <si>
    <t>3kVA 이하 ＊ SV0055iS7-2NOFD, 200V(리액터,필터 내장), 5.5㎾</t>
  </si>
  <si>
    <t>3kVA 이하 ＊ SV0075iS7-2NOFD, 200V(리액터,필터 내장), 7.5㎾</t>
  </si>
  <si>
    <t>제 4호표  태양광 발전시스템(인버터) ＊ 차세대 범용 인버터 iS7</t>
  </si>
  <si>
    <t>10kVA 이하 ＊ SV0110iS7-2NOFD, 200V(리액터,필터 내장), 11㎾</t>
  </si>
  <si>
    <t>10kVA 이하 ＊ SV0150iS7-2NOFD, 200V(리액터,필터 내장), 15㎾</t>
  </si>
  <si>
    <t>10kVA 이하 ＊ SV0185iS7-2NOFD, 200V(리액터,필터 내장), 18.5㎾</t>
  </si>
  <si>
    <t>10kVA 이하 ＊ SV0220iS7-2NOFD, 200V(리액터,필터 내장), 22㎾</t>
  </si>
  <si>
    <t>1kVA 이하 ＊ SV0008iS7-4NOFD, 400V(리액터,필터 내장), 0.75㎾</t>
  </si>
  <si>
    <t>3kVA 이하 ＊ SV0015iS7-4NOFD, 400V(리액터,필터 내장), 1.5㎾</t>
  </si>
  <si>
    <t>제 1호표  전력량계 및 부속장치 설치 ＊ 양방향전자식전력량계(Smart Meter)</t>
  </si>
  <si>
    <t>전력량계 1Ø 2W용 ＊ 1P2W 220V 40(10)A</t>
  </si>
  <si>
    <t>전력량계 1Ø 2W용 ＊ 1P2W 220V 80(20)A</t>
  </si>
  <si>
    <t>전력량계 1Ø 2W용 ＊ 1P2W 220V 120(30)A</t>
  </si>
  <si>
    <t>제 3호표  전력량계 및 부속장치 설치 ＊ 양방향전자식전력량계(Smart Meter)</t>
  </si>
  <si>
    <t>전력량계 3Ø 4W용 ＊ 3P4W 220/380V 40(10)A</t>
  </si>
  <si>
    <t>전력량계 3Ø 4W용 ＊ 3P4W 220/380V 80(20)A</t>
  </si>
  <si>
    <t>전력량계 3Ø 4W용 ＊ 3P4W 220/380V 120(30)A</t>
  </si>
  <si>
    <t>전력량계 3Ø 4W용 ＊ 3P4W 220/380V 5(2.5)A</t>
  </si>
  <si>
    <t>전원선/접지선 연결 ＊ 상수3ø, 출력380/220V±1~2%(입력:±10~20%) 용량10kVA</t>
  </si>
  <si>
    <t>전원선/접지선 연결 ＊ 상수3ø, 출력380/220V±1~2%(입력:±10~20%) 용량15kVA</t>
  </si>
  <si>
    <t>전원선/접지선 연결 ＊ 상수3ø, 출력380/220V±1~2%(입력:±10~20%) 용량20kVA</t>
  </si>
  <si>
    <t>전원선/접지선 연결 ＊ 상수3ø, 출력380/220V±1~2%(입력:±10~20%) 용량30kVA</t>
  </si>
  <si>
    <t>전원선/접지선 연결 ＊ 상수3ø, 출력380/220V±1~2%(입력:±10~20%) 용량75kVA</t>
  </si>
  <si>
    <t>전원선/접지선 연결 ＊ 상수3ø 110/220V, 208/120V, 380/220V(입력:3ø208/220/380V) 용량 10kVA</t>
  </si>
  <si>
    <t>전원선/접지선 연결 ＊ 상수3ø 110/220V, 208/120V, 380/220V(입력:3ø208/220/380V) 용량 20kVA</t>
  </si>
  <si>
    <t>전원선/접지선 연결 ＊ 상수3ø 110/220V, 208/120V, 380/220V(입력:3ø208/220/380V) 용량 30kVA</t>
  </si>
  <si>
    <t>전원선/접지선 연결 ＊ 상수3ø 110/220V, 208/120V, 380/220V(입력:3ø208/220/380V) 용량 75kVA</t>
  </si>
  <si>
    <t>전원선/접지선 연결 ＊ 상수3ø 110/220V, 208/120V, 380/220V(입력:3ø208/220/380V) 용량100kVA</t>
  </si>
  <si>
    <t>서지보호기용 외함설치 ＊ 3상4선, SB-PB080/4(Imax80kA/In40kA)</t>
  </si>
  <si>
    <t>서지보호기용 외함설치 ＊ 3상4선, SB-PB120/4(Imax120kA/In60kA)</t>
  </si>
  <si>
    <t>서지보호기용 외함설치 ＊ 3상4선, SB-PB160/4(Imax160kA/In80kA)</t>
  </si>
  <si>
    <t>서지보호기용 외함설치 ＊ 3상4선, SB-PB200/4(Imax200kA/In100kA)</t>
  </si>
  <si>
    <t>서지보호기용 외함설치 ＊ 3상4선, SB-PB240/4(Imax240kA/In120kA)</t>
  </si>
  <si>
    <t>고정 30W 이하 ＊ CS-05F, 3W 실링 , KS 인증</t>
  </si>
  <si>
    <t>고정 30W 이하 ＊ CS-610F, 6W 실링 , KS 인증</t>
  </si>
  <si>
    <t>서지보호기용 외함설치 ＊ 3상4선, SB-PB040/4(Imax40kA/In20kA)</t>
  </si>
  <si>
    <t>3kVA 이하 ＊ SV0022iS7-4NOFD, 400V(리액터,필터 내장), 2.2㎾</t>
  </si>
  <si>
    <t>3kVA 이하 ＊ SV0037iS7-4NOFD, 400V(리액터,필터 내장), 3.7㎾</t>
  </si>
  <si>
    <t>3kVA 이하 ＊ SV0055iS7-4NOFD, 400V(리액터,필터 내장), 5.5㎾</t>
  </si>
  <si>
    <t>3kVA 이하 ＊ SV0075iS7-4NOFD, 400V(리액터,필터 내장), 7.5㎾</t>
  </si>
  <si>
    <t>제 5호표  태양광 발전시스템(인버터) ＊ 차세대 범용 인버터 iS7</t>
  </si>
  <si>
    <t>20kVA 이하 ＊ SV0110iS7-4NOFD, 400V(리액터,필터 내장), 11㎾</t>
  </si>
  <si>
    <t>20kVA 이하 ＊ SV0150iS7-4NOFD, 400V(리액터,필터 내장), 15㎾</t>
  </si>
  <si>
    <t>20kVA 이하 ＊ SV0185iS7-4NOFD, 400V(리액터,필터 내장), 18.5㎾</t>
  </si>
  <si>
    <t>제 6호표  태양광 발전시스템(인버터) ＊ 차세대 범용 인버터 iS7</t>
  </si>
  <si>
    <t>30kVA 이하 ＊ SV0220iS7-4NOFD, 400V(리액터,필터 내장), 22㎾</t>
  </si>
  <si>
    <t>제 7호표  태양광 발전시스템(인버터)50kVA 이하</t>
  </si>
  <si>
    <t>제 7호표  태양광 발전시스템(인버터) ＊ 차세대 범용 인버터 iS7</t>
  </si>
  <si>
    <t>50kVA 이하 ＊ SV0300iS7-4SOD, 400V(리액터 내장), 30㎾</t>
  </si>
  <si>
    <t>50kVA 이하 ＊ SV0370iS7-4SOD, 400V(리액터 내장), 37㎾</t>
  </si>
  <si>
    <t>용량 30AF 이하 ＊ ISP-008P, 0.75㎾</t>
  </si>
  <si>
    <t>용량 30AF 이하 ＊ ISP-015P, 1.5㎾</t>
  </si>
  <si>
    <t>용량 30AF 이하 ＊ ISP-022P, 2.2㎾</t>
  </si>
  <si>
    <t>용량 30AF 이하 ＊ ISP-037P, 3.7㎾</t>
  </si>
  <si>
    <t>용량 30AF 이하 ＊ ISP-055P, 5.5㎾</t>
  </si>
  <si>
    <t>제 2호표  나이프 스위치(3P) ＊ 열동형과부하계전기 표준형</t>
  </si>
  <si>
    <t>용량 60A 이하 ＊ MT-32/3H, 극수:3P 정격전류:0.14~34A</t>
  </si>
  <si>
    <t>용량 60A 이하 ＊ MT-63/3H, 극수:3P 정격전류:5~54A</t>
  </si>
  <si>
    <t>제 2호표  나이프 스위치(3P) ＊ Metasol 교류조작형접촉기(AC조작형)</t>
  </si>
  <si>
    <t>용량 60A 이하 ＊ MC-18b AC, 4.5㎾ 18A, 7.5㎾ 18A</t>
  </si>
  <si>
    <t>용량 60A 이하 ＊ MC-32a AC, 7.5㎾ 32A, 15㎾ 32A</t>
  </si>
  <si>
    <t>제 4호표  전력량계 및 부속장치 설치 ＊ EMPR 옵션품-변류기(3CT형)</t>
  </si>
  <si>
    <t>전류변성기(CT)(저·고압) ＊ 3CT-43, 300/350/400A CT 상부에 DMP, GMP60-3T/TN/TZ 등 취부 가능</t>
  </si>
  <si>
    <t>제 5호표  전력량계 및 부속장치 설치 ＊ EMPR 옵션품-변류기(3CT형)</t>
  </si>
  <si>
    <t>전압변성기(PT)(저·고압) ＊ 3CT-23, 80/100/150A 2차 정격 5A, 부담 1.5VA, (관통 : 21X21)</t>
  </si>
  <si>
    <t>제 6호표  전력량계 및 부속장치 설치 ＊ EMPR 옵션품-영상변류기</t>
  </si>
  <si>
    <t>영상전류변성기(ZCT) ＊ ZCT 50Φ 영상변류비 200mA/100mV</t>
  </si>
  <si>
    <t>영상전류변성기(ZCT) ＊ ZCT 65Φ 영상변류비 200mA/100mV</t>
  </si>
  <si>
    <t>영상전류변성기(ZCT) ＊ ZCT 80Φ 영상변류비 200mA/100mV</t>
  </si>
  <si>
    <t>계기함 ＊ 200×330×160, 1.2T</t>
  </si>
  <si>
    <t>계기함 ＊ 400×330×160, 1.2T</t>
  </si>
  <si>
    <t>계기함 ＊ 300×430×190, 1.2T</t>
  </si>
  <si>
    <t>제 1호표  가전기구 설치 ＊ 키소켓</t>
  </si>
  <si>
    <t>전극결선 ＊ 6A 250V</t>
  </si>
  <si>
    <t>제 1호표  가전기구 설치 ＊ 키리스소켓</t>
  </si>
  <si>
    <t>전극결선 ＊ 1단소모갈 6A 250V</t>
  </si>
  <si>
    <t>전극결선 ＊ 2단소모갈 6A 250V</t>
  </si>
  <si>
    <t>전극결선 ＊ 1단대모갈 15A 250V</t>
  </si>
  <si>
    <t>전극결선 ＊ 2단대모갈 15A 250V</t>
  </si>
  <si>
    <t>전구교환 ＊ 환접지</t>
  </si>
  <si>
    <t>전구교환 ＊ 3P 20A</t>
  </si>
  <si>
    <t>전구교환 ＊ 3P 20A (고무)</t>
  </si>
  <si>
    <t>전구교환 ＊ 3P 30A</t>
  </si>
  <si>
    <t>전구교환 ＊ 4P 30A</t>
  </si>
  <si>
    <t>전구교환 ＊ 4P 50A</t>
  </si>
  <si>
    <t>전구교환 ＊ 4P 30A (걸림)</t>
  </si>
  <si>
    <t>전구교환 ＊ ㄱ 자</t>
  </si>
  <si>
    <t>전구교환 ＊ ㅡ 자</t>
  </si>
  <si>
    <t>제 2호표  콘센트류 2P ＊ 매입콘센트</t>
  </si>
  <si>
    <t>콘센트 15A(접지극부) ＊ 220V 접1구</t>
  </si>
  <si>
    <t>콘센트 15A(접지극부) ＊ 220V 접2구</t>
  </si>
  <si>
    <t>제 2호표  콘센트류 4P ＊ 매입콘센트</t>
  </si>
  <si>
    <t>콘센트 30A(접지극부) ＊ 220V 접4구</t>
  </si>
  <si>
    <t>콘센트 15A(접지극부) ＊ 방접 1구</t>
  </si>
  <si>
    <t>콘센트 15A(접지극부) ＊ 방접 2구</t>
  </si>
  <si>
    <t>제 2호표  콘센트류 2P ＊ 매입콘센트(산업용)</t>
  </si>
  <si>
    <t>콘센트 15A(접지극부) ＊ 110V 대각접 2구</t>
  </si>
  <si>
    <t>제 2호표  콘센트류 3P ＊ 매입콘센트(산업용)</t>
  </si>
  <si>
    <t>콘센트 30A(접지극부) ＊ 매입 3P 20A</t>
  </si>
  <si>
    <t>콘센트 30A(접지극부) ＊ 매입 3P 50A</t>
  </si>
  <si>
    <t>콘센트 30A(접지극부) ＊ 매입 4P 30A</t>
  </si>
  <si>
    <t>콘센트 30A(접지극부) ＊ 매입 4P 30A (걸림)</t>
  </si>
  <si>
    <t>콘센트 15A(접지극부) ＊ 노출접 2구 110V</t>
  </si>
  <si>
    <t>콘센트 15A(접지극부) ＊ 노출접 1구</t>
  </si>
  <si>
    <t>제 2호표  콘센트류 3P ＊ 노출콘센트(산업용)</t>
  </si>
  <si>
    <t>콘센트 30A(접지극부) ＊ 노출 3P 20A</t>
  </si>
  <si>
    <t>콘센트 30A(접지극부) ＊ 노출 3P 30A</t>
  </si>
  <si>
    <t>콘센트 30A(접지극부) ＊ 노출 3P 50A</t>
  </si>
  <si>
    <t>콘센트 30A(접지극부) ＊ 노출 4P 20A</t>
  </si>
  <si>
    <t>전구교환 ＊ 4P 20A</t>
  </si>
  <si>
    <t>콘센트 30A(접지극부) ＊ 노출 4P 50A</t>
  </si>
  <si>
    <t>제 1호표  스위치류 ＊ 1구 스위치</t>
  </si>
  <si>
    <t>제 2호표  600V 이하 전력 케이블 단말처리 ＊ IEC 온도변화용 동관단자</t>
    <phoneticPr fontId="5" type="noConversion"/>
  </si>
  <si>
    <t>제 10호표  600V 이하 전력 케이블 단말처리 ＊ IEC 온도변화용 동관단자</t>
    <phoneticPr fontId="5" type="noConversion"/>
  </si>
  <si>
    <t>제 1호표  제어용 케이블 설치(2C) ＊ VCT</t>
    <phoneticPr fontId="5" type="noConversion"/>
  </si>
  <si>
    <t>제 2호표  제어용 케이블 설치(3C) ＊ F-CV케이블</t>
    <phoneticPr fontId="5" type="noConversion"/>
  </si>
  <si>
    <t>제 2호표  전력케이블 구내 설치(P.V.C 및 고무절연외장) ＊ F-CV케이블</t>
    <phoneticPr fontId="5" type="noConversion"/>
  </si>
  <si>
    <t>제 1호표  전력케이블 구내 설치(P.V.C 및 고무절연외장) ＊ F-CV케이블</t>
    <phoneticPr fontId="5" type="noConversion"/>
  </si>
  <si>
    <t>제 1호표  제어용 케이블 설치(8C) ＊ F-CVV-SB</t>
    <phoneticPr fontId="5" type="noConversion"/>
  </si>
  <si>
    <t>L069</t>
  </si>
  <si>
    <t>내선전공</t>
  </si>
  <si>
    <t>L070</t>
  </si>
  <si>
    <t>L071</t>
  </si>
  <si>
    <t>L072</t>
  </si>
  <si>
    <t>L073</t>
  </si>
  <si>
    <t>L074</t>
  </si>
  <si>
    <t>L075</t>
  </si>
  <si>
    <t>L076</t>
  </si>
  <si>
    <t>L077</t>
  </si>
  <si>
    <t>L078</t>
  </si>
  <si>
    <t>특고압케이블전공</t>
  </si>
  <si>
    <t>고압케이블전공</t>
  </si>
  <si>
    <t>저압케이블전공</t>
  </si>
  <si>
    <t>송전전공</t>
  </si>
  <si>
    <t>송전활선전공</t>
  </si>
  <si>
    <t>배전전공</t>
  </si>
  <si>
    <t>배전활선전공</t>
  </si>
  <si>
    <t>플랜트전공</t>
  </si>
  <si>
    <t>계장공</t>
  </si>
  <si>
    <t>특별인부</t>
  </si>
  <si>
    <t>E10410003001001001</t>
  </si>
  <si>
    <t>E10410003001001002</t>
  </si>
  <si>
    <t>E10410003001001003</t>
  </si>
  <si>
    <t>E10410003001001004</t>
  </si>
  <si>
    <t>E10410003001001005</t>
  </si>
  <si>
    <t>E10410003001001006</t>
  </si>
  <si>
    <t>E10410003001001007</t>
  </si>
  <si>
    <t>E10410003001001008</t>
  </si>
  <si>
    <t>E10410003001001009</t>
  </si>
  <si>
    <t>E10410003001001010</t>
  </si>
  <si>
    <t>E10410003001001011</t>
  </si>
  <si>
    <t>E10410003001001012</t>
  </si>
  <si>
    <t>E10410003001001013</t>
  </si>
  <si>
    <t>E10410003001001014</t>
  </si>
  <si>
    <t>E10410003001001015</t>
  </si>
  <si>
    <t>E10410003001001016</t>
  </si>
  <si>
    <t>E10410003001001017</t>
  </si>
  <si>
    <t>E10410003001001018</t>
  </si>
  <si>
    <t>E10410003001001019</t>
  </si>
  <si>
    <t>E10410003001001020</t>
  </si>
  <si>
    <t>제 1호표  전력케이블 구내 설치(P.V.C 및 고무절연외장)</t>
  </si>
  <si>
    <t>제 2호표  전력케이블 구내 설치(P.V.C 및 고무절연외장)</t>
  </si>
  <si>
    <t>제 3호표  전력케이블 구내 설치(P.V.C 및 고무절연외장)</t>
  </si>
  <si>
    <t>제 4호표  전력케이블 구내 설치(P.V.C 및 고무절연외장)</t>
  </si>
  <si>
    <t>제 5호표  전력케이블 구내 설치(P.V.C 및 고무절연외장)600V 60㎟이하 X 1C</t>
  </si>
  <si>
    <t>제 5호표  전력케이블 구내 설치(P.V.C 및 고무절연외장)</t>
  </si>
  <si>
    <t>제 6호표  전력케이블 구내 설치(P.V.C 및 고무절연외장)</t>
  </si>
  <si>
    <t>제 7호표  전력케이블 구내 설치(P.V.C 및 고무절연외장)600V 80㎟이하 X 1C</t>
  </si>
  <si>
    <t>제 7호표  전력케이블 구내 설치(P.V.C 및 고무절연외장)</t>
  </si>
  <si>
    <t>제 8호표  전력케이블 구내 설치(P.V.C 및 고무절연외장)</t>
  </si>
  <si>
    <t>제 9호표  전력케이블 구내 설치(P.V.C 및 고무절연외장)</t>
  </si>
  <si>
    <t>제 10호표  전력케이블 구내 설치(P.V.C 및 고무절연외장)</t>
  </si>
  <si>
    <t>제 11호표  전력케이블 구내 설치(P.V.C 및 고무절연외장)</t>
  </si>
  <si>
    <t>제 12호표  전력케이블 구내 설치(P.V.C 및 고무절연외장)600V 200㎟이하 X 1C</t>
  </si>
  <si>
    <t>제 12호표  전력케이블 구내 설치(P.V.C 및 고무절연외장)</t>
  </si>
  <si>
    <t>제 13호표  전력케이블 구내 설치(P.V.C 및 고무절연외장)</t>
  </si>
  <si>
    <t>제 14호표  전력케이블 구내 설치(P.V.C 및 고무절연외장)600V 250㎟이하 X 1C</t>
  </si>
  <si>
    <t>제 14호표  전력케이블 구내 설치(P.V.C 및 고무절연외장)</t>
  </si>
  <si>
    <t>제 15호표  전력케이블 구내 설치(P.V.C 및 고무절연외장)</t>
  </si>
  <si>
    <t>제 16호표  전력케이블 구내 설치(P.V.C 및 고무절연외장)600V 325㎟이하 X 1C</t>
  </si>
  <si>
    <t>제 16호표  전력케이블 구내 설치(P.V.C 및 고무절연외장)</t>
  </si>
  <si>
    <t>제 17호표  전력케이블 구내 설치(P.V.C 및 고무절연외장)600V 400㎟이하 X 1C</t>
  </si>
  <si>
    <t>제 17호표  전력케이블 구내 설치(P.V.C 및 고무절연외장)</t>
  </si>
  <si>
    <t>제 18호표  전력케이블 구내 설치(P.V.C 및 고무절연외장)</t>
  </si>
  <si>
    <t>제 19호표  전력케이블 구내 설치(P.V.C 및 고무절연외장)</t>
  </si>
  <si>
    <t>제 20호표  전력케이블 구내 설치(P.V.C 및 고무절연외장)600V 1,000㎟이하 X 1C</t>
  </si>
  <si>
    <t>제 20호표  전력케이블 구내 설치(P.V.C 및 고무절연외장)</t>
  </si>
  <si>
    <t>600V 16㎟이하 X 1C</t>
  </si>
  <si>
    <t>600V 25㎟이하 X 1C</t>
  </si>
  <si>
    <t>600V 38㎟이하 X 1C</t>
  </si>
  <si>
    <t>600V 50㎟이하 X 1C</t>
  </si>
  <si>
    <t>600V 60㎟이하 X 1C</t>
  </si>
  <si>
    <t>600V 70㎟이하 X 1C</t>
  </si>
  <si>
    <t>600V 80㎟이하 X 1C</t>
  </si>
  <si>
    <t>600V 100㎟이하 X 1C</t>
  </si>
  <si>
    <t>600V 125㎟이하 X 1C</t>
  </si>
  <si>
    <t>600V 150㎟이하 X 1C</t>
  </si>
  <si>
    <t>600V 185㎟이하 X 1C</t>
  </si>
  <si>
    <t>600V 200㎟이하 X 1C</t>
  </si>
  <si>
    <t>600V 240㎟이하 X 1C</t>
  </si>
  <si>
    <t>600V 250㎟이하 X 1C</t>
  </si>
  <si>
    <t>600V 300㎟이하 X 1C</t>
  </si>
  <si>
    <t>600V 325㎟이하 X 1C</t>
  </si>
  <si>
    <t>600V 400㎟이하 X 1C</t>
  </si>
  <si>
    <t>600V 500㎟이하 X 1C</t>
  </si>
  <si>
    <t>600V 630㎟이하 X 1C</t>
  </si>
  <si>
    <t>600V 1,000㎟이하 X 1C</t>
  </si>
  <si>
    <t>E10410005001001001</t>
  </si>
  <si>
    <t>E10410005001001002</t>
  </si>
  <si>
    <t>E10410005001001003</t>
  </si>
  <si>
    <t>E10410005001001004</t>
  </si>
  <si>
    <t>E10410005001001005</t>
  </si>
  <si>
    <t>E10410005001002001</t>
  </si>
  <si>
    <t>E10410005001002002</t>
  </si>
  <si>
    <t>E10410005001002003</t>
  </si>
  <si>
    <t>E10410005001003001</t>
  </si>
  <si>
    <t>E10410005001003002</t>
  </si>
  <si>
    <t>E10410005001003003</t>
  </si>
  <si>
    <t>E10410005001004001</t>
  </si>
  <si>
    <t>E10410005001004002</t>
  </si>
  <si>
    <t>E10410005001004003</t>
  </si>
  <si>
    <t>E10410005001005001</t>
  </si>
  <si>
    <t>E10410005001005002</t>
  </si>
  <si>
    <t>E10410005001005003</t>
  </si>
  <si>
    <t>E10410005001006001</t>
  </si>
  <si>
    <t>E10410005001006002</t>
  </si>
  <si>
    <t>E10410005001006003</t>
  </si>
  <si>
    <t>E10410005001007001</t>
  </si>
  <si>
    <t>E10410005001007002</t>
  </si>
  <si>
    <t>E10410005001007003</t>
  </si>
  <si>
    <t>E10410005001008001</t>
  </si>
  <si>
    <t>E10410005001009001</t>
  </si>
  <si>
    <t>E10410005001010001</t>
  </si>
  <si>
    <t>E10410005001010002</t>
  </si>
  <si>
    <t>E10410005001010003</t>
  </si>
  <si>
    <t>E10410005001010004</t>
  </si>
  <si>
    <t>E10410005001010005</t>
  </si>
  <si>
    <t>E10410005001011001</t>
  </si>
  <si>
    <t>E10410005001011002</t>
  </si>
  <si>
    <t>E10410005001011003</t>
  </si>
  <si>
    <t>E10410005001011004</t>
  </si>
  <si>
    <t>E10410005001011005</t>
  </si>
  <si>
    <t>E10410005001012001</t>
  </si>
  <si>
    <t>E10410005001012002</t>
  </si>
  <si>
    <t>E10410005001012003</t>
  </si>
  <si>
    <t>E10410005001012004</t>
  </si>
  <si>
    <t>E10410005001012005</t>
  </si>
  <si>
    <t>E10410005001013001</t>
  </si>
  <si>
    <t>E10410005001013002</t>
  </si>
  <si>
    <t>E10410005001013003</t>
  </si>
  <si>
    <t>E10410005001013004</t>
  </si>
  <si>
    <t>E10410005001013005</t>
  </si>
  <si>
    <t>E10410005001014001</t>
  </si>
  <si>
    <t>E10410005001014002</t>
  </si>
  <si>
    <t>E10410005001014003</t>
  </si>
  <si>
    <t>E10410005001014004</t>
  </si>
  <si>
    <t>E10410005001014005</t>
  </si>
  <si>
    <t>E10410005001015001</t>
  </si>
  <si>
    <t>E10410005001015002</t>
  </si>
  <si>
    <t>E10410005001015003</t>
  </si>
  <si>
    <t>E10410005001015004</t>
  </si>
  <si>
    <t>E10410005001015005</t>
  </si>
  <si>
    <t>E10410005001016001</t>
  </si>
  <si>
    <t>E10410005001016002</t>
  </si>
  <si>
    <t>E10410005001016003</t>
  </si>
  <si>
    <t>E10410005001016004</t>
  </si>
  <si>
    <t>E10410005001016005</t>
  </si>
  <si>
    <t>E10410005001017001</t>
  </si>
  <si>
    <t>E10410005001017002</t>
  </si>
  <si>
    <t>E10410005001017003</t>
  </si>
  <si>
    <t>E10410005001017004</t>
  </si>
  <si>
    <t>E10410005001017005</t>
  </si>
  <si>
    <t>제 1호표  제어용 케이블 설치(1C)</t>
  </si>
  <si>
    <t>2.5㎟ 이하</t>
  </si>
  <si>
    <t>제 2호표  제어용 케이블 설치(1C)</t>
  </si>
  <si>
    <t>4㎟ 이하</t>
  </si>
  <si>
    <t>제 3호표  제어용 케이블 설치(1C)</t>
  </si>
  <si>
    <t>6㎟ 이하</t>
  </si>
  <si>
    <t>제 4호표  제어용 케이블 설치(1C)8㎟ 이하</t>
  </si>
  <si>
    <t>제 4호표  제어용 케이블 설치(1C)</t>
  </si>
  <si>
    <t>8㎟ 이하</t>
  </si>
  <si>
    <t>제 5호표  제어용 케이블 설치(1C)</t>
  </si>
  <si>
    <t>10㎟ 이하</t>
  </si>
  <si>
    <t>제 1호표  제어용 케이블 설치(12C)</t>
  </si>
  <si>
    <t>제 2호표  제어용 케이블 설치(12C)</t>
  </si>
  <si>
    <t>제 3호표  제어용 케이블 설치(12C)</t>
  </si>
  <si>
    <t>제 1호표  제어용 케이블 설치(14C)2.5㎟ 이하</t>
  </si>
  <si>
    <t>제 1호표  제어용 케이블 설치(14C)</t>
  </si>
  <si>
    <t>제 2호표  제어용 케이블 설치(14C)4㎟ 이하</t>
  </si>
  <si>
    <t>제 2호표  제어용 케이블 설치(14C)</t>
  </si>
  <si>
    <t>제 3호표  제어용 케이블 설치(14C)6㎟ 이하</t>
  </si>
  <si>
    <t>제 3호표  제어용 케이블 설치(14C)</t>
  </si>
  <si>
    <t>제 1호표  제어용 케이블 설치(15C)</t>
  </si>
  <si>
    <t>제 2호표  제어용 케이블 설치(15C)</t>
  </si>
  <si>
    <t>제 3호표  제어용 케이블 설치(15C)6㎟ 이하</t>
  </si>
  <si>
    <t>제 3호표  제어용 케이블 설치(15C)</t>
  </si>
  <si>
    <t>제 1호표  제어용 케이블 설치(19C)2.5㎟ 이하</t>
  </si>
  <si>
    <t>제 1호표  제어용 케이블 설치(19C)</t>
  </si>
  <si>
    <t>제 2호표  제어용 케이블 설치(19C)4㎟ 이하</t>
  </si>
  <si>
    <t>제 2호표  제어용 케이블 설치(19C)</t>
  </si>
  <si>
    <t>제 3호표  제어용 케이블 설치(19C)6㎟ 이하</t>
  </si>
  <si>
    <t>제 3호표  제어용 케이블 설치(19C)</t>
  </si>
  <si>
    <t>제 1호표  제어용 케이블 설치(20C)</t>
  </si>
  <si>
    <t>제 2호표  제어용 케이블 설치(20C)</t>
  </si>
  <si>
    <t>제 3호표  제어용 케이블 설치(20C)6㎟ 이하</t>
  </si>
  <si>
    <t>제 3호표  제어용 케이블 설치(20C)</t>
  </si>
  <si>
    <t>제 1호표  제어용 케이블 설치(24C)2.5㎟ 이하</t>
  </si>
  <si>
    <t>제 1호표  제어용 케이블 설치(24C)</t>
  </si>
  <si>
    <t>제 2호표  제어용 케이블 설치(24C)4㎟ 이하</t>
  </si>
  <si>
    <t>제 2호표  제어용 케이블 설치(24C)</t>
  </si>
  <si>
    <t>제 3호표  제어용 케이블 설치(24C)6㎟ 이하</t>
  </si>
  <si>
    <t>제 3호표  제어용 케이블 설치(24C)</t>
  </si>
  <si>
    <t>제 1호표  제어용 케이블 설치(30C)</t>
  </si>
  <si>
    <t>제 1호표  제어용 케이블 설치(50C)</t>
  </si>
  <si>
    <t>제 1호표  제어용 케이블 설치(2C)</t>
  </si>
  <si>
    <t>제 2호표  제어용 케이블 설치(2C)</t>
  </si>
  <si>
    <t>제 3호표  제어용 케이블 설치(2C)</t>
  </si>
  <si>
    <t>제 4호표  제어용 케이블 설치(2C)8㎟ 이하</t>
  </si>
  <si>
    <t>제 4호표  제어용 케이블 설치(2C)</t>
  </si>
  <si>
    <t>제 5호표  제어용 케이블 설치(2C)</t>
  </si>
  <si>
    <t>제 1호표  제어용 케이블 설치(3C)</t>
  </si>
  <si>
    <t>제 2호표  제어용 케이블 설치(3C)</t>
  </si>
  <si>
    <t>제 3호표  제어용 케이블 설치(3C)</t>
  </si>
  <si>
    <t>제 4호표  제어용 케이블 설치(3C)8㎟ 이하</t>
  </si>
  <si>
    <t>제 4호표  제어용 케이블 설치(3C)</t>
  </si>
  <si>
    <t>제 5호표  제어용 케이블 설치(3C)</t>
  </si>
  <si>
    <t>제 1호표  제어용 케이블 설치(4C)</t>
  </si>
  <si>
    <t>제 2호표  제어용 케이블 설치(4C)</t>
  </si>
  <si>
    <t>제 3호표  제어용 케이블 설치(4C)</t>
  </si>
  <si>
    <t>제 4호표  제어용 케이블 설치(4C)8㎟ 이하</t>
  </si>
  <si>
    <t>제 4호표  제어용 케이블 설치(4C)</t>
  </si>
  <si>
    <t>제 5호표  제어용 케이블 설치(4C)</t>
  </si>
  <si>
    <t>제 1호표  제어용 케이블 설치(5C)</t>
  </si>
  <si>
    <t>제 2호표  제어용 케이블 설치(5C)</t>
  </si>
  <si>
    <t>제 3호표  제어용 케이블 설치(5C)</t>
  </si>
  <si>
    <t>제 4호표  제어용 케이블 설치(5C)8㎟ 이하</t>
  </si>
  <si>
    <t>제 4호표  제어용 케이블 설치(5C)</t>
  </si>
  <si>
    <t>제 5호표  제어용 케이블 설치(5C)</t>
  </si>
  <si>
    <t>제 1호표  제어용 케이블 설치(6C)</t>
  </si>
  <si>
    <t>제 2호표  제어용 케이블 설치(6C)</t>
  </si>
  <si>
    <t>제 3호표  제어용 케이블 설치(6C)</t>
  </si>
  <si>
    <t>제 4호표  제어용 케이블 설치(6C)8㎟ 이하</t>
  </si>
  <si>
    <t>제 4호표  제어용 케이블 설치(6C)</t>
  </si>
  <si>
    <t>제 5호표  제어용 케이블 설치(6C)</t>
  </si>
  <si>
    <t>제 1호표  제어용 케이블 설치(7C)</t>
  </si>
  <si>
    <t>제 2호표  제어용 케이블 설치(7C)</t>
  </si>
  <si>
    <t>제 3호표  제어용 케이블 설치(7C)</t>
  </si>
  <si>
    <t>제 4호표  제어용 케이블 설치(7C)8㎟ 이하</t>
  </si>
  <si>
    <t>제 4호표  제어용 케이블 설치(7C)</t>
  </si>
  <si>
    <t>제 5호표  제어용 케이블 설치(7C)10㎟ 이하</t>
  </si>
  <si>
    <t>제 5호표  제어용 케이블 설치(7C)</t>
  </si>
  <si>
    <t>제 1호표  제어용 케이블 설치(8C)</t>
  </si>
  <si>
    <t>제 2호표  제어용 케이블 설치(8C)</t>
  </si>
  <si>
    <t>제 3호표  제어용 케이블 설치(8C)</t>
  </si>
  <si>
    <t>제 4호표  제어용 케이블 설치(8C)8㎟ 이하</t>
  </si>
  <si>
    <t>제 4호표  제어용 케이블 설치(8C)</t>
  </si>
  <si>
    <t>제 5호표  제어용 케이블 설치(8C)10㎟ 이하</t>
  </si>
  <si>
    <t>제 5호표  제어용 케이블 설치(8C)</t>
  </si>
  <si>
    <t>제 1호표  제어용 케이블 설치(10C)</t>
  </si>
  <si>
    <t>제 2호표  제어용 케이블 설치(10C)</t>
  </si>
  <si>
    <t>제 3호표  제어용 케이블 설치(10C)</t>
  </si>
  <si>
    <t>제 4호표  제어용 케이블 설치(10C)8㎟ 이하</t>
  </si>
  <si>
    <t>제 4호표  제어용 케이블 설치(10C)</t>
  </si>
  <si>
    <t>제 5호표  제어용 케이블 설치(10C)10㎟ 이하</t>
  </si>
  <si>
    <t>제 5호표  제어용 케이블 설치(10C)</t>
  </si>
  <si>
    <t>E10410046001001001</t>
  </si>
  <si>
    <t>E10410046001002001</t>
  </si>
  <si>
    <t>E10410046001002002</t>
  </si>
  <si>
    <t>E10410046001002003</t>
  </si>
  <si>
    <t>E10410046001003001</t>
  </si>
  <si>
    <t>E10410046001003002</t>
  </si>
  <si>
    <t>E10410046001003003</t>
  </si>
  <si>
    <t>제 1호표  음향 및 영상설비(Triaxial 케이블 설치)12.95㎜ 이하</t>
  </si>
  <si>
    <t>제 1호표  음향 및 영상설비(Triaxial 케이블 설치)</t>
  </si>
  <si>
    <t>12.95㎜ 이하</t>
  </si>
  <si>
    <t>10m</t>
  </si>
  <si>
    <t>제 1호표  음향 및 영상설비(스피커 케이블 설치)5.6㎟-4C 이하</t>
  </si>
  <si>
    <t>제 1호표  음향 및 영상설비(스피커 케이블 설치)</t>
  </si>
  <si>
    <t>5.6㎟-4C 이하</t>
  </si>
  <si>
    <t>제 2호표  음향 및 영상설비(스피커 케이블 설치)14.2㎟-4C 이하</t>
  </si>
  <si>
    <t>제 2호표  음향 및 영상설비(스피커 케이블 설치)</t>
  </si>
  <si>
    <t>14.2㎟-4C 이하</t>
  </si>
  <si>
    <t>제 3호표  음향 및 영상설비(스피커 케이블 설치)멀티2.0㎟-4C 이하</t>
  </si>
  <si>
    <t>제 3호표  음향 및 영상설비(스피커 케이블 설치)</t>
  </si>
  <si>
    <t>멀티2.0㎟-4C 이하</t>
  </si>
  <si>
    <t>제 1호표  음향 및 영상설비(마이크 케이블 설치)2심실드 6.0㎜ 이하</t>
  </si>
  <si>
    <t>제 1호표  음향 및 영상설비(마이크 케이블 설치)</t>
  </si>
  <si>
    <t>2심실드 6.0㎜ 이하</t>
  </si>
  <si>
    <t>제 2호표  음향 및 영상설비(마이크 케이블 설치)멀티실드 12CH 이하</t>
  </si>
  <si>
    <t>제 2호표  음향 및 영상설비(마이크 케이블 설치)</t>
  </si>
  <si>
    <t>멀티실드 12CH 이하</t>
  </si>
  <si>
    <t>제 3호표  음향 및 영상설비(마이크 케이블 설치)멀티실드 32CH 이하</t>
  </si>
  <si>
    <t>제 3호표  음향 및 영상설비(마이크 케이블 설치)</t>
  </si>
  <si>
    <t>멀티실드 32CH 이하</t>
  </si>
  <si>
    <t>E10410054001001001</t>
  </si>
  <si>
    <t>E10410054001001002</t>
  </si>
  <si>
    <t>E10410054001001003</t>
  </si>
  <si>
    <t>E10410054001001004</t>
  </si>
  <si>
    <t>E10410054001001005</t>
  </si>
  <si>
    <t>E10410054001001006</t>
  </si>
  <si>
    <t>E10410054001001007</t>
  </si>
  <si>
    <t>E10410054001001008</t>
  </si>
  <si>
    <t>제 1호표  케이블 트레이 및 랙 설치(철제)10,000 ㎟ 이하</t>
  </si>
  <si>
    <t>제 1호표  케이블 트레이 및 랙 설치(철제)</t>
  </si>
  <si>
    <t>10,000 ㎟ 이하</t>
  </si>
  <si>
    <t>제 2호표  케이블 트레이 및 랙 설치(철제)</t>
  </si>
  <si>
    <t>30,000 ㎟ 이하</t>
  </si>
  <si>
    <t>제 3호표  케이블 트레이 및 랙 설치(철제)</t>
  </si>
  <si>
    <t>50,000 ㎟ 이하</t>
  </si>
  <si>
    <t>제 4호표  케이블 트레이 및 랙 설치(철제)</t>
  </si>
  <si>
    <t>60,000 ㎟ 이하</t>
  </si>
  <si>
    <t>제 5호표  케이블 트레이 및 랙 설치(철제)</t>
  </si>
  <si>
    <t>80,000 ㎟ 이하</t>
  </si>
  <si>
    <t>제 6호표  케이블 트레이 및 랙 설치(철제)</t>
  </si>
  <si>
    <t>90,000 ㎟ 이하</t>
  </si>
  <si>
    <t>제 7호표  케이블 트레이 및 랙 설치(철제)</t>
  </si>
  <si>
    <t>120,000 ㎟ 이하</t>
  </si>
  <si>
    <t>제 8호표  케이블 트레이 및 랙 설치(철제)150,000 ㎟ 이하</t>
  </si>
  <si>
    <t>제 8호표  케이블 트레이 및 랙 설치(철제)</t>
  </si>
  <si>
    <t>150,000 ㎟ 이하</t>
  </si>
  <si>
    <t>E10412031001001001</t>
  </si>
  <si>
    <t>E10412031001001002</t>
  </si>
  <si>
    <t>E10412031001001003</t>
  </si>
  <si>
    <t>E10412031001001004</t>
  </si>
  <si>
    <t>E10412031001001005</t>
  </si>
  <si>
    <t>E10412031001001006</t>
  </si>
  <si>
    <t>E10412031001001007</t>
  </si>
  <si>
    <t>E10412031001001008</t>
  </si>
  <si>
    <t>E10412031001001009</t>
  </si>
  <si>
    <t>E10412031001001010</t>
  </si>
  <si>
    <t>제 1호표  600V 이하 전력 케이블 직선접속16㎟ 이하 1C</t>
  </si>
  <si>
    <t>제 1호표  600V 이하 전력 케이블 직선접속</t>
  </si>
  <si>
    <t>16㎟ 이하 1C</t>
  </si>
  <si>
    <t>제 2호표  600V 이하 전력 케이블 직선접속25㎟ 이하 1C</t>
  </si>
  <si>
    <t>제 2호표  600V 이하 전력 케이블 직선접속</t>
  </si>
  <si>
    <t>25㎟ 이하 1C</t>
  </si>
  <si>
    <t>제 3호표  600V 이하 전력 케이블 직선접속35㎟ 이하 1C</t>
  </si>
  <si>
    <t>제 3호표  600V 이하 전력 케이블 직선접속</t>
  </si>
  <si>
    <t>35㎟ 이하 1C</t>
  </si>
  <si>
    <t>제 4호표  600V 이하 전력 케이블 직선접속50㎟ 이하 1C</t>
  </si>
  <si>
    <t>제 4호표  600V 이하 전력 케이블 직선접속</t>
  </si>
  <si>
    <t>50㎟ 이하 1C</t>
  </si>
  <si>
    <t>제 5호표  600V 이하 전력 케이블 직선접속70㎟ 이하 1C</t>
  </si>
  <si>
    <t>제 5호표  600V 이하 전력 케이블 직선접속</t>
  </si>
  <si>
    <t>70㎟ 이하 1C</t>
  </si>
  <si>
    <t>제 6호표  600V 이하 전력 케이블 직선접속95㎟ 이하 1C</t>
  </si>
  <si>
    <t>제 6호표  600V 이하 전력 케이블 직선접속</t>
  </si>
  <si>
    <t>95㎟ 이하 1C</t>
  </si>
  <si>
    <t>제 7호표  600V 이하 전력 케이블 직선접속120㎟ 이하 1C</t>
  </si>
  <si>
    <t>제 7호표  600V 이하 전력 케이블 직선접속</t>
  </si>
  <si>
    <t>120㎟ 이하 1C</t>
  </si>
  <si>
    <t>제 8호표  600V 이하 전력 케이블 직선접속185㎟ 이하 1C</t>
  </si>
  <si>
    <t>제 8호표  600V 이하 전력 케이블 직선접속</t>
  </si>
  <si>
    <t>185㎟ 이하 1C</t>
  </si>
  <si>
    <t>제 9호표  600V 이하 전력 케이블 직선접속240㎟ 이하 1C</t>
  </si>
  <si>
    <t>제 9호표  600V 이하 전력 케이블 직선접속</t>
  </si>
  <si>
    <t>240㎟ 이하 1C</t>
  </si>
  <si>
    <t>제 10호표  600V 이하 전력 케이블 직선접속300㎟ 이하 1C</t>
  </si>
  <si>
    <t>제 10호표  600V 이하 전력 케이블 직선접속</t>
  </si>
  <si>
    <t>300㎟ 이하 1C</t>
  </si>
  <si>
    <t>E10412032001001001</t>
  </si>
  <si>
    <t>E10412032001001002</t>
  </si>
  <si>
    <t>E10412032001001003</t>
  </si>
  <si>
    <t>E10412032001001004</t>
  </si>
  <si>
    <t>E10412032001001005</t>
  </si>
  <si>
    <t>E10412032001001006</t>
  </si>
  <si>
    <t>E10412032001001007</t>
  </si>
  <si>
    <t>E10412032001001008</t>
  </si>
  <si>
    <t>E10412032001001009</t>
  </si>
  <si>
    <t>E10412032001001010</t>
  </si>
  <si>
    <t>제 1호표  600V 이하 전력 케이블 단말처리</t>
  </si>
  <si>
    <t>제 2호표  600V 이하 전력 케이블 단말처리</t>
  </si>
  <si>
    <t>제 3호표  600V 이하 전력 케이블 단말처리</t>
  </si>
  <si>
    <t>제 4호표  600V 이하 전력 케이블 단말처리</t>
  </si>
  <si>
    <t>제 5호표  600V 이하 전력 케이블 단말처리</t>
  </si>
  <si>
    <t>제 6호표  600V 이하 전력 케이블 단말처리</t>
  </si>
  <si>
    <t>제 7호표  600V 이하 전력 케이블 단말처리</t>
  </si>
  <si>
    <t>제 8호표  600V 이하 전력 케이블 단말처리</t>
  </si>
  <si>
    <t>제 9호표  600V 이하 전력 케이블 단말처리</t>
  </si>
  <si>
    <t>제 10호표  600V 이하 전력 케이블 단말처리</t>
  </si>
  <si>
    <t>E10413098001001001</t>
  </si>
  <si>
    <t>E10413098001001002</t>
  </si>
  <si>
    <t>제 1호표  배전반 설치</t>
  </si>
  <si>
    <t>자립형 W800×H2,000 내외</t>
  </si>
  <si>
    <t>제 2호표  배전반 설치자립형 W1,000×H2,000 내외</t>
  </si>
  <si>
    <t>제 2호표  배전반 설치</t>
  </si>
  <si>
    <t>자립형 W1,000×H2,000 내외</t>
  </si>
  <si>
    <t>E10410015001001001</t>
  </si>
  <si>
    <t>E10410015001001002</t>
  </si>
  <si>
    <t>E10410015001001003</t>
  </si>
  <si>
    <t>E10410015001001004</t>
  </si>
  <si>
    <t>E10410015001001005</t>
  </si>
  <si>
    <t>E10410015001001006</t>
  </si>
  <si>
    <t>E10410015001001007</t>
  </si>
  <si>
    <t>E10410015001002001</t>
  </si>
  <si>
    <t>E10410015001002002</t>
  </si>
  <si>
    <t>E10410015001003001</t>
  </si>
  <si>
    <t>E10410015001003002</t>
  </si>
  <si>
    <t>제 1호표  콘센트류 2P콘센트 15A</t>
  </si>
  <si>
    <t>제 1호표  콘센트류 2P</t>
  </si>
  <si>
    <t>콘센트 15A</t>
  </si>
  <si>
    <t>제 2호표  콘센트류 2P</t>
  </si>
  <si>
    <t>콘센트 15A(접지극부)</t>
  </si>
  <si>
    <t>제 3호표  콘센트류 2P콘센트 20A(접지극부)</t>
  </si>
  <si>
    <t>제 3호표  콘센트류 2P</t>
  </si>
  <si>
    <t>콘센트 20A(접지극부)</t>
  </si>
  <si>
    <t>제 4호표  콘센트류 2P콘센트 30A(접지극부)</t>
  </si>
  <si>
    <t>제 4호표  콘센트류 2P</t>
  </si>
  <si>
    <t>콘센트 30A(접지극부)</t>
  </si>
  <si>
    <t>제 5호표  콘센트류 2P플로어콘센트 15A</t>
  </si>
  <si>
    <t>제 5호표  콘센트류 2P</t>
  </si>
  <si>
    <t>플로어콘센트 15A</t>
  </si>
  <si>
    <t>제 6호표  콘센트류 2P플로어콘센트 20A</t>
  </si>
  <si>
    <t>제 6호표  콘센트류 2P</t>
  </si>
  <si>
    <t>플로어콘센트 20A</t>
  </si>
  <si>
    <t>제 7호표  콘센트류 2P하아텐션(로우텐션)</t>
  </si>
  <si>
    <t>제 7호표  콘센트류 2P</t>
  </si>
  <si>
    <t>하아텐션(로우텐션)</t>
  </si>
  <si>
    <t>제 1호표  콘센트류 3P콘센트 15A</t>
  </si>
  <si>
    <t>제 1호표  콘센트류 3P</t>
  </si>
  <si>
    <t>제 2호표  콘센트류 3P</t>
  </si>
  <si>
    <t>제 1호표  콘센트류 4P콘센트 15A</t>
  </si>
  <si>
    <t>제 1호표  콘센트류 4P</t>
  </si>
  <si>
    <t>제 2호표  콘센트류 4P</t>
  </si>
  <si>
    <t>E10410011002002001</t>
  </si>
  <si>
    <t>E10410011002002002</t>
  </si>
  <si>
    <t>E10410011002002003</t>
  </si>
  <si>
    <t>E10410011002002004</t>
  </si>
  <si>
    <t>E10410011002002005</t>
  </si>
  <si>
    <t>E10410011002002006</t>
  </si>
  <si>
    <t>E10410011002002007</t>
  </si>
  <si>
    <t>E10410011002002008</t>
  </si>
  <si>
    <t>E10410011002003001</t>
  </si>
  <si>
    <t>E10410011002003002</t>
  </si>
  <si>
    <t>E10410011002003003</t>
  </si>
  <si>
    <t>E10410011002003004</t>
  </si>
  <si>
    <t>E10410011002003005</t>
  </si>
  <si>
    <t>E10410011002003006</t>
  </si>
  <si>
    <t>E10410011002003007</t>
  </si>
  <si>
    <t>E10410011002003008</t>
  </si>
  <si>
    <t>제 1호표  저압용 개폐기-마그넷 스위치</t>
  </si>
  <si>
    <t>제 2호표  저압용 개폐기-마그넷 스위치</t>
  </si>
  <si>
    <t>제 3호표  저압용 개폐기-마그넷 스위치</t>
  </si>
  <si>
    <t>제 4호표  저압용 개폐기-마그넷 스위치</t>
  </si>
  <si>
    <t>제 5호표  저압용 개폐기-마그넷 스위치</t>
  </si>
  <si>
    <t>제 6호표  저압용 개폐기-마그넷 스위치</t>
  </si>
  <si>
    <t>제 7호표  저압용 개폐기-마그넷 스위치</t>
  </si>
  <si>
    <t>제 8호표  저압용 개폐기-마그넷 스위치</t>
  </si>
  <si>
    <t>제 1호표  저압용 개폐기-커버나이프스위치30A 이하</t>
  </si>
  <si>
    <t>제 1호표  저압용 개폐기-커버나이프스위치</t>
  </si>
  <si>
    <t>제 2호표  저압용 개폐기-커버나이프스위치50A 이하</t>
  </si>
  <si>
    <t>제 2호표  저압용 개폐기-커버나이프스위치</t>
  </si>
  <si>
    <t>제 3호표  저압용 개폐기-커버나이프스위치100A 이하</t>
  </si>
  <si>
    <t>제 3호표  저압용 개폐기-커버나이프스위치</t>
  </si>
  <si>
    <t>제 4호표  저압용 개폐기-커버나이프스위치225A 이하</t>
  </si>
  <si>
    <t>제 4호표  저압용 개폐기-커버나이프스위치</t>
  </si>
  <si>
    <t>제 5호표  저압용 개폐기-커버나이프스위치300A 이하</t>
  </si>
  <si>
    <t>제 5호표  저압용 개폐기-커버나이프스위치</t>
  </si>
  <si>
    <t>제 6호표  저압용 개폐기-커버나이프스위치400A 이하</t>
  </si>
  <si>
    <t>제 6호표  저압용 개폐기-커버나이프스위치</t>
  </si>
  <si>
    <t>제 7호표  저압용 개폐기-커버나이프스위치600A 이하</t>
  </si>
  <si>
    <t>제 7호표  저압용 개폐기-커버나이프스위치</t>
  </si>
  <si>
    <t>제 8호표  저압용 개폐기-커버나이프스위치800A 이하</t>
  </si>
  <si>
    <t>제 8호표  저압용 개폐기-커버나이프스위치</t>
  </si>
  <si>
    <t>E10410015002001001</t>
  </si>
  <si>
    <t>E10410015002001002</t>
  </si>
  <si>
    <t>E10410015002001003</t>
  </si>
  <si>
    <t>E10410015002001004</t>
  </si>
  <si>
    <t>E10410015002001005</t>
  </si>
  <si>
    <t>E10410015002001006</t>
  </si>
  <si>
    <t>제 2호표  스위치류</t>
  </si>
  <si>
    <t>텀플러스위치 3로용</t>
  </si>
  <si>
    <t>제 3호표  스위치류텀플러스위치 4로용</t>
  </si>
  <si>
    <t>제 3호표  스위치류</t>
  </si>
  <si>
    <t>텀플러스위치 4로용</t>
  </si>
  <si>
    <t>제 4호표  스위치류풀스위치</t>
  </si>
  <si>
    <t>제 4호표  스위치류</t>
  </si>
  <si>
    <t>풀스위치</t>
  </si>
  <si>
    <t>제 6호표  스위치류리모콘스위치</t>
  </si>
  <si>
    <t>제 6호표  스위치류</t>
  </si>
  <si>
    <t>리모콘스위치</t>
  </si>
  <si>
    <t>E10410014001001001</t>
  </si>
  <si>
    <t>E10410014001001002</t>
  </si>
  <si>
    <t>E10410014001001003</t>
  </si>
  <si>
    <t>E10410014001001004</t>
  </si>
  <si>
    <t>E10410014001001005</t>
  </si>
  <si>
    <t>E10410014001001006</t>
  </si>
  <si>
    <t>E10410014001001007</t>
  </si>
  <si>
    <t>E10410014001001008</t>
  </si>
  <si>
    <t>E10410014001001009</t>
  </si>
  <si>
    <t>E10410014001001010</t>
  </si>
  <si>
    <t>E10410014001001011</t>
  </si>
  <si>
    <t>E10410014001001012</t>
  </si>
  <si>
    <t>E10410014001001013</t>
  </si>
  <si>
    <t>E10410014001001014</t>
  </si>
  <si>
    <t>E10410014001001015</t>
  </si>
  <si>
    <t>E10410014001001016</t>
  </si>
  <si>
    <t>E10410014001001017</t>
  </si>
  <si>
    <t>E10410014001001018</t>
  </si>
  <si>
    <t>E10410014001001019</t>
  </si>
  <si>
    <t>E10410014001001020</t>
  </si>
  <si>
    <t>E10410014001001021</t>
  </si>
  <si>
    <t>E10410014001001022</t>
  </si>
  <si>
    <t>E10410014001001023</t>
  </si>
  <si>
    <t>E10410014001001024</t>
  </si>
  <si>
    <t>E10410014001001025</t>
  </si>
  <si>
    <t>E10410014001001026</t>
  </si>
  <si>
    <t>E10410014001001027</t>
  </si>
  <si>
    <t>제 1호표  가전기구 설치전열기 3kW 이하</t>
  </si>
  <si>
    <t>전열기 3kW 이하</t>
  </si>
  <si>
    <t>제 2호표  가전기구 설치전열기 5kW 이하</t>
  </si>
  <si>
    <t>제 2호표  가전기구 설치</t>
  </si>
  <si>
    <t>전열기 5kW 이하</t>
  </si>
  <si>
    <t>제 3호표  가전기구 설치전열기 10kW 이하</t>
  </si>
  <si>
    <t>제 3호표  가전기구 설치</t>
  </si>
  <si>
    <t>전열기 10kW 이하</t>
  </si>
  <si>
    <t>제 4호표  가전기구 설치전열기 10kW 초과</t>
  </si>
  <si>
    <t>제 4호표  가전기구 설치</t>
  </si>
  <si>
    <t>전열기 10kW 초과</t>
  </si>
  <si>
    <t>전구교환</t>
  </si>
  <si>
    <t>제 1호표  가전기구 설치플러그 신설</t>
  </si>
  <si>
    <t>플러그 신설</t>
  </si>
  <si>
    <t>제 1호표  가전기구 설치전압조정탭 절환(탭외부)</t>
  </si>
  <si>
    <t>전압조정탭 절환(탭외부)</t>
  </si>
  <si>
    <t>제 2호표  가전기구 설치전압조정탭 절환(탭내부)</t>
  </si>
  <si>
    <t>전압조정탭 절환(탭내부)</t>
  </si>
  <si>
    <t>제 3호표  가전기구 설치전압조정탭 결선변경</t>
  </si>
  <si>
    <t>전압조정탭 결선변경</t>
  </si>
  <si>
    <t>제 1호표  가전기구 설치강압기 설치(외장형)</t>
  </si>
  <si>
    <t>강압기 설치(외장형)</t>
  </si>
  <si>
    <t>제 1호표  가전기구 설치강압기설치대 부설</t>
  </si>
  <si>
    <t>강압기설치대 부설</t>
  </si>
  <si>
    <t>제 2호표  가전기구 설치배전판부설</t>
  </si>
  <si>
    <t>배전판부설</t>
  </si>
  <si>
    <t>제 1호표  가전기구 설치벨</t>
  </si>
  <si>
    <t>벨</t>
  </si>
  <si>
    <t>제 2호표  가전기구 설치부저</t>
  </si>
  <si>
    <t>부저</t>
  </si>
  <si>
    <t>제 3호표  가전기구 설치도어폰(주기)</t>
  </si>
  <si>
    <t>도어폰(주기)</t>
  </si>
  <si>
    <t>제 4호표  가전기구 설치도어폰(자기)</t>
  </si>
  <si>
    <t>도어폰(자기)</t>
  </si>
  <si>
    <t>제 1호표  가전기구 설치가스배출기</t>
  </si>
  <si>
    <t>가스배출기</t>
  </si>
  <si>
    <t>제 1호표  가전기구 설치선풍기(벽면)</t>
  </si>
  <si>
    <t>선풍기(벽면)</t>
  </si>
  <si>
    <t>제 2호표  가전기구 설치선풍기(천정면)</t>
  </si>
  <si>
    <t>선풍기(천정면)</t>
  </si>
  <si>
    <t>제 2호표  가전기구 설치환풍기(천정면)</t>
  </si>
  <si>
    <t>환풍기(천정면)</t>
  </si>
  <si>
    <t>제 1호표  가전기구 설치플로어 플레이트</t>
  </si>
  <si>
    <t>플로어 플레이트</t>
  </si>
  <si>
    <t>제 1호표  가전기구 설치전극봉 지지기(3P)</t>
  </si>
  <si>
    <t>전극봉 지지기(3P)</t>
  </si>
  <si>
    <t>제 2호표  가전기구 설치전극봉 지지기(4P)</t>
  </si>
  <si>
    <t>전극봉 지지기(4P)</t>
  </si>
  <si>
    <t>제 3호표  가전기구 설치전극봉 지지기(5P)</t>
  </si>
  <si>
    <t>전극봉 지지기(5P)</t>
  </si>
  <si>
    <t>전극결선</t>
  </si>
  <si>
    <t>제 1호표  가전기구 설치소켓</t>
  </si>
  <si>
    <t>소켓</t>
  </si>
  <si>
    <t>E10410046001004001</t>
  </si>
  <si>
    <t>E10410046001004002</t>
  </si>
  <si>
    <t>E10410046001004003</t>
  </si>
  <si>
    <t>E10410046001004004</t>
  </si>
  <si>
    <t>E10410046002001001</t>
  </si>
  <si>
    <t>E10410046002001002</t>
  </si>
  <si>
    <t>E10410046002001003</t>
  </si>
  <si>
    <t>E10410046002001004</t>
  </si>
  <si>
    <t>E10410046002002001</t>
  </si>
  <si>
    <t>E10410046002002002</t>
  </si>
  <si>
    <t>E10410046002002003</t>
  </si>
  <si>
    <t>E10410046002002004</t>
  </si>
  <si>
    <t>E10410046002003001</t>
  </si>
  <si>
    <t>E10410046002003002</t>
  </si>
  <si>
    <t>E10410046002003003</t>
  </si>
  <si>
    <t>E10410046002003004</t>
  </si>
  <si>
    <t>E10410046002004001</t>
  </si>
  <si>
    <t>E10410046002004002</t>
  </si>
  <si>
    <t>E10410046002004003</t>
  </si>
  <si>
    <t>E10410046002004004</t>
  </si>
  <si>
    <t>E10410046002005001</t>
  </si>
  <si>
    <t>E10410046002005002</t>
  </si>
  <si>
    <t>E10410046002005003</t>
  </si>
  <si>
    <t>E10410046002005004</t>
  </si>
  <si>
    <t>E10410046002006001</t>
  </si>
  <si>
    <t>E10410046002006002</t>
  </si>
  <si>
    <t>E10410046002006003</t>
  </si>
  <si>
    <t>E10410046002006004</t>
  </si>
  <si>
    <t>E10410046002007001</t>
  </si>
  <si>
    <t>E10410046002007002</t>
  </si>
  <si>
    <t>E10410046002007003</t>
  </si>
  <si>
    <t>E10410046002007004</t>
  </si>
  <si>
    <t>E10410046002008001</t>
  </si>
  <si>
    <t>E10410046002008002</t>
  </si>
  <si>
    <t>E10410046002008003</t>
  </si>
  <si>
    <t>E10410046002008004</t>
  </si>
  <si>
    <t>E10410046002009001</t>
  </si>
  <si>
    <t>E10410046002009002</t>
  </si>
  <si>
    <t>E10410046002009003</t>
  </si>
  <si>
    <t>E10410046002009004</t>
  </si>
  <si>
    <t>E10410046002010001</t>
  </si>
  <si>
    <t>E10410046002010002</t>
  </si>
  <si>
    <t>E10410046002010003</t>
  </si>
  <si>
    <t>E10410046002010004</t>
  </si>
  <si>
    <t>E10410046002011001</t>
  </si>
  <si>
    <t>E10410046002011002</t>
  </si>
  <si>
    <t>E10410046002011003</t>
  </si>
  <si>
    <t>E10410046002011004</t>
  </si>
  <si>
    <t>E10410046002012001</t>
  </si>
  <si>
    <t>E10410046002012002</t>
  </si>
  <si>
    <t>E10410046002012003</t>
  </si>
  <si>
    <t>E10410046002012004</t>
  </si>
  <si>
    <t>E10410046002013001</t>
  </si>
  <si>
    <t>E10410046002013002</t>
  </si>
  <si>
    <t>E10410046002013003</t>
  </si>
  <si>
    <t>E10410046002013004</t>
  </si>
  <si>
    <t>E10410046002013005</t>
  </si>
  <si>
    <t>E10410046002013006</t>
  </si>
  <si>
    <t>E10410046002013007</t>
  </si>
  <si>
    <t>E10410046002013008</t>
  </si>
  <si>
    <t>E10410046002013009</t>
  </si>
  <si>
    <t>E10410046002013010</t>
  </si>
  <si>
    <t>E10410046002013011</t>
  </si>
  <si>
    <t>E10410046002013012</t>
  </si>
  <si>
    <t>E10410046002014001</t>
  </si>
  <si>
    <t>E10410046002014002</t>
  </si>
  <si>
    <t>E10410046002014003</t>
  </si>
  <si>
    <t>E10410046002015001</t>
  </si>
  <si>
    <t>E10410046002015002</t>
  </si>
  <si>
    <t>E10410046002015003</t>
  </si>
  <si>
    <t>E10410046002015004</t>
  </si>
  <si>
    <t>E10410046002016001</t>
  </si>
  <si>
    <t>E10410046002016002</t>
  </si>
  <si>
    <t>E10410046002016003</t>
  </si>
  <si>
    <t>E10410046002016004</t>
  </si>
  <si>
    <t>E10410046002017001</t>
  </si>
  <si>
    <t>E10410046002017002</t>
  </si>
  <si>
    <t>E10410046002017003</t>
  </si>
  <si>
    <t>E10410046002017004</t>
  </si>
  <si>
    <t>제 1호표  음향 및 영상설비(커넥터 접속)Triaxial 커넥터</t>
  </si>
  <si>
    <t>제 1호표  음향 및 영상설비(커넥터 접속)</t>
  </si>
  <si>
    <t>제 2호표  음향 및 영상설비(커넥터 접속)RCA, Phone 커넥터</t>
  </si>
  <si>
    <t>제 2호표  음향 및 영상설비(커넥터 접속)</t>
  </si>
  <si>
    <t>RCA, Phone 커넥터</t>
  </si>
  <si>
    <t>제 3호표  음향 및 영상설비(커넥터 접속)XLR 커넥터</t>
  </si>
  <si>
    <t>제 3호표  음향 및 영상설비(커넥터 접속)</t>
  </si>
  <si>
    <t>XLR 커넥터</t>
  </si>
  <si>
    <t>제 4호표  음향 및 영상설비(커넥터 접속)D-SUB 커넥터 15Pin 이하</t>
  </si>
  <si>
    <t>제 4호표  음향 및 영상설비(커넥터 접속)</t>
  </si>
  <si>
    <t>D-SUB 커넥터 15Pin 이하</t>
  </si>
  <si>
    <t>제 1호표  음향 및 영상 기기 신설(Stabilizing Amp)설치</t>
  </si>
  <si>
    <t>제 1호표  음향 및 영상 기기 신설(Stabilizing Amp)</t>
  </si>
  <si>
    <t>제 2호표  음향 및 영상 기기 신설(Stabilizing Amp)점검</t>
  </si>
  <si>
    <t>제 2호표  음향 및 영상 기기 신설(Stabilizing Amp)</t>
  </si>
  <si>
    <t>점검</t>
  </si>
  <si>
    <t>제 3호표  음향 및 영상 기기 신설(Stabilizing Amp)조정</t>
  </si>
  <si>
    <t>제 3호표  음향 및 영상 기기 신설(Stabilizing Amp)</t>
  </si>
  <si>
    <t>조정</t>
  </si>
  <si>
    <t>제 4호표  음향 및 영상 기기 신설(Stabilizing Amp)시험 및 측정</t>
  </si>
  <si>
    <t>제 4호표  음향 및 영상 기기 신설(Stabilizing Amp)</t>
  </si>
  <si>
    <t>제 1호표  음향 및 영상 기기 신설(Volumax)설치</t>
  </si>
  <si>
    <t>제 1호표  음향 및 영상 기기 신설(Volumax)</t>
  </si>
  <si>
    <t>제 2호표  음향 및 영상 기기 신설(Volumax)점검</t>
  </si>
  <si>
    <t>제 2호표  음향 및 영상 기기 신설(Volumax)</t>
  </si>
  <si>
    <t>제 3호표  음향 및 영상 기기 신설(Volumax)조정</t>
  </si>
  <si>
    <t>제 3호표  음향 및 영상 기기 신설(Volumax)</t>
  </si>
  <si>
    <t>제 4호표  음향 및 영상 기기 신설(Volumax)시험 및 측정</t>
  </si>
  <si>
    <t>제 4호표  음향 및 영상 기기 신설(Volumax)</t>
  </si>
  <si>
    <t>제 1호표  음향 및 영상 기기 신설(Audio Demodulator)설치</t>
  </si>
  <si>
    <t>제 1호표  음향 및 영상 기기 신설(Audio Demodulator)</t>
  </si>
  <si>
    <t>제 2호표  음향 및 영상 기기 신설(Audio Demodulator)점검</t>
  </si>
  <si>
    <t>제 2호표  음향 및 영상 기기 신설(Audio Demodulator)</t>
  </si>
  <si>
    <t>제 3호표  음향 및 영상 기기 신설(Audio Demodulator)조정</t>
  </si>
  <si>
    <t>제 3호표  음향 및 영상 기기 신설(Audio Demodulator)</t>
  </si>
  <si>
    <t>제 4호표  음향 및 영상 기기 신설(Audio Demodulator)시험 및 측정</t>
  </si>
  <si>
    <t>제 4호표  음향 및 영상 기기 신설(Audio Demodulator)</t>
  </si>
  <si>
    <t>제 1호표  음향 및 영상 기기 신설(Visual Demodulator)설치</t>
  </si>
  <si>
    <t>제 1호표  음향 및 영상 기기 신설(Visual Demodulator)</t>
  </si>
  <si>
    <t>제 2호표  음향 및 영상 기기 신설(Visual Demodulator)점검</t>
  </si>
  <si>
    <t>제 2호표  음향 및 영상 기기 신설(Visual Demodulator)</t>
  </si>
  <si>
    <t>제 3호표  음향 및 영상 기기 신설(Visual Demodulator)조정</t>
  </si>
  <si>
    <t>제 3호표  음향 및 영상 기기 신설(Visual Demodulator)</t>
  </si>
  <si>
    <t>제 4호표  음향 및 영상 기기 신설(Visual Demodulator)시험 및 측정</t>
  </si>
  <si>
    <t>제 4호표  음향 및 영상 기기 신설(Visual Demodulator)</t>
  </si>
  <si>
    <t>제 1호표  음향 및 영상 기기 신설(9Stereo Demodulator)설치</t>
  </si>
  <si>
    <t>제 1호표  음향 및 영상 기기 신설(9Stereo Demodulator)</t>
  </si>
  <si>
    <t>제 2호표  음향 및 영상 기기 신설(9Stereo Demodulator)점검</t>
  </si>
  <si>
    <t>제 2호표  음향 및 영상 기기 신설(9Stereo Demodulator)</t>
  </si>
  <si>
    <t>제 3호표  음향 및 영상 기기 신설(9Stereo Demodulator)조정</t>
  </si>
  <si>
    <t>제 3호표  음향 및 영상 기기 신설(9Stereo Demodulator)</t>
  </si>
  <si>
    <t>제 4호표  음향 및 영상 기기 신설(9Stereo Demodulator)시험 및 측정</t>
  </si>
  <si>
    <t>제 4호표  음향 및 영상 기기 신설(9Stereo Demodulator)</t>
  </si>
  <si>
    <t>제 1호표  음향 및 영상 기기 신설(SCA  Demodulator)설치</t>
  </si>
  <si>
    <t>제 1호표  음향 및 영상 기기 신설(SCA  Demodulator)</t>
  </si>
  <si>
    <t>제 2호표  음향 및 영상 기기 신설(SCA  Demodulator)점검</t>
  </si>
  <si>
    <t>제 2호표  음향 및 영상 기기 신설(SCA  Demodulator)</t>
  </si>
  <si>
    <t>제 3호표  음향 및 영상 기기 신설(SCA  Demodulator)조정</t>
  </si>
  <si>
    <t>제 3호표  음향 및 영상 기기 신설(SCA  Demodulator)</t>
  </si>
  <si>
    <t>제 4호표  음향 및 영상 기기 신설(SCA  Demodulator)시험 및 측정</t>
  </si>
  <si>
    <t>제 4호표  음향 및 영상 기기 신설(SCA  Demodulator)</t>
  </si>
  <si>
    <t>제 1호표  음향 및 영상 기기 신설(Wave for Monitor)설치</t>
  </si>
  <si>
    <t>제 1호표  음향 및 영상 기기 신설(Wave for Monitor)</t>
  </si>
  <si>
    <t>제 2호표  음향 및 영상 기기 신설(Wave for Monitor)점검</t>
  </si>
  <si>
    <t>제 2호표  음향 및 영상 기기 신설(Wave for Monitor)</t>
  </si>
  <si>
    <t>제 3호표  음향 및 영상 기기 신설(Wave for Monitor)조정</t>
  </si>
  <si>
    <t>제 3호표  음향 및 영상 기기 신설(Wave for Monitor)</t>
  </si>
  <si>
    <t>제 4호표  음향 및 영상 기기 신설(Wave for Monitor)시험 및 측정</t>
  </si>
  <si>
    <t>제 4호표  음향 및 영상 기기 신설(Wave for Monitor)</t>
  </si>
  <si>
    <t>제 1호표  음향 및 영상 기기 신설(Utility Monitor)설치</t>
  </si>
  <si>
    <t>제 1호표  음향 및 영상 기기 신설(Utility Monitor)</t>
  </si>
  <si>
    <t>제 2호표  음향 및 영상 기기 신설(Utility Monitor)점검</t>
  </si>
  <si>
    <t>제 2호표  음향 및 영상 기기 신설(Utility Monitor)</t>
  </si>
  <si>
    <t>제 3호표  음향 및 영상 기기 신설(Utility Monitor)조정</t>
  </si>
  <si>
    <t>제 3호표  음향 및 영상 기기 신설(Utility Monitor)</t>
  </si>
  <si>
    <t>제 4호표  음향 및 영상 기기 신설(Utility Monitor)시험 및 측정</t>
  </si>
  <si>
    <t>제 4호표  음향 및 영상 기기 신설(Utility Monitor)</t>
  </si>
  <si>
    <t>제 1호표  음향 및 영상 기기 신설(Modulation  Monitor)설치</t>
  </si>
  <si>
    <t>제 1호표  음향 및 영상 기기 신설(Modulation  Monitor)</t>
  </si>
  <si>
    <t>제 2호표  음향 및 영상 기기 신설(Modulation  Monitor)점검</t>
  </si>
  <si>
    <t>제 2호표  음향 및 영상 기기 신설(Modulation  Monitor)</t>
  </si>
  <si>
    <t>제 3호표  음향 및 영상 기기 신설(Modulation  Monitor)조정</t>
  </si>
  <si>
    <t>제 3호표  음향 및 영상 기기 신설(Modulation  Monitor)</t>
  </si>
  <si>
    <t>제 4호표  음향 및 영상 기기 신설(Modulation  Monitor)시험 및 측정</t>
  </si>
  <si>
    <t>제 4호표  음향 및 영상 기기 신설(Modulation  Monitor)</t>
  </si>
  <si>
    <t>제 1호표  음향 및 영상 기기 신설(Frequency Monitor)설치</t>
  </si>
  <si>
    <t>제 1호표  음향 및 영상 기기 신설(Frequency Monitor)</t>
  </si>
  <si>
    <t>제 2호표  음향 및 영상 기기 신설(Frequency Monitor)점검</t>
  </si>
  <si>
    <t>제 2호표  음향 및 영상 기기 신설(Frequency Monitor)</t>
  </si>
  <si>
    <t>제 3호표  음향 및 영상 기기 신설(Frequency Monitor)조정</t>
  </si>
  <si>
    <t>제 3호표  음향 및 영상 기기 신설(Frequency Monitor)</t>
  </si>
  <si>
    <t>제 4호표  음향 및 영상 기기 신설(Frequency Monitor)시험 및 측정</t>
  </si>
  <si>
    <t>제 4호표  음향 및 영상 기기 신설(Frequency Monitor)</t>
  </si>
  <si>
    <t>제 1호표  음향 및 영상 기기 신설(Precision Monitor)설치</t>
  </si>
  <si>
    <t>제 1호표  음향 및 영상 기기 신설(Precision Monitor)</t>
  </si>
  <si>
    <t>제 2호표  음향 및 영상 기기 신설(Precision Monitor)점검</t>
  </si>
  <si>
    <t>제 2호표  음향 및 영상 기기 신설(Precision Monitor)</t>
  </si>
  <si>
    <t>제 3호표  음향 및 영상 기기 신설(Precision Monitor)조정</t>
  </si>
  <si>
    <t>제 3호표  음향 및 영상 기기 신설(Precision Monitor)</t>
  </si>
  <si>
    <t>제 4호표  음향 및 영상 기기 신설(Precision Monitor)시험 및 측정</t>
  </si>
  <si>
    <t>제 4호표  음향 및 영상 기기 신설(Precision Monitor)</t>
  </si>
  <si>
    <t>제 1호표  음향 및 영상 기기 신설(Limiting Amp)설치</t>
  </si>
  <si>
    <t>제 1호표  음향 및 영상 기기 신설(Limiting Amp)</t>
  </si>
  <si>
    <t>제 2호표  음향 및 영상 기기 신설(Limiting Amp)점검</t>
  </si>
  <si>
    <t>제 2호표  음향 및 영상 기기 신설(Limiting Amp)</t>
  </si>
  <si>
    <t>제 3호표  음향 및 영상 기기 신설(Limiting Amp)조정</t>
  </si>
  <si>
    <t>제 3호표  음향 및 영상 기기 신설(Limiting Amp)</t>
  </si>
  <si>
    <t>제 4호표  음향 및 영상 기기 신설(Limiting Amp)시험 및 측정</t>
  </si>
  <si>
    <t>제 4호표  음향 및 영상 기기 신설(Limiting Amp)</t>
  </si>
  <si>
    <t>제 1호표  음향 및 영상 기기 신설(TV수상기(VideoMonitor))14" 이하 설치</t>
  </si>
  <si>
    <t>제 1호표  음향 및 영상 기기 신설(TV수상기(VideoMonitor))</t>
  </si>
  <si>
    <t>제 2호표  음향 및 영상 기기 신설(TV수상기(VideoMonitor))14" 이하 조정</t>
  </si>
  <si>
    <t>제 2호표  음향 및 영상 기기 신설(TV수상기(VideoMonitor))</t>
  </si>
  <si>
    <t>제 3호표  음향 및 영상 기기 신설(TV수상기(VideoMonitor))14" 이하 시험 및 측정</t>
  </si>
  <si>
    <t>제 3호표  음향 및 영상 기기 신설(TV수상기(VideoMonitor))</t>
  </si>
  <si>
    <t>제 4호표  음향 및 영상 기기 신설(TV수상기(VideoMonitor))21" 이하 설치</t>
  </si>
  <si>
    <t>제 4호표  음향 및 영상 기기 신설(TV수상기(VideoMonitor))</t>
  </si>
  <si>
    <t>제 5호표  음향 및 영상 기기 신설(TV수상기(VideoMonitor))21" 이하 조정</t>
  </si>
  <si>
    <t>제 5호표  음향 및 영상 기기 신설(TV수상기(VideoMonitor))</t>
  </si>
  <si>
    <t>제 6호표  음향 및 영상 기기 신설(TV수상기(VideoMonitor))21" 이하 시험 및 측정</t>
  </si>
  <si>
    <t>제 6호표  음향 및 영상 기기 신설(TV수상기(VideoMonitor))</t>
  </si>
  <si>
    <t>제 7호표  음향 및 영상 기기 신설(TV수상기(VideoMonitor))32" 이하 설치</t>
  </si>
  <si>
    <t>제 7호표  음향 및 영상 기기 신설(TV수상기(VideoMonitor))</t>
  </si>
  <si>
    <t>제 8호표  음향 및 영상 기기 신설(TV수상기(VideoMonitor))32" 이하 조정</t>
  </si>
  <si>
    <t>제 8호표  음향 및 영상 기기 신설(TV수상기(VideoMonitor))</t>
  </si>
  <si>
    <t>제 9호표  음향 및 영상 기기 신설(TV수상기(VideoMonitor))32" 이하 시험 및 측정</t>
  </si>
  <si>
    <t>제 9호표  음향 및 영상 기기 신설(TV수상기(VideoMonitor))</t>
  </si>
  <si>
    <t>제 10호표  음향 및 영상 기기 신설(TV수상기(VideoMonitor))33" 이상 설치</t>
  </si>
  <si>
    <t>33" 이상 설치</t>
  </si>
  <si>
    <t>제 11호표  음향 및 영상 기기 신설(TV수상기(VideoMonitor))33" 이상 조정</t>
  </si>
  <si>
    <t>제 11호표  음향 및 영상 기기 신설(TV수상기(VideoMonitor))</t>
  </si>
  <si>
    <t>33" 이상 조정</t>
  </si>
  <si>
    <t>제 12호표  음향 및 영상 기기 신설(TV수상기(VideoMonitor))33" 이상 시험 및 측정</t>
  </si>
  <si>
    <t>제 12호표  음향 및 영상 기기 신설(TV수상기(VideoMonitor))</t>
  </si>
  <si>
    <t>33" 이상 시험 및 측정</t>
  </si>
  <si>
    <t>제 1호표  음향 및 영상 기기 신설(Switcher)설치</t>
  </si>
  <si>
    <t>제 1호표  음향 및 영상 기기 신설(Switcher)</t>
  </si>
  <si>
    <t>제 2호표  음향 및 영상 기기 신설(Switcher)점검</t>
  </si>
  <si>
    <t>제 2호표  음향 및 영상 기기 신설(Switcher)</t>
  </si>
  <si>
    <t>제 3호표  음향 및 영상 기기 신설(Switcher)시험 및 측정</t>
  </si>
  <si>
    <t>제 3호표  음향 및 영상 기기 신설(Switcher)</t>
  </si>
  <si>
    <t>제 1호표  음향 및 영상 기기 신설(Stereo Generator)설치</t>
  </si>
  <si>
    <t>제 1호표  음향 및 영상 기기 신설(Stereo Generator)</t>
  </si>
  <si>
    <t>제 2호표  음향 및 영상 기기 신설(Stereo Generator)점검</t>
  </si>
  <si>
    <t>제 2호표  음향 및 영상 기기 신설(Stereo Generator)</t>
  </si>
  <si>
    <t>제 3호표  음향 및 영상 기기 신설(Stereo Generator)조정</t>
  </si>
  <si>
    <t>제 3호표  음향 및 영상 기기 신설(Stereo Generator)</t>
  </si>
  <si>
    <t>제 4호표  음향 및 영상 기기 신설(Stereo Generator)시험 및 측정</t>
  </si>
  <si>
    <t>제 4호표  음향 및 영상 기기 신설(Stereo Generator)</t>
  </si>
  <si>
    <t>제 1호표  음향 및 영상 기기 신설(SCA Generator)설치</t>
  </si>
  <si>
    <t>제 1호표  음향 및 영상 기기 신설(SCA Generator)</t>
  </si>
  <si>
    <t>제 2호표  음향 및 영상 기기 신설(SCA Generator)점검</t>
  </si>
  <si>
    <t>제 2호표  음향 및 영상 기기 신설(SCA Generator)</t>
  </si>
  <si>
    <t>제 3호표  음향 및 영상 기기 신설(SCA Generator)조정</t>
  </si>
  <si>
    <t>제 3호표  음향 및 영상 기기 신설(SCA Generator)</t>
  </si>
  <si>
    <t>제 4호표  음향 및 영상 기기 신설(SCA Generator)시험 및 측정</t>
  </si>
  <si>
    <t>제 4호표  음향 및 영상 기기 신설(SCA Generator)</t>
  </si>
  <si>
    <t>제 2호표  음향 및 영상 기기 신설(Beam Projector)점검</t>
  </si>
  <si>
    <t>제 2호표  음향 및 영상 기기 신설(Beam Projector)</t>
  </si>
  <si>
    <t>제 3호표  음향 및 영상 기기 신설(Beam Projector)조정</t>
  </si>
  <si>
    <t>제 3호표  음향 및 영상 기기 신설(Beam Projector)</t>
  </si>
  <si>
    <t>E10410046002022001</t>
  </si>
  <si>
    <t>E10410046002022002</t>
  </si>
  <si>
    <t>E10410046002022003</t>
  </si>
  <si>
    <t>E10410046002022004</t>
  </si>
  <si>
    <t>제 1호표  음향 및 영상 기기 신설(화상회의시스템)CODEC 설치</t>
  </si>
  <si>
    <t>제 1호표  음향 및 영상 기기 신설(화상회의시스템)</t>
  </si>
  <si>
    <t>제 2호표  음향 및 영상 기기 신설(화상회의시스템)CODEC 점검</t>
  </si>
  <si>
    <t>제 2호표  음향 및 영상 기기 신설(화상회의시스템)</t>
  </si>
  <si>
    <t>제 3호표  음향 및 영상 기기 신설(화상회의시스템)CODEC 조정</t>
  </si>
  <si>
    <t>제 3호표  음향 및 영상 기기 신설(화상회의시스템)</t>
  </si>
  <si>
    <t>제 4호표  음향 및 영상 기기 신설(화상회의시스템)CODEC 시험 및 측정</t>
  </si>
  <si>
    <t>제 4호표  음향 및 영상 기기 신설(화상회의시스템)</t>
  </si>
  <si>
    <t>E10410046003005001</t>
  </si>
  <si>
    <t>E10410046003005002</t>
  </si>
  <si>
    <t>E10410046003005003</t>
  </si>
  <si>
    <t>E10410046003005004</t>
  </si>
  <si>
    <t>E10410046003005005</t>
  </si>
  <si>
    <t>E10410046003005006</t>
  </si>
  <si>
    <t>E10410046003005007</t>
  </si>
  <si>
    <t>E10410046003005008</t>
  </si>
  <si>
    <t>E10410046003005009</t>
  </si>
  <si>
    <t>E10410046003006001</t>
  </si>
  <si>
    <t>E10410046003006002</t>
  </si>
  <si>
    <t>E10410046003006003</t>
  </si>
  <si>
    <t>제 2호표  음향 및 영상 부대시설 공사(스크린)전동 200인치 이하</t>
  </si>
  <si>
    <t>제 2호표  음향 및 영상 부대시설 공사(스크린)</t>
  </si>
  <si>
    <t>전동 200인치 이하</t>
  </si>
  <si>
    <t>제 3호표  음향 및 영상 부대시설 공사(스크린)전동 300인치 이하</t>
  </si>
  <si>
    <t>제 3호표  음향 및 영상 부대시설 공사(스크린)</t>
  </si>
  <si>
    <t>전동 300인치 이하</t>
  </si>
  <si>
    <t>제 4호표  음향 및 영상 부대시설 공사(스크린)리어 80인치 이하</t>
  </si>
  <si>
    <t>제 4호표  음향 및 영상 부대시설 공사(스크린)</t>
  </si>
  <si>
    <t>리어 80인치 이하</t>
  </si>
  <si>
    <t>제 5호표  음향 및 영상 부대시설 공사(스크린)리어 120인치 이하</t>
  </si>
  <si>
    <t>제 5호표  음향 및 영상 부대시설 공사(스크린)</t>
  </si>
  <si>
    <t>리어 120인치 이하</t>
  </si>
  <si>
    <t>제 6호표  음향 및 영상 부대시설 공사(스크린)리어 200인치 이하</t>
  </si>
  <si>
    <t>제 6호표  음향 및 영상 부대시설 공사(스크린)</t>
  </si>
  <si>
    <t>리어 200인치 이하</t>
  </si>
  <si>
    <t>제 7호표  음향 및 영상 부대시설 공사(스크린)고정 120인치 이하</t>
  </si>
  <si>
    <t>제 7호표  음향 및 영상 부대시설 공사(스크린)</t>
  </si>
  <si>
    <t>고정 120인치 이하</t>
  </si>
  <si>
    <t>제 8호표  음향 및 영상 부대시설 공사(스크린)고정 200인치 이하</t>
  </si>
  <si>
    <t>제 8호표  음향 및 영상 부대시설 공사(스크린)</t>
  </si>
  <si>
    <t>고정 200인치 이하</t>
  </si>
  <si>
    <t>제 9호표  음향 및 영상 부대시설 공사(스크린)고정 300인치 이하</t>
  </si>
  <si>
    <t>제 9호표  음향 및 영상 부대시설 공사(스크린)</t>
  </si>
  <si>
    <t>고정 300인치 이하</t>
  </si>
  <si>
    <t>제 1호표  음향 및 영상 부대시설 공사(Speaker)</t>
  </si>
  <si>
    <t>고정 30W 이하</t>
  </si>
  <si>
    <t>제 2호표  음향 및 영상 부대시설 공사(Speaker)고정 100W 이하</t>
  </si>
  <si>
    <t>제 2호표  음향 및 영상 부대시설 공사(Speaker)</t>
  </si>
  <si>
    <t>고정 100W 이하</t>
  </si>
  <si>
    <t>제 3호표  음향 및 영상 부대시설 공사(Speaker)전동 100W 이하</t>
  </si>
  <si>
    <t>제 3호표  음향 및 영상 부대시설 공사(Speaker)</t>
  </si>
  <si>
    <t>전동 100W 이하</t>
  </si>
  <si>
    <t>E10410010001001001</t>
  </si>
  <si>
    <t>E10410010001001002</t>
  </si>
  <si>
    <t>E10410010001001003</t>
  </si>
  <si>
    <t>E10410010001001004</t>
  </si>
  <si>
    <t>E10410010001002001</t>
  </si>
  <si>
    <t>E10410010001002002</t>
  </si>
  <si>
    <t>E10410010001002003</t>
  </si>
  <si>
    <t>E10410010001002004</t>
  </si>
  <si>
    <t>E10410010001002005</t>
  </si>
  <si>
    <t>E10410010001002006</t>
  </si>
  <si>
    <t>E10410010001002007</t>
  </si>
  <si>
    <t>E10410010001003001</t>
  </si>
  <si>
    <t>E10410010001003002</t>
  </si>
  <si>
    <t>E10410010001003003</t>
  </si>
  <si>
    <t>E10410010001003004</t>
  </si>
  <si>
    <t>E10410010001003005</t>
  </si>
  <si>
    <t>E10410010001003006</t>
  </si>
  <si>
    <t>E10410010001003007</t>
  </si>
  <si>
    <t>제 1호표  배선용 차단기(1P)용량 30AF 이하</t>
  </si>
  <si>
    <t>제 1호표  배선용 차단기(1P)</t>
  </si>
  <si>
    <t>용량 30AF 이하</t>
  </si>
  <si>
    <t>제 2호표  배선용 차단기(1P)용량 50AF 이하</t>
  </si>
  <si>
    <t>제 2호표  배선용 차단기(1P)</t>
  </si>
  <si>
    <t>용량 50AF 이하</t>
  </si>
  <si>
    <t>제 3호표  배선용 차단기(1P)용량 100AF 이하</t>
  </si>
  <si>
    <t>제 3호표  배선용 차단기(1P)</t>
  </si>
  <si>
    <t>용량 100AF 이하</t>
  </si>
  <si>
    <t>제 4호표  배선용 차단기(1P)용량 225AF 이하</t>
  </si>
  <si>
    <t>제 4호표  배선용 차단기(1P)</t>
  </si>
  <si>
    <t>용량 225AF 이하</t>
  </si>
  <si>
    <t>제 1호표  배선용 차단기(2P)용량 30AF 이하</t>
  </si>
  <si>
    <t>제 1호표  배선용 차단기(2P)</t>
  </si>
  <si>
    <t>제 2호표  배선용 차단기(2P)용량 50AF 이하</t>
  </si>
  <si>
    <t>제 2호표  배선용 차단기(2P)</t>
  </si>
  <si>
    <t>제 3호표  배선용 차단기(2P)용량 100AF 이하</t>
  </si>
  <si>
    <t>제 3호표  배선용 차단기(2P)</t>
  </si>
  <si>
    <t>제 4호표  배선용 차단기(2P)용량 225AF 이하</t>
  </si>
  <si>
    <t>제 4호표  배선용 차단기(2P)</t>
  </si>
  <si>
    <t>제 5호표  배선용 차단기(2P)용량 400AF 이하</t>
  </si>
  <si>
    <t>제 5호표  배선용 차단기(2P)</t>
  </si>
  <si>
    <t>용량 400AF 이하</t>
  </si>
  <si>
    <t>제 6호표  배선용 차단기(2P)용량 600AF 이하</t>
  </si>
  <si>
    <t>제 6호표  배선용 차단기(2P)</t>
  </si>
  <si>
    <t>용량 600AF 이하</t>
  </si>
  <si>
    <t>제 7호표  배선용 차단기(2P)용량 800AF 이하</t>
  </si>
  <si>
    <t>제 7호표  배선용 차단기(2P)</t>
  </si>
  <si>
    <t>용량 800AF 이하</t>
  </si>
  <si>
    <t>제 1호표  배선용 차단기(3P)</t>
  </si>
  <si>
    <t>제 2호표  배선용 차단기(3P)</t>
  </si>
  <si>
    <t>제 3호표  배선용 차단기(3P)</t>
  </si>
  <si>
    <t>제 4호표  배선용 차단기(3P)용량 225AF 이하</t>
  </si>
  <si>
    <t>제 4호표  배선용 차단기(3P)</t>
  </si>
  <si>
    <t>제 5호표  배선용 차단기(3P)용량 400AF 이하</t>
  </si>
  <si>
    <t>제 5호표  배선용 차단기(3P)</t>
  </si>
  <si>
    <t>제 6호표  배선용 차단기(3P)용량 600AF 이하</t>
  </si>
  <si>
    <t>제 6호표  배선용 차단기(3P)</t>
  </si>
  <si>
    <t>제 7호표  배선용 차단기(3P)용량 800AF 이하</t>
  </si>
  <si>
    <t>제 7호표  배선용 차단기(3P)</t>
  </si>
  <si>
    <t>E10410011001001001</t>
  </si>
  <si>
    <t>E10410011001001002</t>
  </si>
  <si>
    <t>E10410011001001003</t>
  </si>
  <si>
    <t>E10410011001001004</t>
  </si>
  <si>
    <t>E10410011001001005</t>
  </si>
  <si>
    <t>E10410011001001006</t>
  </si>
  <si>
    <t>E10410011001001007</t>
  </si>
  <si>
    <t>제 1호표  배선용 차단기</t>
  </si>
  <si>
    <t>제 2호표  배선용 차단기</t>
  </si>
  <si>
    <t>제 3호표  배선용 차단기</t>
  </si>
  <si>
    <t>제 4호표  배선용 차단기</t>
  </si>
  <si>
    <t>제 5호표  배선용 차단기</t>
  </si>
  <si>
    <t>제 6호표  배선용 차단기600AF 이하</t>
  </si>
  <si>
    <t>제 6호표  배선용 차단기</t>
  </si>
  <si>
    <t>제 7호표  배선용 차단기</t>
  </si>
  <si>
    <t>E10410016001001001</t>
  </si>
  <si>
    <t>E10410016001001002</t>
  </si>
  <si>
    <t>E10410016001001003</t>
  </si>
  <si>
    <t>E10410016001001004</t>
  </si>
  <si>
    <t>E10410016001001005</t>
  </si>
  <si>
    <t>E10410016001001006</t>
  </si>
  <si>
    <t>E10410016001001007</t>
  </si>
  <si>
    <t>E10410016001001008</t>
  </si>
  <si>
    <t>E10410016001002001</t>
  </si>
  <si>
    <t>E10410016001002002</t>
  </si>
  <si>
    <t>E10410016001002003</t>
  </si>
  <si>
    <t>E10410016001002004</t>
  </si>
  <si>
    <t>E10410016001002005</t>
  </si>
  <si>
    <t>E10410016001002006</t>
  </si>
  <si>
    <t>E10410016001002007</t>
  </si>
  <si>
    <t>E10410016001002008</t>
  </si>
  <si>
    <t>E10410016001002009</t>
  </si>
  <si>
    <t>제 1호표  백열등기구 설치(60W 이하)직부등</t>
  </si>
  <si>
    <t>제 1호표  백열등기구 설치(60W 이하)</t>
  </si>
  <si>
    <t>직부등</t>
  </si>
  <si>
    <t>제 2호표  백열등기구 설치(60W 이하)매입등</t>
  </si>
  <si>
    <t>제 2호표  백열등기구 설치(60W 이하)</t>
  </si>
  <si>
    <t>매입등</t>
  </si>
  <si>
    <t>제 3호표  백열등기구 설치(60W 이하)매입루바부</t>
  </si>
  <si>
    <t>제 3호표  백열등기구 설치(60W 이하)</t>
  </si>
  <si>
    <t>매입루바부</t>
  </si>
  <si>
    <t>제 4호표  백열등기구 설치(60W 이하)파이프펜던트</t>
  </si>
  <si>
    <t>제 4호표  백열등기구 설치(60W 이하)</t>
  </si>
  <si>
    <t>파이프펜던트</t>
  </si>
  <si>
    <t>제 5호표  백열등기구 설치(60W 이하)코드 펜던트</t>
  </si>
  <si>
    <t>제 5호표  백열등기구 설치(60W 이하)</t>
  </si>
  <si>
    <t>코드 펜던트</t>
  </si>
  <si>
    <t>제 6호표  백열등기구 설치(60W 이하)체인 펜던트</t>
  </si>
  <si>
    <t>제 6호표  백열등기구 설치(60W 이하)</t>
  </si>
  <si>
    <t>체인 펜던트</t>
  </si>
  <si>
    <t>제 7호표  백열등기구 설치(60W 이하)부래킷등</t>
  </si>
  <si>
    <t>제 7호표  백열등기구 설치(60W 이하)</t>
  </si>
  <si>
    <t>부래킷등</t>
  </si>
  <si>
    <t>제 8호표  백열등기구 설치(60W 이하)리셉터클</t>
  </si>
  <si>
    <t>제 8호표  백열등기구 설치(60W 이하)</t>
  </si>
  <si>
    <t>리셉터클</t>
  </si>
  <si>
    <t>제 1호표  백열등기구 설치(100W 이상)직부등</t>
  </si>
  <si>
    <t>제 1호표  백열등기구 설치(100W 이상)</t>
  </si>
  <si>
    <t>제 2호표  백열등기구 설치(100W 이상)매입등</t>
  </si>
  <si>
    <t>제 2호표  백열등기구 설치(100W 이상)</t>
  </si>
  <si>
    <t>제 3호표  백열등기구 설치(100W 이상)매입루바등</t>
  </si>
  <si>
    <t>제 3호표  백열등기구 설치(100W 이상)</t>
  </si>
  <si>
    <t>매입루바등</t>
  </si>
  <si>
    <t>제 4호표  백열등기구 설치(100W 이상)파이프펜던트</t>
  </si>
  <si>
    <t>제 4호표  백열등기구 설치(100W 이상)</t>
  </si>
  <si>
    <t>제 5호표  백열등기구 설치(100W 이상)코드 펜던트</t>
  </si>
  <si>
    <t>제 5호표  백열등기구 설치(100W 이상)</t>
  </si>
  <si>
    <t>제 6호표  백열등기구 설치(100W 이상)체인 펜던트</t>
  </si>
  <si>
    <t>제 6호표  백열등기구 설치(100W 이상)</t>
  </si>
  <si>
    <t>제 7호표  백열등기구 설치(100W 이상)부래킷등</t>
  </si>
  <si>
    <t>제 7호표  백열등기구 설치(100W 이상)</t>
  </si>
  <si>
    <t>제 8호표  백열등기구 설치(100W 이상)투광기(리프렉터부)</t>
  </si>
  <si>
    <t>제 8호표  백열등기구 설치(100W 이상)</t>
  </si>
  <si>
    <t>투광기(리프렉터부)</t>
  </si>
  <si>
    <t>제 9호표  백열등기구 설치(100W 이상)샹들리에(2등용)</t>
  </si>
  <si>
    <t>제 9호표  백열등기구 설치(100W 이상)</t>
  </si>
  <si>
    <t>샹들리에(2등용)</t>
  </si>
  <si>
    <t>E10410017001001001</t>
  </si>
  <si>
    <t>E10410017001001002</t>
  </si>
  <si>
    <t>E10410017001001003</t>
  </si>
  <si>
    <t>E10410017001001004</t>
  </si>
  <si>
    <t>E10410017001001005</t>
  </si>
  <si>
    <t>E10410017001001006</t>
  </si>
  <si>
    <t>E10410017001001007</t>
  </si>
  <si>
    <t>E10410017001001008</t>
  </si>
  <si>
    <t>E10410017001001009</t>
  </si>
  <si>
    <t>E10410017001001010</t>
  </si>
  <si>
    <t>E10410017001001011</t>
  </si>
  <si>
    <t>E10410017001001012</t>
  </si>
  <si>
    <t>E10410017001001013</t>
  </si>
  <si>
    <t>E10410017001002001</t>
  </si>
  <si>
    <t>E10410017001002002</t>
  </si>
  <si>
    <t>E10410017001002003</t>
  </si>
  <si>
    <t>E10410017001002004</t>
  </si>
  <si>
    <t>E10410017001002005</t>
  </si>
  <si>
    <t>E10410017001002006</t>
  </si>
  <si>
    <t>E10410017001002007</t>
  </si>
  <si>
    <t>E10410017001002008</t>
  </si>
  <si>
    <t>E10410017001002009</t>
  </si>
  <si>
    <t>E10410017001003001</t>
  </si>
  <si>
    <t>E10410017001003002</t>
  </si>
  <si>
    <t>E10410017001003003</t>
  </si>
  <si>
    <t>E10410017001003004</t>
  </si>
  <si>
    <t>E10410017001003005</t>
  </si>
  <si>
    <t>E10410017001003006</t>
  </si>
  <si>
    <t>E10410017001003007</t>
  </si>
  <si>
    <t>E10410017001003008</t>
  </si>
  <si>
    <t>E10410017001003009</t>
  </si>
  <si>
    <t>E10410017001003010</t>
  </si>
  <si>
    <t>E10410017001003011</t>
  </si>
  <si>
    <t>E10410017001003012</t>
  </si>
  <si>
    <t>E10410017001003013</t>
  </si>
  <si>
    <t>제 1호표  형광등기구 설치(직부형)10W이하 X 1</t>
  </si>
  <si>
    <t>제 1호표  형광등기구 설치(직부형)</t>
  </si>
  <si>
    <t>제 2호표  형광등기구 설치(직부형)20W이하 X 1</t>
  </si>
  <si>
    <t>제 2호표  형광등기구 설치(직부형)</t>
  </si>
  <si>
    <t>제 3호표  형광등기구 설치(직부형)</t>
  </si>
  <si>
    <t>제 4호표  형광등기구 설치(직부형)20W이하 X 3</t>
  </si>
  <si>
    <t>제 4호표  형광등기구 설치(직부형)</t>
  </si>
  <si>
    <t>제 5호표  형광등기구 설치(직부형)20W이하 X 4</t>
  </si>
  <si>
    <t>제 5호표  형광등기구 설치(직부형)</t>
  </si>
  <si>
    <t>제 6호표  형광등기구 설치(직부형)30W이하 X 1</t>
  </si>
  <si>
    <t>제 6호표  형광등기구 설치(직부형)</t>
  </si>
  <si>
    <t>제 7호표  형광등기구 설치(직부형)30W이하 X 2</t>
  </si>
  <si>
    <t>제 7호표  형광등기구 설치(직부형)</t>
  </si>
  <si>
    <t>제 8호표  형광등기구 설치(직부형)</t>
  </si>
  <si>
    <t>제 9호표  형광등기구 설치(직부형)</t>
  </si>
  <si>
    <t>제 10호표  형광등기구 설치(직부형)40W이하 X 3</t>
  </si>
  <si>
    <t>제 10호표  형광등기구 설치(직부형)</t>
  </si>
  <si>
    <t>제 11호표  형광등기구 설치(직부형)40W이하 X 4</t>
  </si>
  <si>
    <t>제 11호표  형광등기구 설치(직부형)</t>
  </si>
  <si>
    <t>제 12호표  형광등기구 설치(직부형)</t>
  </si>
  <si>
    <t>제 13호표  형광등기구 설치(직부형)110W이하 X 2</t>
  </si>
  <si>
    <t>제 13호표  형광등기구 설치(직부형)</t>
  </si>
  <si>
    <t>제 1호표  형광등기구 설치(펜던트형)10W이하 X 1</t>
  </si>
  <si>
    <t>제 1호표  형광등기구 설치(펜던트형)</t>
  </si>
  <si>
    <t>제 2호표  형광등기구 설치(펜던트형)20W이하 X 1</t>
  </si>
  <si>
    <t>제 2호표  형광등기구 설치(펜던트형)</t>
  </si>
  <si>
    <t>제 3호표  형광등기구 설치(펜던트형)20W이하 X 2</t>
  </si>
  <si>
    <t>제 3호표  형광등기구 설치(펜던트형)</t>
  </si>
  <si>
    <t>제 4호표  형광등기구 설치(펜던트형)30W이하 X 1</t>
  </si>
  <si>
    <t>제 4호표  형광등기구 설치(펜던트형)</t>
  </si>
  <si>
    <t>제 5호표  형광등기구 설치(펜던트형)40W이하 X 1</t>
  </si>
  <si>
    <t>제 5호표  형광등기구 설치(펜던트형)</t>
  </si>
  <si>
    <t>제 6호표  형광등기구 설치(펜던트형)40W이하 X 2</t>
  </si>
  <si>
    <t>제 6호표  형광등기구 설치(펜던트형)</t>
  </si>
  <si>
    <t>제 7호표  형광등기구 설치(펜던트형)40W이하 X 3</t>
  </si>
  <si>
    <t>제 7호표  형광등기구 설치(펜던트형)</t>
  </si>
  <si>
    <t>제 8호표  형광등기구 설치(펜던트형)110W이하 X 1</t>
  </si>
  <si>
    <t>제 8호표  형광등기구 설치(펜던트형)</t>
  </si>
  <si>
    <t>제 9호표  형광등기구 설치(펜던트형)110W이하 X 2</t>
  </si>
  <si>
    <t>제 9호표  형광등기구 설치(펜던트형)</t>
  </si>
  <si>
    <t>제 1호표  형광등기구 설치(매입 및 반매입형)10W이하 X 1</t>
  </si>
  <si>
    <t>제 1호표  형광등기구 설치(매입 및 반매입형)</t>
  </si>
  <si>
    <t>제 2호표  형광등기구 설치(매입 및 반매입형)20W이하 X 1</t>
  </si>
  <si>
    <t>제 2호표  형광등기구 설치(매입 및 반매입형)</t>
  </si>
  <si>
    <t>제 3호표  형광등기구 설치(매입 및 반매입형)20W이하 X 2</t>
  </si>
  <si>
    <t>제 3호표  형광등기구 설치(매입 및 반매입형)</t>
  </si>
  <si>
    <t>제 4호표  형광등기구 설치(매입 및 반매입형)20W이하 X 3</t>
  </si>
  <si>
    <t>제 4호표  형광등기구 설치(매입 및 반매입형)</t>
  </si>
  <si>
    <t>제 5호표  형광등기구 설치(매입 및 반매입형)20W이하 X 4</t>
  </si>
  <si>
    <t>제 5호표  형광등기구 설치(매입 및 반매입형)</t>
  </si>
  <si>
    <t>제 6호표  형광등기구 설치(매입 및 반매입형)30W이하 X 1</t>
  </si>
  <si>
    <t>제 6호표  형광등기구 설치(매입 및 반매입형)</t>
  </si>
  <si>
    <t>제 7호표  형광등기구 설치(매입 및 반매입형)30W이하 X 2</t>
  </si>
  <si>
    <t>제 7호표  형광등기구 설치(매입 및 반매입형)</t>
  </si>
  <si>
    <t>제 8호표  형광등기구 설치(매입 및 반매입형)40W이하 X 1</t>
  </si>
  <si>
    <t>제 8호표  형광등기구 설치(매입 및 반매입형)</t>
  </si>
  <si>
    <t>제 9호표  형광등기구 설치(매입 및 반매입형)40W이하 X 2</t>
  </si>
  <si>
    <t>제 9호표  형광등기구 설치(매입 및 반매입형)</t>
  </si>
  <si>
    <t>제 10호표  형광등기구 설치(매입 및 반매입형)40W이하 X 3</t>
  </si>
  <si>
    <t>제 10호표  형광등기구 설치(매입 및 반매입형)</t>
  </si>
  <si>
    <t>제 11호표  형광등기구 설치(매입 및 반매입형)40W이하 X 4</t>
  </si>
  <si>
    <t>제 11호표  형광등기구 설치(매입 및 반매입형)</t>
  </si>
  <si>
    <t>제 12호표  형광등기구 설치(매입 및 반매입형)110W이하 X 1</t>
  </si>
  <si>
    <t>제 12호표  형광등기구 설치(매입 및 반매입형)</t>
  </si>
  <si>
    <t>제 13호표  형광등기구 설치(매입 및 반매입형)110W이하 X 2</t>
  </si>
  <si>
    <t>제 13호표  형광등기구 설치(매입 및 반매입형)</t>
  </si>
  <si>
    <t>E10410017004001001</t>
  </si>
  <si>
    <t>E10410017004001002</t>
  </si>
  <si>
    <t>E10410017004001003</t>
  </si>
  <si>
    <t>E10410017004001004</t>
  </si>
  <si>
    <t>E10410017004001005</t>
  </si>
  <si>
    <t>E10410017004002001</t>
  </si>
  <si>
    <t>E10410017004002002</t>
  </si>
  <si>
    <t>E10410017004002003</t>
  </si>
  <si>
    <t>E10410017004002004</t>
  </si>
  <si>
    <t>E10410017004003001</t>
  </si>
  <si>
    <t>E10410017004003002</t>
  </si>
  <si>
    <t>E10410017004003003</t>
  </si>
  <si>
    <t>E10410017004004001</t>
  </si>
  <si>
    <t>E10410017004004002</t>
  </si>
  <si>
    <t>E10410017004004003</t>
  </si>
  <si>
    <t>E10410017005001001</t>
  </si>
  <si>
    <t>E10410017005001002</t>
  </si>
  <si>
    <t>E10410017005001003</t>
  </si>
  <si>
    <t>E10410017006001001</t>
  </si>
  <si>
    <t>E10410017006001002</t>
  </si>
  <si>
    <t>제 1호표  LED 등기구 설치(직부등)</t>
  </si>
  <si>
    <t>제 2호표  LED 등기구 설치(직부등)25W 이하</t>
  </si>
  <si>
    <t>제 2호표  LED 등기구 설치(직부등)</t>
  </si>
  <si>
    <t>제 3호표  LED 등기구 설치(직부등)35W 이하</t>
  </si>
  <si>
    <t>제 3호표  LED 등기구 설치(직부등)</t>
  </si>
  <si>
    <t>제 4호표  LED 등기구 설치(직부등)45W 이하</t>
  </si>
  <si>
    <t>제 4호표  LED 등기구 설치(직부등)</t>
  </si>
  <si>
    <t>제 5호표  LED 등기구 설치(직부등)55W 이하</t>
  </si>
  <si>
    <t>제 5호표  LED 등기구 설치(직부등)</t>
  </si>
  <si>
    <t>제 1호표  LED 등기구 설치(펜던트)15W 이하</t>
  </si>
  <si>
    <t>제 1호표  LED 등기구 설치(펜던트)</t>
  </si>
  <si>
    <t>제 2호표  LED 등기구 설치(펜던트)25W 이하</t>
  </si>
  <si>
    <t>제 2호표  LED 등기구 설치(펜던트)</t>
  </si>
  <si>
    <t>제 3호표  LED 등기구 설치(펜던트)35W 이하</t>
  </si>
  <si>
    <t>제 3호표  LED 등기구 설치(펜던트)</t>
  </si>
  <si>
    <t>제 4호표  LED 등기구 설치(펜던트)45W 이하</t>
  </si>
  <si>
    <t>제 4호표  LED 등기구 설치(펜던트)</t>
  </si>
  <si>
    <t>제 1호표  LED 등기구 설치(다운라이트)</t>
  </si>
  <si>
    <t>제 2호표  LED 등기구 설치(다운라이트)25W 이하</t>
  </si>
  <si>
    <t>제 2호표  LED 등기구 설치(다운라이트)</t>
  </si>
  <si>
    <t>제 3호표  LED 등기구 설치(다운라이트)</t>
  </si>
  <si>
    <t>제 1호표  LED 등기구 설치(매입 및 반매입)</t>
  </si>
  <si>
    <t>제 2호표  LED 등기구 설치(매입 및 반매입)45W 이하</t>
  </si>
  <si>
    <t>제 2호표  LED 등기구 설치(매입 및 반매입)</t>
  </si>
  <si>
    <t>제 3호표  LED 등기구 설치(매입 및 반매입)</t>
  </si>
  <si>
    <t>제 1호표  LED 투광등기구 설치100W이하</t>
  </si>
  <si>
    <t>제 1호표  LED 투광등기구 설치</t>
  </si>
  <si>
    <t>제 2호표  LED 투광등기구 설치150W이하</t>
  </si>
  <si>
    <t>제 2호표  LED 투광등기구 설치</t>
  </si>
  <si>
    <t>제 3호표  LED 투광등기구 설치250W이하</t>
  </si>
  <si>
    <t>제 3호표  LED 투광등기구 설치</t>
  </si>
  <si>
    <t>제 1호표  LED 보안등기구 설치50W이하</t>
  </si>
  <si>
    <t>제 1호표  LED 보안등기구 설치</t>
  </si>
  <si>
    <t>제 2호표  LED 보안등기구 설치100W이하</t>
  </si>
  <si>
    <t>제 2호표  LED 보안등기구 설치</t>
  </si>
  <si>
    <t>E10410018002001001</t>
  </si>
  <si>
    <t>E10410018002001002</t>
  </si>
  <si>
    <t>E10410018002001003</t>
  </si>
  <si>
    <t>E10410018002001004</t>
  </si>
  <si>
    <t>E10410018003001001</t>
  </si>
  <si>
    <t>E10410018003001002</t>
  </si>
  <si>
    <t>E10410018003001003</t>
  </si>
  <si>
    <t>E10410018003001004</t>
  </si>
  <si>
    <t>제 4호표  LED 가로등기구 설치250W 이하</t>
  </si>
  <si>
    <t>제 4호표  LED 가로등기구 설치</t>
  </si>
  <si>
    <t>제 1호표  LED 터널등기구 설치100W 이하</t>
  </si>
  <si>
    <t>제 1호표  LED 터널등기구 설치</t>
  </si>
  <si>
    <t>제 2호표  LED 터널등기구 설치150W 이하</t>
  </si>
  <si>
    <t>제 2호표  LED 터널등기구 설치</t>
  </si>
  <si>
    <t>제 3호표  LED 터널등기구 설치200W 이하</t>
  </si>
  <si>
    <t>제 3호표  LED 터널등기구 설치</t>
  </si>
  <si>
    <t>제 4호표  LED 터널등기구 설치250W 이하</t>
  </si>
  <si>
    <t>제 4호표  LED 터널등기구 설치</t>
  </si>
  <si>
    <t>250W 이하</t>
  </si>
  <si>
    <t>E10410039001005001</t>
  </si>
  <si>
    <t>E10410039001005002</t>
  </si>
  <si>
    <t>E10410039001005003</t>
  </si>
  <si>
    <t>제 1호표  교통신호등 설치(LED 교통신호등)차량등(4색등 이하)</t>
  </si>
  <si>
    <t>제 1호표  교통신호등 설치(LED 교통신호등)</t>
  </si>
  <si>
    <t>차량등(4색등 이하)</t>
  </si>
  <si>
    <t>제 2호표  교통신호등 설치(LED 교통신호등)보행등</t>
  </si>
  <si>
    <t>제 2호표  교통신호등 설치(LED 교통신호등)</t>
  </si>
  <si>
    <t>보행등</t>
  </si>
  <si>
    <t>제 3호표  교통신호등 설치(LED 교통신호등)보행잔여시간 표시기</t>
  </si>
  <si>
    <t>제 3호표  교통신호등 설치(LED 교통신호등)</t>
  </si>
  <si>
    <t>보행잔여시간 표시기</t>
  </si>
  <si>
    <t>E10410040003012001</t>
  </si>
  <si>
    <t>E10410040003012002</t>
  </si>
  <si>
    <t>제 1호표  가변정보 표지판(VMS) LED출력모듈3단 10열</t>
  </si>
  <si>
    <t>제 1호표  가변정보 표지판(VMS) LED출력모듈</t>
  </si>
  <si>
    <t>3단 10열</t>
  </si>
  <si>
    <t>제 2호표  가변정보 표지판(VMS) LED출력모듈2단 10열</t>
  </si>
  <si>
    <t>제 2호표  가변정보 표지판(VMS) LED출력모듈</t>
  </si>
  <si>
    <t>E10410049001001001</t>
  </si>
  <si>
    <t>E10410049001002001</t>
  </si>
  <si>
    <t>E10410049001002002</t>
  </si>
  <si>
    <t>E10410049001003001</t>
  </si>
  <si>
    <t>E10410049001004001</t>
  </si>
  <si>
    <t>제 1호표  LED 전광판 -</t>
  </si>
  <si>
    <t>제 1호표  LED 전광판</t>
  </si>
  <si>
    <t>-</t>
  </si>
  <si>
    <t>㎡</t>
  </si>
  <si>
    <t>제 1호표  LED 옥외전광판 설치(제어부)운영컴퓨터</t>
  </si>
  <si>
    <t>제 1호표  LED 옥외전광판 설치(제어부)</t>
  </si>
  <si>
    <t>운영컴퓨터</t>
  </si>
  <si>
    <t>제 2호표  LED 옥외전광판 설치(제어부)신호분배기</t>
  </si>
  <si>
    <t>제 2호표  LED 옥외전광판 설치(제어부)</t>
  </si>
  <si>
    <t>신호분배기</t>
  </si>
  <si>
    <t>제 1호표  LED 옥외전광판 설치(종합시험)-</t>
  </si>
  <si>
    <t>제 1호표  LED 옥외전광판 설치(종합시험)</t>
  </si>
  <si>
    <t>식</t>
  </si>
  <si>
    <t>제 1호표  LED 옥외전광판 설치(마감, 방수처리)-</t>
  </si>
  <si>
    <t>제 1호표  LED 옥외전광판 설치(마감, 방수처리)</t>
  </si>
  <si>
    <t>E10417002004002001</t>
  </si>
  <si>
    <t>E10417002004002002</t>
  </si>
  <si>
    <t>E10417002004002003</t>
  </si>
  <si>
    <t>E10417002004002004</t>
  </si>
  <si>
    <t>제 1호표  열차 행선안내 게시기(LED방식)제어부</t>
  </si>
  <si>
    <t>제 1호표  열차 행선안내 게시기(LED방식)</t>
  </si>
  <si>
    <t>제어부</t>
  </si>
  <si>
    <t>제 2호표  열차 행선안내 게시기(LED방식)표시부</t>
  </si>
  <si>
    <t>제 2호표  열차 행선안내 게시기(LED방식)</t>
  </si>
  <si>
    <t>표시부</t>
  </si>
  <si>
    <t>제 3호표  열차 행선안내 게시기(LED방식)전원부</t>
  </si>
  <si>
    <t>제 3호표  열차 행선안내 게시기(LED방식)</t>
  </si>
  <si>
    <t>전원부</t>
  </si>
  <si>
    <t>제 4호표  열차 행선안내 게시기(LED방식)함체</t>
  </si>
  <si>
    <t>제 4호표  열차 행선안내 게시기(LED방식)</t>
  </si>
  <si>
    <t>함체</t>
  </si>
  <si>
    <t>E10410018001001001</t>
  </si>
  <si>
    <t>E10410018001001002</t>
  </si>
  <si>
    <t>E10410018001001003</t>
  </si>
  <si>
    <t>E10410018001001004</t>
  </si>
  <si>
    <t>E10410018001001005</t>
  </si>
  <si>
    <t>E10410018001001006</t>
  </si>
  <si>
    <t>E10410018001001007</t>
  </si>
  <si>
    <t>E10410018001001008</t>
  </si>
  <si>
    <t>E10410018001002001</t>
  </si>
  <si>
    <t>E10410018001002002</t>
  </si>
  <si>
    <t>E10410018001002003</t>
  </si>
  <si>
    <t>E10410018001002004</t>
  </si>
  <si>
    <t>E10410018001002005</t>
  </si>
  <si>
    <t>E10410018001002006</t>
  </si>
  <si>
    <t>E10410018001002007</t>
  </si>
  <si>
    <t>E10410018001002008</t>
  </si>
  <si>
    <t>E10410018001003001</t>
  </si>
  <si>
    <t>E10410018001003002</t>
  </si>
  <si>
    <t>E10410018001003003</t>
  </si>
  <si>
    <t>E10410018001003004</t>
  </si>
  <si>
    <t>E10410018001003005</t>
  </si>
  <si>
    <t>E10410018001003006</t>
  </si>
  <si>
    <t>E10410018001003007</t>
  </si>
  <si>
    <t>E10410018001003008</t>
  </si>
  <si>
    <t>E10410018001004001</t>
  </si>
  <si>
    <t>E10410018001004002</t>
  </si>
  <si>
    <t>E10410018001004003</t>
  </si>
  <si>
    <t>E10410018001004004</t>
  </si>
  <si>
    <t>E10410018001004005</t>
  </si>
  <si>
    <t>제 1호표  방전등기구(투광기)</t>
  </si>
  <si>
    <t>제 2호표  방전등기구(투광기)</t>
  </si>
  <si>
    <t>제 3호표  방전등기구(투광기)</t>
  </si>
  <si>
    <t>제 4호표  방전등기구(투광기)300W 이하</t>
  </si>
  <si>
    <t>제 4호표  방전등기구(투광기)</t>
  </si>
  <si>
    <t>제 5호표  방전등기구(투광기)</t>
  </si>
  <si>
    <t>제 6호표  방전등기구(투광기)700W 이하</t>
  </si>
  <si>
    <t>제 6호표  방전등기구(투광기)</t>
  </si>
  <si>
    <t>제 7호표  방전등기구(투광기)</t>
  </si>
  <si>
    <t>제 8호표  방전등기구(투광기)1kW 초과</t>
  </si>
  <si>
    <t>제 8호표  방전등기구(투광기)</t>
  </si>
  <si>
    <t>제 1호표  방전등기구(직부등)100W 이하</t>
  </si>
  <si>
    <t>제 1호표  방전등기구(직부등)</t>
  </si>
  <si>
    <t>제 2호표  방전등기구(직부등)200W 이하</t>
  </si>
  <si>
    <t>제 2호표  방전등기구(직부등)</t>
  </si>
  <si>
    <t>제 3호표  방전등기구(직부등)250W 이하</t>
  </si>
  <si>
    <t>제 3호표  방전등기구(직부등)</t>
  </si>
  <si>
    <t>제 4호표  방전등기구(직부등)300W 이하</t>
  </si>
  <si>
    <t>제 4호표  방전등기구(직부등)</t>
  </si>
  <si>
    <t>제 5호표  방전등기구(직부등)400W 이하</t>
  </si>
  <si>
    <t>제 5호표  방전등기구(직부등)</t>
  </si>
  <si>
    <t>제 6호표  방전등기구(직부등)700W 이하</t>
  </si>
  <si>
    <t>제 6호표  방전등기구(직부등)</t>
  </si>
  <si>
    <t>제 7호표  방전등기구(직부등)1kW 이하</t>
  </si>
  <si>
    <t>제 7호표  방전등기구(직부등)</t>
  </si>
  <si>
    <t>제 8호표  방전등기구(직부등)1kW 초과</t>
  </si>
  <si>
    <t>제 8호표  방전등기구(직부등)</t>
  </si>
  <si>
    <t>제 1호표  방전등기구(현수등)100W 이하</t>
  </si>
  <si>
    <t>제 1호표  방전등기구(현수등)</t>
  </si>
  <si>
    <t>제 2호표  방전등기구(현수등)200W 이하</t>
  </si>
  <si>
    <t>제 2호표  방전등기구(현수등)</t>
  </si>
  <si>
    <t>제 3호표  방전등기구(현수등)250W 이하</t>
  </si>
  <si>
    <t>제 3호표  방전등기구(현수등)</t>
  </si>
  <si>
    <t>제 4호표  방전등기구(현수등)300W 이하</t>
  </si>
  <si>
    <t>제 4호표  방전등기구(현수등)</t>
  </si>
  <si>
    <t>제 5호표  방전등기구(현수등)400W 이하</t>
  </si>
  <si>
    <t>제 5호표  방전등기구(현수등)</t>
  </si>
  <si>
    <t>제 6호표  방전등기구(현수등)700W 이하</t>
  </si>
  <si>
    <t>제 6호표  방전등기구(현수등)</t>
  </si>
  <si>
    <t>제 7호표  방전등기구(현수등)1kW 이하</t>
  </si>
  <si>
    <t>제 7호표  방전등기구(현수등)</t>
  </si>
  <si>
    <t>제 8호표  방전등기구(현수등)1kW 초과</t>
  </si>
  <si>
    <t>제 8호표  방전등기구(현수등)</t>
  </si>
  <si>
    <t>제 1호표  방전등기구(매입등)100W 이하</t>
  </si>
  <si>
    <t>제 1호표  방전등기구(매입등)</t>
  </si>
  <si>
    <t>제 2호표  방전등기구(매입등)200W 이하</t>
  </si>
  <si>
    <t>제 2호표  방전등기구(매입등)</t>
  </si>
  <si>
    <t>제 3호표  방전등기구(매입등)250W 이하</t>
  </si>
  <si>
    <t>제 3호표  방전등기구(매입등)</t>
  </si>
  <si>
    <t>제 4호표  방전등기구(매입등)300W 이하</t>
  </si>
  <si>
    <t>제 4호표  방전등기구(매입등)</t>
  </si>
  <si>
    <t>제 5호표  방전등기구(매입등)400W 이하</t>
  </si>
  <si>
    <t>제 5호표  방전등기구(매입등)</t>
  </si>
  <si>
    <t>E10410053001001001</t>
  </si>
  <si>
    <t>E10410053001001002</t>
  </si>
  <si>
    <t>E10410053001001003</t>
  </si>
  <si>
    <t>E10410053001001004</t>
  </si>
  <si>
    <t>E10410053001001005</t>
  </si>
  <si>
    <t>E10410053001001006</t>
  </si>
  <si>
    <t>제 1호표  금속 덕트 설치(단면적)</t>
  </si>
  <si>
    <t>제 2호표  금속 덕트 설치(단면적)</t>
  </si>
  <si>
    <t>제 3호표  금속 덕트 설치(단면적)</t>
  </si>
  <si>
    <t>제 4호표  금속 덕트 설치(단면적)</t>
  </si>
  <si>
    <t>제 5호표  금속 덕트 설치(단면적)</t>
  </si>
  <si>
    <t>제 6호표  금속 덕트 설치(단면적)</t>
  </si>
  <si>
    <t>E10410001001001001</t>
  </si>
  <si>
    <t>E10410001001001002</t>
  </si>
  <si>
    <t>E10410001001001003</t>
  </si>
  <si>
    <t>E10410001001001004</t>
  </si>
  <si>
    <t>E10410001001001005</t>
  </si>
  <si>
    <t>E10410001001001006</t>
  </si>
  <si>
    <t>E10410001001001007</t>
  </si>
  <si>
    <t>E10410001001001008</t>
  </si>
  <si>
    <t>E10410001001001009</t>
  </si>
  <si>
    <t>E10410001001001010</t>
  </si>
  <si>
    <t>E10410001001001011</t>
  </si>
  <si>
    <t>E10410001001001012</t>
  </si>
  <si>
    <t>E10410001001002001</t>
  </si>
  <si>
    <t>E10410001001002002</t>
  </si>
  <si>
    <t>E10410001001002003</t>
  </si>
  <si>
    <t>E10410001001002004</t>
  </si>
  <si>
    <t>E10410001001002005</t>
  </si>
  <si>
    <t>E10410001001002006</t>
  </si>
  <si>
    <t>E10410001001002007</t>
  </si>
  <si>
    <t>E10410001001002008</t>
  </si>
  <si>
    <t>E10410001001002009</t>
  </si>
  <si>
    <t>E10410001001002010</t>
  </si>
  <si>
    <t>E10410001001003001</t>
  </si>
  <si>
    <t>E10410001001003002</t>
  </si>
  <si>
    <t>E10410001001003003</t>
  </si>
  <si>
    <t>E10410001001003004</t>
  </si>
  <si>
    <t>E10410001001003005</t>
  </si>
  <si>
    <t>E10410001001003006</t>
  </si>
  <si>
    <t>E10410001001003007</t>
  </si>
  <si>
    <t>E10410001001003008</t>
  </si>
  <si>
    <t>E10410001001003009</t>
  </si>
  <si>
    <t>E10410001001003010</t>
  </si>
  <si>
    <t>제 1호표  합성수지 전선관14㎜이하</t>
  </si>
  <si>
    <t>제 1호표  합성수지 전선관</t>
  </si>
  <si>
    <t>제 2호표  합성수지 전선관</t>
  </si>
  <si>
    <t>제 3호표  합성수지 전선관</t>
  </si>
  <si>
    <t>제 4호표  합성수지 전선관</t>
  </si>
  <si>
    <t>제 5호표  합성수지 전선관</t>
  </si>
  <si>
    <t>제 6호표  합성수지 전선관</t>
  </si>
  <si>
    <t>제 7호표  합성수지 전선관</t>
  </si>
  <si>
    <t>제 8호표  합성수지 전선관</t>
  </si>
  <si>
    <t>제 9호표  합성수지 전선관</t>
  </si>
  <si>
    <t>제 10호표  합성수지 전선관92㎜이하</t>
  </si>
  <si>
    <t>제 10호표  합성수지 전선관</t>
  </si>
  <si>
    <t>제 11호표  합성수지 전선관</t>
  </si>
  <si>
    <t>제 12호표  합성수지 전선관125㎜이하</t>
  </si>
  <si>
    <t>제 12호표  합성수지 전선관</t>
  </si>
  <si>
    <t>제 1호표  후강 전선관</t>
  </si>
  <si>
    <t>제 2호표  후강 전선관</t>
  </si>
  <si>
    <t>제 3호표  후강 전선관</t>
  </si>
  <si>
    <t>제 4호표  후강 전선관</t>
  </si>
  <si>
    <t>제 5호표  후강 전선관</t>
  </si>
  <si>
    <t>제 6호표  후강 전선관</t>
  </si>
  <si>
    <t>제 7호표  후강 전선관</t>
  </si>
  <si>
    <t>제 8호표  후강 전선관</t>
  </si>
  <si>
    <t>제 9호표  후강 전선관92㎜이하</t>
  </si>
  <si>
    <t>제 9호표  후강 전선관</t>
  </si>
  <si>
    <t>제 10호표  후강 전선관</t>
  </si>
  <si>
    <t>제 1호표  금속가요 전선관</t>
  </si>
  <si>
    <t>제 2호표  금속가요 전선관</t>
  </si>
  <si>
    <t>제 3호표  금속가요 전선관</t>
  </si>
  <si>
    <t>제 4호표  금속가요 전선관</t>
  </si>
  <si>
    <t>제 5호표  금속가요 전선관</t>
  </si>
  <si>
    <t>제 6호표  금속가요 전선관</t>
  </si>
  <si>
    <t>제 7호표  금속가요 전선관</t>
  </si>
  <si>
    <t>제 8호표  금속가요 전선관</t>
  </si>
  <si>
    <t>제 9호표  금속가요 전선관92㎜이하</t>
  </si>
  <si>
    <t>제 9호표  금속가요 전선관</t>
  </si>
  <si>
    <t>제 10호표  금속가요 전선관</t>
  </si>
  <si>
    <t>E10410021001001001</t>
  </si>
  <si>
    <t>제 1호표  박스커버박스커버</t>
  </si>
  <si>
    <t>제 1호표  박스커버</t>
  </si>
  <si>
    <t>박스커버</t>
  </si>
  <si>
    <t>장</t>
  </si>
  <si>
    <t>E10410021001003001</t>
  </si>
  <si>
    <t>제 1호표  박스용철판(데크플레이트 등) 구멍따기두께 2㎜ 이하</t>
  </si>
  <si>
    <t>제 1호표  박스용철판(데크플레이트 등) 구멍따기</t>
  </si>
  <si>
    <t>두께 2㎜ 이하</t>
  </si>
  <si>
    <t>E10410021001011001</t>
  </si>
  <si>
    <t>제 1호표  박스용 석고판 구멍따기각종 두께</t>
  </si>
  <si>
    <t>제 1호표  박스용 석고판 구멍따기</t>
  </si>
  <si>
    <t>각종 두께</t>
  </si>
  <si>
    <t>E10410022001001001</t>
  </si>
  <si>
    <t>E10410022001001002</t>
  </si>
  <si>
    <t>E10410022001001003</t>
  </si>
  <si>
    <t>E10410022001001004</t>
  </si>
  <si>
    <t>E10410022001001005</t>
  </si>
  <si>
    <t>E10410022001001006</t>
  </si>
  <si>
    <t>E10410022001001007</t>
  </si>
  <si>
    <t>제 1호표  박스(Box) 설치Concrete Box</t>
  </si>
  <si>
    <t>제 1호표  박스(Box) 설치</t>
  </si>
  <si>
    <t>Concrete Box</t>
  </si>
  <si>
    <t>제 2호표  박스(Box) 설치Outlet Box</t>
  </si>
  <si>
    <t>제 2호표  박스(Box) 설치</t>
  </si>
  <si>
    <t>Outlet Box</t>
  </si>
  <si>
    <t>제 3호표  박스(Box) 설치</t>
  </si>
  <si>
    <t>Switch Box(2개용이하)</t>
  </si>
  <si>
    <t>제 4호표  박스(Box) 설치Switch Box(3개용이상)</t>
  </si>
  <si>
    <t>제 4호표  박스(Box) 설치</t>
  </si>
  <si>
    <t>Switch Box(3개용이상)</t>
  </si>
  <si>
    <t>제 5호표  박스(Box) 설치</t>
  </si>
  <si>
    <t>노출형 Box(콘크리트노출기준)</t>
  </si>
  <si>
    <t>제 6호표  박스(Box) 설치플로어박스</t>
  </si>
  <si>
    <t>제 6호표  박스(Box) 설치</t>
  </si>
  <si>
    <t>플로어박스</t>
  </si>
  <si>
    <t>제 7호표  박스(Box) 설치</t>
  </si>
  <si>
    <t>연결용 박스</t>
  </si>
  <si>
    <t>E10410033001001001</t>
  </si>
  <si>
    <t>E10410033001001002</t>
  </si>
  <si>
    <t>E10410033001001003</t>
  </si>
  <si>
    <t>E10410033001001004</t>
  </si>
  <si>
    <t>E10410033001001005</t>
  </si>
  <si>
    <t>E10410033001001006</t>
  </si>
  <si>
    <t>E10410033001001007</t>
  </si>
  <si>
    <t>E10410033001001008</t>
  </si>
  <si>
    <t>E10410033001002001</t>
  </si>
  <si>
    <t>E10410033001002002</t>
  </si>
  <si>
    <t>E10410033001002003</t>
  </si>
  <si>
    <t>E10410033001002004</t>
  </si>
  <si>
    <t>E10410033001002005</t>
  </si>
  <si>
    <t>E10410033001002006</t>
  </si>
  <si>
    <t>E10410033001002007</t>
  </si>
  <si>
    <t>E10410033001002008</t>
  </si>
  <si>
    <t>제 1호표  풀박스(Pull Box) 설치(천정면)</t>
  </si>
  <si>
    <t>제 2호표  풀박스(Pull Box) 설치(천정면)</t>
  </si>
  <si>
    <t>제 3호표  풀박스(Pull Box) 설치(천정면)</t>
  </si>
  <si>
    <t>제 4호표  풀박스(Pull Box) 설치(천정면)700㎜X700㎜X400㎜이하</t>
  </si>
  <si>
    <t>제 4호표  풀박스(Pull Box) 설치(천정면)</t>
  </si>
  <si>
    <t>제 5호표  풀박스(Pull Box) 설치(천정면)1000㎜X1000㎜X150㎜이하</t>
  </si>
  <si>
    <t>제 5호표  풀박스(Pull Box) 설치(천정면)</t>
  </si>
  <si>
    <t>제 6호표  풀박스(Pull Box) 설치(천정면)1200㎜X1200㎜X150㎜이하</t>
  </si>
  <si>
    <t>제 6호표  풀박스(Pull Box) 설치(천정면)</t>
  </si>
  <si>
    <t>제 7호표  풀박스(Pull Box) 설치(천정면)1500㎜X1500㎜X250㎜이하</t>
  </si>
  <si>
    <t>제 7호표  풀박스(Pull Box) 설치(천정면)</t>
  </si>
  <si>
    <t>제 8호표  풀박스(Pull Box) 설치(천정면)2000㎜X2000㎜X300㎜이하</t>
  </si>
  <si>
    <t>제 8호표  풀박스(Pull Box) 설치(천정면)</t>
  </si>
  <si>
    <t>제 1호표  풀박스(Pull Box) 설치(벽면)</t>
  </si>
  <si>
    <t>제 2호표  풀박스(Pull Box) 설치(벽면)</t>
  </si>
  <si>
    <t>제 3호표  풀박스(Pull Box) 설치(벽면)</t>
  </si>
  <si>
    <t>제 4호표  풀박스(Pull Box) 설치(벽면)</t>
  </si>
  <si>
    <t>제 5호표  풀박스(Pull Box) 설치(벽면)1000㎜X1000㎜X150㎜이하</t>
  </si>
  <si>
    <t>제 5호표  풀박스(Pull Box) 설치(벽면)</t>
  </si>
  <si>
    <t>제 6호표  풀박스(Pull Box) 설치(벽면)1200㎜X1200㎜X150㎜이하</t>
  </si>
  <si>
    <t>제 6호표  풀박스(Pull Box) 설치(벽면)</t>
  </si>
  <si>
    <t>제 7호표  풀박스(Pull Box) 설치(벽면)1500㎜X1500㎜X250㎜이하</t>
  </si>
  <si>
    <t>제 7호표  풀박스(Pull Box) 설치(벽면)</t>
  </si>
  <si>
    <t>제 8호표  풀박스(Pull Box) 설치(벽면)2000㎜X2000㎜X300㎜이하</t>
  </si>
  <si>
    <t>제 8호표  풀박스(Pull Box) 설치(벽면)</t>
  </si>
  <si>
    <t>E10410044001002001</t>
  </si>
  <si>
    <t>E10410044001002002</t>
  </si>
  <si>
    <t>E10410044001002003</t>
  </si>
  <si>
    <t>제 1호표  시스템 박스콘크리트매입 전선관용</t>
  </si>
  <si>
    <t>제 1호표  시스템 박스</t>
  </si>
  <si>
    <t>콘크리트매입 전선관용</t>
  </si>
  <si>
    <t>제 2호표  시스템 박스콘크리트매입 데크플레이트용</t>
  </si>
  <si>
    <t>제 2호표  시스템 박스</t>
  </si>
  <si>
    <t>콘크리트매입 데크플레이트용</t>
  </si>
  <si>
    <t>제 3호표  시스템 박스액세스 플로어용</t>
  </si>
  <si>
    <t>제 3호표  시스템 박스</t>
  </si>
  <si>
    <t>액세스 플로어용</t>
  </si>
  <si>
    <t>E10409001008001001</t>
  </si>
  <si>
    <t>E10409001008001002</t>
  </si>
  <si>
    <t>E10409001008001003</t>
  </si>
  <si>
    <t>E10409001008002001</t>
  </si>
  <si>
    <t>E10409001008002002</t>
  </si>
  <si>
    <t>E10409001008002003</t>
  </si>
  <si>
    <t>E10409001008003001</t>
  </si>
  <si>
    <t>E10409001008003002</t>
  </si>
  <si>
    <t>E10409001008003003</t>
  </si>
  <si>
    <t>E10409001008004001</t>
  </si>
  <si>
    <t>E10409001008004002</t>
  </si>
  <si>
    <t>E10409001008004003</t>
  </si>
  <si>
    <t>E10409001008005001</t>
  </si>
  <si>
    <t>E10409001008005002</t>
  </si>
  <si>
    <t>E10409001008005003</t>
  </si>
  <si>
    <t>E10409001008006001</t>
  </si>
  <si>
    <t>E10409001008006002</t>
  </si>
  <si>
    <t>E10409001008006003</t>
  </si>
  <si>
    <t>E10409001008007001</t>
  </si>
  <si>
    <t>E10409001008007002</t>
  </si>
  <si>
    <t>E10409001008007003</t>
  </si>
  <si>
    <t>제 3호표  인력 터파기(보통토사)2m 이상 ~ 3m 미만</t>
  </si>
  <si>
    <t>제 3호표  인력 터파기(보통토사)</t>
  </si>
  <si>
    <t>제 1호표  인력 터파기(경질토사)깊이 1m 미만</t>
  </si>
  <si>
    <t>제 1호표  인력 터파기(경질토사)</t>
  </si>
  <si>
    <t>제 3호표  인력 터파기(경질토사)2m 이상 ~ 3m 미만</t>
  </si>
  <si>
    <t>제 3호표  인력 터파기(경질토사)</t>
  </si>
  <si>
    <t>제 1호표  인력 터파기(고사점토 및 자갈섞인 토사)깊이 1m 미만</t>
  </si>
  <si>
    <t>제 1호표  인력 터파기(고사점토 및 자갈섞인 토사)</t>
  </si>
  <si>
    <t>제 3호표  인력 터파기(고사점토 및 자갈섞인 토사)2m 이상 ~ 3m 미만</t>
  </si>
  <si>
    <t>제 3호표  인력 터파기(고사점토 및 자갈섞인 토사)</t>
  </si>
  <si>
    <t>제 1호표  인력 터파기(호박돌 섞인 토사)깊이 1m 미만</t>
  </si>
  <si>
    <t>제 1호표  인력 터파기(호박돌 섞인 토사)</t>
  </si>
  <si>
    <t>제 3호표  인력 터파기(호박돌 섞인 토사)2m 이상 ~ 3m 미만</t>
  </si>
  <si>
    <t>제 3호표  인력 터파기(호박돌 섞인 토사)</t>
  </si>
  <si>
    <t>제 1호표  인력 터파기(연암 및 풍화암)깊이 1m 미만</t>
  </si>
  <si>
    <t>제 1호표  인력 터파기(연암 및 풍화암)</t>
  </si>
  <si>
    <t>제 3호표  인력 터파기(연암 및 풍화암)2m 이상 ~ 3m 미만</t>
  </si>
  <si>
    <t>제 3호표  인력 터파기(연암 및 풍화암)</t>
  </si>
  <si>
    <t>제 1호표  인력 터파기(보통암)깊이 1m 미만</t>
  </si>
  <si>
    <t>제 1호표  인력 터파기(보통암)</t>
  </si>
  <si>
    <t>제 3호표  인력 터파기(보통암)2m 이상 ~ 3m 미만</t>
  </si>
  <si>
    <t>제 3호표  인력 터파기(보통암)</t>
  </si>
  <si>
    <t>제 1호표  인력 터파기(경암)깊이 1m 미만</t>
  </si>
  <si>
    <t>제 1호표  인력 터파기(경암)</t>
  </si>
  <si>
    <t>제 3호표  인력 터파기(경암)2m 이상 ~ 3m 미만</t>
  </si>
  <si>
    <t>제 3호표  인력 터파기(경암)</t>
  </si>
  <si>
    <t>2m 이상 ~ 3m 미만</t>
  </si>
  <si>
    <t>E10409004001001001</t>
  </si>
  <si>
    <t>E10409004001001002</t>
  </si>
  <si>
    <t>E10409004001001003</t>
  </si>
  <si>
    <t>E10409004001001004</t>
  </si>
  <si>
    <t>E10409004001001005</t>
  </si>
  <si>
    <t>E10409004001001006</t>
  </si>
  <si>
    <t>E10409004001001007</t>
  </si>
  <si>
    <t>E10409004001001008</t>
  </si>
  <si>
    <t>E10409004001001009</t>
  </si>
  <si>
    <t>E10409004001001010</t>
  </si>
  <si>
    <t>E10409004001001011</t>
  </si>
  <si>
    <t>제 1호표  인력 건주(콘크리트주)5m 이하</t>
  </si>
  <si>
    <t>제 1호표  인력 건주(콘크리트주)</t>
  </si>
  <si>
    <t>제 2호표  인력 건주(콘크리트주)6m 이하</t>
  </si>
  <si>
    <t>제 2호표  인력 건주(콘크리트주)</t>
  </si>
  <si>
    <t>제 3호표  인력 건주(콘크리트주)7m 이하</t>
  </si>
  <si>
    <t>제 3호표  인력 건주(콘크리트주)</t>
  </si>
  <si>
    <t>제 4호표  인력 건주(콘크리트주)8m 이하</t>
  </si>
  <si>
    <t>제 4호표  인력 건주(콘크리트주)</t>
  </si>
  <si>
    <t>제 5호표  인력 건주(콘크리트주)9m 이하</t>
  </si>
  <si>
    <t>제 5호표  인력 건주(콘크리트주)</t>
  </si>
  <si>
    <t>제 6호표  인력 건주(콘크리트주)10m 이하</t>
  </si>
  <si>
    <t>제 6호표  인력 건주(콘크리트주)</t>
  </si>
  <si>
    <t>제 7호표  인력 건주(콘크리트주)11m 이하</t>
  </si>
  <si>
    <t>제 7호표  인력 건주(콘크리트주)</t>
  </si>
  <si>
    <t>제 8호표  인력 건주(콘크리트주)12m 이하</t>
  </si>
  <si>
    <t>제 8호표  인력 건주(콘크리트주)</t>
  </si>
  <si>
    <t>제 9호표  인력 건주(콘크리트주)14m 이하</t>
  </si>
  <si>
    <t>제 9호표  인력 건주(콘크리트주)</t>
  </si>
  <si>
    <t>제 10호표  인력 건주(콘크리트주)16m 이하</t>
  </si>
  <si>
    <t>제 10호표  인력 건주(콘크리트주)</t>
  </si>
  <si>
    <t>제 11호표  인력 건주(콘크리트주)17m 이하</t>
  </si>
  <si>
    <t>제 11호표  인력 건주(콘크리트주)</t>
  </si>
  <si>
    <t>E10410019001001001</t>
  </si>
  <si>
    <t>E10410019001001002</t>
  </si>
  <si>
    <t>E10410019001001003</t>
  </si>
  <si>
    <t>E10410019001001004</t>
  </si>
  <si>
    <t>E10410019001001005</t>
  </si>
  <si>
    <t>E10410019001001006</t>
  </si>
  <si>
    <t>E10410019001001007</t>
  </si>
  <si>
    <t>E10410019001001008</t>
  </si>
  <si>
    <t>E10410019001002001</t>
  </si>
  <si>
    <t>E10410019001002002</t>
  </si>
  <si>
    <t>E10410019001002003</t>
  </si>
  <si>
    <t>E10410019001002004</t>
  </si>
  <si>
    <t>E10410019001002005</t>
  </si>
  <si>
    <t>E10410019001002006</t>
  </si>
  <si>
    <t>E10410019001002007</t>
  </si>
  <si>
    <t>E10410019001002008</t>
  </si>
  <si>
    <t>제 1호표  POLE LIGHT 인력설치(1등용)가로등 높이 5m 이하</t>
  </si>
  <si>
    <t>제 1호표  POLE LIGHT 인력설치(1등용)</t>
  </si>
  <si>
    <t>가로등 높이 5m 이하</t>
  </si>
  <si>
    <t>제 2호표  POLE LIGHT 인력설치(1등용)가로등 높이 6m 이하</t>
  </si>
  <si>
    <t>제 2호표  POLE LIGHT 인력설치(1등용)</t>
  </si>
  <si>
    <t>가로등 높이 6m 이하</t>
  </si>
  <si>
    <t>제 3호표  POLE LIGHT 인력설치(1등용)가로등 높이 7m 이하</t>
  </si>
  <si>
    <t>제 3호표  POLE LIGHT 인력설치(1등용)</t>
  </si>
  <si>
    <t>가로등 높이 7m 이하</t>
  </si>
  <si>
    <t>제 7호표  POLE LIGHT 인력설치(1등용)</t>
  </si>
  <si>
    <t>가로등 높이 12m 이하</t>
  </si>
  <si>
    <t>제 8호표  POLE LIGHT 인력설치(1등용)가로등 높이 14m 이하</t>
  </si>
  <si>
    <t>제 8호표  POLE LIGHT 인력설치(1등용)</t>
  </si>
  <si>
    <t>가로등 높이 14m 이하</t>
  </si>
  <si>
    <t>제 1호표  POLE LIGHT 인력설치(2등용)5m이하</t>
  </si>
  <si>
    <t>제 1호표  POLE LIGHT 인력설치(2등용)</t>
  </si>
  <si>
    <t>제 2호표  POLE LIGHT 인력설치(2등용)6m이하</t>
  </si>
  <si>
    <t>제 2호표  POLE LIGHT 인력설치(2등용)</t>
  </si>
  <si>
    <t>제 3호표  POLE LIGHT 인력설치(2등용)7m이하</t>
  </si>
  <si>
    <t>제 3호표  POLE LIGHT 인력설치(2등용)</t>
  </si>
  <si>
    <t>제 4호표  POLE LIGHT 인력설치(2등용)8m이하</t>
  </si>
  <si>
    <t>제 4호표  POLE LIGHT 인력설치(2등용)</t>
  </si>
  <si>
    <t>제 5호표  POLE LIGHT 인력설치(2등용)9m이하</t>
  </si>
  <si>
    <t>제 5호표  POLE LIGHT 인력설치(2등용)</t>
  </si>
  <si>
    <t>제 6호표  POLE LIGHT 인력설치(2등용)10m이하</t>
  </si>
  <si>
    <t>제 6호표  POLE LIGHT 인력설치(2등용)</t>
  </si>
  <si>
    <t>제 7호표  POLE LIGHT 인력설치(2등용)12m이하</t>
  </si>
  <si>
    <t>제 7호표  POLE LIGHT 인력설치(2등용)</t>
  </si>
  <si>
    <t>제 8호표  POLE LIGHT 인력설치(2등용)14m이하</t>
  </si>
  <si>
    <t>제 8호표  POLE LIGHT 인력설치(2등용)</t>
  </si>
  <si>
    <t>E10412001001001001</t>
  </si>
  <si>
    <t>E10412001001001002</t>
  </si>
  <si>
    <t>E10412001001001003</t>
  </si>
  <si>
    <t>E10412001001001004</t>
  </si>
  <si>
    <t>E10412001001001005</t>
  </si>
  <si>
    <t>제 1호표  콘크리트전주 인력 건주8m 이하</t>
  </si>
  <si>
    <t>제 1호표  콘크리트전주 인력 건주</t>
  </si>
  <si>
    <t>제 2호표  콘크리트전주 인력 건주10m 이하</t>
  </si>
  <si>
    <t>제 2호표  콘크리트전주 인력 건주</t>
  </si>
  <si>
    <t>제 3호표  콘크리트전주 인력 건주12m 이하</t>
  </si>
  <si>
    <t>제 3호표  콘크리트전주 인력 건주</t>
  </si>
  <si>
    <t>제 4호표  콘크리트전주 인력 건주14m 이하</t>
  </si>
  <si>
    <t>제 4호표  콘크리트전주 인력 건주</t>
  </si>
  <si>
    <t>제 5호표  콘크리트전주 인력 건주16m 이하</t>
  </si>
  <si>
    <t>제 5호표  콘크리트전주 인력 건주</t>
  </si>
  <si>
    <t>E10410021001010001</t>
  </si>
  <si>
    <t>E10410021001010002</t>
  </si>
  <si>
    <t>E10410021001010003</t>
  </si>
  <si>
    <t>E10410021001010004</t>
  </si>
  <si>
    <t>E10410021001010005</t>
  </si>
  <si>
    <t>제 1호표  앵커볼트 설치Ø13 이하</t>
  </si>
  <si>
    <t>제 1호표  앵커볼트 설치</t>
  </si>
  <si>
    <t>제 2호표  앵커볼트 설치Ø14~Ø15</t>
  </si>
  <si>
    <t>제 2호표  앵커볼트 설치</t>
  </si>
  <si>
    <t>Ø14~Ø15</t>
  </si>
  <si>
    <t>제 3호표  앵커볼트 설치Ø16~Ø19</t>
  </si>
  <si>
    <t>제 3호표  앵커볼트 설치</t>
  </si>
  <si>
    <t>Ø16~Ø19</t>
  </si>
  <si>
    <t>제 4호표  앵커볼트 설치Ø22~Ø25</t>
  </si>
  <si>
    <t>제 4호표  앵커볼트 설치</t>
  </si>
  <si>
    <t>Ø22~Ø25</t>
  </si>
  <si>
    <t>제 5호표  앵커볼트 설치Ø28 이상</t>
  </si>
  <si>
    <t>제 5호표  앵커볼트 설치</t>
  </si>
  <si>
    <t>Ø28 이상</t>
  </si>
  <si>
    <t>E10416001005001001</t>
  </si>
  <si>
    <t>제 1호표  클리트(Cleat) 지지 앵커볼트Ø12</t>
  </si>
  <si>
    <t>제 1호표  클리트(Cleat) 지지 앵커볼트</t>
  </si>
  <si>
    <t>Ø12</t>
  </si>
  <si>
    <t>E10416003008001001</t>
  </si>
  <si>
    <t>E10416003009001001</t>
  </si>
  <si>
    <t>E10416003010001001</t>
  </si>
  <si>
    <t>E10416003010001002</t>
  </si>
  <si>
    <t>E10416003010001003</t>
  </si>
  <si>
    <t>E10416003010001004</t>
  </si>
  <si>
    <t>제 1호표  앵커볼트 구멍 뚫기(참고품)Ø23*100</t>
  </si>
  <si>
    <t>제 1호표  앵커볼트 구멍 뚫기(참고품)</t>
  </si>
  <si>
    <t>Ø23*100</t>
  </si>
  <si>
    <t>제 1호표  케미컬 앵커볼트 설치(참고품)설치조정 M16~M20</t>
  </si>
  <si>
    <t>제 1호표  케미컬 앵커볼트 설치(참고품)</t>
  </si>
  <si>
    <t>설치조정 M16~M20</t>
  </si>
  <si>
    <t>제 1호표  지지철물 설치(표준형, 앵커닝, 익스펜션조인트용)(참고품)금구 및 볼트수 배치</t>
  </si>
  <si>
    <t>제 1호표  지지철물 설치(표준형, 앵커닝, 익스펜션조인트용)(참고품)</t>
  </si>
  <si>
    <t>금구 및 볼트수 배치</t>
  </si>
  <si>
    <t>제 2호표  지지철물 설치(표준형, 앵커닝, 익스펜션조인트용)(참고품)지지볼트 설치(Ø22*200)</t>
  </si>
  <si>
    <t>제 2호표  지지철물 설치(표준형, 앵커닝, 익스펜션조인트용)(참고품)</t>
  </si>
  <si>
    <t>지지볼트 설치(Ø22*200)</t>
  </si>
  <si>
    <t>제 3호표  지지철물 설치(표준형, 앵커닝, 익스펜션조인트용)(참고품)금구 설치(각종)</t>
  </si>
  <si>
    <t>제 3호표  지지철물 설치(표준형, 앵커닝, 익스펜션조인트용)(참고품)</t>
  </si>
  <si>
    <t>금구 설치(각종)</t>
  </si>
  <si>
    <t>제 4호표  지지철물 설치(표준형, 앵커닝, 익스펜션조인트용)(참고품)애자 설치(Ø90㎜)</t>
  </si>
  <si>
    <t>제 4호표  지지철물 설치(표준형, 앵커닝, 익스펜션조인트용)(참고품)</t>
  </si>
  <si>
    <t>애자 설치(Ø90㎜)</t>
  </si>
  <si>
    <t>E10410021003001001</t>
  </si>
  <si>
    <t>E10410021003001002</t>
  </si>
  <si>
    <t>E10410021003001003</t>
  </si>
  <si>
    <t>E10410021003001004</t>
  </si>
  <si>
    <t>E10410021003001005</t>
  </si>
  <si>
    <t>E10410021003001006</t>
  </si>
  <si>
    <t>E10410021003001007</t>
  </si>
  <si>
    <t>E10410021003001008</t>
  </si>
  <si>
    <t>E10410021003001009</t>
  </si>
  <si>
    <t>E10410021003001010</t>
  </si>
  <si>
    <t>E10410021003001011</t>
  </si>
  <si>
    <t>제 1호표  벽관통 배관용 구멍뚫기(손파기 기준)-콘크리트 두께 150㎜ 이하구경 50㎜</t>
  </si>
  <si>
    <t>제 1호표  벽관통 배관용 구멍뚫기(손파기 기준)-콘크리트 두께 150㎜ 이하</t>
  </si>
  <si>
    <t>제 2호표  벽관통 배관용 구멍뚫기(손파기 기준)-콘크리트 두께 150㎜ 이하구경 75㎜</t>
  </si>
  <si>
    <t>제 2호표  벽관통 배관용 구멍뚫기(손파기 기준)-콘크리트 두께 150㎜ 이하</t>
  </si>
  <si>
    <t>제 3호표  벽관통 배관용 구멍뚫기(손파기 기준)-콘크리트 두께 150㎜ 이하구경 100㎜</t>
  </si>
  <si>
    <t>제 3호표  벽관통 배관용 구멍뚫기(손파기 기준)-콘크리트 두께 150㎜ 이하</t>
  </si>
  <si>
    <t>제 4호표  벽관통 배관용 구멍뚫기(손파기 기준)-콘크리트 두께 150㎜ 이하구경 150㎜</t>
  </si>
  <si>
    <t>제 4호표  벽관통 배관용 구멍뚫기(손파기 기준)-콘크리트 두께 150㎜ 이하</t>
  </si>
  <si>
    <t>제 5호표  벽관통 배관용 구멍뚫기(손파기 기준)-콘크리트 두께 150㎜ 이하구경 200㎜</t>
  </si>
  <si>
    <t>제 5호표  벽관통 배관용 구멍뚫기(손파기 기준)-콘크리트 두께 150㎜ 이하</t>
  </si>
  <si>
    <t>제 6호표  벽관통 배관용 구멍뚫기(손파기 기준)-콘크리트 두께 150㎜ 이하구경 250㎜</t>
  </si>
  <si>
    <t>제 6호표  벽관통 배관용 구멍뚫기(손파기 기준)-콘크리트 두께 150㎜ 이하</t>
  </si>
  <si>
    <t>제 7호표  벽관통 배관용 구멍뚫기(손파기 기준)-콘크리트 두께 150㎜ 이하구경 300㎜</t>
  </si>
  <si>
    <t>제 7호표  벽관통 배관용 구멍뚫기(손파기 기준)-콘크리트 두께 150㎜ 이하</t>
  </si>
  <si>
    <t>제 8호표  벽관통 배관용 구멍뚫기(손파기 기준)-콘크리트 두께 150㎜ 이하구경 350㎜</t>
  </si>
  <si>
    <t>제 8호표  벽관통 배관용 구멍뚫기(손파기 기준)-콘크리트 두께 150㎜ 이하</t>
  </si>
  <si>
    <t>제 9호표  벽관통 배관용 구멍뚫기(손파기 기준)-콘크리트 두께 150㎜ 이하구경 400㎜</t>
  </si>
  <si>
    <t>제 9호표  벽관통 배관용 구멍뚫기(손파기 기준)-콘크리트 두께 150㎜ 이하</t>
  </si>
  <si>
    <t>제 10호표  벽관통 배관용 구멍뚫기(손파기 기준)-콘크리트 두께 150㎜ 이하구경 450㎜</t>
  </si>
  <si>
    <t>제 10호표  벽관통 배관용 구멍뚫기(손파기 기준)-콘크리트 두께 150㎜ 이하</t>
  </si>
  <si>
    <t>구경 450㎜</t>
  </si>
  <si>
    <t>제 11호표  벽관통 배관용 구멍뚫기(손파기 기준)-콘크리트 두께 150㎜ 이하구경 500㎜</t>
  </si>
  <si>
    <t>제 11호표  벽관통 배관용 구멍뚫기(손파기 기준)-콘크리트 두께 150㎜ 이하</t>
  </si>
  <si>
    <t>구경 500㎜</t>
  </si>
  <si>
    <t>E10410021003005001</t>
  </si>
  <si>
    <t>E10410021003005002</t>
  </si>
  <si>
    <t>E10410021003005003</t>
  </si>
  <si>
    <t>E10410021003005004</t>
  </si>
  <si>
    <t>E10410021003005005</t>
  </si>
  <si>
    <t>E10410021003005006</t>
  </si>
  <si>
    <t>E10410021003005007</t>
  </si>
  <si>
    <t>E10410021003005008</t>
  </si>
  <si>
    <t>E10410021003005009</t>
  </si>
  <si>
    <t>E10410021003005010</t>
  </si>
  <si>
    <t>E10410021003005011</t>
  </si>
  <si>
    <t>E10410021003006001</t>
  </si>
  <si>
    <t>E10410021003006002</t>
  </si>
  <si>
    <t>E10410021003006003</t>
  </si>
  <si>
    <t>E10410021003006004</t>
  </si>
  <si>
    <t>E10410021003006005</t>
  </si>
  <si>
    <t>E10410021003006006</t>
  </si>
  <si>
    <t>E10410021003006007</t>
  </si>
  <si>
    <t>E10410021003006008</t>
  </si>
  <si>
    <t>E10410021003006009</t>
  </si>
  <si>
    <t>E10410021003006010</t>
  </si>
  <si>
    <t>E10410021003006011</t>
  </si>
  <si>
    <t>E10410021003007001</t>
  </si>
  <si>
    <t>E10410021003007002</t>
  </si>
  <si>
    <t>E10410021003007003</t>
  </si>
  <si>
    <t>E10410021003007004</t>
  </si>
  <si>
    <t>E10410021003007005</t>
  </si>
  <si>
    <t>E10410021003007006</t>
  </si>
  <si>
    <t>E10410021003007007</t>
  </si>
  <si>
    <t>E10410021003007008</t>
  </si>
  <si>
    <t>E10410021003007009</t>
  </si>
  <si>
    <t>E10410021003007010</t>
  </si>
  <si>
    <t>E10410021003007011</t>
  </si>
  <si>
    <t>E10410021003008001</t>
  </si>
  <si>
    <t>E10410021003008002</t>
  </si>
  <si>
    <t>E10410021003008003</t>
  </si>
  <si>
    <t>E10410021003008004</t>
  </si>
  <si>
    <t>E10410021003008005</t>
  </si>
  <si>
    <t>E10410021003008006</t>
  </si>
  <si>
    <t>E10410021003008007</t>
  </si>
  <si>
    <t>E10410021003008008</t>
  </si>
  <si>
    <t>E10410021003008009</t>
  </si>
  <si>
    <t>E10410021003008010</t>
  </si>
  <si>
    <t>E10410021003009001</t>
  </si>
  <si>
    <t>E10410021003009002</t>
  </si>
  <si>
    <t>E10410021003009003</t>
  </si>
  <si>
    <t>E10410021003009004</t>
  </si>
  <si>
    <t>E10410021003009005</t>
  </si>
  <si>
    <t>E10410021003009006</t>
  </si>
  <si>
    <t>E10410021003009007</t>
  </si>
  <si>
    <t>E10410021003009008</t>
  </si>
  <si>
    <t>E10410021003009009</t>
  </si>
  <si>
    <t>E10410021003009010</t>
  </si>
  <si>
    <t>E10410021003010001</t>
  </si>
  <si>
    <t>E10410021003010002</t>
  </si>
  <si>
    <t>E10410021003010003</t>
  </si>
  <si>
    <t>E10410021003010004</t>
  </si>
  <si>
    <t>E10410021003010005</t>
  </si>
  <si>
    <t>E10410021003010006</t>
  </si>
  <si>
    <t>E10410021003010007</t>
  </si>
  <si>
    <t>E10410021003010008</t>
  </si>
  <si>
    <t>E10410021003010009</t>
  </si>
  <si>
    <t>E10410021003010010</t>
  </si>
  <si>
    <t>E10410021003011001</t>
  </si>
  <si>
    <t>E10410021003011002</t>
  </si>
  <si>
    <t>E10410021003011003</t>
  </si>
  <si>
    <t>E10410021003011004</t>
  </si>
  <si>
    <t>E10410021003011005</t>
  </si>
  <si>
    <t>E10410021003011006</t>
  </si>
  <si>
    <t>E10410021003011007</t>
  </si>
  <si>
    <t>E10410021003011008</t>
  </si>
  <si>
    <t>E10410021003011009</t>
  </si>
  <si>
    <t>E10410021003011010</t>
  </si>
  <si>
    <t>제 1호표  벽관통 배관용 구멍뚫기(손파기 기준)-콘크리트 두께 200㎜ 이하구경 50㎜</t>
  </si>
  <si>
    <t>제 1호표  벽관통 배관용 구멍뚫기(손파기 기준)-콘크리트 두께 200㎜ 이하</t>
  </si>
  <si>
    <t>제 2호표  벽관통 배관용 구멍뚫기(손파기 기준)-콘크리트 두께 200㎜ 이하구경 75㎜</t>
  </si>
  <si>
    <t>제 2호표  벽관통 배관용 구멍뚫기(손파기 기준)-콘크리트 두께 200㎜ 이하</t>
  </si>
  <si>
    <t>제 3호표  벽관통 배관용 구멍뚫기(손파기 기준)-콘크리트 두께 200㎜ 이하구경 100㎜</t>
  </si>
  <si>
    <t>제 3호표  벽관통 배관용 구멍뚫기(손파기 기준)-콘크리트 두께 200㎜ 이하</t>
  </si>
  <si>
    <t>제 4호표  벽관통 배관용 구멍뚫기(손파기 기준)-콘크리트 두께 200㎜ 이하구경 150㎜</t>
  </si>
  <si>
    <t>제 4호표  벽관통 배관용 구멍뚫기(손파기 기준)-콘크리트 두께 200㎜ 이하</t>
  </si>
  <si>
    <t>제 5호표  벽관통 배관용 구멍뚫기(손파기 기준)-콘크리트 두께 200㎜ 이하구경 200㎜</t>
  </si>
  <si>
    <t>제 5호표  벽관통 배관용 구멍뚫기(손파기 기준)-콘크리트 두께 200㎜ 이하</t>
  </si>
  <si>
    <t>제 6호표  벽관통 배관용 구멍뚫기(손파기 기준)-콘크리트 두께 200㎜ 이하구경 250㎜</t>
  </si>
  <si>
    <t>제 6호표  벽관통 배관용 구멍뚫기(손파기 기준)-콘크리트 두께 200㎜ 이하</t>
  </si>
  <si>
    <t>제 7호표  벽관통 배관용 구멍뚫기(손파기 기준)-콘크리트 두께 200㎜ 이하구경 300㎜</t>
  </si>
  <si>
    <t>제 7호표  벽관통 배관용 구멍뚫기(손파기 기준)-콘크리트 두께 200㎜ 이하</t>
  </si>
  <si>
    <t>제 8호표  벽관통 배관용 구멍뚫기(손파기 기준)-콘크리트 두께 200㎜ 이하구경 350㎜</t>
  </si>
  <si>
    <t>제 8호표  벽관통 배관용 구멍뚫기(손파기 기준)-콘크리트 두께 200㎜ 이하</t>
  </si>
  <si>
    <t>제 9호표  벽관통 배관용 구멍뚫기(손파기 기준)-콘크리트 두께 200㎜ 이하구경 400㎜</t>
  </si>
  <si>
    <t>제 9호표  벽관통 배관용 구멍뚫기(손파기 기준)-콘크리트 두께 200㎜ 이하</t>
  </si>
  <si>
    <t>제 10호표  벽관통 배관용 구멍뚫기(손파기 기준)-콘크리트 두께 200㎜ 이하구경 450㎜</t>
  </si>
  <si>
    <t>제 10호표  벽관통 배관용 구멍뚫기(손파기 기준)-콘크리트 두께 200㎜ 이하</t>
  </si>
  <si>
    <t>제 11호표  벽관통 배관용 구멍뚫기(손파기 기준)-콘크리트 두께 200㎜ 이하구경 500㎜</t>
  </si>
  <si>
    <t>제 11호표  벽관통 배관용 구멍뚫기(손파기 기준)-콘크리트 두께 200㎜ 이하</t>
  </si>
  <si>
    <t>제 1호표  벽관통 배관용 구멍뚫기(손파기 기준)-콘크리트 두께 300㎜ 이하구경 50㎜</t>
  </si>
  <si>
    <t>제 1호표  벽관통 배관용 구멍뚫기(손파기 기준)-콘크리트 두께 300㎜ 이하</t>
  </si>
  <si>
    <t>제 2호표  벽관통 배관용 구멍뚫기(손파기 기준)-콘크리트 두께 300㎜ 이하구경 75㎜</t>
  </si>
  <si>
    <t>제 2호표  벽관통 배관용 구멍뚫기(손파기 기준)-콘크리트 두께 300㎜ 이하</t>
  </si>
  <si>
    <t>제 3호표  벽관통 배관용 구멍뚫기(손파기 기준)-콘크리트 두께 300㎜ 이하구경 100㎜</t>
  </si>
  <si>
    <t>제 3호표  벽관통 배관용 구멍뚫기(손파기 기준)-콘크리트 두께 300㎜ 이하</t>
  </si>
  <si>
    <t>제 4호표  벽관통 배관용 구멍뚫기(손파기 기준)-콘크리트 두께 300㎜ 이하구경 150㎜</t>
  </si>
  <si>
    <t>제 4호표  벽관통 배관용 구멍뚫기(손파기 기준)-콘크리트 두께 300㎜ 이하</t>
  </si>
  <si>
    <t>제 5호표  벽관통 배관용 구멍뚫기(손파기 기준)-콘크리트 두께 300㎜ 이하구경 200㎜</t>
  </si>
  <si>
    <t>제 5호표  벽관통 배관용 구멍뚫기(손파기 기준)-콘크리트 두께 300㎜ 이하</t>
  </si>
  <si>
    <t>제 6호표  벽관통 배관용 구멍뚫기(손파기 기준)-콘크리트 두께 300㎜ 이하구경 250㎜</t>
  </si>
  <si>
    <t>제 6호표  벽관통 배관용 구멍뚫기(손파기 기준)-콘크리트 두께 300㎜ 이하</t>
  </si>
  <si>
    <t>제 7호표  벽관통 배관용 구멍뚫기(손파기 기준)-콘크리트 두께 300㎜ 이하구경 300㎜</t>
  </si>
  <si>
    <t>제 7호표  벽관통 배관용 구멍뚫기(손파기 기준)-콘크리트 두께 300㎜ 이하</t>
  </si>
  <si>
    <t>제 8호표  벽관통 배관용 구멍뚫기(손파기 기준)-콘크리트 두께 300㎜ 이하구경 350㎜</t>
  </si>
  <si>
    <t>제 8호표  벽관통 배관용 구멍뚫기(손파기 기준)-콘크리트 두께 300㎜ 이하</t>
  </si>
  <si>
    <t>제 9호표  벽관통 배관용 구멍뚫기(손파기 기준)-콘크리트 두께 300㎜ 이하구경 400㎜</t>
  </si>
  <si>
    <t>제 9호표  벽관통 배관용 구멍뚫기(손파기 기준)-콘크리트 두께 300㎜ 이하</t>
  </si>
  <si>
    <t>제 10호표  벽관통 배관용 구멍뚫기(손파기 기준)-콘크리트 두께 300㎜ 이하구경 450㎜</t>
  </si>
  <si>
    <t>제 10호표  벽관통 배관용 구멍뚫기(손파기 기준)-콘크리트 두께 300㎜ 이하</t>
  </si>
  <si>
    <t>제 11호표  벽관통 배관용 구멍뚫기(손파기 기준)-콘크리트 두께 300㎜ 이하구경 500㎜</t>
  </si>
  <si>
    <t>제 11호표  벽관통 배관용 구멍뚫기(손파기 기준)-콘크리트 두께 300㎜ 이하</t>
  </si>
  <si>
    <t>제 1호표  벽관통 배관용 구멍뚫기(손파기 기준)-콘크리트 두께 400㎜ 이하구경 50㎜</t>
  </si>
  <si>
    <t>제 1호표  벽관통 배관용 구멍뚫기(손파기 기준)-콘크리트 두께 400㎜ 이하</t>
  </si>
  <si>
    <t>제 2호표  벽관통 배관용 구멍뚫기(손파기 기준)-콘크리트 두께 400㎜ 이하구경 75㎜</t>
  </si>
  <si>
    <t>제 2호표  벽관통 배관용 구멍뚫기(손파기 기준)-콘크리트 두께 400㎜ 이하</t>
  </si>
  <si>
    <t>제 3호표  벽관통 배관용 구멍뚫기(손파기 기준)-콘크리트 두께 400㎜ 이하구경 100㎜</t>
  </si>
  <si>
    <t>제 3호표  벽관통 배관용 구멍뚫기(손파기 기준)-콘크리트 두께 400㎜ 이하</t>
  </si>
  <si>
    <t>제 4호표  벽관통 배관용 구멍뚫기(손파기 기준)-콘크리트 두께 400㎜ 이하구경 150㎜</t>
  </si>
  <si>
    <t>제 4호표  벽관통 배관용 구멍뚫기(손파기 기준)-콘크리트 두께 400㎜ 이하</t>
  </si>
  <si>
    <t>제 5호표  벽관통 배관용 구멍뚫기(손파기 기준)-콘크리트 두께 400㎜ 이하구경 200㎜</t>
  </si>
  <si>
    <t>제 5호표  벽관통 배관용 구멍뚫기(손파기 기준)-콘크리트 두께 400㎜ 이하</t>
  </si>
  <si>
    <t>제 6호표  벽관통 배관용 구멍뚫기(손파기 기준)-콘크리트 두께 400㎜ 이하구경 250㎜</t>
  </si>
  <si>
    <t>제 6호표  벽관통 배관용 구멍뚫기(손파기 기준)-콘크리트 두께 400㎜ 이하</t>
  </si>
  <si>
    <t>제 7호표  벽관통 배관용 구멍뚫기(손파기 기준)-콘크리트 두께 400㎜ 이하구경 300㎜</t>
  </si>
  <si>
    <t>제 7호표  벽관통 배관용 구멍뚫기(손파기 기준)-콘크리트 두께 400㎜ 이하</t>
  </si>
  <si>
    <t>제 8호표  벽관통 배관용 구멍뚫기(손파기 기준)-콘크리트 두께 400㎜ 이하구경 350㎜</t>
  </si>
  <si>
    <t>제 8호표  벽관통 배관용 구멍뚫기(손파기 기준)-콘크리트 두께 400㎜ 이하</t>
  </si>
  <si>
    <t>제 9호표  벽관통 배관용 구멍뚫기(손파기 기준)-콘크리트 두께 400㎜ 이하구경 400㎜</t>
  </si>
  <si>
    <t>제 9호표  벽관통 배관용 구멍뚫기(손파기 기준)-콘크리트 두께 400㎜ 이하</t>
  </si>
  <si>
    <t>제 10호표  벽관통 배관용 구멍뚫기(손파기 기준)-콘크리트 두께 400㎜ 이하구경 450㎜</t>
  </si>
  <si>
    <t>제 10호표  벽관통 배관용 구멍뚫기(손파기 기준)-콘크리트 두께 400㎜ 이하</t>
  </si>
  <si>
    <t>제 11호표  벽관통 배관용 구멍뚫기(손파기 기준)-콘크리트 두께 400㎜ 이하구경 500㎜</t>
  </si>
  <si>
    <t>제 11호표  벽관통 배관용 구멍뚫기(손파기 기준)-콘크리트 두께 400㎜ 이하</t>
  </si>
  <si>
    <t>제 1호표  배관용 구멍뚫기(코어드릴 사용기준)-두께 150㎜ 이하, 벽체구경 25㎜</t>
  </si>
  <si>
    <t>제 1호표  배관용 구멍뚫기(코어드릴 사용기준)-두께 150㎜ 이하, 벽체</t>
  </si>
  <si>
    <t>제 2호표  배관용 구멍뚫기(코어드릴 사용기준)-두께 150㎜ 이하, 벽체구경 50㎜</t>
  </si>
  <si>
    <t>제 2호표  배관용 구멍뚫기(코어드릴 사용기준)-두께 150㎜ 이하, 벽체</t>
  </si>
  <si>
    <t>제 3호표  배관용 구멍뚫기(코어드릴 사용기준)-두께 150㎜ 이하, 벽체구경 75㎜</t>
  </si>
  <si>
    <t>제 3호표  배관용 구멍뚫기(코어드릴 사용기준)-두께 150㎜ 이하, 벽체</t>
  </si>
  <si>
    <t>제 4호표  배관용 구멍뚫기(코어드릴 사용기준)-두께 150㎜ 이하, 벽체구경 100㎜</t>
  </si>
  <si>
    <t>제 4호표  배관용 구멍뚫기(코어드릴 사용기준)-두께 150㎜ 이하, 벽체</t>
  </si>
  <si>
    <t>제 5호표  배관용 구멍뚫기(코어드릴 사용기준)-두께 150㎜ 이하, 벽체구경 150㎜</t>
  </si>
  <si>
    <t>제 5호표  배관용 구멍뚫기(코어드릴 사용기준)-두께 150㎜ 이하, 벽체</t>
  </si>
  <si>
    <t>제 6호표  배관용 구멍뚫기(코어드릴 사용기준)-두께 150㎜ 이하, 벽체구경 200㎜</t>
  </si>
  <si>
    <t>제 6호표  배관용 구멍뚫기(코어드릴 사용기준)-두께 150㎜ 이하, 벽체</t>
  </si>
  <si>
    <t>제 7호표  배관용 구멍뚫기(코어드릴 사용기준)-두께 150㎜ 이하, 벽체구경 250㎜</t>
  </si>
  <si>
    <t>제 7호표  배관용 구멍뚫기(코어드릴 사용기준)-두께 150㎜ 이하, 벽체</t>
  </si>
  <si>
    <t>제 8호표  배관용 구멍뚫기(코어드릴 사용기준)-두께 150㎜ 이하, 벽체구경 300㎜</t>
  </si>
  <si>
    <t>제 8호표  배관용 구멍뚫기(코어드릴 사용기준)-두께 150㎜ 이하, 벽체</t>
  </si>
  <si>
    <t>제 9호표  배관용 구멍뚫기(코어드릴 사용기준)-두께 150㎜ 이하, 벽체구경 350㎜</t>
  </si>
  <si>
    <t>제 9호표  배관용 구멍뚫기(코어드릴 사용기준)-두께 150㎜ 이하, 벽체</t>
  </si>
  <si>
    <t>제 10호표  배관용 구멍뚫기(코어드릴 사용기준)-두께 150㎜ 이하, 벽체구경 400㎜</t>
  </si>
  <si>
    <t>제 10호표  배관용 구멍뚫기(코어드릴 사용기준)-두께 150㎜ 이하, 벽체</t>
  </si>
  <si>
    <t>제 1호표  배관용 구멍뚫기(코어드릴 사용기준)-두께 300㎜ 이하, 바닥구경 25㎜</t>
  </si>
  <si>
    <t>제 1호표  배관용 구멍뚫기(코어드릴 사용기준)-두께 300㎜ 이하, 바닥</t>
  </si>
  <si>
    <t>제 2호표  배관용 구멍뚫기(코어드릴 사용기준)-두께 300㎜ 이하, 바닥구경 50㎜</t>
  </si>
  <si>
    <t>제 2호표  배관용 구멍뚫기(코어드릴 사용기준)-두께 300㎜ 이하, 바닥</t>
  </si>
  <si>
    <t>제 3호표  배관용 구멍뚫기(코어드릴 사용기준)-두께 300㎜ 이하, 바닥구경 75㎜</t>
  </si>
  <si>
    <t>제 3호표  배관용 구멍뚫기(코어드릴 사용기준)-두께 300㎜ 이하, 바닥</t>
  </si>
  <si>
    <t>제 4호표  배관용 구멍뚫기(코어드릴 사용기준)-두께 300㎜ 이하, 바닥구경 100㎜</t>
  </si>
  <si>
    <t>제 4호표  배관용 구멍뚫기(코어드릴 사용기준)-두께 300㎜ 이하, 바닥</t>
  </si>
  <si>
    <t>제 5호표  배관용 구멍뚫기(코어드릴 사용기준)-두께 300㎜ 이하, 바닥구경 150㎜</t>
  </si>
  <si>
    <t>제 5호표  배관용 구멍뚫기(코어드릴 사용기준)-두께 300㎜ 이하, 바닥</t>
  </si>
  <si>
    <t>제 6호표  배관용 구멍뚫기(코어드릴 사용기준)-두께 300㎜ 이하, 바닥구경 200㎜</t>
  </si>
  <si>
    <t>제 6호표  배관용 구멍뚫기(코어드릴 사용기준)-두께 300㎜ 이하, 바닥</t>
  </si>
  <si>
    <t>제 7호표  배관용 구멍뚫기(코어드릴 사용기준)-두께 300㎜ 이하, 바닥구경 250㎜</t>
  </si>
  <si>
    <t>제 7호표  배관용 구멍뚫기(코어드릴 사용기준)-두께 300㎜ 이하, 바닥</t>
  </si>
  <si>
    <t>제 8호표  배관용 구멍뚫기(코어드릴 사용기준)-두께 300㎜ 이하, 바닥구경 300㎜</t>
  </si>
  <si>
    <t>제 8호표  배관용 구멍뚫기(코어드릴 사용기준)-두께 300㎜ 이하, 바닥</t>
  </si>
  <si>
    <t>제 9호표  배관용 구멍뚫기(코어드릴 사용기준)-두께 300㎜ 이하, 바닥구경 350㎜</t>
  </si>
  <si>
    <t>제 9호표  배관용 구멍뚫기(코어드릴 사용기준)-두께 300㎜ 이하, 바닥</t>
  </si>
  <si>
    <t>제 10호표  배관용 구멍뚫기(코어드릴 사용기준)-두께 300㎜ 이하, 바닥구경 400㎜</t>
  </si>
  <si>
    <t>제 10호표  배관용 구멍뚫기(코어드릴 사용기준)-두께 300㎜ 이하, 바닥</t>
  </si>
  <si>
    <t>제 1호표  배관용 구멍뚫기(코어드릴 사용기준)-두께 300㎜ 이하, 벽체구경 25㎜</t>
  </si>
  <si>
    <t>제 1호표  배관용 구멍뚫기(코어드릴 사용기준)-두께 300㎜ 이하, 벽체</t>
  </si>
  <si>
    <t>제 2호표  배관용 구멍뚫기(코어드릴 사용기준)-두께 300㎜ 이하, 벽체구경 50㎜</t>
  </si>
  <si>
    <t>제 2호표  배관용 구멍뚫기(코어드릴 사용기준)-두께 300㎜ 이하, 벽체</t>
  </si>
  <si>
    <t>제 3호표  배관용 구멍뚫기(코어드릴 사용기준)-두께 300㎜ 이하, 벽체구경 75㎜</t>
  </si>
  <si>
    <t>제 3호표  배관용 구멍뚫기(코어드릴 사용기준)-두께 300㎜ 이하, 벽체</t>
  </si>
  <si>
    <t>제 4호표  배관용 구멍뚫기(코어드릴 사용기준)-두께 300㎜ 이하, 벽체구경 100㎜</t>
  </si>
  <si>
    <t>제 4호표  배관용 구멍뚫기(코어드릴 사용기준)-두께 300㎜ 이하, 벽체</t>
  </si>
  <si>
    <t>제 5호표  배관용 구멍뚫기(코어드릴 사용기준)-두께 300㎜ 이하, 벽체구경 150㎜</t>
  </si>
  <si>
    <t>제 5호표  배관용 구멍뚫기(코어드릴 사용기준)-두께 300㎜ 이하, 벽체</t>
  </si>
  <si>
    <t>제 6호표  배관용 구멍뚫기(코어드릴 사용기준)-두께 300㎜ 이하, 벽체구경 200㎜</t>
  </si>
  <si>
    <t>제 6호표  배관용 구멍뚫기(코어드릴 사용기준)-두께 300㎜ 이하, 벽체</t>
  </si>
  <si>
    <t>제 7호표  배관용 구멍뚫기(코어드릴 사용기준)-두께 300㎜ 이하, 벽체구경 250㎜</t>
  </si>
  <si>
    <t>제 7호표  배관용 구멍뚫기(코어드릴 사용기준)-두께 300㎜ 이하, 벽체</t>
  </si>
  <si>
    <t>제 8호표  배관용 구멍뚫기(코어드릴 사용기준)-두께 300㎜ 이하, 벽체구경 300㎜</t>
  </si>
  <si>
    <t>제 8호표  배관용 구멍뚫기(코어드릴 사용기준)-두께 300㎜ 이하, 벽체</t>
  </si>
  <si>
    <t>제 9호표  배관용 구멍뚫기(코어드릴 사용기준)-두께 300㎜ 이하, 벽체구경 350㎜</t>
  </si>
  <si>
    <t>제 9호표  배관용 구멍뚫기(코어드릴 사용기준)-두께 300㎜ 이하, 벽체</t>
  </si>
  <si>
    <t>제 10호표  배관용 구멍뚫기(코어드릴 사용기준)-두께 300㎜ 이하, 벽체구경 400㎜</t>
  </si>
  <si>
    <t>제 10호표  배관용 구멍뚫기(코어드릴 사용기준)-두께 300㎜ 이하, 벽체</t>
  </si>
  <si>
    <t>E10410021001002001</t>
  </si>
  <si>
    <t>제 1호표  MDF재질 구멍따기각종두께</t>
  </si>
  <si>
    <t>제 1호표  MDF재질 구멍따기</t>
  </si>
  <si>
    <t>각종두께</t>
  </si>
  <si>
    <t>E10410021003002001</t>
  </si>
  <si>
    <t>E10410021003002002</t>
  </si>
  <si>
    <t>E10410021003002003</t>
  </si>
  <si>
    <t>E10410021003002004</t>
  </si>
  <si>
    <t>E10410021003002005</t>
  </si>
  <si>
    <t>E10410021003002006</t>
  </si>
  <si>
    <t>E10410021003002007</t>
  </si>
  <si>
    <t>E10410021003002008</t>
  </si>
  <si>
    <t>E10410021003002009</t>
  </si>
  <si>
    <t>E10410021003003001</t>
  </si>
  <si>
    <t>E10410021003003002</t>
  </si>
  <si>
    <t>E10410021003003003</t>
  </si>
  <si>
    <t>E10410021003003004</t>
  </si>
  <si>
    <t>E10410021003003005</t>
  </si>
  <si>
    <t>E10410021003003006</t>
  </si>
  <si>
    <t>E10410021003003007</t>
  </si>
  <si>
    <t>E10410021003003008</t>
  </si>
  <si>
    <t>E10410021003003009</t>
  </si>
  <si>
    <t>E10410021003004001</t>
  </si>
  <si>
    <t>E10410021003004002</t>
  </si>
  <si>
    <t>E10410021003004003</t>
  </si>
  <si>
    <t>E10410021003004004</t>
  </si>
  <si>
    <t>E10410021003004005</t>
  </si>
  <si>
    <t>E10410021003004006</t>
  </si>
  <si>
    <t>E10410021003004007</t>
  </si>
  <si>
    <t>E10410021003004008</t>
  </si>
  <si>
    <t>E10410021003004009</t>
  </si>
  <si>
    <t>E10410021003012001</t>
  </si>
  <si>
    <t>E10410021003012002</t>
  </si>
  <si>
    <t>E10410021003012003</t>
  </si>
  <si>
    <t>E10410021003012004</t>
  </si>
  <si>
    <t>E10410021003012005</t>
  </si>
  <si>
    <t>E10410021003012006</t>
  </si>
  <si>
    <t>E10410021003012007</t>
  </si>
  <si>
    <t>E10410021003012008</t>
  </si>
  <si>
    <t>E10410021003012009</t>
  </si>
  <si>
    <t>제 1호표  벽관통 덕트설치용 구멍뚫기(손파기 기준)-콘크리트 두께 200㎜ 이하면적 0.1㎡</t>
  </si>
  <si>
    <t>제 1호표  벽관통 덕트설치용 구멍뚫기(손파기 기준)-콘크리트 두께 200㎜ 이하</t>
  </si>
  <si>
    <t>면적 0.1㎡</t>
  </si>
  <si>
    <t>제 2호표  벽관통 덕트설치용 구멍뚫기(손파기 기준)-콘크리트 두께 200㎜ 이하면적 0.2㎡</t>
  </si>
  <si>
    <t>제 2호표  벽관통 덕트설치용 구멍뚫기(손파기 기준)-콘크리트 두께 200㎜ 이하</t>
  </si>
  <si>
    <t>면적 0.2㎡</t>
  </si>
  <si>
    <t>제 3호표  벽관통 덕트설치용 구멍뚫기(손파기 기준)-콘크리트 두께 200㎜ 이하면적 0.3㎡</t>
  </si>
  <si>
    <t>제 3호표  벽관통 덕트설치용 구멍뚫기(손파기 기준)-콘크리트 두께 200㎜ 이하</t>
  </si>
  <si>
    <t>면적 0.3㎡</t>
  </si>
  <si>
    <t>제 4호표  벽관통 덕트설치용 구멍뚫기(손파기 기준)-콘크리트 두께 200㎜ 이하면적 0.4㎡</t>
  </si>
  <si>
    <t>제 4호표  벽관통 덕트설치용 구멍뚫기(손파기 기준)-콘크리트 두께 200㎜ 이하</t>
  </si>
  <si>
    <t>면적 0.4㎡</t>
  </si>
  <si>
    <t>제 5호표  벽관통 덕트설치용 구멍뚫기(손파기 기준)-콘크리트 두께 200㎜ 이하면적 0.5㎡</t>
  </si>
  <si>
    <t>제 5호표  벽관통 덕트설치용 구멍뚫기(손파기 기준)-콘크리트 두께 200㎜ 이하</t>
  </si>
  <si>
    <t>면적 0.5㎡</t>
  </si>
  <si>
    <t>제 6호표  벽관통 덕트설치용 구멍뚫기(손파기 기준)-콘크리트 두께 200㎜ 이하면적 0.6㎡</t>
  </si>
  <si>
    <t>제 6호표  벽관통 덕트설치용 구멍뚫기(손파기 기준)-콘크리트 두께 200㎜ 이하</t>
  </si>
  <si>
    <t>면적 0.6㎡</t>
  </si>
  <si>
    <t>제 7호표  벽관통 덕트설치용 구멍뚫기(손파기 기준)-콘크리트 두께 200㎜ 이하면적 0.7㎡</t>
  </si>
  <si>
    <t>제 7호표  벽관통 덕트설치용 구멍뚫기(손파기 기준)-콘크리트 두께 200㎜ 이하</t>
  </si>
  <si>
    <t>면적 0.7㎡</t>
  </si>
  <si>
    <t>제 8호표  벽관통 덕트설치용 구멍뚫기(손파기 기준)-콘크리트 두께 200㎜ 이하면적 0.8㎡</t>
  </si>
  <si>
    <t>제 8호표  벽관통 덕트설치용 구멍뚫기(손파기 기준)-콘크리트 두께 200㎜ 이하</t>
  </si>
  <si>
    <t>면적 0.8㎡</t>
  </si>
  <si>
    <t>제 9호표  벽관통 덕트설치용 구멍뚫기(손파기 기준)-콘크리트 두께 200㎜ 이하면적 0.9㎡</t>
  </si>
  <si>
    <t>제 9호표  벽관통 덕트설치용 구멍뚫기(손파기 기준)-콘크리트 두께 200㎜ 이하</t>
  </si>
  <si>
    <t>면적 0.9㎡</t>
  </si>
  <si>
    <t>제 1호표  벽관통 덕트설치용 구멍뚫기(손파기 기준)-콘크리트 두께 300㎜ 이하면적 0.1㎡</t>
  </si>
  <si>
    <t>제 1호표  벽관통 덕트설치용 구멍뚫기(손파기 기준)-콘크리트 두께 300㎜ 이하</t>
  </si>
  <si>
    <t>제 2호표  벽관통 덕트설치용 구멍뚫기(손파기 기준)-콘크리트 두께 300㎜ 이하면적 0.2㎡</t>
  </si>
  <si>
    <t>제 2호표  벽관통 덕트설치용 구멍뚫기(손파기 기준)-콘크리트 두께 300㎜ 이하</t>
  </si>
  <si>
    <t>제 3호표  벽관통 덕트설치용 구멍뚫기(손파기 기준)-콘크리트 두께 300㎜ 이하면적 0.3㎡</t>
  </si>
  <si>
    <t>제 3호표  벽관통 덕트설치용 구멍뚫기(손파기 기준)-콘크리트 두께 300㎜ 이하</t>
  </si>
  <si>
    <t>제 4호표  벽관통 덕트설치용 구멍뚫기(손파기 기준)-콘크리트 두께 300㎜ 이하면적 0.4㎡</t>
  </si>
  <si>
    <t>제 4호표  벽관통 덕트설치용 구멍뚫기(손파기 기준)-콘크리트 두께 300㎜ 이하</t>
  </si>
  <si>
    <t>제 5호표  벽관통 덕트설치용 구멍뚫기(손파기 기준)-콘크리트 두께 300㎜ 이하면적 0.5㎡</t>
  </si>
  <si>
    <t>제 5호표  벽관통 덕트설치용 구멍뚫기(손파기 기준)-콘크리트 두께 300㎜ 이하</t>
  </si>
  <si>
    <t>제 6호표  벽관통 덕트설치용 구멍뚫기(손파기 기준)-콘크리트 두께 300㎜ 이하면적 0.6㎡</t>
  </si>
  <si>
    <t>제 6호표  벽관통 덕트설치용 구멍뚫기(손파기 기준)-콘크리트 두께 300㎜ 이하</t>
  </si>
  <si>
    <t>제 7호표  벽관통 덕트설치용 구멍뚫기(손파기 기준)-콘크리트 두께 300㎜ 이하면적 0.7㎡</t>
  </si>
  <si>
    <t>제 7호표  벽관통 덕트설치용 구멍뚫기(손파기 기준)-콘크리트 두께 300㎜ 이하</t>
  </si>
  <si>
    <t>제 8호표  벽관통 덕트설치용 구멍뚫기(손파기 기준)-콘크리트 두께 300㎜ 이하면적 0.8㎡</t>
  </si>
  <si>
    <t>제 8호표  벽관통 덕트설치용 구멍뚫기(손파기 기준)-콘크리트 두께 300㎜ 이하</t>
  </si>
  <si>
    <t>제 9호표  벽관통 덕트설치용 구멍뚫기(손파기 기준)-콘크리트 두께 300㎜ 이하면적 0.9㎡</t>
  </si>
  <si>
    <t>제 9호표  벽관통 덕트설치용 구멍뚫기(손파기 기준)-콘크리트 두께 300㎜ 이하</t>
  </si>
  <si>
    <t>제 1호표  벽관통 덕트설치용 구멍뚫기(손파기 기준)-콘크리트 두께 400㎜ 이하면적 0.1㎡</t>
  </si>
  <si>
    <t>제 1호표  벽관통 덕트설치용 구멍뚫기(손파기 기준)-콘크리트 두께 400㎜ 이하</t>
  </si>
  <si>
    <t>제 2호표  벽관통 덕트설치용 구멍뚫기(손파기 기준)-콘크리트 두께 400㎜ 이하면적 0.2㎡</t>
  </si>
  <si>
    <t>제 2호표  벽관통 덕트설치용 구멍뚫기(손파기 기준)-콘크리트 두께 400㎜ 이하</t>
  </si>
  <si>
    <t>제 3호표  벽관통 덕트설치용 구멍뚫기(손파기 기준)-콘크리트 두께 400㎜ 이하면적 0.3㎡</t>
  </si>
  <si>
    <t>제 3호표  벽관통 덕트설치용 구멍뚫기(손파기 기준)-콘크리트 두께 400㎜ 이하</t>
  </si>
  <si>
    <t>제 4호표  벽관통 덕트설치용 구멍뚫기(손파기 기준)-콘크리트 두께 400㎜ 이하면적 0.4㎡</t>
  </si>
  <si>
    <t>제 4호표  벽관통 덕트설치용 구멍뚫기(손파기 기준)-콘크리트 두께 400㎜ 이하</t>
  </si>
  <si>
    <t>제 5호표  벽관통 덕트설치용 구멍뚫기(손파기 기준)-콘크리트 두께 400㎜ 이하면적 0.5㎡</t>
  </si>
  <si>
    <t>제 5호표  벽관통 덕트설치용 구멍뚫기(손파기 기준)-콘크리트 두께 400㎜ 이하</t>
  </si>
  <si>
    <t>제 6호표  벽관통 덕트설치용 구멍뚫기(손파기 기준)-콘크리트 두께 400㎜ 이하면적 0.6㎡</t>
  </si>
  <si>
    <t>제 6호표  벽관통 덕트설치용 구멍뚫기(손파기 기준)-콘크리트 두께 400㎜ 이하</t>
  </si>
  <si>
    <t>제 7호표  벽관통 덕트설치용 구멍뚫기(손파기 기준)-콘크리트 두께 400㎜ 이하면적 0.7㎡</t>
  </si>
  <si>
    <t>제 7호표  벽관통 덕트설치용 구멍뚫기(손파기 기준)-콘크리트 두께 400㎜ 이하</t>
  </si>
  <si>
    <t>제 8호표  벽관통 덕트설치용 구멍뚫기(손파기 기준)-콘크리트 두께 400㎜ 이하면적 0.8㎡</t>
  </si>
  <si>
    <t>제 8호표  벽관통 덕트설치용 구멍뚫기(손파기 기준)-콘크리트 두께 400㎜ 이하</t>
  </si>
  <si>
    <t>제 9호표  벽관통 덕트설치용 구멍뚫기(손파기 기준)-콘크리트 두께 400㎜ 이하면적 0.9㎡</t>
  </si>
  <si>
    <t>제 9호표  벽관통 덕트설치용 구멍뚫기(손파기 기준)-콘크리트 두께 400㎜ 이하</t>
  </si>
  <si>
    <t>제 1호표  벽관통 덕트설치용 구멍뚫기(손파기 기준)-콘크리트 두께 150㎜ 이하면적 0.1㎡</t>
  </si>
  <si>
    <t>제 1호표  벽관통 덕트설치용 구멍뚫기(손파기 기준)-콘크리트 두께 150㎜ 이하</t>
  </si>
  <si>
    <t>제 2호표  벽관통 덕트설치용 구멍뚫기(손파기 기준)-콘크리트 두께 150㎜ 이하면적 0.2㎡</t>
  </si>
  <si>
    <t>제 2호표  벽관통 덕트설치용 구멍뚫기(손파기 기준)-콘크리트 두께 150㎜ 이하</t>
  </si>
  <si>
    <t>제 3호표  벽관통 덕트설치용 구멍뚫기(손파기 기준)-콘크리트 두께 150㎜ 이하면적 0.3㎡</t>
  </si>
  <si>
    <t>제 3호표  벽관통 덕트설치용 구멍뚫기(손파기 기준)-콘크리트 두께 150㎜ 이하</t>
  </si>
  <si>
    <t>제 4호표  벽관통 덕트설치용 구멍뚫기(손파기 기준)-콘크리트 두께 150㎜ 이하면적 0.4㎡</t>
  </si>
  <si>
    <t>제 4호표  벽관통 덕트설치용 구멍뚫기(손파기 기준)-콘크리트 두께 150㎜ 이하</t>
  </si>
  <si>
    <t>제 5호표  벽관통 덕트설치용 구멍뚫기(손파기 기준)-콘크리트 두께 150㎜ 이하면적 0.5㎡</t>
  </si>
  <si>
    <t>제 5호표  벽관통 덕트설치용 구멍뚫기(손파기 기준)-콘크리트 두께 150㎜ 이하</t>
  </si>
  <si>
    <t>제 6호표  벽관통 덕트설치용 구멍뚫기(손파기 기준)-콘크리트 두께 150㎜ 이하면적 0.6㎡</t>
  </si>
  <si>
    <t>제 6호표  벽관통 덕트설치용 구멍뚫기(손파기 기준)-콘크리트 두께 150㎜ 이하</t>
  </si>
  <si>
    <t>제 7호표  벽관통 덕트설치용 구멍뚫기(손파기 기준)-콘크리트 두께 150㎜ 이하면적 0.7㎡</t>
  </si>
  <si>
    <t>제 7호표  벽관통 덕트설치용 구멍뚫기(손파기 기준)-콘크리트 두께 150㎜ 이하</t>
  </si>
  <si>
    <t>제 8호표  벽관통 덕트설치용 구멍뚫기(손파기 기준)-콘크리트 두께 150㎜ 이하면적 0.8㎡</t>
  </si>
  <si>
    <t>제 8호표  벽관통 덕트설치용 구멍뚫기(손파기 기준)-콘크리트 두께 150㎜ 이하</t>
  </si>
  <si>
    <t>제 9호표  벽관통 덕트설치용 구멍뚫기(손파기 기준)-콘크리트 두께 150㎜ 이하면적 0.9㎡</t>
  </si>
  <si>
    <t>제 9호표  벽관통 덕트설치용 구멍뚫기(손파기 기준)-콘크리트 두께 150㎜ 이하</t>
  </si>
  <si>
    <t>E10410029001001001</t>
  </si>
  <si>
    <t>E10410029001001002</t>
  </si>
  <si>
    <t>E10410029001001003</t>
  </si>
  <si>
    <t>E10410029001001004</t>
  </si>
  <si>
    <t>E10410029001001005</t>
  </si>
  <si>
    <t>E10410029001001006</t>
  </si>
  <si>
    <t>E10410029001001007</t>
  </si>
  <si>
    <t>E10410029001001008</t>
  </si>
  <si>
    <t>E10410029001001009</t>
  </si>
  <si>
    <t>E10410029001001010</t>
  </si>
  <si>
    <t>E10410029001001011</t>
  </si>
  <si>
    <t>E10410029001001012</t>
  </si>
  <si>
    <t>E10410029001001013</t>
  </si>
  <si>
    <t>E10410029001001014</t>
  </si>
  <si>
    <t>E10410029001001015</t>
  </si>
  <si>
    <t>E10410029001001016</t>
  </si>
  <si>
    <t>E10410029001001017</t>
  </si>
  <si>
    <t>E10410029001001018</t>
  </si>
  <si>
    <t>E10410029001001019</t>
  </si>
  <si>
    <t>E10410029001001020</t>
  </si>
  <si>
    <t>E10410029001001021</t>
  </si>
  <si>
    <t>E10410029001001022</t>
  </si>
  <si>
    <t>E10410029001001023</t>
  </si>
  <si>
    <t>E10410029001001024</t>
  </si>
  <si>
    <t>E10410029001001025</t>
  </si>
  <si>
    <t>제 1호표  전동기 설치0.75kW 이하</t>
  </si>
  <si>
    <t>제 1호표  전동기 설치</t>
  </si>
  <si>
    <t>제 2호표  전동기 설치1.5kW 이하</t>
  </si>
  <si>
    <t>제 2호표  전동기 설치</t>
  </si>
  <si>
    <t>제 3호표  전동기 설치2.2kW 이하</t>
  </si>
  <si>
    <t>제 3호표  전동기 설치</t>
  </si>
  <si>
    <t>제 4호표  전동기 설치3.7kW 이하</t>
  </si>
  <si>
    <t>제 4호표  전동기 설치</t>
  </si>
  <si>
    <t>제 5호표  전동기 설치5.5kW 이하</t>
  </si>
  <si>
    <t>제 5호표  전동기 설치</t>
  </si>
  <si>
    <t>제 6호표  전동기 설치7.5kW 이하</t>
  </si>
  <si>
    <t>제 6호표  전동기 설치</t>
  </si>
  <si>
    <t>제 7호표  전동기 설치11kW 이하</t>
  </si>
  <si>
    <t>제 7호표  전동기 설치</t>
  </si>
  <si>
    <t>제 8호표  전동기 설치15kW 이하</t>
  </si>
  <si>
    <t>제 8호표  전동기 설치</t>
  </si>
  <si>
    <t>제 9호표  전동기 설치22kW 이하</t>
  </si>
  <si>
    <t>제 9호표  전동기 설치</t>
  </si>
  <si>
    <t>제 10호표  전동기 설치30kW 이하</t>
  </si>
  <si>
    <t>제 10호표  전동기 설치</t>
  </si>
  <si>
    <t>제 11호표  전동기 설치37kW 이하</t>
  </si>
  <si>
    <t>제 11호표  전동기 설치</t>
  </si>
  <si>
    <t>제 12호표  전동기 설치40kW 이하</t>
  </si>
  <si>
    <t>제 12호표  전동기 설치</t>
  </si>
  <si>
    <t>제 13호표  전동기 설치45kW 이하</t>
  </si>
  <si>
    <t>제 13호표  전동기 설치</t>
  </si>
  <si>
    <t>제 14호표  전동기 설치50kW 이하</t>
  </si>
  <si>
    <t>제 14호표  전동기 설치</t>
  </si>
  <si>
    <t>제 15호표  전동기 설치55kW 이하</t>
  </si>
  <si>
    <t>제 15호표  전동기 설치</t>
  </si>
  <si>
    <t>제 16호표  전동기 설치75kW 이하</t>
  </si>
  <si>
    <t>제 16호표  전동기 설치</t>
  </si>
  <si>
    <t>제 17호표  전동기 설치95kW 이하</t>
  </si>
  <si>
    <t>제 17호표  전동기 설치</t>
  </si>
  <si>
    <t>제 18호표  전동기 설치100kW 이하</t>
  </si>
  <si>
    <t>제 18호표  전동기 설치</t>
  </si>
  <si>
    <t>제 19호표  전동기 설치110kW 이하</t>
  </si>
  <si>
    <t>제 19호표  전동기 설치</t>
  </si>
  <si>
    <t>제 20호표  전동기 설치125kW 이하</t>
  </si>
  <si>
    <t>제 20호표  전동기 설치</t>
  </si>
  <si>
    <t>제 21호표  전동기 설치150kW 이하</t>
  </si>
  <si>
    <t>제 21호표  전동기 설치</t>
  </si>
  <si>
    <t>제 22호표  전동기 설치200kW 이하</t>
  </si>
  <si>
    <t>제 22호표  전동기 설치</t>
  </si>
  <si>
    <t>제 23호표  전동기 설치220kW 이하</t>
  </si>
  <si>
    <t>제 23호표  전동기 설치</t>
  </si>
  <si>
    <t>제 24호표  전동기 설치260kW 이하</t>
  </si>
  <si>
    <t>제 24호표  전동기 설치</t>
  </si>
  <si>
    <t>제 1호표  전동기 설치300kW 이하</t>
  </si>
  <si>
    <t>E10410040001001001</t>
  </si>
  <si>
    <t>E10410040001001002</t>
  </si>
  <si>
    <t>E10410040001002001</t>
  </si>
  <si>
    <t>E10410040001002002</t>
  </si>
  <si>
    <t>E10410040001003001</t>
  </si>
  <si>
    <t>E10410040001003002</t>
  </si>
  <si>
    <t>E10410040001004001</t>
  </si>
  <si>
    <t>E10410040001005001</t>
  </si>
  <si>
    <t>E10410040001006001</t>
  </si>
  <si>
    <t>E10410040001007001</t>
  </si>
  <si>
    <t>E10410040001008001</t>
  </si>
  <si>
    <t>E10410040001009001</t>
  </si>
  <si>
    <t>E10410040001010001</t>
  </si>
  <si>
    <t>E10410040001011001</t>
  </si>
  <si>
    <t>E10410040001012001</t>
  </si>
  <si>
    <t>E10410040001013001</t>
  </si>
  <si>
    <t>E10410040001014001</t>
  </si>
  <si>
    <t>제 1호표  CCTV 시스템 촬상부(카메라설치)일반형</t>
  </si>
  <si>
    <t>제 1호표  CCTV 시스템 촬상부(카메라설치)</t>
  </si>
  <si>
    <t>일반형</t>
  </si>
  <si>
    <t>제 2호표  CCTV 시스템 촬상부(카메라설치)돔(Dome)형</t>
  </si>
  <si>
    <t>제 2호표  CCTV 시스템 촬상부(카메라설치)</t>
  </si>
  <si>
    <t>돔(Dome)형</t>
  </si>
  <si>
    <t>제 1호표  CCTV 시스템 촬상부(Housing 설치)일반형</t>
  </si>
  <si>
    <t>제 1호표  CCTV 시스템 촬상부(Housing 설치)</t>
  </si>
  <si>
    <t>제 2호표  CCTV 시스템 촬상부(Housing 설치)돔(Dome)형</t>
  </si>
  <si>
    <t>제 2호표  CCTV 시스템 촬상부(Housing 설치)</t>
  </si>
  <si>
    <t>제 1호표  CCTV 시스템 촬상부(브래킷 설치)일반형</t>
  </si>
  <si>
    <t>제 1호표  CCTV 시스템 촬상부(브래킷 설치)</t>
  </si>
  <si>
    <t>제 2호표  CCTV 시스템 촬상부(브래킷 설치)천정형</t>
  </si>
  <si>
    <t>제 2호표  CCTV 시스템 촬상부(브래킷 설치)</t>
  </si>
  <si>
    <t>천정형</t>
  </si>
  <si>
    <t>제 1호표  CCTV 시스템 촬상부(Pan/Tilt 설치)-</t>
  </si>
  <si>
    <t>제 1호표  CCTV 시스템 촬상부(Pan/Tilt 설치)</t>
  </si>
  <si>
    <t>제 1호표  CCTV 시스템 촬상부(투광등 설치)-</t>
  </si>
  <si>
    <t>제 1호표  CCTV 시스템 촬상부(투광등 설치)</t>
  </si>
  <si>
    <t>제 1호표  CCTV 시스템 촬상부(안내판 설치)-</t>
  </si>
  <si>
    <t>제 1호표  CCTV 시스템 촬상부(안내판 설치)</t>
  </si>
  <si>
    <t>제 1호표  CCTV 시스템 촬상부(선로 시험)-</t>
  </si>
  <si>
    <t>제 1호표  CCTV 시스템 촬상부(선로 시험)</t>
  </si>
  <si>
    <t>제 1호표  CCTV System 감시부(Receiver 판넬)-</t>
  </si>
  <si>
    <t>제 1호표  CCTV System 감시부(Receiver 판넬)</t>
  </si>
  <si>
    <t>제 1호표  CCTV System 감시부(중앙콘트롤 조작반)-</t>
  </si>
  <si>
    <t>제 1호표  CCTV System 감시부(중앙콘트롤 조작반)</t>
  </si>
  <si>
    <t>CH</t>
  </si>
  <si>
    <t>제 1호표  CCTV System 감시부(VTR 설치)-</t>
  </si>
  <si>
    <t>제 1호표  CCTV System 감시부(VTR 설치)</t>
  </si>
  <si>
    <t>제 1호표  CCTV System 감시부(DVR 설치)-</t>
  </si>
  <si>
    <t>제 1호표  CCTV System 감시부(DVR 설치)</t>
  </si>
  <si>
    <t>4CH</t>
  </si>
  <si>
    <t>제 1호표  CCTV System 감시부(각종 부대장치)-</t>
  </si>
  <si>
    <t>제 1호표  CCTV System 감시부(각종 부대장치)</t>
  </si>
  <si>
    <t>CH 또는 Set</t>
  </si>
  <si>
    <t>제 1호표  CCTV System 시험(송수신 제어신호 및 영상 Level 조정)-</t>
  </si>
  <si>
    <t>제 1호표  CCTV System 시험(송수신 제어신호 및 영상 Level 조정)</t>
  </si>
  <si>
    <t>제 1호표  CCTV System 시험(종합시험)-</t>
  </si>
  <si>
    <t>제 1호표  CCTV System 시험(종합시험)</t>
  </si>
  <si>
    <t>E10316004001001001</t>
  </si>
  <si>
    <t>E10316004001001002</t>
  </si>
  <si>
    <t>E10316004001001003</t>
  </si>
  <si>
    <t>제 1호표  동축 케이블 포설옥내포설 5C</t>
  </si>
  <si>
    <t>제 1호표  동축 케이블 포설</t>
  </si>
  <si>
    <t>옥내포설 5C</t>
  </si>
  <si>
    <t>제 2호표  동축 케이블 포설옥내포설 7C</t>
  </si>
  <si>
    <t>제 2호표  동축 케이블 포설</t>
  </si>
  <si>
    <t>옥내포설 7C</t>
  </si>
  <si>
    <t>제 3호표  동축 케이블 포설옥내포설 10C</t>
  </si>
  <si>
    <t>제 3호표  동축 케이블 포설</t>
  </si>
  <si>
    <t>옥내포설 10C</t>
  </si>
  <si>
    <t>E10316004002001005</t>
  </si>
  <si>
    <t>제 5호표  동축케이블(커넥터)직렬유니트(매입용)</t>
  </si>
  <si>
    <t>제 5호표  동축케이블(커넥터)</t>
  </si>
  <si>
    <t>직렬유니트(매입용)</t>
  </si>
  <si>
    <t>E10316005001001001</t>
  </si>
  <si>
    <t>E10316005001001002</t>
  </si>
  <si>
    <t>E10316005001001003</t>
  </si>
  <si>
    <t>E10316005001001004</t>
  </si>
  <si>
    <t>E10316005001001005</t>
  </si>
  <si>
    <t>E10316005001001006</t>
  </si>
  <si>
    <t>E10316005001001007</t>
  </si>
  <si>
    <t>E10316005001001008</t>
  </si>
  <si>
    <t>E10316005001001009</t>
  </si>
  <si>
    <t>E10316005001001010</t>
  </si>
  <si>
    <t>E10316005002001001</t>
  </si>
  <si>
    <t>E10316005002001002</t>
  </si>
  <si>
    <t>E10316005002001003</t>
  </si>
  <si>
    <t>E10316005002001004</t>
  </si>
  <si>
    <t>E10316005002001005</t>
  </si>
  <si>
    <t>E10316005002001006</t>
  </si>
  <si>
    <t>E10316005002001007</t>
  </si>
  <si>
    <t>E10316005002001008</t>
  </si>
  <si>
    <t>E10316005002001009</t>
  </si>
  <si>
    <t>제 1호표  꼬임 케이블 포설UTP, STP, FTP(구내) 4Pr</t>
  </si>
  <si>
    <t>제 1호표  꼬임 케이블 포설</t>
  </si>
  <si>
    <t>제 2호표  꼬임 케이블 포설UTP, STP, FTP(구내) 25Pr</t>
  </si>
  <si>
    <t>제 2호표  꼬임 케이블 포설</t>
  </si>
  <si>
    <t>제 3호표  꼬임 케이블 포설UTP, STP, FTP(구내) 50Pr</t>
  </si>
  <si>
    <t>제 3호표  꼬임 케이블 포설</t>
  </si>
  <si>
    <t>제 4호표  꼬임 케이블 포설UTP, STP, FTP(구내) 100Pr</t>
  </si>
  <si>
    <t>제 4호표  꼬임 케이블 포설</t>
  </si>
  <si>
    <t>제 5호표  꼬임 케이블 포설UTP, STP, FTP(옥외) 4Pr 이하</t>
  </si>
  <si>
    <t>제 5호표  꼬임 케이블 포설</t>
  </si>
  <si>
    <t>제 6호표  꼬임 케이블 포설Thin</t>
  </si>
  <si>
    <t>제 6호표  꼬임 케이블 포설</t>
  </si>
  <si>
    <t>Thin</t>
  </si>
  <si>
    <t>제 7호표  꼬임 케이블 포설Thick</t>
  </si>
  <si>
    <t>제 7호표  꼬임 케이블 포설</t>
  </si>
  <si>
    <t>Thick</t>
  </si>
  <si>
    <t>제 8호표  꼬임 케이블 포설RS-Cable(10P 이하)</t>
  </si>
  <si>
    <t>제 8호표  꼬임 케이블 포설</t>
  </si>
  <si>
    <t>제 9호표  꼬임 케이블 포설AUI</t>
  </si>
  <si>
    <t>제 9호표  꼬임 케이블 포설</t>
  </si>
  <si>
    <t>AUI</t>
  </si>
  <si>
    <t>제 1호표  꼬임 케이블 포설Token Cable(2P)</t>
  </si>
  <si>
    <t>Token Cable(2P)</t>
  </si>
  <si>
    <t>제 1호표  꼬임 케이블(커넥터 및 Jack 접속)BNC(RJ-58) Ethernet(Thick)</t>
  </si>
  <si>
    <t>제 1호표  꼬임 케이블(커넥터 및 Jack 접속)</t>
  </si>
  <si>
    <t>BNC(RJ-58) Ethernet(Thick)</t>
  </si>
  <si>
    <t>제 2호표  꼬임 케이블(커넥터 및 Jack 접속)BNC(RJ-58) Ethernet(Thin)</t>
  </si>
  <si>
    <t>제 2호표  꼬임 케이블(커넥터 및 Jack 접속)</t>
  </si>
  <si>
    <t>BNC(RJ-58) Ethernet(Thin)</t>
  </si>
  <si>
    <t>제 3호표  꼬임 케이블(커넥터 및 Jack 접속)BNC(RJ-58) Terminator(Thick)</t>
  </si>
  <si>
    <t>제 3호표  꼬임 케이블(커넥터 및 Jack 접속)</t>
  </si>
  <si>
    <t>BNC(RJ-58) Terminator(Thick)</t>
  </si>
  <si>
    <t>제 4호표  꼬임 케이블(커넥터 및 Jack 접속)BNC(RJ-58) Terminator(Thin)</t>
  </si>
  <si>
    <t>제 4호표  꼬임 케이블(커넥터 및 Jack 접속)</t>
  </si>
  <si>
    <t>BNC(RJ-58) Terminator(Thin)</t>
  </si>
  <si>
    <t>제 5호표  꼬임 케이블(커넥터 및 Jack 접속)RS-232C(10Pin)</t>
  </si>
  <si>
    <t>제 5호표  꼬임 케이블(커넥터 및 Jack 접속)</t>
  </si>
  <si>
    <t>RS-232C(10Pin)</t>
  </si>
  <si>
    <t>제 6호표  꼬임 케이블(커넥터 및 Jack 접속)Modular(RJ45-8Pin Plug)</t>
  </si>
  <si>
    <t>제 6호표  꼬임 케이블(커넥터 및 Jack 접속)</t>
  </si>
  <si>
    <t>Modular(RJ45-8Pin Plug)</t>
  </si>
  <si>
    <t>제 7호표  꼬임 케이블(커넥터 및 Jack 접속)Modular(Outlet)</t>
  </si>
  <si>
    <t>제 7호표  꼬임 케이블(커넥터 및 Jack 접속)</t>
  </si>
  <si>
    <t>Modular(Outlet)</t>
  </si>
  <si>
    <t>10개</t>
  </si>
  <si>
    <t>제 8호표  꼬임 케이블(커넥터 및 Jack 접속)TELCO(50Pin)</t>
  </si>
  <si>
    <t>제 8호표  꼬임 케이블(커넥터 및 Jack 접속)</t>
  </si>
  <si>
    <t>TELCO(50Pin)</t>
  </si>
  <si>
    <t>제 9호표  꼬임 케이블(커넥터 및 Jack 접속)Token Ring용 Data Line</t>
  </si>
  <si>
    <t>제 9호표  꼬임 케이블(커넥터 및 Jack 접속)</t>
  </si>
  <si>
    <t>E10310001002002001</t>
  </si>
  <si>
    <t>E10310001002002002</t>
  </si>
  <si>
    <t>제 1호표  무선침입방지 시스템(WIPS)주장치</t>
  </si>
  <si>
    <t>제 1호표  무선침입방지 시스템(WIPS)</t>
  </si>
  <si>
    <t>주장치</t>
  </si>
  <si>
    <t>제 2호표  무선침입방지 시스템(WIPS)센서</t>
  </si>
  <si>
    <t>제 2호표  무선침입방지 시스템(WIPS)</t>
  </si>
  <si>
    <t>센서</t>
  </si>
  <si>
    <t>E10310002001011001</t>
  </si>
  <si>
    <t>제 1호표  무선 Home PAD(설치)-</t>
  </si>
  <si>
    <t>제 1호표  무선 Home PAD(설치)</t>
  </si>
  <si>
    <t>E10310002001023001</t>
  </si>
  <si>
    <t>E10310002001024001</t>
  </si>
  <si>
    <t>E10310002001025001</t>
  </si>
  <si>
    <t>제 1호표  무선 수신기(설치)-</t>
  </si>
  <si>
    <t>제 1호표  무선 수신기(설치)</t>
  </si>
  <si>
    <t>제 1호표  무선 수신기(선로 Test 및 결선)-</t>
  </si>
  <si>
    <t>제 1호표  무선 수신기(선로 Test 및 결선)</t>
  </si>
  <si>
    <t>제 1호표  무선 수신기(장치별 기능 및 종합시험)-</t>
  </si>
  <si>
    <t>제 1호표  무선 수신기(장치별 기능 및 종합시험)</t>
  </si>
  <si>
    <t>세대</t>
  </si>
  <si>
    <t>E10316001001001001</t>
  </si>
  <si>
    <t>E10316001001001002</t>
  </si>
  <si>
    <t>E10316001001001003</t>
  </si>
  <si>
    <t>E10316001001001004</t>
  </si>
  <si>
    <t>제 1호표  광섬유 케이블 포설(싱글/멀티모드)지중 인력견인포설</t>
  </si>
  <si>
    <t>제 1호표  광섬유 케이블 포설(싱글/멀티모드)</t>
  </si>
  <si>
    <t>지중 인력견인포설</t>
  </si>
  <si>
    <t>100m</t>
  </si>
  <si>
    <t>제 2호표  광섬유 케이블 포설(싱글/멀티모드)지중 기계견인포설</t>
  </si>
  <si>
    <t>제 2호표  광섬유 케이블 포설(싱글/멀티모드)</t>
  </si>
  <si>
    <t>지중 기계견인포설</t>
  </si>
  <si>
    <t>제 3호표  광섬유 케이블 포설(싱글/멀티모드)지중 공기압력포설</t>
  </si>
  <si>
    <t>제 3호표  광섬유 케이블 포설(싱글/멀티모드)</t>
  </si>
  <si>
    <t>지중 공기압력포설</t>
  </si>
  <si>
    <t>제 4호표  광섬유 케이블 포설(싱글/멀티모드)가공포설</t>
  </si>
  <si>
    <t>제 4호표  광섬유 케이블 포설(싱글/멀티모드)</t>
  </si>
  <si>
    <t>가공포설</t>
  </si>
  <si>
    <t>E10316001002001001</t>
  </si>
  <si>
    <t>E10316001002001002</t>
  </si>
  <si>
    <t>E10316001002001003</t>
  </si>
  <si>
    <t>E10316001002001004</t>
  </si>
  <si>
    <t>E10316001002002001</t>
  </si>
  <si>
    <t>E10316001002002002</t>
  </si>
  <si>
    <t>E10316001002002003</t>
  </si>
  <si>
    <t>E10316001002002004</t>
  </si>
  <si>
    <t>E10316001002003001</t>
  </si>
  <si>
    <t>E10316001002004001</t>
  </si>
  <si>
    <t>E10316001002004002</t>
  </si>
  <si>
    <t>E10316001002004003</t>
  </si>
  <si>
    <t>E10316001002004004</t>
  </si>
  <si>
    <t>E10316001002004005</t>
  </si>
  <si>
    <t>E10316001002004006</t>
  </si>
  <si>
    <t>E10316001002005001</t>
  </si>
  <si>
    <t>제 1호표  광섬유 케이블 일반접속12코어 이하</t>
  </si>
  <si>
    <t>제 1호표  광섬유 케이블 일반접속</t>
  </si>
  <si>
    <t>코어</t>
  </si>
  <si>
    <t>제 2호표  광섬유 케이블 일반접속48코어 이하</t>
  </si>
  <si>
    <t>제 2호표  광섬유 케이블 일반접속</t>
  </si>
  <si>
    <t>제 3호표  광섬유 케이블 일반접속72코어 미만</t>
  </si>
  <si>
    <t>제 3호표  광섬유 케이블 일반접속</t>
  </si>
  <si>
    <t>제 4호표  광섬유 케이블 일반접속72코어 이상</t>
  </si>
  <si>
    <t>제 4호표  광섬유 케이블 일반접속</t>
  </si>
  <si>
    <t>제 1호표  광섬유 케이블 절체접속12코어 이하</t>
  </si>
  <si>
    <t>제 1호표  광섬유 케이블 절체접속</t>
  </si>
  <si>
    <t>제 2호표  광섬유 케이블 절체접속48코어 이하</t>
  </si>
  <si>
    <t>제 2호표  광섬유 케이블 절체접속</t>
  </si>
  <si>
    <t>제 3호표  광섬유 케이블 절체접속72코어 미만</t>
  </si>
  <si>
    <t>제 3호표  광섬유 케이블 절체접속</t>
  </si>
  <si>
    <t>72코어 미만</t>
  </si>
  <si>
    <t>제 4호표  광섬유 케이블 절체접속72코어 이상</t>
  </si>
  <si>
    <t>제 4호표  광섬유 케이블 절체접속</t>
  </si>
  <si>
    <t>72코어 이상</t>
  </si>
  <si>
    <t>제 1호표  광섬유 케이블 광접속함체-</t>
  </si>
  <si>
    <t>제 1호표  광섬유 케이블 광접속함체</t>
  </si>
  <si>
    <t>제 1호표  광섬유 케이블 시험 및 측정접속전 시험</t>
  </si>
  <si>
    <t>제 1호표  광섬유 케이블 시험 및 측정</t>
  </si>
  <si>
    <t>접속전 시험</t>
  </si>
  <si>
    <t>제 2호표  광섬유 케이블 시험 및 측정접속후 시험</t>
  </si>
  <si>
    <t>제 2호표  광섬유 케이블 시험 및 측정</t>
  </si>
  <si>
    <t>접속후 시험</t>
  </si>
  <si>
    <t>제 3호표  광섬유 케이블 시험 및 측정최종시험</t>
  </si>
  <si>
    <t>제 3호표  광섬유 케이블 시험 및 측정</t>
  </si>
  <si>
    <t>최종시험</t>
  </si>
  <si>
    <t>제 4호표  광섬유 케이블 시험 및 측정편광모드 분산측정</t>
  </si>
  <si>
    <t>제 4호표  광섬유 케이블 시험 및 측정</t>
  </si>
  <si>
    <t>편광모드 분산측정</t>
  </si>
  <si>
    <t>제 5호표  광섬유 케이블 시험 및 측정반사손실측정</t>
  </si>
  <si>
    <t>제 5호표  광섬유 케이블 시험 및 측정</t>
  </si>
  <si>
    <t>반사손실측정</t>
  </si>
  <si>
    <t>제 1호표  광섬유 케이블 시험 및 측정광대역폭 측정</t>
  </si>
  <si>
    <t>광대역폭 측정</t>
  </si>
  <si>
    <t>제 1호표  광섬유 케이블 식별OTDR 확인</t>
  </si>
  <si>
    <t>제 1호표  광섬유 케이블 식별</t>
  </si>
  <si>
    <t>케이블</t>
  </si>
  <si>
    <t>E10316001002008001</t>
  </si>
  <si>
    <t>E10316001002009001</t>
  </si>
  <si>
    <t>제 1호표  광단자함(OTP)-</t>
  </si>
  <si>
    <t>제 1호표  광단자함(OTP)</t>
  </si>
  <si>
    <t>제 1호표  광분배기4분배기 이하</t>
  </si>
  <si>
    <t>제 1호표  광분배기</t>
  </si>
  <si>
    <t>E10316001003001001</t>
  </si>
  <si>
    <t>E10316001003001002</t>
  </si>
  <si>
    <t>제 1호표  광섬유 케이블 포설12코어 이하</t>
  </si>
  <si>
    <t>제 1호표  광섬유 케이블 포설</t>
  </si>
  <si>
    <t>제 2호표  광섬유 케이블 포설24코어 이하</t>
  </si>
  <si>
    <t>제 2호표  광섬유 케이블 포설</t>
  </si>
  <si>
    <t>E10315003002001001</t>
  </si>
  <si>
    <t>E10315003002001002</t>
  </si>
  <si>
    <t>제 1호표  태양광 충전시스템태양광 전지판</t>
  </si>
  <si>
    <t>제 1호표  태양광 충전시스템</t>
  </si>
  <si>
    <t>태양광 전지판</t>
  </si>
  <si>
    <t>제 2호표  태양광 충전시스템전원관리장치</t>
  </si>
  <si>
    <t>제 2호표  태양광 충전시스템</t>
  </si>
  <si>
    <t>전원관리장치</t>
  </si>
  <si>
    <t>E10415001001001001</t>
  </si>
  <si>
    <t>E10415001001001002</t>
  </si>
  <si>
    <t>E10415001001001003</t>
  </si>
  <si>
    <t>E10415001001001004</t>
  </si>
  <si>
    <t>E10415001001002001</t>
  </si>
  <si>
    <t>E10415001001002002</t>
  </si>
  <si>
    <t>E10415001001002003</t>
  </si>
  <si>
    <t>E10415001001003001</t>
  </si>
  <si>
    <t>E10415001001003002</t>
  </si>
  <si>
    <t>E10415001001003003</t>
  </si>
  <si>
    <t>E10415001001003004</t>
  </si>
  <si>
    <t>E10415001001003005</t>
  </si>
  <si>
    <t>E10415001001003006</t>
  </si>
  <si>
    <t>E10415001001003007</t>
  </si>
  <si>
    <t>E10415001001003008</t>
  </si>
  <si>
    <t>E10415001001003009</t>
  </si>
  <si>
    <t>E10415001001003010</t>
  </si>
  <si>
    <t>E10415001002001001</t>
  </si>
  <si>
    <t>E10415001002001002</t>
  </si>
  <si>
    <t>제 1호표  태양광 발전시스템(태양전지판)50W 이하</t>
  </si>
  <si>
    <t>제 1호표  태양광 발전시스템(태양전지판)</t>
  </si>
  <si>
    <t>매</t>
  </si>
  <si>
    <t>제 2호표  태양광 발전시스템(태양전지판)75W 이하</t>
  </si>
  <si>
    <t>제 2호표  태양광 발전시스템(태양전지판)</t>
  </si>
  <si>
    <t>제 3호표  태양광 발전시스템(태양전지판)100W 이하</t>
  </si>
  <si>
    <t>제 3호표  태양광 발전시스템(태양전지판)</t>
  </si>
  <si>
    <t>제 4호표  태양광 발전시스템(태양전지판)175W 이하</t>
  </si>
  <si>
    <t>제 4호표  태양광 발전시스템(태양전지판)</t>
  </si>
  <si>
    <t>제 1호표  태양광 발전시스템(전력조절기(접속함))5회로 이하</t>
  </si>
  <si>
    <t>제 1호표  태양광 발전시스템(전력조절기(접속함))</t>
  </si>
  <si>
    <t>제 2호표  태양광 발전시스템(전력조절기(접속함))10회로 이하</t>
  </si>
  <si>
    <t>제 2호표  태양광 발전시스템(전력조절기(접속함))</t>
  </si>
  <si>
    <t>제 3호표  태양광 발전시스템(전력조절기(접속함))20회로 이하</t>
  </si>
  <si>
    <t>제 3호표  태양광 발전시스템(전력조절기(접속함))</t>
  </si>
  <si>
    <t>제 1호표  태양광 발전시스템(인버터)</t>
  </si>
  <si>
    <t>제 2호표  태양광 발전시스템(인버터)</t>
  </si>
  <si>
    <t>제 3호표  태양광 발전시스템(인버터)5kVA 이하</t>
  </si>
  <si>
    <t>제 3호표  태양광 발전시스템(인버터)</t>
  </si>
  <si>
    <t>제 4호표  태양광 발전시스템(인버터)</t>
  </si>
  <si>
    <t>제 5호표  태양광 발전시스템(인버터)</t>
  </si>
  <si>
    <t>제 6호표  태양광 발전시스템(인버터)</t>
  </si>
  <si>
    <t>제 7호표  태양광 발전시스템(인버터)</t>
  </si>
  <si>
    <t>제 8호표  태양광 발전시스템(인버터)75kVA 이하</t>
  </si>
  <si>
    <t>제 8호표  태양광 발전시스템(인버터)</t>
  </si>
  <si>
    <t>제 9호표  태양광 발전시스템(인버터)100kVA 이하</t>
  </si>
  <si>
    <t>제 9호표  태양광 발전시스템(인버터)</t>
  </si>
  <si>
    <t>제 10호표  태양광 발전시스템(인버터)100kVA 초과</t>
  </si>
  <si>
    <t>제 10호표  태양광 발전시스템(인버터)</t>
  </si>
  <si>
    <t>제 1호표  주택용 태양광설비 설치350W 이하</t>
  </si>
  <si>
    <t>제 1호표  주택용 태양광설비 설치</t>
  </si>
  <si>
    <t>제 2호표  주택용 태양광설비 설치1,000W 이하</t>
  </si>
  <si>
    <t>제 2호표  주택용 태양광설비 설치</t>
  </si>
  <si>
    <t>E10315005001009001</t>
  </si>
  <si>
    <t>E10315005001009002</t>
  </si>
  <si>
    <t>E10315005001009003</t>
  </si>
  <si>
    <t>E10315005001009004</t>
  </si>
  <si>
    <t>제 1호표  접속 및 단자 설치C형 및 원형 슬리브</t>
  </si>
  <si>
    <t>제 1호표  접속 및 단자 설치</t>
  </si>
  <si>
    <t>C형 및 원형 슬리브</t>
  </si>
  <si>
    <t>제 2호표  접속 및 단자 설치압착단자</t>
  </si>
  <si>
    <t>제 2호표  접속 및 단자 설치</t>
  </si>
  <si>
    <t>압착단자</t>
  </si>
  <si>
    <t>제 3호표  접속 및 단자 설치용접(발열) 또는 납땜</t>
  </si>
  <si>
    <t>제 3호표  접속 및 단자 설치</t>
  </si>
  <si>
    <t>용접(발열) 또는 납땜</t>
  </si>
  <si>
    <t>제 4호표  접속 및 단자 설치볼트 체결형</t>
  </si>
  <si>
    <t>제 4호표  접속 및 단자 설치</t>
  </si>
  <si>
    <t>볼트 체결형</t>
  </si>
  <si>
    <t>E10413103001007001</t>
  </si>
  <si>
    <t>E10413103001007002</t>
  </si>
  <si>
    <t>E10413103001007003</t>
  </si>
  <si>
    <t>E10413103001007004</t>
  </si>
  <si>
    <t>E10413103001007005</t>
  </si>
  <si>
    <t>E10413103001007006</t>
  </si>
  <si>
    <t>제 1호표  접속 및 단자 설치압축(압축만 시행)</t>
  </si>
  <si>
    <t>압축(압축만 시행)</t>
  </si>
  <si>
    <t>제 2호표  접속 및 단자 설치압축(압축슬리브 사용)</t>
  </si>
  <si>
    <t>압축(압축슬리브 사용)</t>
  </si>
  <si>
    <t>제 3호표  접속 및 단자 설치납땜 또는 용접</t>
  </si>
  <si>
    <t>납땜 또는 용접</t>
  </si>
  <si>
    <t>제 4호표  접속 및 단자 설치압축단자</t>
  </si>
  <si>
    <t>압축단자</t>
  </si>
  <si>
    <t>제 5호표  접속 및 단자 설치볼트체결형</t>
  </si>
  <si>
    <t>제 5호표  접속 및 단자 설치</t>
  </si>
  <si>
    <t>볼트체결형</t>
  </si>
  <si>
    <t>제 6호표  접속 및 단자 설치접지클램프</t>
  </si>
  <si>
    <t>제 6호표  접속 및 단자 설치</t>
  </si>
  <si>
    <t>접지클램프</t>
  </si>
  <si>
    <r>
      <t xml:space="preserve">30A </t>
    </r>
    <r>
      <rPr>
        <sz val="9"/>
        <color theme="1"/>
        <rFont val="Malgun Gothic"/>
        <family val="3"/>
        <charset val="129"/>
      </rPr>
      <t>이하</t>
    </r>
  </si>
  <si>
    <r>
      <t xml:space="preserve">50A </t>
    </r>
    <r>
      <rPr>
        <sz val="9"/>
        <color theme="1"/>
        <rFont val="Malgun Gothic"/>
        <family val="3"/>
        <charset val="129"/>
      </rPr>
      <t>이하</t>
    </r>
  </si>
  <si>
    <r>
      <t xml:space="preserve">100A </t>
    </r>
    <r>
      <rPr>
        <sz val="9"/>
        <color theme="1"/>
        <rFont val="Malgun Gothic"/>
        <family val="3"/>
        <charset val="129"/>
      </rPr>
      <t>이하</t>
    </r>
  </si>
  <si>
    <r>
      <t xml:space="preserve">225A </t>
    </r>
    <r>
      <rPr>
        <sz val="9"/>
        <color theme="1"/>
        <rFont val="Malgun Gothic"/>
        <family val="3"/>
        <charset val="129"/>
      </rPr>
      <t>이하</t>
    </r>
  </si>
  <si>
    <r>
      <t xml:space="preserve">300A </t>
    </r>
    <r>
      <rPr>
        <sz val="9"/>
        <color theme="1"/>
        <rFont val="Malgun Gothic"/>
        <family val="3"/>
        <charset val="129"/>
      </rPr>
      <t>이하</t>
    </r>
  </si>
  <si>
    <r>
      <t xml:space="preserve">400A </t>
    </r>
    <r>
      <rPr>
        <sz val="9"/>
        <color theme="1"/>
        <rFont val="Malgun Gothic"/>
        <family val="3"/>
        <charset val="129"/>
      </rPr>
      <t>이하</t>
    </r>
  </si>
  <si>
    <r>
      <t xml:space="preserve">600A </t>
    </r>
    <r>
      <rPr>
        <sz val="9"/>
        <color theme="1"/>
        <rFont val="Malgun Gothic"/>
        <family val="3"/>
        <charset val="129"/>
      </rPr>
      <t>이하</t>
    </r>
  </si>
  <si>
    <r>
      <t xml:space="preserve">800A </t>
    </r>
    <r>
      <rPr>
        <sz val="9"/>
        <color theme="1"/>
        <rFont val="Malgun Gothic"/>
        <family val="3"/>
        <charset val="129"/>
      </rPr>
      <t>이하</t>
    </r>
  </si>
  <si>
    <r>
      <t xml:space="preserve">Triaxial </t>
    </r>
    <r>
      <rPr>
        <sz val="9"/>
        <color theme="1"/>
        <rFont val="Malgun Gothic"/>
        <family val="3"/>
        <charset val="129"/>
      </rPr>
      <t>커넥터</t>
    </r>
  </si>
  <si>
    <r>
      <t xml:space="preserve">CODEC </t>
    </r>
    <r>
      <rPr>
        <sz val="9"/>
        <color theme="1"/>
        <rFont val="Malgun Gothic"/>
        <family val="3"/>
        <charset val="129"/>
      </rPr>
      <t>설치</t>
    </r>
  </si>
  <si>
    <r>
      <t xml:space="preserve">CODEC </t>
    </r>
    <r>
      <rPr>
        <sz val="9"/>
        <color theme="1"/>
        <rFont val="Malgun Gothic"/>
        <family val="3"/>
        <charset val="129"/>
      </rPr>
      <t>점검</t>
    </r>
  </si>
  <si>
    <r>
      <t xml:space="preserve">CODEC </t>
    </r>
    <r>
      <rPr>
        <sz val="9"/>
        <color theme="1"/>
        <rFont val="Malgun Gothic"/>
        <family val="3"/>
        <charset val="129"/>
      </rPr>
      <t>조정</t>
    </r>
  </si>
  <si>
    <r>
      <t xml:space="preserve">30AF </t>
    </r>
    <r>
      <rPr>
        <sz val="9"/>
        <color theme="1"/>
        <rFont val="Malgun Gothic"/>
        <family val="3"/>
        <charset val="129"/>
      </rPr>
      <t>이하</t>
    </r>
  </si>
  <si>
    <r>
      <t xml:space="preserve">50AF </t>
    </r>
    <r>
      <rPr>
        <sz val="9"/>
        <color theme="1"/>
        <rFont val="Malgun Gothic"/>
        <family val="3"/>
        <charset val="129"/>
      </rPr>
      <t>이하</t>
    </r>
  </si>
  <si>
    <r>
      <t xml:space="preserve">100AF </t>
    </r>
    <r>
      <rPr>
        <sz val="9"/>
        <color theme="1"/>
        <rFont val="Malgun Gothic"/>
        <family val="3"/>
        <charset val="129"/>
      </rPr>
      <t>이하</t>
    </r>
  </si>
  <si>
    <r>
      <t xml:space="preserve">225AF </t>
    </r>
    <r>
      <rPr>
        <sz val="9"/>
        <color theme="1"/>
        <rFont val="Malgun Gothic"/>
        <family val="3"/>
        <charset val="129"/>
      </rPr>
      <t>이하</t>
    </r>
  </si>
  <si>
    <r>
      <t xml:space="preserve">400AF </t>
    </r>
    <r>
      <rPr>
        <sz val="9"/>
        <color theme="1"/>
        <rFont val="Malgun Gothic"/>
        <family val="3"/>
        <charset val="129"/>
      </rPr>
      <t>이하</t>
    </r>
  </si>
  <si>
    <r>
      <t xml:space="preserve">600AF </t>
    </r>
    <r>
      <rPr>
        <sz val="9"/>
        <color theme="1"/>
        <rFont val="Malgun Gothic"/>
        <family val="3"/>
        <charset val="129"/>
      </rPr>
      <t>이하</t>
    </r>
  </si>
  <si>
    <r>
      <t xml:space="preserve">800AF </t>
    </r>
    <r>
      <rPr>
        <sz val="9"/>
        <color theme="1"/>
        <rFont val="Malgun Gothic"/>
        <family val="3"/>
        <charset val="129"/>
      </rPr>
      <t>이하</t>
    </r>
  </si>
  <si>
    <r>
      <t xml:space="preserve">15W </t>
    </r>
    <r>
      <rPr>
        <sz val="9"/>
        <color theme="1"/>
        <rFont val="Malgun Gothic"/>
        <family val="3"/>
        <charset val="129"/>
      </rPr>
      <t>이하</t>
    </r>
  </si>
  <si>
    <r>
      <t xml:space="preserve">25W </t>
    </r>
    <r>
      <rPr>
        <sz val="9"/>
        <color theme="1"/>
        <rFont val="Malgun Gothic"/>
        <family val="3"/>
        <charset val="129"/>
      </rPr>
      <t>이하</t>
    </r>
  </si>
  <si>
    <r>
      <t xml:space="preserve">35W </t>
    </r>
    <r>
      <rPr>
        <sz val="9"/>
        <color theme="1"/>
        <rFont val="Malgun Gothic"/>
        <family val="3"/>
        <charset val="129"/>
      </rPr>
      <t>이하</t>
    </r>
  </si>
  <si>
    <r>
      <t xml:space="preserve">45W </t>
    </r>
    <r>
      <rPr>
        <sz val="9"/>
        <color theme="1"/>
        <rFont val="Malgun Gothic"/>
        <family val="3"/>
        <charset val="129"/>
      </rPr>
      <t>이하</t>
    </r>
  </si>
  <si>
    <r>
      <t xml:space="preserve">55W </t>
    </r>
    <r>
      <rPr>
        <sz val="9"/>
        <color theme="1"/>
        <rFont val="Malgun Gothic"/>
        <family val="3"/>
        <charset val="129"/>
      </rPr>
      <t>이하</t>
    </r>
  </si>
  <si>
    <r>
      <t>100W</t>
    </r>
    <r>
      <rPr>
        <sz val="9"/>
        <color theme="1"/>
        <rFont val="Malgun Gothic"/>
        <family val="3"/>
        <charset val="129"/>
      </rPr>
      <t>이하</t>
    </r>
  </si>
  <si>
    <r>
      <t>150W</t>
    </r>
    <r>
      <rPr>
        <sz val="9"/>
        <color theme="1"/>
        <rFont val="Malgun Gothic"/>
        <family val="3"/>
        <charset val="129"/>
      </rPr>
      <t>이하</t>
    </r>
  </si>
  <si>
    <r>
      <t>250W</t>
    </r>
    <r>
      <rPr>
        <sz val="9"/>
        <color theme="1"/>
        <rFont val="Malgun Gothic"/>
        <family val="3"/>
        <charset val="129"/>
      </rPr>
      <t>이하</t>
    </r>
  </si>
  <si>
    <r>
      <t>50W</t>
    </r>
    <r>
      <rPr>
        <sz val="9"/>
        <color theme="1"/>
        <rFont val="Malgun Gothic"/>
        <family val="3"/>
        <charset val="129"/>
      </rPr>
      <t>이하</t>
    </r>
  </si>
  <si>
    <r>
      <t xml:space="preserve">100W </t>
    </r>
    <r>
      <rPr>
        <sz val="9"/>
        <color theme="1"/>
        <rFont val="Malgun Gothic"/>
        <family val="3"/>
        <charset val="129"/>
      </rPr>
      <t>이하</t>
    </r>
  </si>
  <si>
    <r>
      <t xml:space="preserve">150W </t>
    </r>
    <r>
      <rPr>
        <sz val="9"/>
        <color theme="1"/>
        <rFont val="Malgun Gothic"/>
        <family val="3"/>
        <charset val="129"/>
      </rPr>
      <t>이하</t>
    </r>
  </si>
  <si>
    <r>
      <t xml:space="preserve">200W </t>
    </r>
    <r>
      <rPr>
        <sz val="9"/>
        <color theme="1"/>
        <rFont val="Malgun Gothic"/>
        <family val="3"/>
        <charset val="129"/>
      </rPr>
      <t>이하</t>
    </r>
  </si>
  <si>
    <r>
      <t xml:space="preserve">250W </t>
    </r>
    <r>
      <rPr>
        <sz val="9"/>
        <color theme="1"/>
        <rFont val="Malgun Gothic"/>
        <family val="3"/>
        <charset val="129"/>
      </rPr>
      <t>이하</t>
    </r>
  </si>
  <si>
    <r>
      <t xml:space="preserve">300W </t>
    </r>
    <r>
      <rPr>
        <sz val="9"/>
        <color theme="1"/>
        <rFont val="Malgun Gothic"/>
        <family val="3"/>
        <charset val="129"/>
      </rPr>
      <t>이하</t>
    </r>
  </si>
  <si>
    <r>
      <t xml:space="preserve">400W </t>
    </r>
    <r>
      <rPr>
        <sz val="9"/>
        <color theme="1"/>
        <rFont val="Malgun Gothic"/>
        <family val="3"/>
        <charset val="129"/>
      </rPr>
      <t>이하</t>
    </r>
  </si>
  <si>
    <r>
      <t xml:space="preserve">700W </t>
    </r>
    <r>
      <rPr>
        <sz val="9"/>
        <color theme="1"/>
        <rFont val="Malgun Gothic"/>
        <family val="3"/>
        <charset val="129"/>
      </rPr>
      <t>이하</t>
    </r>
  </si>
  <si>
    <r>
      <t xml:space="preserve">1kW </t>
    </r>
    <r>
      <rPr>
        <sz val="9"/>
        <color theme="1"/>
        <rFont val="Malgun Gothic"/>
        <family val="3"/>
        <charset val="129"/>
      </rPr>
      <t>이하</t>
    </r>
  </si>
  <si>
    <r>
      <t xml:space="preserve">1kW </t>
    </r>
    <r>
      <rPr>
        <sz val="9"/>
        <color theme="1"/>
        <rFont val="Malgun Gothic"/>
        <family val="3"/>
        <charset val="129"/>
      </rPr>
      <t>초과</t>
    </r>
  </si>
  <si>
    <r>
      <t>14</t>
    </r>
    <r>
      <rPr>
        <sz val="9"/>
        <color theme="1"/>
        <rFont val="Malgun Gothic"/>
        <family val="3"/>
        <charset val="129"/>
      </rPr>
      <t>㎜이하</t>
    </r>
  </si>
  <si>
    <r>
      <t>16</t>
    </r>
    <r>
      <rPr>
        <sz val="9"/>
        <color theme="1"/>
        <rFont val="Malgun Gothic"/>
        <family val="3"/>
        <charset val="129"/>
      </rPr>
      <t>㎜이하</t>
    </r>
  </si>
  <si>
    <r>
      <t>22</t>
    </r>
    <r>
      <rPr>
        <sz val="9"/>
        <color theme="1"/>
        <rFont val="Malgun Gothic"/>
        <family val="3"/>
        <charset val="129"/>
      </rPr>
      <t>㎜이하</t>
    </r>
  </si>
  <si>
    <r>
      <t>28</t>
    </r>
    <r>
      <rPr>
        <sz val="9"/>
        <color theme="1"/>
        <rFont val="Malgun Gothic"/>
        <family val="3"/>
        <charset val="129"/>
      </rPr>
      <t>㎜이하</t>
    </r>
  </si>
  <si>
    <r>
      <t>36</t>
    </r>
    <r>
      <rPr>
        <sz val="9"/>
        <color theme="1"/>
        <rFont val="Malgun Gothic"/>
        <family val="3"/>
        <charset val="129"/>
      </rPr>
      <t>㎜이하</t>
    </r>
  </si>
  <si>
    <r>
      <t>42</t>
    </r>
    <r>
      <rPr>
        <sz val="9"/>
        <color theme="1"/>
        <rFont val="Malgun Gothic"/>
        <family val="3"/>
        <charset val="129"/>
      </rPr>
      <t>㎜이하</t>
    </r>
  </si>
  <si>
    <r>
      <t>54</t>
    </r>
    <r>
      <rPr>
        <sz val="9"/>
        <color theme="1"/>
        <rFont val="Malgun Gothic"/>
        <family val="3"/>
        <charset val="129"/>
      </rPr>
      <t>㎜이하</t>
    </r>
  </si>
  <si>
    <r>
      <t>70</t>
    </r>
    <r>
      <rPr>
        <sz val="9"/>
        <color theme="1"/>
        <rFont val="Malgun Gothic"/>
        <family val="3"/>
        <charset val="129"/>
      </rPr>
      <t>㎜이하</t>
    </r>
  </si>
  <si>
    <r>
      <t>82</t>
    </r>
    <r>
      <rPr>
        <sz val="9"/>
        <color theme="1"/>
        <rFont val="Malgun Gothic"/>
        <family val="3"/>
        <charset val="129"/>
      </rPr>
      <t>㎜이하</t>
    </r>
  </si>
  <si>
    <r>
      <t>92</t>
    </r>
    <r>
      <rPr>
        <sz val="9"/>
        <color theme="1"/>
        <rFont val="Malgun Gothic"/>
        <family val="3"/>
        <charset val="129"/>
      </rPr>
      <t>㎜이하</t>
    </r>
  </si>
  <si>
    <r>
      <t>104</t>
    </r>
    <r>
      <rPr>
        <sz val="9"/>
        <color theme="1"/>
        <rFont val="Malgun Gothic"/>
        <family val="3"/>
        <charset val="129"/>
      </rPr>
      <t>㎜이하</t>
    </r>
  </si>
  <si>
    <r>
      <t>125</t>
    </r>
    <r>
      <rPr>
        <sz val="9"/>
        <color theme="1"/>
        <rFont val="Malgun Gothic"/>
        <family val="3"/>
        <charset val="129"/>
      </rPr>
      <t>㎜이하</t>
    </r>
  </si>
  <si>
    <r>
      <t xml:space="preserve">5m </t>
    </r>
    <r>
      <rPr>
        <sz val="9"/>
        <color theme="1"/>
        <rFont val="Malgun Gothic"/>
        <family val="3"/>
        <charset val="129"/>
      </rPr>
      <t>이하</t>
    </r>
  </si>
  <si>
    <r>
      <t xml:space="preserve">6m </t>
    </r>
    <r>
      <rPr>
        <sz val="9"/>
        <color theme="1"/>
        <rFont val="Malgun Gothic"/>
        <family val="3"/>
        <charset val="129"/>
      </rPr>
      <t>이하</t>
    </r>
  </si>
  <si>
    <r>
      <t xml:space="preserve">7m </t>
    </r>
    <r>
      <rPr>
        <sz val="9"/>
        <color theme="1"/>
        <rFont val="Malgun Gothic"/>
        <family val="3"/>
        <charset val="129"/>
      </rPr>
      <t>이하</t>
    </r>
  </si>
  <si>
    <r>
      <t xml:space="preserve">8m </t>
    </r>
    <r>
      <rPr>
        <sz val="9"/>
        <color theme="1"/>
        <rFont val="Malgun Gothic"/>
        <family val="3"/>
        <charset val="129"/>
      </rPr>
      <t>이하</t>
    </r>
  </si>
  <si>
    <r>
      <t xml:space="preserve">9m </t>
    </r>
    <r>
      <rPr>
        <sz val="9"/>
        <color theme="1"/>
        <rFont val="Malgun Gothic"/>
        <family val="3"/>
        <charset val="129"/>
      </rPr>
      <t>이하</t>
    </r>
  </si>
  <si>
    <r>
      <t xml:space="preserve">10m </t>
    </r>
    <r>
      <rPr>
        <sz val="9"/>
        <color theme="1"/>
        <rFont val="Malgun Gothic"/>
        <family val="3"/>
        <charset val="129"/>
      </rPr>
      <t>이하</t>
    </r>
  </si>
  <si>
    <r>
      <t xml:space="preserve">11m </t>
    </r>
    <r>
      <rPr>
        <sz val="9"/>
        <color theme="1"/>
        <rFont val="Malgun Gothic"/>
        <family val="3"/>
        <charset val="129"/>
      </rPr>
      <t>이하</t>
    </r>
  </si>
  <si>
    <r>
      <t xml:space="preserve">12m </t>
    </r>
    <r>
      <rPr>
        <sz val="9"/>
        <color theme="1"/>
        <rFont val="Malgun Gothic"/>
        <family val="3"/>
        <charset val="129"/>
      </rPr>
      <t>이하</t>
    </r>
  </si>
  <si>
    <r>
      <t xml:space="preserve">14m </t>
    </r>
    <r>
      <rPr>
        <sz val="9"/>
        <color theme="1"/>
        <rFont val="Malgun Gothic"/>
        <family val="3"/>
        <charset val="129"/>
      </rPr>
      <t>이하</t>
    </r>
  </si>
  <si>
    <r>
      <t xml:space="preserve">16m </t>
    </r>
    <r>
      <rPr>
        <sz val="9"/>
        <color theme="1"/>
        <rFont val="Malgun Gothic"/>
        <family val="3"/>
        <charset val="129"/>
      </rPr>
      <t>이하</t>
    </r>
  </si>
  <si>
    <r>
      <t xml:space="preserve">17m </t>
    </r>
    <r>
      <rPr>
        <sz val="9"/>
        <color theme="1"/>
        <rFont val="Malgun Gothic"/>
        <family val="3"/>
        <charset val="129"/>
      </rPr>
      <t>이하</t>
    </r>
  </si>
  <si>
    <r>
      <t>5m</t>
    </r>
    <r>
      <rPr>
        <sz val="9"/>
        <color theme="1"/>
        <rFont val="Malgun Gothic"/>
        <family val="3"/>
        <charset val="129"/>
      </rPr>
      <t>이하</t>
    </r>
  </si>
  <si>
    <r>
      <t>6m</t>
    </r>
    <r>
      <rPr>
        <sz val="9"/>
        <color theme="1"/>
        <rFont val="Malgun Gothic"/>
        <family val="3"/>
        <charset val="129"/>
      </rPr>
      <t>이하</t>
    </r>
  </si>
  <si>
    <r>
      <t>7m</t>
    </r>
    <r>
      <rPr>
        <sz val="9"/>
        <color theme="1"/>
        <rFont val="Malgun Gothic"/>
        <family val="3"/>
        <charset val="129"/>
      </rPr>
      <t>이하</t>
    </r>
  </si>
  <si>
    <r>
      <t>8m</t>
    </r>
    <r>
      <rPr>
        <sz val="9"/>
        <color theme="1"/>
        <rFont val="Malgun Gothic"/>
        <family val="3"/>
        <charset val="129"/>
      </rPr>
      <t>이하</t>
    </r>
  </si>
  <si>
    <r>
      <t>9m</t>
    </r>
    <r>
      <rPr>
        <sz val="9"/>
        <color theme="1"/>
        <rFont val="Malgun Gothic"/>
        <family val="3"/>
        <charset val="129"/>
      </rPr>
      <t>이하</t>
    </r>
  </si>
  <si>
    <r>
      <t>10m</t>
    </r>
    <r>
      <rPr>
        <sz val="9"/>
        <color theme="1"/>
        <rFont val="Malgun Gothic"/>
        <family val="3"/>
        <charset val="129"/>
      </rPr>
      <t>이하</t>
    </r>
  </si>
  <si>
    <r>
      <t>12m</t>
    </r>
    <r>
      <rPr>
        <sz val="9"/>
        <color theme="1"/>
        <rFont val="Malgun Gothic"/>
        <family val="3"/>
        <charset val="129"/>
      </rPr>
      <t>이하</t>
    </r>
  </si>
  <si>
    <r>
      <t>14m</t>
    </r>
    <r>
      <rPr>
        <sz val="9"/>
        <color theme="1"/>
        <rFont val="Malgun Gothic"/>
        <family val="3"/>
        <charset val="129"/>
      </rPr>
      <t>이하</t>
    </r>
  </si>
  <si>
    <r>
      <t xml:space="preserve">Ø13 </t>
    </r>
    <r>
      <rPr>
        <sz val="9"/>
        <color theme="1"/>
        <rFont val="Malgun Gothic"/>
        <family val="3"/>
        <charset val="129"/>
      </rPr>
      <t>이하</t>
    </r>
  </si>
  <si>
    <r>
      <t xml:space="preserve">0.75kW </t>
    </r>
    <r>
      <rPr>
        <sz val="9"/>
        <color theme="1"/>
        <rFont val="Malgun Gothic"/>
        <family val="3"/>
        <charset val="129"/>
      </rPr>
      <t>이하</t>
    </r>
  </si>
  <si>
    <r>
      <t xml:space="preserve">1.5kW </t>
    </r>
    <r>
      <rPr>
        <sz val="9"/>
        <color theme="1"/>
        <rFont val="Malgun Gothic"/>
        <family val="3"/>
        <charset val="129"/>
      </rPr>
      <t>이하</t>
    </r>
  </si>
  <si>
    <r>
      <t xml:space="preserve">2.2kW </t>
    </r>
    <r>
      <rPr>
        <sz val="9"/>
        <color theme="1"/>
        <rFont val="Malgun Gothic"/>
        <family val="3"/>
        <charset val="129"/>
      </rPr>
      <t>이하</t>
    </r>
  </si>
  <si>
    <r>
      <t xml:space="preserve">3.7kW </t>
    </r>
    <r>
      <rPr>
        <sz val="9"/>
        <color theme="1"/>
        <rFont val="Malgun Gothic"/>
        <family val="3"/>
        <charset val="129"/>
      </rPr>
      <t>이하</t>
    </r>
  </si>
  <si>
    <r>
      <t xml:space="preserve">5.5kW </t>
    </r>
    <r>
      <rPr>
        <sz val="9"/>
        <color theme="1"/>
        <rFont val="Malgun Gothic"/>
        <family val="3"/>
        <charset val="129"/>
      </rPr>
      <t>이하</t>
    </r>
  </si>
  <si>
    <r>
      <t xml:space="preserve">7.5kW </t>
    </r>
    <r>
      <rPr>
        <sz val="9"/>
        <color theme="1"/>
        <rFont val="Malgun Gothic"/>
        <family val="3"/>
        <charset val="129"/>
      </rPr>
      <t>이하</t>
    </r>
  </si>
  <si>
    <r>
      <t xml:space="preserve">11kW </t>
    </r>
    <r>
      <rPr>
        <sz val="9"/>
        <color theme="1"/>
        <rFont val="Malgun Gothic"/>
        <family val="3"/>
        <charset val="129"/>
      </rPr>
      <t>이하</t>
    </r>
  </si>
  <si>
    <r>
      <t xml:space="preserve">15kW </t>
    </r>
    <r>
      <rPr>
        <sz val="9"/>
        <color theme="1"/>
        <rFont val="Malgun Gothic"/>
        <family val="3"/>
        <charset val="129"/>
      </rPr>
      <t>이하</t>
    </r>
  </si>
  <si>
    <r>
      <t xml:space="preserve">22kW </t>
    </r>
    <r>
      <rPr>
        <sz val="9"/>
        <color theme="1"/>
        <rFont val="Malgun Gothic"/>
        <family val="3"/>
        <charset val="129"/>
      </rPr>
      <t>이하</t>
    </r>
  </si>
  <si>
    <r>
      <t xml:space="preserve">30kW </t>
    </r>
    <r>
      <rPr>
        <sz val="9"/>
        <color theme="1"/>
        <rFont val="Malgun Gothic"/>
        <family val="3"/>
        <charset val="129"/>
      </rPr>
      <t>이하</t>
    </r>
  </si>
  <si>
    <r>
      <t xml:space="preserve">37kW </t>
    </r>
    <r>
      <rPr>
        <sz val="9"/>
        <color theme="1"/>
        <rFont val="Malgun Gothic"/>
        <family val="3"/>
        <charset val="129"/>
      </rPr>
      <t>이하</t>
    </r>
  </si>
  <si>
    <r>
      <t xml:space="preserve">40kW </t>
    </r>
    <r>
      <rPr>
        <sz val="9"/>
        <color theme="1"/>
        <rFont val="Malgun Gothic"/>
        <family val="3"/>
        <charset val="129"/>
      </rPr>
      <t>이하</t>
    </r>
  </si>
  <si>
    <r>
      <t xml:space="preserve">45kW </t>
    </r>
    <r>
      <rPr>
        <sz val="9"/>
        <color theme="1"/>
        <rFont val="Malgun Gothic"/>
        <family val="3"/>
        <charset val="129"/>
      </rPr>
      <t>이하</t>
    </r>
  </si>
  <si>
    <r>
      <t xml:space="preserve">50kW </t>
    </r>
    <r>
      <rPr>
        <sz val="9"/>
        <color theme="1"/>
        <rFont val="Malgun Gothic"/>
        <family val="3"/>
        <charset val="129"/>
      </rPr>
      <t>이하</t>
    </r>
  </si>
  <si>
    <r>
      <t xml:space="preserve">55kW </t>
    </r>
    <r>
      <rPr>
        <sz val="9"/>
        <color theme="1"/>
        <rFont val="Malgun Gothic"/>
        <family val="3"/>
        <charset val="129"/>
      </rPr>
      <t>이하</t>
    </r>
  </si>
  <si>
    <r>
      <t xml:space="preserve">75kW </t>
    </r>
    <r>
      <rPr>
        <sz val="9"/>
        <color theme="1"/>
        <rFont val="Malgun Gothic"/>
        <family val="3"/>
        <charset val="129"/>
      </rPr>
      <t>이하</t>
    </r>
  </si>
  <si>
    <r>
      <t xml:space="preserve">95kW </t>
    </r>
    <r>
      <rPr>
        <sz val="9"/>
        <color theme="1"/>
        <rFont val="Malgun Gothic"/>
        <family val="3"/>
        <charset val="129"/>
      </rPr>
      <t>이하</t>
    </r>
  </si>
  <si>
    <r>
      <t xml:space="preserve">100kW </t>
    </r>
    <r>
      <rPr>
        <sz val="9"/>
        <color theme="1"/>
        <rFont val="Malgun Gothic"/>
        <family val="3"/>
        <charset val="129"/>
      </rPr>
      <t>이하</t>
    </r>
  </si>
  <si>
    <r>
      <t xml:space="preserve">110kW </t>
    </r>
    <r>
      <rPr>
        <sz val="9"/>
        <color theme="1"/>
        <rFont val="Malgun Gothic"/>
        <family val="3"/>
        <charset val="129"/>
      </rPr>
      <t>이하</t>
    </r>
  </si>
  <si>
    <r>
      <t xml:space="preserve">125kW </t>
    </r>
    <r>
      <rPr>
        <sz val="9"/>
        <color theme="1"/>
        <rFont val="Malgun Gothic"/>
        <family val="3"/>
        <charset val="129"/>
      </rPr>
      <t>이하</t>
    </r>
  </si>
  <si>
    <r>
      <t xml:space="preserve">150kW </t>
    </r>
    <r>
      <rPr>
        <sz val="9"/>
        <color theme="1"/>
        <rFont val="Malgun Gothic"/>
        <family val="3"/>
        <charset val="129"/>
      </rPr>
      <t>이하</t>
    </r>
  </si>
  <si>
    <r>
      <t xml:space="preserve">200kW </t>
    </r>
    <r>
      <rPr>
        <sz val="9"/>
        <color theme="1"/>
        <rFont val="Malgun Gothic"/>
        <family val="3"/>
        <charset val="129"/>
      </rPr>
      <t>이하</t>
    </r>
  </si>
  <si>
    <r>
      <t xml:space="preserve">220kW </t>
    </r>
    <r>
      <rPr>
        <sz val="9"/>
        <color theme="1"/>
        <rFont val="Malgun Gothic"/>
        <family val="3"/>
        <charset val="129"/>
      </rPr>
      <t>이하</t>
    </r>
  </si>
  <si>
    <r>
      <t xml:space="preserve">260kW </t>
    </r>
    <r>
      <rPr>
        <sz val="9"/>
        <color theme="1"/>
        <rFont val="Malgun Gothic"/>
        <family val="3"/>
        <charset val="129"/>
      </rPr>
      <t>이하</t>
    </r>
  </si>
  <si>
    <r>
      <t xml:space="preserve">300kW </t>
    </r>
    <r>
      <rPr>
        <sz val="9"/>
        <color theme="1"/>
        <rFont val="Malgun Gothic"/>
        <family val="3"/>
        <charset val="129"/>
      </rPr>
      <t>이하</t>
    </r>
  </si>
  <si>
    <r>
      <t>10</t>
    </r>
    <r>
      <rPr>
        <sz val="9"/>
        <color theme="1"/>
        <rFont val="Malgun Gothic"/>
        <family val="3"/>
        <charset val="129"/>
      </rPr>
      <t>개</t>
    </r>
  </si>
  <si>
    <r>
      <t xml:space="preserve">OTDR </t>
    </r>
    <r>
      <rPr>
        <sz val="9"/>
        <color theme="1"/>
        <rFont val="Malgun Gothic"/>
        <family val="3"/>
        <charset val="129"/>
      </rPr>
      <t>확인</t>
    </r>
  </si>
  <si>
    <r>
      <t xml:space="preserve">50W </t>
    </r>
    <r>
      <rPr>
        <sz val="9"/>
        <color theme="1"/>
        <rFont val="Malgun Gothic"/>
        <family val="3"/>
        <charset val="129"/>
      </rPr>
      <t>이하</t>
    </r>
  </si>
  <si>
    <r>
      <t xml:space="preserve">75W </t>
    </r>
    <r>
      <rPr>
        <sz val="9"/>
        <color theme="1"/>
        <rFont val="Malgun Gothic"/>
        <family val="3"/>
        <charset val="129"/>
      </rPr>
      <t>이하</t>
    </r>
  </si>
  <si>
    <r>
      <t xml:space="preserve">175W </t>
    </r>
    <r>
      <rPr>
        <sz val="9"/>
        <color theme="1"/>
        <rFont val="Malgun Gothic"/>
        <family val="3"/>
        <charset val="129"/>
      </rPr>
      <t>이하</t>
    </r>
  </si>
  <si>
    <r>
      <t xml:space="preserve">1kVA </t>
    </r>
    <r>
      <rPr>
        <sz val="9"/>
        <color theme="1"/>
        <rFont val="Malgun Gothic"/>
        <family val="3"/>
        <charset val="129"/>
      </rPr>
      <t>이하</t>
    </r>
  </si>
  <si>
    <r>
      <t xml:space="preserve">3kVA </t>
    </r>
    <r>
      <rPr>
        <sz val="9"/>
        <color theme="1"/>
        <rFont val="Malgun Gothic"/>
        <family val="3"/>
        <charset val="129"/>
      </rPr>
      <t>이하</t>
    </r>
  </si>
  <si>
    <r>
      <t xml:space="preserve">5kVA </t>
    </r>
    <r>
      <rPr>
        <sz val="9"/>
        <color theme="1"/>
        <rFont val="Malgun Gothic"/>
        <family val="3"/>
        <charset val="129"/>
      </rPr>
      <t>이하</t>
    </r>
  </si>
  <si>
    <r>
      <t xml:space="preserve">10kVA </t>
    </r>
    <r>
      <rPr>
        <sz val="9"/>
        <color theme="1"/>
        <rFont val="Malgun Gothic"/>
        <family val="3"/>
        <charset val="129"/>
      </rPr>
      <t>이하</t>
    </r>
  </si>
  <si>
    <r>
      <t xml:space="preserve">20kVA </t>
    </r>
    <r>
      <rPr>
        <sz val="9"/>
        <color theme="1"/>
        <rFont val="Malgun Gothic"/>
        <family val="3"/>
        <charset val="129"/>
      </rPr>
      <t>이하</t>
    </r>
  </si>
  <si>
    <r>
      <t xml:space="preserve">30kVA </t>
    </r>
    <r>
      <rPr>
        <sz val="9"/>
        <color theme="1"/>
        <rFont val="Malgun Gothic"/>
        <family val="3"/>
        <charset val="129"/>
      </rPr>
      <t>이하</t>
    </r>
  </si>
  <si>
    <r>
      <t xml:space="preserve">50kVA </t>
    </r>
    <r>
      <rPr>
        <sz val="9"/>
        <color theme="1"/>
        <rFont val="Malgun Gothic"/>
        <family val="3"/>
        <charset val="129"/>
      </rPr>
      <t>이하</t>
    </r>
  </si>
  <si>
    <r>
      <t xml:space="preserve">75kVA </t>
    </r>
    <r>
      <rPr>
        <sz val="9"/>
        <color theme="1"/>
        <rFont val="Malgun Gothic"/>
        <family val="3"/>
        <charset val="129"/>
      </rPr>
      <t>이하</t>
    </r>
  </si>
  <si>
    <r>
      <t xml:space="preserve">100kVA </t>
    </r>
    <r>
      <rPr>
        <sz val="9"/>
        <color theme="1"/>
        <rFont val="Malgun Gothic"/>
        <family val="3"/>
        <charset val="129"/>
      </rPr>
      <t>이하</t>
    </r>
  </si>
  <si>
    <r>
      <t xml:space="preserve">100kVA </t>
    </r>
    <r>
      <rPr>
        <sz val="9"/>
        <color theme="1"/>
        <rFont val="Malgun Gothic"/>
        <family val="3"/>
        <charset val="129"/>
      </rPr>
      <t>초과</t>
    </r>
  </si>
  <si>
    <r>
      <t xml:space="preserve">350W </t>
    </r>
    <r>
      <rPr>
        <sz val="9"/>
        <color theme="1"/>
        <rFont val="Malgun Gothic"/>
        <family val="3"/>
        <charset val="129"/>
      </rPr>
      <t>이하</t>
    </r>
  </si>
  <si>
    <r>
      <t xml:space="preserve">1,000W </t>
    </r>
    <r>
      <rPr>
        <sz val="9"/>
        <color theme="1"/>
        <rFont val="Malgun Gothic"/>
        <family val="3"/>
        <charset val="129"/>
      </rPr>
      <t>이하</t>
    </r>
  </si>
  <si>
    <r>
      <t xml:space="preserve">14"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설치</t>
    </r>
  </si>
  <si>
    <r>
      <t xml:space="preserve">14"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조정</t>
    </r>
  </si>
  <si>
    <r>
      <t xml:space="preserve">14"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시험</t>
    </r>
    <r>
      <rPr>
        <sz val="9"/>
        <color indexed="8"/>
        <rFont val="Malgun Gothic"/>
        <family val="3"/>
        <charset val="129"/>
      </rPr>
      <t xml:space="preserve"> </t>
    </r>
    <r>
      <rPr>
        <sz val="9"/>
        <color theme="1"/>
        <rFont val="Malgun Gothic"/>
        <family val="3"/>
        <charset val="129"/>
      </rPr>
      <t>및</t>
    </r>
    <r>
      <rPr>
        <sz val="9"/>
        <color indexed="8"/>
        <rFont val="Malgun Gothic"/>
        <family val="3"/>
        <charset val="129"/>
      </rPr>
      <t xml:space="preserve"> </t>
    </r>
    <r>
      <rPr>
        <sz val="9"/>
        <color theme="1"/>
        <rFont val="Malgun Gothic"/>
        <family val="3"/>
        <charset val="129"/>
      </rPr>
      <t>측정</t>
    </r>
  </si>
  <si>
    <r>
      <t xml:space="preserve">21"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설치</t>
    </r>
  </si>
  <si>
    <r>
      <t xml:space="preserve">21"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조정</t>
    </r>
  </si>
  <si>
    <r>
      <t xml:space="preserve">21"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시험</t>
    </r>
    <r>
      <rPr>
        <sz val="9"/>
        <color indexed="8"/>
        <rFont val="Malgun Gothic"/>
        <family val="3"/>
        <charset val="129"/>
      </rPr>
      <t xml:space="preserve"> </t>
    </r>
    <r>
      <rPr>
        <sz val="9"/>
        <color theme="1"/>
        <rFont val="Malgun Gothic"/>
        <family val="3"/>
        <charset val="129"/>
      </rPr>
      <t>및</t>
    </r>
    <r>
      <rPr>
        <sz val="9"/>
        <color indexed="8"/>
        <rFont val="Malgun Gothic"/>
        <family val="3"/>
        <charset val="129"/>
      </rPr>
      <t xml:space="preserve"> </t>
    </r>
    <r>
      <rPr>
        <sz val="9"/>
        <color theme="1"/>
        <rFont val="Malgun Gothic"/>
        <family val="3"/>
        <charset val="129"/>
      </rPr>
      <t>측정</t>
    </r>
  </si>
  <si>
    <r>
      <t xml:space="preserve">32"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설치</t>
    </r>
  </si>
  <si>
    <r>
      <t xml:space="preserve">32"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조정</t>
    </r>
  </si>
  <si>
    <r>
      <t xml:space="preserve">32" </t>
    </r>
    <r>
      <rPr>
        <sz val="9"/>
        <color theme="1"/>
        <rFont val="Malgun Gothic"/>
        <family val="3"/>
        <charset val="129"/>
      </rPr>
      <t>이하</t>
    </r>
    <r>
      <rPr>
        <sz val="9"/>
        <color indexed="8"/>
        <rFont val="Malgun Gothic"/>
        <family val="3"/>
        <charset val="129"/>
      </rPr>
      <t xml:space="preserve"> </t>
    </r>
    <r>
      <rPr>
        <sz val="9"/>
        <color theme="1"/>
        <rFont val="Malgun Gothic"/>
        <family val="3"/>
        <charset val="129"/>
      </rPr>
      <t>시험</t>
    </r>
    <r>
      <rPr>
        <sz val="9"/>
        <color indexed="8"/>
        <rFont val="Malgun Gothic"/>
        <family val="3"/>
        <charset val="129"/>
      </rPr>
      <t xml:space="preserve"> </t>
    </r>
    <r>
      <rPr>
        <sz val="9"/>
        <color theme="1"/>
        <rFont val="Malgun Gothic"/>
        <family val="3"/>
        <charset val="129"/>
      </rPr>
      <t>및</t>
    </r>
    <r>
      <rPr>
        <sz val="9"/>
        <color indexed="8"/>
        <rFont val="Malgun Gothic"/>
        <family val="3"/>
        <charset val="129"/>
      </rPr>
      <t xml:space="preserve"> </t>
    </r>
    <r>
      <rPr>
        <sz val="9"/>
        <color theme="1"/>
        <rFont val="Malgun Gothic"/>
        <family val="3"/>
        <charset val="129"/>
      </rPr>
      <t>측정</t>
    </r>
  </si>
  <si>
    <r>
      <t xml:space="preserve">CODEC </t>
    </r>
    <r>
      <rPr>
        <sz val="9"/>
        <color theme="1"/>
        <rFont val="Malgun Gothic"/>
        <family val="3"/>
        <charset val="129"/>
      </rPr>
      <t>시험</t>
    </r>
    <r>
      <rPr>
        <sz val="9"/>
        <color indexed="8"/>
        <rFont val="Malgun Gothic"/>
        <family val="3"/>
        <charset val="129"/>
      </rPr>
      <t xml:space="preserve"> </t>
    </r>
    <r>
      <rPr>
        <sz val="9"/>
        <color theme="1"/>
        <rFont val="Malgun Gothic"/>
        <family val="3"/>
        <charset val="129"/>
      </rPr>
      <t>및</t>
    </r>
    <r>
      <rPr>
        <sz val="9"/>
        <color indexed="8"/>
        <rFont val="Malgun Gothic"/>
        <family val="3"/>
        <charset val="129"/>
      </rPr>
      <t xml:space="preserve"> </t>
    </r>
    <r>
      <rPr>
        <sz val="9"/>
        <color theme="1"/>
        <rFont val="Malgun Gothic"/>
        <family val="3"/>
        <charset val="129"/>
      </rPr>
      <t>측정</t>
    </r>
  </si>
  <si>
    <r>
      <t>10W</t>
    </r>
    <r>
      <rPr>
        <sz val="9"/>
        <color theme="1"/>
        <rFont val="Malgun Gothic"/>
        <family val="3"/>
        <charset val="129"/>
      </rPr>
      <t>이하</t>
    </r>
    <r>
      <rPr>
        <sz val="9"/>
        <color indexed="8"/>
        <rFont val="Malgun Gothic"/>
        <family val="3"/>
        <charset val="129"/>
      </rPr>
      <t xml:space="preserve"> X 1</t>
    </r>
  </si>
  <si>
    <r>
      <t>20W</t>
    </r>
    <r>
      <rPr>
        <sz val="9"/>
        <color theme="1"/>
        <rFont val="Malgun Gothic"/>
        <family val="3"/>
        <charset val="129"/>
      </rPr>
      <t>이하</t>
    </r>
    <r>
      <rPr>
        <sz val="9"/>
        <color indexed="8"/>
        <rFont val="Malgun Gothic"/>
        <family val="3"/>
        <charset val="129"/>
      </rPr>
      <t xml:space="preserve"> X 1</t>
    </r>
  </si>
  <si>
    <r>
      <t>20W</t>
    </r>
    <r>
      <rPr>
        <sz val="9"/>
        <color theme="1"/>
        <rFont val="Malgun Gothic"/>
        <family val="3"/>
        <charset val="129"/>
      </rPr>
      <t>이하</t>
    </r>
    <r>
      <rPr>
        <sz val="9"/>
        <color indexed="8"/>
        <rFont val="Malgun Gothic"/>
        <family val="3"/>
        <charset val="129"/>
      </rPr>
      <t xml:space="preserve"> X 2</t>
    </r>
  </si>
  <si>
    <r>
      <t>20W</t>
    </r>
    <r>
      <rPr>
        <sz val="9"/>
        <color theme="1"/>
        <rFont val="Malgun Gothic"/>
        <family val="3"/>
        <charset val="129"/>
      </rPr>
      <t>이하</t>
    </r>
    <r>
      <rPr>
        <sz val="9"/>
        <color indexed="8"/>
        <rFont val="Malgun Gothic"/>
        <family val="3"/>
        <charset val="129"/>
      </rPr>
      <t xml:space="preserve"> X 3</t>
    </r>
  </si>
  <si>
    <r>
      <t>20W</t>
    </r>
    <r>
      <rPr>
        <sz val="9"/>
        <color theme="1"/>
        <rFont val="Malgun Gothic"/>
        <family val="3"/>
        <charset val="129"/>
      </rPr>
      <t>이하</t>
    </r>
    <r>
      <rPr>
        <sz val="9"/>
        <color indexed="8"/>
        <rFont val="Malgun Gothic"/>
        <family val="3"/>
        <charset val="129"/>
      </rPr>
      <t xml:space="preserve"> X 4</t>
    </r>
  </si>
  <si>
    <r>
      <t>30W</t>
    </r>
    <r>
      <rPr>
        <sz val="9"/>
        <color theme="1"/>
        <rFont val="Malgun Gothic"/>
        <family val="3"/>
        <charset val="129"/>
      </rPr>
      <t>이하</t>
    </r>
    <r>
      <rPr>
        <sz val="9"/>
        <color indexed="8"/>
        <rFont val="Malgun Gothic"/>
        <family val="3"/>
        <charset val="129"/>
      </rPr>
      <t xml:space="preserve"> X 1</t>
    </r>
  </si>
  <si>
    <r>
      <t>30W</t>
    </r>
    <r>
      <rPr>
        <sz val="9"/>
        <color theme="1"/>
        <rFont val="Malgun Gothic"/>
        <family val="3"/>
        <charset val="129"/>
      </rPr>
      <t>이하</t>
    </r>
    <r>
      <rPr>
        <sz val="9"/>
        <color indexed="8"/>
        <rFont val="Malgun Gothic"/>
        <family val="3"/>
        <charset val="129"/>
      </rPr>
      <t xml:space="preserve"> X 2</t>
    </r>
  </si>
  <si>
    <r>
      <t>40W</t>
    </r>
    <r>
      <rPr>
        <sz val="9"/>
        <color theme="1"/>
        <rFont val="Malgun Gothic"/>
        <family val="3"/>
        <charset val="129"/>
      </rPr>
      <t>이하</t>
    </r>
    <r>
      <rPr>
        <sz val="9"/>
        <color indexed="8"/>
        <rFont val="Malgun Gothic"/>
        <family val="3"/>
        <charset val="129"/>
      </rPr>
      <t xml:space="preserve"> X 1</t>
    </r>
  </si>
  <si>
    <r>
      <t>40W</t>
    </r>
    <r>
      <rPr>
        <sz val="9"/>
        <color theme="1"/>
        <rFont val="Malgun Gothic"/>
        <family val="3"/>
        <charset val="129"/>
      </rPr>
      <t>이하</t>
    </r>
    <r>
      <rPr>
        <sz val="9"/>
        <color indexed="8"/>
        <rFont val="Malgun Gothic"/>
        <family val="3"/>
        <charset val="129"/>
      </rPr>
      <t xml:space="preserve"> X 2</t>
    </r>
  </si>
  <si>
    <r>
      <t>40W</t>
    </r>
    <r>
      <rPr>
        <sz val="9"/>
        <color theme="1"/>
        <rFont val="Malgun Gothic"/>
        <family val="3"/>
        <charset val="129"/>
      </rPr>
      <t>이하</t>
    </r>
    <r>
      <rPr>
        <sz val="9"/>
        <color indexed="8"/>
        <rFont val="Malgun Gothic"/>
        <family val="3"/>
        <charset val="129"/>
      </rPr>
      <t xml:space="preserve"> X 3</t>
    </r>
  </si>
  <si>
    <r>
      <t>40W</t>
    </r>
    <r>
      <rPr>
        <sz val="9"/>
        <color theme="1"/>
        <rFont val="Malgun Gothic"/>
        <family val="3"/>
        <charset val="129"/>
      </rPr>
      <t>이하</t>
    </r>
    <r>
      <rPr>
        <sz val="9"/>
        <color indexed="8"/>
        <rFont val="Malgun Gothic"/>
        <family val="3"/>
        <charset val="129"/>
      </rPr>
      <t xml:space="preserve"> X 4</t>
    </r>
  </si>
  <si>
    <r>
      <t>110W</t>
    </r>
    <r>
      <rPr>
        <sz val="9"/>
        <color theme="1"/>
        <rFont val="Malgun Gothic"/>
        <family val="3"/>
        <charset val="129"/>
      </rPr>
      <t>이하</t>
    </r>
    <r>
      <rPr>
        <sz val="9"/>
        <color indexed="8"/>
        <rFont val="Malgun Gothic"/>
        <family val="3"/>
        <charset val="129"/>
      </rPr>
      <t xml:space="preserve"> X 1</t>
    </r>
  </si>
  <si>
    <r>
      <t>110W</t>
    </r>
    <r>
      <rPr>
        <sz val="9"/>
        <color theme="1"/>
        <rFont val="Malgun Gothic"/>
        <family val="3"/>
        <charset val="129"/>
      </rPr>
      <t>이하</t>
    </r>
    <r>
      <rPr>
        <sz val="9"/>
        <color indexed="8"/>
        <rFont val="Malgun Gothic"/>
        <family val="3"/>
        <charset val="129"/>
      </rPr>
      <t xml:space="preserve"> X 2</t>
    </r>
  </si>
  <si>
    <r>
      <t>2</t>
    </r>
    <r>
      <rPr>
        <sz val="9"/>
        <color theme="1"/>
        <rFont val="Malgun Gothic"/>
        <family val="3"/>
        <charset val="129"/>
      </rPr>
      <t>단</t>
    </r>
    <r>
      <rPr>
        <sz val="9"/>
        <color indexed="8"/>
        <rFont val="Malgun Gothic"/>
        <family val="3"/>
        <charset val="129"/>
      </rPr>
      <t xml:space="preserve"> 10</t>
    </r>
    <r>
      <rPr>
        <sz val="9"/>
        <color theme="1"/>
        <rFont val="Malgun Gothic"/>
        <family val="3"/>
        <charset val="129"/>
      </rPr>
      <t>열</t>
    </r>
  </si>
  <si>
    <r>
      <t>60 X 30</t>
    </r>
    <r>
      <rPr>
        <sz val="9"/>
        <color theme="1"/>
        <rFont val="Malgun Gothic"/>
        <family val="3"/>
        <charset val="129"/>
      </rPr>
      <t>㎜</t>
    </r>
    <r>
      <rPr>
        <sz val="9"/>
        <color indexed="8"/>
        <rFont val="Malgun Gothic"/>
        <family val="3"/>
        <charset val="129"/>
      </rPr>
      <t xml:space="preserve"> </t>
    </r>
    <r>
      <rPr>
        <sz val="9"/>
        <color theme="1"/>
        <rFont val="Malgun Gothic"/>
        <family val="3"/>
        <charset val="129"/>
      </rPr>
      <t>이하</t>
    </r>
    <r>
      <rPr>
        <sz val="9"/>
        <color indexed="8"/>
        <rFont val="Malgun Gothic"/>
        <family val="3"/>
        <charset val="129"/>
      </rPr>
      <t>(18</t>
    </r>
    <r>
      <rPr>
        <sz val="9"/>
        <color theme="1"/>
        <rFont val="Malgun Gothic"/>
        <family val="3"/>
        <charset val="129"/>
      </rPr>
      <t>㎠</t>
    </r>
    <r>
      <rPr>
        <sz val="9"/>
        <color indexed="8"/>
        <rFont val="Malgun Gothic"/>
        <family val="3"/>
        <charset val="129"/>
      </rPr>
      <t>)</t>
    </r>
  </si>
  <si>
    <r>
      <t>100 X 50</t>
    </r>
    <r>
      <rPr>
        <sz val="9"/>
        <color theme="1"/>
        <rFont val="Malgun Gothic"/>
        <family val="3"/>
        <charset val="129"/>
      </rPr>
      <t>㎜</t>
    </r>
    <r>
      <rPr>
        <sz val="9"/>
        <color indexed="8"/>
        <rFont val="Malgun Gothic"/>
        <family val="3"/>
        <charset val="129"/>
      </rPr>
      <t xml:space="preserve"> </t>
    </r>
    <r>
      <rPr>
        <sz val="9"/>
        <color theme="1"/>
        <rFont val="Malgun Gothic"/>
        <family val="3"/>
        <charset val="129"/>
      </rPr>
      <t>이하</t>
    </r>
    <r>
      <rPr>
        <sz val="9"/>
        <color indexed="8"/>
        <rFont val="Malgun Gothic"/>
        <family val="3"/>
        <charset val="129"/>
      </rPr>
      <t>(50</t>
    </r>
    <r>
      <rPr>
        <sz val="9"/>
        <color theme="1"/>
        <rFont val="Malgun Gothic"/>
        <family val="3"/>
        <charset val="129"/>
      </rPr>
      <t>㎠</t>
    </r>
    <r>
      <rPr>
        <sz val="9"/>
        <color indexed="8"/>
        <rFont val="Malgun Gothic"/>
        <family val="3"/>
        <charset val="129"/>
      </rPr>
      <t>)</t>
    </r>
  </si>
  <si>
    <r>
      <t>100X 100</t>
    </r>
    <r>
      <rPr>
        <sz val="9"/>
        <color theme="1"/>
        <rFont val="Malgun Gothic"/>
        <family val="3"/>
        <charset val="129"/>
      </rPr>
      <t>㎜</t>
    </r>
    <r>
      <rPr>
        <sz val="9"/>
        <color indexed="8"/>
        <rFont val="Malgun Gothic"/>
        <family val="3"/>
        <charset val="129"/>
      </rPr>
      <t xml:space="preserve"> </t>
    </r>
    <r>
      <rPr>
        <sz val="9"/>
        <color theme="1"/>
        <rFont val="Malgun Gothic"/>
        <family val="3"/>
        <charset val="129"/>
      </rPr>
      <t>이하</t>
    </r>
    <r>
      <rPr>
        <sz val="9"/>
        <color indexed="8"/>
        <rFont val="Malgun Gothic"/>
        <family val="3"/>
        <charset val="129"/>
      </rPr>
      <t>(100</t>
    </r>
    <r>
      <rPr>
        <sz val="9"/>
        <color theme="1"/>
        <rFont val="Malgun Gothic"/>
        <family val="3"/>
        <charset val="129"/>
      </rPr>
      <t>㎠</t>
    </r>
    <r>
      <rPr>
        <sz val="9"/>
        <color indexed="8"/>
        <rFont val="Malgun Gothic"/>
        <family val="3"/>
        <charset val="129"/>
      </rPr>
      <t>)</t>
    </r>
  </si>
  <si>
    <r>
      <t>150 X 100</t>
    </r>
    <r>
      <rPr>
        <sz val="9"/>
        <color theme="1"/>
        <rFont val="Malgun Gothic"/>
        <family val="3"/>
        <charset val="129"/>
      </rPr>
      <t>㎜</t>
    </r>
    <r>
      <rPr>
        <sz val="9"/>
        <color indexed="8"/>
        <rFont val="Malgun Gothic"/>
        <family val="3"/>
        <charset val="129"/>
      </rPr>
      <t xml:space="preserve"> </t>
    </r>
    <r>
      <rPr>
        <sz val="9"/>
        <color theme="1"/>
        <rFont val="Malgun Gothic"/>
        <family val="3"/>
        <charset val="129"/>
      </rPr>
      <t>이하</t>
    </r>
    <r>
      <rPr>
        <sz val="9"/>
        <color indexed="8"/>
        <rFont val="Malgun Gothic"/>
        <family val="3"/>
        <charset val="129"/>
      </rPr>
      <t>(150</t>
    </r>
    <r>
      <rPr>
        <sz val="9"/>
        <color theme="1"/>
        <rFont val="Malgun Gothic"/>
        <family val="3"/>
        <charset val="129"/>
      </rPr>
      <t>㎠</t>
    </r>
    <r>
      <rPr>
        <sz val="9"/>
        <color indexed="8"/>
        <rFont val="Malgun Gothic"/>
        <family val="3"/>
        <charset val="129"/>
      </rPr>
      <t>)</t>
    </r>
  </si>
  <si>
    <r>
      <t>200 X 100</t>
    </r>
    <r>
      <rPr>
        <sz val="9"/>
        <color theme="1"/>
        <rFont val="Malgun Gothic"/>
        <family val="3"/>
        <charset val="129"/>
      </rPr>
      <t>㎜</t>
    </r>
    <r>
      <rPr>
        <sz val="9"/>
        <color indexed="8"/>
        <rFont val="Malgun Gothic"/>
        <family val="3"/>
        <charset val="129"/>
      </rPr>
      <t xml:space="preserve"> </t>
    </r>
    <r>
      <rPr>
        <sz val="9"/>
        <color theme="1"/>
        <rFont val="Malgun Gothic"/>
        <family val="3"/>
        <charset val="129"/>
      </rPr>
      <t>이하</t>
    </r>
    <r>
      <rPr>
        <sz val="9"/>
        <color indexed="8"/>
        <rFont val="Malgun Gothic"/>
        <family val="3"/>
        <charset val="129"/>
      </rPr>
      <t>(200</t>
    </r>
    <r>
      <rPr>
        <sz val="9"/>
        <color theme="1"/>
        <rFont val="Malgun Gothic"/>
        <family val="3"/>
        <charset val="129"/>
      </rPr>
      <t>㎠</t>
    </r>
    <r>
      <rPr>
        <sz val="9"/>
        <color indexed="8"/>
        <rFont val="Malgun Gothic"/>
        <family val="3"/>
        <charset val="129"/>
      </rPr>
      <t>)</t>
    </r>
  </si>
  <si>
    <r>
      <t>300 X 100</t>
    </r>
    <r>
      <rPr>
        <sz val="9"/>
        <color theme="1"/>
        <rFont val="Malgun Gothic"/>
        <family val="3"/>
        <charset val="129"/>
      </rPr>
      <t>㎜</t>
    </r>
    <r>
      <rPr>
        <sz val="9"/>
        <color indexed="8"/>
        <rFont val="Malgun Gothic"/>
        <family val="3"/>
        <charset val="129"/>
      </rPr>
      <t xml:space="preserve"> </t>
    </r>
    <r>
      <rPr>
        <sz val="9"/>
        <color theme="1"/>
        <rFont val="Malgun Gothic"/>
        <family val="3"/>
        <charset val="129"/>
      </rPr>
      <t>이하</t>
    </r>
    <r>
      <rPr>
        <sz val="9"/>
        <color indexed="8"/>
        <rFont val="Malgun Gothic"/>
        <family val="3"/>
        <charset val="129"/>
      </rPr>
      <t>(300</t>
    </r>
    <r>
      <rPr>
        <sz val="9"/>
        <color theme="1"/>
        <rFont val="Malgun Gothic"/>
        <family val="3"/>
        <charset val="129"/>
      </rPr>
      <t>㎠</t>
    </r>
    <r>
      <rPr>
        <sz val="9"/>
        <color indexed="8"/>
        <rFont val="Malgun Gothic"/>
        <family val="3"/>
        <charset val="129"/>
      </rPr>
      <t>)</t>
    </r>
  </si>
  <si>
    <r>
      <t>100</t>
    </r>
    <r>
      <rPr>
        <sz val="9"/>
        <color theme="1"/>
        <rFont val="Malgun Gothic"/>
        <family val="3"/>
        <charset val="129"/>
      </rPr>
      <t>㎜</t>
    </r>
    <r>
      <rPr>
        <sz val="9"/>
        <color indexed="8"/>
        <rFont val="Malgun Gothic"/>
        <family val="3"/>
        <charset val="129"/>
      </rPr>
      <t>X100</t>
    </r>
    <r>
      <rPr>
        <sz val="9"/>
        <color theme="1"/>
        <rFont val="Malgun Gothic"/>
        <family val="3"/>
        <charset val="129"/>
      </rPr>
      <t>㎜</t>
    </r>
    <r>
      <rPr>
        <sz val="9"/>
        <color indexed="8"/>
        <rFont val="Malgun Gothic"/>
        <family val="3"/>
        <charset val="129"/>
      </rPr>
      <t>X100</t>
    </r>
    <r>
      <rPr>
        <sz val="9"/>
        <color theme="1"/>
        <rFont val="Malgun Gothic"/>
        <family val="3"/>
        <charset val="129"/>
      </rPr>
      <t>㎜이하</t>
    </r>
  </si>
  <si>
    <r>
      <t>250</t>
    </r>
    <r>
      <rPr>
        <sz val="9"/>
        <color theme="1"/>
        <rFont val="Malgun Gothic"/>
        <family val="3"/>
        <charset val="129"/>
      </rPr>
      <t>㎜</t>
    </r>
    <r>
      <rPr>
        <sz val="9"/>
        <color indexed="8"/>
        <rFont val="Malgun Gothic"/>
        <family val="3"/>
        <charset val="129"/>
      </rPr>
      <t>X250</t>
    </r>
    <r>
      <rPr>
        <sz val="9"/>
        <color theme="1"/>
        <rFont val="Malgun Gothic"/>
        <family val="3"/>
        <charset val="129"/>
      </rPr>
      <t>㎜</t>
    </r>
    <r>
      <rPr>
        <sz val="9"/>
        <color indexed="8"/>
        <rFont val="Malgun Gothic"/>
        <family val="3"/>
        <charset val="129"/>
      </rPr>
      <t>X200</t>
    </r>
    <r>
      <rPr>
        <sz val="9"/>
        <color theme="1"/>
        <rFont val="Malgun Gothic"/>
        <family val="3"/>
        <charset val="129"/>
      </rPr>
      <t>㎜이하</t>
    </r>
  </si>
  <si>
    <r>
      <t>400</t>
    </r>
    <r>
      <rPr>
        <sz val="9"/>
        <color theme="1"/>
        <rFont val="Malgun Gothic"/>
        <family val="3"/>
        <charset val="129"/>
      </rPr>
      <t>㎜</t>
    </r>
    <r>
      <rPr>
        <sz val="9"/>
        <color indexed="8"/>
        <rFont val="Malgun Gothic"/>
        <family val="3"/>
        <charset val="129"/>
      </rPr>
      <t>X400</t>
    </r>
    <r>
      <rPr>
        <sz val="9"/>
        <color theme="1"/>
        <rFont val="Malgun Gothic"/>
        <family val="3"/>
        <charset val="129"/>
      </rPr>
      <t>㎜</t>
    </r>
    <r>
      <rPr>
        <sz val="9"/>
        <color indexed="8"/>
        <rFont val="Malgun Gothic"/>
        <family val="3"/>
        <charset val="129"/>
      </rPr>
      <t>X300</t>
    </r>
    <r>
      <rPr>
        <sz val="9"/>
        <color theme="1"/>
        <rFont val="Malgun Gothic"/>
        <family val="3"/>
        <charset val="129"/>
      </rPr>
      <t>㎜이하</t>
    </r>
  </si>
  <si>
    <r>
      <t>700</t>
    </r>
    <r>
      <rPr>
        <sz val="9"/>
        <color theme="1"/>
        <rFont val="Malgun Gothic"/>
        <family val="3"/>
        <charset val="129"/>
      </rPr>
      <t>㎜</t>
    </r>
    <r>
      <rPr>
        <sz val="9"/>
        <color indexed="8"/>
        <rFont val="Malgun Gothic"/>
        <family val="3"/>
        <charset val="129"/>
      </rPr>
      <t>X700</t>
    </r>
    <r>
      <rPr>
        <sz val="9"/>
        <color theme="1"/>
        <rFont val="Malgun Gothic"/>
        <family val="3"/>
        <charset val="129"/>
      </rPr>
      <t>㎜</t>
    </r>
    <r>
      <rPr>
        <sz val="9"/>
        <color indexed="8"/>
        <rFont val="Malgun Gothic"/>
        <family val="3"/>
        <charset val="129"/>
      </rPr>
      <t>X400</t>
    </r>
    <r>
      <rPr>
        <sz val="9"/>
        <color theme="1"/>
        <rFont val="Malgun Gothic"/>
        <family val="3"/>
        <charset val="129"/>
      </rPr>
      <t>㎜이하</t>
    </r>
  </si>
  <si>
    <r>
      <t>1000</t>
    </r>
    <r>
      <rPr>
        <sz val="9"/>
        <color theme="1"/>
        <rFont val="Malgun Gothic"/>
        <family val="3"/>
        <charset val="129"/>
      </rPr>
      <t>㎜</t>
    </r>
    <r>
      <rPr>
        <sz val="9"/>
        <color indexed="8"/>
        <rFont val="Malgun Gothic"/>
        <family val="3"/>
        <charset val="129"/>
      </rPr>
      <t>X1000</t>
    </r>
    <r>
      <rPr>
        <sz val="9"/>
        <color theme="1"/>
        <rFont val="Malgun Gothic"/>
        <family val="3"/>
        <charset val="129"/>
      </rPr>
      <t>㎜</t>
    </r>
    <r>
      <rPr>
        <sz val="9"/>
        <color indexed="8"/>
        <rFont val="Malgun Gothic"/>
        <family val="3"/>
        <charset val="129"/>
      </rPr>
      <t>X150</t>
    </r>
    <r>
      <rPr>
        <sz val="9"/>
        <color theme="1"/>
        <rFont val="Malgun Gothic"/>
        <family val="3"/>
        <charset val="129"/>
      </rPr>
      <t>㎜이하</t>
    </r>
  </si>
  <si>
    <r>
      <t>1200</t>
    </r>
    <r>
      <rPr>
        <sz val="9"/>
        <color theme="1"/>
        <rFont val="Malgun Gothic"/>
        <family val="3"/>
        <charset val="129"/>
      </rPr>
      <t>㎜</t>
    </r>
    <r>
      <rPr>
        <sz val="9"/>
        <color indexed="8"/>
        <rFont val="Malgun Gothic"/>
        <family val="3"/>
        <charset val="129"/>
      </rPr>
      <t>X1200</t>
    </r>
    <r>
      <rPr>
        <sz val="9"/>
        <color theme="1"/>
        <rFont val="Malgun Gothic"/>
        <family val="3"/>
        <charset val="129"/>
      </rPr>
      <t>㎜</t>
    </r>
    <r>
      <rPr>
        <sz val="9"/>
        <color indexed="8"/>
        <rFont val="Malgun Gothic"/>
        <family val="3"/>
        <charset val="129"/>
      </rPr>
      <t>X150</t>
    </r>
    <r>
      <rPr>
        <sz val="9"/>
        <color theme="1"/>
        <rFont val="Malgun Gothic"/>
        <family val="3"/>
        <charset val="129"/>
      </rPr>
      <t>㎜이하</t>
    </r>
  </si>
  <si>
    <r>
      <t>1500</t>
    </r>
    <r>
      <rPr>
        <sz val="9"/>
        <color theme="1"/>
        <rFont val="Malgun Gothic"/>
        <family val="3"/>
        <charset val="129"/>
      </rPr>
      <t>㎜</t>
    </r>
    <r>
      <rPr>
        <sz val="9"/>
        <color indexed="8"/>
        <rFont val="Malgun Gothic"/>
        <family val="3"/>
        <charset val="129"/>
      </rPr>
      <t>X1500</t>
    </r>
    <r>
      <rPr>
        <sz val="9"/>
        <color theme="1"/>
        <rFont val="Malgun Gothic"/>
        <family val="3"/>
        <charset val="129"/>
      </rPr>
      <t>㎜</t>
    </r>
    <r>
      <rPr>
        <sz val="9"/>
        <color indexed="8"/>
        <rFont val="Malgun Gothic"/>
        <family val="3"/>
        <charset val="129"/>
      </rPr>
      <t>X250</t>
    </r>
    <r>
      <rPr>
        <sz val="9"/>
        <color theme="1"/>
        <rFont val="Malgun Gothic"/>
        <family val="3"/>
        <charset val="129"/>
      </rPr>
      <t>㎜이하</t>
    </r>
  </si>
  <si>
    <r>
      <t>2000</t>
    </r>
    <r>
      <rPr>
        <sz val="9"/>
        <color theme="1"/>
        <rFont val="Malgun Gothic"/>
        <family val="3"/>
        <charset val="129"/>
      </rPr>
      <t>㎜</t>
    </r>
    <r>
      <rPr>
        <sz val="9"/>
        <color indexed="8"/>
        <rFont val="Malgun Gothic"/>
        <family val="3"/>
        <charset val="129"/>
      </rPr>
      <t>X2000</t>
    </r>
    <r>
      <rPr>
        <sz val="9"/>
        <color theme="1"/>
        <rFont val="Malgun Gothic"/>
        <family val="3"/>
        <charset val="129"/>
      </rPr>
      <t>㎜</t>
    </r>
    <r>
      <rPr>
        <sz val="9"/>
        <color indexed="8"/>
        <rFont val="Malgun Gothic"/>
        <family val="3"/>
        <charset val="129"/>
      </rPr>
      <t>X300</t>
    </r>
    <r>
      <rPr>
        <sz val="9"/>
        <color theme="1"/>
        <rFont val="Malgun Gothic"/>
        <family val="3"/>
        <charset val="129"/>
      </rPr>
      <t>㎜이하</t>
    </r>
  </si>
  <si>
    <r>
      <t xml:space="preserve">1m </t>
    </r>
    <r>
      <rPr>
        <sz val="9"/>
        <color theme="1"/>
        <rFont val="Malgun Gothic"/>
        <family val="3"/>
        <charset val="129"/>
      </rPr>
      <t>이상</t>
    </r>
    <r>
      <rPr>
        <sz val="9"/>
        <color indexed="8"/>
        <rFont val="Malgun Gothic"/>
        <family val="3"/>
        <charset val="129"/>
      </rPr>
      <t xml:space="preserve"> ~ 2m </t>
    </r>
    <r>
      <rPr>
        <sz val="9"/>
        <color theme="1"/>
        <rFont val="Malgun Gothic"/>
        <family val="3"/>
        <charset val="129"/>
      </rPr>
      <t>미만</t>
    </r>
  </si>
  <si>
    <r>
      <t xml:space="preserve">2m </t>
    </r>
    <r>
      <rPr>
        <sz val="9"/>
        <color theme="1"/>
        <rFont val="Malgun Gothic"/>
        <family val="3"/>
        <charset val="129"/>
      </rPr>
      <t>이상</t>
    </r>
    <r>
      <rPr>
        <sz val="9"/>
        <color indexed="8"/>
        <rFont val="Malgun Gothic"/>
        <family val="3"/>
        <charset val="129"/>
      </rPr>
      <t xml:space="preserve"> ~ 3m </t>
    </r>
    <r>
      <rPr>
        <sz val="9"/>
        <color theme="1"/>
        <rFont val="Malgun Gothic"/>
        <family val="3"/>
        <charset val="129"/>
      </rPr>
      <t>미만</t>
    </r>
  </si>
  <si>
    <r>
      <t>UTP, STP, FTP(</t>
    </r>
    <r>
      <rPr>
        <sz val="9"/>
        <color theme="1"/>
        <rFont val="Malgun Gothic"/>
        <family val="3"/>
        <charset val="129"/>
      </rPr>
      <t>구내</t>
    </r>
    <r>
      <rPr>
        <sz val="9"/>
        <color indexed="8"/>
        <rFont val="Malgun Gothic"/>
        <family val="3"/>
        <charset val="129"/>
      </rPr>
      <t>) 4Pr</t>
    </r>
  </si>
  <si>
    <r>
      <t>UTP, STP, FTP(</t>
    </r>
    <r>
      <rPr>
        <sz val="9"/>
        <color theme="1"/>
        <rFont val="Malgun Gothic"/>
        <family val="3"/>
        <charset val="129"/>
      </rPr>
      <t>구내</t>
    </r>
    <r>
      <rPr>
        <sz val="9"/>
        <color indexed="8"/>
        <rFont val="Malgun Gothic"/>
        <family val="3"/>
        <charset val="129"/>
      </rPr>
      <t>) 25Pr</t>
    </r>
  </si>
  <si>
    <r>
      <t>UTP, STP, FTP(</t>
    </r>
    <r>
      <rPr>
        <sz val="9"/>
        <color theme="1"/>
        <rFont val="Malgun Gothic"/>
        <family val="3"/>
        <charset val="129"/>
      </rPr>
      <t>구내</t>
    </r>
    <r>
      <rPr>
        <sz val="9"/>
        <color indexed="8"/>
        <rFont val="Malgun Gothic"/>
        <family val="3"/>
        <charset val="129"/>
      </rPr>
      <t>) 50Pr</t>
    </r>
  </si>
  <si>
    <r>
      <t>UTP, STP, FTP(</t>
    </r>
    <r>
      <rPr>
        <sz val="9"/>
        <color theme="1"/>
        <rFont val="Malgun Gothic"/>
        <family val="3"/>
        <charset val="129"/>
      </rPr>
      <t>구내</t>
    </r>
    <r>
      <rPr>
        <sz val="9"/>
        <color indexed="8"/>
        <rFont val="Malgun Gothic"/>
        <family val="3"/>
        <charset val="129"/>
      </rPr>
      <t>) 100Pr</t>
    </r>
  </si>
  <si>
    <r>
      <t>UTP, STP, FTP(</t>
    </r>
    <r>
      <rPr>
        <sz val="9"/>
        <color theme="1"/>
        <rFont val="Malgun Gothic"/>
        <family val="3"/>
        <charset val="129"/>
      </rPr>
      <t>옥외</t>
    </r>
    <r>
      <rPr>
        <sz val="9"/>
        <color indexed="8"/>
        <rFont val="Malgun Gothic"/>
        <family val="3"/>
        <charset val="129"/>
      </rPr>
      <t xml:space="preserve">) 4Pr </t>
    </r>
    <r>
      <rPr>
        <sz val="9"/>
        <color theme="1"/>
        <rFont val="Malgun Gothic"/>
        <family val="3"/>
        <charset val="129"/>
      </rPr>
      <t>이하</t>
    </r>
  </si>
  <si>
    <r>
      <t xml:space="preserve">RS-Cable(10P </t>
    </r>
    <r>
      <rPr>
        <sz val="9"/>
        <color theme="1"/>
        <rFont val="Malgun Gothic"/>
        <family val="3"/>
        <charset val="129"/>
      </rPr>
      <t>이하</t>
    </r>
    <r>
      <rPr>
        <sz val="9"/>
        <color indexed="8"/>
        <rFont val="Malgun Gothic"/>
        <family val="3"/>
        <charset val="129"/>
      </rPr>
      <t>)</t>
    </r>
  </si>
  <si>
    <r>
      <t>Token Ring</t>
    </r>
    <r>
      <rPr>
        <sz val="9"/>
        <color theme="1"/>
        <rFont val="Malgun Gothic"/>
        <family val="3"/>
        <charset val="129"/>
      </rPr>
      <t>용</t>
    </r>
    <r>
      <rPr>
        <sz val="9"/>
        <color indexed="8"/>
        <rFont val="Malgun Gothic"/>
        <family val="3"/>
        <charset val="129"/>
      </rPr>
      <t xml:space="preserve"> Data Line</t>
    </r>
  </si>
  <si>
    <r>
      <t>12</t>
    </r>
    <r>
      <rPr>
        <sz val="9"/>
        <color theme="1"/>
        <rFont val="Malgun Gothic"/>
        <family val="3"/>
        <charset val="129"/>
      </rPr>
      <t>코어</t>
    </r>
    <r>
      <rPr>
        <sz val="9"/>
        <color indexed="8"/>
        <rFont val="Malgun Gothic"/>
        <family val="3"/>
        <charset val="129"/>
      </rPr>
      <t xml:space="preserve"> </t>
    </r>
    <r>
      <rPr>
        <sz val="9"/>
        <color theme="1"/>
        <rFont val="Malgun Gothic"/>
        <family val="3"/>
        <charset val="129"/>
      </rPr>
      <t>이하</t>
    </r>
  </si>
  <si>
    <r>
      <t>48</t>
    </r>
    <r>
      <rPr>
        <sz val="9"/>
        <color theme="1"/>
        <rFont val="Malgun Gothic"/>
        <family val="3"/>
        <charset val="129"/>
      </rPr>
      <t>코어</t>
    </r>
    <r>
      <rPr>
        <sz val="9"/>
        <color indexed="8"/>
        <rFont val="Malgun Gothic"/>
        <family val="3"/>
        <charset val="129"/>
      </rPr>
      <t xml:space="preserve"> </t>
    </r>
    <r>
      <rPr>
        <sz val="9"/>
        <color theme="1"/>
        <rFont val="Malgun Gothic"/>
        <family val="3"/>
        <charset val="129"/>
      </rPr>
      <t>이하</t>
    </r>
  </si>
  <si>
    <r>
      <t>72</t>
    </r>
    <r>
      <rPr>
        <sz val="9"/>
        <color theme="1"/>
        <rFont val="Malgun Gothic"/>
        <family val="3"/>
        <charset val="129"/>
      </rPr>
      <t>코어</t>
    </r>
    <r>
      <rPr>
        <sz val="9"/>
        <color indexed="8"/>
        <rFont val="Malgun Gothic"/>
        <family val="3"/>
        <charset val="129"/>
      </rPr>
      <t xml:space="preserve"> </t>
    </r>
    <r>
      <rPr>
        <sz val="9"/>
        <color theme="1"/>
        <rFont val="Malgun Gothic"/>
        <family val="3"/>
        <charset val="129"/>
      </rPr>
      <t>미만</t>
    </r>
  </si>
  <si>
    <r>
      <t>72</t>
    </r>
    <r>
      <rPr>
        <sz val="9"/>
        <color theme="1"/>
        <rFont val="Malgun Gothic"/>
        <family val="3"/>
        <charset val="129"/>
      </rPr>
      <t>코어</t>
    </r>
    <r>
      <rPr>
        <sz val="9"/>
        <color indexed="8"/>
        <rFont val="Malgun Gothic"/>
        <family val="3"/>
        <charset val="129"/>
      </rPr>
      <t xml:space="preserve"> </t>
    </r>
    <r>
      <rPr>
        <sz val="9"/>
        <color theme="1"/>
        <rFont val="Malgun Gothic"/>
        <family val="3"/>
        <charset val="129"/>
      </rPr>
      <t>이상</t>
    </r>
  </si>
  <si>
    <r>
      <t>4</t>
    </r>
    <r>
      <rPr>
        <sz val="9"/>
        <color theme="1"/>
        <rFont val="Malgun Gothic"/>
        <family val="3"/>
        <charset val="129"/>
      </rPr>
      <t>분배기</t>
    </r>
    <r>
      <rPr>
        <sz val="9"/>
        <color indexed="8"/>
        <rFont val="Malgun Gothic"/>
        <family val="3"/>
        <charset val="129"/>
      </rPr>
      <t xml:space="preserve"> </t>
    </r>
    <r>
      <rPr>
        <sz val="9"/>
        <color theme="1"/>
        <rFont val="Malgun Gothic"/>
        <family val="3"/>
        <charset val="129"/>
      </rPr>
      <t>이하</t>
    </r>
  </si>
  <si>
    <r>
      <t>24</t>
    </r>
    <r>
      <rPr>
        <sz val="9"/>
        <color theme="1"/>
        <rFont val="Malgun Gothic"/>
        <family val="3"/>
        <charset val="129"/>
      </rPr>
      <t>코어</t>
    </r>
    <r>
      <rPr>
        <sz val="9"/>
        <color indexed="8"/>
        <rFont val="Malgun Gothic"/>
        <family val="3"/>
        <charset val="129"/>
      </rPr>
      <t xml:space="preserve"> </t>
    </r>
    <r>
      <rPr>
        <sz val="9"/>
        <color theme="1"/>
        <rFont val="Malgun Gothic"/>
        <family val="3"/>
        <charset val="129"/>
      </rPr>
      <t>이하</t>
    </r>
  </si>
  <si>
    <r>
      <t>5</t>
    </r>
    <r>
      <rPr>
        <sz val="9"/>
        <color theme="1"/>
        <rFont val="Malgun Gothic"/>
        <family val="3"/>
        <charset val="129"/>
      </rPr>
      <t>회로</t>
    </r>
    <r>
      <rPr>
        <sz val="9"/>
        <color indexed="8"/>
        <rFont val="Malgun Gothic"/>
        <family val="3"/>
        <charset val="129"/>
      </rPr>
      <t xml:space="preserve"> </t>
    </r>
    <r>
      <rPr>
        <sz val="9"/>
        <color theme="1"/>
        <rFont val="Malgun Gothic"/>
        <family val="3"/>
        <charset val="129"/>
      </rPr>
      <t>이하</t>
    </r>
  </si>
  <si>
    <r>
      <t>10</t>
    </r>
    <r>
      <rPr>
        <sz val="9"/>
        <color theme="1"/>
        <rFont val="Malgun Gothic"/>
        <family val="3"/>
        <charset val="129"/>
      </rPr>
      <t>회로</t>
    </r>
    <r>
      <rPr>
        <sz val="9"/>
        <color indexed="8"/>
        <rFont val="Malgun Gothic"/>
        <family val="3"/>
        <charset val="129"/>
      </rPr>
      <t xml:space="preserve"> </t>
    </r>
    <r>
      <rPr>
        <sz val="9"/>
        <color theme="1"/>
        <rFont val="Malgun Gothic"/>
        <family val="3"/>
        <charset val="129"/>
      </rPr>
      <t>이하</t>
    </r>
  </si>
  <si>
    <r>
      <t>20</t>
    </r>
    <r>
      <rPr>
        <sz val="9"/>
        <color theme="1"/>
        <rFont val="Malgun Gothic"/>
        <family val="3"/>
        <charset val="129"/>
      </rPr>
      <t>회로</t>
    </r>
    <r>
      <rPr>
        <sz val="9"/>
        <color indexed="8"/>
        <rFont val="Malgun Gothic"/>
        <family val="3"/>
        <charset val="129"/>
      </rPr>
      <t xml:space="preserve"> </t>
    </r>
    <r>
      <rPr>
        <sz val="9"/>
        <color theme="1"/>
        <rFont val="Malgun Gothic"/>
        <family val="3"/>
        <charset val="129"/>
      </rPr>
      <t>이하</t>
    </r>
  </si>
  <si>
    <t>.</t>
  </si>
  <si>
    <t>기계경비</t>
    <phoneticPr fontId="5" type="noConversion"/>
  </si>
  <si>
    <t>기계경비합계</t>
  </si>
  <si>
    <t>E10807007001001001</t>
  </si>
  <si>
    <t>E10807007001001002</t>
  </si>
  <si>
    <t>E10807007001001003</t>
  </si>
  <si>
    <t>제 1호표  고소작업차2톤</t>
  </si>
  <si>
    <t>제 1호표  고소작업차</t>
  </si>
  <si>
    <t>hr</t>
  </si>
  <si>
    <t>제 2호표  고소작업차3톤</t>
  </si>
  <si>
    <t>제 2호표  고소작업차</t>
  </si>
  <si>
    <t>제 3호표  고소작업차5톤</t>
  </si>
  <si>
    <t>제 3호표  고소작업차</t>
  </si>
  <si>
    <t>E10811012001001001</t>
  </si>
  <si>
    <t>E10811012001001002</t>
  </si>
  <si>
    <t>E10811012001001003</t>
  </si>
  <si>
    <t>E10811012001001004</t>
  </si>
  <si>
    <t>E10811012001001005</t>
  </si>
  <si>
    <t>E10811012001001006</t>
  </si>
  <si>
    <t>E10811012001001007</t>
  </si>
  <si>
    <t>E10811012001001008</t>
  </si>
  <si>
    <t>E10811012001001009</t>
  </si>
  <si>
    <t>제 1호표  굴삭기(무한궤도)0.12㎥</t>
  </si>
  <si>
    <t>제 1호표  굴삭기(무한궤도)</t>
  </si>
  <si>
    <t>제 2호표  굴삭기(무한궤도)0.2㎥</t>
  </si>
  <si>
    <t>제 2호표  굴삭기(무한궤도)</t>
  </si>
  <si>
    <t>제 3호표  굴삭기(무한궤도)0.4㎥</t>
  </si>
  <si>
    <t>제 3호표  굴삭기(무한궤도)</t>
  </si>
  <si>
    <t>제 4호표  굴삭기(무한궤도)0.6㎥</t>
  </si>
  <si>
    <t>제 4호표  굴삭기(무한궤도)</t>
  </si>
  <si>
    <t>제 5호표  굴삭기(무한궤도)0.7㎥</t>
  </si>
  <si>
    <t>제 5호표  굴삭기(무한궤도)</t>
  </si>
  <si>
    <t>제 6호표  굴삭기(무한궤도)0.8㎥</t>
  </si>
  <si>
    <t>제 6호표  굴삭기(무한궤도)</t>
  </si>
  <si>
    <t>제 7호표  굴삭기(무한궤도)1.0㎥</t>
  </si>
  <si>
    <t>제 7호표  굴삭기(무한궤도)</t>
  </si>
  <si>
    <t>1.0㎥</t>
  </si>
  <si>
    <t>제 8호표  굴삭기(무한궤도)1.2㎥</t>
  </si>
  <si>
    <t>제 8호표  굴삭기(무한궤도)</t>
  </si>
  <si>
    <t>1.2㎥</t>
  </si>
  <si>
    <t>제 9호표  굴삭기(무한궤도)2.0㎥</t>
  </si>
  <si>
    <t>제 9호표  굴삭기(무한궤도)</t>
  </si>
  <si>
    <t>2.0㎥</t>
  </si>
  <si>
    <t>E10807008001001001</t>
  </si>
  <si>
    <t>E10807008001001002</t>
  </si>
  <si>
    <t>E10807008001001003</t>
  </si>
  <si>
    <t>E10807008001001004</t>
  </si>
  <si>
    <t>E10807008001001005</t>
  </si>
  <si>
    <t>E10807008001001006</t>
  </si>
  <si>
    <t>E10807008001001007</t>
  </si>
  <si>
    <t>E10807008001001008</t>
  </si>
  <si>
    <t>E10807008001001009</t>
  </si>
  <si>
    <t>E10807008001001010</t>
  </si>
  <si>
    <t>E10807008001001011</t>
  </si>
  <si>
    <t>E10807008001001012</t>
  </si>
  <si>
    <t>E10807008001001013</t>
  </si>
  <si>
    <t>E10807008001001014</t>
  </si>
  <si>
    <t>E10807008001001015</t>
  </si>
  <si>
    <t>E10807008001001016</t>
  </si>
  <si>
    <t>E10807008001001017</t>
  </si>
  <si>
    <t>E10807008001001018</t>
  </si>
  <si>
    <t>제 1호표  크레인(타이어)10톤</t>
  </si>
  <si>
    <t>제 1호표  크레인(타이어)</t>
  </si>
  <si>
    <t>제 2호표  크레인(타이어)15톤</t>
  </si>
  <si>
    <t>제 2호표  크레인(타이어)</t>
  </si>
  <si>
    <t>제 3호표  크레인(타이어)20톤</t>
  </si>
  <si>
    <t>제 3호표  크레인(타이어)</t>
  </si>
  <si>
    <t>제 4호표  크레인(타이어)25톤</t>
  </si>
  <si>
    <t>제 4호표  크레인(타이어)</t>
  </si>
  <si>
    <t>제 1호표  크레인(타이어)30톤</t>
  </si>
  <si>
    <t>제 2호표  크레인(타이어)35톤</t>
  </si>
  <si>
    <t>제 3호표  크레인(타이어)40톤</t>
  </si>
  <si>
    <t>제 4호표  크레인(타이어)45톤</t>
  </si>
  <si>
    <t>제 1호표  크레인(타이어)50톤</t>
  </si>
  <si>
    <t>제 2호표  크레인(타이어)60톤</t>
  </si>
  <si>
    <t>제 3호표  크레인(타이어)70톤</t>
  </si>
  <si>
    <t>제 4호표  크레인(타이어)80톤</t>
  </si>
  <si>
    <t>제 5호표  크레인(타이어)100톤</t>
  </si>
  <si>
    <t>제 5호표  크레인(타이어)</t>
  </si>
  <si>
    <t>제 6호표  크레인(타이어)130톤</t>
  </si>
  <si>
    <t>제 6호표  크레인(타이어)</t>
  </si>
  <si>
    <t>제 7호표  크레인(타이어)160톤</t>
  </si>
  <si>
    <t>제 7호표  크레인(타이어)</t>
  </si>
  <si>
    <t>제 8호표  크레인(타이어)200톤</t>
  </si>
  <si>
    <t>제 8호표  크레인(타이어)</t>
  </si>
  <si>
    <t>제 9호표  크레인(타이어)220톤</t>
  </si>
  <si>
    <t>제 9호표  크레인(타이어)</t>
  </si>
  <si>
    <t>제 10호표  크레인(타이어)250톤</t>
  </si>
  <si>
    <t>제 10호표  크레인(타이어)</t>
  </si>
  <si>
    <t>EA</t>
    <phoneticPr fontId="5" type="noConversion"/>
  </si>
  <si>
    <t>10톤</t>
  </si>
  <si>
    <t>15톤</t>
  </si>
  <si>
    <t>20톤</t>
  </si>
  <si>
    <t>25톤</t>
  </si>
  <si>
    <t>30톤</t>
  </si>
  <si>
    <t>35톤</t>
  </si>
  <si>
    <t>40톤</t>
  </si>
  <si>
    <t>45톤</t>
  </si>
  <si>
    <t>50톤</t>
  </si>
  <si>
    <t>60톤</t>
  </si>
  <si>
    <t>70톤</t>
  </si>
  <si>
    <t>80톤</t>
  </si>
  <si>
    <t>100톤</t>
  </si>
  <si>
    <t>130톤</t>
  </si>
  <si>
    <t>160톤</t>
  </si>
  <si>
    <t>200톤</t>
  </si>
  <si>
    <t>220톤</t>
  </si>
  <si>
    <t>250톤</t>
  </si>
  <si>
    <t>0.12㎥</t>
  </si>
  <si>
    <t>0.2㎥</t>
  </si>
  <si>
    <t>0.4㎥</t>
  </si>
  <si>
    <t>0.6㎥</t>
  </si>
  <si>
    <t>0.7㎥</t>
  </si>
  <si>
    <t>0.8㎥</t>
  </si>
  <si>
    <t>2톤</t>
  </si>
  <si>
    <t>3톤</t>
  </si>
  <si>
    <t>5톤</t>
  </si>
  <si>
    <t>인</t>
  </si>
  <si>
    <t>L003</t>
  </si>
  <si>
    <t>L045</t>
  </si>
  <si>
    <t>인력운반공</t>
  </si>
  <si>
    <t>합계</t>
  </si>
  <si>
    <t>단가합계</t>
  </si>
  <si>
    <t>노무비합계</t>
  </si>
  <si>
    <t>갑지합계</t>
  </si>
  <si>
    <t>M071400101200801</t>
  </si>
  <si>
    <t>M071400101200901</t>
  </si>
  <si>
    <t>분전반 · 계량기함</t>
  </si>
  <si>
    <t>TD STEEL 분전반 박스</t>
  </si>
  <si>
    <t>550×1,000×160, 1.6T</t>
  </si>
  <si>
    <t>600×700×160, 1.6T</t>
  </si>
  <si>
    <t>M071400101200701</t>
  </si>
  <si>
    <t>550×800×160, 1.6T</t>
  </si>
  <si>
    <t>M071400101201001</t>
  </si>
  <si>
    <t>600×800×160, 1.6T</t>
  </si>
  <si>
    <t>M071400101201201</t>
  </si>
  <si>
    <t>600×1,000×160, 1.6T</t>
  </si>
  <si>
    <t>M071400101201401</t>
  </si>
  <si>
    <t>650×800×160, 1.6T</t>
  </si>
  <si>
    <t>M071400101201101</t>
  </si>
  <si>
    <t>600×900×160, 1.6T</t>
  </si>
  <si>
    <t>M071400101202001</t>
  </si>
  <si>
    <t>M071400101202301</t>
  </si>
  <si>
    <t>700×1,000×160, 1.6T</t>
  </si>
  <si>
    <t>800×900×160, 1.6T</t>
  </si>
  <si>
    <t>M071400101201801</t>
  </si>
  <si>
    <t>700×800×160, 1.6T</t>
  </si>
  <si>
    <t>M071400101201301</t>
  </si>
  <si>
    <t>600×1,200×200, 1.6T</t>
  </si>
  <si>
    <t>M071400101201901</t>
  </si>
  <si>
    <t>700×900×160, 1.6T</t>
  </si>
  <si>
    <t>M071400101201501</t>
  </si>
  <si>
    <t>650×1,000×160, 1.6T</t>
  </si>
  <si>
    <t>M071400101201601</t>
  </si>
  <si>
    <t>650×1,100×160, 1.6T</t>
  </si>
  <si>
    <t>M071400101202501</t>
  </si>
  <si>
    <t>800×1,200×200, 1.6T</t>
  </si>
  <si>
    <t>M071400101202101</t>
  </si>
  <si>
    <t>700×1,100×160, 1.6T</t>
  </si>
  <si>
    <t>M071400101201701</t>
  </si>
  <si>
    <t>650×1,200×200, 1.6T</t>
  </si>
  <si>
    <t>M071400101202401</t>
  </si>
  <si>
    <t>800×1,000×200, 1.6T</t>
  </si>
  <si>
    <t>M071400101202201</t>
  </si>
  <si>
    <t>700×1,200×200, 1.6T</t>
  </si>
  <si>
    <t>M071400101202601</t>
  </si>
  <si>
    <t>800×1,400×200, 1.6T</t>
  </si>
  <si>
    <t>M071400101202801</t>
  </si>
  <si>
    <t>800×1,800×250, 1.6T</t>
  </si>
  <si>
    <t>M071400101202901</t>
  </si>
  <si>
    <t>900×1,800×250, 1.6T</t>
  </si>
  <si>
    <t>M071400101202701</t>
  </si>
  <si>
    <t>800×1,600×250, 1.6T</t>
  </si>
  <si>
    <t>M071200500600101</t>
  </si>
  <si>
    <t>배선용차단기</t>
  </si>
  <si>
    <t>ABS Type 배선용차단기</t>
  </si>
  <si>
    <t>ABS 32c , 정격전압:460V,14(10)kA 정격전류:3~30 극수:2P</t>
  </si>
  <si>
    <t>M071200500600401</t>
  </si>
  <si>
    <t>ABS 52c , 정격전압:460V,18kA 정격전류:15~50 극수:2P</t>
  </si>
  <si>
    <t>M071200500600701</t>
  </si>
  <si>
    <t>ABS 62c , 정격전압:460V,18kA 정격전류:15~60 극수:2P</t>
  </si>
  <si>
    <t>M071200500600201</t>
  </si>
  <si>
    <t>ABS 33c , 정격전압:460V,14(10)kA 정격전류:3~30 극수:3P</t>
  </si>
  <si>
    <t>M071200500600501</t>
  </si>
  <si>
    <t>ABS 53c , 정격전압:460V,18kA 정격전류:15~50 극수:3P</t>
  </si>
  <si>
    <t>M071200500600801</t>
  </si>
  <si>
    <t>ABS 63c , 정격전압:460V,18kA 정격전류:15~60 극수:3P</t>
  </si>
  <si>
    <t>M071200500600301</t>
  </si>
  <si>
    <t>ABS 34c , 정격전압:460V,14(10)kA 정격전류:3~30 극수:4P</t>
  </si>
  <si>
    <t>M071200500600601</t>
  </si>
  <si>
    <t>ABS 54c , 정격전압:460V,18kA 정격전류:15~50 극수:4P</t>
  </si>
  <si>
    <t>M071200500600901</t>
  </si>
  <si>
    <t>ABS 64c , 정격전압:460V,18kA 정격전류:15~60 극수:4P</t>
  </si>
  <si>
    <t>M071200500601001</t>
  </si>
  <si>
    <t>ABS 102c , 정격전압:460V,37kA 정격전류:15~125 극수:2P</t>
  </si>
  <si>
    <t>M071200500700101</t>
  </si>
  <si>
    <t>배선용차단기 (MCCB)</t>
  </si>
  <si>
    <t>ABS 103c , 정격전압:460V,37kA 정격전류:15~125 극수:3P</t>
  </si>
  <si>
    <t>M071200500700201</t>
  </si>
  <si>
    <t>ABS 104c , 정격전압:460V,37kA 정격전류:15~125 극수:4P</t>
  </si>
  <si>
    <t>M071200500700301</t>
  </si>
  <si>
    <t>ABS 202c , 정격전압:460V,37kA 정격전류:100~250 극수:2P</t>
  </si>
  <si>
    <t>M071200500700401</t>
  </si>
  <si>
    <t>ABS 203c , 정격전압:460V,37kA 정격전류:100~250 극수:3P</t>
  </si>
  <si>
    <t>M071200500700501</t>
  </si>
  <si>
    <t>ABS 204c , 정격전압:460V,37kA 정격전류:100~250 극수:4P</t>
  </si>
  <si>
    <t>M071200500700601</t>
  </si>
  <si>
    <t>ABS 402c , 정격전압:460V,50kA 정격전류:250~400 극수:2P</t>
  </si>
  <si>
    <t>M071200500700701</t>
  </si>
  <si>
    <t>ABS 403c, 정격전압:460V,50kA 정격전류:250~400 극수:3P</t>
  </si>
  <si>
    <t>M071200500700801</t>
  </si>
  <si>
    <t>ABS 404c , 정격전압:460V,50kA 정격전류:250~400 극수:4P</t>
  </si>
  <si>
    <t>M071200500700901</t>
  </si>
  <si>
    <t>ABS 602c , 정격전압:460V,65kA 정격전류:500~630 극수:2P</t>
  </si>
  <si>
    <t>M071200500701201</t>
  </si>
  <si>
    <t>ABS 802c , 정격전압:460V,65kA 정격전류:700~800 극수:2P</t>
  </si>
  <si>
    <t>M071200500701001</t>
  </si>
  <si>
    <t>ABS 603c , 정격전압:460V,65kA 정격전류:500~630 극수:3P</t>
  </si>
  <si>
    <t>M071200500701101</t>
  </si>
  <si>
    <t>ABS 604c , 정격전압:460V,65kA 정격전류:500~630 극수:4P</t>
  </si>
  <si>
    <t>M071200500701301</t>
  </si>
  <si>
    <t>ABS 803c , 정격전압:460V,65kA 정격전류:700~800 극수:3P</t>
  </si>
  <si>
    <t>M071200500701401</t>
  </si>
  <si>
    <t>ABS 804c , 정격전압:460V,65kA 정격전류:700~800 극수:4P</t>
  </si>
  <si>
    <t>M071200400101901</t>
  </si>
  <si>
    <t>누전차단기(ELB)(2)</t>
  </si>
  <si>
    <t>분전반용누전차단기</t>
  </si>
  <si>
    <t>EBS32Fb, 극수:2P2E 정격전류:3,5,10,15,20,30 차단전류(220V):5kA 분전반용</t>
  </si>
  <si>
    <t>M071200400102101</t>
  </si>
  <si>
    <t>EBS52Fb, 극수:2P2E 정격전류:5,10,15,20,30,40,50 차단전류(220V):5kA 분전반용</t>
  </si>
  <si>
    <t>M071200400102001</t>
  </si>
  <si>
    <t>EBS33Fb, 극수:2P3E 정격전류:3,5,10,15,20,30 차단전류(220V):5kA 분전반용</t>
  </si>
  <si>
    <t>M071200400102201</t>
  </si>
  <si>
    <t>EBS53Fb, 극수:2P3E 정격전류:5,10,15,20,30,40,50 차단전류(220V):5kA 분전반용</t>
  </si>
  <si>
    <t>M071200400300101</t>
  </si>
  <si>
    <t>EBS Type 누전차단기</t>
  </si>
  <si>
    <t>EBS32c, 극수:2P 정격전류:15~30 차단전류(460V):14kA</t>
  </si>
  <si>
    <t>M071200400300201</t>
  </si>
  <si>
    <t>EBS 33c, 극수:3P 정격전류:15~30 차단전류(460V):14kA</t>
  </si>
  <si>
    <t>M071200400102301</t>
  </si>
  <si>
    <t>EBS102Fb, 극수:2P2E 정격전류:60,75,100 차단전류(220V):10kA 분전반용</t>
  </si>
  <si>
    <t>M071200400300301</t>
  </si>
  <si>
    <t>M071200400301101</t>
  </si>
  <si>
    <t>EBS 34c, 극수:4P 정격전류:15~30 차단전류(460V):14kA</t>
  </si>
  <si>
    <t>EBS 204c, 극수:4P 정격전류:100~250 차단전류(460V):37kA</t>
  </si>
  <si>
    <t>M071200400102401</t>
  </si>
  <si>
    <t>EBS103Fb, 극수:2P3E 정격전류:60,75,100 차단전류(220V):10kA 분전반용</t>
  </si>
  <si>
    <t>M071200400300401</t>
  </si>
  <si>
    <t>EBS 53c, 극수:3P 정격전류:15~50 차단전류(460V):18kA</t>
  </si>
  <si>
    <t>M071200400300601</t>
  </si>
  <si>
    <t>EBS 63c, 극수:3P 정격전류:60 차단전류(460V):18kA</t>
  </si>
  <si>
    <t>M071200400300501</t>
  </si>
  <si>
    <t>EBS 54c, 극수:4P 정격전류:15~50 차단전류(460V):18kA</t>
  </si>
  <si>
    <t>M071200400300701</t>
  </si>
  <si>
    <t>EBS 64c, 극수:4P 정격전류:60 차단전류(460V):18kA</t>
  </si>
  <si>
    <t>M071200400300801</t>
  </si>
  <si>
    <t>EBS 103c, 극수:3P 정격전류:15~125 차단전류(460V):37kA</t>
  </si>
  <si>
    <t>M071200400300901</t>
  </si>
  <si>
    <t>EBS 104c, 극수:4P 정격전류:15~125 차단전류(460V):37kA</t>
  </si>
  <si>
    <t>M071200400301001</t>
  </si>
  <si>
    <t>EBS 203c, 극수:3P 정격전류:100~250 차단전류(460V):37kA</t>
  </si>
  <si>
    <t>M071200400301201</t>
  </si>
  <si>
    <t>EBS 403c, 극수:3P 정격전류:250~400 차단전류(460V):50kA</t>
  </si>
  <si>
    <t>M071200400301301</t>
  </si>
  <si>
    <t>EBS 404c, 극수:4P 정격전류:250~400 차단전류(460V):50kA</t>
  </si>
  <si>
    <t>M071200400301401</t>
  </si>
  <si>
    <t>EBS 603c, 극수:3P 정격전류:500~630 차단전류(460V):65kA</t>
  </si>
  <si>
    <t>M071200400301501</t>
  </si>
  <si>
    <t>EBS 803c, 극수:3P 정격전류:700~800 차단전류(460V):65kA</t>
  </si>
  <si>
    <t>M071200400100101</t>
  </si>
  <si>
    <t>32KGRc, 극수:2P2E 정격전류:15,20,30 차단전류(220V):1.5kA 분전반용</t>
  </si>
  <si>
    <t>M071200400100201</t>
  </si>
  <si>
    <t>32GRc, 극수:2P2E 정격전류:15,20,30 차단전류(220V):1.5kA 분전반용</t>
  </si>
  <si>
    <t>M071200400100401</t>
  </si>
  <si>
    <t>M071200400100501</t>
  </si>
  <si>
    <t>32KGRd, 극수:2P2E 정격전류:15,20,30 차단전류(220V):2.5kA 분전반용</t>
  </si>
  <si>
    <t>32GRd, 극수:2P2E 정격전류:15,20,30 차단전류(220V):2.5kA 분전반용</t>
  </si>
  <si>
    <t>M071200400100801</t>
  </si>
  <si>
    <t>32GRc, 극수:2P2E 정격전류:16,20,32 차단전류(220V):1.5kA 분전반용</t>
  </si>
  <si>
    <t>M071200400101101</t>
  </si>
  <si>
    <t>32GRd, 극수:2P2E 정격전류:16,20,32 차단전류(220V):2.5kA 분전반용</t>
  </si>
  <si>
    <t>M071200400101001</t>
  </si>
  <si>
    <t>32KGRd, 극수:2P2E 정격전류:16,20,32 차단전류(220V):2.5kA 분전반용</t>
  </si>
  <si>
    <t>M071200400100701</t>
  </si>
  <si>
    <t>32KGRc, 극수:2P2E 정격전류:16,20,32 차단전류(220V):1.5kA 분전반용</t>
  </si>
  <si>
    <t>M071200400100301</t>
  </si>
  <si>
    <t>32GRhc, 극수:2P2E 정격전류:15,20,30 차단전류(220V):1.5kA 분전반용</t>
  </si>
  <si>
    <t>M071200400100601</t>
  </si>
  <si>
    <t>32GRhd, 극수:2P2E 정격전류:15,20,30 차단전류(220V):2.5kA 분전반용</t>
  </si>
  <si>
    <t>M071200400100901</t>
  </si>
  <si>
    <t>32GRhc, 극수:2P2E 정격전류:16,20,32 차단전류(220V):1.5kA 분전반용</t>
  </si>
  <si>
    <t>M071200400101201</t>
  </si>
  <si>
    <t>32GRhd, 극수:2P2E 정격전류:16,20,32 차단전류(220V):2.5kA 분전반용</t>
  </si>
  <si>
    <t>M071200400101301</t>
  </si>
  <si>
    <t>EBE 32Fb, 극수:2P2E 정격전류:5,10,15,20,30 차단전류(220V):2.5kA 분전반용</t>
  </si>
  <si>
    <t>M071200400101501</t>
  </si>
  <si>
    <t>EBE 52Fb, 극수:2P2E 정격전류:15,20,30,40,50 차단전류(220V):2.5kA 분전반용</t>
  </si>
  <si>
    <t>M071200400101401</t>
  </si>
  <si>
    <t>EBE 33Fb, 극수:2P3E 정격전류:5,10,15,20,30 차단전류(220V):2.5kA 분전반용</t>
  </si>
  <si>
    <t>M071200400101601</t>
  </si>
  <si>
    <t>EBE 53Fb, 극수:2P3E 정격전류:15,20,30,40,50 차단전류(220V):2.5kA 분전반용</t>
  </si>
  <si>
    <t>M071200400101701</t>
  </si>
  <si>
    <t>EBE 102Fb, 극수:2P2E 정격전류:60,75,100 차단전류(220V):5kA 분전반용</t>
  </si>
  <si>
    <t>M071200400101801</t>
  </si>
  <si>
    <t>EBE 103Fb, 극수:2P3E 정격전류:60,75,100 차단전류(220V):5kA 분전반용</t>
  </si>
  <si>
    <t>M070802500100101</t>
  </si>
  <si>
    <t>전선덕트</t>
  </si>
  <si>
    <t>AL 덕트(분체도장가능)</t>
  </si>
  <si>
    <t>50×35㎜, 1M (포장수:30), 3M</t>
  </si>
  <si>
    <t>M070802500100201</t>
  </si>
  <si>
    <t>M070802500100301</t>
  </si>
  <si>
    <t>60×60㎜, 1M (포장수:30), 3M</t>
  </si>
  <si>
    <t>70×40㎜, 1M (포장수:30), 3M</t>
  </si>
  <si>
    <t>M070802500100401</t>
  </si>
  <si>
    <t>100×50㎜, 1M (포장수:20), 3M</t>
  </si>
  <si>
    <t>M070802500100501</t>
  </si>
  <si>
    <t>120×60㎜, 1M (포장수:14), 3M</t>
  </si>
  <si>
    <t>M070802500100601</t>
  </si>
  <si>
    <t>150×100㎜, 1M (포장수:10), 3M</t>
  </si>
  <si>
    <t>M070801500100101</t>
  </si>
  <si>
    <t>강제전선관</t>
  </si>
  <si>
    <t>후강전선관 아연도금</t>
  </si>
  <si>
    <t>16㎜, 외경21.0㎜, 두께2.3㎜, 중량1.06㎏/m</t>
  </si>
  <si>
    <t>M070801500100201</t>
  </si>
  <si>
    <t>22㎜, 외경26.5㎜, 두께2.3㎜, 중량1.37㎏/m</t>
  </si>
  <si>
    <t>M070801500100301</t>
  </si>
  <si>
    <t>28㎜, 외경33.3㎜, 두께2.5㎜, 중량1.90㎏/m</t>
  </si>
  <si>
    <t>M070801500100401</t>
  </si>
  <si>
    <t>36㎜, 외경41.9㎜, 두께2.5㎜, 중량2.43㎏/m</t>
  </si>
  <si>
    <t>M070801500100501</t>
  </si>
  <si>
    <t>42㎜, 외경47.8㎜, 두께2.5㎜, 중량2.79㎏/m</t>
  </si>
  <si>
    <t>M070801500100601</t>
  </si>
  <si>
    <t>54㎜, 외경56.9㎜, 두께2.8㎜, 중량3.92㎏/m</t>
  </si>
  <si>
    <t>M070801500100701</t>
  </si>
  <si>
    <t>70㎜, 외경75.2㎜, 두께2.8㎜, 중량5.00㎏/m</t>
  </si>
  <si>
    <t>M070801500100801</t>
  </si>
  <si>
    <t>82㎜, 외경87.9㎜, 두께2.8㎜, 중량5.88㎏/m</t>
  </si>
  <si>
    <t>M070801500100901</t>
  </si>
  <si>
    <t>104㎜, 외경113.4㎜, 두께3.5㎜, 중량9.48㎏/m</t>
  </si>
  <si>
    <t>M070802200100101</t>
  </si>
  <si>
    <t>플렉시블전선관부품-2</t>
  </si>
  <si>
    <t>후렉시블전선관콘넥타코드(천장매입용) PVC콘넥타양측형</t>
  </si>
  <si>
    <t>1.0m, 비방수 16㎜</t>
  </si>
  <si>
    <t>M070802200500101</t>
  </si>
  <si>
    <t>1.5m, 비방수 16㎜</t>
  </si>
  <si>
    <t>M070802200900101</t>
  </si>
  <si>
    <t>2.0m, 비방수 16㎜</t>
  </si>
  <si>
    <t>M070802200300101</t>
  </si>
  <si>
    <t>M070802200700101</t>
  </si>
  <si>
    <t>M070802201300101</t>
  </si>
  <si>
    <t>1.0m, 고장력 16㎜</t>
  </si>
  <si>
    <t>1.5m, 고장력 16㎜</t>
  </si>
  <si>
    <t>3.0m, 비방수 16㎜</t>
  </si>
  <si>
    <t>M070802201100101</t>
  </si>
  <si>
    <t>2.0m, 고장력 16㎜</t>
  </si>
  <si>
    <t>M070802201500101</t>
  </si>
  <si>
    <t>3.0m, 고장력 16㎜</t>
  </si>
  <si>
    <t>M070802200200101</t>
  </si>
  <si>
    <t>후렉시블전선관콘넥타코드(천장매입용) 아연도콘넥타양측형</t>
  </si>
  <si>
    <t>M070802200600101</t>
  </si>
  <si>
    <t>M070802200400101</t>
  </si>
  <si>
    <t>M070802201000101</t>
  </si>
  <si>
    <t>M070802200800101</t>
  </si>
  <si>
    <t>M070802201400101</t>
  </si>
  <si>
    <t>M070802201200101</t>
  </si>
  <si>
    <t>M070802201600101</t>
  </si>
  <si>
    <t>M070800700900101</t>
  </si>
  <si>
    <t>M070800700600101</t>
  </si>
  <si>
    <t>M070800702900101</t>
  </si>
  <si>
    <t>강제전선관부품-1</t>
  </si>
  <si>
    <t>새들</t>
  </si>
  <si>
    <t>16㎜, ㉿</t>
  </si>
  <si>
    <t>로크너트</t>
  </si>
  <si>
    <t>22㎜, ㉿</t>
  </si>
  <si>
    <t>M070800702600101</t>
  </si>
  <si>
    <t>M070800704900101</t>
  </si>
  <si>
    <t>28㎜, ㉿</t>
  </si>
  <si>
    <t>M070800700300101</t>
  </si>
  <si>
    <t>부싱</t>
  </si>
  <si>
    <t>M070800706900101</t>
  </si>
  <si>
    <t>36㎜, ㉿</t>
  </si>
  <si>
    <t>M070800701000101</t>
  </si>
  <si>
    <t>반새들</t>
  </si>
  <si>
    <t>M070800700700101</t>
  </si>
  <si>
    <t>크램프</t>
  </si>
  <si>
    <t>16㎜, 일반(볼트, 너트별도)</t>
  </si>
  <si>
    <t>M070800701100101</t>
  </si>
  <si>
    <t>M070800703100101</t>
  </si>
  <si>
    <t>U새들</t>
  </si>
  <si>
    <t>16㎜, 일반(볼트별도)</t>
  </si>
  <si>
    <t>22㎜, 일반(볼트별도)</t>
  </si>
  <si>
    <t>M070800702700101</t>
  </si>
  <si>
    <t>22㎜, 일반(볼트, 너트별도)</t>
  </si>
  <si>
    <t>M070800703000101</t>
  </si>
  <si>
    <t>M070800708800101</t>
  </si>
  <si>
    <t>42㎜, ㉿</t>
  </si>
  <si>
    <t>M070800702300101</t>
  </si>
  <si>
    <t>M070800704700101</t>
  </si>
  <si>
    <t>28㎜, 일반(볼트, 너트별도)</t>
  </si>
  <si>
    <t>M070800704600101</t>
  </si>
  <si>
    <t>M070800700800101</t>
  </si>
  <si>
    <t>M070800702800101</t>
  </si>
  <si>
    <t>M070800704800101</t>
  </si>
  <si>
    <t>KS크램프</t>
  </si>
  <si>
    <t>16㎜, 일반</t>
  </si>
  <si>
    <t>22㎜, 일반</t>
  </si>
  <si>
    <t>28㎜, 일반</t>
  </si>
  <si>
    <t>M070800706700101</t>
  </si>
  <si>
    <t>36㎜, 일반(볼트, 너트별도)</t>
  </si>
  <si>
    <t>M070800704300101</t>
  </si>
  <si>
    <t>M070800705100101</t>
  </si>
  <si>
    <t>28㎜, 일반(볼트별도)</t>
  </si>
  <si>
    <t>M070800706600101</t>
  </si>
  <si>
    <t>M070800708600101</t>
  </si>
  <si>
    <t>M070800710600101</t>
  </si>
  <si>
    <t>42㎜, 일반(볼트, 너트별도)</t>
  </si>
  <si>
    <t>54㎜, ㉿</t>
  </si>
  <si>
    <t>M070800710400101</t>
  </si>
  <si>
    <t>54㎜, 일반(볼트, 너트별도)</t>
  </si>
  <si>
    <t>M070800700700201</t>
  </si>
  <si>
    <t>16㎜, 용융아연(볼트, 너트별도)</t>
  </si>
  <si>
    <t>M070800705000101</t>
  </si>
  <si>
    <t>M070800706800101</t>
  </si>
  <si>
    <t>36㎜, 일반</t>
  </si>
  <si>
    <t>M070800708700101</t>
  </si>
  <si>
    <t>42㎜, 일반</t>
  </si>
  <si>
    <t>M070800700400101</t>
  </si>
  <si>
    <t>인슈레드부싱</t>
  </si>
  <si>
    <t>M070800712200101</t>
  </si>
  <si>
    <t>70㎜, 일반(볼트, 너트별도)</t>
  </si>
  <si>
    <t>M070800708500101</t>
  </si>
  <si>
    <t>M070800706300101</t>
  </si>
  <si>
    <t>M070800702700201</t>
  </si>
  <si>
    <t>22㎜, 용융아연(볼트, 너트별도)</t>
  </si>
  <si>
    <t>M070800702400101</t>
  </si>
  <si>
    <t>M070800700500101</t>
  </si>
  <si>
    <t>M070800704400101</t>
  </si>
  <si>
    <t>M070800700200101</t>
  </si>
  <si>
    <t>M070800710500101</t>
  </si>
  <si>
    <t>M070800702200101</t>
  </si>
  <si>
    <t>절연접지부싱</t>
  </si>
  <si>
    <t>카프링</t>
  </si>
  <si>
    <t>54㎜, 일반</t>
  </si>
  <si>
    <t>M070800707100101</t>
  </si>
  <si>
    <t>36㎜, 일반(볼트별도)</t>
  </si>
  <si>
    <t>M070800704700201</t>
  </si>
  <si>
    <t>28㎜, 용융아연(볼트, 너트별도)</t>
  </si>
  <si>
    <t>M070800713900101</t>
  </si>
  <si>
    <t>82㎜, 일반(볼트, 너트별도)</t>
  </si>
  <si>
    <t>M070800702500101</t>
  </si>
  <si>
    <t>M070800708200101</t>
  </si>
  <si>
    <t>M070800701500101</t>
  </si>
  <si>
    <t>JI FLEX SF(비방수)</t>
  </si>
  <si>
    <t>16㎜, KS</t>
  </si>
  <si>
    <t>M070800706700201</t>
  </si>
  <si>
    <t>36㎜, 용융아연(볼트, 너트별도)</t>
  </si>
  <si>
    <t>M070800700700301</t>
  </si>
  <si>
    <t>16㎜, STS(볼트, 너트별도)</t>
  </si>
  <si>
    <t>M070800712400101</t>
  </si>
  <si>
    <t>70㎜, ㉿</t>
  </si>
  <si>
    <t>M070800708600201</t>
  </si>
  <si>
    <t>42㎜, 용융아연(볼트, 너트별도)</t>
  </si>
  <si>
    <t>M070800701600101</t>
  </si>
  <si>
    <t>JI FLEX GW(일반방수)</t>
  </si>
  <si>
    <t>M070800704200101</t>
  </si>
  <si>
    <t>M070800715600101</t>
  </si>
  <si>
    <t>104㎜, 일반(볼트, 너트별도)</t>
  </si>
  <si>
    <t>M070800701200101</t>
  </si>
  <si>
    <t>M070800706400101</t>
  </si>
  <si>
    <t>M070800710300101</t>
  </si>
  <si>
    <t>파이프행거</t>
  </si>
  <si>
    <t>M070800703200101</t>
  </si>
  <si>
    <t>M070800714100101</t>
  </si>
  <si>
    <t>82㎜, ㉿</t>
  </si>
  <si>
    <t>M070800704500101</t>
  </si>
  <si>
    <t>M070800702700301</t>
  </si>
  <si>
    <t>22㎜, STS(볼트, 너트별도)</t>
  </si>
  <si>
    <t>M070800707000101</t>
  </si>
  <si>
    <t>M070800705200101</t>
  </si>
  <si>
    <t>M070800707200101</t>
  </si>
  <si>
    <t>M070800709000101</t>
  </si>
  <si>
    <t>M070800712300101</t>
  </si>
  <si>
    <t>70㎜, 일반</t>
  </si>
  <si>
    <t>M070800710000101</t>
  </si>
  <si>
    <t>M070800706500101</t>
  </si>
  <si>
    <t>M070800704700301</t>
  </si>
  <si>
    <t>28㎜, STS(볼트, 너트별도)</t>
  </si>
  <si>
    <t>M070800710400201</t>
  </si>
  <si>
    <t>M070800701800101</t>
  </si>
  <si>
    <t>54㎜, 용융아연(볼트, 너트별도)</t>
  </si>
  <si>
    <t>JI FLEX 아연방수콘박스타입</t>
  </si>
  <si>
    <t>M070800714000101</t>
  </si>
  <si>
    <t>82㎜, 일반</t>
  </si>
  <si>
    <t>M070800715800101</t>
  </si>
  <si>
    <t>M070800703500101</t>
  </si>
  <si>
    <t>104㎜, ㉿</t>
  </si>
  <si>
    <t>22㎜, KS</t>
  </si>
  <si>
    <t>M070800712200201</t>
  </si>
  <si>
    <t>70㎜, 용융아연(볼트, 너트별도)</t>
  </si>
  <si>
    <t>M070800706700301</t>
  </si>
  <si>
    <t>36㎜, STS(볼트, 너트별도)</t>
  </si>
  <si>
    <t>M070800712100101</t>
  </si>
  <si>
    <t>M070800703600101</t>
  </si>
  <si>
    <t>M070800715700101</t>
  </si>
  <si>
    <t>104㎜, 일반</t>
  </si>
  <si>
    <t>M070800701700101</t>
  </si>
  <si>
    <t>JI FLEX SW(고장력방수)</t>
  </si>
  <si>
    <t>M070800708300101</t>
  </si>
  <si>
    <t>M070800703800101</t>
  </si>
  <si>
    <t>M070800705500101</t>
  </si>
  <si>
    <t>28㎜, KS</t>
  </si>
  <si>
    <t>M070800708600301</t>
  </si>
  <si>
    <t>42㎜, STS(볼트, 너트별도)</t>
  </si>
  <si>
    <t>M070800708900101</t>
  </si>
  <si>
    <t>M070800710800101</t>
  </si>
  <si>
    <t>M070800706200101</t>
  </si>
  <si>
    <t>M070800705600101</t>
  </si>
  <si>
    <t>M070800713900201</t>
  </si>
  <si>
    <t>82㎜, 용융아연(볼트, 너트별도)</t>
  </si>
  <si>
    <t>M070800712500101</t>
  </si>
  <si>
    <t>M070800708400101</t>
  </si>
  <si>
    <t>M070800710400301</t>
  </si>
  <si>
    <t>54㎜, STS(볼트, 너트별도)</t>
  </si>
  <si>
    <t>M070800711800101</t>
  </si>
  <si>
    <t>M070800703700101</t>
  </si>
  <si>
    <t>M070800708100101</t>
  </si>
  <si>
    <t>M070800707500101</t>
  </si>
  <si>
    <t>36㎜, KS</t>
  </si>
  <si>
    <t>M070800713800101</t>
  </si>
  <si>
    <t>M070800715600201</t>
  </si>
  <si>
    <t>104㎜, 용융아연(볼트, 너트별도)</t>
  </si>
  <si>
    <t>M070800710700101</t>
  </si>
  <si>
    <t>M070800710100101</t>
  </si>
  <si>
    <t>M070800712200301</t>
  </si>
  <si>
    <t>70㎜, STS(볼트, 너트별도)</t>
  </si>
  <si>
    <t>M070800705800101</t>
  </si>
  <si>
    <t>M070800714200101</t>
  </si>
  <si>
    <t>M070800715500101</t>
  </si>
  <si>
    <t>M070800707400101</t>
  </si>
  <si>
    <t>M070800705700101</t>
  </si>
  <si>
    <t>M070800710200101</t>
  </si>
  <si>
    <t>M070800711900101</t>
  </si>
  <si>
    <t>M070800713900301</t>
  </si>
  <si>
    <t>82㎜, STS(볼트, 너트별도)</t>
  </si>
  <si>
    <t>M070800715600301</t>
  </si>
  <si>
    <t>104㎜, STS(볼트, 너트별도)</t>
  </si>
  <si>
    <t>M070800713500101</t>
  </si>
  <si>
    <t>M070800709900101</t>
  </si>
  <si>
    <t>M070800715900101</t>
  </si>
  <si>
    <t>M070800707700101</t>
  </si>
  <si>
    <t>M070800712000101</t>
  </si>
  <si>
    <t>M070800700100101</t>
  </si>
  <si>
    <t>M070800702100101</t>
  </si>
  <si>
    <t>노말밴드</t>
  </si>
  <si>
    <t>M070800709300101</t>
  </si>
  <si>
    <t>42㎜, KS</t>
  </si>
  <si>
    <t>M070800709200101</t>
  </si>
  <si>
    <t>M070800707600101</t>
  </si>
  <si>
    <t>M070800701300201</t>
  </si>
  <si>
    <t>유니버셜</t>
  </si>
  <si>
    <t>16㎜, ㉿ T형</t>
  </si>
  <si>
    <t>M070800701300101</t>
  </si>
  <si>
    <t>M070800703300201</t>
  </si>
  <si>
    <t>16㎜, ㉿ L형</t>
  </si>
  <si>
    <t>22㎜, ㉿ T형</t>
  </si>
  <si>
    <t>M070800703300101</t>
  </si>
  <si>
    <t>22㎜, ㉿ L형</t>
  </si>
  <si>
    <t>M070800713700101</t>
  </si>
  <si>
    <t>M070800709500101</t>
  </si>
  <si>
    <t>M070800702000101</t>
  </si>
  <si>
    <t>JI FLEX 워셔캡</t>
  </si>
  <si>
    <t>M070800711100101</t>
  </si>
  <si>
    <t>54㎜, KS</t>
  </si>
  <si>
    <t>M070800713600101</t>
  </si>
  <si>
    <t>M070800711000101</t>
  </si>
  <si>
    <t>M070800704000101</t>
  </si>
  <si>
    <t>M070800711700101</t>
  </si>
  <si>
    <t>M070800715200101</t>
  </si>
  <si>
    <t>M070800706000101</t>
  </si>
  <si>
    <t>M070800704100101</t>
  </si>
  <si>
    <t>M070800705300101</t>
  </si>
  <si>
    <t>28㎜, ㉿ L형</t>
  </si>
  <si>
    <t>M070800709400101</t>
  </si>
  <si>
    <t>M070800711300101</t>
  </si>
  <si>
    <t>M070800705300201</t>
  </si>
  <si>
    <t>28㎜, ㉿ T형</t>
  </si>
  <si>
    <t>M070800701900101</t>
  </si>
  <si>
    <t>JI FLEX 유니온커플링</t>
  </si>
  <si>
    <t>M070800703900101</t>
  </si>
  <si>
    <t>M070800707900101</t>
  </si>
  <si>
    <t>M070800715300101</t>
  </si>
  <si>
    <t>M070800713400101</t>
  </si>
  <si>
    <t>M070800706100101</t>
  </si>
  <si>
    <t>M070800711200101</t>
  </si>
  <si>
    <t>M070800712800101</t>
  </si>
  <si>
    <t>70㎜, KS</t>
  </si>
  <si>
    <t>M070800701400101</t>
  </si>
  <si>
    <t>M070800701400201</t>
  </si>
  <si>
    <t>M070800703400101</t>
  </si>
  <si>
    <t>곤지레다</t>
  </si>
  <si>
    <t>16㎜, 주철 L형</t>
  </si>
  <si>
    <t>16㎜, 주철 T형</t>
  </si>
  <si>
    <t>22㎜, 주철 L형</t>
  </si>
  <si>
    <t>M070800709700101</t>
  </si>
  <si>
    <t>M070800715400101</t>
  </si>
  <si>
    <t>M070800708000101</t>
  </si>
  <si>
    <t>M070800703400201</t>
  </si>
  <si>
    <t>22㎜, 주철 T형</t>
  </si>
  <si>
    <t>M070800705900101</t>
  </si>
  <si>
    <t>M070800714500101</t>
  </si>
  <si>
    <t>82㎜, KS</t>
  </si>
  <si>
    <t>M070800711500101</t>
  </si>
  <si>
    <t>M070800712700101</t>
  </si>
  <si>
    <t>M070800715100101</t>
  </si>
  <si>
    <t>M070800705400101</t>
  </si>
  <si>
    <t>28㎜, 주철 L형</t>
  </si>
  <si>
    <t>M070800713000101</t>
  </si>
  <si>
    <t>M070800705400201</t>
  </si>
  <si>
    <t>28㎜, 주철 T형</t>
  </si>
  <si>
    <t>M070800707800101</t>
  </si>
  <si>
    <t>M070800709800101</t>
  </si>
  <si>
    <t>M070800716200101</t>
  </si>
  <si>
    <t>104㎜, KS</t>
  </si>
  <si>
    <t>M070800707300101</t>
  </si>
  <si>
    <t>36㎜, 주철 L형</t>
  </si>
  <si>
    <t>M070800714400101</t>
  </si>
  <si>
    <t>M070800707300201</t>
  </si>
  <si>
    <t>36㎜, 주철 T형</t>
  </si>
  <si>
    <t>M070800712900101</t>
  </si>
  <si>
    <t>M070800709600101</t>
  </si>
  <si>
    <t>M070800714700101</t>
  </si>
  <si>
    <t>M070800709100101</t>
  </si>
  <si>
    <t>42㎜, 주철 L형</t>
  </si>
  <si>
    <t>M070800711400101</t>
  </si>
  <si>
    <t>M070800709100201</t>
  </si>
  <si>
    <t>42㎜, 주철 T형</t>
  </si>
  <si>
    <t>M070800716100101</t>
  </si>
  <si>
    <t>M070800711600101</t>
  </si>
  <si>
    <t>M070800714600101</t>
  </si>
  <si>
    <t>M070800716400101</t>
  </si>
  <si>
    <t>M070800713200101</t>
  </si>
  <si>
    <t>M070800710900101</t>
  </si>
  <si>
    <t>54㎜, 주철 L형</t>
  </si>
  <si>
    <t>M070800713300101</t>
  </si>
  <si>
    <t>M070800710900201</t>
  </si>
  <si>
    <t>54㎜, 주철 T형</t>
  </si>
  <si>
    <t>M070800716300101</t>
  </si>
  <si>
    <t>M070800714900101</t>
  </si>
  <si>
    <t>M070800713100101</t>
  </si>
  <si>
    <t>M070800714800101</t>
  </si>
  <si>
    <t>M070800712600101</t>
  </si>
  <si>
    <t>70㎜, 주철 L형</t>
  </si>
  <si>
    <t>M070800715000101</t>
  </si>
  <si>
    <t>M070800712600201</t>
  </si>
  <si>
    <t>70㎜, 주철 T형</t>
  </si>
  <si>
    <t>M070800714300101</t>
  </si>
  <si>
    <t>82㎜, 주철 L형</t>
  </si>
  <si>
    <t>M070800716600101</t>
  </si>
  <si>
    <t>M070800716500101</t>
  </si>
  <si>
    <t>M070800714300201</t>
  </si>
  <si>
    <t>82㎜, 주철 T형</t>
  </si>
  <si>
    <t>M070800716000101</t>
  </si>
  <si>
    <t>104㎜, 주철 L형</t>
  </si>
  <si>
    <t>M070800716000201</t>
  </si>
  <si>
    <t>104㎜, 주철 T형</t>
  </si>
  <si>
    <t>M070801100100101</t>
  </si>
  <si>
    <t>2종금속전선관</t>
  </si>
  <si>
    <t>안전증방폭형(EXeⅡ)</t>
  </si>
  <si>
    <t>ES-10, 50m</t>
  </si>
  <si>
    <t>M070801100100201</t>
  </si>
  <si>
    <t>ES-12, 50m</t>
  </si>
  <si>
    <t>M070801100100501</t>
  </si>
  <si>
    <t>ES-28, 30m</t>
  </si>
  <si>
    <t>M070801100100301</t>
  </si>
  <si>
    <t>ES-16, 50m</t>
  </si>
  <si>
    <t>M070801100100401</t>
  </si>
  <si>
    <t>ES-22, 50m</t>
  </si>
  <si>
    <t>M070801100100601</t>
  </si>
  <si>
    <t>ES-36, 30m</t>
  </si>
  <si>
    <t>M070801100100701</t>
  </si>
  <si>
    <t>ES-42, 20m</t>
  </si>
  <si>
    <t>M070801100100901</t>
  </si>
  <si>
    <t>ES-70, 10m</t>
  </si>
  <si>
    <t>M070801100100801</t>
  </si>
  <si>
    <t>ES-54, 20m</t>
  </si>
  <si>
    <t>M070802000200301</t>
  </si>
  <si>
    <t>플렉시블전선관</t>
  </si>
  <si>
    <t>KOFLEX플렉시블전선관(일반방수)</t>
  </si>
  <si>
    <t>GW-16, 16.0, 21.0</t>
  </si>
  <si>
    <t>M070802000200401</t>
  </si>
  <si>
    <t>GW-22, 21.0, 26.5</t>
  </si>
  <si>
    <t>M070802000200101</t>
  </si>
  <si>
    <t>GW-10, 10.0, 15.0</t>
  </si>
  <si>
    <t>M070802000200501</t>
  </si>
  <si>
    <t>GW-28, 27.5, 33.0</t>
  </si>
  <si>
    <t>M070802000200201</t>
  </si>
  <si>
    <t>GW-12, 12.5, 17.5</t>
  </si>
  <si>
    <t>M070802000200601</t>
  </si>
  <si>
    <t>GW-36, 35.5, 42.0</t>
  </si>
  <si>
    <t>M070802000200701</t>
  </si>
  <si>
    <t>GW-42, 40.5, 47.5</t>
  </si>
  <si>
    <t>M070802000200801</t>
  </si>
  <si>
    <t>GW-54, 52.0, 59.0</t>
  </si>
  <si>
    <t>M070802000200901</t>
  </si>
  <si>
    <t>GW-70, 64.0, 73.0</t>
  </si>
  <si>
    <t>M070802000201001</t>
  </si>
  <si>
    <t>GW-82, 79.0, 88.0</t>
  </si>
  <si>
    <t>M070802000300201</t>
  </si>
  <si>
    <t>KOFLEX플렉시블전선관(고장력비방수)</t>
  </si>
  <si>
    <t>SF-12, 12.5, 15.5</t>
  </si>
  <si>
    <t>M070802000300401</t>
  </si>
  <si>
    <t>SF-22, 21.0, 24.0</t>
  </si>
  <si>
    <t>M070802000300501</t>
  </si>
  <si>
    <t>SF-28, 27.5, 30.5</t>
  </si>
  <si>
    <t>M070802000300601</t>
  </si>
  <si>
    <t>SF-36, 35.5, 39.0</t>
  </si>
  <si>
    <t>M070802000300701</t>
  </si>
  <si>
    <t>SF-42, 40.5, 44.5</t>
  </si>
  <si>
    <t>M070802000300801</t>
  </si>
  <si>
    <t>SF-54, 52.0, 56.0</t>
  </si>
  <si>
    <t>M070802000300901</t>
  </si>
  <si>
    <t>SF-70, 64.0, 69.0</t>
  </si>
  <si>
    <t>M070802000301001</t>
  </si>
  <si>
    <t>SF-82, 79.0, 84.0</t>
  </si>
  <si>
    <t>M070900805200101</t>
  </si>
  <si>
    <t>케이블트레이(KSC8464) 및 부속품(3)</t>
  </si>
  <si>
    <t>SHANK BOLT/NUT</t>
  </si>
  <si>
    <t>HDG, 3/8˝×19L</t>
  </si>
  <si>
    <t>M070901301600101</t>
  </si>
  <si>
    <t>케이블트레이(KSC8464) 및 부속품(5)-4</t>
  </si>
  <si>
    <t>JOINT CON</t>
  </si>
  <si>
    <t>HDG, H100</t>
  </si>
  <si>
    <t>M070901501000301</t>
  </si>
  <si>
    <t>케이블덕트ㆍ트레이</t>
  </si>
  <si>
    <t>B-JUMPER</t>
  </si>
  <si>
    <t>38SQ</t>
  </si>
  <si>
    <t>M070901303100101</t>
  </si>
  <si>
    <t>HOLD DOWN CLAMP</t>
  </si>
  <si>
    <t>STS, 40×60</t>
  </si>
  <si>
    <t>M070901400206901</t>
  </si>
  <si>
    <t>CABLE TRAY (사다리형, LADDER TRAY)</t>
  </si>
  <si>
    <t>SUPPORT &amp;ACCESSORIES</t>
  </si>
  <si>
    <t>BOX CON, W300</t>
  </si>
  <si>
    <t>M070901400206701</t>
  </si>
  <si>
    <t>BOX CON, W150</t>
  </si>
  <si>
    <t>M070901400206801</t>
  </si>
  <si>
    <t>BOX CON, W200</t>
  </si>
  <si>
    <t>M070901400207201</t>
  </si>
  <si>
    <t>BOX CON, W600</t>
  </si>
  <si>
    <t>M070901400207001</t>
  </si>
  <si>
    <t>BOX CON, W400</t>
  </si>
  <si>
    <t>M070901400207101</t>
  </si>
  <si>
    <t>BOX CON, W500</t>
  </si>
  <si>
    <t>M070901400207301</t>
  </si>
  <si>
    <t>BOX CON, W700</t>
  </si>
  <si>
    <t>M070901400207401</t>
  </si>
  <si>
    <t>BOX CON, W800</t>
  </si>
  <si>
    <t>M070901400207501</t>
  </si>
  <si>
    <t>BOX CON, W900</t>
  </si>
  <si>
    <t>M070901400207601</t>
  </si>
  <si>
    <t>BOX CON, W1000</t>
  </si>
  <si>
    <t>M070901400207701</t>
  </si>
  <si>
    <t>BOX CON, W1200</t>
  </si>
  <si>
    <t>M070901200102301</t>
  </si>
  <si>
    <t>케이블트레이(KSC8464) 및 부속품(5)-3</t>
  </si>
  <si>
    <t>SUPPORT&amp;ACCESSORIES(용융도금)</t>
  </si>
  <si>
    <t>HANGER, W+100, W150</t>
  </si>
  <si>
    <t>M070901200102401</t>
  </si>
  <si>
    <t>HANGER, W+100, W200</t>
  </si>
  <si>
    <t>M070901200102501</t>
  </si>
  <si>
    <t>HANGER, W+100, W300</t>
  </si>
  <si>
    <t>M070901200102601</t>
  </si>
  <si>
    <t>HANGER, W+100, W400</t>
  </si>
  <si>
    <t>M070901200102701</t>
  </si>
  <si>
    <t>HANGER, W+100, W500</t>
  </si>
  <si>
    <t>M070901200102801</t>
  </si>
  <si>
    <t>HANGER, W+100, W600</t>
  </si>
  <si>
    <t>M070901200103001</t>
  </si>
  <si>
    <t>HANGER, W+100, W800</t>
  </si>
  <si>
    <t>M070901200103101</t>
  </si>
  <si>
    <t>HANGER, W+100, W900</t>
  </si>
  <si>
    <t>M070901200102901</t>
  </si>
  <si>
    <t>HANGER, W+100, W700</t>
  </si>
  <si>
    <t>M070901200103301</t>
  </si>
  <si>
    <t>HANGER, W+100, W1,200</t>
  </si>
  <si>
    <t>M070901200103201</t>
  </si>
  <si>
    <t>HANGER, W+100, W1,000</t>
  </si>
  <si>
    <t>M070901200100101</t>
  </si>
  <si>
    <t>SINGLE CHANNEL BRACKET, W+50, W150</t>
  </si>
  <si>
    <t>M070901200100201</t>
  </si>
  <si>
    <t>SINGLE CHANNEL BRACKET, W+50, W200</t>
  </si>
  <si>
    <t>M070901200100301</t>
  </si>
  <si>
    <t>SINGLE CHANNEL BRACKET, W+50, W300</t>
  </si>
  <si>
    <t>M070901200100401</t>
  </si>
  <si>
    <t>SINGLE CHANNEL BRACKET, W+50, W400</t>
  </si>
  <si>
    <t>M070901200100501</t>
  </si>
  <si>
    <t>SINGLE CHANNEL BRACKET, W+50, W500</t>
  </si>
  <si>
    <t>M070901200100801</t>
  </si>
  <si>
    <t>SINGLE CHANNEL BRACKET, W+50, W800</t>
  </si>
  <si>
    <t>M070901200100601</t>
  </si>
  <si>
    <t>SINGLE CHANNEL BRACKET, W+50, W600</t>
  </si>
  <si>
    <t>M070901200100901</t>
  </si>
  <si>
    <t>SINGLE CHANNEL BRACKET, W+50, W900</t>
  </si>
  <si>
    <t>M070901200100701</t>
  </si>
  <si>
    <t>SINGLE CHANNEL BRACKET, W+50, W700</t>
  </si>
  <si>
    <t>M070901200101001</t>
  </si>
  <si>
    <t>SINGLE CHANNEL BRACKET, W+50, W1,000</t>
  </si>
  <si>
    <t>M070901200101101</t>
  </si>
  <si>
    <t>SINGLE CHANNEL BRACKET, W+50, W1,200</t>
  </si>
  <si>
    <t>M070901000300101</t>
  </si>
  <si>
    <t>케이블트레이(KSC8464) 및 부속품(5)-1</t>
  </si>
  <si>
    <t>LADDER TRAY(사다리형)2.3T R.S.200㎜, 용융도금</t>
  </si>
  <si>
    <t>S/T COVER, W150×100H</t>
  </si>
  <si>
    <t>M070901000300201</t>
  </si>
  <si>
    <t>S/T COVER, W200×100H</t>
  </si>
  <si>
    <t>M070901000300301</t>
  </si>
  <si>
    <t>S/T COVER, W300×100H</t>
  </si>
  <si>
    <t>M070901000300601</t>
  </si>
  <si>
    <t>S/T COVER, W600×100H</t>
  </si>
  <si>
    <t>M070901000300701</t>
  </si>
  <si>
    <t>S/T COVER, W700×100H</t>
  </si>
  <si>
    <t>M070901000300401</t>
  </si>
  <si>
    <t>S/T COVER, W400×100H</t>
  </si>
  <si>
    <t>M070901000300801</t>
  </si>
  <si>
    <t>S/T COVER, W800×100H</t>
  </si>
  <si>
    <t>M070901000300501</t>
  </si>
  <si>
    <t>S/T COVER, W500×100H</t>
  </si>
  <si>
    <t>M070901000300901</t>
  </si>
  <si>
    <t>S/T COVER, W900×100H</t>
  </si>
  <si>
    <t>M071800304500101</t>
  </si>
  <si>
    <t>접지자재ㆍ피뢰자재(3)</t>
  </si>
  <si>
    <t>핸드클램프</t>
  </si>
  <si>
    <t>M071801305200101</t>
  </si>
  <si>
    <t>접지자재ㆍ피뢰자재(13)</t>
  </si>
  <si>
    <t>접지 부속자재-접지릴</t>
  </si>
  <si>
    <t>10M</t>
  </si>
  <si>
    <t>M071500301000101</t>
  </si>
  <si>
    <t>계전기(릴레이)(2)</t>
  </si>
  <si>
    <t>SSR(무접점릴레이)</t>
  </si>
  <si>
    <t>WKS-1212SQHAC, HS-10A</t>
  </si>
  <si>
    <t>M071500301000401</t>
  </si>
  <si>
    <t>WKS-1240SQ, 1C 220VAC 40A</t>
  </si>
  <si>
    <t>M071400202200101</t>
  </si>
  <si>
    <t>디지털축소형모자익시스템</t>
  </si>
  <si>
    <t>시간지연 제어용 릴레이(DTCR)</t>
  </si>
  <si>
    <t>DTCR-A2, 연속정격전류 AC/DC 1A</t>
  </si>
  <si>
    <t>M071500301000501</t>
  </si>
  <si>
    <t>WKS-1210G2H4T, 입력 10-26VDC/출력 280/10A이하</t>
  </si>
  <si>
    <t>M072300300600101</t>
  </si>
  <si>
    <t>가로등방수형접속함</t>
  </si>
  <si>
    <t>누전릴레이방수함</t>
  </si>
  <si>
    <t>MSB-500, (사전점검기능내장)</t>
  </si>
  <si>
    <t>M071500301000601</t>
  </si>
  <si>
    <t>WKS-1220G2H4T, 입력 10-26VDC/출력 280/10A이하</t>
  </si>
  <si>
    <t>M071500301000201</t>
  </si>
  <si>
    <t>M071500301001501</t>
  </si>
  <si>
    <t>M071500301000901</t>
  </si>
  <si>
    <t>M071500301001001</t>
  </si>
  <si>
    <t>WKS-1225SQHAC, HS-20A</t>
  </si>
  <si>
    <t>WKS-3225FRMP, 삼상 정,역 일체/3C 220V AC12-24VDC</t>
  </si>
  <si>
    <t>WKS-1310G2H4T, 입력 10-26VDC/출력 280/10A이하</t>
  </si>
  <si>
    <t>WKS-1320G2H4T, 입력 10-26VDC/출력 280/10A이하</t>
  </si>
  <si>
    <t>M071500301000301</t>
  </si>
  <si>
    <t>WKS-1240SQHAC, HS-40A</t>
  </si>
  <si>
    <t>M071500301001301</t>
  </si>
  <si>
    <t>WKS-1240M04, 단상 2회로/2C 220V AC4-32VDC</t>
  </si>
  <si>
    <t>M071400203600101</t>
  </si>
  <si>
    <t>반도체형 제어 릴레이(SCLR)</t>
  </si>
  <si>
    <t>YSDR-3050P/T,</t>
  </si>
  <si>
    <t>M071500301000701</t>
  </si>
  <si>
    <t>WKS-1240G2H4T, 입력 10-26VDC/출력 280/10A이하</t>
  </si>
  <si>
    <t>M071500301001101</t>
  </si>
  <si>
    <t>WKS-1340G2H4T, 입력 10-26VDC/출력 280/10A이하</t>
  </si>
  <si>
    <t>M071500301000801</t>
  </si>
  <si>
    <t>WKS-1250G2H4T, 입력 10-26VDC/출력 280/10A이하</t>
  </si>
  <si>
    <t>M071500301001201</t>
  </si>
  <si>
    <t>M071600201100101</t>
  </si>
  <si>
    <t>WKS-1350G2H4T, 입력 10-26VDC/출력 280/10A이하</t>
  </si>
  <si>
    <t>프로그래머블 로직 콘트롤러(1)</t>
  </si>
  <si>
    <t>릴레이출력모듈</t>
  </si>
  <si>
    <t>CM1-YR16E, RELAY출력/16점/2A</t>
  </si>
  <si>
    <t>M071500301001401</t>
  </si>
  <si>
    <t>WKS-3370H04, 3C 440V 70A</t>
  </si>
  <si>
    <t>M070500500100501</t>
  </si>
  <si>
    <t>광케이블</t>
  </si>
  <si>
    <t>4C, SM(싱글모드)</t>
  </si>
  <si>
    <t>M070500500100601</t>
  </si>
  <si>
    <t>8C, SM(싱글모드)</t>
  </si>
  <si>
    <t>M070500500100101</t>
  </si>
  <si>
    <t>4C, MM(멀티모드)</t>
  </si>
  <si>
    <t>M070500500100701</t>
  </si>
  <si>
    <t>12C, SM(싱글모드)</t>
  </si>
  <si>
    <t>M070500500100801</t>
  </si>
  <si>
    <t>24C, SM(싱글모드)</t>
  </si>
  <si>
    <t>M070500500100201</t>
  </si>
  <si>
    <t>8C, MM(멀티모드)</t>
  </si>
  <si>
    <t>M070500500100301</t>
  </si>
  <si>
    <t>12C, MM(멀티모드)</t>
  </si>
  <si>
    <t>M070501000300101</t>
  </si>
  <si>
    <t>LAN(UTP)케이블(2)</t>
  </si>
  <si>
    <t>Cat.5e 4P 케이블(PVC, UTP, White)</t>
  </si>
  <si>
    <t>VOL-5UP4-350WH</t>
  </si>
  <si>
    <t>M070501000200101</t>
  </si>
  <si>
    <t>Cat.6 4P 케이블(PVC, UTP, Bule)</t>
  </si>
  <si>
    <t>VOL-6UP4-305</t>
  </si>
  <si>
    <t>M070500900100101</t>
  </si>
  <si>
    <t>LAN(UTP)케이블(1)</t>
  </si>
  <si>
    <t>UTP Cable Cat.5E 4Pr</t>
  </si>
  <si>
    <t>1061 004SCL 4/24 W1000 (305M)</t>
  </si>
  <si>
    <t>Box</t>
  </si>
  <si>
    <t>M070500900300101</t>
  </si>
  <si>
    <t>UTP Cable Cat.6 4Pr CMR</t>
  </si>
  <si>
    <t>1071 004ESL 4/24 W1000 (305M)</t>
  </si>
  <si>
    <t>M070500900400101</t>
  </si>
  <si>
    <t>UTP Cable Cat.6A 4Pr CMR</t>
  </si>
  <si>
    <t>1091 004BL 4/23 R1000 (305M)</t>
  </si>
  <si>
    <t>M070100300100101</t>
  </si>
  <si>
    <t>저독난연가교폴리올레핀절연전선(HFIX)</t>
  </si>
  <si>
    <t>HFIX</t>
  </si>
  <si>
    <t>1.5SQ(1.38㎜)단선</t>
  </si>
  <si>
    <t>M070100300100401</t>
  </si>
  <si>
    <t>2.5SQ</t>
  </si>
  <si>
    <t>M070100300100501</t>
  </si>
  <si>
    <t>4SQ</t>
  </si>
  <si>
    <t>M070101100100101</t>
  </si>
  <si>
    <t>전기기기용비닐절연전선(KIV)</t>
  </si>
  <si>
    <t>450/700 KIV</t>
  </si>
  <si>
    <t>1.5㎟</t>
  </si>
  <si>
    <t>M070101100100201</t>
  </si>
  <si>
    <t>2.5㎟</t>
  </si>
  <si>
    <t>M070101100100301</t>
  </si>
  <si>
    <t>4㎟</t>
  </si>
  <si>
    <t>M070101100100401</t>
  </si>
  <si>
    <t>6㎟</t>
  </si>
  <si>
    <t>M070101100100501</t>
  </si>
  <si>
    <t>10㎟</t>
  </si>
  <si>
    <t>M070101100100601</t>
  </si>
  <si>
    <t>16㎟</t>
  </si>
  <si>
    <t>M070101100100701</t>
  </si>
  <si>
    <t>25㎟</t>
  </si>
  <si>
    <t>M070101100100801</t>
  </si>
  <si>
    <t>35㎟</t>
  </si>
  <si>
    <t>M070101100100901</t>
  </si>
  <si>
    <t>50㎟</t>
  </si>
  <si>
    <t>M070101100101001</t>
  </si>
  <si>
    <t>70㎟</t>
  </si>
  <si>
    <t>M070101100101101</t>
  </si>
  <si>
    <t>95㎟</t>
  </si>
  <si>
    <t>M070101100101201</t>
  </si>
  <si>
    <t>120㎟</t>
  </si>
  <si>
    <t>M070101100101301</t>
  </si>
  <si>
    <t>150㎟</t>
  </si>
  <si>
    <t>M070101100101401</t>
  </si>
  <si>
    <t>185㎟</t>
  </si>
  <si>
    <t>M070101100101501</t>
  </si>
  <si>
    <t>240㎟</t>
  </si>
  <si>
    <t>M070100900100301</t>
  </si>
  <si>
    <t>비닐절연비닐캡타이어케이블(VCT)(1)</t>
  </si>
  <si>
    <t>VCT</t>
  </si>
  <si>
    <t>2심, 2.5㎟</t>
  </si>
  <si>
    <t>M070100900101201</t>
  </si>
  <si>
    <t>3심, 2.5㎟</t>
  </si>
  <si>
    <t>M070100900101301</t>
  </si>
  <si>
    <t>3심, 4㎟</t>
  </si>
  <si>
    <t>M070200200100901</t>
  </si>
  <si>
    <t>M070200200107001</t>
  </si>
  <si>
    <t>절연난연PVC시스케이블(F-CV, TFR-CV)</t>
  </si>
  <si>
    <t>0.6/1KV 1C 50㎟</t>
  </si>
  <si>
    <t>6/10KV 1C 50㎟</t>
  </si>
  <si>
    <t>M070200200101001</t>
  </si>
  <si>
    <t>M070200200107101</t>
  </si>
  <si>
    <t>0.6/1KV 1C 70㎟</t>
  </si>
  <si>
    <t>6/10KV 1C 70㎟</t>
  </si>
  <si>
    <t>M070200200101101</t>
  </si>
  <si>
    <t>M070200200107201</t>
  </si>
  <si>
    <t>0.6/1KV 1C 95㎟</t>
  </si>
  <si>
    <t>6/10KV 1C 95㎟</t>
  </si>
  <si>
    <t>M070200200107301</t>
  </si>
  <si>
    <t>6/10KV 1C 120㎟</t>
  </si>
  <si>
    <t>M070200200107401</t>
  </si>
  <si>
    <t>6/10KV 1C 150㎟</t>
  </si>
  <si>
    <t>M070200200107501</t>
  </si>
  <si>
    <t>6/10KV 1C 185㎟</t>
  </si>
  <si>
    <t>M070200200101501</t>
  </si>
  <si>
    <t>0.6/1KV 1C 240㎟</t>
  </si>
  <si>
    <t>M070200200101601</t>
  </si>
  <si>
    <t>0.6/1KV 1C 300㎟</t>
  </si>
  <si>
    <t>M070200200103901</t>
  </si>
  <si>
    <t>0.6/1KV 3C 6㎟</t>
  </si>
  <si>
    <t>M070200200104001</t>
  </si>
  <si>
    <t>0.6/1KV 3C 10㎟</t>
  </si>
  <si>
    <t>M070200200104101</t>
  </si>
  <si>
    <t>0.6/1KV 3C 16㎟</t>
  </si>
  <si>
    <t>M070200200104201</t>
  </si>
  <si>
    <t>0.6/1KV 3C 25㎟</t>
  </si>
  <si>
    <t>M070200200104301</t>
  </si>
  <si>
    <t>0.6/1KV 3C 35㎟</t>
  </si>
  <si>
    <t>M070200200105301</t>
  </si>
  <si>
    <t>0.6/1KV 4C 2.5㎟</t>
  </si>
  <si>
    <t>M070200200105401</t>
  </si>
  <si>
    <t>0.6/1KV 4C 4㎟</t>
  </si>
  <si>
    <t>M070200200105501</t>
  </si>
  <si>
    <t>0.6/1KV 4C 6㎟</t>
  </si>
  <si>
    <t>M070200200105601</t>
  </si>
  <si>
    <t>0.6/1KV 4C 10㎟</t>
  </si>
  <si>
    <t>M070200200105701</t>
  </si>
  <si>
    <t>0.6/1KV 4C 16㎟</t>
  </si>
  <si>
    <t>M070200200105801</t>
  </si>
  <si>
    <t>0.6/1KV 4C 25㎟</t>
  </si>
  <si>
    <t>M070200200105901</t>
  </si>
  <si>
    <t>0.6/1KV 4C 35㎟</t>
  </si>
  <si>
    <t>M070200200106001</t>
  </si>
  <si>
    <t>0.6/1KV 4C 50㎟</t>
  </si>
  <si>
    <t>M070200200106101</t>
  </si>
  <si>
    <t>0.6/1KV 4C 70㎟</t>
  </si>
  <si>
    <t>M072700200600101</t>
  </si>
  <si>
    <t>축전지(2)</t>
  </si>
  <si>
    <t>12V 고율 방전용 무보수 완전 밀폐형 축전지</t>
  </si>
  <si>
    <t>ESP 30-12, 12V 30AH</t>
  </si>
  <si>
    <t>M072700200600201</t>
  </si>
  <si>
    <t>ESP 40-12, 12V 40AH</t>
  </si>
  <si>
    <t>M072700200600301</t>
  </si>
  <si>
    <t>ESP 65-12, 12V 65AH</t>
  </si>
  <si>
    <t>M072700200600401</t>
  </si>
  <si>
    <t>ESP 100-12, 12V 100AH</t>
  </si>
  <si>
    <t>M072700200600501</t>
  </si>
  <si>
    <t>ESP 120-12, 12V 120AH</t>
  </si>
  <si>
    <t>M072700200600601</t>
  </si>
  <si>
    <t>ESP 130-12, 12V 130AH</t>
  </si>
  <si>
    <t>M072700200600701</t>
  </si>
  <si>
    <t>ESP 150-12, 12V 150AH</t>
  </si>
  <si>
    <t>M072700200600801</t>
  </si>
  <si>
    <t>ESP 200-12, 12V 200AH</t>
  </si>
  <si>
    <t>M070501001200101</t>
  </si>
  <si>
    <t>Cat.5e RJ45 모듈라플러그</t>
  </si>
  <si>
    <t>VOL-MP5E-UTP</t>
  </si>
  <si>
    <t>M070501001100101</t>
  </si>
  <si>
    <t>Cat.6 RJ45 모듈라플러그</t>
  </si>
  <si>
    <t>VOL-MP6B-UTP</t>
  </si>
  <si>
    <t>M071900100101001</t>
  </si>
  <si>
    <t>M071900100101101</t>
  </si>
  <si>
    <t>플러그 및 기타배선기구</t>
  </si>
  <si>
    <t>플러그</t>
  </si>
  <si>
    <t>ㄱ 자</t>
  </si>
  <si>
    <t>ㅡ 자</t>
  </si>
  <si>
    <t>M071900100100101</t>
  </si>
  <si>
    <t>M071900100100201</t>
  </si>
  <si>
    <t>환접지</t>
  </si>
  <si>
    <t>3P 20A</t>
  </si>
  <si>
    <t>M071900100100601</t>
  </si>
  <si>
    <t>4P 20A</t>
  </si>
  <si>
    <t>M071900100100401</t>
  </si>
  <si>
    <t>3P 30A</t>
  </si>
  <si>
    <t>M071900100100501</t>
  </si>
  <si>
    <t>3P 50A</t>
  </si>
  <si>
    <t>M071900100100701</t>
  </si>
  <si>
    <t>4P 30A</t>
  </si>
  <si>
    <t>M071900100100801</t>
  </si>
  <si>
    <t>4P 50A</t>
  </si>
  <si>
    <t>M071900100100901</t>
  </si>
  <si>
    <t>4P 30A (걸림)</t>
  </si>
  <si>
    <t>M071900100100301</t>
  </si>
  <si>
    <t>3P 20A (고무)</t>
  </si>
  <si>
    <t>M070900400800101</t>
  </si>
  <si>
    <t>M070900400800301</t>
  </si>
  <si>
    <t>금속제박스 및 커버(전선관용)</t>
  </si>
  <si>
    <t>1개용 H54(2)㎜</t>
  </si>
  <si>
    <t>2개용 H54(2)㎜</t>
  </si>
  <si>
    <t>M071901000201101</t>
  </si>
  <si>
    <t>콘센트</t>
  </si>
  <si>
    <t>노출콘센트(산업용)</t>
  </si>
  <si>
    <t>노출접 2구(신형)</t>
  </si>
  <si>
    <t>M070900400800201</t>
  </si>
  <si>
    <t>1개용 H75(3)㎜</t>
  </si>
  <si>
    <t>M071901000100101</t>
  </si>
  <si>
    <t>220V 접1구</t>
  </si>
  <si>
    <t>M071901000200901</t>
  </si>
  <si>
    <t>노출접 1구</t>
  </si>
  <si>
    <t>M071901000201201</t>
  </si>
  <si>
    <t>노출접 3구(신형)</t>
  </si>
  <si>
    <t>M071901000201001</t>
  </si>
  <si>
    <t>노출접 2구</t>
  </si>
  <si>
    <t>M071901000200101</t>
  </si>
  <si>
    <t>노출접 2구 110V</t>
  </si>
  <si>
    <t>M071901000300101</t>
  </si>
  <si>
    <t>매입콘센트(산업용)</t>
  </si>
  <si>
    <t>110V 대각접 2구</t>
  </si>
  <si>
    <t>M071901000200201</t>
  </si>
  <si>
    <t>노출 3P 20A</t>
  </si>
  <si>
    <t>M071901000300201</t>
  </si>
  <si>
    <t>매입 3P 20A</t>
  </si>
  <si>
    <t>M071901000100401</t>
  </si>
  <si>
    <t>방접 1구</t>
  </si>
  <si>
    <t>M071901000100501</t>
  </si>
  <si>
    <t>방접 2구</t>
  </si>
  <si>
    <t>M071901000200501</t>
  </si>
  <si>
    <t>노출 4P 20A</t>
  </si>
  <si>
    <t>M071901000200301</t>
  </si>
  <si>
    <t>노출 3P 30A</t>
  </si>
  <si>
    <t>M071901000100301</t>
  </si>
  <si>
    <t>220V 접4구</t>
  </si>
  <si>
    <t>M071901000200401</t>
  </si>
  <si>
    <t>노출 3P 50A</t>
  </si>
  <si>
    <t>M071901000200601</t>
  </si>
  <si>
    <t>노출 4P 30A</t>
  </si>
  <si>
    <t>M071901000300301</t>
  </si>
  <si>
    <t>매입 3P 50A</t>
  </si>
  <si>
    <t>M071901000300601</t>
  </si>
  <si>
    <t>매입 4P 30A (걸림)</t>
  </si>
  <si>
    <t>M071901000300401</t>
  </si>
  <si>
    <t>매입 4P 20A</t>
  </si>
  <si>
    <t>M071901000200701</t>
  </si>
  <si>
    <t>노출 4P 50A</t>
  </si>
  <si>
    <t>M071901000300501</t>
  </si>
  <si>
    <t>매입 4P 30A</t>
  </si>
  <si>
    <t>M071901000200801</t>
  </si>
  <si>
    <t>노출 4P 30A (걸림)</t>
  </si>
  <si>
    <t>M070900400900101</t>
  </si>
  <si>
    <t>M070900400900201</t>
  </si>
  <si>
    <t>아우트레트박스</t>
  </si>
  <si>
    <t>8각 O/T Box H44(1½)㎜</t>
  </si>
  <si>
    <t>8각 O/T Box H54(2)㎜</t>
  </si>
  <si>
    <t>M070900400900301</t>
  </si>
  <si>
    <t>8각 O/T Box H75(3)㎜</t>
  </si>
  <si>
    <t>M070800900100101</t>
  </si>
  <si>
    <t>노출배관용부품(전선관용)</t>
  </si>
  <si>
    <t>노출스위치박스(1개용)</t>
  </si>
  <si>
    <t>16㎜, 1방출</t>
  </si>
  <si>
    <t>M070800900400101</t>
  </si>
  <si>
    <t>22㎜, 1방출</t>
  </si>
  <si>
    <t>M070800900900101</t>
  </si>
  <si>
    <t>승압16㎜, 1방출</t>
  </si>
  <si>
    <t>M070800901100101</t>
  </si>
  <si>
    <t>승압22㎜, 1방출</t>
  </si>
  <si>
    <t>M070900400100301</t>
  </si>
  <si>
    <t>스위치박스</t>
  </si>
  <si>
    <t>1개용 S/W Box H75(3)㎜</t>
  </si>
  <si>
    <t>300㎟</t>
  </si>
  <si>
    <t>M070600300900101</t>
  </si>
  <si>
    <t>전선·케이블</t>
  </si>
  <si>
    <t>F-GV(1C)</t>
  </si>
  <si>
    <t>M070600300900201</t>
  </si>
  <si>
    <t>M070600300900301</t>
  </si>
  <si>
    <t>M070600300900401</t>
  </si>
  <si>
    <t>M070600300900501</t>
  </si>
  <si>
    <t>M070600300900601</t>
  </si>
  <si>
    <t>M070600300900701</t>
  </si>
  <si>
    <t>M070600300900801</t>
  </si>
  <si>
    <t>M070600300900901</t>
  </si>
  <si>
    <t>M070600300901001</t>
  </si>
  <si>
    <t>M070600300901101</t>
  </si>
  <si>
    <t>M070600300901201</t>
  </si>
  <si>
    <t>M070600300901301</t>
  </si>
  <si>
    <t>M070600300901401</t>
  </si>
  <si>
    <t>M070600300901501</t>
  </si>
  <si>
    <t>M071900700100101</t>
  </si>
  <si>
    <t>스위치</t>
  </si>
  <si>
    <t>1구 스위치</t>
  </si>
  <si>
    <t>와이드,</t>
  </si>
  <si>
    <t>M071900700200101</t>
  </si>
  <si>
    <t>2구 스위치</t>
  </si>
  <si>
    <t>M071900701700101</t>
  </si>
  <si>
    <t>3로1구 스위치</t>
  </si>
  <si>
    <t>M071900700300101</t>
  </si>
  <si>
    <t>3구 스위치</t>
  </si>
  <si>
    <t>M071900700400101</t>
  </si>
  <si>
    <t>중2구 스위치</t>
  </si>
  <si>
    <t>M071900700500101</t>
  </si>
  <si>
    <t>중3구 스위치</t>
  </si>
  <si>
    <t>M071900701800101</t>
  </si>
  <si>
    <t>3로2구 스위치</t>
  </si>
  <si>
    <t>M071900700600101</t>
  </si>
  <si>
    <t>중4구 스위치</t>
  </si>
  <si>
    <t>M071900700700101</t>
  </si>
  <si>
    <t>중5구 스위치</t>
  </si>
  <si>
    <t>M071900701900101</t>
  </si>
  <si>
    <t>3로3구 스위치</t>
  </si>
  <si>
    <t>M071900700800101</t>
  </si>
  <si>
    <t>중6구 스위치</t>
  </si>
  <si>
    <t>M072100900100701</t>
  </si>
  <si>
    <t>재실감지센서(1)-2</t>
  </si>
  <si>
    <t>재실감지기</t>
  </si>
  <si>
    <t>MS-2CH, 8A/8A 양방향 모션감지기(마이크로웨이브 센서)</t>
  </si>
  <si>
    <t>M070900100300301</t>
  </si>
  <si>
    <t>M070900100300101</t>
  </si>
  <si>
    <t>플라스틱콘트롤BOX</t>
  </si>
  <si>
    <t>콘트롤BOX</t>
  </si>
  <si>
    <t>DS-015, 철중판, 가로200×세로300×높이150</t>
  </si>
  <si>
    <t>DS-01, 철중판, 가로200×세로300×높이180</t>
  </si>
  <si>
    <t>M070900100300201</t>
  </si>
  <si>
    <t>DS-012, 철중판, 가로225×세로275×높이120</t>
  </si>
  <si>
    <t>M070900100800201</t>
  </si>
  <si>
    <t>DS-012, 플라스틱중판, 가로225×세로275×높이120</t>
  </si>
  <si>
    <t>M070900100800301</t>
  </si>
  <si>
    <t>DS-015, 플라스틱중판, 가로200×세로300×높이150</t>
  </si>
  <si>
    <t>M070900100800101</t>
  </si>
  <si>
    <t>DS-01, 플라스틱중판, 가로200×세로300×높이180</t>
  </si>
  <si>
    <t>M070900100300401</t>
  </si>
  <si>
    <t>DS-02, 철중판, 가로300×세로400×높이180</t>
  </si>
  <si>
    <t>M070900100800401</t>
  </si>
  <si>
    <t>DS-02, 플라스틱중판, 가로300×세로400×높이180</t>
  </si>
  <si>
    <t>M070900100300501</t>
  </si>
  <si>
    <t>DS-03, 철중판, 가로400×세로500×높이200</t>
  </si>
  <si>
    <t>M070900100300601</t>
  </si>
  <si>
    <t>DS-04, 철중판, 가로400×세로600×높이230</t>
  </si>
  <si>
    <t>M070900100800501</t>
  </si>
  <si>
    <t>DS-03, 플라스틱중판, 가로400×세로500×높이200</t>
  </si>
  <si>
    <t>M071001600100101</t>
  </si>
  <si>
    <t>M071001600100201</t>
  </si>
  <si>
    <t>인버터판넬</t>
  </si>
  <si>
    <t>ISP-008P, 0.75㎾</t>
  </si>
  <si>
    <t>ISP-015P, 1.5㎾</t>
  </si>
  <si>
    <t>M071001600100301</t>
  </si>
  <si>
    <t>ISP-022P, 2.2㎾</t>
  </si>
  <si>
    <t>M071001600100401</t>
  </si>
  <si>
    <t>ISP-037P, 3.7㎾</t>
  </si>
  <si>
    <t>M071001600100501</t>
  </si>
  <si>
    <t>ISP-055P, 5.5㎾</t>
  </si>
  <si>
    <t>M071001600100601</t>
  </si>
  <si>
    <t>ISP-075P, 7.5㎾</t>
  </si>
  <si>
    <t>M071001600100701</t>
  </si>
  <si>
    <t>ISP-110P, 11㎾</t>
  </si>
  <si>
    <t>M071001600100801</t>
  </si>
  <si>
    <t>인버터판넬</t>
    <phoneticPr fontId="5" type="noConversion"/>
  </si>
  <si>
    <t>ISP-150P, 15㎾</t>
  </si>
  <si>
    <t>M071001600100901</t>
  </si>
  <si>
    <t>ISP-185P, 18.5㎾</t>
  </si>
  <si>
    <t>M071001600101001</t>
  </si>
  <si>
    <t>ISP-220P, 22㎾</t>
  </si>
  <si>
    <t>M071001600101101</t>
  </si>
  <si>
    <t>ISP-300P, 30㎾</t>
  </si>
  <si>
    <t>M071001600101201</t>
  </si>
  <si>
    <t>ISP-370P, 37㎾</t>
  </si>
  <si>
    <t>M071001600101301</t>
  </si>
  <si>
    <t>ISP-450P, 45㎾</t>
  </si>
  <si>
    <t>M071001600101401</t>
  </si>
  <si>
    <t>ISP-550P, 55㎾</t>
  </si>
  <si>
    <t>M070900500100101</t>
  </si>
  <si>
    <t>풀박스</t>
  </si>
  <si>
    <t>100×100×50×1.0</t>
  </si>
  <si>
    <t>M070900500100201</t>
  </si>
  <si>
    <t>100×100×75×1.0</t>
  </si>
  <si>
    <t>M070900500100401</t>
  </si>
  <si>
    <t>150×150×100×1.0</t>
  </si>
  <si>
    <t>M070900500100301</t>
  </si>
  <si>
    <t>100×100×100×1.0</t>
  </si>
  <si>
    <t>M070900500100501</t>
  </si>
  <si>
    <t>150×150×150×1.0</t>
  </si>
  <si>
    <t>M070900500100601</t>
  </si>
  <si>
    <t>200×200×100×1.0</t>
  </si>
  <si>
    <t>M070900500100701</t>
  </si>
  <si>
    <t>200×200×150×1.0</t>
  </si>
  <si>
    <t>M070900500100801</t>
  </si>
  <si>
    <t>200×200×200×1.0</t>
  </si>
  <si>
    <t>M070900500100901</t>
  </si>
  <si>
    <t>250×250×100×1.0</t>
  </si>
  <si>
    <t>M070900500101001</t>
  </si>
  <si>
    <t>250×250×150×1.0</t>
  </si>
  <si>
    <t>M070900500101201</t>
  </si>
  <si>
    <t>300×300×100×1.0</t>
  </si>
  <si>
    <t>M070900500101101</t>
  </si>
  <si>
    <t>250×250×200×1.0</t>
  </si>
  <si>
    <t>M070900500101301</t>
  </si>
  <si>
    <t>300×300×150×1.0</t>
  </si>
  <si>
    <t>M070900500101401</t>
  </si>
  <si>
    <t>300×300×200×1.0</t>
  </si>
  <si>
    <t>M070900500101501</t>
  </si>
  <si>
    <t>300×300×300×1.0</t>
  </si>
  <si>
    <t>M070900500101601</t>
  </si>
  <si>
    <t>400×400×150×1.0</t>
  </si>
  <si>
    <t>M070900500101701</t>
  </si>
  <si>
    <t>400×400×200×1.0</t>
  </si>
  <si>
    <t>M070900500101801</t>
  </si>
  <si>
    <t>400×400×300×1.0</t>
  </si>
  <si>
    <t>M070900500101901</t>
  </si>
  <si>
    <t>500×500×200×1.0</t>
  </si>
  <si>
    <t>M070900500102001</t>
  </si>
  <si>
    <t>500×500×300×1.0</t>
  </si>
  <si>
    <t>M070900500102101</t>
  </si>
  <si>
    <t>600×600×300×1.0</t>
  </si>
  <si>
    <t>M070900500102201</t>
  </si>
  <si>
    <t>600×600×400×1.0</t>
  </si>
  <si>
    <t>M071001900300101</t>
  </si>
  <si>
    <t>인버터(1)</t>
  </si>
  <si>
    <t>차세대 범용 인버터 iS7</t>
  </si>
  <si>
    <t>SV0008iS7-2NO, 200V, 0.75㎾</t>
  </si>
  <si>
    <t>M071001900304501</t>
  </si>
  <si>
    <t>SV0008iS7-2NOFD, 200V(리액터,필터 내장), 0.75㎾</t>
  </si>
  <si>
    <t>M071001900300201</t>
  </si>
  <si>
    <t>SV0015iS7-2NO, 200V, 1.5㎾</t>
  </si>
  <si>
    <t>M071001900304601</t>
  </si>
  <si>
    <t>SV0015iS7-2NOFD, 200V(리액터,필터 내장), 1.5㎾</t>
  </si>
  <si>
    <t>M071001900300301</t>
  </si>
  <si>
    <t>SV0022iS7-2NO, 200V, 2.2㎾</t>
  </si>
  <si>
    <t>M071001900301601</t>
  </si>
  <si>
    <t>SV0008iS7-4NO, 400V, 0.75㎾</t>
  </si>
  <si>
    <t>M071001900304701</t>
  </si>
  <si>
    <t>SV0022iS7-2NOFD, 200V(리액터,필터 내장), 2.2㎾</t>
  </si>
  <si>
    <t>M071001900305501</t>
  </si>
  <si>
    <t>SV0008iS7-4NOFD, 400V(리액터,필터 내장), 0.75㎾</t>
  </si>
  <si>
    <t>M071001900300401</t>
  </si>
  <si>
    <t>SV0037iS7-2NO, 200V, 3.7㎾</t>
  </si>
  <si>
    <t>M071001900304801</t>
  </si>
  <si>
    <t>SV0037iS7-2NOFD, 200V(리액터,필터 내장), 3.7㎾</t>
  </si>
  <si>
    <t>M071001900301701</t>
  </si>
  <si>
    <t>SV0015iS7-4NO, 400V, 1.5㎾</t>
  </si>
  <si>
    <t>M071001900305601</t>
  </si>
  <si>
    <t>SV0015iS7-4NOFD, 400V(리액터,필터 내장), 1.5㎾</t>
  </si>
  <si>
    <t>M071001900301801</t>
  </si>
  <si>
    <t>SV0022iS7-4NO, 400V, 2.2㎾</t>
  </si>
  <si>
    <t>M071001900305701</t>
  </si>
  <si>
    <t>SV0022iS7-4NOFD, 400V(리액터,필터 내장), 2.2㎾</t>
  </si>
  <si>
    <t>M071001900300501</t>
  </si>
  <si>
    <t>SV0055iS7-2NO, 200V, 5.5㎾</t>
  </si>
  <si>
    <t>M071001900304901</t>
  </si>
  <si>
    <t>SV0055iS7-2NOFD, 200V(리액터,필터 내장), 5.5㎾</t>
  </si>
  <si>
    <t>M071001900301901</t>
  </si>
  <si>
    <t>SV0037iS7-4NO, 400V, 3.7㎾</t>
  </si>
  <si>
    <t>M071001900305801</t>
  </si>
  <si>
    <t>SV0037iS7-4NOFD, 400V(리액터,필터 내장), 3.7㎾</t>
  </si>
  <si>
    <t>M071001900305001</t>
  </si>
  <si>
    <t>SV0075iS7-2NOFD, 200V(리액터,필터 내장), 7.5㎾</t>
  </si>
  <si>
    <t>M071001900302001</t>
  </si>
  <si>
    <t>SV0055iS7-4NO, 400V, 5.5㎾</t>
  </si>
  <si>
    <t>M071001900305901</t>
  </si>
  <si>
    <t>SV0055iS7-4NOFD, 400V(리액터,필터 내장), 5.5㎾</t>
  </si>
  <si>
    <t>M071001900302101</t>
  </si>
  <si>
    <t>SV0075iS7-4NO, 400V, 7.5㎾</t>
  </si>
  <si>
    <t>M071001900300601</t>
  </si>
  <si>
    <t>M071001900306001</t>
  </si>
  <si>
    <t>SV0075iS7-2NO, 200V, 7.5㎾</t>
  </si>
  <si>
    <t>SV0075iS7-4NOFD, 400V(리액터,필터 내장), 7.5㎾</t>
  </si>
  <si>
    <t>M071001900300701</t>
  </si>
  <si>
    <t>SV0110iS7-2NO, 200V, 11㎾</t>
  </si>
  <si>
    <t>M071001900305101</t>
  </si>
  <si>
    <t>SV0110iS7-2NOFD, 200V(리액터,필터 내장), 11㎾</t>
  </si>
  <si>
    <t>M071001900302201</t>
  </si>
  <si>
    <t>SV0110iS7-4NO, 400V, 11㎾</t>
  </si>
  <si>
    <t>M071001900306101</t>
  </si>
  <si>
    <t>M071001900300801</t>
  </si>
  <si>
    <t>SV0110iS7-4NOFD, 400V(리액터,필터 내장), 11㎾</t>
  </si>
  <si>
    <t>SV0150iS7-2NO, 200V, 15㎾</t>
  </si>
  <si>
    <t>M071001900305201</t>
  </si>
  <si>
    <t>SV0150iS7-2NOFD, 200V(리액터,필터 내장), 15㎾</t>
  </si>
  <si>
    <t>M071001900302301</t>
  </si>
  <si>
    <t>SV0150iS7-4NO, 400V, 15㎾</t>
  </si>
  <si>
    <t>M071001900306201</t>
  </si>
  <si>
    <t>SV0150iS7-4NOFD, 400V(리액터,필터 내장), 15㎾</t>
  </si>
  <si>
    <t>M071001900300901</t>
  </si>
  <si>
    <t>SV0185iS7-2NO, 200V, 18.5㎾</t>
  </si>
  <si>
    <t>M071001900305301</t>
  </si>
  <si>
    <t>SV0185iS7-2NOFD, 200V(리액터,필터 내장), 18.5㎾</t>
  </si>
  <si>
    <t>M071001900302401</t>
  </si>
  <si>
    <t>SV0185iS7-4NO, 400V, 18.5㎾</t>
  </si>
  <si>
    <t>M071001900306301</t>
  </si>
  <si>
    <t>SV0185iS7-4NOFD, 400V(리액터,필터 내장), 18.5㎾</t>
  </si>
  <si>
    <t>M071001900301001</t>
  </si>
  <si>
    <t>SV0220iS7-2NO, 200V, 22㎾</t>
  </si>
  <si>
    <t>M071001900305401</t>
  </si>
  <si>
    <t>SV0220iS7-2NOFD, 200V(리액터,필터 내장), 22㎾</t>
  </si>
  <si>
    <t>M071001900302501</t>
  </si>
  <si>
    <t>SV0220iS7-4NO, 400V, 22㎾</t>
  </si>
  <si>
    <t>M071001900306401</t>
  </si>
  <si>
    <t>SV0220iS7-4NOFD, 400V(리액터,필터 내장), 22㎾</t>
  </si>
  <si>
    <t>M071001900302601</t>
  </si>
  <si>
    <t>SV0300iS7-4SO, 400V, 30㎾</t>
  </si>
  <si>
    <t>M071001900303401</t>
  </si>
  <si>
    <t>SV0300iS7-4SOD, 400V(리액터 내장), 30㎾</t>
  </si>
  <si>
    <t>M071001900301101</t>
  </si>
  <si>
    <t>SV0300iS7-2SO, 200V, 30㎾</t>
  </si>
  <si>
    <t>M071001900302701</t>
  </si>
  <si>
    <t>SV0370iS7-4SO, 400V, 37㎾</t>
  </si>
  <si>
    <t>M071001900303501</t>
  </si>
  <si>
    <t>M071001900301201</t>
  </si>
  <si>
    <t>SV0370iS7-4SOD, 400V(리액터 내장), 37㎾</t>
  </si>
  <si>
    <t>SV0370iS7-2SO, 200V, 37㎾</t>
  </si>
  <si>
    <t>M071001900302801</t>
  </si>
  <si>
    <t>SV0450iS7-4SO, 400V, 45㎾</t>
  </si>
  <si>
    <t>M071001900301301</t>
  </si>
  <si>
    <t>SV0450iS7-2SO, 200V, 45㎾</t>
  </si>
  <si>
    <t>M071001900303601</t>
  </si>
  <si>
    <t>SV0450iS7-4SOD, 400V(리액터 내장), 45㎾</t>
  </si>
  <si>
    <t>M071001900301401</t>
  </si>
  <si>
    <t>SV0550iS7-2SO, 200V, 55㎾</t>
  </si>
  <si>
    <t>M071001900302901</t>
  </si>
  <si>
    <t>SV0550iS7-4SO, 400V, 55㎾</t>
  </si>
  <si>
    <t>M071001900303701</t>
  </si>
  <si>
    <t>SV0550iS7-4SOD, 400V(리액터 내장), 55㎾</t>
  </si>
  <si>
    <t>M071001900301501</t>
  </si>
  <si>
    <t>SV0750iS7-2SO, 200V, 75㎾</t>
  </si>
  <si>
    <t>M071001900303001</t>
  </si>
  <si>
    <t>SV0750iS7-4SO, 400V, 75㎾</t>
  </si>
  <si>
    <t>M071001900303801</t>
  </si>
  <si>
    <t>SV0750iS7-4SOD, 400V(리액터 내장), 75㎾</t>
  </si>
  <si>
    <t>M070600901500101</t>
  </si>
  <si>
    <t>누수감지기(필름,케이블,시스템)</t>
  </si>
  <si>
    <t>누수 감지 케이블 센서 (No Jacket, Bulk meter, no connectors)</t>
  </si>
  <si>
    <t>LDSC</t>
  </si>
  <si>
    <t>M070600901700101</t>
  </si>
  <si>
    <t>M070600901700201</t>
  </si>
  <si>
    <t>누수 감지 필름 센서 (Water, Acid, Alkali Dielectric constant 30↑ Organic solvent)</t>
  </si>
  <si>
    <t>LDSF-LQ-AB017</t>
  </si>
  <si>
    <t>LDSF-LQ-SB017</t>
  </si>
  <si>
    <t>M070600901600101</t>
  </si>
  <si>
    <t>누액 감지 케이블 센서 (Bulk meter, no connectors)</t>
  </si>
  <si>
    <t>LDSC-LQ-DJ004</t>
  </si>
  <si>
    <t>M070600902300101</t>
  </si>
  <si>
    <t>방폭용 누수 감지 필름 센서 (Explosion proof : Water, Acid, Alkali Dielectric constant 30↑ Organic solvent)</t>
  </si>
  <si>
    <t>Ex-LDSF-LQ-SB017</t>
  </si>
  <si>
    <t>M070600902200101</t>
  </si>
  <si>
    <t>방폭용 누액 감지 케이블 센서 (Explosion proof : Bulk meter, no connectors)</t>
  </si>
  <si>
    <t>Ex-LDSC-LQ-DJ004</t>
  </si>
  <si>
    <t>M070601001500101</t>
  </si>
  <si>
    <t>누수/누유감지시스템</t>
  </si>
  <si>
    <t>종단키트</t>
  </si>
  <si>
    <t>LDTK</t>
  </si>
  <si>
    <t>Set</t>
  </si>
  <si>
    <t>M070601001600101</t>
  </si>
  <si>
    <t>고정클립</t>
  </si>
  <si>
    <t>LDMC</t>
  </si>
  <si>
    <t>pk</t>
  </si>
  <si>
    <t>M070601000600101</t>
  </si>
  <si>
    <t>종단케이블</t>
  </si>
  <si>
    <t>JMP-U</t>
  </si>
  <si>
    <t>M070601000500101</t>
  </si>
  <si>
    <t>신호전송케이블</t>
  </si>
  <si>
    <t>JMP-UD</t>
  </si>
  <si>
    <t>M070600902800201</t>
  </si>
  <si>
    <t>M070600902800301</t>
  </si>
  <si>
    <t>M070600902800101</t>
  </si>
  <si>
    <t>필름 센서 전용 커넥터 (FSCT-MC-PB035)</t>
  </si>
  <si>
    <t>Elbow Connector</t>
  </si>
  <si>
    <t>End Connector</t>
  </si>
  <si>
    <t>Start Connector</t>
  </si>
  <si>
    <t>M070600901200101</t>
  </si>
  <si>
    <t>End-of-line terminator</t>
  </si>
  <si>
    <t>LD-ET-PC</t>
  </si>
  <si>
    <t>M070600901400101</t>
  </si>
  <si>
    <t>Hold Down Clip (50EA/Bag)</t>
  </si>
  <si>
    <t>LD-HDC-1/4</t>
  </si>
  <si>
    <t>Bag</t>
  </si>
  <si>
    <t>M070600902900201</t>
  </si>
  <si>
    <t>M070600902900301</t>
  </si>
  <si>
    <t>M070600902900101</t>
  </si>
  <si>
    <t>방폭용 필름 센서 전용 커넥터 (Explosion proof : FSCT-MC-PB035)</t>
  </si>
  <si>
    <t>Ex-Elbow Connector</t>
  </si>
  <si>
    <t>Ex-End-Connector</t>
  </si>
  <si>
    <t>Ex-Start Connector</t>
  </si>
  <si>
    <t>M070601900700101</t>
  </si>
  <si>
    <t>자동 누수,누유,히팅 감지 시스템</t>
  </si>
  <si>
    <t>End Terminator</t>
  </si>
  <si>
    <t>JET-W,</t>
  </si>
  <si>
    <t>M070601000300101</t>
  </si>
  <si>
    <t>알칼리감지케이블</t>
  </si>
  <si>
    <t>AGT</t>
  </si>
  <si>
    <t>M070601000200101</t>
  </si>
  <si>
    <t>산감지케이블</t>
  </si>
  <si>
    <t>AGW</t>
  </si>
  <si>
    <t>M070601000700101</t>
  </si>
  <si>
    <t>연결용컨넥타</t>
  </si>
  <si>
    <t>SC-JM</t>
  </si>
  <si>
    <t>M070600901100101</t>
  </si>
  <si>
    <t>M070601900600101</t>
  </si>
  <si>
    <t>Leader Cable, pre-installed male/female connectors</t>
  </si>
  <si>
    <t>LD-LC-PC-3M</t>
  </si>
  <si>
    <t>Leader Cable</t>
  </si>
  <si>
    <t>JLC-W,</t>
  </si>
  <si>
    <t>M070601001300101</t>
  </si>
  <si>
    <t>연결케이블</t>
  </si>
  <si>
    <t>LDLW</t>
  </si>
  <si>
    <t>M070601900500101</t>
  </si>
  <si>
    <t>Jumper Cable</t>
  </si>
  <si>
    <t>JJC-W,</t>
  </si>
  <si>
    <t>M070600902000101</t>
  </si>
  <si>
    <t>산/유기용제 감지 필름 센서 (Acid, Dielectric constant 30↓ Organic solvent)</t>
  </si>
  <si>
    <t>LDSF-OL-SY017</t>
  </si>
  <si>
    <t>M070601001400101</t>
  </si>
  <si>
    <t>점퍼케이블</t>
  </si>
  <si>
    <t>LDJW</t>
  </si>
  <si>
    <t>M070600901800101</t>
  </si>
  <si>
    <t>알칼리 감지 필름 센서 (Color change during alkali reaction)</t>
  </si>
  <si>
    <t>LDSF-AK-SP017</t>
  </si>
  <si>
    <t>M070600901900101</t>
  </si>
  <si>
    <t>산/유기용제 감지 필름 센서 (Acid, Dielectric constant 30↑ Organic solvent)</t>
  </si>
  <si>
    <t>LDSF-OM-SY017</t>
  </si>
  <si>
    <t>M070600901300101</t>
  </si>
  <si>
    <t>Jumper Cable, pre-installed male/female connectors</t>
  </si>
  <si>
    <t>LD-JC-1M/3FT-PC</t>
  </si>
  <si>
    <t>M070601000400101</t>
  </si>
  <si>
    <t>오일감지케이블</t>
  </si>
  <si>
    <t>TFH</t>
  </si>
  <si>
    <t>M070600901300201</t>
  </si>
  <si>
    <t>LD-JC-3M/10FT-PC</t>
  </si>
  <si>
    <t>M070600902100101</t>
  </si>
  <si>
    <t>M070601900400101</t>
  </si>
  <si>
    <t>오일 감지 필름 센서 (Oil, Organic solvent)</t>
  </si>
  <si>
    <t>LDSF-OI-SR017</t>
  </si>
  <si>
    <t>Water Sensing Cable</t>
  </si>
  <si>
    <t>WSC-3M/10FT,</t>
  </si>
  <si>
    <t>M070600902400101</t>
  </si>
  <si>
    <t>M070600902500101</t>
  </si>
  <si>
    <t>방폭용 알칼리 감지 필름 센서 (Explosion proof : Color change during alkali reaction)</t>
  </si>
  <si>
    <t>Ex-LDSF-AK-SP017</t>
  </si>
  <si>
    <t>방폭용 산/유기용제 감지 필름 센서 (Explosion proof : Acid, Dielectric constant 30↑ Organic solvent)</t>
  </si>
  <si>
    <t>Ex-LDSF-OM-SY017</t>
  </si>
  <si>
    <t>M070600902600101</t>
  </si>
  <si>
    <t>방폭용 산/유기용제 감지 필름 센서 (Explosion proof : Acid, Dielectric constant 30↓ Organic solvent)</t>
  </si>
  <si>
    <t>Ex-LDSF-OL-SY017</t>
  </si>
  <si>
    <t>M070600900800101</t>
  </si>
  <si>
    <t>누수 감지 케이블 센서 (No Jacket, Heat Shrinkable Enclosure)</t>
  </si>
  <si>
    <t>LDSC-3M/10FT-HSE</t>
  </si>
  <si>
    <t>M070600902700101</t>
  </si>
  <si>
    <t>방폭용 오일 감지 필름 센서 (Explosion proof : Oil, Organic solvent)</t>
  </si>
  <si>
    <t>Ex-LDSF-OI-SR017</t>
  </si>
  <si>
    <t>M070600901300301</t>
  </si>
  <si>
    <t>LD-JC-7.5M/25FT-PC</t>
  </si>
  <si>
    <t>M070600900200101</t>
  </si>
  <si>
    <t>인터페이스 모듈 (Leak, Fault, RS485, Relay)</t>
  </si>
  <si>
    <t>LDIM-A</t>
  </si>
  <si>
    <t>M070601900400201</t>
  </si>
  <si>
    <t>WSC-7.5M/25FT,</t>
  </si>
  <si>
    <t>M070600900700101</t>
  </si>
  <si>
    <t>누수 감지 케이블 센서 (No Jacket, Plastic connector)</t>
  </si>
  <si>
    <t>LDSC-3M/10FT-PC</t>
  </si>
  <si>
    <t>M070600900500101</t>
  </si>
  <si>
    <t>인터페이스 모듈 (Leak, Fault, RS232, RS485, Relay)</t>
  </si>
  <si>
    <t>LDIM-I</t>
  </si>
  <si>
    <t>M070600900800301</t>
  </si>
  <si>
    <t>LDSC-7.5M/25FT-HSE</t>
  </si>
  <si>
    <t>M070600900800201</t>
  </si>
  <si>
    <t>LDSC-4.5M/15FT-HSE</t>
  </si>
  <si>
    <t>M070601900200201</t>
  </si>
  <si>
    <t>자동경보시스템</t>
  </si>
  <si>
    <t>EMG/HTDU-2회로,</t>
  </si>
  <si>
    <t>M070601900200101</t>
  </si>
  <si>
    <t>EMG/HTDU-1회로,</t>
  </si>
  <si>
    <t>M070600900700201</t>
  </si>
  <si>
    <t>LDSC-4.5M/15FT-PC</t>
  </si>
  <si>
    <t>M070601900100101</t>
  </si>
  <si>
    <t>기동전류컨트롤러</t>
  </si>
  <si>
    <t>JPC-1회로,</t>
  </si>
  <si>
    <t>M070600901000101</t>
  </si>
  <si>
    <t>누액 감지 케이블 센서 (Jacket, Heat Shrinkable Enclosure)</t>
  </si>
  <si>
    <t>LDSC(J)-3M/10FT-HSE</t>
  </si>
  <si>
    <t>M070600901000201</t>
  </si>
  <si>
    <t>LDSC(J)-4.5M/15FT-HSE</t>
  </si>
  <si>
    <t>M070600900600101</t>
  </si>
  <si>
    <t>인터페이스 모듈 (Leak, Fault, RS232, RS485, Relay, Only Oil Sensor)</t>
  </si>
  <si>
    <t>LDIM-O</t>
  </si>
  <si>
    <t>M070600900900101</t>
  </si>
  <si>
    <t>누액 감지 케이블 센서 (Jacket, Plastic connector)</t>
  </si>
  <si>
    <t>LDSC(J)-3M/10FT-PC</t>
  </si>
  <si>
    <t>M070601900100201</t>
  </si>
  <si>
    <t>JPC-2회로,</t>
  </si>
  <si>
    <t>M070600900700301</t>
  </si>
  <si>
    <t>LDSC-7.5M/25FT-PC</t>
  </si>
  <si>
    <t>M070601900400301</t>
  </si>
  <si>
    <t>WSC-15M/50FT,</t>
  </si>
  <si>
    <t>M070601001200101</t>
  </si>
  <si>
    <t>누수감지케이블</t>
  </si>
  <si>
    <t>LDCA-10-15</t>
  </si>
  <si>
    <t>M070601001100101</t>
  </si>
  <si>
    <t>누수감지모듈</t>
  </si>
  <si>
    <t>LDCM-100</t>
  </si>
  <si>
    <t>M070600900900201</t>
  </si>
  <si>
    <t>LDSC(J)-4.5M/15FT-PC</t>
  </si>
  <si>
    <t>M070600901000301</t>
  </si>
  <si>
    <t>LDSC(J)-7.5M/25FT-HSE</t>
  </si>
  <si>
    <t>M070601900300401</t>
  </si>
  <si>
    <t>자동감지시스템</t>
  </si>
  <si>
    <t>ZLDS-S300,</t>
  </si>
  <si>
    <t>M070600900900301</t>
  </si>
  <si>
    <t>M070600900800401</t>
  </si>
  <si>
    <t>LDSC(J)-7.5M/25FT-PC</t>
  </si>
  <si>
    <t>LDSC-15M/50FT-HSE</t>
  </si>
  <si>
    <t>M070601900200301</t>
  </si>
  <si>
    <t>EMG/HTDU-3회로,</t>
  </si>
  <si>
    <t>M070600900700401</t>
  </si>
  <si>
    <t>LDSC-15M/50FT-PC</t>
  </si>
  <si>
    <t>M070601900100301</t>
  </si>
  <si>
    <t>JPC-3회로,</t>
  </si>
  <si>
    <t>M070600901000401</t>
  </si>
  <si>
    <t>LDSC(J)-15M/50FT-HSE</t>
  </si>
  <si>
    <t>M070600900900401</t>
  </si>
  <si>
    <t>LDSC(J)-15M/50FT-PC</t>
  </si>
  <si>
    <t>M070601900300201</t>
  </si>
  <si>
    <t>PLDS-S100,</t>
  </si>
  <si>
    <t>M070601900300301</t>
  </si>
  <si>
    <t>MLDS-S200,</t>
  </si>
  <si>
    <t>M070601001000101</t>
  </si>
  <si>
    <t>신호전송모듈</t>
  </si>
  <si>
    <t>LDTM</t>
  </si>
  <si>
    <t>M070600900300101</t>
  </si>
  <si>
    <t>인터페이스 모듈 (Leak Location, Fault, RS485, Relay)</t>
  </si>
  <si>
    <t>LDIM-B</t>
  </si>
  <si>
    <t>M070600900400101</t>
  </si>
  <si>
    <t>인터페이스 모듈 (Distance-read leak dection, Fault, RS485, Relay)</t>
  </si>
  <si>
    <t>LDIM-D</t>
  </si>
  <si>
    <t>M070601000800101</t>
  </si>
  <si>
    <t>PC용 프로그램</t>
  </si>
  <si>
    <t>기본형</t>
  </si>
  <si>
    <t>M070601900300101</t>
  </si>
  <si>
    <t>JLDS-M100,</t>
  </si>
  <si>
    <t>M070601000900101</t>
  </si>
  <si>
    <t>누수감지컨트롤러</t>
  </si>
  <si>
    <t>LDCM-110</t>
  </si>
  <si>
    <t>M070600900100101</t>
  </si>
  <si>
    <t>마스터 모듈</t>
  </si>
  <si>
    <t>Touch screen, Leak &amp; Location Network Master Module</t>
  </si>
  <si>
    <t>M070601000100101</t>
  </si>
  <si>
    <t>누액감지컨트롤러</t>
  </si>
  <si>
    <t>AT20C-1</t>
  </si>
  <si>
    <t>D00182</t>
  </si>
  <si>
    <t>D00183</t>
  </si>
  <si>
    <t>제 2호표  박스(Box) 설치 ＊ 아우트레트박스</t>
  </si>
  <si>
    <t>Outlet Box ＊ 8각 O/T Box H44(1½)㎜</t>
  </si>
  <si>
    <t>Outlet Box ＊ 8각 O/T Box H54(2)㎜</t>
  </si>
  <si>
    <t>제 3호표  전력케이블 구내 설치(P.V.C 및 고무절연외장) ＊ F-CV케이블</t>
    <phoneticPr fontId="5" type="noConversion"/>
  </si>
  <si>
    <t>D00475</t>
  </si>
  <si>
    <t>600V 50㎟이하 X 1C ＊ 0.6/1KV 1C 50㎟</t>
  </si>
  <si>
    <t>D05779</t>
  </si>
  <si>
    <t>제 2호표  앵커볼트 설치Ø15㎜ 이하</t>
  </si>
  <si>
    <t>제 2호표  앵커볼트 설치 ＊ 앵커볼트</t>
  </si>
  <si>
    <t>Ø15㎜ 이하 ＊ M10</t>
  </si>
  <si>
    <t>E10410046002018017</t>
  </si>
  <si>
    <t>E10410046002018018</t>
  </si>
  <si>
    <t>E10311003001018016</t>
  </si>
  <si>
    <t>E10311003001018017</t>
  </si>
  <si>
    <t>E10311003001018018</t>
  </si>
  <si>
    <t>E10313004022001003</t>
  </si>
  <si>
    <t>제 1호표  방송국 설비(Multi Remote Controller(A/V통합제어))조명제어 Module 설치</t>
  </si>
  <si>
    <t>제 1호표  방송국 설비(Multi Remote Controller(A/V통합제어))</t>
  </si>
  <si>
    <t>조명제어 Module 설치</t>
  </si>
  <si>
    <t>제 2호표  방송국 설비(Multi Remote Controller(A/V통합제어))조명제어 Module 조정</t>
  </si>
  <si>
    <t>제 2호표  방송국 설비(Multi Remote Controller(A/V통합제어))</t>
  </si>
  <si>
    <t>조명제어 Module 조정</t>
  </si>
  <si>
    <t>제 3호표  방송국 설비(Multi Remote Controller(A/V통합제어))조명제어 Module 시험 및 측정</t>
  </si>
  <si>
    <t>제 3호표  방송국 설비(Multi Remote Controller(A/V통합제어))</t>
  </si>
  <si>
    <t>조명제어 Module 시험 및 측정</t>
  </si>
  <si>
    <t>제 3호표  디밍제어 시스템(장비설치)조명제어기</t>
  </si>
  <si>
    <t>제 3호표  디밍제어 시스템(장비설치)</t>
  </si>
  <si>
    <t>조명제어기</t>
  </si>
  <si>
    <t>제 1호표  음향 및 영상 기기 신설(Multi Remote Controller(A/V통합제어))조명제어 Module 설치</t>
  </si>
  <si>
    <t>제 1호표  음향 및 영상 기기 신설(Multi Remote Controller(A/V통합제어))</t>
  </si>
  <si>
    <t>제 2호표  음향 및 영상 기기 신설(Multi Remote Controller(A/V통합제어))조명제어 Module 조정</t>
  </si>
  <si>
    <t>제 2호표  음향 및 영상 기기 신설(Multi Remote Controller(A/V통합제어))</t>
  </si>
  <si>
    <t>제 3호표  음향 및 영상 기기 신설(Multi Remote Controller(A/V통합제어))조명제어 Module 시험 및 측정</t>
  </si>
  <si>
    <t>제 3호표  음향 및 영상 기기 신설(Multi Remote Controller(A/V통합제어))</t>
  </si>
  <si>
    <t>E10410046002018016</t>
  </si>
  <si>
    <t>M041100401100101</t>
  </si>
  <si>
    <t>M041100700801101</t>
    <phoneticPr fontId="5" type="noConversion"/>
  </si>
  <si>
    <t>M041100700800201</t>
    <phoneticPr fontId="5" type="noConversion"/>
  </si>
  <si>
    <t>◈조명제어자재</t>
  </si>
  <si>
    <t>SIU, System Interface Unit, TCP/IP ,RS 485</t>
  </si>
  <si>
    <t>조명제어</t>
  </si>
  <si>
    <t>LCM-1A, 등단위 조명제어 모듈, 1채널, 전력선 통신 DC15V(SM-NET)</t>
  </si>
  <si>
    <t>LCU-2200, Lighting Control Unit(128회로제어, 8Relay내장, CU/SM-Net, MASTER&amp;SLAVE 혼용)</t>
  </si>
  <si>
    <t>빌딩자동제어장치(5)</t>
  </si>
  <si>
    <t>빌딩자동제어장치(8)</t>
  </si>
  <si>
    <t>E10410055001002001</t>
  </si>
  <si>
    <t>E10410055001002002</t>
  </si>
  <si>
    <t>E10410055001002003</t>
  </si>
  <si>
    <t>제 1호표  레이스웨이 설치</t>
  </si>
  <si>
    <t>제 2호표  레이스웨이 설치</t>
  </si>
  <si>
    <t>제 3호표  레이스웨이 설치</t>
  </si>
  <si>
    <r>
      <t xml:space="preserve">(40×40) 1,600 </t>
    </r>
    <r>
      <rPr>
        <sz val="9"/>
        <color theme="1"/>
        <rFont val="Malgun Gothic"/>
        <family val="3"/>
        <charset val="129"/>
      </rPr>
      <t>이하</t>
    </r>
  </si>
  <si>
    <r>
      <t xml:space="preserve">(70×40) 2,800 </t>
    </r>
    <r>
      <rPr>
        <sz val="9"/>
        <color theme="1"/>
        <rFont val="Malgun Gothic"/>
        <family val="3"/>
        <charset val="129"/>
      </rPr>
      <t>이하</t>
    </r>
  </si>
  <si>
    <r>
      <t xml:space="preserve">(10×50) 5,500 </t>
    </r>
    <r>
      <rPr>
        <sz val="9"/>
        <color theme="1"/>
        <rFont val="Malgun Gothic"/>
        <family val="3"/>
        <charset val="129"/>
      </rPr>
      <t>이하</t>
    </r>
  </si>
  <si>
    <t>높이5+길이20+높이5=30*2=60</t>
    <phoneticPr fontId="5" type="noConversion"/>
  </si>
  <si>
    <t>D00479</t>
  </si>
  <si>
    <t>600V 150㎟이하 X 1C ＊ 0.6/1KV 1C 150㎟</t>
  </si>
  <si>
    <t>최소인건비</t>
    <phoneticPr fontId="5" type="noConversion"/>
  </si>
  <si>
    <t>안전관찰자</t>
    <phoneticPr fontId="5" type="noConversion"/>
  </si>
  <si>
    <t>일대위가명</t>
    <phoneticPr fontId="5" type="noConversion"/>
  </si>
  <si>
    <t>D00508</t>
  </si>
  <si>
    <t>600V 25㎟이하 X 1C ＊ 0.6/1KV 3C 25㎟</t>
  </si>
  <si>
    <t>600V 25㎟이하 X 1C ＊ 0.6/1KV 4C 25㎟</t>
  </si>
  <si>
    <t>D00524</t>
    <phoneticPr fontId="5" type="noConversion"/>
  </si>
  <si>
    <t>E10233002001004010</t>
  </si>
  <si>
    <t>제 6호표  자동제어기기 설치릴레이류</t>
  </si>
  <si>
    <t>릴레이류</t>
  </si>
  <si>
    <t>M071601100400101</t>
  </si>
  <si>
    <t>전력선통신기반통합제어시스템</t>
  </si>
  <si>
    <t>레치릴레이 유니트 LRU</t>
  </si>
  <si>
    <t>AC 100~240V, 9,600bps, Plug-in Port, 30A, 4회로</t>
  </si>
  <si>
    <t>M071600300700801</t>
  </si>
  <si>
    <t>M071600300700301</t>
  </si>
  <si>
    <t>M071600300700401</t>
  </si>
  <si>
    <t>M071600300700501</t>
  </si>
  <si>
    <t>M071600300700601</t>
  </si>
  <si>
    <t>M071600300800101</t>
  </si>
  <si>
    <t>M071600300700701</t>
  </si>
  <si>
    <t>M071600300700201</t>
  </si>
  <si>
    <t>M071600300700101</t>
  </si>
  <si>
    <t>프로그래머블 로직 콘트롤러(2)</t>
  </si>
  <si>
    <t>CIMON-PLCs(소형)</t>
  </si>
  <si>
    <t>CM3-SP24PWR, IN AC220V, OUT DC 24V, 10W</t>
  </si>
  <si>
    <t>CM3-SP32EDO, 증설, DI 32점 DC24V</t>
  </si>
  <si>
    <t>CM3-SP32EOT, 증설, DO 32점</t>
  </si>
  <si>
    <t>CM3-SP04EAO, 증설, AI 4ch, 전류전압</t>
  </si>
  <si>
    <t>CM3-SP04EOA, 증설, AO 4ch, 전류 or 전압</t>
  </si>
  <si>
    <t>CIMON-Xpanel</t>
  </si>
  <si>
    <t>CM-XT04CD-D, 4.3˝TFT,480×272,RS-232,RS-422/485,LAN,DC24V</t>
  </si>
  <si>
    <t>CM3-SP04EAA, 증설, AI 2ch 전류전압 / AO 2ch 전류전압</t>
  </si>
  <si>
    <t>CM3-SP16MDRF, DC24V, MAIN, DI 8/DO 6(Relay), RS232C 1ch, Ethernet1ch, RS485 1ch</t>
  </si>
  <si>
    <t>CM3-SP32MDTF, DC24V, MAIN, DI16/DO16(TR), RS232C 1ch, Ethernet 1ch, RS485 1ch</t>
  </si>
  <si>
    <t>M072100303600401</t>
  </si>
  <si>
    <t>비상등</t>
  </si>
  <si>
    <t>SS-H, (형광집중식)</t>
  </si>
  <si>
    <t>M071600301600601</t>
  </si>
  <si>
    <t>M071600301600501</t>
  </si>
  <si>
    <t>M071600301600701</t>
  </si>
  <si>
    <t>M071600301600101</t>
  </si>
  <si>
    <t>M071600301600301</t>
  </si>
  <si>
    <t>M071600301600401</t>
  </si>
  <si>
    <t>M071600301600201</t>
  </si>
  <si>
    <t>Application Software</t>
  </si>
  <si>
    <t>PLC Programming, Digital Point(DI/DO/PI/PO)</t>
  </si>
  <si>
    <t>POINT</t>
  </si>
  <si>
    <t>PLC Programming, Anglog Point(AI/AO)</t>
  </si>
  <si>
    <t>PLC Programming, 통신 Point(RS-422/485, RS-232C)</t>
  </si>
  <si>
    <t>운전화면(작화및DB), 표준화면(1화면기준,신규/수정/추가시 동일)</t>
  </si>
  <si>
    <t>화면</t>
  </si>
  <si>
    <t>운전화면(작화및DB), 레포트화면(1화면기준,신규/수정/추가시 동일)</t>
  </si>
  <si>
    <t>운전화면(작화및DB), 알람화면(1화면기준,신규/수정/추가시 동일)</t>
  </si>
  <si>
    <t>운전화면(작화및DB), 트랜드화면(1화면기준,신규/수정/추가시 동일)</t>
  </si>
  <si>
    <t>제 6호표  자동제어기기 설치(릴레이)</t>
    <phoneticPr fontId="5" type="noConversion"/>
  </si>
  <si>
    <t>E10413103001006001</t>
  </si>
  <si>
    <t>E10413103001006002</t>
  </si>
  <si>
    <t>E10413103001006003</t>
  </si>
  <si>
    <t>E10413103001006004</t>
  </si>
  <si>
    <t>E999999</t>
    <phoneticPr fontId="5" type="noConversion"/>
  </si>
  <si>
    <t>3P할증200%</t>
    <phoneticPr fontId="5" type="noConversion"/>
  </si>
  <si>
    <t>옥내설치시150%</t>
    <phoneticPr fontId="5" type="noConversion"/>
  </si>
  <si>
    <t>4P할증260%</t>
    <phoneticPr fontId="5" type="noConversion"/>
  </si>
  <si>
    <t>2025년 01월  일</t>
    <phoneticPr fontId="5" type="noConversion"/>
  </si>
  <si>
    <t> (재료비+노무비)*3.11%</t>
    <phoneticPr fontId="23" type="noConversion"/>
  </si>
  <si>
    <t>M045573819460101</t>
  </si>
  <si>
    <t>LED조명기구(2)</t>
  </si>
  <si>
    <t>LED 실내조명등기구</t>
  </si>
  <si>
    <t>HB-DL6IN15DO, LED 6인치 다운라이트, 15W</t>
  </si>
  <si>
    <t>M045573819390101</t>
  </si>
  <si>
    <t>HB-PE66050ES, LED 면조명, 50W</t>
  </si>
  <si>
    <t>M045573819330101</t>
  </si>
  <si>
    <t>HB-PE63025ES, LED 면조명, 25W</t>
  </si>
  <si>
    <t>E00000807041850105</t>
  </si>
  <si>
    <t>종합적산정보 1087p</t>
  </si>
  <si>
    <t>LED 등기구설치 (직부등)</t>
  </si>
  <si>
    <t>55W이하</t>
  </si>
  <si>
    <t>(등당)</t>
  </si>
  <si>
    <t>철거재시공150%</t>
    <phoneticPr fontId="5" type="noConversion"/>
  </si>
  <si>
    <t>E00000807041850405</t>
  </si>
  <si>
    <t>LED 등기구설치 (매입 및 반매입)</t>
  </si>
  <si>
    <t xml:space="preserve">사택 조명 교체 </t>
    <phoneticPr fontId="5" type="noConversion"/>
  </si>
  <si>
    <t>LED조명 교체</t>
    <phoneticPr fontId="5" type="noConversion"/>
  </si>
  <si>
    <t>■ 인원투입계획 : 총 3명(주말 :  명)</t>
    <phoneticPr fontId="23" type="noConversion"/>
  </si>
  <si>
    <t xml:space="preserve">성명 : </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</si>
</sst>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0"/>
    <numFmt numFmtId="183" formatCode="#,###,###,###"/>
    <numFmt numFmtId="184" formatCode="_-* #,##0_-;\-* #,##0_-;_-* &quot;-&quot;??_-;_-@_-"/>
  </numFmts>
  <fonts count="7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rgb="FFFF0000"/>
      <name val="맑은 고딕"/>
      <family val="3"/>
      <charset val="129"/>
      <scheme val="minor"/>
    </font>
    <font>
      <b/>
      <sz val="10"/>
      <color indexed="8"/>
      <name val="돋움"/>
      <family val="3"/>
      <charset val="129"/>
    </font>
    <font>
      <b/>
      <u val="double"/>
      <sz val="18"/>
      <color theme="1"/>
      <name val="LG스마트체 Regular"/>
      <family val="3"/>
      <charset val="129"/>
    </font>
    <font>
      <sz val="11"/>
      <color theme="1"/>
      <name val="LG스마트체 Regular"/>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rgb="FFFF0000"/>
      <name val="맑은 고딕"/>
      <family val="3"/>
      <charset val="129"/>
      <scheme val="minor"/>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9"/>
      <name val="Malgun Gothic"/>
      <family val="3"/>
      <charset val="129"/>
    </font>
    <font>
      <b/>
      <sz val="9"/>
      <color theme="1"/>
      <name val="LG스마트체 Regular"/>
      <family val="2"/>
      <charset val="129"/>
    </font>
  </fonts>
  <fills count="15">
    <fill>
      <patternFill patternType="none"/>
    </fill>
    <fill>
      <patternFill patternType="gray125"/>
    </fill>
    <fill>
      <patternFill patternType="solid">
        <fgColor rgb="FFF5F5F5"/>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FF"/>
      </patternFill>
    </fill>
    <fill>
      <patternFill patternType="solid">
        <fgColor rgb="FFF7F7F7"/>
      </patternFill>
    </fill>
    <fill>
      <patternFill patternType="solid">
        <fgColor theme="7"/>
        <bgColor indexed="64"/>
      </patternFill>
    </fill>
    <fill>
      <patternFill patternType="solid">
        <fgColor rgb="FFFFFF00"/>
        <bgColor indexed="64"/>
      </patternFill>
    </fill>
  </fills>
  <borders count="40">
    <border>
      <left/>
      <right/>
      <top/>
      <bottom/>
      <diagonal/>
    </border>
    <border>
      <left/>
      <right style="thin">
        <color rgb="FFDCDBDA"/>
      </right>
      <top style="thin">
        <color rgb="FFDCDBDA"/>
      </top>
      <bottom style="thin">
        <color rgb="FFDCDBDA"/>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thin">
        <color rgb="FFDCDBDA"/>
      </right>
      <top/>
      <bottom style="thin">
        <color rgb="FFE7E7E7"/>
      </bottom>
      <diagonal/>
    </border>
    <border>
      <left style="thin">
        <color rgb="FFDCDBDA"/>
      </left>
      <right style="thin">
        <color rgb="FFDCDBDA"/>
      </right>
      <top/>
      <bottom style="thin">
        <color rgb="FFE7E7E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s>
  <cellStyleXfs count="20">
    <xf numFmtId="0" fontId="0" fillId="0" borderId="0">
      <alignment vertical="center"/>
    </xf>
    <xf numFmtId="41" fontId="6" fillId="0" borderId="0" applyFont="0" applyFill="0" applyBorder="0" applyAlignment="0" applyProtection="0">
      <alignment vertical="center"/>
    </xf>
    <xf numFmtId="0" fontId="8" fillId="0" borderId="0"/>
    <xf numFmtId="41" fontId="3" fillId="0" borderId="0" applyFont="0" applyFill="0" applyBorder="0" applyAlignment="0" applyProtection="0">
      <alignment vertical="center"/>
    </xf>
    <xf numFmtId="176" fontId="9" fillId="0" borderId="0" applyFont="0" applyFill="0" applyBorder="0" applyAlignment="0" applyProtection="0"/>
    <xf numFmtId="0" fontId="11" fillId="0" borderId="0"/>
    <xf numFmtId="178" fontId="11" fillId="0" borderId="0" applyFont="0" applyFill="0" applyBorder="0" applyAlignment="0" applyProtection="0"/>
    <xf numFmtId="0" fontId="3" fillId="0" borderId="0">
      <alignment vertical="center"/>
    </xf>
    <xf numFmtId="9" fontId="9" fillId="0" borderId="0" applyFont="0" applyFill="0" applyBorder="0" applyAlignment="0" applyProtection="0"/>
    <xf numFmtId="0" fontId="8" fillId="0" borderId="0"/>
    <xf numFmtId="41" fontId="38" fillId="0" borderId="0" applyFont="0" applyFill="0" applyBorder="0" applyAlignment="0" applyProtection="0">
      <alignment vertical="center"/>
    </xf>
    <xf numFmtId="0" fontId="38"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0" fontId="50" fillId="0" borderId="0"/>
    <xf numFmtId="42" fontId="50" fillId="0" borderId="0" applyFont="0" applyFill="0" applyBorder="0" applyAlignment="0" applyProtection="0"/>
    <xf numFmtId="41" fontId="50" fillId="0" borderId="0" applyFont="0" applyFill="0" applyBorder="0" applyAlignment="0" applyProtection="0">
      <alignment vertical="center"/>
    </xf>
  </cellStyleXfs>
  <cellXfs count="313">
    <xf numFmtId="0" fontId="0" fillId="0" borderId="0" xfId="0">
      <alignment vertical="center"/>
    </xf>
    <xf numFmtId="0" fontId="12" fillId="0" borderId="0" xfId="5" applyFont="1" applyAlignment="1">
      <alignment vertical="center"/>
    </xf>
    <xf numFmtId="0" fontId="14" fillId="0" borderId="0" xfId="2" applyFont="1"/>
    <xf numFmtId="0" fontId="15" fillId="0" borderId="0" xfId="2" applyFont="1"/>
    <xf numFmtId="0" fontId="16" fillId="0" borderId="0" xfId="5" applyFont="1" applyAlignment="1">
      <alignment vertical="center"/>
    </xf>
    <xf numFmtId="0" fontId="17" fillId="0" borderId="2" xfId="5" applyFont="1" applyBorder="1" applyAlignment="1">
      <alignment vertical="center"/>
    </xf>
    <xf numFmtId="0" fontId="17" fillId="0" borderId="3" xfId="5" applyFont="1" applyBorder="1" applyAlignment="1">
      <alignment horizontal="left" vertical="center"/>
    </xf>
    <xf numFmtId="0" fontId="17" fillId="0" borderId="4" xfId="5" applyFont="1" applyBorder="1" applyAlignment="1">
      <alignment horizontal="right" vertical="center"/>
    </xf>
    <xf numFmtId="0" fontId="18" fillId="6" borderId="0" xfId="5" applyFont="1" applyFill="1" applyAlignment="1">
      <alignment vertical="center"/>
    </xf>
    <xf numFmtId="0" fontId="19" fillId="6" borderId="0" xfId="5" applyFont="1" applyFill="1" applyAlignment="1">
      <alignment horizontal="center" vertical="top" shrinkToFit="1"/>
    </xf>
    <xf numFmtId="0" fontId="16" fillId="6" borderId="0" xfId="5" applyFont="1" applyFill="1" applyAlignment="1">
      <alignment vertical="center"/>
    </xf>
    <xf numFmtId="0" fontId="17" fillId="0" borderId="3" xfId="5" applyFont="1" applyBorder="1" applyAlignment="1">
      <alignment vertical="center"/>
    </xf>
    <xf numFmtId="0" fontId="20" fillId="0" borderId="4" xfId="5" applyFont="1" applyBorder="1" applyAlignment="1">
      <alignment vertical="center"/>
    </xf>
    <xf numFmtId="0" fontId="18" fillId="0" borderId="0" xfId="5" applyFont="1" applyAlignment="1">
      <alignment vertical="center" shrinkToFit="1"/>
    </xf>
    <xf numFmtId="0" fontId="16" fillId="6" borderId="0" xfId="5" applyFont="1" applyFill="1" applyAlignment="1">
      <alignment horizontal="left" vertical="center" shrinkToFit="1"/>
    </xf>
    <xf numFmtId="0" fontId="16" fillId="0" borderId="4" xfId="5" applyFont="1" applyBorder="1" applyAlignment="1">
      <alignment vertical="center"/>
    </xf>
    <xf numFmtId="0" fontId="16" fillId="0" borderId="0" xfId="5" applyFont="1" applyAlignment="1">
      <alignment horizontal="center" vertical="center" shrinkToFit="1"/>
    </xf>
    <xf numFmtId="0" fontId="18" fillId="0" borderId="5" xfId="5" applyFont="1" applyBorder="1" applyAlignment="1">
      <alignment vertical="center"/>
    </xf>
    <xf numFmtId="177" fontId="21" fillId="0" borderId="5" xfId="5" applyNumberFormat="1" applyFont="1" applyBorder="1" applyAlignment="1">
      <alignment vertical="center"/>
    </xf>
    <xf numFmtId="0" fontId="22" fillId="0" borderId="5" xfId="5" applyFont="1" applyBorder="1" applyAlignment="1">
      <alignment horizontal="right" vertical="center"/>
    </xf>
    <xf numFmtId="0" fontId="24" fillId="0" borderId="5" xfId="5" applyFont="1" applyBorder="1" applyAlignment="1">
      <alignment horizontal="right" vertical="center"/>
    </xf>
    <xf numFmtId="0" fontId="17" fillId="0" borderId="5" xfId="5" applyFont="1" applyBorder="1" applyAlignment="1">
      <alignment horizontal="right" vertical="center"/>
    </xf>
    <xf numFmtId="0" fontId="16" fillId="0" borderId="0" xfId="5" applyFont="1" applyAlignment="1">
      <alignment vertical="center" shrinkToFit="1"/>
    </xf>
    <xf numFmtId="0" fontId="17" fillId="0" borderId="6" xfId="5" applyFont="1" applyBorder="1" applyAlignment="1">
      <alignment horizontal="center" vertical="center"/>
    </xf>
    <xf numFmtId="0" fontId="17" fillId="0" borderId="7" xfId="5" applyFont="1" applyBorder="1" applyAlignment="1">
      <alignment horizontal="center" vertical="center"/>
    </xf>
    <xf numFmtId="0" fontId="17" fillId="0" borderId="8" xfId="5" applyFont="1" applyBorder="1" applyAlignment="1">
      <alignment horizontal="center" vertical="center"/>
    </xf>
    <xf numFmtId="0" fontId="25" fillId="0" borderId="9" xfId="5" applyFont="1" applyBorder="1" applyAlignment="1">
      <alignment horizontal="center" vertical="center"/>
    </xf>
    <xf numFmtId="0" fontId="17" fillId="0" borderId="10" xfId="5" applyFont="1" applyBorder="1" applyAlignment="1">
      <alignment vertical="center"/>
    </xf>
    <xf numFmtId="0" fontId="25" fillId="0" borderId="10" xfId="5" applyFont="1" applyBorder="1" applyAlignment="1">
      <alignment vertical="center"/>
    </xf>
    <xf numFmtId="1" fontId="25" fillId="0" borderId="10" xfId="5" applyNumberFormat="1" applyFont="1" applyBorder="1" applyAlignment="1">
      <alignment horizontal="center" vertical="center"/>
    </xf>
    <xf numFmtId="178" fontId="25" fillId="0" borderId="10" xfId="6" applyFont="1" applyBorder="1" applyAlignment="1">
      <alignment horizontal="right" vertical="center"/>
    </xf>
    <xf numFmtId="0" fontId="25" fillId="0" borderId="11" xfId="5" applyFont="1" applyBorder="1" applyAlignment="1">
      <alignment vertical="center"/>
    </xf>
    <xf numFmtId="0" fontId="25" fillId="0" borderId="12" xfId="5" applyFont="1" applyBorder="1" applyAlignment="1">
      <alignment horizontal="center" vertical="center"/>
    </xf>
    <xf numFmtId="0" fontId="25" fillId="0" borderId="13" xfId="5" applyFont="1" applyBorder="1" applyAlignment="1">
      <alignment horizontal="center" vertical="center"/>
    </xf>
    <xf numFmtId="0" fontId="26" fillId="0" borderId="13" xfId="2" applyFont="1" applyBorder="1" applyAlignment="1">
      <alignment horizontal="center" vertical="center"/>
    </xf>
    <xf numFmtId="1" fontId="25" fillId="0" borderId="13" xfId="5" applyNumberFormat="1" applyFont="1" applyBorder="1" applyAlignment="1">
      <alignment horizontal="center" vertical="center"/>
    </xf>
    <xf numFmtId="178" fontId="25" fillId="0" borderId="13" xfId="6" applyFont="1" applyBorder="1" applyAlignment="1">
      <alignment horizontal="right" vertical="center"/>
    </xf>
    <xf numFmtId="0" fontId="25" fillId="0" borderId="14" xfId="5" quotePrefix="1" applyFont="1" applyBorder="1" applyAlignment="1">
      <alignment vertical="center"/>
    </xf>
    <xf numFmtId="0" fontId="25" fillId="0" borderId="14" xfId="5" applyFont="1" applyBorder="1" applyAlignment="1">
      <alignment vertical="center"/>
    </xf>
    <xf numFmtId="0" fontId="17" fillId="7" borderId="13" xfId="5" applyFont="1" applyFill="1" applyBorder="1" applyAlignment="1">
      <alignment vertical="center"/>
    </xf>
    <xf numFmtId="1" fontId="17" fillId="7" borderId="13" xfId="5" applyNumberFormat="1" applyFont="1" applyFill="1" applyBorder="1" applyAlignment="1">
      <alignment horizontal="center" vertical="center"/>
    </xf>
    <xf numFmtId="178" fontId="17" fillId="7" borderId="13" xfId="6" applyFont="1" applyFill="1" applyBorder="1" applyAlignment="1">
      <alignment horizontal="right" vertical="center"/>
    </xf>
    <xf numFmtId="0" fontId="17" fillId="0" borderId="13" xfId="5" applyFont="1" applyBorder="1" applyAlignment="1">
      <alignment vertical="center"/>
    </xf>
    <xf numFmtId="0" fontId="25" fillId="0" borderId="13" xfId="5" applyFont="1" applyBorder="1" applyAlignment="1">
      <alignment vertical="center"/>
    </xf>
    <xf numFmtId="178" fontId="17" fillId="0" borderId="13" xfId="6" applyFont="1" applyFill="1" applyBorder="1" applyAlignment="1">
      <alignment horizontal="right" vertical="center"/>
    </xf>
    <xf numFmtId="0" fontId="25" fillId="0" borderId="13" xfId="7" applyFont="1" applyBorder="1" applyAlignment="1">
      <alignment horizontal="center" vertical="center"/>
    </xf>
    <xf numFmtId="176" fontId="25" fillId="0" borderId="13" xfId="4" applyFont="1" applyFill="1" applyBorder="1" applyAlignment="1">
      <alignment horizontal="right" vertical="center"/>
    </xf>
    <xf numFmtId="0" fontId="25" fillId="0" borderId="13" xfId="2" applyFont="1" applyBorder="1" applyAlignment="1">
      <alignment horizontal="left" vertical="center"/>
    </xf>
    <xf numFmtId="9" fontId="17" fillId="7" borderId="13" xfId="2" applyNumberFormat="1" applyFont="1" applyFill="1" applyBorder="1" applyAlignment="1">
      <alignment horizontal="right" vertical="center"/>
    </xf>
    <xf numFmtId="1" fontId="17" fillId="7" borderId="13" xfId="8" applyNumberFormat="1" applyFont="1" applyFill="1" applyBorder="1" applyAlignment="1">
      <alignment horizontal="center" vertical="center"/>
    </xf>
    <xf numFmtId="41" fontId="17" fillId="7" borderId="13" xfId="6" applyNumberFormat="1" applyFont="1" applyFill="1" applyBorder="1" applyAlignment="1">
      <alignment horizontal="right" vertical="center"/>
    </xf>
    <xf numFmtId="9" fontId="25" fillId="0" borderId="13" xfId="2" applyNumberFormat="1" applyFont="1" applyBorder="1" applyAlignment="1">
      <alignment horizontal="right" vertical="center"/>
    </xf>
    <xf numFmtId="1" fontId="25" fillId="0" borderId="13" xfId="8" applyNumberFormat="1" applyFont="1" applyFill="1" applyBorder="1" applyAlignment="1">
      <alignment horizontal="center" vertical="center"/>
    </xf>
    <xf numFmtId="41" fontId="17" fillId="0" borderId="13" xfId="6" applyNumberFormat="1" applyFont="1" applyFill="1" applyBorder="1" applyAlignment="1">
      <alignment horizontal="right" vertical="center"/>
    </xf>
    <xf numFmtId="0" fontId="25" fillId="0" borderId="13" xfId="2" applyFont="1" applyBorder="1" applyAlignment="1">
      <alignment vertical="center"/>
    </xf>
    <xf numFmtId="178" fontId="25" fillId="4" borderId="13" xfId="6" applyFont="1" applyFill="1" applyBorder="1" applyAlignment="1">
      <alignment horizontal="right" vertical="center"/>
    </xf>
    <xf numFmtId="0" fontId="17" fillId="0" borderId="15" xfId="5" applyFont="1" applyBorder="1" applyAlignment="1">
      <alignment horizontal="center" vertical="center" textRotation="255"/>
    </xf>
    <xf numFmtId="0" fontId="17" fillId="0" borderId="16" xfId="5" applyFont="1" applyBorder="1" applyAlignment="1">
      <alignment vertical="top"/>
    </xf>
    <xf numFmtId="0" fontId="25" fillId="0" borderId="17" xfId="5" applyFont="1" applyBorder="1" applyAlignment="1">
      <alignment vertical="center"/>
    </xf>
    <xf numFmtId="0" fontId="25" fillId="0" borderId="17" xfId="5" applyFont="1" applyBorder="1" applyAlignment="1">
      <alignment horizontal="right" vertical="center"/>
    </xf>
    <xf numFmtId="0" fontId="25" fillId="0" borderId="18" xfId="5" applyFont="1" applyBorder="1" applyAlignment="1">
      <alignment vertical="center"/>
    </xf>
    <xf numFmtId="0" fontId="27" fillId="0" borderId="0" xfId="9" applyFont="1"/>
    <xf numFmtId="0" fontId="29" fillId="0" borderId="0" xfId="0" applyFont="1">
      <alignment vertical="center"/>
    </xf>
    <xf numFmtId="0" fontId="29" fillId="0" borderId="0" xfId="0" applyFont="1" applyAlignment="1">
      <alignment horizontal="center" vertical="center"/>
    </xf>
    <xf numFmtId="0" fontId="30" fillId="0" borderId="0" xfId="0" applyFont="1" applyAlignment="1">
      <alignment horizontal="center" vertical="center"/>
    </xf>
    <xf numFmtId="0" fontId="33" fillId="0" borderId="0" xfId="0" applyFont="1">
      <alignment vertical="center"/>
    </xf>
    <xf numFmtId="41" fontId="4" fillId="2" borderId="1" xfId="10" applyFont="1" applyFill="1" applyBorder="1" applyAlignment="1">
      <alignment horizontal="center" vertical="center" wrapText="1"/>
    </xf>
    <xf numFmtId="49" fontId="4" fillId="2" borderId="1" xfId="11" applyNumberFormat="1" applyFont="1" applyFill="1" applyBorder="1" applyAlignment="1">
      <alignment horizontal="center" vertical="center" wrapText="1"/>
    </xf>
    <xf numFmtId="0" fontId="39" fillId="0" borderId="0" xfId="11" applyFont="1">
      <alignment vertical="center"/>
    </xf>
    <xf numFmtId="0" fontId="38" fillId="0" borderId="0" xfId="11">
      <alignment vertical="center"/>
    </xf>
    <xf numFmtId="0" fontId="40" fillId="8" borderId="0" xfId="11" applyFont="1" applyFill="1">
      <alignment vertical="center"/>
    </xf>
    <xf numFmtId="0" fontId="40" fillId="9" borderId="0" xfId="11" applyFont="1" applyFill="1">
      <alignment vertical="center"/>
    </xf>
    <xf numFmtId="0" fontId="40" fillId="9" borderId="0" xfId="10" applyNumberFormat="1" applyFont="1" applyFill="1">
      <alignment vertical="center"/>
    </xf>
    <xf numFmtId="0" fontId="40" fillId="10" borderId="0" xfId="10" applyNumberFormat="1" applyFont="1" applyFill="1">
      <alignment vertical="center"/>
    </xf>
    <xf numFmtId="41" fontId="42" fillId="10" borderId="0" xfId="10" applyFont="1" applyFill="1" applyAlignment="1">
      <alignment horizontal="center" vertical="center"/>
    </xf>
    <xf numFmtId="41" fontId="4" fillId="3" borderId="19" xfId="10" applyFont="1" applyFill="1" applyBorder="1" applyAlignment="1">
      <alignment horizontal="left" vertical="center" wrapText="1"/>
    </xf>
    <xf numFmtId="49" fontId="4" fillId="11" borderId="19" xfId="11" applyNumberFormat="1" applyFont="1" applyFill="1" applyBorder="1" applyAlignment="1">
      <alignment horizontal="left" vertical="center" wrapText="1"/>
    </xf>
    <xf numFmtId="3" fontId="4" fillId="11" borderId="19" xfId="11" applyNumberFormat="1" applyFont="1" applyFill="1" applyBorder="1" applyAlignment="1">
      <alignment horizontal="center" vertical="center" wrapText="1"/>
    </xf>
    <xf numFmtId="179" fontId="4" fillId="11" borderId="19" xfId="11" applyNumberFormat="1" applyFont="1" applyFill="1" applyBorder="1" applyAlignment="1">
      <alignment horizontal="right" vertical="center" wrapText="1"/>
    </xf>
    <xf numFmtId="49" fontId="4" fillId="11" borderId="19" xfId="11" applyNumberFormat="1" applyFont="1" applyFill="1" applyBorder="1" applyAlignment="1">
      <alignment horizontal="center" vertical="center" wrapText="1"/>
    </xf>
    <xf numFmtId="0" fontId="39" fillId="8" borderId="0" xfId="11" applyFont="1" applyFill="1">
      <alignment vertical="center"/>
    </xf>
    <xf numFmtId="0" fontId="38" fillId="8" borderId="0" xfId="11" applyFill="1">
      <alignment vertical="center"/>
    </xf>
    <xf numFmtId="0" fontId="0" fillId="8" borderId="0" xfId="10" applyNumberFormat="1" applyFont="1" applyFill="1">
      <alignment vertical="center"/>
    </xf>
    <xf numFmtId="0" fontId="38" fillId="9" borderId="0" xfId="11" applyFill="1">
      <alignment vertical="center"/>
    </xf>
    <xf numFmtId="0" fontId="0" fillId="9" borderId="0" xfId="10" applyNumberFormat="1" applyFont="1" applyFill="1">
      <alignment vertical="center"/>
    </xf>
    <xf numFmtId="41" fontId="0" fillId="9" borderId="0" xfId="10" applyFont="1" applyFill="1">
      <alignment vertical="center"/>
    </xf>
    <xf numFmtId="0" fontId="0" fillId="10" borderId="0" xfId="10" applyNumberFormat="1" applyFont="1" applyFill="1">
      <alignment vertical="center"/>
    </xf>
    <xf numFmtId="41" fontId="0" fillId="10" borderId="0" xfId="10" applyFont="1" applyFill="1">
      <alignment vertical="center"/>
    </xf>
    <xf numFmtId="49" fontId="4" fillId="12" borderId="19" xfId="11" applyNumberFormat="1" applyFont="1" applyFill="1" applyBorder="1" applyAlignment="1">
      <alignment horizontal="left" vertical="center" wrapText="1"/>
    </xf>
    <xf numFmtId="3" fontId="4" fillId="12" borderId="19" xfId="11" applyNumberFormat="1" applyFont="1" applyFill="1" applyBorder="1" applyAlignment="1">
      <alignment horizontal="left" vertical="center" wrapText="1"/>
    </xf>
    <xf numFmtId="179" fontId="4" fillId="12" borderId="19" xfId="11" applyNumberFormat="1" applyFont="1" applyFill="1" applyBorder="1" applyAlignment="1">
      <alignment horizontal="right" vertical="center" wrapText="1"/>
    </xf>
    <xf numFmtId="49" fontId="4" fillId="12" borderId="19" xfId="11" applyNumberFormat="1" applyFont="1" applyFill="1" applyBorder="1" applyAlignment="1">
      <alignment horizontal="center" vertical="center" wrapText="1"/>
    </xf>
    <xf numFmtId="49" fontId="4" fillId="12" borderId="20" xfId="11" applyNumberFormat="1" applyFont="1" applyFill="1" applyBorder="1" applyAlignment="1">
      <alignment horizontal="left" vertical="center" wrapText="1"/>
    </xf>
    <xf numFmtId="49" fontId="4" fillId="11" borderId="20" xfId="11" applyNumberFormat="1" applyFont="1" applyFill="1" applyBorder="1" applyAlignment="1">
      <alignment horizontal="left" vertical="center" wrapText="1"/>
    </xf>
    <xf numFmtId="0" fontId="0" fillId="0" borderId="0" xfId="10" applyNumberFormat="1" applyFont="1">
      <alignment vertical="center"/>
    </xf>
    <xf numFmtId="41" fontId="0" fillId="0" borderId="0" xfId="10" applyFont="1">
      <alignment vertical="center"/>
    </xf>
    <xf numFmtId="41" fontId="34" fillId="2" borderId="21" xfId="10" applyFont="1" applyFill="1" applyBorder="1" applyAlignment="1">
      <alignment horizontal="center" vertical="center" wrapText="1"/>
    </xf>
    <xf numFmtId="49" fontId="34" fillId="2" borderId="21" xfId="11" applyNumberFormat="1" applyFont="1" applyFill="1" applyBorder="1" applyAlignment="1">
      <alignment horizontal="center" vertical="center" wrapText="1"/>
    </xf>
    <xf numFmtId="41" fontId="4" fillId="0" borderId="21" xfId="10" applyFont="1" applyFill="1" applyBorder="1" applyAlignment="1">
      <alignment horizontal="left" vertical="center" wrapText="1"/>
    </xf>
    <xf numFmtId="41" fontId="4" fillId="0" borderId="21" xfId="10" applyFont="1" applyFill="1" applyBorder="1" applyAlignment="1">
      <alignment horizontal="center" vertical="center" wrapText="1"/>
    </xf>
    <xf numFmtId="0" fontId="38" fillId="0" borderId="0" xfId="11" applyAlignment="1">
      <alignment horizontal="center" vertical="center"/>
    </xf>
    <xf numFmtId="176" fontId="30" fillId="5" borderId="22" xfId="4" applyFont="1" applyFill="1" applyBorder="1" applyAlignment="1">
      <alignment horizontal="center" vertical="center"/>
    </xf>
    <xf numFmtId="0" fontId="30" fillId="5" borderId="22" xfId="0" applyFont="1" applyFill="1" applyBorder="1" applyAlignment="1">
      <alignment horizontal="center" vertical="center"/>
    </xf>
    <xf numFmtId="0" fontId="43" fillId="5" borderId="22" xfId="0" applyFont="1" applyFill="1" applyBorder="1" applyAlignment="1">
      <alignment horizontal="center" vertical="center"/>
    </xf>
    <xf numFmtId="41" fontId="30" fillId="5" borderId="22" xfId="1" applyFont="1" applyFill="1" applyBorder="1" applyAlignment="1">
      <alignment horizontal="center" vertical="center"/>
    </xf>
    <xf numFmtId="0" fontId="44" fillId="0" borderId="22" xfId="0" applyFont="1" applyBorder="1">
      <alignment vertical="center"/>
    </xf>
    <xf numFmtId="41" fontId="44" fillId="0" borderId="22" xfId="1" applyFont="1" applyBorder="1">
      <alignment vertical="center"/>
    </xf>
    <xf numFmtId="0" fontId="44" fillId="0" borderId="0" xfId="0" applyFont="1">
      <alignment vertical="center"/>
    </xf>
    <xf numFmtId="41" fontId="44" fillId="3" borderId="22" xfId="1" applyFont="1" applyFill="1" applyBorder="1">
      <alignment vertical="center"/>
    </xf>
    <xf numFmtId="176" fontId="30" fillId="3" borderId="22" xfId="4" applyFont="1" applyFill="1" applyBorder="1" applyAlignment="1">
      <alignment horizontal="center" vertical="center"/>
    </xf>
    <xf numFmtId="41" fontId="30" fillId="3" borderId="22" xfId="1" applyFont="1" applyFill="1" applyBorder="1" applyAlignment="1">
      <alignment horizontal="center" vertical="center"/>
    </xf>
    <xf numFmtId="9" fontId="10" fillId="13" borderId="0" xfId="15" applyFont="1" applyFill="1" applyAlignment="1">
      <alignment horizontal="center" vertical="center"/>
    </xf>
    <xf numFmtId="0" fontId="32" fillId="0" borderId="0" xfId="0" applyFont="1" applyAlignment="1">
      <alignment horizontal="center" vertical="center"/>
    </xf>
    <xf numFmtId="49" fontId="44" fillId="0" borderId="22" xfId="0" applyNumberFormat="1" applyFont="1" applyBorder="1">
      <alignment vertical="center"/>
    </xf>
    <xf numFmtId="49" fontId="29" fillId="0" borderId="0" xfId="0" applyNumberFormat="1" applyFont="1">
      <alignment vertical="center"/>
    </xf>
    <xf numFmtId="49" fontId="30" fillId="5" borderId="22" xfId="2" applyNumberFormat="1" applyFont="1" applyFill="1" applyBorder="1" applyAlignment="1">
      <alignment horizontal="center" vertical="center"/>
    </xf>
    <xf numFmtId="41" fontId="29" fillId="0" borderId="0" xfId="1" applyFont="1">
      <alignment vertical="center"/>
    </xf>
    <xf numFmtId="41" fontId="29" fillId="0" borderId="0" xfId="1" applyFont="1" applyAlignment="1">
      <alignment horizontal="center" vertical="center"/>
    </xf>
    <xf numFmtId="41" fontId="30" fillId="0" borderId="0" xfId="1" applyFont="1" applyAlignment="1">
      <alignment horizontal="center" vertical="center"/>
    </xf>
    <xf numFmtId="9" fontId="44" fillId="0" borderId="22" xfId="0" applyNumberFormat="1" applyFont="1" applyBorder="1">
      <alignment vertical="center"/>
    </xf>
    <xf numFmtId="49" fontId="44" fillId="0" borderId="0" xfId="0" applyNumberFormat="1" applyFont="1">
      <alignment vertical="center"/>
    </xf>
    <xf numFmtId="41" fontId="44" fillId="0" borderId="0" xfId="1" applyFont="1" applyFill="1">
      <alignment vertical="center"/>
    </xf>
    <xf numFmtId="41" fontId="45" fillId="0" borderId="0" xfId="1" applyFont="1" applyFill="1">
      <alignment vertical="center"/>
    </xf>
    <xf numFmtId="9" fontId="44" fillId="0" borderId="0" xfId="0" applyNumberFormat="1" applyFont="1">
      <alignment vertical="center"/>
    </xf>
    <xf numFmtId="0" fontId="46" fillId="0" borderId="0" xfId="0" applyFont="1">
      <alignment vertical="center"/>
    </xf>
    <xf numFmtId="0" fontId="31" fillId="0" borderId="0" xfId="0" applyFont="1" applyAlignment="1">
      <alignment horizontal="center" vertical="center"/>
    </xf>
    <xf numFmtId="0" fontId="47" fillId="0" borderId="0" xfId="0" applyFont="1">
      <alignment vertical="center"/>
    </xf>
    <xf numFmtId="0" fontId="1" fillId="0" borderId="0" xfId="16">
      <alignment vertical="center"/>
    </xf>
    <xf numFmtId="0" fontId="49" fillId="0" borderId="22" xfId="16" applyFont="1" applyBorder="1" applyAlignment="1">
      <alignment horizontal="center" vertical="center"/>
    </xf>
    <xf numFmtId="0" fontId="49" fillId="3" borderId="22" xfId="16" applyFont="1" applyFill="1" applyBorder="1" applyAlignment="1">
      <alignment horizontal="center" vertical="center"/>
    </xf>
    <xf numFmtId="0" fontId="49" fillId="0" borderId="22" xfId="16" applyFont="1" applyBorder="1">
      <alignment vertical="center"/>
    </xf>
    <xf numFmtId="0" fontId="16" fillId="4" borderId="22" xfId="2" applyFont="1" applyFill="1" applyBorder="1" applyAlignment="1">
      <alignment horizontal="center" vertical="center"/>
    </xf>
    <xf numFmtId="0" fontId="49" fillId="0" borderId="22" xfId="16" applyFont="1" applyBorder="1" applyAlignment="1">
      <alignment horizontal="right" vertical="center"/>
    </xf>
    <xf numFmtId="180" fontId="51" fillId="0" borderId="0" xfId="17" applyNumberFormat="1" applyFont="1" applyAlignment="1">
      <alignment horizontal="center" vertical="center" shrinkToFit="1"/>
    </xf>
    <xf numFmtId="0" fontId="51" fillId="0" borderId="0" xfId="17" applyFont="1" applyAlignment="1">
      <alignment vertical="center" shrinkToFit="1"/>
    </xf>
    <xf numFmtId="0" fontId="55" fillId="0" borderId="0" xfId="17" applyFont="1" applyAlignment="1">
      <alignment vertical="center" shrinkToFit="1"/>
    </xf>
    <xf numFmtId="0" fontId="56" fillId="0" borderId="26" xfId="17" applyFont="1" applyBorder="1" applyAlignment="1">
      <alignment horizontal="center" vertical="center" shrinkToFit="1"/>
    </xf>
    <xf numFmtId="0" fontId="56" fillId="0" borderId="27" xfId="17" applyFont="1" applyBorder="1" applyAlignment="1">
      <alignment horizontal="center" vertical="center" shrinkToFit="1"/>
    </xf>
    <xf numFmtId="181" fontId="56" fillId="0" borderId="27" xfId="17" applyNumberFormat="1" applyFont="1" applyBorder="1" applyAlignment="1">
      <alignment horizontal="center" vertical="center" shrinkToFit="1"/>
    </xf>
    <xf numFmtId="180" fontId="57" fillId="0" borderId="0" xfId="17" applyNumberFormat="1" applyFont="1" applyAlignment="1">
      <alignment horizontal="center" vertical="center" shrinkToFit="1"/>
    </xf>
    <xf numFmtId="0" fontId="56" fillId="0" borderId="30" xfId="17" applyFont="1" applyBorder="1" applyAlignment="1">
      <alignment horizontal="center" vertical="center" shrinkToFit="1"/>
    </xf>
    <xf numFmtId="0" fontId="57" fillId="0" borderId="0" xfId="17" applyFont="1" applyAlignment="1">
      <alignment horizontal="center" vertical="center" shrinkToFit="1"/>
    </xf>
    <xf numFmtId="0" fontId="56" fillId="0" borderId="23" xfId="17" applyFont="1" applyBorder="1" applyAlignment="1">
      <alignment vertical="center" shrinkToFit="1"/>
    </xf>
    <xf numFmtId="0" fontId="51" fillId="0" borderId="0" xfId="17" applyFont="1" applyAlignment="1">
      <alignment horizontal="left" vertical="center" shrinkToFit="1"/>
    </xf>
    <xf numFmtId="181" fontId="51" fillId="0" borderId="0" xfId="17" applyNumberFormat="1" applyFont="1" applyAlignment="1">
      <alignment horizontal="right" vertical="center" shrinkToFit="1"/>
    </xf>
    <xf numFmtId="49" fontId="17" fillId="0" borderId="3" xfId="5" applyNumberFormat="1" applyFont="1" applyBorder="1" applyAlignment="1">
      <alignment vertical="center"/>
    </xf>
    <xf numFmtId="0" fontId="45" fillId="0" borderId="0" xfId="0" applyFont="1">
      <alignment vertical="center"/>
    </xf>
    <xf numFmtId="49" fontId="45" fillId="0" borderId="0" xfId="0" applyNumberFormat="1" applyFont="1">
      <alignment vertical="center"/>
    </xf>
    <xf numFmtId="9" fontId="45" fillId="0" borderId="0" xfId="0" applyNumberFormat="1" applyFont="1">
      <alignment vertical="center"/>
    </xf>
    <xf numFmtId="41" fontId="45" fillId="0" borderId="0" xfId="0" applyNumberFormat="1" applyFont="1">
      <alignment vertical="center"/>
    </xf>
    <xf numFmtId="41" fontId="44" fillId="0" borderId="22" xfId="1" applyFont="1" applyFill="1" applyBorder="1">
      <alignment vertical="center"/>
    </xf>
    <xf numFmtId="41" fontId="44" fillId="0" borderId="22" xfId="1" applyFont="1" applyFill="1" applyBorder="1" applyAlignment="1">
      <alignment horizontal="center" vertical="center"/>
    </xf>
    <xf numFmtId="178" fontId="27" fillId="7" borderId="0" xfId="2" applyNumberFormat="1" applyFont="1" applyFill="1" applyAlignment="1">
      <alignment horizontal="center" vertical="center"/>
    </xf>
    <xf numFmtId="41" fontId="44" fillId="14" borderId="22" xfId="1" applyFont="1" applyFill="1" applyBorder="1" applyAlignment="1">
      <alignment horizontal="center" vertical="center"/>
    </xf>
    <xf numFmtId="41" fontId="44" fillId="14" borderId="22" xfId="0" applyNumberFormat="1" applyFont="1" applyFill="1" applyBorder="1" applyAlignment="1">
      <alignment horizontal="center" vertical="center"/>
    </xf>
    <xf numFmtId="49" fontId="60" fillId="4" borderId="22" xfId="0" applyNumberFormat="1" applyFont="1" applyFill="1" applyBorder="1">
      <alignment vertical="center"/>
    </xf>
    <xf numFmtId="0" fontId="61" fillId="0" borderId="22" xfId="0" applyFont="1" applyBorder="1">
      <alignment vertical="center"/>
    </xf>
    <xf numFmtId="3" fontId="4" fillId="4" borderId="22" xfId="0" applyNumberFormat="1" applyFont="1" applyFill="1" applyBorder="1" applyAlignment="1">
      <alignment horizontal="right" vertical="center" wrapText="1"/>
    </xf>
    <xf numFmtId="49" fontId="4" fillId="11" borderId="22" xfId="0" applyNumberFormat="1" applyFont="1" applyFill="1" applyBorder="1" applyAlignment="1">
      <alignment horizontal="center" vertical="center" wrapText="1"/>
    </xf>
    <xf numFmtId="49" fontId="4" fillId="11" borderId="22" xfId="0" applyNumberFormat="1" applyFont="1" applyFill="1" applyBorder="1" applyAlignment="1">
      <alignment horizontal="left" vertical="center" wrapText="1"/>
    </xf>
    <xf numFmtId="49" fontId="4" fillId="11" borderId="22" xfId="0" applyNumberFormat="1" applyFont="1" applyFill="1" applyBorder="1" applyAlignment="1">
      <alignment horizontal="right" vertical="center" wrapText="1"/>
    </xf>
    <xf numFmtId="182" fontId="4" fillId="11" borderId="22" xfId="0" applyNumberFormat="1" applyFont="1" applyFill="1" applyBorder="1" applyAlignment="1">
      <alignment horizontal="right" vertical="center" wrapText="1"/>
    </xf>
    <xf numFmtId="49" fontId="4" fillId="4" borderId="22" xfId="0" applyNumberFormat="1" applyFont="1" applyFill="1" applyBorder="1" applyAlignment="1">
      <alignment horizontal="center" vertical="center" wrapText="1"/>
    </xf>
    <xf numFmtId="49" fontId="4" fillId="4" borderId="22" xfId="0" applyNumberFormat="1" applyFont="1" applyFill="1" applyBorder="1" applyAlignment="1">
      <alignment horizontal="left" vertical="center" wrapText="1"/>
    </xf>
    <xf numFmtId="49" fontId="4" fillId="4" borderId="22" xfId="0" applyNumberFormat="1" applyFont="1" applyFill="1" applyBorder="1" applyAlignment="1">
      <alignment horizontal="right" vertical="center" wrapText="1"/>
    </xf>
    <xf numFmtId="182" fontId="4" fillId="4" borderId="22" xfId="0" applyNumberFormat="1" applyFont="1" applyFill="1" applyBorder="1" applyAlignment="1">
      <alignment horizontal="right" vertical="center" wrapText="1"/>
    </xf>
    <xf numFmtId="41" fontId="61" fillId="4" borderId="22" xfId="1" applyFont="1" applyFill="1" applyBorder="1" applyAlignment="1">
      <alignment horizontal="center" vertical="center"/>
    </xf>
    <xf numFmtId="49" fontId="61" fillId="4" borderId="22" xfId="0" applyNumberFormat="1" applyFont="1" applyFill="1" applyBorder="1">
      <alignment vertical="center"/>
    </xf>
    <xf numFmtId="0" fontId="61" fillId="4" borderId="22" xfId="0" applyFont="1" applyFill="1" applyBorder="1" applyAlignment="1">
      <alignment horizontal="center" vertical="center"/>
    </xf>
    <xf numFmtId="41" fontId="61" fillId="4" borderId="22" xfId="1" applyFont="1" applyFill="1" applyBorder="1" applyAlignment="1">
      <alignment vertical="center"/>
    </xf>
    <xf numFmtId="0" fontId="63" fillId="0" borderId="0" xfId="0" applyFont="1">
      <alignment vertical="center"/>
    </xf>
    <xf numFmtId="49" fontId="39" fillId="0" borderId="0" xfId="0" applyNumberFormat="1" applyFont="1">
      <alignment vertical="center"/>
    </xf>
    <xf numFmtId="49" fontId="39" fillId="0" borderId="0" xfId="0" applyNumberFormat="1" applyFont="1" applyAlignment="1">
      <alignment horizontal="center" vertical="center"/>
    </xf>
    <xf numFmtId="41" fontId="39" fillId="0" borderId="0" xfId="1" applyFont="1" applyFill="1">
      <alignment vertical="center"/>
    </xf>
    <xf numFmtId="0" fontId="39" fillId="0" borderId="0" xfId="0" applyFont="1">
      <alignment vertical="center"/>
    </xf>
    <xf numFmtId="9" fontId="39" fillId="0" borderId="0" xfId="0" applyNumberFormat="1" applyFont="1">
      <alignment vertical="center"/>
    </xf>
    <xf numFmtId="0" fontId="64" fillId="0" borderId="0" xfId="0" applyFont="1" applyAlignment="1">
      <alignment horizontal="center" vertical="center"/>
    </xf>
    <xf numFmtId="49" fontId="65" fillId="0" borderId="0" xfId="0" applyNumberFormat="1" applyFont="1">
      <alignment vertical="center"/>
    </xf>
    <xf numFmtId="49" fontId="65" fillId="0" borderId="0" xfId="0" applyNumberFormat="1" applyFont="1" applyAlignment="1">
      <alignment horizontal="center" vertical="center"/>
    </xf>
    <xf numFmtId="41" fontId="65" fillId="0" borderId="0" xfId="1" applyFont="1">
      <alignment vertical="center"/>
    </xf>
    <xf numFmtId="0" fontId="66" fillId="0" borderId="0" xfId="0" applyFont="1" applyAlignment="1">
      <alignment horizontal="center" vertical="center"/>
    </xf>
    <xf numFmtId="0" fontId="65" fillId="0" borderId="0" xfId="0" applyFont="1">
      <alignment vertical="center"/>
    </xf>
    <xf numFmtId="0" fontId="67" fillId="0" borderId="0" xfId="0" applyFont="1" applyAlignment="1">
      <alignment horizontal="center" vertical="center"/>
    </xf>
    <xf numFmtId="0" fontId="66" fillId="4" borderId="22" xfId="0" applyFont="1" applyFill="1" applyBorder="1" applyAlignment="1">
      <alignment horizontal="center" vertical="center"/>
    </xf>
    <xf numFmtId="49" fontId="66" fillId="4" borderId="22" xfId="2" applyNumberFormat="1" applyFont="1" applyFill="1" applyBorder="1" applyAlignment="1">
      <alignment vertical="center"/>
    </xf>
    <xf numFmtId="49" fontId="66" fillId="4" borderId="22" xfId="2" applyNumberFormat="1" applyFont="1" applyFill="1" applyBorder="1" applyAlignment="1">
      <alignment horizontal="center" vertical="center"/>
    </xf>
    <xf numFmtId="41" fontId="66" fillId="4" borderId="22" xfId="1" applyFont="1" applyFill="1" applyBorder="1" applyAlignment="1">
      <alignment horizontal="center" vertical="center"/>
    </xf>
    <xf numFmtId="176" fontId="66" fillId="4" borderId="22" xfId="4" applyFont="1" applyFill="1" applyBorder="1" applyAlignment="1">
      <alignment horizontal="center" vertical="center"/>
    </xf>
    <xf numFmtId="0" fontId="72" fillId="4" borderId="22" xfId="0" applyFont="1" applyFill="1" applyBorder="1" applyAlignment="1">
      <alignment horizontal="center" vertical="center"/>
    </xf>
    <xf numFmtId="41" fontId="39" fillId="4" borderId="22" xfId="1" applyFont="1" applyFill="1" applyBorder="1">
      <alignment vertical="center"/>
    </xf>
    <xf numFmtId="0" fontId="39" fillId="4" borderId="0" xfId="0" applyFont="1" applyFill="1">
      <alignment vertical="center"/>
    </xf>
    <xf numFmtId="49" fontId="39" fillId="4" borderId="0" xfId="0" applyNumberFormat="1" applyFont="1" applyFill="1">
      <alignment vertical="center"/>
    </xf>
    <xf numFmtId="49" fontId="39" fillId="4" borderId="0" xfId="0" applyNumberFormat="1" applyFont="1" applyFill="1" applyAlignment="1">
      <alignment horizontal="center" vertical="center"/>
    </xf>
    <xf numFmtId="41" fontId="39" fillId="4" borderId="0" xfId="1" applyFont="1" applyFill="1">
      <alignment vertical="center"/>
    </xf>
    <xf numFmtId="9" fontId="39" fillId="4" borderId="0" xfId="0" applyNumberFormat="1" applyFont="1" applyFill="1">
      <alignment vertical="center"/>
    </xf>
    <xf numFmtId="41" fontId="61" fillId="0" borderId="22" xfId="1" applyFont="1" applyBorder="1" applyAlignment="1">
      <alignment vertical="center"/>
    </xf>
    <xf numFmtId="0" fontId="62" fillId="4" borderId="22" xfId="0" applyFont="1" applyFill="1" applyBorder="1" applyAlignment="1">
      <alignment horizontal="center" vertical="center"/>
    </xf>
    <xf numFmtId="41" fontId="62" fillId="4" borderId="22" xfId="1" applyFont="1" applyFill="1" applyBorder="1" applyAlignment="1">
      <alignment vertical="center"/>
    </xf>
    <xf numFmtId="49" fontId="4" fillId="12" borderId="22" xfId="0" applyNumberFormat="1" applyFont="1" applyFill="1" applyBorder="1" applyAlignment="1">
      <alignment horizontal="center" vertical="center" wrapText="1"/>
    </xf>
    <xf numFmtId="49" fontId="4" fillId="12" borderId="22" xfId="0" applyNumberFormat="1" applyFont="1" applyFill="1" applyBorder="1" applyAlignment="1">
      <alignment horizontal="left" vertical="center" wrapText="1"/>
    </xf>
    <xf numFmtId="49" fontId="4" fillId="12" borderId="22" xfId="0" applyNumberFormat="1" applyFont="1" applyFill="1" applyBorder="1" applyAlignment="1">
      <alignment horizontal="right" vertical="center" wrapText="1"/>
    </xf>
    <xf numFmtId="182" fontId="4" fillId="12" borderId="22" xfId="0" applyNumberFormat="1" applyFont="1" applyFill="1" applyBorder="1" applyAlignment="1">
      <alignment horizontal="right" vertical="center" wrapText="1"/>
    </xf>
    <xf numFmtId="183" fontId="4" fillId="12" borderId="22" xfId="0" applyNumberFormat="1" applyFont="1" applyFill="1" applyBorder="1" applyAlignment="1">
      <alignment horizontal="right" vertical="center" wrapText="1"/>
    </xf>
    <xf numFmtId="183" fontId="4" fillId="11" borderId="22" xfId="0" applyNumberFormat="1" applyFont="1" applyFill="1" applyBorder="1" applyAlignment="1">
      <alignment horizontal="right" vertical="center" wrapText="1"/>
    </xf>
    <xf numFmtId="0" fontId="61" fillId="4" borderId="22" xfId="0" applyFont="1" applyFill="1" applyBorder="1" applyAlignment="1">
      <alignment horizontal="right" vertical="center"/>
    </xf>
    <xf numFmtId="9" fontId="61" fillId="4" borderId="22" xfId="0" applyNumberFormat="1" applyFont="1" applyFill="1" applyBorder="1">
      <alignment vertical="center"/>
    </xf>
    <xf numFmtId="0" fontId="62" fillId="4" borderId="22" xfId="0" applyFont="1" applyFill="1" applyBorder="1">
      <alignment vertical="center"/>
    </xf>
    <xf numFmtId="0" fontId="61" fillId="4" borderId="22" xfId="0" applyFont="1" applyFill="1" applyBorder="1">
      <alignment vertical="center"/>
    </xf>
    <xf numFmtId="176" fontId="62" fillId="4" borderId="22" xfId="4" applyFont="1" applyFill="1" applyBorder="1" applyAlignment="1">
      <alignment horizontal="center" vertical="center"/>
    </xf>
    <xf numFmtId="49" fontId="61" fillId="4" borderId="22" xfId="0" applyNumberFormat="1" applyFont="1" applyFill="1" applyBorder="1" applyAlignment="1">
      <alignment horizontal="center" vertical="center"/>
    </xf>
    <xf numFmtId="41" fontId="61" fillId="14" borderId="22" xfId="1" applyFont="1" applyFill="1" applyBorder="1" applyAlignment="1">
      <alignment horizontal="center" vertical="center"/>
    </xf>
    <xf numFmtId="0" fontId="73" fillId="4" borderId="22" xfId="0" applyFont="1" applyFill="1" applyBorder="1">
      <alignment vertical="center"/>
    </xf>
    <xf numFmtId="41" fontId="61" fillId="14" borderId="22" xfId="1" applyFont="1" applyFill="1" applyBorder="1" applyAlignment="1">
      <alignment vertical="center"/>
    </xf>
    <xf numFmtId="41" fontId="61" fillId="4" borderId="22" xfId="0" applyNumberFormat="1" applyFont="1" applyFill="1" applyBorder="1">
      <alignment vertical="center"/>
    </xf>
    <xf numFmtId="184" fontId="61" fillId="4" borderId="22" xfId="0" applyNumberFormat="1" applyFont="1" applyFill="1" applyBorder="1">
      <alignment vertical="center"/>
    </xf>
    <xf numFmtId="0" fontId="61" fillId="14" borderId="22" xfId="0" applyFont="1" applyFill="1" applyBorder="1">
      <alignment vertical="center"/>
    </xf>
    <xf numFmtId="41" fontId="39" fillId="4" borderId="0" xfId="1" applyFont="1" applyFill="1" applyBorder="1">
      <alignment vertical="center"/>
    </xf>
    <xf numFmtId="49" fontId="61" fillId="0" borderId="22" xfId="0" applyNumberFormat="1" applyFont="1" applyBorder="1" applyAlignment="1">
      <alignment horizontal="center" vertical="center"/>
    </xf>
    <xf numFmtId="41" fontId="4" fillId="0" borderId="22" xfId="1" applyFont="1" applyFill="1" applyBorder="1" applyAlignment="1">
      <alignment horizontal="center" vertical="center" wrapText="1"/>
    </xf>
    <xf numFmtId="0" fontId="61" fillId="14" borderId="22" xfId="0" applyFont="1" applyFill="1" applyBorder="1" applyAlignment="1">
      <alignment horizontal="center" vertical="center"/>
    </xf>
    <xf numFmtId="0" fontId="60" fillId="4" borderId="0" xfId="0" applyFont="1" applyFill="1">
      <alignment vertical="center"/>
    </xf>
    <xf numFmtId="0" fontId="61" fillId="4" borderId="0" xfId="0" applyFont="1" applyFill="1">
      <alignment vertical="center"/>
    </xf>
    <xf numFmtId="0" fontId="65" fillId="4" borderId="0" xfId="0" applyFont="1" applyFill="1">
      <alignment vertical="center"/>
    </xf>
    <xf numFmtId="0" fontId="68" fillId="0" borderId="22" xfId="0" applyFont="1" applyBorder="1" applyAlignment="1">
      <alignment horizontal="right" vertical="center"/>
    </xf>
    <xf numFmtId="0" fontId="69" fillId="0" borderId="22" xfId="0" applyFont="1" applyBorder="1">
      <alignment vertical="center"/>
    </xf>
    <xf numFmtId="49" fontId="65" fillId="0" borderId="22" xfId="0" applyNumberFormat="1" applyFont="1" applyBorder="1">
      <alignment vertical="center"/>
    </xf>
    <xf numFmtId="49" fontId="65" fillId="0" borderId="22" xfId="0" applyNumberFormat="1" applyFont="1" applyBorder="1" applyAlignment="1">
      <alignment horizontal="center" vertical="center"/>
    </xf>
    <xf numFmtId="41" fontId="65" fillId="0" borderId="22" xfId="1" applyFont="1" applyBorder="1">
      <alignment vertical="center"/>
    </xf>
    <xf numFmtId="41" fontId="39" fillId="0" borderId="22" xfId="1" applyFont="1" applyFill="1" applyBorder="1">
      <alignment vertical="center"/>
    </xf>
    <xf numFmtId="9" fontId="70" fillId="13" borderId="22" xfId="15" applyFont="1" applyFill="1" applyBorder="1" applyAlignment="1">
      <alignment horizontal="center" vertical="center"/>
    </xf>
    <xf numFmtId="0" fontId="65" fillId="0" borderId="22" xfId="0" applyFont="1" applyBorder="1">
      <alignment vertical="center"/>
    </xf>
    <xf numFmtId="0" fontId="71" fillId="0" borderId="22" xfId="0" applyFont="1" applyBorder="1">
      <alignment vertical="center"/>
    </xf>
    <xf numFmtId="41" fontId="4" fillId="4" borderId="22" xfId="1" applyFont="1" applyFill="1" applyBorder="1" applyAlignment="1">
      <alignment horizontal="center" vertical="center" wrapText="1"/>
    </xf>
    <xf numFmtId="0" fontId="61" fillId="0" borderId="22" xfId="0" applyFont="1" applyBorder="1" applyAlignment="1">
      <alignment horizontal="center" vertical="center"/>
    </xf>
    <xf numFmtId="0" fontId="62" fillId="0" borderId="22" xfId="0" applyFont="1" applyBorder="1">
      <alignment vertical="center"/>
    </xf>
    <xf numFmtId="0" fontId="74" fillId="4" borderId="22" xfId="0" applyFont="1" applyFill="1" applyBorder="1" applyAlignment="1">
      <alignment horizontal="center" vertical="center"/>
    </xf>
    <xf numFmtId="0" fontId="61" fillId="4" borderId="22" xfId="0" applyFont="1" applyFill="1" applyBorder="1" applyAlignment="1">
      <alignment horizontal="center"/>
    </xf>
    <xf numFmtId="0" fontId="62" fillId="4" borderId="22" xfId="0" applyFont="1" applyFill="1" applyBorder="1" applyAlignment="1"/>
    <xf numFmtId="41" fontId="61" fillId="0" borderId="22" xfId="1" applyFont="1" applyBorder="1">
      <alignment vertical="center"/>
    </xf>
    <xf numFmtId="0" fontId="61" fillId="4" borderId="22" xfId="0" applyFont="1" applyFill="1" applyBorder="1" applyAlignment="1">
      <alignment horizontal="left" vertical="center"/>
    </xf>
    <xf numFmtId="0" fontId="62" fillId="4" borderId="22" xfId="0" applyFont="1" applyFill="1" applyBorder="1" applyAlignment="1">
      <alignment horizontal="center"/>
    </xf>
    <xf numFmtId="0" fontId="62" fillId="4" borderId="22" xfId="0" applyFont="1" applyFill="1" applyBorder="1" applyAlignment="1">
      <alignment horizontal="left"/>
    </xf>
    <xf numFmtId="41" fontId="62" fillId="4" borderId="22" xfId="1" applyFont="1" applyFill="1" applyBorder="1" applyAlignment="1">
      <alignment horizontal="left"/>
    </xf>
    <xf numFmtId="41" fontId="62" fillId="4" borderId="22" xfId="1" applyFont="1" applyFill="1" applyBorder="1" applyAlignment="1"/>
    <xf numFmtId="41" fontId="61" fillId="4" borderId="22" xfId="1" applyFont="1" applyFill="1" applyBorder="1" applyAlignment="1">
      <alignment horizontal="left" vertical="center"/>
    </xf>
    <xf numFmtId="41" fontId="62" fillId="4" borderId="22" xfId="1" applyFont="1" applyFill="1" applyBorder="1" applyAlignment="1">
      <alignment horizontal="center"/>
    </xf>
    <xf numFmtId="0" fontId="61" fillId="4" borderId="22" xfId="0" applyFont="1" applyFill="1" applyBorder="1" applyAlignment="1">
      <alignment vertical="center"/>
    </xf>
    <xf numFmtId="49" fontId="44" fillId="0" borderId="22" xfId="0" applyNumberFormat="1" applyFont="1" applyFill="1" applyBorder="1">
      <alignment vertical="center"/>
    </xf>
    <xf numFmtId="9" fontId="44" fillId="0" borderId="22" xfId="0" applyNumberFormat="1" applyFont="1" applyFill="1" applyBorder="1">
      <alignment vertical="center"/>
    </xf>
    <xf numFmtId="0" fontId="44" fillId="0" borderId="0" xfId="0" applyFont="1" applyFill="1">
      <alignment vertical="center"/>
    </xf>
    <xf numFmtId="49" fontId="4" fillId="0" borderId="22" xfId="0" applyNumberFormat="1" applyFont="1" applyFill="1" applyBorder="1" applyAlignment="1">
      <alignment horizontal="center" vertical="center" wrapText="1"/>
    </xf>
    <xf numFmtId="49" fontId="4" fillId="0" borderId="22" xfId="0" applyNumberFormat="1" applyFont="1" applyFill="1" applyBorder="1" applyAlignment="1">
      <alignment horizontal="left" vertical="center" wrapText="1"/>
    </xf>
    <xf numFmtId="49" fontId="4" fillId="0" borderId="22" xfId="0" applyNumberFormat="1" applyFont="1" applyFill="1" applyBorder="1" applyAlignment="1">
      <alignment horizontal="right" vertical="center" wrapText="1"/>
    </xf>
    <xf numFmtId="41" fontId="61" fillId="0" borderId="22" xfId="1" applyFont="1" applyFill="1" applyBorder="1" applyAlignment="1">
      <alignment vertical="center"/>
    </xf>
    <xf numFmtId="0" fontId="61" fillId="0" borderId="22" xfId="0" applyFont="1" applyFill="1" applyBorder="1">
      <alignment vertical="center"/>
    </xf>
    <xf numFmtId="49" fontId="61" fillId="0" borderId="22" xfId="0" applyNumberFormat="1" applyFont="1" applyFill="1" applyBorder="1">
      <alignment vertical="center"/>
    </xf>
    <xf numFmtId="49" fontId="61" fillId="0" borderId="22" xfId="0" applyNumberFormat="1" applyFont="1" applyFill="1" applyBorder="1" applyAlignment="1">
      <alignment horizontal="center" vertical="center"/>
    </xf>
    <xf numFmtId="0" fontId="44" fillId="0" borderId="22" xfId="0" applyFont="1" applyFill="1" applyBorder="1">
      <alignment vertical="center"/>
    </xf>
    <xf numFmtId="41" fontId="44" fillId="0" borderId="22" xfId="1" applyFont="1" applyFill="1" applyBorder="1" applyAlignment="1">
      <alignment vertical="center"/>
    </xf>
    <xf numFmtId="49" fontId="44" fillId="0" borderId="0" xfId="0" applyNumberFormat="1" applyFont="1" applyFill="1">
      <alignment vertical="center"/>
    </xf>
    <xf numFmtId="9" fontId="44" fillId="0" borderId="0" xfId="0" applyNumberFormat="1" applyFont="1" applyFill="1">
      <alignment vertical="center"/>
    </xf>
    <xf numFmtId="0" fontId="12" fillId="0" borderId="0" xfId="5" applyFont="1" applyAlignment="1">
      <alignment horizontal="center" vertical="center"/>
    </xf>
    <xf numFmtId="0" fontId="18" fillId="6" borderId="0" xfId="5" applyFont="1" applyFill="1" applyAlignment="1">
      <alignment horizontal="left" vertical="center" shrinkToFit="1"/>
    </xf>
    <xf numFmtId="0" fontId="18" fillId="0" borderId="0" xfId="5" applyFont="1" applyAlignment="1">
      <alignment vertical="center"/>
    </xf>
    <xf numFmtId="0" fontId="16" fillId="0" borderId="0" xfId="5" applyFont="1" applyAlignment="1">
      <alignment vertical="center"/>
    </xf>
    <xf numFmtId="176" fontId="67" fillId="4" borderId="22" xfId="4" applyFont="1" applyFill="1" applyBorder="1" applyAlignment="1">
      <alignment horizontal="center" vertical="center"/>
    </xf>
    <xf numFmtId="176" fontId="66" fillId="4" borderId="22" xfId="4" applyFont="1" applyFill="1" applyBorder="1" applyAlignment="1">
      <alignment horizontal="center" vertical="center"/>
    </xf>
    <xf numFmtId="0" fontId="66" fillId="4" borderId="22" xfId="0" applyFont="1" applyFill="1" applyBorder="1" applyAlignment="1">
      <alignment horizontal="center" vertical="center"/>
    </xf>
    <xf numFmtId="0" fontId="67" fillId="4" borderId="22" xfId="0" applyFont="1" applyFill="1" applyBorder="1" applyAlignment="1">
      <alignment horizontal="center" vertical="center"/>
    </xf>
    <xf numFmtId="49" fontId="66" fillId="4" borderId="22" xfId="2" applyNumberFormat="1" applyFont="1" applyFill="1" applyBorder="1" applyAlignment="1">
      <alignment horizontal="center" vertical="center"/>
    </xf>
    <xf numFmtId="41" fontId="66" fillId="4" borderId="22" xfId="1" applyFont="1" applyFill="1" applyBorder="1" applyAlignment="1">
      <alignment horizontal="center" vertical="center"/>
    </xf>
    <xf numFmtId="0" fontId="48" fillId="0" borderId="22" xfId="16" applyFont="1" applyBorder="1" applyAlignment="1">
      <alignment horizontal="center" vertical="center"/>
    </xf>
    <xf numFmtId="0" fontId="49" fillId="0" borderId="25" xfId="16" applyFont="1" applyBorder="1" applyAlignment="1">
      <alignment horizontal="left" vertical="center"/>
    </xf>
    <xf numFmtId="0" fontId="49" fillId="0" borderId="23" xfId="16" applyFont="1" applyBorder="1" applyAlignment="1">
      <alignment horizontal="left" vertical="center"/>
    </xf>
    <xf numFmtId="0" fontId="49" fillId="0" borderId="24" xfId="16" applyFont="1" applyBorder="1" applyAlignment="1">
      <alignment horizontal="left" vertical="center"/>
    </xf>
    <xf numFmtId="0" fontId="52" fillId="0" borderId="0" xfId="17" applyFont="1" applyAlignment="1">
      <alignment horizontal="center" vertical="center" shrinkToFit="1"/>
    </xf>
    <xf numFmtId="0" fontId="53" fillId="0" borderId="0" xfId="17" applyFont="1" applyAlignment="1">
      <alignment horizontal="center" vertical="center" shrinkToFit="1"/>
    </xf>
    <xf numFmtId="42" fontId="54" fillId="0" borderId="0" xfId="18" applyFont="1" applyBorder="1" applyAlignment="1">
      <alignment horizontal="center" vertical="center" shrinkToFit="1"/>
    </xf>
    <xf numFmtId="31" fontId="56" fillId="0" borderId="28" xfId="17" applyNumberFormat="1" applyFont="1" applyBorder="1" applyAlignment="1">
      <alignment horizontal="center" vertical="center" shrinkToFit="1"/>
    </xf>
    <xf numFmtId="31" fontId="56" fillId="0" borderId="29" xfId="17" applyNumberFormat="1" applyFont="1" applyBorder="1" applyAlignment="1">
      <alignment horizontal="center" vertical="center" shrinkToFit="1"/>
    </xf>
    <xf numFmtId="0" fontId="56" fillId="0" borderId="25" xfId="17" applyFont="1" applyBorder="1" applyAlignment="1">
      <alignment horizontal="left" vertical="center" indent="1" shrinkToFit="1"/>
    </xf>
    <xf numFmtId="0" fontId="56" fillId="0" borderId="23" xfId="17" applyFont="1" applyBorder="1" applyAlignment="1">
      <alignment horizontal="left" vertical="center" indent="1" shrinkToFit="1"/>
    </xf>
    <xf numFmtId="0" fontId="56" fillId="0" borderId="31" xfId="17" applyFont="1" applyBorder="1" applyAlignment="1">
      <alignment horizontal="left" vertical="center" indent="1" shrinkToFit="1"/>
    </xf>
    <xf numFmtId="0" fontId="56" fillId="0" borderId="32" xfId="17" applyFont="1" applyBorder="1" applyAlignment="1">
      <alignment horizontal="center" vertical="center" shrinkToFit="1"/>
    </xf>
    <xf numFmtId="0" fontId="56" fillId="0" borderId="36" xfId="17" applyFont="1" applyBorder="1" applyAlignment="1">
      <alignment horizontal="center" vertical="center" shrinkToFit="1"/>
    </xf>
    <xf numFmtId="0" fontId="56" fillId="0" borderId="39" xfId="17" applyFont="1" applyBorder="1" applyAlignment="1">
      <alignment horizontal="center" vertical="center" shrinkToFit="1"/>
    </xf>
    <xf numFmtId="0" fontId="58" fillId="4" borderId="33" xfId="17" applyFont="1" applyFill="1" applyBorder="1" applyAlignment="1">
      <alignment horizontal="left" vertical="center" shrinkToFit="1"/>
    </xf>
    <xf numFmtId="0" fontId="58" fillId="4" borderId="34" xfId="17" applyFont="1" applyFill="1" applyBorder="1" applyAlignment="1">
      <alignment horizontal="left" vertical="center" shrinkToFit="1"/>
    </xf>
    <xf numFmtId="0" fontId="58" fillId="4" borderId="35" xfId="17" applyFont="1" applyFill="1" applyBorder="1" applyAlignment="1">
      <alignment horizontal="left" vertical="center" shrinkToFit="1"/>
    </xf>
    <xf numFmtId="0" fontId="58" fillId="4" borderId="37" xfId="17" applyFont="1" applyFill="1" applyBorder="1" applyAlignment="1">
      <alignment horizontal="left" vertical="center" shrinkToFit="1"/>
    </xf>
    <xf numFmtId="0" fontId="58" fillId="4" borderId="0" xfId="17" applyFont="1" applyFill="1" applyAlignment="1">
      <alignment horizontal="left" vertical="center" shrinkToFit="1"/>
    </xf>
    <xf numFmtId="0" fontId="58" fillId="4" borderId="38" xfId="17" applyFont="1" applyFill="1" applyBorder="1" applyAlignment="1">
      <alignment horizontal="left" vertical="center" shrinkToFit="1"/>
    </xf>
    <xf numFmtId="41" fontId="51" fillId="4" borderId="37" xfId="19" quotePrefix="1" applyFont="1" applyFill="1" applyBorder="1" applyAlignment="1">
      <alignment horizontal="left" vertical="center" shrinkToFit="1"/>
    </xf>
    <xf numFmtId="41" fontId="51" fillId="4" borderId="0" xfId="19" quotePrefix="1" applyFont="1" applyFill="1" applyBorder="1" applyAlignment="1">
      <alignment horizontal="left" vertical="center" shrinkToFit="1"/>
    </xf>
    <xf numFmtId="41" fontId="51" fillId="4" borderId="38" xfId="19" quotePrefix="1" applyFont="1" applyFill="1" applyBorder="1" applyAlignment="1">
      <alignment horizontal="left" vertical="center" shrinkToFit="1"/>
    </xf>
    <xf numFmtId="41" fontId="51" fillId="4" borderId="0" xfId="19" applyFont="1" applyFill="1" applyBorder="1" applyAlignment="1">
      <alignment horizontal="left" vertical="center" shrinkToFit="1"/>
    </xf>
    <xf numFmtId="41" fontId="51" fillId="4" borderId="38" xfId="19" applyFont="1" applyFill="1" applyBorder="1" applyAlignment="1">
      <alignment horizontal="left" vertical="center" shrinkToFit="1"/>
    </xf>
    <xf numFmtId="0" fontId="58" fillId="4" borderId="37" xfId="16" applyFont="1" applyFill="1" applyBorder="1" applyAlignment="1">
      <alignment horizontal="left" vertical="center" shrinkToFit="1"/>
    </xf>
    <xf numFmtId="0" fontId="59" fillId="4" borderId="0" xfId="16" applyFont="1" applyFill="1" applyAlignment="1">
      <alignment horizontal="left" vertical="center" shrinkToFit="1"/>
    </xf>
    <xf numFmtId="0" fontId="59" fillId="4" borderId="38" xfId="16" applyFont="1" applyFill="1" applyBorder="1" applyAlignment="1">
      <alignment horizontal="left" vertical="center" shrinkToFit="1"/>
    </xf>
    <xf numFmtId="0" fontId="56" fillId="0" borderId="23" xfId="17" applyFont="1" applyBorder="1" applyAlignment="1">
      <alignment horizontal="center" vertical="center" shrinkToFit="1"/>
    </xf>
    <xf numFmtId="0" fontId="56" fillId="0" borderId="31" xfId="17" applyFont="1" applyBorder="1" applyAlignment="1">
      <alignment horizontal="center" vertical="center" shrinkToFit="1"/>
    </xf>
    <xf numFmtId="0" fontId="58" fillId="4" borderId="0" xfId="16" applyFont="1" applyFill="1" applyAlignment="1">
      <alignment horizontal="left" vertical="center" shrinkToFit="1"/>
    </xf>
    <xf numFmtId="0" fontId="58" fillId="4" borderId="38" xfId="16" applyFont="1" applyFill="1" applyBorder="1" applyAlignment="1">
      <alignment horizontal="left" vertical="center" shrinkToFit="1"/>
    </xf>
    <xf numFmtId="0" fontId="56" fillId="4" borderId="37" xfId="17" applyFont="1" applyFill="1" applyBorder="1" applyAlignment="1">
      <alignment horizontal="left" vertical="center" shrinkToFit="1"/>
    </xf>
    <xf numFmtId="0" fontId="56" fillId="4" borderId="0" xfId="17" applyFont="1" applyFill="1" applyAlignment="1">
      <alignment horizontal="left" vertical="center" shrinkToFit="1"/>
    </xf>
    <xf numFmtId="0" fontId="56" fillId="4" borderId="38" xfId="17" applyFont="1" applyFill="1" applyBorder="1" applyAlignment="1">
      <alignment horizontal="left" vertical="center" shrinkToFit="1"/>
    </xf>
    <xf numFmtId="176" fontId="30" fillId="5" borderId="22" xfId="4" applyFont="1" applyFill="1" applyBorder="1" applyAlignment="1">
      <alignment horizontal="center" vertical="center"/>
    </xf>
    <xf numFmtId="0" fontId="30" fillId="5" borderId="22" xfId="0" applyFont="1" applyFill="1" applyBorder="1" applyAlignment="1">
      <alignment horizontal="center" vertical="center"/>
    </xf>
    <xf numFmtId="0" fontId="28" fillId="5" borderId="22" xfId="0" applyFont="1" applyFill="1" applyBorder="1" applyAlignment="1">
      <alignment horizontal="center" vertical="center"/>
    </xf>
    <xf numFmtId="49" fontId="30" fillId="5" borderId="22" xfId="2" applyNumberFormat="1" applyFont="1" applyFill="1" applyBorder="1" applyAlignment="1">
      <alignment horizontal="center" vertical="center"/>
    </xf>
    <xf numFmtId="41" fontId="30" fillId="3" borderId="22" xfId="1" applyFont="1" applyFill="1" applyBorder="1" applyAlignment="1">
      <alignment horizontal="center" vertical="center"/>
    </xf>
    <xf numFmtId="41" fontId="30" fillId="5" borderId="22" xfId="1" applyFont="1" applyFill="1" applyBorder="1" applyAlignment="1">
      <alignment horizontal="center" vertical="center"/>
    </xf>
  </cellXfs>
  <cellStyles count="20">
    <cellStyle name="백분율 2" xfId="15" xr:uid="{EE86BB1C-69E1-460B-9171-3F227FA33C1D}"/>
    <cellStyle name="백분율 2 64" xfId="8" xr:uid="{00000000-0005-0000-0000-000001000000}"/>
    <cellStyle name="쉼표 [0]" xfId="1" builtinId="6"/>
    <cellStyle name="쉼표 [0] 17" xfId="4" xr:uid="{00000000-0005-0000-0000-000003000000}"/>
    <cellStyle name="쉼표 [0] 2" xfId="3" xr:uid="{00000000-0005-0000-0000-000004000000}"/>
    <cellStyle name="쉼표 [0] 2 2" xfId="14" xr:uid="{A1C8B741-C630-4E67-A83D-3CBB14972169}"/>
    <cellStyle name="쉼표 [0] 2 2 29" xfId="19" xr:uid="{3FAD0FAA-8721-4064-865A-605028832AEB}"/>
    <cellStyle name="쉼표 [0] 3" xfId="10" xr:uid="{00000000-0005-0000-0000-000005000000}"/>
    <cellStyle name="쉼표 [0] 4" xfId="13" xr:uid="{0FF7ACC6-6CB8-4787-AF72-D6B99621F0B3}"/>
    <cellStyle name="쉼표 [0]_봉강빌딩신축공사" xfId="6" xr:uid="{00000000-0005-0000-0000-000006000000}"/>
    <cellStyle name="통화 [0] 2 2" xfId="18" xr:uid="{7FF8C250-A740-45DE-B29D-9E43933C3EEB}"/>
    <cellStyle name="표준" xfId="0" builtinId="0"/>
    <cellStyle name="표준 10 10 2" xfId="2" xr:uid="{00000000-0005-0000-0000-000008000000}"/>
    <cellStyle name="표준 10 31" xfId="17" xr:uid="{5641AB0D-2EA8-4AB6-8329-E57BB4A3FC7A}"/>
    <cellStyle name="표준 2" xfId="7" xr:uid="{00000000-0005-0000-0000-000009000000}"/>
    <cellStyle name="표준 2 10 5" xfId="9" xr:uid="{00000000-0005-0000-0000-00000A000000}"/>
    <cellStyle name="표준 3" xfId="11" xr:uid="{00000000-0005-0000-0000-00000B000000}"/>
    <cellStyle name="표준 4" xfId="12" xr:uid="{03534BC2-B160-42E2-B139-ACDEC5655F57}"/>
    <cellStyle name="표준 5" xfId="16" xr:uid="{DFC9C9E8-5C9A-4A91-B9E1-72DA07CC51D3}"/>
    <cellStyle name="표준_봉강빌딩신축공사" xfId="5"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8C39A34D-951E-4EFF-A38C-756FAE2E3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32B4980F-0758-4B98-8B1C-E8A79DF010C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B759D8C-1E1E-468F-AA4B-AEAAF6BD7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CEDC4247-812A-4BAC-9744-3A9D2EA631F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6" name="Picture 1" descr="세원도장">
          <a:extLst>
            <a:ext uri="{FF2B5EF4-FFF2-40B4-BE49-F238E27FC236}">
              <a16:creationId xmlns:a16="http://schemas.microsoft.com/office/drawing/2014/main" id="{2519A81E-381F-4B86-BAC6-B4BEFD42CD3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6923CF13-1374-4A80-8393-C0317C105B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2667000</xdr:colOff>
      <xdr:row>3</xdr:row>
      <xdr:rowOff>95250</xdr:rowOff>
    </xdr:from>
    <xdr:to>
      <xdr:col>6</xdr:col>
      <xdr:colOff>3116036</xdr:colOff>
      <xdr:row>5</xdr:row>
      <xdr:rowOff>163285</xdr:rowOff>
    </xdr:to>
    <xdr:pic>
      <xdr:nvPicPr>
        <xdr:cNvPr id="8" name="그림 7">
          <a:extLst>
            <a:ext uri="{FF2B5EF4-FFF2-40B4-BE49-F238E27FC236}">
              <a16:creationId xmlns:a16="http://schemas.microsoft.com/office/drawing/2014/main" id="{35A8CF67-9871-4D6E-B4F3-CB19BFE9D85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5845" t="44181" r="45649" b="45760"/>
        <a:stretch/>
      </xdr:blipFill>
      <xdr:spPr>
        <a:xfrm>
          <a:off x="10487025" y="866775"/>
          <a:ext cx="449036" cy="591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tabSelected="1" topLeftCell="A14" zoomScale="80" zoomScaleNormal="80" workbookViewId="0">
      <selection activeCell="F31" sqref="F31"/>
    </sheetView>
  </sheetViews>
  <sheetFormatPr defaultRowHeight="13.5"/>
  <cols>
    <col min="1" max="1" width="9.875" style="2" customWidth="1"/>
    <col min="2" max="2" width="24.25" style="2" customWidth="1"/>
    <col min="3" max="3" width="27" style="2" customWidth="1"/>
    <col min="4" max="5" width="9" style="2"/>
    <col min="6" max="6" width="23.5" style="2" customWidth="1"/>
    <col min="7" max="7" width="44.75" style="2" customWidth="1"/>
    <col min="8" max="8" width="11.25" style="2" customWidth="1"/>
    <col min="9" max="9" width="9" style="2"/>
    <col min="10" max="16384" width="9" style="3"/>
  </cols>
  <sheetData>
    <row r="2" spans="1:9" ht="33">
      <c r="A2" s="261" t="s">
        <v>6</v>
      </c>
      <c r="B2" s="261"/>
      <c r="C2" s="261"/>
      <c r="D2" s="261"/>
      <c r="E2" s="261"/>
      <c r="F2" s="261"/>
      <c r="G2" s="261"/>
      <c r="H2" s="1"/>
    </row>
    <row r="3" spans="1:9" ht="14.25">
      <c r="A3" s="4"/>
      <c r="B3" s="4"/>
      <c r="C3" s="4"/>
      <c r="D3" s="4"/>
      <c r="E3" s="4"/>
      <c r="F3" s="4"/>
      <c r="G3" s="4"/>
      <c r="H3" s="4"/>
    </row>
    <row r="4" spans="1:9" ht="14.25">
      <c r="A4" s="4"/>
      <c r="B4" s="4"/>
      <c r="C4" s="4"/>
      <c r="D4" s="4"/>
      <c r="E4" s="4"/>
      <c r="H4" s="4"/>
    </row>
    <row r="5" spans="1:9" ht="27.75" customHeight="1">
      <c r="A5" s="5" t="s">
        <v>7</v>
      </c>
      <c r="B5" s="6" t="s">
        <v>788</v>
      </c>
      <c r="C5" s="7"/>
      <c r="D5" s="4"/>
      <c r="E5" s="4"/>
      <c r="F5" s="8" t="s">
        <v>785</v>
      </c>
      <c r="G5" s="9"/>
      <c r="H5" s="4"/>
    </row>
    <row r="6" spans="1:9" ht="14.25" customHeight="1">
      <c r="A6" s="4"/>
      <c r="B6" s="4"/>
      <c r="C6" s="4"/>
      <c r="D6" s="4"/>
      <c r="E6" s="4"/>
      <c r="F6" s="10"/>
      <c r="G6" s="9"/>
      <c r="H6" s="4"/>
    </row>
    <row r="7" spans="1:9" ht="27" customHeight="1">
      <c r="A7" s="5" t="s">
        <v>8</v>
      </c>
      <c r="B7" s="11" t="s">
        <v>7064</v>
      </c>
      <c r="C7" s="12"/>
      <c r="D7" s="4"/>
      <c r="E7" s="13"/>
      <c r="F7" s="262" t="s">
        <v>786</v>
      </c>
      <c r="G7" s="262"/>
      <c r="H7" s="4"/>
    </row>
    <row r="8" spans="1:9" ht="14.25">
      <c r="A8" s="4"/>
      <c r="B8" s="4"/>
      <c r="C8" s="4"/>
      <c r="D8" s="4"/>
      <c r="E8" s="4"/>
      <c r="F8" s="10"/>
      <c r="G8" s="14"/>
      <c r="H8" s="4"/>
    </row>
    <row r="9" spans="1:9" ht="26.25" customHeight="1">
      <c r="A9" s="5" t="s">
        <v>784</v>
      </c>
      <c r="B9" s="145" t="s">
        <v>7046</v>
      </c>
      <c r="C9" s="15"/>
      <c r="D9" s="4"/>
      <c r="E9" s="4"/>
      <c r="F9" s="8" t="s">
        <v>787</v>
      </c>
      <c r="G9" s="14"/>
      <c r="H9" s="4"/>
    </row>
    <row r="10" spans="1:9" ht="14.25">
      <c r="A10" s="4"/>
      <c r="B10" s="4"/>
      <c r="C10" s="4"/>
      <c r="D10" s="4"/>
      <c r="E10" s="4"/>
      <c r="F10" s="4"/>
      <c r="G10" s="4"/>
      <c r="H10" s="4"/>
      <c r="I10" s="4"/>
    </row>
    <row r="11" spans="1:9" ht="18">
      <c r="A11" s="263"/>
      <c r="B11" s="264"/>
      <c r="C11" s="264"/>
      <c r="D11" s="4"/>
      <c r="E11" s="16"/>
      <c r="F11" s="16"/>
      <c r="G11" s="16"/>
      <c r="H11" s="16"/>
    </row>
    <row r="12" spans="1:9" ht="18.75" thickBot="1">
      <c r="A12" s="17" t="s">
        <v>9</v>
      </c>
      <c r="B12" s="17" t="str">
        <f>NUMBERSTRING(F31,1)</f>
        <v>일백오십구만일천</v>
      </c>
      <c r="C12" s="18"/>
      <c r="D12" s="19" t="s">
        <v>10</v>
      </c>
      <c r="E12" s="20" t="s">
        <v>11</v>
      </c>
      <c r="F12" s="20" t="s">
        <v>11</v>
      </c>
      <c r="G12" s="21"/>
      <c r="H12" s="22"/>
    </row>
    <row r="13" spans="1:9" ht="15.75" thickTop="1" thickBot="1">
      <c r="A13" s="4"/>
      <c r="B13" s="4"/>
      <c r="C13" s="4"/>
      <c r="D13" s="4"/>
      <c r="E13" s="4"/>
      <c r="F13" s="4"/>
      <c r="G13" s="4"/>
      <c r="H13" s="22"/>
    </row>
    <row r="14" spans="1:9" ht="33" customHeight="1" thickBot="1">
      <c r="A14" s="23" t="s">
        <v>12</v>
      </c>
      <c r="B14" s="24" t="s">
        <v>13</v>
      </c>
      <c r="C14" s="24" t="s">
        <v>14</v>
      </c>
      <c r="D14" s="24" t="s">
        <v>15</v>
      </c>
      <c r="E14" s="24" t="s">
        <v>16</v>
      </c>
      <c r="F14" s="24" t="s">
        <v>17</v>
      </c>
      <c r="G14" s="25" t="s">
        <v>18</v>
      </c>
      <c r="H14" s="22"/>
    </row>
    <row r="15" spans="1:9" ht="33" customHeight="1" thickTop="1">
      <c r="A15" s="26"/>
      <c r="B15" s="27" t="s">
        <v>19</v>
      </c>
      <c r="C15" s="28"/>
      <c r="D15" s="29"/>
      <c r="E15" s="29"/>
      <c r="F15" s="30"/>
      <c r="G15" s="31"/>
    </row>
    <row r="16" spans="1:9" ht="33" customHeight="1">
      <c r="A16" s="32"/>
      <c r="B16" s="33" t="s">
        <v>20</v>
      </c>
      <c r="C16" s="34"/>
      <c r="D16" s="35"/>
      <c r="E16" s="35"/>
      <c r="F16" s="36">
        <f>'내역서(표준단가)'!O3471</f>
        <v>897230</v>
      </c>
      <c r="G16" s="37"/>
    </row>
    <row r="17" spans="1:9" ht="33" customHeight="1">
      <c r="A17" s="32"/>
      <c r="B17" s="33" t="s">
        <v>21</v>
      </c>
      <c r="C17" s="34"/>
      <c r="D17" s="35"/>
      <c r="E17" s="35"/>
      <c r="F17" s="36">
        <f>'내역서(표준단가)'!Q3471</f>
        <v>544820.4</v>
      </c>
      <c r="G17" s="38"/>
      <c r="H17" s="3"/>
      <c r="I17" s="3"/>
    </row>
    <row r="18" spans="1:9" ht="33" customHeight="1">
      <c r="A18" s="32"/>
      <c r="B18" s="33" t="s">
        <v>22</v>
      </c>
      <c r="C18" s="34"/>
      <c r="D18" s="35"/>
      <c r="E18" s="35"/>
      <c r="F18" s="36">
        <f>'내역서(표준단가)'!S3471</f>
        <v>0</v>
      </c>
      <c r="G18" s="38"/>
      <c r="H18" s="3"/>
      <c r="I18" s="3"/>
    </row>
    <row r="19" spans="1:9" ht="33" customHeight="1">
      <c r="A19" s="32"/>
      <c r="B19" s="39" t="s">
        <v>23</v>
      </c>
      <c r="C19" s="39"/>
      <c r="D19" s="40"/>
      <c r="E19" s="40"/>
      <c r="F19" s="41">
        <f>F16+F17+F18</f>
        <v>1442050.4</v>
      </c>
      <c r="G19" s="38"/>
      <c r="H19" s="3"/>
      <c r="I19" s="3"/>
    </row>
    <row r="20" spans="1:9" ht="33" customHeight="1">
      <c r="A20" s="32"/>
      <c r="B20" s="42" t="s">
        <v>24</v>
      </c>
      <c r="C20" s="43"/>
      <c r="D20" s="35"/>
      <c r="E20" s="35"/>
      <c r="F20" s="44"/>
      <c r="G20" s="38"/>
      <c r="H20" s="3"/>
      <c r="I20" s="3"/>
    </row>
    <row r="21" spans="1:9" ht="33" customHeight="1">
      <c r="A21" s="32"/>
      <c r="B21" s="45" t="s">
        <v>25</v>
      </c>
      <c r="C21" s="43" t="s">
        <v>26</v>
      </c>
      <c r="D21" s="33">
        <v>1</v>
      </c>
      <c r="E21" s="33" t="s">
        <v>27</v>
      </c>
      <c r="F21" s="46">
        <f>F17*4.5%</f>
        <v>24516.918000000001</v>
      </c>
      <c r="G21" s="38" t="s">
        <v>28</v>
      </c>
      <c r="H21" s="3"/>
      <c r="I21" s="3"/>
    </row>
    <row r="22" spans="1:9" ht="33" customHeight="1">
      <c r="A22" s="32"/>
      <c r="B22" s="45" t="s">
        <v>29</v>
      </c>
      <c r="C22" s="43" t="s">
        <v>1179</v>
      </c>
      <c r="D22" s="33">
        <v>1</v>
      </c>
      <c r="E22" s="33" t="s">
        <v>27</v>
      </c>
      <c r="F22" s="46">
        <f>F17*3.545%</f>
        <v>19313.883180000001</v>
      </c>
      <c r="G22" s="38" t="s">
        <v>30</v>
      </c>
      <c r="H22" s="3"/>
      <c r="I22" s="3"/>
    </row>
    <row r="23" spans="1:9" ht="33" customHeight="1">
      <c r="A23" s="32"/>
      <c r="B23" s="45" t="s">
        <v>31</v>
      </c>
      <c r="C23" s="43" t="s">
        <v>1208</v>
      </c>
      <c r="D23" s="33">
        <v>1</v>
      </c>
      <c r="E23" s="33" t="s">
        <v>27</v>
      </c>
      <c r="F23" s="46">
        <f>F22*12.95%</f>
        <v>2501.1478718100002</v>
      </c>
      <c r="G23" s="38" t="s">
        <v>30</v>
      </c>
      <c r="H23" s="3"/>
      <c r="I23" s="3"/>
    </row>
    <row r="24" spans="1:9" ht="33" customHeight="1">
      <c r="A24" s="32"/>
      <c r="B24" s="45" t="s">
        <v>32</v>
      </c>
      <c r="C24" s="43" t="s">
        <v>855</v>
      </c>
      <c r="D24" s="33">
        <v>1</v>
      </c>
      <c r="E24" s="33" t="s">
        <v>27</v>
      </c>
      <c r="F24" s="46">
        <f>F17*1.01%</f>
        <v>5502.6860399999996</v>
      </c>
      <c r="G24" s="38" t="s">
        <v>30</v>
      </c>
      <c r="H24" s="3"/>
      <c r="I24" s="3"/>
    </row>
    <row r="25" spans="1:9" ht="33" customHeight="1">
      <c r="A25" s="32"/>
      <c r="B25" s="45" t="s">
        <v>33</v>
      </c>
      <c r="C25" s="43" t="s">
        <v>1207</v>
      </c>
      <c r="D25" s="33">
        <v>1</v>
      </c>
      <c r="E25" s="33" t="s">
        <v>27</v>
      </c>
      <c r="F25" s="46">
        <f>F17*3.56%</f>
        <v>19395.606240000001</v>
      </c>
      <c r="G25" s="38" t="s">
        <v>30</v>
      </c>
      <c r="H25" s="3"/>
      <c r="I25" s="3"/>
    </row>
    <row r="26" spans="1:9" ht="33" customHeight="1">
      <c r="A26" s="32"/>
      <c r="B26" s="45" t="s">
        <v>34</v>
      </c>
      <c r="C26" s="47" t="s">
        <v>7047</v>
      </c>
      <c r="D26" s="33">
        <v>1</v>
      </c>
      <c r="E26" s="33" t="s">
        <v>27</v>
      </c>
      <c r="F26" s="46">
        <f>(F16+F17)*3.11%</f>
        <v>44847.767439999996</v>
      </c>
      <c r="G26" s="38" t="s">
        <v>28</v>
      </c>
      <c r="H26" s="3"/>
      <c r="I26" s="3"/>
    </row>
    <row r="27" spans="1:9" ht="33" customHeight="1">
      <c r="A27" s="32"/>
      <c r="B27" s="45" t="s">
        <v>40</v>
      </c>
      <c r="C27" s="47" t="s">
        <v>41</v>
      </c>
      <c r="D27" s="33">
        <v>1</v>
      </c>
      <c r="E27" s="33" t="s">
        <v>27</v>
      </c>
      <c r="F27" s="46">
        <f>SUM(F17+F21+F22+F23+F24+F25+F26)*5%</f>
        <v>33044.920438590496</v>
      </c>
      <c r="G27" s="38"/>
      <c r="H27" s="3"/>
      <c r="I27" s="3"/>
    </row>
    <row r="28" spans="1:9" ht="33" customHeight="1">
      <c r="A28" s="32"/>
      <c r="B28" s="39" t="s">
        <v>35</v>
      </c>
      <c r="C28" s="48"/>
      <c r="D28" s="49"/>
      <c r="E28" s="40"/>
      <c r="F28" s="50">
        <f>F21+F22+F23+F24+F25+F26+F27</f>
        <v>149122.9292104005</v>
      </c>
      <c r="G28" s="38"/>
      <c r="H28" s="3"/>
      <c r="I28" s="3"/>
    </row>
    <row r="29" spans="1:9" ht="33" customHeight="1">
      <c r="A29" s="32"/>
      <c r="B29" s="43"/>
      <c r="C29" s="51"/>
      <c r="D29" s="52"/>
      <c r="E29" s="35"/>
      <c r="F29" s="53"/>
      <c r="G29" s="38"/>
      <c r="H29" s="3"/>
      <c r="I29" s="3"/>
    </row>
    <row r="30" spans="1:9" ht="33" customHeight="1">
      <c r="A30" s="32"/>
      <c r="B30" s="54"/>
      <c r="C30" s="51"/>
      <c r="D30" s="52"/>
      <c r="E30" s="35"/>
      <c r="F30" s="55">
        <f>F19+F28+F29</f>
        <v>1591173.3292104003</v>
      </c>
      <c r="G30" s="38"/>
      <c r="H30" s="3"/>
      <c r="I30" s="3"/>
    </row>
    <row r="31" spans="1:9" ht="33" customHeight="1">
      <c r="A31" s="32"/>
      <c r="B31" s="39" t="s">
        <v>36</v>
      </c>
      <c r="C31" s="39"/>
      <c r="D31" s="40"/>
      <c r="E31" s="40"/>
      <c r="F31" s="152">
        <f>ROUNDDOWN(F30,-3)</f>
        <v>1591000</v>
      </c>
      <c r="G31" s="38"/>
      <c r="H31" s="3"/>
      <c r="I31" s="3"/>
    </row>
    <row r="32" spans="1:9" ht="33" customHeight="1" thickBot="1">
      <c r="A32" s="56"/>
      <c r="B32" s="57" t="s">
        <v>37</v>
      </c>
      <c r="C32" s="58"/>
      <c r="D32" s="58"/>
      <c r="E32" s="58"/>
      <c r="F32" s="59"/>
      <c r="G32" s="60"/>
      <c r="H32" s="3"/>
      <c r="I32" s="3"/>
    </row>
    <row r="33" spans="2:2" s="3" customFormat="1" ht="15.75">
      <c r="B33" s="61"/>
    </row>
    <row r="34" spans="2:2" s="3" customFormat="1" ht="15.75">
      <c r="B34" s="61"/>
    </row>
  </sheetData>
  <mergeCells count="3">
    <mergeCell ref="A2:G2"/>
    <mergeCell ref="F7:G7"/>
    <mergeCell ref="A11:C11"/>
  </mergeCells>
  <phoneticPr fontId="5"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filterMode="1"/>
  <dimension ref="H1:AO6656"/>
  <sheetViews>
    <sheetView topLeftCell="L1" zoomScale="115" zoomScaleNormal="115" workbookViewId="0">
      <pane ySplit="5" topLeftCell="A78" activePane="bottomLeft" state="frozen"/>
      <selection activeCell="D40856" sqref="D40856"/>
      <selection pane="bottomLeft" activeCell="W82" sqref="W82"/>
    </sheetView>
  </sheetViews>
  <sheetFormatPr defaultRowHeight="12" customHeight="1"/>
  <cols>
    <col min="1" max="7" width="0" style="190" hidden="1" customWidth="1"/>
    <col min="8" max="8" width="17.75" style="190" customWidth="1"/>
    <col min="9" max="9" width="13.5" style="190" hidden="1" customWidth="1"/>
    <col min="10" max="10" width="25.5" style="191" customWidth="1"/>
    <col min="11" max="11" width="32.25" style="191" customWidth="1"/>
    <col min="12" max="12" width="6.125" style="192" customWidth="1"/>
    <col min="13" max="13" width="5.125" style="193" customWidth="1"/>
    <col min="14" max="14" width="8.875" style="189" customWidth="1"/>
    <col min="15" max="15" width="9.875" style="193" customWidth="1"/>
    <col min="16" max="16" width="8.875" style="193" customWidth="1"/>
    <col min="17" max="17" width="9.875" style="193" customWidth="1"/>
    <col min="18" max="18" width="8.875" style="190" hidden="1" customWidth="1"/>
    <col min="19" max="19" width="9.875" style="190" hidden="1" customWidth="1"/>
    <col min="20" max="21" width="6.625" style="190" hidden="1" customWidth="1"/>
    <col min="22" max="22" width="12.75" style="190" customWidth="1"/>
    <col min="23" max="23" width="12.5" style="194" bestFit="1" customWidth="1"/>
    <col min="24" max="24" width="13.125" style="191" bestFit="1" customWidth="1"/>
    <col min="25" max="16384" width="9" style="190"/>
  </cols>
  <sheetData>
    <row r="1" spans="8:41" s="174" customFormat="1" ht="12" customHeight="1">
      <c r="H1" s="170"/>
      <c r="I1" s="170"/>
      <c r="J1" s="171"/>
      <c r="K1" s="171"/>
      <c r="L1" s="172"/>
      <c r="M1" s="173"/>
      <c r="N1" s="173"/>
      <c r="O1" s="173"/>
      <c r="P1" s="173"/>
      <c r="Q1" s="173"/>
      <c r="W1" s="175"/>
      <c r="X1" s="171"/>
      <c r="Y1" s="190"/>
      <c r="Z1" s="190"/>
      <c r="AA1" s="190"/>
      <c r="AB1" s="190"/>
      <c r="AC1" s="190"/>
      <c r="AD1" s="190"/>
      <c r="AE1" s="190"/>
      <c r="AF1" s="190"/>
    </row>
    <row r="2" spans="8:41" s="181" customFormat="1" ht="12" customHeight="1">
      <c r="H2" s="176"/>
      <c r="I2" s="176"/>
      <c r="J2" s="177"/>
      <c r="K2" s="177"/>
      <c r="L2" s="178"/>
      <c r="M2" s="179"/>
      <c r="N2" s="173"/>
      <c r="O2" s="180" t="s">
        <v>1181</v>
      </c>
      <c r="Q2" s="180" t="s">
        <v>1181</v>
      </c>
      <c r="S2" s="180" t="s">
        <v>1181</v>
      </c>
      <c r="U2" s="180" t="s">
        <v>1181</v>
      </c>
      <c r="W2" s="182" t="s">
        <v>789</v>
      </c>
      <c r="Y2" s="190"/>
      <c r="Z2" s="190"/>
      <c r="AA2" s="190"/>
      <c r="AB2" s="190"/>
      <c r="AC2" s="190"/>
      <c r="AD2" s="190"/>
      <c r="AE2" s="190"/>
      <c r="AF2" s="190"/>
    </row>
    <row r="3" spans="8:41" s="181" customFormat="1" ht="12" customHeight="1">
      <c r="H3" s="223" t="s">
        <v>1182</v>
      </c>
      <c r="I3" s="223"/>
      <c r="J3" s="224" t="str">
        <f>갑지!B7</f>
        <v xml:space="preserve">사택 조명 교체 </v>
      </c>
      <c r="K3" s="225"/>
      <c r="L3" s="226"/>
      <c r="M3" s="227"/>
      <c r="N3" s="228"/>
      <c r="O3" s="229">
        <v>0.83</v>
      </c>
      <c r="P3" s="230"/>
      <c r="Q3" s="229">
        <v>0.4</v>
      </c>
      <c r="R3" s="230"/>
      <c r="S3" s="229">
        <v>0.6</v>
      </c>
      <c r="T3" s="230"/>
      <c r="U3" s="229">
        <v>0.6</v>
      </c>
      <c r="V3" s="230"/>
      <c r="W3" s="229">
        <v>1</v>
      </c>
      <c r="X3" s="231" t="s">
        <v>850</v>
      </c>
      <c r="Y3" s="190"/>
      <c r="Z3" s="190"/>
      <c r="AA3" s="190"/>
      <c r="AB3" s="190"/>
      <c r="AC3" s="190"/>
      <c r="AD3" s="190"/>
      <c r="AE3" s="190"/>
      <c r="AF3" s="190"/>
    </row>
    <row r="4" spans="8:41" s="222" customFormat="1" ht="12" customHeight="1">
      <c r="H4" s="267" t="s">
        <v>1183</v>
      </c>
      <c r="I4" s="183"/>
      <c r="J4" s="184" t="s">
        <v>1184</v>
      </c>
      <c r="K4" s="184"/>
      <c r="L4" s="269" t="s">
        <v>1185</v>
      </c>
      <c r="M4" s="270" t="s">
        <v>1186</v>
      </c>
      <c r="N4" s="270" t="s">
        <v>1187</v>
      </c>
      <c r="O4" s="270"/>
      <c r="P4" s="270" t="s">
        <v>1188</v>
      </c>
      <c r="Q4" s="270"/>
      <c r="R4" s="265" t="s">
        <v>5312</v>
      </c>
      <c r="S4" s="266"/>
      <c r="T4" s="266" t="s">
        <v>1189</v>
      </c>
      <c r="U4" s="266"/>
      <c r="V4" s="267" t="s">
        <v>1190</v>
      </c>
      <c r="W4" s="268" t="s">
        <v>77</v>
      </c>
      <c r="X4" s="267"/>
      <c r="Y4" s="190"/>
      <c r="Z4" s="190"/>
      <c r="AA4" s="190"/>
      <c r="AB4" s="190"/>
      <c r="AC4" s="190"/>
      <c r="AD4" s="190"/>
      <c r="AE4" s="190"/>
      <c r="AF4" s="190"/>
      <c r="AG4" s="190"/>
      <c r="AH4" s="190"/>
      <c r="AI4" s="190"/>
    </row>
    <row r="5" spans="8:41" s="222" customFormat="1" ht="12" customHeight="1">
      <c r="H5" s="267"/>
      <c r="I5" s="235" t="s">
        <v>6984</v>
      </c>
      <c r="J5" s="185" t="s">
        <v>1191</v>
      </c>
      <c r="K5" s="185" t="s">
        <v>1192</v>
      </c>
      <c r="L5" s="269"/>
      <c r="M5" s="270"/>
      <c r="N5" s="186" t="s">
        <v>1193</v>
      </c>
      <c r="O5" s="186" t="s">
        <v>1194</v>
      </c>
      <c r="P5" s="186" t="s">
        <v>1195</v>
      </c>
      <c r="Q5" s="186" t="s">
        <v>1194</v>
      </c>
      <c r="R5" s="187" t="s">
        <v>1196</v>
      </c>
      <c r="S5" s="187" t="s">
        <v>1194</v>
      </c>
      <c r="T5" s="187" t="s">
        <v>1196</v>
      </c>
      <c r="U5" s="187" t="s">
        <v>1194</v>
      </c>
      <c r="V5" s="267"/>
      <c r="W5" s="183" t="s">
        <v>1197</v>
      </c>
      <c r="X5" s="188" t="s">
        <v>76</v>
      </c>
      <c r="Y5" s="190"/>
      <c r="Z5" s="190"/>
      <c r="AA5" s="190"/>
      <c r="AB5" s="190"/>
      <c r="AC5" s="190"/>
      <c r="AD5" s="190"/>
      <c r="AE5" s="190"/>
      <c r="AF5" s="190"/>
      <c r="AG5" s="190"/>
      <c r="AH5" s="190"/>
      <c r="AI5" s="190"/>
      <c r="AJ5" s="190"/>
      <c r="AK5" s="190"/>
      <c r="AL5" s="190"/>
      <c r="AM5" s="190"/>
      <c r="AN5" s="190"/>
      <c r="AO5" s="190"/>
    </row>
    <row r="6" spans="8:41" s="222" customFormat="1" ht="12" hidden="1" customHeight="1">
      <c r="H6" s="183"/>
      <c r="I6" s="235"/>
      <c r="J6" s="185"/>
      <c r="K6" s="185"/>
      <c r="L6" s="185"/>
      <c r="M6" s="186"/>
      <c r="N6" s="186"/>
      <c r="O6" s="186"/>
      <c r="P6" s="186"/>
      <c r="Q6" s="186"/>
      <c r="R6" s="187"/>
      <c r="S6" s="187"/>
      <c r="T6" s="187"/>
      <c r="U6" s="187"/>
      <c r="V6" s="183"/>
      <c r="W6" s="183"/>
      <c r="X6" s="188"/>
      <c r="Y6" s="190"/>
      <c r="Z6" s="190"/>
      <c r="AA6" s="190"/>
      <c r="AB6" s="190"/>
      <c r="AC6" s="190"/>
      <c r="AD6" s="190"/>
      <c r="AE6" s="190"/>
      <c r="AF6" s="190"/>
      <c r="AG6" s="190"/>
      <c r="AH6" s="190"/>
      <c r="AI6" s="190"/>
      <c r="AJ6" s="190"/>
      <c r="AK6" s="190"/>
      <c r="AL6" s="190"/>
      <c r="AM6" s="190"/>
      <c r="AN6" s="190"/>
      <c r="AO6" s="190"/>
    </row>
    <row r="7" spans="8:41" s="221" customFormat="1" ht="12" hidden="1" customHeight="1">
      <c r="H7" s="217" t="s">
        <v>7042</v>
      </c>
      <c r="I7" s="217" t="s">
        <v>6277</v>
      </c>
      <c r="J7" s="217" t="s">
        <v>753</v>
      </c>
      <c r="K7" s="217" t="s">
        <v>6279</v>
      </c>
      <c r="L7" s="217" t="s">
        <v>5</v>
      </c>
      <c r="M7" s="217"/>
      <c r="N7" s="218">
        <v>7931</v>
      </c>
      <c r="O7" s="169">
        <f>M7*N7</f>
        <v>0</v>
      </c>
      <c r="P7" s="169"/>
      <c r="Q7" s="166"/>
      <c r="R7" s="207"/>
      <c r="S7" s="207"/>
      <c r="T7" s="207"/>
      <c r="U7" s="207"/>
      <c r="V7" s="166">
        <f t="shared" ref="V7:V70" si="0">SUM(O7+Q7)+S7+U7</f>
        <v>0</v>
      </c>
      <c r="W7" s="205"/>
      <c r="X7" s="167"/>
    </row>
    <row r="8" spans="8:41" s="221" customFormat="1" ht="12" hidden="1" customHeight="1">
      <c r="H8" s="217" t="s">
        <v>2748</v>
      </c>
      <c r="I8" s="217" t="s">
        <v>1059</v>
      </c>
      <c r="J8" s="217" t="s">
        <v>2768</v>
      </c>
      <c r="K8" s="217" t="s">
        <v>2795</v>
      </c>
      <c r="L8" s="217" t="s">
        <v>5</v>
      </c>
      <c r="M8" s="217"/>
      <c r="N8" s="218"/>
      <c r="O8" s="169"/>
      <c r="P8" s="169">
        <v>12484.319</v>
      </c>
      <c r="Q8" s="166">
        <f t="shared" ref="Q8:Q70" si="1">IF(W8="",M8*P8*$Q$3*$W$3,M8*P8*$Q$3*W8)</f>
        <v>0</v>
      </c>
      <c r="R8" s="207"/>
      <c r="S8" s="207"/>
      <c r="T8" s="207"/>
      <c r="U8" s="207"/>
      <c r="V8" s="166">
        <f t="shared" si="0"/>
        <v>0</v>
      </c>
      <c r="W8" s="205"/>
      <c r="X8" s="167"/>
    </row>
    <row r="9" spans="8:41" s="221" customFormat="1" ht="12" hidden="1" customHeight="1">
      <c r="H9" s="217" t="s">
        <v>7042</v>
      </c>
      <c r="I9" s="217" t="s">
        <v>6277</v>
      </c>
      <c r="J9" s="217" t="s">
        <v>753</v>
      </c>
      <c r="K9" s="217" t="s">
        <v>6282</v>
      </c>
      <c r="L9" s="217" t="s">
        <v>5</v>
      </c>
      <c r="M9" s="217"/>
      <c r="N9" s="218">
        <v>11233</v>
      </c>
      <c r="O9" s="169">
        <f t="shared" ref="O9:O69" si="2">M9*N9</f>
        <v>0</v>
      </c>
      <c r="P9" s="169"/>
      <c r="Q9" s="166"/>
      <c r="R9" s="207"/>
      <c r="S9" s="207"/>
      <c r="T9" s="207"/>
      <c r="U9" s="207"/>
      <c r="V9" s="166">
        <f t="shared" si="0"/>
        <v>0</v>
      </c>
      <c r="W9" s="205"/>
      <c r="X9" s="167"/>
    </row>
    <row r="10" spans="8:41" s="221" customFormat="1" ht="12" hidden="1" customHeight="1">
      <c r="H10" s="217" t="s">
        <v>2750</v>
      </c>
      <c r="I10" s="217" t="s">
        <v>1060</v>
      </c>
      <c r="J10" s="217" t="s">
        <v>2771</v>
      </c>
      <c r="K10" s="217" t="s">
        <v>2797</v>
      </c>
      <c r="L10" s="217" t="s">
        <v>5</v>
      </c>
      <c r="M10" s="217"/>
      <c r="N10" s="218"/>
      <c r="O10" s="169"/>
      <c r="P10" s="169">
        <v>16548.981</v>
      </c>
      <c r="Q10" s="166">
        <f t="shared" si="1"/>
        <v>0</v>
      </c>
      <c r="R10" s="207"/>
      <c r="S10" s="207"/>
      <c r="T10" s="207"/>
      <c r="U10" s="207"/>
      <c r="V10" s="166">
        <f t="shared" si="0"/>
        <v>0</v>
      </c>
      <c r="W10" s="205"/>
      <c r="X10" s="167"/>
    </row>
    <row r="11" spans="8:41" s="221" customFormat="1" ht="12" hidden="1" customHeight="1">
      <c r="H11" s="217" t="s">
        <v>7042</v>
      </c>
      <c r="I11" s="217" t="s">
        <v>6277</v>
      </c>
      <c r="J11" s="217" t="s">
        <v>753</v>
      </c>
      <c r="K11" s="217" t="s">
        <v>6286</v>
      </c>
      <c r="L11" s="217" t="s">
        <v>5</v>
      </c>
      <c r="M11" s="217"/>
      <c r="N11" s="218">
        <v>15486</v>
      </c>
      <c r="O11" s="169">
        <f t="shared" si="2"/>
        <v>0</v>
      </c>
      <c r="P11" s="169"/>
      <c r="Q11" s="166"/>
      <c r="R11" s="207"/>
      <c r="S11" s="207"/>
      <c r="T11" s="207"/>
      <c r="U11" s="207"/>
      <c r="V11" s="166">
        <f t="shared" si="0"/>
        <v>0</v>
      </c>
      <c r="W11" s="205"/>
      <c r="X11" s="167"/>
    </row>
    <row r="12" spans="8:41" s="221" customFormat="1" ht="12" hidden="1" customHeight="1">
      <c r="H12" s="217" t="s">
        <v>2752</v>
      </c>
      <c r="I12" s="217" t="s">
        <v>1061</v>
      </c>
      <c r="J12" s="217" t="s">
        <v>2774</v>
      </c>
      <c r="K12" s="217" t="s">
        <v>2799</v>
      </c>
      <c r="L12" s="217" t="s">
        <v>5</v>
      </c>
      <c r="M12" s="217"/>
      <c r="N12" s="218"/>
      <c r="O12" s="169"/>
      <c r="P12" s="169">
        <v>20613.643</v>
      </c>
      <c r="Q12" s="166">
        <f t="shared" si="1"/>
        <v>0</v>
      </c>
      <c r="R12" s="207"/>
      <c r="S12" s="207"/>
      <c r="T12" s="207"/>
      <c r="U12" s="207"/>
      <c r="V12" s="166">
        <f t="shared" si="0"/>
        <v>0</v>
      </c>
      <c r="W12" s="205"/>
      <c r="X12" s="167"/>
    </row>
    <row r="13" spans="8:41" s="221" customFormat="1" ht="12" hidden="1" customHeight="1">
      <c r="H13" s="217" t="s">
        <v>7042</v>
      </c>
      <c r="I13" s="217" t="s">
        <v>6277</v>
      </c>
      <c r="J13" s="217" t="s">
        <v>753</v>
      </c>
      <c r="K13" s="217" t="s">
        <v>6289</v>
      </c>
      <c r="L13" s="217" t="s">
        <v>5</v>
      </c>
      <c r="M13" s="217"/>
      <c r="N13" s="218">
        <v>19348</v>
      </c>
      <c r="O13" s="169">
        <f t="shared" si="2"/>
        <v>0</v>
      </c>
      <c r="P13" s="169"/>
      <c r="Q13" s="166"/>
      <c r="R13" s="207"/>
      <c r="S13" s="207"/>
      <c r="T13" s="207"/>
      <c r="U13" s="207"/>
      <c r="V13" s="166">
        <f t="shared" si="0"/>
        <v>0</v>
      </c>
      <c r="W13" s="205"/>
      <c r="X13" s="167"/>
    </row>
    <row r="14" spans="8:41" s="221" customFormat="1" ht="12" hidden="1" customHeight="1">
      <c r="H14" s="217" t="s">
        <v>2753</v>
      </c>
      <c r="I14" s="217" t="s">
        <v>1062</v>
      </c>
      <c r="J14" s="217" t="s">
        <v>2775</v>
      </c>
      <c r="K14" s="217" t="s">
        <v>2800</v>
      </c>
      <c r="L14" s="217" t="s">
        <v>5</v>
      </c>
      <c r="M14" s="217"/>
      <c r="N14" s="218"/>
      <c r="O14" s="169"/>
      <c r="P14" s="169">
        <v>24387.972000000002</v>
      </c>
      <c r="Q14" s="166">
        <f t="shared" si="1"/>
        <v>0</v>
      </c>
      <c r="R14" s="207"/>
      <c r="S14" s="207"/>
      <c r="T14" s="207"/>
      <c r="U14" s="207"/>
      <c r="V14" s="166">
        <f t="shared" si="0"/>
        <v>0</v>
      </c>
      <c r="W14" s="205"/>
      <c r="X14" s="167"/>
    </row>
    <row r="15" spans="8:41" s="221" customFormat="1" ht="12" hidden="1" customHeight="1">
      <c r="H15" s="217" t="s">
        <v>7042</v>
      </c>
      <c r="I15" s="217" t="s">
        <v>6277</v>
      </c>
      <c r="J15" s="217" t="s">
        <v>753</v>
      </c>
      <c r="K15" s="217" t="s">
        <v>6291</v>
      </c>
      <c r="L15" s="217" t="s">
        <v>5</v>
      </c>
      <c r="M15" s="217"/>
      <c r="N15" s="218">
        <v>23518</v>
      </c>
      <c r="O15" s="169">
        <f t="shared" si="2"/>
        <v>0</v>
      </c>
      <c r="P15" s="169"/>
      <c r="Q15" s="166"/>
      <c r="R15" s="207"/>
      <c r="S15" s="207"/>
      <c r="T15" s="207"/>
      <c r="U15" s="207"/>
      <c r="V15" s="166">
        <f t="shared" si="0"/>
        <v>0</v>
      </c>
      <c r="W15" s="205"/>
      <c r="X15" s="167"/>
    </row>
    <row r="16" spans="8:41" s="221" customFormat="1" ht="12" hidden="1" customHeight="1">
      <c r="H16" s="217" t="s">
        <v>2754</v>
      </c>
      <c r="I16" s="217" t="s">
        <v>1063</v>
      </c>
      <c r="J16" s="217" t="s">
        <v>2776</v>
      </c>
      <c r="K16" s="217" t="s">
        <v>2801</v>
      </c>
      <c r="L16" s="217" t="s">
        <v>5</v>
      </c>
      <c r="M16" s="217"/>
      <c r="N16" s="218"/>
      <c r="O16" s="169"/>
      <c r="P16" s="169">
        <v>28162.300999999999</v>
      </c>
      <c r="Q16" s="166">
        <f t="shared" si="1"/>
        <v>0</v>
      </c>
      <c r="R16" s="207"/>
      <c r="S16" s="207"/>
      <c r="T16" s="207"/>
      <c r="U16" s="207"/>
      <c r="V16" s="166">
        <f t="shared" si="0"/>
        <v>0</v>
      </c>
      <c r="W16" s="205"/>
      <c r="X16" s="167"/>
    </row>
    <row r="17" spans="8:24" s="221" customFormat="1" ht="12" hidden="1" customHeight="1">
      <c r="H17" s="217" t="s">
        <v>7042</v>
      </c>
      <c r="I17" s="217" t="s">
        <v>6277</v>
      </c>
      <c r="J17" s="217" t="s">
        <v>753</v>
      </c>
      <c r="K17" s="217" t="s">
        <v>6293</v>
      </c>
      <c r="L17" s="217" t="s">
        <v>5</v>
      </c>
      <c r="M17" s="217"/>
      <c r="N17" s="218">
        <v>29026</v>
      </c>
      <c r="O17" s="169">
        <f t="shared" si="2"/>
        <v>0</v>
      </c>
      <c r="P17" s="169"/>
      <c r="Q17" s="166"/>
      <c r="R17" s="207"/>
      <c r="S17" s="207"/>
      <c r="T17" s="207"/>
      <c r="U17" s="207"/>
      <c r="V17" s="166">
        <f t="shared" si="0"/>
        <v>0</v>
      </c>
      <c r="W17" s="205"/>
      <c r="X17" s="167"/>
    </row>
    <row r="18" spans="8:24" s="221" customFormat="1" ht="12" hidden="1" customHeight="1">
      <c r="H18" s="217" t="s">
        <v>2755</v>
      </c>
      <c r="I18" s="217" t="s">
        <v>1064</v>
      </c>
      <c r="J18" s="217" t="s">
        <v>2777</v>
      </c>
      <c r="K18" s="217" t="s">
        <v>2802</v>
      </c>
      <c r="L18" s="217" t="s">
        <v>5</v>
      </c>
      <c r="M18" s="217"/>
      <c r="N18" s="218"/>
      <c r="O18" s="169"/>
      <c r="P18" s="169">
        <v>31355.964</v>
      </c>
      <c r="Q18" s="166">
        <f t="shared" si="1"/>
        <v>0</v>
      </c>
      <c r="R18" s="207"/>
      <c r="S18" s="207"/>
      <c r="T18" s="207"/>
      <c r="U18" s="207"/>
      <c r="V18" s="166">
        <f t="shared" si="0"/>
        <v>0</v>
      </c>
      <c r="W18" s="205"/>
      <c r="X18" s="167"/>
    </row>
    <row r="19" spans="8:24" s="221" customFormat="1" ht="12" hidden="1" customHeight="1">
      <c r="H19" s="217" t="s">
        <v>7042</v>
      </c>
      <c r="I19" s="217" t="s">
        <v>6277</v>
      </c>
      <c r="J19" s="217" t="s">
        <v>753</v>
      </c>
      <c r="K19" s="217" t="s">
        <v>6295</v>
      </c>
      <c r="L19" s="217" t="s">
        <v>5</v>
      </c>
      <c r="M19" s="217"/>
      <c r="N19" s="218">
        <v>37986</v>
      </c>
      <c r="O19" s="169">
        <f t="shared" si="2"/>
        <v>0</v>
      </c>
      <c r="P19" s="169"/>
      <c r="Q19" s="166"/>
      <c r="R19" s="207"/>
      <c r="S19" s="207"/>
      <c r="T19" s="207"/>
      <c r="U19" s="207"/>
      <c r="V19" s="166">
        <f t="shared" si="0"/>
        <v>0</v>
      </c>
      <c r="W19" s="205"/>
      <c r="X19" s="167"/>
    </row>
    <row r="20" spans="8:24" s="221" customFormat="1" ht="12" hidden="1" customHeight="1">
      <c r="H20" s="217" t="s">
        <v>2757</v>
      </c>
      <c r="I20" s="217" t="s">
        <v>1065</v>
      </c>
      <c r="J20" s="217" t="s">
        <v>2780</v>
      </c>
      <c r="K20" s="217" t="s">
        <v>2804</v>
      </c>
      <c r="L20" s="217" t="s">
        <v>5</v>
      </c>
      <c r="M20" s="217"/>
      <c r="N20" s="218"/>
      <c r="O20" s="169"/>
      <c r="P20" s="169">
        <v>39485.288</v>
      </c>
      <c r="Q20" s="166">
        <f t="shared" si="1"/>
        <v>0</v>
      </c>
      <c r="R20" s="207"/>
      <c r="S20" s="207"/>
      <c r="T20" s="207"/>
      <c r="U20" s="207"/>
      <c r="V20" s="166">
        <f t="shared" si="0"/>
        <v>0</v>
      </c>
      <c r="W20" s="205"/>
      <c r="X20" s="167"/>
    </row>
    <row r="21" spans="8:24" s="221" customFormat="1" ht="12" hidden="1" customHeight="1">
      <c r="H21" s="217" t="s">
        <v>7042</v>
      </c>
      <c r="I21" s="217" t="s">
        <v>6277</v>
      </c>
      <c r="J21" s="217" t="s">
        <v>753</v>
      </c>
      <c r="K21" s="217" t="s">
        <v>6297</v>
      </c>
      <c r="L21" s="217" t="s">
        <v>5</v>
      </c>
      <c r="M21" s="217"/>
      <c r="N21" s="218"/>
      <c r="O21" s="169">
        <f t="shared" si="2"/>
        <v>0</v>
      </c>
      <c r="P21" s="169"/>
      <c r="Q21" s="166"/>
      <c r="R21" s="207"/>
      <c r="S21" s="207"/>
      <c r="T21" s="207"/>
      <c r="U21" s="207"/>
      <c r="V21" s="166">
        <f t="shared" si="0"/>
        <v>0</v>
      </c>
      <c r="W21" s="205"/>
      <c r="X21" s="167"/>
    </row>
    <row r="22" spans="8:24" s="221" customFormat="1" ht="12" hidden="1" customHeight="1">
      <c r="H22" s="217" t="s">
        <v>2759</v>
      </c>
      <c r="I22" s="217" t="s">
        <v>1066</v>
      </c>
      <c r="J22" s="217" t="s">
        <v>2783</v>
      </c>
      <c r="K22" s="217" t="s">
        <v>2806</v>
      </c>
      <c r="L22" s="217" t="s">
        <v>5</v>
      </c>
      <c r="M22" s="217"/>
      <c r="N22" s="218"/>
      <c r="O22" s="169"/>
      <c r="P22" s="169">
        <v>46162.947</v>
      </c>
      <c r="Q22" s="166">
        <f t="shared" si="1"/>
        <v>0</v>
      </c>
      <c r="R22" s="207"/>
      <c r="S22" s="207"/>
      <c r="T22" s="207"/>
      <c r="U22" s="207"/>
      <c r="V22" s="166">
        <f t="shared" si="0"/>
        <v>0</v>
      </c>
      <c r="W22" s="205"/>
      <c r="X22" s="167"/>
    </row>
    <row r="23" spans="8:24" s="221" customFormat="1" ht="12" hidden="1" customHeight="1">
      <c r="H23" s="217" t="s">
        <v>7042</v>
      </c>
      <c r="I23" s="217" t="s">
        <v>6277</v>
      </c>
      <c r="J23" s="217" t="s">
        <v>753</v>
      </c>
      <c r="K23" s="217" t="s">
        <v>754</v>
      </c>
      <c r="L23" s="217" t="s">
        <v>5</v>
      </c>
      <c r="M23" s="217"/>
      <c r="N23" s="218">
        <v>2544</v>
      </c>
      <c r="O23" s="169">
        <f t="shared" si="2"/>
        <v>0</v>
      </c>
      <c r="P23" s="169"/>
      <c r="Q23" s="166"/>
      <c r="R23" s="207"/>
      <c r="S23" s="207"/>
      <c r="T23" s="207"/>
      <c r="U23" s="207"/>
      <c r="V23" s="166">
        <f t="shared" si="0"/>
        <v>0</v>
      </c>
      <c r="W23" s="205"/>
      <c r="X23" s="167"/>
    </row>
    <row r="24" spans="8:24" s="221" customFormat="1" ht="12" hidden="1" customHeight="1">
      <c r="H24" s="217" t="s">
        <v>2843</v>
      </c>
      <c r="I24" s="217" t="s">
        <v>1005</v>
      </c>
      <c r="J24" s="217" t="s">
        <v>2926</v>
      </c>
      <c r="K24" s="217" t="s">
        <v>2880</v>
      </c>
      <c r="L24" s="217" t="s">
        <v>5</v>
      </c>
      <c r="M24" s="217"/>
      <c r="N24" s="218"/>
      <c r="O24" s="169"/>
      <c r="P24" s="169">
        <v>6387.326</v>
      </c>
      <c r="Q24" s="166">
        <f t="shared" si="1"/>
        <v>0</v>
      </c>
      <c r="R24" s="207"/>
      <c r="S24" s="207"/>
      <c r="T24" s="207"/>
      <c r="U24" s="207"/>
      <c r="V24" s="166">
        <f t="shared" si="0"/>
        <v>0</v>
      </c>
      <c r="W24" s="205"/>
      <c r="X24" s="167"/>
    </row>
    <row r="25" spans="8:24" s="221" customFormat="1" ht="12" hidden="1" customHeight="1">
      <c r="H25" s="217" t="s">
        <v>7042</v>
      </c>
      <c r="I25" s="217" t="s">
        <v>6277</v>
      </c>
      <c r="J25" s="217" t="s">
        <v>753</v>
      </c>
      <c r="K25" s="217" t="s">
        <v>6299</v>
      </c>
      <c r="L25" s="217" t="s">
        <v>5</v>
      </c>
      <c r="M25" s="217"/>
      <c r="N25" s="218">
        <v>3397</v>
      </c>
      <c r="O25" s="169">
        <f t="shared" si="2"/>
        <v>0</v>
      </c>
      <c r="P25" s="169"/>
      <c r="Q25" s="166"/>
      <c r="R25" s="207"/>
      <c r="S25" s="207"/>
      <c r="T25" s="207"/>
      <c r="U25" s="207"/>
      <c r="V25" s="166">
        <f t="shared" si="0"/>
        <v>0</v>
      </c>
      <c r="W25" s="205"/>
      <c r="X25" s="167"/>
    </row>
    <row r="26" spans="8:24" s="221" customFormat="1" ht="12" hidden="1" customHeight="1">
      <c r="H26" s="217" t="s">
        <v>2844</v>
      </c>
      <c r="I26" s="217" t="s">
        <v>1006</v>
      </c>
      <c r="J26" s="217" t="s">
        <v>2927</v>
      </c>
      <c r="K26" s="217" t="s">
        <v>2882</v>
      </c>
      <c r="L26" s="217" t="s">
        <v>5</v>
      </c>
      <c r="M26" s="217"/>
      <c r="N26" s="218"/>
      <c r="O26" s="169"/>
      <c r="P26" s="169">
        <v>7548.6580000000004</v>
      </c>
      <c r="Q26" s="166">
        <f t="shared" si="1"/>
        <v>0</v>
      </c>
      <c r="R26" s="207"/>
      <c r="S26" s="207"/>
      <c r="T26" s="207"/>
      <c r="U26" s="207"/>
      <c r="V26" s="166">
        <f t="shared" si="0"/>
        <v>0</v>
      </c>
      <c r="W26" s="205"/>
      <c r="X26" s="167"/>
    </row>
    <row r="27" spans="8:24" s="221" customFormat="1" ht="12" hidden="1" customHeight="1">
      <c r="H27" s="217" t="s">
        <v>7042</v>
      </c>
      <c r="I27" s="217" t="s">
        <v>6277</v>
      </c>
      <c r="J27" s="217" t="s">
        <v>753</v>
      </c>
      <c r="K27" s="217" t="s">
        <v>6301</v>
      </c>
      <c r="L27" s="217" t="s">
        <v>5</v>
      </c>
      <c r="M27" s="217"/>
      <c r="N27" s="218">
        <v>5506</v>
      </c>
      <c r="O27" s="169">
        <f t="shared" si="2"/>
        <v>0</v>
      </c>
      <c r="P27" s="169"/>
      <c r="Q27" s="166"/>
      <c r="R27" s="207"/>
      <c r="S27" s="207"/>
      <c r="T27" s="207"/>
      <c r="U27" s="207"/>
      <c r="V27" s="166">
        <f t="shared" si="0"/>
        <v>0</v>
      </c>
      <c r="W27" s="205"/>
      <c r="X27" s="167"/>
    </row>
    <row r="28" spans="8:24" s="221" customFormat="1" ht="12" hidden="1" customHeight="1">
      <c r="H28" s="217" t="s">
        <v>2846</v>
      </c>
      <c r="I28" s="217" t="s">
        <v>1051</v>
      </c>
      <c r="J28" s="217" t="s">
        <v>2930</v>
      </c>
      <c r="K28" s="217" t="s">
        <v>2887</v>
      </c>
      <c r="L28" s="217" t="s">
        <v>5</v>
      </c>
      <c r="M28" s="217"/>
      <c r="N28" s="218"/>
      <c r="O28" s="169"/>
      <c r="P28" s="169">
        <v>10451.987999999999</v>
      </c>
      <c r="Q28" s="166">
        <f t="shared" si="1"/>
        <v>0</v>
      </c>
      <c r="R28" s="207"/>
      <c r="S28" s="207"/>
      <c r="T28" s="207"/>
      <c r="U28" s="207"/>
      <c r="V28" s="166">
        <f t="shared" si="0"/>
        <v>0</v>
      </c>
      <c r="W28" s="205"/>
      <c r="X28" s="167"/>
    </row>
    <row r="29" spans="8:24" s="221" customFormat="1" ht="12" hidden="1" customHeight="1">
      <c r="H29" s="217" t="s">
        <v>7042</v>
      </c>
      <c r="I29" s="217" t="s">
        <v>6277</v>
      </c>
      <c r="J29" s="217" t="s">
        <v>753</v>
      </c>
      <c r="K29" s="217" t="s">
        <v>6303</v>
      </c>
      <c r="L29" s="217" t="s">
        <v>5</v>
      </c>
      <c r="M29" s="217"/>
      <c r="N29" s="218">
        <v>8312</v>
      </c>
      <c r="O29" s="169">
        <f t="shared" si="2"/>
        <v>0</v>
      </c>
      <c r="P29" s="169"/>
      <c r="Q29" s="166"/>
      <c r="R29" s="207"/>
      <c r="S29" s="207"/>
      <c r="T29" s="207"/>
      <c r="U29" s="207"/>
      <c r="V29" s="166">
        <f t="shared" si="0"/>
        <v>0</v>
      </c>
      <c r="W29" s="205"/>
      <c r="X29" s="167"/>
    </row>
    <row r="30" spans="8:24" s="221" customFormat="1" ht="12" hidden="1" customHeight="1">
      <c r="H30" s="217" t="s">
        <v>2745</v>
      </c>
      <c r="I30" s="217" t="s">
        <v>1048</v>
      </c>
      <c r="J30" s="217" t="s">
        <v>2765</v>
      </c>
      <c r="K30" s="217" t="s">
        <v>2792</v>
      </c>
      <c r="L30" s="217" t="s">
        <v>5</v>
      </c>
      <c r="M30" s="217"/>
      <c r="N30" s="218"/>
      <c r="O30" s="169"/>
      <c r="P30" s="169">
        <v>6677.6589999999997</v>
      </c>
      <c r="Q30" s="166">
        <f t="shared" si="1"/>
        <v>0</v>
      </c>
      <c r="R30" s="207"/>
      <c r="S30" s="207"/>
      <c r="T30" s="207"/>
      <c r="U30" s="207"/>
      <c r="V30" s="166">
        <f t="shared" si="0"/>
        <v>0</v>
      </c>
      <c r="W30" s="205">
        <v>2</v>
      </c>
      <c r="X30" s="167" t="s">
        <v>7043</v>
      </c>
    </row>
    <row r="31" spans="8:24" s="221" customFormat="1" ht="12" hidden="1" customHeight="1">
      <c r="H31" s="217" t="s">
        <v>7042</v>
      </c>
      <c r="I31" s="217" t="s">
        <v>6277</v>
      </c>
      <c r="J31" s="217" t="s">
        <v>753</v>
      </c>
      <c r="K31" s="217" t="s">
        <v>6305</v>
      </c>
      <c r="L31" s="217" t="s">
        <v>5</v>
      </c>
      <c r="M31" s="217"/>
      <c r="N31" s="218">
        <v>12903</v>
      </c>
      <c r="O31" s="169">
        <f t="shared" si="2"/>
        <v>0</v>
      </c>
      <c r="P31" s="169"/>
      <c r="Q31" s="166"/>
      <c r="R31" s="207"/>
      <c r="S31" s="207"/>
      <c r="T31" s="207"/>
      <c r="U31" s="207"/>
      <c r="V31" s="166">
        <f t="shared" si="0"/>
        <v>0</v>
      </c>
      <c r="W31" s="205"/>
      <c r="X31" s="167"/>
    </row>
    <row r="32" spans="8:24" s="221" customFormat="1" ht="12" hidden="1" customHeight="1">
      <c r="H32" s="217" t="s">
        <v>2746</v>
      </c>
      <c r="I32" s="217" t="s">
        <v>1049</v>
      </c>
      <c r="J32" s="217" t="s">
        <v>2766</v>
      </c>
      <c r="K32" s="217" t="s">
        <v>2793</v>
      </c>
      <c r="L32" s="217" t="s">
        <v>5</v>
      </c>
      <c r="M32" s="217"/>
      <c r="N32" s="218"/>
      <c r="O32" s="169"/>
      <c r="P32" s="169">
        <v>8709.99</v>
      </c>
      <c r="Q32" s="166">
        <f t="shared" si="1"/>
        <v>0</v>
      </c>
      <c r="R32" s="207"/>
      <c r="S32" s="207"/>
      <c r="T32" s="207"/>
      <c r="U32" s="207"/>
      <c r="V32" s="166">
        <f t="shared" si="0"/>
        <v>0</v>
      </c>
      <c r="W32" s="205">
        <v>2</v>
      </c>
      <c r="X32" s="167" t="s">
        <v>7043</v>
      </c>
    </row>
    <row r="33" spans="8:40" s="221" customFormat="1" ht="12" hidden="1" customHeight="1">
      <c r="H33" s="217" t="s">
        <v>7042</v>
      </c>
      <c r="I33" s="217" t="s">
        <v>6277</v>
      </c>
      <c r="J33" s="217" t="s">
        <v>753</v>
      </c>
      <c r="K33" s="217" t="s">
        <v>6307</v>
      </c>
      <c r="L33" s="217" t="s">
        <v>5</v>
      </c>
      <c r="M33" s="217"/>
      <c r="N33" s="218">
        <v>17802</v>
      </c>
      <c r="O33" s="169">
        <f t="shared" si="2"/>
        <v>0</v>
      </c>
      <c r="P33" s="169"/>
      <c r="Q33" s="166"/>
      <c r="R33" s="207"/>
      <c r="S33" s="207"/>
      <c r="T33" s="207"/>
      <c r="U33" s="207"/>
      <c r="V33" s="166">
        <f t="shared" si="0"/>
        <v>0</v>
      </c>
      <c r="W33" s="205"/>
      <c r="X33" s="167"/>
    </row>
    <row r="34" spans="8:40" s="221" customFormat="1" ht="12" hidden="1" customHeight="1">
      <c r="H34" s="217" t="s">
        <v>2747</v>
      </c>
      <c r="I34" s="217" t="s">
        <v>1050</v>
      </c>
      <c r="J34" s="217" t="s">
        <v>2767</v>
      </c>
      <c r="K34" s="217" t="s">
        <v>2794</v>
      </c>
      <c r="L34" s="217" t="s">
        <v>5</v>
      </c>
      <c r="M34" s="217"/>
      <c r="N34" s="218"/>
      <c r="O34" s="169"/>
      <c r="P34" s="169">
        <v>10451.987999999999</v>
      </c>
      <c r="Q34" s="166">
        <f t="shared" si="1"/>
        <v>0</v>
      </c>
      <c r="R34" s="207"/>
      <c r="S34" s="207"/>
      <c r="T34" s="207"/>
      <c r="U34" s="207"/>
      <c r="V34" s="166">
        <f t="shared" si="0"/>
        <v>0</v>
      </c>
      <c r="W34" s="205">
        <v>2</v>
      </c>
      <c r="X34" s="167" t="s">
        <v>7043</v>
      </c>
    </row>
    <row r="35" spans="8:40" s="221" customFormat="1" ht="12" hidden="1" customHeight="1">
      <c r="H35" s="217" t="s">
        <v>7042</v>
      </c>
      <c r="I35" s="217" t="s">
        <v>6277</v>
      </c>
      <c r="J35" s="217" t="s">
        <v>753</v>
      </c>
      <c r="K35" s="217" t="s">
        <v>6309</v>
      </c>
      <c r="L35" s="217" t="s">
        <v>5</v>
      </c>
      <c r="M35" s="217"/>
      <c r="N35" s="218">
        <v>2284</v>
      </c>
      <c r="O35" s="169">
        <f t="shared" si="2"/>
        <v>0</v>
      </c>
      <c r="P35" s="169"/>
      <c r="Q35" s="166"/>
      <c r="R35" s="207"/>
      <c r="S35" s="207"/>
      <c r="T35" s="207"/>
      <c r="U35" s="207"/>
      <c r="V35" s="166">
        <f t="shared" si="0"/>
        <v>0</v>
      </c>
      <c r="W35" s="205"/>
      <c r="X35" s="167"/>
    </row>
    <row r="36" spans="8:40" s="221" customFormat="1" ht="12" hidden="1" customHeight="1">
      <c r="H36" s="217" t="s">
        <v>2847</v>
      </c>
      <c r="I36" s="217" t="s">
        <v>1007</v>
      </c>
      <c r="J36" s="217" t="s">
        <v>2931</v>
      </c>
      <c r="K36" s="217" t="s">
        <v>2878</v>
      </c>
      <c r="L36" s="217" t="s">
        <v>5</v>
      </c>
      <c r="M36" s="217"/>
      <c r="N36" s="218"/>
      <c r="O36" s="169"/>
      <c r="P36" s="169">
        <v>7548.6580000000004</v>
      </c>
      <c r="Q36" s="166">
        <f t="shared" si="1"/>
        <v>0</v>
      </c>
      <c r="R36" s="207"/>
      <c r="S36" s="207"/>
      <c r="T36" s="207"/>
      <c r="U36" s="207"/>
      <c r="V36" s="166">
        <f t="shared" si="0"/>
        <v>0</v>
      </c>
      <c r="W36" s="205"/>
      <c r="X36" s="167"/>
    </row>
    <row r="37" spans="8:40" s="221" customFormat="1" ht="12" hidden="1" customHeight="1">
      <c r="H37" s="217" t="s">
        <v>7042</v>
      </c>
      <c r="I37" s="217" t="s">
        <v>6277</v>
      </c>
      <c r="J37" s="217" t="s">
        <v>753</v>
      </c>
      <c r="K37" s="217" t="s">
        <v>6311</v>
      </c>
      <c r="L37" s="217" t="s">
        <v>5</v>
      </c>
      <c r="M37" s="217"/>
      <c r="N37" s="218">
        <v>3280</v>
      </c>
      <c r="O37" s="169">
        <f t="shared" si="2"/>
        <v>0</v>
      </c>
      <c r="P37" s="169"/>
      <c r="Q37" s="166"/>
      <c r="R37" s="207"/>
      <c r="S37" s="207"/>
      <c r="T37" s="207"/>
      <c r="U37" s="207"/>
      <c r="V37" s="166">
        <f t="shared" si="0"/>
        <v>0</v>
      </c>
      <c r="W37" s="205"/>
      <c r="X37" s="167"/>
    </row>
    <row r="38" spans="8:40" s="221" customFormat="1" ht="12" hidden="1" customHeight="1">
      <c r="H38" s="217" t="s">
        <v>2848</v>
      </c>
      <c r="I38" s="217" t="s">
        <v>1008</v>
      </c>
      <c r="J38" s="217" t="s">
        <v>2932</v>
      </c>
      <c r="K38" s="217" t="s">
        <v>2880</v>
      </c>
      <c r="L38" s="217" t="s">
        <v>5</v>
      </c>
      <c r="M38" s="217"/>
      <c r="N38" s="218"/>
      <c r="O38" s="169"/>
      <c r="P38" s="169">
        <v>8419.6569999999992</v>
      </c>
      <c r="Q38" s="166">
        <f t="shared" si="1"/>
        <v>0</v>
      </c>
      <c r="R38" s="207"/>
      <c r="S38" s="207"/>
      <c r="T38" s="207"/>
      <c r="U38" s="207"/>
      <c r="V38" s="166">
        <f t="shared" si="0"/>
        <v>0</v>
      </c>
      <c r="W38" s="205"/>
      <c r="X38" s="167"/>
    </row>
    <row r="39" spans="8:40" s="221" customFormat="1" ht="12" hidden="1" customHeight="1">
      <c r="H39" s="217" t="s">
        <v>7042</v>
      </c>
      <c r="I39" s="217" t="s">
        <v>6277</v>
      </c>
      <c r="J39" s="217" t="s">
        <v>753</v>
      </c>
      <c r="K39" s="217" t="s">
        <v>6313</v>
      </c>
      <c r="L39" s="217" t="s">
        <v>5</v>
      </c>
      <c r="M39" s="217"/>
      <c r="N39" s="218">
        <v>4511</v>
      </c>
      <c r="O39" s="169">
        <f t="shared" si="2"/>
        <v>0</v>
      </c>
      <c r="P39" s="169"/>
      <c r="Q39" s="166"/>
      <c r="R39" s="207"/>
      <c r="S39" s="207"/>
      <c r="T39" s="207"/>
      <c r="U39" s="207"/>
      <c r="V39" s="166">
        <f t="shared" si="0"/>
        <v>0</v>
      </c>
      <c r="W39" s="205"/>
      <c r="X39" s="167"/>
    </row>
    <row r="40" spans="8:40" s="221" customFormat="1" ht="12" hidden="1" customHeight="1">
      <c r="H40" s="217" t="s">
        <v>2849</v>
      </c>
      <c r="I40" s="217" t="s">
        <v>1009</v>
      </c>
      <c r="J40" s="217" t="s">
        <v>2933</v>
      </c>
      <c r="K40" s="217" t="s">
        <v>2882</v>
      </c>
      <c r="L40" s="217" t="s">
        <v>5</v>
      </c>
      <c r="M40" s="217"/>
      <c r="N40" s="218"/>
      <c r="O40" s="169"/>
      <c r="P40" s="169">
        <v>9871.3220000000001</v>
      </c>
      <c r="Q40" s="166">
        <f t="shared" si="1"/>
        <v>0</v>
      </c>
      <c r="R40" s="207"/>
      <c r="S40" s="207"/>
      <c r="T40" s="207"/>
      <c r="U40" s="207"/>
      <c r="V40" s="166">
        <f t="shared" si="0"/>
        <v>0</v>
      </c>
      <c r="W40" s="205"/>
      <c r="X40" s="167"/>
    </row>
    <row r="41" spans="8:40" s="221" customFormat="1" ht="12" hidden="1" customHeight="1">
      <c r="H41" s="217" t="s">
        <v>7042</v>
      </c>
      <c r="I41" s="217" t="s">
        <v>6277</v>
      </c>
      <c r="J41" s="217" t="s">
        <v>753</v>
      </c>
      <c r="K41" s="217" t="s">
        <v>6315</v>
      </c>
      <c r="L41" s="217" t="s">
        <v>5</v>
      </c>
      <c r="M41" s="217"/>
      <c r="N41" s="218">
        <v>7317</v>
      </c>
      <c r="O41" s="169">
        <f t="shared" si="2"/>
        <v>0</v>
      </c>
      <c r="P41" s="169"/>
      <c r="Q41" s="166"/>
      <c r="R41" s="207"/>
      <c r="S41" s="207"/>
      <c r="T41" s="207"/>
      <c r="U41" s="207"/>
      <c r="V41" s="166">
        <f t="shared" si="0"/>
        <v>0</v>
      </c>
      <c r="W41" s="205"/>
      <c r="X41" s="167"/>
    </row>
    <row r="42" spans="8:40" s="221" customFormat="1" ht="12" hidden="1" customHeight="1">
      <c r="H42" s="217" t="s">
        <v>2851</v>
      </c>
      <c r="I42" s="217" t="s">
        <v>1052</v>
      </c>
      <c r="J42" s="217" t="s">
        <v>2936</v>
      </c>
      <c r="K42" s="217" t="s">
        <v>2887</v>
      </c>
      <c r="L42" s="217" t="s">
        <v>5</v>
      </c>
      <c r="M42" s="217"/>
      <c r="N42" s="218"/>
      <c r="O42" s="169"/>
      <c r="P42" s="169">
        <v>14226.316999999999</v>
      </c>
      <c r="Q42" s="166">
        <f t="shared" si="1"/>
        <v>0</v>
      </c>
      <c r="R42" s="207"/>
      <c r="S42" s="207"/>
      <c r="T42" s="207"/>
      <c r="U42" s="207"/>
      <c r="V42" s="166">
        <f t="shared" si="0"/>
        <v>0</v>
      </c>
      <c r="W42" s="205"/>
      <c r="X42" s="167"/>
    </row>
    <row r="43" spans="8:40" s="221" customFormat="1" ht="12" hidden="1" customHeight="1">
      <c r="H43" s="217" t="s">
        <v>7042</v>
      </c>
      <c r="I43" s="217" t="s">
        <v>6277</v>
      </c>
      <c r="J43" s="217" t="s">
        <v>753</v>
      </c>
      <c r="K43" s="217" t="s">
        <v>6317</v>
      </c>
      <c r="L43" s="217" t="s">
        <v>5</v>
      </c>
      <c r="M43" s="217"/>
      <c r="N43" s="218">
        <v>11052</v>
      </c>
      <c r="O43" s="169">
        <f t="shared" si="2"/>
        <v>0</v>
      </c>
      <c r="P43" s="169"/>
      <c r="Q43" s="166"/>
      <c r="R43" s="207"/>
      <c r="S43" s="207"/>
      <c r="T43" s="207"/>
      <c r="U43" s="207"/>
      <c r="V43" s="166">
        <f t="shared" si="0"/>
        <v>0</v>
      </c>
      <c r="W43" s="205"/>
      <c r="X43" s="167"/>
    </row>
    <row r="44" spans="8:40" s="221" customFormat="1" ht="12" hidden="1" customHeight="1">
      <c r="H44" s="217" t="s">
        <v>2745</v>
      </c>
      <c r="I44" s="217" t="s">
        <v>1048</v>
      </c>
      <c r="J44" s="217" t="s">
        <v>2765</v>
      </c>
      <c r="K44" s="217" t="s">
        <v>2792</v>
      </c>
      <c r="L44" s="217" t="s">
        <v>5</v>
      </c>
      <c r="M44" s="217"/>
      <c r="N44" s="218"/>
      <c r="O44" s="169"/>
      <c r="P44" s="169">
        <v>6677.6589999999997</v>
      </c>
      <c r="Q44" s="166">
        <f t="shared" si="1"/>
        <v>0</v>
      </c>
      <c r="R44" s="207"/>
      <c r="S44" s="207"/>
      <c r="T44" s="207"/>
      <c r="U44" s="207"/>
      <c r="V44" s="166">
        <f t="shared" si="0"/>
        <v>0</v>
      </c>
      <c r="W44" s="205">
        <v>2.6</v>
      </c>
      <c r="X44" s="167" t="s">
        <v>7045</v>
      </c>
    </row>
    <row r="45" spans="8:40" s="221" customFormat="1" ht="12" hidden="1" customHeight="1">
      <c r="H45" s="217" t="s">
        <v>7042</v>
      </c>
      <c r="I45" s="217" t="s">
        <v>6277</v>
      </c>
      <c r="J45" s="217" t="s">
        <v>753</v>
      </c>
      <c r="K45" s="217" t="s">
        <v>6319</v>
      </c>
      <c r="L45" s="217" t="s">
        <v>5</v>
      </c>
      <c r="M45" s="217"/>
      <c r="N45" s="218">
        <v>17155</v>
      </c>
      <c r="O45" s="169">
        <f t="shared" si="2"/>
        <v>0</v>
      </c>
      <c r="P45" s="169"/>
      <c r="Q45" s="166"/>
      <c r="R45" s="207"/>
      <c r="S45" s="207"/>
      <c r="T45" s="207"/>
      <c r="U45" s="207"/>
      <c r="V45" s="166">
        <f t="shared" si="0"/>
        <v>0</v>
      </c>
      <c r="W45" s="205"/>
      <c r="X45" s="167"/>
    </row>
    <row r="46" spans="8:40" s="221" customFormat="1" ht="12" hidden="1" customHeight="1">
      <c r="H46" s="217" t="s">
        <v>2746</v>
      </c>
      <c r="I46" s="217" t="s">
        <v>1049</v>
      </c>
      <c r="J46" s="217" t="s">
        <v>2766</v>
      </c>
      <c r="K46" s="217" t="s">
        <v>2793</v>
      </c>
      <c r="L46" s="217" t="s">
        <v>5</v>
      </c>
      <c r="M46" s="217"/>
      <c r="N46" s="218"/>
      <c r="O46" s="169"/>
      <c r="P46" s="169">
        <v>8709.99</v>
      </c>
      <c r="Q46" s="166">
        <f t="shared" si="1"/>
        <v>0</v>
      </c>
      <c r="R46" s="207"/>
      <c r="S46" s="207"/>
      <c r="T46" s="207"/>
      <c r="U46" s="207"/>
      <c r="V46" s="166">
        <f t="shared" si="0"/>
        <v>0</v>
      </c>
      <c r="W46" s="205">
        <v>2.6</v>
      </c>
      <c r="X46" s="167" t="s">
        <v>7045</v>
      </c>
    </row>
    <row r="47" spans="8:40" s="221" customFormat="1" ht="12" hidden="1" customHeight="1">
      <c r="H47" s="217" t="s">
        <v>7042</v>
      </c>
      <c r="I47" s="217" t="s">
        <v>6277</v>
      </c>
      <c r="J47" s="217" t="s">
        <v>753</v>
      </c>
      <c r="K47" s="217" t="s">
        <v>6321</v>
      </c>
      <c r="L47" s="217" t="s">
        <v>5</v>
      </c>
      <c r="M47" s="217"/>
      <c r="N47" s="218">
        <v>23675</v>
      </c>
      <c r="O47" s="169">
        <f t="shared" si="2"/>
        <v>0</v>
      </c>
      <c r="P47" s="169"/>
      <c r="Q47" s="166"/>
      <c r="R47" s="207"/>
      <c r="S47" s="207"/>
      <c r="T47" s="207"/>
      <c r="U47" s="207"/>
      <c r="V47" s="166">
        <f t="shared" si="0"/>
        <v>0</v>
      </c>
      <c r="W47" s="205"/>
      <c r="X47" s="167"/>
    </row>
    <row r="48" spans="8:40" s="221" customFormat="1" ht="12" hidden="1" customHeight="1">
      <c r="H48" s="217" t="s">
        <v>2747</v>
      </c>
      <c r="I48" s="217" t="s">
        <v>1050</v>
      </c>
      <c r="J48" s="217" t="s">
        <v>2767</v>
      </c>
      <c r="K48" s="217" t="s">
        <v>2794</v>
      </c>
      <c r="L48" s="217" t="s">
        <v>5</v>
      </c>
      <c r="M48" s="217"/>
      <c r="N48" s="218"/>
      <c r="O48" s="169"/>
      <c r="P48" s="169">
        <v>10451.987999999999</v>
      </c>
      <c r="Q48" s="166">
        <f t="shared" si="1"/>
        <v>0</v>
      </c>
      <c r="R48" s="207"/>
      <c r="S48" s="207"/>
      <c r="T48" s="207"/>
      <c r="U48" s="207"/>
      <c r="V48" s="166">
        <f t="shared" si="0"/>
        <v>0</v>
      </c>
      <c r="W48" s="205">
        <v>2.6</v>
      </c>
      <c r="X48" s="167" t="s">
        <v>7045</v>
      </c>
      <c r="Y48" s="190"/>
      <c r="Z48" s="190"/>
      <c r="AA48" s="190"/>
      <c r="AB48" s="190"/>
      <c r="AC48" s="190"/>
      <c r="AD48" s="190"/>
      <c r="AE48" s="190"/>
      <c r="AF48" s="190"/>
      <c r="AG48" s="190"/>
      <c r="AH48" s="190"/>
      <c r="AI48" s="190"/>
      <c r="AJ48" s="190"/>
      <c r="AK48" s="190"/>
      <c r="AL48" s="190"/>
      <c r="AM48" s="190"/>
      <c r="AN48" s="190"/>
    </row>
    <row r="49" spans="8:40" s="221" customFormat="1" ht="12" hidden="1" customHeight="1">
      <c r="H49" s="217" t="s">
        <v>7042</v>
      </c>
      <c r="I49" s="217" t="s">
        <v>6450</v>
      </c>
      <c r="J49" s="217" t="s">
        <v>6451</v>
      </c>
      <c r="K49" s="217" t="s">
        <v>6240</v>
      </c>
      <c r="L49" s="217" t="s">
        <v>5</v>
      </c>
      <c r="M49" s="217"/>
      <c r="N49" s="218">
        <v>594</v>
      </c>
      <c r="O49" s="169">
        <f t="shared" si="2"/>
        <v>0</v>
      </c>
      <c r="P49" s="169"/>
      <c r="Q49" s="166"/>
      <c r="R49" s="207"/>
      <c r="S49" s="207"/>
      <c r="T49" s="207"/>
      <c r="U49" s="207"/>
      <c r="V49" s="166">
        <f t="shared" si="0"/>
        <v>0</v>
      </c>
      <c r="W49" s="205"/>
      <c r="X49" s="167"/>
      <c r="Y49" s="190"/>
      <c r="Z49" s="190"/>
      <c r="AA49" s="190"/>
      <c r="AB49" s="190"/>
      <c r="AC49" s="190"/>
      <c r="AD49" s="190"/>
      <c r="AE49" s="190"/>
      <c r="AF49" s="190"/>
      <c r="AG49" s="190"/>
      <c r="AH49" s="190"/>
      <c r="AI49" s="190"/>
      <c r="AJ49" s="190"/>
      <c r="AK49" s="190"/>
      <c r="AL49" s="190"/>
      <c r="AM49" s="190"/>
      <c r="AN49" s="190"/>
    </row>
    <row r="50" spans="8:40" s="221" customFormat="1" ht="12" hidden="1" customHeight="1">
      <c r="H50" s="198" t="s">
        <v>7038</v>
      </c>
      <c r="I50" s="199" t="s">
        <v>1167</v>
      </c>
      <c r="J50" s="199" t="s">
        <v>2113</v>
      </c>
      <c r="K50" s="198" t="s">
        <v>2114</v>
      </c>
      <c r="L50" s="200" t="s">
        <v>5</v>
      </c>
      <c r="M50" s="217"/>
      <c r="N50" s="218"/>
      <c r="O50" s="169"/>
      <c r="P50" s="201">
        <v>2706</v>
      </c>
      <c r="Q50" s="166">
        <f t="shared" si="1"/>
        <v>0</v>
      </c>
      <c r="R50" s="207"/>
      <c r="S50" s="207"/>
      <c r="T50" s="207"/>
      <c r="U50" s="207"/>
      <c r="V50" s="166">
        <f t="shared" si="0"/>
        <v>0</v>
      </c>
      <c r="W50" s="205">
        <v>1.5</v>
      </c>
      <c r="X50" s="167" t="s">
        <v>7044</v>
      </c>
      <c r="Y50" s="190"/>
      <c r="Z50" s="190"/>
      <c r="AA50" s="190"/>
      <c r="AB50" s="190"/>
      <c r="AC50" s="190"/>
      <c r="AD50" s="190"/>
      <c r="AE50" s="190"/>
      <c r="AF50" s="190"/>
      <c r="AG50" s="190"/>
      <c r="AH50" s="190"/>
      <c r="AI50" s="190"/>
      <c r="AJ50" s="190"/>
      <c r="AK50" s="190"/>
      <c r="AL50" s="190"/>
      <c r="AM50" s="190"/>
      <c r="AN50" s="190"/>
    </row>
    <row r="51" spans="8:40" s="221" customFormat="1" ht="12" hidden="1" customHeight="1">
      <c r="H51" s="217" t="s">
        <v>7042</v>
      </c>
      <c r="I51" s="217" t="s">
        <v>6450</v>
      </c>
      <c r="J51" s="217" t="s">
        <v>6451</v>
      </c>
      <c r="K51" s="217" t="s">
        <v>6242</v>
      </c>
      <c r="L51" s="217" t="s">
        <v>5</v>
      </c>
      <c r="M51" s="217"/>
      <c r="N51" s="218">
        <v>865</v>
      </c>
      <c r="O51" s="169">
        <f t="shared" si="2"/>
        <v>0</v>
      </c>
      <c r="P51" s="169"/>
      <c r="Q51" s="166"/>
      <c r="R51" s="207"/>
      <c r="S51" s="207"/>
      <c r="T51" s="207"/>
      <c r="U51" s="207"/>
      <c r="V51" s="166">
        <f t="shared" si="0"/>
        <v>0</v>
      </c>
      <c r="W51" s="205"/>
      <c r="X51" s="167"/>
      <c r="Y51" s="190"/>
      <c r="Z51" s="190"/>
      <c r="AA51" s="190"/>
      <c r="AB51" s="190"/>
      <c r="AC51" s="190"/>
      <c r="AD51" s="190"/>
      <c r="AE51" s="190"/>
      <c r="AF51" s="190"/>
      <c r="AG51" s="190"/>
      <c r="AH51" s="190"/>
      <c r="AI51" s="190"/>
      <c r="AJ51" s="190"/>
      <c r="AK51" s="190"/>
      <c r="AL51" s="190"/>
      <c r="AM51" s="190"/>
      <c r="AN51" s="190"/>
    </row>
    <row r="52" spans="8:40" s="221" customFormat="1" ht="12" hidden="1" customHeight="1">
      <c r="H52" s="158" t="s">
        <v>7038</v>
      </c>
      <c r="I52" s="159" t="s">
        <v>1167</v>
      </c>
      <c r="J52" s="159" t="s">
        <v>2113</v>
      </c>
      <c r="K52" s="158" t="s">
        <v>2115</v>
      </c>
      <c r="L52" s="160" t="s">
        <v>5</v>
      </c>
      <c r="M52" s="217"/>
      <c r="N52" s="218"/>
      <c r="O52" s="169"/>
      <c r="P52" s="161">
        <v>2706</v>
      </c>
      <c r="Q52" s="166">
        <f t="shared" si="1"/>
        <v>0</v>
      </c>
      <c r="R52" s="207"/>
      <c r="S52" s="207"/>
      <c r="T52" s="207"/>
      <c r="U52" s="207"/>
      <c r="V52" s="166">
        <f t="shared" si="0"/>
        <v>0</v>
      </c>
      <c r="W52" s="205">
        <v>1.5</v>
      </c>
      <c r="X52" s="167" t="s">
        <v>7044</v>
      </c>
      <c r="Y52" s="190"/>
      <c r="Z52" s="190"/>
      <c r="AA52" s="190"/>
      <c r="AB52" s="190"/>
      <c r="AC52" s="190"/>
      <c r="AD52" s="190"/>
      <c r="AE52" s="190"/>
      <c r="AF52" s="190"/>
      <c r="AG52" s="190"/>
      <c r="AH52" s="190"/>
      <c r="AI52" s="190"/>
      <c r="AJ52" s="190"/>
      <c r="AK52" s="190"/>
      <c r="AL52" s="190"/>
      <c r="AM52" s="190"/>
      <c r="AN52" s="190"/>
    </row>
    <row r="53" spans="8:40" s="221" customFormat="1" ht="12" hidden="1" customHeight="1">
      <c r="H53" s="217" t="s">
        <v>7042</v>
      </c>
      <c r="I53" s="217" t="s">
        <v>6450</v>
      </c>
      <c r="J53" s="217" t="s">
        <v>6451</v>
      </c>
      <c r="K53" s="217" t="s">
        <v>6244</v>
      </c>
      <c r="L53" s="217" t="s">
        <v>5</v>
      </c>
      <c r="M53" s="217"/>
      <c r="N53" s="218">
        <v>1173</v>
      </c>
      <c r="O53" s="169">
        <f t="shared" si="2"/>
        <v>0</v>
      </c>
      <c r="P53" s="169"/>
      <c r="Q53" s="166"/>
      <c r="R53" s="207"/>
      <c r="S53" s="207"/>
      <c r="T53" s="207"/>
      <c r="U53" s="207"/>
      <c r="V53" s="166">
        <f t="shared" si="0"/>
        <v>0</v>
      </c>
      <c r="W53" s="205"/>
      <c r="X53" s="167"/>
      <c r="Y53" s="190"/>
      <c r="Z53" s="190"/>
      <c r="AA53" s="190"/>
      <c r="AB53" s="190"/>
      <c r="AC53" s="190"/>
      <c r="AD53" s="190"/>
      <c r="AE53" s="190"/>
      <c r="AF53" s="190"/>
      <c r="AG53" s="190"/>
      <c r="AH53" s="190"/>
      <c r="AI53" s="190"/>
      <c r="AJ53" s="190"/>
      <c r="AK53" s="190"/>
      <c r="AL53" s="190"/>
      <c r="AM53" s="190"/>
      <c r="AN53" s="190"/>
    </row>
    <row r="54" spans="8:40" s="221" customFormat="1" ht="12" hidden="1" customHeight="1">
      <c r="H54" s="198" t="s">
        <v>7038</v>
      </c>
      <c r="I54" s="199" t="s">
        <v>1167</v>
      </c>
      <c r="J54" s="199" t="s">
        <v>2113</v>
      </c>
      <c r="K54" s="198" t="s">
        <v>2116</v>
      </c>
      <c r="L54" s="200" t="s">
        <v>5</v>
      </c>
      <c r="M54" s="217"/>
      <c r="N54" s="218"/>
      <c r="O54" s="169"/>
      <c r="P54" s="201">
        <v>2706</v>
      </c>
      <c r="Q54" s="166">
        <f t="shared" si="1"/>
        <v>0</v>
      </c>
      <c r="R54" s="207"/>
      <c r="S54" s="207"/>
      <c r="T54" s="207"/>
      <c r="U54" s="207"/>
      <c r="V54" s="166">
        <f t="shared" si="0"/>
        <v>0</v>
      </c>
      <c r="W54" s="205">
        <v>1.5</v>
      </c>
      <c r="X54" s="167" t="s">
        <v>7044</v>
      </c>
      <c r="Y54" s="190"/>
      <c r="Z54" s="190"/>
      <c r="AA54" s="190"/>
      <c r="AB54" s="190"/>
      <c r="AC54" s="190"/>
      <c r="AD54" s="190"/>
      <c r="AE54" s="190"/>
      <c r="AF54" s="190"/>
      <c r="AG54" s="190"/>
      <c r="AH54" s="190"/>
      <c r="AI54" s="190"/>
      <c r="AJ54" s="190"/>
      <c r="AK54" s="190"/>
      <c r="AL54" s="190"/>
      <c r="AM54" s="190"/>
      <c r="AN54" s="190"/>
    </row>
    <row r="55" spans="8:40" s="221" customFormat="1" ht="12" hidden="1" customHeight="1">
      <c r="H55" s="217" t="s">
        <v>7042</v>
      </c>
      <c r="I55" s="217" t="s">
        <v>6450</v>
      </c>
      <c r="J55" s="217" t="s">
        <v>6451</v>
      </c>
      <c r="K55" s="217" t="s">
        <v>6246</v>
      </c>
      <c r="L55" s="217" t="s">
        <v>5</v>
      </c>
      <c r="M55" s="217"/>
      <c r="N55" s="218">
        <v>1883</v>
      </c>
      <c r="O55" s="169">
        <f t="shared" si="2"/>
        <v>0</v>
      </c>
      <c r="P55" s="169"/>
      <c r="Q55" s="166"/>
      <c r="R55" s="207"/>
      <c r="S55" s="207"/>
      <c r="T55" s="207"/>
      <c r="U55" s="207"/>
      <c r="V55" s="166">
        <f t="shared" si="0"/>
        <v>0</v>
      </c>
      <c r="W55" s="205"/>
      <c r="X55" s="167"/>
      <c r="Y55" s="190"/>
      <c r="Z55" s="190"/>
      <c r="AA55" s="190"/>
      <c r="AB55" s="190"/>
      <c r="AC55" s="190"/>
      <c r="AD55" s="190"/>
      <c r="AE55" s="190"/>
      <c r="AF55" s="190"/>
      <c r="AG55" s="190"/>
      <c r="AH55" s="190"/>
      <c r="AI55" s="190"/>
      <c r="AJ55" s="190"/>
      <c r="AK55" s="190"/>
      <c r="AL55" s="190"/>
      <c r="AM55" s="190"/>
      <c r="AN55" s="190"/>
    </row>
    <row r="56" spans="8:40" s="221" customFormat="1" ht="12" hidden="1" customHeight="1">
      <c r="H56" s="198" t="s">
        <v>7038</v>
      </c>
      <c r="I56" s="199" t="s">
        <v>1167</v>
      </c>
      <c r="J56" s="199" t="s">
        <v>2113</v>
      </c>
      <c r="K56" s="198" t="s">
        <v>2116</v>
      </c>
      <c r="L56" s="200" t="s">
        <v>5</v>
      </c>
      <c r="M56" s="217"/>
      <c r="N56" s="218"/>
      <c r="O56" s="169"/>
      <c r="P56" s="201">
        <v>2706</v>
      </c>
      <c r="Q56" s="166">
        <f t="shared" si="1"/>
        <v>0</v>
      </c>
      <c r="R56" s="207"/>
      <c r="S56" s="207"/>
      <c r="T56" s="207"/>
      <c r="U56" s="207"/>
      <c r="V56" s="166">
        <f t="shared" si="0"/>
        <v>0</v>
      </c>
      <c r="W56" s="205">
        <v>1.5</v>
      </c>
      <c r="X56" s="167" t="s">
        <v>7044</v>
      </c>
      <c r="Y56" s="190"/>
      <c r="Z56" s="190"/>
      <c r="AA56" s="190"/>
      <c r="AB56" s="190"/>
      <c r="AC56" s="190"/>
      <c r="AD56" s="190"/>
      <c r="AE56" s="190"/>
      <c r="AF56" s="190"/>
      <c r="AG56" s="190"/>
      <c r="AH56" s="190"/>
      <c r="AI56" s="190"/>
      <c r="AJ56" s="190"/>
      <c r="AK56" s="190"/>
      <c r="AL56" s="190"/>
      <c r="AM56" s="190"/>
      <c r="AN56" s="190"/>
    </row>
    <row r="57" spans="8:40" s="221" customFormat="1" ht="12" hidden="1" customHeight="1">
      <c r="H57" s="217" t="s">
        <v>7042</v>
      </c>
      <c r="I57" s="217" t="s">
        <v>6450</v>
      </c>
      <c r="J57" s="217" t="s">
        <v>6451</v>
      </c>
      <c r="K57" s="217" t="s">
        <v>6248</v>
      </c>
      <c r="L57" s="217" t="s">
        <v>5</v>
      </c>
      <c r="M57" s="217"/>
      <c r="N57" s="218">
        <v>2838</v>
      </c>
      <c r="O57" s="169">
        <f t="shared" si="2"/>
        <v>0</v>
      </c>
      <c r="P57" s="169"/>
      <c r="Q57" s="166"/>
      <c r="R57" s="207"/>
      <c r="S57" s="207"/>
      <c r="T57" s="207"/>
      <c r="U57" s="207"/>
      <c r="V57" s="166">
        <f t="shared" si="0"/>
        <v>0</v>
      </c>
      <c r="W57" s="205"/>
      <c r="X57" s="167"/>
      <c r="Y57" s="190"/>
      <c r="Z57" s="190"/>
      <c r="AA57" s="190"/>
      <c r="AB57" s="190"/>
      <c r="AC57" s="190"/>
      <c r="AD57" s="190"/>
      <c r="AE57" s="190"/>
      <c r="AF57" s="190"/>
      <c r="AG57" s="190"/>
      <c r="AH57" s="190"/>
      <c r="AI57" s="190"/>
      <c r="AJ57" s="190"/>
      <c r="AK57" s="190"/>
      <c r="AL57" s="190"/>
      <c r="AM57" s="190"/>
      <c r="AN57" s="190"/>
    </row>
    <row r="58" spans="8:40" s="221" customFormat="1" ht="12" hidden="1" customHeight="1">
      <c r="H58" s="198" t="s">
        <v>7039</v>
      </c>
      <c r="I58" s="199" t="s">
        <v>1168</v>
      </c>
      <c r="J58" s="199" t="s">
        <v>2118</v>
      </c>
      <c r="K58" s="198" t="s">
        <v>2119</v>
      </c>
      <c r="L58" s="200" t="s">
        <v>5</v>
      </c>
      <c r="M58" s="217"/>
      <c r="N58" s="218"/>
      <c r="O58" s="169"/>
      <c r="P58" s="201">
        <v>3158</v>
      </c>
      <c r="Q58" s="166">
        <f t="shared" si="1"/>
        <v>0</v>
      </c>
      <c r="R58" s="207"/>
      <c r="S58" s="207"/>
      <c r="T58" s="207"/>
      <c r="U58" s="207"/>
      <c r="V58" s="166">
        <f t="shared" si="0"/>
        <v>0</v>
      </c>
      <c r="W58" s="205">
        <v>1.5</v>
      </c>
      <c r="X58" s="167" t="s">
        <v>7044</v>
      </c>
      <c r="Y58" s="190"/>
      <c r="Z58" s="190"/>
      <c r="AA58" s="190"/>
      <c r="AB58" s="190"/>
      <c r="AC58" s="190"/>
      <c r="AD58" s="190"/>
      <c r="AE58" s="190"/>
      <c r="AF58" s="190"/>
      <c r="AG58" s="190"/>
      <c r="AH58" s="190"/>
      <c r="AI58" s="190"/>
      <c r="AJ58" s="190"/>
      <c r="AK58" s="190"/>
      <c r="AL58" s="190"/>
      <c r="AM58" s="190"/>
      <c r="AN58" s="190"/>
    </row>
    <row r="59" spans="8:40" s="221" customFormat="1" ht="12" hidden="1" customHeight="1">
      <c r="H59" s="217" t="s">
        <v>7042</v>
      </c>
      <c r="I59" s="217" t="s">
        <v>6450</v>
      </c>
      <c r="J59" s="217" t="s">
        <v>6451</v>
      </c>
      <c r="K59" s="217" t="s">
        <v>6250</v>
      </c>
      <c r="L59" s="217" t="s">
        <v>5</v>
      </c>
      <c r="M59" s="217"/>
      <c r="N59" s="218">
        <v>4241</v>
      </c>
      <c r="O59" s="169">
        <f t="shared" si="2"/>
        <v>0</v>
      </c>
      <c r="P59" s="169"/>
      <c r="Q59" s="166"/>
      <c r="R59" s="207"/>
      <c r="S59" s="207"/>
      <c r="T59" s="207"/>
      <c r="U59" s="207"/>
      <c r="V59" s="166">
        <f t="shared" si="0"/>
        <v>0</v>
      </c>
      <c r="W59" s="205"/>
      <c r="X59" s="167"/>
      <c r="Y59" s="190"/>
      <c r="Z59" s="190"/>
      <c r="AA59" s="190"/>
      <c r="AB59" s="190"/>
      <c r="AC59" s="190"/>
      <c r="AD59" s="190"/>
      <c r="AE59" s="190"/>
      <c r="AF59" s="190"/>
      <c r="AG59" s="190"/>
      <c r="AH59" s="190"/>
      <c r="AI59" s="190"/>
      <c r="AJ59" s="190"/>
      <c r="AK59" s="190"/>
      <c r="AL59" s="190"/>
      <c r="AM59" s="190"/>
      <c r="AN59" s="190"/>
    </row>
    <row r="60" spans="8:40" s="221" customFormat="1" ht="12" hidden="1" customHeight="1">
      <c r="H60" s="198" t="s">
        <v>7039</v>
      </c>
      <c r="I60" s="199" t="s">
        <v>1168</v>
      </c>
      <c r="J60" s="199" t="s">
        <v>2118</v>
      </c>
      <c r="K60" s="198" t="s">
        <v>2119</v>
      </c>
      <c r="L60" s="200" t="s">
        <v>5</v>
      </c>
      <c r="M60" s="217"/>
      <c r="N60" s="218"/>
      <c r="O60" s="169"/>
      <c r="P60" s="201">
        <v>3158</v>
      </c>
      <c r="Q60" s="166">
        <f t="shared" si="1"/>
        <v>0</v>
      </c>
      <c r="R60" s="207"/>
      <c r="S60" s="207"/>
      <c r="T60" s="207"/>
      <c r="U60" s="207"/>
      <c r="V60" s="166">
        <f t="shared" si="0"/>
        <v>0</v>
      </c>
      <c r="W60" s="205">
        <v>1.5</v>
      </c>
      <c r="X60" s="167" t="s">
        <v>7044</v>
      </c>
      <c r="Y60" s="190"/>
      <c r="Z60" s="190"/>
      <c r="AA60" s="190"/>
      <c r="AB60" s="190"/>
      <c r="AC60" s="190"/>
      <c r="AD60" s="190"/>
      <c r="AE60" s="190"/>
      <c r="AF60" s="190"/>
      <c r="AG60" s="190"/>
      <c r="AH60" s="190"/>
      <c r="AI60" s="190"/>
      <c r="AJ60" s="190"/>
      <c r="AK60" s="190"/>
      <c r="AL60" s="190"/>
      <c r="AM60" s="190"/>
      <c r="AN60" s="190"/>
    </row>
    <row r="61" spans="8:40" s="221" customFormat="1" ht="12" hidden="1" customHeight="1">
      <c r="H61" s="217" t="s">
        <v>7042</v>
      </c>
      <c r="I61" s="217" t="s">
        <v>6450</v>
      </c>
      <c r="J61" s="217" t="s">
        <v>6451</v>
      </c>
      <c r="K61" s="217" t="s">
        <v>6252</v>
      </c>
      <c r="L61" s="217" t="s">
        <v>5</v>
      </c>
      <c r="M61" s="217"/>
      <c r="N61" s="218">
        <v>5971</v>
      </c>
      <c r="O61" s="169">
        <f t="shared" si="2"/>
        <v>0</v>
      </c>
      <c r="P61" s="169"/>
      <c r="Q61" s="166"/>
      <c r="R61" s="207"/>
      <c r="S61" s="207"/>
      <c r="T61" s="207"/>
      <c r="U61" s="207"/>
      <c r="V61" s="166">
        <f t="shared" si="0"/>
        <v>0</v>
      </c>
      <c r="W61" s="205"/>
      <c r="X61" s="167"/>
      <c r="Y61" s="190"/>
      <c r="Z61" s="190"/>
      <c r="AA61" s="190"/>
      <c r="AB61" s="190"/>
      <c r="AC61" s="190"/>
      <c r="AD61" s="190"/>
      <c r="AE61" s="190"/>
      <c r="AF61" s="190"/>
      <c r="AG61" s="190"/>
      <c r="AH61" s="190"/>
      <c r="AI61" s="190"/>
      <c r="AJ61" s="190"/>
      <c r="AK61" s="190"/>
      <c r="AL61" s="190"/>
      <c r="AM61" s="190"/>
      <c r="AN61" s="190"/>
    </row>
    <row r="62" spans="8:40" s="221" customFormat="1" ht="12" hidden="1" customHeight="1">
      <c r="H62" s="198" t="s">
        <v>7039</v>
      </c>
      <c r="I62" s="199" t="s">
        <v>1168</v>
      </c>
      <c r="J62" s="199" t="s">
        <v>2118</v>
      </c>
      <c r="K62" s="198" t="s">
        <v>2119</v>
      </c>
      <c r="L62" s="200" t="s">
        <v>5</v>
      </c>
      <c r="M62" s="217"/>
      <c r="N62" s="218"/>
      <c r="O62" s="169"/>
      <c r="P62" s="201">
        <v>3158</v>
      </c>
      <c r="Q62" s="166">
        <f t="shared" si="1"/>
        <v>0</v>
      </c>
      <c r="R62" s="207"/>
      <c r="S62" s="207"/>
      <c r="T62" s="207"/>
      <c r="U62" s="207"/>
      <c r="V62" s="166">
        <f t="shared" si="0"/>
        <v>0</v>
      </c>
      <c r="W62" s="205">
        <v>1.5</v>
      </c>
      <c r="X62" s="167" t="s">
        <v>7044</v>
      </c>
      <c r="Y62" s="190"/>
      <c r="Z62" s="190"/>
      <c r="AA62" s="190"/>
      <c r="AB62" s="190"/>
      <c r="AC62" s="190"/>
      <c r="AD62" s="190"/>
      <c r="AE62" s="190"/>
      <c r="AF62" s="190"/>
      <c r="AG62" s="190"/>
      <c r="AH62" s="190"/>
      <c r="AI62" s="190"/>
      <c r="AJ62" s="190"/>
      <c r="AK62" s="190"/>
      <c r="AL62" s="190"/>
      <c r="AM62" s="190"/>
      <c r="AN62" s="190"/>
    </row>
    <row r="63" spans="8:40" s="221" customFormat="1" ht="12" hidden="1" customHeight="1">
      <c r="H63" s="217" t="s">
        <v>7042</v>
      </c>
      <c r="I63" s="217" t="s">
        <v>6450</v>
      </c>
      <c r="J63" s="217" t="s">
        <v>6451</v>
      </c>
      <c r="K63" s="217" t="s">
        <v>6254</v>
      </c>
      <c r="L63" s="217" t="s">
        <v>5</v>
      </c>
      <c r="M63" s="217"/>
      <c r="N63" s="218">
        <v>8127</v>
      </c>
      <c r="O63" s="169">
        <f t="shared" si="2"/>
        <v>0</v>
      </c>
      <c r="P63" s="169"/>
      <c r="Q63" s="166"/>
      <c r="R63" s="207"/>
      <c r="S63" s="207"/>
      <c r="T63" s="207"/>
      <c r="U63" s="207"/>
      <c r="V63" s="166">
        <f t="shared" si="0"/>
        <v>0</v>
      </c>
      <c r="W63" s="205"/>
      <c r="X63" s="167"/>
      <c r="Y63" s="190"/>
      <c r="Z63" s="190"/>
      <c r="AA63" s="190"/>
      <c r="AB63" s="190"/>
      <c r="AC63" s="190"/>
      <c r="AD63" s="190"/>
      <c r="AE63" s="190"/>
      <c r="AF63" s="190"/>
      <c r="AG63" s="190"/>
      <c r="AH63" s="190"/>
      <c r="AI63" s="190"/>
      <c r="AJ63" s="190"/>
      <c r="AK63" s="190"/>
      <c r="AL63" s="190"/>
      <c r="AM63" s="190"/>
      <c r="AN63" s="190"/>
    </row>
    <row r="64" spans="8:40" s="221" customFormat="1" ht="12" hidden="1" customHeight="1">
      <c r="H64" s="158" t="s">
        <v>7040</v>
      </c>
      <c r="I64" s="159" t="s">
        <v>1169</v>
      </c>
      <c r="J64" s="159" t="s">
        <v>2122</v>
      </c>
      <c r="K64" s="158" t="s">
        <v>2123</v>
      </c>
      <c r="L64" s="160" t="s">
        <v>5</v>
      </c>
      <c r="M64" s="217"/>
      <c r="N64" s="218"/>
      <c r="O64" s="169"/>
      <c r="P64" s="161">
        <v>3609</v>
      </c>
      <c r="Q64" s="166">
        <f t="shared" si="1"/>
        <v>0</v>
      </c>
      <c r="R64" s="207"/>
      <c r="S64" s="207"/>
      <c r="T64" s="207"/>
      <c r="U64" s="207"/>
      <c r="V64" s="166">
        <f t="shared" si="0"/>
        <v>0</v>
      </c>
      <c r="W64" s="205">
        <v>1.5</v>
      </c>
      <c r="X64" s="167" t="s">
        <v>7044</v>
      </c>
      <c r="Y64" s="190"/>
      <c r="Z64" s="190"/>
      <c r="AA64" s="190"/>
      <c r="AB64" s="190"/>
      <c r="AC64" s="190"/>
      <c r="AD64" s="190"/>
      <c r="AE64" s="190"/>
      <c r="AF64" s="190"/>
      <c r="AG64" s="190"/>
      <c r="AH64" s="190"/>
      <c r="AI64" s="190"/>
      <c r="AJ64" s="190"/>
      <c r="AK64" s="190"/>
      <c r="AL64" s="190"/>
      <c r="AM64" s="190"/>
      <c r="AN64" s="190"/>
    </row>
    <row r="65" spans="8:41" s="221" customFormat="1" ht="12" hidden="1" customHeight="1">
      <c r="H65" s="217" t="s">
        <v>7042</v>
      </c>
      <c r="I65" s="217" t="s">
        <v>6450</v>
      </c>
      <c r="J65" s="217" t="s">
        <v>6451</v>
      </c>
      <c r="K65" s="217" t="s">
        <v>6256</v>
      </c>
      <c r="L65" s="217" t="s">
        <v>5</v>
      </c>
      <c r="M65" s="217"/>
      <c r="N65" s="218">
        <v>11451</v>
      </c>
      <c r="O65" s="169">
        <f t="shared" si="2"/>
        <v>0</v>
      </c>
      <c r="P65" s="169"/>
      <c r="Q65" s="166"/>
      <c r="R65" s="207"/>
      <c r="S65" s="207"/>
      <c r="T65" s="207"/>
      <c r="U65" s="207"/>
      <c r="V65" s="166">
        <f t="shared" si="0"/>
        <v>0</v>
      </c>
      <c r="W65" s="205"/>
      <c r="X65" s="167"/>
      <c r="Y65" s="190"/>
      <c r="Z65" s="190"/>
      <c r="AA65" s="190"/>
      <c r="AB65" s="190"/>
      <c r="AC65" s="190"/>
      <c r="AD65" s="190"/>
      <c r="AE65" s="190"/>
      <c r="AF65" s="190"/>
      <c r="AG65" s="190"/>
      <c r="AH65" s="190"/>
      <c r="AI65" s="190"/>
      <c r="AJ65" s="190"/>
      <c r="AK65" s="190"/>
      <c r="AL65" s="190"/>
      <c r="AM65" s="190"/>
      <c r="AN65" s="190"/>
    </row>
    <row r="66" spans="8:41" s="221" customFormat="1" ht="12" hidden="1" customHeight="1">
      <c r="H66" s="158" t="s">
        <v>7040</v>
      </c>
      <c r="I66" s="159" t="s">
        <v>1169</v>
      </c>
      <c r="J66" s="159" t="s">
        <v>2122</v>
      </c>
      <c r="K66" s="158" t="s">
        <v>2123</v>
      </c>
      <c r="L66" s="160" t="s">
        <v>5</v>
      </c>
      <c r="M66" s="217"/>
      <c r="N66" s="218"/>
      <c r="O66" s="169"/>
      <c r="P66" s="161">
        <v>3609</v>
      </c>
      <c r="Q66" s="166">
        <f t="shared" si="1"/>
        <v>0</v>
      </c>
      <c r="R66" s="207"/>
      <c r="S66" s="207"/>
      <c r="T66" s="207"/>
      <c r="U66" s="207"/>
      <c r="V66" s="166">
        <f t="shared" si="0"/>
        <v>0</v>
      </c>
      <c r="W66" s="205">
        <v>1.5</v>
      </c>
      <c r="X66" s="167" t="s">
        <v>7044</v>
      </c>
      <c r="Y66" s="190"/>
      <c r="Z66" s="190"/>
      <c r="AA66" s="190"/>
      <c r="AB66" s="190"/>
      <c r="AC66" s="190"/>
      <c r="AD66" s="190"/>
      <c r="AE66" s="190"/>
      <c r="AF66" s="190"/>
      <c r="AG66" s="190"/>
      <c r="AH66" s="190"/>
      <c r="AI66" s="190"/>
      <c r="AJ66" s="190"/>
      <c r="AK66" s="190"/>
      <c r="AL66" s="190"/>
      <c r="AM66" s="190"/>
      <c r="AN66" s="190"/>
    </row>
    <row r="67" spans="8:41" s="221" customFormat="1" ht="12" hidden="1" customHeight="1">
      <c r="H67" s="217" t="s">
        <v>7042</v>
      </c>
      <c r="I67" s="217" t="s">
        <v>6450</v>
      </c>
      <c r="J67" s="217" t="s">
        <v>6451</v>
      </c>
      <c r="K67" s="217" t="s">
        <v>6258</v>
      </c>
      <c r="L67" s="217" t="s">
        <v>5</v>
      </c>
      <c r="M67" s="217"/>
      <c r="N67" s="218">
        <v>15408</v>
      </c>
      <c r="O67" s="169">
        <f t="shared" si="2"/>
        <v>0</v>
      </c>
      <c r="P67" s="169"/>
      <c r="Q67" s="166"/>
      <c r="R67" s="207"/>
      <c r="S67" s="207"/>
      <c r="T67" s="207"/>
      <c r="U67" s="207"/>
      <c r="V67" s="166">
        <f t="shared" si="0"/>
        <v>0</v>
      </c>
      <c r="W67" s="205"/>
      <c r="X67" s="167"/>
      <c r="Y67" s="190"/>
      <c r="Z67" s="190"/>
      <c r="AA67" s="190"/>
      <c r="AB67" s="190"/>
      <c r="AC67" s="190"/>
      <c r="AD67" s="190"/>
      <c r="AE67" s="190"/>
      <c r="AF67" s="190"/>
      <c r="AG67" s="190"/>
      <c r="AH67" s="190"/>
      <c r="AI67" s="190"/>
      <c r="AJ67" s="190"/>
      <c r="AK67" s="190"/>
      <c r="AL67" s="190"/>
      <c r="AM67" s="190"/>
      <c r="AN67" s="190"/>
    </row>
    <row r="68" spans="8:41" s="221" customFormat="1" ht="12" hidden="1" customHeight="1">
      <c r="H68" s="158" t="s">
        <v>7040</v>
      </c>
      <c r="I68" s="159" t="s">
        <v>1169</v>
      </c>
      <c r="J68" s="159" t="s">
        <v>2122</v>
      </c>
      <c r="K68" s="158" t="s">
        <v>2123</v>
      </c>
      <c r="L68" s="160" t="s">
        <v>5</v>
      </c>
      <c r="M68" s="217"/>
      <c r="N68" s="218"/>
      <c r="O68" s="169"/>
      <c r="P68" s="161">
        <v>3609</v>
      </c>
      <c r="Q68" s="166">
        <f t="shared" si="1"/>
        <v>0</v>
      </c>
      <c r="R68" s="207"/>
      <c r="S68" s="207"/>
      <c r="T68" s="207"/>
      <c r="U68" s="207"/>
      <c r="V68" s="166">
        <f t="shared" si="0"/>
        <v>0</v>
      </c>
      <c r="W68" s="205">
        <v>1.5</v>
      </c>
      <c r="X68" s="167" t="s">
        <v>7044</v>
      </c>
      <c r="Y68" s="190"/>
      <c r="Z68" s="190"/>
      <c r="AA68" s="190"/>
      <c r="AB68" s="190"/>
      <c r="AC68" s="190"/>
      <c r="AD68" s="190"/>
      <c r="AE68" s="190"/>
      <c r="AF68" s="190"/>
      <c r="AG68" s="190"/>
      <c r="AH68" s="190"/>
      <c r="AI68" s="190"/>
      <c r="AJ68" s="190"/>
      <c r="AK68" s="190"/>
      <c r="AL68" s="190"/>
      <c r="AM68" s="190"/>
      <c r="AN68" s="190"/>
    </row>
    <row r="69" spans="8:41" s="221" customFormat="1" ht="12" hidden="1" customHeight="1">
      <c r="H69" s="217" t="s">
        <v>7042</v>
      </c>
      <c r="I69" s="217" t="s">
        <v>6450</v>
      </c>
      <c r="J69" s="217" t="s">
        <v>6451</v>
      </c>
      <c r="K69" s="217" t="s">
        <v>6260</v>
      </c>
      <c r="L69" s="217" t="s">
        <v>5</v>
      </c>
      <c r="M69" s="217"/>
      <c r="N69" s="218">
        <v>18816</v>
      </c>
      <c r="O69" s="169">
        <f t="shared" si="2"/>
        <v>0</v>
      </c>
      <c r="P69" s="169"/>
      <c r="Q69" s="166"/>
      <c r="R69" s="207"/>
      <c r="S69" s="207"/>
      <c r="T69" s="207"/>
      <c r="U69" s="207"/>
      <c r="V69" s="166">
        <f t="shared" si="0"/>
        <v>0</v>
      </c>
      <c r="W69" s="205"/>
      <c r="X69" s="167"/>
      <c r="Y69" s="190"/>
      <c r="Z69" s="190"/>
      <c r="AA69" s="190"/>
      <c r="AB69" s="190"/>
      <c r="AC69" s="190"/>
      <c r="AD69" s="190"/>
      <c r="AE69" s="190"/>
      <c r="AF69" s="190"/>
      <c r="AG69" s="190"/>
      <c r="AH69" s="190"/>
      <c r="AI69" s="190"/>
      <c r="AJ69" s="190"/>
      <c r="AK69" s="190"/>
      <c r="AL69" s="190"/>
      <c r="AM69" s="190"/>
      <c r="AN69" s="190"/>
    </row>
    <row r="70" spans="8:41" s="221" customFormat="1" ht="12" hidden="1" customHeight="1">
      <c r="H70" s="198" t="s">
        <v>7041</v>
      </c>
      <c r="I70" s="199" t="s">
        <v>1170</v>
      </c>
      <c r="J70" s="199" t="s">
        <v>2126</v>
      </c>
      <c r="K70" s="198" t="s">
        <v>2127</v>
      </c>
      <c r="L70" s="200" t="s">
        <v>5</v>
      </c>
      <c r="M70" s="217"/>
      <c r="N70" s="169"/>
      <c r="O70" s="169"/>
      <c r="P70" s="201">
        <v>4962</v>
      </c>
      <c r="Q70" s="166">
        <f t="shared" si="1"/>
        <v>0</v>
      </c>
      <c r="R70" s="169"/>
      <c r="S70" s="213"/>
      <c r="T70" s="207"/>
      <c r="U70" s="207"/>
      <c r="V70" s="166">
        <f t="shared" si="0"/>
        <v>0</v>
      </c>
      <c r="W70" s="205">
        <v>1.5</v>
      </c>
      <c r="X70" s="167" t="s">
        <v>7044</v>
      </c>
    </row>
    <row r="71" spans="8:41" s="220" customFormat="1" ht="12" hidden="1" customHeight="1">
      <c r="H71" s="162" t="s">
        <v>728</v>
      </c>
      <c r="I71" s="163" t="s">
        <v>1171</v>
      </c>
      <c r="J71" s="163" t="s">
        <v>1475</v>
      </c>
      <c r="K71" s="162" t="s">
        <v>1476</v>
      </c>
      <c r="L71" s="164" t="s">
        <v>747</v>
      </c>
      <c r="M71" s="169"/>
      <c r="N71" s="165">
        <v>69000</v>
      </c>
      <c r="O71" s="169">
        <f t="shared" ref="O71" si="3">M71*N71*$O$3</f>
        <v>0</v>
      </c>
      <c r="P71" s="165">
        <v>1502550</v>
      </c>
      <c r="Q71" s="166">
        <f t="shared" ref="Q71:Q136" si="4">IF(W71="",M71*P71*$Q$3*$W$3,M71*P71*$Q$3*W71)</f>
        <v>0</v>
      </c>
      <c r="R71" s="169"/>
      <c r="S71" s="166"/>
      <c r="T71" s="169"/>
      <c r="U71" s="169"/>
      <c r="V71" s="166">
        <f t="shared" ref="V71:V136" si="5">SUM(O71+Q71)+S71+U71</f>
        <v>0</v>
      </c>
      <c r="W71" s="205"/>
      <c r="X71" s="167"/>
      <c r="Y71" s="190"/>
      <c r="Z71" s="190"/>
      <c r="AA71" s="190"/>
      <c r="AB71" s="190"/>
      <c r="AC71" s="190"/>
      <c r="AD71" s="190"/>
      <c r="AE71" s="190"/>
      <c r="AF71" s="190"/>
      <c r="AG71" s="190"/>
      <c r="AH71" s="190"/>
      <c r="AI71" s="190"/>
      <c r="AJ71" s="190"/>
      <c r="AK71" s="190"/>
      <c r="AL71" s="190"/>
      <c r="AM71" s="190"/>
      <c r="AN71" s="190"/>
      <c r="AO71" s="190"/>
    </row>
    <row r="72" spans="8:41" s="220" customFormat="1" ht="12" hidden="1" customHeight="1">
      <c r="H72" s="162" t="s">
        <v>729</v>
      </c>
      <c r="I72" s="163" t="s">
        <v>1171</v>
      </c>
      <c r="J72" s="163" t="s">
        <v>1475</v>
      </c>
      <c r="K72" s="162" t="s">
        <v>1477</v>
      </c>
      <c r="L72" s="164" t="s">
        <v>747</v>
      </c>
      <c r="M72" s="169"/>
      <c r="N72" s="165">
        <v>82000</v>
      </c>
      <c r="O72" s="169">
        <f t="shared" ref="O72:O158" si="6">M72*N72*$O$3</f>
        <v>0</v>
      </c>
      <c r="P72" s="165">
        <v>1502550</v>
      </c>
      <c r="Q72" s="166">
        <f t="shared" si="4"/>
        <v>0</v>
      </c>
      <c r="R72" s="169"/>
      <c r="S72" s="169"/>
      <c r="T72" s="169"/>
      <c r="U72" s="169"/>
      <c r="V72" s="166">
        <f t="shared" si="5"/>
        <v>0</v>
      </c>
      <c r="W72" s="205"/>
      <c r="X72" s="167"/>
      <c r="Y72" s="190"/>
      <c r="Z72" s="190"/>
      <c r="AA72" s="190"/>
      <c r="AB72" s="190"/>
      <c r="AC72" s="190"/>
      <c r="AD72" s="190"/>
      <c r="AE72" s="190"/>
      <c r="AF72" s="190"/>
      <c r="AG72" s="190"/>
      <c r="AH72" s="190"/>
      <c r="AI72" s="190"/>
      <c r="AJ72" s="190"/>
      <c r="AK72" s="190"/>
      <c r="AL72" s="190"/>
      <c r="AM72" s="190"/>
      <c r="AN72" s="190"/>
      <c r="AO72" s="190"/>
    </row>
    <row r="73" spans="8:41" s="220" customFormat="1" ht="12" hidden="1" customHeight="1">
      <c r="H73" s="162" t="s">
        <v>730</v>
      </c>
      <c r="I73" s="163" t="s">
        <v>1171</v>
      </c>
      <c r="J73" s="163" t="s">
        <v>1478</v>
      </c>
      <c r="K73" s="162" t="s">
        <v>1479</v>
      </c>
      <c r="L73" s="164" t="s">
        <v>747</v>
      </c>
      <c r="M73" s="169"/>
      <c r="N73" s="165">
        <v>159000</v>
      </c>
      <c r="O73" s="169">
        <f t="shared" si="6"/>
        <v>0</v>
      </c>
      <c r="P73" s="165">
        <v>1502550</v>
      </c>
      <c r="Q73" s="166">
        <f t="shared" si="4"/>
        <v>0</v>
      </c>
      <c r="R73" s="169"/>
      <c r="S73" s="169"/>
      <c r="T73" s="169"/>
      <c r="U73" s="169"/>
      <c r="V73" s="166">
        <f t="shared" si="5"/>
        <v>0</v>
      </c>
      <c r="W73" s="205"/>
      <c r="X73" s="167"/>
      <c r="Y73" s="190"/>
      <c r="Z73" s="190"/>
      <c r="AA73" s="190"/>
      <c r="AB73" s="190"/>
      <c r="AC73" s="190"/>
      <c r="AD73" s="190"/>
      <c r="AE73" s="190"/>
      <c r="AF73" s="190"/>
      <c r="AG73" s="190"/>
      <c r="AH73" s="190"/>
      <c r="AI73" s="190"/>
      <c r="AJ73" s="190"/>
      <c r="AK73" s="190"/>
      <c r="AL73" s="190"/>
      <c r="AM73" s="190"/>
      <c r="AN73" s="190"/>
      <c r="AO73" s="190"/>
    </row>
    <row r="74" spans="8:41" s="220" customFormat="1" ht="12" hidden="1" customHeight="1">
      <c r="H74" s="162" t="s">
        <v>731</v>
      </c>
      <c r="I74" s="163" t="s">
        <v>1171</v>
      </c>
      <c r="J74" s="163" t="s">
        <v>1478</v>
      </c>
      <c r="K74" s="162" t="s">
        <v>1480</v>
      </c>
      <c r="L74" s="164" t="s">
        <v>747</v>
      </c>
      <c r="M74" s="169"/>
      <c r="N74" s="165">
        <v>181000</v>
      </c>
      <c r="O74" s="169">
        <f t="shared" si="6"/>
        <v>0</v>
      </c>
      <c r="P74" s="165">
        <v>1502550</v>
      </c>
      <c r="Q74" s="166">
        <f t="shared" si="4"/>
        <v>0</v>
      </c>
      <c r="R74" s="169"/>
      <c r="S74" s="169"/>
      <c r="T74" s="169"/>
      <c r="U74" s="169"/>
      <c r="V74" s="166">
        <f t="shared" si="5"/>
        <v>0</v>
      </c>
      <c r="W74" s="205"/>
      <c r="X74" s="167"/>
      <c r="Y74" s="190"/>
      <c r="Z74" s="190"/>
      <c r="AA74" s="190"/>
      <c r="AB74" s="190"/>
      <c r="AC74" s="190"/>
      <c r="AD74" s="190"/>
      <c r="AE74" s="190"/>
      <c r="AF74" s="190"/>
      <c r="AG74" s="190"/>
      <c r="AH74" s="190"/>
      <c r="AI74" s="190"/>
      <c r="AJ74" s="190"/>
      <c r="AK74" s="190"/>
      <c r="AL74" s="190"/>
      <c r="AM74" s="190"/>
      <c r="AN74" s="190"/>
      <c r="AO74" s="190"/>
    </row>
    <row r="75" spans="8:41" s="220" customFormat="1" ht="12" hidden="1" customHeight="1">
      <c r="H75" s="162" t="s">
        <v>732</v>
      </c>
      <c r="I75" s="163" t="s">
        <v>1171</v>
      </c>
      <c r="J75" s="163" t="s">
        <v>1478</v>
      </c>
      <c r="K75" s="162" t="s">
        <v>1481</v>
      </c>
      <c r="L75" s="164" t="s">
        <v>747</v>
      </c>
      <c r="M75" s="169"/>
      <c r="N75" s="165">
        <v>258000</v>
      </c>
      <c r="O75" s="169">
        <f t="shared" si="6"/>
        <v>0</v>
      </c>
      <c r="P75" s="165">
        <v>1502550</v>
      </c>
      <c r="Q75" s="166">
        <f t="shared" si="4"/>
        <v>0</v>
      </c>
      <c r="R75" s="169"/>
      <c r="S75" s="169"/>
      <c r="T75" s="169"/>
      <c r="U75" s="169"/>
      <c r="V75" s="166">
        <f t="shared" si="5"/>
        <v>0</v>
      </c>
      <c r="W75" s="205"/>
      <c r="X75" s="167"/>
      <c r="Y75" s="190"/>
      <c r="Z75" s="190"/>
      <c r="AA75" s="190"/>
      <c r="AB75" s="190"/>
      <c r="AC75" s="190"/>
      <c r="AD75" s="190"/>
      <c r="AE75" s="190"/>
      <c r="AF75" s="190"/>
      <c r="AG75" s="190"/>
      <c r="AH75" s="190"/>
      <c r="AI75" s="190"/>
      <c r="AJ75" s="190"/>
      <c r="AK75" s="190"/>
      <c r="AL75" s="190"/>
      <c r="AM75" s="190"/>
      <c r="AN75" s="190"/>
      <c r="AO75" s="190"/>
    </row>
    <row r="76" spans="8:41" s="220" customFormat="1" ht="12" hidden="1" customHeight="1">
      <c r="H76" s="162" t="s">
        <v>733</v>
      </c>
      <c r="I76" s="163" t="s">
        <v>1171</v>
      </c>
      <c r="J76" s="163" t="s">
        <v>1478</v>
      </c>
      <c r="K76" s="162" t="s">
        <v>1482</v>
      </c>
      <c r="L76" s="164" t="s">
        <v>747</v>
      </c>
      <c r="M76" s="169"/>
      <c r="N76" s="165">
        <v>297000</v>
      </c>
      <c r="O76" s="169">
        <f t="shared" si="6"/>
        <v>0</v>
      </c>
      <c r="P76" s="165">
        <v>1502550</v>
      </c>
      <c r="Q76" s="166">
        <f t="shared" si="4"/>
        <v>0</v>
      </c>
      <c r="R76" s="169"/>
      <c r="S76" s="169"/>
      <c r="T76" s="169"/>
      <c r="U76" s="169"/>
      <c r="V76" s="166">
        <f t="shared" si="5"/>
        <v>0</v>
      </c>
      <c r="W76" s="205"/>
      <c r="X76" s="167"/>
      <c r="Y76" s="190"/>
      <c r="Z76" s="190"/>
      <c r="AA76" s="190"/>
      <c r="AB76" s="190"/>
      <c r="AC76" s="190"/>
      <c r="AD76" s="190"/>
      <c r="AE76" s="190"/>
      <c r="AF76" s="190"/>
      <c r="AG76" s="190"/>
      <c r="AH76" s="190"/>
      <c r="AI76" s="190"/>
      <c r="AJ76" s="190"/>
      <c r="AK76" s="190"/>
      <c r="AL76" s="190"/>
      <c r="AM76" s="190"/>
      <c r="AN76" s="190"/>
      <c r="AO76" s="190"/>
    </row>
    <row r="77" spans="8:41" s="220" customFormat="1" ht="12" hidden="1" customHeight="1">
      <c r="H77" s="162" t="s">
        <v>735</v>
      </c>
      <c r="I77" s="163" t="s">
        <v>1171</v>
      </c>
      <c r="J77" s="163" t="s">
        <v>1478</v>
      </c>
      <c r="K77" s="162" t="s">
        <v>1483</v>
      </c>
      <c r="L77" s="164" t="s">
        <v>747</v>
      </c>
      <c r="M77" s="169"/>
      <c r="N77" s="165">
        <v>418000</v>
      </c>
      <c r="O77" s="169">
        <f t="shared" si="6"/>
        <v>0</v>
      </c>
      <c r="P77" s="165">
        <v>1502550</v>
      </c>
      <c r="Q77" s="166">
        <f t="shared" si="4"/>
        <v>0</v>
      </c>
      <c r="R77" s="169"/>
      <c r="S77" s="169"/>
      <c r="T77" s="169"/>
      <c r="U77" s="169"/>
      <c r="V77" s="166">
        <f t="shared" si="5"/>
        <v>0</v>
      </c>
      <c r="W77" s="205"/>
      <c r="X77" s="167"/>
      <c r="Y77" s="190"/>
      <c r="Z77" s="190"/>
      <c r="AA77" s="190"/>
      <c r="AB77" s="190"/>
      <c r="AC77" s="190"/>
      <c r="AD77" s="190"/>
      <c r="AE77" s="190"/>
      <c r="AF77" s="190"/>
      <c r="AG77" s="190"/>
      <c r="AH77" s="190"/>
      <c r="AI77" s="190"/>
      <c r="AJ77" s="190"/>
      <c r="AK77" s="190"/>
      <c r="AL77" s="190"/>
      <c r="AM77" s="190"/>
      <c r="AN77" s="190"/>
      <c r="AO77" s="190"/>
    </row>
    <row r="78" spans="8:41" s="220" customFormat="1" ht="12" customHeight="1">
      <c r="H78" s="168" t="s">
        <v>7048</v>
      </c>
      <c r="I78" s="239" t="s">
        <v>7049</v>
      </c>
      <c r="J78" s="246" t="s">
        <v>7050</v>
      </c>
      <c r="K78" s="246" t="s">
        <v>7051</v>
      </c>
      <c r="L78" s="166" t="s">
        <v>92</v>
      </c>
      <c r="M78" s="244">
        <v>6</v>
      </c>
      <c r="N78" s="166">
        <v>42000</v>
      </c>
      <c r="O78" s="169">
        <f t="shared" si="6"/>
        <v>209160</v>
      </c>
      <c r="P78" s="165"/>
      <c r="Q78" s="166"/>
      <c r="R78" s="169"/>
      <c r="S78" s="169"/>
      <c r="T78" s="169"/>
      <c r="U78" s="169"/>
      <c r="V78" s="166">
        <f t="shared" si="5"/>
        <v>209160</v>
      </c>
      <c r="W78" s="205"/>
      <c r="X78" s="167"/>
      <c r="Y78" s="190"/>
      <c r="Z78" s="190"/>
      <c r="AA78" s="190"/>
      <c r="AB78" s="190"/>
      <c r="AC78" s="190"/>
      <c r="AD78" s="190"/>
      <c r="AE78" s="190"/>
      <c r="AF78" s="190"/>
      <c r="AG78" s="190"/>
      <c r="AH78" s="190"/>
      <c r="AI78" s="190"/>
      <c r="AJ78" s="190"/>
      <c r="AK78" s="190"/>
      <c r="AL78" s="190"/>
      <c r="AM78" s="190"/>
      <c r="AN78" s="190"/>
      <c r="AO78" s="190"/>
    </row>
    <row r="79" spans="8:41" s="220" customFormat="1" ht="12" customHeight="1">
      <c r="H79" s="240" t="s">
        <v>7062</v>
      </c>
      <c r="I79" s="241" t="s">
        <v>7057</v>
      </c>
      <c r="J79" s="237" t="s">
        <v>7063</v>
      </c>
      <c r="K79" s="237" t="s">
        <v>7059</v>
      </c>
      <c r="L79" s="245" t="s">
        <v>7060</v>
      </c>
      <c r="M79" s="242">
        <v>6</v>
      </c>
      <c r="N79" s="243"/>
      <c r="O79" s="169"/>
      <c r="P79" s="243">
        <v>82696</v>
      </c>
      <c r="Q79" s="166">
        <f t="shared" si="4"/>
        <v>297705.60000000003</v>
      </c>
      <c r="R79" s="169"/>
      <c r="S79" s="169"/>
      <c r="T79" s="169"/>
      <c r="U79" s="169"/>
      <c r="V79" s="166"/>
      <c r="W79" s="205">
        <v>1.5</v>
      </c>
      <c r="X79" s="167" t="s">
        <v>7061</v>
      </c>
      <c r="Y79" s="190"/>
      <c r="Z79" s="190"/>
      <c r="AA79" s="190"/>
      <c r="AB79" s="190"/>
      <c r="AC79" s="190"/>
      <c r="AD79" s="190"/>
      <c r="AE79" s="190"/>
      <c r="AF79" s="190"/>
      <c r="AG79" s="190"/>
      <c r="AH79" s="190"/>
      <c r="AI79" s="190"/>
      <c r="AJ79" s="190"/>
      <c r="AK79" s="190"/>
      <c r="AL79" s="190"/>
      <c r="AM79" s="190"/>
      <c r="AN79" s="190"/>
      <c r="AO79" s="190"/>
    </row>
    <row r="80" spans="8:41" s="220" customFormat="1" ht="12" customHeight="1">
      <c r="H80" s="168" t="s">
        <v>7052</v>
      </c>
      <c r="I80" s="239" t="s">
        <v>7049</v>
      </c>
      <c r="J80" s="246" t="s">
        <v>7050</v>
      </c>
      <c r="K80" s="246" t="s">
        <v>7053</v>
      </c>
      <c r="L80" s="166" t="s">
        <v>92</v>
      </c>
      <c r="M80" s="244">
        <v>5</v>
      </c>
      <c r="N80" s="166">
        <v>148000</v>
      </c>
      <c r="O80" s="169">
        <f t="shared" si="6"/>
        <v>614200</v>
      </c>
      <c r="P80" s="165"/>
      <c r="Q80" s="166"/>
      <c r="R80" s="169"/>
      <c r="S80" s="169"/>
      <c r="T80" s="169"/>
      <c r="U80" s="169"/>
      <c r="V80" s="166">
        <f t="shared" si="5"/>
        <v>614200</v>
      </c>
      <c r="W80" s="205"/>
      <c r="X80" s="167"/>
      <c r="Y80" s="190"/>
      <c r="Z80" s="190"/>
      <c r="AA80" s="190"/>
      <c r="AB80" s="190"/>
      <c r="AC80" s="190"/>
      <c r="AD80" s="190"/>
      <c r="AE80" s="190"/>
      <c r="AF80" s="190"/>
      <c r="AG80" s="190"/>
      <c r="AH80" s="190"/>
      <c r="AI80" s="190"/>
      <c r="AJ80" s="190"/>
      <c r="AK80" s="190"/>
      <c r="AL80" s="190"/>
      <c r="AM80" s="190"/>
      <c r="AN80" s="190"/>
      <c r="AO80" s="190"/>
    </row>
    <row r="81" spans="8:41" s="220" customFormat="1" ht="12" customHeight="1">
      <c r="H81" s="240" t="s">
        <v>7056</v>
      </c>
      <c r="I81" s="241" t="s">
        <v>7057</v>
      </c>
      <c r="J81" s="237" t="s">
        <v>7058</v>
      </c>
      <c r="K81" s="237" t="s">
        <v>7059</v>
      </c>
      <c r="L81" s="245" t="s">
        <v>7060</v>
      </c>
      <c r="M81" s="242">
        <v>5</v>
      </c>
      <c r="N81" s="243"/>
      <c r="O81" s="169"/>
      <c r="P81" s="165">
        <v>68643</v>
      </c>
      <c r="Q81" s="166">
        <f t="shared" si="4"/>
        <v>205929</v>
      </c>
      <c r="R81" s="169"/>
      <c r="S81" s="169"/>
      <c r="T81" s="169"/>
      <c r="U81" s="169"/>
      <c r="V81" s="166"/>
      <c r="W81" s="205">
        <v>1.5</v>
      </c>
      <c r="X81" s="167" t="s">
        <v>7061</v>
      </c>
      <c r="Y81" s="190"/>
      <c r="Z81" s="190"/>
      <c r="AA81" s="190"/>
      <c r="AB81" s="190"/>
      <c r="AC81" s="190"/>
      <c r="AD81" s="190"/>
      <c r="AE81" s="190"/>
      <c r="AF81" s="190"/>
      <c r="AG81" s="190"/>
      <c r="AH81" s="190"/>
      <c r="AI81" s="190"/>
      <c r="AJ81" s="190"/>
      <c r="AK81" s="190"/>
      <c r="AL81" s="190"/>
      <c r="AM81" s="190"/>
      <c r="AN81" s="190"/>
      <c r="AO81" s="190"/>
    </row>
    <row r="82" spans="8:41" s="220" customFormat="1" ht="12" customHeight="1">
      <c r="H82" s="168" t="s">
        <v>7054</v>
      </c>
      <c r="I82" s="239" t="s">
        <v>7049</v>
      </c>
      <c r="J82" s="246" t="s">
        <v>7050</v>
      </c>
      <c r="K82" s="246" t="s">
        <v>7055</v>
      </c>
      <c r="L82" s="166" t="s">
        <v>92</v>
      </c>
      <c r="M82" s="244">
        <v>1</v>
      </c>
      <c r="N82" s="166">
        <v>89000</v>
      </c>
      <c r="O82" s="169">
        <f t="shared" si="6"/>
        <v>73870</v>
      </c>
      <c r="P82" s="165"/>
      <c r="Q82" s="166"/>
      <c r="R82" s="169"/>
      <c r="S82" s="169"/>
      <c r="T82" s="169"/>
      <c r="U82" s="169"/>
      <c r="V82" s="166">
        <f t="shared" si="5"/>
        <v>73870</v>
      </c>
      <c r="W82" s="205"/>
      <c r="X82" s="167"/>
      <c r="Y82" s="190"/>
      <c r="Z82" s="190"/>
      <c r="AA82" s="190"/>
      <c r="AB82" s="190"/>
      <c r="AC82" s="190"/>
      <c r="AD82" s="190"/>
      <c r="AE82" s="190"/>
      <c r="AF82" s="190"/>
      <c r="AG82" s="190"/>
    </row>
    <row r="83" spans="8:41" s="220" customFormat="1" ht="12" customHeight="1">
      <c r="H83" s="240" t="s">
        <v>7056</v>
      </c>
      <c r="I83" s="241" t="s">
        <v>7057</v>
      </c>
      <c r="J83" s="237" t="s">
        <v>7058</v>
      </c>
      <c r="K83" s="237" t="s">
        <v>7059</v>
      </c>
      <c r="L83" s="245" t="s">
        <v>7060</v>
      </c>
      <c r="M83" s="242">
        <v>1</v>
      </c>
      <c r="N83" s="243"/>
      <c r="O83" s="169">
        <f t="shared" si="6"/>
        <v>0</v>
      </c>
      <c r="P83" s="165">
        <v>68643</v>
      </c>
      <c r="Q83" s="166">
        <f t="shared" si="4"/>
        <v>41185.800000000003</v>
      </c>
      <c r="R83" s="169"/>
      <c r="S83" s="169"/>
      <c r="T83" s="169"/>
      <c r="U83" s="169"/>
      <c r="V83" s="166">
        <f t="shared" si="5"/>
        <v>41185.800000000003</v>
      </c>
      <c r="W83" s="205">
        <v>1.5</v>
      </c>
      <c r="X83" s="167" t="s">
        <v>7061</v>
      </c>
      <c r="Y83" s="190"/>
      <c r="Z83" s="190"/>
      <c r="AA83" s="190"/>
      <c r="AB83" s="190"/>
      <c r="AC83" s="190"/>
      <c r="AD83" s="190"/>
      <c r="AE83" s="190"/>
      <c r="AF83" s="190"/>
      <c r="AG83" s="190"/>
    </row>
    <row r="84" spans="8:41" s="220" customFormat="1" ht="12" hidden="1" customHeight="1">
      <c r="H84" s="162" t="s">
        <v>736</v>
      </c>
      <c r="I84" s="163" t="s">
        <v>1171</v>
      </c>
      <c r="J84" s="163" t="s">
        <v>1484</v>
      </c>
      <c r="K84" s="162" t="s">
        <v>1485</v>
      </c>
      <c r="L84" s="164" t="s">
        <v>747</v>
      </c>
      <c r="M84" s="169"/>
      <c r="N84" s="165">
        <v>206000</v>
      </c>
      <c r="O84" s="169">
        <f t="shared" si="6"/>
        <v>0</v>
      </c>
      <c r="P84" s="165">
        <v>1502550</v>
      </c>
      <c r="Q84" s="166">
        <f t="shared" si="4"/>
        <v>0</v>
      </c>
      <c r="R84" s="169"/>
      <c r="S84" s="169"/>
      <c r="T84" s="169"/>
      <c r="U84" s="169"/>
      <c r="V84" s="166">
        <f t="shared" si="5"/>
        <v>0</v>
      </c>
      <c r="W84" s="205"/>
      <c r="X84" s="167"/>
    </row>
    <row r="85" spans="8:41" s="220" customFormat="1" ht="12" hidden="1" customHeight="1">
      <c r="H85" s="162" t="s">
        <v>737</v>
      </c>
      <c r="I85" s="163" t="s">
        <v>1171</v>
      </c>
      <c r="J85" s="163" t="s">
        <v>1484</v>
      </c>
      <c r="K85" s="162" t="s">
        <v>1486</v>
      </c>
      <c r="L85" s="164" t="s">
        <v>747</v>
      </c>
      <c r="M85" s="169"/>
      <c r="N85" s="165">
        <v>280000</v>
      </c>
      <c r="O85" s="169">
        <f t="shared" si="6"/>
        <v>0</v>
      </c>
      <c r="P85" s="165">
        <v>1502550</v>
      </c>
      <c r="Q85" s="166">
        <f t="shared" si="4"/>
        <v>0</v>
      </c>
      <c r="R85" s="169"/>
      <c r="S85" s="169"/>
      <c r="T85" s="169"/>
      <c r="U85" s="169"/>
      <c r="V85" s="166">
        <f t="shared" si="5"/>
        <v>0</v>
      </c>
      <c r="W85" s="205"/>
      <c r="X85" s="167"/>
    </row>
    <row r="86" spans="8:41" s="220" customFormat="1" ht="12" hidden="1" customHeight="1">
      <c r="H86" s="162" t="s">
        <v>738</v>
      </c>
      <c r="I86" s="163" t="s">
        <v>1171</v>
      </c>
      <c r="J86" s="163" t="s">
        <v>1484</v>
      </c>
      <c r="K86" s="162" t="s">
        <v>1487</v>
      </c>
      <c r="L86" s="164" t="s">
        <v>747</v>
      </c>
      <c r="M86" s="169"/>
      <c r="N86" s="165">
        <v>324000</v>
      </c>
      <c r="O86" s="169">
        <f t="shared" si="6"/>
        <v>0</v>
      </c>
      <c r="P86" s="165">
        <v>1502550</v>
      </c>
      <c r="Q86" s="166">
        <f t="shared" si="4"/>
        <v>0</v>
      </c>
      <c r="R86" s="169"/>
      <c r="S86" s="169"/>
      <c r="T86" s="169"/>
      <c r="U86" s="169"/>
      <c r="V86" s="166">
        <f t="shared" si="5"/>
        <v>0</v>
      </c>
      <c r="W86" s="205"/>
      <c r="X86" s="167"/>
    </row>
    <row r="87" spans="8:41" s="220" customFormat="1" ht="12" hidden="1" customHeight="1">
      <c r="H87" s="162" t="s">
        <v>739</v>
      </c>
      <c r="I87" s="163" t="s">
        <v>1171</v>
      </c>
      <c r="J87" s="163" t="s">
        <v>1484</v>
      </c>
      <c r="K87" s="162" t="s">
        <v>1488</v>
      </c>
      <c r="L87" s="164" t="s">
        <v>747</v>
      </c>
      <c r="M87" s="169"/>
      <c r="N87" s="165">
        <v>396000</v>
      </c>
      <c r="O87" s="169">
        <f t="shared" si="6"/>
        <v>0</v>
      </c>
      <c r="P87" s="165">
        <v>1502550</v>
      </c>
      <c r="Q87" s="166">
        <f t="shared" si="4"/>
        <v>0</v>
      </c>
      <c r="R87" s="169"/>
      <c r="S87" s="169"/>
      <c r="T87" s="169"/>
      <c r="U87" s="169"/>
      <c r="V87" s="166">
        <f t="shared" si="5"/>
        <v>0</v>
      </c>
      <c r="W87" s="205"/>
      <c r="X87" s="167"/>
    </row>
    <row r="88" spans="8:41" s="220" customFormat="1" ht="12" hidden="1" customHeight="1">
      <c r="H88" s="162" t="s">
        <v>710</v>
      </c>
      <c r="I88" s="163" t="s">
        <v>1171</v>
      </c>
      <c r="J88" s="163" t="s">
        <v>1475</v>
      </c>
      <c r="K88" s="162" t="s">
        <v>2129</v>
      </c>
      <c r="L88" s="164" t="s">
        <v>747</v>
      </c>
      <c r="M88" s="169"/>
      <c r="N88" s="165">
        <v>93000</v>
      </c>
      <c r="O88" s="169">
        <f t="shared" si="6"/>
        <v>0</v>
      </c>
      <c r="P88" s="165">
        <v>1502550</v>
      </c>
      <c r="Q88" s="166">
        <f t="shared" si="4"/>
        <v>0</v>
      </c>
      <c r="R88" s="169"/>
      <c r="S88" s="169"/>
      <c r="T88" s="169"/>
      <c r="U88" s="169"/>
      <c r="V88" s="166">
        <f t="shared" si="5"/>
        <v>0</v>
      </c>
      <c r="W88" s="205"/>
      <c r="X88" s="167"/>
    </row>
    <row r="89" spans="8:41" s="220" customFormat="1" ht="12" hidden="1" customHeight="1">
      <c r="H89" s="162" t="s">
        <v>711</v>
      </c>
      <c r="I89" s="163" t="s">
        <v>1171</v>
      </c>
      <c r="J89" s="163" t="s">
        <v>1475</v>
      </c>
      <c r="K89" s="162" t="s">
        <v>1486</v>
      </c>
      <c r="L89" s="164" t="s">
        <v>747</v>
      </c>
      <c r="M89" s="169"/>
      <c r="N89" s="165">
        <v>105000</v>
      </c>
      <c r="O89" s="169">
        <f t="shared" si="6"/>
        <v>0</v>
      </c>
      <c r="P89" s="165">
        <v>1502550</v>
      </c>
      <c r="Q89" s="166">
        <f t="shared" si="4"/>
        <v>0</v>
      </c>
      <c r="R89" s="169"/>
      <c r="S89" s="169"/>
      <c r="T89" s="169"/>
      <c r="U89" s="169"/>
      <c r="V89" s="166">
        <f t="shared" si="5"/>
        <v>0</v>
      </c>
      <c r="W89" s="205"/>
      <c r="X89" s="167"/>
    </row>
    <row r="90" spans="8:41" s="220" customFormat="1" ht="12" hidden="1" customHeight="1">
      <c r="H90" s="162" t="s">
        <v>713</v>
      </c>
      <c r="I90" s="163" t="s">
        <v>1171</v>
      </c>
      <c r="J90" s="163" t="s">
        <v>1475</v>
      </c>
      <c r="K90" s="162" t="s">
        <v>2130</v>
      </c>
      <c r="L90" s="164" t="s">
        <v>747</v>
      </c>
      <c r="M90" s="169"/>
      <c r="N90" s="165">
        <v>137000</v>
      </c>
      <c r="O90" s="169">
        <f t="shared" si="6"/>
        <v>0</v>
      </c>
      <c r="P90" s="165">
        <v>1502550</v>
      </c>
      <c r="Q90" s="166">
        <f t="shared" si="4"/>
        <v>0</v>
      </c>
      <c r="R90" s="169"/>
      <c r="S90" s="169"/>
      <c r="T90" s="169"/>
      <c r="U90" s="169"/>
      <c r="V90" s="166">
        <f t="shared" si="5"/>
        <v>0</v>
      </c>
      <c r="W90" s="205"/>
      <c r="X90" s="167"/>
    </row>
    <row r="91" spans="8:41" s="220" customFormat="1" ht="12" hidden="1" customHeight="1">
      <c r="H91" s="162" t="s">
        <v>714</v>
      </c>
      <c r="I91" s="163" t="s">
        <v>1171</v>
      </c>
      <c r="J91" s="163" t="s">
        <v>1475</v>
      </c>
      <c r="K91" s="162" t="s">
        <v>1488</v>
      </c>
      <c r="L91" s="164" t="s">
        <v>747</v>
      </c>
      <c r="M91" s="169"/>
      <c r="N91" s="165">
        <v>148000</v>
      </c>
      <c r="O91" s="169">
        <f t="shared" si="6"/>
        <v>0</v>
      </c>
      <c r="P91" s="165">
        <v>1502550</v>
      </c>
      <c r="Q91" s="166">
        <f t="shared" si="4"/>
        <v>0</v>
      </c>
      <c r="R91" s="169"/>
      <c r="S91" s="169"/>
      <c r="T91" s="169"/>
      <c r="U91" s="169"/>
      <c r="V91" s="166">
        <f t="shared" si="5"/>
        <v>0</v>
      </c>
      <c r="W91" s="205"/>
      <c r="X91" s="167"/>
    </row>
    <row r="92" spans="8:41" s="220" customFormat="1" ht="12" hidden="1" customHeight="1">
      <c r="H92" s="162" t="s">
        <v>715</v>
      </c>
      <c r="I92" s="163" t="s">
        <v>1171</v>
      </c>
      <c r="J92" s="163" t="s">
        <v>1475</v>
      </c>
      <c r="K92" s="162" t="s">
        <v>2131</v>
      </c>
      <c r="L92" s="164" t="s">
        <v>747</v>
      </c>
      <c r="M92" s="169"/>
      <c r="N92" s="165">
        <v>30000</v>
      </c>
      <c r="O92" s="169">
        <f t="shared" si="6"/>
        <v>0</v>
      </c>
      <c r="P92" s="165">
        <v>1502550</v>
      </c>
      <c r="Q92" s="166">
        <f t="shared" si="4"/>
        <v>0</v>
      </c>
      <c r="R92" s="169"/>
      <c r="S92" s="169"/>
      <c r="T92" s="169"/>
      <c r="U92" s="169"/>
      <c r="V92" s="166">
        <f t="shared" si="5"/>
        <v>0</v>
      </c>
      <c r="W92" s="205"/>
      <c r="X92" s="167"/>
    </row>
    <row r="93" spans="8:41" s="220" customFormat="1" ht="12" hidden="1" customHeight="1">
      <c r="H93" s="162" t="s">
        <v>716</v>
      </c>
      <c r="I93" s="163" t="s">
        <v>1171</v>
      </c>
      <c r="J93" s="163" t="s">
        <v>1475</v>
      </c>
      <c r="K93" s="162" t="s">
        <v>2132</v>
      </c>
      <c r="L93" s="164" t="s">
        <v>747</v>
      </c>
      <c r="M93" s="169"/>
      <c r="N93" s="165">
        <v>30000</v>
      </c>
      <c r="O93" s="169">
        <f t="shared" si="6"/>
        <v>0</v>
      </c>
      <c r="P93" s="165">
        <v>1502550</v>
      </c>
      <c r="Q93" s="166">
        <f t="shared" si="4"/>
        <v>0</v>
      </c>
      <c r="R93" s="169"/>
      <c r="S93" s="169"/>
      <c r="T93" s="169"/>
      <c r="U93" s="169"/>
      <c r="V93" s="166">
        <f t="shared" si="5"/>
        <v>0</v>
      </c>
      <c r="W93" s="205"/>
      <c r="X93" s="167"/>
    </row>
    <row r="94" spans="8:41" s="220" customFormat="1" ht="12" hidden="1" customHeight="1">
      <c r="H94" s="162" t="s">
        <v>718</v>
      </c>
      <c r="I94" s="163" t="s">
        <v>1171</v>
      </c>
      <c r="J94" s="163" t="s">
        <v>1475</v>
      </c>
      <c r="K94" s="162" t="s">
        <v>2133</v>
      </c>
      <c r="L94" s="164" t="s">
        <v>747</v>
      </c>
      <c r="M94" s="169"/>
      <c r="N94" s="165">
        <v>30000</v>
      </c>
      <c r="O94" s="169">
        <f t="shared" si="6"/>
        <v>0</v>
      </c>
      <c r="P94" s="165">
        <v>1502550</v>
      </c>
      <c r="Q94" s="166">
        <f t="shared" si="4"/>
        <v>0</v>
      </c>
      <c r="R94" s="169"/>
      <c r="S94" s="169"/>
      <c r="T94" s="169"/>
      <c r="U94" s="169"/>
      <c r="V94" s="166">
        <f t="shared" si="5"/>
        <v>0</v>
      </c>
      <c r="W94" s="205"/>
      <c r="X94" s="167"/>
    </row>
    <row r="95" spans="8:41" s="220" customFormat="1" ht="12" hidden="1" customHeight="1">
      <c r="H95" s="162" t="s">
        <v>719</v>
      </c>
      <c r="I95" s="163" t="s">
        <v>1171</v>
      </c>
      <c r="J95" s="163" t="s">
        <v>1475</v>
      </c>
      <c r="K95" s="162" t="s">
        <v>2134</v>
      </c>
      <c r="L95" s="164" t="s">
        <v>747</v>
      </c>
      <c r="M95" s="169"/>
      <c r="N95" s="165">
        <v>39000</v>
      </c>
      <c r="O95" s="169">
        <f t="shared" si="6"/>
        <v>0</v>
      </c>
      <c r="P95" s="165">
        <v>1502550</v>
      </c>
      <c r="Q95" s="166">
        <f t="shared" si="4"/>
        <v>0</v>
      </c>
      <c r="R95" s="169"/>
      <c r="S95" s="169"/>
      <c r="T95" s="169"/>
      <c r="U95" s="169"/>
      <c r="V95" s="166">
        <f t="shared" si="5"/>
        <v>0</v>
      </c>
      <c r="W95" s="205"/>
      <c r="X95" s="167"/>
    </row>
    <row r="96" spans="8:41" s="220" customFormat="1" ht="12" hidden="1" customHeight="1">
      <c r="H96" s="162" t="s">
        <v>720</v>
      </c>
      <c r="I96" s="163" t="s">
        <v>1171</v>
      </c>
      <c r="J96" s="163" t="s">
        <v>1475</v>
      </c>
      <c r="K96" s="162" t="s">
        <v>2135</v>
      </c>
      <c r="L96" s="164" t="s">
        <v>747</v>
      </c>
      <c r="M96" s="169"/>
      <c r="N96" s="165">
        <v>39000</v>
      </c>
      <c r="O96" s="169">
        <f t="shared" si="6"/>
        <v>0</v>
      </c>
      <c r="P96" s="165">
        <v>1502550</v>
      </c>
      <c r="Q96" s="166">
        <f t="shared" si="4"/>
        <v>0</v>
      </c>
      <c r="R96" s="169"/>
      <c r="S96" s="169"/>
      <c r="T96" s="169"/>
      <c r="U96" s="169"/>
      <c r="V96" s="166">
        <f t="shared" si="5"/>
        <v>0</v>
      </c>
      <c r="W96" s="205"/>
      <c r="X96" s="167"/>
    </row>
    <row r="97" spans="8:24" s="220" customFormat="1" ht="12" hidden="1" customHeight="1">
      <c r="H97" s="162" t="s">
        <v>721</v>
      </c>
      <c r="I97" s="163" t="s">
        <v>1171</v>
      </c>
      <c r="J97" s="163" t="s">
        <v>1475</v>
      </c>
      <c r="K97" s="162" t="s">
        <v>2136</v>
      </c>
      <c r="L97" s="164" t="s">
        <v>747</v>
      </c>
      <c r="M97" s="169"/>
      <c r="N97" s="165">
        <v>41000</v>
      </c>
      <c r="O97" s="169">
        <f t="shared" si="6"/>
        <v>0</v>
      </c>
      <c r="P97" s="165">
        <v>1502550</v>
      </c>
      <c r="Q97" s="166">
        <f t="shared" si="4"/>
        <v>0</v>
      </c>
      <c r="R97" s="169"/>
      <c r="S97" s="169"/>
      <c r="T97" s="169"/>
      <c r="U97" s="169"/>
      <c r="V97" s="166">
        <f t="shared" si="5"/>
        <v>0</v>
      </c>
      <c r="W97" s="205"/>
      <c r="X97" s="167"/>
    </row>
    <row r="98" spans="8:24" s="220" customFormat="1" ht="12" hidden="1" customHeight="1">
      <c r="H98" s="162" t="s">
        <v>723</v>
      </c>
      <c r="I98" s="163" t="s">
        <v>1171</v>
      </c>
      <c r="J98" s="163" t="s">
        <v>1475</v>
      </c>
      <c r="K98" s="162" t="s">
        <v>2137</v>
      </c>
      <c r="L98" s="164" t="s">
        <v>747</v>
      </c>
      <c r="M98" s="169"/>
      <c r="N98" s="165">
        <v>41000</v>
      </c>
      <c r="O98" s="169">
        <f t="shared" si="6"/>
        <v>0</v>
      </c>
      <c r="P98" s="165">
        <v>1502550</v>
      </c>
      <c r="Q98" s="166">
        <f t="shared" si="4"/>
        <v>0</v>
      </c>
      <c r="R98" s="169"/>
      <c r="S98" s="169"/>
      <c r="T98" s="169"/>
      <c r="U98" s="169"/>
      <c r="V98" s="166">
        <f t="shared" si="5"/>
        <v>0</v>
      </c>
      <c r="W98" s="205"/>
      <c r="X98" s="167"/>
    </row>
    <row r="99" spans="8:24" s="220" customFormat="1" ht="12" hidden="1" customHeight="1">
      <c r="H99" s="162" t="s">
        <v>724</v>
      </c>
      <c r="I99" s="163" t="s">
        <v>1171</v>
      </c>
      <c r="J99" s="163" t="s">
        <v>1475</v>
      </c>
      <c r="K99" s="162" t="s">
        <v>2138</v>
      </c>
      <c r="L99" s="164" t="s">
        <v>747</v>
      </c>
      <c r="M99" s="169"/>
      <c r="N99" s="165">
        <v>41000</v>
      </c>
      <c r="O99" s="169">
        <f t="shared" si="6"/>
        <v>0</v>
      </c>
      <c r="P99" s="165">
        <v>1502550</v>
      </c>
      <c r="Q99" s="166">
        <f t="shared" si="4"/>
        <v>0</v>
      </c>
      <c r="R99" s="169"/>
      <c r="S99" s="169"/>
      <c r="T99" s="169"/>
      <c r="U99" s="169"/>
      <c r="V99" s="166">
        <f t="shared" si="5"/>
        <v>0</v>
      </c>
      <c r="W99" s="205"/>
      <c r="X99" s="167"/>
    </row>
    <row r="100" spans="8:24" s="220" customFormat="1" ht="12" hidden="1" customHeight="1">
      <c r="H100" s="162" t="s">
        <v>725</v>
      </c>
      <c r="I100" s="163" t="s">
        <v>1171</v>
      </c>
      <c r="J100" s="163" t="s">
        <v>1475</v>
      </c>
      <c r="K100" s="162" t="s">
        <v>2139</v>
      </c>
      <c r="L100" s="164" t="s">
        <v>747</v>
      </c>
      <c r="M100" s="169"/>
      <c r="N100" s="165">
        <v>52000</v>
      </c>
      <c r="O100" s="169">
        <f t="shared" si="6"/>
        <v>0</v>
      </c>
      <c r="P100" s="165">
        <v>1502550</v>
      </c>
      <c r="Q100" s="166">
        <f t="shared" si="4"/>
        <v>0</v>
      </c>
      <c r="R100" s="169"/>
      <c r="S100" s="169"/>
      <c r="T100" s="169"/>
      <c r="U100" s="169"/>
      <c r="V100" s="166">
        <f t="shared" si="5"/>
        <v>0</v>
      </c>
      <c r="W100" s="205"/>
      <c r="X100" s="167"/>
    </row>
    <row r="101" spans="8:24" s="220" customFormat="1" ht="12" hidden="1" customHeight="1">
      <c r="H101" s="162" t="s">
        <v>726</v>
      </c>
      <c r="I101" s="163" t="s">
        <v>1171</v>
      </c>
      <c r="J101" s="163" t="s">
        <v>1475</v>
      </c>
      <c r="K101" s="162" t="s">
        <v>2140</v>
      </c>
      <c r="L101" s="164" t="s">
        <v>747</v>
      </c>
      <c r="M101" s="169"/>
      <c r="N101" s="165">
        <v>52000</v>
      </c>
      <c r="O101" s="169">
        <f t="shared" si="6"/>
        <v>0</v>
      </c>
      <c r="P101" s="165">
        <v>1502550</v>
      </c>
      <c r="Q101" s="166">
        <f t="shared" si="4"/>
        <v>0</v>
      </c>
      <c r="R101" s="169"/>
      <c r="S101" s="169"/>
      <c r="T101" s="169"/>
      <c r="U101" s="169"/>
      <c r="V101" s="166">
        <f t="shared" si="5"/>
        <v>0</v>
      </c>
      <c r="W101" s="205"/>
      <c r="X101" s="167"/>
    </row>
    <row r="102" spans="8:24" s="220" customFormat="1" ht="12" hidden="1" customHeight="1">
      <c r="H102" s="162" t="s">
        <v>712</v>
      </c>
      <c r="I102" s="163" t="s">
        <v>1171</v>
      </c>
      <c r="J102" s="163" t="s">
        <v>1475</v>
      </c>
      <c r="K102" s="162" t="s">
        <v>1487</v>
      </c>
      <c r="L102" s="164" t="s">
        <v>747</v>
      </c>
      <c r="M102" s="169"/>
      <c r="N102" s="165">
        <v>116000</v>
      </c>
      <c r="O102" s="169">
        <f t="shared" si="6"/>
        <v>0</v>
      </c>
      <c r="P102" s="165">
        <v>1502550</v>
      </c>
      <c r="Q102" s="166">
        <f t="shared" si="4"/>
        <v>0</v>
      </c>
      <c r="R102" s="169"/>
      <c r="S102" s="169"/>
      <c r="T102" s="169"/>
      <c r="U102" s="169"/>
      <c r="V102" s="166">
        <f t="shared" si="5"/>
        <v>0</v>
      </c>
      <c r="W102" s="205"/>
      <c r="X102" s="167"/>
    </row>
    <row r="103" spans="8:24" s="220" customFormat="1" ht="12" hidden="1" customHeight="1">
      <c r="H103" s="162" t="s">
        <v>717</v>
      </c>
      <c r="I103" s="163" t="s">
        <v>1171</v>
      </c>
      <c r="J103" s="163" t="s">
        <v>1475</v>
      </c>
      <c r="K103" s="162" t="s">
        <v>2309</v>
      </c>
      <c r="L103" s="164" t="s">
        <v>747</v>
      </c>
      <c r="M103" s="169"/>
      <c r="N103" s="165">
        <v>30000</v>
      </c>
      <c r="O103" s="169">
        <f t="shared" si="6"/>
        <v>0</v>
      </c>
      <c r="P103" s="165">
        <v>1502550</v>
      </c>
      <c r="Q103" s="166">
        <f t="shared" si="4"/>
        <v>0</v>
      </c>
      <c r="R103" s="169"/>
      <c r="S103" s="169"/>
      <c r="T103" s="169"/>
      <c r="U103" s="169"/>
      <c r="V103" s="166">
        <f t="shared" si="5"/>
        <v>0</v>
      </c>
      <c r="W103" s="205"/>
      <c r="X103" s="167"/>
    </row>
    <row r="104" spans="8:24" s="220" customFormat="1" ht="12" hidden="1" customHeight="1">
      <c r="H104" s="162" t="s">
        <v>722</v>
      </c>
      <c r="I104" s="163" t="s">
        <v>1171</v>
      </c>
      <c r="J104" s="163" t="s">
        <v>1475</v>
      </c>
      <c r="K104" s="162" t="s">
        <v>2310</v>
      </c>
      <c r="L104" s="164" t="s">
        <v>747</v>
      </c>
      <c r="M104" s="169"/>
      <c r="N104" s="165">
        <v>41000</v>
      </c>
      <c r="O104" s="169">
        <f t="shared" si="6"/>
        <v>0</v>
      </c>
      <c r="P104" s="165">
        <v>1502550</v>
      </c>
      <c r="Q104" s="166">
        <f t="shared" si="4"/>
        <v>0</v>
      </c>
      <c r="R104" s="169"/>
      <c r="S104" s="169"/>
      <c r="T104" s="169"/>
      <c r="U104" s="169"/>
      <c r="V104" s="166">
        <f t="shared" si="5"/>
        <v>0</v>
      </c>
      <c r="W104" s="205"/>
      <c r="X104" s="167"/>
    </row>
    <row r="105" spans="8:24" s="220" customFormat="1" ht="12" hidden="1" customHeight="1">
      <c r="H105" s="162" t="s">
        <v>727</v>
      </c>
      <c r="I105" s="163" t="s">
        <v>1171</v>
      </c>
      <c r="J105" s="163" t="s">
        <v>1475</v>
      </c>
      <c r="K105" s="162" t="s">
        <v>2311</v>
      </c>
      <c r="L105" s="164" t="s">
        <v>747</v>
      </c>
      <c r="M105" s="169"/>
      <c r="N105" s="165">
        <v>62000</v>
      </c>
      <c r="O105" s="169">
        <f t="shared" si="6"/>
        <v>0</v>
      </c>
      <c r="P105" s="165">
        <v>1502550</v>
      </c>
      <c r="Q105" s="166">
        <f t="shared" si="4"/>
        <v>0</v>
      </c>
      <c r="R105" s="169"/>
      <c r="S105" s="169"/>
      <c r="T105" s="169"/>
      <c r="U105" s="169"/>
      <c r="V105" s="166">
        <f t="shared" si="5"/>
        <v>0</v>
      </c>
      <c r="W105" s="205"/>
      <c r="X105" s="167"/>
    </row>
    <row r="106" spans="8:24" s="220" customFormat="1" ht="12" hidden="1" customHeight="1">
      <c r="H106" s="162" t="s">
        <v>734</v>
      </c>
      <c r="I106" s="163" t="s">
        <v>1171</v>
      </c>
      <c r="J106" s="163" t="s">
        <v>1478</v>
      </c>
      <c r="K106" s="162" t="s">
        <v>2312</v>
      </c>
      <c r="L106" s="164" t="s">
        <v>747</v>
      </c>
      <c r="M106" s="169"/>
      <c r="N106" s="165">
        <v>324000</v>
      </c>
      <c r="O106" s="169">
        <f t="shared" si="6"/>
        <v>0</v>
      </c>
      <c r="P106" s="165">
        <v>1502550</v>
      </c>
      <c r="Q106" s="166">
        <f t="shared" si="4"/>
        <v>0</v>
      </c>
      <c r="R106" s="169"/>
      <c r="S106" s="169"/>
      <c r="T106" s="169"/>
      <c r="U106" s="169"/>
      <c r="V106" s="166">
        <f t="shared" si="5"/>
        <v>0</v>
      </c>
      <c r="W106" s="205"/>
      <c r="X106" s="167"/>
    </row>
    <row r="107" spans="8:24" s="220" customFormat="1" ht="12" hidden="1" customHeight="1">
      <c r="H107" s="162" t="s">
        <v>96</v>
      </c>
      <c r="I107" s="163" t="s">
        <v>948</v>
      </c>
      <c r="J107" s="163" t="s">
        <v>1496</v>
      </c>
      <c r="K107" s="162" t="s">
        <v>1497</v>
      </c>
      <c r="L107" s="164" t="s">
        <v>5</v>
      </c>
      <c r="M107" s="169"/>
      <c r="N107" s="165">
        <v>480</v>
      </c>
      <c r="O107" s="169">
        <f t="shared" si="6"/>
        <v>0</v>
      </c>
      <c r="P107" s="165">
        <v>4653</v>
      </c>
      <c r="Q107" s="166">
        <f t="shared" si="4"/>
        <v>0</v>
      </c>
      <c r="R107" s="169"/>
      <c r="S107" s="169"/>
      <c r="T107" s="169"/>
      <c r="U107" s="169"/>
      <c r="V107" s="166">
        <f t="shared" si="5"/>
        <v>0</v>
      </c>
      <c r="W107" s="205"/>
      <c r="X107" s="167"/>
    </row>
    <row r="108" spans="8:24" s="220" customFormat="1" ht="12" hidden="1" customHeight="1">
      <c r="H108" s="162" t="s">
        <v>97</v>
      </c>
      <c r="I108" s="163" t="s">
        <v>949</v>
      </c>
      <c r="J108" s="163" t="s">
        <v>1498</v>
      </c>
      <c r="K108" s="162" t="s">
        <v>1499</v>
      </c>
      <c r="L108" s="164" t="s">
        <v>5</v>
      </c>
      <c r="M108" s="169"/>
      <c r="N108" s="165">
        <v>610</v>
      </c>
      <c r="O108" s="169">
        <f t="shared" si="6"/>
        <v>0</v>
      </c>
      <c r="P108" s="165">
        <v>5698</v>
      </c>
      <c r="Q108" s="166">
        <f t="shared" si="4"/>
        <v>0</v>
      </c>
      <c r="R108" s="169"/>
      <c r="S108" s="169"/>
      <c r="T108" s="169"/>
      <c r="U108" s="169"/>
      <c r="V108" s="166">
        <f t="shared" si="5"/>
        <v>0</v>
      </c>
      <c r="W108" s="205"/>
      <c r="X108" s="167"/>
    </row>
    <row r="109" spans="8:24" s="220" customFormat="1" ht="12" hidden="1" customHeight="1">
      <c r="H109" s="162" t="s">
        <v>98</v>
      </c>
      <c r="I109" s="163" t="s">
        <v>949</v>
      </c>
      <c r="J109" s="163" t="s">
        <v>1498</v>
      </c>
      <c r="K109" s="162" t="s">
        <v>1500</v>
      </c>
      <c r="L109" s="164" t="s">
        <v>5</v>
      </c>
      <c r="M109" s="169"/>
      <c r="N109" s="165">
        <v>860</v>
      </c>
      <c r="O109" s="169">
        <f t="shared" si="6"/>
        <v>0</v>
      </c>
      <c r="P109" s="165">
        <v>5698</v>
      </c>
      <c r="Q109" s="166">
        <f t="shared" si="4"/>
        <v>0</v>
      </c>
      <c r="R109" s="169"/>
      <c r="S109" s="169"/>
      <c r="T109" s="169"/>
      <c r="U109" s="169"/>
      <c r="V109" s="166">
        <f t="shared" si="5"/>
        <v>0</v>
      </c>
      <c r="W109" s="205"/>
      <c r="X109" s="167"/>
    </row>
    <row r="110" spans="8:24" s="220" customFormat="1" ht="12" hidden="1" customHeight="1">
      <c r="H110" s="162" t="s">
        <v>99</v>
      </c>
      <c r="I110" s="163" t="s">
        <v>950</v>
      </c>
      <c r="J110" s="163" t="s">
        <v>1501</v>
      </c>
      <c r="K110" s="162" t="s">
        <v>1502</v>
      </c>
      <c r="L110" s="164" t="s">
        <v>5</v>
      </c>
      <c r="M110" s="169"/>
      <c r="N110" s="165">
        <v>1240</v>
      </c>
      <c r="O110" s="169">
        <f t="shared" si="6"/>
        <v>0</v>
      </c>
      <c r="P110" s="165">
        <v>7141</v>
      </c>
      <c r="Q110" s="166">
        <f t="shared" si="4"/>
        <v>0</v>
      </c>
      <c r="R110" s="169"/>
      <c r="S110" s="169"/>
      <c r="T110" s="169"/>
      <c r="U110" s="169"/>
      <c r="V110" s="166">
        <f t="shared" si="5"/>
        <v>0</v>
      </c>
      <c r="W110" s="205"/>
      <c r="X110" s="167"/>
    </row>
    <row r="111" spans="8:24" s="220" customFormat="1" ht="12" hidden="1" customHeight="1">
      <c r="H111" s="162" t="s">
        <v>100</v>
      </c>
      <c r="I111" s="163" t="s">
        <v>950</v>
      </c>
      <c r="J111" s="163" t="s">
        <v>1501</v>
      </c>
      <c r="K111" s="162" t="s">
        <v>1503</v>
      </c>
      <c r="L111" s="164" t="s">
        <v>5</v>
      </c>
      <c r="M111" s="169"/>
      <c r="N111" s="165">
        <v>1630</v>
      </c>
      <c r="O111" s="169">
        <f t="shared" si="6"/>
        <v>0</v>
      </c>
      <c r="P111" s="165">
        <v>7141</v>
      </c>
      <c r="Q111" s="166">
        <f t="shared" si="4"/>
        <v>0</v>
      </c>
      <c r="R111" s="169"/>
      <c r="S111" s="169"/>
      <c r="T111" s="169"/>
      <c r="U111" s="169"/>
      <c r="V111" s="166">
        <f t="shared" si="5"/>
        <v>0</v>
      </c>
      <c r="W111" s="205"/>
      <c r="X111" s="167"/>
    </row>
    <row r="112" spans="8:24" s="220" customFormat="1" ht="12" hidden="1" customHeight="1">
      <c r="H112" s="162" t="s">
        <v>102</v>
      </c>
      <c r="I112" s="163" t="s">
        <v>952</v>
      </c>
      <c r="J112" s="163" t="s">
        <v>1504</v>
      </c>
      <c r="K112" s="162" t="s">
        <v>1505</v>
      </c>
      <c r="L112" s="164" t="s">
        <v>5</v>
      </c>
      <c r="M112" s="169"/>
      <c r="N112" s="165">
        <v>3440</v>
      </c>
      <c r="O112" s="169">
        <f t="shared" si="6"/>
        <v>0</v>
      </c>
      <c r="P112" s="165">
        <v>14135</v>
      </c>
      <c r="Q112" s="166">
        <f t="shared" si="4"/>
        <v>0</v>
      </c>
      <c r="R112" s="169"/>
      <c r="S112" s="169"/>
      <c r="T112" s="169"/>
      <c r="U112" s="169"/>
      <c r="V112" s="166">
        <f t="shared" si="5"/>
        <v>0</v>
      </c>
      <c r="W112" s="205"/>
      <c r="X112" s="167"/>
    </row>
    <row r="113" spans="8:24" s="220" customFormat="1" ht="12" hidden="1" customHeight="1">
      <c r="H113" s="162" t="s">
        <v>103</v>
      </c>
      <c r="I113" s="163" t="s">
        <v>953</v>
      </c>
      <c r="J113" s="163" t="s">
        <v>1506</v>
      </c>
      <c r="K113" s="162" t="s">
        <v>1507</v>
      </c>
      <c r="L113" s="164" t="s">
        <v>5</v>
      </c>
      <c r="M113" s="169"/>
      <c r="N113" s="165">
        <v>4490</v>
      </c>
      <c r="O113" s="169">
        <f t="shared" si="6"/>
        <v>0</v>
      </c>
      <c r="P113" s="165">
        <v>17594</v>
      </c>
      <c r="Q113" s="166">
        <f t="shared" si="4"/>
        <v>0</v>
      </c>
      <c r="R113" s="169"/>
      <c r="S113" s="169"/>
      <c r="T113" s="169"/>
      <c r="U113" s="169"/>
      <c r="V113" s="166">
        <f t="shared" si="5"/>
        <v>0</v>
      </c>
      <c r="W113" s="205"/>
      <c r="X113" s="167"/>
    </row>
    <row r="114" spans="8:24" s="220" customFormat="1" ht="12" hidden="1" customHeight="1">
      <c r="H114" s="162" t="s">
        <v>104</v>
      </c>
      <c r="I114" s="163" t="s">
        <v>954</v>
      </c>
      <c r="J114" s="163" t="s">
        <v>1508</v>
      </c>
      <c r="K114" s="162" t="s">
        <v>1509</v>
      </c>
      <c r="L114" s="164" t="s">
        <v>5</v>
      </c>
      <c r="M114" s="169"/>
      <c r="N114" s="165">
        <v>7910</v>
      </c>
      <c r="O114" s="169">
        <f t="shared" si="6"/>
        <v>0</v>
      </c>
      <c r="P114" s="165">
        <v>21128</v>
      </c>
      <c r="Q114" s="166">
        <f t="shared" si="4"/>
        <v>0</v>
      </c>
      <c r="R114" s="169"/>
      <c r="S114" s="169"/>
      <c r="T114" s="169"/>
      <c r="U114" s="169"/>
      <c r="V114" s="166">
        <f t="shared" si="5"/>
        <v>0</v>
      </c>
      <c r="W114" s="205"/>
      <c r="X114" s="167"/>
    </row>
    <row r="115" spans="8:24" s="220" customFormat="1" ht="12" hidden="1" customHeight="1">
      <c r="H115" s="162" t="s">
        <v>105</v>
      </c>
      <c r="I115" s="163" t="s">
        <v>955</v>
      </c>
      <c r="J115" s="163" t="s">
        <v>1510</v>
      </c>
      <c r="K115" s="162" t="s">
        <v>1511</v>
      </c>
      <c r="L115" s="164" t="s">
        <v>5</v>
      </c>
      <c r="M115" s="169"/>
      <c r="N115" s="165">
        <v>8830</v>
      </c>
      <c r="O115" s="169">
        <f t="shared" si="6"/>
        <v>0</v>
      </c>
      <c r="P115" s="165">
        <v>23219</v>
      </c>
      <c r="Q115" s="166">
        <f t="shared" si="4"/>
        <v>0</v>
      </c>
      <c r="R115" s="169"/>
      <c r="S115" s="169"/>
      <c r="T115" s="169"/>
      <c r="U115" s="169"/>
      <c r="V115" s="166">
        <f t="shared" si="5"/>
        <v>0</v>
      </c>
      <c r="W115" s="205"/>
      <c r="X115" s="167"/>
    </row>
    <row r="116" spans="8:24" s="220" customFormat="1" ht="12" hidden="1" customHeight="1">
      <c r="H116" s="162" t="s">
        <v>171</v>
      </c>
      <c r="I116" s="163" t="s">
        <v>986</v>
      </c>
      <c r="J116" s="163" t="s">
        <v>1550</v>
      </c>
      <c r="K116" s="162" t="s">
        <v>1551</v>
      </c>
      <c r="L116" s="164" t="s">
        <v>5</v>
      </c>
      <c r="M116" s="169"/>
      <c r="N116" s="165">
        <v>540</v>
      </c>
      <c r="O116" s="169">
        <f t="shared" si="6"/>
        <v>0</v>
      </c>
      <c r="P116" s="165">
        <v>11878</v>
      </c>
      <c r="Q116" s="166">
        <f t="shared" si="4"/>
        <v>0</v>
      </c>
      <c r="R116" s="169"/>
      <c r="S116" s="169"/>
      <c r="T116" s="169"/>
      <c r="U116" s="169"/>
      <c r="V116" s="166">
        <f t="shared" si="5"/>
        <v>0</v>
      </c>
      <c r="W116" s="205"/>
      <c r="X116" s="167"/>
    </row>
    <row r="117" spans="8:24" s="220" customFormat="1" ht="12" hidden="1" customHeight="1">
      <c r="H117" s="162" t="s">
        <v>172</v>
      </c>
      <c r="I117" s="163" t="s">
        <v>987</v>
      </c>
      <c r="J117" s="163" t="s">
        <v>1552</v>
      </c>
      <c r="K117" s="162" t="s">
        <v>1553</v>
      </c>
      <c r="L117" s="164" t="s">
        <v>5</v>
      </c>
      <c r="M117" s="169"/>
      <c r="N117" s="165">
        <v>1040</v>
      </c>
      <c r="O117" s="169">
        <f t="shared" si="6"/>
        <v>0</v>
      </c>
      <c r="P117" s="165">
        <v>15928</v>
      </c>
      <c r="Q117" s="166">
        <f t="shared" si="4"/>
        <v>0</v>
      </c>
      <c r="R117" s="169"/>
      <c r="S117" s="169"/>
      <c r="T117" s="169"/>
      <c r="U117" s="169"/>
      <c r="V117" s="166">
        <f t="shared" si="5"/>
        <v>0</v>
      </c>
      <c r="W117" s="205"/>
      <c r="X117" s="167"/>
    </row>
    <row r="118" spans="8:24" s="220" customFormat="1" ht="12" hidden="1" customHeight="1">
      <c r="H118" s="162" t="s">
        <v>173</v>
      </c>
      <c r="I118" s="163" t="s">
        <v>988</v>
      </c>
      <c r="J118" s="163" t="s">
        <v>1554</v>
      </c>
      <c r="K118" s="162" t="s">
        <v>1555</v>
      </c>
      <c r="L118" s="164" t="s">
        <v>5</v>
      </c>
      <c r="M118" s="169"/>
      <c r="N118" s="165">
        <v>1600</v>
      </c>
      <c r="O118" s="169">
        <f t="shared" si="6"/>
        <v>0</v>
      </c>
      <c r="P118" s="165">
        <v>19437</v>
      </c>
      <c r="Q118" s="166">
        <f t="shared" si="4"/>
        <v>0</v>
      </c>
      <c r="R118" s="169"/>
      <c r="S118" s="169"/>
      <c r="T118" s="169"/>
      <c r="U118" s="169"/>
      <c r="V118" s="166">
        <f t="shared" si="5"/>
        <v>0</v>
      </c>
      <c r="W118" s="205"/>
      <c r="X118" s="167"/>
    </row>
    <row r="119" spans="8:24" s="220" customFormat="1" ht="12" hidden="1" customHeight="1">
      <c r="H119" s="162" t="s">
        <v>174</v>
      </c>
      <c r="I119" s="163" t="s">
        <v>989</v>
      </c>
      <c r="J119" s="163" t="s">
        <v>1556</v>
      </c>
      <c r="K119" s="162" t="s">
        <v>1557</v>
      </c>
      <c r="L119" s="164" t="s">
        <v>5</v>
      </c>
      <c r="M119" s="169"/>
      <c r="N119" s="165">
        <v>2420</v>
      </c>
      <c r="O119" s="169">
        <f t="shared" si="6"/>
        <v>0</v>
      </c>
      <c r="P119" s="165">
        <v>23487</v>
      </c>
      <c r="Q119" s="166">
        <f t="shared" si="4"/>
        <v>0</v>
      </c>
      <c r="R119" s="169"/>
      <c r="S119" s="169"/>
      <c r="T119" s="169"/>
      <c r="U119" s="169"/>
      <c r="V119" s="166">
        <f t="shared" si="5"/>
        <v>0</v>
      </c>
      <c r="W119" s="205"/>
      <c r="X119" s="167"/>
    </row>
    <row r="120" spans="8:24" s="220" customFormat="1" ht="12" hidden="1" customHeight="1">
      <c r="H120" s="162" t="s">
        <v>175</v>
      </c>
      <c r="I120" s="163" t="s">
        <v>990</v>
      </c>
      <c r="J120" s="163" t="s">
        <v>1558</v>
      </c>
      <c r="K120" s="162" t="s">
        <v>1559</v>
      </c>
      <c r="L120" s="164" t="s">
        <v>5</v>
      </c>
      <c r="M120" s="169"/>
      <c r="N120" s="165">
        <v>2920</v>
      </c>
      <c r="O120" s="169">
        <f t="shared" si="6"/>
        <v>0</v>
      </c>
      <c r="P120" s="165">
        <v>28076</v>
      </c>
      <c r="Q120" s="166">
        <f t="shared" si="4"/>
        <v>0</v>
      </c>
      <c r="R120" s="169"/>
      <c r="S120" s="169"/>
      <c r="T120" s="169"/>
      <c r="U120" s="169"/>
      <c r="V120" s="166">
        <f t="shared" si="5"/>
        <v>0</v>
      </c>
      <c r="W120" s="205"/>
      <c r="X120" s="167"/>
    </row>
    <row r="121" spans="8:24" s="220" customFormat="1" ht="12" hidden="1" customHeight="1">
      <c r="H121" s="162" t="s">
        <v>176</v>
      </c>
      <c r="I121" s="163" t="s">
        <v>991</v>
      </c>
      <c r="J121" s="163" t="s">
        <v>1560</v>
      </c>
      <c r="K121" s="162" t="s">
        <v>1561</v>
      </c>
      <c r="L121" s="164" t="s">
        <v>5</v>
      </c>
      <c r="M121" s="169"/>
      <c r="N121" s="165">
        <v>4130</v>
      </c>
      <c r="O121" s="169">
        <f t="shared" si="6"/>
        <v>0</v>
      </c>
      <c r="P121" s="165">
        <v>36715</v>
      </c>
      <c r="Q121" s="166">
        <f t="shared" si="4"/>
        <v>0</v>
      </c>
      <c r="R121" s="169"/>
      <c r="S121" s="169"/>
      <c r="T121" s="169"/>
      <c r="U121" s="169"/>
      <c r="V121" s="166">
        <f t="shared" si="5"/>
        <v>0</v>
      </c>
      <c r="W121" s="205"/>
      <c r="X121" s="167"/>
    </row>
    <row r="122" spans="8:24" s="220" customFormat="1" ht="12" hidden="1" customHeight="1">
      <c r="H122" s="162" t="s">
        <v>177</v>
      </c>
      <c r="I122" s="163" t="s">
        <v>992</v>
      </c>
      <c r="J122" s="163" t="s">
        <v>1562</v>
      </c>
      <c r="K122" s="162" t="s">
        <v>1563</v>
      </c>
      <c r="L122" s="164" t="s">
        <v>5</v>
      </c>
      <c r="M122" s="169"/>
      <c r="N122" s="165">
        <v>6580</v>
      </c>
      <c r="O122" s="169">
        <f t="shared" si="6"/>
        <v>0</v>
      </c>
      <c r="P122" s="165">
        <v>42115</v>
      </c>
      <c r="Q122" s="166">
        <f t="shared" si="4"/>
        <v>0</v>
      </c>
      <c r="R122" s="169"/>
      <c r="S122" s="169"/>
      <c r="T122" s="169"/>
      <c r="U122" s="169"/>
      <c r="V122" s="166">
        <f t="shared" si="5"/>
        <v>0</v>
      </c>
      <c r="W122" s="205"/>
      <c r="X122" s="167"/>
    </row>
    <row r="123" spans="8:24" s="220" customFormat="1" ht="12" hidden="1" customHeight="1">
      <c r="H123" s="162" t="s">
        <v>178</v>
      </c>
      <c r="I123" s="163" t="s">
        <v>993</v>
      </c>
      <c r="J123" s="163" t="s">
        <v>1564</v>
      </c>
      <c r="K123" s="162" t="s">
        <v>1565</v>
      </c>
      <c r="L123" s="164" t="s">
        <v>5</v>
      </c>
      <c r="M123" s="169"/>
      <c r="N123" s="165">
        <v>7100</v>
      </c>
      <c r="O123" s="169">
        <f t="shared" si="6"/>
        <v>0</v>
      </c>
      <c r="P123" s="165">
        <v>47514</v>
      </c>
      <c r="Q123" s="166">
        <f t="shared" si="4"/>
        <v>0</v>
      </c>
      <c r="R123" s="169"/>
      <c r="S123" s="169"/>
      <c r="T123" s="169"/>
      <c r="U123" s="169"/>
      <c r="V123" s="166">
        <f t="shared" si="5"/>
        <v>0</v>
      </c>
      <c r="W123" s="205"/>
      <c r="X123" s="167"/>
    </row>
    <row r="124" spans="8:24" s="220" customFormat="1" ht="12" hidden="1" customHeight="1">
      <c r="H124" s="162" t="s">
        <v>141</v>
      </c>
      <c r="I124" s="163" t="s">
        <v>968</v>
      </c>
      <c r="J124" s="163" t="s">
        <v>1688</v>
      </c>
      <c r="K124" s="162" t="s">
        <v>1689</v>
      </c>
      <c r="L124" s="164" t="s">
        <v>5</v>
      </c>
      <c r="M124" s="169"/>
      <c r="N124" s="165">
        <v>280</v>
      </c>
      <c r="O124" s="169">
        <f t="shared" si="6"/>
        <v>0</v>
      </c>
      <c r="P124" s="165">
        <v>13498</v>
      </c>
      <c r="Q124" s="166">
        <f t="shared" si="4"/>
        <v>0</v>
      </c>
      <c r="R124" s="169"/>
      <c r="S124" s="169"/>
      <c r="T124" s="169"/>
      <c r="U124" s="169"/>
      <c r="V124" s="166">
        <f t="shared" si="5"/>
        <v>0</v>
      </c>
      <c r="W124" s="205"/>
      <c r="X124" s="167"/>
    </row>
    <row r="125" spans="8:24" s="220" customFormat="1" ht="12" hidden="1" customHeight="1">
      <c r="H125" s="162" t="s">
        <v>142</v>
      </c>
      <c r="I125" s="163" t="s">
        <v>969</v>
      </c>
      <c r="J125" s="163" t="s">
        <v>1690</v>
      </c>
      <c r="K125" s="162" t="s">
        <v>1691</v>
      </c>
      <c r="L125" s="164" t="s">
        <v>5</v>
      </c>
      <c r="M125" s="169"/>
      <c r="N125" s="165">
        <v>280</v>
      </c>
      <c r="O125" s="169">
        <f t="shared" si="6"/>
        <v>0</v>
      </c>
      <c r="P125" s="165">
        <v>16198</v>
      </c>
      <c r="Q125" s="166">
        <f t="shared" si="4"/>
        <v>0</v>
      </c>
      <c r="R125" s="169"/>
      <c r="S125" s="169"/>
      <c r="T125" s="169"/>
      <c r="U125" s="169"/>
      <c r="V125" s="166">
        <f t="shared" si="5"/>
        <v>0</v>
      </c>
      <c r="W125" s="205"/>
      <c r="X125" s="167"/>
    </row>
    <row r="126" spans="8:24" s="220" customFormat="1" ht="12" hidden="1" customHeight="1">
      <c r="H126" s="162" t="s">
        <v>143</v>
      </c>
      <c r="I126" s="163" t="s">
        <v>970</v>
      </c>
      <c r="J126" s="163" t="s">
        <v>1692</v>
      </c>
      <c r="K126" s="162" t="s">
        <v>1693</v>
      </c>
      <c r="L126" s="164" t="s">
        <v>5</v>
      </c>
      <c r="M126" s="169"/>
      <c r="N126" s="165">
        <v>550</v>
      </c>
      <c r="O126" s="169">
        <f t="shared" si="6"/>
        <v>0</v>
      </c>
      <c r="P126" s="165">
        <v>21597</v>
      </c>
      <c r="Q126" s="166">
        <f t="shared" si="4"/>
        <v>0</v>
      </c>
      <c r="R126" s="169"/>
      <c r="S126" s="169"/>
      <c r="T126" s="169"/>
      <c r="U126" s="169"/>
      <c r="V126" s="166">
        <f t="shared" si="5"/>
        <v>0</v>
      </c>
      <c r="W126" s="205"/>
      <c r="X126" s="167"/>
    </row>
    <row r="127" spans="8:24" s="220" customFormat="1" ht="12" hidden="1" customHeight="1">
      <c r="H127" s="162" t="s">
        <v>144</v>
      </c>
      <c r="I127" s="163" t="s">
        <v>971</v>
      </c>
      <c r="J127" s="163" t="s">
        <v>1694</v>
      </c>
      <c r="K127" s="162" t="s">
        <v>1695</v>
      </c>
      <c r="L127" s="164" t="s">
        <v>5</v>
      </c>
      <c r="M127" s="169"/>
      <c r="N127" s="165">
        <v>1050</v>
      </c>
      <c r="O127" s="169">
        <f t="shared" si="6"/>
        <v>0</v>
      </c>
      <c r="P127" s="165">
        <v>26996</v>
      </c>
      <c r="Q127" s="166">
        <f t="shared" si="4"/>
        <v>0</v>
      </c>
      <c r="R127" s="169"/>
      <c r="S127" s="169"/>
      <c r="T127" s="169"/>
      <c r="U127" s="169"/>
      <c r="V127" s="166">
        <f t="shared" si="5"/>
        <v>0</v>
      </c>
      <c r="W127" s="205"/>
      <c r="X127" s="167"/>
    </row>
    <row r="128" spans="8:24" s="220" customFormat="1" ht="12" hidden="1" customHeight="1">
      <c r="H128" s="162" t="s">
        <v>145</v>
      </c>
      <c r="I128" s="163" t="s">
        <v>968</v>
      </c>
      <c r="J128" s="163" t="s">
        <v>1696</v>
      </c>
      <c r="K128" s="162" t="s">
        <v>1697</v>
      </c>
      <c r="L128" s="164" t="s">
        <v>5</v>
      </c>
      <c r="M128" s="169"/>
      <c r="N128" s="165">
        <v>440</v>
      </c>
      <c r="O128" s="169">
        <f t="shared" si="6"/>
        <v>0</v>
      </c>
      <c r="P128" s="165">
        <v>13498</v>
      </c>
      <c r="Q128" s="166">
        <f t="shared" si="4"/>
        <v>0</v>
      </c>
      <c r="R128" s="169"/>
      <c r="S128" s="169"/>
      <c r="T128" s="169"/>
      <c r="U128" s="169"/>
      <c r="V128" s="166">
        <f t="shared" si="5"/>
        <v>0</v>
      </c>
      <c r="W128" s="205"/>
      <c r="X128" s="167"/>
    </row>
    <row r="129" spans="8:24" s="220" customFormat="1" ht="12" hidden="1" customHeight="1">
      <c r="H129" s="162" t="s">
        <v>147</v>
      </c>
      <c r="I129" s="163" t="s">
        <v>970</v>
      </c>
      <c r="J129" s="163" t="s">
        <v>1698</v>
      </c>
      <c r="K129" s="162" t="s">
        <v>1699</v>
      </c>
      <c r="L129" s="164" t="s">
        <v>5</v>
      </c>
      <c r="M129" s="169"/>
      <c r="N129" s="165">
        <v>1020</v>
      </c>
      <c r="O129" s="169">
        <f t="shared" si="6"/>
        <v>0</v>
      </c>
      <c r="P129" s="165">
        <v>21597</v>
      </c>
      <c r="Q129" s="166">
        <f t="shared" si="4"/>
        <v>0</v>
      </c>
      <c r="R129" s="169"/>
      <c r="S129" s="169"/>
      <c r="T129" s="169"/>
      <c r="U129" s="169"/>
      <c r="V129" s="166">
        <f t="shared" si="5"/>
        <v>0</v>
      </c>
      <c r="W129" s="205"/>
      <c r="X129" s="167"/>
    </row>
    <row r="130" spans="8:24" s="220" customFormat="1" ht="12" hidden="1" customHeight="1">
      <c r="H130" s="162" t="s">
        <v>148</v>
      </c>
      <c r="I130" s="163" t="s">
        <v>971</v>
      </c>
      <c r="J130" s="163" t="s">
        <v>1700</v>
      </c>
      <c r="K130" s="162" t="s">
        <v>1701</v>
      </c>
      <c r="L130" s="164" t="s">
        <v>5</v>
      </c>
      <c r="M130" s="169"/>
      <c r="N130" s="165">
        <v>1370</v>
      </c>
      <c r="O130" s="169">
        <f t="shared" si="6"/>
        <v>0</v>
      </c>
      <c r="P130" s="165">
        <v>26996</v>
      </c>
      <c r="Q130" s="166">
        <f t="shared" si="4"/>
        <v>0</v>
      </c>
      <c r="R130" s="169"/>
      <c r="S130" s="169"/>
      <c r="T130" s="169"/>
      <c r="U130" s="169"/>
      <c r="V130" s="166">
        <f t="shared" si="5"/>
        <v>0</v>
      </c>
      <c r="W130" s="205"/>
      <c r="X130" s="167"/>
    </row>
    <row r="131" spans="8:24" s="220" customFormat="1" ht="12" hidden="1" customHeight="1">
      <c r="H131" s="162" t="s">
        <v>149</v>
      </c>
      <c r="I131" s="163" t="s">
        <v>972</v>
      </c>
      <c r="J131" s="163" t="s">
        <v>1702</v>
      </c>
      <c r="K131" s="162" t="s">
        <v>1703</v>
      </c>
      <c r="L131" s="164" t="s">
        <v>5</v>
      </c>
      <c r="M131" s="169"/>
      <c r="N131" s="165">
        <v>1790</v>
      </c>
      <c r="O131" s="169">
        <f t="shared" si="6"/>
        <v>0</v>
      </c>
      <c r="P131" s="165">
        <v>35095</v>
      </c>
      <c r="Q131" s="166">
        <f t="shared" si="4"/>
        <v>0</v>
      </c>
      <c r="R131" s="169"/>
      <c r="S131" s="169"/>
      <c r="T131" s="169"/>
      <c r="U131" s="169"/>
      <c r="V131" s="166">
        <f t="shared" si="5"/>
        <v>0</v>
      </c>
      <c r="W131" s="205"/>
      <c r="X131" s="167"/>
    </row>
    <row r="132" spans="8:24" s="220" customFormat="1" ht="12" hidden="1" customHeight="1">
      <c r="H132" s="162" t="s">
        <v>150</v>
      </c>
      <c r="I132" s="163" t="s">
        <v>973</v>
      </c>
      <c r="J132" s="163" t="s">
        <v>1704</v>
      </c>
      <c r="K132" s="162" t="s">
        <v>1705</v>
      </c>
      <c r="L132" s="164" t="s">
        <v>5</v>
      </c>
      <c r="M132" s="169"/>
      <c r="N132" s="165">
        <v>2550</v>
      </c>
      <c r="O132" s="169">
        <f t="shared" si="6"/>
        <v>0</v>
      </c>
      <c r="P132" s="165">
        <v>51293</v>
      </c>
      <c r="Q132" s="166">
        <f t="shared" si="4"/>
        <v>0</v>
      </c>
      <c r="R132" s="169"/>
      <c r="S132" s="169"/>
      <c r="T132" s="169"/>
      <c r="U132" s="169"/>
      <c r="V132" s="166">
        <f t="shared" si="5"/>
        <v>0</v>
      </c>
      <c r="W132" s="205"/>
      <c r="X132" s="167"/>
    </row>
    <row r="133" spans="8:24" s="220" customFormat="1" ht="12" hidden="1" customHeight="1">
      <c r="H133" s="162" t="s">
        <v>151</v>
      </c>
      <c r="I133" s="163" t="s">
        <v>974</v>
      </c>
      <c r="J133" s="163" t="s">
        <v>1706</v>
      </c>
      <c r="K133" s="162" t="s">
        <v>1707</v>
      </c>
      <c r="L133" s="164" t="s">
        <v>5</v>
      </c>
      <c r="M133" s="169"/>
      <c r="N133" s="165">
        <v>3150</v>
      </c>
      <c r="O133" s="169">
        <f t="shared" si="6"/>
        <v>0</v>
      </c>
      <c r="P133" s="165">
        <v>75591</v>
      </c>
      <c r="Q133" s="166">
        <f t="shared" si="4"/>
        <v>0</v>
      </c>
      <c r="R133" s="169"/>
      <c r="S133" s="169"/>
      <c r="T133" s="169"/>
      <c r="U133" s="169"/>
      <c r="V133" s="166">
        <f t="shared" si="5"/>
        <v>0</v>
      </c>
      <c r="W133" s="205"/>
      <c r="X133" s="167"/>
    </row>
    <row r="134" spans="8:24" s="220" customFormat="1" ht="12" hidden="1" customHeight="1">
      <c r="H134" s="162" t="s">
        <v>152</v>
      </c>
      <c r="I134" s="163" t="s">
        <v>975</v>
      </c>
      <c r="J134" s="163" t="s">
        <v>1708</v>
      </c>
      <c r="K134" s="162" t="s">
        <v>1709</v>
      </c>
      <c r="L134" s="164" t="s">
        <v>5</v>
      </c>
      <c r="M134" s="169"/>
      <c r="N134" s="165">
        <v>5000</v>
      </c>
      <c r="O134" s="169">
        <f t="shared" si="6"/>
        <v>0</v>
      </c>
      <c r="P134" s="165">
        <v>99888</v>
      </c>
      <c r="Q134" s="166">
        <f t="shared" si="4"/>
        <v>0</v>
      </c>
      <c r="R134" s="169"/>
      <c r="S134" s="169"/>
      <c r="T134" s="169"/>
      <c r="U134" s="169"/>
      <c r="V134" s="166">
        <f t="shared" si="5"/>
        <v>0</v>
      </c>
      <c r="W134" s="205"/>
      <c r="X134" s="167"/>
    </row>
    <row r="135" spans="8:24" s="220" customFormat="1" ht="12" hidden="1" customHeight="1">
      <c r="H135" s="162" t="s">
        <v>153</v>
      </c>
      <c r="I135" s="163" t="s">
        <v>976</v>
      </c>
      <c r="J135" s="163" t="s">
        <v>1710</v>
      </c>
      <c r="K135" s="162" t="s">
        <v>1711</v>
      </c>
      <c r="L135" s="164" t="s">
        <v>5</v>
      </c>
      <c r="M135" s="169"/>
      <c r="N135" s="165">
        <v>5910</v>
      </c>
      <c r="O135" s="169">
        <f t="shared" si="6"/>
        <v>0</v>
      </c>
      <c r="P135" s="165">
        <v>124185</v>
      </c>
      <c r="Q135" s="166">
        <f t="shared" si="4"/>
        <v>0</v>
      </c>
      <c r="R135" s="169"/>
      <c r="S135" s="169"/>
      <c r="T135" s="169"/>
      <c r="U135" s="169"/>
      <c r="V135" s="166">
        <f t="shared" si="5"/>
        <v>0</v>
      </c>
      <c r="W135" s="205"/>
      <c r="X135" s="167"/>
    </row>
    <row r="136" spans="8:24" s="220" customFormat="1" ht="12" hidden="1" customHeight="1">
      <c r="H136" s="162" t="s">
        <v>154</v>
      </c>
      <c r="I136" s="163" t="s">
        <v>977</v>
      </c>
      <c r="J136" s="163" t="s">
        <v>1712</v>
      </c>
      <c r="K136" s="162" t="s">
        <v>1713</v>
      </c>
      <c r="L136" s="164" t="s">
        <v>5</v>
      </c>
      <c r="M136" s="169"/>
      <c r="N136" s="165">
        <v>3210</v>
      </c>
      <c r="O136" s="169">
        <f t="shared" si="6"/>
        <v>0</v>
      </c>
      <c r="P136" s="165">
        <v>21597</v>
      </c>
      <c r="Q136" s="166">
        <f t="shared" si="4"/>
        <v>0</v>
      </c>
      <c r="R136" s="169"/>
      <c r="S136" s="169"/>
      <c r="T136" s="169"/>
      <c r="U136" s="169"/>
      <c r="V136" s="166">
        <f t="shared" si="5"/>
        <v>0</v>
      </c>
      <c r="W136" s="205"/>
      <c r="X136" s="167"/>
    </row>
    <row r="137" spans="8:24" s="220" customFormat="1" ht="12" hidden="1" customHeight="1">
      <c r="H137" s="162" t="s">
        <v>155</v>
      </c>
      <c r="I137" s="163" t="s">
        <v>978</v>
      </c>
      <c r="J137" s="163" t="s">
        <v>1714</v>
      </c>
      <c r="K137" s="162" t="s">
        <v>1715</v>
      </c>
      <c r="L137" s="164" t="s">
        <v>5</v>
      </c>
      <c r="M137" s="169"/>
      <c r="N137" s="165">
        <v>4370</v>
      </c>
      <c r="O137" s="169">
        <f t="shared" si="6"/>
        <v>0</v>
      </c>
      <c r="P137" s="165">
        <v>29696</v>
      </c>
      <c r="Q137" s="166">
        <f t="shared" ref="Q137:Q200" si="7">IF(W137="",M137*P137*$Q$3*$W$3,M137*P137*$Q$3*W137)</f>
        <v>0</v>
      </c>
      <c r="R137" s="169"/>
      <c r="S137" s="169"/>
      <c r="T137" s="169"/>
      <c r="U137" s="169"/>
      <c r="V137" s="166">
        <f t="shared" ref="V137:V200" si="8">SUM(O137+Q137)+S137+U137</f>
        <v>0</v>
      </c>
      <c r="W137" s="205"/>
      <c r="X137" s="167"/>
    </row>
    <row r="138" spans="8:24" s="220" customFormat="1" ht="12" hidden="1" customHeight="1">
      <c r="H138" s="162" t="s">
        <v>156</v>
      </c>
      <c r="I138" s="163" t="s">
        <v>979</v>
      </c>
      <c r="J138" s="163" t="s">
        <v>1716</v>
      </c>
      <c r="K138" s="162" t="s">
        <v>1717</v>
      </c>
      <c r="L138" s="164" t="s">
        <v>5</v>
      </c>
      <c r="M138" s="169"/>
      <c r="N138" s="165">
        <v>5710</v>
      </c>
      <c r="O138" s="169">
        <f t="shared" si="6"/>
        <v>0</v>
      </c>
      <c r="P138" s="165">
        <v>37795</v>
      </c>
      <c r="Q138" s="166">
        <f t="shared" si="7"/>
        <v>0</v>
      </c>
      <c r="R138" s="169"/>
      <c r="S138" s="169"/>
      <c r="T138" s="169"/>
      <c r="U138" s="169"/>
      <c r="V138" s="166">
        <f t="shared" si="8"/>
        <v>0</v>
      </c>
      <c r="W138" s="205"/>
      <c r="X138" s="167"/>
    </row>
    <row r="139" spans="8:24" s="220" customFormat="1" ht="12" hidden="1" customHeight="1">
      <c r="H139" s="162" t="s">
        <v>157</v>
      </c>
      <c r="I139" s="163" t="s">
        <v>980</v>
      </c>
      <c r="J139" s="163" t="s">
        <v>1718</v>
      </c>
      <c r="K139" s="162" t="s">
        <v>1719</v>
      </c>
      <c r="L139" s="164" t="s">
        <v>5</v>
      </c>
      <c r="M139" s="169"/>
      <c r="N139" s="165">
        <v>7310</v>
      </c>
      <c r="O139" s="169">
        <f t="shared" si="6"/>
        <v>0</v>
      </c>
      <c r="P139" s="165">
        <v>53993</v>
      </c>
      <c r="Q139" s="166">
        <f t="shared" si="7"/>
        <v>0</v>
      </c>
      <c r="R139" s="169"/>
      <c r="S139" s="169"/>
      <c r="T139" s="169"/>
      <c r="U139" s="169"/>
      <c r="V139" s="166">
        <f t="shared" si="8"/>
        <v>0</v>
      </c>
      <c r="W139" s="205"/>
      <c r="X139" s="167"/>
    </row>
    <row r="140" spans="8:24" s="220" customFormat="1" ht="12" hidden="1" customHeight="1">
      <c r="H140" s="162" t="s">
        <v>158</v>
      </c>
      <c r="I140" s="163" t="s">
        <v>981</v>
      </c>
      <c r="J140" s="163" t="s">
        <v>1720</v>
      </c>
      <c r="K140" s="162" t="s">
        <v>1721</v>
      </c>
      <c r="L140" s="164" t="s">
        <v>5</v>
      </c>
      <c r="M140" s="169"/>
      <c r="N140" s="165">
        <v>8400</v>
      </c>
      <c r="O140" s="169">
        <f t="shared" si="6"/>
        <v>0</v>
      </c>
      <c r="P140" s="165">
        <v>67492</v>
      </c>
      <c r="Q140" s="166">
        <f t="shared" si="7"/>
        <v>0</v>
      </c>
      <c r="R140" s="169"/>
      <c r="S140" s="169"/>
      <c r="T140" s="169"/>
      <c r="U140" s="169"/>
      <c r="V140" s="166">
        <f t="shared" si="8"/>
        <v>0</v>
      </c>
      <c r="W140" s="205"/>
      <c r="X140" s="167"/>
    </row>
    <row r="141" spans="8:24" s="220" customFormat="1" ht="12" hidden="1" customHeight="1">
      <c r="H141" s="162" t="s">
        <v>159</v>
      </c>
      <c r="I141" s="163" t="s">
        <v>982</v>
      </c>
      <c r="J141" s="163" t="s">
        <v>1722</v>
      </c>
      <c r="K141" s="162" t="s">
        <v>1723</v>
      </c>
      <c r="L141" s="164" t="s">
        <v>5</v>
      </c>
      <c r="M141" s="169"/>
      <c r="N141" s="165">
        <v>11800</v>
      </c>
      <c r="O141" s="169">
        <f t="shared" si="6"/>
        <v>0</v>
      </c>
      <c r="P141" s="165">
        <v>91789</v>
      </c>
      <c r="Q141" s="166">
        <f t="shared" si="7"/>
        <v>0</v>
      </c>
      <c r="R141" s="169"/>
      <c r="S141" s="169"/>
      <c r="T141" s="169"/>
      <c r="U141" s="169"/>
      <c r="V141" s="166">
        <f t="shared" si="8"/>
        <v>0</v>
      </c>
      <c r="W141" s="205"/>
      <c r="X141" s="167"/>
    </row>
    <row r="142" spans="8:24" s="220" customFormat="1" ht="12" hidden="1" customHeight="1">
      <c r="H142" s="162" t="s">
        <v>160</v>
      </c>
      <c r="I142" s="163" t="s">
        <v>983</v>
      </c>
      <c r="J142" s="163" t="s">
        <v>1724</v>
      </c>
      <c r="K142" s="162" t="s">
        <v>1725</v>
      </c>
      <c r="L142" s="164" t="s">
        <v>5</v>
      </c>
      <c r="M142" s="169"/>
      <c r="N142" s="165">
        <v>15000</v>
      </c>
      <c r="O142" s="169">
        <f t="shared" si="6"/>
        <v>0</v>
      </c>
      <c r="P142" s="165">
        <v>118785</v>
      </c>
      <c r="Q142" s="166">
        <f t="shared" si="7"/>
        <v>0</v>
      </c>
      <c r="R142" s="169"/>
      <c r="S142" s="169"/>
      <c r="T142" s="169"/>
      <c r="U142" s="169"/>
      <c r="V142" s="166">
        <f t="shared" si="8"/>
        <v>0</v>
      </c>
      <c r="W142" s="205"/>
      <c r="X142" s="167"/>
    </row>
    <row r="143" spans="8:24" s="220" customFormat="1" ht="12" hidden="1" customHeight="1">
      <c r="H143" s="162" t="s">
        <v>161</v>
      </c>
      <c r="I143" s="163" t="s">
        <v>984</v>
      </c>
      <c r="J143" s="163" t="s">
        <v>1726</v>
      </c>
      <c r="K143" s="162" t="s">
        <v>1727</v>
      </c>
      <c r="L143" s="164" t="s">
        <v>5</v>
      </c>
      <c r="M143" s="169"/>
      <c r="N143" s="165">
        <v>17300</v>
      </c>
      <c r="O143" s="169">
        <f t="shared" si="6"/>
        <v>0</v>
      </c>
      <c r="P143" s="165">
        <v>145782</v>
      </c>
      <c r="Q143" s="166">
        <f t="shared" si="7"/>
        <v>0</v>
      </c>
      <c r="R143" s="169"/>
      <c r="S143" s="169"/>
      <c r="T143" s="169"/>
      <c r="U143" s="169"/>
      <c r="V143" s="166">
        <f t="shared" si="8"/>
        <v>0</v>
      </c>
      <c r="W143" s="205"/>
      <c r="X143" s="167"/>
    </row>
    <row r="144" spans="8:24" s="220" customFormat="1" ht="12" hidden="1" customHeight="1">
      <c r="H144" s="162" t="s">
        <v>162</v>
      </c>
      <c r="I144" s="163" t="s">
        <v>985</v>
      </c>
      <c r="J144" s="163" t="s">
        <v>1728</v>
      </c>
      <c r="K144" s="162" t="s">
        <v>1729</v>
      </c>
      <c r="L144" s="164" t="s">
        <v>5</v>
      </c>
      <c r="M144" s="169"/>
      <c r="N144" s="165">
        <v>28000</v>
      </c>
      <c r="O144" s="169">
        <f t="shared" si="6"/>
        <v>0</v>
      </c>
      <c r="P144" s="165">
        <v>191677</v>
      </c>
      <c r="Q144" s="166">
        <f t="shared" si="7"/>
        <v>0</v>
      </c>
      <c r="R144" s="169"/>
      <c r="S144" s="169"/>
      <c r="T144" s="169"/>
      <c r="U144" s="169"/>
      <c r="V144" s="166">
        <f t="shared" si="8"/>
        <v>0</v>
      </c>
      <c r="W144" s="205"/>
      <c r="X144" s="167"/>
    </row>
    <row r="145" spans="8:24" s="220" customFormat="1" ht="12" hidden="1" customHeight="1">
      <c r="H145" s="162" t="s">
        <v>1232</v>
      </c>
      <c r="I145" s="163" t="s">
        <v>986</v>
      </c>
      <c r="J145" s="163" t="s">
        <v>1730</v>
      </c>
      <c r="K145" s="162" t="s">
        <v>1731</v>
      </c>
      <c r="L145" s="164" t="s">
        <v>5</v>
      </c>
      <c r="M145" s="169"/>
      <c r="N145" s="165">
        <v>1270</v>
      </c>
      <c r="O145" s="169">
        <f t="shared" si="6"/>
        <v>0</v>
      </c>
      <c r="P145" s="165">
        <v>11878</v>
      </c>
      <c r="Q145" s="166">
        <f t="shared" si="7"/>
        <v>0</v>
      </c>
      <c r="R145" s="169"/>
      <c r="S145" s="169"/>
      <c r="T145" s="169"/>
      <c r="U145" s="169"/>
      <c r="V145" s="166">
        <f t="shared" si="8"/>
        <v>0</v>
      </c>
      <c r="W145" s="205"/>
      <c r="X145" s="167"/>
    </row>
    <row r="146" spans="8:24" s="220" customFormat="1" ht="12" hidden="1" customHeight="1">
      <c r="H146" s="162" t="s">
        <v>1233</v>
      </c>
      <c r="I146" s="163" t="s">
        <v>987</v>
      </c>
      <c r="J146" s="163" t="s">
        <v>1732</v>
      </c>
      <c r="K146" s="162" t="s">
        <v>1733</v>
      </c>
      <c r="L146" s="164" t="s">
        <v>5</v>
      </c>
      <c r="M146" s="169"/>
      <c r="N146" s="165">
        <v>1720</v>
      </c>
      <c r="O146" s="169">
        <f t="shared" si="6"/>
        <v>0</v>
      </c>
      <c r="P146" s="165">
        <v>15928</v>
      </c>
      <c r="Q146" s="166">
        <f t="shared" si="7"/>
        <v>0</v>
      </c>
      <c r="R146" s="169"/>
      <c r="S146" s="169"/>
      <c r="T146" s="169"/>
      <c r="U146" s="169"/>
      <c r="V146" s="166">
        <f t="shared" si="8"/>
        <v>0</v>
      </c>
      <c r="W146" s="205"/>
      <c r="X146" s="167"/>
    </row>
    <row r="147" spans="8:24" s="220" customFormat="1" ht="12" hidden="1" customHeight="1">
      <c r="H147" s="162" t="s">
        <v>1234</v>
      </c>
      <c r="I147" s="163" t="s">
        <v>988</v>
      </c>
      <c r="J147" s="163" t="s">
        <v>1734</v>
      </c>
      <c r="K147" s="162" t="s">
        <v>1735</v>
      </c>
      <c r="L147" s="164" t="s">
        <v>5</v>
      </c>
      <c r="M147" s="169"/>
      <c r="N147" s="165">
        <v>2430</v>
      </c>
      <c r="O147" s="169">
        <f t="shared" si="6"/>
        <v>0</v>
      </c>
      <c r="P147" s="165">
        <v>19437</v>
      </c>
      <c r="Q147" s="166">
        <f t="shared" si="7"/>
        <v>0</v>
      </c>
      <c r="R147" s="169"/>
      <c r="S147" s="169"/>
      <c r="T147" s="169"/>
      <c r="U147" s="169"/>
      <c r="V147" s="166">
        <f t="shared" si="8"/>
        <v>0</v>
      </c>
      <c r="W147" s="205"/>
      <c r="X147" s="167"/>
    </row>
    <row r="148" spans="8:24" s="220" customFormat="1" ht="12" hidden="1" customHeight="1">
      <c r="H148" s="162" t="s">
        <v>1235</v>
      </c>
      <c r="I148" s="163" t="s">
        <v>989</v>
      </c>
      <c r="J148" s="163" t="s">
        <v>1736</v>
      </c>
      <c r="K148" s="162" t="s">
        <v>1737</v>
      </c>
      <c r="L148" s="164" t="s">
        <v>5</v>
      </c>
      <c r="M148" s="169"/>
      <c r="N148" s="165">
        <v>3580</v>
      </c>
      <c r="O148" s="169">
        <f t="shared" si="6"/>
        <v>0</v>
      </c>
      <c r="P148" s="165">
        <v>23487</v>
      </c>
      <c r="Q148" s="166">
        <f t="shared" si="7"/>
        <v>0</v>
      </c>
      <c r="R148" s="169"/>
      <c r="S148" s="169"/>
      <c r="T148" s="169"/>
      <c r="U148" s="169"/>
      <c r="V148" s="166">
        <f t="shared" si="8"/>
        <v>0</v>
      </c>
      <c r="W148" s="205"/>
      <c r="X148" s="167"/>
    </row>
    <row r="149" spans="8:24" s="220" customFormat="1" ht="12" hidden="1" customHeight="1">
      <c r="H149" s="162" t="s">
        <v>1236</v>
      </c>
      <c r="I149" s="163" t="s">
        <v>990</v>
      </c>
      <c r="J149" s="163" t="s">
        <v>1738</v>
      </c>
      <c r="K149" s="162" t="s">
        <v>1739</v>
      </c>
      <c r="L149" s="164" t="s">
        <v>5</v>
      </c>
      <c r="M149" s="169"/>
      <c r="N149" s="165">
        <v>5020</v>
      </c>
      <c r="O149" s="169">
        <f t="shared" si="6"/>
        <v>0</v>
      </c>
      <c r="P149" s="165">
        <v>28076</v>
      </c>
      <c r="Q149" s="166">
        <f t="shared" si="7"/>
        <v>0</v>
      </c>
      <c r="R149" s="169"/>
      <c r="S149" s="169"/>
      <c r="T149" s="169"/>
      <c r="U149" s="169"/>
      <c r="V149" s="166">
        <f t="shared" si="8"/>
        <v>0</v>
      </c>
      <c r="W149" s="205"/>
      <c r="X149" s="167"/>
    </row>
    <row r="150" spans="8:24" s="220" customFormat="1" ht="12" hidden="1" customHeight="1">
      <c r="H150" s="162" t="s">
        <v>880</v>
      </c>
      <c r="I150" s="163" t="s">
        <v>991</v>
      </c>
      <c r="J150" s="163" t="s">
        <v>1740</v>
      </c>
      <c r="K150" s="162" t="s">
        <v>1741</v>
      </c>
      <c r="L150" s="164" t="s">
        <v>5</v>
      </c>
      <c r="M150" s="169"/>
      <c r="N150" s="165">
        <v>6460</v>
      </c>
      <c r="O150" s="169">
        <f t="shared" si="6"/>
        <v>0</v>
      </c>
      <c r="P150" s="165">
        <v>36715</v>
      </c>
      <c r="Q150" s="166">
        <f t="shared" si="7"/>
        <v>0</v>
      </c>
      <c r="R150" s="169"/>
      <c r="S150" s="169"/>
      <c r="T150" s="169"/>
      <c r="U150" s="169"/>
      <c r="V150" s="166">
        <f t="shared" si="8"/>
        <v>0</v>
      </c>
      <c r="W150" s="205"/>
      <c r="X150" s="167"/>
    </row>
    <row r="151" spans="8:24" s="220" customFormat="1" ht="12" hidden="1" customHeight="1">
      <c r="H151" s="162" t="s">
        <v>881</v>
      </c>
      <c r="I151" s="163" t="s">
        <v>992</v>
      </c>
      <c r="J151" s="163" t="s">
        <v>1742</v>
      </c>
      <c r="K151" s="162" t="s">
        <v>1743</v>
      </c>
      <c r="L151" s="164" t="s">
        <v>5</v>
      </c>
      <c r="M151" s="169"/>
      <c r="N151" s="165">
        <v>14900</v>
      </c>
      <c r="O151" s="169">
        <f t="shared" si="6"/>
        <v>0</v>
      </c>
      <c r="P151" s="165">
        <v>42115</v>
      </c>
      <c r="Q151" s="166">
        <f t="shared" si="7"/>
        <v>0</v>
      </c>
      <c r="R151" s="169"/>
      <c r="S151" s="169"/>
      <c r="T151" s="169"/>
      <c r="U151" s="169"/>
      <c r="V151" s="166">
        <f t="shared" si="8"/>
        <v>0</v>
      </c>
      <c r="W151" s="205"/>
      <c r="X151" s="167"/>
    </row>
    <row r="152" spans="8:24" s="220" customFormat="1" ht="12" hidden="1" customHeight="1">
      <c r="H152" s="162" t="s">
        <v>882</v>
      </c>
      <c r="I152" s="163" t="s">
        <v>993</v>
      </c>
      <c r="J152" s="163" t="s">
        <v>2154</v>
      </c>
      <c r="K152" s="162" t="s">
        <v>2155</v>
      </c>
      <c r="L152" s="164" t="s">
        <v>5</v>
      </c>
      <c r="M152" s="169"/>
      <c r="N152" s="165">
        <v>21500</v>
      </c>
      <c r="O152" s="169">
        <f t="shared" si="6"/>
        <v>0</v>
      </c>
      <c r="P152" s="165">
        <v>47514</v>
      </c>
      <c r="Q152" s="166">
        <f t="shared" si="7"/>
        <v>0</v>
      </c>
      <c r="R152" s="169"/>
      <c r="S152" s="169"/>
      <c r="T152" s="169"/>
      <c r="U152" s="169"/>
      <c r="V152" s="166">
        <f t="shared" si="8"/>
        <v>0</v>
      </c>
      <c r="W152" s="205"/>
      <c r="X152" s="167"/>
    </row>
    <row r="153" spans="8:24" s="220" customFormat="1" ht="12" hidden="1" customHeight="1">
      <c r="H153" s="162" t="s">
        <v>883</v>
      </c>
      <c r="I153" s="163" t="s">
        <v>994</v>
      </c>
      <c r="J153" s="163" t="s">
        <v>1744</v>
      </c>
      <c r="K153" s="162" t="s">
        <v>1745</v>
      </c>
      <c r="L153" s="164" t="s">
        <v>5</v>
      </c>
      <c r="M153" s="169"/>
      <c r="N153" s="165">
        <v>27000</v>
      </c>
      <c r="O153" s="169">
        <f t="shared" si="6"/>
        <v>0</v>
      </c>
      <c r="P153" s="165">
        <v>58313</v>
      </c>
      <c r="Q153" s="166">
        <f t="shared" si="7"/>
        <v>0</v>
      </c>
      <c r="R153" s="169"/>
      <c r="S153" s="169"/>
      <c r="T153" s="169"/>
      <c r="U153" s="169"/>
      <c r="V153" s="166">
        <f t="shared" si="8"/>
        <v>0</v>
      </c>
      <c r="W153" s="205"/>
      <c r="X153" s="167"/>
    </row>
    <row r="154" spans="8:24" s="220" customFormat="1" ht="12" hidden="1" customHeight="1">
      <c r="H154" s="162" t="s">
        <v>163</v>
      </c>
      <c r="I154" s="163" t="s">
        <v>986</v>
      </c>
      <c r="J154" s="163" t="s">
        <v>1746</v>
      </c>
      <c r="K154" s="162" t="s">
        <v>1747</v>
      </c>
      <c r="L154" s="164" t="s">
        <v>5</v>
      </c>
      <c r="M154" s="169"/>
      <c r="N154" s="165">
        <v>720</v>
      </c>
      <c r="O154" s="169">
        <f t="shared" si="6"/>
        <v>0</v>
      </c>
      <c r="P154" s="165">
        <v>11878</v>
      </c>
      <c r="Q154" s="166">
        <f t="shared" si="7"/>
        <v>0</v>
      </c>
      <c r="R154" s="169"/>
      <c r="S154" s="169"/>
      <c r="T154" s="169"/>
      <c r="U154" s="169"/>
      <c r="V154" s="166">
        <f t="shared" si="8"/>
        <v>0</v>
      </c>
      <c r="W154" s="205"/>
      <c r="X154" s="167"/>
    </row>
    <row r="155" spans="8:24" s="220" customFormat="1" ht="12" hidden="1" customHeight="1">
      <c r="H155" s="162" t="s">
        <v>164</v>
      </c>
      <c r="I155" s="163" t="s">
        <v>987</v>
      </c>
      <c r="J155" s="163" t="s">
        <v>1748</v>
      </c>
      <c r="K155" s="162" t="s">
        <v>1749</v>
      </c>
      <c r="L155" s="164" t="s">
        <v>5</v>
      </c>
      <c r="M155" s="169"/>
      <c r="N155" s="165">
        <v>940</v>
      </c>
      <c r="O155" s="169">
        <f t="shared" si="6"/>
        <v>0</v>
      </c>
      <c r="P155" s="165">
        <v>15928</v>
      </c>
      <c r="Q155" s="166">
        <f t="shared" si="7"/>
        <v>0</v>
      </c>
      <c r="R155" s="169"/>
      <c r="S155" s="169"/>
      <c r="T155" s="169"/>
      <c r="U155" s="169"/>
      <c r="V155" s="166">
        <f t="shared" si="8"/>
        <v>0</v>
      </c>
      <c r="W155" s="205"/>
      <c r="X155" s="167"/>
    </row>
    <row r="156" spans="8:24" s="220" customFormat="1" ht="12" hidden="1" customHeight="1">
      <c r="H156" s="162" t="s">
        <v>165</v>
      </c>
      <c r="I156" s="163" t="s">
        <v>988</v>
      </c>
      <c r="J156" s="163" t="s">
        <v>1750</v>
      </c>
      <c r="K156" s="162" t="s">
        <v>1751</v>
      </c>
      <c r="L156" s="164" t="s">
        <v>5</v>
      </c>
      <c r="M156" s="169"/>
      <c r="N156" s="165">
        <v>1270</v>
      </c>
      <c r="O156" s="169">
        <f t="shared" si="6"/>
        <v>0</v>
      </c>
      <c r="P156" s="165">
        <v>19437</v>
      </c>
      <c r="Q156" s="166">
        <f t="shared" si="7"/>
        <v>0</v>
      </c>
      <c r="R156" s="169"/>
      <c r="S156" s="169"/>
      <c r="T156" s="169"/>
      <c r="U156" s="169"/>
      <c r="V156" s="166">
        <f t="shared" si="8"/>
        <v>0</v>
      </c>
      <c r="W156" s="205"/>
      <c r="X156" s="167"/>
    </row>
    <row r="157" spans="8:24" s="220" customFormat="1" ht="12" hidden="1" customHeight="1">
      <c r="H157" s="162" t="s">
        <v>166</v>
      </c>
      <c r="I157" s="163" t="s">
        <v>989</v>
      </c>
      <c r="J157" s="163" t="s">
        <v>2156</v>
      </c>
      <c r="K157" s="162" t="s">
        <v>2157</v>
      </c>
      <c r="L157" s="164" t="s">
        <v>5</v>
      </c>
      <c r="M157" s="169"/>
      <c r="N157" s="165">
        <v>2040</v>
      </c>
      <c r="O157" s="169">
        <f t="shared" si="6"/>
        <v>0</v>
      </c>
      <c r="P157" s="165">
        <v>23487</v>
      </c>
      <c r="Q157" s="166">
        <f t="shared" si="7"/>
        <v>0</v>
      </c>
      <c r="R157" s="169"/>
      <c r="S157" s="169"/>
      <c r="T157" s="169"/>
      <c r="U157" s="169"/>
      <c r="V157" s="166">
        <f t="shared" si="8"/>
        <v>0</v>
      </c>
      <c r="W157" s="205"/>
      <c r="X157" s="167"/>
    </row>
    <row r="158" spans="8:24" s="220" customFormat="1" ht="12" hidden="1" customHeight="1">
      <c r="H158" s="162" t="s">
        <v>167</v>
      </c>
      <c r="I158" s="163" t="s">
        <v>990</v>
      </c>
      <c r="J158" s="163" t="s">
        <v>1752</v>
      </c>
      <c r="K158" s="162" t="s">
        <v>1753</v>
      </c>
      <c r="L158" s="164" t="s">
        <v>5</v>
      </c>
      <c r="M158" s="169"/>
      <c r="N158" s="165">
        <v>2700</v>
      </c>
      <c r="O158" s="169">
        <f t="shared" si="6"/>
        <v>0</v>
      </c>
      <c r="P158" s="165">
        <v>28076</v>
      </c>
      <c r="Q158" s="166">
        <f t="shared" si="7"/>
        <v>0</v>
      </c>
      <c r="R158" s="169"/>
      <c r="S158" s="169"/>
      <c r="T158" s="169"/>
      <c r="U158" s="169"/>
      <c r="V158" s="166">
        <f t="shared" si="8"/>
        <v>0</v>
      </c>
      <c r="W158" s="205"/>
      <c r="X158" s="167"/>
    </row>
    <row r="159" spans="8:24" s="220" customFormat="1" ht="12" hidden="1" customHeight="1">
      <c r="H159" s="162" t="s">
        <v>168</v>
      </c>
      <c r="I159" s="163" t="s">
        <v>991</v>
      </c>
      <c r="J159" s="163" t="s">
        <v>1544</v>
      </c>
      <c r="K159" s="162" t="s">
        <v>1545</v>
      </c>
      <c r="L159" s="164" t="s">
        <v>5</v>
      </c>
      <c r="M159" s="169"/>
      <c r="N159" s="165">
        <v>3730</v>
      </c>
      <c r="O159" s="169">
        <f t="shared" ref="O159:O161" si="9">M159*N159*$O$3</f>
        <v>0</v>
      </c>
      <c r="P159" s="165">
        <v>36715</v>
      </c>
      <c r="Q159" s="166">
        <f t="shared" si="7"/>
        <v>0</v>
      </c>
      <c r="R159" s="169"/>
      <c r="S159" s="169"/>
      <c r="T159" s="169"/>
      <c r="U159" s="169"/>
      <c r="V159" s="166">
        <f t="shared" si="8"/>
        <v>0</v>
      </c>
      <c r="W159" s="205"/>
      <c r="X159" s="167"/>
    </row>
    <row r="160" spans="8:24" s="220" customFormat="1" ht="12" hidden="1" customHeight="1">
      <c r="H160" s="162" t="s">
        <v>169</v>
      </c>
      <c r="I160" s="163" t="s">
        <v>992</v>
      </c>
      <c r="J160" s="163" t="s">
        <v>1546</v>
      </c>
      <c r="K160" s="162" t="s">
        <v>1547</v>
      </c>
      <c r="L160" s="164" t="s">
        <v>5</v>
      </c>
      <c r="M160" s="169"/>
      <c r="N160" s="165">
        <v>7980</v>
      </c>
      <c r="O160" s="169">
        <f t="shared" si="9"/>
        <v>0</v>
      </c>
      <c r="P160" s="165">
        <v>42115</v>
      </c>
      <c r="Q160" s="166">
        <f t="shared" si="7"/>
        <v>0</v>
      </c>
      <c r="R160" s="169"/>
      <c r="S160" s="169"/>
      <c r="T160" s="169"/>
      <c r="U160" s="169"/>
      <c r="V160" s="166">
        <f t="shared" si="8"/>
        <v>0</v>
      </c>
      <c r="W160" s="205"/>
      <c r="X160" s="167"/>
    </row>
    <row r="161" spans="8:24" s="220" customFormat="1" ht="12" hidden="1" customHeight="1">
      <c r="H161" s="162" t="s">
        <v>170</v>
      </c>
      <c r="I161" s="163" t="s">
        <v>993</v>
      </c>
      <c r="J161" s="163" t="s">
        <v>1548</v>
      </c>
      <c r="K161" s="162" t="s">
        <v>1549</v>
      </c>
      <c r="L161" s="164" t="s">
        <v>5</v>
      </c>
      <c r="M161" s="169"/>
      <c r="N161" s="165">
        <v>9630</v>
      </c>
      <c r="O161" s="169">
        <f t="shared" si="9"/>
        <v>0</v>
      </c>
      <c r="P161" s="165">
        <v>47514</v>
      </c>
      <c r="Q161" s="166">
        <f t="shared" si="7"/>
        <v>0</v>
      </c>
      <c r="R161" s="169"/>
      <c r="S161" s="169"/>
      <c r="T161" s="169"/>
      <c r="U161" s="169"/>
      <c r="V161" s="166">
        <f t="shared" si="8"/>
        <v>0</v>
      </c>
      <c r="W161" s="205"/>
      <c r="X161" s="167"/>
    </row>
    <row r="162" spans="8:24" s="220" customFormat="1" ht="12" hidden="1" customHeight="1">
      <c r="H162" s="162" t="s">
        <v>101</v>
      </c>
      <c r="I162" s="163" t="s">
        <v>951</v>
      </c>
      <c r="J162" s="163" t="s">
        <v>2141</v>
      </c>
      <c r="K162" s="162" t="s">
        <v>2142</v>
      </c>
      <c r="L162" s="164" t="s">
        <v>5</v>
      </c>
      <c r="M162" s="169"/>
      <c r="N162" s="165">
        <v>2210</v>
      </c>
      <c r="O162" s="169">
        <f t="shared" ref="O162:O174" si="10">M162*N162*$O$3</f>
        <v>0</v>
      </c>
      <c r="P162" s="165">
        <v>10601</v>
      </c>
      <c r="Q162" s="166">
        <f t="shared" si="7"/>
        <v>0</v>
      </c>
      <c r="R162" s="169"/>
      <c r="S162" s="169"/>
      <c r="T162" s="169"/>
      <c r="U162" s="169"/>
      <c r="V162" s="166">
        <f t="shared" si="8"/>
        <v>0</v>
      </c>
      <c r="W162" s="205"/>
      <c r="X162" s="167"/>
    </row>
    <row r="163" spans="8:24" s="220" customFormat="1" ht="12" hidden="1" customHeight="1">
      <c r="H163" s="162" t="s">
        <v>146</v>
      </c>
      <c r="I163" s="163" t="s">
        <v>969</v>
      </c>
      <c r="J163" s="163" t="s">
        <v>2152</v>
      </c>
      <c r="K163" s="162" t="s">
        <v>2153</v>
      </c>
      <c r="L163" s="164" t="s">
        <v>5</v>
      </c>
      <c r="M163" s="169"/>
      <c r="N163" s="165">
        <v>440</v>
      </c>
      <c r="O163" s="169">
        <f t="shared" si="10"/>
        <v>0</v>
      </c>
      <c r="P163" s="165">
        <v>16198</v>
      </c>
      <c r="Q163" s="166">
        <f t="shared" si="7"/>
        <v>0</v>
      </c>
      <c r="R163" s="169"/>
      <c r="S163" s="169"/>
      <c r="T163" s="169"/>
      <c r="U163" s="169"/>
      <c r="V163" s="166">
        <f t="shared" si="8"/>
        <v>0</v>
      </c>
      <c r="W163" s="205"/>
      <c r="X163" s="167"/>
    </row>
    <row r="164" spans="8:24" s="220" customFormat="1" ht="12" hidden="1" customHeight="1">
      <c r="H164" s="162" t="s">
        <v>1338</v>
      </c>
      <c r="I164" s="163" t="s">
        <v>968</v>
      </c>
      <c r="J164" s="163" t="s">
        <v>1688</v>
      </c>
      <c r="K164" s="162" t="s">
        <v>2298</v>
      </c>
      <c r="L164" s="164" t="s">
        <v>5</v>
      </c>
      <c r="M164" s="169"/>
      <c r="N164" s="165">
        <v>280</v>
      </c>
      <c r="O164" s="169">
        <f t="shared" si="10"/>
        <v>0</v>
      </c>
      <c r="P164" s="165">
        <v>13498</v>
      </c>
      <c r="Q164" s="166">
        <f t="shared" si="7"/>
        <v>0</v>
      </c>
      <c r="R164" s="169"/>
      <c r="S164" s="169"/>
      <c r="T164" s="169"/>
      <c r="U164" s="169"/>
      <c r="V164" s="166">
        <f t="shared" si="8"/>
        <v>0</v>
      </c>
      <c r="W164" s="205"/>
      <c r="X164" s="167"/>
    </row>
    <row r="165" spans="8:24" s="220" customFormat="1" ht="12" hidden="1" customHeight="1">
      <c r="H165" s="162" t="s">
        <v>1339</v>
      </c>
      <c r="I165" s="163" t="s">
        <v>969</v>
      </c>
      <c r="J165" s="163" t="s">
        <v>1690</v>
      </c>
      <c r="K165" s="162" t="s">
        <v>2299</v>
      </c>
      <c r="L165" s="164" t="s">
        <v>5</v>
      </c>
      <c r="M165" s="169"/>
      <c r="N165" s="165">
        <v>280</v>
      </c>
      <c r="O165" s="169">
        <f t="shared" si="10"/>
        <v>0</v>
      </c>
      <c r="P165" s="165">
        <v>16198</v>
      </c>
      <c r="Q165" s="166">
        <f t="shared" si="7"/>
        <v>0</v>
      </c>
      <c r="R165" s="169"/>
      <c r="S165" s="169"/>
      <c r="T165" s="169"/>
      <c r="U165" s="169"/>
      <c r="V165" s="166">
        <f t="shared" si="8"/>
        <v>0</v>
      </c>
      <c r="W165" s="205"/>
      <c r="X165" s="167"/>
    </row>
    <row r="166" spans="8:24" s="220" customFormat="1" ht="12" hidden="1" customHeight="1">
      <c r="H166" s="162" t="s">
        <v>1340</v>
      </c>
      <c r="I166" s="163" t="s">
        <v>970</v>
      </c>
      <c r="J166" s="163" t="s">
        <v>1692</v>
      </c>
      <c r="K166" s="162" t="s">
        <v>2300</v>
      </c>
      <c r="L166" s="164" t="s">
        <v>5</v>
      </c>
      <c r="M166" s="169"/>
      <c r="N166" s="165">
        <v>550</v>
      </c>
      <c r="O166" s="169">
        <f t="shared" si="10"/>
        <v>0</v>
      </c>
      <c r="P166" s="165">
        <v>21597</v>
      </c>
      <c r="Q166" s="166">
        <f t="shared" si="7"/>
        <v>0</v>
      </c>
      <c r="R166" s="169"/>
      <c r="S166" s="169"/>
      <c r="T166" s="169"/>
      <c r="U166" s="169"/>
      <c r="V166" s="166">
        <f t="shared" si="8"/>
        <v>0</v>
      </c>
      <c r="W166" s="205"/>
      <c r="X166" s="167"/>
    </row>
    <row r="167" spans="8:24" s="220" customFormat="1" ht="12" hidden="1" customHeight="1">
      <c r="H167" s="162" t="s">
        <v>1341</v>
      </c>
      <c r="I167" s="163" t="s">
        <v>971</v>
      </c>
      <c r="J167" s="163" t="s">
        <v>1694</v>
      </c>
      <c r="K167" s="162" t="s">
        <v>2301</v>
      </c>
      <c r="L167" s="164" t="s">
        <v>5</v>
      </c>
      <c r="M167" s="169"/>
      <c r="N167" s="165">
        <v>1050</v>
      </c>
      <c r="O167" s="169">
        <f t="shared" si="10"/>
        <v>0</v>
      </c>
      <c r="P167" s="165">
        <v>26996</v>
      </c>
      <c r="Q167" s="166">
        <f t="shared" si="7"/>
        <v>0</v>
      </c>
      <c r="R167" s="169"/>
      <c r="S167" s="169"/>
      <c r="T167" s="169"/>
      <c r="U167" s="169"/>
      <c r="V167" s="166">
        <f t="shared" si="8"/>
        <v>0</v>
      </c>
      <c r="W167" s="205"/>
      <c r="X167" s="167"/>
    </row>
    <row r="168" spans="8:24" s="220" customFormat="1" ht="12" hidden="1" customHeight="1">
      <c r="H168" s="162" t="s">
        <v>660</v>
      </c>
      <c r="I168" s="163" t="s">
        <v>986</v>
      </c>
      <c r="J168" s="163" t="s">
        <v>2360</v>
      </c>
      <c r="K168" s="162" t="s">
        <v>2361</v>
      </c>
      <c r="L168" s="164" t="s">
        <v>5</v>
      </c>
      <c r="M168" s="169"/>
      <c r="N168" s="165">
        <v>44000</v>
      </c>
      <c r="O168" s="169">
        <f t="shared" si="10"/>
        <v>0</v>
      </c>
      <c r="P168" s="165">
        <v>11878</v>
      </c>
      <c r="Q168" s="166">
        <f t="shared" si="7"/>
        <v>0</v>
      </c>
      <c r="R168" s="169"/>
      <c r="S168" s="169"/>
      <c r="T168" s="169"/>
      <c r="U168" s="169"/>
      <c r="V168" s="166">
        <f t="shared" si="8"/>
        <v>0</v>
      </c>
      <c r="W168" s="205"/>
      <c r="X168" s="167"/>
    </row>
    <row r="169" spans="8:24" s="220" customFormat="1" ht="12" hidden="1" customHeight="1">
      <c r="H169" s="162" t="s">
        <v>661</v>
      </c>
      <c r="I169" s="163" t="s">
        <v>986</v>
      </c>
      <c r="J169" s="163" t="s">
        <v>2360</v>
      </c>
      <c r="K169" s="162" t="s">
        <v>2362</v>
      </c>
      <c r="L169" s="164" t="s">
        <v>5</v>
      </c>
      <c r="M169" s="169"/>
      <c r="N169" s="165">
        <v>53100</v>
      </c>
      <c r="O169" s="169">
        <f t="shared" si="10"/>
        <v>0</v>
      </c>
      <c r="P169" s="165">
        <v>11878</v>
      </c>
      <c r="Q169" s="166">
        <f t="shared" si="7"/>
        <v>0</v>
      </c>
      <c r="R169" s="169"/>
      <c r="S169" s="169"/>
      <c r="T169" s="169"/>
      <c r="U169" s="169"/>
      <c r="V169" s="166">
        <f t="shared" si="8"/>
        <v>0</v>
      </c>
      <c r="W169" s="205"/>
      <c r="X169" s="167"/>
    </row>
    <row r="170" spans="8:24" s="220" customFormat="1" ht="12" hidden="1" customHeight="1">
      <c r="H170" s="162" t="s">
        <v>662</v>
      </c>
      <c r="I170" s="163" t="s">
        <v>986</v>
      </c>
      <c r="J170" s="163" t="s">
        <v>2360</v>
      </c>
      <c r="K170" s="162" t="s">
        <v>2363</v>
      </c>
      <c r="L170" s="164" t="s">
        <v>5</v>
      </c>
      <c r="M170" s="169"/>
      <c r="N170" s="165">
        <v>70000</v>
      </c>
      <c r="O170" s="169">
        <f t="shared" si="10"/>
        <v>0</v>
      </c>
      <c r="P170" s="165">
        <v>11878</v>
      </c>
      <c r="Q170" s="166">
        <f t="shared" si="7"/>
        <v>0</v>
      </c>
      <c r="R170" s="169"/>
      <c r="S170" s="169"/>
      <c r="T170" s="169"/>
      <c r="U170" s="169"/>
      <c r="V170" s="166">
        <f t="shared" si="8"/>
        <v>0</v>
      </c>
      <c r="W170" s="205"/>
      <c r="X170" s="167"/>
    </row>
    <row r="171" spans="8:24" s="220" customFormat="1" ht="12" hidden="1" customHeight="1">
      <c r="H171" s="162" t="s">
        <v>663</v>
      </c>
      <c r="I171" s="163" t="s">
        <v>987</v>
      </c>
      <c r="J171" s="163" t="s">
        <v>2364</v>
      </c>
      <c r="K171" s="162" t="s">
        <v>2365</v>
      </c>
      <c r="L171" s="164" t="s">
        <v>5</v>
      </c>
      <c r="M171" s="169"/>
      <c r="N171" s="165">
        <v>92600</v>
      </c>
      <c r="O171" s="169">
        <f t="shared" si="10"/>
        <v>0</v>
      </c>
      <c r="P171" s="165">
        <v>15928</v>
      </c>
      <c r="Q171" s="166">
        <f t="shared" si="7"/>
        <v>0</v>
      </c>
      <c r="R171" s="169"/>
      <c r="S171" s="169"/>
      <c r="T171" s="169"/>
      <c r="U171" s="169"/>
      <c r="V171" s="166">
        <f t="shared" si="8"/>
        <v>0</v>
      </c>
      <c r="W171" s="205"/>
      <c r="X171" s="167"/>
    </row>
    <row r="172" spans="8:24" s="220" customFormat="1" ht="12" hidden="1" customHeight="1">
      <c r="H172" s="162" t="s">
        <v>664</v>
      </c>
      <c r="I172" s="163" t="s">
        <v>988</v>
      </c>
      <c r="J172" s="163" t="s">
        <v>2366</v>
      </c>
      <c r="K172" s="162" t="s">
        <v>2367</v>
      </c>
      <c r="L172" s="164" t="s">
        <v>5</v>
      </c>
      <c r="M172" s="169"/>
      <c r="N172" s="165">
        <v>65900</v>
      </c>
      <c r="O172" s="169">
        <f t="shared" si="10"/>
        <v>0</v>
      </c>
      <c r="P172" s="165">
        <v>19437</v>
      </c>
      <c r="Q172" s="166">
        <f t="shared" si="7"/>
        <v>0</v>
      </c>
      <c r="R172" s="169"/>
      <c r="S172" s="169"/>
      <c r="T172" s="169"/>
      <c r="U172" s="169"/>
      <c r="V172" s="166">
        <f t="shared" si="8"/>
        <v>0</v>
      </c>
      <c r="W172" s="205"/>
      <c r="X172" s="167"/>
    </row>
    <row r="173" spans="8:24" s="220" customFormat="1" ht="12" hidden="1" customHeight="1">
      <c r="H173" s="162" t="s">
        <v>665</v>
      </c>
      <c r="I173" s="163" t="s">
        <v>989</v>
      </c>
      <c r="J173" s="163" t="s">
        <v>2368</v>
      </c>
      <c r="K173" s="162" t="s">
        <v>2369</v>
      </c>
      <c r="L173" s="164" t="s">
        <v>5</v>
      </c>
      <c r="M173" s="169"/>
      <c r="N173" s="165">
        <v>99000</v>
      </c>
      <c r="O173" s="169">
        <f t="shared" si="10"/>
        <v>0</v>
      </c>
      <c r="P173" s="165">
        <v>23487</v>
      </c>
      <c r="Q173" s="166">
        <f t="shared" si="7"/>
        <v>0</v>
      </c>
      <c r="R173" s="169"/>
      <c r="S173" s="169"/>
      <c r="T173" s="169"/>
      <c r="U173" s="169"/>
      <c r="V173" s="166">
        <f t="shared" si="8"/>
        <v>0</v>
      </c>
      <c r="W173" s="205"/>
      <c r="X173" s="167"/>
    </row>
    <row r="174" spans="8:24" s="220" customFormat="1" ht="12" hidden="1" customHeight="1">
      <c r="H174" s="162" t="s">
        <v>666</v>
      </c>
      <c r="I174" s="163" t="s">
        <v>990</v>
      </c>
      <c r="J174" s="163" t="s">
        <v>2370</v>
      </c>
      <c r="K174" s="162" t="s">
        <v>2371</v>
      </c>
      <c r="L174" s="164" t="s">
        <v>5</v>
      </c>
      <c r="M174" s="169"/>
      <c r="N174" s="165">
        <v>108000</v>
      </c>
      <c r="O174" s="169">
        <f t="shared" si="10"/>
        <v>0</v>
      </c>
      <c r="P174" s="165">
        <v>28076</v>
      </c>
      <c r="Q174" s="166">
        <f t="shared" si="7"/>
        <v>0</v>
      </c>
      <c r="R174" s="169"/>
      <c r="S174" s="169"/>
      <c r="T174" s="169"/>
      <c r="U174" s="169"/>
      <c r="V174" s="166">
        <f t="shared" si="8"/>
        <v>0</v>
      </c>
      <c r="W174" s="205"/>
      <c r="X174" s="167"/>
    </row>
    <row r="175" spans="8:24" s="220" customFormat="1" ht="12" hidden="1" customHeight="1">
      <c r="H175" s="162" t="s">
        <v>667</v>
      </c>
      <c r="I175" s="163" t="s">
        <v>991</v>
      </c>
      <c r="J175" s="163" t="s">
        <v>2372</v>
      </c>
      <c r="K175" s="162" t="s">
        <v>2373</v>
      </c>
      <c r="L175" s="164" t="s">
        <v>5</v>
      </c>
      <c r="M175" s="169"/>
      <c r="N175" s="165">
        <v>124000</v>
      </c>
      <c r="O175" s="169">
        <f t="shared" ref="O175:O238" si="11">M175*N175*$O$3</f>
        <v>0</v>
      </c>
      <c r="P175" s="165">
        <v>36715</v>
      </c>
      <c r="Q175" s="166">
        <f t="shared" si="7"/>
        <v>0</v>
      </c>
      <c r="R175" s="169"/>
      <c r="S175" s="169"/>
      <c r="T175" s="169"/>
      <c r="U175" s="169"/>
      <c r="V175" s="166">
        <f t="shared" si="8"/>
        <v>0</v>
      </c>
      <c r="W175" s="205"/>
      <c r="X175" s="167"/>
    </row>
    <row r="176" spans="8:24" s="220" customFormat="1" ht="12" hidden="1" customHeight="1">
      <c r="H176" s="162" t="s">
        <v>668</v>
      </c>
      <c r="I176" s="163" t="s">
        <v>992</v>
      </c>
      <c r="J176" s="163" t="s">
        <v>2374</v>
      </c>
      <c r="K176" s="162" t="s">
        <v>2375</v>
      </c>
      <c r="L176" s="164" t="s">
        <v>5</v>
      </c>
      <c r="M176" s="169"/>
      <c r="N176" s="165">
        <v>119000</v>
      </c>
      <c r="O176" s="169">
        <f t="shared" si="11"/>
        <v>0</v>
      </c>
      <c r="P176" s="165">
        <v>42115</v>
      </c>
      <c r="Q176" s="166">
        <f t="shared" si="7"/>
        <v>0</v>
      </c>
      <c r="R176" s="169"/>
      <c r="S176" s="169"/>
      <c r="T176" s="169"/>
      <c r="U176" s="169"/>
      <c r="V176" s="166">
        <f t="shared" si="8"/>
        <v>0</v>
      </c>
      <c r="W176" s="205"/>
      <c r="X176" s="167"/>
    </row>
    <row r="177" spans="8:24" s="220" customFormat="1" ht="12" hidden="1" customHeight="1">
      <c r="H177" s="162" t="s">
        <v>1201</v>
      </c>
      <c r="I177" s="163" t="s">
        <v>1106</v>
      </c>
      <c r="J177" s="163" t="s">
        <v>2314</v>
      </c>
      <c r="K177" s="162" t="s">
        <v>2655</v>
      </c>
      <c r="L177" s="164" t="s">
        <v>92</v>
      </c>
      <c r="M177" s="169"/>
      <c r="N177" s="165">
        <v>1900000</v>
      </c>
      <c r="O177" s="169">
        <f t="shared" si="11"/>
        <v>0</v>
      </c>
      <c r="P177" s="165">
        <v>145782</v>
      </c>
      <c r="Q177" s="166">
        <f t="shared" si="7"/>
        <v>0</v>
      </c>
      <c r="R177" s="169"/>
      <c r="S177" s="169"/>
      <c r="T177" s="169"/>
      <c r="U177" s="169"/>
      <c r="V177" s="166">
        <f t="shared" si="8"/>
        <v>0</v>
      </c>
      <c r="W177" s="205"/>
      <c r="X177" s="167"/>
    </row>
    <row r="178" spans="8:24" s="220" customFormat="1" ht="12" hidden="1" customHeight="1">
      <c r="H178" s="162" t="s">
        <v>1202</v>
      </c>
      <c r="I178" s="163" t="s">
        <v>1106</v>
      </c>
      <c r="J178" s="163" t="s">
        <v>2314</v>
      </c>
      <c r="K178" s="162" t="s">
        <v>2656</v>
      </c>
      <c r="L178" s="164" t="s">
        <v>92</v>
      </c>
      <c r="M178" s="169"/>
      <c r="N178" s="165">
        <v>1900000</v>
      </c>
      <c r="O178" s="169">
        <f t="shared" si="11"/>
        <v>0</v>
      </c>
      <c r="P178" s="165">
        <v>145782</v>
      </c>
      <c r="Q178" s="166">
        <f t="shared" si="7"/>
        <v>0</v>
      </c>
      <c r="R178" s="169"/>
      <c r="S178" s="169"/>
      <c r="T178" s="169"/>
      <c r="U178" s="169"/>
      <c r="V178" s="166">
        <f t="shared" si="8"/>
        <v>0</v>
      </c>
      <c r="W178" s="205"/>
      <c r="X178" s="167"/>
    </row>
    <row r="179" spans="8:24" s="220" customFormat="1" ht="12" hidden="1" customHeight="1">
      <c r="H179" s="162" t="s">
        <v>1203</v>
      </c>
      <c r="I179" s="163" t="s">
        <v>1106</v>
      </c>
      <c r="J179" s="163" t="s">
        <v>2314</v>
      </c>
      <c r="K179" s="162" t="s">
        <v>2657</v>
      </c>
      <c r="L179" s="164" t="s">
        <v>92</v>
      </c>
      <c r="M179" s="169"/>
      <c r="N179" s="165">
        <v>2400000</v>
      </c>
      <c r="O179" s="169">
        <f t="shared" si="11"/>
        <v>0</v>
      </c>
      <c r="P179" s="165">
        <v>145782</v>
      </c>
      <c r="Q179" s="166">
        <f t="shared" si="7"/>
        <v>0</v>
      </c>
      <c r="R179" s="169"/>
      <c r="S179" s="169"/>
      <c r="T179" s="169"/>
      <c r="U179" s="169"/>
      <c r="V179" s="166">
        <f t="shared" si="8"/>
        <v>0</v>
      </c>
      <c r="W179" s="205"/>
      <c r="X179" s="167"/>
    </row>
    <row r="180" spans="8:24" s="220" customFormat="1" ht="12" hidden="1" customHeight="1">
      <c r="H180" s="162" t="s">
        <v>1204</v>
      </c>
      <c r="I180" s="163" t="s">
        <v>1106</v>
      </c>
      <c r="J180" s="163" t="s">
        <v>2314</v>
      </c>
      <c r="K180" s="162" t="s">
        <v>2658</v>
      </c>
      <c r="L180" s="164" t="s">
        <v>92</v>
      </c>
      <c r="M180" s="169"/>
      <c r="N180" s="165">
        <v>2700000</v>
      </c>
      <c r="O180" s="169">
        <f t="shared" si="11"/>
        <v>0</v>
      </c>
      <c r="P180" s="165">
        <v>145782</v>
      </c>
      <c r="Q180" s="166">
        <f t="shared" si="7"/>
        <v>0</v>
      </c>
      <c r="R180" s="169"/>
      <c r="S180" s="169"/>
      <c r="T180" s="169"/>
      <c r="U180" s="169"/>
      <c r="V180" s="166">
        <f t="shared" si="8"/>
        <v>0</v>
      </c>
      <c r="W180" s="205"/>
      <c r="X180" s="167"/>
    </row>
    <row r="181" spans="8:24" s="220" customFormat="1" ht="12" hidden="1" customHeight="1">
      <c r="H181" s="162" t="s">
        <v>1205</v>
      </c>
      <c r="I181" s="163" t="s">
        <v>1106</v>
      </c>
      <c r="J181" s="163" t="s">
        <v>2314</v>
      </c>
      <c r="K181" s="162" t="s">
        <v>2659</v>
      </c>
      <c r="L181" s="164" t="s">
        <v>92</v>
      </c>
      <c r="M181" s="169"/>
      <c r="N181" s="165">
        <v>3400000</v>
      </c>
      <c r="O181" s="169">
        <f t="shared" si="11"/>
        <v>0</v>
      </c>
      <c r="P181" s="165">
        <v>145782</v>
      </c>
      <c r="Q181" s="166">
        <f t="shared" si="7"/>
        <v>0</v>
      </c>
      <c r="R181" s="169"/>
      <c r="S181" s="169"/>
      <c r="T181" s="169"/>
      <c r="U181" s="169"/>
      <c r="V181" s="166">
        <f t="shared" si="8"/>
        <v>0</v>
      </c>
      <c r="W181" s="205"/>
      <c r="X181" s="167"/>
    </row>
    <row r="182" spans="8:24" s="220" customFormat="1" ht="12" hidden="1" customHeight="1">
      <c r="H182" s="162" t="s">
        <v>677</v>
      </c>
      <c r="I182" s="163" t="s">
        <v>1106</v>
      </c>
      <c r="J182" s="163" t="s">
        <v>2314</v>
      </c>
      <c r="K182" s="162" t="s">
        <v>2315</v>
      </c>
      <c r="L182" s="164" t="s">
        <v>92</v>
      </c>
      <c r="M182" s="169"/>
      <c r="N182" s="165">
        <v>3700000</v>
      </c>
      <c r="O182" s="169">
        <f t="shared" si="11"/>
        <v>0</v>
      </c>
      <c r="P182" s="165">
        <v>145782</v>
      </c>
      <c r="Q182" s="166">
        <f t="shared" si="7"/>
        <v>0</v>
      </c>
      <c r="R182" s="169"/>
      <c r="S182" s="169"/>
      <c r="T182" s="169"/>
      <c r="U182" s="169"/>
      <c r="V182" s="166">
        <f t="shared" si="8"/>
        <v>0</v>
      </c>
      <c r="W182" s="205"/>
      <c r="X182" s="167"/>
    </row>
    <row r="183" spans="8:24" s="220" customFormat="1" ht="12" hidden="1" customHeight="1">
      <c r="H183" s="162" t="s">
        <v>678</v>
      </c>
      <c r="I183" s="163" t="s">
        <v>1106</v>
      </c>
      <c r="J183" s="163" t="s">
        <v>2314</v>
      </c>
      <c r="K183" s="162" t="s">
        <v>2316</v>
      </c>
      <c r="L183" s="164" t="s">
        <v>92</v>
      </c>
      <c r="M183" s="169"/>
      <c r="N183" s="165">
        <v>4500000</v>
      </c>
      <c r="O183" s="169">
        <f t="shared" si="11"/>
        <v>0</v>
      </c>
      <c r="P183" s="165">
        <v>145782</v>
      </c>
      <c r="Q183" s="166">
        <f t="shared" si="7"/>
        <v>0</v>
      </c>
      <c r="R183" s="169"/>
      <c r="S183" s="169"/>
      <c r="T183" s="169"/>
      <c r="U183" s="169"/>
      <c r="V183" s="166">
        <f t="shared" si="8"/>
        <v>0</v>
      </c>
      <c r="W183" s="205"/>
      <c r="X183" s="167"/>
    </row>
    <row r="184" spans="8:24" s="220" customFormat="1" ht="12" hidden="1" customHeight="1">
      <c r="H184" s="162" t="s">
        <v>679</v>
      </c>
      <c r="I184" s="163" t="s">
        <v>1106</v>
      </c>
      <c r="J184" s="163" t="s">
        <v>2314</v>
      </c>
      <c r="K184" s="162" t="s">
        <v>2317</v>
      </c>
      <c r="L184" s="164" t="s">
        <v>92</v>
      </c>
      <c r="M184" s="169"/>
      <c r="N184" s="165">
        <v>4600000</v>
      </c>
      <c r="O184" s="169">
        <f t="shared" si="11"/>
        <v>0</v>
      </c>
      <c r="P184" s="165">
        <v>145782</v>
      </c>
      <c r="Q184" s="166">
        <f t="shared" si="7"/>
        <v>0</v>
      </c>
      <c r="R184" s="169"/>
      <c r="S184" s="169"/>
      <c r="T184" s="169"/>
      <c r="U184" s="169"/>
      <c r="V184" s="166">
        <f t="shared" si="8"/>
        <v>0</v>
      </c>
      <c r="W184" s="205"/>
      <c r="X184" s="167"/>
    </row>
    <row r="185" spans="8:24" s="220" customFormat="1" ht="12" hidden="1" customHeight="1">
      <c r="H185" s="162" t="s">
        <v>680</v>
      </c>
      <c r="I185" s="163" t="s">
        <v>1107</v>
      </c>
      <c r="J185" s="163" t="s">
        <v>2318</v>
      </c>
      <c r="K185" s="162" t="s">
        <v>2319</v>
      </c>
      <c r="L185" s="164" t="s">
        <v>92</v>
      </c>
      <c r="M185" s="169"/>
      <c r="N185" s="165">
        <v>5800000</v>
      </c>
      <c r="O185" s="169">
        <f t="shared" si="11"/>
        <v>0</v>
      </c>
      <c r="P185" s="165">
        <v>199776</v>
      </c>
      <c r="Q185" s="166">
        <f t="shared" si="7"/>
        <v>0</v>
      </c>
      <c r="R185" s="169"/>
      <c r="S185" s="169"/>
      <c r="T185" s="169"/>
      <c r="U185" s="169"/>
      <c r="V185" s="166">
        <f t="shared" si="8"/>
        <v>0</v>
      </c>
      <c r="W185" s="205"/>
      <c r="X185" s="167"/>
    </row>
    <row r="186" spans="8:24" s="220" customFormat="1" ht="12" hidden="1" customHeight="1">
      <c r="H186" s="162" t="s">
        <v>681</v>
      </c>
      <c r="I186" s="163" t="s">
        <v>1107</v>
      </c>
      <c r="J186" s="163" t="s">
        <v>2318</v>
      </c>
      <c r="K186" s="162" t="s">
        <v>2320</v>
      </c>
      <c r="L186" s="164" t="s">
        <v>92</v>
      </c>
      <c r="M186" s="169"/>
      <c r="N186" s="165">
        <v>6000000</v>
      </c>
      <c r="O186" s="169">
        <f t="shared" si="11"/>
        <v>0</v>
      </c>
      <c r="P186" s="165">
        <v>199776</v>
      </c>
      <c r="Q186" s="166">
        <f t="shared" si="7"/>
        <v>0</v>
      </c>
      <c r="R186" s="169"/>
      <c r="S186" s="169"/>
      <c r="T186" s="169"/>
      <c r="U186" s="169"/>
      <c r="V186" s="166">
        <f t="shared" si="8"/>
        <v>0</v>
      </c>
      <c r="W186" s="205"/>
      <c r="X186" s="167"/>
    </row>
    <row r="187" spans="8:24" s="220" customFormat="1" ht="12" hidden="1" customHeight="1">
      <c r="H187" s="162" t="s">
        <v>682</v>
      </c>
      <c r="I187" s="163" t="s">
        <v>1107</v>
      </c>
      <c r="J187" s="163" t="s">
        <v>2318</v>
      </c>
      <c r="K187" s="162" t="s">
        <v>2321</v>
      </c>
      <c r="L187" s="164" t="s">
        <v>92</v>
      </c>
      <c r="M187" s="169"/>
      <c r="N187" s="165">
        <v>7000000</v>
      </c>
      <c r="O187" s="169">
        <f t="shared" si="11"/>
        <v>0</v>
      </c>
      <c r="P187" s="165">
        <v>199776</v>
      </c>
      <c r="Q187" s="166">
        <f t="shared" si="7"/>
        <v>0</v>
      </c>
      <c r="R187" s="169"/>
      <c r="S187" s="169"/>
      <c r="T187" s="169"/>
      <c r="U187" s="169"/>
      <c r="V187" s="166">
        <f t="shared" si="8"/>
        <v>0</v>
      </c>
      <c r="W187" s="205"/>
      <c r="X187" s="167"/>
    </row>
    <row r="188" spans="8:24" s="220" customFormat="1" ht="12" hidden="1" customHeight="1">
      <c r="H188" s="162" t="s">
        <v>683</v>
      </c>
      <c r="I188" s="163" t="s">
        <v>1107</v>
      </c>
      <c r="J188" s="163" t="s">
        <v>2318</v>
      </c>
      <c r="K188" s="162" t="s">
        <v>2322</v>
      </c>
      <c r="L188" s="164" t="s">
        <v>92</v>
      </c>
      <c r="M188" s="169"/>
      <c r="N188" s="165">
        <v>7400000</v>
      </c>
      <c r="O188" s="169">
        <f t="shared" si="11"/>
        <v>0</v>
      </c>
      <c r="P188" s="165">
        <v>199776</v>
      </c>
      <c r="Q188" s="166">
        <f t="shared" si="7"/>
        <v>0</v>
      </c>
      <c r="R188" s="169"/>
      <c r="S188" s="169"/>
      <c r="T188" s="169"/>
      <c r="U188" s="169"/>
      <c r="V188" s="166">
        <f t="shared" si="8"/>
        <v>0</v>
      </c>
      <c r="W188" s="205"/>
      <c r="X188" s="167"/>
    </row>
    <row r="189" spans="8:24" s="220" customFormat="1" ht="12" hidden="1" customHeight="1">
      <c r="H189" s="162" t="s">
        <v>684</v>
      </c>
      <c r="I189" s="163" t="s">
        <v>1108</v>
      </c>
      <c r="J189" s="163" t="s">
        <v>2323</v>
      </c>
      <c r="K189" s="162" t="s">
        <v>2324</v>
      </c>
      <c r="L189" s="164" t="s">
        <v>92</v>
      </c>
      <c r="M189" s="169"/>
      <c r="N189" s="165">
        <v>8000000</v>
      </c>
      <c r="O189" s="169">
        <f t="shared" si="11"/>
        <v>0</v>
      </c>
      <c r="P189" s="165">
        <v>280766</v>
      </c>
      <c r="Q189" s="166">
        <f t="shared" si="7"/>
        <v>0</v>
      </c>
      <c r="R189" s="169"/>
      <c r="S189" s="169"/>
      <c r="T189" s="169"/>
      <c r="U189" s="169"/>
      <c r="V189" s="166">
        <f t="shared" si="8"/>
        <v>0</v>
      </c>
      <c r="W189" s="205"/>
      <c r="X189" s="167"/>
    </row>
    <row r="190" spans="8:24" s="220" customFormat="1" ht="12" hidden="1" customHeight="1">
      <c r="H190" s="162" t="s">
        <v>685</v>
      </c>
      <c r="I190" s="163" t="s">
        <v>1108</v>
      </c>
      <c r="J190" s="163" t="s">
        <v>2323</v>
      </c>
      <c r="K190" s="162" t="s">
        <v>2325</v>
      </c>
      <c r="L190" s="164" t="s">
        <v>92</v>
      </c>
      <c r="M190" s="169"/>
      <c r="N190" s="165">
        <v>9000000</v>
      </c>
      <c r="O190" s="169">
        <f t="shared" si="11"/>
        <v>0</v>
      </c>
      <c r="P190" s="165">
        <v>280766</v>
      </c>
      <c r="Q190" s="166">
        <f t="shared" si="7"/>
        <v>0</v>
      </c>
      <c r="R190" s="169"/>
      <c r="S190" s="169"/>
      <c r="T190" s="169"/>
      <c r="U190" s="169"/>
      <c r="V190" s="166">
        <f t="shared" si="8"/>
        <v>0</v>
      </c>
      <c r="W190" s="205"/>
      <c r="X190" s="167"/>
    </row>
    <row r="191" spans="8:24" s="220" customFormat="1" ht="12" hidden="1" customHeight="1">
      <c r="H191" s="162" t="s">
        <v>922</v>
      </c>
      <c r="I191" s="163" t="s">
        <v>1108</v>
      </c>
      <c r="J191" s="163" t="s">
        <v>2323</v>
      </c>
      <c r="K191" s="162" t="s">
        <v>2326</v>
      </c>
      <c r="L191" s="164" t="s">
        <v>92</v>
      </c>
      <c r="M191" s="169"/>
      <c r="N191" s="165">
        <v>11682000</v>
      </c>
      <c r="O191" s="169">
        <f t="shared" si="11"/>
        <v>0</v>
      </c>
      <c r="P191" s="165">
        <v>280766</v>
      </c>
      <c r="Q191" s="166">
        <f t="shared" si="7"/>
        <v>0</v>
      </c>
      <c r="R191" s="169"/>
      <c r="S191" s="169"/>
      <c r="T191" s="169"/>
      <c r="U191" s="169"/>
      <c r="V191" s="166">
        <f t="shared" si="8"/>
        <v>0</v>
      </c>
      <c r="W191" s="205"/>
      <c r="X191" s="167"/>
    </row>
    <row r="192" spans="8:24" s="220" customFormat="1" ht="12" hidden="1" customHeight="1">
      <c r="H192" s="162" t="s">
        <v>1361</v>
      </c>
      <c r="I192" s="163" t="s">
        <v>1159</v>
      </c>
      <c r="J192" s="163" t="s">
        <v>2454</v>
      </c>
      <c r="K192" s="162" t="s">
        <v>2455</v>
      </c>
      <c r="L192" s="164" t="s">
        <v>744</v>
      </c>
      <c r="M192" s="169"/>
      <c r="N192" s="165">
        <v>221000</v>
      </c>
      <c r="O192" s="169">
        <f t="shared" si="11"/>
        <v>0</v>
      </c>
      <c r="P192" s="165">
        <v>114354</v>
      </c>
      <c r="Q192" s="166">
        <f t="shared" si="7"/>
        <v>0</v>
      </c>
      <c r="R192" s="169"/>
      <c r="S192" s="169"/>
      <c r="T192" s="169"/>
      <c r="U192" s="169"/>
      <c r="V192" s="166">
        <f t="shared" si="8"/>
        <v>0</v>
      </c>
      <c r="W192" s="205"/>
      <c r="X192" s="167"/>
    </row>
    <row r="193" spans="8:24" s="220" customFormat="1" ht="12" hidden="1" customHeight="1">
      <c r="H193" s="162" t="s">
        <v>1362</v>
      </c>
      <c r="I193" s="163" t="s">
        <v>1159</v>
      </c>
      <c r="J193" s="163" t="s">
        <v>2454</v>
      </c>
      <c r="K193" s="162" t="s">
        <v>2456</v>
      </c>
      <c r="L193" s="164" t="s">
        <v>744</v>
      </c>
      <c r="M193" s="169"/>
      <c r="N193" s="165">
        <v>251000</v>
      </c>
      <c r="O193" s="169">
        <f t="shared" si="11"/>
        <v>0</v>
      </c>
      <c r="P193" s="165">
        <v>114354</v>
      </c>
      <c r="Q193" s="166">
        <f t="shared" si="7"/>
        <v>0</v>
      </c>
      <c r="R193" s="169"/>
      <c r="S193" s="169"/>
      <c r="T193" s="169"/>
      <c r="U193" s="169"/>
      <c r="V193" s="166">
        <f t="shared" si="8"/>
        <v>0</v>
      </c>
      <c r="W193" s="205"/>
      <c r="X193" s="167"/>
    </row>
    <row r="194" spans="8:24" s="220" customFormat="1" ht="12" hidden="1" customHeight="1">
      <c r="H194" s="162" t="s">
        <v>1363</v>
      </c>
      <c r="I194" s="163" t="s">
        <v>1160</v>
      </c>
      <c r="J194" s="163" t="s">
        <v>2457</v>
      </c>
      <c r="K194" s="162" t="s">
        <v>2458</v>
      </c>
      <c r="L194" s="164" t="s">
        <v>744</v>
      </c>
      <c r="M194" s="169"/>
      <c r="N194" s="165">
        <v>316000</v>
      </c>
      <c r="O194" s="169">
        <f t="shared" si="11"/>
        <v>0</v>
      </c>
      <c r="P194" s="165">
        <v>171531</v>
      </c>
      <c r="Q194" s="166">
        <f t="shared" si="7"/>
        <v>0</v>
      </c>
      <c r="R194" s="169"/>
      <c r="S194" s="169"/>
      <c r="T194" s="169"/>
      <c r="U194" s="169"/>
      <c r="V194" s="166">
        <f t="shared" si="8"/>
        <v>0</v>
      </c>
      <c r="W194" s="205"/>
      <c r="X194" s="167"/>
    </row>
    <row r="195" spans="8:24" s="220" customFormat="1" ht="12" hidden="1" customHeight="1">
      <c r="H195" s="162" t="s">
        <v>1364</v>
      </c>
      <c r="I195" s="163" t="s">
        <v>1160</v>
      </c>
      <c r="J195" s="163" t="s">
        <v>2457</v>
      </c>
      <c r="K195" s="162" t="s">
        <v>2459</v>
      </c>
      <c r="L195" s="164" t="s">
        <v>744</v>
      </c>
      <c r="M195" s="169"/>
      <c r="N195" s="165">
        <v>361000</v>
      </c>
      <c r="O195" s="169">
        <f t="shared" si="11"/>
        <v>0</v>
      </c>
      <c r="P195" s="165">
        <v>171531</v>
      </c>
      <c r="Q195" s="166">
        <f t="shared" si="7"/>
        <v>0</v>
      </c>
      <c r="R195" s="169"/>
      <c r="S195" s="169"/>
      <c r="T195" s="169"/>
      <c r="U195" s="169"/>
      <c r="V195" s="166">
        <f t="shared" si="8"/>
        <v>0</v>
      </c>
      <c r="W195" s="205"/>
      <c r="X195" s="167"/>
    </row>
    <row r="196" spans="8:24" s="220" customFormat="1" ht="12" hidden="1" customHeight="1">
      <c r="H196" s="162" t="s">
        <v>1365</v>
      </c>
      <c r="I196" s="163" t="s">
        <v>1160</v>
      </c>
      <c r="J196" s="163" t="s">
        <v>2457</v>
      </c>
      <c r="K196" s="162" t="s">
        <v>2460</v>
      </c>
      <c r="L196" s="164" t="s">
        <v>744</v>
      </c>
      <c r="M196" s="169"/>
      <c r="N196" s="165">
        <v>435000</v>
      </c>
      <c r="O196" s="169">
        <f t="shared" si="11"/>
        <v>0</v>
      </c>
      <c r="P196" s="165">
        <v>171531</v>
      </c>
      <c r="Q196" s="166">
        <f t="shared" si="7"/>
        <v>0</v>
      </c>
      <c r="R196" s="169"/>
      <c r="S196" s="169"/>
      <c r="T196" s="169"/>
      <c r="U196" s="169"/>
      <c r="V196" s="166">
        <f t="shared" si="8"/>
        <v>0</v>
      </c>
      <c r="W196" s="205"/>
      <c r="X196" s="167"/>
    </row>
    <row r="197" spans="8:24" s="220" customFormat="1" ht="12" hidden="1" customHeight="1">
      <c r="H197" s="162" t="s">
        <v>1412</v>
      </c>
      <c r="I197" s="163" t="s">
        <v>1160</v>
      </c>
      <c r="J197" s="163" t="s">
        <v>2457</v>
      </c>
      <c r="K197" s="162" t="s">
        <v>2467</v>
      </c>
      <c r="L197" s="164" t="s">
        <v>744</v>
      </c>
      <c r="M197" s="169"/>
      <c r="N197" s="165">
        <v>500000</v>
      </c>
      <c r="O197" s="169">
        <f t="shared" si="11"/>
        <v>0</v>
      </c>
      <c r="P197" s="165">
        <v>171531</v>
      </c>
      <c r="Q197" s="166">
        <f t="shared" si="7"/>
        <v>0</v>
      </c>
      <c r="R197" s="169"/>
      <c r="S197" s="169"/>
      <c r="T197" s="169"/>
      <c r="U197" s="169"/>
      <c r="V197" s="166">
        <f t="shared" si="8"/>
        <v>0</v>
      </c>
      <c r="W197" s="205"/>
      <c r="X197" s="167"/>
    </row>
    <row r="198" spans="8:24" s="220" customFormat="1" ht="12" hidden="1" customHeight="1">
      <c r="H198" s="162" t="s">
        <v>1413</v>
      </c>
      <c r="I198" s="163" t="s">
        <v>1160</v>
      </c>
      <c r="J198" s="163" t="s">
        <v>2457</v>
      </c>
      <c r="K198" s="162" t="s">
        <v>2468</v>
      </c>
      <c r="L198" s="164" t="s">
        <v>744</v>
      </c>
      <c r="M198" s="169"/>
      <c r="N198" s="165">
        <v>674000</v>
      </c>
      <c r="O198" s="169">
        <f t="shared" si="11"/>
        <v>0</v>
      </c>
      <c r="P198" s="165">
        <v>171531</v>
      </c>
      <c r="Q198" s="166">
        <f t="shared" si="7"/>
        <v>0</v>
      </c>
      <c r="R198" s="169"/>
      <c r="S198" s="169"/>
      <c r="T198" s="169"/>
      <c r="U198" s="169"/>
      <c r="V198" s="166">
        <f t="shared" si="8"/>
        <v>0</v>
      </c>
      <c r="W198" s="205"/>
      <c r="X198" s="167"/>
    </row>
    <row r="199" spans="8:24" s="220" customFormat="1" ht="12" hidden="1" customHeight="1">
      <c r="H199" s="162" t="s">
        <v>1414</v>
      </c>
      <c r="I199" s="163" t="s">
        <v>1160</v>
      </c>
      <c r="J199" s="163" t="s">
        <v>2457</v>
      </c>
      <c r="K199" s="162" t="s">
        <v>2469</v>
      </c>
      <c r="L199" s="164" t="s">
        <v>744</v>
      </c>
      <c r="M199" s="169"/>
      <c r="N199" s="165">
        <v>832000</v>
      </c>
      <c r="O199" s="169">
        <f t="shared" si="11"/>
        <v>0</v>
      </c>
      <c r="P199" s="165">
        <v>171531</v>
      </c>
      <c r="Q199" s="166">
        <f t="shared" si="7"/>
        <v>0</v>
      </c>
      <c r="R199" s="169"/>
      <c r="S199" s="169"/>
      <c r="T199" s="169"/>
      <c r="U199" s="169"/>
      <c r="V199" s="166">
        <f t="shared" si="8"/>
        <v>0</v>
      </c>
      <c r="W199" s="205"/>
      <c r="X199" s="167"/>
    </row>
    <row r="200" spans="8:24" s="220" customFormat="1" ht="12" hidden="1" customHeight="1">
      <c r="H200" s="162" t="s">
        <v>1415</v>
      </c>
      <c r="I200" s="163" t="s">
        <v>2470</v>
      </c>
      <c r="J200" s="163" t="s">
        <v>2471</v>
      </c>
      <c r="K200" s="162" t="s">
        <v>2472</v>
      </c>
      <c r="L200" s="164" t="s">
        <v>744</v>
      </c>
      <c r="M200" s="169"/>
      <c r="N200" s="165">
        <v>1204000</v>
      </c>
      <c r="O200" s="169">
        <f t="shared" si="11"/>
        <v>0</v>
      </c>
      <c r="P200" s="165">
        <v>779688</v>
      </c>
      <c r="Q200" s="166">
        <f t="shared" si="7"/>
        <v>0</v>
      </c>
      <c r="R200" s="169"/>
      <c r="S200" s="169"/>
      <c r="T200" s="169"/>
      <c r="U200" s="169"/>
      <c r="V200" s="166">
        <f t="shared" si="8"/>
        <v>0</v>
      </c>
      <c r="W200" s="205"/>
      <c r="X200" s="167"/>
    </row>
    <row r="201" spans="8:24" s="220" customFormat="1" ht="12" hidden="1" customHeight="1">
      <c r="H201" s="162" t="s">
        <v>1416</v>
      </c>
      <c r="I201" s="163" t="s">
        <v>2470</v>
      </c>
      <c r="J201" s="163" t="s">
        <v>2471</v>
      </c>
      <c r="K201" s="162" t="s">
        <v>2473</v>
      </c>
      <c r="L201" s="164" t="s">
        <v>744</v>
      </c>
      <c r="M201" s="169"/>
      <c r="N201" s="165">
        <v>1465000</v>
      </c>
      <c r="O201" s="169">
        <f t="shared" si="11"/>
        <v>0</v>
      </c>
      <c r="P201" s="165">
        <v>779688</v>
      </c>
      <c r="Q201" s="166">
        <f t="shared" ref="Q201:Q265" si="12">IF(W201="",M201*P201*$Q$3*$W$3,M201*P201*$Q$3*W201)</f>
        <v>0</v>
      </c>
      <c r="R201" s="169"/>
      <c r="S201" s="169"/>
      <c r="T201" s="169"/>
      <c r="U201" s="169"/>
      <c r="V201" s="166">
        <f t="shared" ref="V201:V265" si="13">SUM(O201+Q201)+S201+U201</f>
        <v>0</v>
      </c>
      <c r="W201" s="205"/>
      <c r="X201" s="167"/>
    </row>
    <row r="202" spans="8:24" s="220" customFormat="1" ht="12" hidden="1" customHeight="1">
      <c r="H202" s="162" t="s">
        <v>1417</v>
      </c>
      <c r="I202" s="163" t="s">
        <v>2470</v>
      </c>
      <c r="J202" s="163" t="s">
        <v>2471</v>
      </c>
      <c r="K202" s="162" t="s">
        <v>2474</v>
      </c>
      <c r="L202" s="164" t="s">
        <v>744</v>
      </c>
      <c r="M202" s="169"/>
      <c r="N202" s="165">
        <v>1674000</v>
      </c>
      <c r="O202" s="169">
        <f t="shared" si="11"/>
        <v>0</v>
      </c>
      <c r="P202" s="165">
        <v>779688</v>
      </c>
      <c r="Q202" s="166">
        <f t="shared" si="12"/>
        <v>0</v>
      </c>
      <c r="R202" s="169"/>
      <c r="S202" s="169"/>
      <c r="T202" s="169"/>
      <c r="U202" s="169"/>
      <c r="V202" s="166">
        <f t="shared" si="13"/>
        <v>0</v>
      </c>
      <c r="W202" s="205"/>
      <c r="X202" s="167"/>
    </row>
    <row r="203" spans="8:24" s="220" customFormat="1" ht="12" hidden="1" customHeight="1">
      <c r="H203" s="162" t="s">
        <v>1430</v>
      </c>
      <c r="I203" s="163" t="s">
        <v>2231</v>
      </c>
      <c r="J203" s="163" t="s">
        <v>2232</v>
      </c>
      <c r="K203" s="162" t="s">
        <v>2505</v>
      </c>
      <c r="L203" s="164" t="s">
        <v>744</v>
      </c>
      <c r="M203" s="169"/>
      <c r="N203" s="165">
        <v>1883000</v>
      </c>
      <c r="O203" s="169">
        <f t="shared" si="11"/>
        <v>0</v>
      </c>
      <c r="P203" s="165">
        <v>909636</v>
      </c>
      <c r="Q203" s="166">
        <f t="shared" si="12"/>
        <v>0</v>
      </c>
      <c r="R203" s="169"/>
      <c r="S203" s="169"/>
      <c r="T203" s="169"/>
      <c r="U203" s="169"/>
      <c r="V203" s="166">
        <f t="shared" si="13"/>
        <v>0</v>
      </c>
      <c r="W203" s="205"/>
      <c r="X203" s="167"/>
    </row>
    <row r="204" spans="8:24" s="220" customFormat="1" ht="12" hidden="1" customHeight="1">
      <c r="H204" s="162" t="s">
        <v>1431</v>
      </c>
      <c r="I204" s="163" t="s">
        <v>1159</v>
      </c>
      <c r="J204" s="163" t="s">
        <v>2454</v>
      </c>
      <c r="K204" s="162" t="s">
        <v>2506</v>
      </c>
      <c r="L204" s="164" t="s">
        <v>744</v>
      </c>
      <c r="M204" s="169"/>
      <c r="N204" s="165">
        <v>330000</v>
      </c>
      <c r="O204" s="169">
        <f t="shared" si="11"/>
        <v>0</v>
      </c>
      <c r="P204" s="165">
        <v>114354</v>
      </c>
      <c r="Q204" s="166">
        <f t="shared" si="12"/>
        <v>0</v>
      </c>
      <c r="R204" s="169"/>
      <c r="S204" s="169"/>
      <c r="T204" s="169"/>
      <c r="U204" s="169"/>
      <c r="V204" s="166">
        <f t="shared" si="13"/>
        <v>0</v>
      </c>
      <c r="W204" s="205"/>
      <c r="X204" s="167"/>
    </row>
    <row r="205" spans="8:24" s="220" customFormat="1" ht="12" hidden="1" customHeight="1">
      <c r="H205" s="162" t="s">
        <v>1432</v>
      </c>
      <c r="I205" s="163" t="s">
        <v>1159</v>
      </c>
      <c r="J205" s="163" t="s">
        <v>2454</v>
      </c>
      <c r="K205" s="162" t="s">
        <v>2507</v>
      </c>
      <c r="L205" s="164" t="s">
        <v>744</v>
      </c>
      <c r="M205" s="169"/>
      <c r="N205" s="165">
        <v>402000</v>
      </c>
      <c r="O205" s="169">
        <f t="shared" si="11"/>
        <v>0</v>
      </c>
      <c r="P205" s="165">
        <v>114354</v>
      </c>
      <c r="Q205" s="166">
        <f t="shared" si="12"/>
        <v>0</v>
      </c>
      <c r="R205" s="169"/>
      <c r="S205" s="169"/>
      <c r="T205" s="169"/>
      <c r="U205" s="169"/>
      <c r="V205" s="166">
        <f t="shared" si="13"/>
        <v>0</v>
      </c>
      <c r="W205" s="205"/>
      <c r="X205" s="167"/>
    </row>
    <row r="206" spans="8:24" s="220" customFormat="1" ht="12" hidden="1" customHeight="1">
      <c r="H206" s="162" t="s">
        <v>1433</v>
      </c>
      <c r="I206" s="163" t="s">
        <v>1160</v>
      </c>
      <c r="J206" s="163" t="s">
        <v>2457</v>
      </c>
      <c r="K206" s="162" t="s">
        <v>2508</v>
      </c>
      <c r="L206" s="164" t="s">
        <v>744</v>
      </c>
      <c r="M206" s="169"/>
      <c r="N206" s="165">
        <v>501000</v>
      </c>
      <c r="O206" s="169">
        <f t="shared" si="11"/>
        <v>0</v>
      </c>
      <c r="P206" s="165">
        <v>171531</v>
      </c>
      <c r="Q206" s="166">
        <f t="shared" si="12"/>
        <v>0</v>
      </c>
      <c r="R206" s="169"/>
      <c r="S206" s="169"/>
      <c r="T206" s="169"/>
      <c r="U206" s="169"/>
      <c r="V206" s="166">
        <f t="shared" si="13"/>
        <v>0</v>
      </c>
      <c r="W206" s="205"/>
      <c r="X206" s="167"/>
    </row>
    <row r="207" spans="8:24" s="220" customFormat="1" ht="12" hidden="1" customHeight="1">
      <c r="H207" s="162" t="s">
        <v>1434</v>
      </c>
      <c r="I207" s="163" t="s">
        <v>1160</v>
      </c>
      <c r="J207" s="163" t="s">
        <v>2457</v>
      </c>
      <c r="K207" s="162" t="s">
        <v>2509</v>
      </c>
      <c r="L207" s="164" t="s">
        <v>744</v>
      </c>
      <c r="M207" s="169"/>
      <c r="N207" s="165">
        <v>552000</v>
      </c>
      <c r="O207" s="169">
        <f t="shared" si="11"/>
        <v>0</v>
      </c>
      <c r="P207" s="165">
        <v>171531</v>
      </c>
      <c r="Q207" s="166">
        <f t="shared" si="12"/>
        <v>0</v>
      </c>
      <c r="R207" s="169"/>
      <c r="S207" s="169"/>
      <c r="T207" s="169"/>
      <c r="U207" s="169"/>
      <c r="V207" s="166">
        <f t="shared" si="13"/>
        <v>0</v>
      </c>
      <c r="W207" s="205"/>
      <c r="X207" s="167"/>
    </row>
    <row r="208" spans="8:24" s="220" customFormat="1" ht="12" hidden="1" customHeight="1">
      <c r="H208" s="162" t="s">
        <v>1435</v>
      </c>
      <c r="I208" s="163" t="s">
        <v>1160</v>
      </c>
      <c r="J208" s="163" t="s">
        <v>2457</v>
      </c>
      <c r="K208" s="162" t="s">
        <v>2510</v>
      </c>
      <c r="L208" s="164" t="s">
        <v>744</v>
      </c>
      <c r="M208" s="169"/>
      <c r="N208" s="165">
        <v>653000</v>
      </c>
      <c r="O208" s="169">
        <f t="shared" si="11"/>
        <v>0</v>
      </c>
      <c r="P208" s="165">
        <v>171531</v>
      </c>
      <c r="Q208" s="166">
        <f t="shared" si="12"/>
        <v>0</v>
      </c>
      <c r="R208" s="169"/>
      <c r="S208" s="169"/>
      <c r="T208" s="169"/>
      <c r="U208" s="169"/>
      <c r="V208" s="166">
        <f t="shared" si="13"/>
        <v>0</v>
      </c>
      <c r="W208" s="205"/>
      <c r="X208" s="167"/>
    </row>
    <row r="209" spans="8:24" s="220" customFormat="1" ht="12" hidden="1" customHeight="1">
      <c r="H209" s="162" t="s">
        <v>1436</v>
      </c>
      <c r="I209" s="163" t="s">
        <v>1160</v>
      </c>
      <c r="J209" s="163" t="s">
        <v>2457</v>
      </c>
      <c r="K209" s="162" t="s">
        <v>2511</v>
      </c>
      <c r="L209" s="164" t="s">
        <v>744</v>
      </c>
      <c r="M209" s="169"/>
      <c r="N209" s="165">
        <v>710000</v>
      </c>
      <c r="O209" s="169">
        <f t="shared" si="11"/>
        <v>0</v>
      </c>
      <c r="P209" s="165">
        <v>171531</v>
      </c>
      <c r="Q209" s="166">
        <f t="shared" si="12"/>
        <v>0</v>
      </c>
      <c r="R209" s="169"/>
      <c r="S209" s="169"/>
      <c r="T209" s="169"/>
      <c r="U209" s="169"/>
      <c r="V209" s="166">
        <f t="shared" si="13"/>
        <v>0</v>
      </c>
      <c r="W209" s="205"/>
      <c r="X209" s="167"/>
    </row>
    <row r="210" spans="8:24" s="220" customFormat="1" ht="12" hidden="1" customHeight="1">
      <c r="H210" s="162" t="s">
        <v>1437</v>
      </c>
      <c r="I210" s="163" t="s">
        <v>1160</v>
      </c>
      <c r="J210" s="163" t="s">
        <v>2457</v>
      </c>
      <c r="K210" s="162" t="s">
        <v>2512</v>
      </c>
      <c r="L210" s="164" t="s">
        <v>744</v>
      </c>
      <c r="M210" s="169"/>
      <c r="N210" s="165">
        <v>850000</v>
      </c>
      <c r="O210" s="169">
        <f t="shared" si="11"/>
        <v>0</v>
      </c>
      <c r="P210" s="165">
        <v>171531</v>
      </c>
      <c r="Q210" s="166">
        <f t="shared" si="12"/>
        <v>0</v>
      </c>
      <c r="R210" s="169"/>
      <c r="S210" s="169"/>
      <c r="T210" s="169"/>
      <c r="U210" s="169"/>
      <c r="V210" s="166">
        <f t="shared" si="13"/>
        <v>0</v>
      </c>
      <c r="W210" s="205"/>
      <c r="X210" s="167"/>
    </row>
    <row r="211" spans="8:24" s="220" customFormat="1" ht="12" hidden="1" customHeight="1">
      <c r="H211" s="162" t="s">
        <v>1438</v>
      </c>
      <c r="I211" s="163" t="s">
        <v>1160</v>
      </c>
      <c r="J211" s="163" t="s">
        <v>2457</v>
      </c>
      <c r="K211" s="162" t="s">
        <v>2513</v>
      </c>
      <c r="L211" s="164" t="s">
        <v>744</v>
      </c>
      <c r="M211" s="169"/>
      <c r="N211" s="165">
        <v>1058000</v>
      </c>
      <c r="O211" s="169">
        <f t="shared" si="11"/>
        <v>0</v>
      </c>
      <c r="P211" s="165">
        <v>171531</v>
      </c>
      <c r="Q211" s="166">
        <f t="shared" si="12"/>
        <v>0</v>
      </c>
      <c r="R211" s="169"/>
      <c r="S211" s="169"/>
      <c r="T211" s="169"/>
      <c r="U211" s="169"/>
      <c r="V211" s="166">
        <f t="shared" si="13"/>
        <v>0</v>
      </c>
      <c r="W211" s="205"/>
      <c r="X211" s="167"/>
    </row>
    <row r="212" spans="8:24" s="220" customFormat="1" ht="12" hidden="1" customHeight="1">
      <c r="H212" s="162" t="s">
        <v>1439</v>
      </c>
      <c r="I212" s="163" t="s">
        <v>2470</v>
      </c>
      <c r="J212" s="163" t="s">
        <v>2471</v>
      </c>
      <c r="K212" s="162" t="s">
        <v>2514</v>
      </c>
      <c r="L212" s="164" t="s">
        <v>744</v>
      </c>
      <c r="M212" s="169"/>
      <c r="N212" s="165">
        <v>1413000</v>
      </c>
      <c r="O212" s="169">
        <f t="shared" si="11"/>
        <v>0</v>
      </c>
      <c r="P212" s="165">
        <v>779688</v>
      </c>
      <c r="Q212" s="166">
        <f t="shared" si="12"/>
        <v>0</v>
      </c>
      <c r="R212" s="169"/>
      <c r="S212" s="169"/>
      <c r="T212" s="169"/>
      <c r="U212" s="169"/>
      <c r="V212" s="166">
        <f t="shared" si="13"/>
        <v>0</v>
      </c>
      <c r="W212" s="205"/>
      <c r="X212" s="167"/>
    </row>
    <row r="213" spans="8:24" s="220" customFormat="1" ht="12" hidden="1" customHeight="1">
      <c r="H213" s="162" t="s">
        <v>1440</v>
      </c>
      <c r="I213" s="163" t="s">
        <v>2470</v>
      </c>
      <c r="J213" s="163" t="s">
        <v>2471</v>
      </c>
      <c r="K213" s="162" t="s">
        <v>2515</v>
      </c>
      <c r="L213" s="164" t="s">
        <v>744</v>
      </c>
      <c r="M213" s="169"/>
      <c r="N213" s="165">
        <v>1569000</v>
      </c>
      <c r="O213" s="169">
        <f t="shared" si="11"/>
        <v>0</v>
      </c>
      <c r="P213" s="165">
        <v>779688</v>
      </c>
      <c r="Q213" s="166">
        <f t="shared" si="12"/>
        <v>0</v>
      </c>
      <c r="R213" s="169"/>
      <c r="S213" s="169"/>
      <c r="T213" s="169"/>
      <c r="U213" s="169"/>
      <c r="V213" s="166">
        <f t="shared" si="13"/>
        <v>0</v>
      </c>
      <c r="W213" s="205"/>
      <c r="X213" s="167"/>
    </row>
    <row r="214" spans="8:24" s="220" customFormat="1" ht="12" hidden="1" customHeight="1">
      <c r="H214" s="162" t="s">
        <v>1441</v>
      </c>
      <c r="I214" s="163" t="s">
        <v>2470</v>
      </c>
      <c r="J214" s="163" t="s">
        <v>2471</v>
      </c>
      <c r="K214" s="162" t="s">
        <v>2516</v>
      </c>
      <c r="L214" s="164" t="s">
        <v>744</v>
      </c>
      <c r="M214" s="169"/>
      <c r="N214" s="165">
        <v>1778000</v>
      </c>
      <c r="O214" s="169">
        <f t="shared" si="11"/>
        <v>0</v>
      </c>
      <c r="P214" s="165">
        <v>779688</v>
      </c>
      <c r="Q214" s="166">
        <f t="shared" si="12"/>
        <v>0</v>
      </c>
      <c r="R214" s="169"/>
      <c r="S214" s="169"/>
      <c r="T214" s="169"/>
      <c r="U214" s="169"/>
      <c r="V214" s="166">
        <f t="shared" si="13"/>
        <v>0</v>
      </c>
      <c r="W214" s="205"/>
      <c r="X214" s="167"/>
    </row>
    <row r="215" spans="8:24" s="220" customFormat="1" ht="12" hidden="1" customHeight="1">
      <c r="H215" s="162" t="s">
        <v>1442</v>
      </c>
      <c r="I215" s="163" t="s">
        <v>1159</v>
      </c>
      <c r="J215" s="163" t="s">
        <v>2517</v>
      </c>
      <c r="K215" s="162" t="s">
        <v>2518</v>
      </c>
      <c r="L215" s="164" t="s">
        <v>744</v>
      </c>
      <c r="M215" s="169"/>
      <c r="N215" s="165">
        <v>512000</v>
      </c>
      <c r="O215" s="169">
        <f t="shared" si="11"/>
        <v>0</v>
      </c>
      <c r="P215" s="165">
        <v>114354</v>
      </c>
      <c r="Q215" s="166">
        <f t="shared" si="12"/>
        <v>0</v>
      </c>
      <c r="R215" s="169"/>
      <c r="S215" s="169"/>
      <c r="T215" s="169"/>
      <c r="U215" s="169"/>
      <c r="V215" s="166">
        <f t="shared" si="13"/>
        <v>0</v>
      </c>
      <c r="W215" s="205"/>
      <c r="X215" s="167"/>
    </row>
    <row r="216" spans="8:24" s="220" customFormat="1" ht="12" hidden="1" customHeight="1">
      <c r="H216" s="162" t="s">
        <v>1443</v>
      </c>
      <c r="I216" s="163" t="s">
        <v>1160</v>
      </c>
      <c r="J216" s="163" t="s">
        <v>2519</v>
      </c>
      <c r="K216" s="162" t="s">
        <v>2520</v>
      </c>
      <c r="L216" s="164" t="s">
        <v>744</v>
      </c>
      <c r="M216" s="169"/>
      <c r="N216" s="165">
        <v>622000</v>
      </c>
      <c r="O216" s="169">
        <f t="shared" si="11"/>
        <v>0</v>
      </c>
      <c r="P216" s="165">
        <v>171531</v>
      </c>
      <c r="Q216" s="166">
        <f t="shared" si="12"/>
        <v>0</v>
      </c>
      <c r="R216" s="169"/>
      <c r="S216" s="169"/>
      <c r="T216" s="169"/>
      <c r="U216" s="169"/>
      <c r="V216" s="166">
        <f t="shared" si="13"/>
        <v>0</v>
      </c>
      <c r="W216" s="205"/>
      <c r="X216" s="167"/>
    </row>
    <row r="217" spans="8:24" s="220" customFormat="1" ht="12" hidden="1" customHeight="1">
      <c r="H217" s="162" t="s">
        <v>1444</v>
      </c>
      <c r="I217" s="163" t="s">
        <v>1160</v>
      </c>
      <c r="J217" s="163" t="s">
        <v>2519</v>
      </c>
      <c r="K217" s="162" t="s">
        <v>2521</v>
      </c>
      <c r="L217" s="164" t="s">
        <v>744</v>
      </c>
      <c r="M217" s="169"/>
      <c r="N217" s="165">
        <v>674000</v>
      </c>
      <c r="O217" s="169">
        <f t="shared" si="11"/>
        <v>0</v>
      </c>
      <c r="P217" s="165">
        <v>171531</v>
      </c>
      <c r="Q217" s="166">
        <f t="shared" si="12"/>
        <v>0</v>
      </c>
      <c r="R217" s="169"/>
      <c r="S217" s="169"/>
      <c r="T217" s="169"/>
      <c r="U217" s="169"/>
      <c r="V217" s="166">
        <f t="shared" si="13"/>
        <v>0</v>
      </c>
      <c r="W217" s="205"/>
      <c r="X217" s="167"/>
    </row>
    <row r="218" spans="8:24" s="220" customFormat="1" ht="12" hidden="1" customHeight="1">
      <c r="H218" s="162" t="s">
        <v>1445</v>
      </c>
      <c r="I218" s="163" t="s">
        <v>1160</v>
      </c>
      <c r="J218" s="163" t="s">
        <v>2519</v>
      </c>
      <c r="K218" s="162" t="s">
        <v>2522</v>
      </c>
      <c r="L218" s="164" t="s">
        <v>744</v>
      </c>
      <c r="M218" s="169"/>
      <c r="N218" s="165">
        <v>814000</v>
      </c>
      <c r="O218" s="169">
        <f t="shared" si="11"/>
        <v>0</v>
      </c>
      <c r="P218" s="165">
        <v>171531</v>
      </c>
      <c r="Q218" s="166">
        <f t="shared" si="12"/>
        <v>0</v>
      </c>
      <c r="R218" s="169"/>
      <c r="S218" s="169"/>
      <c r="T218" s="169"/>
      <c r="U218" s="169"/>
      <c r="V218" s="166">
        <f t="shared" si="13"/>
        <v>0</v>
      </c>
      <c r="W218" s="205"/>
      <c r="X218" s="167"/>
    </row>
    <row r="219" spans="8:24" s="220" customFormat="1" ht="12" hidden="1" customHeight="1">
      <c r="H219" s="162" t="s">
        <v>669</v>
      </c>
      <c r="I219" s="163" t="s">
        <v>1160</v>
      </c>
      <c r="J219" s="163" t="s">
        <v>2519</v>
      </c>
      <c r="K219" s="162" t="s">
        <v>2605</v>
      </c>
      <c r="L219" s="164" t="s">
        <v>744</v>
      </c>
      <c r="M219" s="169"/>
      <c r="N219" s="165">
        <v>1021000</v>
      </c>
      <c r="O219" s="169">
        <f t="shared" si="11"/>
        <v>0</v>
      </c>
      <c r="P219" s="165">
        <v>171531</v>
      </c>
      <c r="Q219" s="166">
        <f t="shared" si="12"/>
        <v>0</v>
      </c>
      <c r="R219" s="169"/>
      <c r="S219" s="169"/>
      <c r="T219" s="169"/>
      <c r="U219" s="169"/>
      <c r="V219" s="166">
        <f t="shared" si="13"/>
        <v>0</v>
      </c>
      <c r="W219" s="205"/>
      <c r="X219" s="167"/>
    </row>
    <row r="220" spans="8:24" s="220" customFormat="1" ht="12" hidden="1" customHeight="1">
      <c r="H220" s="162" t="s">
        <v>670</v>
      </c>
      <c r="I220" s="163" t="s">
        <v>1160</v>
      </c>
      <c r="J220" s="163" t="s">
        <v>2519</v>
      </c>
      <c r="K220" s="162" t="s">
        <v>2606</v>
      </c>
      <c r="L220" s="164" t="s">
        <v>744</v>
      </c>
      <c r="M220" s="169"/>
      <c r="N220" s="165">
        <v>1259000</v>
      </c>
      <c r="O220" s="169">
        <f t="shared" si="11"/>
        <v>0</v>
      </c>
      <c r="P220" s="165">
        <v>171531</v>
      </c>
      <c r="Q220" s="166">
        <f t="shared" si="12"/>
        <v>0</v>
      </c>
      <c r="R220" s="169"/>
      <c r="S220" s="169"/>
      <c r="T220" s="169"/>
      <c r="U220" s="169"/>
      <c r="V220" s="166">
        <f t="shared" si="13"/>
        <v>0</v>
      </c>
      <c r="W220" s="205"/>
      <c r="X220" s="167"/>
    </row>
    <row r="221" spans="8:24" s="220" customFormat="1" ht="12" hidden="1" customHeight="1">
      <c r="H221" s="162" t="s">
        <v>671</v>
      </c>
      <c r="I221" s="163" t="s">
        <v>1161</v>
      </c>
      <c r="J221" s="163" t="s">
        <v>2607</v>
      </c>
      <c r="K221" s="162" t="s">
        <v>2608</v>
      </c>
      <c r="L221" s="164" t="s">
        <v>744</v>
      </c>
      <c r="M221" s="169"/>
      <c r="N221" s="165">
        <v>1810000</v>
      </c>
      <c r="O221" s="169">
        <f t="shared" si="11"/>
        <v>0</v>
      </c>
      <c r="P221" s="165">
        <v>649740</v>
      </c>
      <c r="Q221" s="166">
        <f t="shared" si="12"/>
        <v>0</v>
      </c>
      <c r="R221" s="169"/>
      <c r="S221" s="169"/>
      <c r="T221" s="169"/>
      <c r="U221" s="169"/>
      <c r="V221" s="166">
        <f t="shared" si="13"/>
        <v>0</v>
      </c>
      <c r="W221" s="205"/>
      <c r="X221" s="167"/>
    </row>
    <row r="222" spans="8:24" s="220" customFormat="1" ht="12" hidden="1" customHeight="1">
      <c r="H222" s="162" t="s">
        <v>672</v>
      </c>
      <c r="I222" s="163" t="s">
        <v>1161</v>
      </c>
      <c r="J222" s="163" t="s">
        <v>2607</v>
      </c>
      <c r="K222" s="162" t="s">
        <v>2609</v>
      </c>
      <c r="L222" s="164" t="s">
        <v>744</v>
      </c>
      <c r="M222" s="169"/>
      <c r="N222" s="165">
        <v>2259000</v>
      </c>
      <c r="O222" s="169">
        <f t="shared" si="11"/>
        <v>0</v>
      </c>
      <c r="P222" s="165">
        <v>649740</v>
      </c>
      <c r="Q222" s="166">
        <f t="shared" si="12"/>
        <v>0</v>
      </c>
      <c r="R222" s="169"/>
      <c r="S222" s="169"/>
      <c r="T222" s="169"/>
      <c r="U222" s="169"/>
      <c r="V222" s="166">
        <f t="shared" si="13"/>
        <v>0</v>
      </c>
      <c r="W222" s="205"/>
      <c r="X222" s="167"/>
    </row>
    <row r="223" spans="8:24" s="220" customFormat="1" ht="12" hidden="1" customHeight="1">
      <c r="H223" s="162" t="s">
        <v>673</v>
      </c>
      <c r="I223" s="163" t="s">
        <v>1161</v>
      </c>
      <c r="J223" s="163" t="s">
        <v>2607</v>
      </c>
      <c r="K223" s="162" t="s">
        <v>2610</v>
      </c>
      <c r="L223" s="164" t="s">
        <v>744</v>
      </c>
      <c r="M223" s="169"/>
      <c r="N223" s="165">
        <v>2767000</v>
      </c>
      <c r="O223" s="169">
        <f t="shared" si="11"/>
        <v>0</v>
      </c>
      <c r="P223" s="165">
        <v>649740</v>
      </c>
      <c r="Q223" s="166">
        <f t="shared" si="12"/>
        <v>0</v>
      </c>
      <c r="R223" s="169"/>
      <c r="S223" s="169"/>
      <c r="T223" s="169"/>
      <c r="U223" s="169"/>
      <c r="V223" s="166">
        <f t="shared" si="13"/>
        <v>0</v>
      </c>
      <c r="W223" s="205"/>
      <c r="X223" s="167"/>
    </row>
    <row r="224" spans="8:24" s="220" customFormat="1" ht="12" hidden="1" customHeight="1">
      <c r="H224" s="162" t="s">
        <v>674</v>
      </c>
      <c r="I224" s="163" t="s">
        <v>1161</v>
      </c>
      <c r="J224" s="163" t="s">
        <v>2607</v>
      </c>
      <c r="K224" s="162" t="s">
        <v>2611</v>
      </c>
      <c r="L224" s="164" t="s">
        <v>744</v>
      </c>
      <c r="M224" s="169"/>
      <c r="N224" s="165">
        <v>3131000</v>
      </c>
      <c r="O224" s="169">
        <f t="shared" si="11"/>
        <v>0</v>
      </c>
      <c r="P224" s="165">
        <v>649740</v>
      </c>
      <c r="Q224" s="166">
        <f t="shared" si="12"/>
        <v>0</v>
      </c>
      <c r="R224" s="169"/>
      <c r="S224" s="169"/>
      <c r="T224" s="169"/>
      <c r="U224" s="169"/>
      <c r="V224" s="166">
        <f t="shared" si="13"/>
        <v>0</v>
      </c>
      <c r="W224" s="205"/>
      <c r="X224" s="167"/>
    </row>
    <row r="225" spans="8:24" s="220" customFormat="1" ht="12" hidden="1" customHeight="1">
      <c r="H225" s="162" t="s">
        <v>675</v>
      </c>
      <c r="I225" s="163" t="s">
        <v>1159</v>
      </c>
      <c r="J225" s="163" t="s">
        <v>2517</v>
      </c>
      <c r="K225" s="162" t="s">
        <v>2612</v>
      </c>
      <c r="L225" s="164" t="s">
        <v>744</v>
      </c>
      <c r="M225" s="169"/>
      <c r="N225" s="165">
        <v>689000</v>
      </c>
      <c r="O225" s="169">
        <f t="shared" si="11"/>
        <v>0</v>
      </c>
      <c r="P225" s="165">
        <v>114354</v>
      </c>
      <c r="Q225" s="166">
        <f t="shared" si="12"/>
        <v>0</v>
      </c>
      <c r="R225" s="169"/>
      <c r="S225" s="169"/>
      <c r="T225" s="169"/>
      <c r="U225" s="169"/>
      <c r="V225" s="166">
        <f t="shared" si="13"/>
        <v>0</v>
      </c>
      <c r="W225" s="205"/>
      <c r="X225" s="167"/>
    </row>
    <row r="226" spans="8:24" s="220" customFormat="1" ht="12" hidden="1" customHeight="1">
      <c r="H226" s="162" t="s">
        <v>676</v>
      </c>
      <c r="I226" s="163" t="s">
        <v>1160</v>
      </c>
      <c r="J226" s="163" t="s">
        <v>2519</v>
      </c>
      <c r="K226" s="162" t="s">
        <v>2613</v>
      </c>
      <c r="L226" s="164" t="s">
        <v>744</v>
      </c>
      <c r="M226" s="169"/>
      <c r="N226" s="165">
        <v>858000</v>
      </c>
      <c r="O226" s="169">
        <f t="shared" si="11"/>
        <v>0</v>
      </c>
      <c r="P226" s="165">
        <v>171531</v>
      </c>
      <c r="Q226" s="166">
        <f t="shared" si="12"/>
        <v>0</v>
      </c>
      <c r="R226" s="169"/>
      <c r="S226" s="169"/>
      <c r="T226" s="169"/>
      <c r="U226" s="169"/>
      <c r="V226" s="166">
        <f t="shared" si="13"/>
        <v>0</v>
      </c>
      <c r="W226" s="205"/>
      <c r="X226" s="167"/>
    </row>
    <row r="227" spans="8:24" s="220" customFormat="1" ht="12" hidden="1" customHeight="1">
      <c r="H227" s="162" t="s">
        <v>1461</v>
      </c>
      <c r="I227" s="163" t="s">
        <v>1160</v>
      </c>
      <c r="J227" s="163" t="s">
        <v>2519</v>
      </c>
      <c r="K227" s="162" t="s">
        <v>2641</v>
      </c>
      <c r="L227" s="164" t="s">
        <v>744</v>
      </c>
      <c r="M227" s="169"/>
      <c r="N227" s="165">
        <v>912000</v>
      </c>
      <c r="O227" s="169">
        <f t="shared" si="11"/>
        <v>0</v>
      </c>
      <c r="P227" s="165">
        <v>171531</v>
      </c>
      <c r="Q227" s="166">
        <f t="shared" si="12"/>
        <v>0</v>
      </c>
      <c r="R227" s="169"/>
      <c r="S227" s="169"/>
      <c r="T227" s="169"/>
      <c r="U227" s="169"/>
      <c r="V227" s="166">
        <f t="shared" si="13"/>
        <v>0</v>
      </c>
      <c r="W227" s="205"/>
      <c r="X227" s="167"/>
    </row>
    <row r="228" spans="8:24" s="220" customFormat="1" ht="12" hidden="1" customHeight="1">
      <c r="H228" s="162" t="s">
        <v>1462</v>
      </c>
      <c r="I228" s="163" t="s">
        <v>1160</v>
      </c>
      <c r="J228" s="163" t="s">
        <v>2519</v>
      </c>
      <c r="K228" s="162" t="s">
        <v>2642</v>
      </c>
      <c r="L228" s="164" t="s">
        <v>744</v>
      </c>
      <c r="M228" s="169"/>
      <c r="N228" s="165">
        <v>1188000</v>
      </c>
      <c r="O228" s="169">
        <f t="shared" si="11"/>
        <v>0</v>
      </c>
      <c r="P228" s="165">
        <v>171531</v>
      </c>
      <c r="Q228" s="166">
        <f t="shared" si="12"/>
        <v>0</v>
      </c>
      <c r="R228" s="169"/>
      <c r="S228" s="169"/>
      <c r="T228" s="169"/>
      <c r="U228" s="169"/>
      <c r="V228" s="166">
        <f t="shared" si="13"/>
        <v>0</v>
      </c>
      <c r="W228" s="205"/>
      <c r="X228" s="167"/>
    </row>
    <row r="229" spans="8:24" s="220" customFormat="1" ht="12" hidden="1" customHeight="1">
      <c r="H229" s="162" t="s">
        <v>1463</v>
      </c>
      <c r="I229" s="163" t="s">
        <v>1160</v>
      </c>
      <c r="J229" s="163" t="s">
        <v>2519</v>
      </c>
      <c r="K229" s="162" t="s">
        <v>2643</v>
      </c>
      <c r="L229" s="164" t="s">
        <v>744</v>
      </c>
      <c r="M229" s="169"/>
      <c r="N229" s="165">
        <v>1374000</v>
      </c>
      <c r="O229" s="169">
        <f t="shared" si="11"/>
        <v>0</v>
      </c>
      <c r="P229" s="165">
        <v>171531</v>
      </c>
      <c r="Q229" s="166">
        <f t="shared" si="12"/>
        <v>0</v>
      </c>
      <c r="R229" s="169"/>
      <c r="S229" s="169"/>
      <c r="T229" s="169"/>
      <c r="U229" s="169"/>
      <c r="V229" s="166">
        <f t="shared" si="13"/>
        <v>0</v>
      </c>
      <c r="W229" s="205"/>
      <c r="X229" s="167"/>
    </row>
    <row r="230" spans="8:24" s="220" customFormat="1" ht="12" hidden="1" customHeight="1">
      <c r="H230" s="162" t="s">
        <v>1464</v>
      </c>
      <c r="I230" s="163" t="s">
        <v>1160</v>
      </c>
      <c r="J230" s="163" t="s">
        <v>2519</v>
      </c>
      <c r="K230" s="162" t="s">
        <v>2644</v>
      </c>
      <c r="L230" s="164" t="s">
        <v>744</v>
      </c>
      <c r="M230" s="169"/>
      <c r="N230" s="165">
        <v>1709000</v>
      </c>
      <c r="O230" s="169">
        <f t="shared" si="11"/>
        <v>0</v>
      </c>
      <c r="P230" s="165">
        <v>171531</v>
      </c>
      <c r="Q230" s="166">
        <f t="shared" si="12"/>
        <v>0</v>
      </c>
      <c r="R230" s="169"/>
      <c r="S230" s="169"/>
      <c r="T230" s="169"/>
      <c r="U230" s="169"/>
      <c r="V230" s="166">
        <f t="shared" si="13"/>
        <v>0</v>
      </c>
      <c r="W230" s="205"/>
      <c r="X230" s="167"/>
    </row>
    <row r="231" spans="8:24" s="220" customFormat="1" ht="12" hidden="1" customHeight="1">
      <c r="H231" s="162" t="s">
        <v>1465</v>
      </c>
      <c r="I231" s="163" t="s">
        <v>2470</v>
      </c>
      <c r="J231" s="163" t="s">
        <v>2645</v>
      </c>
      <c r="K231" s="162" t="s">
        <v>2646</v>
      </c>
      <c r="L231" s="164" t="s">
        <v>744</v>
      </c>
      <c r="M231" s="169"/>
      <c r="N231" s="165">
        <v>2178000</v>
      </c>
      <c r="O231" s="169">
        <f t="shared" si="11"/>
        <v>0</v>
      </c>
      <c r="P231" s="165">
        <v>779688</v>
      </c>
      <c r="Q231" s="166">
        <f t="shared" si="12"/>
        <v>0</v>
      </c>
      <c r="R231" s="169"/>
      <c r="S231" s="169"/>
      <c r="T231" s="169"/>
      <c r="U231" s="169"/>
      <c r="V231" s="166">
        <f t="shared" si="13"/>
        <v>0</v>
      </c>
      <c r="W231" s="205"/>
      <c r="X231" s="167"/>
    </row>
    <row r="232" spans="8:24" s="220" customFormat="1" ht="12" hidden="1" customHeight="1">
      <c r="H232" s="162" t="s">
        <v>1466</v>
      </c>
      <c r="I232" s="163" t="s">
        <v>2470</v>
      </c>
      <c r="J232" s="163" t="s">
        <v>2645</v>
      </c>
      <c r="K232" s="162" t="s">
        <v>2647</v>
      </c>
      <c r="L232" s="164" t="s">
        <v>744</v>
      </c>
      <c r="M232" s="169"/>
      <c r="N232" s="165">
        <v>2518000</v>
      </c>
      <c r="O232" s="169">
        <f t="shared" si="11"/>
        <v>0</v>
      </c>
      <c r="P232" s="165">
        <v>779688</v>
      </c>
      <c r="Q232" s="166">
        <f t="shared" si="12"/>
        <v>0</v>
      </c>
      <c r="R232" s="169"/>
      <c r="S232" s="169"/>
      <c r="T232" s="169"/>
      <c r="U232" s="169"/>
      <c r="V232" s="166">
        <f t="shared" si="13"/>
        <v>0</v>
      </c>
      <c r="W232" s="205"/>
      <c r="X232" s="167"/>
    </row>
    <row r="233" spans="8:24" s="220" customFormat="1" ht="12" hidden="1" customHeight="1">
      <c r="H233" s="162" t="s">
        <v>1467</v>
      </c>
      <c r="I233" s="163" t="s">
        <v>2470</v>
      </c>
      <c r="J233" s="163" t="s">
        <v>2645</v>
      </c>
      <c r="K233" s="162" t="s">
        <v>2648</v>
      </c>
      <c r="L233" s="164" t="s">
        <v>744</v>
      </c>
      <c r="M233" s="169"/>
      <c r="N233" s="165">
        <v>2976000</v>
      </c>
      <c r="O233" s="169">
        <f t="shared" si="11"/>
        <v>0</v>
      </c>
      <c r="P233" s="165">
        <v>779688</v>
      </c>
      <c r="Q233" s="166">
        <f t="shared" si="12"/>
        <v>0</v>
      </c>
      <c r="R233" s="169"/>
      <c r="S233" s="169"/>
      <c r="T233" s="169"/>
      <c r="U233" s="169"/>
      <c r="V233" s="166">
        <f t="shared" si="13"/>
        <v>0</v>
      </c>
      <c r="W233" s="205"/>
      <c r="X233" s="167"/>
    </row>
    <row r="234" spans="8:24" s="220" customFormat="1" ht="12" hidden="1" customHeight="1">
      <c r="H234" s="162" t="s">
        <v>1468</v>
      </c>
      <c r="I234" s="163" t="s">
        <v>2231</v>
      </c>
      <c r="J234" s="163" t="s">
        <v>2649</v>
      </c>
      <c r="K234" s="162" t="s">
        <v>2650</v>
      </c>
      <c r="L234" s="164" t="s">
        <v>744</v>
      </c>
      <c r="M234" s="169"/>
      <c r="N234" s="165">
        <v>3258000</v>
      </c>
      <c r="O234" s="169">
        <f t="shared" si="11"/>
        <v>0</v>
      </c>
      <c r="P234" s="165">
        <v>909636</v>
      </c>
      <c r="Q234" s="166">
        <f t="shared" si="12"/>
        <v>0</v>
      </c>
      <c r="R234" s="169"/>
      <c r="S234" s="169"/>
      <c r="T234" s="169"/>
      <c r="U234" s="169"/>
      <c r="V234" s="166">
        <f t="shared" si="13"/>
        <v>0</v>
      </c>
      <c r="W234" s="205"/>
      <c r="X234" s="167"/>
    </row>
    <row r="235" spans="8:24" s="220" customFormat="1" ht="12" hidden="1" customHeight="1">
      <c r="H235" s="162" t="s">
        <v>1469</v>
      </c>
      <c r="I235" s="163" t="s">
        <v>2651</v>
      </c>
      <c r="J235" s="163" t="s">
        <v>2652</v>
      </c>
      <c r="K235" s="162" t="s">
        <v>2653</v>
      </c>
      <c r="L235" s="164" t="s">
        <v>744</v>
      </c>
      <c r="M235" s="169"/>
      <c r="N235" s="165">
        <v>3782000</v>
      </c>
      <c r="O235" s="169">
        <f t="shared" si="11"/>
        <v>0</v>
      </c>
      <c r="P235" s="165">
        <v>1039584</v>
      </c>
      <c r="Q235" s="166">
        <f t="shared" si="12"/>
        <v>0</v>
      </c>
      <c r="R235" s="169"/>
      <c r="S235" s="169"/>
      <c r="T235" s="169"/>
      <c r="U235" s="169"/>
      <c r="V235" s="166">
        <f t="shared" si="13"/>
        <v>0</v>
      </c>
      <c r="W235" s="205"/>
      <c r="X235" s="167"/>
    </row>
    <row r="236" spans="8:24" s="220" customFormat="1" ht="12" hidden="1" customHeight="1">
      <c r="H236" s="162" t="s">
        <v>1470</v>
      </c>
      <c r="I236" s="163" t="s">
        <v>2651</v>
      </c>
      <c r="J236" s="163" t="s">
        <v>2652</v>
      </c>
      <c r="K236" s="162" t="s">
        <v>2654</v>
      </c>
      <c r="L236" s="164" t="s">
        <v>744</v>
      </c>
      <c r="M236" s="169"/>
      <c r="N236" s="165">
        <v>4727000</v>
      </c>
      <c r="O236" s="169">
        <f t="shared" si="11"/>
        <v>0</v>
      </c>
      <c r="P236" s="165">
        <v>1039584</v>
      </c>
      <c r="Q236" s="166">
        <f t="shared" si="12"/>
        <v>0</v>
      </c>
      <c r="R236" s="169"/>
      <c r="S236" s="169"/>
      <c r="T236" s="169"/>
      <c r="U236" s="169"/>
      <c r="V236" s="166">
        <f t="shared" si="13"/>
        <v>0</v>
      </c>
      <c r="W236" s="205"/>
      <c r="X236" s="167"/>
    </row>
    <row r="237" spans="8:24" s="220" customFormat="1" ht="12" hidden="1" customHeight="1">
      <c r="H237" s="162" t="s">
        <v>686</v>
      </c>
      <c r="I237" s="163" t="s">
        <v>1162</v>
      </c>
      <c r="J237" s="163" t="s">
        <v>2327</v>
      </c>
      <c r="K237" s="162" t="s">
        <v>2328</v>
      </c>
      <c r="L237" s="164" t="s">
        <v>746</v>
      </c>
      <c r="M237" s="169"/>
      <c r="N237" s="165">
        <v>184000</v>
      </c>
      <c r="O237" s="169">
        <f t="shared" si="11"/>
        <v>0</v>
      </c>
      <c r="P237" s="165">
        <v>1480484</v>
      </c>
      <c r="Q237" s="166">
        <f t="shared" si="12"/>
        <v>0</v>
      </c>
      <c r="R237" s="169"/>
      <c r="S237" s="169"/>
      <c r="T237" s="169"/>
      <c r="U237" s="169"/>
      <c r="V237" s="166">
        <f t="shared" si="13"/>
        <v>0</v>
      </c>
      <c r="W237" s="205"/>
      <c r="X237" s="167"/>
    </row>
    <row r="238" spans="8:24" s="220" customFormat="1" ht="12" hidden="1" customHeight="1">
      <c r="H238" s="162" t="s">
        <v>687</v>
      </c>
      <c r="I238" s="163" t="s">
        <v>1162</v>
      </c>
      <c r="J238" s="163" t="s">
        <v>2327</v>
      </c>
      <c r="K238" s="162" t="s">
        <v>2337</v>
      </c>
      <c r="L238" s="164" t="s">
        <v>746</v>
      </c>
      <c r="M238" s="169"/>
      <c r="N238" s="165">
        <v>208000</v>
      </c>
      <c r="O238" s="169">
        <f t="shared" si="11"/>
        <v>0</v>
      </c>
      <c r="P238" s="165">
        <v>1480484</v>
      </c>
      <c r="Q238" s="166">
        <f t="shared" si="12"/>
        <v>0</v>
      </c>
      <c r="R238" s="169"/>
      <c r="S238" s="169"/>
      <c r="T238" s="169"/>
      <c r="U238" s="169"/>
      <c r="V238" s="166">
        <f t="shared" si="13"/>
        <v>0</v>
      </c>
      <c r="W238" s="205"/>
      <c r="X238" s="167"/>
    </row>
    <row r="239" spans="8:24" s="220" customFormat="1" ht="12" hidden="1" customHeight="1">
      <c r="H239" s="162" t="s">
        <v>688</v>
      </c>
      <c r="I239" s="163" t="s">
        <v>1162</v>
      </c>
      <c r="J239" s="163" t="s">
        <v>2327</v>
      </c>
      <c r="K239" s="162" t="s">
        <v>2338</v>
      </c>
      <c r="L239" s="164" t="s">
        <v>746</v>
      </c>
      <c r="M239" s="169"/>
      <c r="N239" s="165">
        <v>325000</v>
      </c>
      <c r="O239" s="169">
        <f t="shared" ref="O239:O303" si="14">M239*N239*$O$3</f>
        <v>0</v>
      </c>
      <c r="P239" s="165">
        <v>1480484</v>
      </c>
      <c r="Q239" s="166">
        <f t="shared" si="12"/>
        <v>0</v>
      </c>
      <c r="R239" s="169"/>
      <c r="S239" s="169"/>
      <c r="T239" s="169"/>
      <c r="U239" s="169"/>
      <c r="V239" s="166">
        <f t="shared" si="13"/>
        <v>0</v>
      </c>
      <c r="W239" s="205"/>
      <c r="X239" s="167"/>
    </row>
    <row r="240" spans="8:24" s="220" customFormat="1" ht="12" hidden="1" customHeight="1">
      <c r="H240" s="162" t="s">
        <v>689</v>
      </c>
      <c r="I240" s="163" t="s">
        <v>1163</v>
      </c>
      <c r="J240" s="163" t="s">
        <v>2339</v>
      </c>
      <c r="K240" s="162" t="s">
        <v>2340</v>
      </c>
      <c r="L240" s="164" t="s">
        <v>746</v>
      </c>
      <c r="M240" s="169"/>
      <c r="N240" s="165">
        <v>525000</v>
      </c>
      <c r="O240" s="169">
        <f t="shared" si="14"/>
        <v>0</v>
      </c>
      <c r="P240" s="165">
        <v>1678135</v>
      </c>
      <c r="Q240" s="166">
        <f t="shared" si="12"/>
        <v>0</v>
      </c>
      <c r="R240" s="169"/>
      <c r="S240" s="169"/>
      <c r="T240" s="169"/>
      <c r="U240" s="169"/>
      <c r="V240" s="166">
        <f t="shared" si="13"/>
        <v>0</v>
      </c>
      <c r="W240" s="205"/>
      <c r="X240" s="167"/>
    </row>
    <row r="241" spans="8:24" s="220" customFormat="1" ht="12" hidden="1" customHeight="1">
      <c r="H241" s="162" t="s">
        <v>690</v>
      </c>
      <c r="I241" s="163" t="s">
        <v>1163</v>
      </c>
      <c r="J241" s="163" t="s">
        <v>2339</v>
      </c>
      <c r="K241" s="162" t="s">
        <v>2341</v>
      </c>
      <c r="L241" s="164" t="s">
        <v>746</v>
      </c>
      <c r="M241" s="169"/>
      <c r="N241" s="165">
        <v>657000</v>
      </c>
      <c r="O241" s="169">
        <f t="shared" si="14"/>
        <v>0</v>
      </c>
      <c r="P241" s="165">
        <v>1678135</v>
      </c>
      <c r="Q241" s="166">
        <f t="shared" si="12"/>
        <v>0</v>
      </c>
      <c r="R241" s="169"/>
      <c r="S241" s="169"/>
      <c r="T241" s="169"/>
      <c r="U241" s="169"/>
      <c r="V241" s="166">
        <f t="shared" si="13"/>
        <v>0</v>
      </c>
      <c r="W241" s="205"/>
      <c r="X241" s="167"/>
    </row>
    <row r="242" spans="8:24" s="220" customFormat="1" ht="12" hidden="1" customHeight="1">
      <c r="H242" s="162" t="s">
        <v>691</v>
      </c>
      <c r="I242" s="163" t="s">
        <v>1163</v>
      </c>
      <c r="J242" s="163" t="s">
        <v>2339</v>
      </c>
      <c r="K242" s="162" t="s">
        <v>2342</v>
      </c>
      <c r="L242" s="164" t="s">
        <v>746</v>
      </c>
      <c r="M242" s="169"/>
      <c r="N242" s="165">
        <v>719000</v>
      </c>
      <c r="O242" s="169">
        <f t="shared" si="14"/>
        <v>0</v>
      </c>
      <c r="P242" s="165">
        <v>1678135</v>
      </c>
      <c r="Q242" s="166">
        <f t="shared" si="12"/>
        <v>0</v>
      </c>
      <c r="R242" s="169"/>
      <c r="S242" s="169"/>
      <c r="T242" s="169"/>
      <c r="U242" s="169"/>
      <c r="V242" s="166">
        <f t="shared" si="13"/>
        <v>0</v>
      </c>
      <c r="W242" s="205"/>
      <c r="X242" s="167"/>
    </row>
    <row r="243" spans="8:24" s="220" customFormat="1" ht="12" hidden="1" customHeight="1">
      <c r="H243" s="162" t="s">
        <v>692</v>
      </c>
      <c r="I243" s="163" t="s">
        <v>1163</v>
      </c>
      <c r="J243" s="163" t="s">
        <v>2339</v>
      </c>
      <c r="K243" s="162" t="s">
        <v>2343</v>
      </c>
      <c r="L243" s="164" t="s">
        <v>746</v>
      </c>
      <c r="M243" s="169"/>
      <c r="N243" s="165">
        <v>784000</v>
      </c>
      <c r="O243" s="169">
        <f t="shared" si="14"/>
        <v>0</v>
      </c>
      <c r="P243" s="165">
        <v>1678135</v>
      </c>
      <c r="Q243" s="166">
        <f t="shared" si="12"/>
        <v>0</v>
      </c>
      <c r="R243" s="169"/>
      <c r="S243" s="169"/>
      <c r="T243" s="169"/>
      <c r="U243" s="169"/>
      <c r="V243" s="166">
        <f t="shared" si="13"/>
        <v>0</v>
      </c>
      <c r="W243" s="205"/>
      <c r="X243" s="167"/>
    </row>
    <row r="244" spans="8:24" s="220" customFormat="1" ht="12" hidden="1" customHeight="1">
      <c r="H244" s="162" t="s">
        <v>693</v>
      </c>
      <c r="I244" s="163" t="s">
        <v>1163</v>
      </c>
      <c r="J244" s="163" t="s">
        <v>2339</v>
      </c>
      <c r="K244" s="162" t="s">
        <v>2344</v>
      </c>
      <c r="L244" s="164" t="s">
        <v>746</v>
      </c>
      <c r="M244" s="169"/>
      <c r="N244" s="165">
        <v>942000</v>
      </c>
      <c r="O244" s="169">
        <f t="shared" si="14"/>
        <v>0</v>
      </c>
      <c r="P244" s="165">
        <v>1678135</v>
      </c>
      <c r="Q244" s="166">
        <f t="shared" si="12"/>
        <v>0</v>
      </c>
      <c r="R244" s="169"/>
      <c r="S244" s="169"/>
      <c r="T244" s="169"/>
      <c r="U244" s="169"/>
      <c r="V244" s="166">
        <f t="shared" si="13"/>
        <v>0</v>
      </c>
      <c r="W244" s="205"/>
      <c r="X244" s="167"/>
    </row>
    <row r="245" spans="8:24" s="220" customFormat="1" ht="12" hidden="1" customHeight="1">
      <c r="H245" s="162" t="s">
        <v>224</v>
      </c>
      <c r="I245" s="163" t="s">
        <v>938</v>
      </c>
      <c r="J245" s="163" t="s">
        <v>1783</v>
      </c>
      <c r="K245" s="162" t="s">
        <v>1784</v>
      </c>
      <c r="L245" s="164" t="s">
        <v>5</v>
      </c>
      <c r="M245" s="169"/>
      <c r="N245" s="165">
        <v>22600</v>
      </c>
      <c r="O245" s="169">
        <f t="shared" si="14"/>
        <v>0</v>
      </c>
      <c r="P245" s="165">
        <v>62092</v>
      </c>
      <c r="Q245" s="166">
        <f t="shared" si="12"/>
        <v>0</v>
      </c>
      <c r="R245" s="169"/>
      <c r="S245" s="169"/>
      <c r="T245" s="169"/>
      <c r="U245" s="169"/>
      <c r="V245" s="166">
        <f t="shared" si="13"/>
        <v>0</v>
      </c>
      <c r="W245" s="205"/>
      <c r="X245" s="167"/>
    </row>
    <row r="246" spans="8:24" s="220" customFormat="1" ht="12" hidden="1" customHeight="1">
      <c r="H246" s="162" t="s">
        <v>225</v>
      </c>
      <c r="I246" s="163" t="s">
        <v>938</v>
      </c>
      <c r="J246" s="163" t="s">
        <v>1783</v>
      </c>
      <c r="K246" s="162" t="s">
        <v>1785</v>
      </c>
      <c r="L246" s="164" t="s">
        <v>5</v>
      </c>
      <c r="M246" s="169"/>
      <c r="N246" s="165">
        <v>23700</v>
      </c>
      <c r="O246" s="169">
        <f t="shared" si="14"/>
        <v>0</v>
      </c>
      <c r="P246" s="165">
        <v>62092</v>
      </c>
      <c r="Q246" s="166">
        <f t="shared" si="12"/>
        <v>0</v>
      </c>
      <c r="R246" s="169"/>
      <c r="S246" s="169"/>
      <c r="T246" s="169"/>
      <c r="U246" s="169"/>
      <c r="V246" s="166">
        <f t="shared" si="13"/>
        <v>0</v>
      </c>
      <c r="W246" s="205"/>
      <c r="X246" s="167"/>
    </row>
    <row r="247" spans="8:24" s="220" customFormat="1" ht="12" hidden="1" customHeight="1">
      <c r="H247" s="162" t="s">
        <v>226</v>
      </c>
      <c r="I247" s="163" t="s">
        <v>938</v>
      </c>
      <c r="J247" s="163" t="s">
        <v>1783</v>
      </c>
      <c r="K247" s="162" t="s">
        <v>1786</v>
      </c>
      <c r="L247" s="164" t="s">
        <v>5</v>
      </c>
      <c r="M247" s="169"/>
      <c r="N247" s="165">
        <v>25600</v>
      </c>
      <c r="O247" s="169">
        <f t="shared" si="14"/>
        <v>0</v>
      </c>
      <c r="P247" s="165">
        <v>62092</v>
      </c>
      <c r="Q247" s="166">
        <f t="shared" si="12"/>
        <v>0</v>
      </c>
      <c r="R247" s="169"/>
      <c r="S247" s="169"/>
      <c r="T247" s="169"/>
      <c r="U247" s="169"/>
      <c r="V247" s="166">
        <f t="shared" si="13"/>
        <v>0</v>
      </c>
      <c r="W247" s="205"/>
      <c r="X247" s="167"/>
    </row>
    <row r="248" spans="8:24" s="220" customFormat="1" ht="12" hidden="1" customHeight="1">
      <c r="H248" s="162" t="s">
        <v>227</v>
      </c>
      <c r="I248" s="163" t="s">
        <v>939</v>
      </c>
      <c r="J248" s="163" t="s">
        <v>1787</v>
      </c>
      <c r="K248" s="162" t="s">
        <v>1788</v>
      </c>
      <c r="L248" s="164" t="s">
        <v>5</v>
      </c>
      <c r="M248" s="169"/>
      <c r="N248" s="165">
        <v>27500</v>
      </c>
      <c r="O248" s="169">
        <f t="shared" si="14"/>
        <v>0</v>
      </c>
      <c r="P248" s="165">
        <v>80990</v>
      </c>
      <c r="Q248" s="166">
        <f t="shared" si="12"/>
        <v>0</v>
      </c>
      <c r="R248" s="169"/>
      <c r="S248" s="169"/>
      <c r="T248" s="169"/>
      <c r="U248" s="169"/>
      <c r="V248" s="166">
        <f t="shared" si="13"/>
        <v>0</v>
      </c>
      <c r="W248" s="205"/>
      <c r="X248" s="167"/>
    </row>
    <row r="249" spans="8:24" s="220" customFormat="1" ht="12" hidden="1" customHeight="1">
      <c r="H249" s="162" t="s">
        <v>229</v>
      </c>
      <c r="I249" s="163" t="s">
        <v>940</v>
      </c>
      <c r="J249" s="163" t="s">
        <v>1789</v>
      </c>
      <c r="K249" s="162" t="s">
        <v>1790</v>
      </c>
      <c r="L249" s="164" t="s">
        <v>5</v>
      </c>
      <c r="M249" s="169"/>
      <c r="N249" s="165">
        <v>31500</v>
      </c>
      <c r="O249" s="169">
        <f t="shared" si="14"/>
        <v>0</v>
      </c>
      <c r="P249" s="165">
        <v>97188</v>
      </c>
      <c r="Q249" s="166">
        <f t="shared" si="12"/>
        <v>0</v>
      </c>
      <c r="R249" s="169"/>
      <c r="S249" s="169"/>
      <c r="T249" s="169"/>
      <c r="U249" s="169"/>
      <c r="V249" s="166">
        <f t="shared" si="13"/>
        <v>0</v>
      </c>
      <c r="W249" s="205"/>
      <c r="X249" s="167"/>
    </row>
    <row r="250" spans="8:24" s="220" customFormat="1" ht="12" hidden="1" customHeight="1">
      <c r="H250" s="162" t="s">
        <v>230</v>
      </c>
      <c r="I250" s="163" t="s">
        <v>941</v>
      </c>
      <c r="J250" s="163" t="s">
        <v>1791</v>
      </c>
      <c r="K250" s="162" t="s">
        <v>1792</v>
      </c>
      <c r="L250" s="164" t="s">
        <v>5</v>
      </c>
      <c r="M250" s="169"/>
      <c r="N250" s="165">
        <v>33500</v>
      </c>
      <c r="O250" s="169">
        <f t="shared" si="14"/>
        <v>0</v>
      </c>
      <c r="P250" s="165">
        <v>129584</v>
      </c>
      <c r="Q250" s="166">
        <f t="shared" si="12"/>
        <v>0</v>
      </c>
      <c r="R250" s="169"/>
      <c r="S250" s="169"/>
      <c r="T250" s="169"/>
      <c r="U250" s="169"/>
      <c r="V250" s="166">
        <f t="shared" si="13"/>
        <v>0</v>
      </c>
      <c r="W250" s="205"/>
      <c r="X250" s="167"/>
    </row>
    <row r="251" spans="8:24" s="220" customFormat="1" ht="12" hidden="1" customHeight="1">
      <c r="H251" s="162" t="s">
        <v>231</v>
      </c>
      <c r="I251" s="163" t="s">
        <v>941</v>
      </c>
      <c r="J251" s="163" t="s">
        <v>1791</v>
      </c>
      <c r="K251" s="162" t="s">
        <v>1793</v>
      </c>
      <c r="L251" s="164" t="s">
        <v>5</v>
      </c>
      <c r="M251" s="169"/>
      <c r="N251" s="165">
        <v>35400</v>
      </c>
      <c r="O251" s="169">
        <f t="shared" si="14"/>
        <v>0</v>
      </c>
      <c r="P251" s="165">
        <v>129584</v>
      </c>
      <c r="Q251" s="166">
        <f t="shared" si="12"/>
        <v>0</v>
      </c>
      <c r="R251" s="169"/>
      <c r="S251" s="169"/>
      <c r="T251" s="169"/>
      <c r="U251" s="169"/>
      <c r="V251" s="166">
        <f t="shared" si="13"/>
        <v>0</v>
      </c>
      <c r="W251" s="205"/>
      <c r="X251" s="167"/>
    </row>
    <row r="252" spans="8:24" s="220" customFormat="1" ht="12" hidden="1" customHeight="1">
      <c r="H252" s="162" t="s">
        <v>232</v>
      </c>
      <c r="I252" s="163" t="s">
        <v>942</v>
      </c>
      <c r="J252" s="163" t="s">
        <v>1794</v>
      </c>
      <c r="K252" s="162" t="s">
        <v>1795</v>
      </c>
      <c r="L252" s="164" t="s">
        <v>5</v>
      </c>
      <c r="M252" s="169"/>
      <c r="N252" s="165">
        <v>37400</v>
      </c>
      <c r="O252" s="169">
        <f t="shared" si="14"/>
        <v>0</v>
      </c>
      <c r="P252" s="165">
        <v>145782</v>
      </c>
      <c r="Q252" s="166">
        <f t="shared" si="12"/>
        <v>0</v>
      </c>
      <c r="R252" s="169"/>
      <c r="S252" s="169"/>
      <c r="T252" s="169"/>
      <c r="U252" s="169"/>
      <c r="V252" s="166">
        <f t="shared" si="13"/>
        <v>0</v>
      </c>
      <c r="W252" s="205"/>
      <c r="X252" s="167"/>
    </row>
    <row r="253" spans="8:24" s="220" customFormat="1" ht="12" hidden="1" customHeight="1">
      <c r="H253" s="162" t="s">
        <v>234</v>
      </c>
      <c r="I253" s="163" t="s">
        <v>943</v>
      </c>
      <c r="J253" s="163" t="s">
        <v>1796</v>
      </c>
      <c r="K253" s="162" t="s">
        <v>1797</v>
      </c>
      <c r="L253" s="164" t="s">
        <v>5</v>
      </c>
      <c r="M253" s="169"/>
      <c r="N253" s="165">
        <v>43300</v>
      </c>
      <c r="O253" s="169">
        <f t="shared" si="14"/>
        <v>0</v>
      </c>
      <c r="P253" s="165">
        <v>194376</v>
      </c>
      <c r="Q253" s="166">
        <f t="shared" si="12"/>
        <v>0</v>
      </c>
      <c r="R253" s="169"/>
      <c r="S253" s="169"/>
      <c r="T253" s="169"/>
      <c r="U253" s="169"/>
      <c r="V253" s="166">
        <f t="shared" si="13"/>
        <v>0</v>
      </c>
      <c r="W253" s="205"/>
      <c r="X253" s="167"/>
    </row>
    <row r="254" spans="8:24" s="220" customFormat="1" ht="12" hidden="1" customHeight="1">
      <c r="H254" s="162" t="s">
        <v>235</v>
      </c>
      <c r="I254" s="163" t="s">
        <v>938</v>
      </c>
      <c r="J254" s="163" t="s">
        <v>1783</v>
      </c>
      <c r="K254" s="162" t="s">
        <v>1798</v>
      </c>
      <c r="L254" s="164" t="s">
        <v>5</v>
      </c>
      <c r="M254" s="169"/>
      <c r="N254" s="165">
        <v>30000</v>
      </c>
      <c r="O254" s="169">
        <f t="shared" si="14"/>
        <v>0</v>
      </c>
      <c r="P254" s="165">
        <v>62092</v>
      </c>
      <c r="Q254" s="166">
        <f t="shared" si="12"/>
        <v>0</v>
      </c>
      <c r="R254" s="169"/>
      <c r="S254" s="169"/>
      <c r="T254" s="169"/>
      <c r="U254" s="169"/>
      <c r="V254" s="166">
        <f t="shared" si="13"/>
        <v>0</v>
      </c>
      <c r="W254" s="205"/>
      <c r="X254" s="167"/>
    </row>
    <row r="255" spans="8:24" s="220" customFormat="1" ht="12" hidden="1" customHeight="1">
      <c r="H255" s="162" t="s">
        <v>236</v>
      </c>
      <c r="I255" s="163" t="s">
        <v>938</v>
      </c>
      <c r="J255" s="163" t="s">
        <v>1783</v>
      </c>
      <c r="K255" s="162" t="s">
        <v>1799</v>
      </c>
      <c r="L255" s="164" t="s">
        <v>5</v>
      </c>
      <c r="M255" s="169"/>
      <c r="N255" s="165">
        <v>32000</v>
      </c>
      <c r="O255" s="169">
        <f t="shared" si="14"/>
        <v>0</v>
      </c>
      <c r="P255" s="165">
        <v>62092</v>
      </c>
      <c r="Q255" s="166">
        <f t="shared" si="12"/>
        <v>0</v>
      </c>
      <c r="R255" s="169"/>
      <c r="S255" s="169"/>
      <c r="T255" s="169"/>
      <c r="U255" s="169"/>
      <c r="V255" s="166">
        <f t="shared" si="13"/>
        <v>0</v>
      </c>
      <c r="W255" s="205"/>
      <c r="X255" s="167"/>
    </row>
    <row r="256" spans="8:24" s="220" customFormat="1" ht="12" hidden="1" customHeight="1">
      <c r="H256" s="158" t="s">
        <v>237</v>
      </c>
      <c r="I256" s="159" t="s">
        <v>938</v>
      </c>
      <c r="J256" s="159" t="s">
        <v>1783</v>
      </c>
      <c r="K256" s="158" t="s">
        <v>2169</v>
      </c>
      <c r="L256" s="160" t="s">
        <v>5</v>
      </c>
      <c r="M256" s="161"/>
      <c r="N256" s="161">
        <v>38100</v>
      </c>
      <c r="O256" s="169">
        <f t="shared" si="14"/>
        <v>0</v>
      </c>
      <c r="P256" s="161">
        <v>62092</v>
      </c>
      <c r="Q256" s="166">
        <f t="shared" si="12"/>
        <v>0</v>
      </c>
      <c r="R256" s="169"/>
      <c r="S256" s="169"/>
      <c r="T256" s="169"/>
      <c r="U256" s="169"/>
      <c r="V256" s="166">
        <f t="shared" si="13"/>
        <v>0</v>
      </c>
      <c r="W256" s="205"/>
      <c r="X256" s="167"/>
    </row>
    <row r="257" spans="8:24" s="220" customFormat="1" ht="12" hidden="1" customHeight="1">
      <c r="H257" s="162" t="s">
        <v>238</v>
      </c>
      <c r="I257" s="163" t="s">
        <v>939</v>
      </c>
      <c r="J257" s="163" t="s">
        <v>1787</v>
      </c>
      <c r="K257" s="162" t="s">
        <v>1800</v>
      </c>
      <c r="L257" s="164" t="s">
        <v>5</v>
      </c>
      <c r="M257" s="169"/>
      <c r="N257" s="165">
        <v>41300</v>
      </c>
      <c r="O257" s="169">
        <f t="shared" si="14"/>
        <v>0</v>
      </c>
      <c r="P257" s="165">
        <v>80990</v>
      </c>
      <c r="Q257" s="166">
        <f t="shared" si="12"/>
        <v>0</v>
      </c>
      <c r="R257" s="169"/>
      <c r="S257" s="169"/>
      <c r="T257" s="169"/>
      <c r="U257" s="169"/>
      <c r="V257" s="166">
        <f t="shared" si="13"/>
        <v>0</v>
      </c>
      <c r="W257" s="205"/>
      <c r="X257" s="167"/>
    </row>
    <row r="258" spans="8:24" s="220" customFormat="1" ht="12" hidden="1" customHeight="1">
      <c r="H258" s="162" t="s">
        <v>239</v>
      </c>
      <c r="I258" s="163" t="s">
        <v>939</v>
      </c>
      <c r="J258" s="163" t="s">
        <v>1787</v>
      </c>
      <c r="K258" s="162" t="s">
        <v>1801</v>
      </c>
      <c r="L258" s="164" t="s">
        <v>5</v>
      </c>
      <c r="M258" s="169"/>
      <c r="N258" s="165">
        <v>44200</v>
      </c>
      <c r="O258" s="169">
        <f t="shared" si="14"/>
        <v>0</v>
      </c>
      <c r="P258" s="165">
        <v>80990</v>
      </c>
      <c r="Q258" s="166">
        <f t="shared" si="12"/>
        <v>0</v>
      </c>
      <c r="R258" s="169"/>
      <c r="S258" s="169"/>
      <c r="T258" s="169"/>
      <c r="U258" s="169"/>
      <c r="V258" s="166">
        <f t="shared" si="13"/>
        <v>0</v>
      </c>
      <c r="W258" s="205"/>
      <c r="X258" s="167"/>
    </row>
    <row r="259" spans="8:24" s="220" customFormat="1" ht="12" hidden="1" customHeight="1">
      <c r="H259" s="162" t="s">
        <v>240</v>
      </c>
      <c r="I259" s="163" t="s">
        <v>940</v>
      </c>
      <c r="J259" s="163" t="s">
        <v>1789</v>
      </c>
      <c r="K259" s="162" t="s">
        <v>1802</v>
      </c>
      <c r="L259" s="164" t="s">
        <v>5</v>
      </c>
      <c r="M259" s="169"/>
      <c r="N259" s="165">
        <v>56700</v>
      </c>
      <c r="O259" s="169">
        <f t="shared" si="14"/>
        <v>0</v>
      </c>
      <c r="P259" s="165">
        <v>97188</v>
      </c>
      <c r="Q259" s="166">
        <f t="shared" si="12"/>
        <v>0</v>
      </c>
      <c r="R259" s="169"/>
      <c r="S259" s="169"/>
      <c r="T259" s="169"/>
      <c r="U259" s="169"/>
      <c r="V259" s="166">
        <f t="shared" si="13"/>
        <v>0</v>
      </c>
      <c r="W259" s="205"/>
      <c r="X259" s="167"/>
    </row>
    <row r="260" spans="8:24" s="220" customFormat="1" ht="12" hidden="1" customHeight="1">
      <c r="H260" s="162" t="s">
        <v>241</v>
      </c>
      <c r="I260" s="163" t="s">
        <v>941</v>
      </c>
      <c r="J260" s="163" t="s">
        <v>1791</v>
      </c>
      <c r="K260" s="162" t="s">
        <v>1803</v>
      </c>
      <c r="L260" s="164" t="s">
        <v>5</v>
      </c>
      <c r="M260" s="169"/>
      <c r="N260" s="165">
        <v>63500</v>
      </c>
      <c r="O260" s="169">
        <f t="shared" si="14"/>
        <v>0</v>
      </c>
      <c r="P260" s="165">
        <v>129584</v>
      </c>
      <c r="Q260" s="166">
        <f t="shared" si="12"/>
        <v>0</v>
      </c>
      <c r="R260" s="169"/>
      <c r="S260" s="169"/>
      <c r="T260" s="169"/>
      <c r="U260" s="169"/>
      <c r="V260" s="166">
        <f t="shared" si="13"/>
        <v>0</v>
      </c>
      <c r="W260" s="205"/>
      <c r="X260" s="167"/>
    </row>
    <row r="261" spans="8:24" s="220" customFormat="1" ht="12" hidden="1" customHeight="1">
      <c r="H261" s="162" t="s">
        <v>242</v>
      </c>
      <c r="I261" s="163" t="s">
        <v>941</v>
      </c>
      <c r="J261" s="163" t="s">
        <v>1791</v>
      </c>
      <c r="K261" s="162" t="s">
        <v>1804</v>
      </c>
      <c r="L261" s="164" t="s">
        <v>5</v>
      </c>
      <c r="M261" s="169"/>
      <c r="N261" s="165">
        <v>69300</v>
      </c>
      <c r="O261" s="169">
        <f t="shared" si="14"/>
        <v>0</v>
      </c>
      <c r="P261" s="165">
        <v>129584</v>
      </c>
      <c r="Q261" s="166">
        <f t="shared" si="12"/>
        <v>0</v>
      </c>
      <c r="R261" s="169"/>
      <c r="S261" s="169"/>
      <c r="T261" s="169"/>
      <c r="U261" s="169"/>
      <c r="V261" s="166">
        <f t="shared" si="13"/>
        <v>0</v>
      </c>
      <c r="W261" s="205"/>
      <c r="X261" s="167"/>
    </row>
    <row r="262" spans="8:24" s="220" customFormat="1" ht="12" hidden="1" customHeight="1">
      <c r="H262" s="162" t="s">
        <v>243</v>
      </c>
      <c r="I262" s="163" t="s">
        <v>942</v>
      </c>
      <c r="J262" s="163" t="s">
        <v>1794</v>
      </c>
      <c r="K262" s="162" t="s">
        <v>1805</v>
      </c>
      <c r="L262" s="164" t="s">
        <v>5</v>
      </c>
      <c r="M262" s="169"/>
      <c r="N262" s="165">
        <v>75100</v>
      </c>
      <c r="O262" s="169">
        <f t="shared" si="14"/>
        <v>0</v>
      </c>
      <c r="P262" s="165">
        <v>145782</v>
      </c>
      <c r="Q262" s="166">
        <f t="shared" si="12"/>
        <v>0</v>
      </c>
      <c r="R262" s="169"/>
      <c r="S262" s="169"/>
      <c r="T262" s="169"/>
      <c r="U262" s="169"/>
      <c r="V262" s="166">
        <f t="shared" si="13"/>
        <v>0</v>
      </c>
      <c r="W262" s="205"/>
      <c r="X262" s="167"/>
    </row>
    <row r="263" spans="8:24" s="220" customFormat="1" ht="12" hidden="1" customHeight="1">
      <c r="H263" s="162" t="s">
        <v>244</v>
      </c>
      <c r="I263" s="163" t="s">
        <v>943</v>
      </c>
      <c r="J263" s="163" t="s">
        <v>1796</v>
      </c>
      <c r="K263" s="162" t="s">
        <v>1806</v>
      </c>
      <c r="L263" s="164" t="s">
        <v>5</v>
      </c>
      <c r="M263" s="169"/>
      <c r="N263" s="165">
        <v>80800</v>
      </c>
      <c r="O263" s="169">
        <f t="shared" si="14"/>
        <v>0</v>
      </c>
      <c r="P263" s="165">
        <v>194376</v>
      </c>
      <c r="Q263" s="166">
        <f t="shared" si="12"/>
        <v>0</v>
      </c>
      <c r="R263" s="169"/>
      <c r="S263" s="169"/>
      <c r="T263" s="169"/>
      <c r="U263" s="169"/>
      <c r="V263" s="166">
        <f t="shared" si="13"/>
        <v>0</v>
      </c>
      <c r="W263" s="205"/>
      <c r="X263" s="167"/>
    </row>
    <row r="264" spans="8:24" s="220" customFormat="1" ht="12" hidden="1" customHeight="1">
      <c r="H264" s="162" t="s">
        <v>245</v>
      </c>
      <c r="I264" s="163" t="s">
        <v>943</v>
      </c>
      <c r="J264" s="163" t="s">
        <v>1796</v>
      </c>
      <c r="K264" s="162" t="s">
        <v>1807</v>
      </c>
      <c r="L264" s="164" t="s">
        <v>5</v>
      </c>
      <c r="M264" s="169"/>
      <c r="N264" s="165">
        <v>95300</v>
      </c>
      <c r="O264" s="169">
        <f t="shared" si="14"/>
        <v>0</v>
      </c>
      <c r="P264" s="165">
        <v>194376</v>
      </c>
      <c r="Q264" s="166">
        <f t="shared" si="12"/>
        <v>0</v>
      </c>
      <c r="R264" s="169"/>
      <c r="S264" s="169"/>
      <c r="T264" s="169"/>
      <c r="U264" s="169"/>
      <c r="V264" s="166">
        <f t="shared" si="13"/>
        <v>0</v>
      </c>
      <c r="W264" s="205"/>
      <c r="X264" s="167"/>
    </row>
    <row r="265" spans="8:24" s="220" customFormat="1" ht="12" hidden="1" customHeight="1">
      <c r="H265" s="162" t="s">
        <v>246</v>
      </c>
      <c r="I265" s="163" t="s">
        <v>938</v>
      </c>
      <c r="J265" s="163" t="s">
        <v>1783</v>
      </c>
      <c r="K265" s="162" t="s">
        <v>1808</v>
      </c>
      <c r="L265" s="164" t="s">
        <v>5</v>
      </c>
      <c r="M265" s="169"/>
      <c r="N265" s="165">
        <v>37200</v>
      </c>
      <c r="O265" s="169">
        <f t="shared" si="14"/>
        <v>0</v>
      </c>
      <c r="P265" s="165">
        <v>62092</v>
      </c>
      <c r="Q265" s="166">
        <f t="shared" si="12"/>
        <v>0</v>
      </c>
      <c r="R265" s="169"/>
      <c r="S265" s="169"/>
      <c r="T265" s="169"/>
      <c r="U265" s="169"/>
      <c r="V265" s="166">
        <f t="shared" si="13"/>
        <v>0</v>
      </c>
      <c r="W265" s="205"/>
      <c r="X265" s="167"/>
    </row>
    <row r="266" spans="8:24" s="220" customFormat="1" ht="12" hidden="1" customHeight="1">
      <c r="H266" s="162" t="s">
        <v>247</v>
      </c>
      <c r="I266" s="163" t="s">
        <v>938</v>
      </c>
      <c r="J266" s="163" t="s">
        <v>1783</v>
      </c>
      <c r="K266" s="162" t="s">
        <v>1809</v>
      </c>
      <c r="L266" s="164" t="s">
        <v>5</v>
      </c>
      <c r="M266" s="169"/>
      <c r="N266" s="165">
        <v>38400</v>
      </c>
      <c r="O266" s="169">
        <f t="shared" si="14"/>
        <v>0</v>
      </c>
      <c r="P266" s="165">
        <v>62092</v>
      </c>
      <c r="Q266" s="166">
        <f t="shared" ref="Q266:Q329" si="15">IF(W266="",M266*P266*$Q$3*$W$3,M266*P266*$Q$3*W266)</f>
        <v>0</v>
      </c>
      <c r="R266" s="169"/>
      <c r="S266" s="169"/>
      <c r="T266" s="169"/>
      <c r="U266" s="169"/>
      <c r="V266" s="166">
        <f t="shared" ref="V266:V329" si="16">SUM(O266+Q266)+S266+U266</f>
        <v>0</v>
      </c>
      <c r="W266" s="205"/>
      <c r="X266" s="167"/>
    </row>
    <row r="267" spans="8:24" s="220" customFormat="1" ht="12" hidden="1" customHeight="1">
      <c r="H267" s="162" t="s">
        <v>248</v>
      </c>
      <c r="I267" s="163" t="s">
        <v>938</v>
      </c>
      <c r="J267" s="163" t="s">
        <v>1783</v>
      </c>
      <c r="K267" s="162" t="s">
        <v>1810</v>
      </c>
      <c r="L267" s="164" t="s">
        <v>5</v>
      </c>
      <c r="M267" s="169"/>
      <c r="N267" s="165">
        <v>41000</v>
      </c>
      <c r="O267" s="169">
        <f t="shared" si="14"/>
        <v>0</v>
      </c>
      <c r="P267" s="165">
        <v>62092</v>
      </c>
      <c r="Q267" s="166">
        <f t="shared" si="15"/>
        <v>0</v>
      </c>
      <c r="R267" s="169"/>
      <c r="S267" s="169"/>
      <c r="T267" s="169"/>
      <c r="U267" s="169"/>
      <c r="V267" s="166">
        <f t="shared" si="16"/>
        <v>0</v>
      </c>
      <c r="W267" s="205"/>
      <c r="X267" s="167"/>
    </row>
    <row r="268" spans="8:24" s="220" customFormat="1" ht="12" hidden="1" customHeight="1">
      <c r="H268" s="162" t="s">
        <v>249</v>
      </c>
      <c r="I268" s="163" t="s">
        <v>939</v>
      </c>
      <c r="J268" s="163" t="s">
        <v>1787</v>
      </c>
      <c r="K268" s="162" t="s">
        <v>1811</v>
      </c>
      <c r="L268" s="164" t="s">
        <v>5</v>
      </c>
      <c r="M268" s="169"/>
      <c r="N268" s="165">
        <v>43900</v>
      </c>
      <c r="O268" s="169">
        <f t="shared" si="14"/>
        <v>0</v>
      </c>
      <c r="P268" s="165">
        <v>80990</v>
      </c>
      <c r="Q268" s="166">
        <f t="shared" si="15"/>
        <v>0</v>
      </c>
      <c r="R268" s="169"/>
      <c r="S268" s="169"/>
      <c r="T268" s="169"/>
      <c r="U268" s="169"/>
      <c r="V268" s="166">
        <f t="shared" si="16"/>
        <v>0</v>
      </c>
      <c r="W268" s="205"/>
      <c r="X268" s="167"/>
    </row>
    <row r="269" spans="8:24" s="220" customFormat="1" ht="12" hidden="1" customHeight="1">
      <c r="H269" s="162" t="s">
        <v>250</v>
      </c>
      <c r="I269" s="163" t="s">
        <v>939</v>
      </c>
      <c r="J269" s="163" t="s">
        <v>1787</v>
      </c>
      <c r="K269" s="162" t="s">
        <v>1812</v>
      </c>
      <c r="L269" s="164" t="s">
        <v>5</v>
      </c>
      <c r="M269" s="169"/>
      <c r="N269" s="165">
        <v>46800</v>
      </c>
      <c r="O269" s="169">
        <f t="shared" si="14"/>
        <v>0</v>
      </c>
      <c r="P269" s="165">
        <v>80990</v>
      </c>
      <c r="Q269" s="166">
        <f t="shared" si="15"/>
        <v>0</v>
      </c>
      <c r="R269" s="169"/>
      <c r="S269" s="169"/>
      <c r="T269" s="169"/>
      <c r="U269" s="169"/>
      <c r="V269" s="166">
        <f t="shared" si="16"/>
        <v>0</v>
      </c>
      <c r="W269" s="205"/>
      <c r="X269" s="167"/>
    </row>
    <row r="270" spans="8:24" s="220" customFormat="1" ht="12" hidden="1" customHeight="1">
      <c r="H270" s="162" t="s">
        <v>251</v>
      </c>
      <c r="I270" s="163" t="s">
        <v>940</v>
      </c>
      <c r="J270" s="163" t="s">
        <v>1789</v>
      </c>
      <c r="K270" s="162" t="s">
        <v>1813</v>
      </c>
      <c r="L270" s="164" t="s">
        <v>5</v>
      </c>
      <c r="M270" s="169"/>
      <c r="N270" s="165">
        <v>49400</v>
      </c>
      <c r="O270" s="169">
        <f t="shared" si="14"/>
        <v>0</v>
      </c>
      <c r="P270" s="165">
        <v>97188</v>
      </c>
      <c r="Q270" s="166">
        <f t="shared" si="15"/>
        <v>0</v>
      </c>
      <c r="R270" s="169"/>
      <c r="S270" s="169"/>
      <c r="T270" s="169"/>
      <c r="U270" s="169"/>
      <c r="V270" s="166">
        <f t="shared" si="16"/>
        <v>0</v>
      </c>
      <c r="W270" s="205"/>
      <c r="X270" s="167"/>
    </row>
    <row r="271" spans="8:24" s="220" customFormat="1" ht="12" hidden="1" customHeight="1">
      <c r="H271" s="162" t="s">
        <v>253</v>
      </c>
      <c r="I271" s="163" t="s">
        <v>941</v>
      </c>
      <c r="J271" s="163" t="s">
        <v>1791</v>
      </c>
      <c r="K271" s="162" t="s">
        <v>1814</v>
      </c>
      <c r="L271" s="164" t="s">
        <v>5</v>
      </c>
      <c r="M271" s="169"/>
      <c r="N271" s="165">
        <v>54800</v>
      </c>
      <c r="O271" s="169">
        <f t="shared" si="14"/>
        <v>0</v>
      </c>
      <c r="P271" s="165">
        <v>129584</v>
      </c>
      <c r="Q271" s="166">
        <f t="shared" si="15"/>
        <v>0</v>
      </c>
      <c r="R271" s="169"/>
      <c r="S271" s="169"/>
      <c r="T271" s="169"/>
      <c r="U271" s="169"/>
      <c r="V271" s="166">
        <f t="shared" si="16"/>
        <v>0</v>
      </c>
      <c r="W271" s="205"/>
      <c r="X271" s="167"/>
    </row>
    <row r="272" spans="8:24" s="220" customFormat="1" ht="12" hidden="1" customHeight="1">
      <c r="H272" s="162" t="s">
        <v>254</v>
      </c>
      <c r="I272" s="163" t="s">
        <v>942</v>
      </c>
      <c r="J272" s="163" t="s">
        <v>1794</v>
      </c>
      <c r="K272" s="162" t="s">
        <v>1815</v>
      </c>
      <c r="L272" s="164" t="s">
        <v>5</v>
      </c>
      <c r="M272" s="169"/>
      <c r="N272" s="165">
        <v>57500</v>
      </c>
      <c r="O272" s="169">
        <f t="shared" si="14"/>
        <v>0</v>
      </c>
      <c r="P272" s="165">
        <v>145782</v>
      </c>
      <c r="Q272" s="166">
        <f t="shared" si="15"/>
        <v>0</v>
      </c>
      <c r="R272" s="169"/>
      <c r="S272" s="169"/>
      <c r="T272" s="169"/>
      <c r="U272" s="169"/>
      <c r="V272" s="166">
        <f t="shared" si="16"/>
        <v>0</v>
      </c>
      <c r="W272" s="205"/>
      <c r="X272" s="167"/>
    </row>
    <row r="273" spans="8:24" s="220" customFormat="1" ht="12" hidden="1" customHeight="1">
      <c r="H273" s="162" t="s">
        <v>255</v>
      </c>
      <c r="I273" s="163" t="s">
        <v>943</v>
      </c>
      <c r="J273" s="163" t="s">
        <v>1796</v>
      </c>
      <c r="K273" s="162" t="s">
        <v>1816</v>
      </c>
      <c r="L273" s="164" t="s">
        <v>5</v>
      </c>
      <c r="M273" s="169"/>
      <c r="N273" s="165">
        <v>60400</v>
      </c>
      <c r="O273" s="169">
        <f t="shared" si="14"/>
        <v>0</v>
      </c>
      <c r="P273" s="165">
        <v>194376</v>
      </c>
      <c r="Q273" s="166">
        <f t="shared" si="15"/>
        <v>0</v>
      </c>
      <c r="R273" s="169"/>
      <c r="S273" s="169"/>
      <c r="T273" s="169"/>
      <c r="U273" s="169"/>
      <c r="V273" s="166">
        <f t="shared" si="16"/>
        <v>0</v>
      </c>
      <c r="W273" s="205"/>
      <c r="X273" s="167"/>
    </row>
    <row r="274" spans="8:24" s="220" customFormat="1" ht="12" hidden="1" customHeight="1">
      <c r="H274" s="162" t="s">
        <v>256</v>
      </c>
      <c r="I274" s="163" t="s">
        <v>943</v>
      </c>
      <c r="J274" s="163" t="s">
        <v>1796</v>
      </c>
      <c r="K274" s="162" t="s">
        <v>1817</v>
      </c>
      <c r="L274" s="164" t="s">
        <v>5</v>
      </c>
      <c r="M274" s="169"/>
      <c r="N274" s="165">
        <v>65700</v>
      </c>
      <c r="O274" s="169">
        <f t="shared" si="14"/>
        <v>0</v>
      </c>
      <c r="P274" s="165">
        <v>194376</v>
      </c>
      <c r="Q274" s="166">
        <f t="shared" si="15"/>
        <v>0</v>
      </c>
      <c r="R274" s="169"/>
      <c r="S274" s="169"/>
      <c r="T274" s="169"/>
      <c r="U274" s="169"/>
      <c r="V274" s="166">
        <f t="shared" si="16"/>
        <v>0</v>
      </c>
      <c r="W274" s="205"/>
      <c r="X274" s="167"/>
    </row>
    <row r="275" spans="8:24" s="220" customFormat="1" ht="12" hidden="1" customHeight="1">
      <c r="H275" s="162" t="s">
        <v>258</v>
      </c>
      <c r="I275" s="163" t="s">
        <v>938</v>
      </c>
      <c r="J275" s="163" t="s">
        <v>1783</v>
      </c>
      <c r="K275" s="162" t="s">
        <v>1818</v>
      </c>
      <c r="L275" s="164" t="s">
        <v>5</v>
      </c>
      <c r="M275" s="169"/>
      <c r="N275" s="165">
        <v>48200</v>
      </c>
      <c r="O275" s="169">
        <f t="shared" si="14"/>
        <v>0</v>
      </c>
      <c r="P275" s="165">
        <v>62092</v>
      </c>
      <c r="Q275" s="166">
        <f t="shared" si="15"/>
        <v>0</v>
      </c>
      <c r="R275" s="169"/>
      <c r="S275" s="169"/>
      <c r="T275" s="169"/>
      <c r="U275" s="169"/>
      <c r="V275" s="166">
        <f t="shared" si="16"/>
        <v>0</v>
      </c>
      <c r="W275" s="205"/>
      <c r="X275" s="167"/>
    </row>
    <row r="276" spans="8:24" s="220" customFormat="1" ht="12" hidden="1" customHeight="1">
      <c r="H276" s="162" t="s">
        <v>259</v>
      </c>
      <c r="I276" s="163" t="s">
        <v>938</v>
      </c>
      <c r="J276" s="163" t="s">
        <v>1783</v>
      </c>
      <c r="K276" s="162" t="s">
        <v>1819</v>
      </c>
      <c r="L276" s="164" t="s">
        <v>5</v>
      </c>
      <c r="M276" s="169"/>
      <c r="N276" s="165">
        <v>54000</v>
      </c>
      <c r="O276" s="169">
        <f t="shared" si="14"/>
        <v>0</v>
      </c>
      <c r="P276" s="165">
        <v>62092</v>
      </c>
      <c r="Q276" s="166">
        <f t="shared" si="15"/>
        <v>0</v>
      </c>
      <c r="R276" s="169"/>
      <c r="S276" s="169"/>
      <c r="T276" s="169"/>
      <c r="U276" s="169"/>
      <c r="V276" s="166">
        <f t="shared" si="16"/>
        <v>0</v>
      </c>
      <c r="W276" s="205"/>
      <c r="X276" s="167"/>
    </row>
    <row r="277" spans="8:24" s="220" customFormat="1" ht="12" hidden="1" customHeight="1">
      <c r="H277" s="162" t="s">
        <v>260</v>
      </c>
      <c r="I277" s="163" t="s">
        <v>939</v>
      </c>
      <c r="J277" s="163" t="s">
        <v>1787</v>
      </c>
      <c r="K277" s="162" t="s">
        <v>1820</v>
      </c>
      <c r="L277" s="164" t="s">
        <v>5</v>
      </c>
      <c r="M277" s="169"/>
      <c r="N277" s="165">
        <v>62400</v>
      </c>
      <c r="O277" s="169">
        <f t="shared" si="14"/>
        <v>0</v>
      </c>
      <c r="P277" s="165">
        <v>80990</v>
      </c>
      <c r="Q277" s="166">
        <f t="shared" si="15"/>
        <v>0</v>
      </c>
      <c r="R277" s="169"/>
      <c r="S277" s="169"/>
      <c r="T277" s="169"/>
      <c r="U277" s="169"/>
      <c r="V277" s="166">
        <f t="shared" si="16"/>
        <v>0</v>
      </c>
      <c r="W277" s="205"/>
      <c r="X277" s="167"/>
    </row>
    <row r="278" spans="8:24" s="220" customFormat="1" ht="12" hidden="1" customHeight="1">
      <c r="H278" s="162" t="s">
        <v>262</v>
      </c>
      <c r="I278" s="163" t="s">
        <v>940</v>
      </c>
      <c r="J278" s="163" t="s">
        <v>1789</v>
      </c>
      <c r="K278" s="162" t="s">
        <v>1821</v>
      </c>
      <c r="L278" s="164" t="s">
        <v>5</v>
      </c>
      <c r="M278" s="169"/>
      <c r="N278" s="165">
        <v>73300</v>
      </c>
      <c r="O278" s="169">
        <f t="shared" si="14"/>
        <v>0</v>
      </c>
      <c r="P278" s="165">
        <v>97188</v>
      </c>
      <c r="Q278" s="166">
        <f t="shared" si="15"/>
        <v>0</v>
      </c>
      <c r="R278" s="169"/>
      <c r="S278" s="169"/>
      <c r="T278" s="169"/>
      <c r="U278" s="169"/>
      <c r="V278" s="166">
        <f t="shared" si="16"/>
        <v>0</v>
      </c>
      <c r="W278" s="205"/>
      <c r="X278" s="167"/>
    </row>
    <row r="279" spans="8:24" s="220" customFormat="1" ht="12" hidden="1" customHeight="1">
      <c r="H279" s="162" t="s">
        <v>263</v>
      </c>
      <c r="I279" s="163" t="s">
        <v>941</v>
      </c>
      <c r="J279" s="163" t="s">
        <v>1791</v>
      </c>
      <c r="K279" s="162" t="s">
        <v>1822</v>
      </c>
      <c r="L279" s="164" t="s">
        <v>5</v>
      </c>
      <c r="M279" s="169"/>
      <c r="N279" s="165">
        <v>80000</v>
      </c>
      <c r="O279" s="169">
        <f t="shared" si="14"/>
        <v>0</v>
      </c>
      <c r="P279" s="165">
        <v>129584</v>
      </c>
      <c r="Q279" s="166">
        <f t="shared" si="15"/>
        <v>0</v>
      </c>
      <c r="R279" s="169"/>
      <c r="S279" s="169"/>
      <c r="T279" s="169"/>
      <c r="U279" s="169"/>
      <c r="V279" s="166">
        <f t="shared" si="16"/>
        <v>0</v>
      </c>
      <c r="W279" s="205"/>
      <c r="X279" s="167"/>
    </row>
    <row r="280" spans="8:24" s="220" customFormat="1" ht="12" hidden="1" customHeight="1">
      <c r="H280" s="162" t="s">
        <v>264</v>
      </c>
      <c r="I280" s="163" t="s">
        <v>941</v>
      </c>
      <c r="J280" s="163" t="s">
        <v>1791</v>
      </c>
      <c r="K280" s="162" t="s">
        <v>1823</v>
      </c>
      <c r="L280" s="164" t="s">
        <v>5</v>
      </c>
      <c r="M280" s="169"/>
      <c r="N280" s="165">
        <v>90700</v>
      </c>
      <c r="O280" s="169">
        <f t="shared" si="14"/>
        <v>0</v>
      </c>
      <c r="P280" s="165">
        <v>129584</v>
      </c>
      <c r="Q280" s="166">
        <f t="shared" si="15"/>
        <v>0</v>
      </c>
      <c r="R280" s="169"/>
      <c r="S280" s="169"/>
      <c r="T280" s="169"/>
      <c r="U280" s="169"/>
      <c r="V280" s="166">
        <f t="shared" si="16"/>
        <v>0</v>
      </c>
      <c r="W280" s="205"/>
      <c r="X280" s="167"/>
    </row>
    <row r="281" spans="8:24" s="220" customFormat="1" ht="12" hidden="1" customHeight="1">
      <c r="H281" s="162" t="s">
        <v>265</v>
      </c>
      <c r="I281" s="163" t="s">
        <v>942</v>
      </c>
      <c r="J281" s="163" t="s">
        <v>1794</v>
      </c>
      <c r="K281" s="162" t="s">
        <v>1824</v>
      </c>
      <c r="L281" s="164" t="s">
        <v>5</v>
      </c>
      <c r="M281" s="169"/>
      <c r="N281" s="165">
        <v>103000</v>
      </c>
      <c r="O281" s="169">
        <f t="shared" si="14"/>
        <v>0</v>
      </c>
      <c r="P281" s="165">
        <v>145782</v>
      </c>
      <c r="Q281" s="166">
        <f t="shared" si="15"/>
        <v>0</v>
      </c>
      <c r="R281" s="169"/>
      <c r="S281" s="169"/>
      <c r="T281" s="169"/>
      <c r="U281" s="169"/>
      <c r="V281" s="166">
        <f t="shared" si="16"/>
        <v>0</v>
      </c>
      <c r="W281" s="205"/>
      <c r="X281" s="167"/>
    </row>
    <row r="282" spans="8:24" s="220" customFormat="1" ht="12" hidden="1" customHeight="1">
      <c r="H282" s="162" t="s">
        <v>266</v>
      </c>
      <c r="I282" s="163" t="s">
        <v>943</v>
      </c>
      <c r="J282" s="163" t="s">
        <v>1796</v>
      </c>
      <c r="K282" s="162" t="s">
        <v>1825</v>
      </c>
      <c r="L282" s="164" t="s">
        <v>5</v>
      </c>
      <c r="M282" s="169"/>
      <c r="N282" s="165">
        <v>115000</v>
      </c>
      <c r="O282" s="169">
        <f t="shared" si="14"/>
        <v>0</v>
      </c>
      <c r="P282" s="165">
        <v>194376</v>
      </c>
      <c r="Q282" s="166">
        <f t="shared" si="15"/>
        <v>0</v>
      </c>
      <c r="R282" s="169"/>
      <c r="S282" s="169"/>
      <c r="T282" s="169"/>
      <c r="U282" s="169"/>
      <c r="V282" s="166">
        <f t="shared" si="16"/>
        <v>0</v>
      </c>
      <c r="W282" s="205"/>
      <c r="X282" s="167"/>
    </row>
    <row r="283" spans="8:24" s="220" customFormat="1" ht="12" hidden="1" customHeight="1">
      <c r="H283" s="162" t="s">
        <v>267</v>
      </c>
      <c r="I283" s="163" t="s">
        <v>943</v>
      </c>
      <c r="J283" s="163" t="s">
        <v>1796</v>
      </c>
      <c r="K283" s="162" t="s">
        <v>1826</v>
      </c>
      <c r="L283" s="164" t="s">
        <v>5</v>
      </c>
      <c r="M283" s="169"/>
      <c r="N283" s="165">
        <v>123000</v>
      </c>
      <c r="O283" s="169">
        <f t="shared" si="14"/>
        <v>0</v>
      </c>
      <c r="P283" s="165">
        <v>194376</v>
      </c>
      <c r="Q283" s="166">
        <f t="shared" si="15"/>
        <v>0</v>
      </c>
      <c r="R283" s="169"/>
      <c r="S283" s="169"/>
      <c r="T283" s="169"/>
      <c r="U283" s="169"/>
      <c r="V283" s="166">
        <f t="shared" si="16"/>
        <v>0</v>
      </c>
      <c r="W283" s="205"/>
      <c r="X283" s="167"/>
    </row>
    <row r="284" spans="8:24" s="220" customFormat="1" ht="12" hidden="1" customHeight="1">
      <c r="H284" s="162" t="s">
        <v>268</v>
      </c>
      <c r="I284" s="163" t="s">
        <v>938</v>
      </c>
      <c r="J284" s="163" t="s">
        <v>1783</v>
      </c>
      <c r="K284" s="162" t="s">
        <v>1827</v>
      </c>
      <c r="L284" s="164" t="s">
        <v>5</v>
      </c>
      <c r="M284" s="169"/>
      <c r="N284" s="165">
        <v>62000</v>
      </c>
      <c r="O284" s="169">
        <f t="shared" si="14"/>
        <v>0</v>
      </c>
      <c r="P284" s="165">
        <v>62092</v>
      </c>
      <c r="Q284" s="166">
        <f t="shared" si="15"/>
        <v>0</v>
      </c>
      <c r="R284" s="169"/>
      <c r="S284" s="169"/>
      <c r="T284" s="169"/>
      <c r="U284" s="169"/>
      <c r="V284" s="166">
        <f t="shared" si="16"/>
        <v>0</v>
      </c>
      <c r="W284" s="205"/>
      <c r="X284" s="167"/>
    </row>
    <row r="285" spans="8:24" s="220" customFormat="1" ht="12" hidden="1" customHeight="1">
      <c r="H285" s="162" t="s">
        <v>269</v>
      </c>
      <c r="I285" s="163" t="s">
        <v>938</v>
      </c>
      <c r="J285" s="163" t="s">
        <v>1783</v>
      </c>
      <c r="K285" s="162" t="s">
        <v>1828</v>
      </c>
      <c r="L285" s="164" t="s">
        <v>5</v>
      </c>
      <c r="M285" s="169"/>
      <c r="N285" s="165">
        <v>63700</v>
      </c>
      <c r="O285" s="169">
        <f t="shared" si="14"/>
        <v>0</v>
      </c>
      <c r="P285" s="165">
        <v>62092</v>
      </c>
      <c r="Q285" s="166">
        <f t="shared" si="15"/>
        <v>0</v>
      </c>
      <c r="R285" s="169"/>
      <c r="S285" s="169"/>
      <c r="T285" s="169"/>
      <c r="U285" s="169"/>
      <c r="V285" s="166">
        <f t="shared" si="16"/>
        <v>0</v>
      </c>
      <c r="W285" s="205"/>
      <c r="X285" s="167"/>
    </row>
    <row r="286" spans="8:24" s="220" customFormat="1" ht="12" hidden="1" customHeight="1">
      <c r="H286" s="162" t="s">
        <v>270</v>
      </c>
      <c r="I286" s="163" t="s">
        <v>938</v>
      </c>
      <c r="J286" s="163" t="s">
        <v>1783</v>
      </c>
      <c r="K286" s="162" t="s">
        <v>1829</v>
      </c>
      <c r="L286" s="164" t="s">
        <v>5</v>
      </c>
      <c r="M286" s="169"/>
      <c r="N286" s="165">
        <v>67200</v>
      </c>
      <c r="O286" s="169">
        <f t="shared" si="14"/>
        <v>0</v>
      </c>
      <c r="P286" s="165">
        <v>62092</v>
      </c>
      <c r="Q286" s="166">
        <f t="shared" si="15"/>
        <v>0</v>
      </c>
      <c r="R286" s="169"/>
      <c r="S286" s="169"/>
      <c r="T286" s="169"/>
      <c r="U286" s="169"/>
      <c r="V286" s="166">
        <f t="shared" si="16"/>
        <v>0</v>
      </c>
      <c r="W286" s="205"/>
      <c r="X286" s="167"/>
    </row>
    <row r="287" spans="8:24" s="220" customFormat="1" ht="12" hidden="1" customHeight="1">
      <c r="H287" s="162" t="s">
        <v>271</v>
      </c>
      <c r="I287" s="163" t="s">
        <v>939</v>
      </c>
      <c r="J287" s="163" t="s">
        <v>1787</v>
      </c>
      <c r="K287" s="162" t="s">
        <v>1830</v>
      </c>
      <c r="L287" s="164" t="s">
        <v>5</v>
      </c>
      <c r="M287" s="169"/>
      <c r="N287" s="165">
        <v>70700</v>
      </c>
      <c r="O287" s="169">
        <f t="shared" si="14"/>
        <v>0</v>
      </c>
      <c r="P287" s="165">
        <v>80990</v>
      </c>
      <c r="Q287" s="166">
        <f t="shared" si="15"/>
        <v>0</v>
      </c>
      <c r="R287" s="169"/>
      <c r="S287" s="169"/>
      <c r="T287" s="169"/>
      <c r="U287" s="169"/>
      <c r="V287" s="166">
        <f t="shared" si="16"/>
        <v>0</v>
      </c>
      <c r="W287" s="205"/>
      <c r="X287" s="167"/>
    </row>
    <row r="288" spans="8:24" s="220" customFormat="1" ht="12" hidden="1" customHeight="1">
      <c r="H288" s="162" t="s">
        <v>272</v>
      </c>
      <c r="I288" s="163" t="s">
        <v>939</v>
      </c>
      <c r="J288" s="163" t="s">
        <v>1787</v>
      </c>
      <c r="K288" s="162" t="s">
        <v>1831</v>
      </c>
      <c r="L288" s="164" t="s">
        <v>5</v>
      </c>
      <c r="M288" s="169"/>
      <c r="N288" s="165">
        <v>74100</v>
      </c>
      <c r="O288" s="169">
        <f t="shared" si="14"/>
        <v>0</v>
      </c>
      <c r="P288" s="165">
        <v>80990</v>
      </c>
      <c r="Q288" s="166">
        <f t="shared" si="15"/>
        <v>0</v>
      </c>
      <c r="R288" s="169"/>
      <c r="S288" s="169"/>
      <c r="T288" s="169"/>
      <c r="U288" s="169"/>
      <c r="V288" s="166">
        <f t="shared" si="16"/>
        <v>0</v>
      </c>
      <c r="W288" s="205"/>
      <c r="X288" s="167"/>
    </row>
    <row r="289" spans="8:24" s="220" customFormat="1" ht="12" hidden="1" customHeight="1">
      <c r="H289" s="162" t="s">
        <v>273</v>
      </c>
      <c r="I289" s="163" t="s">
        <v>940</v>
      </c>
      <c r="J289" s="163" t="s">
        <v>1789</v>
      </c>
      <c r="K289" s="162" t="s">
        <v>1832</v>
      </c>
      <c r="L289" s="164" t="s">
        <v>5</v>
      </c>
      <c r="M289" s="169"/>
      <c r="N289" s="165">
        <v>77900</v>
      </c>
      <c r="O289" s="169">
        <f t="shared" si="14"/>
        <v>0</v>
      </c>
      <c r="P289" s="165">
        <v>97188</v>
      </c>
      <c r="Q289" s="166">
        <f t="shared" si="15"/>
        <v>0</v>
      </c>
      <c r="R289" s="169"/>
      <c r="S289" s="169"/>
      <c r="T289" s="169"/>
      <c r="U289" s="169"/>
      <c r="V289" s="166">
        <f t="shared" si="16"/>
        <v>0</v>
      </c>
      <c r="W289" s="205"/>
      <c r="X289" s="167"/>
    </row>
    <row r="290" spans="8:24" s="220" customFormat="1" ht="12" hidden="1" customHeight="1">
      <c r="H290" s="162" t="s">
        <v>274</v>
      </c>
      <c r="I290" s="163" t="s">
        <v>941</v>
      </c>
      <c r="J290" s="163" t="s">
        <v>1791</v>
      </c>
      <c r="K290" s="162" t="s">
        <v>1833</v>
      </c>
      <c r="L290" s="164" t="s">
        <v>5</v>
      </c>
      <c r="M290" s="169"/>
      <c r="N290" s="165">
        <v>81100</v>
      </c>
      <c r="O290" s="169">
        <f t="shared" si="14"/>
        <v>0</v>
      </c>
      <c r="P290" s="165">
        <v>129584</v>
      </c>
      <c r="Q290" s="166">
        <f t="shared" si="15"/>
        <v>0</v>
      </c>
      <c r="R290" s="169"/>
      <c r="S290" s="169"/>
      <c r="T290" s="169"/>
      <c r="U290" s="169"/>
      <c r="V290" s="166">
        <f t="shared" si="16"/>
        <v>0</v>
      </c>
      <c r="W290" s="205"/>
      <c r="X290" s="167"/>
    </row>
    <row r="291" spans="8:24" s="220" customFormat="1" ht="12" hidden="1" customHeight="1">
      <c r="H291" s="162" t="s">
        <v>275</v>
      </c>
      <c r="I291" s="163" t="s">
        <v>941</v>
      </c>
      <c r="J291" s="163" t="s">
        <v>1791</v>
      </c>
      <c r="K291" s="162" t="s">
        <v>1834</v>
      </c>
      <c r="L291" s="164" t="s">
        <v>5</v>
      </c>
      <c r="M291" s="169"/>
      <c r="N291" s="165">
        <v>84500</v>
      </c>
      <c r="O291" s="169">
        <f t="shared" si="14"/>
        <v>0</v>
      </c>
      <c r="P291" s="165">
        <v>129584</v>
      </c>
      <c r="Q291" s="166">
        <f t="shared" si="15"/>
        <v>0</v>
      </c>
      <c r="R291" s="169"/>
      <c r="S291" s="169"/>
      <c r="T291" s="169"/>
      <c r="U291" s="169"/>
      <c r="V291" s="166">
        <f t="shared" si="16"/>
        <v>0</v>
      </c>
      <c r="W291" s="205"/>
      <c r="X291" s="167"/>
    </row>
    <row r="292" spans="8:24" s="220" customFormat="1" ht="12" hidden="1" customHeight="1">
      <c r="H292" s="162" t="s">
        <v>277</v>
      </c>
      <c r="I292" s="163" t="s">
        <v>943</v>
      </c>
      <c r="J292" s="163" t="s">
        <v>1796</v>
      </c>
      <c r="K292" s="162" t="s">
        <v>1835</v>
      </c>
      <c r="L292" s="164" t="s">
        <v>5</v>
      </c>
      <c r="M292" s="169"/>
      <c r="N292" s="165">
        <v>91800</v>
      </c>
      <c r="O292" s="169">
        <f t="shared" si="14"/>
        <v>0</v>
      </c>
      <c r="P292" s="165">
        <v>194376</v>
      </c>
      <c r="Q292" s="166">
        <f t="shared" si="15"/>
        <v>0</v>
      </c>
      <c r="R292" s="169"/>
      <c r="S292" s="169"/>
      <c r="T292" s="169"/>
      <c r="U292" s="169"/>
      <c r="V292" s="166">
        <f t="shared" si="16"/>
        <v>0</v>
      </c>
      <c r="W292" s="205"/>
      <c r="X292" s="167"/>
    </row>
    <row r="293" spans="8:24" s="220" customFormat="1" ht="12" hidden="1" customHeight="1">
      <c r="H293" s="162" t="s">
        <v>278</v>
      </c>
      <c r="I293" s="163" t="s">
        <v>943</v>
      </c>
      <c r="J293" s="163" t="s">
        <v>1796</v>
      </c>
      <c r="K293" s="162" t="s">
        <v>1836</v>
      </c>
      <c r="L293" s="164" t="s">
        <v>5</v>
      </c>
      <c r="M293" s="169"/>
      <c r="N293" s="165">
        <v>98800</v>
      </c>
      <c r="O293" s="169">
        <f t="shared" si="14"/>
        <v>0</v>
      </c>
      <c r="P293" s="165">
        <v>194376</v>
      </c>
      <c r="Q293" s="166">
        <f t="shared" si="15"/>
        <v>0</v>
      </c>
      <c r="R293" s="169"/>
      <c r="S293" s="169"/>
      <c r="T293" s="169"/>
      <c r="U293" s="169"/>
      <c r="V293" s="166">
        <f t="shared" si="16"/>
        <v>0</v>
      </c>
      <c r="W293" s="205"/>
      <c r="X293" s="167"/>
    </row>
    <row r="294" spans="8:24" s="220" customFormat="1" ht="12" hidden="1" customHeight="1">
      <c r="H294" s="162" t="s">
        <v>279</v>
      </c>
      <c r="I294" s="163" t="s">
        <v>938</v>
      </c>
      <c r="J294" s="163" t="s">
        <v>1783</v>
      </c>
      <c r="K294" s="162" t="s">
        <v>1837</v>
      </c>
      <c r="L294" s="164" t="s">
        <v>5</v>
      </c>
      <c r="M294" s="169"/>
      <c r="N294" s="165">
        <v>54800</v>
      </c>
      <c r="O294" s="169">
        <f t="shared" si="14"/>
        <v>0</v>
      </c>
      <c r="P294" s="165">
        <v>62092</v>
      </c>
      <c r="Q294" s="166">
        <f t="shared" si="15"/>
        <v>0</v>
      </c>
      <c r="R294" s="169"/>
      <c r="S294" s="169"/>
      <c r="T294" s="169"/>
      <c r="U294" s="169"/>
      <c r="V294" s="166">
        <f t="shared" si="16"/>
        <v>0</v>
      </c>
      <c r="W294" s="205"/>
      <c r="X294" s="167"/>
    </row>
    <row r="295" spans="8:24" s="220" customFormat="1" ht="12" hidden="1" customHeight="1">
      <c r="H295" s="162" t="s">
        <v>280</v>
      </c>
      <c r="I295" s="163" t="s">
        <v>938</v>
      </c>
      <c r="J295" s="163" t="s">
        <v>1783</v>
      </c>
      <c r="K295" s="162" t="s">
        <v>1838</v>
      </c>
      <c r="L295" s="164" t="s">
        <v>5</v>
      </c>
      <c r="M295" s="169"/>
      <c r="N295" s="165">
        <v>57700</v>
      </c>
      <c r="O295" s="169">
        <f t="shared" si="14"/>
        <v>0</v>
      </c>
      <c r="P295" s="165">
        <v>62092</v>
      </c>
      <c r="Q295" s="166">
        <f t="shared" si="15"/>
        <v>0</v>
      </c>
      <c r="R295" s="169"/>
      <c r="S295" s="169"/>
      <c r="T295" s="169"/>
      <c r="U295" s="169"/>
      <c r="V295" s="166">
        <f t="shared" si="16"/>
        <v>0</v>
      </c>
      <c r="W295" s="205"/>
      <c r="X295" s="167"/>
    </row>
    <row r="296" spans="8:24" s="220" customFormat="1" ht="12" hidden="1" customHeight="1">
      <c r="H296" s="162" t="s">
        <v>282</v>
      </c>
      <c r="I296" s="163" t="s">
        <v>939</v>
      </c>
      <c r="J296" s="163" t="s">
        <v>1787</v>
      </c>
      <c r="K296" s="162" t="s">
        <v>1839</v>
      </c>
      <c r="L296" s="164" t="s">
        <v>5</v>
      </c>
      <c r="M296" s="169"/>
      <c r="N296" s="165">
        <v>72100</v>
      </c>
      <c r="O296" s="169">
        <f t="shared" si="14"/>
        <v>0</v>
      </c>
      <c r="P296" s="165">
        <v>80990</v>
      </c>
      <c r="Q296" s="166">
        <f t="shared" si="15"/>
        <v>0</v>
      </c>
      <c r="R296" s="169"/>
      <c r="S296" s="169"/>
      <c r="T296" s="169"/>
      <c r="U296" s="169"/>
      <c r="V296" s="166">
        <f t="shared" si="16"/>
        <v>0</v>
      </c>
      <c r="W296" s="205"/>
      <c r="X296" s="167"/>
    </row>
    <row r="297" spans="8:24" s="220" customFormat="1" ht="12" hidden="1" customHeight="1">
      <c r="H297" s="162" t="s">
        <v>283</v>
      </c>
      <c r="I297" s="163" t="s">
        <v>939</v>
      </c>
      <c r="J297" s="163" t="s">
        <v>1787</v>
      </c>
      <c r="K297" s="162" t="s">
        <v>1840</v>
      </c>
      <c r="L297" s="164" t="s">
        <v>5</v>
      </c>
      <c r="M297" s="169"/>
      <c r="N297" s="165">
        <v>78500</v>
      </c>
      <c r="O297" s="169">
        <f t="shared" si="14"/>
        <v>0</v>
      </c>
      <c r="P297" s="165">
        <v>80990</v>
      </c>
      <c r="Q297" s="166">
        <f t="shared" si="15"/>
        <v>0</v>
      </c>
      <c r="R297" s="169"/>
      <c r="S297" s="169"/>
      <c r="T297" s="169"/>
      <c r="U297" s="169"/>
      <c r="V297" s="166">
        <f t="shared" si="16"/>
        <v>0</v>
      </c>
      <c r="W297" s="205"/>
      <c r="X297" s="167"/>
    </row>
    <row r="298" spans="8:24" s="220" customFormat="1" ht="12" hidden="1" customHeight="1">
      <c r="H298" s="162" t="s">
        <v>284</v>
      </c>
      <c r="I298" s="163" t="s">
        <v>940</v>
      </c>
      <c r="J298" s="163" t="s">
        <v>1789</v>
      </c>
      <c r="K298" s="162" t="s">
        <v>1841</v>
      </c>
      <c r="L298" s="164" t="s">
        <v>5</v>
      </c>
      <c r="M298" s="169"/>
      <c r="N298" s="165">
        <v>86900</v>
      </c>
      <c r="O298" s="169">
        <f t="shared" si="14"/>
        <v>0</v>
      </c>
      <c r="P298" s="165">
        <v>97188</v>
      </c>
      <c r="Q298" s="166">
        <f t="shared" si="15"/>
        <v>0</v>
      </c>
      <c r="R298" s="169"/>
      <c r="S298" s="169"/>
      <c r="T298" s="169"/>
      <c r="U298" s="169"/>
      <c r="V298" s="166">
        <f t="shared" si="16"/>
        <v>0</v>
      </c>
      <c r="W298" s="205"/>
      <c r="X298" s="167"/>
    </row>
    <row r="299" spans="8:24" s="220" customFormat="1" ht="12" hidden="1" customHeight="1">
      <c r="H299" s="162" t="s">
        <v>286</v>
      </c>
      <c r="I299" s="163" t="s">
        <v>941</v>
      </c>
      <c r="J299" s="163" t="s">
        <v>1791</v>
      </c>
      <c r="K299" s="162" t="s">
        <v>1842</v>
      </c>
      <c r="L299" s="164" t="s">
        <v>5</v>
      </c>
      <c r="M299" s="169"/>
      <c r="N299" s="165">
        <v>106000</v>
      </c>
      <c r="O299" s="169">
        <f t="shared" si="14"/>
        <v>0</v>
      </c>
      <c r="P299" s="165">
        <v>129584</v>
      </c>
      <c r="Q299" s="166">
        <f t="shared" si="15"/>
        <v>0</v>
      </c>
      <c r="R299" s="169"/>
      <c r="S299" s="169"/>
      <c r="T299" s="169"/>
      <c r="U299" s="169"/>
      <c r="V299" s="166">
        <f t="shared" si="16"/>
        <v>0</v>
      </c>
      <c r="W299" s="205"/>
      <c r="X299" s="167"/>
    </row>
    <row r="300" spans="8:24" s="220" customFormat="1" ht="12" hidden="1" customHeight="1">
      <c r="H300" s="162" t="s">
        <v>287</v>
      </c>
      <c r="I300" s="163" t="s">
        <v>942</v>
      </c>
      <c r="J300" s="163" t="s">
        <v>1794</v>
      </c>
      <c r="K300" s="162" t="s">
        <v>1843</v>
      </c>
      <c r="L300" s="164" t="s">
        <v>5</v>
      </c>
      <c r="M300" s="169"/>
      <c r="N300" s="165">
        <v>120000</v>
      </c>
      <c r="O300" s="169">
        <f t="shared" si="14"/>
        <v>0</v>
      </c>
      <c r="P300" s="165">
        <v>145782</v>
      </c>
      <c r="Q300" s="166">
        <f t="shared" si="15"/>
        <v>0</v>
      </c>
      <c r="R300" s="169"/>
      <c r="S300" s="169"/>
      <c r="T300" s="169"/>
      <c r="U300" s="169"/>
      <c r="V300" s="166">
        <f t="shared" si="16"/>
        <v>0</v>
      </c>
      <c r="W300" s="205"/>
      <c r="X300" s="167"/>
    </row>
    <row r="301" spans="8:24" s="220" customFormat="1" ht="12" hidden="1" customHeight="1">
      <c r="H301" s="162" t="s">
        <v>288</v>
      </c>
      <c r="I301" s="163" t="s">
        <v>943</v>
      </c>
      <c r="J301" s="163" t="s">
        <v>1796</v>
      </c>
      <c r="K301" s="162" t="s">
        <v>1844</v>
      </c>
      <c r="L301" s="164" t="s">
        <v>5</v>
      </c>
      <c r="M301" s="169"/>
      <c r="N301" s="165">
        <v>134000</v>
      </c>
      <c r="O301" s="169">
        <f t="shared" si="14"/>
        <v>0</v>
      </c>
      <c r="P301" s="165">
        <v>194376</v>
      </c>
      <c r="Q301" s="166">
        <f t="shared" si="15"/>
        <v>0</v>
      </c>
      <c r="R301" s="169"/>
      <c r="S301" s="169"/>
      <c r="T301" s="169"/>
      <c r="U301" s="169"/>
      <c r="V301" s="166">
        <f t="shared" si="16"/>
        <v>0</v>
      </c>
      <c r="W301" s="205"/>
      <c r="X301" s="167"/>
    </row>
    <row r="302" spans="8:24" s="220" customFormat="1" ht="12" hidden="1" customHeight="1">
      <c r="H302" s="162" t="s">
        <v>289</v>
      </c>
      <c r="I302" s="163" t="s">
        <v>943</v>
      </c>
      <c r="J302" s="163" t="s">
        <v>1796</v>
      </c>
      <c r="K302" s="162" t="s">
        <v>1845</v>
      </c>
      <c r="L302" s="164" t="s">
        <v>5</v>
      </c>
      <c r="M302" s="169"/>
      <c r="N302" s="165">
        <v>152000</v>
      </c>
      <c r="O302" s="169">
        <f t="shared" si="14"/>
        <v>0</v>
      </c>
      <c r="P302" s="165">
        <v>194376</v>
      </c>
      <c r="Q302" s="166">
        <f t="shared" si="15"/>
        <v>0</v>
      </c>
      <c r="R302" s="169"/>
      <c r="S302" s="169"/>
      <c r="T302" s="169"/>
      <c r="U302" s="169"/>
      <c r="V302" s="166">
        <f t="shared" si="16"/>
        <v>0</v>
      </c>
      <c r="W302" s="205"/>
      <c r="X302" s="167"/>
    </row>
    <row r="303" spans="8:24" s="220" customFormat="1" ht="12" hidden="1" customHeight="1">
      <c r="H303" s="162" t="s">
        <v>290</v>
      </c>
      <c r="I303" s="163" t="s">
        <v>938</v>
      </c>
      <c r="J303" s="163" t="s">
        <v>1783</v>
      </c>
      <c r="K303" s="162" t="s">
        <v>1846</v>
      </c>
      <c r="L303" s="164" t="s">
        <v>5</v>
      </c>
      <c r="M303" s="169"/>
      <c r="N303" s="165">
        <v>23700</v>
      </c>
      <c r="O303" s="169">
        <f t="shared" si="14"/>
        <v>0</v>
      </c>
      <c r="P303" s="165">
        <v>62092</v>
      </c>
      <c r="Q303" s="166">
        <f t="shared" si="15"/>
        <v>0</v>
      </c>
      <c r="R303" s="169"/>
      <c r="S303" s="169"/>
      <c r="T303" s="169"/>
      <c r="U303" s="169"/>
      <c r="V303" s="166">
        <f t="shared" si="16"/>
        <v>0</v>
      </c>
      <c r="W303" s="205"/>
      <c r="X303" s="167"/>
    </row>
    <row r="304" spans="8:24" s="220" customFormat="1" ht="12" hidden="1" customHeight="1">
      <c r="H304" s="162" t="s">
        <v>291</v>
      </c>
      <c r="I304" s="163" t="s">
        <v>938</v>
      </c>
      <c r="J304" s="163" t="s">
        <v>1783</v>
      </c>
      <c r="K304" s="162" t="s">
        <v>1847</v>
      </c>
      <c r="L304" s="164" t="s">
        <v>5</v>
      </c>
      <c r="M304" s="169"/>
      <c r="N304" s="165">
        <v>24900</v>
      </c>
      <c r="O304" s="169">
        <f t="shared" ref="O304:O367" si="17">M304*N304*$O$3</f>
        <v>0</v>
      </c>
      <c r="P304" s="165">
        <v>62092</v>
      </c>
      <c r="Q304" s="166">
        <f t="shared" si="15"/>
        <v>0</v>
      </c>
      <c r="R304" s="169"/>
      <c r="S304" s="169"/>
      <c r="T304" s="169"/>
      <c r="U304" s="169"/>
      <c r="V304" s="166">
        <f t="shared" si="16"/>
        <v>0</v>
      </c>
      <c r="W304" s="205"/>
      <c r="X304" s="167"/>
    </row>
    <row r="305" spans="8:24" s="220" customFormat="1" ht="12" hidden="1" customHeight="1">
      <c r="H305" s="162" t="s">
        <v>292</v>
      </c>
      <c r="I305" s="163" t="s">
        <v>938</v>
      </c>
      <c r="J305" s="163" t="s">
        <v>1783</v>
      </c>
      <c r="K305" s="162" t="s">
        <v>1848</v>
      </c>
      <c r="L305" s="164" t="s">
        <v>5</v>
      </c>
      <c r="M305" s="169"/>
      <c r="N305" s="165">
        <v>26800</v>
      </c>
      <c r="O305" s="169">
        <f t="shared" si="17"/>
        <v>0</v>
      </c>
      <c r="P305" s="165">
        <v>62092</v>
      </c>
      <c r="Q305" s="166">
        <f t="shared" si="15"/>
        <v>0</v>
      </c>
      <c r="R305" s="169"/>
      <c r="S305" s="169"/>
      <c r="T305" s="169"/>
      <c r="U305" s="169"/>
      <c r="V305" s="166">
        <f t="shared" si="16"/>
        <v>0</v>
      </c>
      <c r="W305" s="205"/>
      <c r="X305" s="167"/>
    </row>
    <row r="306" spans="8:24" s="220" customFormat="1" ht="12" hidden="1" customHeight="1">
      <c r="H306" s="162" t="s">
        <v>293</v>
      </c>
      <c r="I306" s="163" t="s">
        <v>939</v>
      </c>
      <c r="J306" s="163" t="s">
        <v>1787</v>
      </c>
      <c r="K306" s="162" t="s">
        <v>1849</v>
      </c>
      <c r="L306" s="164" t="s">
        <v>5</v>
      </c>
      <c r="M306" s="169"/>
      <c r="N306" s="165">
        <v>28900</v>
      </c>
      <c r="O306" s="169">
        <f t="shared" si="17"/>
        <v>0</v>
      </c>
      <c r="P306" s="165">
        <v>80990</v>
      </c>
      <c r="Q306" s="166">
        <f t="shared" si="15"/>
        <v>0</v>
      </c>
      <c r="R306" s="169"/>
      <c r="S306" s="169"/>
      <c r="T306" s="169"/>
      <c r="U306" s="169"/>
      <c r="V306" s="166">
        <f t="shared" si="16"/>
        <v>0</v>
      </c>
      <c r="W306" s="205"/>
      <c r="X306" s="167"/>
    </row>
    <row r="307" spans="8:24" s="220" customFormat="1" ht="12" hidden="1" customHeight="1">
      <c r="H307" s="162" t="s">
        <v>294</v>
      </c>
      <c r="I307" s="163" t="s">
        <v>939</v>
      </c>
      <c r="J307" s="163" t="s">
        <v>1787</v>
      </c>
      <c r="K307" s="162" t="s">
        <v>1850</v>
      </c>
      <c r="L307" s="164" t="s">
        <v>5</v>
      </c>
      <c r="M307" s="169"/>
      <c r="N307" s="165">
        <v>30900</v>
      </c>
      <c r="O307" s="169">
        <f t="shared" si="17"/>
        <v>0</v>
      </c>
      <c r="P307" s="165">
        <v>80990</v>
      </c>
      <c r="Q307" s="166">
        <f t="shared" si="15"/>
        <v>0</v>
      </c>
      <c r="R307" s="169"/>
      <c r="S307" s="169"/>
      <c r="T307" s="169"/>
      <c r="U307" s="169"/>
      <c r="V307" s="166">
        <f t="shared" si="16"/>
        <v>0</v>
      </c>
      <c r="W307" s="205"/>
      <c r="X307" s="167"/>
    </row>
    <row r="308" spans="8:24" s="220" customFormat="1" ht="12" hidden="1" customHeight="1">
      <c r="H308" s="162" t="s">
        <v>295</v>
      </c>
      <c r="I308" s="163" t="s">
        <v>940</v>
      </c>
      <c r="J308" s="163" t="s">
        <v>1789</v>
      </c>
      <c r="K308" s="162" t="s">
        <v>1851</v>
      </c>
      <c r="L308" s="164" t="s">
        <v>5</v>
      </c>
      <c r="M308" s="169"/>
      <c r="N308" s="165">
        <v>33000</v>
      </c>
      <c r="O308" s="169">
        <f t="shared" si="17"/>
        <v>0</v>
      </c>
      <c r="P308" s="165">
        <v>97188</v>
      </c>
      <c r="Q308" s="166">
        <f t="shared" si="15"/>
        <v>0</v>
      </c>
      <c r="R308" s="169"/>
      <c r="S308" s="169"/>
      <c r="T308" s="169"/>
      <c r="U308" s="169"/>
      <c r="V308" s="166">
        <f t="shared" si="16"/>
        <v>0</v>
      </c>
      <c r="W308" s="205"/>
      <c r="X308" s="167"/>
    </row>
    <row r="309" spans="8:24" s="220" customFormat="1" ht="12" hidden="1" customHeight="1">
      <c r="H309" s="162" t="s">
        <v>296</v>
      </c>
      <c r="I309" s="163" t="s">
        <v>941</v>
      </c>
      <c r="J309" s="163" t="s">
        <v>1791</v>
      </c>
      <c r="K309" s="162" t="s">
        <v>1852</v>
      </c>
      <c r="L309" s="164" t="s">
        <v>5</v>
      </c>
      <c r="M309" s="169"/>
      <c r="N309" s="165">
        <v>35100</v>
      </c>
      <c r="O309" s="169">
        <f t="shared" si="17"/>
        <v>0</v>
      </c>
      <c r="P309" s="165">
        <v>129584</v>
      </c>
      <c r="Q309" s="166">
        <f t="shared" si="15"/>
        <v>0</v>
      </c>
      <c r="R309" s="169"/>
      <c r="S309" s="169"/>
      <c r="T309" s="169"/>
      <c r="U309" s="169"/>
      <c r="V309" s="166">
        <f t="shared" si="16"/>
        <v>0</v>
      </c>
      <c r="W309" s="205"/>
      <c r="X309" s="167"/>
    </row>
    <row r="310" spans="8:24" s="220" customFormat="1" ht="12" hidden="1" customHeight="1">
      <c r="H310" s="162" t="s">
        <v>297</v>
      </c>
      <c r="I310" s="163" t="s">
        <v>941</v>
      </c>
      <c r="J310" s="163" t="s">
        <v>1791</v>
      </c>
      <c r="K310" s="162" t="s">
        <v>1853</v>
      </c>
      <c r="L310" s="164" t="s">
        <v>5</v>
      </c>
      <c r="M310" s="169"/>
      <c r="N310" s="165">
        <v>37200</v>
      </c>
      <c r="O310" s="169">
        <f t="shared" si="17"/>
        <v>0</v>
      </c>
      <c r="P310" s="165">
        <v>129584</v>
      </c>
      <c r="Q310" s="166">
        <f t="shared" si="15"/>
        <v>0</v>
      </c>
      <c r="R310" s="169"/>
      <c r="S310" s="169"/>
      <c r="T310" s="169"/>
      <c r="U310" s="169"/>
      <c r="V310" s="166">
        <f t="shared" si="16"/>
        <v>0</v>
      </c>
      <c r="W310" s="205"/>
      <c r="X310" s="167"/>
    </row>
    <row r="311" spans="8:24" s="220" customFormat="1" ht="12" hidden="1" customHeight="1">
      <c r="H311" s="162" t="s">
        <v>299</v>
      </c>
      <c r="I311" s="163" t="s">
        <v>943</v>
      </c>
      <c r="J311" s="163" t="s">
        <v>1796</v>
      </c>
      <c r="K311" s="162" t="s">
        <v>1854</v>
      </c>
      <c r="L311" s="164" t="s">
        <v>5</v>
      </c>
      <c r="M311" s="169"/>
      <c r="N311" s="165">
        <v>41300</v>
      </c>
      <c r="O311" s="169">
        <f t="shared" si="17"/>
        <v>0</v>
      </c>
      <c r="P311" s="165">
        <v>194376</v>
      </c>
      <c r="Q311" s="166">
        <f t="shared" si="15"/>
        <v>0</v>
      </c>
      <c r="R311" s="169"/>
      <c r="S311" s="169"/>
      <c r="T311" s="169"/>
      <c r="U311" s="169"/>
      <c r="V311" s="166">
        <f t="shared" si="16"/>
        <v>0</v>
      </c>
      <c r="W311" s="205"/>
      <c r="X311" s="167"/>
    </row>
    <row r="312" spans="8:24" s="220" customFormat="1" ht="12" hidden="1" customHeight="1">
      <c r="H312" s="162" t="s">
        <v>300</v>
      </c>
      <c r="I312" s="163" t="s">
        <v>943</v>
      </c>
      <c r="J312" s="163" t="s">
        <v>1796</v>
      </c>
      <c r="K312" s="162" t="s">
        <v>1855</v>
      </c>
      <c r="L312" s="164" t="s">
        <v>5</v>
      </c>
      <c r="M312" s="169"/>
      <c r="N312" s="165">
        <v>45500</v>
      </c>
      <c r="O312" s="169">
        <f t="shared" si="17"/>
        <v>0</v>
      </c>
      <c r="P312" s="165">
        <v>194376</v>
      </c>
      <c r="Q312" s="166">
        <f t="shared" si="15"/>
        <v>0</v>
      </c>
      <c r="R312" s="169"/>
      <c r="S312" s="169"/>
      <c r="T312" s="169"/>
      <c r="U312" s="169"/>
      <c r="V312" s="166">
        <f t="shared" si="16"/>
        <v>0</v>
      </c>
      <c r="W312" s="205"/>
      <c r="X312" s="167"/>
    </row>
    <row r="313" spans="8:24" s="220" customFormat="1" ht="12" hidden="1" customHeight="1">
      <c r="H313" s="162" t="s">
        <v>228</v>
      </c>
      <c r="I313" s="163" t="s">
        <v>939</v>
      </c>
      <c r="J313" s="163" t="s">
        <v>1787</v>
      </c>
      <c r="K313" s="162" t="s">
        <v>2167</v>
      </c>
      <c r="L313" s="164" t="s">
        <v>5</v>
      </c>
      <c r="M313" s="169"/>
      <c r="N313" s="165">
        <v>29500</v>
      </c>
      <c r="O313" s="169">
        <f t="shared" si="17"/>
        <v>0</v>
      </c>
      <c r="P313" s="165">
        <v>80990</v>
      </c>
      <c r="Q313" s="166">
        <f t="shared" si="15"/>
        <v>0</v>
      </c>
      <c r="R313" s="169"/>
      <c r="S313" s="169"/>
      <c r="T313" s="169"/>
      <c r="U313" s="169"/>
      <c r="V313" s="166">
        <f t="shared" si="16"/>
        <v>0</v>
      </c>
      <c r="W313" s="205"/>
      <c r="X313" s="167"/>
    </row>
    <row r="314" spans="8:24" s="220" customFormat="1" ht="12" hidden="1" customHeight="1">
      <c r="H314" s="162" t="s">
        <v>233</v>
      </c>
      <c r="I314" s="163" t="s">
        <v>943</v>
      </c>
      <c r="J314" s="163" t="s">
        <v>1796</v>
      </c>
      <c r="K314" s="162" t="s">
        <v>2168</v>
      </c>
      <c r="L314" s="164" t="s">
        <v>5</v>
      </c>
      <c r="M314" s="169"/>
      <c r="N314" s="165">
        <v>39400</v>
      </c>
      <c r="O314" s="169">
        <f t="shared" si="17"/>
        <v>0</v>
      </c>
      <c r="P314" s="165">
        <v>194376</v>
      </c>
      <c r="Q314" s="166">
        <f t="shared" si="15"/>
        <v>0</v>
      </c>
      <c r="R314" s="169"/>
      <c r="S314" s="169"/>
      <c r="T314" s="169"/>
      <c r="U314" s="169"/>
      <c r="V314" s="166">
        <f t="shared" si="16"/>
        <v>0</v>
      </c>
      <c r="W314" s="205"/>
      <c r="X314" s="167"/>
    </row>
    <row r="315" spans="8:24" s="220" customFormat="1" ht="12" hidden="1" customHeight="1">
      <c r="H315" s="162" t="s">
        <v>237</v>
      </c>
      <c r="I315" s="163" t="s">
        <v>938</v>
      </c>
      <c r="J315" s="163" t="s">
        <v>1783</v>
      </c>
      <c r="K315" s="162" t="s">
        <v>2169</v>
      </c>
      <c r="L315" s="164" t="s">
        <v>5</v>
      </c>
      <c r="M315" s="169"/>
      <c r="N315" s="165">
        <v>38100</v>
      </c>
      <c r="O315" s="169">
        <f t="shared" si="17"/>
        <v>0</v>
      </c>
      <c r="P315" s="165">
        <v>62092</v>
      </c>
      <c r="Q315" s="166">
        <f t="shared" si="15"/>
        <v>0</v>
      </c>
      <c r="R315" s="169"/>
      <c r="S315" s="169"/>
      <c r="T315" s="169"/>
      <c r="U315" s="169"/>
      <c r="V315" s="166">
        <f t="shared" si="16"/>
        <v>0</v>
      </c>
      <c r="W315" s="205"/>
      <c r="X315" s="167"/>
    </row>
    <row r="316" spans="8:24" s="220" customFormat="1" ht="12" hidden="1" customHeight="1">
      <c r="H316" s="162" t="s">
        <v>252</v>
      </c>
      <c r="I316" s="163" t="s">
        <v>941</v>
      </c>
      <c r="J316" s="163" t="s">
        <v>1791</v>
      </c>
      <c r="K316" s="162" t="s">
        <v>2170</v>
      </c>
      <c r="L316" s="164" t="s">
        <v>5</v>
      </c>
      <c r="M316" s="169"/>
      <c r="N316" s="165">
        <v>52300</v>
      </c>
      <c r="O316" s="169">
        <f t="shared" si="17"/>
        <v>0</v>
      </c>
      <c r="P316" s="165">
        <v>129584</v>
      </c>
      <c r="Q316" s="166">
        <f t="shared" si="15"/>
        <v>0</v>
      </c>
      <c r="R316" s="169"/>
      <c r="S316" s="169"/>
      <c r="T316" s="169"/>
      <c r="U316" s="169"/>
      <c r="V316" s="166">
        <f t="shared" si="16"/>
        <v>0</v>
      </c>
      <c r="W316" s="205"/>
      <c r="X316" s="167"/>
    </row>
    <row r="317" spans="8:24" s="220" customFormat="1" ht="12" hidden="1" customHeight="1">
      <c r="H317" s="162" t="s">
        <v>257</v>
      </c>
      <c r="I317" s="163" t="s">
        <v>938</v>
      </c>
      <c r="J317" s="163" t="s">
        <v>1783</v>
      </c>
      <c r="K317" s="162" t="s">
        <v>2171</v>
      </c>
      <c r="L317" s="164" t="s">
        <v>5</v>
      </c>
      <c r="M317" s="169"/>
      <c r="N317" s="165">
        <v>45100</v>
      </c>
      <c r="O317" s="169">
        <f t="shared" si="17"/>
        <v>0</v>
      </c>
      <c r="P317" s="165">
        <v>62092</v>
      </c>
      <c r="Q317" s="166">
        <f t="shared" si="15"/>
        <v>0</v>
      </c>
      <c r="R317" s="169"/>
      <c r="S317" s="169"/>
      <c r="T317" s="169"/>
      <c r="U317" s="169"/>
      <c r="V317" s="166">
        <f t="shared" si="16"/>
        <v>0</v>
      </c>
      <c r="W317" s="205"/>
      <c r="X317" s="167"/>
    </row>
    <row r="318" spans="8:24" s="220" customFormat="1" ht="12" hidden="1" customHeight="1">
      <c r="H318" s="162" t="s">
        <v>261</v>
      </c>
      <c r="I318" s="163" t="s">
        <v>939</v>
      </c>
      <c r="J318" s="163" t="s">
        <v>1787</v>
      </c>
      <c r="K318" s="162" t="s">
        <v>2172</v>
      </c>
      <c r="L318" s="164" t="s">
        <v>5</v>
      </c>
      <c r="M318" s="169"/>
      <c r="N318" s="165">
        <v>69000</v>
      </c>
      <c r="O318" s="169">
        <f t="shared" si="17"/>
        <v>0</v>
      </c>
      <c r="P318" s="165">
        <v>80990</v>
      </c>
      <c r="Q318" s="166">
        <f t="shared" si="15"/>
        <v>0</v>
      </c>
      <c r="R318" s="169"/>
      <c r="S318" s="169"/>
      <c r="T318" s="169"/>
      <c r="U318" s="169"/>
      <c r="V318" s="166">
        <f t="shared" si="16"/>
        <v>0</v>
      </c>
      <c r="W318" s="205"/>
      <c r="X318" s="167"/>
    </row>
    <row r="319" spans="8:24" s="220" customFormat="1" ht="12" hidden="1" customHeight="1">
      <c r="H319" s="162" t="s">
        <v>276</v>
      </c>
      <c r="I319" s="163" t="s">
        <v>942</v>
      </c>
      <c r="J319" s="163" t="s">
        <v>1794</v>
      </c>
      <c r="K319" s="162" t="s">
        <v>2173</v>
      </c>
      <c r="L319" s="164" t="s">
        <v>5</v>
      </c>
      <c r="M319" s="169"/>
      <c r="N319" s="165">
        <v>88300</v>
      </c>
      <c r="O319" s="169">
        <f t="shared" si="17"/>
        <v>0</v>
      </c>
      <c r="P319" s="165">
        <v>145782</v>
      </c>
      <c r="Q319" s="166">
        <f t="shared" si="15"/>
        <v>0</v>
      </c>
      <c r="R319" s="169"/>
      <c r="S319" s="169"/>
      <c r="T319" s="169"/>
      <c r="U319" s="169"/>
      <c r="V319" s="166">
        <f t="shared" si="16"/>
        <v>0</v>
      </c>
      <c r="W319" s="205"/>
      <c r="X319" s="167"/>
    </row>
    <row r="320" spans="8:24" s="220" customFormat="1" ht="12" hidden="1" customHeight="1">
      <c r="H320" s="162" t="s">
        <v>281</v>
      </c>
      <c r="I320" s="163" t="s">
        <v>938</v>
      </c>
      <c r="J320" s="163" t="s">
        <v>1783</v>
      </c>
      <c r="K320" s="162" t="s">
        <v>2174</v>
      </c>
      <c r="L320" s="164" t="s">
        <v>5</v>
      </c>
      <c r="M320" s="169"/>
      <c r="N320" s="165">
        <v>63800</v>
      </c>
      <c r="O320" s="169">
        <f t="shared" si="17"/>
        <v>0</v>
      </c>
      <c r="P320" s="165">
        <v>62092</v>
      </c>
      <c r="Q320" s="166">
        <f t="shared" si="15"/>
        <v>0</v>
      </c>
      <c r="R320" s="169"/>
      <c r="S320" s="169"/>
      <c r="T320" s="169"/>
      <c r="U320" s="169"/>
      <c r="V320" s="166">
        <f t="shared" si="16"/>
        <v>0</v>
      </c>
      <c r="W320" s="205"/>
      <c r="X320" s="167"/>
    </row>
    <row r="321" spans="8:24" s="220" customFormat="1" ht="12" hidden="1" customHeight="1">
      <c r="H321" s="162" t="s">
        <v>285</v>
      </c>
      <c r="I321" s="163" t="s">
        <v>941</v>
      </c>
      <c r="J321" s="163" t="s">
        <v>1791</v>
      </c>
      <c r="K321" s="162" t="s">
        <v>2175</v>
      </c>
      <c r="L321" s="164" t="s">
        <v>5</v>
      </c>
      <c r="M321" s="169"/>
      <c r="N321" s="165">
        <v>94400</v>
      </c>
      <c r="O321" s="169">
        <f t="shared" si="17"/>
        <v>0</v>
      </c>
      <c r="P321" s="165">
        <v>129584</v>
      </c>
      <c r="Q321" s="166">
        <f t="shared" si="15"/>
        <v>0</v>
      </c>
      <c r="R321" s="169"/>
      <c r="S321" s="169"/>
      <c r="T321" s="169"/>
      <c r="U321" s="169"/>
      <c r="V321" s="166">
        <f t="shared" si="16"/>
        <v>0</v>
      </c>
      <c r="W321" s="205"/>
      <c r="X321" s="167"/>
    </row>
    <row r="322" spans="8:24" s="220" customFormat="1" ht="12" hidden="1" customHeight="1">
      <c r="H322" s="162" t="s">
        <v>298</v>
      </c>
      <c r="I322" s="163" t="s">
        <v>942</v>
      </c>
      <c r="J322" s="163" t="s">
        <v>1794</v>
      </c>
      <c r="K322" s="162" t="s">
        <v>2176</v>
      </c>
      <c r="L322" s="164" t="s">
        <v>5</v>
      </c>
      <c r="M322" s="169"/>
      <c r="N322" s="165">
        <v>39300</v>
      </c>
      <c r="O322" s="169">
        <f t="shared" si="17"/>
        <v>0</v>
      </c>
      <c r="P322" s="165">
        <v>145782</v>
      </c>
      <c r="Q322" s="166">
        <f t="shared" si="15"/>
        <v>0</v>
      </c>
      <c r="R322" s="169"/>
      <c r="S322" s="169"/>
      <c r="T322" s="169"/>
      <c r="U322" s="169"/>
      <c r="V322" s="166">
        <f t="shared" si="16"/>
        <v>0</v>
      </c>
      <c r="W322" s="205"/>
      <c r="X322" s="167"/>
    </row>
    <row r="323" spans="8:24" s="220" customFormat="1" ht="12" hidden="1" customHeight="1">
      <c r="H323" s="162" t="s">
        <v>1209</v>
      </c>
      <c r="I323" s="163" t="s">
        <v>934</v>
      </c>
      <c r="J323" s="163" t="s">
        <v>1609</v>
      </c>
      <c r="K323" s="162" t="s">
        <v>1610</v>
      </c>
      <c r="L323" s="164" t="s">
        <v>5</v>
      </c>
      <c r="M323" s="169"/>
      <c r="N323" s="165">
        <v>9800</v>
      </c>
      <c r="O323" s="169">
        <f t="shared" si="17"/>
        <v>0</v>
      </c>
      <c r="P323" s="165">
        <v>80990</v>
      </c>
      <c r="Q323" s="166">
        <f t="shared" si="15"/>
        <v>0</v>
      </c>
      <c r="R323" s="169"/>
      <c r="S323" s="169"/>
      <c r="T323" s="169"/>
      <c r="U323" s="169"/>
      <c r="V323" s="166">
        <f t="shared" si="16"/>
        <v>0</v>
      </c>
      <c r="W323" s="205"/>
      <c r="X323" s="167"/>
    </row>
    <row r="324" spans="8:24" s="220" customFormat="1" ht="12" hidden="1" customHeight="1">
      <c r="H324" s="162" t="s">
        <v>1210</v>
      </c>
      <c r="I324" s="163" t="s">
        <v>935</v>
      </c>
      <c r="J324" s="163" t="s">
        <v>1611</v>
      </c>
      <c r="K324" s="162" t="s">
        <v>1612</v>
      </c>
      <c r="L324" s="164" t="s">
        <v>5</v>
      </c>
      <c r="M324" s="169"/>
      <c r="N324" s="165">
        <v>10200</v>
      </c>
      <c r="O324" s="169">
        <f t="shared" si="17"/>
        <v>0</v>
      </c>
      <c r="P324" s="165">
        <v>107987</v>
      </c>
      <c r="Q324" s="166">
        <f t="shared" si="15"/>
        <v>0</v>
      </c>
      <c r="R324" s="169"/>
      <c r="S324" s="169"/>
      <c r="T324" s="169"/>
      <c r="U324" s="169"/>
      <c r="V324" s="166">
        <f t="shared" si="16"/>
        <v>0</v>
      </c>
      <c r="W324" s="205"/>
      <c r="X324" s="167"/>
    </row>
    <row r="325" spans="8:24" s="220" customFormat="1" ht="12" hidden="1" customHeight="1">
      <c r="H325" s="162" t="s">
        <v>1211</v>
      </c>
      <c r="I325" s="163" t="s">
        <v>931</v>
      </c>
      <c r="J325" s="163" t="s">
        <v>1613</v>
      </c>
      <c r="K325" s="162" t="s">
        <v>1614</v>
      </c>
      <c r="L325" s="164" t="s">
        <v>5</v>
      </c>
      <c r="M325" s="169"/>
      <c r="N325" s="165">
        <v>16200</v>
      </c>
      <c r="O325" s="169">
        <f t="shared" si="17"/>
        <v>0</v>
      </c>
      <c r="P325" s="165">
        <v>134984</v>
      </c>
      <c r="Q325" s="166">
        <f t="shared" si="15"/>
        <v>0</v>
      </c>
      <c r="R325" s="169"/>
      <c r="S325" s="169"/>
      <c r="T325" s="169"/>
      <c r="U325" s="169"/>
      <c r="V325" s="166">
        <f t="shared" si="16"/>
        <v>0</v>
      </c>
      <c r="W325" s="205"/>
      <c r="X325" s="167"/>
    </row>
    <row r="326" spans="8:24" s="220" customFormat="1" ht="12" hidden="1" customHeight="1">
      <c r="H326" s="162" t="s">
        <v>1212</v>
      </c>
      <c r="I326" s="163" t="s">
        <v>932</v>
      </c>
      <c r="J326" s="163" t="s">
        <v>1615</v>
      </c>
      <c r="K326" s="162" t="s">
        <v>1616</v>
      </c>
      <c r="L326" s="164" t="s">
        <v>5</v>
      </c>
      <c r="M326" s="169"/>
      <c r="N326" s="165">
        <v>19200</v>
      </c>
      <c r="O326" s="169">
        <f t="shared" si="17"/>
        <v>0</v>
      </c>
      <c r="P326" s="165">
        <v>161980</v>
      </c>
      <c r="Q326" s="166">
        <f t="shared" si="15"/>
        <v>0</v>
      </c>
      <c r="R326" s="169"/>
      <c r="S326" s="169"/>
      <c r="T326" s="169"/>
      <c r="U326" s="169"/>
      <c r="V326" s="166">
        <f t="shared" si="16"/>
        <v>0</v>
      </c>
      <c r="W326" s="205"/>
      <c r="X326" s="167"/>
    </row>
    <row r="327" spans="8:24" s="220" customFormat="1" ht="12" hidden="1" customHeight="1">
      <c r="H327" s="162" t="s">
        <v>1213</v>
      </c>
      <c r="I327" s="163" t="s">
        <v>932</v>
      </c>
      <c r="J327" s="163" t="s">
        <v>1615</v>
      </c>
      <c r="K327" s="162" t="s">
        <v>1617</v>
      </c>
      <c r="L327" s="164" t="s">
        <v>5</v>
      </c>
      <c r="M327" s="169"/>
      <c r="N327" s="165">
        <v>22300</v>
      </c>
      <c r="O327" s="169">
        <f t="shared" si="17"/>
        <v>0</v>
      </c>
      <c r="P327" s="165">
        <v>161980</v>
      </c>
      <c r="Q327" s="166">
        <f t="shared" si="15"/>
        <v>0</v>
      </c>
      <c r="R327" s="169"/>
      <c r="S327" s="169"/>
      <c r="T327" s="169"/>
      <c r="U327" s="169"/>
      <c r="V327" s="166">
        <f t="shared" si="16"/>
        <v>0</v>
      </c>
      <c r="W327" s="205"/>
      <c r="X327" s="167"/>
    </row>
    <row r="328" spans="8:24" s="220" customFormat="1" ht="12" hidden="1" customHeight="1">
      <c r="H328" s="162" t="s">
        <v>1214</v>
      </c>
      <c r="I328" s="163" t="s">
        <v>932</v>
      </c>
      <c r="J328" s="163" t="s">
        <v>1615</v>
      </c>
      <c r="K328" s="162" t="s">
        <v>1618</v>
      </c>
      <c r="L328" s="164" t="s">
        <v>5</v>
      </c>
      <c r="M328" s="169"/>
      <c r="N328" s="165">
        <v>23900</v>
      </c>
      <c r="O328" s="169">
        <f t="shared" si="17"/>
        <v>0</v>
      </c>
      <c r="P328" s="165">
        <v>161980</v>
      </c>
      <c r="Q328" s="166">
        <f t="shared" si="15"/>
        <v>0</v>
      </c>
      <c r="R328" s="169"/>
      <c r="S328" s="169"/>
      <c r="T328" s="169"/>
      <c r="U328" s="169"/>
      <c r="V328" s="166">
        <f t="shared" si="16"/>
        <v>0</v>
      </c>
      <c r="W328" s="205"/>
      <c r="X328" s="167"/>
    </row>
    <row r="329" spans="8:24" s="220" customFormat="1" ht="12" hidden="1" customHeight="1">
      <c r="H329" s="162" t="s">
        <v>1215</v>
      </c>
      <c r="I329" s="163" t="s">
        <v>933</v>
      </c>
      <c r="J329" s="163" t="s">
        <v>1619</v>
      </c>
      <c r="K329" s="162" t="s">
        <v>1620</v>
      </c>
      <c r="L329" s="164" t="s">
        <v>5</v>
      </c>
      <c r="M329" s="169"/>
      <c r="N329" s="165">
        <v>30300</v>
      </c>
      <c r="O329" s="169">
        <f t="shared" si="17"/>
        <v>0</v>
      </c>
      <c r="P329" s="165">
        <v>404952</v>
      </c>
      <c r="Q329" s="166">
        <f t="shared" si="15"/>
        <v>0</v>
      </c>
      <c r="R329" s="169"/>
      <c r="S329" s="169"/>
      <c r="T329" s="169"/>
      <c r="U329" s="169"/>
      <c r="V329" s="166">
        <f t="shared" si="16"/>
        <v>0</v>
      </c>
      <c r="W329" s="205"/>
      <c r="X329" s="167"/>
    </row>
    <row r="330" spans="8:24" s="220" customFormat="1" ht="12" hidden="1" customHeight="1">
      <c r="H330" s="162" t="s">
        <v>1216</v>
      </c>
      <c r="I330" s="163" t="s">
        <v>933</v>
      </c>
      <c r="J330" s="163" t="s">
        <v>1619</v>
      </c>
      <c r="K330" s="162" t="s">
        <v>1621</v>
      </c>
      <c r="L330" s="164" t="s">
        <v>5</v>
      </c>
      <c r="M330" s="169"/>
      <c r="N330" s="165">
        <v>33500</v>
      </c>
      <c r="O330" s="169">
        <f t="shared" si="17"/>
        <v>0</v>
      </c>
      <c r="P330" s="165">
        <v>404952</v>
      </c>
      <c r="Q330" s="166">
        <f t="shared" ref="Q330:Q393" si="18">IF(W330="",M330*P330*$Q$3*$W$3,M330*P330*$Q$3*W330)</f>
        <v>0</v>
      </c>
      <c r="R330" s="169"/>
      <c r="S330" s="169"/>
      <c r="T330" s="169"/>
      <c r="U330" s="169"/>
      <c r="V330" s="166">
        <f t="shared" ref="V330:V393" si="19">SUM(O330+Q330)+S330+U330</f>
        <v>0</v>
      </c>
      <c r="W330" s="205"/>
      <c r="X330" s="167"/>
    </row>
    <row r="331" spans="8:24" s="220" customFormat="1" ht="12" hidden="1" customHeight="1">
      <c r="H331" s="162" t="s">
        <v>1217</v>
      </c>
      <c r="I331" s="163" t="s">
        <v>933</v>
      </c>
      <c r="J331" s="163" t="s">
        <v>1619</v>
      </c>
      <c r="K331" s="162" t="s">
        <v>1622</v>
      </c>
      <c r="L331" s="164" t="s">
        <v>5</v>
      </c>
      <c r="M331" s="169"/>
      <c r="N331" s="165">
        <v>36800</v>
      </c>
      <c r="O331" s="169">
        <f t="shared" si="17"/>
        <v>0</v>
      </c>
      <c r="P331" s="165">
        <v>404952</v>
      </c>
      <c r="Q331" s="166">
        <f t="shared" si="18"/>
        <v>0</v>
      </c>
      <c r="R331" s="169"/>
      <c r="S331" s="169"/>
      <c r="T331" s="169"/>
      <c r="U331" s="169"/>
      <c r="V331" s="166">
        <f t="shared" si="19"/>
        <v>0</v>
      </c>
      <c r="W331" s="205"/>
      <c r="X331" s="167"/>
    </row>
    <row r="332" spans="8:24" s="220" customFormat="1" ht="12" hidden="1" customHeight="1">
      <c r="H332" s="162" t="s">
        <v>1218</v>
      </c>
      <c r="I332" s="163" t="s">
        <v>933</v>
      </c>
      <c r="J332" s="163" t="s">
        <v>1619</v>
      </c>
      <c r="K332" s="162" t="s">
        <v>1623</v>
      </c>
      <c r="L332" s="164" t="s">
        <v>5</v>
      </c>
      <c r="M332" s="169"/>
      <c r="N332" s="165">
        <v>40000</v>
      </c>
      <c r="O332" s="169">
        <f t="shared" si="17"/>
        <v>0</v>
      </c>
      <c r="P332" s="165">
        <v>404952</v>
      </c>
      <c r="Q332" s="166">
        <f t="shared" si="18"/>
        <v>0</v>
      </c>
      <c r="R332" s="169"/>
      <c r="S332" s="169"/>
      <c r="T332" s="169"/>
      <c r="U332" s="169"/>
      <c r="V332" s="166">
        <f t="shared" si="19"/>
        <v>0</v>
      </c>
      <c r="W332" s="205"/>
      <c r="X332" s="167"/>
    </row>
    <row r="333" spans="8:24" s="220" customFormat="1" ht="12" hidden="1" customHeight="1">
      <c r="H333" s="162" t="s">
        <v>1219</v>
      </c>
      <c r="I333" s="163" t="s">
        <v>934</v>
      </c>
      <c r="J333" s="163" t="s">
        <v>1609</v>
      </c>
      <c r="K333" s="162" t="s">
        <v>1624</v>
      </c>
      <c r="L333" s="164" t="s">
        <v>5</v>
      </c>
      <c r="M333" s="169"/>
      <c r="N333" s="165">
        <v>21000</v>
      </c>
      <c r="O333" s="169">
        <f t="shared" si="17"/>
        <v>0</v>
      </c>
      <c r="P333" s="165">
        <v>80990</v>
      </c>
      <c r="Q333" s="166">
        <f t="shared" si="18"/>
        <v>0</v>
      </c>
      <c r="R333" s="169"/>
      <c r="S333" s="169"/>
      <c r="T333" s="169"/>
      <c r="U333" s="169"/>
      <c r="V333" s="166">
        <f t="shared" si="19"/>
        <v>0</v>
      </c>
      <c r="W333" s="205"/>
      <c r="X333" s="167"/>
    </row>
    <row r="334" spans="8:24" s="220" customFormat="1" ht="12" hidden="1" customHeight="1">
      <c r="H334" s="162" t="s">
        <v>1220</v>
      </c>
      <c r="I334" s="163" t="s">
        <v>935</v>
      </c>
      <c r="J334" s="163" t="s">
        <v>1611</v>
      </c>
      <c r="K334" s="162" t="s">
        <v>1625</v>
      </c>
      <c r="L334" s="164" t="s">
        <v>5</v>
      </c>
      <c r="M334" s="169"/>
      <c r="N334" s="165">
        <v>25700</v>
      </c>
      <c r="O334" s="169">
        <f t="shared" si="17"/>
        <v>0</v>
      </c>
      <c r="P334" s="165">
        <v>107987</v>
      </c>
      <c r="Q334" s="166">
        <f t="shared" si="18"/>
        <v>0</v>
      </c>
      <c r="R334" s="169"/>
      <c r="S334" s="169"/>
      <c r="T334" s="169"/>
      <c r="U334" s="169"/>
      <c r="V334" s="166">
        <f t="shared" si="19"/>
        <v>0</v>
      </c>
      <c r="W334" s="205"/>
      <c r="X334" s="167"/>
    </row>
    <row r="335" spans="8:24" s="220" customFormat="1" ht="12" hidden="1" customHeight="1">
      <c r="H335" s="162" t="s">
        <v>1221</v>
      </c>
      <c r="I335" s="163" t="s">
        <v>930</v>
      </c>
      <c r="J335" s="163" t="s">
        <v>1626</v>
      </c>
      <c r="K335" s="162" t="s">
        <v>1627</v>
      </c>
      <c r="L335" s="164" t="s">
        <v>5</v>
      </c>
      <c r="M335" s="169"/>
      <c r="N335" s="165">
        <v>25700</v>
      </c>
      <c r="O335" s="169">
        <f t="shared" si="17"/>
        <v>0</v>
      </c>
      <c r="P335" s="165">
        <v>121485</v>
      </c>
      <c r="Q335" s="166">
        <f t="shared" si="18"/>
        <v>0</v>
      </c>
      <c r="R335" s="169"/>
      <c r="S335" s="169"/>
      <c r="T335" s="169"/>
      <c r="U335" s="169"/>
      <c r="V335" s="166">
        <f t="shared" si="19"/>
        <v>0</v>
      </c>
      <c r="W335" s="205"/>
      <c r="X335" s="167"/>
    </row>
    <row r="336" spans="8:24" s="220" customFormat="1" ht="12" hidden="1" customHeight="1">
      <c r="H336" s="162" t="s">
        <v>1222</v>
      </c>
      <c r="I336" s="163" t="s">
        <v>931</v>
      </c>
      <c r="J336" s="163" t="s">
        <v>1613</v>
      </c>
      <c r="K336" s="162" t="s">
        <v>1628</v>
      </c>
      <c r="L336" s="164" t="s">
        <v>5</v>
      </c>
      <c r="M336" s="169"/>
      <c r="N336" s="165">
        <v>39000</v>
      </c>
      <c r="O336" s="169">
        <f t="shared" si="17"/>
        <v>0</v>
      </c>
      <c r="P336" s="165">
        <v>134984</v>
      </c>
      <c r="Q336" s="166">
        <f t="shared" si="18"/>
        <v>0</v>
      </c>
      <c r="R336" s="169"/>
      <c r="S336" s="169"/>
      <c r="T336" s="169"/>
      <c r="U336" s="169"/>
      <c r="V336" s="166">
        <f t="shared" si="19"/>
        <v>0</v>
      </c>
      <c r="W336" s="205"/>
      <c r="X336" s="167"/>
    </row>
    <row r="337" spans="8:24" s="220" customFormat="1" ht="12" hidden="1" customHeight="1">
      <c r="H337" s="162" t="s">
        <v>1223</v>
      </c>
      <c r="I337" s="163" t="s">
        <v>932</v>
      </c>
      <c r="J337" s="163" t="s">
        <v>1615</v>
      </c>
      <c r="K337" s="162" t="s">
        <v>1629</v>
      </c>
      <c r="L337" s="164" t="s">
        <v>5</v>
      </c>
      <c r="M337" s="169"/>
      <c r="N337" s="165">
        <v>47800</v>
      </c>
      <c r="O337" s="169">
        <f t="shared" si="17"/>
        <v>0</v>
      </c>
      <c r="P337" s="165">
        <v>161980</v>
      </c>
      <c r="Q337" s="166">
        <f t="shared" si="18"/>
        <v>0</v>
      </c>
      <c r="R337" s="169"/>
      <c r="S337" s="169"/>
      <c r="T337" s="169"/>
      <c r="U337" s="169"/>
      <c r="V337" s="166">
        <f t="shared" si="19"/>
        <v>0</v>
      </c>
      <c r="W337" s="205"/>
      <c r="X337" s="167"/>
    </row>
    <row r="338" spans="8:24" s="220" customFormat="1" ht="12" hidden="1" customHeight="1">
      <c r="H338" s="162" t="s">
        <v>1224</v>
      </c>
      <c r="I338" s="163" t="s">
        <v>932</v>
      </c>
      <c r="J338" s="163" t="s">
        <v>1615</v>
      </c>
      <c r="K338" s="162" t="s">
        <v>1630</v>
      </c>
      <c r="L338" s="164" t="s">
        <v>5</v>
      </c>
      <c r="M338" s="169"/>
      <c r="N338" s="165">
        <v>54600</v>
      </c>
      <c r="O338" s="169">
        <f t="shared" si="17"/>
        <v>0</v>
      </c>
      <c r="P338" s="165">
        <v>161980</v>
      </c>
      <c r="Q338" s="166">
        <f t="shared" si="18"/>
        <v>0</v>
      </c>
      <c r="R338" s="169"/>
      <c r="S338" s="169"/>
      <c r="T338" s="169"/>
      <c r="U338" s="169"/>
      <c r="V338" s="166">
        <f t="shared" si="19"/>
        <v>0</v>
      </c>
      <c r="W338" s="205"/>
      <c r="X338" s="167"/>
    </row>
    <row r="339" spans="8:24" s="220" customFormat="1" ht="12" hidden="1" customHeight="1">
      <c r="H339" s="162" t="s">
        <v>1225</v>
      </c>
      <c r="I339" s="163" t="s">
        <v>932</v>
      </c>
      <c r="J339" s="163" t="s">
        <v>1615</v>
      </c>
      <c r="K339" s="162" t="s">
        <v>1631</v>
      </c>
      <c r="L339" s="164" t="s">
        <v>5</v>
      </c>
      <c r="M339" s="169"/>
      <c r="N339" s="165">
        <v>59100</v>
      </c>
      <c r="O339" s="169">
        <f t="shared" si="17"/>
        <v>0</v>
      </c>
      <c r="P339" s="165">
        <v>161980</v>
      </c>
      <c r="Q339" s="166">
        <f t="shared" si="18"/>
        <v>0</v>
      </c>
      <c r="R339" s="169"/>
      <c r="S339" s="169"/>
      <c r="T339" s="169"/>
      <c r="U339" s="169"/>
      <c r="V339" s="166">
        <f t="shared" si="19"/>
        <v>0</v>
      </c>
      <c r="W339" s="205"/>
      <c r="X339" s="167"/>
    </row>
    <row r="340" spans="8:24" s="220" customFormat="1" ht="12" hidden="1" customHeight="1">
      <c r="H340" s="162" t="s">
        <v>1226</v>
      </c>
      <c r="I340" s="163" t="s">
        <v>932</v>
      </c>
      <c r="J340" s="163" t="s">
        <v>1615</v>
      </c>
      <c r="K340" s="162" t="s">
        <v>1632</v>
      </c>
      <c r="L340" s="164" t="s">
        <v>5</v>
      </c>
      <c r="M340" s="169"/>
      <c r="N340" s="165">
        <v>68300</v>
      </c>
      <c r="O340" s="169">
        <f t="shared" si="17"/>
        <v>0</v>
      </c>
      <c r="P340" s="165">
        <v>161980</v>
      </c>
      <c r="Q340" s="166">
        <f t="shared" si="18"/>
        <v>0</v>
      </c>
      <c r="R340" s="169"/>
      <c r="S340" s="169"/>
      <c r="T340" s="169"/>
      <c r="U340" s="169"/>
      <c r="V340" s="166">
        <f t="shared" si="19"/>
        <v>0</v>
      </c>
      <c r="W340" s="205"/>
      <c r="X340" s="167"/>
    </row>
    <row r="341" spans="8:24" s="220" customFormat="1" ht="12" hidden="1" customHeight="1">
      <c r="H341" s="162" t="s">
        <v>1227</v>
      </c>
      <c r="I341" s="163" t="s">
        <v>933</v>
      </c>
      <c r="J341" s="163" t="s">
        <v>1619</v>
      </c>
      <c r="K341" s="162" t="s">
        <v>1633</v>
      </c>
      <c r="L341" s="164" t="s">
        <v>5</v>
      </c>
      <c r="M341" s="169"/>
      <c r="N341" s="165">
        <v>77500</v>
      </c>
      <c r="O341" s="169">
        <f t="shared" si="17"/>
        <v>0</v>
      </c>
      <c r="P341" s="165">
        <v>404952</v>
      </c>
      <c r="Q341" s="166">
        <f t="shared" si="18"/>
        <v>0</v>
      </c>
      <c r="R341" s="169"/>
      <c r="S341" s="169"/>
      <c r="T341" s="169"/>
      <c r="U341" s="169"/>
      <c r="V341" s="166">
        <f t="shared" si="19"/>
        <v>0</v>
      </c>
      <c r="W341" s="205"/>
      <c r="X341" s="167"/>
    </row>
    <row r="342" spans="8:24" s="220" customFormat="1" ht="12" hidden="1" customHeight="1">
      <c r="H342" s="162" t="s">
        <v>1228</v>
      </c>
      <c r="I342" s="163" t="s">
        <v>933</v>
      </c>
      <c r="J342" s="163" t="s">
        <v>1619</v>
      </c>
      <c r="K342" s="162" t="s">
        <v>1634</v>
      </c>
      <c r="L342" s="164" t="s">
        <v>5</v>
      </c>
      <c r="M342" s="169"/>
      <c r="N342" s="165">
        <v>86600</v>
      </c>
      <c r="O342" s="169">
        <f t="shared" si="17"/>
        <v>0</v>
      </c>
      <c r="P342" s="165">
        <v>404952</v>
      </c>
      <c r="Q342" s="166">
        <f t="shared" si="18"/>
        <v>0</v>
      </c>
      <c r="R342" s="169"/>
      <c r="S342" s="169"/>
      <c r="T342" s="169"/>
      <c r="U342" s="169"/>
      <c r="V342" s="166">
        <f t="shared" si="19"/>
        <v>0</v>
      </c>
      <c r="W342" s="205"/>
      <c r="X342" s="167"/>
    </row>
    <row r="343" spans="8:24" s="220" customFormat="1" ht="12" hidden="1" customHeight="1">
      <c r="H343" s="162" t="s">
        <v>1229</v>
      </c>
      <c r="I343" s="163" t="s">
        <v>933</v>
      </c>
      <c r="J343" s="163" t="s">
        <v>1619</v>
      </c>
      <c r="K343" s="162" t="s">
        <v>1635</v>
      </c>
      <c r="L343" s="164" t="s">
        <v>5</v>
      </c>
      <c r="M343" s="169"/>
      <c r="N343" s="165">
        <v>105000</v>
      </c>
      <c r="O343" s="169">
        <f t="shared" si="17"/>
        <v>0</v>
      </c>
      <c r="P343" s="165">
        <v>404952</v>
      </c>
      <c r="Q343" s="166">
        <f t="shared" si="18"/>
        <v>0</v>
      </c>
      <c r="R343" s="169"/>
      <c r="S343" s="169"/>
      <c r="T343" s="169"/>
      <c r="U343" s="169"/>
      <c r="V343" s="166">
        <f t="shared" si="19"/>
        <v>0</v>
      </c>
      <c r="W343" s="205"/>
      <c r="X343" s="167"/>
    </row>
    <row r="344" spans="8:24" s="220" customFormat="1" ht="12" hidden="1" customHeight="1">
      <c r="H344" s="162" t="s">
        <v>1230</v>
      </c>
      <c r="I344" s="163" t="s">
        <v>934</v>
      </c>
      <c r="J344" s="163" t="s">
        <v>1609</v>
      </c>
      <c r="K344" s="162" t="s">
        <v>1636</v>
      </c>
      <c r="L344" s="164" t="s">
        <v>5</v>
      </c>
      <c r="M344" s="169"/>
      <c r="N344" s="165">
        <v>35200</v>
      </c>
      <c r="O344" s="169">
        <f t="shared" si="17"/>
        <v>0</v>
      </c>
      <c r="P344" s="165">
        <v>80990</v>
      </c>
      <c r="Q344" s="166">
        <f t="shared" si="18"/>
        <v>0</v>
      </c>
      <c r="R344" s="169"/>
      <c r="S344" s="169"/>
      <c r="T344" s="169"/>
      <c r="U344" s="169"/>
      <c r="V344" s="166">
        <f t="shared" si="19"/>
        <v>0</v>
      </c>
      <c r="W344" s="205"/>
      <c r="X344" s="167"/>
    </row>
    <row r="345" spans="8:24" s="220" customFormat="1" ht="12" hidden="1" customHeight="1">
      <c r="H345" s="162" t="s">
        <v>1231</v>
      </c>
      <c r="I345" s="163" t="s">
        <v>935</v>
      </c>
      <c r="J345" s="163" t="s">
        <v>1611</v>
      </c>
      <c r="K345" s="162" t="s">
        <v>1637</v>
      </c>
      <c r="L345" s="164" t="s">
        <v>5</v>
      </c>
      <c r="M345" s="169"/>
      <c r="N345" s="165">
        <v>36700</v>
      </c>
      <c r="O345" s="169">
        <f t="shared" si="17"/>
        <v>0</v>
      </c>
      <c r="P345" s="165">
        <v>107987</v>
      </c>
      <c r="Q345" s="166">
        <f t="shared" si="18"/>
        <v>0</v>
      </c>
      <c r="R345" s="169"/>
      <c r="S345" s="169"/>
      <c r="T345" s="169"/>
      <c r="U345" s="169"/>
      <c r="V345" s="166">
        <f t="shared" si="19"/>
        <v>0</v>
      </c>
      <c r="W345" s="205"/>
      <c r="X345" s="167"/>
    </row>
    <row r="346" spans="8:24" s="220" customFormat="1" ht="12" hidden="1" customHeight="1">
      <c r="H346" s="162" t="s">
        <v>1237</v>
      </c>
      <c r="I346" s="163" t="s">
        <v>930</v>
      </c>
      <c r="J346" s="163" t="s">
        <v>1626</v>
      </c>
      <c r="K346" s="162" t="s">
        <v>1754</v>
      </c>
      <c r="L346" s="164" t="s">
        <v>5</v>
      </c>
      <c r="M346" s="169"/>
      <c r="N346" s="165">
        <v>42100</v>
      </c>
      <c r="O346" s="169">
        <f t="shared" si="17"/>
        <v>0</v>
      </c>
      <c r="P346" s="165">
        <v>121485</v>
      </c>
      <c r="Q346" s="166">
        <f t="shared" si="18"/>
        <v>0</v>
      </c>
      <c r="R346" s="169"/>
      <c r="S346" s="169"/>
      <c r="T346" s="169"/>
      <c r="U346" s="169"/>
      <c r="V346" s="166">
        <f t="shared" si="19"/>
        <v>0</v>
      </c>
      <c r="W346" s="205"/>
      <c r="X346" s="167"/>
    </row>
    <row r="347" spans="8:24" s="220" customFormat="1" ht="12" hidden="1" customHeight="1">
      <c r="H347" s="162" t="s">
        <v>1238</v>
      </c>
      <c r="I347" s="163" t="s">
        <v>931</v>
      </c>
      <c r="J347" s="163" t="s">
        <v>1613</v>
      </c>
      <c r="K347" s="162" t="s">
        <v>1755</v>
      </c>
      <c r="L347" s="164" t="s">
        <v>5</v>
      </c>
      <c r="M347" s="169"/>
      <c r="N347" s="165">
        <v>58200</v>
      </c>
      <c r="O347" s="169">
        <f t="shared" si="17"/>
        <v>0</v>
      </c>
      <c r="P347" s="165">
        <v>134984</v>
      </c>
      <c r="Q347" s="166">
        <f t="shared" si="18"/>
        <v>0</v>
      </c>
      <c r="R347" s="169"/>
      <c r="S347" s="169"/>
      <c r="T347" s="169"/>
      <c r="U347" s="169"/>
      <c r="V347" s="166">
        <f t="shared" si="19"/>
        <v>0</v>
      </c>
      <c r="W347" s="205"/>
      <c r="X347" s="167"/>
    </row>
    <row r="348" spans="8:24" s="220" customFormat="1" ht="12" hidden="1" customHeight="1">
      <c r="H348" s="162" t="s">
        <v>1239</v>
      </c>
      <c r="I348" s="163" t="s">
        <v>932</v>
      </c>
      <c r="J348" s="163" t="s">
        <v>1615</v>
      </c>
      <c r="K348" s="162" t="s">
        <v>1756</v>
      </c>
      <c r="L348" s="164" t="s">
        <v>5</v>
      </c>
      <c r="M348" s="169"/>
      <c r="N348" s="165">
        <v>69000</v>
      </c>
      <c r="O348" s="169">
        <f t="shared" si="17"/>
        <v>0</v>
      </c>
      <c r="P348" s="165">
        <v>161980</v>
      </c>
      <c r="Q348" s="166">
        <f t="shared" si="18"/>
        <v>0</v>
      </c>
      <c r="R348" s="169"/>
      <c r="S348" s="169"/>
      <c r="T348" s="169"/>
      <c r="U348" s="169"/>
      <c r="V348" s="166">
        <f t="shared" si="19"/>
        <v>0</v>
      </c>
      <c r="W348" s="205"/>
      <c r="X348" s="167"/>
    </row>
    <row r="349" spans="8:24" s="220" customFormat="1" ht="12" hidden="1" customHeight="1">
      <c r="H349" s="162" t="s">
        <v>1240</v>
      </c>
      <c r="I349" s="163" t="s">
        <v>932</v>
      </c>
      <c r="J349" s="163" t="s">
        <v>1615</v>
      </c>
      <c r="K349" s="162" t="s">
        <v>1757</v>
      </c>
      <c r="L349" s="164" t="s">
        <v>5</v>
      </c>
      <c r="M349" s="169"/>
      <c r="N349" s="165">
        <v>80100</v>
      </c>
      <c r="O349" s="169">
        <f t="shared" si="17"/>
        <v>0</v>
      </c>
      <c r="P349" s="165">
        <v>161980</v>
      </c>
      <c r="Q349" s="166">
        <f t="shared" si="18"/>
        <v>0</v>
      </c>
      <c r="R349" s="169"/>
      <c r="S349" s="169"/>
      <c r="T349" s="169"/>
      <c r="U349" s="169"/>
      <c r="V349" s="166">
        <f t="shared" si="19"/>
        <v>0</v>
      </c>
      <c r="W349" s="205"/>
      <c r="X349" s="167"/>
    </row>
    <row r="350" spans="8:24" s="220" customFormat="1" ht="12" hidden="1" customHeight="1">
      <c r="H350" s="162" t="s">
        <v>1241</v>
      </c>
      <c r="I350" s="163" t="s">
        <v>932</v>
      </c>
      <c r="J350" s="163" t="s">
        <v>1615</v>
      </c>
      <c r="K350" s="162" t="s">
        <v>1758</v>
      </c>
      <c r="L350" s="164" t="s">
        <v>5</v>
      </c>
      <c r="M350" s="169"/>
      <c r="N350" s="165">
        <v>86000</v>
      </c>
      <c r="O350" s="169">
        <f t="shared" si="17"/>
        <v>0</v>
      </c>
      <c r="P350" s="165">
        <v>161980</v>
      </c>
      <c r="Q350" s="166">
        <f t="shared" si="18"/>
        <v>0</v>
      </c>
      <c r="R350" s="169"/>
      <c r="S350" s="169"/>
      <c r="T350" s="169"/>
      <c r="U350" s="169"/>
      <c r="V350" s="166">
        <f t="shared" si="19"/>
        <v>0</v>
      </c>
      <c r="W350" s="205"/>
      <c r="X350" s="167"/>
    </row>
    <row r="351" spans="8:24" s="220" customFormat="1" ht="12" hidden="1" customHeight="1">
      <c r="H351" s="162" t="s">
        <v>1242</v>
      </c>
      <c r="I351" s="163" t="s">
        <v>932</v>
      </c>
      <c r="J351" s="163" t="s">
        <v>1615</v>
      </c>
      <c r="K351" s="162" t="s">
        <v>1759</v>
      </c>
      <c r="L351" s="164" t="s">
        <v>5</v>
      </c>
      <c r="M351" s="169"/>
      <c r="N351" s="165">
        <v>97600</v>
      </c>
      <c r="O351" s="169">
        <f t="shared" si="17"/>
        <v>0</v>
      </c>
      <c r="P351" s="165">
        <v>161980</v>
      </c>
      <c r="Q351" s="166">
        <f t="shared" si="18"/>
        <v>0</v>
      </c>
      <c r="R351" s="169"/>
      <c r="S351" s="169"/>
      <c r="T351" s="169"/>
      <c r="U351" s="169"/>
      <c r="V351" s="166">
        <f t="shared" si="19"/>
        <v>0</v>
      </c>
      <c r="W351" s="205"/>
      <c r="X351" s="167"/>
    </row>
    <row r="352" spans="8:24" s="220" customFormat="1" ht="12" hidden="1" customHeight="1">
      <c r="H352" s="162" t="s">
        <v>1243</v>
      </c>
      <c r="I352" s="163" t="s">
        <v>933</v>
      </c>
      <c r="J352" s="163" t="s">
        <v>1619</v>
      </c>
      <c r="K352" s="162" t="s">
        <v>1760</v>
      </c>
      <c r="L352" s="164" t="s">
        <v>5</v>
      </c>
      <c r="M352" s="169"/>
      <c r="N352" s="165">
        <v>109000</v>
      </c>
      <c r="O352" s="169">
        <f t="shared" si="17"/>
        <v>0</v>
      </c>
      <c r="P352" s="165">
        <v>404952</v>
      </c>
      <c r="Q352" s="166">
        <f t="shared" si="18"/>
        <v>0</v>
      </c>
      <c r="R352" s="169"/>
      <c r="S352" s="169"/>
      <c r="T352" s="169"/>
      <c r="U352" s="169"/>
      <c r="V352" s="166">
        <f t="shared" si="19"/>
        <v>0</v>
      </c>
      <c r="W352" s="205"/>
      <c r="X352" s="167"/>
    </row>
    <row r="353" spans="8:24" s="220" customFormat="1" ht="12" hidden="1" customHeight="1">
      <c r="H353" s="162" t="s">
        <v>1244</v>
      </c>
      <c r="I353" s="163" t="s">
        <v>933</v>
      </c>
      <c r="J353" s="163" t="s">
        <v>1619</v>
      </c>
      <c r="K353" s="162" t="s">
        <v>1761</v>
      </c>
      <c r="L353" s="164" t="s">
        <v>5</v>
      </c>
      <c r="M353" s="169"/>
      <c r="N353" s="165">
        <v>121000</v>
      </c>
      <c r="O353" s="169">
        <f t="shared" si="17"/>
        <v>0</v>
      </c>
      <c r="P353" s="165">
        <v>404952</v>
      </c>
      <c r="Q353" s="166">
        <f t="shared" si="18"/>
        <v>0</v>
      </c>
      <c r="R353" s="169"/>
      <c r="S353" s="169"/>
      <c r="T353" s="169"/>
      <c r="U353" s="169"/>
      <c r="V353" s="166">
        <f t="shared" si="19"/>
        <v>0</v>
      </c>
      <c r="W353" s="205"/>
      <c r="X353" s="167"/>
    </row>
    <row r="354" spans="8:24" s="220" customFormat="1" ht="12" hidden="1" customHeight="1">
      <c r="H354" s="162" t="s">
        <v>1245</v>
      </c>
      <c r="I354" s="163" t="s">
        <v>933</v>
      </c>
      <c r="J354" s="163" t="s">
        <v>1619</v>
      </c>
      <c r="K354" s="162" t="s">
        <v>1762</v>
      </c>
      <c r="L354" s="164" t="s">
        <v>5</v>
      </c>
      <c r="M354" s="169"/>
      <c r="N354" s="165">
        <v>132000</v>
      </c>
      <c r="O354" s="169">
        <f t="shared" si="17"/>
        <v>0</v>
      </c>
      <c r="P354" s="165">
        <v>404952</v>
      </c>
      <c r="Q354" s="166">
        <f t="shared" si="18"/>
        <v>0</v>
      </c>
      <c r="R354" s="169"/>
      <c r="S354" s="169"/>
      <c r="T354" s="169"/>
      <c r="U354" s="169"/>
      <c r="V354" s="166">
        <f t="shared" si="19"/>
        <v>0</v>
      </c>
      <c r="W354" s="205"/>
      <c r="X354" s="167"/>
    </row>
    <row r="355" spans="8:24" s="220" customFormat="1" ht="12" hidden="1" customHeight="1">
      <c r="H355" s="162" t="s">
        <v>1246</v>
      </c>
      <c r="I355" s="163" t="s">
        <v>933</v>
      </c>
      <c r="J355" s="163" t="s">
        <v>1619</v>
      </c>
      <c r="K355" s="162" t="s">
        <v>1763</v>
      </c>
      <c r="L355" s="164" t="s">
        <v>5</v>
      </c>
      <c r="M355" s="169"/>
      <c r="N355" s="165">
        <v>144000</v>
      </c>
      <c r="O355" s="169">
        <f t="shared" si="17"/>
        <v>0</v>
      </c>
      <c r="P355" s="165">
        <v>404952</v>
      </c>
      <c r="Q355" s="166">
        <f t="shared" si="18"/>
        <v>0</v>
      </c>
      <c r="R355" s="169"/>
      <c r="S355" s="169"/>
      <c r="T355" s="169"/>
      <c r="U355" s="169"/>
      <c r="V355" s="166">
        <f t="shared" si="19"/>
        <v>0</v>
      </c>
      <c r="W355" s="205"/>
      <c r="X355" s="167"/>
    </row>
    <row r="356" spans="8:24" s="220" customFormat="1" ht="12" hidden="1" customHeight="1">
      <c r="H356" s="162" t="s">
        <v>1247</v>
      </c>
      <c r="I356" s="163" t="s">
        <v>935</v>
      </c>
      <c r="J356" s="163" t="s">
        <v>1611</v>
      </c>
      <c r="K356" s="162" t="s">
        <v>1764</v>
      </c>
      <c r="L356" s="164" t="s">
        <v>5</v>
      </c>
      <c r="M356" s="169"/>
      <c r="N356" s="165">
        <v>42800</v>
      </c>
      <c r="O356" s="169">
        <f t="shared" si="17"/>
        <v>0</v>
      </c>
      <c r="P356" s="165">
        <v>107987</v>
      </c>
      <c r="Q356" s="166">
        <f t="shared" si="18"/>
        <v>0</v>
      </c>
      <c r="R356" s="169"/>
      <c r="S356" s="169"/>
      <c r="T356" s="169"/>
      <c r="U356" s="169"/>
      <c r="V356" s="166">
        <f t="shared" si="19"/>
        <v>0</v>
      </c>
      <c r="W356" s="205"/>
      <c r="X356" s="167"/>
    </row>
    <row r="357" spans="8:24" s="220" customFormat="1" ht="12" hidden="1" customHeight="1">
      <c r="H357" s="162" t="s">
        <v>1248</v>
      </c>
      <c r="I357" s="163" t="s">
        <v>930</v>
      </c>
      <c r="J357" s="163" t="s">
        <v>1626</v>
      </c>
      <c r="K357" s="162" t="s">
        <v>1765</v>
      </c>
      <c r="L357" s="164" t="s">
        <v>5</v>
      </c>
      <c r="M357" s="169"/>
      <c r="N357" s="165">
        <v>42900</v>
      </c>
      <c r="O357" s="169">
        <f t="shared" si="17"/>
        <v>0</v>
      </c>
      <c r="P357" s="165">
        <v>121485</v>
      </c>
      <c r="Q357" s="166">
        <f t="shared" si="18"/>
        <v>0</v>
      </c>
      <c r="R357" s="169"/>
      <c r="S357" s="169"/>
      <c r="T357" s="169"/>
      <c r="U357" s="169"/>
      <c r="V357" s="166">
        <f t="shared" si="19"/>
        <v>0</v>
      </c>
      <c r="W357" s="205"/>
      <c r="X357" s="167"/>
    </row>
    <row r="358" spans="8:24" s="220" customFormat="1" ht="12" hidden="1" customHeight="1">
      <c r="H358" s="162" t="s">
        <v>1249</v>
      </c>
      <c r="I358" s="163" t="s">
        <v>931</v>
      </c>
      <c r="J358" s="163" t="s">
        <v>1613</v>
      </c>
      <c r="K358" s="162" t="s">
        <v>1766</v>
      </c>
      <c r="L358" s="164" t="s">
        <v>5</v>
      </c>
      <c r="M358" s="169"/>
      <c r="N358" s="165">
        <v>64900</v>
      </c>
      <c r="O358" s="169">
        <f t="shared" si="17"/>
        <v>0</v>
      </c>
      <c r="P358" s="165">
        <v>134984</v>
      </c>
      <c r="Q358" s="166">
        <f t="shared" si="18"/>
        <v>0</v>
      </c>
      <c r="R358" s="169"/>
      <c r="S358" s="169"/>
      <c r="T358" s="169"/>
      <c r="U358" s="169"/>
      <c r="V358" s="166">
        <f t="shared" si="19"/>
        <v>0</v>
      </c>
      <c r="W358" s="205"/>
      <c r="X358" s="167"/>
    </row>
    <row r="359" spans="8:24" s="220" customFormat="1" ht="12" hidden="1" customHeight="1">
      <c r="H359" s="162" t="s">
        <v>1250</v>
      </c>
      <c r="I359" s="163" t="s">
        <v>932</v>
      </c>
      <c r="J359" s="163" t="s">
        <v>1615</v>
      </c>
      <c r="K359" s="162" t="s">
        <v>1767</v>
      </c>
      <c r="L359" s="164" t="s">
        <v>5</v>
      </c>
      <c r="M359" s="169"/>
      <c r="N359" s="165">
        <v>79600</v>
      </c>
      <c r="O359" s="169">
        <f t="shared" si="17"/>
        <v>0</v>
      </c>
      <c r="P359" s="165">
        <v>161980</v>
      </c>
      <c r="Q359" s="166">
        <f t="shared" si="18"/>
        <v>0</v>
      </c>
      <c r="R359" s="169"/>
      <c r="S359" s="169"/>
      <c r="T359" s="169"/>
      <c r="U359" s="169"/>
      <c r="V359" s="166">
        <f t="shared" si="19"/>
        <v>0</v>
      </c>
      <c r="W359" s="205"/>
      <c r="X359" s="167"/>
    </row>
    <row r="360" spans="8:24" s="220" customFormat="1" ht="12" hidden="1" customHeight="1">
      <c r="H360" s="162" t="s">
        <v>1251</v>
      </c>
      <c r="I360" s="163" t="s">
        <v>932</v>
      </c>
      <c r="J360" s="163" t="s">
        <v>1615</v>
      </c>
      <c r="K360" s="162" t="s">
        <v>1768</v>
      </c>
      <c r="L360" s="164" t="s">
        <v>5</v>
      </c>
      <c r="M360" s="169"/>
      <c r="N360" s="165">
        <v>98600</v>
      </c>
      <c r="O360" s="169">
        <f t="shared" si="17"/>
        <v>0</v>
      </c>
      <c r="P360" s="165">
        <v>161980</v>
      </c>
      <c r="Q360" s="166">
        <f t="shared" si="18"/>
        <v>0</v>
      </c>
      <c r="R360" s="169"/>
      <c r="S360" s="169"/>
      <c r="T360" s="169"/>
      <c r="U360" s="169"/>
      <c r="V360" s="166">
        <f t="shared" si="19"/>
        <v>0</v>
      </c>
      <c r="W360" s="205"/>
      <c r="X360" s="167"/>
    </row>
    <row r="361" spans="8:24" s="220" customFormat="1" ht="12" hidden="1" customHeight="1">
      <c r="H361" s="162" t="s">
        <v>1252</v>
      </c>
      <c r="I361" s="163" t="s">
        <v>932</v>
      </c>
      <c r="J361" s="163" t="s">
        <v>1615</v>
      </c>
      <c r="K361" s="162" t="s">
        <v>1769</v>
      </c>
      <c r="L361" s="164" t="s">
        <v>5</v>
      </c>
      <c r="M361" s="169"/>
      <c r="N361" s="165">
        <v>114000</v>
      </c>
      <c r="O361" s="169">
        <f t="shared" si="17"/>
        <v>0</v>
      </c>
      <c r="P361" s="165">
        <v>161980</v>
      </c>
      <c r="Q361" s="166">
        <f t="shared" si="18"/>
        <v>0</v>
      </c>
      <c r="R361" s="169"/>
      <c r="S361" s="169"/>
      <c r="T361" s="169"/>
      <c r="U361" s="169"/>
      <c r="V361" s="166">
        <f t="shared" si="19"/>
        <v>0</v>
      </c>
      <c r="W361" s="205"/>
      <c r="X361" s="167"/>
    </row>
    <row r="362" spans="8:24" s="220" customFormat="1" ht="12" hidden="1" customHeight="1">
      <c r="H362" s="162" t="s">
        <v>1253</v>
      </c>
      <c r="I362" s="163" t="s">
        <v>933</v>
      </c>
      <c r="J362" s="163" t="s">
        <v>1619</v>
      </c>
      <c r="K362" s="162" t="s">
        <v>1770</v>
      </c>
      <c r="L362" s="164" t="s">
        <v>5</v>
      </c>
      <c r="M362" s="169"/>
      <c r="N362" s="165">
        <v>129000</v>
      </c>
      <c r="O362" s="169">
        <f t="shared" si="17"/>
        <v>0</v>
      </c>
      <c r="P362" s="165">
        <v>404952</v>
      </c>
      <c r="Q362" s="166">
        <f t="shared" si="18"/>
        <v>0</v>
      </c>
      <c r="R362" s="169"/>
      <c r="S362" s="169"/>
      <c r="T362" s="169"/>
      <c r="U362" s="169"/>
      <c r="V362" s="166">
        <f t="shared" si="19"/>
        <v>0</v>
      </c>
      <c r="W362" s="205"/>
      <c r="X362" s="167"/>
    </row>
    <row r="363" spans="8:24" s="220" customFormat="1" ht="12" hidden="1" customHeight="1">
      <c r="H363" s="162" t="s">
        <v>1254</v>
      </c>
      <c r="I363" s="163" t="s">
        <v>933</v>
      </c>
      <c r="J363" s="163" t="s">
        <v>1619</v>
      </c>
      <c r="K363" s="162" t="s">
        <v>1771</v>
      </c>
      <c r="L363" s="164" t="s">
        <v>5</v>
      </c>
      <c r="M363" s="169"/>
      <c r="N363" s="165">
        <v>144000</v>
      </c>
      <c r="O363" s="169">
        <f t="shared" si="17"/>
        <v>0</v>
      </c>
      <c r="P363" s="165">
        <v>404952</v>
      </c>
      <c r="Q363" s="166">
        <f t="shared" si="18"/>
        <v>0</v>
      </c>
      <c r="R363" s="169"/>
      <c r="S363" s="169"/>
      <c r="T363" s="169"/>
      <c r="U363" s="169"/>
      <c r="V363" s="166">
        <f t="shared" si="19"/>
        <v>0</v>
      </c>
      <c r="W363" s="205"/>
      <c r="X363" s="167"/>
    </row>
    <row r="364" spans="8:24" s="220" customFormat="1" ht="12" hidden="1" customHeight="1">
      <c r="H364" s="162" t="s">
        <v>1255</v>
      </c>
      <c r="I364" s="163" t="s">
        <v>933</v>
      </c>
      <c r="J364" s="163" t="s">
        <v>1619</v>
      </c>
      <c r="K364" s="162" t="s">
        <v>1772</v>
      </c>
      <c r="L364" s="164" t="s">
        <v>5</v>
      </c>
      <c r="M364" s="169"/>
      <c r="N364" s="165">
        <v>175000</v>
      </c>
      <c r="O364" s="169">
        <f t="shared" si="17"/>
        <v>0</v>
      </c>
      <c r="P364" s="165">
        <v>404952</v>
      </c>
      <c r="Q364" s="166">
        <f t="shared" si="18"/>
        <v>0</v>
      </c>
      <c r="R364" s="169"/>
      <c r="S364" s="169"/>
      <c r="T364" s="169"/>
      <c r="U364" s="169"/>
      <c r="V364" s="166">
        <f t="shared" si="19"/>
        <v>0</v>
      </c>
      <c r="W364" s="205"/>
      <c r="X364" s="167"/>
    </row>
    <row r="365" spans="8:24" s="220" customFormat="1" ht="12" hidden="1" customHeight="1">
      <c r="H365" s="162" t="s">
        <v>1256</v>
      </c>
      <c r="I365" s="163" t="s">
        <v>930</v>
      </c>
      <c r="J365" s="163" t="s">
        <v>1626</v>
      </c>
      <c r="K365" s="162" t="s">
        <v>2161</v>
      </c>
      <c r="L365" s="164" t="s">
        <v>5</v>
      </c>
      <c r="M365" s="169"/>
      <c r="N365" s="165">
        <v>11700</v>
      </c>
      <c r="O365" s="169">
        <f t="shared" si="17"/>
        <v>0</v>
      </c>
      <c r="P365" s="165">
        <v>121485</v>
      </c>
      <c r="Q365" s="166">
        <f t="shared" si="18"/>
        <v>0</v>
      </c>
      <c r="R365" s="169"/>
      <c r="S365" s="169"/>
      <c r="T365" s="169"/>
      <c r="U365" s="169"/>
      <c r="V365" s="166">
        <f t="shared" si="19"/>
        <v>0</v>
      </c>
      <c r="W365" s="205"/>
      <c r="X365" s="167"/>
    </row>
    <row r="366" spans="8:24" s="220" customFormat="1" ht="12" hidden="1" customHeight="1">
      <c r="H366" s="162" t="s">
        <v>1257</v>
      </c>
      <c r="I366" s="163" t="s">
        <v>932</v>
      </c>
      <c r="J366" s="163" t="s">
        <v>1615</v>
      </c>
      <c r="K366" s="162" t="s">
        <v>2162</v>
      </c>
      <c r="L366" s="164" t="s">
        <v>5</v>
      </c>
      <c r="M366" s="169"/>
      <c r="N366" s="165">
        <v>27100</v>
      </c>
      <c r="O366" s="169">
        <f t="shared" si="17"/>
        <v>0</v>
      </c>
      <c r="P366" s="165">
        <v>161980</v>
      </c>
      <c r="Q366" s="166">
        <f t="shared" si="18"/>
        <v>0</v>
      </c>
      <c r="R366" s="169"/>
      <c r="S366" s="169"/>
      <c r="T366" s="169"/>
      <c r="U366" s="169"/>
      <c r="V366" s="166">
        <f t="shared" si="19"/>
        <v>0</v>
      </c>
      <c r="W366" s="205"/>
      <c r="X366" s="167"/>
    </row>
    <row r="367" spans="8:24" s="220" customFormat="1" ht="12" hidden="1" customHeight="1">
      <c r="H367" s="162" t="s">
        <v>1258</v>
      </c>
      <c r="I367" s="163" t="s">
        <v>933</v>
      </c>
      <c r="J367" s="163" t="s">
        <v>1619</v>
      </c>
      <c r="K367" s="162" t="s">
        <v>2163</v>
      </c>
      <c r="L367" s="164" t="s">
        <v>5</v>
      </c>
      <c r="M367" s="169"/>
      <c r="N367" s="165">
        <v>95800</v>
      </c>
      <c r="O367" s="169">
        <f t="shared" si="17"/>
        <v>0</v>
      </c>
      <c r="P367" s="165">
        <v>404952</v>
      </c>
      <c r="Q367" s="166">
        <f t="shared" si="18"/>
        <v>0</v>
      </c>
      <c r="R367" s="169"/>
      <c r="S367" s="169"/>
      <c r="T367" s="169"/>
      <c r="U367" s="169"/>
      <c r="V367" s="166">
        <f t="shared" si="19"/>
        <v>0</v>
      </c>
      <c r="W367" s="205"/>
      <c r="X367" s="167"/>
    </row>
    <row r="368" spans="8:24" s="220" customFormat="1" ht="12" hidden="1" customHeight="1">
      <c r="H368" s="162" t="s">
        <v>1259</v>
      </c>
      <c r="I368" s="163" t="s">
        <v>934</v>
      </c>
      <c r="J368" s="163" t="s">
        <v>1609</v>
      </c>
      <c r="K368" s="162" t="s">
        <v>2164</v>
      </c>
      <c r="L368" s="164" t="s">
        <v>5</v>
      </c>
      <c r="M368" s="169"/>
      <c r="N368" s="165">
        <v>35000</v>
      </c>
      <c r="O368" s="169">
        <f t="shared" ref="O368:O433" si="20">M368*N368*$O$3</f>
        <v>0</v>
      </c>
      <c r="P368" s="165">
        <v>80990</v>
      </c>
      <c r="Q368" s="166">
        <f t="shared" si="18"/>
        <v>0</v>
      </c>
      <c r="R368" s="169"/>
      <c r="S368" s="169"/>
      <c r="T368" s="169"/>
      <c r="U368" s="169"/>
      <c r="V368" s="166">
        <f t="shared" si="19"/>
        <v>0</v>
      </c>
      <c r="W368" s="205"/>
      <c r="X368" s="167"/>
    </row>
    <row r="369" spans="8:24" s="220" customFormat="1" ht="12" hidden="1" customHeight="1">
      <c r="H369" s="162" t="s">
        <v>1260</v>
      </c>
      <c r="I369" s="163" t="s">
        <v>932</v>
      </c>
      <c r="J369" s="163" t="s">
        <v>1615</v>
      </c>
      <c r="K369" s="162" t="s">
        <v>2165</v>
      </c>
      <c r="L369" s="164" t="s">
        <v>5</v>
      </c>
      <c r="M369" s="169"/>
      <c r="N369" s="165">
        <v>90900</v>
      </c>
      <c r="O369" s="169">
        <f t="shared" si="20"/>
        <v>0</v>
      </c>
      <c r="P369" s="165">
        <v>161980</v>
      </c>
      <c r="Q369" s="166">
        <f t="shared" si="18"/>
        <v>0</v>
      </c>
      <c r="R369" s="169"/>
      <c r="S369" s="169"/>
      <c r="T369" s="169"/>
      <c r="U369" s="169"/>
      <c r="V369" s="166">
        <f t="shared" si="19"/>
        <v>0</v>
      </c>
      <c r="W369" s="205"/>
      <c r="X369" s="167"/>
    </row>
    <row r="370" spans="8:24" s="220" customFormat="1" ht="12" hidden="1" customHeight="1">
      <c r="H370" s="162" t="s">
        <v>1261</v>
      </c>
      <c r="I370" s="163" t="s">
        <v>933</v>
      </c>
      <c r="J370" s="163" t="s">
        <v>1619</v>
      </c>
      <c r="K370" s="162" t="s">
        <v>2166</v>
      </c>
      <c r="L370" s="164" t="s">
        <v>5</v>
      </c>
      <c r="M370" s="169"/>
      <c r="N370" s="165">
        <v>160000</v>
      </c>
      <c r="O370" s="169">
        <f t="shared" si="20"/>
        <v>0</v>
      </c>
      <c r="P370" s="165">
        <v>404952</v>
      </c>
      <c r="Q370" s="166">
        <f t="shared" si="18"/>
        <v>0</v>
      </c>
      <c r="R370" s="169"/>
      <c r="S370" s="169"/>
      <c r="T370" s="169"/>
      <c r="U370" s="169"/>
      <c r="V370" s="166">
        <f t="shared" si="19"/>
        <v>0</v>
      </c>
      <c r="W370" s="205"/>
      <c r="X370" s="167"/>
    </row>
    <row r="371" spans="8:24" s="220" customFormat="1" ht="12" hidden="1" customHeight="1">
      <c r="H371" s="162" t="s">
        <v>306</v>
      </c>
      <c r="I371" s="163" t="s">
        <v>945</v>
      </c>
      <c r="J371" s="163" t="s">
        <v>1861</v>
      </c>
      <c r="K371" s="162" t="s">
        <v>1862</v>
      </c>
      <c r="L371" s="164" t="s">
        <v>5</v>
      </c>
      <c r="M371" s="169"/>
      <c r="N371" s="165">
        <v>5640</v>
      </c>
      <c r="O371" s="169">
        <f t="shared" si="20"/>
        <v>0</v>
      </c>
      <c r="P371" s="165">
        <v>53993</v>
      </c>
      <c r="Q371" s="166">
        <f t="shared" si="18"/>
        <v>0</v>
      </c>
      <c r="R371" s="169"/>
      <c r="S371" s="169"/>
      <c r="T371" s="169"/>
      <c r="U371" s="169"/>
      <c r="V371" s="166">
        <f t="shared" si="19"/>
        <v>0</v>
      </c>
      <c r="W371" s="205"/>
      <c r="X371" s="167"/>
    </row>
    <row r="372" spans="8:24" s="220" customFormat="1" ht="12" hidden="1" customHeight="1">
      <c r="H372" s="162" t="s">
        <v>307</v>
      </c>
      <c r="I372" s="163" t="s">
        <v>1034</v>
      </c>
      <c r="J372" s="163" t="s">
        <v>2103</v>
      </c>
      <c r="K372" s="162" t="s">
        <v>2104</v>
      </c>
      <c r="L372" s="164" t="s">
        <v>5</v>
      </c>
      <c r="M372" s="169"/>
      <c r="N372" s="165">
        <v>6780</v>
      </c>
      <c r="O372" s="169">
        <f t="shared" si="20"/>
        <v>0</v>
      </c>
      <c r="P372" s="165">
        <v>80990</v>
      </c>
      <c r="Q372" s="166">
        <f t="shared" si="18"/>
        <v>0</v>
      </c>
      <c r="R372" s="169"/>
      <c r="S372" s="169"/>
      <c r="T372" s="169"/>
      <c r="U372" s="169"/>
      <c r="V372" s="166">
        <f t="shared" si="19"/>
        <v>0</v>
      </c>
      <c r="W372" s="205"/>
      <c r="X372" s="167"/>
    </row>
    <row r="373" spans="8:24" s="220" customFormat="1" ht="12" hidden="1" customHeight="1">
      <c r="H373" s="162" t="s">
        <v>308</v>
      </c>
      <c r="I373" s="163" t="s">
        <v>1035</v>
      </c>
      <c r="J373" s="163" t="s">
        <v>2105</v>
      </c>
      <c r="K373" s="162" t="s">
        <v>2106</v>
      </c>
      <c r="L373" s="164" t="s">
        <v>5</v>
      </c>
      <c r="M373" s="169"/>
      <c r="N373" s="165">
        <v>8980</v>
      </c>
      <c r="O373" s="169">
        <f t="shared" si="20"/>
        <v>0</v>
      </c>
      <c r="P373" s="165">
        <v>137684</v>
      </c>
      <c r="Q373" s="166">
        <f t="shared" si="18"/>
        <v>0</v>
      </c>
      <c r="R373" s="169"/>
      <c r="S373" s="169"/>
      <c r="T373" s="169"/>
      <c r="U373" s="169"/>
      <c r="V373" s="166">
        <f t="shared" si="19"/>
        <v>0</v>
      </c>
      <c r="W373" s="205"/>
      <c r="X373" s="167"/>
    </row>
    <row r="374" spans="8:24" s="220" customFormat="1" ht="12" hidden="1" customHeight="1">
      <c r="H374" s="162" t="s">
        <v>309</v>
      </c>
      <c r="I374" s="163" t="s">
        <v>1036</v>
      </c>
      <c r="J374" s="163" t="s">
        <v>2107</v>
      </c>
      <c r="K374" s="162" t="s">
        <v>2108</v>
      </c>
      <c r="L374" s="164" t="s">
        <v>92</v>
      </c>
      <c r="M374" s="169"/>
      <c r="N374" s="165">
        <v>3380</v>
      </c>
      <c r="O374" s="169">
        <f t="shared" si="20"/>
        <v>0</v>
      </c>
      <c r="P374" s="165">
        <v>10798</v>
      </c>
      <c r="Q374" s="166">
        <f t="shared" si="18"/>
        <v>0</v>
      </c>
      <c r="R374" s="169"/>
      <c r="S374" s="169"/>
      <c r="T374" s="169"/>
      <c r="U374" s="169"/>
      <c r="V374" s="166">
        <f t="shared" si="19"/>
        <v>0</v>
      </c>
      <c r="W374" s="205"/>
      <c r="X374" s="167"/>
    </row>
    <row r="375" spans="8:24" s="220" customFormat="1" ht="12" hidden="1" customHeight="1">
      <c r="H375" s="162" t="s">
        <v>310</v>
      </c>
      <c r="I375" s="163" t="s">
        <v>1036</v>
      </c>
      <c r="J375" s="163" t="s">
        <v>2107</v>
      </c>
      <c r="K375" s="162" t="s">
        <v>2109</v>
      </c>
      <c r="L375" s="164" t="s">
        <v>92</v>
      </c>
      <c r="M375" s="169"/>
      <c r="N375" s="165">
        <v>3560</v>
      </c>
      <c r="O375" s="169">
        <f t="shared" si="20"/>
        <v>0</v>
      </c>
      <c r="P375" s="165">
        <v>10798</v>
      </c>
      <c r="Q375" s="166">
        <f t="shared" si="18"/>
        <v>0</v>
      </c>
      <c r="R375" s="169"/>
      <c r="S375" s="169"/>
      <c r="T375" s="169"/>
      <c r="U375" s="169"/>
      <c r="V375" s="166">
        <f t="shared" si="19"/>
        <v>0</v>
      </c>
      <c r="W375" s="205"/>
      <c r="X375" s="167"/>
    </row>
    <row r="376" spans="8:24" s="220" customFormat="1" ht="12" hidden="1" customHeight="1">
      <c r="H376" s="162" t="s">
        <v>311</v>
      </c>
      <c r="I376" s="163" t="s">
        <v>1036</v>
      </c>
      <c r="J376" s="163" t="s">
        <v>2107</v>
      </c>
      <c r="K376" s="162" t="s">
        <v>2110</v>
      </c>
      <c r="L376" s="164" t="s">
        <v>92</v>
      </c>
      <c r="M376" s="169"/>
      <c r="N376" s="165">
        <v>3380</v>
      </c>
      <c r="O376" s="169">
        <f t="shared" si="20"/>
        <v>0</v>
      </c>
      <c r="P376" s="165">
        <v>10798</v>
      </c>
      <c r="Q376" s="166">
        <f t="shared" si="18"/>
        <v>0</v>
      </c>
      <c r="R376" s="169"/>
      <c r="S376" s="169"/>
      <c r="T376" s="169"/>
      <c r="U376" s="169"/>
      <c r="V376" s="166">
        <f t="shared" si="19"/>
        <v>0</v>
      </c>
      <c r="W376" s="205"/>
      <c r="X376" s="167"/>
    </row>
    <row r="377" spans="8:24" s="220" customFormat="1" ht="12" hidden="1" customHeight="1">
      <c r="H377" s="162" t="s">
        <v>1333</v>
      </c>
      <c r="I377" s="163" t="s">
        <v>2285</v>
      </c>
      <c r="J377" s="163" t="s">
        <v>2286</v>
      </c>
      <c r="K377" s="162" t="s">
        <v>2287</v>
      </c>
      <c r="L377" s="164" t="s">
        <v>5</v>
      </c>
      <c r="M377" s="169"/>
      <c r="N377" s="165">
        <v>4000</v>
      </c>
      <c r="O377" s="169">
        <f t="shared" si="20"/>
        <v>0</v>
      </c>
      <c r="P377" s="165">
        <v>115883</v>
      </c>
      <c r="Q377" s="166">
        <f t="shared" si="18"/>
        <v>0</v>
      </c>
      <c r="R377" s="169"/>
      <c r="S377" s="169"/>
      <c r="T377" s="169"/>
      <c r="U377" s="169"/>
      <c r="V377" s="166">
        <f t="shared" si="19"/>
        <v>0</v>
      </c>
      <c r="W377" s="205"/>
      <c r="X377" s="167"/>
    </row>
    <row r="378" spans="8:24" s="220" customFormat="1" ht="12" hidden="1" customHeight="1">
      <c r="H378" s="162" t="s">
        <v>1334</v>
      </c>
      <c r="I378" s="163" t="s">
        <v>2288</v>
      </c>
      <c r="J378" s="163" t="s">
        <v>2289</v>
      </c>
      <c r="K378" s="162" t="s">
        <v>2290</v>
      </c>
      <c r="L378" s="164" t="s">
        <v>5</v>
      </c>
      <c r="M378" s="169"/>
      <c r="N378" s="165">
        <v>3000</v>
      </c>
      <c r="O378" s="169">
        <f t="shared" si="20"/>
        <v>0</v>
      </c>
      <c r="P378" s="165">
        <v>79011</v>
      </c>
      <c r="Q378" s="166">
        <f t="shared" si="18"/>
        <v>0</v>
      </c>
      <c r="R378" s="169"/>
      <c r="S378" s="169"/>
      <c r="T378" s="169"/>
      <c r="U378" s="169"/>
      <c r="V378" s="166">
        <f t="shared" si="19"/>
        <v>0</v>
      </c>
      <c r="W378" s="205"/>
      <c r="X378" s="167"/>
    </row>
    <row r="379" spans="8:24" s="220" customFormat="1" ht="12" hidden="1" customHeight="1">
      <c r="H379" s="162" t="s">
        <v>1335</v>
      </c>
      <c r="I379" s="163" t="s">
        <v>2285</v>
      </c>
      <c r="J379" s="163" t="s">
        <v>2292</v>
      </c>
      <c r="K379" s="162" t="s">
        <v>2293</v>
      </c>
      <c r="L379" s="164" t="s">
        <v>5</v>
      </c>
      <c r="M379" s="169"/>
      <c r="N379" s="165">
        <v>1400</v>
      </c>
      <c r="O379" s="169">
        <f t="shared" si="20"/>
        <v>0</v>
      </c>
      <c r="P379" s="165">
        <v>115883</v>
      </c>
      <c r="Q379" s="166">
        <f t="shared" si="18"/>
        <v>0</v>
      </c>
      <c r="R379" s="169"/>
      <c r="S379" s="169"/>
      <c r="T379" s="169"/>
      <c r="U379" s="169"/>
      <c r="V379" s="166">
        <f t="shared" si="19"/>
        <v>0</v>
      </c>
      <c r="W379" s="205"/>
      <c r="X379" s="167"/>
    </row>
    <row r="380" spans="8:24" s="220" customFormat="1" ht="12" hidden="1" customHeight="1">
      <c r="H380" s="162" t="s">
        <v>1336</v>
      </c>
      <c r="I380" s="163" t="s">
        <v>2288</v>
      </c>
      <c r="J380" s="163" t="s">
        <v>2294</v>
      </c>
      <c r="K380" s="162" t="s">
        <v>2295</v>
      </c>
      <c r="L380" s="164" t="s">
        <v>5</v>
      </c>
      <c r="M380" s="169"/>
      <c r="N380" s="165">
        <v>1200</v>
      </c>
      <c r="O380" s="169">
        <f t="shared" si="20"/>
        <v>0</v>
      </c>
      <c r="P380" s="165">
        <v>79011</v>
      </c>
      <c r="Q380" s="166">
        <f t="shared" si="18"/>
        <v>0</v>
      </c>
      <c r="R380" s="169"/>
      <c r="S380" s="169"/>
      <c r="T380" s="169"/>
      <c r="U380" s="169"/>
      <c r="V380" s="166">
        <f t="shared" si="19"/>
        <v>0</v>
      </c>
      <c r="W380" s="205"/>
      <c r="X380" s="167"/>
    </row>
    <row r="381" spans="8:24" s="220" customFormat="1" ht="12" hidden="1" customHeight="1">
      <c r="H381" s="162" t="s">
        <v>218</v>
      </c>
      <c r="I381" s="163" t="s">
        <v>936</v>
      </c>
      <c r="J381" s="163" t="s">
        <v>1773</v>
      </c>
      <c r="K381" s="162" t="s">
        <v>1774</v>
      </c>
      <c r="L381" s="164" t="s">
        <v>5</v>
      </c>
      <c r="M381" s="169"/>
      <c r="N381" s="165">
        <v>15000</v>
      </c>
      <c r="O381" s="169">
        <f t="shared" si="20"/>
        <v>0</v>
      </c>
      <c r="P381" s="165">
        <v>40495</v>
      </c>
      <c r="Q381" s="166">
        <f t="shared" si="18"/>
        <v>0</v>
      </c>
      <c r="R381" s="169"/>
      <c r="S381" s="169"/>
      <c r="T381" s="169"/>
      <c r="U381" s="169"/>
      <c r="V381" s="166">
        <f t="shared" si="19"/>
        <v>0</v>
      </c>
      <c r="W381" s="205"/>
      <c r="X381" s="167"/>
    </row>
    <row r="382" spans="8:24" s="220" customFormat="1" ht="12" hidden="1" customHeight="1">
      <c r="H382" s="162" t="s">
        <v>219</v>
      </c>
      <c r="I382" s="163" t="s">
        <v>937</v>
      </c>
      <c r="J382" s="163" t="s">
        <v>1775</v>
      </c>
      <c r="K382" s="162" t="s">
        <v>1776</v>
      </c>
      <c r="L382" s="164" t="s">
        <v>5</v>
      </c>
      <c r="M382" s="169"/>
      <c r="N382" s="165">
        <v>20000</v>
      </c>
      <c r="O382" s="169">
        <f t="shared" si="20"/>
        <v>0</v>
      </c>
      <c r="P382" s="165">
        <v>53993</v>
      </c>
      <c r="Q382" s="166">
        <f t="shared" si="18"/>
        <v>0</v>
      </c>
      <c r="R382" s="169"/>
      <c r="S382" s="169"/>
      <c r="T382" s="169"/>
      <c r="U382" s="169"/>
      <c r="V382" s="166">
        <f t="shared" si="19"/>
        <v>0</v>
      </c>
      <c r="W382" s="205"/>
      <c r="X382" s="167"/>
    </row>
    <row r="383" spans="8:24" s="220" customFormat="1" ht="12" hidden="1" customHeight="1">
      <c r="H383" s="162" t="s">
        <v>220</v>
      </c>
      <c r="I383" s="163" t="s">
        <v>937</v>
      </c>
      <c r="J383" s="163" t="s">
        <v>1775</v>
      </c>
      <c r="K383" s="162" t="s">
        <v>1777</v>
      </c>
      <c r="L383" s="164" t="s">
        <v>5</v>
      </c>
      <c r="M383" s="169"/>
      <c r="N383" s="165">
        <v>20000</v>
      </c>
      <c r="O383" s="169">
        <f t="shared" si="20"/>
        <v>0</v>
      </c>
      <c r="P383" s="165">
        <v>53993</v>
      </c>
      <c r="Q383" s="166">
        <f t="shared" si="18"/>
        <v>0</v>
      </c>
      <c r="R383" s="169"/>
      <c r="S383" s="169"/>
      <c r="T383" s="169"/>
      <c r="U383" s="169"/>
      <c r="V383" s="166">
        <f t="shared" si="19"/>
        <v>0</v>
      </c>
      <c r="W383" s="205"/>
      <c r="X383" s="167"/>
    </row>
    <row r="384" spans="8:24" s="220" customFormat="1" ht="12" hidden="1" customHeight="1">
      <c r="H384" s="162" t="s">
        <v>221</v>
      </c>
      <c r="I384" s="163" t="s">
        <v>937</v>
      </c>
      <c r="J384" s="163" t="s">
        <v>1775</v>
      </c>
      <c r="K384" s="162" t="s">
        <v>1778</v>
      </c>
      <c r="L384" s="164" t="s">
        <v>5</v>
      </c>
      <c r="M384" s="169"/>
      <c r="N384" s="165">
        <v>25000</v>
      </c>
      <c r="O384" s="169">
        <f t="shared" si="20"/>
        <v>0</v>
      </c>
      <c r="P384" s="165">
        <v>53993</v>
      </c>
      <c r="Q384" s="166">
        <f t="shared" si="18"/>
        <v>0</v>
      </c>
      <c r="R384" s="169"/>
      <c r="S384" s="169"/>
      <c r="T384" s="169"/>
      <c r="U384" s="169"/>
      <c r="V384" s="166">
        <f t="shared" si="19"/>
        <v>0</v>
      </c>
      <c r="W384" s="205"/>
      <c r="X384" s="167"/>
    </row>
    <row r="385" spans="8:24" s="220" customFormat="1" ht="12" hidden="1" customHeight="1">
      <c r="H385" s="162" t="s">
        <v>222</v>
      </c>
      <c r="I385" s="163" t="s">
        <v>934</v>
      </c>
      <c r="J385" s="163" t="s">
        <v>1779</v>
      </c>
      <c r="K385" s="162" t="s">
        <v>1780</v>
      </c>
      <c r="L385" s="164" t="s">
        <v>5</v>
      </c>
      <c r="M385" s="169"/>
      <c r="N385" s="165">
        <v>35000</v>
      </c>
      <c r="O385" s="169">
        <f t="shared" si="20"/>
        <v>0</v>
      </c>
      <c r="P385" s="165">
        <v>80990</v>
      </c>
      <c r="Q385" s="166">
        <f t="shared" si="18"/>
        <v>0</v>
      </c>
      <c r="R385" s="169"/>
      <c r="S385" s="169"/>
      <c r="T385" s="169"/>
      <c r="U385" s="169"/>
      <c r="V385" s="166">
        <f t="shared" si="19"/>
        <v>0</v>
      </c>
      <c r="W385" s="205"/>
      <c r="X385" s="167"/>
    </row>
    <row r="386" spans="8:24" s="220" customFormat="1" ht="12" hidden="1" customHeight="1">
      <c r="H386" s="162" t="s">
        <v>223</v>
      </c>
      <c r="I386" s="163" t="s">
        <v>935</v>
      </c>
      <c r="J386" s="163" t="s">
        <v>1781</v>
      </c>
      <c r="K386" s="162" t="s">
        <v>1782</v>
      </c>
      <c r="L386" s="164" t="s">
        <v>5</v>
      </c>
      <c r="M386" s="169"/>
      <c r="N386" s="165">
        <v>50000</v>
      </c>
      <c r="O386" s="169">
        <f t="shared" si="20"/>
        <v>0</v>
      </c>
      <c r="P386" s="165">
        <v>107987</v>
      </c>
      <c r="Q386" s="166">
        <f t="shared" si="18"/>
        <v>0</v>
      </c>
      <c r="R386" s="169"/>
      <c r="S386" s="169"/>
      <c r="T386" s="169"/>
      <c r="U386" s="169"/>
      <c r="V386" s="166">
        <f t="shared" si="19"/>
        <v>0</v>
      </c>
      <c r="W386" s="205"/>
      <c r="X386" s="167"/>
    </row>
    <row r="387" spans="8:24" s="220" customFormat="1" ht="12" hidden="1" customHeight="1">
      <c r="H387" s="162" t="s">
        <v>301</v>
      </c>
      <c r="I387" s="163" t="s">
        <v>944</v>
      </c>
      <c r="J387" s="163" t="s">
        <v>1856</v>
      </c>
      <c r="K387" s="162" t="s">
        <v>1857</v>
      </c>
      <c r="L387" s="164" t="s">
        <v>5</v>
      </c>
      <c r="M387" s="169"/>
      <c r="N387" s="165">
        <v>700</v>
      </c>
      <c r="O387" s="169">
        <f t="shared" si="20"/>
        <v>0</v>
      </c>
      <c r="P387" s="165">
        <v>43194</v>
      </c>
      <c r="Q387" s="166">
        <f t="shared" si="18"/>
        <v>0</v>
      </c>
      <c r="R387" s="169"/>
      <c r="S387" s="169"/>
      <c r="T387" s="169"/>
      <c r="U387" s="169"/>
      <c r="V387" s="166">
        <f t="shared" si="19"/>
        <v>0</v>
      </c>
      <c r="W387" s="205"/>
      <c r="X387" s="167"/>
    </row>
    <row r="388" spans="8:24" s="220" customFormat="1" ht="12" hidden="1" customHeight="1">
      <c r="H388" s="162" t="s">
        <v>302</v>
      </c>
      <c r="I388" s="163" t="s">
        <v>944</v>
      </c>
      <c r="J388" s="163" t="s">
        <v>1856</v>
      </c>
      <c r="K388" s="162" t="s">
        <v>1858</v>
      </c>
      <c r="L388" s="164" t="s">
        <v>5</v>
      </c>
      <c r="M388" s="169"/>
      <c r="N388" s="165">
        <v>800</v>
      </c>
      <c r="O388" s="169">
        <f t="shared" si="20"/>
        <v>0</v>
      </c>
      <c r="P388" s="165">
        <v>43194</v>
      </c>
      <c r="Q388" s="166">
        <f t="shared" si="18"/>
        <v>0</v>
      </c>
      <c r="R388" s="169"/>
      <c r="S388" s="169"/>
      <c r="T388" s="169"/>
      <c r="U388" s="169"/>
      <c r="V388" s="166">
        <f t="shared" si="19"/>
        <v>0</v>
      </c>
      <c r="W388" s="205"/>
      <c r="X388" s="167"/>
    </row>
    <row r="389" spans="8:24" s="220" customFormat="1" ht="12" hidden="1" customHeight="1">
      <c r="H389" s="162" t="s">
        <v>303</v>
      </c>
      <c r="I389" s="163" t="s">
        <v>944</v>
      </c>
      <c r="J389" s="163" t="s">
        <v>1856</v>
      </c>
      <c r="K389" s="162" t="s">
        <v>1859</v>
      </c>
      <c r="L389" s="164" t="s">
        <v>5</v>
      </c>
      <c r="M389" s="169"/>
      <c r="N389" s="165">
        <v>700</v>
      </c>
      <c r="O389" s="169">
        <f t="shared" si="20"/>
        <v>0</v>
      </c>
      <c r="P389" s="165">
        <v>43194</v>
      </c>
      <c r="Q389" s="166">
        <f t="shared" si="18"/>
        <v>0</v>
      </c>
      <c r="R389" s="169"/>
      <c r="S389" s="169"/>
      <c r="T389" s="169"/>
      <c r="U389" s="169"/>
      <c r="V389" s="166">
        <f t="shared" si="19"/>
        <v>0</v>
      </c>
      <c r="W389" s="205"/>
      <c r="X389" s="167"/>
    </row>
    <row r="390" spans="8:24" s="220" customFormat="1" ht="12" hidden="1" customHeight="1">
      <c r="H390" s="162" t="s">
        <v>304</v>
      </c>
      <c r="I390" s="163" t="s">
        <v>944</v>
      </c>
      <c r="J390" s="163" t="s">
        <v>1856</v>
      </c>
      <c r="K390" s="162" t="s">
        <v>1860</v>
      </c>
      <c r="L390" s="164" t="s">
        <v>5</v>
      </c>
      <c r="M390" s="169"/>
      <c r="N390" s="165">
        <v>1200</v>
      </c>
      <c r="O390" s="169">
        <f t="shared" si="20"/>
        <v>0</v>
      </c>
      <c r="P390" s="165">
        <v>43194</v>
      </c>
      <c r="Q390" s="166">
        <f t="shared" si="18"/>
        <v>0</v>
      </c>
      <c r="R390" s="169"/>
      <c r="S390" s="169"/>
      <c r="T390" s="169"/>
      <c r="U390" s="169"/>
      <c r="V390" s="166">
        <f t="shared" si="19"/>
        <v>0</v>
      </c>
      <c r="W390" s="205"/>
      <c r="X390" s="167"/>
    </row>
    <row r="391" spans="8:24" s="220" customFormat="1" ht="12" hidden="1" customHeight="1">
      <c r="H391" s="162" t="s">
        <v>305</v>
      </c>
      <c r="I391" s="163" t="s">
        <v>944</v>
      </c>
      <c r="J391" s="163" t="s">
        <v>1856</v>
      </c>
      <c r="K391" s="162" t="s">
        <v>2177</v>
      </c>
      <c r="L391" s="164" t="s">
        <v>5</v>
      </c>
      <c r="M391" s="169"/>
      <c r="N391" s="165">
        <v>1400</v>
      </c>
      <c r="O391" s="169">
        <f t="shared" si="20"/>
        <v>0</v>
      </c>
      <c r="P391" s="165">
        <v>43194</v>
      </c>
      <c r="Q391" s="166">
        <f t="shared" si="18"/>
        <v>0</v>
      </c>
      <c r="R391" s="169"/>
      <c r="S391" s="169"/>
      <c r="T391" s="169"/>
      <c r="U391" s="169"/>
      <c r="V391" s="166">
        <f t="shared" si="19"/>
        <v>0</v>
      </c>
      <c r="W391" s="205"/>
      <c r="X391" s="167"/>
    </row>
    <row r="392" spans="8:24" s="220" customFormat="1" ht="12" hidden="1" customHeight="1">
      <c r="H392" s="162" t="s">
        <v>1335</v>
      </c>
      <c r="I392" s="163" t="s">
        <v>2285</v>
      </c>
      <c r="J392" s="163" t="s">
        <v>2292</v>
      </c>
      <c r="K392" s="162" t="s">
        <v>2293</v>
      </c>
      <c r="L392" s="164" t="s">
        <v>5</v>
      </c>
      <c r="M392" s="169"/>
      <c r="N392" s="165">
        <v>1400</v>
      </c>
      <c r="O392" s="169">
        <f t="shared" si="20"/>
        <v>0</v>
      </c>
      <c r="P392" s="165">
        <v>115883</v>
      </c>
      <c r="Q392" s="166">
        <f t="shared" si="18"/>
        <v>0</v>
      </c>
      <c r="R392" s="169"/>
      <c r="S392" s="169"/>
      <c r="T392" s="169"/>
      <c r="U392" s="169"/>
      <c r="V392" s="166">
        <f t="shared" si="19"/>
        <v>0</v>
      </c>
      <c r="W392" s="205"/>
      <c r="X392" s="167"/>
    </row>
    <row r="393" spans="8:24" s="220" customFormat="1" ht="12" hidden="1" customHeight="1">
      <c r="H393" s="162" t="s">
        <v>1336</v>
      </c>
      <c r="I393" s="163" t="s">
        <v>2288</v>
      </c>
      <c r="J393" s="163" t="s">
        <v>2294</v>
      </c>
      <c r="K393" s="162" t="s">
        <v>2295</v>
      </c>
      <c r="L393" s="164" t="s">
        <v>5</v>
      </c>
      <c r="M393" s="169"/>
      <c r="N393" s="165">
        <v>1200</v>
      </c>
      <c r="O393" s="169">
        <f t="shared" si="20"/>
        <v>0</v>
      </c>
      <c r="P393" s="165">
        <v>79011</v>
      </c>
      <c r="Q393" s="166">
        <f t="shared" si="18"/>
        <v>0</v>
      </c>
      <c r="R393" s="169"/>
      <c r="S393" s="169"/>
      <c r="T393" s="169"/>
      <c r="U393" s="169"/>
      <c r="V393" s="166">
        <f t="shared" si="19"/>
        <v>0</v>
      </c>
      <c r="W393" s="205"/>
      <c r="X393" s="167"/>
    </row>
    <row r="394" spans="8:24" s="220" customFormat="1" ht="12" hidden="1" customHeight="1">
      <c r="H394" s="162" t="s">
        <v>1337</v>
      </c>
      <c r="I394" s="163" t="s">
        <v>2291</v>
      </c>
      <c r="J394" s="163" t="s">
        <v>2296</v>
      </c>
      <c r="K394" s="162" t="s">
        <v>2297</v>
      </c>
      <c r="L394" s="164" t="s">
        <v>5</v>
      </c>
      <c r="M394" s="169"/>
      <c r="N394" s="165">
        <v>800</v>
      </c>
      <c r="O394" s="169">
        <f t="shared" si="20"/>
        <v>0</v>
      </c>
      <c r="P394" s="165">
        <v>47406</v>
      </c>
      <c r="Q394" s="166">
        <f t="shared" ref="Q394:Q459" si="21">IF(W394="",M394*P394*$Q$3*$W$3,M394*P394*$Q$3*W394)</f>
        <v>0</v>
      </c>
      <c r="R394" s="169"/>
      <c r="S394" s="169"/>
      <c r="T394" s="169"/>
      <c r="U394" s="169"/>
      <c r="V394" s="166">
        <f t="shared" ref="V394:V459" si="22">SUM(O394+Q394)+S394+U394</f>
        <v>0</v>
      </c>
      <c r="W394" s="205"/>
      <c r="X394" s="167"/>
    </row>
    <row r="395" spans="8:24" s="220" customFormat="1" ht="12" hidden="1" customHeight="1">
      <c r="H395" s="162" t="s">
        <v>1348</v>
      </c>
      <c r="I395" s="163" t="s">
        <v>2306</v>
      </c>
      <c r="J395" s="163" t="s">
        <v>2307</v>
      </c>
      <c r="K395" s="162" t="s">
        <v>2308</v>
      </c>
      <c r="L395" s="164" t="s">
        <v>5</v>
      </c>
      <c r="M395" s="169"/>
      <c r="N395" s="165">
        <v>700</v>
      </c>
      <c r="O395" s="169">
        <f t="shared" si="20"/>
        <v>0</v>
      </c>
      <c r="P395" s="165">
        <v>57941</v>
      </c>
      <c r="Q395" s="166">
        <f t="shared" si="21"/>
        <v>0</v>
      </c>
      <c r="R395" s="169"/>
      <c r="S395" s="169"/>
      <c r="T395" s="169"/>
      <c r="U395" s="169"/>
      <c r="V395" s="166">
        <f t="shared" si="22"/>
        <v>0</v>
      </c>
      <c r="W395" s="205"/>
      <c r="X395" s="167"/>
    </row>
    <row r="396" spans="8:24" s="220" customFormat="1" ht="12" hidden="1" customHeight="1">
      <c r="H396" s="162" t="s">
        <v>740</v>
      </c>
      <c r="I396" s="163" t="s">
        <v>998</v>
      </c>
      <c r="J396" s="163" t="s">
        <v>1489</v>
      </c>
      <c r="K396" s="162" t="s">
        <v>1490</v>
      </c>
      <c r="L396" s="164" t="s">
        <v>92</v>
      </c>
      <c r="M396" s="169"/>
      <c r="N396" s="165">
        <v>39200</v>
      </c>
      <c r="O396" s="169">
        <f t="shared" si="20"/>
        <v>0</v>
      </c>
      <c r="P396" s="165">
        <v>148482</v>
      </c>
      <c r="Q396" s="166">
        <f t="shared" si="21"/>
        <v>0</v>
      </c>
      <c r="R396" s="169"/>
      <c r="S396" s="169"/>
      <c r="T396" s="169"/>
      <c r="U396" s="169"/>
      <c r="V396" s="166">
        <f t="shared" si="22"/>
        <v>0</v>
      </c>
      <c r="W396" s="205"/>
      <c r="X396" s="167"/>
    </row>
    <row r="397" spans="8:24" s="220" customFormat="1" ht="12" hidden="1" customHeight="1">
      <c r="H397" s="162" t="s">
        <v>741</v>
      </c>
      <c r="I397" s="163" t="s">
        <v>998</v>
      </c>
      <c r="J397" s="163" t="s">
        <v>1489</v>
      </c>
      <c r="K397" s="162" t="s">
        <v>1491</v>
      </c>
      <c r="L397" s="164" t="s">
        <v>92</v>
      </c>
      <c r="M397" s="169"/>
      <c r="N397" s="165">
        <v>34700</v>
      </c>
      <c r="O397" s="169">
        <f t="shared" si="20"/>
        <v>0</v>
      </c>
      <c r="P397" s="165">
        <v>148482</v>
      </c>
      <c r="Q397" s="166">
        <f t="shared" si="21"/>
        <v>0</v>
      </c>
      <c r="R397" s="169"/>
      <c r="S397" s="169"/>
      <c r="T397" s="169"/>
      <c r="U397" s="169"/>
      <c r="V397" s="166">
        <f t="shared" si="22"/>
        <v>0</v>
      </c>
      <c r="W397" s="205"/>
      <c r="X397" s="167"/>
    </row>
    <row r="398" spans="8:24" s="220" customFormat="1" ht="12" hidden="1" customHeight="1">
      <c r="H398" s="162" t="s">
        <v>743</v>
      </c>
      <c r="I398" s="163" t="s">
        <v>999</v>
      </c>
      <c r="J398" s="163" t="s">
        <v>1492</v>
      </c>
      <c r="K398" s="162" t="s">
        <v>1493</v>
      </c>
      <c r="L398" s="164" t="s">
        <v>92</v>
      </c>
      <c r="M398" s="169"/>
      <c r="N398" s="165">
        <v>88500</v>
      </c>
      <c r="O398" s="169">
        <f t="shared" si="20"/>
        <v>0</v>
      </c>
      <c r="P398" s="165">
        <v>178178</v>
      </c>
      <c r="Q398" s="166">
        <f t="shared" si="21"/>
        <v>0</v>
      </c>
      <c r="R398" s="169"/>
      <c r="S398" s="169"/>
      <c r="T398" s="169"/>
      <c r="U398" s="169"/>
      <c r="V398" s="166">
        <f t="shared" si="22"/>
        <v>0</v>
      </c>
      <c r="W398" s="205"/>
      <c r="X398" s="167"/>
    </row>
    <row r="399" spans="8:24" s="220" customFormat="1" ht="12" hidden="1" customHeight="1">
      <c r="H399" s="162" t="s">
        <v>213</v>
      </c>
      <c r="I399" s="163" t="s">
        <v>999</v>
      </c>
      <c r="J399" s="163" t="s">
        <v>1492</v>
      </c>
      <c r="K399" s="162" t="s">
        <v>1603</v>
      </c>
      <c r="L399" s="164" t="s">
        <v>92</v>
      </c>
      <c r="M399" s="169"/>
      <c r="N399" s="165">
        <v>39200</v>
      </c>
      <c r="O399" s="169">
        <f t="shared" si="20"/>
        <v>0</v>
      </c>
      <c r="P399" s="165">
        <v>178178</v>
      </c>
      <c r="Q399" s="166">
        <f t="shared" si="21"/>
        <v>0</v>
      </c>
      <c r="R399" s="169"/>
      <c r="S399" s="169"/>
      <c r="T399" s="169"/>
      <c r="U399" s="169"/>
      <c r="V399" s="166">
        <f t="shared" si="22"/>
        <v>0</v>
      </c>
      <c r="W399" s="205"/>
      <c r="X399" s="167"/>
    </row>
    <row r="400" spans="8:24" s="220" customFormat="1" ht="12" hidden="1" customHeight="1">
      <c r="H400" s="162" t="s">
        <v>214</v>
      </c>
      <c r="I400" s="163" t="s">
        <v>999</v>
      </c>
      <c r="J400" s="163" t="s">
        <v>1492</v>
      </c>
      <c r="K400" s="162" t="s">
        <v>1604</v>
      </c>
      <c r="L400" s="164" t="s">
        <v>92</v>
      </c>
      <c r="M400" s="169"/>
      <c r="N400" s="165">
        <v>34700</v>
      </c>
      <c r="O400" s="169">
        <f t="shared" si="20"/>
        <v>0</v>
      </c>
      <c r="P400" s="165">
        <v>178178</v>
      </c>
      <c r="Q400" s="166">
        <f t="shared" si="21"/>
        <v>0</v>
      </c>
      <c r="R400" s="169"/>
      <c r="S400" s="169"/>
      <c r="T400" s="169"/>
      <c r="U400" s="169"/>
      <c r="V400" s="166">
        <f t="shared" si="22"/>
        <v>0</v>
      </c>
      <c r="W400" s="205"/>
      <c r="X400" s="167"/>
    </row>
    <row r="401" spans="8:24" s="220" customFormat="1" ht="12" hidden="1" customHeight="1">
      <c r="H401" s="162" t="s">
        <v>215</v>
      </c>
      <c r="I401" s="163" t="s">
        <v>999</v>
      </c>
      <c r="J401" s="163" t="s">
        <v>1492</v>
      </c>
      <c r="K401" s="162" t="s">
        <v>1605</v>
      </c>
      <c r="L401" s="164" t="s">
        <v>92</v>
      </c>
      <c r="M401" s="169"/>
      <c r="N401" s="165">
        <v>35100</v>
      </c>
      <c r="O401" s="169">
        <f t="shared" si="20"/>
        <v>0</v>
      </c>
      <c r="P401" s="165">
        <v>178178</v>
      </c>
      <c r="Q401" s="166">
        <f t="shared" si="21"/>
        <v>0</v>
      </c>
      <c r="R401" s="169"/>
      <c r="S401" s="169"/>
      <c r="T401" s="169"/>
      <c r="U401" s="169"/>
      <c r="V401" s="166">
        <f t="shared" si="22"/>
        <v>0</v>
      </c>
      <c r="W401" s="205"/>
      <c r="X401" s="167"/>
    </row>
    <row r="402" spans="8:24" s="220" customFormat="1" ht="12" hidden="1" customHeight="1">
      <c r="H402" s="162" t="s">
        <v>216</v>
      </c>
      <c r="I402" s="163" t="s">
        <v>999</v>
      </c>
      <c r="J402" s="163" t="s">
        <v>1492</v>
      </c>
      <c r="K402" s="162" t="s">
        <v>1606</v>
      </c>
      <c r="L402" s="164" t="s">
        <v>92</v>
      </c>
      <c r="M402" s="169"/>
      <c r="N402" s="165">
        <v>57700</v>
      </c>
      <c r="O402" s="169">
        <f t="shared" si="20"/>
        <v>0</v>
      </c>
      <c r="P402" s="165">
        <v>178178</v>
      </c>
      <c r="Q402" s="166">
        <f t="shared" si="21"/>
        <v>0</v>
      </c>
      <c r="R402" s="169"/>
      <c r="S402" s="169"/>
      <c r="T402" s="169"/>
      <c r="U402" s="169"/>
      <c r="V402" s="166">
        <f t="shared" si="22"/>
        <v>0</v>
      </c>
      <c r="W402" s="205"/>
      <c r="X402" s="167"/>
    </row>
    <row r="403" spans="8:24" s="220" customFormat="1" ht="12" hidden="1" customHeight="1">
      <c r="H403" s="162" t="s">
        <v>217</v>
      </c>
      <c r="I403" s="163" t="s">
        <v>1000</v>
      </c>
      <c r="J403" s="163" t="s">
        <v>1607</v>
      </c>
      <c r="K403" s="162" t="s">
        <v>1608</v>
      </c>
      <c r="L403" s="164" t="s">
        <v>92</v>
      </c>
      <c r="M403" s="169"/>
      <c r="N403" s="165">
        <v>88500</v>
      </c>
      <c r="O403" s="169">
        <f t="shared" si="20"/>
        <v>0</v>
      </c>
      <c r="P403" s="165">
        <v>256469</v>
      </c>
      <c r="Q403" s="166">
        <f t="shared" si="21"/>
        <v>0</v>
      </c>
      <c r="R403" s="169"/>
      <c r="S403" s="169"/>
      <c r="T403" s="169"/>
      <c r="U403" s="169"/>
      <c r="V403" s="166">
        <f t="shared" si="22"/>
        <v>0</v>
      </c>
      <c r="W403" s="205"/>
      <c r="X403" s="167"/>
    </row>
    <row r="404" spans="8:24" s="220" customFormat="1" ht="12" hidden="1" customHeight="1">
      <c r="H404" s="162" t="s">
        <v>742</v>
      </c>
      <c r="I404" s="163" t="s">
        <v>998</v>
      </c>
      <c r="J404" s="163" t="s">
        <v>1489</v>
      </c>
      <c r="K404" s="162" t="s">
        <v>2313</v>
      </c>
      <c r="L404" s="164" t="s">
        <v>92</v>
      </c>
      <c r="M404" s="169"/>
      <c r="N404" s="165">
        <v>35100</v>
      </c>
      <c r="O404" s="169">
        <f t="shared" si="20"/>
        <v>0</v>
      </c>
      <c r="P404" s="165">
        <v>148482</v>
      </c>
      <c r="Q404" s="166">
        <f t="shared" si="21"/>
        <v>0</v>
      </c>
      <c r="R404" s="169"/>
      <c r="S404" s="169"/>
      <c r="T404" s="169"/>
      <c r="U404" s="169"/>
      <c r="V404" s="166">
        <f t="shared" si="22"/>
        <v>0</v>
      </c>
      <c r="W404" s="205"/>
      <c r="X404" s="167"/>
    </row>
    <row r="405" spans="8:24" s="220" customFormat="1" ht="12" hidden="1" customHeight="1">
      <c r="H405" s="158" t="s">
        <v>6923</v>
      </c>
      <c r="I405" s="159" t="s">
        <v>4113</v>
      </c>
      <c r="J405" s="159" t="s">
        <v>6925</v>
      </c>
      <c r="K405" s="158" t="s">
        <v>6926</v>
      </c>
      <c r="L405" s="160" t="s">
        <v>92</v>
      </c>
      <c r="M405" s="169"/>
      <c r="N405" s="161">
        <v>750</v>
      </c>
      <c r="O405" s="169">
        <f t="shared" si="20"/>
        <v>0</v>
      </c>
      <c r="P405" s="161">
        <v>53993</v>
      </c>
      <c r="Q405" s="166">
        <f t="shared" si="21"/>
        <v>0</v>
      </c>
      <c r="R405" s="169"/>
      <c r="S405" s="169"/>
      <c r="T405" s="169"/>
      <c r="U405" s="169"/>
      <c r="V405" s="166">
        <f t="shared" si="22"/>
        <v>0</v>
      </c>
      <c r="W405" s="205"/>
      <c r="X405" s="167"/>
    </row>
    <row r="406" spans="8:24" s="220" customFormat="1" ht="12" hidden="1" customHeight="1">
      <c r="H406" s="198" t="s">
        <v>6924</v>
      </c>
      <c r="I406" s="199" t="s">
        <v>4113</v>
      </c>
      <c r="J406" s="199" t="s">
        <v>6925</v>
      </c>
      <c r="K406" s="198" t="s">
        <v>6927</v>
      </c>
      <c r="L406" s="200" t="s">
        <v>92</v>
      </c>
      <c r="M406" s="169"/>
      <c r="N406" s="201">
        <v>750</v>
      </c>
      <c r="O406" s="169">
        <f t="shared" si="20"/>
        <v>0</v>
      </c>
      <c r="P406" s="201">
        <v>53993</v>
      </c>
      <c r="Q406" s="166">
        <f t="shared" si="21"/>
        <v>0</v>
      </c>
      <c r="R406" s="169"/>
      <c r="S406" s="169"/>
      <c r="T406" s="169"/>
      <c r="U406" s="169"/>
      <c r="V406" s="166">
        <f t="shared" si="22"/>
        <v>0</v>
      </c>
      <c r="W406" s="205"/>
      <c r="X406" s="167"/>
    </row>
    <row r="407" spans="8:24" s="220" customFormat="1" ht="12" hidden="1" customHeight="1">
      <c r="H407" s="162" t="s">
        <v>195</v>
      </c>
      <c r="I407" s="163" t="s">
        <v>997</v>
      </c>
      <c r="J407" s="163" t="s">
        <v>1581</v>
      </c>
      <c r="K407" s="162" t="s">
        <v>1582</v>
      </c>
      <c r="L407" s="164" t="s">
        <v>92</v>
      </c>
      <c r="M407" s="169"/>
      <c r="N407" s="165">
        <v>2690</v>
      </c>
      <c r="O407" s="169">
        <f t="shared" si="20"/>
        <v>0</v>
      </c>
      <c r="P407" s="165">
        <v>45894</v>
      </c>
      <c r="Q407" s="166">
        <f t="shared" si="21"/>
        <v>0</v>
      </c>
      <c r="R407" s="169"/>
      <c r="S407" s="169"/>
      <c r="T407" s="169"/>
      <c r="U407" s="169"/>
      <c r="V407" s="166">
        <f t="shared" si="22"/>
        <v>0</v>
      </c>
      <c r="W407" s="205"/>
      <c r="X407" s="167"/>
    </row>
    <row r="408" spans="8:24" s="220" customFormat="1" ht="12" hidden="1" customHeight="1">
      <c r="H408" s="162" t="s">
        <v>196</v>
      </c>
      <c r="I408" s="163" t="s">
        <v>997</v>
      </c>
      <c r="J408" s="163" t="s">
        <v>1581</v>
      </c>
      <c r="K408" s="162" t="s">
        <v>1583</v>
      </c>
      <c r="L408" s="164" t="s">
        <v>92</v>
      </c>
      <c r="M408" s="169"/>
      <c r="N408" s="165">
        <v>3220</v>
      </c>
      <c r="O408" s="169">
        <f t="shared" si="20"/>
        <v>0</v>
      </c>
      <c r="P408" s="165">
        <v>45894</v>
      </c>
      <c r="Q408" s="166">
        <f t="shared" si="21"/>
        <v>0</v>
      </c>
      <c r="R408" s="169"/>
      <c r="S408" s="169"/>
      <c r="T408" s="169"/>
      <c r="U408" s="169"/>
      <c r="V408" s="166">
        <f t="shared" si="22"/>
        <v>0</v>
      </c>
      <c r="W408" s="205"/>
      <c r="X408" s="167"/>
    </row>
    <row r="409" spans="8:24" s="220" customFormat="1" ht="12" hidden="1" customHeight="1">
      <c r="H409" s="162" t="s">
        <v>197</v>
      </c>
      <c r="I409" s="163" t="s">
        <v>997</v>
      </c>
      <c r="J409" s="163" t="s">
        <v>1581</v>
      </c>
      <c r="K409" s="162" t="s">
        <v>1584</v>
      </c>
      <c r="L409" s="164" t="s">
        <v>92</v>
      </c>
      <c r="M409" s="169"/>
      <c r="N409" s="165">
        <v>3520</v>
      </c>
      <c r="O409" s="169">
        <f t="shared" si="20"/>
        <v>0</v>
      </c>
      <c r="P409" s="165">
        <v>45894</v>
      </c>
      <c r="Q409" s="166">
        <f t="shared" si="21"/>
        <v>0</v>
      </c>
      <c r="R409" s="169"/>
      <c r="S409" s="169"/>
      <c r="T409" s="169"/>
      <c r="U409" s="169"/>
      <c r="V409" s="166">
        <f t="shared" si="22"/>
        <v>0</v>
      </c>
      <c r="W409" s="205"/>
      <c r="X409" s="167"/>
    </row>
    <row r="410" spans="8:24" s="220" customFormat="1" ht="12" hidden="1" customHeight="1">
      <c r="H410" s="162" t="s">
        <v>198</v>
      </c>
      <c r="I410" s="163" t="s">
        <v>998</v>
      </c>
      <c r="J410" s="163" t="s">
        <v>1585</v>
      </c>
      <c r="K410" s="162" t="s">
        <v>1586</v>
      </c>
      <c r="L410" s="164" t="s">
        <v>92</v>
      </c>
      <c r="M410" s="169"/>
      <c r="N410" s="165">
        <v>4110</v>
      </c>
      <c r="O410" s="169">
        <f t="shared" si="20"/>
        <v>0</v>
      </c>
      <c r="P410" s="165">
        <v>148482</v>
      </c>
      <c r="Q410" s="166">
        <f t="shared" si="21"/>
        <v>0</v>
      </c>
      <c r="R410" s="169"/>
      <c r="S410" s="169"/>
      <c r="T410" s="169"/>
      <c r="U410" s="169"/>
      <c r="V410" s="166">
        <f t="shared" si="22"/>
        <v>0</v>
      </c>
      <c r="W410" s="205"/>
      <c r="X410" s="167"/>
    </row>
    <row r="411" spans="8:24" s="220" customFormat="1" ht="12" hidden="1" customHeight="1">
      <c r="H411" s="162" t="s">
        <v>199</v>
      </c>
      <c r="I411" s="163" t="s">
        <v>998</v>
      </c>
      <c r="J411" s="163" t="s">
        <v>1585</v>
      </c>
      <c r="K411" s="162" t="s">
        <v>1587</v>
      </c>
      <c r="L411" s="164" t="s">
        <v>92</v>
      </c>
      <c r="M411" s="169"/>
      <c r="N411" s="165">
        <v>4730</v>
      </c>
      <c r="O411" s="169">
        <f t="shared" si="20"/>
        <v>0</v>
      </c>
      <c r="P411" s="165">
        <v>148482</v>
      </c>
      <c r="Q411" s="166">
        <f t="shared" si="21"/>
        <v>0</v>
      </c>
      <c r="R411" s="169"/>
      <c r="S411" s="169"/>
      <c r="T411" s="169"/>
      <c r="U411" s="169"/>
      <c r="V411" s="166">
        <f t="shared" si="22"/>
        <v>0</v>
      </c>
      <c r="W411" s="205"/>
      <c r="X411" s="167"/>
    </row>
    <row r="412" spans="8:24" s="220" customFormat="1" ht="12" hidden="1" customHeight="1">
      <c r="H412" s="162" t="s">
        <v>200</v>
      </c>
      <c r="I412" s="163" t="s">
        <v>998</v>
      </c>
      <c r="J412" s="163" t="s">
        <v>1585</v>
      </c>
      <c r="K412" s="162" t="s">
        <v>1588</v>
      </c>
      <c r="L412" s="164" t="s">
        <v>92</v>
      </c>
      <c r="M412" s="169"/>
      <c r="N412" s="165">
        <v>5600</v>
      </c>
      <c r="O412" s="169">
        <f t="shared" si="20"/>
        <v>0</v>
      </c>
      <c r="P412" s="165">
        <v>148482</v>
      </c>
      <c r="Q412" s="166">
        <f t="shared" si="21"/>
        <v>0</v>
      </c>
      <c r="R412" s="169"/>
      <c r="S412" s="169"/>
      <c r="T412" s="169"/>
      <c r="U412" s="169"/>
      <c r="V412" s="166">
        <f t="shared" si="22"/>
        <v>0</v>
      </c>
      <c r="W412" s="205"/>
      <c r="X412" s="167"/>
    </row>
    <row r="413" spans="8:24" s="220" customFormat="1" ht="12" hidden="1" customHeight="1">
      <c r="H413" s="162" t="s">
        <v>201</v>
      </c>
      <c r="I413" s="163" t="s">
        <v>998</v>
      </c>
      <c r="J413" s="163" t="s">
        <v>1585</v>
      </c>
      <c r="K413" s="162" t="s">
        <v>1589</v>
      </c>
      <c r="L413" s="164" t="s">
        <v>92</v>
      </c>
      <c r="M413" s="169"/>
      <c r="N413" s="165">
        <v>7930</v>
      </c>
      <c r="O413" s="169">
        <f t="shared" si="20"/>
        <v>0</v>
      </c>
      <c r="P413" s="165">
        <v>148482</v>
      </c>
      <c r="Q413" s="166">
        <f t="shared" si="21"/>
        <v>0</v>
      </c>
      <c r="R413" s="169"/>
      <c r="S413" s="169"/>
      <c r="T413" s="169"/>
      <c r="U413" s="169"/>
      <c r="V413" s="166">
        <f t="shared" si="22"/>
        <v>0</v>
      </c>
      <c r="W413" s="205"/>
      <c r="X413" s="167"/>
    </row>
    <row r="414" spans="8:24" s="220" customFormat="1" ht="12" hidden="1" customHeight="1">
      <c r="H414" s="162" t="s">
        <v>202</v>
      </c>
      <c r="I414" s="163" t="s">
        <v>998</v>
      </c>
      <c r="J414" s="163" t="s">
        <v>1585</v>
      </c>
      <c r="K414" s="162" t="s">
        <v>1590</v>
      </c>
      <c r="L414" s="164" t="s">
        <v>92</v>
      </c>
      <c r="M414" s="169"/>
      <c r="N414" s="165">
        <v>9030</v>
      </c>
      <c r="O414" s="169">
        <f t="shared" si="20"/>
        <v>0</v>
      </c>
      <c r="P414" s="165">
        <v>148482</v>
      </c>
      <c r="Q414" s="166">
        <f t="shared" si="21"/>
        <v>0</v>
      </c>
      <c r="R414" s="169"/>
      <c r="S414" s="169"/>
      <c r="T414" s="169"/>
      <c r="U414" s="169"/>
      <c r="V414" s="166">
        <f t="shared" si="22"/>
        <v>0</v>
      </c>
      <c r="W414" s="205"/>
      <c r="X414" s="167"/>
    </row>
    <row r="415" spans="8:24" s="220" customFormat="1" ht="12" hidden="1" customHeight="1">
      <c r="H415" s="162" t="s">
        <v>203</v>
      </c>
      <c r="I415" s="163" t="s">
        <v>998</v>
      </c>
      <c r="J415" s="163" t="s">
        <v>1585</v>
      </c>
      <c r="K415" s="162" t="s">
        <v>1591</v>
      </c>
      <c r="L415" s="164" t="s">
        <v>92</v>
      </c>
      <c r="M415" s="169"/>
      <c r="N415" s="165">
        <v>10100</v>
      </c>
      <c r="O415" s="169">
        <f t="shared" si="20"/>
        <v>0</v>
      </c>
      <c r="P415" s="165">
        <v>148482</v>
      </c>
      <c r="Q415" s="166">
        <f t="shared" si="21"/>
        <v>0</v>
      </c>
      <c r="R415" s="169"/>
      <c r="S415" s="169"/>
      <c r="T415" s="169"/>
      <c r="U415" s="169"/>
      <c r="V415" s="166">
        <f t="shared" si="22"/>
        <v>0</v>
      </c>
      <c r="W415" s="205"/>
      <c r="X415" s="167"/>
    </row>
    <row r="416" spans="8:24" s="220" customFormat="1" ht="12" hidden="1" customHeight="1">
      <c r="H416" s="162" t="s">
        <v>204</v>
      </c>
      <c r="I416" s="163" t="s">
        <v>999</v>
      </c>
      <c r="J416" s="163" t="s">
        <v>1592</v>
      </c>
      <c r="K416" s="162" t="s">
        <v>1593</v>
      </c>
      <c r="L416" s="164" t="s">
        <v>92</v>
      </c>
      <c r="M416" s="169"/>
      <c r="N416" s="165">
        <v>11800</v>
      </c>
      <c r="O416" s="169">
        <f t="shared" si="20"/>
        <v>0</v>
      </c>
      <c r="P416" s="165">
        <v>178178</v>
      </c>
      <c r="Q416" s="166">
        <f t="shared" si="21"/>
        <v>0</v>
      </c>
      <c r="R416" s="169"/>
      <c r="S416" s="169"/>
      <c r="T416" s="169"/>
      <c r="U416" s="169"/>
      <c r="V416" s="166">
        <f t="shared" si="22"/>
        <v>0</v>
      </c>
      <c r="W416" s="205"/>
      <c r="X416" s="167"/>
    </row>
    <row r="417" spans="8:24" s="220" customFormat="1" ht="12" hidden="1" customHeight="1">
      <c r="H417" s="162" t="s">
        <v>205</v>
      </c>
      <c r="I417" s="163" t="s">
        <v>999</v>
      </c>
      <c r="J417" s="163" t="s">
        <v>1592</v>
      </c>
      <c r="K417" s="162" t="s">
        <v>1594</v>
      </c>
      <c r="L417" s="164" t="s">
        <v>92</v>
      </c>
      <c r="M417" s="169"/>
      <c r="N417" s="165">
        <v>13500</v>
      </c>
      <c r="O417" s="169">
        <f t="shared" si="20"/>
        <v>0</v>
      </c>
      <c r="P417" s="165">
        <v>178178</v>
      </c>
      <c r="Q417" s="166">
        <f t="shared" si="21"/>
        <v>0</v>
      </c>
      <c r="R417" s="169"/>
      <c r="S417" s="169"/>
      <c r="T417" s="169"/>
      <c r="U417" s="169"/>
      <c r="V417" s="166">
        <f t="shared" si="22"/>
        <v>0</v>
      </c>
      <c r="W417" s="205"/>
      <c r="X417" s="167"/>
    </row>
    <row r="418" spans="8:24" s="220" customFormat="1" ht="12" hidden="1" customHeight="1">
      <c r="H418" s="162" t="s">
        <v>206</v>
      </c>
      <c r="I418" s="163" t="s">
        <v>999</v>
      </c>
      <c r="J418" s="163" t="s">
        <v>1592</v>
      </c>
      <c r="K418" s="162" t="s">
        <v>1595</v>
      </c>
      <c r="L418" s="164" t="s">
        <v>92</v>
      </c>
      <c r="M418" s="169"/>
      <c r="N418" s="165">
        <v>16900</v>
      </c>
      <c r="O418" s="169">
        <f t="shared" si="20"/>
        <v>0</v>
      </c>
      <c r="P418" s="165">
        <v>178178</v>
      </c>
      <c r="Q418" s="166">
        <f t="shared" si="21"/>
        <v>0</v>
      </c>
      <c r="R418" s="169"/>
      <c r="S418" s="169"/>
      <c r="T418" s="169"/>
      <c r="U418" s="169"/>
      <c r="V418" s="166">
        <f t="shared" si="22"/>
        <v>0</v>
      </c>
      <c r="W418" s="205"/>
      <c r="X418" s="167"/>
    </row>
    <row r="419" spans="8:24" s="220" customFormat="1" ht="12" hidden="1" customHeight="1">
      <c r="H419" s="162" t="s">
        <v>207</v>
      </c>
      <c r="I419" s="163" t="s">
        <v>999</v>
      </c>
      <c r="J419" s="163" t="s">
        <v>1592</v>
      </c>
      <c r="K419" s="162" t="s">
        <v>1596</v>
      </c>
      <c r="L419" s="164" t="s">
        <v>92</v>
      </c>
      <c r="M419" s="169"/>
      <c r="N419" s="165">
        <v>20100</v>
      </c>
      <c r="O419" s="169">
        <f t="shared" si="20"/>
        <v>0</v>
      </c>
      <c r="P419" s="165">
        <v>178178</v>
      </c>
      <c r="Q419" s="166">
        <f t="shared" si="21"/>
        <v>0</v>
      </c>
      <c r="R419" s="169"/>
      <c r="S419" s="169"/>
      <c r="T419" s="169"/>
      <c r="U419" s="169"/>
      <c r="V419" s="166">
        <f t="shared" si="22"/>
        <v>0</v>
      </c>
      <c r="W419" s="205"/>
      <c r="X419" s="167"/>
    </row>
    <row r="420" spans="8:24" s="220" customFormat="1" ht="12" hidden="1" customHeight="1">
      <c r="H420" s="162" t="s">
        <v>208</v>
      </c>
      <c r="I420" s="163" t="s">
        <v>999</v>
      </c>
      <c r="J420" s="163" t="s">
        <v>1592</v>
      </c>
      <c r="K420" s="162" t="s">
        <v>1597</v>
      </c>
      <c r="L420" s="164" t="s">
        <v>92</v>
      </c>
      <c r="M420" s="169"/>
      <c r="N420" s="165">
        <v>24700</v>
      </c>
      <c r="O420" s="169">
        <f t="shared" si="20"/>
        <v>0</v>
      </c>
      <c r="P420" s="165">
        <v>178178</v>
      </c>
      <c r="Q420" s="166">
        <f t="shared" si="21"/>
        <v>0</v>
      </c>
      <c r="R420" s="169"/>
      <c r="S420" s="169"/>
      <c r="T420" s="169"/>
      <c r="U420" s="169"/>
      <c r="V420" s="166">
        <f t="shared" si="22"/>
        <v>0</v>
      </c>
      <c r="W420" s="205"/>
      <c r="X420" s="167"/>
    </row>
    <row r="421" spans="8:24" s="220" customFormat="1" ht="12" hidden="1" customHeight="1">
      <c r="H421" s="162" t="s">
        <v>209</v>
      </c>
      <c r="I421" s="163" t="s">
        <v>1000</v>
      </c>
      <c r="J421" s="163" t="s">
        <v>1598</v>
      </c>
      <c r="K421" s="162" t="s">
        <v>1599</v>
      </c>
      <c r="L421" s="164" t="s">
        <v>92</v>
      </c>
      <c r="M421" s="169"/>
      <c r="N421" s="165">
        <v>34200</v>
      </c>
      <c r="O421" s="169">
        <f t="shared" si="20"/>
        <v>0</v>
      </c>
      <c r="P421" s="165">
        <v>256469</v>
      </c>
      <c r="Q421" s="166">
        <f t="shared" si="21"/>
        <v>0</v>
      </c>
      <c r="R421" s="169"/>
      <c r="S421" s="169"/>
      <c r="T421" s="169"/>
      <c r="U421" s="169"/>
      <c r="V421" s="166">
        <f t="shared" si="22"/>
        <v>0</v>
      </c>
      <c r="W421" s="205"/>
      <c r="X421" s="167"/>
    </row>
    <row r="422" spans="8:24" s="220" customFormat="1" ht="12" hidden="1" customHeight="1">
      <c r="H422" s="162" t="s">
        <v>210</v>
      </c>
      <c r="I422" s="163" t="s">
        <v>1000</v>
      </c>
      <c r="J422" s="163" t="s">
        <v>1598</v>
      </c>
      <c r="K422" s="162" t="s">
        <v>1600</v>
      </c>
      <c r="L422" s="164" t="s">
        <v>92</v>
      </c>
      <c r="M422" s="169"/>
      <c r="N422" s="165">
        <v>40100</v>
      </c>
      <c r="O422" s="169">
        <f t="shared" si="20"/>
        <v>0</v>
      </c>
      <c r="P422" s="165">
        <v>256469</v>
      </c>
      <c r="Q422" s="166">
        <f t="shared" si="21"/>
        <v>0</v>
      </c>
      <c r="R422" s="169"/>
      <c r="S422" s="169"/>
      <c r="T422" s="169"/>
      <c r="U422" s="169"/>
      <c r="V422" s="166">
        <f t="shared" si="22"/>
        <v>0</v>
      </c>
      <c r="W422" s="205"/>
      <c r="X422" s="167"/>
    </row>
    <row r="423" spans="8:24" s="220" customFormat="1" ht="12" hidden="1" customHeight="1">
      <c r="H423" s="162" t="s">
        <v>211</v>
      </c>
      <c r="I423" s="163" t="s">
        <v>1000</v>
      </c>
      <c r="J423" s="163" t="s">
        <v>1598</v>
      </c>
      <c r="K423" s="162" t="s">
        <v>1601</v>
      </c>
      <c r="L423" s="164" t="s">
        <v>92</v>
      </c>
      <c r="M423" s="169"/>
      <c r="N423" s="165">
        <v>55900</v>
      </c>
      <c r="O423" s="169">
        <f t="shared" si="20"/>
        <v>0</v>
      </c>
      <c r="P423" s="165">
        <v>256469</v>
      </c>
      <c r="Q423" s="166">
        <f t="shared" si="21"/>
        <v>0</v>
      </c>
      <c r="R423" s="169"/>
      <c r="S423" s="169"/>
      <c r="T423" s="169"/>
      <c r="U423" s="169"/>
      <c r="V423" s="166">
        <f t="shared" si="22"/>
        <v>0</v>
      </c>
      <c r="W423" s="205"/>
      <c r="X423" s="167"/>
    </row>
    <row r="424" spans="8:24" s="220" customFormat="1" ht="12" hidden="1" customHeight="1">
      <c r="H424" s="162" t="s">
        <v>212</v>
      </c>
      <c r="I424" s="163" t="s">
        <v>1000</v>
      </c>
      <c r="J424" s="163" t="s">
        <v>1598</v>
      </c>
      <c r="K424" s="162" t="s">
        <v>1602</v>
      </c>
      <c r="L424" s="164" t="s">
        <v>92</v>
      </c>
      <c r="M424" s="169"/>
      <c r="N424" s="165">
        <v>63700</v>
      </c>
      <c r="O424" s="169">
        <f t="shared" si="20"/>
        <v>0</v>
      </c>
      <c r="P424" s="165">
        <v>256469</v>
      </c>
      <c r="Q424" s="166">
        <f t="shared" si="21"/>
        <v>0</v>
      </c>
      <c r="R424" s="169"/>
      <c r="S424" s="169"/>
      <c r="T424" s="169"/>
      <c r="U424" s="169"/>
      <c r="V424" s="166">
        <f t="shared" si="22"/>
        <v>0</v>
      </c>
      <c r="W424" s="205"/>
      <c r="X424" s="167"/>
    </row>
    <row r="425" spans="8:24" s="220" customFormat="1" ht="12" hidden="1" customHeight="1">
      <c r="H425" s="162" t="s">
        <v>1304</v>
      </c>
      <c r="I425" s="163" t="s">
        <v>1198</v>
      </c>
      <c r="J425" s="163" t="s">
        <v>2273</v>
      </c>
      <c r="K425" s="162" t="s">
        <v>1582</v>
      </c>
      <c r="L425" s="164" t="s">
        <v>92</v>
      </c>
      <c r="M425" s="169"/>
      <c r="N425" s="165">
        <v>2690</v>
      </c>
      <c r="O425" s="169">
        <f t="shared" si="20"/>
        <v>0</v>
      </c>
      <c r="P425" s="165">
        <v>10798</v>
      </c>
      <c r="Q425" s="166">
        <f t="shared" si="21"/>
        <v>0</v>
      </c>
      <c r="R425" s="169"/>
      <c r="S425" s="169"/>
      <c r="T425" s="169"/>
      <c r="U425" s="169"/>
      <c r="V425" s="166">
        <f t="shared" si="22"/>
        <v>0</v>
      </c>
      <c r="W425" s="205"/>
      <c r="X425" s="167"/>
    </row>
    <row r="426" spans="8:24" s="220" customFormat="1" ht="12" hidden="1" customHeight="1">
      <c r="H426" s="162" t="s">
        <v>1305</v>
      </c>
      <c r="I426" s="163" t="s">
        <v>1198</v>
      </c>
      <c r="J426" s="163" t="s">
        <v>2273</v>
      </c>
      <c r="K426" s="162" t="s">
        <v>1583</v>
      </c>
      <c r="L426" s="164" t="s">
        <v>92</v>
      </c>
      <c r="M426" s="169"/>
      <c r="N426" s="165">
        <v>3220</v>
      </c>
      <c r="O426" s="169">
        <f t="shared" si="20"/>
        <v>0</v>
      </c>
      <c r="P426" s="165">
        <v>10798</v>
      </c>
      <c r="Q426" s="166">
        <f t="shared" si="21"/>
        <v>0</v>
      </c>
      <c r="R426" s="169"/>
      <c r="S426" s="169"/>
      <c r="T426" s="169"/>
      <c r="U426" s="169"/>
      <c r="V426" s="166">
        <f t="shared" si="22"/>
        <v>0</v>
      </c>
      <c r="W426" s="205"/>
      <c r="X426" s="167"/>
    </row>
    <row r="427" spans="8:24" s="220" customFormat="1" ht="12" hidden="1" customHeight="1">
      <c r="H427" s="162" t="s">
        <v>1306</v>
      </c>
      <c r="I427" s="163" t="s">
        <v>1198</v>
      </c>
      <c r="J427" s="163" t="s">
        <v>2273</v>
      </c>
      <c r="K427" s="162" t="s">
        <v>1584</v>
      </c>
      <c r="L427" s="164" t="s">
        <v>92</v>
      </c>
      <c r="M427" s="169"/>
      <c r="N427" s="165">
        <v>3520</v>
      </c>
      <c r="O427" s="169">
        <f t="shared" si="20"/>
        <v>0</v>
      </c>
      <c r="P427" s="165">
        <v>10798</v>
      </c>
      <c r="Q427" s="166">
        <f t="shared" si="21"/>
        <v>0</v>
      </c>
      <c r="R427" s="169"/>
      <c r="S427" s="169"/>
      <c r="T427" s="169"/>
      <c r="U427" s="169"/>
      <c r="V427" s="166">
        <f t="shared" si="22"/>
        <v>0</v>
      </c>
      <c r="W427" s="205"/>
      <c r="X427" s="167"/>
    </row>
    <row r="428" spans="8:24" s="220" customFormat="1" ht="12" hidden="1" customHeight="1">
      <c r="H428" s="162" t="s">
        <v>1307</v>
      </c>
      <c r="I428" s="163" t="s">
        <v>1199</v>
      </c>
      <c r="J428" s="163" t="s">
        <v>2274</v>
      </c>
      <c r="K428" s="162" t="s">
        <v>2158</v>
      </c>
      <c r="L428" s="164" t="s">
        <v>92</v>
      </c>
      <c r="M428" s="169"/>
      <c r="N428" s="165">
        <v>3360</v>
      </c>
      <c r="O428" s="169">
        <f t="shared" si="20"/>
        <v>0</v>
      </c>
      <c r="P428" s="165">
        <v>59392</v>
      </c>
      <c r="Q428" s="166">
        <f t="shared" si="21"/>
        <v>0</v>
      </c>
      <c r="R428" s="169"/>
      <c r="S428" s="169"/>
      <c r="T428" s="169"/>
      <c r="U428" s="169"/>
      <c r="V428" s="166">
        <f t="shared" si="22"/>
        <v>0</v>
      </c>
      <c r="W428" s="205"/>
      <c r="X428" s="167"/>
    </row>
    <row r="429" spans="8:24" s="220" customFormat="1" ht="12" hidden="1" customHeight="1">
      <c r="H429" s="162" t="s">
        <v>1308</v>
      </c>
      <c r="I429" s="163" t="s">
        <v>1199</v>
      </c>
      <c r="J429" s="163" t="s">
        <v>2274</v>
      </c>
      <c r="K429" s="162" t="s">
        <v>1586</v>
      </c>
      <c r="L429" s="164" t="s">
        <v>92</v>
      </c>
      <c r="M429" s="169"/>
      <c r="N429" s="165">
        <v>4110</v>
      </c>
      <c r="O429" s="169">
        <f t="shared" si="20"/>
        <v>0</v>
      </c>
      <c r="P429" s="165">
        <v>59392</v>
      </c>
      <c r="Q429" s="166">
        <f t="shared" si="21"/>
        <v>0</v>
      </c>
      <c r="R429" s="169"/>
      <c r="S429" s="169"/>
      <c r="T429" s="169"/>
      <c r="U429" s="169"/>
      <c r="V429" s="166">
        <f t="shared" si="22"/>
        <v>0</v>
      </c>
      <c r="W429" s="205"/>
      <c r="X429" s="167"/>
    </row>
    <row r="430" spans="8:24" s="220" customFormat="1" ht="12" hidden="1" customHeight="1">
      <c r="H430" s="162" t="s">
        <v>1309</v>
      </c>
      <c r="I430" s="163" t="s">
        <v>1199</v>
      </c>
      <c r="J430" s="163" t="s">
        <v>2274</v>
      </c>
      <c r="K430" s="162" t="s">
        <v>1587</v>
      </c>
      <c r="L430" s="164" t="s">
        <v>92</v>
      </c>
      <c r="M430" s="169"/>
      <c r="N430" s="165">
        <v>4730</v>
      </c>
      <c r="O430" s="169">
        <f t="shared" si="20"/>
        <v>0</v>
      </c>
      <c r="P430" s="165">
        <v>59392</v>
      </c>
      <c r="Q430" s="166">
        <f t="shared" si="21"/>
        <v>0</v>
      </c>
      <c r="R430" s="169"/>
      <c r="S430" s="169"/>
      <c r="T430" s="169"/>
      <c r="U430" s="169"/>
      <c r="V430" s="166">
        <f t="shared" si="22"/>
        <v>0</v>
      </c>
      <c r="W430" s="205"/>
      <c r="X430" s="167"/>
    </row>
    <row r="431" spans="8:24" s="220" customFormat="1" ht="12" hidden="1" customHeight="1">
      <c r="H431" s="162" t="s">
        <v>1310</v>
      </c>
      <c r="I431" s="163" t="s">
        <v>1199</v>
      </c>
      <c r="J431" s="163" t="s">
        <v>2274</v>
      </c>
      <c r="K431" s="162" t="s">
        <v>2159</v>
      </c>
      <c r="L431" s="164" t="s">
        <v>92</v>
      </c>
      <c r="M431" s="169"/>
      <c r="N431" s="165">
        <v>7100</v>
      </c>
      <c r="O431" s="169">
        <f t="shared" si="20"/>
        <v>0</v>
      </c>
      <c r="P431" s="165">
        <v>59392</v>
      </c>
      <c r="Q431" s="166">
        <f t="shared" si="21"/>
        <v>0</v>
      </c>
      <c r="R431" s="169"/>
      <c r="S431" s="169"/>
      <c r="T431" s="169"/>
      <c r="U431" s="169"/>
      <c r="V431" s="166">
        <f t="shared" si="22"/>
        <v>0</v>
      </c>
      <c r="W431" s="205"/>
      <c r="X431" s="167"/>
    </row>
    <row r="432" spans="8:24" s="220" customFormat="1" ht="12" hidden="1" customHeight="1">
      <c r="H432" s="162" t="s">
        <v>1311</v>
      </c>
      <c r="I432" s="163" t="s">
        <v>1199</v>
      </c>
      <c r="J432" s="163" t="s">
        <v>2274</v>
      </c>
      <c r="K432" s="162" t="s">
        <v>1589</v>
      </c>
      <c r="L432" s="164" t="s">
        <v>92</v>
      </c>
      <c r="M432" s="169"/>
      <c r="N432" s="165">
        <v>7930</v>
      </c>
      <c r="O432" s="169">
        <f t="shared" si="20"/>
        <v>0</v>
      </c>
      <c r="P432" s="165">
        <v>59392</v>
      </c>
      <c r="Q432" s="166">
        <f t="shared" si="21"/>
        <v>0</v>
      </c>
      <c r="R432" s="169"/>
      <c r="S432" s="169"/>
      <c r="T432" s="169"/>
      <c r="U432" s="169"/>
      <c r="V432" s="166">
        <f t="shared" si="22"/>
        <v>0</v>
      </c>
      <c r="W432" s="205"/>
      <c r="X432" s="167"/>
    </row>
    <row r="433" spans="8:24" s="220" customFormat="1" ht="12" hidden="1" customHeight="1">
      <c r="H433" s="162" t="s">
        <v>1312</v>
      </c>
      <c r="I433" s="163" t="s">
        <v>1199</v>
      </c>
      <c r="J433" s="163" t="s">
        <v>2274</v>
      </c>
      <c r="K433" s="162" t="s">
        <v>1590</v>
      </c>
      <c r="L433" s="164" t="s">
        <v>92</v>
      </c>
      <c r="M433" s="169"/>
      <c r="N433" s="165">
        <v>9030</v>
      </c>
      <c r="O433" s="169">
        <f t="shared" si="20"/>
        <v>0</v>
      </c>
      <c r="P433" s="165">
        <v>59392</v>
      </c>
      <c r="Q433" s="166">
        <f t="shared" si="21"/>
        <v>0</v>
      </c>
      <c r="R433" s="169"/>
      <c r="S433" s="169"/>
      <c r="T433" s="169"/>
      <c r="U433" s="169"/>
      <c r="V433" s="166">
        <f t="shared" si="22"/>
        <v>0</v>
      </c>
      <c r="W433" s="205"/>
      <c r="X433" s="167"/>
    </row>
    <row r="434" spans="8:24" s="220" customFormat="1" ht="12" hidden="1" customHeight="1">
      <c r="H434" s="162" t="s">
        <v>1313</v>
      </c>
      <c r="I434" s="163" t="s">
        <v>1200</v>
      </c>
      <c r="J434" s="163" t="s">
        <v>2275</v>
      </c>
      <c r="K434" s="162" t="s">
        <v>2160</v>
      </c>
      <c r="L434" s="164" t="s">
        <v>92</v>
      </c>
      <c r="M434" s="169"/>
      <c r="N434" s="165">
        <v>9970</v>
      </c>
      <c r="O434" s="169">
        <f t="shared" ref="O434:O497" si="23">M434*N434*$O$3</f>
        <v>0</v>
      </c>
      <c r="P434" s="165">
        <v>94488</v>
      </c>
      <c r="Q434" s="166">
        <f t="shared" si="21"/>
        <v>0</v>
      </c>
      <c r="R434" s="169"/>
      <c r="S434" s="169"/>
      <c r="T434" s="169"/>
      <c r="U434" s="169"/>
      <c r="V434" s="166">
        <f t="shared" si="22"/>
        <v>0</v>
      </c>
      <c r="W434" s="205"/>
      <c r="X434" s="167"/>
    </row>
    <row r="435" spans="8:24" s="220" customFormat="1" ht="12" hidden="1" customHeight="1">
      <c r="H435" s="162" t="s">
        <v>1314</v>
      </c>
      <c r="I435" s="163" t="s">
        <v>1200</v>
      </c>
      <c r="J435" s="163" t="s">
        <v>2275</v>
      </c>
      <c r="K435" s="162" t="s">
        <v>1593</v>
      </c>
      <c r="L435" s="164" t="s">
        <v>92</v>
      </c>
      <c r="M435" s="169"/>
      <c r="N435" s="165">
        <v>11800</v>
      </c>
      <c r="O435" s="169">
        <f t="shared" si="23"/>
        <v>0</v>
      </c>
      <c r="P435" s="165">
        <v>94488</v>
      </c>
      <c r="Q435" s="166">
        <f t="shared" si="21"/>
        <v>0</v>
      </c>
      <c r="R435" s="169"/>
      <c r="S435" s="169"/>
      <c r="T435" s="169"/>
      <c r="U435" s="169"/>
      <c r="V435" s="166">
        <f t="shared" si="22"/>
        <v>0</v>
      </c>
      <c r="W435" s="205"/>
      <c r="X435" s="167"/>
    </row>
    <row r="436" spans="8:24" s="220" customFormat="1" ht="12" hidden="1" customHeight="1">
      <c r="H436" s="162" t="s">
        <v>1315</v>
      </c>
      <c r="I436" s="163" t="s">
        <v>1200</v>
      </c>
      <c r="J436" s="163" t="s">
        <v>2275</v>
      </c>
      <c r="K436" s="162" t="s">
        <v>1594</v>
      </c>
      <c r="L436" s="164" t="s">
        <v>92</v>
      </c>
      <c r="M436" s="169"/>
      <c r="N436" s="165">
        <v>13500</v>
      </c>
      <c r="O436" s="169">
        <f t="shared" si="23"/>
        <v>0</v>
      </c>
      <c r="P436" s="165">
        <v>94488</v>
      </c>
      <c r="Q436" s="166">
        <f t="shared" si="21"/>
        <v>0</v>
      </c>
      <c r="R436" s="169"/>
      <c r="S436" s="169"/>
      <c r="T436" s="169"/>
      <c r="U436" s="169"/>
      <c r="V436" s="166">
        <f t="shared" si="22"/>
        <v>0</v>
      </c>
      <c r="W436" s="205"/>
      <c r="X436" s="167"/>
    </row>
    <row r="437" spans="8:24" s="220" customFormat="1" ht="12" hidden="1" customHeight="1">
      <c r="H437" s="162" t="s">
        <v>179</v>
      </c>
      <c r="I437" s="163" t="s">
        <v>995</v>
      </c>
      <c r="J437" s="163" t="s">
        <v>1566</v>
      </c>
      <c r="K437" s="162" t="s">
        <v>1567</v>
      </c>
      <c r="L437" s="164" t="s">
        <v>92</v>
      </c>
      <c r="M437" s="169"/>
      <c r="N437" s="165">
        <v>600</v>
      </c>
      <c r="O437" s="169">
        <f t="shared" si="23"/>
        <v>0</v>
      </c>
      <c r="P437" s="165">
        <v>53993</v>
      </c>
      <c r="Q437" s="166">
        <f t="shared" si="21"/>
        <v>0</v>
      </c>
      <c r="R437" s="169"/>
      <c r="S437" s="169"/>
      <c r="T437" s="169"/>
      <c r="U437" s="169"/>
      <c r="V437" s="166">
        <f t="shared" si="22"/>
        <v>0</v>
      </c>
      <c r="W437" s="205"/>
      <c r="X437" s="167"/>
    </row>
    <row r="438" spans="8:24" s="220" customFormat="1" ht="12" hidden="1" customHeight="1">
      <c r="H438" s="162" t="s">
        <v>180</v>
      </c>
      <c r="I438" s="163" t="s">
        <v>995</v>
      </c>
      <c r="J438" s="163" t="s">
        <v>1566</v>
      </c>
      <c r="K438" s="162" t="s">
        <v>1568</v>
      </c>
      <c r="L438" s="164" t="s">
        <v>92</v>
      </c>
      <c r="M438" s="169"/>
      <c r="N438" s="165">
        <v>600</v>
      </c>
      <c r="O438" s="169">
        <f t="shared" si="23"/>
        <v>0</v>
      </c>
      <c r="P438" s="165">
        <v>53993</v>
      </c>
      <c r="Q438" s="166">
        <f t="shared" si="21"/>
        <v>0</v>
      </c>
      <c r="R438" s="169"/>
      <c r="S438" s="169"/>
      <c r="T438" s="169"/>
      <c r="U438" s="169"/>
      <c r="V438" s="166">
        <f t="shared" si="22"/>
        <v>0</v>
      </c>
      <c r="W438" s="205"/>
      <c r="X438" s="167"/>
    </row>
    <row r="439" spans="8:24" s="220" customFormat="1" ht="12" hidden="1" customHeight="1">
      <c r="H439" s="162" t="s">
        <v>181</v>
      </c>
      <c r="I439" s="163" t="s">
        <v>995</v>
      </c>
      <c r="J439" s="163" t="s">
        <v>1566</v>
      </c>
      <c r="K439" s="162" t="s">
        <v>1569</v>
      </c>
      <c r="L439" s="164" t="s">
        <v>92</v>
      </c>
      <c r="M439" s="169"/>
      <c r="N439" s="165">
        <v>1520</v>
      </c>
      <c r="O439" s="169">
        <f t="shared" si="23"/>
        <v>0</v>
      </c>
      <c r="P439" s="165">
        <v>53993</v>
      </c>
      <c r="Q439" s="166">
        <f t="shared" si="21"/>
        <v>0</v>
      </c>
      <c r="R439" s="169"/>
      <c r="S439" s="169"/>
      <c r="T439" s="169"/>
      <c r="U439" s="169"/>
      <c r="V439" s="166">
        <f t="shared" si="22"/>
        <v>0</v>
      </c>
      <c r="W439" s="205"/>
      <c r="X439" s="167"/>
    </row>
    <row r="440" spans="8:24" s="220" customFormat="1" ht="12" hidden="1" customHeight="1">
      <c r="H440" s="162" t="s">
        <v>182</v>
      </c>
      <c r="I440" s="163" t="s">
        <v>995</v>
      </c>
      <c r="J440" s="163" t="s">
        <v>1566</v>
      </c>
      <c r="K440" s="162" t="s">
        <v>1570</v>
      </c>
      <c r="L440" s="164" t="s">
        <v>92</v>
      </c>
      <c r="M440" s="169"/>
      <c r="N440" s="165">
        <v>900</v>
      </c>
      <c r="O440" s="169">
        <f t="shared" si="23"/>
        <v>0</v>
      </c>
      <c r="P440" s="165">
        <v>53993</v>
      </c>
      <c r="Q440" s="166">
        <f t="shared" si="21"/>
        <v>0</v>
      </c>
      <c r="R440" s="169"/>
      <c r="S440" s="169"/>
      <c r="T440" s="169"/>
      <c r="U440" s="169"/>
      <c r="V440" s="166">
        <f t="shared" si="22"/>
        <v>0</v>
      </c>
      <c r="W440" s="205"/>
      <c r="X440" s="167"/>
    </row>
    <row r="441" spans="8:24" s="220" customFormat="1" ht="12" hidden="1" customHeight="1">
      <c r="H441" s="162" t="s">
        <v>183</v>
      </c>
      <c r="I441" s="163" t="s">
        <v>995</v>
      </c>
      <c r="J441" s="163" t="s">
        <v>1566</v>
      </c>
      <c r="K441" s="162" t="s">
        <v>1571</v>
      </c>
      <c r="L441" s="164" t="s">
        <v>92</v>
      </c>
      <c r="M441" s="169"/>
      <c r="N441" s="165">
        <v>970</v>
      </c>
      <c r="O441" s="169">
        <f t="shared" si="23"/>
        <v>0</v>
      </c>
      <c r="P441" s="165">
        <v>53993</v>
      </c>
      <c r="Q441" s="166">
        <f t="shared" si="21"/>
        <v>0</v>
      </c>
      <c r="R441" s="169"/>
      <c r="S441" s="169"/>
      <c r="T441" s="169"/>
      <c r="U441" s="169"/>
      <c r="V441" s="166">
        <f t="shared" si="22"/>
        <v>0</v>
      </c>
      <c r="W441" s="205"/>
      <c r="X441" s="167"/>
    </row>
    <row r="442" spans="8:24" s="220" customFormat="1" ht="12" hidden="1" customHeight="1">
      <c r="H442" s="162" t="s">
        <v>184</v>
      </c>
      <c r="I442" s="163" t="s">
        <v>995</v>
      </c>
      <c r="J442" s="163" t="s">
        <v>1566</v>
      </c>
      <c r="K442" s="162" t="s">
        <v>1572</v>
      </c>
      <c r="L442" s="164" t="s">
        <v>92</v>
      </c>
      <c r="M442" s="169"/>
      <c r="N442" s="165">
        <v>1710</v>
      </c>
      <c r="O442" s="169">
        <f t="shared" si="23"/>
        <v>0</v>
      </c>
      <c r="P442" s="165">
        <v>53993</v>
      </c>
      <c r="Q442" s="166">
        <f t="shared" si="21"/>
        <v>0</v>
      </c>
      <c r="R442" s="169"/>
      <c r="S442" s="169"/>
      <c r="T442" s="169"/>
      <c r="U442" s="169"/>
      <c r="V442" s="166">
        <f t="shared" si="22"/>
        <v>0</v>
      </c>
      <c r="W442" s="205"/>
      <c r="X442" s="167"/>
    </row>
    <row r="443" spans="8:24" s="220" customFormat="1" ht="12" hidden="1" customHeight="1">
      <c r="H443" s="162" t="s">
        <v>185</v>
      </c>
      <c r="I443" s="163" t="s">
        <v>996</v>
      </c>
      <c r="J443" s="163" t="s">
        <v>1573</v>
      </c>
      <c r="K443" s="162" t="s">
        <v>1574</v>
      </c>
      <c r="L443" s="164" t="s">
        <v>92</v>
      </c>
      <c r="M443" s="169"/>
      <c r="N443" s="165">
        <v>3190</v>
      </c>
      <c r="O443" s="169">
        <f t="shared" si="23"/>
        <v>0</v>
      </c>
      <c r="P443" s="165">
        <v>78290</v>
      </c>
      <c r="Q443" s="166">
        <f t="shared" si="21"/>
        <v>0</v>
      </c>
      <c r="R443" s="169"/>
      <c r="S443" s="169"/>
      <c r="T443" s="169"/>
      <c r="U443" s="169"/>
      <c r="V443" s="166">
        <f t="shared" si="22"/>
        <v>0</v>
      </c>
      <c r="W443" s="205"/>
      <c r="X443" s="167"/>
    </row>
    <row r="444" spans="8:24" s="220" customFormat="1" ht="12" hidden="1" customHeight="1">
      <c r="H444" s="162" t="s">
        <v>186</v>
      </c>
      <c r="I444" s="163" t="s">
        <v>996</v>
      </c>
      <c r="J444" s="163" t="s">
        <v>1573</v>
      </c>
      <c r="K444" s="162" t="s">
        <v>1575</v>
      </c>
      <c r="L444" s="164" t="s">
        <v>92</v>
      </c>
      <c r="M444" s="169"/>
      <c r="N444" s="165">
        <v>3190</v>
      </c>
      <c r="O444" s="169">
        <f t="shared" si="23"/>
        <v>0</v>
      </c>
      <c r="P444" s="165">
        <v>78290</v>
      </c>
      <c r="Q444" s="166">
        <f t="shared" si="21"/>
        <v>0</v>
      </c>
      <c r="R444" s="169"/>
      <c r="S444" s="169"/>
      <c r="T444" s="169"/>
      <c r="U444" s="169"/>
      <c r="V444" s="166">
        <f t="shared" si="22"/>
        <v>0</v>
      </c>
      <c r="W444" s="205"/>
      <c r="X444" s="167"/>
    </row>
    <row r="445" spans="8:24" s="220" customFormat="1" ht="12" hidden="1" customHeight="1">
      <c r="H445" s="162" t="s">
        <v>187</v>
      </c>
      <c r="I445" s="163" t="s">
        <v>996</v>
      </c>
      <c r="J445" s="163" t="s">
        <v>1573</v>
      </c>
      <c r="K445" s="162" t="s">
        <v>1576</v>
      </c>
      <c r="L445" s="164" t="s">
        <v>92</v>
      </c>
      <c r="M445" s="169"/>
      <c r="N445" s="165">
        <v>5600</v>
      </c>
      <c r="O445" s="169">
        <f t="shared" si="23"/>
        <v>0</v>
      </c>
      <c r="P445" s="165">
        <v>78290</v>
      </c>
      <c r="Q445" s="166">
        <f t="shared" si="21"/>
        <v>0</v>
      </c>
      <c r="R445" s="169"/>
      <c r="S445" s="169"/>
      <c r="T445" s="169"/>
      <c r="U445" s="169"/>
      <c r="V445" s="166">
        <f t="shared" si="22"/>
        <v>0</v>
      </c>
      <c r="W445" s="205"/>
      <c r="X445" s="167"/>
    </row>
    <row r="446" spans="8:24" s="220" customFormat="1" ht="12" hidden="1" customHeight="1">
      <c r="H446" s="162" t="s">
        <v>188</v>
      </c>
      <c r="I446" s="163" t="s">
        <v>996</v>
      </c>
      <c r="J446" s="163" t="s">
        <v>1573</v>
      </c>
      <c r="K446" s="162" t="s">
        <v>1577</v>
      </c>
      <c r="L446" s="164" t="s">
        <v>92</v>
      </c>
      <c r="M446" s="169"/>
      <c r="N446" s="165">
        <v>3190</v>
      </c>
      <c r="O446" s="169">
        <f t="shared" si="23"/>
        <v>0</v>
      </c>
      <c r="P446" s="165">
        <v>78290</v>
      </c>
      <c r="Q446" s="166">
        <f t="shared" si="21"/>
        <v>0</v>
      </c>
      <c r="R446" s="169"/>
      <c r="S446" s="169"/>
      <c r="T446" s="169"/>
      <c r="U446" s="169"/>
      <c r="V446" s="166">
        <f t="shared" si="22"/>
        <v>0</v>
      </c>
      <c r="W446" s="205"/>
      <c r="X446" s="167"/>
    </row>
    <row r="447" spans="8:24" s="220" customFormat="1" ht="12" hidden="1" customHeight="1">
      <c r="H447" s="162" t="s">
        <v>189</v>
      </c>
      <c r="I447" s="163" t="s">
        <v>996</v>
      </c>
      <c r="J447" s="163" t="s">
        <v>1573</v>
      </c>
      <c r="K447" s="162" t="s">
        <v>1578</v>
      </c>
      <c r="L447" s="164" t="s">
        <v>92</v>
      </c>
      <c r="M447" s="169"/>
      <c r="N447" s="165">
        <v>3190</v>
      </c>
      <c r="O447" s="169">
        <f t="shared" si="23"/>
        <v>0</v>
      </c>
      <c r="P447" s="165">
        <v>78290</v>
      </c>
      <c r="Q447" s="166">
        <f t="shared" si="21"/>
        <v>0</v>
      </c>
      <c r="R447" s="169"/>
      <c r="S447" s="169"/>
      <c r="T447" s="169"/>
      <c r="U447" s="169"/>
      <c r="V447" s="166">
        <f t="shared" si="22"/>
        <v>0</v>
      </c>
      <c r="W447" s="205"/>
      <c r="X447" s="167"/>
    </row>
    <row r="448" spans="8:24" s="220" customFormat="1" ht="12" hidden="1" customHeight="1">
      <c r="H448" s="162" t="s">
        <v>190</v>
      </c>
      <c r="I448" s="163" t="s">
        <v>996</v>
      </c>
      <c r="J448" s="163" t="s">
        <v>1573</v>
      </c>
      <c r="K448" s="162" t="s">
        <v>1579</v>
      </c>
      <c r="L448" s="164" t="s">
        <v>92</v>
      </c>
      <c r="M448" s="169"/>
      <c r="N448" s="165">
        <v>6380</v>
      </c>
      <c r="O448" s="169">
        <f t="shared" si="23"/>
        <v>0</v>
      </c>
      <c r="P448" s="165">
        <v>78290</v>
      </c>
      <c r="Q448" s="166">
        <f t="shared" si="21"/>
        <v>0</v>
      </c>
      <c r="R448" s="169"/>
      <c r="S448" s="169"/>
      <c r="T448" s="169"/>
      <c r="U448" s="169"/>
      <c r="V448" s="166">
        <f t="shared" si="22"/>
        <v>0</v>
      </c>
      <c r="W448" s="205"/>
      <c r="X448" s="167"/>
    </row>
    <row r="449" spans="8:24" s="220" customFormat="1" ht="12" hidden="1" customHeight="1">
      <c r="H449" s="162" t="s">
        <v>191</v>
      </c>
      <c r="I449" s="163" t="s">
        <v>996</v>
      </c>
      <c r="J449" s="163" t="s">
        <v>1580</v>
      </c>
      <c r="K449" s="162" t="s">
        <v>1574</v>
      </c>
      <c r="L449" s="164" t="s">
        <v>92</v>
      </c>
      <c r="M449" s="169"/>
      <c r="N449" s="165">
        <v>5600</v>
      </c>
      <c r="O449" s="169">
        <f t="shared" si="23"/>
        <v>0</v>
      </c>
      <c r="P449" s="165">
        <v>78290</v>
      </c>
      <c r="Q449" s="166">
        <f t="shared" si="21"/>
        <v>0</v>
      </c>
      <c r="R449" s="169"/>
      <c r="S449" s="169"/>
      <c r="T449" s="169"/>
      <c r="U449" s="169"/>
      <c r="V449" s="166">
        <f t="shared" si="22"/>
        <v>0</v>
      </c>
      <c r="W449" s="205"/>
      <c r="X449" s="167"/>
    </row>
    <row r="450" spans="8:24" s="220" customFormat="1" ht="12" hidden="1" customHeight="1">
      <c r="H450" s="162" t="s">
        <v>192</v>
      </c>
      <c r="I450" s="163" t="s">
        <v>996</v>
      </c>
      <c r="J450" s="163" t="s">
        <v>1580</v>
      </c>
      <c r="K450" s="162" t="s">
        <v>1575</v>
      </c>
      <c r="L450" s="164" t="s">
        <v>92</v>
      </c>
      <c r="M450" s="169"/>
      <c r="N450" s="165">
        <v>4060</v>
      </c>
      <c r="O450" s="169">
        <f t="shared" si="23"/>
        <v>0</v>
      </c>
      <c r="P450" s="165">
        <v>78290</v>
      </c>
      <c r="Q450" s="166">
        <f t="shared" si="21"/>
        <v>0</v>
      </c>
      <c r="R450" s="169"/>
      <c r="S450" s="169"/>
      <c r="T450" s="169"/>
      <c r="U450" s="169"/>
      <c r="V450" s="166">
        <f t="shared" si="22"/>
        <v>0</v>
      </c>
      <c r="W450" s="205"/>
      <c r="X450" s="167"/>
    </row>
    <row r="451" spans="8:24" s="220" customFormat="1" ht="12" hidden="1" customHeight="1">
      <c r="H451" s="162" t="s">
        <v>193</v>
      </c>
      <c r="I451" s="163" t="s">
        <v>996</v>
      </c>
      <c r="J451" s="163" t="s">
        <v>1580</v>
      </c>
      <c r="K451" s="162" t="s">
        <v>1577</v>
      </c>
      <c r="L451" s="164" t="s">
        <v>92</v>
      </c>
      <c r="M451" s="169"/>
      <c r="N451" s="165">
        <v>4060</v>
      </c>
      <c r="O451" s="169">
        <f t="shared" si="23"/>
        <v>0</v>
      </c>
      <c r="P451" s="165">
        <v>78290</v>
      </c>
      <c r="Q451" s="166">
        <f t="shared" si="21"/>
        <v>0</v>
      </c>
      <c r="R451" s="169"/>
      <c r="S451" s="169"/>
      <c r="T451" s="169"/>
      <c r="U451" s="169"/>
      <c r="V451" s="166">
        <f t="shared" si="22"/>
        <v>0</v>
      </c>
      <c r="W451" s="205"/>
      <c r="X451" s="167"/>
    </row>
    <row r="452" spans="8:24" s="220" customFormat="1" ht="12" hidden="1" customHeight="1">
      <c r="H452" s="162" t="s">
        <v>194</v>
      </c>
      <c r="I452" s="163" t="s">
        <v>996</v>
      </c>
      <c r="J452" s="163" t="s">
        <v>1580</v>
      </c>
      <c r="K452" s="162" t="s">
        <v>1578</v>
      </c>
      <c r="L452" s="164" t="s">
        <v>92</v>
      </c>
      <c r="M452" s="169"/>
      <c r="N452" s="165">
        <v>4060</v>
      </c>
      <c r="O452" s="169">
        <f t="shared" si="23"/>
        <v>0</v>
      </c>
      <c r="P452" s="165">
        <v>78290</v>
      </c>
      <c r="Q452" s="166">
        <f t="shared" si="21"/>
        <v>0</v>
      </c>
      <c r="R452" s="169"/>
      <c r="S452" s="169"/>
      <c r="T452" s="169"/>
      <c r="U452" s="169"/>
      <c r="V452" s="166">
        <f t="shared" si="22"/>
        <v>0</v>
      </c>
      <c r="W452" s="205"/>
      <c r="X452" s="167"/>
    </row>
    <row r="453" spans="8:24" s="220" customFormat="1" ht="12" hidden="1" customHeight="1">
      <c r="H453" s="162" t="s">
        <v>558</v>
      </c>
      <c r="I453" s="163" t="s">
        <v>1069</v>
      </c>
      <c r="J453" s="163" t="s">
        <v>1961</v>
      </c>
      <c r="K453" s="162" t="s">
        <v>1962</v>
      </c>
      <c r="L453" s="164" t="s">
        <v>92</v>
      </c>
      <c r="M453" s="169"/>
      <c r="N453" s="165">
        <v>5910</v>
      </c>
      <c r="O453" s="169">
        <f t="shared" si="23"/>
        <v>0</v>
      </c>
      <c r="P453" s="165">
        <v>22947</v>
      </c>
      <c r="Q453" s="166">
        <f t="shared" si="21"/>
        <v>0</v>
      </c>
      <c r="R453" s="169"/>
      <c r="S453" s="169"/>
      <c r="T453" s="169"/>
      <c r="U453" s="169"/>
      <c r="V453" s="166">
        <f t="shared" si="22"/>
        <v>0</v>
      </c>
      <c r="W453" s="205"/>
      <c r="X453" s="167"/>
    </row>
    <row r="454" spans="8:24" s="220" customFormat="1" ht="12" hidden="1" customHeight="1">
      <c r="H454" s="162" t="s">
        <v>559</v>
      </c>
      <c r="I454" s="163" t="s">
        <v>1069</v>
      </c>
      <c r="J454" s="163" t="s">
        <v>1963</v>
      </c>
      <c r="K454" s="162" t="s">
        <v>1962</v>
      </c>
      <c r="L454" s="164" t="s">
        <v>92</v>
      </c>
      <c r="M454" s="169"/>
      <c r="N454" s="165">
        <v>6870</v>
      </c>
      <c r="O454" s="169">
        <f t="shared" si="23"/>
        <v>0</v>
      </c>
      <c r="P454" s="165">
        <v>22947</v>
      </c>
      <c r="Q454" s="166">
        <f t="shared" si="21"/>
        <v>0</v>
      </c>
      <c r="R454" s="169"/>
      <c r="S454" s="169"/>
      <c r="T454" s="169"/>
      <c r="U454" s="169"/>
      <c r="V454" s="166">
        <f t="shared" si="22"/>
        <v>0</v>
      </c>
      <c r="W454" s="205"/>
      <c r="X454" s="167"/>
    </row>
    <row r="455" spans="8:24" s="220" customFormat="1" ht="12" hidden="1" customHeight="1">
      <c r="H455" s="162" t="s">
        <v>560</v>
      </c>
      <c r="I455" s="163" t="s">
        <v>1069</v>
      </c>
      <c r="J455" s="163" t="s">
        <v>1964</v>
      </c>
      <c r="K455" s="162" t="s">
        <v>1962</v>
      </c>
      <c r="L455" s="164" t="s">
        <v>92</v>
      </c>
      <c r="M455" s="169"/>
      <c r="N455" s="165">
        <v>7830</v>
      </c>
      <c r="O455" s="169">
        <f t="shared" si="23"/>
        <v>0</v>
      </c>
      <c r="P455" s="165">
        <v>22947</v>
      </c>
      <c r="Q455" s="166">
        <f t="shared" si="21"/>
        <v>0</v>
      </c>
      <c r="R455" s="169"/>
      <c r="S455" s="169"/>
      <c r="T455" s="169"/>
      <c r="U455" s="169"/>
      <c r="V455" s="166">
        <f t="shared" si="22"/>
        <v>0</v>
      </c>
      <c r="W455" s="205"/>
      <c r="X455" s="167"/>
    </row>
    <row r="456" spans="8:24" s="220" customFormat="1" ht="12" hidden="1" customHeight="1">
      <c r="H456" s="162" t="s">
        <v>561</v>
      </c>
      <c r="I456" s="163" t="s">
        <v>1069</v>
      </c>
      <c r="J456" s="163" t="s">
        <v>1965</v>
      </c>
      <c r="K456" s="162" t="s">
        <v>1962</v>
      </c>
      <c r="L456" s="164" t="s">
        <v>92</v>
      </c>
      <c r="M456" s="169"/>
      <c r="N456" s="165">
        <v>2500</v>
      </c>
      <c r="O456" s="169">
        <f t="shared" si="23"/>
        <v>0</v>
      </c>
      <c r="P456" s="165">
        <v>22947</v>
      </c>
      <c r="Q456" s="166">
        <f t="shared" si="21"/>
        <v>0</v>
      </c>
      <c r="R456" s="169"/>
      <c r="S456" s="169"/>
      <c r="T456" s="169"/>
      <c r="U456" s="169"/>
      <c r="V456" s="166">
        <f t="shared" si="22"/>
        <v>0</v>
      </c>
      <c r="W456" s="205"/>
      <c r="X456" s="167"/>
    </row>
    <row r="457" spans="8:24" s="220" customFormat="1" ht="12" hidden="1" customHeight="1">
      <c r="H457" s="162" t="s">
        <v>555</v>
      </c>
      <c r="I457" s="163" t="s">
        <v>1069</v>
      </c>
      <c r="J457" s="163" t="s">
        <v>2716</v>
      </c>
      <c r="K457" s="162" t="s">
        <v>1962</v>
      </c>
      <c r="L457" s="164" t="s">
        <v>92</v>
      </c>
      <c r="M457" s="169"/>
      <c r="N457" s="165">
        <v>2020</v>
      </c>
      <c r="O457" s="169">
        <f t="shared" si="23"/>
        <v>0</v>
      </c>
      <c r="P457" s="165">
        <v>22947</v>
      </c>
      <c r="Q457" s="166">
        <f t="shared" si="21"/>
        <v>0</v>
      </c>
      <c r="R457" s="169"/>
      <c r="S457" s="169"/>
      <c r="T457" s="169"/>
      <c r="U457" s="169"/>
      <c r="V457" s="166">
        <f t="shared" si="22"/>
        <v>0</v>
      </c>
      <c r="W457" s="205"/>
      <c r="X457" s="167"/>
    </row>
    <row r="458" spans="8:24" s="220" customFormat="1" ht="12" hidden="1" customHeight="1">
      <c r="H458" s="162" t="s">
        <v>563</v>
      </c>
      <c r="I458" s="163" t="s">
        <v>1069</v>
      </c>
      <c r="J458" s="163" t="s">
        <v>1966</v>
      </c>
      <c r="K458" s="162" t="s">
        <v>1962</v>
      </c>
      <c r="L458" s="164" t="s">
        <v>92</v>
      </c>
      <c r="M458" s="169"/>
      <c r="N458" s="165">
        <v>6460</v>
      </c>
      <c r="O458" s="169">
        <f t="shared" si="23"/>
        <v>0</v>
      </c>
      <c r="P458" s="165">
        <v>22947</v>
      </c>
      <c r="Q458" s="166">
        <f t="shared" si="21"/>
        <v>0</v>
      </c>
      <c r="R458" s="169"/>
      <c r="S458" s="169"/>
      <c r="T458" s="169"/>
      <c r="U458" s="169"/>
      <c r="V458" s="166">
        <f t="shared" si="22"/>
        <v>0</v>
      </c>
      <c r="W458" s="205"/>
      <c r="X458" s="167"/>
    </row>
    <row r="459" spans="8:24" s="220" customFormat="1" ht="12" hidden="1" customHeight="1">
      <c r="H459" s="162" t="s">
        <v>564</v>
      </c>
      <c r="I459" s="163" t="s">
        <v>1069</v>
      </c>
      <c r="J459" s="163" t="s">
        <v>1967</v>
      </c>
      <c r="K459" s="162" t="s">
        <v>1962</v>
      </c>
      <c r="L459" s="164" t="s">
        <v>92</v>
      </c>
      <c r="M459" s="169"/>
      <c r="N459" s="165">
        <v>7760</v>
      </c>
      <c r="O459" s="169">
        <f t="shared" si="23"/>
        <v>0</v>
      </c>
      <c r="P459" s="165">
        <v>22947</v>
      </c>
      <c r="Q459" s="166">
        <f t="shared" si="21"/>
        <v>0</v>
      </c>
      <c r="R459" s="169"/>
      <c r="S459" s="169"/>
      <c r="T459" s="169"/>
      <c r="U459" s="169"/>
      <c r="V459" s="166">
        <f t="shared" si="22"/>
        <v>0</v>
      </c>
      <c r="W459" s="205"/>
      <c r="X459" s="167"/>
    </row>
    <row r="460" spans="8:24" s="220" customFormat="1" ht="12" hidden="1" customHeight="1">
      <c r="H460" s="162" t="s">
        <v>565</v>
      </c>
      <c r="I460" s="163" t="s">
        <v>1069</v>
      </c>
      <c r="J460" s="163" t="s">
        <v>1968</v>
      </c>
      <c r="K460" s="162" t="s">
        <v>1962</v>
      </c>
      <c r="L460" s="164" t="s">
        <v>92</v>
      </c>
      <c r="M460" s="169"/>
      <c r="N460" s="165">
        <v>9180</v>
      </c>
      <c r="O460" s="169">
        <f t="shared" si="23"/>
        <v>0</v>
      </c>
      <c r="P460" s="165">
        <v>22947</v>
      </c>
      <c r="Q460" s="166">
        <f t="shared" ref="Q460:Q523" si="24">IF(W460="",M460*P460*$Q$3*$W$3,M460*P460*$Q$3*W460)</f>
        <v>0</v>
      </c>
      <c r="R460" s="169"/>
      <c r="S460" s="169"/>
      <c r="T460" s="169"/>
      <c r="U460" s="169"/>
      <c r="V460" s="166">
        <f t="shared" ref="V460:V523" si="25">SUM(O460+Q460)+S460+U460</f>
        <v>0</v>
      </c>
      <c r="W460" s="205"/>
      <c r="X460" s="167"/>
    </row>
    <row r="461" spans="8:24" s="220" customFormat="1" ht="12" hidden="1" customHeight="1">
      <c r="H461" s="162" t="s">
        <v>566</v>
      </c>
      <c r="I461" s="163" t="s">
        <v>1069</v>
      </c>
      <c r="J461" s="163" t="s">
        <v>1969</v>
      </c>
      <c r="K461" s="162" t="s">
        <v>1962</v>
      </c>
      <c r="L461" s="164" t="s">
        <v>92</v>
      </c>
      <c r="M461" s="169"/>
      <c r="N461" s="165">
        <v>10600</v>
      </c>
      <c r="O461" s="169">
        <f t="shared" si="23"/>
        <v>0</v>
      </c>
      <c r="P461" s="165">
        <v>22947</v>
      </c>
      <c r="Q461" s="166">
        <f t="shared" si="24"/>
        <v>0</v>
      </c>
      <c r="R461" s="169"/>
      <c r="S461" s="169"/>
      <c r="T461" s="169"/>
      <c r="U461" s="169"/>
      <c r="V461" s="166">
        <f t="shared" si="25"/>
        <v>0</v>
      </c>
      <c r="W461" s="205"/>
      <c r="X461" s="167"/>
    </row>
    <row r="462" spans="8:24" s="220" customFormat="1" ht="12" hidden="1" customHeight="1">
      <c r="H462" s="162" t="s">
        <v>568</v>
      </c>
      <c r="I462" s="163" t="s">
        <v>1070</v>
      </c>
      <c r="J462" s="163" t="s">
        <v>1970</v>
      </c>
      <c r="K462" s="162" t="s">
        <v>1971</v>
      </c>
      <c r="L462" s="164" t="s">
        <v>92</v>
      </c>
      <c r="M462" s="169"/>
      <c r="N462" s="165">
        <v>5150</v>
      </c>
      <c r="O462" s="169">
        <f t="shared" si="23"/>
        <v>0</v>
      </c>
      <c r="P462" s="165">
        <v>22947</v>
      </c>
      <c r="Q462" s="166">
        <f t="shared" si="24"/>
        <v>0</v>
      </c>
      <c r="R462" s="169"/>
      <c r="S462" s="169"/>
      <c r="T462" s="169"/>
      <c r="U462" s="169"/>
      <c r="V462" s="166">
        <f t="shared" si="25"/>
        <v>0</v>
      </c>
      <c r="W462" s="205"/>
      <c r="X462" s="167"/>
    </row>
    <row r="463" spans="8:24" s="220" customFormat="1" ht="12" hidden="1" customHeight="1">
      <c r="H463" s="162" t="s">
        <v>569</v>
      </c>
      <c r="I463" s="163" t="s">
        <v>1070</v>
      </c>
      <c r="J463" s="163" t="s">
        <v>1972</v>
      </c>
      <c r="K463" s="162" t="s">
        <v>1971</v>
      </c>
      <c r="L463" s="164" t="s">
        <v>92</v>
      </c>
      <c r="M463" s="169"/>
      <c r="N463" s="165">
        <v>7110</v>
      </c>
      <c r="O463" s="169">
        <f t="shared" si="23"/>
        <v>0</v>
      </c>
      <c r="P463" s="165">
        <v>22947</v>
      </c>
      <c r="Q463" s="166">
        <f t="shared" si="24"/>
        <v>0</v>
      </c>
      <c r="R463" s="169"/>
      <c r="S463" s="169"/>
      <c r="T463" s="169"/>
      <c r="U463" s="169"/>
      <c r="V463" s="166">
        <f t="shared" si="25"/>
        <v>0</v>
      </c>
      <c r="W463" s="205"/>
      <c r="X463" s="167"/>
    </row>
    <row r="464" spans="8:24" s="220" customFormat="1" ht="12" hidden="1" customHeight="1">
      <c r="H464" s="162" t="s">
        <v>570</v>
      </c>
      <c r="I464" s="163" t="s">
        <v>1070</v>
      </c>
      <c r="J464" s="163" t="s">
        <v>1973</v>
      </c>
      <c r="K464" s="162" t="s">
        <v>1971</v>
      </c>
      <c r="L464" s="164" t="s">
        <v>92</v>
      </c>
      <c r="M464" s="169"/>
      <c r="N464" s="165">
        <v>2880</v>
      </c>
      <c r="O464" s="169">
        <f t="shared" si="23"/>
        <v>0</v>
      </c>
      <c r="P464" s="165">
        <v>22947</v>
      </c>
      <c r="Q464" s="166">
        <f t="shared" si="24"/>
        <v>0</v>
      </c>
      <c r="R464" s="169"/>
      <c r="S464" s="169"/>
      <c r="T464" s="169"/>
      <c r="U464" s="169"/>
      <c r="V464" s="166">
        <f t="shared" si="25"/>
        <v>0</v>
      </c>
      <c r="W464" s="205"/>
      <c r="X464" s="167"/>
    </row>
    <row r="465" spans="8:24" s="220" customFormat="1" ht="12" hidden="1" customHeight="1">
      <c r="H465" s="162" t="s">
        <v>482</v>
      </c>
      <c r="I465" s="163" t="s">
        <v>1115</v>
      </c>
      <c r="J465" s="163" t="s">
        <v>2191</v>
      </c>
      <c r="K465" s="162" t="s">
        <v>2192</v>
      </c>
      <c r="L465" s="164" t="s">
        <v>92</v>
      </c>
      <c r="M465" s="169"/>
      <c r="N465" s="165">
        <v>12300</v>
      </c>
      <c r="O465" s="169">
        <f t="shared" si="23"/>
        <v>0</v>
      </c>
      <c r="P465" s="165">
        <v>80990</v>
      </c>
      <c r="Q465" s="166">
        <f t="shared" si="24"/>
        <v>0</v>
      </c>
      <c r="R465" s="169"/>
      <c r="S465" s="169"/>
      <c r="T465" s="169"/>
      <c r="U465" s="169"/>
      <c r="V465" s="166">
        <f t="shared" si="25"/>
        <v>0</v>
      </c>
      <c r="W465" s="205"/>
      <c r="X465" s="167"/>
    </row>
    <row r="466" spans="8:24" s="220" customFormat="1" ht="12" hidden="1" customHeight="1">
      <c r="H466" s="162" t="s">
        <v>502</v>
      </c>
      <c r="I466" s="163" t="s">
        <v>1122</v>
      </c>
      <c r="J466" s="163" t="s">
        <v>2193</v>
      </c>
      <c r="K466" s="162" t="s">
        <v>2194</v>
      </c>
      <c r="L466" s="164" t="s">
        <v>92</v>
      </c>
      <c r="M466" s="169"/>
      <c r="N466" s="165">
        <v>1351000</v>
      </c>
      <c r="O466" s="169">
        <f t="shared" si="23"/>
        <v>0</v>
      </c>
      <c r="P466" s="165">
        <v>593929</v>
      </c>
      <c r="Q466" s="166">
        <f t="shared" si="24"/>
        <v>0</v>
      </c>
      <c r="R466" s="169"/>
      <c r="S466" s="169"/>
      <c r="T466" s="169"/>
      <c r="U466" s="169"/>
      <c r="V466" s="166">
        <f t="shared" si="25"/>
        <v>0</v>
      </c>
      <c r="W466" s="205"/>
      <c r="X466" s="167"/>
    </row>
    <row r="467" spans="8:24" s="220" customFormat="1" ht="12" hidden="1" customHeight="1">
      <c r="H467" s="162" t="s">
        <v>557</v>
      </c>
      <c r="I467" s="163" t="s">
        <v>1069</v>
      </c>
      <c r="J467" s="163" t="s">
        <v>2211</v>
      </c>
      <c r="K467" s="162" t="s">
        <v>1962</v>
      </c>
      <c r="L467" s="164" t="s">
        <v>92</v>
      </c>
      <c r="M467" s="169"/>
      <c r="N467" s="165">
        <v>4890</v>
      </c>
      <c r="O467" s="169">
        <f t="shared" si="23"/>
        <v>0</v>
      </c>
      <c r="P467" s="165">
        <v>22947</v>
      </c>
      <c r="Q467" s="166">
        <f t="shared" si="24"/>
        <v>0</v>
      </c>
      <c r="R467" s="169"/>
      <c r="S467" s="169"/>
      <c r="T467" s="169"/>
      <c r="U467" s="169"/>
      <c r="V467" s="166">
        <f t="shared" si="25"/>
        <v>0</v>
      </c>
      <c r="W467" s="205"/>
      <c r="X467" s="167"/>
    </row>
    <row r="468" spans="8:24" s="220" customFormat="1" ht="12" hidden="1" customHeight="1">
      <c r="H468" s="162" t="s">
        <v>562</v>
      </c>
      <c r="I468" s="163" t="s">
        <v>1069</v>
      </c>
      <c r="J468" s="163" t="s">
        <v>2212</v>
      </c>
      <c r="K468" s="162" t="s">
        <v>1962</v>
      </c>
      <c r="L468" s="164" t="s">
        <v>92</v>
      </c>
      <c r="M468" s="169"/>
      <c r="N468" s="165">
        <v>5160</v>
      </c>
      <c r="O468" s="169">
        <f t="shared" si="23"/>
        <v>0</v>
      </c>
      <c r="P468" s="165">
        <v>22947</v>
      </c>
      <c r="Q468" s="166">
        <f t="shared" si="24"/>
        <v>0</v>
      </c>
      <c r="R468" s="169"/>
      <c r="S468" s="169"/>
      <c r="T468" s="169"/>
      <c r="U468" s="169"/>
      <c r="V468" s="166">
        <f t="shared" si="25"/>
        <v>0</v>
      </c>
      <c r="W468" s="205"/>
      <c r="X468" s="167"/>
    </row>
    <row r="469" spans="8:24" s="220" customFormat="1" ht="12" hidden="1" customHeight="1">
      <c r="H469" s="162" t="s">
        <v>567</v>
      </c>
      <c r="I469" s="163" t="s">
        <v>1070</v>
      </c>
      <c r="J469" s="163" t="s">
        <v>2213</v>
      </c>
      <c r="K469" s="162" t="s">
        <v>1971</v>
      </c>
      <c r="L469" s="164" t="s">
        <v>92</v>
      </c>
      <c r="M469" s="169"/>
      <c r="N469" s="165">
        <v>3050</v>
      </c>
      <c r="O469" s="169">
        <f t="shared" si="23"/>
        <v>0</v>
      </c>
      <c r="P469" s="165">
        <v>22947</v>
      </c>
      <c r="Q469" s="166">
        <f t="shared" si="24"/>
        <v>0</v>
      </c>
      <c r="R469" s="169"/>
      <c r="S469" s="169"/>
      <c r="T469" s="169"/>
      <c r="U469" s="169"/>
      <c r="V469" s="166">
        <f t="shared" si="25"/>
        <v>0</v>
      </c>
      <c r="W469" s="205"/>
      <c r="X469" s="167"/>
    </row>
    <row r="470" spans="8:24" s="220" customFormat="1" ht="12" hidden="1" customHeight="1">
      <c r="H470" s="162" t="s">
        <v>571</v>
      </c>
      <c r="I470" s="163" t="s">
        <v>1070</v>
      </c>
      <c r="J470" s="163" t="s">
        <v>2233</v>
      </c>
      <c r="K470" s="162" t="s">
        <v>1971</v>
      </c>
      <c r="L470" s="164" t="s">
        <v>92</v>
      </c>
      <c r="M470" s="169"/>
      <c r="N470" s="165">
        <v>4730</v>
      </c>
      <c r="O470" s="169">
        <f t="shared" si="23"/>
        <v>0</v>
      </c>
      <c r="P470" s="165">
        <v>22947</v>
      </c>
      <c r="Q470" s="166">
        <f t="shared" si="24"/>
        <v>0</v>
      </c>
      <c r="R470" s="169"/>
      <c r="S470" s="169"/>
      <c r="T470" s="169"/>
      <c r="U470" s="169"/>
      <c r="V470" s="166">
        <f t="shared" si="25"/>
        <v>0</v>
      </c>
      <c r="W470" s="205"/>
      <c r="X470" s="167"/>
    </row>
    <row r="471" spans="8:24" s="220" customFormat="1" ht="12" hidden="1" customHeight="1">
      <c r="H471" s="162" t="s">
        <v>572</v>
      </c>
      <c r="I471" s="163" t="s">
        <v>1070</v>
      </c>
      <c r="J471" s="163" t="s">
        <v>2234</v>
      </c>
      <c r="K471" s="162" t="s">
        <v>1971</v>
      </c>
      <c r="L471" s="164" t="s">
        <v>92</v>
      </c>
      <c r="M471" s="169"/>
      <c r="N471" s="165">
        <v>6560</v>
      </c>
      <c r="O471" s="169">
        <f t="shared" si="23"/>
        <v>0</v>
      </c>
      <c r="P471" s="165">
        <v>22947</v>
      </c>
      <c r="Q471" s="166">
        <f t="shared" si="24"/>
        <v>0</v>
      </c>
      <c r="R471" s="169"/>
      <c r="S471" s="169"/>
      <c r="T471" s="169"/>
      <c r="U471" s="169"/>
      <c r="V471" s="166">
        <f t="shared" si="25"/>
        <v>0</v>
      </c>
      <c r="W471" s="205"/>
      <c r="X471" s="167"/>
    </row>
    <row r="472" spans="8:24" s="220" customFormat="1" ht="12" hidden="1" customHeight="1">
      <c r="H472" s="162" t="s">
        <v>574</v>
      </c>
      <c r="I472" s="163" t="s">
        <v>1069</v>
      </c>
      <c r="J472" s="163" t="s">
        <v>2235</v>
      </c>
      <c r="K472" s="162" t="s">
        <v>2236</v>
      </c>
      <c r="L472" s="164" t="s">
        <v>92</v>
      </c>
      <c r="M472" s="169"/>
      <c r="N472" s="165">
        <v>40900</v>
      </c>
      <c r="O472" s="169">
        <f t="shared" si="23"/>
        <v>0</v>
      </c>
      <c r="P472" s="165">
        <v>22947</v>
      </c>
      <c r="Q472" s="166">
        <f t="shared" si="24"/>
        <v>0</v>
      </c>
      <c r="R472" s="169"/>
      <c r="S472" s="169"/>
      <c r="T472" s="169"/>
      <c r="U472" s="169"/>
      <c r="V472" s="166">
        <f t="shared" si="25"/>
        <v>0</v>
      </c>
      <c r="W472" s="205"/>
      <c r="X472" s="167"/>
    </row>
    <row r="473" spans="8:24" s="220" customFormat="1" ht="12" hidden="1" customHeight="1">
      <c r="H473" s="162" t="s">
        <v>573</v>
      </c>
      <c r="I473" s="163" t="s">
        <v>1069</v>
      </c>
      <c r="J473" s="163" t="s">
        <v>2235</v>
      </c>
      <c r="K473" s="162" t="s">
        <v>2237</v>
      </c>
      <c r="L473" s="164" t="s">
        <v>92</v>
      </c>
      <c r="M473" s="169"/>
      <c r="N473" s="165">
        <v>40900</v>
      </c>
      <c r="O473" s="169">
        <f t="shared" si="23"/>
        <v>0</v>
      </c>
      <c r="P473" s="165">
        <v>22947</v>
      </c>
      <c r="Q473" s="166">
        <f t="shared" si="24"/>
        <v>0</v>
      </c>
      <c r="R473" s="169"/>
      <c r="S473" s="169"/>
      <c r="T473" s="169"/>
      <c r="U473" s="169"/>
      <c r="V473" s="166">
        <f t="shared" si="25"/>
        <v>0</v>
      </c>
      <c r="W473" s="205"/>
      <c r="X473" s="167"/>
    </row>
    <row r="474" spans="8:24" s="220" customFormat="1" ht="12" hidden="1" customHeight="1">
      <c r="H474" s="162" t="s">
        <v>556</v>
      </c>
      <c r="I474" s="163" t="s">
        <v>1069</v>
      </c>
      <c r="J474" s="163" t="s">
        <v>2329</v>
      </c>
      <c r="K474" s="162" t="s">
        <v>1962</v>
      </c>
      <c r="L474" s="164" t="s">
        <v>92</v>
      </c>
      <c r="M474" s="169"/>
      <c r="N474" s="165">
        <v>4130</v>
      </c>
      <c r="O474" s="169">
        <f t="shared" si="23"/>
        <v>0</v>
      </c>
      <c r="P474" s="165">
        <v>22947</v>
      </c>
      <c r="Q474" s="166">
        <f t="shared" si="24"/>
        <v>0</v>
      </c>
      <c r="R474" s="169"/>
      <c r="S474" s="169"/>
      <c r="T474" s="169"/>
      <c r="U474" s="169"/>
      <c r="V474" s="166">
        <f t="shared" si="25"/>
        <v>0</v>
      </c>
      <c r="W474" s="205"/>
      <c r="X474" s="167"/>
    </row>
    <row r="475" spans="8:24" s="220" customFormat="1" ht="12" hidden="1" customHeight="1">
      <c r="H475" s="162" t="s">
        <v>694</v>
      </c>
      <c r="I475" s="163" t="s">
        <v>1164</v>
      </c>
      <c r="J475" s="163" t="s">
        <v>2345</v>
      </c>
      <c r="K475" s="162" t="s">
        <v>2346</v>
      </c>
      <c r="L475" s="164" t="s">
        <v>92</v>
      </c>
      <c r="M475" s="169"/>
      <c r="N475" s="165">
        <v>3600</v>
      </c>
      <c r="O475" s="169">
        <f t="shared" si="23"/>
        <v>0</v>
      </c>
      <c r="P475" s="165">
        <v>159281</v>
      </c>
      <c r="Q475" s="166">
        <f t="shared" si="24"/>
        <v>0</v>
      </c>
      <c r="R475" s="169"/>
      <c r="S475" s="169"/>
      <c r="T475" s="169"/>
      <c r="U475" s="169"/>
      <c r="V475" s="166">
        <f t="shared" si="25"/>
        <v>0</v>
      </c>
      <c r="W475" s="205"/>
      <c r="X475" s="167"/>
    </row>
    <row r="476" spans="8:24" s="220" customFormat="1" ht="12" hidden="1" customHeight="1">
      <c r="H476" s="162" t="s">
        <v>695</v>
      </c>
      <c r="I476" s="163" t="s">
        <v>1165</v>
      </c>
      <c r="J476" s="163" t="s">
        <v>2347</v>
      </c>
      <c r="K476" s="162" t="s">
        <v>2348</v>
      </c>
      <c r="L476" s="164" t="s">
        <v>92</v>
      </c>
      <c r="M476" s="169"/>
      <c r="N476" s="165">
        <v>6800</v>
      </c>
      <c r="O476" s="169">
        <f t="shared" si="23"/>
        <v>0</v>
      </c>
      <c r="P476" s="165">
        <v>35095</v>
      </c>
      <c r="Q476" s="166">
        <f t="shared" si="24"/>
        <v>0</v>
      </c>
      <c r="R476" s="169"/>
      <c r="S476" s="169"/>
      <c r="T476" s="169"/>
      <c r="U476" s="169"/>
      <c r="V476" s="166">
        <f t="shared" si="25"/>
        <v>0</v>
      </c>
      <c r="W476" s="205"/>
      <c r="X476" s="167"/>
    </row>
    <row r="477" spans="8:24" s="220" customFormat="1" ht="12" hidden="1" customHeight="1">
      <c r="H477" s="162" t="s">
        <v>696</v>
      </c>
      <c r="I477" s="163" t="s">
        <v>1166</v>
      </c>
      <c r="J477" s="163" t="s">
        <v>2349</v>
      </c>
      <c r="K477" s="162" t="s">
        <v>2350</v>
      </c>
      <c r="L477" s="164" t="s">
        <v>92</v>
      </c>
      <c r="M477" s="169"/>
      <c r="N477" s="165">
        <v>4100</v>
      </c>
      <c r="O477" s="169">
        <f t="shared" si="23"/>
        <v>0</v>
      </c>
      <c r="P477" s="165">
        <v>43194</v>
      </c>
      <c r="Q477" s="166">
        <f t="shared" si="24"/>
        <v>0</v>
      </c>
      <c r="R477" s="169"/>
      <c r="S477" s="169"/>
      <c r="T477" s="169"/>
      <c r="U477" s="169"/>
      <c r="V477" s="166">
        <f t="shared" si="25"/>
        <v>0</v>
      </c>
      <c r="W477" s="205"/>
      <c r="X477" s="167"/>
    </row>
    <row r="478" spans="8:24" s="220" customFormat="1" ht="12" hidden="1" customHeight="1">
      <c r="H478" s="162" t="s">
        <v>919</v>
      </c>
      <c r="I478" s="163" t="s">
        <v>1157</v>
      </c>
      <c r="J478" s="163" t="s">
        <v>803</v>
      </c>
      <c r="K478" s="162" t="s">
        <v>804</v>
      </c>
      <c r="L478" s="164" t="s">
        <v>92</v>
      </c>
      <c r="M478" s="169"/>
      <c r="N478" s="165">
        <v>0</v>
      </c>
      <c r="O478" s="169">
        <f t="shared" si="23"/>
        <v>0</v>
      </c>
      <c r="P478" s="165">
        <v>17547</v>
      </c>
      <c r="Q478" s="166">
        <f t="shared" si="24"/>
        <v>0</v>
      </c>
      <c r="R478" s="169"/>
      <c r="S478" s="169"/>
      <c r="T478" s="169"/>
      <c r="U478" s="169"/>
      <c r="V478" s="166">
        <f t="shared" si="25"/>
        <v>0</v>
      </c>
      <c r="W478" s="205"/>
      <c r="X478" s="167"/>
    </row>
    <row r="479" spans="8:24" s="220" customFormat="1" ht="12" hidden="1" customHeight="1">
      <c r="H479" s="162" t="s">
        <v>920</v>
      </c>
      <c r="I479" s="163" t="s">
        <v>1069</v>
      </c>
      <c r="J479" s="163" t="s">
        <v>801</v>
      </c>
      <c r="K479" s="162" t="s">
        <v>802</v>
      </c>
      <c r="L479" s="164" t="s">
        <v>92</v>
      </c>
      <c r="M479" s="169"/>
      <c r="N479" s="165">
        <v>0</v>
      </c>
      <c r="O479" s="169">
        <f t="shared" si="23"/>
        <v>0</v>
      </c>
      <c r="P479" s="165">
        <v>22947</v>
      </c>
      <c r="Q479" s="166">
        <f t="shared" si="24"/>
        <v>0</v>
      </c>
      <c r="R479" s="169"/>
      <c r="S479" s="169"/>
      <c r="T479" s="169"/>
      <c r="U479" s="169"/>
      <c r="V479" s="166">
        <f t="shared" si="25"/>
        <v>0</v>
      </c>
      <c r="W479" s="205"/>
      <c r="X479" s="167"/>
    </row>
    <row r="480" spans="8:24" s="220" customFormat="1" ht="12" hidden="1" customHeight="1">
      <c r="H480" s="162" t="s">
        <v>921</v>
      </c>
      <c r="I480" s="163" t="s">
        <v>1158</v>
      </c>
      <c r="J480" s="163" t="s">
        <v>805</v>
      </c>
      <c r="K480" s="162" t="s">
        <v>806</v>
      </c>
      <c r="L480" s="164" t="s">
        <v>92</v>
      </c>
      <c r="M480" s="169"/>
      <c r="N480" s="165">
        <v>0</v>
      </c>
      <c r="O480" s="169">
        <f t="shared" si="23"/>
        <v>0</v>
      </c>
      <c r="P480" s="165">
        <v>89089</v>
      </c>
      <c r="Q480" s="166">
        <f t="shared" si="24"/>
        <v>0</v>
      </c>
      <c r="R480" s="169"/>
      <c r="S480" s="169"/>
      <c r="T480" s="169"/>
      <c r="U480" s="169"/>
      <c r="V480" s="166">
        <f t="shared" si="25"/>
        <v>0</v>
      </c>
      <c r="W480" s="205"/>
      <c r="X480" s="167"/>
    </row>
    <row r="481" spans="8:24" s="220" customFormat="1" ht="12" hidden="1" customHeight="1">
      <c r="H481" s="162" t="s">
        <v>478</v>
      </c>
      <c r="I481" s="163" t="s">
        <v>1115</v>
      </c>
      <c r="J481" s="163" t="s">
        <v>2191</v>
      </c>
      <c r="K481" s="162" t="s">
        <v>2565</v>
      </c>
      <c r="L481" s="164" t="s">
        <v>92</v>
      </c>
      <c r="M481" s="169"/>
      <c r="N481" s="165">
        <v>12300</v>
      </c>
      <c r="O481" s="169">
        <f t="shared" si="23"/>
        <v>0</v>
      </c>
      <c r="P481" s="165">
        <v>80990</v>
      </c>
      <c r="Q481" s="166">
        <f t="shared" si="24"/>
        <v>0</v>
      </c>
      <c r="R481" s="169"/>
      <c r="S481" s="169"/>
      <c r="T481" s="169"/>
      <c r="U481" s="169"/>
      <c r="V481" s="166">
        <f t="shared" si="25"/>
        <v>0</v>
      </c>
      <c r="W481" s="205"/>
      <c r="X481" s="167"/>
    </row>
    <row r="482" spans="8:24" s="220" customFormat="1" ht="12" hidden="1" customHeight="1">
      <c r="H482" s="162" t="s">
        <v>479</v>
      </c>
      <c r="I482" s="163" t="s">
        <v>1115</v>
      </c>
      <c r="J482" s="163" t="s">
        <v>2191</v>
      </c>
      <c r="K482" s="162" t="s">
        <v>2566</v>
      </c>
      <c r="L482" s="164" t="s">
        <v>92</v>
      </c>
      <c r="M482" s="169"/>
      <c r="N482" s="165">
        <v>12300</v>
      </c>
      <c r="O482" s="169">
        <f t="shared" si="23"/>
        <v>0</v>
      </c>
      <c r="P482" s="165">
        <v>80990</v>
      </c>
      <c r="Q482" s="166">
        <f t="shared" si="24"/>
        <v>0</v>
      </c>
      <c r="R482" s="169"/>
      <c r="S482" s="169"/>
      <c r="T482" s="169"/>
      <c r="U482" s="169"/>
      <c r="V482" s="166">
        <f t="shared" si="25"/>
        <v>0</v>
      </c>
      <c r="W482" s="205"/>
      <c r="X482" s="167"/>
    </row>
    <row r="483" spans="8:24" s="220" customFormat="1" ht="12" hidden="1" customHeight="1">
      <c r="H483" s="162" t="s">
        <v>480</v>
      </c>
      <c r="I483" s="163" t="s">
        <v>1115</v>
      </c>
      <c r="J483" s="163" t="s">
        <v>2191</v>
      </c>
      <c r="K483" s="162" t="s">
        <v>2567</v>
      </c>
      <c r="L483" s="164" t="s">
        <v>92</v>
      </c>
      <c r="M483" s="169"/>
      <c r="N483" s="165">
        <v>12300</v>
      </c>
      <c r="O483" s="169">
        <f t="shared" si="23"/>
        <v>0</v>
      </c>
      <c r="P483" s="165">
        <v>80990</v>
      </c>
      <c r="Q483" s="166">
        <f t="shared" si="24"/>
        <v>0</v>
      </c>
      <c r="R483" s="169"/>
      <c r="S483" s="169"/>
      <c r="T483" s="169"/>
      <c r="U483" s="169"/>
      <c r="V483" s="166">
        <f t="shared" si="25"/>
        <v>0</v>
      </c>
      <c r="W483" s="205"/>
      <c r="X483" s="167"/>
    </row>
    <row r="484" spans="8:24" s="220" customFormat="1" ht="12" hidden="1" customHeight="1">
      <c r="H484" s="162" t="s">
        <v>481</v>
      </c>
      <c r="I484" s="163" t="s">
        <v>1115</v>
      </c>
      <c r="J484" s="163" t="s">
        <v>2191</v>
      </c>
      <c r="K484" s="162" t="s">
        <v>2568</v>
      </c>
      <c r="L484" s="164" t="s">
        <v>92</v>
      </c>
      <c r="M484" s="169"/>
      <c r="N484" s="165">
        <v>21300</v>
      </c>
      <c r="O484" s="169">
        <f t="shared" si="23"/>
        <v>0</v>
      </c>
      <c r="P484" s="165">
        <v>80990</v>
      </c>
      <c r="Q484" s="166">
        <f t="shared" si="24"/>
        <v>0</v>
      </c>
      <c r="R484" s="169"/>
      <c r="S484" s="169"/>
      <c r="T484" s="169"/>
      <c r="U484" s="169"/>
      <c r="V484" s="166">
        <f t="shared" si="25"/>
        <v>0</v>
      </c>
      <c r="W484" s="205"/>
      <c r="X484" s="167"/>
    </row>
    <row r="485" spans="8:24" s="220" customFormat="1" ht="12" hidden="1" customHeight="1">
      <c r="H485" s="162" t="s">
        <v>483</v>
      </c>
      <c r="I485" s="163" t="s">
        <v>1115</v>
      </c>
      <c r="J485" s="163" t="s">
        <v>2191</v>
      </c>
      <c r="K485" s="162" t="s">
        <v>2569</v>
      </c>
      <c r="L485" s="164" t="s">
        <v>92</v>
      </c>
      <c r="M485" s="169"/>
      <c r="N485" s="165">
        <v>14500</v>
      </c>
      <c r="O485" s="169">
        <f t="shared" si="23"/>
        <v>0</v>
      </c>
      <c r="P485" s="165">
        <v>80990</v>
      </c>
      <c r="Q485" s="166">
        <f t="shared" si="24"/>
        <v>0</v>
      </c>
      <c r="R485" s="169"/>
      <c r="S485" s="169"/>
      <c r="T485" s="169"/>
      <c r="U485" s="169"/>
      <c r="V485" s="166">
        <f t="shared" si="25"/>
        <v>0</v>
      </c>
      <c r="W485" s="205"/>
      <c r="X485" s="167"/>
    </row>
    <row r="486" spans="8:24" s="220" customFormat="1" ht="12" hidden="1" customHeight="1">
      <c r="H486" s="162" t="s">
        <v>484</v>
      </c>
      <c r="I486" s="163" t="s">
        <v>1115</v>
      </c>
      <c r="J486" s="163" t="s">
        <v>2191</v>
      </c>
      <c r="K486" s="162" t="s">
        <v>2570</v>
      </c>
      <c r="L486" s="164" t="s">
        <v>92</v>
      </c>
      <c r="M486" s="169"/>
      <c r="N486" s="165">
        <v>21300</v>
      </c>
      <c r="O486" s="169">
        <f t="shared" si="23"/>
        <v>0</v>
      </c>
      <c r="P486" s="165">
        <v>80990</v>
      </c>
      <c r="Q486" s="166">
        <f t="shared" si="24"/>
        <v>0</v>
      </c>
      <c r="R486" s="169"/>
      <c r="S486" s="169"/>
      <c r="T486" s="169"/>
      <c r="U486" s="169"/>
      <c r="V486" s="166">
        <f t="shared" si="25"/>
        <v>0</v>
      </c>
      <c r="W486" s="205"/>
      <c r="X486" s="167"/>
    </row>
    <row r="487" spans="8:24" s="220" customFormat="1" ht="12" hidden="1" customHeight="1">
      <c r="H487" s="162" t="s">
        <v>485</v>
      </c>
      <c r="I487" s="163" t="s">
        <v>1115</v>
      </c>
      <c r="J487" s="163" t="s">
        <v>2191</v>
      </c>
      <c r="K487" s="162" t="s">
        <v>2571</v>
      </c>
      <c r="L487" s="164" t="s">
        <v>92</v>
      </c>
      <c r="M487" s="169"/>
      <c r="N487" s="165">
        <v>23100</v>
      </c>
      <c r="O487" s="169">
        <f t="shared" si="23"/>
        <v>0</v>
      </c>
      <c r="P487" s="165">
        <v>80990</v>
      </c>
      <c r="Q487" s="166">
        <f t="shared" si="24"/>
        <v>0</v>
      </c>
      <c r="R487" s="169"/>
      <c r="S487" s="169"/>
      <c r="T487" s="169"/>
      <c r="U487" s="169"/>
      <c r="V487" s="166">
        <f t="shared" si="25"/>
        <v>0</v>
      </c>
      <c r="W487" s="205"/>
      <c r="X487" s="167"/>
    </row>
    <row r="488" spans="8:24" s="220" customFormat="1" ht="12" hidden="1" customHeight="1">
      <c r="H488" s="162" t="s">
        <v>486</v>
      </c>
      <c r="I488" s="163" t="s">
        <v>1115</v>
      </c>
      <c r="J488" s="163" t="s">
        <v>2191</v>
      </c>
      <c r="K488" s="162" t="s">
        <v>2572</v>
      </c>
      <c r="L488" s="164" t="s">
        <v>92</v>
      </c>
      <c r="M488" s="169"/>
      <c r="N488" s="165">
        <v>42300</v>
      </c>
      <c r="O488" s="169">
        <f t="shared" si="23"/>
        <v>0</v>
      </c>
      <c r="P488" s="165">
        <v>80990</v>
      </c>
      <c r="Q488" s="166">
        <f t="shared" si="24"/>
        <v>0</v>
      </c>
      <c r="R488" s="169"/>
      <c r="S488" s="169"/>
      <c r="T488" s="169"/>
      <c r="U488" s="169"/>
      <c r="V488" s="166">
        <f t="shared" si="25"/>
        <v>0</v>
      </c>
      <c r="W488" s="205"/>
      <c r="X488" s="167"/>
    </row>
    <row r="489" spans="8:24" s="220" customFormat="1" ht="12" hidden="1" customHeight="1">
      <c r="H489" s="162" t="s">
        <v>487</v>
      </c>
      <c r="I489" s="163" t="s">
        <v>1116</v>
      </c>
      <c r="J489" s="163" t="s">
        <v>2573</v>
      </c>
      <c r="K489" s="162" t="s">
        <v>2574</v>
      </c>
      <c r="L489" s="164" t="s">
        <v>92</v>
      </c>
      <c r="M489" s="169"/>
      <c r="N489" s="165">
        <v>49900</v>
      </c>
      <c r="O489" s="169">
        <f t="shared" si="23"/>
        <v>0</v>
      </c>
      <c r="P489" s="165">
        <v>121485</v>
      </c>
      <c r="Q489" s="166">
        <f t="shared" si="24"/>
        <v>0</v>
      </c>
      <c r="R489" s="169"/>
      <c r="S489" s="169"/>
      <c r="T489" s="169"/>
      <c r="U489" s="169"/>
      <c r="V489" s="166">
        <f t="shared" si="25"/>
        <v>0</v>
      </c>
      <c r="W489" s="205"/>
      <c r="X489" s="167"/>
    </row>
    <row r="490" spans="8:24" s="220" customFormat="1" ht="12" hidden="1" customHeight="1">
      <c r="H490" s="162" t="s">
        <v>488</v>
      </c>
      <c r="I490" s="163" t="s">
        <v>1116</v>
      </c>
      <c r="J490" s="163" t="s">
        <v>2573</v>
      </c>
      <c r="K490" s="162" t="s">
        <v>2575</v>
      </c>
      <c r="L490" s="164" t="s">
        <v>92</v>
      </c>
      <c r="M490" s="169"/>
      <c r="N490" s="165">
        <v>61700</v>
      </c>
      <c r="O490" s="169">
        <f t="shared" si="23"/>
        <v>0</v>
      </c>
      <c r="P490" s="165">
        <v>121485</v>
      </c>
      <c r="Q490" s="166">
        <f t="shared" si="24"/>
        <v>0</v>
      </c>
      <c r="R490" s="169"/>
      <c r="S490" s="169"/>
      <c r="T490" s="169"/>
      <c r="U490" s="169"/>
      <c r="V490" s="166">
        <f t="shared" si="25"/>
        <v>0</v>
      </c>
      <c r="W490" s="205"/>
      <c r="X490" s="167"/>
    </row>
    <row r="491" spans="8:24" s="220" customFormat="1" ht="12" hidden="1" customHeight="1">
      <c r="H491" s="162" t="s">
        <v>489</v>
      </c>
      <c r="I491" s="163" t="s">
        <v>1116</v>
      </c>
      <c r="J491" s="163" t="s">
        <v>2573</v>
      </c>
      <c r="K491" s="162" t="s">
        <v>2576</v>
      </c>
      <c r="L491" s="164" t="s">
        <v>92</v>
      </c>
      <c r="M491" s="169"/>
      <c r="N491" s="165">
        <v>62200</v>
      </c>
      <c r="O491" s="169">
        <f t="shared" si="23"/>
        <v>0</v>
      </c>
      <c r="P491" s="165">
        <v>121485</v>
      </c>
      <c r="Q491" s="166">
        <f t="shared" si="24"/>
        <v>0</v>
      </c>
      <c r="R491" s="169"/>
      <c r="S491" s="169"/>
      <c r="T491" s="169"/>
      <c r="U491" s="169"/>
      <c r="V491" s="166">
        <f t="shared" si="25"/>
        <v>0</v>
      </c>
      <c r="W491" s="205"/>
      <c r="X491" s="167"/>
    </row>
    <row r="492" spans="8:24" s="220" customFormat="1" ht="12" hidden="1" customHeight="1">
      <c r="H492" s="162" t="s">
        <v>490</v>
      </c>
      <c r="I492" s="163" t="s">
        <v>1117</v>
      </c>
      <c r="J492" s="163" t="s">
        <v>2577</v>
      </c>
      <c r="K492" s="162" t="s">
        <v>2578</v>
      </c>
      <c r="L492" s="164" t="s">
        <v>92</v>
      </c>
      <c r="M492" s="169"/>
      <c r="N492" s="165">
        <v>83500</v>
      </c>
      <c r="O492" s="169">
        <f t="shared" si="23"/>
        <v>0</v>
      </c>
      <c r="P492" s="165">
        <v>161980</v>
      </c>
      <c r="Q492" s="166">
        <f t="shared" si="24"/>
        <v>0</v>
      </c>
      <c r="R492" s="169"/>
      <c r="S492" s="169"/>
      <c r="T492" s="169"/>
      <c r="U492" s="169"/>
      <c r="V492" s="166">
        <f t="shared" si="25"/>
        <v>0</v>
      </c>
      <c r="W492" s="205"/>
      <c r="X492" s="167"/>
    </row>
    <row r="493" spans="8:24" s="220" customFormat="1" ht="12" hidden="1" customHeight="1">
      <c r="H493" s="162" t="s">
        <v>491</v>
      </c>
      <c r="I493" s="163" t="s">
        <v>1117</v>
      </c>
      <c r="J493" s="163" t="s">
        <v>2577</v>
      </c>
      <c r="K493" s="162" t="s">
        <v>2579</v>
      </c>
      <c r="L493" s="164" t="s">
        <v>92</v>
      </c>
      <c r="M493" s="169"/>
      <c r="N493" s="165">
        <v>99400</v>
      </c>
      <c r="O493" s="169">
        <f t="shared" si="23"/>
        <v>0</v>
      </c>
      <c r="P493" s="165">
        <v>161980</v>
      </c>
      <c r="Q493" s="166">
        <f t="shared" si="24"/>
        <v>0</v>
      </c>
      <c r="R493" s="169"/>
      <c r="S493" s="169"/>
      <c r="T493" s="169"/>
      <c r="U493" s="169"/>
      <c r="V493" s="166">
        <f t="shared" si="25"/>
        <v>0</v>
      </c>
      <c r="W493" s="205"/>
      <c r="X493" s="167"/>
    </row>
    <row r="494" spans="8:24" s="220" customFormat="1" ht="12" hidden="1" customHeight="1">
      <c r="H494" s="162" t="s">
        <v>492</v>
      </c>
      <c r="I494" s="163" t="s">
        <v>1117</v>
      </c>
      <c r="J494" s="163" t="s">
        <v>2577</v>
      </c>
      <c r="K494" s="162" t="s">
        <v>2580</v>
      </c>
      <c r="L494" s="164" t="s">
        <v>92</v>
      </c>
      <c r="M494" s="169"/>
      <c r="N494" s="165">
        <v>109000</v>
      </c>
      <c r="O494" s="169">
        <f t="shared" si="23"/>
        <v>0</v>
      </c>
      <c r="P494" s="165">
        <v>161980</v>
      </c>
      <c r="Q494" s="166">
        <f t="shared" si="24"/>
        <v>0</v>
      </c>
      <c r="R494" s="169"/>
      <c r="S494" s="169"/>
      <c r="T494" s="169"/>
      <c r="U494" s="169"/>
      <c r="V494" s="166">
        <f t="shared" si="25"/>
        <v>0</v>
      </c>
      <c r="W494" s="205"/>
      <c r="X494" s="167"/>
    </row>
    <row r="495" spans="8:24" s="220" customFormat="1" ht="12" hidden="1" customHeight="1">
      <c r="H495" s="162" t="s">
        <v>493</v>
      </c>
      <c r="I495" s="163" t="s">
        <v>1117</v>
      </c>
      <c r="J495" s="163" t="s">
        <v>2577</v>
      </c>
      <c r="K495" s="162" t="s">
        <v>2581</v>
      </c>
      <c r="L495" s="164" t="s">
        <v>92</v>
      </c>
      <c r="M495" s="169"/>
      <c r="N495" s="165">
        <v>124000</v>
      </c>
      <c r="O495" s="169">
        <f t="shared" si="23"/>
        <v>0</v>
      </c>
      <c r="P495" s="165">
        <v>161980</v>
      </c>
      <c r="Q495" s="166">
        <f t="shared" si="24"/>
        <v>0</v>
      </c>
      <c r="R495" s="169"/>
      <c r="S495" s="169"/>
      <c r="T495" s="169"/>
      <c r="U495" s="169"/>
      <c r="V495" s="166">
        <f t="shared" si="25"/>
        <v>0</v>
      </c>
      <c r="W495" s="205"/>
      <c r="X495" s="167"/>
    </row>
    <row r="496" spans="8:24" s="220" customFormat="1" ht="12" hidden="1" customHeight="1">
      <c r="H496" s="162" t="s">
        <v>494</v>
      </c>
      <c r="I496" s="163" t="s">
        <v>1118</v>
      </c>
      <c r="J496" s="163" t="s">
        <v>2582</v>
      </c>
      <c r="K496" s="162" t="s">
        <v>2583</v>
      </c>
      <c r="L496" s="164" t="s">
        <v>92</v>
      </c>
      <c r="M496" s="169"/>
      <c r="N496" s="165">
        <v>169000</v>
      </c>
      <c r="O496" s="169">
        <f t="shared" si="23"/>
        <v>0</v>
      </c>
      <c r="P496" s="165">
        <v>215974</v>
      </c>
      <c r="Q496" s="166">
        <f t="shared" si="24"/>
        <v>0</v>
      </c>
      <c r="R496" s="169"/>
      <c r="S496" s="169"/>
      <c r="T496" s="169"/>
      <c r="U496" s="169"/>
      <c r="V496" s="166">
        <f t="shared" si="25"/>
        <v>0</v>
      </c>
      <c r="W496" s="205"/>
      <c r="X496" s="167"/>
    </row>
    <row r="497" spans="8:24" s="220" customFormat="1" ht="12" hidden="1" customHeight="1">
      <c r="H497" s="162" t="s">
        <v>495</v>
      </c>
      <c r="I497" s="163" t="s">
        <v>1118</v>
      </c>
      <c r="J497" s="163" t="s">
        <v>2582</v>
      </c>
      <c r="K497" s="162" t="s">
        <v>2584</v>
      </c>
      <c r="L497" s="164" t="s">
        <v>92</v>
      </c>
      <c r="M497" s="169"/>
      <c r="N497" s="165">
        <v>207000</v>
      </c>
      <c r="O497" s="169">
        <f t="shared" si="23"/>
        <v>0</v>
      </c>
      <c r="P497" s="165">
        <v>215974</v>
      </c>
      <c r="Q497" s="166">
        <f t="shared" si="24"/>
        <v>0</v>
      </c>
      <c r="R497" s="169"/>
      <c r="S497" s="169"/>
      <c r="T497" s="169"/>
      <c r="U497" s="169"/>
      <c r="V497" s="166">
        <f t="shared" si="25"/>
        <v>0</v>
      </c>
      <c r="W497" s="205"/>
      <c r="X497" s="167"/>
    </row>
    <row r="498" spans="8:24" s="220" customFormat="1" ht="12" hidden="1" customHeight="1">
      <c r="H498" s="162" t="s">
        <v>496</v>
      </c>
      <c r="I498" s="163" t="s">
        <v>1118</v>
      </c>
      <c r="J498" s="163" t="s">
        <v>2582</v>
      </c>
      <c r="K498" s="162" t="s">
        <v>2585</v>
      </c>
      <c r="L498" s="164" t="s">
        <v>92</v>
      </c>
      <c r="M498" s="169"/>
      <c r="N498" s="165">
        <v>273000</v>
      </c>
      <c r="O498" s="169">
        <f t="shared" ref="O498:O561" si="26">M498*N498*$O$3</f>
        <v>0</v>
      </c>
      <c r="P498" s="165">
        <v>215974</v>
      </c>
      <c r="Q498" s="166">
        <f t="shared" si="24"/>
        <v>0</v>
      </c>
      <c r="R498" s="169"/>
      <c r="S498" s="169"/>
      <c r="T498" s="169"/>
      <c r="U498" s="169"/>
      <c r="V498" s="166">
        <f t="shared" si="25"/>
        <v>0</v>
      </c>
      <c r="W498" s="205"/>
      <c r="X498" s="167"/>
    </row>
    <row r="499" spans="8:24" s="220" customFormat="1" ht="12" hidden="1" customHeight="1">
      <c r="H499" s="162" t="s">
        <v>497</v>
      </c>
      <c r="I499" s="163" t="s">
        <v>1118</v>
      </c>
      <c r="J499" s="163" t="s">
        <v>2582</v>
      </c>
      <c r="K499" s="162" t="s">
        <v>2586</v>
      </c>
      <c r="L499" s="164" t="s">
        <v>92</v>
      </c>
      <c r="M499" s="169"/>
      <c r="N499" s="165">
        <v>310000</v>
      </c>
      <c r="O499" s="169">
        <f t="shared" si="26"/>
        <v>0</v>
      </c>
      <c r="P499" s="165">
        <v>215974</v>
      </c>
      <c r="Q499" s="166">
        <f t="shared" si="24"/>
        <v>0</v>
      </c>
      <c r="R499" s="169"/>
      <c r="S499" s="169"/>
      <c r="T499" s="169"/>
      <c r="U499" s="169"/>
      <c r="V499" s="166">
        <f t="shared" si="25"/>
        <v>0</v>
      </c>
      <c r="W499" s="205"/>
      <c r="X499" s="167"/>
    </row>
    <row r="500" spans="8:24" s="220" customFormat="1" ht="12" hidden="1" customHeight="1">
      <c r="H500" s="162" t="s">
        <v>498</v>
      </c>
      <c r="I500" s="163" t="s">
        <v>1119</v>
      </c>
      <c r="J500" s="163" t="s">
        <v>2587</v>
      </c>
      <c r="K500" s="162" t="s">
        <v>2588</v>
      </c>
      <c r="L500" s="164" t="s">
        <v>92</v>
      </c>
      <c r="M500" s="169"/>
      <c r="N500" s="165">
        <v>825000</v>
      </c>
      <c r="O500" s="169">
        <f t="shared" si="26"/>
        <v>0</v>
      </c>
      <c r="P500" s="165">
        <v>283466</v>
      </c>
      <c r="Q500" s="166">
        <f t="shared" si="24"/>
        <v>0</v>
      </c>
      <c r="R500" s="169"/>
      <c r="S500" s="169"/>
      <c r="T500" s="169"/>
      <c r="U500" s="169"/>
      <c r="V500" s="166">
        <f t="shared" si="25"/>
        <v>0</v>
      </c>
      <c r="W500" s="205"/>
      <c r="X500" s="167"/>
    </row>
    <row r="501" spans="8:24" s="220" customFormat="1" ht="12" hidden="1" customHeight="1">
      <c r="H501" s="162" t="s">
        <v>499</v>
      </c>
      <c r="I501" s="163" t="s">
        <v>1120</v>
      </c>
      <c r="J501" s="163" t="s">
        <v>2589</v>
      </c>
      <c r="K501" s="162" t="s">
        <v>2590</v>
      </c>
      <c r="L501" s="164" t="s">
        <v>92</v>
      </c>
      <c r="M501" s="169"/>
      <c r="N501" s="165">
        <v>869000</v>
      </c>
      <c r="O501" s="169">
        <f t="shared" si="26"/>
        <v>0</v>
      </c>
      <c r="P501" s="165">
        <v>337460</v>
      </c>
      <c r="Q501" s="166">
        <f t="shared" si="24"/>
        <v>0</v>
      </c>
      <c r="R501" s="169"/>
      <c r="S501" s="169"/>
      <c r="T501" s="169"/>
      <c r="U501" s="169"/>
      <c r="V501" s="166">
        <f t="shared" si="25"/>
        <v>0</v>
      </c>
      <c r="W501" s="205"/>
      <c r="X501" s="167"/>
    </row>
    <row r="502" spans="8:24" s="220" customFormat="1" ht="12" hidden="1" customHeight="1">
      <c r="H502" s="162" t="s">
        <v>500</v>
      </c>
      <c r="I502" s="163" t="s">
        <v>1120</v>
      </c>
      <c r="J502" s="163" t="s">
        <v>2589</v>
      </c>
      <c r="K502" s="162" t="s">
        <v>2591</v>
      </c>
      <c r="L502" s="164" t="s">
        <v>92</v>
      </c>
      <c r="M502" s="169"/>
      <c r="N502" s="165">
        <v>899000</v>
      </c>
      <c r="O502" s="169">
        <f t="shared" si="26"/>
        <v>0</v>
      </c>
      <c r="P502" s="165">
        <v>337460</v>
      </c>
      <c r="Q502" s="166">
        <f t="shared" si="24"/>
        <v>0</v>
      </c>
      <c r="R502" s="169"/>
      <c r="S502" s="169"/>
      <c r="T502" s="169"/>
      <c r="U502" s="169"/>
      <c r="V502" s="166">
        <f t="shared" si="25"/>
        <v>0</v>
      </c>
      <c r="W502" s="205"/>
      <c r="X502" s="167"/>
    </row>
    <row r="503" spans="8:24" s="220" customFormat="1" ht="12" hidden="1" customHeight="1">
      <c r="H503" s="162" t="s">
        <v>501</v>
      </c>
      <c r="I503" s="163" t="s">
        <v>1121</v>
      </c>
      <c r="J503" s="163" t="s">
        <v>2592</v>
      </c>
      <c r="K503" s="162" t="s">
        <v>2593</v>
      </c>
      <c r="L503" s="164" t="s">
        <v>92</v>
      </c>
      <c r="M503" s="169"/>
      <c r="N503" s="165">
        <v>1226000</v>
      </c>
      <c r="O503" s="169">
        <f t="shared" si="26"/>
        <v>0</v>
      </c>
      <c r="P503" s="165">
        <v>458945</v>
      </c>
      <c r="Q503" s="166">
        <f t="shared" si="24"/>
        <v>0</v>
      </c>
      <c r="R503" s="169"/>
      <c r="S503" s="169"/>
      <c r="T503" s="169"/>
      <c r="U503" s="169"/>
      <c r="V503" s="166">
        <f t="shared" si="25"/>
        <v>0</v>
      </c>
      <c r="W503" s="205"/>
      <c r="X503" s="167"/>
    </row>
    <row r="504" spans="8:24" s="220" customFormat="1" ht="12" hidden="1" customHeight="1">
      <c r="H504" s="162" t="s">
        <v>503</v>
      </c>
      <c r="I504" s="163" t="s">
        <v>1122</v>
      </c>
      <c r="J504" s="163" t="s">
        <v>2193</v>
      </c>
      <c r="K504" s="162" t="s">
        <v>2594</v>
      </c>
      <c r="L504" s="164" t="s">
        <v>92</v>
      </c>
      <c r="M504" s="169"/>
      <c r="N504" s="165">
        <v>1465000</v>
      </c>
      <c r="O504" s="169">
        <f t="shared" si="26"/>
        <v>0</v>
      </c>
      <c r="P504" s="165">
        <v>593929</v>
      </c>
      <c r="Q504" s="166">
        <f t="shared" si="24"/>
        <v>0</v>
      </c>
      <c r="R504" s="169"/>
      <c r="S504" s="169"/>
      <c r="T504" s="169"/>
      <c r="U504" s="169"/>
      <c r="V504" s="166">
        <f t="shared" si="25"/>
        <v>0</v>
      </c>
      <c r="W504" s="205"/>
      <c r="X504" s="167"/>
    </row>
    <row r="505" spans="8:24" s="220" customFormat="1" ht="12" hidden="1" customHeight="1">
      <c r="H505" s="162" t="s">
        <v>511</v>
      </c>
      <c r="I505" s="163" t="s">
        <v>1126</v>
      </c>
      <c r="J505" s="163" t="s">
        <v>2660</v>
      </c>
      <c r="K505" s="162" t="s">
        <v>2661</v>
      </c>
      <c r="L505" s="164" t="s">
        <v>92</v>
      </c>
      <c r="M505" s="169"/>
      <c r="N505" s="165">
        <v>14500</v>
      </c>
      <c r="O505" s="169">
        <f t="shared" si="26"/>
        <v>0</v>
      </c>
      <c r="P505" s="165">
        <v>221373</v>
      </c>
      <c r="Q505" s="166">
        <f t="shared" si="24"/>
        <v>0</v>
      </c>
      <c r="R505" s="169"/>
      <c r="S505" s="169"/>
      <c r="T505" s="169"/>
      <c r="U505" s="169"/>
      <c r="V505" s="166">
        <f t="shared" si="25"/>
        <v>0</v>
      </c>
      <c r="W505" s="205"/>
      <c r="X505" s="167"/>
    </row>
    <row r="506" spans="8:24" s="220" customFormat="1" ht="12" hidden="1" customHeight="1">
      <c r="H506" s="162" t="s">
        <v>512</v>
      </c>
      <c r="I506" s="163" t="s">
        <v>1126</v>
      </c>
      <c r="J506" s="163" t="s">
        <v>2660</v>
      </c>
      <c r="K506" s="162" t="s">
        <v>2662</v>
      </c>
      <c r="L506" s="164" t="s">
        <v>92</v>
      </c>
      <c r="M506" s="169"/>
      <c r="N506" s="165">
        <v>26300</v>
      </c>
      <c r="O506" s="169">
        <f t="shared" si="26"/>
        <v>0</v>
      </c>
      <c r="P506" s="165">
        <v>221373</v>
      </c>
      <c r="Q506" s="166">
        <f t="shared" si="24"/>
        <v>0</v>
      </c>
      <c r="R506" s="169"/>
      <c r="S506" s="169"/>
      <c r="T506" s="169"/>
      <c r="U506" s="169"/>
      <c r="V506" s="166">
        <f t="shared" si="25"/>
        <v>0</v>
      </c>
      <c r="W506" s="205"/>
      <c r="X506" s="167"/>
    </row>
    <row r="507" spans="8:24" s="220" customFormat="1" ht="12" hidden="1" customHeight="1">
      <c r="H507" s="162" t="s">
        <v>513</v>
      </c>
      <c r="I507" s="163" t="s">
        <v>1126</v>
      </c>
      <c r="J507" s="163" t="s">
        <v>2663</v>
      </c>
      <c r="K507" s="162" t="s">
        <v>2664</v>
      </c>
      <c r="L507" s="164" t="s">
        <v>92</v>
      </c>
      <c r="M507" s="169"/>
      <c r="N507" s="165">
        <v>21300</v>
      </c>
      <c r="O507" s="169">
        <f t="shared" si="26"/>
        <v>0</v>
      </c>
      <c r="P507" s="165">
        <v>221373</v>
      </c>
      <c r="Q507" s="166">
        <f t="shared" si="24"/>
        <v>0</v>
      </c>
      <c r="R507" s="169"/>
      <c r="S507" s="169"/>
      <c r="T507" s="169"/>
      <c r="U507" s="169"/>
      <c r="V507" s="166">
        <f t="shared" si="25"/>
        <v>0</v>
      </c>
      <c r="W507" s="205"/>
      <c r="X507" s="167"/>
    </row>
    <row r="508" spans="8:24" s="220" customFormat="1" ht="12" hidden="1" customHeight="1">
      <c r="H508" s="162" t="s">
        <v>514</v>
      </c>
      <c r="I508" s="163" t="s">
        <v>1126</v>
      </c>
      <c r="J508" s="163" t="s">
        <v>2663</v>
      </c>
      <c r="K508" s="162" t="s">
        <v>2665</v>
      </c>
      <c r="L508" s="164" t="s">
        <v>92</v>
      </c>
      <c r="M508" s="169"/>
      <c r="N508" s="165">
        <v>42300</v>
      </c>
      <c r="O508" s="169">
        <f t="shared" si="26"/>
        <v>0</v>
      </c>
      <c r="P508" s="165">
        <v>221373</v>
      </c>
      <c r="Q508" s="166">
        <f t="shared" si="24"/>
        <v>0</v>
      </c>
      <c r="R508" s="169"/>
      <c r="S508" s="169"/>
      <c r="T508" s="169"/>
      <c r="U508" s="169"/>
      <c r="V508" s="166">
        <f t="shared" si="25"/>
        <v>0</v>
      </c>
      <c r="W508" s="205"/>
      <c r="X508" s="167"/>
    </row>
    <row r="509" spans="8:24" s="220" customFormat="1" ht="12" hidden="1" customHeight="1">
      <c r="H509" s="162" t="s">
        <v>543</v>
      </c>
      <c r="I509" s="163" t="s">
        <v>1134</v>
      </c>
      <c r="J509" s="163" t="s">
        <v>2205</v>
      </c>
      <c r="K509" s="162" t="s">
        <v>2206</v>
      </c>
      <c r="L509" s="164" t="s">
        <v>92</v>
      </c>
      <c r="M509" s="169"/>
      <c r="N509" s="165">
        <v>7260</v>
      </c>
      <c r="O509" s="169">
        <f t="shared" si="26"/>
        <v>0</v>
      </c>
      <c r="P509" s="165">
        <v>40495</v>
      </c>
      <c r="Q509" s="166">
        <f t="shared" si="24"/>
        <v>0</v>
      </c>
      <c r="R509" s="169"/>
      <c r="S509" s="169"/>
      <c r="T509" s="169"/>
      <c r="U509" s="169"/>
      <c r="V509" s="166">
        <f t="shared" si="25"/>
        <v>0</v>
      </c>
      <c r="W509" s="205"/>
      <c r="X509" s="167"/>
    </row>
    <row r="510" spans="8:24" s="220" customFormat="1" ht="12" hidden="1" customHeight="1">
      <c r="H510" s="162" t="s">
        <v>548</v>
      </c>
      <c r="I510" s="163" t="s">
        <v>1133</v>
      </c>
      <c r="J510" s="163" t="s">
        <v>2207</v>
      </c>
      <c r="K510" s="162" t="s">
        <v>2208</v>
      </c>
      <c r="L510" s="164" t="s">
        <v>92</v>
      </c>
      <c r="M510" s="169"/>
      <c r="N510" s="165">
        <v>2900</v>
      </c>
      <c r="O510" s="169">
        <f t="shared" si="26"/>
        <v>0</v>
      </c>
      <c r="P510" s="165">
        <v>21597</v>
      </c>
      <c r="Q510" s="166">
        <f t="shared" si="24"/>
        <v>0</v>
      </c>
      <c r="R510" s="169"/>
      <c r="S510" s="169"/>
      <c r="T510" s="169"/>
      <c r="U510" s="169"/>
      <c r="V510" s="166">
        <f t="shared" si="25"/>
        <v>0</v>
      </c>
      <c r="W510" s="205"/>
      <c r="X510" s="167"/>
    </row>
    <row r="511" spans="8:24" s="220" customFormat="1" ht="12" hidden="1" customHeight="1">
      <c r="H511" s="162" t="s">
        <v>553</v>
      </c>
      <c r="I511" s="163" t="s">
        <v>1134</v>
      </c>
      <c r="J511" s="163" t="s">
        <v>2209</v>
      </c>
      <c r="K511" s="162" t="s">
        <v>2210</v>
      </c>
      <c r="L511" s="164" t="s">
        <v>92</v>
      </c>
      <c r="M511" s="169"/>
      <c r="N511" s="165">
        <v>6800</v>
      </c>
      <c r="O511" s="169">
        <f t="shared" si="26"/>
        <v>0</v>
      </c>
      <c r="P511" s="165">
        <v>40495</v>
      </c>
      <c r="Q511" s="166">
        <f t="shared" si="24"/>
        <v>0</v>
      </c>
      <c r="R511" s="169"/>
      <c r="S511" s="169"/>
      <c r="T511" s="169"/>
      <c r="U511" s="169"/>
      <c r="V511" s="166">
        <f t="shared" si="25"/>
        <v>0</v>
      </c>
      <c r="W511" s="205"/>
      <c r="X511" s="167"/>
    </row>
    <row r="512" spans="8:24" s="220" customFormat="1" ht="12" hidden="1" customHeight="1">
      <c r="H512" s="162" t="s">
        <v>535</v>
      </c>
      <c r="I512" s="163" t="s">
        <v>1133</v>
      </c>
      <c r="J512" s="163" t="s">
        <v>2693</v>
      </c>
      <c r="K512" s="162" t="s">
        <v>2694</v>
      </c>
      <c r="L512" s="164" t="s">
        <v>92</v>
      </c>
      <c r="M512" s="169"/>
      <c r="N512" s="165">
        <v>1840</v>
      </c>
      <c r="O512" s="169">
        <f t="shared" si="26"/>
        <v>0</v>
      </c>
      <c r="P512" s="165">
        <v>21597</v>
      </c>
      <c r="Q512" s="166">
        <f t="shared" si="24"/>
        <v>0</v>
      </c>
      <c r="R512" s="169"/>
      <c r="S512" s="169"/>
      <c r="T512" s="169"/>
      <c r="U512" s="169"/>
      <c r="V512" s="166">
        <f t="shared" si="25"/>
        <v>0</v>
      </c>
      <c r="W512" s="205"/>
      <c r="X512" s="167"/>
    </row>
    <row r="513" spans="8:24" s="220" customFormat="1" ht="12" hidden="1" customHeight="1">
      <c r="H513" s="162" t="s">
        <v>536</v>
      </c>
      <c r="I513" s="163" t="s">
        <v>1133</v>
      </c>
      <c r="J513" s="163" t="s">
        <v>2693</v>
      </c>
      <c r="K513" s="162" t="s">
        <v>2695</v>
      </c>
      <c r="L513" s="164" t="s">
        <v>92</v>
      </c>
      <c r="M513" s="169"/>
      <c r="N513" s="165">
        <v>2270</v>
      </c>
      <c r="O513" s="169">
        <f t="shared" si="26"/>
        <v>0</v>
      </c>
      <c r="P513" s="165">
        <v>21597</v>
      </c>
      <c r="Q513" s="166">
        <f t="shared" si="24"/>
        <v>0</v>
      </c>
      <c r="R513" s="169"/>
      <c r="S513" s="169"/>
      <c r="T513" s="169"/>
      <c r="U513" s="169"/>
      <c r="V513" s="166">
        <f t="shared" si="25"/>
        <v>0</v>
      </c>
      <c r="W513" s="205"/>
      <c r="X513" s="167"/>
    </row>
    <row r="514" spans="8:24" s="220" customFormat="1" ht="12" hidden="1" customHeight="1">
      <c r="H514" s="162" t="s">
        <v>537</v>
      </c>
      <c r="I514" s="163" t="s">
        <v>1134</v>
      </c>
      <c r="J514" s="163" t="s">
        <v>2696</v>
      </c>
      <c r="K514" s="162" t="s">
        <v>2697</v>
      </c>
      <c r="L514" s="164" t="s">
        <v>92</v>
      </c>
      <c r="M514" s="169"/>
      <c r="N514" s="165">
        <v>5490</v>
      </c>
      <c r="O514" s="169">
        <f t="shared" si="26"/>
        <v>0</v>
      </c>
      <c r="P514" s="165">
        <v>40495</v>
      </c>
      <c r="Q514" s="166">
        <f t="shared" si="24"/>
        <v>0</v>
      </c>
      <c r="R514" s="169"/>
      <c r="S514" s="169"/>
      <c r="T514" s="169"/>
      <c r="U514" s="169"/>
      <c r="V514" s="166">
        <f t="shared" si="25"/>
        <v>0</v>
      </c>
      <c r="W514" s="205"/>
      <c r="X514" s="167"/>
    </row>
    <row r="515" spans="8:24" s="220" customFormat="1" ht="12" hidden="1" customHeight="1">
      <c r="H515" s="162" t="s">
        <v>538</v>
      </c>
      <c r="I515" s="163" t="s">
        <v>1133</v>
      </c>
      <c r="J515" s="163" t="s">
        <v>2693</v>
      </c>
      <c r="K515" s="162" t="s">
        <v>2698</v>
      </c>
      <c r="L515" s="164" t="s">
        <v>92</v>
      </c>
      <c r="M515" s="169"/>
      <c r="N515" s="165">
        <v>3360</v>
      </c>
      <c r="O515" s="169">
        <f t="shared" si="26"/>
        <v>0</v>
      </c>
      <c r="P515" s="165">
        <v>21597</v>
      </c>
      <c r="Q515" s="166">
        <f t="shared" si="24"/>
        <v>0</v>
      </c>
      <c r="R515" s="169"/>
      <c r="S515" s="169"/>
      <c r="T515" s="169"/>
      <c r="U515" s="169"/>
      <c r="V515" s="166">
        <f t="shared" si="25"/>
        <v>0</v>
      </c>
      <c r="W515" s="205"/>
      <c r="X515" s="167"/>
    </row>
    <row r="516" spans="8:24" s="220" customFormat="1" ht="12" hidden="1" customHeight="1">
      <c r="H516" s="162" t="s">
        <v>539</v>
      </c>
      <c r="I516" s="163" t="s">
        <v>1133</v>
      </c>
      <c r="J516" s="163" t="s">
        <v>2693</v>
      </c>
      <c r="K516" s="162" t="s">
        <v>2699</v>
      </c>
      <c r="L516" s="164" t="s">
        <v>92</v>
      </c>
      <c r="M516" s="169"/>
      <c r="N516" s="165">
        <v>3740</v>
      </c>
      <c r="O516" s="169">
        <f t="shared" si="26"/>
        <v>0</v>
      </c>
      <c r="P516" s="165">
        <v>21597</v>
      </c>
      <c r="Q516" s="166">
        <f t="shared" si="24"/>
        <v>0</v>
      </c>
      <c r="R516" s="169"/>
      <c r="S516" s="169"/>
      <c r="T516" s="169"/>
      <c r="U516" s="169"/>
      <c r="V516" s="166">
        <f t="shared" si="25"/>
        <v>0</v>
      </c>
      <c r="W516" s="205"/>
      <c r="X516" s="167"/>
    </row>
    <row r="517" spans="8:24" s="220" customFormat="1" ht="12" hidden="1" customHeight="1">
      <c r="H517" s="162" t="s">
        <v>540</v>
      </c>
      <c r="I517" s="163" t="s">
        <v>1133</v>
      </c>
      <c r="J517" s="163" t="s">
        <v>2700</v>
      </c>
      <c r="K517" s="162" t="s">
        <v>2701</v>
      </c>
      <c r="L517" s="164" t="s">
        <v>92</v>
      </c>
      <c r="M517" s="169"/>
      <c r="N517" s="165">
        <v>3200</v>
      </c>
      <c r="O517" s="169">
        <f t="shared" si="26"/>
        <v>0</v>
      </c>
      <c r="P517" s="165">
        <v>21597</v>
      </c>
      <c r="Q517" s="166">
        <f t="shared" si="24"/>
        <v>0</v>
      </c>
      <c r="R517" s="169"/>
      <c r="S517" s="169"/>
      <c r="T517" s="169"/>
      <c r="U517" s="169"/>
      <c r="V517" s="166">
        <f t="shared" si="25"/>
        <v>0</v>
      </c>
      <c r="W517" s="205"/>
      <c r="X517" s="167"/>
    </row>
    <row r="518" spans="8:24" s="220" customFormat="1" ht="12" hidden="1" customHeight="1">
      <c r="H518" s="162" t="s">
        <v>541</v>
      </c>
      <c r="I518" s="163" t="s">
        <v>1135</v>
      </c>
      <c r="J518" s="163" t="s">
        <v>2702</v>
      </c>
      <c r="K518" s="162" t="s">
        <v>2703</v>
      </c>
      <c r="L518" s="164" t="s">
        <v>92</v>
      </c>
      <c r="M518" s="169"/>
      <c r="N518" s="165">
        <v>3350</v>
      </c>
      <c r="O518" s="169">
        <f t="shared" si="26"/>
        <v>0</v>
      </c>
      <c r="P518" s="165">
        <v>39145</v>
      </c>
      <c r="Q518" s="166">
        <f t="shared" si="24"/>
        <v>0</v>
      </c>
      <c r="R518" s="169"/>
      <c r="S518" s="169"/>
      <c r="T518" s="169"/>
      <c r="U518" s="169"/>
      <c r="V518" s="166">
        <f t="shared" si="25"/>
        <v>0</v>
      </c>
      <c r="W518" s="205"/>
      <c r="X518" s="167"/>
    </row>
    <row r="519" spans="8:24" s="220" customFormat="1" ht="12" hidden="1" customHeight="1">
      <c r="H519" s="162" t="s">
        <v>542</v>
      </c>
      <c r="I519" s="163" t="s">
        <v>1135</v>
      </c>
      <c r="J519" s="163" t="s">
        <v>2702</v>
      </c>
      <c r="K519" s="162" t="s">
        <v>2704</v>
      </c>
      <c r="L519" s="164" t="s">
        <v>92</v>
      </c>
      <c r="M519" s="169"/>
      <c r="N519" s="165">
        <v>7000</v>
      </c>
      <c r="O519" s="169">
        <f t="shared" si="26"/>
        <v>0</v>
      </c>
      <c r="P519" s="165">
        <v>39145</v>
      </c>
      <c r="Q519" s="166">
        <f t="shared" si="24"/>
        <v>0</v>
      </c>
      <c r="R519" s="169"/>
      <c r="S519" s="169"/>
      <c r="T519" s="169"/>
      <c r="U519" s="169"/>
      <c r="V519" s="166">
        <f t="shared" si="25"/>
        <v>0</v>
      </c>
      <c r="W519" s="205"/>
      <c r="X519" s="167"/>
    </row>
    <row r="520" spans="8:24" s="220" customFormat="1" ht="12" hidden="1" customHeight="1">
      <c r="H520" s="162" t="s">
        <v>544</v>
      </c>
      <c r="I520" s="163" t="s">
        <v>1134</v>
      </c>
      <c r="J520" s="163" t="s">
        <v>2205</v>
      </c>
      <c r="K520" s="162" t="s">
        <v>2705</v>
      </c>
      <c r="L520" s="164" t="s">
        <v>92</v>
      </c>
      <c r="M520" s="169"/>
      <c r="N520" s="165">
        <v>8600</v>
      </c>
      <c r="O520" s="169">
        <f t="shared" si="26"/>
        <v>0</v>
      </c>
      <c r="P520" s="165">
        <v>40495</v>
      </c>
      <c r="Q520" s="166">
        <f t="shared" si="24"/>
        <v>0</v>
      </c>
      <c r="R520" s="169"/>
      <c r="S520" s="169"/>
      <c r="T520" s="169"/>
      <c r="U520" s="169"/>
      <c r="V520" s="166">
        <f t="shared" si="25"/>
        <v>0</v>
      </c>
      <c r="W520" s="205"/>
      <c r="X520" s="167"/>
    </row>
    <row r="521" spans="8:24" s="220" customFormat="1" ht="12" hidden="1" customHeight="1">
      <c r="H521" s="162" t="s">
        <v>545</v>
      </c>
      <c r="I521" s="163" t="s">
        <v>1134</v>
      </c>
      <c r="J521" s="163" t="s">
        <v>2205</v>
      </c>
      <c r="K521" s="162" t="s">
        <v>2706</v>
      </c>
      <c r="L521" s="164" t="s">
        <v>92</v>
      </c>
      <c r="M521" s="169"/>
      <c r="N521" s="165">
        <v>7040</v>
      </c>
      <c r="O521" s="169">
        <f t="shared" si="26"/>
        <v>0</v>
      </c>
      <c r="P521" s="165">
        <v>40495</v>
      </c>
      <c r="Q521" s="166">
        <f t="shared" si="24"/>
        <v>0</v>
      </c>
      <c r="R521" s="169"/>
      <c r="S521" s="169"/>
      <c r="T521" s="169"/>
      <c r="U521" s="169"/>
      <c r="V521" s="166">
        <f t="shared" si="25"/>
        <v>0</v>
      </c>
      <c r="W521" s="205"/>
      <c r="X521" s="167"/>
    </row>
    <row r="522" spans="8:24" s="220" customFormat="1" ht="12" hidden="1" customHeight="1">
      <c r="H522" s="162" t="s">
        <v>546</v>
      </c>
      <c r="I522" s="163" t="s">
        <v>1133</v>
      </c>
      <c r="J522" s="163" t="s">
        <v>2207</v>
      </c>
      <c r="K522" s="162" t="s">
        <v>2707</v>
      </c>
      <c r="L522" s="164" t="s">
        <v>92</v>
      </c>
      <c r="M522" s="169"/>
      <c r="N522" s="165">
        <v>3190</v>
      </c>
      <c r="O522" s="169">
        <f t="shared" si="26"/>
        <v>0</v>
      </c>
      <c r="P522" s="165">
        <v>21597</v>
      </c>
      <c r="Q522" s="166">
        <f t="shared" si="24"/>
        <v>0</v>
      </c>
      <c r="R522" s="169"/>
      <c r="S522" s="169"/>
      <c r="T522" s="169"/>
      <c r="U522" s="169"/>
      <c r="V522" s="166">
        <f t="shared" si="25"/>
        <v>0</v>
      </c>
      <c r="W522" s="205"/>
      <c r="X522" s="167"/>
    </row>
    <row r="523" spans="8:24" s="220" customFormat="1" ht="12" hidden="1" customHeight="1">
      <c r="H523" s="162" t="s">
        <v>547</v>
      </c>
      <c r="I523" s="163" t="s">
        <v>1133</v>
      </c>
      <c r="J523" s="163" t="s">
        <v>2207</v>
      </c>
      <c r="K523" s="162" t="s">
        <v>2708</v>
      </c>
      <c r="L523" s="164" t="s">
        <v>92</v>
      </c>
      <c r="M523" s="169"/>
      <c r="N523" s="165">
        <v>2090</v>
      </c>
      <c r="O523" s="169">
        <f t="shared" si="26"/>
        <v>0</v>
      </c>
      <c r="P523" s="165">
        <v>21597</v>
      </c>
      <c r="Q523" s="166">
        <f t="shared" si="24"/>
        <v>0</v>
      </c>
      <c r="R523" s="169"/>
      <c r="S523" s="169"/>
      <c r="T523" s="169"/>
      <c r="U523" s="169"/>
      <c r="V523" s="166">
        <f t="shared" si="25"/>
        <v>0</v>
      </c>
      <c r="W523" s="205"/>
      <c r="X523" s="167"/>
    </row>
    <row r="524" spans="8:24" s="220" customFormat="1" ht="12" hidden="1" customHeight="1">
      <c r="H524" s="162" t="s">
        <v>549</v>
      </c>
      <c r="I524" s="163" t="s">
        <v>1135</v>
      </c>
      <c r="J524" s="163" t="s">
        <v>2709</v>
      </c>
      <c r="K524" s="162" t="s">
        <v>2710</v>
      </c>
      <c r="L524" s="164" t="s">
        <v>92</v>
      </c>
      <c r="M524" s="169"/>
      <c r="N524" s="165">
        <v>3240</v>
      </c>
      <c r="O524" s="169">
        <f t="shared" si="26"/>
        <v>0</v>
      </c>
      <c r="P524" s="165">
        <v>39145</v>
      </c>
      <c r="Q524" s="166">
        <f t="shared" ref="Q524:Q587" si="27">IF(W524="",M524*P524*$Q$3*$W$3,M524*P524*$Q$3*W524)</f>
        <v>0</v>
      </c>
      <c r="R524" s="169"/>
      <c r="S524" s="169"/>
      <c r="T524" s="169"/>
      <c r="U524" s="169"/>
      <c r="V524" s="166">
        <f t="shared" ref="V524:V587" si="28">SUM(O524+Q524)+S524+U524</f>
        <v>0</v>
      </c>
      <c r="W524" s="205"/>
      <c r="X524" s="167"/>
    </row>
    <row r="525" spans="8:24" s="220" customFormat="1" ht="12" hidden="1" customHeight="1">
      <c r="H525" s="162" t="s">
        <v>550</v>
      </c>
      <c r="I525" s="163" t="s">
        <v>1135</v>
      </c>
      <c r="J525" s="163" t="s">
        <v>2709</v>
      </c>
      <c r="K525" s="162" t="s">
        <v>2711</v>
      </c>
      <c r="L525" s="164" t="s">
        <v>92</v>
      </c>
      <c r="M525" s="169"/>
      <c r="N525" s="165">
        <v>5380</v>
      </c>
      <c r="O525" s="169">
        <f t="shared" si="26"/>
        <v>0</v>
      </c>
      <c r="P525" s="165">
        <v>39145</v>
      </c>
      <c r="Q525" s="166">
        <f t="shared" si="27"/>
        <v>0</v>
      </c>
      <c r="R525" s="169"/>
      <c r="S525" s="169"/>
      <c r="T525" s="169"/>
      <c r="U525" s="169"/>
      <c r="V525" s="166">
        <f t="shared" si="28"/>
        <v>0</v>
      </c>
      <c r="W525" s="205"/>
      <c r="X525" s="167"/>
    </row>
    <row r="526" spans="8:24" s="220" customFormat="1" ht="12" hidden="1" customHeight="1">
      <c r="H526" s="162" t="s">
        <v>551</v>
      </c>
      <c r="I526" s="163" t="s">
        <v>1135</v>
      </c>
      <c r="J526" s="163" t="s">
        <v>2709</v>
      </c>
      <c r="K526" s="162" t="s">
        <v>2712</v>
      </c>
      <c r="L526" s="164" t="s">
        <v>92</v>
      </c>
      <c r="M526" s="169"/>
      <c r="N526" s="165">
        <v>5940</v>
      </c>
      <c r="O526" s="169">
        <f t="shared" si="26"/>
        <v>0</v>
      </c>
      <c r="P526" s="165">
        <v>39145</v>
      </c>
      <c r="Q526" s="166">
        <f t="shared" si="27"/>
        <v>0</v>
      </c>
      <c r="R526" s="169"/>
      <c r="S526" s="169"/>
      <c r="T526" s="169"/>
      <c r="U526" s="169"/>
      <c r="V526" s="166">
        <f t="shared" si="28"/>
        <v>0</v>
      </c>
      <c r="W526" s="205"/>
      <c r="X526" s="167"/>
    </row>
    <row r="527" spans="8:24" s="220" customFormat="1" ht="12" hidden="1" customHeight="1">
      <c r="H527" s="162" t="s">
        <v>552</v>
      </c>
      <c r="I527" s="163" t="s">
        <v>1134</v>
      </c>
      <c r="J527" s="163" t="s">
        <v>2209</v>
      </c>
      <c r="K527" s="162" t="s">
        <v>2713</v>
      </c>
      <c r="L527" s="164" t="s">
        <v>92</v>
      </c>
      <c r="M527" s="169"/>
      <c r="N527" s="165">
        <v>4180</v>
      </c>
      <c r="O527" s="169">
        <f t="shared" si="26"/>
        <v>0</v>
      </c>
      <c r="P527" s="165">
        <v>40495</v>
      </c>
      <c r="Q527" s="166">
        <f t="shared" si="27"/>
        <v>0</v>
      </c>
      <c r="R527" s="169"/>
      <c r="S527" s="169"/>
      <c r="T527" s="169"/>
      <c r="U527" s="169"/>
      <c r="V527" s="166">
        <f t="shared" si="28"/>
        <v>0</v>
      </c>
      <c r="W527" s="205"/>
      <c r="X527" s="167"/>
    </row>
    <row r="528" spans="8:24" s="220" customFormat="1" ht="12" hidden="1" customHeight="1">
      <c r="H528" s="162" t="s">
        <v>554</v>
      </c>
      <c r="I528" s="163" t="s">
        <v>1134</v>
      </c>
      <c r="J528" s="163" t="s">
        <v>2209</v>
      </c>
      <c r="K528" s="162" t="s">
        <v>2715</v>
      </c>
      <c r="L528" s="164" t="s">
        <v>92</v>
      </c>
      <c r="M528" s="169"/>
      <c r="N528" s="165">
        <v>8010</v>
      </c>
      <c r="O528" s="169">
        <f t="shared" si="26"/>
        <v>0</v>
      </c>
      <c r="P528" s="165">
        <v>40495</v>
      </c>
      <c r="Q528" s="166">
        <f t="shared" si="27"/>
        <v>0</v>
      </c>
      <c r="R528" s="169"/>
      <c r="S528" s="169"/>
      <c r="T528" s="169"/>
      <c r="U528" s="169"/>
      <c r="V528" s="166">
        <f t="shared" si="28"/>
        <v>0</v>
      </c>
      <c r="W528" s="205"/>
      <c r="X528" s="167"/>
    </row>
    <row r="529" spans="8:24" s="220" customFormat="1" ht="12" hidden="1" customHeight="1">
      <c r="H529" s="162" t="s">
        <v>529</v>
      </c>
      <c r="I529" s="163" t="s">
        <v>1132</v>
      </c>
      <c r="J529" s="163" t="s">
        <v>2203</v>
      </c>
      <c r="K529" s="162" t="s">
        <v>2204</v>
      </c>
      <c r="L529" s="164" t="s">
        <v>92</v>
      </c>
      <c r="M529" s="169"/>
      <c r="N529" s="165">
        <v>6100</v>
      </c>
      <c r="O529" s="169">
        <f t="shared" si="26"/>
        <v>0</v>
      </c>
      <c r="P529" s="165">
        <v>1619</v>
      </c>
      <c r="Q529" s="166">
        <f t="shared" si="27"/>
        <v>0</v>
      </c>
      <c r="R529" s="169"/>
      <c r="S529" s="169"/>
      <c r="T529" s="169"/>
      <c r="U529" s="169"/>
      <c r="V529" s="166">
        <f t="shared" si="28"/>
        <v>0</v>
      </c>
      <c r="W529" s="205"/>
      <c r="X529" s="167"/>
    </row>
    <row r="530" spans="8:24" s="220" customFormat="1" ht="12" hidden="1" customHeight="1">
      <c r="H530" s="162" t="s">
        <v>525</v>
      </c>
      <c r="I530" s="163" t="s">
        <v>1132</v>
      </c>
      <c r="J530" s="163" t="s">
        <v>2203</v>
      </c>
      <c r="K530" s="162" t="s">
        <v>2684</v>
      </c>
      <c r="L530" s="164" t="s">
        <v>92</v>
      </c>
      <c r="M530" s="169"/>
      <c r="N530" s="165">
        <v>2200</v>
      </c>
      <c r="O530" s="169">
        <f t="shared" si="26"/>
        <v>0</v>
      </c>
      <c r="P530" s="165">
        <v>1619</v>
      </c>
      <c r="Q530" s="166">
        <f t="shared" si="27"/>
        <v>0</v>
      </c>
      <c r="R530" s="169"/>
      <c r="S530" s="169"/>
      <c r="T530" s="169"/>
      <c r="U530" s="169"/>
      <c r="V530" s="166">
        <f t="shared" si="28"/>
        <v>0</v>
      </c>
      <c r="W530" s="205"/>
      <c r="X530" s="167"/>
    </row>
    <row r="531" spans="8:24" s="220" customFormat="1" ht="12" hidden="1" customHeight="1">
      <c r="H531" s="162" t="s">
        <v>526</v>
      </c>
      <c r="I531" s="163" t="s">
        <v>1132</v>
      </c>
      <c r="J531" s="163" t="s">
        <v>2203</v>
      </c>
      <c r="K531" s="162" t="s">
        <v>2685</v>
      </c>
      <c r="L531" s="164" t="s">
        <v>92</v>
      </c>
      <c r="M531" s="169"/>
      <c r="N531" s="165">
        <v>2200</v>
      </c>
      <c r="O531" s="169">
        <f t="shared" si="26"/>
        <v>0</v>
      </c>
      <c r="P531" s="165">
        <v>1619</v>
      </c>
      <c r="Q531" s="166">
        <f t="shared" si="27"/>
        <v>0</v>
      </c>
      <c r="R531" s="169"/>
      <c r="S531" s="169"/>
      <c r="T531" s="169"/>
      <c r="U531" s="169"/>
      <c r="V531" s="166">
        <f t="shared" si="28"/>
        <v>0</v>
      </c>
      <c r="W531" s="205"/>
      <c r="X531" s="167"/>
    </row>
    <row r="532" spans="8:24" s="220" customFormat="1" ht="12" hidden="1" customHeight="1">
      <c r="H532" s="162" t="s">
        <v>527</v>
      </c>
      <c r="I532" s="163" t="s">
        <v>1132</v>
      </c>
      <c r="J532" s="163" t="s">
        <v>2203</v>
      </c>
      <c r="K532" s="162" t="s">
        <v>2686</v>
      </c>
      <c r="L532" s="164" t="s">
        <v>92</v>
      </c>
      <c r="M532" s="169"/>
      <c r="N532" s="165">
        <v>18900</v>
      </c>
      <c r="O532" s="169">
        <f t="shared" si="26"/>
        <v>0</v>
      </c>
      <c r="P532" s="165">
        <v>1619</v>
      </c>
      <c r="Q532" s="166">
        <f t="shared" si="27"/>
        <v>0</v>
      </c>
      <c r="R532" s="169"/>
      <c r="S532" s="169"/>
      <c r="T532" s="169"/>
      <c r="U532" s="169"/>
      <c r="V532" s="166">
        <f t="shared" si="28"/>
        <v>0</v>
      </c>
      <c r="W532" s="205"/>
      <c r="X532" s="167"/>
    </row>
    <row r="533" spans="8:24" s="220" customFormat="1" ht="12" hidden="1" customHeight="1">
      <c r="H533" s="162" t="s">
        <v>528</v>
      </c>
      <c r="I533" s="163" t="s">
        <v>1132</v>
      </c>
      <c r="J533" s="163" t="s">
        <v>2203</v>
      </c>
      <c r="K533" s="162" t="s">
        <v>2687</v>
      </c>
      <c r="L533" s="164" t="s">
        <v>92</v>
      </c>
      <c r="M533" s="169"/>
      <c r="N533" s="165">
        <v>5400</v>
      </c>
      <c r="O533" s="169">
        <f t="shared" si="26"/>
        <v>0</v>
      </c>
      <c r="P533" s="165">
        <v>1619</v>
      </c>
      <c r="Q533" s="166">
        <f t="shared" si="27"/>
        <v>0</v>
      </c>
      <c r="R533" s="169"/>
      <c r="S533" s="169"/>
      <c r="T533" s="169"/>
      <c r="U533" s="169"/>
      <c r="V533" s="166">
        <f t="shared" si="28"/>
        <v>0</v>
      </c>
      <c r="W533" s="205"/>
      <c r="X533" s="167"/>
    </row>
    <row r="534" spans="8:24" s="220" customFormat="1" ht="12" hidden="1" customHeight="1">
      <c r="H534" s="162" t="s">
        <v>530</v>
      </c>
      <c r="I534" s="163" t="s">
        <v>1132</v>
      </c>
      <c r="J534" s="163" t="s">
        <v>2203</v>
      </c>
      <c r="K534" s="162" t="s">
        <v>2688</v>
      </c>
      <c r="L534" s="164" t="s">
        <v>92</v>
      </c>
      <c r="M534" s="169"/>
      <c r="N534" s="165">
        <v>6700</v>
      </c>
      <c r="O534" s="169">
        <f t="shared" si="26"/>
        <v>0</v>
      </c>
      <c r="P534" s="165">
        <v>1619</v>
      </c>
      <c r="Q534" s="166">
        <f t="shared" si="27"/>
        <v>0</v>
      </c>
      <c r="R534" s="169"/>
      <c r="S534" s="169"/>
      <c r="T534" s="169"/>
      <c r="U534" s="169"/>
      <c r="V534" s="166">
        <f t="shared" si="28"/>
        <v>0</v>
      </c>
      <c r="W534" s="205"/>
      <c r="X534" s="167"/>
    </row>
    <row r="535" spans="8:24" s="220" customFormat="1" ht="12" hidden="1" customHeight="1">
      <c r="H535" s="162" t="s">
        <v>531</v>
      </c>
      <c r="I535" s="163" t="s">
        <v>1132</v>
      </c>
      <c r="J535" s="163" t="s">
        <v>2203</v>
      </c>
      <c r="K535" s="162" t="s">
        <v>2689</v>
      </c>
      <c r="L535" s="164" t="s">
        <v>92</v>
      </c>
      <c r="M535" s="169"/>
      <c r="N535" s="165">
        <v>7800</v>
      </c>
      <c r="O535" s="169">
        <f t="shared" si="26"/>
        <v>0</v>
      </c>
      <c r="P535" s="165">
        <v>1619</v>
      </c>
      <c r="Q535" s="166">
        <f t="shared" si="27"/>
        <v>0</v>
      </c>
      <c r="R535" s="169"/>
      <c r="S535" s="169"/>
      <c r="T535" s="169"/>
      <c r="U535" s="169"/>
      <c r="V535" s="166">
        <f t="shared" si="28"/>
        <v>0</v>
      </c>
      <c r="W535" s="205"/>
      <c r="X535" s="167"/>
    </row>
    <row r="536" spans="8:24" s="220" customFormat="1" ht="12" hidden="1" customHeight="1">
      <c r="H536" s="162" t="s">
        <v>532</v>
      </c>
      <c r="I536" s="163" t="s">
        <v>1132</v>
      </c>
      <c r="J536" s="163" t="s">
        <v>2203</v>
      </c>
      <c r="K536" s="162" t="s">
        <v>2690</v>
      </c>
      <c r="L536" s="164" t="s">
        <v>92</v>
      </c>
      <c r="M536" s="169"/>
      <c r="N536" s="165">
        <v>10400</v>
      </c>
      <c r="O536" s="169">
        <f t="shared" si="26"/>
        <v>0</v>
      </c>
      <c r="P536" s="165">
        <v>1619</v>
      </c>
      <c r="Q536" s="166">
        <f t="shared" si="27"/>
        <v>0</v>
      </c>
      <c r="R536" s="169"/>
      <c r="S536" s="169"/>
      <c r="T536" s="169"/>
      <c r="U536" s="169"/>
      <c r="V536" s="166">
        <f t="shared" si="28"/>
        <v>0</v>
      </c>
      <c r="W536" s="205"/>
      <c r="X536" s="167"/>
    </row>
    <row r="537" spans="8:24" s="220" customFormat="1" ht="12" hidden="1" customHeight="1">
      <c r="H537" s="162" t="s">
        <v>533</v>
      </c>
      <c r="I537" s="163" t="s">
        <v>1132</v>
      </c>
      <c r="J537" s="163" t="s">
        <v>2203</v>
      </c>
      <c r="K537" s="162" t="s">
        <v>2691</v>
      </c>
      <c r="L537" s="164" t="s">
        <v>92</v>
      </c>
      <c r="M537" s="169"/>
      <c r="N537" s="165">
        <v>1240</v>
      </c>
      <c r="O537" s="169">
        <f t="shared" si="26"/>
        <v>0</v>
      </c>
      <c r="P537" s="165">
        <v>1619</v>
      </c>
      <c r="Q537" s="166">
        <f t="shared" si="27"/>
        <v>0</v>
      </c>
      <c r="R537" s="169"/>
      <c r="S537" s="169"/>
      <c r="T537" s="169"/>
      <c r="U537" s="169"/>
      <c r="V537" s="166">
        <f t="shared" si="28"/>
        <v>0</v>
      </c>
      <c r="W537" s="205"/>
      <c r="X537" s="167"/>
    </row>
    <row r="538" spans="8:24" s="220" customFormat="1" ht="12" hidden="1" customHeight="1">
      <c r="H538" s="162" t="s">
        <v>534</v>
      </c>
      <c r="I538" s="163" t="s">
        <v>1132</v>
      </c>
      <c r="J538" s="163" t="s">
        <v>2203</v>
      </c>
      <c r="K538" s="162" t="s">
        <v>2692</v>
      </c>
      <c r="L538" s="164" t="s">
        <v>92</v>
      </c>
      <c r="M538" s="169"/>
      <c r="N538" s="165">
        <v>1240</v>
      </c>
      <c r="O538" s="169">
        <f t="shared" si="26"/>
        <v>0</v>
      </c>
      <c r="P538" s="165">
        <v>1619</v>
      </c>
      <c r="Q538" s="166">
        <f t="shared" si="27"/>
        <v>0</v>
      </c>
      <c r="R538" s="169"/>
      <c r="S538" s="169"/>
      <c r="T538" s="169"/>
      <c r="U538" s="169"/>
      <c r="V538" s="166">
        <f t="shared" si="28"/>
        <v>0</v>
      </c>
      <c r="W538" s="205"/>
      <c r="X538" s="167"/>
    </row>
    <row r="539" spans="8:24" s="220" customFormat="1" ht="12" hidden="1" customHeight="1">
      <c r="H539" s="162" t="s">
        <v>1474</v>
      </c>
      <c r="I539" s="163" t="s">
        <v>1132</v>
      </c>
      <c r="J539" s="163" t="s">
        <v>2203</v>
      </c>
      <c r="K539" s="162" t="s">
        <v>2714</v>
      </c>
      <c r="L539" s="164" t="s">
        <v>92</v>
      </c>
      <c r="M539" s="169"/>
      <c r="N539" s="165">
        <v>3700</v>
      </c>
      <c r="O539" s="169">
        <f t="shared" si="26"/>
        <v>0</v>
      </c>
      <c r="P539" s="165">
        <v>1619</v>
      </c>
      <c r="Q539" s="166">
        <f t="shared" si="27"/>
        <v>0</v>
      </c>
      <c r="R539" s="169"/>
      <c r="S539" s="169"/>
      <c r="T539" s="169"/>
      <c r="U539" s="169"/>
      <c r="V539" s="166">
        <f t="shared" si="28"/>
        <v>0</v>
      </c>
      <c r="W539" s="205"/>
      <c r="X539" s="167"/>
    </row>
    <row r="540" spans="8:24" s="220" customFormat="1" ht="12" hidden="1" customHeight="1">
      <c r="H540" s="162" t="s">
        <v>106</v>
      </c>
      <c r="I540" s="163" t="s">
        <v>956</v>
      </c>
      <c r="J540" s="163" t="s">
        <v>1512</v>
      </c>
      <c r="K540" s="162" t="s">
        <v>1513</v>
      </c>
      <c r="L540" s="164" t="s">
        <v>750</v>
      </c>
      <c r="M540" s="169"/>
      <c r="N540" s="165">
        <v>320</v>
      </c>
      <c r="O540" s="169">
        <f t="shared" si="26"/>
        <v>0</v>
      </c>
      <c r="P540" s="165">
        <v>78389</v>
      </c>
      <c r="Q540" s="166">
        <f t="shared" si="27"/>
        <v>0</v>
      </c>
      <c r="R540" s="169"/>
      <c r="S540" s="169"/>
      <c r="T540" s="169"/>
      <c r="U540" s="169"/>
      <c r="V540" s="166">
        <f t="shared" si="28"/>
        <v>0</v>
      </c>
      <c r="W540" s="205"/>
      <c r="X540" s="167"/>
    </row>
    <row r="541" spans="8:24" s="220" customFormat="1" ht="12" hidden="1" customHeight="1">
      <c r="H541" s="162" t="s">
        <v>107</v>
      </c>
      <c r="I541" s="163" t="s">
        <v>957</v>
      </c>
      <c r="J541" s="163" t="s">
        <v>1514</v>
      </c>
      <c r="K541" s="162" t="s">
        <v>1515</v>
      </c>
      <c r="L541" s="164" t="s">
        <v>750</v>
      </c>
      <c r="M541" s="169"/>
      <c r="N541" s="165">
        <v>500</v>
      </c>
      <c r="O541" s="169">
        <f t="shared" si="26"/>
        <v>0</v>
      </c>
      <c r="P541" s="165">
        <v>95809</v>
      </c>
      <c r="Q541" s="166">
        <f t="shared" si="27"/>
        <v>0</v>
      </c>
      <c r="R541" s="169"/>
      <c r="S541" s="169"/>
      <c r="T541" s="169"/>
      <c r="U541" s="169"/>
      <c r="V541" s="166">
        <f t="shared" si="28"/>
        <v>0</v>
      </c>
      <c r="W541" s="205"/>
      <c r="X541" s="167"/>
    </row>
    <row r="542" spans="8:24" s="220" customFormat="1" ht="12" hidden="1" customHeight="1">
      <c r="H542" s="162" t="s">
        <v>108</v>
      </c>
      <c r="I542" s="163" t="s">
        <v>958</v>
      </c>
      <c r="J542" s="163" t="s">
        <v>1516</v>
      </c>
      <c r="K542" s="162" t="s">
        <v>1517</v>
      </c>
      <c r="L542" s="164" t="s">
        <v>750</v>
      </c>
      <c r="M542" s="169"/>
      <c r="N542" s="165">
        <v>730</v>
      </c>
      <c r="O542" s="169">
        <f t="shared" si="26"/>
        <v>0</v>
      </c>
      <c r="P542" s="165">
        <v>104519</v>
      </c>
      <c r="Q542" s="166">
        <f t="shared" si="27"/>
        <v>0</v>
      </c>
      <c r="R542" s="169"/>
      <c r="S542" s="169"/>
      <c r="T542" s="169"/>
      <c r="U542" s="169"/>
      <c r="V542" s="166">
        <f t="shared" si="28"/>
        <v>0</v>
      </c>
      <c r="W542" s="205"/>
      <c r="X542" s="167"/>
    </row>
    <row r="543" spans="8:24" s="220" customFormat="1" ht="12" hidden="1" customHeight="1">
      <c r="H543" s="162" t="s">
        <v>109</v>
      </c>
      <c r="I543" s="163" t="s">
        <v>959</v>
      </c>
      <c r="J543" s="163" t="s">
        <v>1518</v>
      </c>
      <c r="K543" s="162" t="s">
        <v>1519</v>
      </c>
      <c r="L543" s="164" t="s">
        <v>750</v>
      </c>
      <c r="M543" s="169"/>
      <c r="N543" s="165">
        <v>1020</v>
      </c>
      <c r="O543" s="169">
        <f t="shared" si="26"/>
        <v>0</v>
      </c>
      <c r="P543" s="165">
        <v>116133</v>
      </c>
      <c r="Q543" s="166">
        <f t="shared" si="27"/>
        <v>0</v>
      </c>
      <c r="R543" s="169"/>
      <c r="S543" s="169"/>
      <c r="T543" s="169"/>
      <c r="U543" s="169"/>
      <c r="V543" s="166">
        <f t="shared" si="28"/>
        <v>0</v>
      </c>
      <c r="W543" s="205"/>
      <c r="X543" s="167"/>
    </row>
    <row r="544" spans="8:24" s="220" customFormat="1" ht="12" hidden="1" customHeight="1">
      <c r="H544" s="162" t="s">
        <v>110</v>
      </c>
      <c r="I544" s="163" t="s">
        <v>960</v>
      </c>
      <c r="J544" s="163" t="s">
        <v>1520</v>
      </c>
      <c r="K544" s="162" t="s">
        <v>1521</v>
      </c>
      <c r="L544" s="164" t="s">
        <v>750</v>
      </c>
      <c r="M544" s="169"/>
      <c r="N544" s="165">
        <v>1600</v>
      </c>
      <c r="O544" s="169">
        <f t="shared" si="26"/>
        <v>0</v>
      </c>
      <c r="P544" s="165">
        <v>136456</v>
      </c>
      <c r="Q544" s="166">
        <f t="shared" si="27"/>
        <v>0</v>
      </c>
      <c r="R544" s="169"/>
      <c r="S544" s="169"/>
      <c r="T544" s="169"/>
      <c r="U544" s="169"/>
      <c r="V544" s="166">
        <f t="shared" si="28"/>
        <v>0</v>
      </c>
      <c r="W544" s="205"/>
      <c r="X544" s="167"/>
    </row>
    <row r="545" spans="8:24" s="220" customFormat="1" ht="12" hidden="1" customHeight="1">
      <c r="H545" s="162" t="s">
        <v>111</v>
      </c>
      <c r="I545" s="163" t="s">
        <v>961</v>
      </c>
      <c r="J545" s="163" t="s">
        <v>1522</v>
      </c>
      <c r="K545" s="162" t="s">
        <v>1523</v>
      </c>
      <c r="L545" s="164" t="s">
        <v>750</v>
      </c>
      <c r="M545" s="169"/>
      <c r="N545" s="165">
        <v>2230</v>
      </c>
      <c r="O545" s="169">
        <f t="shared" si="26"/>
        <v>0</v>
      </c>
      <c r="P545" s="165">
        <v>145166</v>
      </c>
      <c r="Q545" s="166">
        <f t="shared" si="27"/>
        <v>0</v>
      </c>
      <c r="R545" s="169"/>
      <c r="S545" s="169"/>
      <c r="T545" s="169"/>
      <c r="U545" s="169"/>
      <c r="V545" s="166">
        <f t="shared" si="28"/>
        <v>0</v>
      </c>
      <c r="W545" s="205"/>
      <c r="X545" s="167"/>
    </row>
    <row r="546" spans="8:24" s="220" customFormat="1" ht="12" hidden="1" customHeight="1">
      <c r="H546" s="162" t="s">
        <v>112</v>
      </c>
      <c r="I546" s="163" t="s">
        <v>962</v>
      </c>
      <c r="J546" s="163" t="s">
        <v>1524</v>
      </c>
      <c r="K546" s="162" t="s">
        <v>1525</v>
      </c>
      <c r="L546" s="164" t="s">
        <v>750</v>
      </c>
      <c r="M546" s="169"/>
      <c r="N546" s="165">
        <v>2850</v>
      </c>
      <c r="O546" s="169">
        <f t="shared" si="26"/>
        <v>0</v>
      </c>
      <c r="P546" s="165">
        <v>165489</v>
      </c>
      <c r="Q546" s="166">
        <f t="shared" si="27"/>
        <v>0</v>
      </c>
      <c r="R546" s="169"/>
      <c r="S546" s="169"/>
      <c r="T546" s="169"/>
      <c r="U546" s="169"/>
      <c r="V546" s="166">
        <f t="shared" si="28"/>
        <v>0</v>
      </c>
      <c r="W546" s="205"/>
      <c r="X546" s="167"/>
    </row>
    <row r="547" spans="8:24" s="220" customFormat="1" ht="12" hidden="1" customHeight="1">
      <c r="H547" s="162" t="s">
        <v>113</v>
      </c>
      <c r="I547" s="163" t="s">
        <v>963</v>
      </c>
      <c r="J547" s="163" t="s">
        <v>1526</v>
      </c>
      <c r="K547" s="162" t="s">
        <v>2143</v>
      </c>
      <c r="L547" s="164" t="s">
        <v>750</v>
      </c>
      <c r="M547" s="169"/>
      <c r="N547" s="165">
        <v>3910</v>
      </c>
      <c r="O547" s="169">
        <f t="shared" si="26"/>
        <v>0</v>
      </c>
      <c r="P547" s="165">
        <v>197426</v>
      </c>
      <c r="Q547" s="166">
        <f t="shared" si="27"/>
        <v>0</v>
      </c>
      <c r="R547" s="169"/>
      <c r="S547" s="169"/>
      <c r="T547" s="169"/>
      <c r="U547" s="169"/>
      <c r="V547" s="166">
        <f t="shared" si="28"/>
        <v>0</v>
      </c>
      <c r="W547" s="205"/>
      <c r="X547" s="167"/>
    </row>
    <row r="548" spans="8:24" s="220" customFormat="1" ht="12" hidden="1" customHeight="1">
      <c r="H548" s="162" t="s">
        <v>114</v>
      </c>
      <c r="I548" s="163" t="s">
        <v>963</v>
      </c>
      <c r="J548" s="163" t="s">
        <v>1526</v>
      </c>
      <c r="K548" s="162" t="s">
        <v>1527</v>
      </c>
      <c r="L548" s="164" t="s">
        <v>750</v>
      </c>
      <c r="M548" s="169"/>
      <c r="N548" s="165">
        <v>4690</v>
      </c>
      <c r="O548" s="169">
        <f t="shared" si="26"/>
        <v>0</v>
      </c>
      <c r="P548" s="165">
        <v>197426</v>
      </c>
      <c r="Q548" s="166">
        <f t="shared" si="27"/>
        <v>0</v>
      </c>
      <c r="R548" s="169"/>
      <c r="S548" s="169"/>
      <c r="T548" s="169"/>
      <c r="U548" s="169"/>
      <c r="V548" s="166">
        <f t="shared" si="28"/>
        <v>0</v>
      </c>
      <c r="W548" s="205"/>
      <c r="X548" s="167"/>
    </row>
    <row r="549" spans="8:24" s="220" customFormat="1" ht="12" hidden="1" customHeight="1">
      <c r="H549" s="162" t="s">
        <v>115</v>
      </c>
      <c r="I549" s="163" t="s">
        <v>964</v>
      </c>
      <c r="J549" s="163" t="s">
        <v>1528</v>
      </c>
      <c r="K549" s="162" t="s">
        <v>1529</v>
      </c>
      <c r="L549" s="164" t="s">
        <v>750</v>
      </c>
      <c r="M549" s="169"/>
      <c r="N549" s="165">
        <v>7670</v>
      </c>
      <c r="O549" s="169">
        <f t="shared" si="26"/>
        <v>0</v>
      </c>
      <c r="P549" s="165">
        <v>223556</v>
      </c>
      <c r="Q549" s="166">
        <f t="shared" si="27"/>
        <v>0</v>
      </c>
      <c r="R549" s="169"/>
      <c r="S549" s="169"/>
      <c r="T549" s="169"/>
      <c r="U549" s="169"/>
      <c r="V549" s="166">
        <f t="shared" si="28"/>
        <v>0</v>
      </c>
      <c r="W549" s="205"/>
      <c r="X549" s="167"/>
    </row>
    <row r="550" spans="8:24" s="220" customFormat="1" ht="12" hidden="1" customHeight="1">
      <c r="H550" s="162" t="s">
        <v>116</v>
      </c>
      <c r="I550" s="163" t="s">
        <v>965</v>
      </c>
      <c r="J550" s="163" t="s">
        <v>1530</v>
      </c>
      <c r="K550" s="162" t="s">
        <v>1531</v>
      </c>
      <c r="L550" s="164" t="s">
        <v>750</v>
      </c>
      <c r="M550" s="169"/>
      <c r="N550" s="165">
        <v>10500</v>
      </c>
      <c r="O550" s="169">
        <f t="shared" si="26"/>
        <v>0</v>
      </c>
      <c r="P550" s="165">
        <v>243879</v>
      </c>
      <c r="Q550" s="166">
        <f t="shared" si="27"/>
        <v>0</v>
      </c>
      <c r="R550" s="169"/>
      <c r="S550" s="169"/>
      <c r="T550" s="169"/>
      <c r="U550" s="169"/>
      <c r="V550" s="166">
        <f t="shared" si="28"/>
        <v>0</v>
      </c>
      <c r="W550" s="205"/>
      <c r="X550" s="167"/>
    </row>
    <row r="551" spans="8:24" s="220" customFormat="1" ht="12" hidden="1" customHeight="1">
      <c r="H551" s="162" t="s">
        <v>117</v>
      </c>
      <c r="I551" s="163" t="s">
        <v>966</v>
      </c>
      <c r="J551" s="163" t="s">
        <v>1668</v>
      </c>
      <c r="K551" s="162" t="s">
        <v>2144</v>
      </c>
      <c r="L551" s="164" t="s">
        <v>750</v>
      </c>
      <c r="M551" s="169"/>
      <c r="N551" s="165">
        <v>16100</v>
      </c>
      <c r="O551" s="169">
        <f t="shared" si="26"/>
        <v>0</v>
      </c>
      <c r="P551" s="165">
        <v>281623</v>
      </c>
      <c r="Q551" s="166">
        <f t="shared" si="27"/>
        <v>0</v>
      </c>
      <c r="R551" s="169"/>
      <c r="S551" s="169"/>
      <c r="T551" s="169"/>
      <c r="U551" s="169"/>
      <c r="V551" s="166">
        <f t="shared" si="28"/>
        <v>0</v>
      </c>
      <c r="W551" s="205"/>
      <c r="X551" s="167"/>
    </row>
    <row r="552" spans="8:24" s="220" customFormat="1" ht="12" hidden="1" customHeight="1">
      <c r="H552" s="162" t="s">
        <v>118</v>
      </c>
      <c r="I552" s="163" t="s">
        <v>967</v>
      </c>
      <c r="J552" s="163" t="s">
        <v>1532</v>
      </c>
      <c r="K552" s="162" t="s">
        <v>1533</v>
      </c>
      <c r="L552" s="164" t="s">
        <v>750</v>
      </c>
      <c r="M552" s="169"/>
      <c r="N552" s="165">
        <v>27400</v>
      </c>
      <c r="O552" s="169">
        <f t="shared" si="26"/>
        <v>0</v>
      </c>
      <c r="P552" s="165">
        <v>310656</v>
      </c>
      <c r="Q552" s="166">
        <f t="shared" si="27"/>
        <v>0</v>
      </c>
      <c r="R552" s="169"/>
      <c r="S552" s="169"/>
      <c r="T552" s="169"/>
      <c r="U552" s="169"/>
      <c r="V552" s="166">
        <f t="shared" si="28"/>
        <v>0</v>
      </c>
      <c r="W552" s="205"/>
      <c r="X552" s="167"/>
    </row>
    <row r="553" spans="8:24" s="220" customFormat="1" ht="12" hidden="1" customHeight="1">
      <c r="H553" s="162" t="s">
        <v>119</v>
      </c>
      <c r="I553" s="163" t="s">
        <v>957</v>
      </c>
      <c r="J553" s="163" t="s">
        <v>1514</v>
      </c>
      <c r="K553" s="162" t="s">
        <v>1660</v>
      </c>
      <c r="L553" s="164" t="s">
        <v>750</v>
      </c>
      <c r="M553" s="169"/>
      <c r="N553" s="165">
        <v>960</v>
      </c>
      <c r="O553" s="169">
        <f t="shared" si="26"/>
        <v>0</v>
      </c>
      <c r="P553" s="165">
        <v>95809</v>
      </c>
      <c r="Q553" s="166">
        <f t="shared" si="27"/>
        <v>0</v>
      </c>
      <c r="R553" s="169"/>
      <c r="S553" s="169"/>
      <c r="T553" s="169"/>
      <c r="U553" s="169"/>
      <c r="V553" s="166">
        <f t="shared" si="28"/>
        <v>0</v>
      </c>
      <c r="W553" s="205"/>
      <c r="X553" s="167"/>
    </row>
    <row r="554" spans="8:24" s="220" customFormat="1" ht="12" hidden="1" customHeight="1">
      <c r="H554" s="162" t="s">
        <v>120</v>
      </c>
      <c r="I554" s="163" t="s">
        <v>958</v>
      </c>
      <c r="J554" s="163" t="s">
        <v>1516</v>
      </c>
      <c r="K554" s="162" t="s">
        <v>2148</v>
      </c>
      <c r="L554" s="164" t="s">
        <v>750</v>
      </c>
      <c r="M554" s="169"/>
      <c r="N554" s="165">
        <v>1260</v>
      </c>
      <c r="O554" s="169">
        <f t="shared" si="26"/>
        <v>0</v>
      </c>
      <c r="P554" s="165">
        <v>104519</v>
      </c>
      <c r="Q554" s="166">
        <f t="shared" si="27"/>
        <v>0</v>
      </c>
      <c r="R554" s="169"/>
      <c r="S554" s="169"/>
      <c r="T554" s="169"/>
      <c r="U554" s="169"/>
      <c r="V554" s="166">
        <f t="shared" si="28"/>
        <v>0</v>
      </c>
      <c r="W554" s="205"/>
      <c r="X554" s="167"/>
    </row>
    <row r="555" spans="8:24" s="220" customFormat="1" ht="12" hidden="1" customHeight="1">
      <c r="H555" s="162" t="s">
        <v>121</v>
      </c>
      <c r="I555" s="163" t="s">
        <v>959</v>
      </c>
      <c r="J555" s="163" t="s">
        <v>1518</v>
      </c>
      <c r="K555" s="162" t="s">
        <v>1661</v>
      </c>
      <c r="L555" s="164" t="s">
        <v>750</v>
      </c>
      <c r="M555" s="169"/>
      <c r="N555" s="165">
        <v>1630</v>
      </c>
      <c r="O555" s="169">
        <f t="shared" si="26"/>
        <v>0</v>
      </c>
      <c r="P555" s="165">
        <v>116133</v>
      </c>
      <c r="Q555" s="166">
        <f t="shared" si="27"/>
        <v>0</v>
      </c>
      <c r="R555" s="169"/>
      <c r="S555" s="169"/>
      <c r="T555" s="169"/>
      <c r="U555" s="169"/>
      <c r="V555" s="166">
        <f t="shared" si="28"/>
        <v>0</v>
      </c>
      <c r="W555" s="205"/>
      <c r="X555" s="167"/>
    </row>
    <row r="556" spans="8:24" s="220" customFormat="1" ht="12" hidden="1" customHeight="1">
      <c r="H556" s="162" t="s">
        <v>122</v>
      </c>
      <c r="I556" s="163" t="s">
        <v>960</v>
      </c>
      <c r="J556" s="163" t="s">
        <v>1520</v>
      </c>
      <c r="K556" s="162" t="s">
        <v>1662</v>
      </c>
      <c r="L556" s="164" t="s">
        <v>750</v>
      </c>
      <c r="M556" s="169"/>
      <c r="N556" s="165">
        <v>3230</v>
      </c>
      <c r="O556" s="169">
        <f t="shared" si="26"/>
        <v>0</v>
      </c>
      <c r="P556" s="165">
        <v>136456</v>
      </c>
      <c r="Q556" s="166">
        <f t="shared" si="27"/>
        <v>0</v>
      </c>
      <c r="R556" s="169"/>
      <c r="S556" s="169"/>
      <c r="T556" s="169"/>
      <c r="U556" s="169"/>
      <c r="V556" s="166">
        <f t="shared" si="28"/>
        <v>0</v>
      </c>
      <c r="W556" s="205"/>
      <c r="X556" s="167"/>
    </row>
    <row r="557" spans="8:24" s="220" customFormat="1" ht="12" hidden="1" customHeight="1">
      <c r="H557" s="162" t="s">
        <v>123</v>
      </c>
      <c r="I557" s="163" t="s">
        <v>961</v>
      </c>
      <c r="J557" s="163" t="s">
        <v>1522</v>
      </c>
      <c r="K557" s="162" t="s">
        <v>1663</v>
      </c>
      <c r="L557" s="164" t="s">
        <v>750</v>
      </c>
      <c r="M557" s="169"/>
      <c r="N557" s="165">
        <v>4400</v>
      </c>
      <c r="O557" s="169">
        <f t="shared" si="26"/>
        <v>0</v>
      </c>
      <c r="P557" s="165">
        <v>145166</v>
      </c>
      <c r="Q557" s="166">
        <f t="shared" si="27"/>
        <v>0</v>
      </c>
      <c r="R557" s="169"/>
      <c r="S557" s="169"/>
      <c r="T557" s="169"/>
      <c r="U557" s="169"/>
      <c r="V557" s="166">
        <f t="shared" si="28"/>
        <v>0</v>
      </c>
      <c r="W557" s="205"/>
      <c r="X557" s="167"/>
    </row>
    <row r="558" spans="8:24" s="220" customFormat="1" ht="12" hidden="1" customHeight="1">
      <c r="H558" s="162" t="s">
        <v>124</v>
      </c>
      <c r="I558" s="163" t="s">
        <v>962</v>
      </c>
      <c r="J558" s="163" t="s">
        <v>1524</v>
      </c>
      <c r="K558" s="162" t="s">
        <v>2149</v>
      </c>
      <c r="L558" s="164" t="s">
        <v>750</v>
      </c>
      <c r="M558" s="169"/>
      <c r="N558" s="165">
        <v>5200</v>
      </c>
      <c r="O558" s="169">
        <f t="shared" si="26"/>
        <v>0</v>
      </c>
      <c r="P558" s="165">
        <v>165489</v>
      </c>
      <c r="Q558" s="166">
        <f t="shared" si="27"/>
        <v>0</v>
      </c>
      <c r="R558" s="169"/>
      <c r="S558" s="169"/>
      <c r="T558" s="169"/>
      <c r="U558" s="169"/>
      <c r="V558" s="166">
        <f t="shared" si="28"/>
        <v>0</v>
      </c>
      <c r="W558" s="205"/>
      <c r="X558" s="167"/>
    </row>
    <row r="559" spans="8:24" s="220" customFormat="1" ht="12" hidden="1" customHeight="1">
      <c r="H559" s="162" t="s">
        <v>125</v>
      </c>
      <c r="I559" s="163" t="s">
        <v>963</v>
      </c>
      <c r="J559" s="163" t="s">
        <v>1526</v>
      </c>
      <c r="K559" s="162" t="s">
        <v>1664</v>
      </c>
      <c r="L559" s="164" t="s">
        <v>750</v>
      </c>
      <c r="M559" s="169"/>
      <c r="N559" s="165">
        <v>6200</v>
      </c>
      <c r="O559" s="169">
        <f t="shared" si="26"/>
        <v>0</v>
      </c>
      <c r="P559" s="165">
        <v>197426</v>
      </c>
      <c r="Q559" s="166">
        <f t="shared" si="27"/>
        <v>0</v>
      </c>
      <c r="R559" s="169"/>
      <c r="S559" s="169"/>
      <c r="T559" s="169"/>
      <c r="U559" s="169"/>
      <c r="V559" s="166">
        <f t="shared" si="28"/>
        <v>0</v>
      </c>
      <c r="W559" s="205"/>
      <c r="X559" s="167"/>
    </row>
    <row r="560" spans="8:24" s="220" customFormat="1" ht="12" hidden="1" customHeight="1">
      <c r="H560" s="162" t="s">
        <v>126</v>
      </c>
      <c r="I560" s="163" t="s">
        <v>963</v>
      </c>
      <c r="J560" s="163" t="s">
        <v>1526</v>
      </c>
      <c r="K560" s="162" t="s">
        <v>1665</v>
      </c>
      <c r="L560" s="164" t="s">
        <v>750</v>
      </c>
      <c r="M560" s="169"/>
      <c r="N560" s="165">
        <v>8210</v>
      </c>
      <c r="O560" s="169">
        <f t="shared" si="26"/>
        <v>0</v>
      </c>
      <c r="P560" s="165">
        <v>197426</v>
      </c>
      <c r="Q560" s="166">
        <f t="shared" si="27"/>
        <v>0</v>
      </c>
      <c r="R560" s="169"/>
      <c r="S560" s="169"/>
      <c r="T560" s="169"/>
      <c r="U560" s="169"/>
      <c r="V560" s="166">
        <f t="shared" si="28"/>
        <v>0</v>
      </c>
      <c r="W560" s="205"/>
      <c r="X560" s="167"/>
    </row>
    <row r="561" spans="8:24" s="220" customFormat="1" ht="12" hidden="1" customHeight="1">
      <c r="H561" s="162" t="s">
        <v>127</v>
      </c>
      <c r="I561" s="163" t="s">
        <v>964</v>
      </c>
      <c r="J561" s="163" t="s">
        <v>1528</v>
      </c>
      <c r="K561" s="162" t="s">
        <v>1666</v>
      </c>
      <c r="L561" s="164" t="s">
        <v>750</v>
      </c>
      <c r="M561" s="169"/>
      <c r="N561" s="165">
        <v>13000</v>
      </c>
      <c r="O561" s="169">
        <f t="shared" si="26"/>
        <v>0</v>
      </c>
      <c r="P561" s="165">
        <v>223556</v>
      </c>
      <c r="Q561" s="166">
        <f t="shared" si="27"/>
        <v>0</v>
      </c>
      <c r="R561" s="169"/>
      <c r="S561" s="169"/>
      <c r="T561" s="169"/>
      <c r="U561" s="169"/>
      <c r="V561" s="166">
        <f t="shared" si="28"/>
        <v>0</v>
      </c>
      <c r="W561" s="205"/>
      <c r="X561" s="167"/>
    </row>
    <row r="562" spans="8:24" s="220" customFormat="1" ht="12" hidden="1" customHeight="1">
      <c r="H562" s="162" t="s">
        <v>128</v>
      </c>
      <c r="I562" s="163" t="s">
        <v>965</v>
      </c>
      <c r="J562" s="163" t="s">
        <v>1530</v>
      </c>
      <c r="K562" s="162" t="s">
        <v>1667</v>
      </c>
      <c r="L562" s="164" t="s">
        <v>750</v>
      </c>
      <c r="M562" s="169"/>
      <c r="N562" s="165">
        <v>16800</v>
      </c>
      <c r="O562" s="169">
        <f t="shared" ref="O562:O625" si="29">M562*N562*$O$3</f>
        <v>0</v>
      </c>
      <c r="P562" s="165">
        <v>243879</v>
      </c>
      <c r="Q562" s="166">
        <f t="shared" si="27"/>
        <v>0</v>
      </c>
      <c r="R562" s="169"/>
      <c r="S562" s="169"/>
      <c r="T562" s="169"/>
      <c r="U562" s="169"/>
      <c r="V562" s="166">
        <f t="shared" si="28"/>
        <v>0</v>
      </c>
      <c r="W562" s="205"/>
      <c r="X562" s="167"/>
    </row>
    <row r="563" spans="8:24" s="220" customFormat="1" ht="12" hidden="1" customHeight="1">
      <c r="H563" s="162" t="s">
        <v>129</v>
      </c>
      <c r="I563" s="163" t="s">
        <v>966</v>
      </c>
      <c r="J563" s="163" t="s">
        <v>1668</v>
      </c>
      <c r="K563" s="162" t="s">
        <v>1669</v>
      </c>
      <c r="L563" s="164" t="s">
        <v>750</v>
      </c>
      <c r="M563" s="169"/>
      <c r="N563" s="165">
        <v>24600</v>
      </c>
      <c r="O563" s="169">
        <f t="shared" si="29"/>
        <v>0</v>
      </c>
      <c r="P563" s="165">
        <v>281623</v>
      </c>
      <c r="Q563" s="166">
        <f t="shared" si="27"/>
        <v>0</v>
      </c>
      <c r="R563" s="169"/>
      <c r="S563" s="169"/>
      <c r="T563" s="169"/>
      <c r="U563" s="169"/>
      <c r="V563" s="166">
        <f t="shared" si="28"/>
        <v>0</v>
      </c>
      <c r="W563" s="205"/>
      <c r="X563" s="167"/>
    </row>
    <row r="564" spans="8:24" s="220" customFormat="1" ht="12" hidden="1" customHeight="1">
      <c r="H564" s="162" t="s">
        <v>130</v>
      </c>
      <c r="I564" s="163" t="s">
        <v>967</v>
      </c>
      <c r="J564" s="163" t="s">
        <v>1532</v>
      </c>
      <c r="K564" s="162" t="s">
        <v>1670</v>
      </c>
      <c r="L564" s="164" t="s">
        <v>750</v>
      </c>
      <c r="M564" s="169"/>
      <c r="N564" s="165">
        <v>33600</v>
      </c>
      <c r="O564" s="169">
        <f t="shared" si="29"/>
        <v>0</v>
      </c>
      <c r="P564" s="165">
        <v>310656</v>
      </c>
      <c r="Q564" s="166">
        <f t="shared" si="27"/>
        <v>0</v>
      </c>
      <c r="R564" s="169"/>
      <c r="S564" s="169"/>
      <c r="T564" s="169"/>
      <c r="U564" s="169"/>
      <c r="V564" s="166">
        <f t="shared" si="28"/>
        <v>0</v>
      </c>
      <c r="W564" s="205"/>
      <c r="X564" s="167"/>
    </row>
    <row r="565" spans="8:24" s="220" customFormat="1" ht="12" hidden="1" customHeight="1">
      <c r="H565" s="162" t="s">
        <v>856</v>
      </c>
      <c r="I565" s="163" t="s">
        <v>957</v>
      </c>
      <c r="J565" s="163" t="s">
        <v>2717</v>
      </c>
      <c r="K565" s="162" t="s">
        <v>1535</v>
      </c>
      <c r="L565" s="164" t="s">
        <v>750</v>
      </c>
      <c r="M565" s="169"/>
      <c r="N565" s="165">
        <v>740</v>
      </c>
      <c r="O565" s="169">
        <f t="shared" si="29"/>
        <v>0</v>
      </c>
      <c r="P565" s="165">
        <v>95809</v>
      </c>
      <c r="Q565" s="166">
        <f t="shared" si="27"/>
        <v>0</v>
      </c>
      <c r="R565" s="169"/>
      <c r="S565" s="169"/>
      <c r="T565" s="169"/>
      <c r="U565" s="169"/>
      <c r="V565" s="166">
        <f t="shared" si="28"/>
        <v>0</v>
      </c>
      <c r="W565" s="205"/>
      <c r="X565" s="167"/>
    </row>
    <row r="566" spans="8:24" s="220" customFormat="1" ht="12" hidden="1" customHeight="1">
      <c r="H566" s="162" t="s">
        <v>857</v>
      </c>
      <c r="I566" s="163" t="s">
        <v>958</v>
      </c>
      <c r="J566" s="163" t="s">
        <v>1536</v>
      </c>
      <c r="K566" s="162" t="s">
        <v>1537</v>
      </c>
      <c r="L566" s="164" t="s">
        <v>750</v>
      </c>
      <c r="M566" s="169"/>
      <c r="N566" s="165">
        <v>990</v>
      </c>
      <c r="O566" s="169">
        <f t="shared" si="29"/>
        <v>0</v>
      </c>
      <c r="P566" s="165">
        <v>104519</v>
      </c>
      <c r="Q566" s="166">
        <f t="shared" si="27"/>
        <v>0</v>
      </c>
      <c r="R566" s="169"/>
      <c r="S566" s="169"/>
      <c r="T566" s="169"/>
      <c r="U566" s="169"/>
      <c r="V566" s="166">
        <f t="shared" si="28"/>
        <v>0</v>
      </c>
      <c r="W566" s="205"/>
      <c r="X566" s="167"/>
    </row>
    <row r="567" spans="8:24" s="220" customFormat="1" ht="12" hidden="1" customHeight="1">
      <c r="H567" s="162" t="s">
        <v>858</v>
      </c>
      <c r="I567" s="163" t="s">
        <v>959</v>
      </c>
      <c r="J567" s="163" t="s">
        <v>1538</v>
      </c>
      <c r="K567" s="162" t="s">
        <v>1539</v>
      </c>
      <c r="L567" s="164" t="s">
        <v>750</v>
      </c>
      <c r="M567" s="169"/>
      <c r="N567" s="165">
        <v>1320</v>
      </c>
      <c r="O567" s="169">
        <f t="shared" si="29"/>
        <v>0</v>
      </c>
      <c r="P567" s="165">
        <v>116133</v>
      </c>
      <c r="Q567" s="166">
        <f t="shared" si="27"/>
        <v>0</v>
      </c>
      <c r="R567" s="169"/>
      <c r="S567" s="169"/>
      <c r="T567" s="169"/>
      <c r="U567" s="169"/>
      <c r="V567" s="166">
        <f t="shared" si="28"/>
        <v>0</v>
      </c>
      <c r="W567" s="205"/>
      <c r="X567" s="167"/>
    </row>
    <row r="568" spans="8:24" s="220" customFormat="1" ht="12" hidden="1" customHeight="1">
      <c r="H568" s="162" t="s">
        <v>859</v>
      </c>
      <c r="I568" s="163" t="s">
        <v>960</v>
      </c>
      <c r="J568" s="163" t="s">
        <v>1652</v>
      </c>
      <c r="K568" s="162" t="s">
        <v>2145</v>
      </c>
      <c r="L568" s="164" t="s">
        <v>750</v>
      </c>
      <c r="M568" s="169"/>
      <c r="N568" s="165">
        <v>2150</v>
      </c>
      <c r="O568" s="169">
        <f t="shared" si="29"/>
        <v>0</v>
      </c>
      <c r="P568" s="165">
        <v>136456</v>
      </c>
      <c r="Q568" s="166">
        <f t="shared" si="27"/>
        <v>0</v>
      </c>
      <c r="R568" s="169"/>
      <c r="S568" s="169"/>
      <c r="T568" s="169"/>
      <c r="U568" s="169"/>
      <c r="V568" s="166">
        <f t="shared" si="28"/>
        <v>0</v>
      </c>
      <c r="W568" s="205"/>
      <c r="X568" s="167"/>
    </row>
    <row r="569" spans="8:24" s="220" customFormat="1" ht="12" hidden="1" customHeight="1">
      <c r="H569" s="162" t="s">
        <v>860</v>
      </c>
      <c r="I569" s="163" t="s">
        <v>961</v>
      </c>
      <c r="J569" s="163" t="s">
        <v>1540</v>
      </c>
      <c r="K569" s="162" t="s">
        <v>1541</v>
      </c>
      <c r="L569" s="164" t="s">
        <v>750</v>
      </c>
      <c r="M569" s="169"/>
      <c r="N569" s="165">
        <v>2820</v>
      </c>
      <c r="O569" s="169">
        <f t="shared" si="29"/>
        <v>0</v>
      </c>
      <c r="P569" s="165">
        <v>145166</v>
      </c>
      <c r="Q569" s="166">
        <f t="shared" si="27"/>
        <v>0</v>
      </c>
      <c r="R569" s="169"/>
      <c r="S569" s="169"/>
      <c r="T569" s="169"/>
      <c r="U569" s="169"/>
      <c r="V569" s="166">
        <f t="shared" si="28"/>
        <v>0</v>
      </c>
      <c r="W569" s="205"/>
      <c r="X569" s="167"/>
    </row>
    <row r="570" spans="8:24" s="220" customFormat="1" ht="12" hidden="1" customHeight="1">
      <c r="H570" s="162" t="s">
        <v>861</v>
      </c>
      <c r="I570" s="163" t="s">
        <v>962</v>
      </c>
      <c r="J570" s="163" t="s">
        <v>1542</v>
      </c>
      <c r="K570" s="162" t="s">
        <v>1543</v>
      </c>
      <c r="L570" s="164" t="s">
        <v>750</v>
      </c>
      <c r="M570" s="169"/>
      <c r="N570" s="165">
        <v>3940</v>
      </c>
      <c r="O570" s="169">
        <f t="shared" si="29"/>
        <v>0</v>
      </c>
      <c r="P570" s="165">
        <v>165489</v>
      </c>
      <c r="Q570" s="166">
        <f t="shared" si="27"/>
        <v>0</v>
      </c>
      <c r="R570" s="169"/>
      <c r="S570" s="169"/>
      <c r="T570" s="169"/>
      <c r="U570" s="169"/>
      <c r="V570" s="166">
        <f t="shared" si="28"/>
        <v>0</v>
      </c>
      <c r="W570" s="205"/>
      <c r="X570" s="167"/>
    </row>
    <row r="571" spans="8:24" s="220" customFormat="1" ht="12" hidden="1" customHeight="1">
      <c r="H571" s="162" t="s">
        <v>862</v>
      </c>
      <c r="I571" s="163" t="s">
        <v>963</v>
      </c>
      <c r="J571" s="163" t="s">
        <v>1638</v>
      </c>
      <c r="K571" s="162" t="s">
        <v>1639</v>
      </c>
      <c r="L571" s="164" t="s">
        <v>750</v>
      </c>
      <c r="M571" s="169"/>
      <c r="N571" s="165">
        <v>4950</v>
      </c>
      <c r="O571" s="169">
        <f t="shared" si="29"/>
        <v>0</v>
      </c>
      <c r="P571" s="165">
        <v>197426</v>
      </c>
      <c r="Q571" s="166">
        <f t="shared" si="27"/>
        <v>0</v>
      </c>
      <c r="R571" s="169"/>
      <c r="S571" s="169"/>
      <c r="T571" s="169"/>
      <c r="U571" s="169"/>
      <c r="V571" s="166">
        <f t="shared" si="28"/>
        <v>0</v>
      </c>
      <c r="W571" s="205"/>
      <c r="X571" s="167"/>
    </row>
    <row r="572" spans="8:24" s="220" customFormat="1" ht="12" hidden="1" customHeight="1">
      <c r="H572" s="162" t="s">
        <v>863</v>
      </c>
      <c r="I572" s="163" t="s">
        <v>963</v>
      </c>
      <c r="J572" s="163" t="s">
        <v>1638</v>
      </c>
      <c r="K572" s="162" t="s">
        <v>1640</v>
      </c>
      <c r="L572" s="164" t="s">
        <v>750</v>
      </c>
      <c r="M572" s="169"/>
      <c r="N572" s="165">
        <v>5970</v>
      </c>
      <c r="O572" s="169">
        <f t="shared" si="29"/>
        <v>0</v>
      </c>
      <c r="P572" s="165">
        <v>197426</v>
      </c>
      <c r="Q572" s="166">
        <f t="shared" si="27"/>
        <v>0</v>
      </c>
      <c r="R572" s="169"/>
      <c r="S572" s="169"/>
      <c r="T572" s="169"/>
      <c r="U572" s="169"/>
      <c r="V572" s="166">
        <f t="shared" si="28"/>
        <v>0</v>
      </c>
      <c r="W572" s="205"/>
      <c r="X572" s="167"/>
    </row>
    <row r="573" spans="8:24" s="220" customFormat="1" ht="12" hidden="1" customHeight="1">
      <c r="H573" s="162" t="s">
        <v>864</v>
      </c>
      <c r="I573" s="163" t="s">
        <v>964</v>
      </c>
      <c r="J573" s="163" t="s">
        <v>1641</v>
      </c>
      <c r="K573" s="162" t="s">
        <v>1642</v>
      </c>
      <c r="L573" s="164" t="s">
        <v>750</v>
      </c>
      <c r="M573" s="169"/>
      <c r="N573" s="165">
        <v>10200</v>
      </c>
      <c r="O573" s="169">
        <f t="shared" si="29"/>
        <v>0</v>
      </c>
      <c r="P573" s="165">
        <v>223556</v>
      </c>
      <c r="Q573" s="166">
        <f t="shared" si="27"/>
        <v>0</v>
      </c>
      <c r="R573" s="169"/>
      <c r="S573" s="169"/>
      <c r="T573" s="169"/>
      <c r="U573" s="169"/>
      <c r="V573" s="166">
        <f t="shared" si="28"/>
        <v>0</v>
      </c>
      <c r="W573" s="205"/>
      <c r="X573" s="167"/>
    </row>
    <row r="574" spans="8:24" s="220" customFormat="1" ht="12" hidden="1" customHeight="1">
      <c r="H574" s="162" t="s">
        <v>865</v>
      </c>
      <c r="I574" s="163" t="s">
        <v>965</v>
      </c>
      <c r="J574" s="163" t="s">
        <v>1643</v>
      </c>
      <c r="K574" s="162" t="s">
        <v>1644</v>
      </c>
      <c r="L574" s="164" t="s">
        <v>750</v>
      </c>
      <c r="M574" s="169"/>
      <c r="N574" s="165">
        <v>13700</v>
      </c>
      <c r="O574" s="169">
        <f t="shared" si="29"/>
        <v>0</v>
      </c>
      <c r="P574" s="165">
        <v>243879</v>
      </c>
      <c r="Q574" s="166">
        <f t="shared" si="27"/>
        <v>0</v>
      </c>
      <c r="R574" s="169"/>
      <c r="S574" s="169"/>
      <c r="T574" s="169"/>
      <c r="U574" s="169"/>
      <c r="V574" s="166">
        <f t="shared" si="28"/>
        <v>0</v>
      </c>
      <c r="W574" s="205"/>
      <c r="X574" s="167"/>
    </row>
    <row r="575" spans="8:24" s="220" customFormat="1" ht="12" hidden="1" customHeight="1">
      <c r="H575" s="162" t="s">
        <v>866</v>
      </c>
      <c r="I575" s="163" t="s">
        <v>966</v>
      </c>
      <c r="J575" s="163" t="s">
        <v>1645</v>
      </c>
      <c r="K575" s="162" t="s">
        <v>1646</v>
      </c>
      <c r="L575" s="164" t="s">
        <v>750</v>
      </c>
      <c r="M575" s="169"/>
      <c r="N575" s="165">
        <v>19400</v>
      </c>
      <c r="O575" s="169">
        <f t="shared" si="29"/>
        <v>0</v>
      </c>
      <c r="P575" s="165">
        <v>281623</v>
      </c>
      <c r="Q575" s="166">
        <f t="shared" si="27"/>
        <v>0</v>
      </c>
      <c r="R575" s="169"/>
      <c r="S575" s="169"/>
      <c r="T575" s="169"/>
      <c r="U575" s="169"/>
      <c r="V575" s="166">
        <f t="shared" si="28"/>
        <v>0</v>
      </c>
      <c r="W575" s="205"/>
      <c r="X575" s="167"/>
    </row>
    <row r="576" spans="8:24" s="220" customFormat="1" ht="12" hidden="1" customHeight="1">
      <c r="H576" s="162" t="s">
        <v>867</v>
      </c>
      <c r="I576" s="163" t="s">
        <v>967</v>
      </c>
      <c r="J576" s="163" t="s">
        <v>1647</v>
      </c>
      <c r="K576" s="162" t="s">
        <v>1648</v>
      </c>
      <c r="L576" s="164" t="s">
        <v>750</v>
      </c>
      <c r="M576" s="169"/>
      <c r="N576" s="165">
        <v>30600</v>
      </c>
      <c r="O576" s="169">
        <f t="shared" si="29"/>
        <v>0</v>
      </c>
      <c r="P576" s="165">
        <v>310656</v>
      </c>
      <c r="Q576" s="166">
        <f t="shared" si="27"/>
        <v>0</v>
      </c>
      <c r="R576" s="169"/>
      <c r="S576" s="169"/>
      <c r="T576" s="169"/>
      <c r="U576" s="169"/>
      <c r="V576" s="166">
        <f t="shared" si="28"/>
        <v>0</v>
      </c>
      <c r="W576" s="205"/>
      <c r="X576" s="167"/>
    </row>
    <row r="577" spans="8:24" s="220" customFormat="1" ht="12" hidden="1" customHeight="1">
      <c r="H577" s="162" t="s">
        <v>868</v>
      </c>
      <c r="I577" s="163" t="s">
        <v>957</v>
      </c>
      <c r="J577" s="163" t="s">
        <v>1534</v>
      </c>
      <c r="K577" s="162" t="s">
        <v>1649</v>
      </c>
      <c r="L577" s="164" t="s">
        <v>750</v>
      </c>
      <c r="M577" s="169"/>
      <c r="N577" s="165">
        <v>1580</v>
      </c>
      <c r="O577" s="169">
        <f t="shared" si="29"/>
        <v>0</v>
      </c>
      <c r="P577" s="165">
        <v>95809</v>
      </c>
      <c r="Q577" s="166">
        <f t="shared" si="27"/>
        <v>0</v>
      </c>
      <c r="R577" s="169"/>
      <c r="S577" s="169"/>
      <c r="T577" s="169"/>
      <c r="U577" s="169"/>
      <c r="V577" s="166">
        <f t="shared" si="28"/>
        <v>0</v>
      </c>
      <c r="W577" s="205"/>
      <c r="X577" s="167"/>
    </row>
    <row r="578" spans="8:24" s="220" customFormat="1" ht="12" hidden="1" customHeight="1">
      <c r="H578" s="162" t="s">
        <v>869</v>
      </c>
      <c r="I578" s="163" t="s">
        <v>958</v>
      </c>
      <c r="J578" s="163" t="s">
        <v>1536</v>
      </c>
      <c r="K578" s="162" t="s">
        <v>1650</v>
      </c>
      <c r="L578" s="164" t="s">
        <v>750</v>
      </c>
      <c r="M578" s="169"/>
      <c r="N578" s="165">
        <v>2150</v>
      </c>
      <c r="O578" s="169">
        <f t="shared" si="29"/>
        <v>0</v>
      </c>
      <c r="P578" s="165">
        <v>104519</v>
      </c>
      <c r="Q578" s="166">
        <f t="shared" si="27"/>
        <v>0</v>
      </c>
      <c r="R578" s="169"/>
      <c r="S578" s="169"/>
      <c r="T578" s="169"/>
      <c r="U578" s="169"/>
      <c r="V578" s="166">
        <f t="shared" si="28"/>
        <v>0</v>
      </c>
      <c r="W578" s="205"/>
      <c r="X578" s="167"/>
    </row>
    <row r="579" spans="8:24" s="220" customFormat="1" ht="12" hidden="1" customHeight="1">
      <c r="H579" s="162" t="s">
        <v>870</v>
      </c>
      <c r="I579" s="163" t="s">
        <v>959</v>
      </c>
      <c r="J579" s="163" t="s">
        <v>1538</v>
      </c>
      <c r="K579" s="162" t="s">
        <v>1651</v>
      </c>
      <c r="L579" s="164" t="s">
        <v>750</v>
      </c>
      <c r="M579" s="169"/>
      <c r="N579" s="165">
        <v>2590</v>
      </c>
      <c r="O579" s="169">
        <f t="shared" si="29"/>
        <v>0</v>
      </c>
      <c r="P579" s="165">
        <v>116133</v>
      </c>
      <c r="Q579" s="166">
        <f t="shared" si="27"/>
        <v>0</v>
      </c>
      <c r="R579" s="169"/>
      <c r="S579" s="169"/>
      <c r="T579" s="169"/>
      <c r="U579" s="169"/>
      <c r="V579" s="166">
        <f t="shared" si="28"/>
        <v>0</v>
      </c>
      <c r="W579" s="205"/>
      <c r="X579" s="167"/>
    </row>
    <row r="580" spans="8:24" s="220" customFormat="1" ht="12" hidden="1" customHeight="1">
      <c r="H580" s="162" t="s">
        <v>871</v>
      </c>
      <c r="I580" s="163" t="s">
        <v>960</v>
      </c>
      <c r="J580" s="163" t="s">
        <v>1652</v>
      </c>
      <c r="K580" s="162" t="s">
        <v>1653</v>
      </c>
      <c r="L580" s="164" t="s">
        <v>750</v>
      </c>
      <c r="M580" s="169"/>
      <c r="N580" s="165">
        <v>4030</v>
      </c>
      <c r="O580" s="169">
        <f t="shared" si="29"/>
        <v>0</v>
      </c>
      <c r="P580" s="165">
        <v>136456</v>
      </c>
      <c r="Q580" s="166">
        <f t="shared" si="27"/>
        <v>0</v>
      </c>
      <c r="R580" s="169"/>
      <c r="S580" s="169"/>
      <c r="T580" s="169"/>
      <c r="U580" s="169"/>
      <c r="V580" s="166">
        <f t="shared" si="28"/>
        <v>0</v>
      </c>
      <c r="W580" s="205"/>
      <c r="X580" s="167"/>
    </row>
    <row r="581" spans="8:24" s="220" customFormat="1" ht="12" hidden="1" customHeight="1">
      <c r="H581" s="162" t="s">
        <v>872</v>
      </c>
      <c r="I581" s="163" t="s">
        <v>961</v>
      </c>
      <c r="J581" s="163" t="s">
        <v>1540</v>
      </c>
      <c r="K581" s="162" t="s">
        <v>2146</v>
      </c>
      <c r="L581" s="164" t="s">
        <v>750</v>
      </c>
      <c r="M581" s="169"/>
      <c r="N581" s="165">
        <v>5160</v>
      </c>
      <c r="O581" s="169">
        <f t="shared" si="29"/>
        <v>0</v>
      </c>
      <c r="P581" s="165">
        <v>145166</v>
      </c>
      <c r="Q581" s="166">
        <f t="shared" si="27"/>
        <v>0</v>
      </c>
      <c r="R581" s="169"/>
      <c r="S581" s="169"/>
      <c r="T581" s="169"/>
      <c r="U581" s="169"/>
      <c r="V581" s="166">
        <f t="shared" si="28"/>
        <v>0</v>
      </c>
      <c r="W581" s="205"/>
      <c r="X581" s="167"/>
    </row>
    <row r="582" spans="8:24" s="220" customFormat="1" ht="12" hidden="1" customHeight="1">
      <c r="H582" s="162" t="s">
        <v>873</v>
      </c>
      <c r="I582" s="163" t="s">
        <v>962</v>
      </c>
      <c r="J582" s="163" t="s">
        <v>1542</v>
      </c>
      <c r="K582" s="162" t="s">
        <v>1654</v>
      </c>
      <c r="L582" s="164" t="s">
        <v>750</v>
      </c>
      <c r="M582" s="169"/>
      <c r="N582" s="165">
        <v>6620</v>
      </c>
      <c r="O582" s="169">
        <f t="shared" si="29"/>
        <v>0</v>
      </c>
      <c r="P582" s="165">
        <v>165489</v>
      </c>
      <c r="Q582" s="166">
        <f t="shared" si="27"/>
        <v>0</v>
      </c>
      <c r="R582" s="169"/>
      <c r="S582" s="169"/>
      <c r="T582" s="169"/>
      <c r="U582" s="169"/>
      <c r="V582" s="166">
        <f t="shared" si="28"/>
        <v>0</v>
      </c>
      <c r="W582" s="205"/>
      <c r="X582" s="167"/>
    </row>
    <row r="583" spans="8:24" s="220" customFormat="1" ht="12" hidden="1" customHeight="1">
      <c r="H583" s="162" t="s">
        <v>874</v>
      </c>
      <c r="I583" s="163" t="s">
        <v>963</v>
      </c>
      <c r="J583" s="163" t="s">
        <v>1638</v>
      </c>
      <c r="K583" s="162" t="s">
        <v>1655</v>
      </c>
      <c r="L583" s="164" t="s">
        <v>750</v>
      </c>
      <c r="M583" s="169"/>
      <c r="N583" s="165">
        <v>7850</v>
      </c>
      <c r="O583" s="169">
        <f t="shared" si="29"/>
        <v>0</v>
      </c>
      <c r="P583" s="165">
        <v>197426</v>
      </c>
      <c r="Q583" s="166">
        <f t="shared" si="27"/>
        <v>0</v>
      </c>
      <c r="R583" s="169"/>
      <c r="S583" s="169"/>
      <c r="T583" s="169"/>
      <c r="U583" s="169"/>
      <c r="V583" s="166">
        <f t="shared" si="28"/>
        <v>0</v>
      </c>
      <c r="W583" s="205"/>
      <c r="X583" s="167"/>
    </row>
    <row r="584" spans="8:24" s="220" customFormat="1" ht="12" hidden="1" customHeight="1">
      <c r="H584" s="162" t="s">
        <v>875</v>
      </c>
      <c r="I584" s="163" t="s">
        <v>963</v>
      </c>
      <c r="J584" s="163" t="s">
        <v>1638</v>
      </c>
      <c r="K584" s="162" t="s">
        <v>1656</v>
      </c>
      <c r="L584" s="164" t="s">
        <v>750</v>
      </c>
      <c r="M584" s="169"/>
      <c r="N584" s="165">
        <v>10400</v>
      </c>
      <c r="O584" s="169">
        <f t="shared" si="29"/>
        <v>0</v>
      </c>
      <c r="P584" s="165">
        <v>197426</v>
      </c>
      <c r="Q584" s="166">
        <f t="shared" si="27"/>
        <v>0</v>
      </c>
      <c r="R584" s="169"/>
      <c r="S584" s="169"/>
      <c r="T584" s="169"/>
      <c r="U584" s="169"/>
      <c r="V584" s="166">
        <f t="shared" si="28"/>
        <v>0</v>
      </c>
      <c r="W584" s="205"/>
      <c r="X584" s="167"/>
    </row>
    <row r="585" spans="8:24" s="220" customFormat="1" ht="12" hidden="1" customHeight="1">
      <c r="H585" s="162" t="s">
        <v>876</v>
      </c>
      <c r="I585" s="163" t="s">
        <v>964</v>
      </c>
      <c r="J585" s="163" t="s">
        <v>1641</v>
      </c>
      <c r="K585" s="162" t="s">
        <v>1657</v>
      </c>
      <c r="L585" s="164" t="s">
        <v>750</v>
      </c>
      <c r="M585" s="169"/>
      <c r="N585" s="165">
        <v>16500</v>
      </c>
      <c r="O585" s="169">
        <f t="shared" si="29"/>
        <v>0</v>
      </c>
      <c r="P585" s="165">
        <v>223556</v>
      </c>
      <c r="Q585" s="166">
        <f t="shared" si="27"/>
        <v>0</v>
      </c>
      <c r="R585" s="169"/>
      <c r="S585" s="169"/>
      <c r="T585" s="169"/>
      <c r="U585" s="169"/>
      <c r="V585" s="166">
        <f t="shared" si="28"/>
        <v>0</v>
      </c>
      <c r="W585" s="205"/>
      <c r="X585" s="167"/>
    </row>
    <row r="586" spans="8:24" s="220" customFormat="1" ht="12" hidden="1" customHeight="1">
      <c r="H586" s="162" t="s">
        <v>878</v>
      </c>
      <c r="I586" s="163" t="s">
        <v>966</v>
      </c>
      <c r="J586" s="163" t="s">
        <v>1645</v>
      </c>
      <c r="K586" s="162" t="s">
        <v>1658</v>
      </c>
      <c r="L586" s="164" t="s">
        <v>750</v>
      </c>
      <c r="M586" s="169"/>
      <c r="N586" s="165">
        <v>30200</v>
      </c>
      <c r="O586" s="169">
        <f t="shared" si="29"/>
        <v>0</v>
      </c>
      <c r="P586" s="165">
        <v>281623</v>
      </c>
      <c r="Q586" s="166">
        <f t="shared" si="27"/>
        <v>0</v>
      </c>
      <c r="R586" s="169"/>
      <c r="S586" s="169"/>
      <c r="T586" s="169"/>
      <c r="U586" s="169"/>
      <c r="V586" s="166">
        <f t="shared" si="28"/>
        <v>0</v>
      </c>
      <c r="W586" s="205"/>
      <c r="X586" s="167"/>
    </row>
    <row r="587" spans="8:24" s="220" customFormat="1" ht="12" hidden="1" customHeight="1">
      <c r="H587" s="162" t="s">
        <v>879</v>
      </c>
      <c r="I587" s="163" t="s">
        <v>967</v>
      </c>
      <c r="J587" s="163" t="s">
        <v>1647</v>
      </c>
      <c r="K587" s="162" t="s">
        <v>1659</v>
      </c>
      <c r="L587" s="164" t="s">
        <v>750</v>
      </c>
      <c r="M587" s="169"/>
      <c r="N587" s="165">
        <v>40000</v>
      </c>
      <c r="O587" s="169">
        <f t="shared" si="29"/>
        <v>0</v>
      </c>
      <c r="P587" s="165">
        <v>310656</v>
      </c>
      <c r="Q587" s="166">
        <f t="shared" si="27"/>
        <v>0</v>
      </c>
      <c r="R587" s="169"/>
      <c r="S587" s="169"/>
      <c r="T587" s="169"/>
      <c r="U587" s="169"/>
      <c r="V587" s="166">
        <f t="shared" si="28"/>
        <v>0</v>
      </c>
      <c r="W587" s="205"/>
      <c r="X587" s="167"/>
    </row>
    <row r="588" spans="8:24" s="220" customFormat="1" ht="12" hidden="1" customHeight="1">
      <c r="H588" s="162" t="s">
        <v>877</v>
      </c>
      <c r="I588" s="163" t="s">
        <v>965</v>
      </c>
      <c r="J588" s="163" t="s">
        <v>2718</v>
      </c>
      <c r="K588" s="162" t="s">
        <v>2147</v>
      </c>
      <c r="L588" s="164" t="s">
        <v>750</v>
      </c>
      <c r="M588" s="169"/>
      <c r="N588" s="165">
        <v>20700</v>
      </c>
      <c r="O588" s="169">
        <f t="shared" si="29"/>
        <v>0</v>
      </c>
      <c r="P588" s="165">
        <v>243879</v>
      </c>
      <c r="Q588" s="166">
        <f t="shared" ref="Q588:Q651" si="30">IF(W588="",M588*P588*$Q$3*$W$3,M588*P588*$Q$3*W588)</f>
        <v>0</v>
      </c>
      <c r="R588" s="169"/>
      <c r="S588" s="169"/>
      <c r="T588" s="169"/>
      <c r="U588" s="169"/>
      <c r="V588" s="166">
        <f t="shared" ref="V588:V651" si="31">SUM(O588+Q588)+S588+U588</f>
        <v>0</v>
      </c>
      <c r="W588" s="205"/>
      <c r="X588" s="167"/>
    </row>
    <row r="589" spans="8:24" s="220" customFormat="1" ht="12" hidden="1" customHeight="1">
      <c r="H589" s="162" t="s">
        <v>131</v>
      </c>
      <c r="I589" s="163" t="s">
        <v>956</v>
      </c>
      <c r="J589" s="163" t="s">
        <v>1671</v>
      </c>
      <c r="K589" s="162" t="s">
        <v>1672</v>
      </c>
      <c r="L589" s="164" t="s">
        <v>750</v>
      </c>
      <c r="M589" s="169"/>
      <c r="N589" s="165">
        <v>170</v>
      </c>
      <c r="O589" s="169">
        <f t="shared" si="29"/>
        <v>0</v>
      </c>
      <c r="P589" s="165">
        <v>78389</v>
      </c>
      <c r="Q589" s="166">
        <f t="shared" si="30"/>
        <v>0</v>
      </c>
      <c r="R589" s="169"/>
      <c r="S589" s="169"/>
      <c r="T589" s="169"/>
      <c r="U589" s="169"/>
      <c r="V589" s="166">
        <f t="shared" si="31"/>
        <v>0</v>
      </c>
      <c r="W589" s="205"/>
      <c r="X589" s="167"/>
    </row>
    <row r="590" spans="8:24" s="220" customFormat="1" ht="12" hidden="1" customHeight="1">
      <c r="H590" s="162" t="s">
        <v>132</v>
      </c>
      <c r="I590" s="163" t="s">
        <v>957</v>
      </c>
      <c r="J590" s="163" t="s">
        <v>1673</v>
      </c>
      <c r="K590" s="162" t="s">
        <v>1674</v>
      </c>
      <c r="L590" s="164" t="s">
        <v>750</v>
      </c>
      <c r="M590" s="169"/>
      <c r="N590" s="165">
        <v>270</v>
      </c>
      <c r="O590" s="169">
        <f t="shared" si="29"/>
        <v>0</v>
      </c>
      <c r="P590" s="165">
        <v>95809</v>
      </c>
      <c r="Q590" s="166">
        <f t="shared" si="30"/>
        <v>0</v>
      </c>
      <c r="R590" s="169"/>
      <c r="S590" s="169"/>
      <c r="T590" s="169"/>
      <c r="U590" s="169"/>
      <c r="V590" s="166">
        <f t="shared" si="31"/>
        <v>0</v>
      </c>
      <c r="W590" s="205"/>
      <c r="X590" s="167"/>
    </row>
    <row r="591" spans="8:24" s="220" customFormat="1" ht="12" hidden="1" customHeight="1">
      <c r="H591" s="162" t="s">
        <v>133</v>
      </c>
      <c r="I591" s="163" t="s">
        <v>958</v>
      </c>
      <c r="J591" s="163" t="s">
        <v>1675</v>
      </c>
      <c r="K591" s="162" t="s">
        <v>1676</v>
      </c>
      <c r="L591" s="164" t="s">
        <v>750</v>
      </c>
      <c r="M591" s="169"/>
      <c r="N591" s="165">
        <v>350</v>
      </c>
      <c r="O591" s="169">
        <f t="shared" si="29"/>
        <v>0</v>
      </c>
      <c r="P591" s="165">
        <v>104519</v>
      </c>
      <c r="Q591" s="166">
        <f t="shared" si="30"/>
        <v>0</v>
      </c>
      <c r="R591" s="169"/>
      <c r="S591" s="169"/>
      <c r="T591" s="169"/>
      <c r="U591" s="169"/>
      <c r="V591" s="166">
        <f t="shared" si="31"/>
        <v>0</v>
      </c>
      <c r="W591" s="205"/>
      <c r="X591" s="167"/>
    </row>
    <row r="592" spans="8:24" s="220" customFormat="1" ht="12" hidden="1" customHeight="1">
      <c r="H592" s="162" t="s">
        <v>134</v>
      </c>
      <c r="I592" s="163" t="s">
        <v>959</v>
      </c>
      <c r="J592" s="163" t="s">
        <v>1677</v>
      </c>
      <c r="K592" s="162" t="s">
        <v>1678</v>
      </c>
      <c r="L592" s="164" t="s">
        <v>750</v>
      </c>
      <c r="M592" s="169"/>
      <c r="N592" s="165">
        <v>620</v>
      </c>
      <c r="O592" s="169">
        <f t="shared" si="29"/>
        <v>0</v>
      </c>
      <c r="P592" s="165">
        <v>116133</v>
      </c>
      <c r="Q592" s="166">
        <f t="shared" si="30"/>
        <v>0</v>
      </c>
      <c r="R592" s="169"/>
      <c r="S592" s="169"/>
      <c r="T592" s="169"/>
      <c r="U592" s="169"/>
      <c r="V592" s="166">
        <f t="shared" si="31"/>
        <v>0</v>
      </c>
      <c r="W592" s="205"/>
      <c r="X592" s="167"/>
    </row>
    <row r="593" spans="8:24" s="220" customFormat="1" ht="12" hidden="1" customHeight="1">
      <c r="H593" s="162" t="s">
        <v>135</v>
      </c>
      <c r="I593" s="163" t="s">
        <v>960</v>
      </c>
      <c r="J593" s="163" t="s">
        <v>1679</v>
      </c>
      <c r="K593" s="162" t="s">
        <v>1680</v>
      </c>
      <c r="L593" s="164" t="s">
        <v>750</v>
      </c>
      <c r="M593" s="169"/>
      <c r="N593" s="165">
        <v>700</v>
      </c>
      <c r="O593" s="169">
        <f t="shared" si="29"/>
        <v>0</v>
      </c>
      <c r="P593" s="165">
        <v>136456</v>
      </c>
      <c r="Q593" s="166">
        <f t="shared" si="30"/>
        <v>0</v>
      </c>
      <c r="R593" s="169"/>
      <c r="S593" s="169"/>
      <c r="T593" s="169"/>
      <c r="U593" s="169"/>
      <c r="V593" s="166">
        <f t="shared" si="31"/>
        <v>0</v>
      </c>
      <c r="W593" s="205"/>
      <c r="X593" s="167"/>
    </row>
    <row r="594" spans="8:24" s="220" customFormat="1" ht="12" hidden="1" customHeight="1">
      <c r="H594" s="162" t="s">
        <v>136</v>
      </c>
      <c r="I594" s="163" t="s">
        <v>961</v>
      </c>
      <c r="J594" s="163" t="s">
        <v>1681</v>
      </c>
      <c r="K594" s="162" t="s">
        <v>1682</v>
      </c>
      <c r="L594" s="164" t="s">
        <v>750</v>
      </c>
      <c r="M594" s="169"/>
      <c r="N594" s="165">
        <v>1170</v>
      </c>
      <c r="O594" s="169">
        <f t="shared" si="29"/>
        <v>0</v>
      </c>
      <c r="P594" s="165">
        <v>145166</v>
      </c>
      <c r="Q594" s="166">
        <f t="shared" si="30"/>
        <v>0</v>
      </c>
      <c r="R594" s="169"/>
      <c r="S594" s="169"/>
      <c r="T594" s="169"/>
      <c r="U594" s="169"/>
      <c r="V594" s="166">
        <f t="shared" si="31"/>
        <v>0</v>
      </c>
      <c r="W594" s="205"/>
      <c r="X594" s="167"/>
    </row>
    <row r="595" spans="8:24" s="220" customFormat="1" ht="12" hidden="1" customHeight="1">
      <c r="H595" s="162" t="s">
        <v>137</v>
      </c>
      <c r="I595" s="163" t="s">
        <v>962</v>
      </c>
      <c r="J595" s="163" t="s">
        <v>1683</v>
      </c>
      <c r="K595" s="162" t="s">
        <v>1684</v>
      </c>
      <c r="L595" s="164" t="s">
        <v>750</v>
      </c>
      <c r="M595" s="169"/>
      <c r="N595" s="165">
        <v>1830</v>
      </c>
      <c r="O595" s="169">
        <f t="shared" si="29"/>
        <v>0</v>
      </c>
      <c r="P595" s="165">
        <v>165489</v>
      </c>
      <c r="Q595" s="166">
        <f t="shared" si="30"/>
        <v>0</v>
      </c>
      <c r="R595" s="169"/>
      <c r="S595" s="169"/>
      <c r="T595" s="169"/>
      <c r="U595" s="169"/>
      <c r="V595" s="166">
        <f t="shared" si="31"/>
        <v>0</v>
      </c>
      <c r="W595" s="205"/>
      <c r="X595" s="167"/>
    </row>
    <row r="596" spans="8:24" s="220" customFormat="1" ht="12" hidden="1" customHeight="1">
      <c r="H596" s="162" t="s">
        <v>138</v>
      </c>
      <c r="I596" s="163" t="s">
        <v>963</v>
      </c>
      <c r="J596" s="163" t="s">
        <v>1685</v>
      </c>
      <c r="K596" s="162" t="s">
        <v>1686</v>
      </c>
      <c r="L596" s="164" t="s">
        <v>750</v>
      </c>
      <c r="M596" s="169"/>
      <c r="N596" s="165">
        <v>1980</v>
      </c>
      <c r="O596" s="169">
        <f t="shared" si="29"/>
        <v>0</v>
      </c>
      <c r="P596" s="165">
        <v>197426</v>
      </c>
      <c r="Q596" s="166">
        <f t="shared" si="30"/>
        <v>0</v>
      </c>
      <c r="R596" s="169"/>
      <c r="S596" s="169"/>
      <c r="T596" s="169"/>
      <c r="U596" s="169"/>
      <c r="V596" s="166">
        <f t="shared" si="31"/>
        <v>0</v>
      </c>
      <c r="W596" s="205"/>
      <c r="X596" s="167"/>
    </row>
    <row r="597" spans="8:24" s="220" customFormat="1" ht="12" hidden="1" customHeight="1">
      <c r="H597" s="162" t="s">
        <v>139</v>
      </c>
      <c r="I597" s="163" t="s">
        <v>963</v>
      </c>
      <c r="J597" s="163" t="s">
        <v>1685</v>
      </c>
      <c r="K597" s="162" t="s">
        <v>1687</v>
      </c>
      <c r="L597" s="164" t="s">
        <v>750</v>
      </c>
      <c r="M597" s="169"/>
      <c r="N597" s="165">
        <v>2640</v>
      </c>
      <c r="O597" s="169">
        <f t="shared" si="29"/>
        <v>0</v>
      </c>
      <c r="P597" s="165">
        <v>197426</v>
      </c>
      <c r="Q597" s="166">
        <f t="shared" si="30"/>
        <v>0</v>
      </c>
      <c r="R597" s="169"/>
      <c r="S597" s="169"/>
      <c r="T597" s="169"/>
      <c r="U597" s="169"/>
      <c r="V597" s="166">
        <f t="shared" si="31"/>
        <v>0</v>
      </c>
      <c r="W597" s="205"/>
      <c r="X597" s="167"/>
    </row>
    <row r="598" spans="8:24" s="220" customFormat="1" ht="12" hidden="1" customHeight="1">
      <c r="H598" s="162" t="s">
        <v>140</v>
      </c>
      <c r="I598" s="163" t="s">
        <v>964</v>
      </c>
      <c r="J598" s="163" t="s">
        <v>2150</v>
      </c>
      <c r="K598" s="162" t="s">
        <v>2151</v>
      </c>
      <c r="L598" s="164" t="s">
        <v>750</v>
      </c>
      <c r="M598" s="169"/>
      <c r="N598" s="165">
        <v>3800</v>
      </c>
      <c r="O598" s="169">
        <f t="shared" si="29"/>
        <v>0</v>
      </c>
      <c r="P598" s="165">
        <v>223556</v>
      </c>
      <c r="Q598" s="166">
        <f t="shared" si="30"/>
        <v>0</v>
      </c>
      <c r="R598" s="169"/>
      <c r="S598" s="169"/>
      <c r="T598" s="169"/>
      <c r="U598" s="169"/>
      <c r="V598" s="166">
        <f t="shared" si="31"/>
        <v>0</v>
      </c>
      <c r="W598" s="205"/>
      <c r="X598" s="167"/>
    </row>
    <row r="599" spans="8:24" s="220" customFormat="1" ht="12" hidden="1" customHeight="1">
      <c r="H599" s="162" t="s">
        <v>95</v>
      </c>
      <c r="I599" s="163" t="s">
        <v>947</v>
      </c>
      <c r="J599" s="163" t="s">
        <v>1494</v>
      </c>
      <c r="K599" s="162" t="s">
        <v>1495</v>
      </c>
      <c r="L599" s="164" t="s">
        <v>5</v>
      </c>
      <c r="M599" s="169"/>
      <c r="N599" s="165">
        <v>43600</v>
      </c>
      <c r="O599" s="169">
        <f t="shared" si="29"/>
        <v>0</v>
      </c>
      <c r="P599" s="165">
        <v>7669</v>
      </c>
      <c r="Q599" s="166">
        <f t="shared" si="30"/>
        <v>0</v>
      </c>
      <c r="R599" s="169"/>
      <c r="S599" s="169"/>
      <c r="T599" s="169"/>
      <c r="U599" s="169"/>
      <c r="V599" s="166">
        <f t="shared" si="31"/>
        <v>0</v>
      </c>
      <c r="W599" s="205"/>
      <c r="X599" s="167"/>
    </row>
    <row r="600" spans="8:24" s="220" customFormat="1" ht="12" hidden="1" customHeight="1">
      <c r="H600" s="162" t="s">
        <v>93</v>
      </c>
      <c r="I600" s="163" t="s">
        <v>946</v>
      </c>
      <c r="J600" s="163" t="s">
        <v>1863</v>
      </c>
      <c r="K600" s="162" t="s">
        <v>1864</v>
      </c>
      <c r="L600" s="164" t="s">
        <v>5</v>
      </c>
      <c r="M600" s="169"/>
      <c r="N600" s="165">
        <v>26800</v>
      </c>
      <c r="O600" s="169">
        <f t="shared" si="29"/>
        <v>0</v>
      </c>
      <c r="P600" s="165">
        <v>6316</v>
      </c>
      <c r="Q600" s="166">
        <f t="shared" si="30"/>
        <v>0</v>
      </c>
      <c r="R600" s="169"/>
      <c r="S600" s="169"/>
      <c r="T600" s="169"/>
      <c r="U600" s="169"/>
      <c r="V600" s="166">
        <f t="shared" si="31"/>
        <v>0</v>
      </c>
      <c r="W600" s="205"/>
      <c r="X600" s="167"/>
    </row>
    <row r="601" spans="8:24" s="220" customFormat="1" ht="12" hidden="1" customHeight="1">
      <c r="H601" s="162" t="s">
        <v>94</v>
      </c>
      <c r="I601" s="163" t="s">
        <v>946</v>
      </c>
      <c r="J601" s="163" t="s">
        <v>1863</v>
      </c>
      <c r="K601" s="162" t="s">
        <v>1865</v>
      </c>
      <c r="L601" s="164" t="s">
        <v>5</v>
      </c>
      <c r="M601" s="169"/>
      <c r="N601" s="165">
        <v>35200</v>
      </c>
      <c r="O601" s="169">
        <f t="shared" si="29"/>
        <v>0</v>
      </c>
      <c r="P601" s="165">
        <v>6316</v>
      </c>
      <c r="Q601" s="166">
        <f t="shared" si="30"/>
        <v>0</v>
      </c>
      <c r="R601" s="169"/>
      <c r="S601" s="169"/>
      <c r="T601" s="169"/>
      <c r="U601" s="169"/>
      <c r="V601" s="166">
        <f t="shared" si="31"/>
        <v>0</v>
      </c>
      <c r="W601" s="205"/>
      <c r="X601" s="167"/>
    </row>
    <row r="602" spans="8:24" s="220" customFormat="1" ht="12" hidden="1" customHeight="1">
      <c r="H602" s="162" t="s">
        <v>698</v>
      </c>
      <c r="I602" s="163" t="s">
        <v>1167</v>
      </c>
      <c r="J602" s="163" t="s">
        <v>2113</v>
      </c>
      <c r="K602" s="162" t="s">
        <v>2114</v>
      </c>
      <c r="L602" s="164" t="s">
        <v>5</v>
      </c>
      <c r="M602" s="169"/>
      <c r="N602" s="165">
        <v>720</v>
      </c>
      <c r="O602" s="169">
        <f t="shared" si="29"/>
        <v>0</v>
      </c>
      <c r="P602" s="165">
        <v>2706</v>
      </c>
      <c r="Q602" s="166">
        <f t="shared" si="30"/>
        <v>0</v>
      </c>
      <c r="R602" s="169"/>
      <c r="S602" s="169"/>
      <c r="T602" s="169"/>
      <c r="U602" s="169"/>
      <c r="V602" s="166">
        <f t="shared" si="31"/>
        <v>0</v>
      </c>
      <c r="W602" s="205"/>
      <c r="X602" s="167"/>
    </row>
    <row r="603" spans="8:24" s="220" customFormat="1" ht="12" hidden="1" customHeight="1">
      <c r="H603" s="162" t="s">
        <v>699</v>
      </c>
      <c r="I603" s="163" t="s">
        <v>1167</v>
      </c>
      <c r="J603" s="163" t="s">
        <v>2113</v>
      </c>
      <c r="K603" s="162" t="s">
        <v>2115</v>
      </c>
      <c r="L603" s="164" t="s">
        <v>5</v>
      </c>
      <c r="M603" s="169"/>
      <c r="N603" s="165">
        <v>1000</v>
      </c>
      <c r="O603" s="169">
        <f t="shared" si="29"/>
        <v>0</v>
      </c>
      <c r="P603" s="165">
        <v>2706</v>
      </c>
      <c r="Q603" s="166">
        <f t="shared" si="30"/>
        <v>0</v>
      </c>
      <c r="R603" s="169"/>
      <c r="S603" s="169"/>
      <c r="T603" s="169"/>
      <c r="U603" s="169"/>
      <c r="V603" s="166">
        <f t="shared" si="31"/>
        <v>0</v>
      </c>
      <c r="W603" s="205"/>
      <c r="X603" s="167"/>
    </row>
    <row r="604" spans="8:24" s="220" customFormat="1" ht="12" hidden="1" customHeight="1">
      <c r="H604" s="162" t="s">
        <v>700</v>
      </c>
      <c r="I604" s="163" t="s">
        <v>1167</v>
      </c>
      <c r="J604" s="163" t="s">
        <v>2113</v>
      </c>
      <c r="K604" s="162" t="s">
        <v>2116</v>
      </c>
      <c r="L604" s="164" t="s">
        <v>5</v>
      </c>
      <c r="M604" s="169"/>
      <c r="N604" s="165">
        <v>1140</v>
      </c>
      <c r="O604" s="169">
        <f t="shared" si="29"/>
        <v>0</v>
      </c>
      <c r="P604" s="165">
        <v>2706</v>
      </c>
      <c r="Q604" s="166">
        <f t="shared" si="30"/>
        <v>0</v>
      </c>
      <c r="R604" s="169"/>
      <c r="S604" s="169"/>
      <c r="T604" s="169"/>
      <c r="U604" s="169"/>
      <c r="V604" s="166">
        <f t="shared" si="31"/>
        <v>0</v>
      </c>
      <c r="W604" s="205"/>
      <c r="X604" s="167"/>
    </row>
    <row r="605" spans="8:24" s="220" customFormat="1" ht="12" hidden="1" customHeight="1">
      <c r="H605" s="162" t="s">
        <v>701</v>
      </c>
      <c r="I605" s="163" t="s">
        <v>1167</v>
      </c>
      <c r="J605" s="163" t="s">
        <v>2113</v>
      </c>
      <c r="K605" s="162" t="s">
        <v>2117</v>
      </c>
      <c r="L605" s="164" t="s">
        <v>5</v>
      </c>
      <c r="M605" s="169"/>
      <c r="N605" s="165">
        <v>1920</v>
      </c>
      <c r="O605" s="169">
        <f t="shared" si="29"/>
        <v>0</v>
      </c>
      <c r="P605" s="165">
        <v>2706</v>
      </c>
      <c r="Q605" s="166">
        <f t="shared" si="30"/>
        <v>0</v>
      </c>
      <c r="R605" s="169"/>
      <c r="S605" s="169"/>
      <c r="T605" s="169"/>
      <c r="U605" s="169"/>
      <c r="V605" s="166">
        <f t="shared" si="31"/>
        <v>0</v>
      </c>
      <c r="W605" s="205"/>
      <c r="X605" s="167"/>
    </row>
    <row r="606" spans="8:24" s="220" customFormat="1" ht="12" hidden="1" customHeight="1">
      <c r="H606" s="162" t="s">
        <v>702</v>
      </c>
      <c r="I606" s="163" t="s">
        <v>1168</v>
      </c>
      <c r="J606" s="163" t="s">
        <v>2118</v>
      </c>
      <c r="K606" s="162" t="s">
        <v>2119</v>
      </c>
      <c r="L606" s="164" t="s">
        <v>5</v>
      </c>
      <c r="M606" s="169"/>
      <c r="N606" s="165">
        <v>2620</v>
      </c>
      <c r="O606" s="169">
        <f t="shared" si="29"/>
        <v>0</v>
      </c>
      <c r="P606" s="165">
        <v>3158</v>
      </c>
      <c r="Q606" s="166">
        <f t="shared" si="30"/>
        <v>0</v>
      </c>
      <c r="R606" s="169"/>
      <c r="S606" s="169"/>
      <c r="T606" s="169"/>
      <c r="U606" s="169"/>
      <c r="V606" s="166">
        <f t="shared" si="31"/>
        <v>0</v>
      </c>
      <c r="W606" s="205"/>
      <c r="X606" s="167"/>
    </row>
    <row r="607" spans="8:24" s="220" customFormat="1" ht="12" hidden="1" customHeight="1">
      <c r="H607" s="162" t="s">
        <v>703</v>
      </c>
      <c r="I607" s="163" t="s">
        <v>1168</v>
      </c>
      <c r="J607" s="163" t="s">
        <v>2118</v>
      </c>
      <c r="K607" s="162" t="s">
        <v>2120</v>
      </c>
      <c r="L607" s="164" t="s">
        <v>5</v>
      </c>
      <c r="M607" s="169"/>
      <c r="N607" s="165">
        <v>4020</v>
      </c>
      <c r="O607" s="169">
        <f t="shared" si="29"/>
        <v>0</v>
      </c>
      <c r="P607" s="165">
        <v>3158</v>
      </c>
      <c r="Q607" s="166">
        <f t="shared" si="30"/>
        <v>0</v>
      </c>
      <c r="R607" s="169"/>
      <c r="S607" s="169"/>
      <c r="T607" s="169"/>
      <c r="U607" s="169"/>
      <c r="V607" s="166">
        <f t="shared" si="31"/>
        <v>0</v>
      </c>
      <c r="W607" s="205"/>
      <c r="X607" s="167"/>
    </row>
    <row r="608" spans="8:24" s="220" customFormat="1" ht="12" hidden="1" customHeight="1">
      <c r="H608" s="162" t="s">
        <v>704</v>
      </c>
      <c r="I608" s="163" t="s">
        <v>1168</v>
      </c>
      <c r="J608" s="163" t="s">
        <v>2118</v>
      </c>
      <c r="K608" s="162" t="s">
        <v>2121</v>
      </c>
      <c r="L608" s="164" t="s">
        <v>5</v>
      </c>
      <c r="M608" s="169"/>
      <c r="N608" s="165">
        <v>5680</v>
      </c>
      <c r="O608" s="169">
        <f t="shared" si="29"/>
        <v>0</v>
      </c>
      <c r="P608" s="165">
        <v>3158</v>
      </c>
      <c r="Q608" s="166">
        <f t="shared" si="30"/>
        <v>0</v>
      </c>
      <c r="R608" s="169"/>
      <c r="S608" s="169"/>
      <c r="T608" s="169"/>
      <c r="U608" s="169"/>
      <c r="V608" s="166">
        <f t="shared" si="31"/>
        <v>0</v>
      </c>
      <c r="W608" s="205"/>
      <c r="X608" s="167"/>
    </row>
    <row r="609" spans="8:24" s="220" customFormat="1" ht="12" hidden="1" customHeight="1">
      <c r="H609" s="162" t="s">
        <v>705</v>
      </c>
      <c r="I609" s="163" t="s">
        <v>1169</v>
      </c>
      <c r="J609" s="163" t="s">
        <v>2122</v>
      </c>
      <c r="K609" s="162" t="s">
        <v>2123</v>
      </c>
      <c r="L609" s="164" t="s">
        <v>5</v>
      </c>
      <c r="M609" s="169"/>
      <c r="N609" s="165">
        <v>7730</v>
      </c>
      <c r="O609" s="169">
        <f t="shared" si="29"/>
        <v>0</v>
      </c>
      <c r="P609" s="165">
        <v>3609</v>
      </c>
      <c r="Q609" s="166">
        <f t="shared" si="30"/>
        <v>0</v>
      </c>
      <c r="R609" s="169"/>
      <c r="S609" s="169"/>
      <c r="T609" s="169"/>
      <c r="U609" s="169"/>
      <c r="V609" s="166">
        <f t="shared" si="31"/>
        <v>0</v>
      </c>
      <c r="W609" s="205"/>
      <c r="X609" s="167"/>
    </row>
    <row r="610" spans="8:24" s="220" customFormat="1" ht="12" hidden="1" customHeight="1">
      <c r="H610" s="162" t="s">
        <v>706</v>
      </c>
      <c r="I610" s="163" t="s">
        <v>1169</v>
      </c>
      <c r="J610" s="163" t="s">
        <v>2122</v>
      </c>
      <c r="K610" s="162" t="s">
        <v>2124</v>
      </c>
      <c r="L610" s="164" t="s">
        <v>5</v>
      </c>
      <c r="M610" s="169"/>
      <c r="N610" s="165">
        <v>10900</v>
      </c>
      <c r="O610" s="169">
        <f t="shared" si="29"/>
        <v>0</v>
      </c>
      <c r="P610" s="165">
        <v>3609</v>
      </c>
      <c r="Q610" s="166">
        <f t="shared" si="30"/>
        <v>0</v>
      </c>
      <c r="R610" s="169"/>
      <c r="S610" s="169"/>
      <c r="T610" s="169"/>
      <c r="U610" s="169"/>
      <c r="V610" s="166">
        <f t="shared" si="31"/>
        <v>0</v>
      </c>
      <c r="W610" s="205"/>
      <c r="X610" s="167"/>
    </row>
    <row r="611" spans="8:24" s="220" customFormat="1" ht="12" hidden="1" customHeight="1">
      <c r="H611" s="162" t="s">
        <v>707</v>
      </c>
      <c r="I611" s="163" t="s">
        <v>1169</v>
      </c>
      <c r="J611" s="163" t="s">
        <v>2122</v>
      </c>
      <c r="K611" s="162" t="s">
        <v>2125</v>
      </c>
      <c r="L611" s="164" t="s">
        <v>5</v>
      </c>
      <c r="M611" s="169"/>
      <c r="N611" s="165">
        <v>14600</v>
      </c>
      <c r="O611" s="169">
        <f t="shared" si="29"/>
        <v>0</v>
      </c>
      <c r="P611" s="165">
        <v>3609</v>
      </c>
      <c r="Q611" s="166">
        <f t="shared" si="30"/>
        <v>0</v>
      </c>
      <c r="R611" s="169"/>
      <c r="S611" s="169"/>
      <c r="T611" s="169"/>
      <c r="U611" s="169"/>
      <c r="V611" s="166">
        <f t="shared" si="31"/>
        <v>0</v>
      </c>
      <c r="W611" s="205"/>
      <c r="X611" s="167"/>
    </row>
    <row r="612" spans="8:24" s="220" customFormat="1" ht="12" hidden="1" customHeight="1">
      <c r="H612" s="162" t="s">
        <v>708</v>
      </c>
      <c r="I612" s="163" t="s">
        <v>1170</v>
      </c>
      <c r="J612" s="163" t="s">
        <v>2126</v>
      </c>
      <c r="K612" s="162" t="s">
        <v>2127</v>
      </c>
      <c r="L612" s="164" t="s">
        <v>5</v>
      </c>
      <c r="M612" s="169"/>
      <c r="N612" s="165">
        <v>17900</v>
      </c>
      <c r="O612" s="169">
        <f t="shared" si="29"/>
        <v>0</v>
      </c>
      <c r="P612" s="165">
        <v>4962</v>
      </c>
      <c r="Q612" s="166">
        <f t="shared" si="30"/>
        <v>0</v>
      </c>
      <c r="R612" s="169"/>
      <c r="S612" s="169"/>
      <c r="T612" s="169"/>
      <c r="U612" s="169"/>
      <c r="V612" s="166">
        <f t="shared" si="31"/>
        <v>0</v>
      </c>
      <c r="W612" s="205"/>
      <c r="X612" s="167"/>
    </row>
    <row r="613" spans="8:24" s="220" customFormat="1" ht="12" hidden="1" customHeight="1">
      <c r="H613" s="162" t="s">
        <v>709</v>
      </c>
      <c r="I613" s="163" t="s">
        <v>1170</v>
      </c>
      <c r="J613" s="163" t="s">
        <v>2126</v>
      </c>
      <c r="K613" s="162" t="s">
        <v>2128</v>
      </c>
      <c r="L613" s="164" t="s">
        <v>5</v>
      </c>
      <c r="M613" s="169"/>
      <c r="N613" s="165">
        <v>21800</v>
      </c>
      <c r="O613" s="169">
        <f t="shared" si="29"/>
        <v>0</v>
      </c>
      <c r="P613" s="165">
        <v>4962</v>
      </c>
      <c r="Q613" s="166">
        <f t="shared" si="30"/>
        <v>0</v>
      </c>
      <c r="R613" s="169"/>
      <c r="S613" s="169"/>
      <c r="T613" s="169"/>
      <c r="U613" s="169"/>
      <c r="V613" s="166">
        <f t="shared" si="31"/>
        <v>0</v>
      </c>
      <c r="W613" s="205"/>
      <c r="X613" s="167"/>
    </row>
    <row r="614" spans="8:24" s="220" customFormat="1" ht="12" hidden="1" customHeight="1">
      <c r="H614" s="162" t="s">
        <v>923</v>
      </c>
      <c r="I614" s="163" t="s">
        <v>1037</v>
      </c>
      <c r="J614" s="163" t="s">
        <v>2258</v>
      </c>
      <c r="K614" s="162" t="s">
        <v>1869</v>
      </c>
      <c r="L614" s="164" t="s">
        <v>5</v>
      </c>
      <c r="M614" s="169"/>
      <c r="N614" s="165">
        <v>720</v>
      </c>
      <c r="O614" s="169">
        <f t="shared" si="29"/>
        <v>0</v>
      </c>
      <c r="P614" s="165">
        <v>2699</v>
      </c>
      <c r="Q614" s="166">
        <f t="shared" si="30"/>
        <v>0</v>
      </c>
      <c r="R614" s="169"/>
      <c r="S614" s="169"/>
      <c r="T614" s="169"/>
      <c r="U614" s="169"/>
      <c r="V614" s="166">
        <f t="shared" si="31"/>
        <v>0</v>
      </c>
      <c r="W614" s="205"/>
      <c r="X614" s="167"/>
    </row>
    <row r="615" spans="8:24" s="220" customFormat="1" ht="12" hidden="1" customHeight="1">
      <c r="H615" s="162" t="s">
        <v>924</v>
      </c>
      <c r="I615" s="163" t="s">
        <v>1037</v>
      </c>
      <c r="J615" s="163" t="s">
        <v>2258</v>
      </c>
      <c r="K615" s="162" t="s">
        <v>2178</v>
      </c>
      <c r="L615" s="164" t="s">
        <v>5</v>
      </c>
      <c r="M615" s="169"/>
      <c r="N615" s="165">
        <v>1000</v>
      </c>
      <c r="O615" s="169">
        <f t="shared" si="29"/>
        <v>0</v>
      </c>
      <c r="P615" s="165">
        <v>2699</v>
      </c>
      <c r="Q615" s="166">
        <f t="shared" si="30"/>
        <v>0</v>
      </c>
      <c r="R615" s="169"/>
      <c r="S615" s="169"/>
      <c r="T615" s="169"/>
      <c r="U615" s="169"/>
      <c r="V615" s="166">
        <f t="shared" si="31"/>
        <v>0</v>
      </c>
      <c r="W615" s="205"/>
      <c r="X615" s="167"/>
    </row>
    <row r="616" spans="8:24" s="220" customFormat="1" ht="12" hidden="1" customHeight="1">
      <c r="H616" s="162" t="s">
        <v>925</v>
      </c>
      <c r="I616" s="163" t="s">
        <v>1037</v>
      </c>
      <c r="J616" s="163" t="s">
        <v>2258</v>
      </c>
      <c r="K616" s="162" t="s">
        <v>1870</v>
      </c>
      <c r="L616" s="164" t="s">
        <v>5</v>
      </c>
      <c r="M616" s="169"/>
      <c r="N616" s="165">
        <v>1140</v>
      </c>
      <c r="O616" s="169">
        <f t="shared" si="29"/>
        <v>0</v>
      </c>
      <c r="P616" s="165">
        <v>2699</v>
      </c>
      <c r="Q616" s="166">
        <f t="shared" si="30"/>
        <v>0</v>
      </c>
      <c r="R616" s="169"/>
      <c r="S616" s="169"/>
      <c r="T616" s="169"/>
      <c r="U616" s="169"/>
      <c r="V616" s="166">
        <f t="shared" si="31"/>
        <v>0</v>
      </c>
      <c r="W616" s="205"/>
      <c r="X616" s="167"/>
    </row>
    <row r="617" spans="8:24" s="220" customFormat="1" ht="12" hidden="1" customHeight="1">
      <c r="H617" s="162" t="s">
        <v>312</v>
      </c>
      <c r="I617" s="163" t="s">
        <v>1037</v>
      </c>
      <c r="J617" s="163" t="s">
        <v>1866</v>
      </c>
      <c r="K617" s="162" t="s">
        <v>2111</v>
      </c>
      <c r="L617" s="164" t="s">
        <v>5</v>
      </c>
      <c r="M617" s="169"/>
      <c r="N617" s="165">
        <v>640</v>
      </c>
      <c r="O617" s="169">
        <f t="shared" si="29"/>
        <v>0</v>
      </c>
      <c r="P617" s="165">
        <v>2699</v>
      </c>
      <c r="Q617" s="166">
        <f t="shared" si="30"/>
        <v>0</v>
      </c>
      <c r="R617" s="169"/>
      <c r="S617" s="169"/>
      <c r="T617" s="169"/>
      <c r="U617" s="169"/>
      <c r="V617" s="166">
        <f t="shared" si="31"/>
        <v>0</v>
      </c>
      <c r="W617" s="205"/>
      <c r="X617" s="167"/>
    </row>
    <row r="618" spans="8:24" s="220" customFormat="1" ht="12" hidden="1" customHeight="1">
      <c r="H618" s="162" t="s">
        <v>313</v>
      </c>
      <c r="I618" s="163" t="s">
        <v>1037</v>
      </c>
      <c r="J618" s="163" t="s">
        <v>1866</v>
      </c>
      <c r="K618" s="162" t="s">
        <v>2112</v>
      </c>
      <c r="L618" s="164" t="s">
        <v>5</v>
      </c>
      <c r="M618" s="169"/>
      <c r="N618" s="165">
        <v>1050</v>
      </c>
      <c r="O618" s="169">
        <f t="shared" si="29"/>
        <v>0</v>
      </c>
      <c r="P618" s="165">
        <v>2699</v>
      </c>
      <c r="Q618" s="166">
        <f t="shared" si="30"/>
        <v>0</v>
      </c>
      <c r="R618" s="169"/>
      <c r="S618" s="169"/>
      <c r="T618" s="169"/>
      <c r="U618" s="169"/>
      <c r="V618" s="166">
        <f t="shared" si="31"/>
        <v>0</v>
      </c>
      <c r="W618" s="205"/>
      <c r="X618" s="167"/>
    </row>
    <row r="619" spans="8:24" s="220" customFormat="1" ht="12" hidden="1" customHeight="1">
      <c r="H619" s="162" t="s">
        <v>314</v>
      </c>
      <c r="I619" s="163" t="s">
        <v>1037</v>
      </c>
      <c r="J619" s="163" t="s">
        <v>1867</v>
      </c>
      <c r="K619" s="162" t="s">
        <v>1868</v>
      </c>
      <c r="L619" s="164" t="s">
        <v>5</v>
      </c>
      <c r="M619" s="169"/>
      <c r="N619" s="165">
        <v>310</v>
      </c>
      <c r="O619" s="169">
        <f t="shared" si="29"/>
        <v>0</v>
      </c>
      <c r="P619" s="165">
        <v>2699</v>
      </c>
      <c r="Q619" s="166">
        <f t="shared" si="30"/>
        <v>0</v>
      </c>
      <c r="R619" s="169"/>
      <c r="S619" s="169"/>
      <c r="T619" s="169"/>
      <c r="U619" s="169"/>
      <c r="V619" s="166">
        <f t="shared" si="31"/>
        <v>0</v>
      </c>
      <c r="W619" s="205"/>
      <c r="X619" s="167"/>
    </row>
    <row r="620" spans="8:24" s="220" customFormat="1" ht="12" hidden="1" customHeight="1">
      <c r="H620" s="162" t="s">
        <v>315</v>
      </c>
      <c r="I620" s="163" t="s">
        <v>1037</v>
      </c>
      <c r="J620" s="163" t="s">
        <v>1867</v>
      </c>
      <c r="K620" s="162" t="s">
        <v>1869</v>
      </c>
      <c r="L620" s="164" t="s">
        <v>5</v>
      </c>
      <c r="M620" s="169"/>
      <c r="N620" s="165">
        <v>500</v>
      </c>
      <c r="O620" s="169">
        <f t="shared" si="29"/>
        <v>0</v>
      </c>
      <c r="P620" s="165">
        <v>2699</v>
      </c>
      <c r="Q620" s="166">
        <f t="shared" si="30"/>
        <v>0</v>
      </c>
      <c r="R620" s="169"/>
      <c r="S620" s="169"/>
      <c r="T620" s="169"/>
      <c r="U620" s="169"/>
      <c r="V620" s="166">
        <f t="shared" si="31"/>
        <v>0</v>
      </c>
      <c r="W620" s="205"/>
      <c r="X620" s="167"/>
    </row>
    <row r="621" spans="8:24" s="220" customFormat="1" ht="12" hidden="1" customHeight="1">
      <c r="H621" s="162" t="s">
        <v>317</v>
      </c>
      <c r="I621" s="163" t="s">
        <v>1037</v>
      </c>
      <c r="J621" s="163" t="s">
        <v>1867</v>
      </c>
      <c r="K621" s="162" t="s">
        <v>1870</v>
      </c>
      <c r="L621" s="164" t="s">
        <v>5</v>
      </c>
      <c r="M621" s="169"/>
      <c r="N621" s="165">
        <v>1150</v>
      </c>
      <c r="O621" s="169">
        <f t="shared" si="29"/>
        <v>0</v>
      </c>
      <c r="P621" s="165">
        <v>2699</v>
      </c>
      <c r="Q621" s="166">
        <f t="shared" si="30"/>
        <v>0</v>
      </c>
      <c r="R621" s="169"/>
      <c r="S621" s="169"/>
      <c r="T621" s="169"/>
      <c r="U621" s="169"/>
      <c r="V621" s="166">
        <f t="shared" si="31"/>
        <v>0</v>
      </c>
      <c r="W621" s="205"/>
      <c r="X621" s="167"/>
    </row>
    <row r="622" spans="8:24" s="220" customFormat="1" ht="12" hidden="1" customHeight="1">
      <c r="H622" s="162" t="s">
        <v>318</v>
      </c>
      <c r="I622" s="163" t="s">
        <v>1038</v>
      </c>
      <c r="J622" s="163" t="s">
        <v>1871</v>
      </c>
      <c r="K622" s="162" t="s">
        <v>1872</v>
      </c>
      <c r="L622" s="164" t="s">
        <v>5</v>
      </c>
      <c r="M622" s="169"/>
      <c r="N622" s="165">
        <v>1940</v>
      </c>
      <c r="O622" s="169">
        <f t="shared" si="29"/>
        <v>0</v>
      </c>
      <c r="P622" s="165">
        <v>6209</v>
      </c>
      <c r="Q622" s="166">
        <f t="shared" si="30"/>
        <v>0</v>
      </c>
      <c r="R622" s="169"/>
      <c r="S622" s="169"/>
      <c r="T622" s="169"/>
      <c r="U622" s="169"/>
      <c r="V622" s="166">
        <f t="shared" si="31"/>
        <v>0</v>
      </c>
      <c r="W622" s="205"/>
      <c r="X622" s="167"/>
    </row>
    <row r="623" spans="8:24" s="220" customFormat="1" ht="12" hidden="1" customHeight="1">
      <c r="H623" s="162" t="s">
        <v>319</v>
      </c>
      <c r="I623" s="163" t="s">
        <v>1038</v>
      </c>
      <c r="J623" s="163" t="s">
        <v>1871</v>
      </c>
      <c r="K623" s="162" t="s">
        <v>1873</v>
      </c>
      <c r="L623" s="164" t="s">
        <v>5</v>
      </c>
      <c r="M623" s="169"/>
      <c r="N623" s="165">
        <v>3020</v>
      </c>
      <c r="O623" s="169">
        <f t="shared" si="29"/>
        <v>0</v>
      </c>
      <c r="P623" s="165">
        <v>6209</v>
      </c>
      <c r="Q623" s="166">
        <f t="shared" si="30"/>
        <v>0</v>
      </c>
      <c r="R623" s="169"/>
      <c r="S623" s="169"/>
      <c r="T623" s="169"/>
      <c r="U623" s="169"/>
      <c r="V623" s="166">
        <f t="shared" si="31"/>
        <v>0</v>
      </c>
      <c r="W623" s="205"/>
      <c r="X623" s="167"/>
    </row>
    <row r="624" spans="8:24" s="220" customFormat="1" ht="12" hidden="1" customHeight="1">
      <c r="H624" s="162" t="s">
        <v>320</v>
      </c>
      <c r="I624" s="163" t="s">
        <v>1039</v>
      </c>
      <c r="J624" s="163" t="s">
        <v>1874</v>
      </c>
      <c r="K624" s="162" t="s">
        <v>1875</v>
      </c>
      <c r="L624" s="164" t="s">
        <v>5</v>
      </c>
      <c r="M624" s="169"/>
      <c r="N624" s="165">
        <v>4690</v>
      </c>
      <c r="O624" s="169">
        <f t="shared" si="29"/>
        <v>0</v>
      </c>
      <c r="P624" s="165">
        <v>8369</v>
      </c>
      <c r="Q624" s="166">
        <f t="shared" si="30"/>
        <v>0</v>
      </c>
      <c r="R624" s="169"/>
      <c r="S624" s="169"/>
      <c r="T624" s="169"/>
      <c r="U624" s="169"/>
      <c r="V624" s="166">
        <f t="shared" si="31"/>
        <v>0</v>
      </c>
      <c r="W624" s="205"/>
      <c r="X624" s="167"/>
    </row>
    <row r="625" spans="8:24" s="220" customFormat="1" ht="12" hidden="1" customHeight="1">
      <c r="H625" s="162" t="s">
        <v>322</v>
      </c>
      <c r="I625" s="163" t="s">
        <v>1040</v>
      </c>
      <c r="J625" s="163" t="s">
        <v>1876</v>
      </c>
      <c r="K625" s="162" t="s">
        <v>1877</v>
      </c>
      <c r="L625" s="164" t="s">
        <v>5</v>
      </c>
      <c r="M625" s="169"/>
      <c r="N625" s="165">
        <v>9340</v>
      </c>
      <c r="O625" s="169">
        <f t="shared" si="29"/>
        <v>0</v>
      </c>
      <c r="P625" s="165">
        <v>11608</v>
      </c>
      <c r="Q625" s="166">
        <f t="shared" si="30"/>
        <v>0</v>
      </c>
      <c r="R625" s="169"/>
      <c r="S625" s="169"/>
      <c r="T625" s="169"/>
      <c r="U625" s="169"/>
      <c r="V625" s="166">
        <f t="shared" si="31"/>
        <v>0</v>
      </c>
      <c r="W625" s="205"/>
      <c r="X625" s="167"/>
    </row>
    <row r="626" spans="8:24" s="220" customFormat="1" ht="12" hidden="1" customHeight="1">
      <c r="H626" s="162" t="s">
        <v>323</v>
      </c>
      <c r="I626" s="163" t="s">
        <v>1041</v>
      </c>
      <c r="J626" s="163" t="s">
        <v>1878</v>
      </c>
      <c r="K626" s="162" t="s">
        <v>1879</v>
      </c>
      <c r="L626" s="164" t="s">
        <v>5</v>
      </c>
      <c r="M626" s="169"/>
      <c r="N626" s="165">
        <v>13000</v>
      </c>
      <c r="O626" s="169">
        <f t="shared" ref="O626:O689" si="32">M626*N626*$O$3</f>
        <v>0</v>
      </c>
      <c r="P626" s="165">
        <v>16468</v>
      </c>
      <c r="Q626" s="166">
        <f t="shared" si="30"/>
        <v>0</v>
      </c>
      <c r="R626" s="169"/>
      <c r="S626" s="169"/>
      <c r="T626" s="169"/>
      <c r="U626" s="169"/>
      <c r="V626" s="166">
        <f t="shared" si="31"/>
        <v>0</v>
      </c>
      <c r="W626" s="205"/>
      <c r="X626" s="167"/>
    </row>
    <row r="627" spans="8:24" s="220" customFormat="1" ht="12" hidden="1" customHeight="1">
      <c r="H627" s="162" t="s">
        <v>324</v>
      </c>
      <c r="I627" s="163" t="s">
        <v>1042</v>
      </c>
      <c r="J627" s="163" t="s">
        <v>1880</v>
      </c>
      <c r="K627" s="162" t="s">
        <v>1881</v>
      </c>
      <c r="L627" s="164" t="s">
        <v>5</v>
      </c>
      <c r="M627" s="169"/>
      <c r="N627" s="165">
        <v>18800</v>
      </c>
      <c r="O627" s="169">
        <f t="shared" si="32"/>
        <v>0</v>
      </c>
      <c r="P627" s="165">
        <v>17277</v>
      </c>
      <c r="Q627" s="166">
        <f t="shared" si="30"/>
        <v>0</v>
      </c>
      <c r="R627" s="169"/>
      <c r="S627" s="169"/>
      <c r="T627" s="169"/>
      <c r="U627" s="169"/>
      <c r="V627" s="166">
        <f t="shared" si="31"/>
        <v>0</v>
      </c>
      <c r="W627" s="205"/>
      <c r="X627" s="167"/>
    </row>
    <row r="628" spans="8:24" s="220" customFormat="1" ht="12" hidden="1" customHeight="1">
      <c r="H628" s="162" t="s">
        <v>325</v>
      </c>
      <c r="I628" s="163" t="s">
        <v>1043</v>
      </c>
      <c r="J628" s="163" t="s">
        <v>1882</v>
      </c>
      <c r="K628" s="162" t="s">
        <v>1883</v>
      </c>
      <c r="L628" s="164" t="s">
        <v>5</v>
      </c>
      <c r="M628" s="169"/>
      <c r="N628" s="165">
        <v>23900</v>
      </c>
      <c r="O628" s="169">
        <f t="shared" si="32"/>
        <v>0</v>
      </c>
      <c r="P628" s="165">
        <v>20787</v>
      </c>
      <c r="Q628" s="166">
        <f t="shared" si="30"/>
        <v>0</v>
      </c>
      <c r="R628" s="169"/>
      <c r="S628" s="169"/>
      <c r="T628" s="169"/>
      <c r="U628" s="169"/>
      <c r="V628" s="166">
        <f t="shared" si="31"/>
        <v>0</v>
      </c>
      <c r="W628" s="205"/>
      <c r="X628" s="167"/>
    </row>
    <row r="629" spans="8:24" s="220" customFormat="1" ht="12" hidden="1" customHeight="1">
      <c r="H629" s="162" t="s">
        <v>327</v>
      </c>
      <c r="I629" s="163" t="s">
        <v>1045</v>
      </c>
      <c r="J629" s="163" t="s">
        <v>1884</v>
      </c>
      <c r="K629" s="162" t="s">
        <v>1885</v>
      </c>
      <c r="L629" s="164" t="s">
        <v>5</v>
      </c>
      <c r="M629" s="169"/>
      <c r="N629" s="165">
        <v>39800</v>
      </c>
      <c r="O629" s="169">
        <f t="shared" si="32"/>
        <v>0</v>
      </c>
      <c r="P629" s="165">
        <v>28886</v>
      </c>
      <c r="Q629" s="166">
        <f t="shared" si="30"/>
        <v>0</v>
      </c>
      <c r="R629" s="169"/>
      <c r="S629" s="169"/>
      <c r="T629" s="169"/>
      <c r="U629" s="169"/>
      <c r="V629" s="166">
        <f t="shared" si="31"/>
        <v>0</v>
      </c>
      <c r="W629" s="205"/>
      <c r="X629" s="167"/>
    </row>
    <row r="630" spans="8:24" s="220" customFormat="1" ht="12" hidden="1" customHeight="1">
      <c r="H630" s="162" t="s">
        <v>328</v>
      </c>
      <c r="I630" s="163" t="s">
        <v>1046</v>
      </c>
      <c r="J630" s="163" t="s">
        <v>1886</v>
      </c>
      <c r="K630" s="162" t="s">
        <v>1887</v>
      </c>
      <c r="L630" s="164" t="s">
        <v>5</v>
      </c>
      <c r="M630" s="169"/>
      <c r="N630" s="165">
        <v>48500</v>
      </c>
      <c r="O630" s="169">
        <f t="shared" si="32"/>
        <v>0</v>
      </c>
      <c r="P630" s="165">
        <v>35095</v>
      </c>
      <c r="Q630" s="166">
        <f t="shared" si="30"/>
        <v>0</v>
      </c>
      <c r="R630" s="169"/>
      <c r="S630" s="169"/>
      <c r="T630" s="169"/>
      <c r="U630" s="169"/>
      <c r="V630" s="166">
        <f t="shared" si="31"/>
        <v>0</v>
      </c>
      <c r="W630" s="205"/>
      <c r="X630" s="167"/>
    </row>
    <row r="631" spans="8:24" s="220" customFormat="1" ht="12" hidden="1" customHeight="1">
      <c r="H631" s="162" t="s">
        <v>316</v>
      </c>
      <c r="I631" s="163" t="s">
        <v>1037</v>
      </c>
      <c r="J631" s="163" t="s">
        <v>1867</v>
      </c>
      <c r="K631" s="162" t="s">
        <v>2178</v>
      </c>
      <c r="L631" s="164" t="s">
        <v>5</v>
      </c>
      <c r="M631" s="169"/>
      <c r="N631" s="165">
        <v>770</v>
      </c>
      <c r="O631" s="169">
        <f t="shared" si="32"/>
        <v>0</v>
      </c>
      <c r="P631" s="165">
        <v>2699</v>
      </c>
      <c r="Q631" s="166">
        <f t="shared" si="30"/>
        <v>0</v>
      </c>
      <c r="R631" s="169"/>
      <c r="S631" s="169"/>
      <c r="T631" s="169"/>
      <c r="U631" s="169"/>
      <c r="V631" s="166">
        <f t="shared" si="31"/>
        <v>0</v>
      </c>
      <c r="W631" s="205"/>
      <c r="X631" s="167"/>
    </row>
    <row r="632" spans="8:24" s="220" customFormat="1" ht="12" hidden="1" customHeight="1">
      <c r="H632" s="162" t="s">
        <v>321</v>
      </c>
      <c r="I632" s="163" t="s">
        <v>1039</v>
      </c>
      <c r="J632" s="163" t="s">
        <v>1874</v>
      </c>
      <c r="K632" s="162" t="s">
        <v>2179</v>
      </c>
      <c r="L632" s="164" t="s">
        <v>5</v>
      </c>
      <c r="M632" s="169"/>
      <c r="N632" s="165">
        <v>6570</v>
      </c>
      <c r="O632" s="169">
        <f t="shared" si="32"/>
        <v>0</v>
      </c>
      <c r="P632" s="165">
        <v>8369</v>
      </c>
      <c r="Q632" s="166">
        <f t="shared" si="30"/>
        <v>0</v>
      </c>
      <c r="R632" s="169"/>
      <c r="S632" s="169"/>
      <c r="T632" s="169"/>
      <c r="U632" s="169"/>
      <c r="V632" s="166">
        <f t="shared" si="31"/>
        <v>0</v>
      </c>
      <c r="W632" s="205"/>
      <c r="X632" s="167"/>
    </row>
    <row r="633" spans="8:24" s="220" customFormat="1" ht="12" hidden="1" customHeight="1">
      <c r="H633" s="162" t="s">
        <v>326</v>
      </c>
      <c r="I633" s="163" t="s">
        <v>1044</v>
      </c>
      <c r="J633" s="163" t="s">
        <v>2180</v>
      </c>
      <c r="K633" s="162" t="s">
        <v>2128</v>
      </c>
      <c r="L633" s="164" t="s">
        <v>5</v>
      </c>
      <c r="M633" s="169"/>
      <c r="N633" s="165">
        <v>29900</v>
      </c>
      <c r="O633" s="169">
        <f t="shared" si="32"/>
        <v>0</v>
      </c>
      <c r="P633" s="165">
        <v>23757</v>
      </c>
      <c r="Q633" s="166">
        <f t="shared" si="30"/>
        <v>0</v>
      </c>
      <c r="R633" s="169"/>
      <c r="S633" s="169"/>
      <c r="T633" s="169"/>
      <c r="U633" s="169"/>
      <c r="V633" s="166">
        <f t="shared" si="31"/>
        <v>0</v>
      </c>
      <c r="W633" s="205"/>
      <c r="X633" s="167"/>
    </row>
    <row r="634" spans="8:24" s="220" customFormat="1" ht="12" hidden="1" customHeight="1">
      <c r="H634" s="162" t="s">
        <v>329</v>
      </c>
      <c r="I634" s="163" t="s">
        <v>1001</v>
      </c>
      <c r="J634" s="163" t="s">
        <v>2719</v>
      </c>
      <c r="K634" s="162" t="s">
        <v>1889</v>
      </c>
      <c r="L634" s="164" t="s">
        <v>5</v>
      </c>
      <c r="M634" s="169"/>
      <c r="N634" s="165">
        <v>830</v>
      </c>
      <c r="O634" s="169">
        <f t="shared" si="32"/>
        <v>0</v>
      </c>
      <c r="P634" s="165">
        <v>4064</v>
      </c>
      <c r="Q634" s="166">
        <f t="shared" si="30"/>
        <v>0</v>
      </c>
      <c r="R634" s="169"/>
      <c r="S634" s="169"/>
      <c r="T634" s="169"/>
      <c r="U634" s="169"/>
      <c r="V634" s="166">
        <f t="shared" si="31"/>
        <v>0</v>
      </c>
      <c r="W634" s="205"/>
      <c r="X634" s="167"/>
    </row>
    <row r="635" spans="8:24" s="220" customFormat="1" ht="12" hidden="1" customHeight="1">
      <c r="H635" s="162" t="s">
        <v>330</v>
      </c>
      <c r="I635" s="163" t="s">
        <v>1001</v>
      </c>
      <c r="J635" s="163" t="s">
        <v>1888</v>
      </c>
      <c r="K635" s="162" t="s">
        <v>1890</v>
      </c>
      <c r="L635" s="164" t="s">
        <v>5</v>
      </c>
      <c r="M635" s="169"/>
      <c r="N635" s="165">
        <v>1010</v>
      </c>
      <c r="O635" s="169">
        <f t="shared" si="32"/>
        <v>0</v>
      </c>
      <c r="P635" s="165">
        <v>4064</v>
      </c>
      <c r="Q635" s="166">
        <f t="shared" si="30"/>
        <v>0</v>
      </c>
      <c r="R635" s="169"/>
      <c r="S635" s="169"/>
      <c r="T635" s="169"/>
      <c r="U635" s="169"/>
      <c r="V635" s="166">
        <f t="shared" si="31"/>
        <v>0</v>
      </c>
      <c r="W635" s="205"/>
      <c r="X635" s="167"/>
    </row>
    <row r="636" spans="8:24" s="220" customFormat="1" ht="12" hidden="1" customHeight="1">
      <c r="H636" s="162" t="s">
        <v>331</v>
      </c>
      <c r="I636" s="163" t="s">
        <v>1001</v>
      </c>
      <c r="J636" s="163" t="s">
        <v>1888</v>
      </c>
      <c r="K636" s="162" t="s">
        <v>1891</v>
      </c>
      <c r="L636" s="164" t="s">
        <v>5</v>
      </c>
      <c r="M636" s="169"/>
      <c r="N636" s="165">
        <v>1470</v>
      </c>
      <c r="O636" s="169">
        <f t="shared" si="32"/>
        <v>0</v>
      </c>
      <c r="P636" s="165">
        <v>4064</v>
      </c>
      <c r="Q636" s="166">
        <f t="shared" si="30"/>
        <v>0</v>
      </c>
      <c r="R636" s="169"/>
      <c r="S636" s="169"/>
      <c r="T636" s="169"/>
      <c r="U636" s="169"/>
      <c r="V636" s="166">
        <f t="shared" si="31"/>
        <v>0</v>
      </c>
      <c r="W636" s="205"/>
      <c r="X636" s="167"/>
    </row>
    <row r="637" spans="8:24" s="220" customFormat="1" ht="12" hidden="1" customHeight="1">
      <c r="H637" s="162" t="s">
        <v>332</v>
      </c>
      <c r="I637" s="163" t="s">
        <v>1002</v>
      </c>
      <c r="J637" s="163" t="s">
        <v>1892</v>
      </c>
      <c r="K637" s="162" t="s">
        <v>1893</v>
      </c>
      <c r="L637" s="164" t="s">
        <v>5</v>
      </c>
      <c r="M637" s="169"/>
      <c r="N637" s="165">
        <v>2150</v>
      </c>
      <c r="O637" s="169">
        <f t="shared" si="32"/>
        <v>0</v>
      </c>
      <c r="P637" s="165">
        <v>4645</v>
      </c>
      <c r="Q637" s="166">
        <f t="shared" si="30"/>
        <v>0</v>
      </c>
      <c r="R637" s="169"/>
      <c r="S637" s="169"/>
      <c r="T637" s="169"/>
      <c r="U637" s="169"/>
      <c r="V637" s="166">
        <f t="shared" si="31"/>
        <v>0</v>
      </c>
      <c r="W637" s="205"/>
      <c r="X637" s="167"/>
    </row>
    <row r="638" spans="8:24" s="220" customFormat="1" ht="12" hidden="1" customHeight="1">
      <c r="H638" s="162" t="s">
        <v>333</v>
      </c>
      <c r="I638" s="163" t="s">
        <v>1003</v>
      </c>
      <c r="J638" s="163" t="s">
        <v>1894</v>
      </c>
      <c r="K638" s="162" t="s">
        <v>1895</v>
      </c>
      <c r="L638" s="164" t="s">
        <v>5</v>
      </c>
      <c r="M638" s="169"/>
      <c r="N638" s="165">
        <v>3040</v>
      </c>
      <c r="O638" s="169">
        <f t="shared" si="32"/>
        <v>0</v>
      </c>
      <c r="P638" s="165">
        <v>5225</v>
      </c>
      <c r="Q638" s="166">
        <f t="shared" si="30"/>
        <v>0</v>
      </c>
      <c r="R638" s="169"/>
      <c r="S638" s="169"/>
      <c r="T638" s="169"/>
      <c r="U638" s="169"/>
      <c r="V638" s="166">
        <f t="shared" si="31"/>
        <v>0</v>
      </c>
      <c r="W638" s="205"/>
      <c r="X638" s="167"/>
    </row>
    <row r="639" spans="8:24" s="220" customFormat="1" ht="12" hidden="1" customHeight="1">
      <c r="H639" s="162" t="s">
        <v>334</v>
      </c>
      <c r="I639" s="163" t="s">
        <v>1047</v>
      </c>
      <c r="J639" s="163" t="s">
        <v>1896</v>
      </c>
      <c r="K639" s="162" t="s">
        <v>1897</v>
      </c>
      <c r="L639" s="164" t="s">
        <v>5</v>
      </c>
      <c r="M639" s="169"/>
      <c r="N639" s="165">
        <v>4840</v>
      </c>
      <c r="O639" s="169">
        <f t="shared" si="32"/>
        <v>0</v>
      </c>
      <c r="P639" s="165">
        <v>7258</v>
      </c>
      <c r="Q639" s="166">
        <f t="shared" si="30"/>
        <v>0</v>
      </c>
      <c r="R639" s="169"/>
      <c r="S639" s="169"/>
      <c r="T639" s="169"/>
      <c r="U639" s="169"/>
      <c r="V639" s="166">
        <f t="shared" si="31"/>
        <v>0</v>
      </c>
      <c r="W639" s="205"/>
      <c r="X639" s="167"/>
    </row>
    <row r="640" spans="8:24" s="220" customFormat="1" ht="12" hidden="1" customHeight="1">
      <c r="H640" s="162" t="s">
        <v>335</v>
      </c>
      <c r="I640" s="163" t="s">
        <v>1004</v>
      </c>
      <c r="J640" s="163" t="s">
        <v>1898</v>
      </c>
      <c r="K640" s="162" t="s">
        <v>1899</v>
      </c>
      <c r="L640" s="164" t="s">
        <v>5</v>
      </c>
      <c r="M640" s="169"/>
      <c r="N640" s="165">
        <v>1020</v>
      </c>
      <c r="O640" s="169">
        <f t="shared" si="32"/>
        <v>0</v>
      </c>
      <c r="P640" s="165">
        <v>5516</v>
      </c>
      <c r="Q640" s="166">
        <f t="shared" si="30"/>
        <v>0</v>
      </c>
      <c r="R640" s="169"/>
      <c r="S640" s="169"/>
      <c r="T640" s="169"/>
      <c r="U640" s="169"/>
      <c r="V640" s="166">
        <f t="shared" si="31"/>
        <v>0</v>
      </c>
      <c r="W640" s="205"/>
      <c r="X640" s="167"/>
    </row>
    <row r="641" spans="8:24" s="220" customFormat="1" ht="12" hidden="1" customHeight="1">
      <c r="H641" s="162" t="s">
        <v>336</v>
      </c>
      <c r="I641" s="163" t="s">
        <v>1004</v>
      </c>
      <c r="J641" s="163" t="s">
        <v>1898</v>
      </c>
      <c r="K641" s="162" t="s">
        <v>1900</v>
      </c>
      <c r="L641" s="164" t="s">
        <v>5</v>
      </c>
      <c r="M641" s="169"/>
      <c r="N641" s="165">
        <v>1300</v>
      </c>
      <c r="O641" s="169">
        <f t="shared" si="32"/>
        <v>0</v>
      </c>
      <c r="P641" s="165">
        <v>5516</v>
      </c>
      <c r="Q641" s="166">
        <f t="shared" si="30"/>
        <v>0</v>
      </c>
      <c r="R641" s="169"/>
      <c r="S641" s="169"/>
      <c r="T641" s="169"/>
      <c r="U641" s="169"/>
      <c r="V641" s="166">
        <f t="shared" si="31"/>
        <v>0</v>
      </c>
      <c r="W641" s="205"/>
      <c r="X641" s="167"/>
    </row>
    <row r="642" spans="8:24" s="220" customFormat="1" ht="12" hidden="1" customHeight="1">
      <c r="H642" s="162" t="s">
        <v>337</v>
      </c>
      <c r="I642" s="163" t="s">
        <v>1004</v>
      </c>
      <c r="J642" s="163" t="s">
        <v>1898</v>
      </c>
      <c r="K642" s="162" t="s">
        <v>1901</v>
      </c>
      <c r="L642" s="164" t="s">
        <v>5</v>
      </c>
      <c r="M642" s="169"/>
      <c r="N642" s="165">
        <v>2000</v>
      </c>
      <c r="O642" s="169">
        <f t="shared" si="32"/>
        <v>0</v>
      </c>
      <c r="P642" s="165">
        <v>5516</v>
      </c>
      <c r="Q642" s="166">
        <f t="shared" si="30"/>
        <v>0</v>
      </c>
      <c r="R642" s="169"/>
      <c r="S642" s="169"/>
      <c r="T642" s="169"/>
      <c r="U642" s="169"/>
      <c r="V642" s="166">
        <f t="shared" si="31"/>
        <v>0</v>
      </c>
      <c r="W642" s="205"/>
      <c r="X642" s="167"/>
    </row>
    <row r="643" spans="8:24" s="220" customFormat="1" ht="12" hidden="1" customHeight="1">
      <c r="H643" s="162" t="s">
        <v>338</v>
      </c>
      <c r="I643" s="163" t="s">
        <v>1005</v>
      </c>
      <c r="J643" s="163" t="s">
        <v>1902</v>
      </c>
      <c r="K643" s="162" t="s">
        <v>1903</v>
      </c>
      <c r="L643" s="164" t="s">
        <v>5</v>
      </c>
      <c r="M643" s="169"/>
      <c r="N643" s="165">
        <v>2960</v>
      </c>
      <c r="O643" s="169">
        <f t="shared" si="32"/>
        <v>0</v>
      </c>
      <c r="P643" s="165">
        <v>6387</v>
      </c>
      <c r="Q643" s="166">
        <f t="shared" si="30"/>
        <v>0</v>
      </c>
      <c r="R643" s="169"/>
      <c r="S643" s="169"/>
      <c r="T643" s="169"/>
      <c r="U643" s="169"/>
      <c r="V643" s="166">
        <f t="shared" si="31"/>
        <v>0</v>
      </c>
      <c r="W643" s="205"/>
      <c r="X643" s="167"/>
    </row>
    <row r="644" spans="8:24" s="220" customFormat="1" ht="12" hidden="1" customHeight="1">
      <c r="H644" s="162" t="s">
        <v>339</v>
      </c>
      <c r="I644" s="163" t="s">
        <v>1006</v>
      </c>
      <c r="J644" s="163" t="s">
        <v>1904</v>
      </c>
      <c r="K644" s="162" t="s">
        <v>1905</v>
      </c>
      <c r="L644" s="164" t="s">
        <v>5</v>
      </c>
      <c r="M644" s="169"/>
      <c r="N644" s="165">
        <v>4210</v>
      </c>
      <c r="O644" s="169">
        <f t="shared" si="32"/>
        <v>0</v>
      </c>
      <c r="P644" s="165">
        <v>7548</v>
      </c>
      <c r="Q644" s="166">
        <f t="shared" si="30"/>
        <v>0</v>
      </c>
      <c r="R644" s="169"/>
      <c r="S644" s="169"/>
      <c r="T644" s="169"/>
      <c r="U644" s="169"/>
      <c r="V644" s="166">
        <f t="shared" si="31"/>
        <v>0</v>
      </c>
      <c r="W644" s="205"/>
      <c r="X644" s="167"/>
    </row>
    <row r="645" spans="8:24" s="220" customFormat="1" ht="12" hidden="1" customHeight="1">
      <c r="H645" s="162" t="s">
        <v>340</v>
      </c>
      <c r="I645" s="163" t="s">
        <v>1051</v>
      </c>
      <c r="J645" s="163" t="s">
        <v>1906</v>
      </c>
      <c r="K645" s="162" t="s">
        <v>1907</v>
      </c>
      <c r="L645" s="164" t="s">
        <v>5</v>
      </c>
      <c r="M645" s="169"/>
      <c r="N645" s="165">
        <v>6060</v>
      </c>
      <c r="O645" s="169">
        <f t="shared" si="32"/>
        <v>0</v>
      </c>
      <c r="P645" s="165">
        <v>10451</v>
      </c>
      <c r="Q645" s="166">
        <f t="shared" si="30"/>
        <v>0</v>
      </c>
      <c r="R645" s="169"/>
      <c r="S645" s="169"/>
      <c r="T645" s="169"/>
      <c r="U645" s="169"/>
      <c r="V645" s="166">
        <f t="shared" si="31"/>
        <v>0</v>
      </c>
      <c r="W645" s="205"/>
      <c r="X645" s="167"/>
    </row>
    <row r="646" spans="8:24" s="220" customFormat="1" ht="12" hidden="1" customHeight="1">
      <c r="H646" s="162" t="s">
        <v>341</v>
      </c>
      <c r="I646" s="163" t="s">
        <v>1007</v>
      </c>
      <c r="J646" s="163" t="s">
        <v>1908</v>
      </c>
      <c r="K646" s="162" t="s">
        <v>1909</v>
      </c>
      <c r="L646" s="164" t="s">
        <v>5</v>
      </c>
      <c r="M646" s="169"/>
      <c r="N646" s="165">
        <v>1290</v>
      </c>
      <c r="O646" s="169">
        <f t="shared" si="32"/>
        <v>0</v>
      </c>
      <c r="P646" s="165">
        <v>7548</v>
      </c>
      <c r="Q646" s="166">
        <f t="shared" si="30"/>
        <v>0</v>
      </c>
      <c r="R646" s="169"/>
      <c r="S646" s="169"/>
      <c r="T646" s="169"/>
      <c r="U646" s="169"/>
      <c r="V646" s="166">
        <f t="shared" si="31"/>
        <v>0</v>
      </c>
      <c r="W646" s="205"/>
      <c r="X646" s="167"/>
    </row>
    <row r="647" spans="8:24" s="220" customFormat="1" ht="12" hidden="1" customHeight="1">
      <c r="H647" s="162" t="s">
        <v>342</v>
      </c>
      <c r="I647" s="163" t="s">
        <v>1007</v>
      </c>
      <c r="J647" s="163" t="s">
        <v>1908</v>
      </c>
      <c r="K647" s="162" t="s">
        <v>1910</v>
      </c>
      <c r="L647" s="164" t="s">
        <v>5</v>
      </c>
      <c r="M647" s="169"/>
      <c r="N647" s="165">
        <v>2550</v>
      </c>
      <c r="O647" s="169">
        <f t="shared" si="32"/>
        <v>0</v>
      </c>
      <c r="P647" s="165">
        <v>7548</v>
      </c>
      <c r="Q647" s="166">
        <f t="shared" si="30"/>
        <v>0</v>
      </c>
      <c r="R647" s="169"/>
      <c r="S647" s="169"/>
      <c r="T647" s="169"/>
      <c r="U647" s="169"/>
      <c r="V647" s="166">
        <f t="shared" si="31"/>
        <v>0</v>
      </c>
      <c r="W647" s="205"/>
      <c r="X647" s="167"/>
    </row>
    <row r="648" spans="8:24" s="220" customFormat="1" ht="12" hidden="1" customHeight="1">
      <c r="H648" s="162" t="s">
        <v>343</v>
      </c>
      <c r="I648" s="163" t="s">
        <v>1008</v>
      </c>
      <c r="J648" s="163" t="s">
        <v>1911</v>
      </c>
      <c r="K648" s="162" t="s">
        <v>1912</v>
      </c>
      <c r="L648" s="164" t="s">
        <v>5</v>
      </c>
      <c r="M648" s="169"/>
      <c r="N648" s="165">
        <v>3850</v>
      </c>
      <c r="O648" s="169">
        <f t="shared" si="32"/>
        <v>0</v>
      </c>
      <c r="P648" s="165">
        <v>8419</v>
      </c>
      <c r="Q648" s="166">
        <f t="shared" si="30"/>
        <v>0</v>
      </c>
      <c r="R648" s="169"/>
      <c r="S648" s="169"/>
      <c r="T648" s="169"/>
      <c r="U648" s="169"/>
      <c r="V648" s="166">
        <f t="shared" si="31"/>
        <v>0</v>
      </c>
      <c r="W648" s="205"/>
      <c r="X648" s="167"/>
    </row>
    <row r="649" spans="8:24" s="220" customFormat="1" ht="12" hidden="1" customHeight="1">
      <c r="H649" s="162" t="s">
        <v>344</v>
      </c>
      <c r="I649" s="163" t="s">
        <v>1009</v>
      </c>
      <c r="J649" s="163" t="s">
        <v>1913</v>
      </c>
      <c r="K649" s="162" t="s">
        <v>1914</v>
      </c>
      <c r="L649" s="164" t="s">
        <v>5</v>
      </c>
      <c r="M649" s="169"/>
      <c r="N649" s="165">
        <v>5450</v>
      </c>
      <c r="O649" s="169">
        <f t="shared" si="32"/>
        <v>0</v>
      </c>
      <c r="P649" s="165">
        <v>9871</v>
      </c>
      <c r="Q649" s="166">
        <f t="shared" si="30"/>
        <v>0</v>
      </c>
      <c r="R649" s="169"/>
      <c r="S649" s="169"/>
      <c r="T649" s="169"/>
      <c r="U649" s="169"/>
      <c r="V649" s="166">
        <f t="shared" si="31"/>
        <v>0</v>
      </c>
      <c r="W649" s="205"/>
      <c r="X649" s="167"/>
    </row>
    <row r="650" spans="8:24" s="220" customFormat="1" ht="12" hidden="1" customHeight="1">
      <c r="H650" s="162" t="s">
        <v>345</v>
      </c>
      <c r="I650" s="163" t="s">
        <v>1052</v>
      </c>
      <c r="J650" s="163" t="s">
        <v>1915</v>
      </c>
      <c r="K650" s="162" t="s">
        <v>1916</v>
      </c>
      <c r="L650" s="164" t="s">
        <v>5</v>
      </c>
      <c r="M650" s="169"/>
      <c r="N650" s="165">
        <v>8880</v>
      </c>
      <c r="O650" s="169">
        <f t="shared" si="32"/>
        <v>0</v>
      </c>
      <c r="P650" s="165">
        <v>14226</v>
      </c>
      <c r="Q650" s="166">
        <f t="shared" si="30"/>
        <v>0</v>
      </c>
      <c r="R650" s="169"/>
      <c r="S650" s="169"/>
      <c r="T650" s="169"/>
      <c r="U650" s="169"/>
      <c r="V650" s="166">
        <f t="shared" si="31"/>
        <v>0</v>
      </c>
      <c r="W650" s="205"/>
      <c r="X650" s="167"/>
    </row>
    <row r="651" spans="8:24" s="220" customFormat="1" ht="12" hidden="1" customHeight="1">
      <c r="H651" s="162" t="s">
        <v>346</v>
      </c>
      <c r="I651" s="163" t="s">
        <v>1010</v>
      </c>
      <c r="J651" s="163" t="s">
        <v>1917</v>
      </c>
      <c r="K651" s="162" t="s">
        <v>1918</v>
      </c>
      <c r="L651" s="164" t="s">
        <v>5</v>
      </c>
      <c r="M651" s="169"/>
      <c r="N651" s="165">
        <v>1480</v>
      </c>
      <c r="O651" s="169">
        <f t="shared" si="32"/>
        <v>0</v>
      </c>
      <c r="P651" s="165">
        <v>9290</v>
      </c>
      <c r="Q651" s="166">
        <f t="shared" si="30"/>
        <v>0</v>
      </c>
      <c r="R651" s="169"/>
      <c r="S651" s="169"/>
      <c r="T651" s="169"/>
      <c r="U651" s="169"/>
      <c r="V651" s="166">
        <f t="shared" si="31"/>
        <v>0</v>
      </c>
      <c r="W651" s="205"/>
      <c r="X651" s="167"/>
    </row>
    <row r="652" spans="8:24" s="220" customFormat="1" ht="12" hidden="1" customHeight="1">
      <c r="H652" s="162" t="s">
        <v>347</v>
      </c>
      <c r="I652" s="163" t="s">
        <v>1010</v>
      </c>
      <c r="J652" s="163" t="s">
        <v>1917</v>
      </c>
      <c r="K652" s="162" t="s">
        <v>1919</v>
      </c>
      <c r="L652" s="164" t="s">
        <v>5</v>
      </c>
      <c r="M652" s="169"/>
      <c r="N652" s="165">
        <v>2940</v>
      </c>
      <c r="O652" s="169">
        <f t="shared" si="32"/>
        <v>0</v>
      </c>
      <c r="P652" s="165">
        <v>9290</v>
      </c>
      <c r="Q652" s="166">
        <f t="shared" ref="Q652:Q717" si="33">IF(W652="",M652*P652*$Q$3*$W$3,M652*P652*$Q$3*W652)</f>
        <v>0</v>
      </c>
      <c r="R652" s="169"/>
      <c r="S652" s="169"/>
      <c r="T652" s="169"/>
      <c r="U652" s="169"/>
      <c r="V652" s="166">
        <f t="shared" ref="V652:V717" si="34">SUM(O652+Q652)+S652+U652</f>
        <v>0</v>
      </c>
      <c r="W652" s="205"/>
      <c r="X652" s="167"/>
    </row>
    <row r="653" spans="8:24" s="220" customFormat="1" ht="12" hidden="1" customHeight="1">
      <c r="H653" s="162" t="s">
        <v>348</v>
      </c>
      <c r="I653" s="163" t="s">
        <v>1011</v>
      </c>
      <c r="J653" s="163" t="s">
        <v>1920</v>
      </c>
      <c r="K653" s="162" t="s">
        <v>1921</v>
      </c>
      <c r="L653" s="164" t="s">
        <v>5</v>
      </c>
      <c r="M653" s="169"/>
      <c r="N653" s="165">
        <v>4590</v>
      </c>
      <c r="O653" s="169">
        <f t="shared" si="32"/>
        <v>0</v>
      </c>
      <c r="P653" s="165">
        <v>9871</v>
      </c>
      <c r="Q653" s="166">
        <f t="shared" si="33"/>
        <v>0</v>
      </c>
      <c r="R653" s="169"/>
      <c r="S653" s="169"/>
      <c r="T653" s="169"/>
      <c r="U653" s="169"/>
      <c r="V653" s="166">
        <f t="shared" si="34"/>
        <v>0</v>
      </c>
      <c r="W653" s="205"/>
      <c r="X653" s="167"/>
    </row>
    <row r="654" spans="8:24" s="220" customFormat="1" ht="12" hidden="1" customHeight="1">
      <c r="H654" s="162" t="s">
        <v>349</v>
      </c>
      <c r="I654" s="163" t="s">
        <v>1012</v>
      </c>
      <c r="J654" s="163" t="s">
        <v>1922</v>
      </c>
      <c r="K654" s="162" t="s">
        <v>1923</v>
      </c>
      <c r="L654" s="164" t="s">
        <v>5</v>
      </c>
      <c r="M654" s="169"/>
      <c r="N654" s="165">
        <v>6510</v>
      </c>
      <c r="O654" s="169">
        <f t="shared" si="32"/>
        <v>0</v>
      </c>
      <c r="P654" s="165">
        <v>11322</v>
      </c>
      <c r="Q654" s="166">
        <f t="shared" si="33"/>
        <v>0</v>
      </c>
      <c r="R654" s="169"/>
      <c r="S654" s="169"/>
      <c r="T654" s="169"/>
      <c r="U654" s="169"/>
      <c r="V654" s="166">
        <f t="shared" si="34"/>
        <v>0</v>
      </c>
      <c r="W654" s="205"/>
      <c r="X654" s="167"/>
    </row>
    <row r="655" spans="8:24" s="220" customFormat="1" ht="12" hidden="1" customHeight="1">
      <c r="H655" s="162" t="s">
        <v>350</v>
      </c>
      <c r="I655" s="163" t="s">
        <v>1053</v>
      </c>
      <c r="J655" s="163" t="s">
        <v>1924</v>
      </c>
      <c r="K655" s="162" t="s">
        <v>1925</v>
      </c>
      <c r="L655" s="164" t="s">
        <v>5</v>
      </c>
      <c r="M655" s="169"/>
      <c r="N655" s="165">
        <v>10700</v>
      </c>
      <c r="O655" s="169">
        <f t="shared" si="32"/>
        <v>0</v>
      </c>
      <c r="P655" s="165">
        <v>15968</v>
      </c>
      <c r="Q655" s="166">
        <f t="shared" si="33"/>
        <v>0</v>
      </c>
      <c r="R655" s="169"/>
      <c r="S655" s="169"/>
      <c r="T655" s="169"/>
      <c r="U655" s="169"/>
      <c r="V655" s="166">
        <f t="shared" si="34"/>
        <v>0</v>
      </c>
      <c r="W655" s="205"/>
      <c r="X655" s="167"/>
    </row>
    <row r="656" spans="8:24" s="220" customFormat="1" ht="12" hidden="1" customHeight="1">
      <c r="H656" s="162" t="s">
        <v>351</v>
      </c>
      <c r="I656" s="163" t="s">
        <v>1013</v>
      </c>
      <c r="J656" s="163" t="s">
        <v>1926</v>
      </c>
      <c r="K656" s="162" t="s">
        <v>1927</v>
      </c>
      <c r="L656" s="164" t="s">
        <v>5</v>
      </c>
      <c r="M656" s="169"/>
      <c r="N656" s="165">
        <v>1590</v>
      </c>
      <c r="O656" s="169">
        <f t="shared" si="32"/>
        <v>0</v>
      </c>
      <c r="P656" s="165">
        <v>10161</v>
      </c>
      <c r="Q656" s="166">
        <f t="shared" si="33"/>
        <v>0</v>
      </c>
      <c r="R656" s="169"/>
      <c r="S656" s="169"/>
      <c r="T656" s="169"/>
      <c r="U656" s="169"/>
      <c r="V656" s="166">
        <f t="shared" si="34"/>
        <v>0</v>
      </c>
      <c r="W656" s="205"/>
      <c r="X656" s="167"/>
    </row>
    <row r="657" spans="8:24" s="220" customFormat="1" ht="12" hidden="1" customHeight="1">
      <c r="H657" s="162" t="s">
        <v>352</v>
      </c>
      <c r="I657" s="163" t="s">
        <v>1013</v>
      </c>
      <c r="J657" s="163" t="s">
        <v>1926</v>
      </c>
      <c r="K657" s="162" t="s">
        <v>1928</v>
      </c>
      <c r="L657" s="164" t="s">
        <v>5</v>
      </c>
      <c r="M657" s="169"/>
      <c r="N657" s="165">
        <v>2210</v>
      </c>
      <c r="O657" s="169">
        <f t="shared" si="32"/>
        <v>0</v>
      </c>
      <c r="P657" s="165">
        <v>10161</v>
      </c>
      <c r="Q657" s="166">
        <f t="shared" si="33"/>
        <v>0</v>
      </c>
      <c r="R657" s="169"/>
      <c r="S657" s="169"/>
      <c r="T657" s="169"/>
      <c r="U657" s="169"/>
      <c r="V657" s="166">
        <f t="shared" si="34"/>
        <v>0</v>
      </c>
      <c r="W657" s="205"/>
      <c r="X657" s="167"/>
    </row>
    <row r="658" spans="8:24" s="220" customFormat="1" ht="12" hidden="1" customHeight="1">
      <c r="H658" s="162" t="s">
        <v>353</v>
      </c>
      <c r="I658" s="163" t="s">
        <v>1013</v>
      </c>
      <c r="J658" s="163" t="s">
        <v>1926</v>
      </c>
      <c r="K658" s="162" t="s">
        <v>1929</v>
      </c>
      <c r="L658" s="164" t="s">
        <v>5</v>
      </c>
      <c r="M658" s="169"/>
      <c r="N658" s="165">
        <v>3470</v>
      </c>
      <c r="O658" s="169">
        <f t="shared" si="32"/>
        <v>0</v>
      </c>
      <c r="P658" s="165">
        <v>10161</v>
      </c>
      <c r="Q658" s="166">
        <f t="shared" si="33"/>
        <v>0</v>
      </c>
      <c r="R658" s="169"/>
      <c r="S658" s="169"/>
      <c r="T658" s="169"/>
      <c r="U658" s="169"/>
      <c r="V658" s="166">
        <f t="shared" si="34"/>
        <v>0</v>
      </c>
      <c r="W658" s="205"/>
      <c r="X658" s="167"/>
    </row>
    <row r="659" spans="8:24" s="220" customFormat="1" ht="12" hidden="1" customHeight="1">
      <c r="H659" s="162" t="s">
        <v>354</v>
      </c>
      <c r="I659" s="163" t="s">
        <v>1014</v>
      </c>
      <c r="J659" s="163" t="s">
        <v>1930</v>
      </c>
      <c r="K659" s="162" t="s">
        <v>1931</v>
      </c>
      <c r="L659" s="164" t="s">
        <v>5</v>
      </c>
      <c r="M659" s="169"/>
      <c r="N659" s="165">
        <v>5510</v>
      </c>
      <c r="O659" s="169">
        <f t="shared" si="32"/>
        <v>0</v>
      </c>
      <c r="P659" s="165">
        <v>11032</v>
      </c>
      <c r="Q659" s="166">
        <f t="shared" si="33"/>
        <v>0</v>
      </c>
      <c r="R659" s="169"/>
      <c r="S659" s="169"/>
      <c r="T659" s="169"/>
      <c r="U659" s="169"/>
      <c r="V659" s="166">
        <f t="shared" si="34"/>
        <v>0</v>
      </c>
      <c r="W659" s="205"/>
      <c r="X659" s="167"/>
    </row>
    <row r="660" spans="8:24" s="220" customFormat="1" ht="12" hidden="1" customHeight="1">
      <c r="H660" s="162" t="s">
        <v>355</v>
      </c>
      <c r="I660" s="163" t="s">
        <v>1015</v>
      </c>
      <c r="J660" s="163" t="s">
        <v>1932</v>
      </c>
      <c r="K660" s="162" t="s">
        <v>1933</v>
      </c>
      <c r="L660" s="164" t="s">
        <v>5</v>
      </c>
      <c r="M660" s="169"/>
      <c r="N660" s="165">
        <v>8580</v>
      </c>
      <c r="O660" s="169">
        <f t="shared" si="32"/>
        <v>0</v>
      </c>
      <c r="P660" s="165">
        <v>12774</v>
      </c>
      <c r="Q660" s="166">
        <f t="shared" si="33"/>
        <v>0</v>
      </c>
      <c r="R660" s="169"/>
      <c r="S660" s="169"/>
      <c r="T660" s="169"/>
      <c r="U660" s="169"/>
      <c r="V660" s="166">
        <f t="shared" si="34"/>
        <v>0</v>
      </c>
      <c r="W660" s="205"/>
      <c r="X660" s="167"/>
    </row>
    <row r="661" spans="8:24" s="220" customFormat="1" ht="12" hidden="1" customHeight="1">
      <c r="H661" s="162" t="s">
        <v>356</v>
      </c>
      <c r="I661" s="163" t="s">
        <v>1054</v>
      </c>
      <c r="J661" s="163" t="s">
        <v>1934</v>
      </c>
      <c r="K661" s="162" t="s">
        <v>1935</v>
      </c>
      <c r="L661" s="164" t="s">
        <v>5</v>
      </c>
      <c r="M661" s="169"/>
      <c r="N661" s="165">
        <v>14300</v>
      </c>
      <c r="O661" s="169">
        <f t="shared" si="32"/>
        <v>0</v>
      </c>
      <c r="P661" s="165">
        <v>18290</v>
      </c>
      <c r="Q661" s="166">
        <f t="shared" si="33"/>
        <v>0</v>
      </c>
      <c r="R661" s="169"/>
      <c r="S661" s="169"/>
      <c r="T661" s="169"/>
      <c r="U661" s="169"/>
      <c r="V661" s="166">
        <f t="shared" si="34"/>
        <v>0</v>
      </c>
      <c r="W661" s="205"/>
      <c r="X661" s="167"/>
    </row>
    <row r="662" spans="8:24" s="220" customFormat="1" ht="12" hidden="1" customHeight="1">
      <c r="H662" s="162" t="s">
        <v>357</v>
      </c>
      <c r="I662" s="163" t="s">
        <v>1019</v>
      </c>
      <c r="J662" s="163" t="s">
        <v>1936</v>
      </c>
      <c r="K662" s="162" t="s">
        <v>1937</v>
      </c>
      <c r="L662" s="164" t="s">
        <v>5</v>
      </c>
      <c r="M662" s="169"/>
      <c r="N662" s="165">
        <v>2170</v>
      </c>
      <c r="O662" s="169">
        <f t="shared" si="32"/>
        <v>0</v>
      </c>
      <c r="P662" s="165">
        <v>12193</v>
      </c>
      <c r="Q662" s="166">
        <f t="shared" si="33"/>
        <v>0</v>
      </c>
      <c r="R662" s="169"/>
      <c r="S662" s="169"/>
      <c r="T662" s="169"/>
      <c r="U662" s="169"/>
      <c r="V662" s="166">
        <f t="shared" si="34"/>
        <v>0</v>
      </c>
      <c r="W662" s="205"/>
      <c r="X662" s="167"/>
    </row>
    <row r="663" spans="8:24" s="220" customFormat="1" ht="12" hidden="1" customHeight="1">
      <c r="H663" s="162" t="s">
        <v>358</v>
      </c>
      <c r="I663" s="163" t="s">
        <v>1019</v>
      </c>
      <c r="J663" s="163" t="s">
        <v>1936</v>
      </c>
      <c r="K663" s="162" t="s">
        <v>1938</v>
      </c>
      <c r="L663" s="164" t="s">
        <v>5</v>
      </c>
      <c r="M663" s="169"/>
      <c r="N663" s="165">
        <v>2900</v>
      </c>
      <c r="O663" s="169">
        <f t="shared" si="32"/>
        <v>0</v>
      </c>
      <c r="P663" s="165">
        <v>12193</v>
      </c>
      <c r="Q663" s="166">
        <f t="shared" si="33"/>
        <v>0</v>
      </c>
      <c r="R663" s="169"/>
      <c r="S663" s="169"/>
      <c r="T663" s="169"/>
      <c r="U663" s="169"/>
      <c r="V663" s="166">
        <f t="shared" si="34"/>
        <v>0</v>
      </c>
      <c r="W663" s="205"/>
      <c r="X663" s="167"/>
    </row>
    <row r="664" spans="8:24" s="220" customFormat="1" ht="12" hidden="1" customHeight="1">
      <c r="H664" s="162" t="s">
        <v>359</v>
      </c>
      <c r="I664" s="163" t="s">
        <v>1019</v>
      </c>
      <c r="J664" s="163" t="s">
        <v>1936</v>
      </c>
      <c r="K664" s="162" t="s">
        <v>1939</v>
      </c>
      <c r="L664" s="164" t="s">
        <v>5</v>
      </c>
      <c r="M664" s="169"/>
      <c r="N664" s="165">
        <v>4470</v>
      </c>
      <c r="O664" s="169">
        <f t="shared" si="32"/>
        <v>0</v>
      </c>
      <c r="P664" s="165">
        <v>12193</v>
      </c>
      <c r="Q664" s="166">
        <f t="shared" si="33"/>
        <v>0</v>
      </c>
      <c r="R664" s="169"/>
      <c r="S664" s="169"/>
      <c r="T664" s="169"/>
      <c r="U664" s="169"/>
      <c r="V664" s="166">
        <f t="shared" si="34"/>
        <v>0</v>
      </c>
      <c r="W664" s="205"/>
      <c r="X664" s="167"/>
    </row>
    <row r="665" spans="8:24" s="220" customFormat="1" ht="12" hidden="1" customHeight="1">
      <c r="H665" s="162" t="s">
        <v>360</v>
      </c>
      <c r="I665" s="163" t="s">
        <v>1021</v>
      </c>
      <c r="J665" s="163" t="s">
        <v>1940</v>
      </c>
      <c r="K665" s="162" t="s">
        <v>1941</v>
      </c>
      <c r="L665" s="164" t="s">
        <v>5</v>
      </c>
      <c r="M665" s="169"/>
      <c r="N665" s="165">
        <v>10100</v>
      </c>
      <c r="O665" s="169">
        <f t="shared" si="32"/>
        <v>0</v>
      </c>
      <c r="P665" s="165">
        <v>15097</v>
      </c>
      <c r="Q665" s="166">
        <f t="shared" si="33"/>
        <v>0</v>
      </c>
      <c r="R665" s="169"/>
      <c r="S665" s="169"/>
      <c r="T665" s="169"/>
      <c r="U665" s="169"/>
      <c r="V665" s="166">
        <f t="shared" si="34"/>
        <v>0</v>
      </c>
      <c r="W665" s="205"/>
      <c r="X665" s="167"/>
    </row>
    <row r="666" spans="8:24" s="220" customFormat="1" ht="12" hidden="1" customHeight="1">
      <c r="H666" s="162" t="s">
        <v>361</v>
      </c>
      <c r="I666" s="163" t="s">
        <v>1022</v>
      </c>
      <c r="J666" s="163" t="s">
        <v>1942</v>
      </c>
      <c r="K666" s="162" t="s">
        <v>1943</v>
      </c>
      <c r="L666" s="164" t="s">
        <v>5</v>
      </c>
      <c r="M666" s="169"/>
      <c r="N666" s="165">
        <v>2780</v>
      </c>
      <c r="O666" s="169">
        <f t="shared" si="32"/>
        <v>0</v>
      </c>
      <c r="P666" s="165">
        <v>13935</v>
      </c>
      <c r="Q666" s="166">
        <f t="shared" si="33"/>
        <v>0</v>
      </c>
      <c r="R666" s="169"/>
      <c r="S666" s="169"/>
      <c r="T666" s="169"/>
      <c r="U666" s="169"/>
      <c r="V666" s="166">
        <f t="shared" si="34"/>
        <v>0</v>
      </c>
      <c r="W666" s="205"/>
      <c r="X666" s="167"/>
    </row>
    <row r="667" spans="8:24" s="220" customFormat="1" ht="12" hidden="1" customHeight="1">
      <c r="H667" s="162" t="s">
        <v>362</v>
      </c>
      <c r="I667" s="163" t="s">
        <v>1022</v>
      </c>
      <c r="J667" s="163" t="s">
        <v>1942</v>
      </c>
      <c r="K667" s="162" t="s">
        <v>1944</v>
      </c>
      <c r="L667" s="164" t="s">
        <v>5</v>
      </c>
      <c r="M667" s="169"/>
      <c r="N667" s="165">
        <v>3590</v>
      </c>
      <c r="O667" s="169">
        <f t="shared" si="32"/>
        <v>0</v>
      </c>
      <c r="P667" s="165">
        <v>13935</v>
      </c>
      <c r="Q667" s="166">
        <f t="shared" si="33"/>
        <v>0</v>
      </c>
      <c r="R667" s="169"/>
      <c r="S667" s="169"/>
      <c r="T667" s="169"/>
      <c r="U667" s="169"/>
      <c r="V667" s="166">
        <f t="shared" si="34"/>
        <v>0</v>
      </c>
      <c r="W667" s="205"/>
      <c r="X667" s="167"/>
    </row>
    <row r="668" spans="8:24" s="220" customFormat="1" ht="12" hidden="1" customHeight="1">
      <c r="H668" s="162" t="s">
        <v>363</v>
      </c>
      <c r="I668" s="163" t="s">
        <v>1022</v>
      </c>
      <c r="J668" s="163" t="s">
        <v>1942</v>
      </c>
      <c r="K668" s="162" t="s">
        <v>1945</v>
      </c>
      <c r="L668" s="164" t="s">
        <v>5</v>
      </c>
      <c r="M668" s="169"/>
      <c r="N668" s="165">
        <v>5560</v>
      </c>
      <c r="O668" s="169">
        <f t="shared" si="32"/>
        <v>0</v>
      </c>
      <c r="P668" s="165">
        <v>13935</v>
      </c>
      <c r="Q668" s="166">
        <f t="shared" si="33"/>
        <v>0</v>
      </c>
      <c r="R668" s="169"/>
      <c r="S668" s="169"/>
      <c r="T668" s="169"/>
      <c r="U668" s="169"/>
      <c r="V668" s="166">
        <f t="shared" si="34"/>
        <v>0</v>
      </c>
      <c r="W668" s="205"/>
      <c r="X668" s="167"/>
    </row>
    <row r="669" spans="8:24" s="220" customFormat="1" ht="12" hidden="1" customHeight="1">
      <c r="H669" s="162" t="s">
        <v>364</v>
      </c>
      <c r="I669" s="163" t="s">
        <v>1024</v>
      </c>
      <c r="J669" s="163" t="s">
        <v>1946</v>
      </c>
      <c r="K669" s="162" t="s">
        <v>1947</v>
      </c>
      <c r="L669" s="164" t="s">
        <v>5</v>
      </c>
      <c r="M669" s="169"/>
      <c r="N669" s="165">
        <v>12500</v>
      </c>
      <c r="O669" s="169">
        <f t="shared" si="32"/>
        <v>0</v>
      </c>
      <c r="P669" s="165">
        <v>17129</v>
      </c>
      <c r="Q669" s="166">
        <f t="shared" si="33"/>
        <v>0</v>
      </c>
      <c r="R669" s="169"/>
      <c r="S669" s="169"/>
      <c r="T669" s="169"/>
      <c r="U669" s="169"/>
      <c r="V669" s="166">
        <f t="shared" si="34"/>
        <v>0</v>
      </c>
      <c r="W669" s="205"/>
      <c r="X669" s="167"/>
    </row>
    <row r="670" spans="8:24" s="220" customFormat="1" ht="12" hidden="1" customHeight="1">
      <c r="H670" s="162" t="s">
        <v>365</v>
      </c>
      <c r="I670" s="163" t="s">
        <v>1025</v>
      </c>
      <c r="J670" s="163" t="s">
        <v>1948</v>
      </c>
      <c r="K670" s="162" t="s">
        <v>1949</v>
      </c>
      <c r="L670" s="164" t="s">
        <v>5</v>
      </c>
      <c r="M670" s="169"/>
      <c r="N670" s="165">
        <v>3130</v>
      </c>
      <c r="O670" s="169">
        <f t="shared" si="32"/>
        <v>0</v>
      </c>
      <c r="P670" s="165">
        <v>15677</v>
      </c>
      <c r="Q670" s="166">
        <f t="shared" si="33"/>
        <v>0</v>
      </c>
      <c r="R670" s="169"/>
      <c r="S670" s="169"/>
      <c r="T670" s="169"/>
      <c r="U670" s="169"/>
      <c r="V670" s="166">
        <f t="shared" si="34"/>
        <v>0</v>
      </c>
      <c r="W670" s="205"/>
      <c r="X670" s="167"/>
    </row>
    <row r="671" spans="8:24" s="220" customFormat="1" ht="12" hidden="1" customHeight="1">
      <c r="H671" s="162" t="s">
        <v>366</v>
      </c>
      <c r="I671" s="163" t="s">
        <v>1025</v>
      </c>
      <c r="J671" s="163" t="s">
        <v>1948</v>
      </c>
      <c r="K671" s="162" t="s">
        <v>1950</v>
      </c>
      <c r="L671" s="164" t="s">
        <v>5</v>
      </c>
      <c r="M671" s="169"/>
      <c r="N671" s="165">
        <v>4210</v>
      </c>
      <c r="O671" s="169">
        <f t="shared" si="32"/>
        <v>0</v>
      </c>
      <c r="P671" s="165">
        <v>15677</v>
      </c>
      <c r="Q671" s="166">
        <f t="shared" si="33"/>
        <v>0</v>
      </c>
      <c r="R671" s="169"/>
      <c r="S671" s="169"/>
      <c r="T671" s="169"/>
      <c r="U671" s="169"/>
      <c r="V671" s="166">
        <f t="shared" si="34"/>
        <v>0</v>
      </c>
      <c r="W671" s="205"/>
      <c r="X671" s="167"/>
    </row>
    <row r="672" spans="8:24" s="220" customFormat="1" ht="12" hidden="1" customHeight="1">
      <c r="H672" s="162" t="s">
        <v>367</v>
      </c>
      <c r="I672" s="163" t="s">
        <v>1026</v>
      </c>
      <c r="J672" s="163" t="s">
        <v>1951</v>
      </c>
      <c r="K672" s="162" t="s">
        <v>1952</v>
      </c>
      <c r="L672" s="164" t="s">
        <v>5</v>
      </c>
      <c r="M672" s="169"/>
      <c r="N672" s="165">
        <v>10200</v>
      </c>
      <c r="O672" s="169">
        <f t="shared" si="32"/>
        <v>0</v>
      </c>
      <c r="P672" s="165">
        <v>16839</v>
      </c>
      <c r="Q672" s="166">
        <f t="shared" si="33"/>
        <v>0</v>
      </c>
      <c r="R672" s="169"/>
      <c r="S672" s="169"/>
      <c r="T672" s="169"/>
      <c r="U672" s="169"/>
      <c r="V672" s="166">
        <f t="shared" si="34"/>
        <v>0</v>
      </c>
      <c r="W672" s="205"/>
      <c r="X672" s="167"/>
    </row>
    <row r="673" spans="8:24" s="220" customFormat="1" ht="12" hidden="1" customHeight="1">
      <c r="H673" s="162" t="s">
        <v>368</v>
      </c>
      <c r="I673" s="163" t="s">
        <v>1028</v>
      </c>
      <c r="J673" s="163" t="s">
        <v>1953</v>
      </c>
      <c r="K673" s="162" t="s">
        <v>1954</v>
      </c>
      <c r="L673" s="164" t="s">
        <v>5</v>
      </c>
      <c r="M673" s="169"/>
      <c r="N673" s="165">
        <v>3810</v>
      </c>
      <c r="O673" s="169">
        <f t="shared" si="32"/>
        <v>0</v>
      </c>
      <c r="P673" s="165">
        <v>18000</v>
      </c>
      <c r="Q673" s="166">
        <f t="shared" si="33"/>
        <v>0</v>
      </c>
      <c r="R673" s="169"/>
      <c r="S673" s="169"/>
      <c r="T673" s="169"/>
      <c r="U673" s="169"/>
      <c r="V673" s="166">
        <f t="shared" si="34"/>
        <v>0</v>
      </c>
      <c r="W673" s="205"/>
      <c r="X673" s="167"/>
    </row>
    <row r="674" spans="8:24" s="220" customFormat="1" ht="12" hidden="1" customHeight="1">
      <c r="H674" s="162" t="s">
        <v>369</v>
      </c>
      <c r="I674" s="163" t="s">
        <v>1028</v>
      </c>
      <c r="J674" s="163" t="s">
        <v>1953</v>
      </c>
      <c r="K674" s="162" t="s">
        <v>1955</v>
      </c>
      <c r="L674" s="164" t="s">
        <v>5</v>
      </c>
      <c r="M674" s="169"/>
      <c r="N674" s="165">
        <v>5150</v>
      </c>
      <c r="O674" s="169">
        <f t="shared" si="32"/>
        <v>0</v>
      </c>
      <c r="P674" s="165">
        <v>18000</v>
      </c>
      <c r="Q674" s="166">
        <f t="shared" si="33"/>
        <v>0</v>
      </c>
      <c r="R674" s="169"/>
      <c r="S674" s="169"/>
      <c r="T674" s="169"/>
      <c r="U674" s="169"/>
      <c r="V674" s="166">
        <f t="shared" si="34"/>
        <v>0</v>
      </c>
      <c r="W674" s="205"/>
      <c r="X674" s="167"/>
    </row>
    <row r="675" spans="8:24" s="220" customFormat="1" ht="12" hidden="1" customHeight="1">
      <c r="H675" s="162" t="s">
        <v>370</v>
      </c>
      <c r="I675" s="163" t="s">
        <v>1028</v>
      </c>
      <c r="J675" s="163" t="s">
        <v>1953</v>
      </c>
      <c r="K675" s="162" t="s">
        <v>1956</v>
      </c>
      <c r="L675" s="164" t="s">
        <v>5</v>
      </c>
      <c r="M675" s="169"/>
      <c r="N675" s="165">
        <v>8090</v>
      </c>
      <c r="O675" s="169">
        <f t="shared" si="32"/>
        <v>0</v>
      </c>
      <c r="P675" s="165">
        <v>18000</v>
      </c>
      <c r="Q675" s="166">
        <f t="shared" si="33"/>
        <v>0</v>
      </c>
      <c r="R675" s="169"/>
      <c r="S675" s="169"/>
      <c r="T675" s="169"/>
      <c r="U675" s="169"/>
      <c r="V675" s="166">
        <f t="shared" si="34"/>
        <v>0</v>
      </c>
      <c r="W675" s="205"/>
      <c r="X675" s="167"/>
    </row>
    <row r="676" spans="8:24" s="220" customFormat="1" ht="12" hidden="1" customHeight="1">
      <c r="H676" s="162" t="s">
        <v>371</v>
      </c>
      <c r="I676" s="163" t="s">
        <v>1032</v>
      </c>
      <c r="J676" s="163" t="s">
        <v>1957</v>
      </c>
      <c r="K676" s="162" t="s">
        <v>1958</v>
      </c>
      <c r="L676" s="164" t="s">
        <v>5</v>
      </c>
      <c r="M676" s="169"/>
      <c r="N676" s="165">
        <v>6090</v>
      </c>
      <c r="O676" s="169">
        <f t="shared" si="32"/>
        <v>0</v>
      </c>
      <c r="P676" s="165">
        <v>28452</v>
      </c>
      <c r="Q676" s="166">
        <f t="shared" si="33"/>
        <v>0</v>
      </c>
      <c r="R676" s="169"/>
      <c r="S676" s="169"/>
      <c r="T676" s="169"/>
      <c r="U676" s="169"/>
      <c r="V676" s="166">
        <f t="shared" si="34"/>
        <v>0</v>
      </c>
      <c r="W676" s="205"/>
      <c r="X676" s="167"/>
    </row>
    <row r="677" spans="8:24" s="220" customFormat="1" ht="12" hidden="1" customHeight="1">
      <c r="H677" s="162" t="s">
        <v>372</v>
      </c>
      <c r="I677" s="163" t="s">
        <v>1032</v>
      </c>
      <c r="J677" s="163" t="s">
        <v>1957</v>
      </c>
      <c r="K677" s="162" t="s">
        <v>1959</v>
      </c>
      <c r="L677" s="164" t="s">
        <v>5</v>
      </c>
      <c r="M677" s="169"/>
      <c r="N677" s="165">
        <v>8330</v>
      </c>
      <c r="O677" s="169">
        <f t="shared" si="32"/>
        <v>0</v>
      </c>
      <c r="P677" s="165">
        <v>28452</v>
      </c>
      <c r="Q677" s="166">
        <f t="shared" si="33"/>
        <v>0</v>
      </c>
      <c r="R677" s="169"/>
      <c r="S677" s="169"/>
      <c r="T677" s="169"/>
      <c r="U677" s="169"/>
      <c r="V677" s="166">
        <f t="shared" si="34"/>
        <v>0</v>
      </c>
      <c r="W677" s="205"/>
      <c r="X677" s="167"/>
    </row>
    <row r="678" spans="8:24" s="220" customFormat="1" ht="12" hidden="1" customHeight="1">
      <c r="H678" s="162" t="s">
        <v>373</v>
      </c>
      <c r="I678" s="163" t="s">
        <v>1032</v>
      </c>
      <c r="J678" s="163" t="s">
        <v>1957</v>
      </c>
      <c r="K678" s="162" t="s">
        <v>1960</v>
      </c>
      <c r="L678" s="164" t="s">
        <v>5</v>
      </c>
      <c r="M678" s="169"/>
      <c r="N678" s="165">
        <v>13200</v>
      </c>
      <c r="O678" s="169">
        <f t="shared" si="32"/>
        <v>0</v>
      </c>
      <c r="P678" s="165">
        <v>28452</v>
      </c>
      <c r="Q678" s="166">
        <f t="shared" si="33"/>
        <v>0</v>
      </c>
      <c r="R678" s="169"/>
      <c r="S678" s="169"/>
      <c r="T678" s="169"/>
      <c r="U678" s="169"/>
      <c r="V678" s="166">
        <f t="shared" si="34"/>
        <v>0</v>
      </c>
      <c r="W678" s="205"/>
      <c r="X678" s="167"/>
    </row>
    <row r="679" spans="8:24" s="220" customFormat="1" ht="12" hidden="1" customHeight="1">
      <c r="H679" s="162" t="s">
        <v>374</v>
      </c>
      <c r="I679" s="163" t="s">
        <v>1055</v>
      </c>
      <c r="J679" s="163" t="s">
        <v>1974</v>
      </c>
      <c r="K679" s="162" t="s">
        <v>1975</v>
      </c>
      <c r="L679" s="164" t="s">
        <v>5</v>
      </c>
      <c r="M679" s="169"/>
      <c r="N679" s="165">
        <v>410</v>
      </c>
      <c r="O679" s="169">
        <f t="shared" si="32"/>
        <v>0</v>
      </c>
      <c r="P679" s="165">
        <v>2903</v>
      </c>
      <c r="Q679" s="166">
        <f t="shared" si="33"/>
        <v>0</v>
      </c>
      <c r="R679" s="169"/>
      <c r="S679" s="169"/>
      <c r="T679" s="169"/>
      <c r="U679" s="169"/>
      <c r="V679" s="166">
        <f t="shared" si="34"/>
        <v>0</v>
      </c>
      <c r="W679" s="205"/>
      <c r="X679" s="167"/>
    </row>
    <row r="680" spans="8:24" s="220" customFormat="1" ht="12" hidden="1" customHeight="1">
      <c r="H680" s="162" t="s">
        <v>375</v>
      </c>
      <c r="I680" s="163" t="s">
        <v>1055</v>
      </c>
      <c r="J680" s="163" t="s">
        <v>1974</v>
      </c>
      <c r="K680" s="162" t="s">
        <v>1976</v>
      </c>
      <c r="L680" s="164" t="s">
        <v>5</v>
      </c>
      <c r="M680" s="169"/>
      <c r="N680" s="165">
        <v>570</v>
      </c>
      <c r="O680" s="169">
        <f t="shared" si="32"/>
        <v>0</v>
      </c>
      <c r="P680" s="165">
        <v>2903</v>
      </c>
      <c r="Q680" s="166">
        <f t="shared" si="33"/>
        <v>0</v>
      </c>
      <c r="R680" s="169"/>
      <c r="S680" s="169"/>
      <c r="T680" s="169"/>
      <c r="U680" s="169"/>
      <c r="V680" s="166">
        <f t="shared" si="34"/>
        <v>0</v>
      </c>
      <c r="W680" s="205"/>
      <c r="X680" s="167"/>
    </row>
    <row r="681" spans="8:24" s="220" customFormat="1" ht="12" hidden="1" customHeight="1">
      <c r="H681" s="162" t="s">
        <v>376</v>
      </c>
      <c r="I681" s="163" t="s">
        <v>1056</v>
      </c>
      <c r="J681" s="163" t="s">
        <v>1977</v>
      </c>
      <c r="K681" s="162" t="s">
        <v>1978</v>
      </c>
      <c r="L681" s="164" t="s">
        <v>5</v>
      </c>
      <c r="M681" s="169"/>
      <c r="N681" s="165">
        <v>800</v>
      </c>
      <c r="O681" s="169">
        <f t="shared" si="32"/>
        <v>0</v>
      </c>
      <c r="P681" s="165">
        <v>3193</v>
      </c>
      <c r="Q681" s="166">
        <f t="shared" si="33"/>
        <v>0</v>
      </c>
      <c r="R681" s="169"/>
      <c r="S681" s="169"/>
      <c r="T681" s="169"/>
      <c r="U681" s="169"/>
      <c r="V681" s="166">
        <f t="shared" si="34"/>
        <v>0</v>
      </c>
      <c r="W681" s="205"/>
      <c r="X681" s="167"/>
    </row>
    <row r="682" spans="8:24" s="220" customFormat="1" ht="12" hidden="1" customHeight="1">
      <c r="H682" s="162" t="s">
        <v>377</v>
      </c>
      <c r="I682" s="163" t="s">
        <v>1057</v>
      </c>
      <c r="J682" s="163" t="s">
        <v>1979</v>
      </c>
      <c r="K682" s="162" t="s">
        <v>1980</v>
      </c>
      <c r="L682" s="164" t="s">
        <v>5</v>
      </c>
      <c r="M682" s="169"/>
      <c r="N682" s="165">
        <v>1170</v>
      </c>
      <c r="O682" s="169">
        <f t="shared" si="32"/>
        <v>0</v>
      </c>
      <c r="P682" s="165">
        <v>3774</v>
      </c>
      <c r="Q682" s="166">
        <f t="shared" si="33"/>
        <v>0</v>
      </c>
      <c r="R682" s="169"/>
      <c r="S682" s="169"/>
      <c r="T682" s="169"/>
      <c r="U682" s="169"/>
      <c r="V682" s="166">
        <f t="shared" si="34"/>
        <v>0</v>
      </c>
      <c r="W682" s="205"/>
      <c r="X682" s="167"/>
    </row>
    <row r="683" spans="8:24" s="220" customFormat="1" ht="12" hidden="1" customHeight="1">
      <c r="H683" s="162" t="s">
        <v>378</v>
      </c>
      <c r="I683" s="163" t="s">
        <v>1058</v>
      </c>
      <c r="J683" s="163" t="s">
        <v>1981</v>
      </c>
      <c r="K683" s="162" t="s">
        <v>1982</v>
      </c>
      <c r="L683" s="164" t="s">
        <v>5</v>
      </c>
      <c r="M683" s="169"/>
      <c r="N683" s="165">
        <v>1820</v>
      </c>
      <c r="O683" s="169">
        <f t="shared" si="32"/>
        <v>0</v>
      </c>
      <c r="P683" s="165">
        <v>5225</v>
      </c>
      <c r="Q683" s="166">
        <f t="shared" si="33"/>
        <v>0</v>
      </c>
      <c r="R683" s="169"/>
      <c r="S683" s="169"/>
      <c r="T683" s="169"/>
      <c r="U683" s="169"/>
      <c r="V683" s="166">
        <f t="shared" si="34"/>
        <v>0</v>
      </c>
      <c r="W683" s="205"/>
      <c r="X683" s="167"/>
    </row>
    <row r="684" spans="8:24" s="220" customFormat="1" ht="12" hidden="1" customHeight="1">
      <c r="H684" s="162" t="s">
        <v>390</v>
      </c>
      <c r="I684" s="163" t="s">
        <v>1001</v>
      </c>
      <c r="J684" s="163" t="s">
        <v>2005</v>
      </c>
      <c r="K684" s="162" t="s">
        <v>2006</v>
      </c>
      <c r="L684" s="164" t="s">
        <v>5</v>
      </c>
      <c r="M684" s="169"/>
      <c r="N684" s="165">
        <v>1050</v>
      </c>
      <c r="O684" s="169">
        <f t="shared" si="32"/>
        <v>0</v>
      </c>
      <c r="P684" s="165">
        <v>4064</v>
      </c>
      <c r="Q684" s="166">
        <f t="shared" si="33"/>
        <v>0</v>
      </c>
      <c r="R684" s="169"/>
      <c r="S684" s="169"/>
      <c r="T684" s="169"/>
      <c r="U684" s="169"/>
      <c r="V684" s="166">
        <f t="shared" si="34"/>
        <v>0</v>
      </c>
      <c r="W684" s="205"/>
      <c r="X684" s="167"/>
    </row>
    <row r="685" spans="8:24" s="220" customFormat="1" ht="12" hidden="1" customHeight="1">
      <c r="H685" s="162" t="s">
        <v>391</v>
      </c>
      <c r="I685" s="163" t="s">
        <v>1002</v>
      </c>
      <c r="J685" s="163" t="s">
        <v>2007</v>
      </c>
      <c r="K685" s="162" t="s">
        <v>2008</v>
      </c>
      <c r="L685" s="164" t="s">
        <v>5</v>
      </c>
      <c r="M685" s="169"/>
      <c r="N685" s="165">
        <v>1920</v>
      </c>
      <c r="O685" s="169">
        <f t="shared" si="32"/>
        <v>0</v>
      </c>
      <c r="P685" s="165">
        <v>4645</v>
      </c>
      <c r="Q685" s="166">
        <f t="shared" si="33"/>
        <v>0</v>
      </c>
      <c r="R685" s="169"/>
      <c r="S685" s="169"/>
      <c r="T685" s="169"/>
      <c r="U685" s="169"/>
      <c r="V685" s="166">
        <f t="shared" si="34"/>
        <v>0</v>
      </c>
      <c r="W685" s="205"/>
      <c r="X685" s="167"/>
    </row>
    <row r="686" spans="8:24" s="220" customFormat="1" ht="12" hidden="1" customHeight="1">
      <c r="H686" s="162" t="s">
        <v>392</v>
      </c>
      <c r="I686" s="163" t="s">
        <v>1003</v>
      </c>
      <c r="J686" s="163" t="s">
        <v>2009</v>
      </c>
      <c r="K686" s="162" t="s">
        <v>2010</v>
      </c>
      <c r="L686" s="164" t="s">
        <v>5</v>
      </c>
      <c r="M686" s="169"/>
      <c r="N686" s="165">
        <v>2590</v>
      </c>
      <c r="O686" s="169">
        <f t="shared" si="32"/>
        <v>0</v>
      </c>
      <c r="P686" s="165">
        <v>5225</v>
      </c>
      <c r="Q686" s="166">
        <f t="shared" si="33"/>
        <v>0</v>
      </c>
      <c r="R686" s="169"/>
      <c r="S686" s="169"/>
      <c r="T686" s="169"/>
      <c r="U686" s="169"/>
      <c r="V686" s="166">
        <f t="shared" si="34"/>
        <v>0</v>
      </c>
      <c r="W686" s="205"/>
      <c r="X686" s="167"/>
    </row>
    <row r="687" spans="8:24" s="220" customFormat="1" ht="12" hidden="1" customHeight="1">
      <c r="H687" s="162" t="s">
        <v>393</v>
      </c>
      <c r="I687" s="163" t="s">
        <v>1047</v>
      </c>
      <c r="J687" s="163" t="s">
        <v>2011</v>
      </c>
      <c r="K687" s="162" t="s">
        <v>2012</v>
      </c>
      <c r="L687" s="164" t="s">
        <v>5</v>
      </c>
      <c r="M687" s="169"/>
      <c r="N687" s="165">
        <v>3940</v>
      </c>
      <c r="O687" s="169">
        <f t="shared" si="32"/>
        <v>0</v>
      </c>
      <c r="P687" s="165">
        <v>7258</v>
      </c>
      <c r="Q687" s="166">
        <f t="shared" si="33"/>
        <v>0</v>
      </c>
      <c r="R687" s="169"/>
      <c r="S687" s="169"/>
      <c r="T687" s="169"/>
      <c r="U687" s="169"/>
      <c r="V687" s="166">
        <f t="shared" si="34"/>
        <v>0</v>
      </c>
      <c r="W687" s="205"/>
      <c r="X687" s="167"/>
    </row>
    <row r="688" spans="8:24" s="220" customFormat="1" ht="12" hidden="1" customHeight="1">
      <c r="H688" s="162" t="s">
        <v>404</v>
      </c>
      <c r="I688" s="163" t="s">
        <v>1004</v>
      </c>
      <c r="J688" s="163" t="s">
        <v>2025</v>
      </c>
      <c r="K688" s="162" t="s">
        <v>2026</v>
      </c>
      <c r="L688" s="164" t="s">
        <v>5</v>
      </c>
      <c r="M688" s="169"/>
      <c r="N688" s="165">
        <v>1350</v>
      </c>
      <c r="O688" s="169">
        <f t="shared" si="32"/>
        <v>0</v>
      </c>
      <c r="P688" s="165">
        <v>5516</v>
      </c>
      <c r="Q688" s="166">
        <f t="shared" si="33"/>
        <v>0</v>
      </c>
      <c r="R688" s="169"/>
      <c r="S688" s="169"/>
      <c r="T688" s="169"/>
      <c r="U688" s="169"/>
      <c r="V688" s="166">
        <f t="shared" si="34"/>
        <v>0</v>
      </c>
      <c r="W688" s="205"/>
      <c r="X688" s="167"/>
    </row>
    <row r="689" spans="8:24" s="220" customFormat="1" ht="12" hidden="1" customHeight="1">
      <c r="H689" s="162" t="s">
        <v>405</v>
      </c>
      <c r="I689" s="163" t="s">
        <v>1005</v>
      </c>
      <c r="J689" s="163" t="s">
        <v>2720</v>
      </c>
      <c r="K689" s="162" t="s">
        <v>2027</v>
      </c>
      <c r="L689" s="164" t="s">
        <v>5</v>
      </c>
      <c r="M689" s="169"/>
      <c r="N689" s="165">
        <v>2540</v>
      </c>
      <c r="O689" s="169">
        <f t="shared" si="32"/>
        <v>0</v>
      </c>
      <c r="P689" s="165">
        <v>6387</v>
      </c>
      <c r="Q689" s="166">
        <f t="shared" si="33"/>
        <v>0</v>
      </c>
      <c r="R689" s="169"/>
      <c r="S689" s="169"/>
      <c r="T689" s="169"/>
      <c r="U689" s="169"/>
      <c r="V689" s="166">
        <f t="shared" si="34"/>
        <v>0</v>
      </c>
      <c r="W689" s="205"/>
      <c r="X689" s="167"/>
    </row>
    <row r="690" spans="8:24" s="220" customFormat="1" ht="12" hidden="1" customHeight="1">
      <c r="H690" s="162" t="s">
        <v>406</v>
      </c>
      <c r="I690" s="163" t="s">
        <v>1006</v>
      </c>
      <c r="J690" s="163" t="s">
        <v>2028</v>
      </c>
      <c r="K690" s="162" t="s">
        <v>2029</v>
      </c>
      <c r="L690" s="164" t="s">
        <v>5</v>
      </c>
      <c r="M690" s="169"/>
      <c r="N690" s="165">
        <v>3500</v>
      </c>
      <c r="O690" s="169">
        <f t="shared" ref="O690:O757" si="35">M690*N690*$O$3</f>
        <v>0</v>
      </c>
      <c r="P690" s="165">
        <v>7548</v>
      </c>
      <c r="Q690" s="166">
        <f t="shared" si="33"/>
        <v>0</v>
      </c>
      <c r="R690" s="169"/>
      <c r="S690" s="169"/>
      <c r="T690" s="169"/>
      <c r="U690" s="169"/>
      <c r="V690" s="166">
        <f t="shared" si="34"/>
        <v>0</v>
      </c>
      <c r="W690" s="205"/>
      <c r="X690" s="167"/>
    </row>
    <row r="691" spans="8:24" s="220" customFormat="1" ht="12" hidden="1" customHeight="1">
      <c r="H691" s="162" t="s">
        <v>407</v>
      </c>
      <c r="I691" s="163" t="s">
        <v>1051</v>
      </c>
      <c r="J691" s="163" t="s">
        <v>2030</v>
      </c>
      <c r="K691" s="162" t="s">
        <v>2031</v>
      </c>
      <c r="L691" s="164" t="s">
        <v>5</v>
      </c>
      <c r="M691" s="169"/>
      <c r="N691" s="165">
        <v>5570</v>
      </c>
      <c r="O691" s="169">
        <f t="shared" si="35"/>
        <v>0</v>
      </c>
      <c r="P691" s="165">
        <v>10451</v>
      </c>
      <c r="Q691" s="166">
        <f t="shared" si="33"/>
        <v>0</v>
      </c>
      <c r="R691" s="169"/>
      <c r="S691" s="169"/>
      <c r="T691" s="169"/>
      <c r="U691" s="169"/>
      <c r="V691" s="166">
        <f t="shared" si="34"/>
        <v>0</v>
      </c>
      <c r="W691" s="205"/>
      <c r="X691" s="167"/>
    </row>
    <row r="692" spans="8:24" s="220" customFormat="1" ht="12" hidden="1" customHeight="1">
      <c r="H692" s="162" t="s">
        <v>417</v>
      </c>
      <c r="I692" s="163" t="s">
        <v>1007</v>
      </c>
      <c r="J692" s="163" t="s">
        <v>2041</v>
      </c>
      <c r="K692" s="162" t="s">
        <v>2042</v>
      </c>
      <c r="L692" s="164" t="s">
        <v>5</v>
      </c>
      <c r="M692" s="169"/>
      <c r="N692" s="165">
        <v>1650</v>
      </c>
      <c r="O692" s="169">
        <f t="shared" si="35"/>
        <v>0</v>
      </c>
      <c r="P692" s="165">
        <v>7548</v>
      </c>
      <c r="Q692" s="166">
        <f t="shared" si="33"/>
        <v>0</v>
      </c>
      <c r="R692" s="169"/>
      <c r="S692" s="169"/>
      <c r="T692" s="169"/>
      <c r="U692" s="169"/>
      <c r="V692" s="166">
        <f t="shared" si="34"/>
        <v>0</v>
      </c>
      <c r="W692" s="205"/>
      <c r="X692" s="167"/>
    </row>
    <row r="693" spans="8:24" s="220" customFormat="1" ht="12" hidden="1" customHeight="1">
      <c r="H693" s="162" t="s">
        <v>418</v>
      </c>
      <c r="I693" s="163" t="s">
        <v>1007</v>
      </c>
      <c r="J693" s="163" t="s">
        <v>2041</v>
      </c>
      <c r="K693" s="162" t="s">
        <v>2043</v>
      </c>
      <c r="L693" s="164" t="s">
        <v>5</v>
      </c>
      <c r="M693" s="169"/>
      <c r="N693" s="165">
        <v>2240</v>
      </c>
      <c r="O693" s="169">
        <f t="shared" si="35"/>
        <v>0</v>
      </c>
      <c r="P693" s="165">
        <v>7548</v>
      </c>
      <c r="Q693" s="166">
        <f t="shared" si="33"/>
        <v>0</v>
      </c>
      <c r="R693" s="169"/>
      <c r="S693" s="169"/>
      <c r="T693" s="169"/>
      <c r="U693" s="169"/>
      <c r="V693" s="166">
        <f t="shared" si="34"/>
        <v>0</v>
      </c>
      <c r="W693" s="205"/>
      <c r="X693" s="167"/>
    </row>
    <row r="694" spans="8:24" s="220" customFormat="1" ht="12" hidden="1" customHeight="1">
      <c r="H694" s="162" t="s">
        <v>419</v>
      </c>
      <c r="I694" s="163" t="s">
        <v>1008</v>
      </c>
      <c r="J694" s="163" t="s">
        <v>2044</v>
      </c>
      <c r="K694" s="162" t="s">
        <v>2045</v>
      </c>
      <c r="L694" s="164" t="s">
        <v>5</v>
      </c>
      <c r="M694" s="169"/>
      <c r="N694" s="165">
        <v>3210</v>
      </c>
      <c r="O694" s="169">
        <f t="shared" si="35"/>
        <v>0</v>
      </c>
      <c r="P694" s="165">
        <v>8419</v>
      </c>
      <c r="Q694" s="166">
        <f t="shared" si="33"/>
        <v>0</v>
      </c>
      <c r="R694" s="169"/>
      <c r="S694" s="169"/>
      <c r="T694" s="169"/>
      <c r="U694" s="169"/>
      <c r="V694" s="166">
        <f t="shared" si="34"/>
        <v>0</v>
      </c>
      <c r="W694" s="205"/>
      <c r="X694" s="167"/>
    </row>
    <row r="695" spans="8:24" s="220" customFormat="1" ht="12" hidden="1" customHeight="1">
      <c r="H695" s="162" t="s">
        <v>420</v>
      </c>
      <c r="I695" s="163" t="s">
        <v>1009</v>
      </c>
      <c r="J695" s="163" t="s">
        <v>2046</v>
      </c>
      <c r="K695" s="162" t="s">
        <v>2047</v>
      </c>
      <c r="L695" s="164" t="s">
        <v>5</v>
      </c>
      <c r="M695" s="169"/>
      <c r="N695" s="165">
        <v>4510</v>
      </c>
      <c r="O695" s="169">
        <f t="shared" si="35"/>
        <v>0</v>
      </c>
      <c r="P695" s="165">
        <v>9871</v>
      </c>
      <c r="Q695" s="166">
        <f t="shared" si="33"/>
        <v>0</v>
      </c>
      <c r="R695" s="169"/>
      <c r="S695" s="169"/>
      <c r="T695" s="169"/>
      <c r="U695" s="169"/>
      <c r="V695" s="166">
        <f t="shared" si="34"/>
        <v>0</v>
      </c>
      <c r="W695" s="205"/>
      <c r="X695" s="167"/>
    </row>
    <row r="696" spans="8:24" s="220" customFormat="1" ht="12" hidden="1" customHeight="1">
      <c r="H696" s="162" t="s">
        <v>421</v>
      </c>
      <c r="I696" s="163" t="s">
        <v>1052</v>
      </c>
      <c r="J696" s="163" t="s">
        <v>2048</v>
      </c>
      <c r="K696" s="162" t="s">
        <v>2049</v>
      </c>
      <c r="L696" s="164" t="s">
        <v>5</v>
      </c>
      <c r="M696" s="169"/>
      <c r="N696" s="165">
        <v>7150</v>
      </c>
      <c r="O696" s="169">
        <f t="shared" si="35"/>
        <v>0</v>
      </c>
      <c r="P696" s="165">
        <v>14226</v>
      </c>
      <c r="Q696" s="166">
        <f t="shared" si="33"/>
        <v>0</v>
      </c>
      <c r="R696" s="169"/>
      <c r="S696" s="169"/>
      <c r="T696" s="169"/>
      <c r="U696" s="169"/>
      <c r="V696" s="166">
        <f t="shared" si="34"/>
        <v>0</v>
      </c>
      <c r="W696" s="205"/>
      <c r="X696" s="167"/>
    </row>
    <row r="697" spans="8:24" s="220" customFormat="1" ht="12" hidden="1" customHeight="1">
      <c r="H697" s="162" t="s">
        <v>379</v>
      </c>
      <c r="I697" s="163" t="s">
        <v>1048</v>
      </c>
      <c r="J697" s="163" t="s">
        <v>1983</v>
      </c>
      <c r="K697" s="162" t="s">
        <v>1984</v>
      </c>
      <c r="L697" s="164" t="s">
        <v>5</v>
      </c>
      <c r="M697" s="169"/>
      <c r="N697" s="165">
        <v>2900</v>
      </c>
      <c r="O697" s="169">
        <f t="shared" si="35"/>
        <v>0</v>
      </c>
      <c r="P697" s="165">
        <v>6677</v>
      </c>
      <c r="Q697" s="166">
        <f t="shared" si="33"/>
        <v>0</v>
      </c>
      <c r="R697" s="169"/>
      <c r="S697" s="169"/>
      <c r="T697" s="169"/>
      <c r="U697" s="169"/>
      <c r="V697" s="166">
        <f t="shared" si="34"/>
        <v>0</v>
      </c>
      <c r="W697" s="205"/>
      <c r="X697" s="167"/>
    </row>
    <row r="698" spans="8:24" s="220" customFormat="1" ht="12" hidden="1" customHeight="1">
      <c r="H698" s="162" t="s">
        <v>380</v>
      </c>
      <c r="I698" s="163" t="s">
        <v>1049</v>
      </c>
      <c r="J698" s="163" t="s">
        <v>2721</v>
      </c>
      <c r="K698" s="162" t="s">
        <v>1986</v>
      </c>
      <c r="L698" s="164" t="s">
        <v>5</v>
      </c>
      <c r="M698" s="169"/>
      <c r="N698" s="165">
        <v>4380</v>
      </c>
      <c r="O698" s="169">
        <f t="shared" si="35"/>
        <v>0</v>
      </c>
      <c r="P698" s="165">
        <v>8709</v>
      </c>
      <c r="Q698" s="166">
        <f t="shared" si="33"/>
        <v>0</v>
      </c>
      <c r="R698" s="169"/>
      <c r="S698" s="169"/>
      <c r="T698" s="169"/>
      <c r="U698" s="169"/>
      <c r="V698" s="166">
        <f t="shared" si="34"/>
        <v>0</v>
      </c>
      <c r="W698" s="205"/>
      <c r="X698" s="167"/>
    </row>
    <row r="699" spans="8:24" s="220" customFormat="1" ht="12" hidden="1" customHeight="1">
      <c r="H699" s="162" t="s">
        <v>381</v>
      </c>
      <c r="I699" s="163" t="s">
        <v>1050</v>
      </c>
      <c r="J699" s="163" t="s">
        <v>6928</v>
      </c>
      <c r="K699" s="162" t="s">
        <v>1988</v>
      </c>
      <c r="L699" s="164" t="s">
        <v>5</v>
      </c>
      <c r="M699" s="169"/>
      <c r="N699" s="165">
        <v>5970</v>
      </c>
      <c r="O699" s="169">
        <f t="shared" si="35"/>
        <v>0</v>
      </c>
      <c r="P699" s="165">
        <v>10451</v>
      </c>
      <c r="Q699" s="166">
        <f t="shared" si="33"/>
        <v>0</v>
      </c>
      <c r="R699" s="169"/>
      <c r="S699" s="169"/>
      <c r="T699" s="169"/>
      <c r="U699" s="169"/>
      <c r="V699" s="166">
        <f t="shared" si="34"/>
        <v>0</v>
      </c>
      <c r="W699" s="205"/>
      <c r="X699" s="167"/>
    </row>
    <row r="700" spans="8:24" s="220" customFormat="1" ht="12" hidden="1" customHeight="1">
      <c r="H700" s="162" t="s">
        <v>6929</v>
      </c>
      <c r="I700" s="163" t="s">
        <v>1059</v>
      </c>
      <c r="J700" s="163" t="s">
        <v>2016</v>
      </c>
      <c r="K700" s="162" t="s">
        <v>6930</v>
      </c>
      <c r="L700" s="164" t="s">
        <v>5</v>
      </c>
      <c r="M700" s="166"/>
      <c r="N700" s="165">
        <v>7980</v>
      </c>
      <c r="O700" s="169">
        <f t="shared" si="35"/>
        <v>0</v>
      </c>
      <c r="P700" s="165">
        <v>12484</v>
      </c>
      <c r="Q700" s="166">
        <f t="shared" si="33"/>
        <v>0</v>
      </c>
      <c r="R700" s="169"/>
      <c r="S700" s="169"/>
      <c r="T700" s="169"/>
      <c r="U700" s="169"/>
      <c r="V700" s="166">
        <f t="shared" si="34"/>
        <v>0</v>
      </c>
      <c r="W700" s="205"/>
      <c r="X700" s="167"/>
    </row>
    <row r="701" spans="8:24" s="220" customFormat="1" ht="12" hidden="1" customHeight="1">
      <c r="H701" s="162" t="s">
        <v>382</v>
      </c>
      <c r="I701" s="163" t="s">
        <v>1060</v>
      </c>
      <c r="J701" s="163" t="s">
        <v>1989</v>
      </c>
      <c r="K701" s="162" t="s">
        <v>1990</v>
      </c>
      <c r="L701" s="164" t="s">
        <v>5</v>
      </c>
      <c r="M701" s="169"/>
      <c r="N701" s="165">
        <v>11100</v>
      </c>
      <c r="O701" s="169">
        <f t="shared" si="35"/>
        <v>0</v>
      </c>
      <c r="P701" s="165">
        <v>16548</v>
      </c>
      <c r="Q701" s="166">
        <f t="shared" si="33"/>
        <v>0</v>
      </c>
      <c r="R701" s="169"/>
      <c r="S701" s="169"/>
      <c r="T701" s="169"/>
      <c r="U701" s="169"/>
      <c r="V701" s="166">
        <f t="shared" si="34"/>
        <v>0</v>
      </c>
      <c r="W701" s="205"/>
      <c r="X701" s="167"/>
    </row>
    <row r="702" spans="8:24" s="220" customFormat="1" ht="12" hidden="1" customHeight="1">
      <c r="H702" s="162" t="s">
        <v>383</v>
      </c>
      <c r="I702" s="163" t="s">
        <v>1061</v>
      </c>
      <c r="J702" s="163" t="s">
        <v>1991</v>
      </c>
      <c r="K702" s="162" t="s">
        <v>1992</v>
      </c>
      <c r="L702" s="164" t="s">
        <v>5</v>
      </c>
      <c r="M702" s="169"/>
      <c r="N702" s="165">
        <v>15400</v>
      </c>
      <c r="O702" s="169">
        <f t="shared" si="35"/>
        <v>0</v>
      </c>
      <c r="P702" s="165">
        <v>20613</v>
      </c>
      <c r="Q702" s="166">
        <f t="shared" si="33"/>
        <v>0</v>
      </c>
      <c r="R702" s="169"/>
      <c r="S702" s="169"/>
      <c r="T702" s="169"/>
      <c r="U702" s="169"/>
      <c r="V702" s="166">
        <f t="shared" si="34"/>
        <v>0</v>
      </c>
      <c r="W702" s="205"/>
      <c r="X702" s="167"/>
    </row>
    <row r="703" spans="8:24" s="220" customFormat="1" ht="12" hidden="1" customHeight="1">
      <c r="H703" s="162" t="s">
        <v>384</v>
      </c>
      <c r="I703" s="163" t="s">
        <v>1062</v>
      </c>
      <c r="J703" s="163" t="s">
        <v>1993</v>
      </c>
      <c r="K703" s="162" t="s">
        <v>1994</v>
      </c>
      <c r="L703" s="164" t="s">
        <v>5</v>
      </c>
      <c r="M703" s="166"/>
      <c r="N703" s="165">
        <v>19100</v>
      </c>
      <c r="O703" s="169">
        <f t="shared" si="35"/>
        <v>0</v>
      </c>
      <c r="P703" s="165">
        <v>24387</v>
      </c>
      <c r="Q703" s="166">
        <f t="shared" si="33"/>
        <v>0</v>
      </c>
      <c r="R703" s="169"/>
      <c r="S703" s="169"/>
      <c r="T703" s="169"/>
      <c r="U703" s="169"/>
      <c r="V703" s="166">
        <f t="shared" si="34"/>
        <v>0</v>
      </c>
      <c r="W703" s="205"/>
      <c r="X703" s="167"/>
    </row>
    <row r="704" spans="8:24" s="220" customFormat="1" ht="12" hidden="1" customHeight="1">
      <c r="H704" s="158" t="s">
        <v>6980</v>
      </c>
      <c r="I704" s="159" t="s">
        <v>1063</v>
      </c>
      <c r="J704" s="159" t="s">
        <v>2021</v>
      </c>
      <c r="K704" s="158" t="s">
        <v>6981</v>
      </c>
      <c r="L704" s="164" t="s">
        <v>5</v>
      </c>
      <c r="M704" s="166"/>
      <c r="N704" s="165">
        <v>23500</v>
      </c>
      <c r="O704" s="169">
        <f t="shared" si="35"/>
        <v>0</v>
      </c>
      <c r="P704" s="165">
        <v>28162</v>
      </c>
      <c r="Q704" s="166">
        <f t="shared" si="33"/>
        <v>0</v>
      </c>
      <c r="R704" s="169"/>
      <c r="S704" s="169"/>
      <c r="T704" s="169"/>
      <c r="U704" s="169"/>
      <c r="V704" s="166">
        <f t="shared" si="34"/>
        <v>0</v>
      </c>
      <c r="W704" s="205"/>
      <c r="X704" s="167"/>
    </row>
    <row r="705" spans="8:24" s="220" customFormat="1" ht="12" hidden="1" customHeight="1">
      <c r="H705" s="162" t="s">
        <v>385</v>
      </c>
      <c r="I705" s="163" t="s">
        <v>1064</v>
      </c>
      <c r="J705" s="163" t="s">
        <v>1995</v>
      </c>
      <c r="K705" s="162" t="s">
        <v>1996</v>
      </c>
      <c r="L705" s="164" t="s">
        <v>5</v>
      </c>
      <c r="M705" s="169"/>
      <c r="N705" s="165">
        <v>29100</v>
      </c>
      <c r="O705" s="169">
        <f t="shared" si="35"/>
        <v>0</v>
      </c>
      <c r="P705" s="165">
        <v>31355</v>
      </c>
      <c r="Q705" s="166">
        <f t="shared" si="33"/>
        <v>0</v>
      </c>
      <c r="R705" s="169"/>
      <c r="S705" s="169"/>
      <c r="T705" s="169"/>
      <c r="U705" s="169"/>
      <c r="V705" s="166">
        <f t="shared" si="34"/>
        <v>0</v>
      </c>
      <c r="W705" s="205"/>
      <c r="X705" s="167"/>
    </row>
    <row r="706" spans="8:24" s="220" customFormat="1" ht="12" hidden="1" customHeight="1">
      <c r="H706" s="162" t="s">
        <v>386</v>
      </c>
      <c r="I706" s="163" t="s">
        <v>1065</v>
      </c>
      <c r="J706" s="163" t="s">
        <v>1997</v>
      </c>
      <c r="K706" s="162" t="s">
        <v>1998</v>
      </c>
      <c r="L706" s="164" t="s">
        <v>5</v>
      </c>
      <c r="M706" s="169"/>
      <c r="N706" s="165">
        <v>37400</v>
      </c>
      <c r="O706" s="169">
        <f t="shared" si="35"/>
        <v>0</v>
      </c>
      <c r="P706" s="165">
        <v>39485</v>
      </c>
      <c r="Q706" s="166">
        <f t="shared" si="33"/>
        <v>0</v>
      </c>
      <c r="R706" s="169"/>
      <c r="S706" s="169"/>
      <c r="T706" s="169"/>
      <c r="U706" s="169"/>
      <c r="V706" s="166">
        <f t="shared" si="34"/>
        <v>0</v>
      </c>
      <c r="W706" s="205"/>
      <c r="X706" s="167"/>
    </row>
    <row r="707" spans="8:24" s="220" customFormat="1" ht="12" hidden="1" customHeight="1">
      <c r="H707" s="162" t="s">
        <v>387</v>
      </c>
      <c r="I707" s="163" t="s">
        <v>1066</v>
      </c>
      <c r="J707" s="163" t="s">
        <v>1999</v>
      </c>
      <c r="K707" s="162" t="s">
        <v>2000</v>
      </c>
      <c r="L707" s="164" t="s">
        <v>5</v>
      </c>
      <c r="M707" s="169"/>
      <c r="N707" s="165">
        <v>47700</v>
      </c>
      <c r="O707" s="169">
        <f t="shared" si="35"/>
        <v>0</v>
      </c>
      <c r="P707" s="165">
        <v>46162</v>
      </c>
      <c r="Q707" s="166">
        <f t="shared" si="33"/>
        <v>0</v>
      </c>
      <c r="R707" s="169"/>
      <c r="S707" s="169"/>
      <c r="T707" s="169"/>
      <c r="U707" s="169"/>
      <c r="V707" s="166">
        <f t="shared" si="34"/>
        <v>0</v>
      </c>
      <c r="W707" s="205"/>
      <c r="X707" s="167"/>
    </row>
    <row r="708" spans="8:24" s="220" customFormat="1" ht="12" hidden="1" customHeight="1">
      <c r="H708" s="162" t="s">
        <v>388</v>
      </c>
      <c r="I708" s="163" t="s">
        <v>1067</v>
      </c>
      <c r="J708" s="163" t="s">
        <v>2001</v>
      </c>
      <c r="K708" s="162" t="s">
        <v>2002</v>
      </c>
      <c r="L708" s="164" t="s">
        <v>5</v>
      </c>
      <c r="M708" s="169"/>
      <c r="N708" s="165">
        <v>82400</v>
      </c>
      <c r="O708" s="169">
        <f t="shared" si="35"/>
        <v>0</v>
      </c>
      <c r="P708" s="165">
        <v>69679</v>
      </c>
      <c r="Q708" s="166">
        <f t="shared" si="33"/>
        <v>0</v>
      </c>
      <c r="R708" s="169"/>
      <c r="S708" s="169"/>
      <c r="T708" s="169"/>
      <c r="U708" s="169"/>
      <c r="V708" s="166">
        <f t="shared" si="34"/>
        <v>0</v>
      </c>
      <c r="W708" s="205"/>
      <c r="X708" s="167"/>
    </row>
    <row r="709" spans="8:24" s="220" customFormat="1" ht="12" hidden="1" customHeight="1">
      <c r="H709" s="162" t="s">
        <v>389</v>
      </c>
      <c r="I709" s="163" t="s">
        <v>1068</v>
      </c>
      <c r="J709" s="163" t="s">
        <v>2003</v>
      </c>
      <c r="K709" s="162" t="s">
        <v>2004</v>
      </c>
      <c r="L709" s="164" t="s">
        <v>5</v>
      </c>
      <c r="M709" s="169"/>
      <c r="N709" s="165">
        <v>105000</v>
      </c>
      <c r="O709" s="169">
        <f t="shared" si="35"/>
        <v>0</v>
      </c>
      <c r="P709" s="165">
        <v>82744</v>
      </c>
      <c r="Q709" s="166">
        <f t="shared" si="33"/>
        <v>0</v>
      </c>
      <c r="R709" s="169"/>
      <c r="S709" s="169"/>
      <c r="T709" s="169"/>
      <c r="U709" s="169"/>
      <c r="V709" s="166">
        <f t="shared" si="34"/>
        <v>0</v>
      </c>
      <c r="W709" s="205"/>
      <c r="X709" s="167"/>
    </row>
    <row r="710" spans="8:24" s="220" customFormat="1" ht="12" hidden="1" customHeight="1">
      <c r="H710" s="162" t="s">
        <v>394</v>
      </c>
      <c r="I710" s="163" t="s">
        <v>1048</v>
      </c>
      <c r="J710" s="163" t="s">
        <v>1983</v>
      </c>
      <c r="K710" s="162" t="s">
        <v>2013</v>
      </c>
      <c r="L710" s="164" t="s">
        <v>5</v>
      </c>
      <c r="M710" s="169"/>
      <c r="N710" s="165">
        <v>6160</v>
      </c>
      <c r="O710" s="169">
        <f t="shared" si="35"/>
        <v>0</v>
      </c>
      <c r="P710" s="165">
        <v>6677</v>
      </c>
      <c r="Q710" s="166">
        <f t="shared" si="33"/>
        <v>0</v>
      </c>
      <c r="R710" s="169"/>
      <c r="S710" s="169"/>
      <c r="T710" s="169"/>
      <c r="U710" s="169"/>
      <c r="V710" s="166">
        <f t="shared" si="34"/>
        <v>0</v>
      </c>
      <c r="W710" s="205"/>
      <c r="X710" s="167"/>
    </row>
    <row r="711" spans="8:24" s="220" customFormat="1" ht="12" hidden="1" customHeight="1">
      <c r="H711" s="162" t="s">
        <v>395</v>
      </c>
      <c r="I711" s="163" t="s">
        <v>1049</v>
      </c>
      <c r="J711" s="163" t="s">
        <v>1985</v>
      </c>
      <c r="K711" s="162" t="s">
        <v>2014</v>
      </c>
      <c r="L711" s="164" t="s">
        <v>5</v>
      </c>
      <c r="M711" s="169"/>
      <c r="N711" s="165">
        <v>9430</v>
      </c>
      <c r="O711" s="169">
        <f t="shared" si="35"/>
        <v>0</v>
      </c>
      <c r="P711" s="165">
        <v>8709</v>
      </c>
      <c r="Q711" s="166">
        <f t="shared" si="33"/>
        <v>0</v>
      </c>
      <c r="R711" s="169"/>
      <c r="S711" s="169"/>
      <c r="T711" s="169"/>
      <c r="U711" s="169"/>
      <c r="V711" s="166">
        <f t="shared" si="34"/>
        <v>0</v>
      </c>
      <c r="W711" s="205"/>
      <c r="X711" s="167"/>
    </row>
    <row r="712" spans="8:24" s="220" customFormat="1" ht="12" hidden="1" customHeight="1">
      <c r="H712" s="162" t="s">
        <v>396</v>
      </c>
      <c r="I712" s="163" t="s">
        <v>1050</v>
      </c>
      <c r="J712" s="163" t="s">
        <v>1987</v>
      </c>
      <c r="K712" s="162" t="s">
        <v>2015</v>
      </c>
      <c r="L712" s="164" t="s">
        <v>5</v>
      </c>
      <c r="M712" s="169"/>
      <c r="N712" s="165">
        <v>12500</v>
      </c>
      <c r="O712" s="169">
        <f t="shared" si="35"/>
        <v>0</v>
      </c>
      <c r="P712" s="165">
        <v>10451</v>
      </c>
      <c r="Q712" s="166">
        <f t="shared" si="33"/>
        <v>0</v>
      </c>
      <c r="R712" s="169"/>
      <c r="S712" s="169"/>
      <c r="T712" s="169"/>
      <c r="U712" s="169"/>
      <c r="V712" s="166">
        <f t="shared" si="34"/>
        <v>0</v>
      </c>
      <c r="W712" s="205"/>
      <c r="X712" s="167"/>
    </row>
    <row r="713" spans="8:24" s="220" customFormat="1" ht="12" hidden="1" customHeight="1">
      <c r="H713" s="162" t="s">
        <v>397</v>
      </c>
      <c r="I713" s="163" t="s">
        <v>1059</v>
      </c>
      <c r="J713" s="163" t="s">
        <v>2016</v>
      </c>
      <c r="K713" s="162" t="s">
        <v>2017</v>
      </c>
      <c r="L713" s="164" t="s">
        <v>5</v>
      </c>
      <c r="M713" s="169"/>
      <c r="N713" s="165">
        <v>17300</v>
      </c>
      <c r="O713" s="169">
        <f t="shared" si="35"/>
        <v>0</v>
      </c>
      <c r="P713" s="165">
        <v>12484</v>
      </c>
      <c r="Q713" s="166">
        <f t="shared" si="33"/>
        <v>0</v>
      </c>
      <c r="R713" s="169"/>
      <c r="S713" s="169"/>
      <c r="T713" s="169"/>
      <c r="U713" s="169"/>
      <c r="V713" s="166">
        <f t="shared" si="34"/>
        <v>0</v>
      </c>
      <c r="W713" s="205"/>
      <c r="X713" s="167"/>
    </row>
    <row r="714" spans="8:24" s="220" customFormat="1" ht="12" hidden="1" customHeight="1">
      <c r="H714" s="162" t="s">
        <v>398</v>
      </c>
      <c r="I714" s="163" t="s">
        <v>1060</v>
      </c>
      <c r="J714" s="163" t="s">
        <v>1989</v>
      </c>
      <c r="K714" s="162" t="s">
        <v>2018</v>
      </c>
      <c r="L714" s="164" t="s">
        <v>5</v>
      </c>
      <c r="M714" s="169"/>
      <c r="N714" s="165">
        <v>23900</v>
      </c>
      <c r="O714" s="169">
        <f t="shared" si="35"/>
        <v>0</v>
      </c>
      <c r="P714" s="165">
        <v>16548</v>
      </c>
      <c r="Q714" s="166">
        <f t="shared" si="33"/>
        <v>0</v>
      </c>
      <c r="R714" s="169"/>
      <c r="S714" s="169"/>
      <c r="T714" s="169"/>
      <c r="U714" s="169"/>
      <c r="V714" s="166">
        <f t="shared" si="34"/>
        <v>0</v>
      </c>
      <c r="W714" s="205"/>
      <c r="X714" s="167"/>
    </row>
    <row r="715" spans="8:24" s="220" customFormat="1" ht="12" hidden="1" customHeight="1">
      <c r="H715" s="162" t="s">
        <v>399</v>
      </c>
      <c r="I715" s="163" t="s">
        <v>1061</v>
      </c>
      <c r="J715" s="163" t="s">
        <v>1991</v>
      </c>
      <c r="K715" s="162" t="s">
        <v>2019</v>
      </c>
      <c r="L715" s="164" t="s">
        <v>5</v>
      </c>
      <c r="M715" s="169"/>
      <c r="N715" s="165">
        <v>33400</v>
      </c>
      <c r="O715" s="169">
        <f t="shared" si="35"/>
        <v>0</v>
      </c>
      <c r="P715" s="165">
        <v>20613</v>
      </c>
      <c r="Q715" s="166">
        <f t="shared" si="33"/>
        <v>0</v>
      </c>
      <c r="R715" s="169"/>
      <c r="S715" s="169"/>
      <c r="T715" s="169"/>
      <c r="U715" s="169"/>
      <c r="V715" s="166">
        <f t="shared" si="34"/>
        <v>0</v>
      </c>
      <c r="W715" s="205"/>
      <c r="X715" s="167"/>
    </row>
    <row r="716" spans="8:24" s="220" customFormat="1" ht="12" hidden="1" customHeight="1">
      <c r="H716" s="162" t="s">
        <v>400</v>
      </c>
      <c r="I716" s="163" t="s">
        <v>1062</v>
      </c>
      <c r="J716" s="163" t="s">
        <v>1993</v>
      </c>
      <c r="K716" s="162" t="s">
        <v>2020</v>
      </c>
      <c r="L716" s="164" t="s">
        <v>5</v>
      </c>
      <c r="M716" s="169"/>
      <c r="N716" s="165">
        <v>41300</v>
      </c>
      <c r="O716" s="169">
        <f t="shared" si="35"/>
        <v>0</v>
      </c>
      <c r="P716" s="165">
        <v>24387</v>
      </c>
      <c r="Q716" s="166">
        <f t="shared" si="33"/>
        <v>0</v>
      </c>
      <c r="R716" s="169"/>
      <c r="S716" s="169"/>
      <c r="T716" s="169"/>
      <c r="U716" s="169"/>
      <c r="V716" s="166">
        <f t="shared" si="34"/>
        <v>0</v>
      </c>
      <c r="W716" s="205"/>
      <c r="X716" s="167"/>
    </row>
    <row r="717" spans="8:24" s="220" customFormat="1" ht="12" hidden="1" customHeight="1">
      <c r="H717" s="162" t="s">
        <v>401</v>
      </c>
      <c r="I717" s="163" t="s">
        <v>1063</v>
      </c>
      <c r="J717" s="163" t="s">
        <v>2021</v>
      </c>
      <c r="K717" s="162" t="s">
        <v>2022</v>
      </c>
      <c r="L717" s="164" t="s">
        <v>5</v>
      </c>
      <c r="M717" s="169"/>
      <c r="N717" s="165">
        <v>50800</v>
      </c>
      <c r="O717" s="169">
        <f t="shared" si="35"/>
        <v>0</v>
      </c>
      <c r="P717" s="165">
        <v>28162</v>
      </c>
      <c r="Q717" s="166">
        <f t="shared" si="33"/>
        <v>0</v>
      </c>
      <c r="R717" s="169"/>
      <c r="S717" s="169"/>
      <c r="T717" s="169"/>
      <c r="U717" s="169"/>
      <c r="V717" s="166">
        <f t="shared" si="34"/>
        <v>0</v>
      </c>
      <c r="W717" s="205"/>
      <c r="X717" s="167"/>
    </row>
    <row r="718" spans="8:24" s="220" customFormat="1" ht="12" hidden="1" customHeight="1">
      <c r="H718" s="162" t="s">
        <v>402</v>
      </c>
      <c r="I718" s="163" t="s">
        <v>1065</v>
      </c>
      <c r="J718" s="163" t="s">
        <v>1997</v>
      </c>
      <c r="K718" s="162" t="s">
        <v>2023</v>
      </c>
      <c r="L718" s="164" t="s">
        <v>5</v>
      </c>
      <c r="M718" s="169"/>
      <c r="N718" s="165">
        <v>81100</v>
      </c>
      <c r="O718" s="169">
        <f t="shared" si="35"/>
        <v>0</v>
      </c>
      <c r="P718" s="165">
        <v>39485</v>
      </c>
      <c r="Q718" s="166">
        <f t="shared" ref="Q718:Q783" si="36">IF(W718="",M718*P718*$Q$3*$W$3,M718*P718*$Q$3*W718)</f>
        <v>0</v>
      </c>
      <c r="R718" s="169"/>
      <c r="S718" s="169"/>
      <c r="T718" s="169"/>
      <c r="U718" s="169"/>
      <c r="V718" s="166">
        <f t="shared" ref="V718:V783" si="37">SUM(O718+Q718)+S718+U718</f>
        <v>0</v>
      </c>
      <c r="W718" s="205"/>
      <c r="X718" s="167"/>
    </row>
    <row r="719" spans="8:24" s="220" customFormat="1" ht="12" hidden="1" customHeight="1">
      <c r="H719" s="162" t="s">
        <v>403</v>
      </c>
      <c r="I719" s="163" t="s">
        <v>1066</v>
      </c>
      <c r="J719" s="163" t="s">
        <v>1999</v>
      </c>
      <c r="K719" s="162" t="s">
        <v>2024</v>
      </c>
      <c r="L719" s="164" t="s">
        <v>5</v>
      </c>
      <c r="M719" s="169"/>
      <c r="N719" s="165">
        <v>102000</v>
      </c>
      <c r="O719" s="169">
        <f t="shared" si="35"/>
        <v>0</v>
      </c>
      <c r="P719" s="165">
        <v>46162</v>
      </c>
      <c r="Q719" s="166">
        <f t="shared" si="36"/>
        <v>0</v>
      </c>
      <c r="R719" s="169"/>
      <c r="S719" s="169"/>
      <c r="T719" s="169"/>
      <c r="U719" s="169"/>
      <c r="V719" s="166">
        <f t="shared" si="37"/>
        <v>0</v>
      </c>
      <c r="W719" s="205"/>
      <c r="X719" s="167"/>
    </row>
    <row r="720" spans="8:24" s="220" customFormat="1" ht="12" hidden="1" customHeight="1">
      <c r="H720" s="162" t="s">
        <v>408</v>
      </c>
      <c r="I720" s="163" t="s">
        <v>1048</v>
      </c>
      <c r="J720" s="163" t="s">
        <v>2722</v>
      </c>
      <c r="K720" s="162" t="s">
        <v>2032</v>
      </c>
      <c r="L720" s="164" t="s">
        <v>5</v>
      </c>
      <c r="M720" s="169"/>
      <c r="N720" s="165">
        <v>8690</v>
      </c>
      <c r="O720" s="169">
        <f t="shared" si="35"/>
        <v>0</v>
      </c>
      <c r="P720" s="165">
        <v>6677</v>
      </c>
      <c r="Q720" s="166">
        <f t="shared" si="36"/>
        <v>0</v>
      </c>
      <c r="R720" s="169"/>
      <c r="S720" s="169"/>
      <c r="T720" s="169"/>
      <c r="U720" s="169"/>
      <c r="V720" s="166">
        <f t="shared" si="37"/>
        <v>0</v>
      </c>
      <c r="W720" s="205"/>
      <c r="X720" s="167"/>
    </row>
    <row r="721" spans="8:24" s="220" customFormat="1" ht="12" hidden="1" customHeight="1">
      <c r="H721" s="162" t="s">
        <v>6985</v>
      </c>
      <c r="I721" s="163" t="s">
        <v>1049</v>
      </c>
      <c r="J721" s="163" t="s">
        <v>1985</v>
      </c>
      <c r="K721" s="162" t="s">
        <v>6986</v>
      </c>
      <c r="L721" s="164" t="s">
        <v>5</v>
      </c>
      <c r="M721" s="169"/>
      <c r="N721" s="165">
        <v>13500</v>
      </c>
      <c r="O721" s="169">
        <f t="shared" si="35"/>
        <v>0</v>
      </c>
      <c r="P721" s="165">
        <v>8709</v>
      </c>
      <c r="Q721" s="166">
        <f t="shared" si="36"/>
        <v>0</v>
      </c>
      <c r="R721" s="169"/>
      <c r="S721" s="169"/>
      <c r="T721" s="169"/>
      <c r="U721" s="169"/>
      <c r="V721" s="166">
        <f t="shared" si="37"/>
        <v>0</v>
      </c>
      <c r="W721" s="205"/>
      <c r="X721" s="167"/>
    </row>
    <row r="722" spans="8:24" s="220" customFormat="1" ht="12" hidden="1" customHeight="1">
      <c r="H722" s="162" t="s">
        <v>409</v>
      </c>
      <c r="I722" s="163" t="s">
        <v>1050</v>
      </c>
      <c r="J722" s="163" t="s">
        <v>1987</v>
      </c>
      <c r="K722" s="162" t="s">
        <v>2033</v>
      </c>
      <c r="L722" s="164" t="s">
        <v>5</v>
      </c>
      <c r="M722" s="169"/>
      <c r="N722" s="165">
        <v>18000</v>
      </c>
      <c r="O722" s="169">
        <f t="shared" si="35"/>
        <v>0</v>
      </c>
      <c r="P722" s="165">
        <v>10451</v>
      </c>
      <c r="Q722" s="166">
        <f t="shared" si="36"/>
        <v>0</v>
      </c>
      <c r="R722" s="169"/>
      <c r="S722" s="169"/>
      <c r="T722" s="169"/>
      <c r="U722" s="169"/>
      <c r="V722" s="166">
        <f t="shared" si="37"/>
        <v>0</v>
      </c>
      <c r="W722" s="205"/>
      <c r="X722" s="167"/>
    </row>
    <row r="723" spans="8:24" s="220" customFormat="1" ht="12" hidden="1" customHeight="1">
      <c r="H723" s="162" t="s">
        <v>410</v>
      </c>
      <c r="I723" s="163" t="s">
        <v>1059</v>
      </c>
      <c r="J723" s="163" t="s">
        <v>2016</v>
      </c>
      <c r="K723" s="162" t="s">
        <v>2034</v>
      </c>
      <c r="L723" s="164" t="s">
        <v>5</v>
      </c>
      <c r="M723" s="169"/>
      <c r="N723" s="165">
        <v>24400</v>
      </c>
      <c r="O723" s="169">
        <f t="shared" si="35"/>
        <v>0</v>
      </c>
      <c r="P723" s="165">
        <v>12484</v>
      </c>
      <c r="Q723" s="166">
        <f t="shared" si="36"/>
        <v>0</v>
      </c>
      <c r="R723" s="169"/>
      <c r="S723" s="169"/>
      <c r="T723" s="169"/>
      <c r="U723" s="169"/>
      <c r="V723" s="166">
        <f t="shared" si="37"/>
        <v>0</v>
      </c>
      <c r="W723" s="205"/>
      <c r="X723" s="167"/>
    </row>
    <row r="724" spans="8:24" s="220" customFormat="1" ht="12" hidden="1" customHeight="1">
      <c r="H724" s="162" t="s">
        <v>411</v>
      </c>
      <c r="I724" s="163" t="s">
        <v>1061</v>
      </c>
      <c r="J724" s="163" t="s">
        <v>1991</v>
      </c>
      <c r="K724" s="162" t="s">
        <v>2035</v>
      </c>
      <c r="L724" s="164" t="s">
        <v>5</v>
      </c>
      <c r="M724" s="169"/>
      <c r="N724" s="165">
        <v>47900</v>
      </c>
      <c r="O724" s="169">
        <f t="shared" si="35"/>
        <v>0</v>
      </c>
      <c r="P724" s="165">
        <v>20613</v>
      </c>
      <c r="Q724" s="166">
        <f t="shared" si="36"/>
        <v>0</v>
      </c>
      <c r="R724" s="169"/>
      <c r="S724" s="169"/>
      <c r="T724" s="169"/>
      <c r="U724" s="169"/>
      <c r="V724" s="166">
        <f t="shared" si="37"/>
        <v>0</v>
      </c>
      <c r="W724" s="205"/>
      <c r="X724" s="167"/>
    </row>
    <row r="725" spans="8:24" s="220" customFormat="1" ht="12" hidden="1" customHeight="1">
      <c r="H725" s="162" t="s">
        <v>412</v>
      </c>
      <c r="I725" s="163" t="s">
        <v>1062</v>
      </c>
      <c r="J725" s="163" t="s">
        <v>1993</v>
      </c>
      <c r="K725" s="162" t="s">
        <v>2036</v>
      </c>
      <c r="L725" s="164" t="s">
        <v>5</v>
      </c>
      <c r="M725" s="169"/>
      <c r="N725" s="165">
        <v>59300</v>
      </c>
      <c r="O725" s="169">
        <f t="shared" si="35"/>
        <v>0</v>
      </c>
      <c r="P725" s="165">
        <v>24387</v>
      </c>
      <c r="Q725" s="166">
        <f t="shared" si="36"/>
        <v>0</v>
      </c>
      <c r="R725" s="169"/>
      <c r="S725" s="169"/>
      <c r="T725" s="169"/>
      <c r="U725" s="169"/>
      <c r="V725" s="166">
        <f t="shared" si="37"/>
        <v>0</v>
      </c>
      <c r="W725" s="205"/>
      <c r="X725" s="167"/>
    </row>
    <row r="726" spans="8:24" s="220" customFormat="1" ht="12" hidden="1" customHeight="1">
      <c r="H726" s="162" t="s">
        <v>413</v>
      </c>
      <c r="I726" s="163" t="s">
        <v>1063</v>
      </c>
      <c r="J726" s="163" t="s">
        <v>2021</v>
      </c>
      <c r="K726" s="162" t="s">
        <v>2037</v>
      </c>
      <c r="L726" s="164" t="s">
        <v>5</v>
      </c>
      <c r="M726" s="169"/>
      <c r="N726" s="165">
        <v>73300</v>
      </c>
      <c r="O726" s="169">
        <f t="shared" si="35"/>
        <v>0</v>
      </c>
      <c r="P726" s="165">
        <v>28162</v>
      </c>
      <c r="Q726" s="166">
        <f t="shared" si="36"/>
        <v>0</v>
      </c>
      <c r="R726" s="169"/>
      <c r="S726" s="169"/>
      <c r="T726" s="169"/>
      <c r="U726" s="169"/>
      <c r="V726" s="166">
        <f t="shared" si="37"/>
        <v>0</v>
      </c>
      <c r="W726" s="205"/>
      <c r="X726" s="167"/>
    </row>
    <row r="727" spans="8:24" s="220" customFormat="1" ht="12" hidden="1" customHeight="1">
      <c r="H727" s="162" t="s">
        <v>414</v>
      </c>
      <c r="I727" s="163" t="s">
        <v>1064</v>
      </c>
      <c r="J727" s="163" t="s">
        <v>1995</v>
      </c>
      <c r="K727" s="162" t="s">
        <v>2038</v>
      </c>
      <c r="L727" s="164" t="s">
        <v>5</v>
      </c>
      <c r="M727" s="169"/>
      <c r="N727" s="165">
        <v>90800</v>
      </c>
      <c r="O727" s="169">
        <f t="shared" si="35"/>
        <v>0</v>
      </c>
      <c r="P727" s="165">
        <v>31355</v>
      </c>
      <c r="Q727" s="166">
        <f t="shared" si="36"/>
        <v>0</v>
      </c>
      <c r="R727" s="169"/>
      <c r="S727" s="169"/>
      <c r="T727" s="169"/>
      <c r="U727" s="169"/>
      <c r="V727" s="166">
        <f t="shared" si="37"/>
        <v>0</v>
      </c>
      <c r="W727" s="205"/>
      <c r="X727" s="167"/>
    </row>
    <row r="728" spans="8:24" s="220" customFormat="1" ht="12" hidden="1" customHeight="1">
      <c r="H728" s="162" t="s">
        <v>415</v>
      </c>
      <c r="I728" s="163" t="s">
        <v>1065</v>
      </c>
      <c r="J728" s="163" t="s">
        <v>1997</v>
      </c>
      <c r="K728" s="162" t="s">
        <v>2039</v>
      </c>
      <c r="L728" s="164" t="s">
        <v>5</v>
      </c>
      <c r="M728" s="169"/>
      <c r="N728" s="165">
        <v>117000</v>
      </c>
      <c r="O728" s="169">
        <f t="shared" si="35"/>
        <v>0</v>
      </c>
      <c r="P728" s="165">
        <v>39485</v>
      </c>
      <c r="Q728" s="166">
        <f t="shared" si="36"/>
        <v>0</v>
      </c>
      <c r="R728" s="165"/>
      <c r="S728" s="169"/>
      <c r="T728" s="169"/>
      <c r="U728" s="169"/>
      <c r="V728" s="166">
        <f t="shared" si="37"/>
        <v>0</v>
      </c>
      <c r="W728" s="205"/>
      <c r="X728" s="167"/>
    </row>
    <row r="729" spans="8:24" s="220" customFormat="1" ht="12" hidden="1" customHeight="1">
      <c r="H729" s="162" t="s">
        <v>416</v>
      </c>
      <c r="I729" s="163" t="s">
        <v>1066</v>
      </c>
      <c r="J729" s="163" t="s">
        <v>1999</v>
      </c>
      <c r="K729" s="162" t="s">
        <v>2040</v>
      </c>
      <c r="L729" s="164" t="s">
        <v>5</v>
      </c>
      <c r="M729" s="169"/>
      <c r="N729" s="165">
        <v>148000</v>
      </c>
      <c r="O729" s="169">
        <f t="shared" si="35"/>
        <v>0</v>
      </c>
      <c r="P729" s="165">
        <v>46162</v>
      </c>
      <c r="Q729" s="166">
        <f t="shared" si="36"/>
        <v>0</v>
      </c>
      <c r="R729" s="165"/>
      <c r="S729" s="169"/>
      <c r="T729" s="169"/>
      <c r="U729" s="169"/>
      <c r="V729" s="166">
        <f t="shared" si="37"/>
        <v>0</v>
      </c>
      <c r="W729" s="205"/>
      <c r="X729" s="167"/>
    </row>
    <row r="730" spans="8:24" s="220" customFormat="1" ht="12" hidden="1" customHeight="1">
      <c r="H730" s="162" t="s">
        <v>422</v>
      </c>
      <c r="I730" s="163" t="s">
        <v>1048</v>
      </c>
      <c r="J730" s="163" t="s">
        <v>1983</v>
      </c>
      <c r="K730" s="162" t="s">
        <v>2050</v>
      </c>
      <c r="L730" s="164" t="s">
        <v>5</v>
      </c>
      <c r="M730" s="169"/>
      <c r="N730" s="165">
        <v>11500</v>
      </c>
      <c r="O730" s="169">
        <f t="shared" si="35"/>
        <v>0</v>
      </c>
      <c r="P730" s="165">
        <v>6677</v>
      </c>
      <c r="Q730" s="166">
        <f t="shared" si="36"/>
        <v>0</v>
      </c>
      <c r="R730" s="165"/>
      <c r="S730" s="169"/>
      <c r="T730" s="169"/>
      <c r="U730" s="169"/>
      <c r="V730" s="166">
        <f t="shared" si="37"/>
        <v>0</v>
      </c>
      <c r="W730" s="205"/>
      <c r="X730" s="167"/>
    </row>
    <row r="731" spans="8:24" s="220" customFormat="1" ht="12" hidden="1" customHeight="1">
      <c r="H731" s="162" t="s">
        <v>6988</v>
      </c>
      <c r="I731" s="163" t="s">
        <v>1049</v>
      </c>
      <c r="J731" s="163" t="s">
        <v>1985</v>
      </c>
      <c r="K731" s="162" t="s">
        <v>6987</v>
      </c>
      <c r="L731" s="164" t="s">
        <v>5</v>
      </c>
      <c r="M731" s="169"/>
      <c r="N731" s="165">
        <v>17800</v>
      </c>
      <c r="O731" s="169">
        <f t="shared" si="35"/>
        <v>0</v>
      </c>
      <c r="P731" s="165">
        <v>8709</v>
      </c>
      <c r="Q731" s="166">
        <f t="shared" si="36"/>
        <v>0</v>
      </c>
      <c r="R731" s="165"/>
      <c r="S731" s="169"/>
      <c r="T731" s="169"/>
      <c r="U731" s="169"/>
      <c r="V731" s="166">
        <f t="shared" si="37"/>
        <v>0</v>
      </c>
      <c r="W731" s="205"/>
      <c r="X731" s="167"/>
    </row>
    <row r="732" spans="8:24" s="220" customFormat="1" ht="12" hidden="1" customHeight="1">
      <c r="H732" s="162" t="s">
        <v>423</v>
      </c>
      <c r="I732" s="163" t="s">
        <v>1050</v>
      </c>
      <c r="J732" s="163" t="s">
        <v>1987</v>
      </c>
      <c r="K732" s="162" t="s">
        <v>2051</v>
      </c>
      <c r="L732" s="164" t="s">
        <v>5</v>
      </c>
      <c r="M732" s="169"/>
      <c r="N732" s="165">
        <v>23700</v>
      </c>
      <c r="O732" s="169">
        <f t="shared" si="35"/>
        <v>0</v>
      </c>
      <c r="P732" s="165">
        <v>10451</v>
      </c>
      <c r="Q732" s="166">
        <f t="shared" si="36"/>
        <v>0</v>
      </c>
      <c r="R732" s="165"/>
      <c r="S732" s="169"/>
      <c r="T732" s="169"/>
      <c r="U732" s="169"/>
      <c r="V732" s="166">
        <f t="shared" si="37"/>
        <v>0</v>
      </c>
      <c r="W732" s="205"/>
      <c r="X732" s="167"/>
    </row>
    <row r="733" spans="8:24" s="220" customFormat="1" ht="12" hidden="1" customHeight="1">
      <c r="H733" s="162" t="s">
        <v>424</v>
      </c>
      <c r="I733" s="163" t="s">
        <v>1059</v>
      </c>
      <c r="J733" s="163" t="s">
        <v>2016</v>
      </c>
      <c r="K733" s="162" t="s">
        <v>2052</v>
      </c>
      <c r="L733" s="164" t="s">
        <v>5</v>
      </c>
      <c r="M733" s="169"/>
      <c r="N733" s="165">
        <v>32700</v>
      </c>
      <c r="O733" s="169">
        <f t="shared" si="35"/>
        <v>0</v>
      </c>
      <c r="P733" s="165">
        <v>12484</v>
      </c>
      <c r="Q733" s="166">
        <f t="shared" si="36"/>
        <v>0</v>
      </c>
      <c r="R733" s="169"/>
      <c r="S733" s="169"/>
      <c r="T733" s="169"/>
      <c r="U733" s="169"/>
      <c r="V733" s="166">
        <f t="shared" si="37"/>
        <v>0</v>
      </c>
      <c r="W733" s="205"/>
      <c r="X733" s="167"/>
    </row>
    <row r="734" spans="8:24" s="220" customFormat="1" ht="12" hidden="1" customHeight="1">
      <c r="H734" s="162" t="s">
        <v>425</v>
      </c>
      <c r="I734" s="163" t="s">
        <v>1060</v>
      </c>
      <c r="J734" s="163" t="s">
        <v>1989</v>
      </c>
      <c r="K734" s="162" t="s">
        <v>2053</v>
      </c>
      <c r="L734" s="164" t="s">
        <v>5</v>
      </c>
      <c r="M734" s="169"/>
      <c r="N734" s="165">
        <v>45900</v>
      </c>
      <c r="O734" s="169">
        <f t="shared" si="35"/>
        <v>0</v>
      </c>
      <c r="P734" s="165">
        <v>16548</v>
      </c>
      <c r="Q734" s="166">
        <f t="shared" si="36"/>
        <v>0</v>
      </c>
      <c r="R734" s="169"/>
      <c r="S734" s="169"/>
      <c r="T734" s="169"/>
      <c r="U734" s="169"/>
      <c r="V734" s="166">
        <f t="shared" si="37"/>
        <v>0</v>
      </c>
      <c r="W734" s="205"/>
      <c r="X734" s="167"/>
    </row>
    <row r="735" spans="8:24" s="220" customFormat="1" ht="12" hidden="1" customHeight="1">
      <c r="H735" s="162" t="s">
        <v>426</v>
      </c>
      <c r="I735" s="163" t="s">
        <v>1062</v>
      </c>
      <c r="J735" s="163" t="s">
        <v>1993</v>
      </c>
      <c r="K735" s="162" t="s">
        <v>2054</v>
      </c>
      <c r="L735" s="164" t="s">
        <v>5</v>
      </c>
      <c r="M735" s="169"/>
      <c r="N735" s="165">
        <v>79300</v>
      </c>
      <c r="O735" s="169">
        <f t="shared" si="35"/>
        <v>0</v>
      </c>
      <c r="P735" s="165">
        <v>24387</v>
      </c>
      <c r="Q735" s="166">
        <f t="shared" si="36"/>
        <v>0</v>
      </c>
      <c r="R735" s="169"/>
      <c r="S735" s="169"/>
      <c r="T735" s="169"/>
      <c r="U735" s="169"/>
      <c r="V735" s="166">
        <f t="shared" si="37"/>
        <v>0</v>
      </c>
      <c r="W735" s="205"/>
      <c r="X735" s="167"/>
    </row>
    <row r="736" spans="8:24" s="220" customFormat="1" ht="12" hidden="1" customHeight="1">
      <c r="H736" s="162" t="s">
        <v>427</v>
      </c>
      <c r="I736" s="163" t="s">
        <v>1063</v>
      </c>
      <c r="J736" s="163" t="s">
        <v>2021</v>
      </c>
      <c r="K736" s="162" t="s">
        <v>2055</v>
      </c>
      <c r="L736" s="164" t="s">
        <v>5</v>
      </c>
      <c r="M736" s="169"/>
      <c r="N736" s="165">
        <v>97700</v>
      </c>
      <c r="O736" s="169">
        <f t="shared" si="35"/>
        <v>0</v>
      </c>
      <c r="P736" s="165">
        <v>28162</v>
      </c>
      <c r="Q736" s="166">
        <f t="shared" si="36"/>
        <v>0</v>
      </c>
      <c r="R736" s="169"/>
      <c r="S736" s="169"/>
      <c r="T736" s="169"/>
      <c r="U736" s="169"/>
      <c r="V736" s="166">
        <f t="shared" si="37"/>
        <v>0</v>
      </c>
      <c r="W736" s="205"/>
      <c r="X736" s="167"/>
    </row>
    <row r="737" spans="8:24" s="220" customFormat="1" ht="12" hidden="1" customHeight="1">
      <c r="H737" s="162" t="s">
        <v>428</v>
      </c>
      <c r="I737" s="163" t="s">
        <v>1064</v>
      </c>
      <c r="J737" s="163" t="s">
        <v>1995</v>
      </c>
      <c r="K737" s="162" t="s">
        <v>2056</v>
      </c>
      <c r="L737" s="164" t="s">
        <v>5</v>
      </c>
      <c r="M737" s="169"/>
      <c r="N737" s="165">
        <v>121000</v>
      </c>
      <c r="O737" s="169">
        <f t="shared" si="35"/>
        <v>0</v>
      </c>
      <c r="P737" s="165">
        <v>31355</v>
      </c>
      <c r="Q737" s="166">
        <f t="shared" si="36"/>
        <v>0</v>
      </c>
      <c r="R737" s="169"/>
      <c r="S737" s="169"/>
      <c r="T737" s="169"/>
      <c r="U737" s="169"/>
      <c r="V737" s="166">
        <f t="shared" si="37"/>
        <v>0</v>
      </c>
      <c r="W737" s="205"/>
      <c r="X737" s="167"/>
    </row>
    <row r="738" spans="8:24" s="220" customFormat="1" ht="12" hidden="1" customHeight="1">
      <c r="H738" s="162" t="s">
        <v>429</v>
      </c>
      <c r="I738" s="163" t="s">
        <v>1066</v>
      </c>
      <c r="J738" s="163" t="s">
        <v>1999</v>
      </c>
      <c r="K738" s="162" t="s">
        <v>2057</v>
      </c>
      <c r="L738" s="164" t="s">
        <v>5</v>
      </c>
      <c r="M738" s="169"/>
      <c r="N738" s="165">
        <v>199000</v>
      </c>
      <c r="O738" s="169">
        <f t="shared" si="35"/>
        <v>0</v>
      </c>
      <c r="P738" s="165">
        <v>46162</v>
      </c>
      <c r="Q738" s="166">
        <f t="shared" si="36"/>
        <v>0</v>
      </c>
      <c r="R738" s="169"/>
      <c r="S738" s="169"/>
      <c r="T738" s="169"/>
      <c r="U738" s="169"/>
      <c r="V738" s="166">
        <f t="shared" si="37"/>
        <v>0</v>
      </c>
      <c r="W738" s="205"/>
      <c r="X738" s="167"/>
    </row>
    <row r="739" spans="8:24" s="220" customFormat="1" ht="12" hidden="1" customHeight="1">
      <c r="H739" s="162" t="s">
        <v>1262</v>
      </c>
      <c r="I739" s="163" t="s">
        <v>1003</v>
      </c>
      <c r="J739" s="163" t="s">
        <v>2183</v>
      </c>
      <c r="K739" s="162" t="s">
        <v>2059</v>
      </c>
      <c r="L739" s="164" t="s">
        <v>5</v>
      </c>
      <c r="M739" s="169"/>
      <c r="N739" s="165">
        <v>3690</v>
      </c>
      <c r="O739" s="169">
        <f t="shared" si="35"/>
        <v>0</v>
      </c>
      <c r="P739" s="165">
        <v>5225</v>
      </c>
      <c r="Q739" s="166">
        <f t="shared" si="36"/>
        <v>0</v>
      </c>
      <c r="R739" s="169"/>
      <c r="S739" s="169"/>
      <c r="T739" s="169"/>
      <c r="U739" s="169"/>
      <c r="V739" s="166">
        <f t="shared" si="37"/>
        <v>0</v>
      </c>
      <c r="W739" s="205"/>
      <c r="X739" s="167"/>
    </row>
    <row r="740" spans="8:24" s="220" customFormat="1" ht="12" hidden="1" customHeight="1">
      <c r="H740" s="162" t="s">
        <v>1263</v>
      </c>
      <c r="I740" s="163" t="s">
        <v>1006</v>
      </c>
      <c r="J740" s="163" t="s">
        <v>2184</v>
      </c>
      <c r="K740" s="162" t="s">
        <v>2092</v>
      </c>
      <c r="L740" s="164" t="s">
        <v>5</v>
      </c>
      <c r="M740" s="169"/>
      <c r="N740" s="165">
        <v>4570</v>
      </c>
      <c r="O740" s="169">
        <f t="shared" si="35"/>
        <v>0</v>
      </c>
      <c r="P740" s="165">
        <v>7548</v>
      </c>
      <c r="Q740" s="166">
        <f t="shared" si="36"/>
        <v>0</v>
      </c>
      <c r="R740" s="169"/>
      <c r="S740" s="169"/>
      <c r="T740" s="169"/>
      <c r="U740" s="169"/>
      <c r="V740" s="166">
        <f t="shared" si="37"/>
        <v>0</v>
      </c>
      <c r="W740" s="205"/>
      <c r="X740" s="167"/>
    </row>
    <row r="741" spans="8:24" s="220" customFormat="1" ht="12" hidden="1" customHeight="1">
      <c r="H741" s="162" t="s">
        <v>1264</v>
      </c>
      <c r="I741" s="163" t="s">
        <v>1019</v>
      </c>
      <c r="J741" s="163" t="s">
        <v>2723</v>
      </c>
      <c r="K741" s="162" t="s">
        <v>2073</v>
      </c>
      <c r="L741" s="164" t="s">
        <v>5</v>
      </c>
      <c r="M741" s="169"/>
      <c r="N741" s="165">
        <v>4420</v>
      </c>
      <c r="O741" s="169">
        <f t="shared" si="35"/>
        <v>0</v>
      </c>
      <c r="P741" s="165">
        <v>12193</v>
      </c>
      <c r="Q741" s="166">
        <f t="shared" si="36"/>
        <v>0</v>
      </c>
      <c r="R741" s="169"/>
      <c r="S741" s="169"/>
      <c r="T741" s="169"/>
      <c r="U741" s="169"/>
      <c r="V741" s="166">
        <f t="shared" si="37"/>
        <v>0</v>
      </c>
      <c r="W741" s="205"/>
      <c r="X741" s="167"/>
    </row>
    <row r="742" spans="8:24" s="220" customFormat="1" ht="12" hidden="1" customHeight="1">
      <c r="H742" s="162" t="s">
        <v>1265</v>
      </c>
      <c r="I742" s="163" t="s">
        <v>1022</v>
      </c>
      <c r="J742" s="163" t="s">
        <v>2186</v>
      </c>
      <c r="K742" s="162" t="s">
        <v>2181</v>
      </c>
      <c r="L742" s="164" t="s">
        <v>5</v>
      </c>
      <c r="M742" s="169"/>
      <c r="N742" s="165">
        <v>7140</v>
      </c>
      <c r="O742" s="169">
        <f t="shared" si="35"/>
        <v>0</v>
      </c>
      <c r="P742" s="165">
        <v>13935</v>
      </c>
      <c r="Q742" s="166">
        <f t="shared" si="36"/>
        <v>0</v>
      </c>
      <c r="R742" s="169"/>
      <c r="S742" s="169"/>
      <c r="T742" s="169"/>
      <c r="U742" s="169"/>
      <c r="V742" s="166">
        <f t="shared" si="37"/>
        <v>0</v>
      </c>
      <c r="W742" s="205"/>
      <c r="X742" s="167"/>
    </row>
    <row r="743" spans="8:24" s="220" customFormat="1" ht="12" hidden="1" customHeight="1">
      <c r="H743" s="162" t="s">
        <v>1266</v>
      </c>
      <c r="I743" s="163" t="s">
        <v>1026</v>
      </c>
      <c r="J743" s="163" t="s">
        <v>2187</v>
      </c>
      <c r="K743" s="162" t="s">
        <v>2099</v>
      </c>
      <c r="L743" s="164" t="s">
        <v>5</v>
      </c>
      <c r="M743" s="169"/>
      <c r="N743" s="165">
        <v>11700</v>
      </c>
      <c r="O743" s="169">
        <f t="shared" si="35"/>
        <v>0</v>
      </c>
      <c r="P743" s="165">
        <v>16839</v>
      </c>
      <c r="Q743" s="166">
        <f t="shared" si="36"/>
        <v>0</v>
      </c>
      <c r="R743" s="169"/>
      <c r="S743" s="169"/>
      <c r="T743" s="169"/>
      <c r="U743" s="169"/>
      <c r="V743" s="166">
        <f t="shared" si="37"/>
        <v>0</v>
      </c>
      <c r="W743" s="205"/>
      <c r="X743" s="167"/>
    </row>
    <row r="744" spans="8:24" s="220" customFormat="1" ht="12" hidden="1" customHeight="1">
      <c r="H744" s="162" t="s">
        <v>1267</v>
      </c>
      <c r="I744" s="163" t="s">
        <v>1029</v>
      </c>
      <c r="J744" s="163" t="s">
        <v>2188</v>
      </c>
      <c r="K744" s="162" t="s">
        <v>2082</v>
      </c>
      <c r="L744" s="164" t="s">
        <v>5</v>
      </c>
      <c r="M744" s="169"/>
      <c r="N744" s="165">
        <v>14100</v>
      </c>
      <c r="O744" s="169">
        <f t="shared" si="35"/>
        <v>0</v>
      </c>
      <c r="P744" s="165">
        <v>19452</v>
      </c>
      <c r="Q744" s="166">
        <f t="shared" si="36"/>
        <v>0</v>
      </c>
      <c r="R744" s="169"/>
      <c r="S744" s="169"/>
      <c r="T744" s="169"/>
      <c r="U744" s="169"/>
      <c r="V744" s="166">
        <f t="shared" si="37"/>
        <v>0</v>
      </c>
      <c r="W744" s="205"/>
      <c r="X744" s="167"/>
    </row>
    <row r="745" spans="8:24" s="220" customFormat="1" ht="12" hidden="1" customHeight="1">
      <c r="H745" s="162" t="s">
        <v>1289</v>
      </c>
      <c r="I745" s="163" t="s">
        <v>1002</v>
      </c>
      <c r="J745" s="163" t="s">
        <v>2261</v>
      </c>
      <c r="K745" s="162" t="s">
        <v>2058</v>
      </c>
      <c r="L745" s="164" t="s">
        <v>5</v>
      </c>
      <c r="M745" s="169"/>
      <c r="N745" s="165">
        <v>3110</v>
      </c>
      <c r="O745" s="169">
        <f t="shared" si="35"/>
        <v>0</v>
      </c>
      <c r="P745" s="165">
        <v>4645</v>
      </c>
      <c r="Q745" s="166">
        <f t="shared" si="36"/>
        <v>0</v>
      </c>
      <c r="R745" s="169"/>
      <c r="S745" s="169"/>
      <c r="T745" s="169"/>
      <c r="U745" s="169"/>
      <c r="V745" s="166">
        <f t="shared" si="37"/>
        <v>0</v>
      </c>
      <c r="W745" s="205"/>
      <c r="X745" s="167"/>
    </row>
    <row r="746" spans="8:24" s="220" customFormat="1" ht="12" hidden="1" customHeight="1">
      <c r="H746" s="162" t="s">
        <v>1290</v>
      </c>
      <c r="I746" s="163" t="s">
        <v>1003</v>
      </c>
      <c r="J746" s="163" t="s">
        <v>2183</v>
      </c>
      <c r="K746" s="162" t="s">
        <v>2059</v>
      </c>
      <c r="L746" s="164" t="s">
        <v>5</v>
      </c>
      <c r="M746" s="169"/>
      <c r="N746" s="165">
        <v>3690</v>
      </c>
      <c r="O746" s="169">
        <f t="shared" si="35"/>
        <v>0</v>
      </c>
      <c r="P746" s="165">
        <v>5225</v>
      </c>
      <c r="Q746" s="166">
        <f t="shared" si="36"/>
        <v>0</v>
      </c>
      <c r="R746" s="169"/>
      <c r="S746" s="169"/>
      <c r="T746" s="169"/>
      <c r="U746" s="169"/>
      <c r="V746" s="166">
        <f t="shared" si="37"/>
        <v>0</v>
      </c>
      <c r="W746" s="205"/>
      <c r="X746" s="167"/>
    </row>
    <row r="747" spans="8:24" s="220" customFormat="1" ht="12" hidden="1" customHeight="1">
      <c r="H747" s="162" t="s">
        <v>1291</v>
      </c>
      <c r="I747" s="163" t="s">
        <v>1004</v>
      </c>
      <c r="J747" s="163" t="s">
        <v>2262</v>
      </c>
      <c r="K747" s="162" t="s">
        <v>2091</v>
      </c>
      <c r="L747" s="164" t="s">
        <v>5</v>
      </c>
      <c r="M747" s="169"/>
      <c r="N747" s="165">
        <v>2980</v>
      </c>
      <c r="O747" s="169">
        <f t="shared" si="35"/>
        <v>0</v>
      </c>
      <c r="P747" s="165">
        <v>5516</v>
      </c>
      <c r="Q747" s="166">
        <f t="shared" si="36"/>
        <v>0</v>
      </c>
      <c r="R747" s="169"/>
      <c r="S747" s="169"/>
      <c r="T747" s="169"/>
      <c r="U747" s="169"/>
      <c r="V747" s="166">
        <f t="shared" si="37"/>
        <v>0</v>
      </c>
      <c r="W747" s="205"/>
      <c r="X747" s="167"/>
    </row>
    <row r="748" spans="8:24" s="220" customFormat="1" ht="12" hidden="1" customHeight="1">
      <c r="H748" s="162" t="s">
        <v>1292</v>
      </c>
      <c r="I748" s="163" t="s">
        <v>1005</v>
      </c>
      <c r="J748" s="163" t="s">
        <v>2263</v>
      </c>
      <c r="K748" s="162" t="s">
        <v>2061</v>
      </c>
      <c r="L748" s="164" t="s">
        <v>5</v>
      </c>
      <c r="M748" s="169"/>
      <c r="N748" s="165">
        <v>3920</v>
      </c>
      <c r="O748" s="169">
        <f t="shared" si="35"/>
        <v>0</v>
      </c>
      <c r="P748" s="165">
        <v>6387</v>
      </c>
      <c r="Q748" s="166">
        <f t="shared" si="36"/>
        <v>0</v>
      </c>
      <c r="R748" s="169"/>
      <c r="S748" s="169"/>
      <c r="T748" s="169"/>
      <c r="U748" s="169"/>
      <c r="V748" s="166">
        <f t="shared" si="37"/>
        <v>0</v>
      </c>
      <c r="W748" s="205"/>
      <c r="X748" s="167"/>
    </row>
    <row r="749" spans="8:24" s="220" customFormat="1" ht="12" hidden="1" customHeight="1">
      <c r="H749" s="162" t="s">
        <v>1293</v>
      </c>
      <c r="I749" s="163" t="s">
        <v>1006</v>
      </c>
      <c r="J749" s="163" t="s">
        <v>2184</v>
      </c>
      <c r="K749" s="162" t="s">
        <v>2092</v>
      </c>
      <c r="L749" s="164" t="s">
        <v>5</v>
      </c>
      <c r="M749" s="169"/>
      <c r="N749" s="165">
        <v>4570</v>
      </c>
      <c r="O749" s="169">
        <f t="shared" si="35"/>
        <v>0</v>
      </c>
      <c r="P749" s="165">
        <v>7548</v>
      </c>
      <c r="Q749" s="166">
        <f t="shared" si="36"/>
        <v>0</v>
      </c>
      <c r="R749" s="169"/>
      <c r="S749" s="169"/>
      <c r="T749" s="169"/>
      <c r="U749" s="169"/>
      <c r="V749" s="166">
        <f t="shared" si="37"/>
        <v>0</v>
      </c>
      <c r="W749" s="205"/>
      <c r="X749" s="167"/>
    </row>
    <row r="750" spans="8:24" s="220" customFormat="1" ht="12" hidden="1" customHeight="1">
      <c r="H750" s="162" t="s">
        <v>1294</v>
      </c>
      <c r="I750" s="163" t="s">
        <v>1007</v>
      </c>
      <c r="J750" s="163" t="s">
        <v>2264</v>
      </c>
      <c r="K750" s="162" t="s">
        <v>2093</v>
      </c>
      <c r="L750" s="164" t="s">
        <v>5</v>
      </c>
      <c r="M750" s="169"/>
      <c r="N750" s="165">
        <v>3460</v>
      </c>
      <c r="O750" s="169">
        <f t="shared" si="35"/>
        <v>0</v>
      </c>
      <c r="P750" s="165">
        <v>7548</v>
      </c>
      <c r="Q750" s="166">
        <f t="shared" si="36"/>
        <v>0</v>
      </c>
      <c r="R750" s="169"/>
      <c r="S750" s="169"/>
      <c r="T750" s="169"/>
      <c r="U750" s="169"/>
      <c r="V750" s="166">
        <f t="shared" si="37"/>
        <v>0</v>
      </c>
      <c r="W750" s="205"/>
      <c r="X750" s="167"/>
    </row>
    <row r="751" spans="8:24" s="220" customFormat="1" ht="12" hidden="1" customHeight="1">
      <c r="H751" s="162" t="s">
        <v>1295</v>
      </c>
      <c r="I751" s="163" t="s">
        <v>1009</v>
      </c>
      <c r="J751" s="163" t="s">
        <v>2265</v>
      </c>
      <c r="K751" s="162" t="s">
        <v>2064</v>
      </c>
      <c r="L751" s="164" t="s">
        <v>5</v>
      </c>
      <c r="M751" s="169"/>
      <c r="N751" s="165">
        <v>5590</v>
      </c>
      <c r="O751" s="169">
        <f t="shared" si="35"/>
        <v>0</v>
      </c>
      <c r="P751" s="165">
        <v>9871</v>
      </c>
      <c r="Q751" s="166">
        <f t="shared" si="36"/>
        <v>0</v>
      </c>
      <c r="R751" s="169"/>
      <c r="S751" s="169"/>
      <c r="T751" s="169"/>
      <c r="U751" s="169"/>
      <c r="V751" s="166">
        <f t="shared" si="37"/>
        <v>0</v>
      </c>
      <c r="W751" s="205"/>
      <c r="X751" s="167"/>
    </row>
    <row r="752" spans="8:24" s="220" customFormat="1" ht="12" hidden="1" customHeight="1">
      <c r="H752" s="162" t="s">
        <v>1296</v>
      </c>
      <c r="I752" s="163" t="s">
        <v>1010</v>
      </c>
      <c r="J752" s="163" t="s">
        <v>2266</v>
      </c>
      <c r="K752" s="162" t="s">
        <v>2094</v>
      </c>
      <c r="L752" s="164" t="s">
        <v>5</v>
      </c>
      <c r="M752" s="169"/>
      <c r="N752" s="165">
        <v>4070</v>
      </c>
      <c r="O752" s="169">
        <f t="shared" si="35"/>
        <v>0</v>
      </c>
      <c r="P752" s="165">
        <v>9290</v>
      </c>
      <c r="Q752" s="166">
        <f t="shared" si="36"/>
        <v>0</v>
      </c>
      <c r="R752" s="169"/>
      <c r="S752" s="169"/>
      <c r="T752" s="169"/>
      <c r="U752" s="169"/>
      <c r="V752" s="166">
        <f t="shared" si="37"/>
        <v>0</v>
      </c>
      <c r="W752" s="205"/>
      <c r="X752" s="167"/>
    </row>
    <row r="753" spans="8:24" s="220" customFormat="1" ht="12" hidden="1" customHeight="1">
      <c r="H753" s="162" t="s">
        <v>1297</v>
      </c>
      <c r="I753" s="163" t="s">
        <v>1011</v>
      </c>
      <c r="J753" s="163" t="s">
        <v>2267</v>
      </c>
      <c r="K753" s="162" t="s">
        <v>2095</v>
      </c>
      <c r="L753" s="164" t="s">
        <v>5</v>
      </c>
      <c r="M753" s="169"/>
      <c r="N753" s="165">
        <v>5580</v>
      </c>
      <c r="O753" s="169">
        <f t="shared" si="35"/>
        <v>0</v>
      </c>
      <c r="P753" s="165">
        <v>9871</v>
      </c>
      <c r="Q753" s="166">
        <f t="shared" si="36"/>
        <v>0</v>
      </c>
      <c r="R753" s="169"/>
      <c r="S753" s="169"/>
      <c r="T753" s="169"/>
      <c r="U753" s="169"/>
      <c r="V753" s="166">
        <f t="shared" si="37"/>
        <v>0</v>
      </c>
      <c r="W753" s="205"/>
      <c r="X753" s="167"/>
    </row>
    <row r="754" spans="8:24" s="220" customFormat="1" ht="12" hidden="1" customHeight="1">
      <c r="H754" s="162" t="s">
        <v>1298</v>
      </c>
      <c r="I754" s="163" t="s">
        <v>1013</v>
      </c>
      <c r="J754" s="163" t="s">
        <v>2268</v>
      </c>
      <c r="K754" s="162" t="s">
        <v>2096</v>
      </c>
      <c r="L754" s="164" t="s">
        <v>5</v>
      </c>
      <c r="M754" s="169"/>
      <c r="N754" s="165">
        <v>4650</v>
      </c>
      <c r="O754" s="169">
        <f t="shared" si="35"/>
        <v>0</v>
      </c>
      <c r="P754" s="165">
        <v>10161</v>
      </c>
      <c r="Q754" s="166">
        <f t="shared" si="36"/>
        <v>0</v>
      </c>
      <c r="R754" s="169"/>
      <c r="S754" s="169"/>
      <c r="T754" s="169"/>
      <c r="U754" s="169"/>
      <c r="V754" s="166">
        <f t="shared" si="37"/>
        <v>0</v>
      </c>
      <c r="W754" s="205"/>
      <c r="X754" s="167"/>
    </row>
    <row r="755" spans="8:24" s="220" customFormat="1" ht="12" hidden="1" customHeight="1">
      <c r="H755" s="162" t="s">
        <v>1299</v>
      </c>
      <c r="I755" s="163" t="s">
        <v>1014</v>
      </c>
      <c r="J755" s="163" t="s">
        <v>2269</v>
      </c>
      <c r="K755" s="162" t="s">
        <v>2068</v>
      </c>
      <c r="L755" s="164" t="s">
        <v>5</v>
      </c>
      <c r="M755" s="169"/>
      <c r="N755" s="165">
        <v>6550</v>
      </c>
      <c r="O755" s="169">
        <f t="shared" si="35"/>
        <v>0</v>
      </c>
      <c r="P755" s="165">
        <v>11032</v>
      </c>
      <c r="Q755" s="166">
        <f t="shared" si="36"/>
        <v>0</v>
      </c>
      <c r="R755" s="169"/>
      <c r="S755" s="169"/>
      <c r="T755" s="169"/>
      <c r="U755" s="169"/>
      <c r="V755" s="166">
        <f t="shared" si="37"/>
        <v>0</v>
      </c>
      <c r="W755" s="205"/>
      <c r="X755" s="167"/>
    </row>
    <row r="756" spans="8:24" s="220" customFormat="1" ht="12" hidden="1" customHeight="1">
      <c r="H756" s="162" t="s">
        <v>1300</v>
      </c>
      <c r="I756" s="163" t="s">
        <v>1015</v>
      </c>
      <c r="J756" s="163" t="s">
        <v>2270</v>
      </c>
      <c r="K756" s="162" t="s">
        <v>2069</v>
      </c>
      <c r="L756" s="164" t="s">
        <v>5</v>
      </c>
      <c r="M756" s="169"/>
      <c r="N756" s="165">
        <v>7850</v>
      </c>
      <c r="O756" s="169">
        <f t="shared" si="35"/>
        <v>0</v>
      </c>
      <c r="P756" s="165">
        <v>12774</v>
      </c>
      <c r="Q756" s="166">
        <f t="shared" si="36"/>
        <v>0</v>
      </c>
      <c r="R756" s="169"/>
      <c r="S756" s="169"/>
      <c r="T756" s="169"/>
      <c r="U756" s="169"/>
      <c r="V756" s="166">
        <f t="shared" si="37"/>
        <v>0</v>
      </c>
      <c r="W756" s="205"/>
      <c r="X756" s="167"/>
    </row>
    <row r="757" spans="8:24" s="220" customFormat="1" ht="12" hidden="1" customHeight="1">
      <c r="H757" s="162" t="s">
        <v>1301</v>
      </c>
      <c r="I757" s="163" t="s">
        <v>1016</v>
      </c>
      <c r="J757" s="163" t="s">
        <v>2271</v>
      </c>
      <c r="K757" s="162" t="s">
        <v>2097</v>
      </c>
      <c r="L757" s="164" t="s">
        <v>5</v>
      </c>
      <c r="M757" s="169"/>
      <c r="N757" s="165">
        <v>5040</v>
      </c>
      <c r="O757" s="169">
        <f t="shared" si="35"/>
        <v>0</v>
      </c>
      <c r="P757" s="165">
        <v>11322</v>
      </c>
      <c r="Q757" s="166">
        <f t="shared" si="36"/>
        <v>0</v>
      </c>
      <c r="R757" s="169"/>
      <c r="S757" s="169"/>
      <c r="T757" s="169"/>
      <c r="U757" s="169"/>
      <c r="V757" s="166">
        <f t="shared" si="37"/>
        <v>0</v>
      </c>
      <c r="W757" s="205"/>
      <c r="X757" s="167"/>
    </row>
    <row r="758" spans="8:24" s="220" customFormat="1" ht="12" hidden="1" customHeight="1">
      <c r="H758" s="162" t="s">
        <v>1302</v>
      </c>
      <c r="I758" s="163" t="s">
        <v>1018</v>
      </c>
      <c r="J758" s="163" t="s">
        <v>2272</v>
      </c>
      <c r="K758" s="162" t="s">
        <v>2072</v>
      </c>
      <c r="L758" s="164" t="s">
        <v>5</v>
      </c>
      <c r="M758" s="169"/>
      <c r="N758" s="165">
        <v>8580</v>
      </c>
      <c r="O758" s="169">
        <f t="shared" ref="O758:O821" si="38">M758*N758*$O$3</f>
        <v>0</v>
      </c>
      <c r="P758" s="165">
        <v>13935</v>
      </c>
      <c r="Q758" s="166">
        <f t="shared" si="36"/>
        <v>0</v>
      </c>
      <c r="R758" s="169"/>
      <c r="S758" s="169"/>
      <c r="T758" s="169"/>
      <c r="U758" s="169"/>
      <c r="V758" s="166">
        <f t="shared" si="37"/>
        <v>0</v>
      </c>
      <c r="W758" s="205"/>
      <c r="X758" s="167"/>
    </row>
    <row r="759" spans="8:24" s="220" customFormat="1" ht="12" hidden="1" customHeight="1">
      <c r="H759" s="162" t="s">
        <v>1303</v>
      </c>
      <c r="I759" s="163" t="s">
        <v>1019</v>
      </c>
      <c r="J759" s="163" t="s">
        <v>2185</v>
      </c>
      <c r="K759" s="162" t="s">
        <v>2098</v>
      </c>
      <c r="L759" s="164" t="s">
        <v>5</v>
      </c>
      <c r="M759" s="169"/>
      <c r="N759" s="165">
        <v>5610</v>
      </c>
      <c r="O759" s="169">
        <f t="shared" si="38"/>
        <v>0</v>
      </c>
      <c r="P759" s="165">
        <v>12193</v>
      </c>
      <c r="Q759" s="166">
        <f t="shared" si="36"/>
        <v>0</v>
      </c>
      <c r="R759" s="169"/>
      <c r="S759" s="169"/>
      <c r="T759" s="169"/>
      <c r="U759" s="169"/>
      <c r="V759" s="166">
        <f t="shared" si="37"/>
        <v>0</v>
      </c>
      <c r="W759" s="205"/>
      <c r="X759" s="167"/>
    </row>
    <row r="760" spans="8:24" s="220" customFormat="1" ht="12" hidden="1" customHeight="1">
      <c r="H760" s="162" t="s">
        <v>1316</v>
      </c>
      <c r="I760" s="163" t="s">
        <v>1020</v>
      </c>
      <c r="J760" s="163" t="s">
        <v>2276</v>
      </c>
      <c r="K760" s="162" t="s">
        <v>2074</v>
      </c>
      <c r="L760" s="164" t="s">
        <v>5</v>
      </c>
      <c r="M760" s="169"/>
      <c r="N760" s="165">
        <v>7920</v>
      </c>
      <c r="O760" s="169">
        <f t="shared" si="38"/>
        <v>0</v>
      </c>
      <c r="P760" s="165">
        <v>13355</v>
      </c>
      <c r="Q760" s="166">
        <f t="shared" si="36"/>
        <v>0</v>
      </c>
      <c r="R760" s="169"/>
      <c r="S760" s="169"/>
      <c r="T760" s="169"/>
      <c r="U760" s="169"/>
      <c r="V760" s="166">
        <f t="shared" si="37"/>
        <v>0</v>
      </c>
      <c r="W760" s="205"/>
      <c r="X760" s="167"/>
    </row>
    <row r="761" spans="8:24" s="220" customFormat="1" ht="12" hidden="1" customHeight="1">
      <c r="H761" s="162" t="s">
        <v>1317</v>
      </c>
      <c r="I761" s="163" t="s">
        <v>1021</v>
      </c>
      <c r="J761" s="163" t="s">
        <v>2277</v>
      </c>
      <c r="K761" s="162" t="s">
        <v>2075</v>
      </c>
      <c r="L761" s="164" t="s">
        <v>5</v>
      </c>
      <c r="M761" s="169"/>
      <c r="N761" s="165">
        <v>9730</v>
      </c>
      <c r="O761" s="169">
        <f t="shared" si="38"/>
        <v>0</v>
      </c>
      <c r="P761" s="165">
        <v>15097</v>
      </c>
      <c r="Q761" s="166">
        <f t="shared" si="36"/>
        <v>0</v>
      </c>
      <c r="R761" s="169"/>
      <c r="S761" s="169"/>
      <c r="T761" s="169"/>
      <c r="U761" s="169"/>
      <c r="V761" s="166">
        <f t="shared" si="37"/>
        <v>0</v>
      </c>
      <c r="W761" s="205"/>
      <c r="X761" s="167"/>
    </row>
    <row r="762" spans="8:24" s="220" customFormat="1" ht="12" hidden="1" customHeight="1">
      <c r="H762" s="162" t="s">
        <v>1318</v>
      </c>
      <c r="I762" s="163" t="s">
        <v>1022</v>
      </c>
      <c r="J762" s="163" t="s">
        <v>2186</v>
      </c>
      <c r="K762" s="162" t="s">
        <v>2181</v>
      </c>
      <c r="L762" s="164" t="s">
        <v>5</v>
      </c>
      <c r="M762" s="169"/>
      <c r="N762" s="165">
        <v>7140</v>
      </c>
      <c r="O762" s="169">
        <f t="shared" si="38"/>
        <v>0</v>
      </c>
      <c r="P762" s="165">
        <v>13935</v>
      </c>
      <c r="Q762" s="166">
        <f t="shared" si="36"/>
        <v>0</v>
      </c>
      <c r="R762" s="169"/>
      <c r="S762" s="169"/>
      <c r="T762" s="169"/>
      <c r="U762" s="169"/>
      <c r="V762" s="166">
        <f t="shared" si="37"/>
        <v>0</v>
      </c>
      <c r="W762" s="205"/>
      <c r="X762" s="167"/>
    </row>
    <row r="763" spans="8:24" s="220" customFormat="1" ht="12" hidden="1" customHeight="1">
      <c r="H763" s="162" t="s">
        <v>1319</v>
      </c>
      <c r="I763" s="163" t="s">
        <v>1023</v>
      </c>
      <c r="J763" s="163" t="s">
        <v>2278</v>
      </c>
      <c r="K763" s="162" t="s">
        <v>2077</v>
      </c>
      <c r="L763" s="164" t="s">
        <v>5</v>
      </c>
      <c r="M763" s="169"/>
      <c r="N763" s="165">
        <v>10300</v>
      </c>
      <c r="O763" s="169">
        <f t="shared" si="38"/>
        <v>0</v>
      </c>
      <c r="P763" s="165">
        <v>15097</v>
      </c>
      <c r="Q763" s="166">
        <f t="shared" si="36"/>
        <v>0</v>
      </c>
      <c r="R763" s="169"/>
      <c r="S763" s="169"/>
      <c r="T763" s="169"/>
      <c r="U763" s="169"/>
      <c r="V763" s="166">
        <f t="shared" si="37"/>
        <v>0</v>
      </c>
      <c r="W763" s="205"/>
      <c r="X763" s="167"/>
    </row>
    <row r="764" spans="8:24" s="220" customFormat="1" ht="12" hidden="1" customHeight="1">
      <c r="H764" s="162" t="s">
        <v>1320</v>
      </c>
      <c r="I764" s="163" t="s">
        <v>1024</v>
      </c>
      <c r="J764" s="163" t="s">
        <v>2279</v>
      </c>
      <c r="K764" s="162" t="s">
        <v>2078</v>
      </c>
      <c r="L764" s="164" t="s">
        <v>5</v>
      </c>
      <c r="M764" s="169"/>
      <c r="N764" s="165">
        <v>12600</v>
      </c>
      <c r="O764" s="169">
        <f t="shared" si="38"/>
        <v>0</v>
      </c>
      <c r="P764" s="165">
        <v>17129</v>
      </c>
      <c r="Q764" s="166">
        <f t="shared" si="36"/>
        <v>0</v>
      </c>
      <c r="R764" s="169"/>
      <c r="S764" s="169"/>
      <c r="T764" s="169"/>
      <c r="U764" s="169"/>
      <c r="V764" s="166">
        <f t="shared" si="37"/>
        <v>0</v>
      </c>
      <c r="W764" s="205"/>
      <c r="X764" s="167"/>
    </row>
    <row r="765" spans="8:24" s="220" customFormat="1" ht="12" hidden="1" customHeight="1">
      <c r="H765" s="162" t="s">
        <v>1321</v>
      </c>
      <c r="I765" s="163" t="s">
        <v>1025</v>
      </c>
      <c r="J765" s="163" t="s">
        <v>2280</v>
      </c>
      <c r="K765" s="162" t="s">
        <v>2182</v>
      </c>
      <c r="L765" s="164" t="s">
        <v>5</v>
      </c>
      <c r="M765" s="169"/>
      <c r="N765" s="165">
        <v>8020</v>
      </c>
      <c r="O765" s="169">
        <f t="shared" si="38"/>
        <v>0</v>
      </c>
      <c r="P765" s="165">
        <v>15677</v>
      </c>
      <c r="Q765" s="166">
        <f t="shared" si="36"/>
        <v>0</v>
      </c>
      <c r="R765" s="169"/>
      <c r="S765" s="169"/>
      <c r="T765" s="169"/>
      <c r="U765" s="169"/>
      <c r="V765" s="166">
        <f t="shared" si="37"/>
        <v>0</v>
      </c>
      <c r="W765" s="205"/>
      <c r="X765" s="167"/>
    </row>
    <row r="766" spans="8:24" s="220" customFormat="1" ht="12" hidden="1" customHeight="1">
      <c r="H766" s="162" t="s">
        <v>1322</v>
      </c>
      <c r="I766" s="163" t="s">
        <v>1001</v>
      </c>
      <c r="J766" s="163" t="s">
        <v>2281</v>
      </c>
      <c r="K766" s="162" t="s">
        <v>2090</v>
      </c>
      <c r="L766" s="164" t="s">
        <v>5</v>
      </c>
      <c r="M766" s="169"/>
      <c r="N766" s="165">
        <v>2480</v>
      </c>
      <c r="O766" s="169">
        <f t="shared" si="38"/>
        <v>0</v>
      </c>
      <c r="P766" s="165">
        <v>4064</v>
      </c>
      <c r="Q766" s="166">
        <f t="shared" si="36"/>
        <v>0</v>
      </c>
      <c r="R766" s="169"/>
      <c r="S766" s="169"/>
      <c r="T766" s="169"/>
      <c r="U766" s="169"/>
      <c r="V766" s="166">
        <f t="shared" si="37"/>
        <v>0</v>
      </c>
      <c r="W766" s="205"/>
      <c r="X766" s="167"/>
    </row>
    <row r="767" spans="8:24" s="220" customFormat="1" ht="12" hidden="1" customHeight="1">
      <c r="H767" s="162" t="s">
        <v>1323</v>
      </c>
      <c r="I767" s="163" t="s">
        <v>1027</v>
      </c>
      <c r="J767" s="163" t="s">
        <v>2282</v>
      </c>
      <c r="K767" s="162" t="s">
        <v>2080</v>
      </c>
      <c r="L767" s="164" t="s">
        <v>5</v>
      </c>
      <c r="M767" s="169"/>
      <c r="N767" s="165">
        <v>14700</v>
      </c>
      <c r="O767" s="169">
        <f t="shared" si="38"/>
        <v>0</v>
      </c>
      <c r="P767" s="165">
        <v>19161</v>
      </c>
      <c r="Q767" s="166">
        <f t="shared" si="36"/>
        <v>0</v>
      </c>
      <c r="R767" s="169"/>
      <c r="S767" s="169"/>
      <c r="T767" s="169"/>
      <c r="U767" s="169"/>
      <c r="V767" s="166">
        <f t="shared" si="37"/>
        <v>0</v>
      </c>
      <c r="W767" s="205"/>
      <c r="X767" s="167"/>
    </row>
    <row r="768" spans="8:24" s="220" customFormat="1" ht="12" hidden="1" customHeight="1">
      <c r="H768" s="162" t="s">
        <v>1324</v>
      </c>
      <c r="I768" s="163" t="s">
        <v>1028</v>
      </c>
      <c r="J768" s="163" t="s">
        <v>2283</v>
      </c>
      <c r="K768" s="162" t="s">
        <v>2100</v>
      </c>
      <c r="L768" s="164" t="s">
        <v>5</v>
      </c>
      <c r="M768" s="169"/>
      <c r="N768" s="165">
        <v>9570</v>
      </c>
      <c r="O768" s="169">
        <f t="shared" si="38"/>
        <v>0</v>
      </c>
      <c r="P768" s="165">
        <v>18000</v>
      </c>
      <c r="Q768" s="166">
        <f t="shared" si="36"/>
        <v>0</v>
      </c>
      <c r="R768" s="169"/>
      <c r="S768" s="169"/>
      <c r="T768" s="169"/>
      <c r="U768" s="169"/>
      <c r="V768" s="166">
        <f t="shared" si="37"/>
        <v>0</v>
      </c>
      <c r="W768" s="205"/>
      <c r="X768" s="167"/>
    </row>
    <row r="769" spans="8:24" s="220" customFormat="1" ht="12" hidden="1" customHeight="1">
      <c r="H769" s="162" t="s">
        <v>1325</v>
      </c>
      <c r="I769" s="163" t="s">
        <v>1029</v>
      </c>
      <c r="J769" s="163" t="s">
        <v>2188</v>
      </c>
      <c r="K769" s="162" t="s">
        <v>2082</v>
      </c>
      <c r="L769" s="164" t="s">
        <v>5</v>
      </c>
      <c r="M769" s="169"/>
      <c r="N769" s="165">
        <v>14100</v>
      </c>
      <c r="O769" s="169">
        <f t="shared" si="38"/>
        <v>0</v>
      </c>
      <c r="P769" s="165">
        <v>19452</v>
      </c>
      <c r="Q769" s="166">
        <f t="shared" si="36"/>
        <v>0</v>
      </c>
      <c r="R769" s="169"/>
      <c r="S769" s="169"/>
      <c r="T769" s="169"/>
      <c r="U769" s="169"/>
      <c r="V769" s="166">
        <f t="shared" si="37"/>
        <v>0</v>
      </c>
      <c r="W769" s="205"/>
      <c r="X769" s="167"/>
    </row>
    <row r="770" spans="8:24" s="220" customFormat="1" ht="12" hidden="1" customHeight="1">
      <c r="H770" s="162" t="s">
        <v>1327</v>
      </c>
      <c r="I770" s="163" t="s">
        <v>1031</v>
      </c>
      <c r="J770" s="163" t="s">
        <v>2284</v>
      </c>
      <c r="K770" s="162" t="s">
        <v>2083</v>
      </c>
      <c r="L770" s="164" t="s">
        <v>5</v>
      </c>
      <c r="M770" s="169"/>
      <c r="N770" s="165">
        <v>18400</v>
      </c>
      <c r="O770" s="169">
        <f t="shared" si="38"/>
        <v>0</v>
      </c>
      <c r="P770" s="165">
        <v>23226</v>
      </c>
      <c r="Q770" s="166">
        <f t="shared" si="36"/>
        <v>0</v>
      </c>
      <c r="R770" s="169"/>
      <c r="S770" s="169"/>
      <c r="T770" s="169"/>
      <c r="U770" s="169"/>
      <c r="V770" s="166">
        <f t="shared" si="37"/>
        <v>0</v>
      </c>
      <c r="W770" s="205"/>
      <c r="X770" s="167"/>
    </row>
    <row r="771" spans="8:24" s="220" customFormat="1" ht="12" hidden="1" customHeight="1">
      <c r="H771" s="162" t="s">
        <v>1343</v>
      </c>
      <c r="I771" s="163" t="s">
        <v>1008</v>
      </c>
      <c r="J771" s="163" t="s">
        <v>2302</v>
      </c>
      <c r="K771" s="162" t="s">
        <v>2063</v>
      </c>
      <c r="L771" s="164" t="s">
        <v>5</v>
      </c>
      <c r="M771" s="169"/>
      <c r="N771" s="165">
        <v>4760</v>
      </c>
      <c r="O771" s="169">
        <f t="shared" si="38"/>
        <v>0</v>
      </c>
      <c r="P771" s="165">
        <v>8419</v>
      </c>
      <c r="Q771" s="166">
        <f t="shared" si="36"/>
        <v>0</v>
      </c>
      <c r="R771" s="169"/>
      <c r="S771" s="169"/>
      <c r="T771" s="169"/>
      <c r="U771" s="169"/>
      <c r="V771" s="166">
        <f t="shared" si="37"/>
        <v>0</v>
      </c>
      <c r="W771" s="205"/>
      <c r="X771" s="167"/>
    </row>
    <row r="772" spans="8:24" s="220" customFormat="1" ht="12" hidden="1" customHeight="1">
      <c r="H772" s="162" t="s">
        <v>1344</v>
      </c>
      <c r="I772" s="163" t="s">
        <v>1012</v>
      </c>
      <c r="J772" s="163" t="s">
        <v>2303</v>
      </c>
      <c r="K772" s="162" t="s">
        <v>2066</v>
      </c>
      <c r="L772" s="164" t="s">
        <v>5</v>
      </c>
      <c r="M772" s="169"/>
      <c r="N772" s="165">
        <v>6730</v>
      </c>
      <c r="O772" s="169">
        <f t="shared" si="38"/>
        <v>0</v>
      </c>
      <c r="P772" s="165">
        <v>11322</v>
      </c>
      <c r="Q772" s="166">
        <f t="shared" si="36"/>
        <v>0</v>
      </c>
      <c r="R772" s="169"/>
      <c r="S772" s="169"/>
      <c r="T772" s="169"/>
      <c r="U772" s="169"/>
      <c r="V772" s="166">
        <f t="shared" si="37"/>
        <v>0</v>
      </c>
      <c r="W772" s="205"/>
      <c r="X772" s="167"/>
    </row>
    <row r="773" spans="8:24" s="220" customFormat="1" ht="12" hidden="1" customHeight="1">
      <c r="H773" s="162" t="s">
        <v>1345</v>
      </c>
      <c r="I773" s="163" t="s">
        <v>1017</v>
      </c>
      <c r="J773" s="163" t="s">
        <v>2304</v>
      </c>
      <c r="K773" s="162" t="s">
        <v>2071</v>
      </c>
      <c r="L773" s="164" t="s">
        <v>5</v>
      </c>
      <c r="M773" s="169"/>
      <c r="N773" s="165">
        <v>7110</v>
      </c>
      <c r="O773" s="169">
        <f t="shared" si="38"/>
        <v>0</v>
      </c>
      <c r="P773" s="165">
        <v>12193</v>
      </c>
      <c r="Q773" s="166">
        <f t="shared" si="36"/>
        <v>0</v>
      </c>
      <c r="R773" s="169"/>
      <c r="S773" s="169"/>
      <c r="T773" s="169"/>
      <c r="U773" s="169"/>
      <c r="V773" s="166">
        <f t="shared" si="37"/>
        <v>0</v>
      </c>
      <c r="W773" s="205"/>
      <c r="X773" s="167"/>
    </row>
    <row r="774" spans="8:24" s="220" customFormat="1" ht="12" hidden="1" customHeight="1">
      <c r="H774" s="162" t="s">
        <v>1346</v>
      </c>
      <c r="I774" s="163" t="s">
        <v>1026</v>
      </c>
      <c r="J774" s="163" t="s">
        <v>2187</v>
      </c>
      <c r="K774" s="162" t="s">
        <v>2099</v>
      </c>
      <c r="L774" s="164" t="s">
        <v>5</v>
      </c>
      <c r="M774" s="169"/>
      <c r="N774" s="165">
        <v>11700</v>
      </c>
      <c r="O774" s="169">
        <f t="shared" si="38"/>
        <v>0</v>
      </c>
      <c r="P774" s="165">
        <v>16839</v>
      </c>
      <c r="Q774" s="166">
        <f t="shared" si="36"/>
        <v>0</v>
      </c>
      <c r="R774" s="169"/>
      <c r="S774" s="169"/>
      <c r="T774" s="169"/>
      <c r="U774" s="169"/>
      <c r="V774" s="166">
        <f t="shared" si="37"/>
        <v>0</v>
      </c>
      <c r="W774" s="205"/>
      <c r="X774" s="167"/>
    </row>
    <row r="775" spans="8:24" s="220" customFormat="1" ht="12" hidden="1" customHeight="1">
      <c r="H775" s="162" t="s">
        <v>1347</v>
      </c>
      <c r="I775" s="163" t="s">
        <v>1030</v>
      </c>
      <c r="J775" s="163" t="s">
        <v>2305</v>
      </c>
      <c r="K775" s="162" t="s">
        <v>2102</v>
      </c>
      <c r="L775" s="164" t="s">
        <v>5</v>
      </c>
      <c r="M775" s="169"/>
      <c r="N775" s="165">
        <v>12000</v>
      </c>
      <c r="O775" s="169">
        <f t="shared" si="38"/>
        <v>0</v>
      </c>
      <c r="P775" s="165">
        <v>21484</v>
      </c>
      <c r="Q775" s="166">
        <f t="shared" si="36"/>
        <v>0</v>
      </c>
      <c r="R775" s="169"/>
      <c r="S775" s="169"/>
      <c r="T775" s="169"/>
      <c r="U775" s="169"/>
      <c r="V775" s="166">
        <f t="shared" si="37"/>
        <v>0</v>
      </c>
      <c r="W775" s="205"/>
      <c r="X775" s="167"/>
    </row>
    <row r="776" spans="8:24" s="220" customFormat="1" ht="12" hidden="1" customHeight="1">
      <c r="H776" s="162" t="s">
        <v>1366</v>
      </c>
      <c r="I776" s="163" t="s">
        <v>1001</v>
      </c>
      <c r="J776" s="163" t="s">
        <v>2281</v>
      </c>
      <c r="K776" s="162" t="s">
        <v>2089</v>
      </c>
      <c r="L776" s="164" t="s">
        <v>5</v>
      </c>
      <c r="M776" s="169"/>
      <c r="N776" s="165">
        <v>2130</v>
      </c>
      <c r="O776" s="169">
        <f t="shared" si="38"/>
        <v>0</v>
      </c>
      <c r="P776" s="165">
        <v>4064</v>
      </c>
      <c r="Q776" s="166">
        <f t="shared" si="36"/>
        <v>0</v>
      </c>
      <c r="R776" s="169"/>
      <c r="S776" s="169"/>
      <c r="T776" s="169"/>
      <c r="U776" s="169"/>
      <c r="V776" s="166">
        <f t="shared" si="37"/>
        <v>0</v>
      </c>
      <c r="W776" s="205"/>
      <c r="X776" s="167"/>
    </row>
    <row r="777" spans="8:24" s="220" customFormat="1" ht="12" hidden="1" customHeight="1">
      <c r="H777" s="162" t="s">
        <v>1367</v>
      </c>
      <c r="I777" s="163" t="s">
        <v>1001</v>
      </c>
      <c r="J777" s="163" t="s">
        <v>2281</v>
      </c>
      <c r="K777" s="162" t="s">
        <v>2090</v>
      </c>
      <c r="L777" s="164" t="s">
        <v>5</v>
      </c>
      <c r="M777" s="169"/>
      <c r="N777" s="165">
        <v>2480</v>
      </c>
      <c r="O777" s="169">
        <f t="shared" si="38"/>
        <v>0</v>
      </c>
      <c r="P777" s="165">
        <v>4064</v>
      </c>
      <c r="Q777" s="166">
        <f t="shared" si="36"/>
        <v>0</v>
      </c>
      <c r="R777" s="169"/>
      <c r="S777" s="169"/>
      <c r="T777" s="169"/>
      <c r="U777" s="169"/>
      <c r="V777" s="166">
        <f t="shared" si="37"/>
        <v>0</v>
      </c>
      <c r="W777" s="205"/>
      <c r="X777" s="167"/>
    </row>
    <row r="778" spans="8:24" s="220" customFormat="1" ht="12" hidden="1" customHeight="1">
      <c r="H778" s="162" t="s">
        <v>1368</v>
      </c>
      <c r="I778" s="163" t="s">
        <v>1002</v>
      </c>
      <c r="J778" s="163" t="s">
        <v>2261</v>
      </c>
      <c r="K778" s="162" t="s">
        <v>2058</v>
      </c>
      <c r="L778" s="164" t="s">
        <v>5</v>
      </c>
      <c r="M778" s="169"/>
      <c r="N778" s="165">
        <v>3110</v>
      </c>
      <c r="O778" s="169">
        <f t="shared" si="38"/>
        <v>0</v>
      </c>
      <c r="P778" s="165">
        <v>4645</v>
      </c>
      <c r="Q778" s="166">
        <f t="shared" si="36"/>
        <v>0</v>
      </c>
      <c r="R778" s="169"/>
      <c r="S778" s="169"/>
      <c r="T778" s="169"/>
      <c r="U778" s="169"/>
      <c r="V778" s="166">
        <f t="shared" si="37"/>
        <v>0</v>
      </c>
      <c r="W778" s="205"/>
      <c r="X778" s="167"/>
    </row>
    <row r="779" spans="8:24" s="220" customFormat="1" ht="12" hidden="1" customHeight="1">
      <c r="H779" s="162" t="s">
        <v>1369</v>
      </c>
      <c r="I779" s="163" t="s">
        <v>1004</v>
      </c>
      <c r="J779" s="163" t="s">
        <v>2262</v>
      </c>
      <c r="K779" s="162" t="s">
        <v>2060</v>
      </c>
      <c r="L779" s="164" t="s">
        <v>5</v>
      </c>
      <c r="M779" s="169"/>
      <c r="N779" s="165">
        <v>2500</v>
      </c>
      <c r="O779" s="169">
        <f t="shared" si="38"/>
        <v>0</v>
      </c>
      <c r="P779" s="165">
        <v>5516</v>
      </c>
      <c r="Q779" s="166">
        <f t="shared" si="36"/>
        <v>0</v>
      </c>
      <c r="R779" s="169"/>
      <c r="S779" s="169"/>
      <c r="T779" s="169"/>
      <c r="U779" s="169"/>
      <c r="V779" s="166">
        <f t="shared" si="37"/>
        <v>0</v>
      </c>
      <c r="W779" s="205"/>
      <c r="X779" s="167"/>
    </row>
    <row r="780" spans="8:24" s="220" customFormat="1" ht="12" hidden="1" customHeight="1">
      <c r="H780" s="162" t="s">
        <v>1370</v>
      </c>
      <c r="I780" s="163" t="s">
        <v>1004</v>
      </c>
      <c r="J780" s="163" t="s">
        <v>2262</v>
      </c>
      <c r="K780" s="162" t="s">
        <v>2091</v>
      </c>
      <c r="L780" s="164" t="s">
        <v>5</v>
      </c>
      <c r="M780" s="169"/>
      <c r="N780" s="165">
        <v>2980</v>
      </c>
      <c r="O780" s="169">
        <f t="shared" si="38"/>
        <v>0</v>
      </c>
      <c r="P780" s="165">
        <v>5516</v>
      </c>
      <c r="Q780" s="166">
        <f t="shared" si="36"/>
        <v>0</v>
      </c>
      <c r="R780" s="169"/>
      <c r="S780" s="169"/>
      <c r="T780" s="169"/>
      <c r="U780" s="169"/>
      <c r="V780" s="166">
        <f t="shared" si="37"/>
        <v>0</v>
      </c>
      <c r="W780" s="205"/>
      <c r="X780" s="167"/>
    </row>
    <row r="781" spans="8:24" s="220" customFormat="1" ht="12" hidden="1" customHeight="1">
      <c r="H781" s="162" t="s">
        <v>1371</v>
      </c>
      <c r="I781" s="163" t="s">
        <v>1005</v>
      </c>
      <c r="J781" s="163" t="s">
        <v>2263</v>
      </c>
      <c r="K781" s="162" t="s">
        <v>2061</v>
      </c>
      <c r="L781" s="164" t="s">
        <v>5</v>
      </c>
      <c r="M781" s="169"/>
      <c r="N781" s="165">
        <v>3920</v>
      </c>
      <c r="O781" s="169">
        <f t="shared" si="38"/>
        <v>0</v>
      </c>
      <c r="P781" s="165">
        <v>6387</v>
      </c>
      <c r="Q781" s="166">
        <f t="shared" si="36"/>
        <v>0</v>
      </c>
      <c r="R781" s="169"/>
      <c r="S781" s="169"/>
      <c r="T781" s="169"/>
      <c r="U781" s="169"/>
      <c r="V781" s="166">
        <f t="shared" si="37"/>
        <v>0</v>
      </c>
      <c r="W781" s="205"/>
      <c r="X781" s="167"/>
    </row>
    <row r="782" spans="8:24" s="220" customFormat="1" ht="12" hidden="1" customHeight="1">
      <c r="H782" s="162" t="s">
        <v>1372</v>
      </c>
      <c r="I782" s="163" t="s">
        <v>1007</v>
      </c>
      <c r="J782" s="163" t="s">
        <v>2264</v>
      </c>
      <c r="K782" s="162" t="s">
        <v>2062</v>
      </c>
      <c r="L782" s="164" t="s">
        <v>5</v>
      </c>
      <c r="M782" s="169"/>
      <c r="N782" s="165">
        <v>2900</v>
      </c>
      <c r="O782" s="169">
        <f t="shared" si="38"/>
        <v>0</v>
      </c>
      <c r="P782" s="165">
        <v>7548</v>
      </c>
      <c r="Q782" s="166">
        <f t="shared" si="36"/>
        <v>0</v>
      </c>
      <c r="R782" s="169"/>
      <c r="S782" s="169"/>
      <c r="T782" s="169"/>
      <c r="U782" s="169"/>
      <c r="V782" s="166">
        <f t="shared" si="37"/>
        <v>0</v>
      </c>
      <c r="W782" s="205"/>
      <c r="X782" s="167"/>
    </row>
    <row r="783" spans="8:24" s="220" customFormat="1" ht="12" hidden="1" customHeight="1">
      <c r="H783" s="162" t="s">
        <v>1373</v>
      </c>
      <c r="I783" s="163" t="s">
        <v>1007</v>
      </c>
      <c r="J783" s="163" t="s">
        <v>2264</v>
      </c>
      <c r="K783" s="162" t="s">
        <v>2093</v>
      </c>
      <c r="L783" s="164" t="s">
        <v>5</v>
      </c>
      <c r="M783" s="169"/>
      <c r="N783" s="165">
        <v>3460</v>
      </c>
      <c r="O783" s="169">
        <f t="shared" si="38"/>
        <v>0</v>
      </c>
      <c r="P783" s="165">
        <v>7548</v>
      </c>
      <c r="Q783" s="166">
        <f t="shared" si="36"/>
        <v>0</v>
      </c>
      <c r="R783" s="169"/>
      <c r="S783" s="169"/>
      <c r="T783" s="169"/>
      <c r="U783" s="169"/>
      <c r="V783" s="166">
        <f t="shared" si="37"/>
        <v>0</v>
      </c>
      <c r="W783" s="205"/>
      <c r="X783" s="167"/>
    </row>
    <row r="784" spans="8:24" s="220" customFormat="1" ht="12" hidden="1" customHeight="1">
      <c r="H784" s="162" t="s">
        <v>1374</v>
      </c>
      <c r="I784" s="163" t="s">
        <v>1008</v>
      </c>
      <c r="J784" s="163" t="s">
        <v>2302</v>
      </c>
      <c r="K784" s="162" t="s">
        <v>2063</v>
      </c>
      <c r="L784" s="164" t="s">
        <v>5</v>
      </c>
      <c r="M784" s="169"/>
      <c r="N784" s="165">
        <v>4760</v>
      </c>
      <c r="O784" s="169">
        <f t="shared" si="38"/>
        <v>0</v>
      </c>
      <c r="P784" s="165">
        <v>8419</v>
      </c>
      <c r="Q784" s="166">
        <f t="shared" ref="Q784:Q847" si="39">IF(W784="",M784*P784*$Q$3*$W$3,M784*P784*$Q$3*W784)</f>
        <v>0</v>
      </c>
      <c r="R784" s="169"/>
      <c r="S784" s="169"/>
      <c r="T784" s="169"/>
      <c r="U784" s="169"/>
      <c r="V784" s="166">
        <f t="shared" ref="V784:V847" si="40">SUM(O784+Q784)+S784+U784</f>
        <v>0</v>
      </c>
      <c r="W784" s="205"/>
      <c r="X784" s="167"/>
    </row>
    <row r="785" spans="8:24" s="220" customFormat="1" ht="12" hidden="1" customHeight="1">
      <c r="H785" s="162" t="s">
        <v>1375</v>
      </c>
      <c r="I785" s="163" t="s">
        <v>1009</v>
      </c>
      <c r="J785" s="163" t="s">
        <v>2265</v>
      </c>
      <c r="K785" s="162" t="s">
        <v>2064</v>
      </c>
      <c r="L785" s="164" t="s">
        <v>5</v>
      </c>
      <c r="M785" s="169"/>
      <c r="N785" s="165">
        <v>5590</v>
      </c>
      <c r="O785" s="169">
        <f t="shared" si="38"/>
        <v>0</v>
      </c>
      <c r="P785" s="165">
        <v>9871</v>
      </c>
      <c r="Q785" s="166">
        <f t="shared" si="39"/>
        <v>0</v>
      </c>
      <c r="R785" s="169"/>
      <c r="S785" s="169"/>
      <c r="T785" s="169"/>
      <c r="U785" s="169"/>
      <c r="V785" s="166">
        <f t="shared" si="40"/>
        <v>0</v>
      </c>
      <c r="W785" s="205"/>
      <c r="X785" s="167"/>
    </row>
    <row r="786" spans="8:24" s="220" customFormat="1" ht="12" hidden="1" customHeight="1">
      <c r="H786" s="162" t="s">
        <v>1376</v>
      </c>
      <c r="I786" s="163" t="s">
        <v>1010</v>
      </c>
      <c r="J786" s="163" t="s">
        <v>2266</v>
      </c>
      <c r="K786" s="162" t="s">
        <v>2065</v>
      </c>
      <c r="L786" s="164" t="s">
        <v>5</v>
      </c>
      <c r="M786" s="169"/>
      <c r="N786" s="165">
        <v>3310</v>
      </c>
      <c r="O786" s="169">
        <f t="shared" si="38"/>
        <v>0</v>
      </c>
      <c r="P786" s="165">
        <v>9290</v>
      </c>
      <c r="Q786" s="166">
        <f t="shared" si="39"/>
        <v>0</v>
      </c>
      <c r="R786" s="169"/>
      <c r="S786" s="169"/>
      <c r="T786" s="169"/>
      <c r="U786" s="169"/>
      <c r="V786" s="166">
        <f t="shared" si="40"/>
        <v>0</v>
      </c>
      <c r="W786" s="205"/>
      <c r="X786" s="167"/>
    </row>
    <row r="787" spans="8:24" s="220" customFormat="1" ht="12" hidden="1" customHeight="1">
      <c r="H787" s="162" t="s">
        <v>1377</v>
      </c>
      <c r="I787" s="163" t="s">
        <v>1010</v>
      </c>
      <c r="J787" s="163" t="s">
        <v>2266</v>
      </c>
      <c r="K787" s="162" t="s">
        <v>2094</v>
      </c>
      <c r="L787" s="164" t="s">
        <v>5</v>
      </c>
      <c r="M787" s="169"/>
      <c r="N787" s="165">
        <v>4070</v>
      </c>
      <c r="O787" s="169">
        <f t="shared" si="38"/>
        <v>0</v>
      </c>
      <c r="P787" s="165">
        <v>9290</v>
      </c>
      <c r="Q787" s="166">
        <f t="shared" si="39"/>
        <v>0</v>
      </c>
      <c r="R787" s="169"/>
      <c r="S787" s="169"/>
      <c r="T787" s="169"/>
      <c r="U787" s="169"/>
      <c r="V787" s="166">
        <f t="shared" si="40"/>
        <v>0</v>
      </c>
      <c r="W787" s="205"/>
      <c r="X787" s="167"/>
    </row>
    <row r="788" spans="8:24" s="220" customFormat="1" ht="12" hidden="1" customHeight="1">
      <c r="H788" s="162" t="s">
        <v>1378</v>
      </c>
      <c r="I788" s="163" t="s">
        <v>1011</v>
      </c>
      <c r="J788" s="163" t="s">
        <v>2267</v>
      </c>
      <c r="K788" s="162" t="s">
        <v>2095</v>
      </c>
      <c r="L788" s="164" t="s">
        <v>5</v>
      </c>
      <c r="M788" s="169"/>
      <c r="N788" s="165">
        <v>5580</v>
      </c>
      <c r="O788" s="169">
        <f t="shared" si="38"/>
        <v>0</v>
      </c>
      <c r="P788" s="165">
        <v>9871</v>
      </c>
      <c r="Q788" s="166">
        <f t="shared" si="39"/>
        <v>0</v>
      </c>
      <c r="R788" s="169"/>
      <c r="S788" s="169"/>
      <c r="T788" s="169"/>
      <c r="U788" s="169"/>
      <c r="V788" s="166">
        <f t="shared" si="40"/>
        <v>0</v>
      </c>
      <c r="W788" s="205"/>
      <c r="X788" s="167"/>
    </row>
    <row r="789" spans="8:24" s="220" customFormat="1" ht="12" hidden="1" customHeight="1">
      <c r="H789" s="162" t="s">
        <v>1379</v>
      </c>
      <c r="I789" s="163" t="s">
        <v>1012</v>
      </c>
      <c r="J789" s="163" t="s">
        <v>2303</v>
      </c>
      <c r="K789" s="162" t="s">
        <v>2066</v>
      </c>
      <c r="L789" s="164" t="s">
        <v>5</v>
      </c>
      <c r="M789" s="169"/>
      <c r="N789" s="165">
        <v>6730</v>
      </c>
      <c r="O789" s="169">
        <f t="shared" si="38"/>
        <v>0</v>
      </c>
      <c r="P789" s="165">
        <v>11322</v>
      </c>
      <c r="Q789" s="166">
        <f t="shared" si="39"/>
        <v>0</v>
      </c>
      <c r="R789" s="169"/>
      <c r="S789" s="169"/>
      <c r="T789" s="169"/>
      <c r="U789" s="169"/>
      <c r="V789" s="166">
        <f t="shared" si="40"/>
        <v>0</v>
      </c>
      <c r="W789" s="205"/>
      <c r="X789" s="167"/>
    </row>
    <row r="790" spans="8:24" s="220" customFormat="1" ht="12" hidden="1" customHeight="1">
      <c r="H790" s="162" t="s">
        <v>1380</v>
      </c>
      <c r="I790" s="163" t="s">
        <v>1013</v>
      </c>
      <c r="J790" s="163" t="s">
        <v>2268</v>
      </c>
      <c r="K790" s="162" t="s">
        <v>2067</v>
      </c>
      <c r="L790" s="164" t="s">
        <v>5</v>
      </c>
      <c r="M790" s="169"/>
      <c r="N790" s="165">
        <v>3770</v>
      </c>
      <c r="O790" s="169">
        <f t="shared" si="38"/>
        <v>0</v>
      </c>
      <c r="P790" s="165">
        <v>10161</v>
      </c>
      <c r="Q790" s="166">
        <f t="shared" si="39"/>
        <v>0</v>
      </c>
      <c r="R790" s="169"/>
      <c r="S790" s="169"/>
      <c r="T790" s="169"/>
      <c r="U790" s="169"/>
      <c r="V790" s="166">
        <f t="shared" si="40"/>
        <v>0</v>
      </c>
      <c r="W790" s="205"/>
      <c r="X790" s="167"/>
    </row>
    <row r="791" spans="8:24" s="220" customFormat="1" ht="12" hidden="1" customHeight="1">
      <c r="H791" s="162" t="s">
        <v>1381</v>
      </c>
      <c r="I791" s="163" t="s">
        <v>1013</v>
      </c>
      <c r="J791" s="163" t="s">
        <v>2268</v>
      </c>
      <c r="K791" s="162" t="s">
        <v>2096</v>
      </c>
      <c r="L791" s="164" t="s">
        <v>5</v>
      </c>
      <c r="M791" s="169"/>
      <c r="N791" s="165">
        <v>4650</v>
      </c>
      <c r="O791" s="169">
        <f t="shared" si="38"/>
        <v>0</v>
      </c>
      <c r="P791" s="165">
        <v>10161</v>
      </c>
      <c r="Q791" s="166">
        <f t="shared" si="39"/>
        <v>0</v>
      </c>
      <c r="R791" s="169"/>
      <c r="S791" s="169"/>
      <c r="T791" s="169"/>
      <c r="U791" s="169"/>
      <c r="V791" s="166">
        <f t="shared" si="40"/>
        <v>0</v>
      </c>
      <c r="W791" s="205"/>
      <c r="X791" s="167"/>
    </row>
    <row r="792" spans="8:24" s="220" customFormat="1" ht="12" hidden="1" customHeight="1">
      <c r="H792" s="162" t="s">
        <v>1382</v>
      </c>
      <c r="I792" s="163" t="s">
        <v>1014</v>
      </c>
      <c r="J792" s="163" t="s">
        <v>2269</v>
      </c>
      <c r="K792" s="162" t="s">
        <v>2068</v>
      </c>
      <c r="L792" s="164" t="s">
        <v>5</v>
      </c>
      <c r="M792" s="169"/>
      <c r="N792" s="165">
        <v>6550</v>
      </c>
      <c r="O792" s="169">
        <f t="shared" si="38"/>
        <v>0</v>
      </c>
      <c r="P792" s="165">
        <v>11032</v>
      </c>
      <c r="Q792" s="166">
        <f t="shared" si="39"/>
        <v>0</v>
      </c>
      <c r="R792" s="169"/>
      <c r="S792" s="169"/>
      <c r="T792" s="169"/>
      <c r="U792" s="169"/>
      <c r="V792" s="166">
        <f t="shared" si="40"/>
        <v>0</v>
      </c>
      <c r="W792" s="205"/>
      <c r="X792" s="167"/>
    </row>
    <row r="793" spans="8:24" s="220" customFormat="1" ht="12" hidden="1" customHeight="1">
      <c r="H793" s="162" t="s">
        <v>1383</v>
      </c>
      <c r="I793" s="163" t="s">
        <v>1015</v>
      </c>
      <c r="J793" s="163" t="s">
        <v>2270</v>
      </c>
      <c r="K793" s="162" t="s">
        <v>2069</v>
      </c>
      <c r="L793" s="164" t="s">
        <v>5</v>
      </c>
      <c r="M793" s="169"/>
      <c r="N793" s="165">
        <v>7850</v>
      </c>
      <c r="O793" s="169">
        <f t="shared" si="38"/>
        <v>0</v>
      </c>
      <c r="P793" s="165">
        <v>12774</v>
      </c>
      <c r="Q793" s="166">
        <f t="shared" si="39"/>
        <v>0</v>
      </c>
      <c r="R793" s="169"/>
      <c r="S793" s="169"/>
      <c r="T793" s="169"/>
      <c r="U793" s="169"/>
      <c r="V793" s="166">
        <f t="shared" si="40"/>
        <v>0</v>
      </c>
      <c r="W793" s="205"/>
      <c r="X793" s="167"/>
    </row>
    <row r="794" spans="8:24" s="220" customFormat="1" ht="12" hidden="1" customHeight="1">
      <c r="H794" s="162" t="s">
        <v>1384</v>
      </c>
      <c r="I794" s="163" t="s">
        <v>1016</v>
      </c>
      <c r="J794" s="163" t="s">
        <v>2271</v>
      </c>
      <c r="K794" s="162" t="s">
        <v>2070</v>
      </c>
      <c r="L794" s="164" t="s">
        <v>5</v>
      </c>
      <c r="M794" s="169"/>
      <c r="N794" s="165">
        <v>4010</v>
      </c>
      <c r="O794" s="169">
        <f t="shared" si="38"/>
        <v>0</v>
      </c>
      <c r="P794" s="165">
        <v>11322</v>
      </c>
      <c r="Q794" s="166">
        <f t="shared" si="39"/>
        <v>0</v>
      </c>
      <c r="R794" s="169"/>
      <c r="S794" s="169"/>
      <c r="T794" s="169"/>
      <c r="U794" s="169"/>
      <c r="V794" s="166">
        <f t="shared" si="40"/>
        <v>0</v>
      </c>
      <c r="W794" s="205"/>
      <c r="X794" s="167"/>
    </row>
    <row r="795" spans="8:24" s="220" customFormat="1" ht="12" hidden="1" customHeight="1">
      <c r="H795" s="162" t="s">
        <v>1385</v>
      </c>
      <c r="I795" s="163" t="s">
        <v>1016</v>
      </c>
      <c r="J795" s="163" t="s">
        <v>2271</v>
      </c>
      <c r="K795" s="162" t="s">
        <v>2097</v>
      </c>
      <c r="L795" s="164" t="s">
        <v>5</v>
      </c>
      <c r="M795" s="169"/>
      <c r="N795" s="165">
        <v>5040</v>
      </c>
      <c r="O795" s="169">
        <f t="shared" si="38"/>
        <v>0</v>
      </c>
      <c r="P795" s="165">
        <v>11322</v>
      </c>
      <c r="Q795" s="166">
        <f t="shared" si="39"/>
        <v>0</v>
      </c>
      <c r="R795" s="169"/>
      <c r="S795" s="169"/>
      <c r="T795" s="169"/>
      <c r="U795" s="169"/>
      <c r="V795" s="166">
        <f t="shared" si="40"/>
        <v>0</v>
      </c>
      <c r="W795" s="205"/>
      <c r="X795" s="167"/>
    </row>
    <row r="796" spans="8:24" s="220" customFormat="1" ht="12" hidden="1" customHeight="1">
      <c r="H796" s="162" t="s">
        <v>1386</v>
      </c>
      <c r="I796" s="163" t="s">
        <v>1017</v>
      </c>
      <c r="J796" s="163" t="s">
        <v>2304</v>
      </c>
      <c r="K796" s="162" t="s">
        <v>2071</v>
      </c>
      <c r="L796" s="164" t="s">
        <v>5</v>
      </c>
      <c r="M796" s="169"/>
      <c r="N796" s="165">
        <v>7110</v>
      </c>
      <c r="O796" s="169">
        <f t="shared" si="38"/>
        <v>0</v>
      </c>
      <c r="P796" s="165">
        <v>12193</v>
      </c>
      <c r="Q796" s="166">
        <f t="shared" si="39"/>
        <v>0</v>
      </c>
      <c r="R796" s="169"/>
      <c r="S796" s="169"/>
      <c r="T796" s="169"/>
      <c r="U796" s="169"/>
      <c r="V796" s="166">
        <f t="shared" si="40"/>
        <v>0</v>
      </c>
      <c r="W796" s="205"/>
      <c r="X796" s="167"/>
    </row>
    <row r="797" spans="8:24" s="220" customFormat="1" ht="12" hidden="1" customHeight="1">
      <c r="H797" s="162" t="s">
        <v>1387</v>
      </c>
      <c r="I797" s="163" t="s">
        <v>1018</v>
      </c>
      <c r="J797" s="163" t="s">
        <v>2272</v>
      </c>
      <c r="K797" s="162" t="s">
        <v>2072</v>
      </c>
      <c r="L797" s="164" t="s">
        <v>5</v>
      </c>
      <c r="M797" s="169"/>
      <c r="N797" s="165">
        <v>8580</v>
      </c>
      <c r="O797" s="169">
        <f t="shared" si="38"/>
        <v>0</v>
      </c>
      <c r="P797" s="165">
        <v>13935</v>
      </c>
      <c r="Q797" s="166">
        <f t="shared" si="39"/>
        <v>0</v>
      </c>
      <c r="R797" s="169"/>
      <c r="S797" s="169"/>
      <c r="T797" s="169"/>
      <c r="U797" s="169"/>
      <c r="V797" s="166">
        <f t="shared" si="40"/>
        <v>0</v>
      </c>
      <c r="W797" s="205"/>
      <c r="X797" s="167"/>
    </row>
    <row r="798" spans="8:24" s="220" customFormat="1" ht="12" hidden="1" customHeight="1">
      <c r="H798" s="162" t="s">
        <v>1388</v>
      </c>
      <c r="I798" s="163" t="s">
        <v>1019</v>
      </c>
      <c r="J798" s="163" t="s">
        <v>2185</v>
      </c>
      <c r="K798" s="162" t="s">
        <v>2098</v>
      </c>
      <c r="L798" s="164" t="s">
        <v>5</v>
      </c>
      <c r="M798" s="169"/>
      <c r="N798" s="165">
        <v>5610</v>
      </c>
      <c r="O798" s="169">
        <f t="shared" si="38"/>
        <v>0</v>
      </c>
      <c r="P798" s="165">
        <v>12193</v>
      </c>
      <c r="Q798" s="166">
        <f t="shared" si="39"/>
        <v>0</v>
      </c>
      <c r="R798" s="169"/>
      <c r="S798" s="169"/>
      <c r="T798" s="169"/>
      <c r="U798" s="169"/>
      <c r="V798" s="166">
        <f t="shared" si="40"/>
        <v>0</v>
      </c>
      <c r="W798" s="205"/>
      <c r="X798" s="167"/>
    </row>
    <row r="799" spans="8:24" s="220" customFormat="1" ht="12" hidden="1" customHeight="1">
      <c r="H799" s="162" t="s">
        <v>1389</v>
      </c>
      <c r="I799" s="163" t="s">
        <v>1020</v>
      </c>
      <c r="J799" s="163" t="s">
        <v>2276</v>
      </c>
      <c r="K799" s="162" t="s">
        <v>2074</v>
      </c>
      <c r="L799" s="164" t="s">
        <v>5</v>
      </c>
      <c r="M799" s="169"/>
      <c r="N799" s="165">
        <v>7920</v>
      </c>
      <c r="O799" s="169">
        <f t="shared" si="38"/>
        <v>0</v>
      </c>
      <c r="P799" s="165">
        <v>13355</v>
      </c>
      <c r="Q799" s="166">
        <f t="shared" si="39"/>
        <v>0</v>
      </c>
      <c r="R799" s="169"/>
      <c r="S799" s="169"/>
      <c r="T799" s="169"/>
      <c r="U799" s="169"/>
      <c r="V799" s="166">
        <f t="shared" si="40"/>
        <v>0</v>
      </c>
      <c r="W799" s="205"/>
      <c r="X799" s="167"/>
    </row>
    <row r="800" spans="8:24" s="220" customFormat="1" ht="12" hidden="1" customHeight="1">
      <c r="H800" s="162" t="s">
        <v>1390</v>
      </c>
      <c r="I800" s="163" t="s">
        <v>1021</v>
      </c>
      <c r="J800" s="163" t="s">
        <v>2277</v>
      </c>
      <c r="K800" s="162" t="s">
        <v>2075</v>
      </c>
      <c r="L800" s="164" t="s">
        <v>5</v>
      </c>
      <c r="M800" s="169"/>
      <c r="N800" s="165">
        <v>9730</v>
      </c>
      <c r="O800" s="169">
        <f t="shared" si="38"/>
        <v>0</v>
      </c>
      <c r="P800" s="165">
        <v>15097</v>
      </c>
      <c r="Q800" s="166">
        <f t="shared" si="39"/>
        <v>0</v>
      </c>
      <c r="R800" s="169"/>
      <c r="S800" s="169"/>
      <c r="T800" s="169"/>
      <c r="U800" s="169"/>
      <c r="V800" s="166">
        <f t="shared" si="40"/>
        <v>0</v>
      </c>
      <c r="W800" s="205"/>
      <c r="X800" s="167"/>
    </row>
    <row r="801" spans="8:24" s="220" customFormat="1" ht="12" hidden="1" customHeight="1">
      <c r="H801" s="162" t="s">
        <v>1391</v>
      </c>
      <c r="I801" s="163" t="s">
        <v>1022</v>
      </c>
      <c r="J801" s="163" t="s">
        <v>2186</v>
      </c>
      <c r="K801" s="162" t="s">
        <v>2076</v>
      </c>
      <c r="L801" s="164" t="s">
        <v>5</v>
      </c>
      <c r="M801" s="169"/>
      <c r="N801" s="165">
        <v>5450</v>
      </c>
      <c r="O801" s="169">
        <f t="shared" si="38"/>
        <v>0</v>
      </c>
      <c r="P801" s="165">
        <v>13935</v>
      </c>
      <c r="Q801" s="166">
        <f t="shared" si="39"/>
        <v>0</v>
      </c>
      <c r="R801" s="169"/>
      <c r="S801" s="169"/>
      <c r="T801" s="169"/>
      <c r="U801" s="169"/>
      <c r="V801" s="166">
        <f t="shared" si="40"/>
        <v>0</v>
      </c>
      <c r="W801" s="205"/>
      <c r="X801" s="167"/>
    </row>
    <row r="802" spans="8:24" s="220" customFormat="1" ht="12" hidden="1" customHeight="1">
      <c r="H802" s="162" t="s">
        <v>1392</v>
      </c>
      <c r="I802" s="163" t="s">
        <v>1023</v>
      </c>
      <c r="J802" s="163" t="s">
        <v>2278</v>
      </c>
      <c r="K802" s="162" t="s">
        <v>2077</v>
      </c>
      <c r="L802" s="164" t="s">
        <v>5</v>
      </c>
      <c r="M802" s="169"/>
      <c r="N802" s="165">
        <v>10300</v>
      </c>
      <c r="O802" s="169">
        <f t="shared" si="38"/>
        <v>0</v>
      </c>
      <c r="P802" s="165">
        <v>15097</v>
      </c>
      <c r="Q802" s="166">
        <f t="shared" si="39"/>
        <v>0</v>
      </c>
      <c r="R802" s="169"/>
      <c r="S802" s="169"/>
      <c r="T802" s="169"/>
      <c r="U802" s="169"/>
      <c r="V802" s="166">
        <f t="shared" si="40"/>
        <v>0</v>
      </c>
      <c r="W802" s="205"/>
      <c r="X802" s="167"/>
    </row>
    <row r="803" spans="8:24" s="220" customFormat="1" ht="12" hidden="1" customHeight="1">
      <c r="H803" s="162" t="s">
        <v>1393</v>
      </c>
      <c r="I803" s="163" t="s">
        <v>1024</v>
      </c>
      <c r="J803" s="163" t="s">
        <v>2279</v>
      </c>
      <c r="K803" s="162" t="s">
        <v>2078</v>
      </c>
      <c r="L803" s="164" t="s">
        <v>5</v>
      </c>
      <c r="M803" s="169"/>
      <c r="N803" s="165">
        <v>12600</v>
      </c>
      <c r="O803" s="169">
        <f t="shared" si="38"/>
        <v>0</v>
      </c>
      <c r="P803" s="165">
        <v>17129</v>
      </c>
      <c r="Q803" s="166">
        <f t="shared" si="39"/>
        <v>0</v>
      </c>
      <c r="R803" s="169"/>
      <c r="S803" s="169"/>
      <c r="T803" s="169"/>
      <c r="U803" s="169"/>
      <c r="V803" s="166">
        <f t="shared" si="40"/>
        <v>0</v>
      </c>
      <c r="W803" s="205"/>
      <c r="X803" s="167"/>
    </row>
    <row r="804" spans="8:24" s="220" customFormat="1" ht="12" hidden="1" customHeight="1">
      <c r="H804" s="162" t="s">
        <v>1394</v>
      </c>
      <c r="I804" s="163" t="s">
        <v>1025</v>
      </c>
      <c r="J804" s="163" t="s">
        <v>2280</v>
      </c>
      <c r="K804" s="162" t="s">
        <v>2079</v>
      </c>
      <c r="L804" s="164" t="s">
        <v>5</v>
      </c>
      <c r="M804" s="169"/>
      <c r="N804" s="165">
        <v>6250</v>
      </c>
      <c r="O804" s="169">
        <f t="shared" si="38"/>
        <v>0</v>
      </c>
      <c r="P804" s="165">
        <v>15677</v>
      </c>
      <c r="Q804" s="166">
        <f t="shared" si="39"/>
        <v>0</v>
      </c>
      <c r="R804" s="169"/>
      <c r="S804" s="169"/>
      <c r="T804" s="169"/>
      <c r="U804" s="169"/>
      <c r="V804" s="166">
        <f t="shared" si="40"/>
        <v>0</v>
      </c>
      <c r="W804" s="205"/>
      <c r="X804" s="167"/>
    </row>
    <row r="805" spans="8:24" s="220" customFormat="1" ht="12" hidden="1" customHeight="1">
      <c r="H805" s="162" t="s">
        <v>1395</v>
      </c>
      <c r="I805" s="163" t="s">
        <v>1025</v>
      </c>
      <c r="J805" s="163" t="s">
        <v>2280</v>
      </c>
      <c r="K805" s="162" t="s">
        <v>2182</v>
      </c>
      <c r="L805" s="164" t="s">
        <v>5</v>
      </c>
      <c r="M805" s="169"/>
      <c r="N805" s="165">
        <v>8020</v>
      </c>
      <c r="O805" s="169">
        <f t="shared" si="38"/>
        <v>0</v>
      </c>
      <c r="P805" s="165">
        <v>15677</v>
      </c>
      <c r="Q805" s="166">
        <f t="shared" si="39"/>
        <v>0</v>
      </c>
      <c r="R805" s="169"/>
      <c r="S805" s="169"/>
      <c r="T805" s="169"/>
      <c r="U805" s="169"/>
      <c r="V805" s="166">
        <f t="shared" si="40"/>
        <v>0</v>
      </c>
      <c r="W805" s="205"/>
      <c r="X805" s="167"/>
    </row>
    <row r="806" spans="8:24" s="220" customFormat="1" ht="12" hidden="1" customHeight="1">
      <c r="H806" s="162" t="s">
        <v>1396</v>
      </c>
      <c r="I806" s="163" t="s">
        <v>1027</v>
      </c>
      <c r="J806" s="163" t="s">
        <v>2282</v>
      </c>
      <c r="K806" s="162" t="s">
        <v>2080</v>
      </c>
      <c r="L806" s="164" t="s">
        <v>5</v>
      </c>
      <c r="M806" s="169"/>
      <c r="N806" s="165">
        <v>14700</v>
      </c>
      <c r="O806" s="169">
        <f t="shared" si="38"/>
        <v>0</v>
      </c>
      <c r="P806" s="165">
        <v>19161</v>
      </c>
      <c r="Q806" s="166">
        <f t="shared" si="39"/>
        <v>0</v>
      </c>
      <c r="R806" s="169"/>
      <c r="S806" s="169"/>
      <c r="T806" s="169"/>
      <c r="U806" s="169"/>
      <c r="V806" s="166">
        <f t="shared" si="40"/>
        <v>0</v>
      </c>
      <c r="W806" s="205"/>
      <c r="X806" s="167"/>
    </row>
    <row r="807" spans="8:24" s="220" customFormat="1" ht="12" hidden="1" customHeight="1">
      <c r="H807" s="162" t="s">
        <v>1397</v>
      </c>
      <c r="I807" s="163" t="s">
        <v>1028</v>
      </c>
      <c r="J807" s="163" t="s">
        <v>2283</v>
      </c>
      <c r="K807" s="162" t="s">
        <v>2081</v>
      </c>
      <c r="L807" s="164" t="s">
        <v>5</v>
      </c>
      <c r="M807" s="169"/>
      <c r="N807" s="165">
        <v>7240</v>
      </c>
      <c r="O807" s="169">
        <f t="shared" si="38"/>
        <v>0</v>
      </c>
      <c r="P807" s="165">
        <v>18000</v>
      </c>
      <c r="Q807" s="166">
        <f t="shared" si="39"/>
        <v>0</v>
      </c>
      <c r="R807" s="169"/>
      <c r="S807" s="169"/>
      <c r="T807" s="169"/>
      <c r="U807" s="169"/>
      <c r="V807" s="166">
        <f t="shared" si="40"/>
        <v>0</v>
      </c>
      <c r="W807" s="205"/>
      <c r="X807" s="167"/>
    </row>
    <row r="808" spans="8:24" s="220" customFormat="1" ht="12" hidden="1" customHeight="1">
      <c r="H808" s="162" t="s">
        <v>1398</v>
      </c>
      <c r="I808" s="163" t="s">
        <v>1028</v>
      </c>
      <c r="J808" s="163" t="s">
        <v>2283</v>
      </c>
      <c r="K808" s="162" t="s">
        <v>2100</v>
      </c>
      <c r="L808" s="164" t="s">
        <v>5</v>
      </c>
      <c r="M808" s="169"/>
      <c r="N808" s="165">
        <v>9570</v>
      </c>
      <c r="O808" s="169">
        <f t="shared" si="38"/>
        <v>0</v>
      </c>
      <c r="P808" s="165">
        <v>18000</v>
      </c>
      <c r="Q808" s="166">
        <f t="shared" si="39"/>
        <v>0</v>
      </c>
      <c r="R808" s="169"/>
      <c r="S808" s="169"/>
      <c r="T808" s="169"/>
      <c r="U808" s="169"/>
      <c r="V808" s="166">
        <f t="shared" si="40"/>
        <v>0</v>
      </c>
      <c r="W808" s="205"/>
      <c r="X808" s="167"/>
    </row>
    <row r="809" spans="8:24" s="220" customFormat="1" ht="12" hidden="1" customHeight="1">
      <c r="H809" s="162" t="s">
        <v>1399</v>
      </c>
      <c r="I809" s="163" t="s">
        <v>1030</v>
      </c>
      <c r="J809" s="163" t="s">
        <v>2305</v>
      </c>
      <c r="K809" s="162" t="s">
        <v>2101</v>
      </c>
      <c r="L809" s="164" t="s">
        <v>5</v>
      </c>
      <c r="M809" s="169"/>
      <c r="N809" s="165">
        <v>9070</v>
      </c>
      <c r="O809" s="169">
        <f t="shared" si="38"/>
        <v>0</v>
      </c>
      <c r="P809" s="165">
        <v>21484</v>
      </c>
      <c r="Q809" s="166">
        <f t="shared" si="39"/>
        <v>0</v>
      </c>
      <c r="R809" s="169"/>
      <c r="S809" s="169"/>
      <c r="T809" s="169"/>
      <c r="U809" s="169"/>
      <c r="V809" s="166">
        <f t="shared" si="40"/>
        <v>0</v>
      </c>
      <c r="W809" s="205"/>
      <c r="X809" s="167"/>
    </row>
    <row r="810" spans="8:24" s="220" customFormat="1" ht="12" hidden="1" customHeight="1">
      <c r="H810" s="162" t="s">
        <v>1400</v>
      </c>
      <c r="I810" s="163" t="s">
        <v>1030</v>
      </c>
      <c r="J810" s="163" t="s">
        <v>2305</v>
      </c>
      <c r="K810" s="162" t="s">
        <v>2102</v>
      </c>
      <c r="L810" s="164" t="s">
        <v>5</v>
      </c>
      <c r="M810" s="169"/>
      <c r="N810" s="165">
        <v>12000</v>
      </c>
      <c r="O810" s="169">
        <f t="shared" si="38"/>
        <v>0</v>
      </c>
      <c r="P810" s="165">
        <v>21484</v>
      </c>
      <c r="Q810" s="166">
        <f t="shared" si="39"/>
        <v>0</v>
      </c>
      <c r="R810" s="169"/>
      <c r="S810" s="169"/>
      <c r="T810" s="169"/>
      <c r="U810" s="169"/>
      <c r="V810" s="166">
        <f t="shared" si="40"/>
        <v>0</v>
      </c>
      <c r="W810" s="205"/>
      <c r="X810" s="167"/>
    </row>
    <row r="811" spans="8:24" s="220" customFormat="1" ht="12" hidden="1" customHeight="1">
      <c r="H811" s="162" t="s">
        <v>1401</v>
      </c>
      <c r="I811" s="163" t="s">
        <v>1031</v>
      </c>
      <c r="J811" s="163" t="s">
        <v>2284</v>
      </c>
      <c r="K811" s="162" t="s">
        <v>2083</v>
      </c>
      <c r="L811" s="164" t="s">
        <v>5</v>
      </c>
      <c r="M811" s="169"/>
      <c r="N811" s="165">
        <v>18400</v>
      </c>
      <c r="O811" s="169">
        <f t="shared" si="38"/>
        <v>0</v>
      </c>
      <c r="P811" s="165">
        <v>23226</v>
      </c>
      <c r="Q811" s="166">
        <f t="shared" si="39"/>
        <v>0</v>
      </c>
      <c r="R811" s="169"/>
      <c r="S811" s="169"/>
      <c r="T811" s="169"/>
      <c r="U811" s="169"/>
      <c r="V811" s="166">
        <f t="shared" si="40"/>
        <v>0</v>
      </c>
      <c r="W811" s="205"/>
      <c r="X811" s="167"/>
    </row>
    <row r="812" spans="8:24" s="220" customFormat="1" ht="12" hidden="1" customHeight="1">
      <c r="H812" s="162" t="s">
        <v>1402</v>
      </c>
      <c r="I812" s="163" t="s">
        <v>1032</v>
      </c>
      <c r="J812" s="163" t="s">
        <v>2465</v>
      </c>
      <c r="K812" s="162" t="s">
        <v>2084</v>
      </c>
      <c r="L812" s="164" t="s">
        <v>5</v>
      </c>
      <c r="M812" s="169"/>
      <c r="N812" s="165">
        <v>11100</v>
      </c>
      <c r="O812" s="169">
        <f t="shared" si="38"/>
        <v>0</v>
      </c>
      <c r="P812" s="165">
        <v>28452</v>
      </c>
      <c r="Q812" s="166">
        <f t="shared" si="39"/>
        <v>0</v>
      </c>
      <c r="R812" s="169"/>
      <c r="S812" s="169"/>
      <c r="T812" s="169"/>
      <c r="U812" s="169"/>
      <c r="V812" s="166">
        <f t="shared" si="40"/>
        <v>0</v>
      </c>
      <c r="W812" s="205"/>
      <c r="X812" s="167"/>
    </row>
    <row r="813" spans="8:24" s="220" customFormat="1" ht="12" hidden="1" customHeight="1">
      <c r="H813" s="162" t="s">
        <v>1403</v>
      </c>
      <c r="I813" s="163" t="s">
        <v>1032</v>
      </c>
      <c r="J813" s="163" t="s">
        <v>2465</v>
      </c>
      <c r="K813" s="162" t="s">
        <v>2461</v>
      </c>
      <c r="L813" s="164" t="s">
        <v>5</v>
      </c>
      <c r="M813" s="169"/>
      <c r="N813" s="165">
        <v>14700</v>
      </c>
      <c r="O813" s="169">
        <f t="shared" si="38"/>
        <v>0</v>
      </c>
      <c r="P813" s="165">
        <v>28452</v>
      </c>
      <c r="Q813" s="166">
        <f t="shared" si="39"/>
        <v>0</v>
      </c>
      <c r="R813" s="169"/>
      <c r="S813" s="169"/>
      <c r="T813" s="169"/>
      <c r="U813" s="169"/>
      <c r="V813" s="166">
        <f t="shared" si="40"/>
        <v>0</v>
      </c>
      <c r="W813" s="205"/>
      <c r="X813" s="167"/>
    </row>
    <row r="814" spans="8:24" s="220" customFormat="1" ht="12" hidden="1" customHeight="1">
      <c r="H814" s="162" t="s">
        <v>1404</v>
      </c>
      <c r="I814" s="163" t="s">
        <v>1032</v>
      </c>
      <c r="J814" s="163" t="s">
        <v>2465</v>
      </c>
      <c r="K814" s="162" t="s">
        <v>2085</v>
      </c>
      <c r="L814" s="164" t="s">
        <v>5</v>
      </c>
      <c r="M814" s="169"/>
      <c r="N814" s="165">
        <v>23100</v>
      </c>
      <c r="O814" s="169">
        <f t="shared" si="38"/>
        <v>0</v>
      </c>
      <c r="P814" s="165">
        <v>28452</v>
      </c>
      <c r="Q814" s="166">
        <f t="shared" si="39"/>
        <v>0</v>
      </c>
      <c r="R814" s="169"/>
      <c r="S814" s="169"/>
      <c r="T814" s="169"/>
      <c r="U814" s="169"/>
      <c r="V814" s="166">
        <f t="shared" si="40"/>
        <v>0</v>
      </c>
      <c r="W814" s="205"/>
      <c r="X814" s="167"/>
    </row>
    <row r="815" spans="8:24" s="220" customFormat="1" ht="12" hidden="1" customHeight="1">
      <c r="H815" s="162" t="s">
        <v>1405</v>
      </c>
      <c r="I815" s="163" t="s">
        <v>1032</v>
      </c>
      <c r="J815" s="163" t="s">
        <v>2465</v>
      </c>
      <c r="K815" s="162" t="s">
        <v>2086</v>
      </c>
      <c r="L815" s="164" t="s">
        <v>5</v>
      </c>
      <c r="M815" s="169"/>
      <c r="N815" s="165">
        <v>12800</v>
      </c>
      <c r="O815" s="169">
        <f t="shared" si="38"/>
        <v>0</v>
      </c>
      <c r="P815" s="165">
        <v>28452</v>
      </c>
      <c r="Q815" s="166">
        <f t="shared" si="39"/>
        <v>0</v>
      </c>
      <c r="R815" s="169"/>
      <c r="S815" s="169"/>
      <c r="T815" s="169"/>
      <c r="U815" s="169"/>
      <c r="V815" s="166">
        <f t="shared" si="40"/>
        <v>0</v>
      </c>
      <c r="W815" s="205"/>
      <c r="X815" s="167"/>
    </row>
    <row r="816" spans="8:24" s="220" customFormat="1" ht="12" hidden="1" customHeight="1">
      <c r="H816" s="162" t="s">
        <v>1406</v>
      </c>
      <c r="I816" s="163" t="s">
        <v>1032</v>
      </c>
      <c r="J816" s="163" t="s">
        <v>2465</v>
      </c>
      <c r="K816" s="162" t="s">
        <v>2462</v>
      </c>
      <c r="L816" s="164" t="s">
        <v>5</v>
      </c>
      <c r="M816" s="169"/>
      <c r="N816" s="165">
        <v>17700</v>
      </c>
      <c r="O816" s="169">
        <f t="shared" si="38"/>
        <v>0</v>
      </c>
      <c r="P816" s="165">
        <v>28452</v>
      </c>
      <c r="Q816" s="166">
        <f t="shared" si="39"/>
        <v>0</v>
      </c>
      <c r="R816" s="169"/>
      <c r="S816" s="169"/>
      <c r="T816" s="169"/>
      <c r="U816" s="169"/>
      <c r="V816" s="166">
        <f t="shared" si="40"/>
        <v>0</v>
      </c>
      <c r="W816" s="205"/>
      <c r="X816" s="167"/>
    </row>
    <row r="817" spans="8:24" s="220" customFormat="1" ht="12" hidden="1" customHeight="1">
      <c r="H817" s="162" t="s">
        <v>1407</v>
      </c>
      <c r="I817" s="163" t="s">
        <v>1033</v>
      </c>
      <c r="J817" s="163" t="s">
        <v>2466</v>
      </c>
      <c r="K817" s="162" t="s">
        <v>2087</v>
      </c>
      <c r="L817" s="164" t="s">
        <v>5</v>
      </c>
      <c r="M817" s="169"/>
      <c r="N817" s="165">
        <v>18000</v>
      </c>
      <c r="O817" s="169">
        <f t="shared" si="38"/>
        <v>0</v>
      </c>
      <c r="P817" s="165">
        <v>32517</v>
      </c>
      <c r="Q817" s="166">
        <f t="shared" si="39"/>
        <v>0</v>
      </c>
      <c r="R817" s="169"/>
      <c r="S817" s="169"/>
      <c r="T817" s="169"/>
      <c r="U817" s="169"/>
      <c r="V817" s="166">
        <f t="shared" si="40"/>
        <v>0</v>
      </c>
      <c r="W817" s="205"/>
      <c r="X817" s="167"/>
    </row>
    <row r="818" spans="8:24" s="220" customFormat="1" ht="12" hidden="1" customHeight="1">
      <c r="H818" s="162" t="s">
        <v>1408</v>
      </c>
      <c r="I818" s="163" t="s">
        <v>1033</v>
      </c>
      <c r="J818" s="163" t="s">
        <v>2466</v>
      </c>
      <c r="K818" s="162" t="s">
        <v>2463</v>
      </c>
      <c r="L818" s="164" t="s">
        <v>5</v>
      </c>
      <c r="M818" s="169"/>
      <c r="N818" s="165">
        <v>24600</v>
      </c>
      <c r="O818" s="169">
        <f t="shared" si="38"/>
        <v>0</v>
      </c>
      <c r="P818" s="165">
        <v>32517</v>
      </c>
      <c r="Q818" s="166">
        <f t="shared" si="39"/>
        <v>0</v>
      </c>
      <c r="R818" s="169"/>
      <c r="S818" s="169"/>
      <c r="T818" s="169"/>
      <c r="U818" s="169"/>
      <c r="V818" s="166">
        <f t="shared" si="40"/>
        <v>0</v>
      </c>
      <c r="W818" s="205"/>
      <c r="X818" s="167"/>
    </row>
    <row r="819" spans="8:24" s="220" customFormat="1" ht="12" hidden="1" customHeight="1">
      <c r="H819" s="162" t="s">
        <v>1409</v>
      </c>
      <c r="I819" s="163" t="s">
        <v>1033</v>
      </c>
      <c r="J819" s="163" t="s">
        <v>2466</v>
      </c>
      <c r="K819" s="162" t="s">
        <v>2088</v>
      </c>
      <c r="L819" s="164" t="s">
        <v>5</v>
      </c>
      <c r="M819" s="169"/>
      <c r="N819" s="165">
        <v>21400</v>
      </c>
      <c r="O819" s="169">
        <f t="shared" si="38"/>
        <v>0</v>
      </c>
      <c r="P819" s="165">
        <v>32517</v>
      </c>
      <c r="Q819" s="166">
        <f t="shared" si="39"/>
        <v>0</v>
      </c>
      <c r="R819" s="169"/>
      <c r="S819" s="169"/>
      <c r="T819" s="169"/>
      <c r="U819" s="169"/>
      <c r="V819" s="166">
        <f t="shared" si="40"/>
        <v>0</v>
      </c>
      <c r="W819" s="205"/>
      <c r="X819" s="167"/>
    </row>
    <row r="820" spans="8:24" s="220" customFormat="1" ht="12" hidden="1" customHeight="1">
      <c r="H820" s="162" t="s">
        <v>1410</v>
      </c>
      <c r="I820" s="163" t="s">
        <v>1033</v>
      </c>
      <c r="J820" s="163" t="s">
        <v>2466</v>
      </c>
      <c r="K820" s="162" t="s">
        <v>2464</v>
      </c>
      <c r="L820" s="164" t="s">
        <v>5</v>
      </c>
      <c r="M820" s="169"/>
      <c r="N820" s="165">
        <v>29300</v>
      </c>
      <c r="O820" s="169">
        <f t="shared" si="38"/>
        <v>0</v>
      </c>
      <c r="P820" s="165">
        <v>32517</v>
      </c>
      <c r="Q820" s="166">
        <f t="shared" si="39"/>
        <v>0</v>
      </c>
      <c r="R820" s="169"/>
      <c r="S820" s="169"/>
      <c r="T820" s="169"/>
      <c r="U820" s="169"/>
      <c r="V820" s="166">
        <f t="shared" si="40"/>
        <v>0</v>
      </c>
      <c r="W820" s="205"/>
      <c r="X820" s="167"/>
    </row>
    <row r="821" spans="8:24" s="220" customFormat="1" ht="12" hidden="1" customHeight="1">
      <c r="H821" s="162" t="s">
        <v>582</v>
      </c>
      <c r="I821" s="163" t="s">
        <v>1076</v>
      </c>
      <c r="J821" s="163" t="s">
        <v>2214</v>
      </c>
      <c r="K821" s="162" t="s">
        <v>2215</v>
      </c>
      <c r="L821" s="164" t="s">
        <v>92</v>
      </c>
      <c r="M821" s="169"/>
      <c r="N821" s="165">
        <v>97100</v>
      </c>
      <c r="O821" s="169">
        <f t="shared" si="38"/>
        <v>0</v>
      </c>
      <c r="P821" s="165">
        <v>82610</v>
      </c>
      <c r="Q821" s="166">
        <f t="shared" si="39"/>
        <v>0</v>
      </c>
      <c r="R821" s="169"/>
      <c r="S821" s="169"/>
      <c r="T821" s="169"/>
      <c r="U821" s="169"/>
      <c r="V821" s="166">
        <f t="shared" si="40"/>
        <v>0</v>
      </c>
      <c r="W821" s="205"/>
      <c r="X821" s="167"/>
    </row>
    <row r="822" spans="8:24" s="220" customFormat="1" ht="12" hidden="1" customHeight="1">
      <c r="H822" s="162" t="s">
        <v>583</v>
      </c>
      <c r="I822" s="163" t="s">
        <v>1076</v>
      </c>
      <c r="J822" s="163" t="s">
        <v>2214</v>
      </c>
      <c r="K822" s="162" t="s">
        <v>2388</v>
      </c>
      <c r="L822" s="164" t="s">
        <v>92</v>
      </c>
      <c r="M822" s="169"/>
      <c r="N822" s="165">
        <v>97100</v>
      </c>
      <c r="O822" s="169">
        <f t="shared" ref="O822:O885" si="41">M822*N822*$O$3</f>
        <v>0</v>
      </c>
      <c r="P822" s="165">
        <v>82610</v>
      </c>
      <c r="Q822" s="166">
        <f t="shared" si="39"/>
        <v>0</v>
      </c>
      <c r="R822" s="169"/>
      <c r="S822" s="169"/>
      <c r="T822" s="169"/>
      <c r="U822" s="169"/>
      <c r="V822" s="166">
        <f t="shared" si="40"/>
        <v>0</v>
      </c>
      <c r="W822" s="205"/>
      <c r="X822" s="167"/>
    </row>
    <row r="823" spans="8:24" s="220" customFormat="1" ht="12" hidden="1" customHeight="1">
      <c r="H823" s="162" t="s">
        <v>584</v>
      </c>
      <c r="I823" s="163" t="s">
        <v>1077</v>
      </c>
      <c r="J823" s="163" t="s">
        <v>2389</v>
      </c>
      <c r="K823" s="162" t="s">
        <v>2390</v>
      </c>
      <c r="L823" s="164" t="s">
        <v>92</v>
      </c>
      <c r="M823" s="169"/>
      <c r="N823" s="165">
        <v>45000</v>
      </c>
      <c r="O823" s="169">
        <f t="shared" si="41"/>
        <v>0</v>
      </c>
      <c r="P823" s="165">
        <v>41845</v>
      </c>
      <c r="Q823" s="166">
        <f t="shared" si="39"/>
        <v>0</v>
      </c>
      <c r="R823" s="169"/>
      <c r="S823" s="169"/>
      <c r="T823" s="169"/>
      <c r="U823" s="169"/>
      <c r="V823" s="166">
        <f t="shared" si="40"/>
        <v>0</v>
      </c>
      <c r="W823" s="205"/>
      <c r="X823" s="167"/>
    </row>
    <row r="824" spans="8:24" s="220" customFormat="1" ht="12" hidden="1" customHeight="1">
      <c r="H824" s="162" t="s">
        <v>585</v>
      </c>
      <c r="I824" s="163" t="s">
        <v>1078</v>
      </c>
      <c r="J824" s="163" t="s">
        <v>2391</v>
      </c>
      <c r="K824" s="162" t="s">
        <v>2392</v>
      </c>
      <c r="L824" s="164" t="s">
        <v>92</v>
      </c>
      <c r="M824" s="169"/>
      <c r="N824" s="165">
        <v>115000</v>
      </c>
      <c r="O824" s="169">
        <f t="shared" si="41"/>
        <v>0</v>
      </c>
      <c r="P824" s="165">
        <v>56153</v>
      </c>
      <c r="Q824" s="166">
        <f t="shared" si="39"/>
        <v>0</v>
      </c>
      <c r="R824" s="169"/>
      <c r="S824" s="169"/>
      <c r="T824" s="169"/>
      <c r="U824" s="169"/>
      <c r="V824" s="166">
        <f t="shared" si="40"/>
        <v>0</v>
      </c>
      <c r="W824" s="205"/>
      <c r="X824" s="167"/>
    </row>
    <row r="825" spans="8:24" s="220" customFormat="1" ht="12" hidden="1" customHeight="1">
      <c r="H825" s="162" t="s">
        <v>586</v>
      </c>
      <c r="I825" s="163" t="s">
        <v>1072</v>
      </c>
      <c r="J825" s="163" t="s">
        <v>2393</v>
      </c>
      <c r="K825" s="162" t="s">
        <v>2394</v>
      </c>
      <c r="L825" s="164" t="s">
        <v>755</v>
      </c>
      <c r="M825" s="169"/>
      <c r="N825" s="165">
        <v>70000</v>
      </c>
      <c r="O825" s="169">
        <f t="shared" si="41"/>
        <v>0</v>
      </c>
      <c r="P825" s="165">
        <v>60202</v>
      </c>
      <c r="Q825" s="166">
        <f t="shared" si="39"/>
        <v>0</v>
      </c>
      <c r="R825" s="169"/>
      <c r="S825" s="169"/>
      <c r="T825" s="169"/>
      <c r="U825" s="169"/>
      <c r="V825" s="166">
        <f t="shared" si="40"/>
        <v>0</v>
      </c>
      <c r="W825" s="205"/>
      <c r="X825" s="167"/>
    </row>
    <row r="826" spans="8:24" s="220" customFormat="1" ht="12" hidden="1" customHeight="1">
      <c r="H826" s="162" t="s">
        <v>587</v>
      </c>
      <c r="I826" s="163" t="s">
        <v>1079</v>
      </c>
      <c r="J826" s="163" t="s">
        <v>2395</v>
      </c>
      <c r="K826" s="162" t="s">
        <v>2396</v>
      </c>
      <c r="L826" s="164" t="s">
        <v>92</v>
      </c>
      <c r="M826" s="169"/>
      <c r="N826" s="165">
        <v>32000</v>
      </c>
      <c r="O826" s="169">
        <f t="shared" si="41"/>
        <v>0</v>
      </c>
      <c r="P826" s="165">
        <v>31586</v>
      </c>
      <c r="Q826" s="166">
        <f t="shared" si="39"/>
        <v>0</v>
      </c>
      <c r="R826" s="169"/>
      <c r="S826" s="169"/>
      <c r="T826" s="169"/>
      <c r="U826" s="169"/>
      <c r="V826" s="166">
        <f t="shared" si="40"/>
        <v>0</v>
      </c>
      <c r="W826" s="205"/>
      <c r="X826" s="167"/>
    </row>
    <row r="827" spans="8:24" s="220" customFormat="1" ht="12" hidden="1" customHeight="1">
      <c r="H827" s="162" t="s">
        <v>588</v>
      </c>
      <c r="I827" s="163" t="s">
        <v>1072</v>
      </c>
      <c r="J827" s="163" t="s">
        <v>2397</v>
      </c>
      <c r="K827" s="162" t="s">
        <v>2398</v>
      </c>
      <c r="L827" s="164" t="s">
        <v>755</v>
      </c>
      <c r="M827" s="169"/>
      <c r="N827" s="165">
        <v>110000</v>
      </c>
      <c r="O827" s="169">
        <f t="shared" si="41"/>
        <v>0</v>
      </c>
      <c r="P827" s="165">
        <v>60202</v>
      </c>
      <c r="Q827" s="166">
        <f t="shared" si="39"/>
        <v>0</v>
      </c>
      <c r="R827" s="169"/>
      <c r="S827" s="169"/>
      <c r="T827" s="169"/>
      <c r="U827" s="169"/>
      <c r="V827" s="166">
        <f t="shared" si="40"/>
        <v>0</v>
      </c>
      <c r="W827" s="205"/>
      <c r="X827" s="167"/>
    </row>
    <row r="828" spans="8:24" s="220" customFormat="1" ht="12" hidden="1" customHeight="1">
      <c r="H828" s="162" t="s">
        <v>589</v>
      </c>
      <c r="I828" s="163" t="s">
        <v>1072</v>
      </c>
      <c r="J828" s="163" t="s">
        <v>2397</v>
      </c>
      <c r="K828" s="162" t="s">
        <v>2399</v>
      </c>
      <c r="L828" s="164" t="s">
        <v>755</v>
      </c>
      <c r="M828" s="169"/>
      <c r="N828" s="165">
        <v>170000</v>
      </c>
      <c r="O828" s="169">
        <f t="shared" si="41"/>
        <v>0</v>
      </c>
      <c r="P828" s="165">
        <v>60202</v>
      </c>
      <c r="Q828" s="166">
        <f t="shared" si="39"/>
        <v>0</v>
      </c>
      <c r="R828" s="169"/>
      <c r="S828" s="169"/>
      <c r="T828" s="169"/>
      <c r="U828" s="169"/>
      <c r="V828" s="166">
        <f t="shared" si="40"/>
        <v>0</v>
      </c>
      <c r="W828" s="205"/>
      <c r="X828" s="167"/>
    </row>
    <row r="829" spans="8:24" s="220" customFormat="1" ht="12" hidden="1" customHeight="1">
      <c r="H829" s="162" t="s">
        <v>590</v>
      </c>
      <c r="I829" s="163" t="s">
        <v>1079</v>
      </c>
      <c r="J829" s="163" t="s">
        <v>2400</v>
      </c>
      <c r="K829" s="162" t="s">
        <v>2401</v>
      </c>
      <c r="L829" s="164" t="s">
        <v>92</v>
      </c>
      <c r="M829" s="169"/>
      <c r="N829" s="165">
        <v>40300</v>
      </c>
      <c r="O829" s="169">
        <f t="shared" si="41"/>
        <v>0</v>
      </c>
      <c r="P829" s="165">
        <v>31586</v>
      </c>
      <c r="Q829" s="166">
        <f t="shared" si="39"/>
        <v>0</v>
      </c>
      <c r="R829" s="169"/>
      <c r="S829" s="169"/>
      <c r="T829" s="169"/>
      <c r="U829" s="169"/>
      <c r="V829" s="166">
        <f t="shared" si="40"/>
        <v>0</v>
      </c>
      <c r="W829" s="205"/>
      <c r="X829" s="167"/>
    </row>
    <row r="830" spans="8:24" s="220" customFormat="1" ht="12" hidden="1" customHeight="1">
      <c r="H830" s="162" t="s">
        <v>591</v>
      </c>
      <c r="I830" s="163" t="s">
        <v>1075</v>
      </c>
      <c r="J830" s="163" t="s">
        <v>2402</v>
      </c>
      <c r="K830" s="162" t="s">
        <v>2403</v>
      </c>
      <c r="L830" s="164" t="s">
        <v>92</v>
      </c>
      <c r="M830" s="169"/>
      <c r="N830" s="165">
        <v>35400</v>
      </c>
      <c r="O830" s="169">
        <f t="shared" si="41"/>
        <v>0</v>
      </c>
      <c r="P830" s="165">
        <v>65332</v>
      </c>
      <c r="Q830" s="166">
        <f t="shared" si="39"/>
        <v>0</v>
      </c>
      <c r="R830" s="169"/>
      <c r="S830" s="169"/>
      <c r="T830" s="169"/>
      <c r="U830" s="169"/>
      <c r="V830" s="166">
        <f t="shared" si="40"/>
        <v>0</v>
      </c>
      <c r="W830" s="205"/>
      <c r="X830" s="167"/>
    </row>
    <row r="831" spans="8:24" s="220" customFormat="1" ht="12" hidden="1" customHeight="1">
      <c r="H831" s="162" t="s">
        <v>592</v>
      </c>
      <c r="I831" s="163" t="s">
        <v>1077</v>
      </c>
      <c r="J831" s="163" t="s">
        <v>2216</v>
      </c>
      <c r="K831" s="162" t="s">
        <v>2404</v>
      </c>
      <c r="L831" s="164" t="s">
        <v>92</v>
      </c>
      <c r="M831" s="169"/>
      <c r="N831" s="165">
        <v>4000</v>
      </c>
      <c r="O831" s="169">
        <f t="shared" si="41"/>
        <v>0</v>
      </c>
      <c r="P831" s="165">
        <v>41845</v>
      </c>
      <c r="Q831" s="166">
        <f t="shared" si="39"/>
        <v>0</v>
      </c>
      <c r="R831" s="169"/>
      <c r="S831" s="169"/>
      <c r="T831" s="169"/>
      <c r="U831" s="169"/>
      <c r="V831" s="166">
        <f t="shared" si="40"/>
        <v>0</v>
      </c>
      <c r="W831" s="205"/>
      <c r="X831" s="167"/>
    </row>
    <row r="832" spans="8:24" s="220" customFormat="1" ht="12" hidden="1" customHeight="1">
      <c r="H832" s="162" t="s">
        <v>593</v>
      </c>
      <c r="I832" s="163" t="s">
        <v>1077</v>
      </c>
      <c r="J832" s="163" t="s">
        <v>2216</v>
      </c>
      <c r="K832" s="162" t="s">
        <v>2405</v>
      </c>
      <c r="L832" s="164" t="s">
        <v>92</v>
      </c>
      <c r="M832" s="169"/>
      <c r="N832" s="165">
        <v>4000</v>
      </c>
      <c r="O832" s="169">
        <f t="shared" si="41"/>
        <v>0</v>
      </c>
      <c r="P832" s="165">
        <v>41845</v>
      </c>
      <c r="Q832" s="166">
        <f t="shared" si="39"/>
        <v>0</v>
      </c>
      <c r="R832" s="169"/>
      <c r="S832" s="169"/>
      <c r="T832" s="169"/>
      <c r="U832" s="169"/>
      <c r="V832" s="166">
        <f t="shared" si="40"/>
        <v>0</v>
      </c>
      <c r="W832" s="205"/>
      <c r="X832" s="167"/>
    </row>
    <row r="833" spans="8:24" s="220" customFormat="1" ht="12" hidden="1" customHeight="1">
      <c r="H833" s="162" t="s">
        <v>594</v>
      </c>
      <c r="I833" s="163" t="s">
        <v>1077</v>
      </c>
      <c r="J833" s="163" t="s">
        <v>2216</v>
      </c>
      <c r="K833" s="162" t="s">
        <v>2406</v>
      </c>
      <c r="L833" s="164" t="s">
        <v>92</v>
      </c>
      <c r="M833" s="169"/>
      <c r="N833" s="165">
        <v>4800</v>
      </c>
      <c r="O833" s="169">
        <f t="shared" si="41"/>
        <v>0</v>
      </c>
      <c r="P833" s="165">
        <v>41845</v>
      </c>
      <c r="Q833" s="166">
        <f t="shared" si="39"/>
        <v>0</v>
      </c>
      <c r="R833" s="169"/>
      <c r="S833" s="169"/>
      <c r="T833" s="169"/>
      <c r="U833" s="169"/>
      <c r="V833" s="166">
        <f t="shared" si="40"/>
        <v>0</v>
      </c>
      <c r="W833" s="205"/>
      <c r="X833" s="167"/>
    </row>
    <row r="834" spans="8:24" s="220" customFormat="1" ht="12" hidden="1" customHeight="1">
      <c r="H834" s="162" t="s">
        <v>595</v>
      </c>
      <c r="I834" s="163" t="s">
        <v>1077</v>
      </c>
      <c r="J834" s="163" t="s">
        <v>2216</v>
      </c>
      <c r="K834" s="162" t="s">
        <v>2407</v>
      </c>
      <c r="L834" s="164" t="s">
        <v>92</v>
      </c>
      <c r="M834" s="169"/>
      <c r="N834" s="165">
        <v>5700</v>
      </c>
      <c r="O834" s="169">
        <f t="shared" si="41"/>
        <v>0</v>
      </c>
      <c r="P834" s="165">
        <v>41845</v>
      </c>
      <c r="Q834" s="166">
        <f t="shared" si="39"/>
        <v>0</v>
      </c>
      <c r="R834" s="169"/>
      <c r="S834" s="169"/>
      <c r="T834" s="169"/>
      <c r="U834" s="169"/>
      <c r="V834" s="166">
        <f t="shared" si="40"/>
        <v>0</v>
      </c>
      <c r="W834" s="205"/>
      <c r="X834" s="167"/>
    </row>
    <row r="835" spans="8:24" s="220" customFormat="1" ht="12" hidden="1" customHeight="1">
      <c r="H835" s="162" t="s">
        <v>884</v>
      </c>
      <c r="I835" s="163" t="s">
        <v>1085</v>
      </c>
      <c r="J835" s="163" t="s">
        <v>1086</v>
      </c>
      <c r="K835" s="162" t="s">
        <v>807</v>
      </c>
      <c r="L835" s="164" t="s">
        <v>92</v>
      </c>
      <c r="M835" s="169"/>
      <c r="N835" s="165"/>
      <c r="O835" s="169">
        <f t="shared" si="41"/>
        <v>0</v>
      </c>
      <c r="P835" s="165">
        <v>55073</v>
      </c>
      <c r="Q835" s="166">
        <f t="shared" si="39"/>
        <v>0</v>
      </c>
      <c r="R835" s="169"/>
      <c r="S835" s="169"/>
      <c r="T835" s="169"/>
      <c r="U835" s="169"/>
      <c r="V835" s="166">
        <f t="shared" si="40"/>
        <v>0</v>
      </c>
      <c r="W835" s="205"/>
      <c r="X835" s="167"/>
    </row>
    <row r="836" spans="8:24" s="220" customFormat="1" ht="12" hidden="1" customHeight="1">
      <c r="H836" s="162" t="s">
        <v>885</v>
      </c>
      <c r="I836" s="163" t="s">
        <v>1087</v>
      </c>
      <c r="J836" s="163" t="s">
        <v>1088</v>
      </c>
      <c r="K836" s="162" t="s">
        <v>1089</v>
      </c>
      <c r="L836" s="164" t="s">
        <v>92</v>
      </c>
      <c r="M836" s="169"/>
      <c r="N836" s="165"/>
      <c r="O836" s="169">
        <f t="shared" si="41"/>
        <v>0</v>
      </c>
      <c r="P836" s="165">
        <v>57503</v>
      </c>
      <c r="Q836" s="166">
        <f t="shared" si="39"/>
        <v>0</v>
      </c>
      <c r="R836" s="169"/>
      <c r="S836" s="169"/>
      <c r="T836" s="169"/>
      <c r="U836" s="169"/>
      <c r="V836" s="166">
        <f t="shared" si="40"/>
        <v>0</v>
      </c>
      <c r="W836" s="205"/>
      <c r="X836" s="167"/>
    </row>
    <row r="837" spans="8:24" s="220" customFormat="1" ht="12" hidden="1" customHeight="1">
      <c r="H837" s="162" t="s">
        <v>886</v>
      </c>
      <c r="I837" s="163" t="s">
        <v>1090</v>
      </c>
      <c r="J837" s="163" t="s">
        <v>1091</v>
      </c>
      <c r="K837" s="162" t="s">
        <v>808</v>
      </c>
      <c r="L837" s="164" t="s">
        <v>92</v>
      </c>
      <c r="M837" s="169"/>
      <c r="N837" s="165"/>
      <c r="O837" s="169">
        <f t="shared" si="41"/>
        <v>0</v>
      </c>
      <c r="P837" s="165">
        <v>59662</v>
      </c>
      <c r="Q837" s="166">
        <f t="shared" si="39"/>
        <v>0</v>
      </c>
      <c r="R837" s="169"/>
      <c r="S837" s="169"/>
      <c r="T837" s="169"/>
      <c r="U837" s="169"/>
      <c r="V837" s="166">
        <f t="shared" si="40"/>
        <v>0</v>
      </c>
      <c r="W837" s="205"/>
      <c r="X837" s="167"/>
    </row>
    <row r="838" spans="8:24" s="220" customFormat="1" ht="12" hidden="1" customHeight="1">
      <c r="H838" s="162" t="s">
        <v>654</v>
      </c>
      <c r="I838" s="163" t="s">
        <v>1072</v>
      </c>
      <c r="J838" s="163" t="s">
        <v>2330</v>
      </c>
      <c r="K838" s="162" t="s">
        <v>2331</v>
      </c>
      <c r="L838" s="164" t="s">
        <v>755</v>
      </c>
      <c r="M838" s="169"/>
      <c r="N838" s="165">
        <v>710000</v>
      </c>
      <c r="O838" s="169">
        <f t="shared" si="41"/>
        <v>0</v>
      </c>
      <c r="P838" s="165">
        <v>60202</v>
      </c>
      <c r="Q838" s="166">
        <f t="shared" si="39"/>
        <v>0</v>
      </c>
      <c r="R838" s="169"/>
      <c r="S838" s="169"/>
      <c r="T838" s="169"/>
      <c r="U838" s="169"/>
      <c r="V838" s="166">
        <f t="shared" si="40"/>
        <v>0</v>
      </c>
      <c r="W838" s="205"/>
      <c r="X838" s="167"/>
    </row>
    <row r="839" spans="8:24" s="220" customFormat="1" ht="12" hidden="1" customHeight="1">
      <c r="H839" s="162" t="s">
        <v>655</v>
      </c>
      <c r="I839" s="163" t="s">
        <v>1073</v>
      </c>
      <c r="J839" s="163" t="s">
        <v>2332</v>
      </c>
      <c r="K839" s="162" t="s">
        <v>2333</v>
      </c>
      <c r="L839" s="164" t="s">
        <v>755</v>
      </c>
      <c r="M839" s="169"/>
      <c r="N839" s="165">
        <v>710000</v>
      </c>
      <c r="O839" s="169">
        <f t="shared" si="41"/>
        <v>0</v>
      </c>
      <c r="P839" s="165">
        <v>111766</v>
      </c>
      <c r="Q839" s="166">
        <f t="shared" si="39"/>
        <v>0</v>
      </c>
      <c r="R839" s="169"/>
      <c r="S839" s="169"/>
      <c r="T839" s="169"/>
      <c r="U839" s="169"/>
      <c r="V839" s="166">
        <f t="shared" si="40"/>
        <v>0</v>
      </c>
      <c r="W839" s="205"/>
      <c r="X839" s="167"/>
    </row>
    <row r="840" spans="8:24" s="220" customFormat="1" ht="12" hidden="1" customHeight="1">
      <c r="H840" s="162" t="s">
        <v>656</v>
      </c>
      <c r="I840" s="163" t="s">
        <v>1073</v>
      </c>
      <c r="J840" s="163" t="s">
        <v>2332</v>
      </c>
      <c r="K840" s="162" t="s">
        <v>2334</v>
      </c>
      <c r="L840" s="164" t="s">
        <v>755</v>
      </c>
      <c r="M840" s="169"/>
      <c r="N840" s="165">
        <v>710000</v>
      </c>
      <c r="O840" s="169">
        <f t="shared" si="41"/>
        <v>0</v>
      </c>
      <c r="P840" s="165">
        <v>111766</v>
      </c>
      <c r="Q840" s="166">
        <f t="shared" si="39"/>
        <v>0</v>
      </c>
      <c r="R840" s="169"/>
      <c r="S840" s="169"/>
      <c r="T840" s="169"/>
      <c r="U840" s="169"/>
      <c r="V840" s="166">
        <f t="shared" si="40"/>
        <v>0</v>
      </c>
      <c r="W840" s="205"/>
      <c r="X840" s="167"/>
    </row>
    <row r="841" spans="8:24" s="220" customFormat="1" ht="12" hidden="1" customHeight="1">
      <c r="H841" s="162" t="s">
        <v>657</v>
      </c>
      <c r="I841" s="163" t="s">
        <v>1073</v>
      </c>
      <c r="J841" s="163" t="s">
        <v>2332</v>
      </c>
      <c r="K841" s="162" t="s">
        <v>2335</v>
      </c>
      <c r="L841" s="164" t="s">
        <v>755</v>
      </c>
      <c r="M841" s="169"/>
      <c r="N841" s="165">
        <v>710000</v>
      </c>
      <c r="O841" s="169">
        <f t="shared" si="41"/>
        <v>0</v>
      </c>
      <c r="P841" s="165">
        <v>111766</v>
      </c>
      <c r="Q841" s="166">
        <f t="shared" si="39"/>
        <v>0</v>
      </c>
      <c r="R841" s="169"/>
      <c r="S841" s="169"/>
      <c r="T841" s="169"/>
      <c r="U841" s="169"/>
      <c r="V841" s="166">
        <f t="shared" si="40"/>
        <v>0</v>
      </c>
      <c r="W841" s="205"/>
      <c r="X841" s="167"/>
    </row>
    <row r="842" spans="8:24" s="220" customFormat="1" ht="12" hidden="1" customHeight="1">
      <c r="H842" s="162" t="s">
        <v>658</v>
      </c>
      <c r="I842" s="163" t="s">
        <v>1073</v>
      </c>
      <c r="J842" s="163" t="s">
        <v>2332</v>
      </c>
      <c r="K842" s="162" t="s">
        <v>2336</v>
      </c>
      <c r="L842" s="164" t="s">
        <v>755</v>
      </c>
      <c r="M842" s="169"/>
      <c r="N842" s="165">
        <v>710000</v>
      </c>
      <c r="O842" s="169">
        <f t="shared" si="41"/>
        <v>0</v>
      </c>
      <c r="P842" s="165">
        <v>111766</v>
      </c>
      <c r="Q842" s="166">
        <f t="shared" si="39"/>
        <v>0</v>
      </c>
      <c r="R842" s="169"/>
      <c r="S842" s="169"/>
      <c r="T842" s="169"/>
      <c r="U842" s="169"/>
      <c r="V842" s="166">
        <f t="shared" si="40"/>
        <v>0</v>
      </c>
      <c r="W842" s="205"/>
      <c r="X842" s="167"/>
    </row>
    <row r="843" spans="8:24" s="220" customFormat="1" ht="12" hidden="1" customHeight="1">
      <c r="H843" s="162" t="s">
        <v>1360</v>
      </c>
      <c r="I843" s="163" t="s">
        <v>1073</v>
      </c>
      <c r="J843" s="163" t="s">
        <v>2332</v>
      </c>
      <c r="K843" s="162" t="s">
        <v>2359</v>
      </c>
      <c r="L843" s="164" t="s">
        <v>755</v>
      </c>
      <c r="M843" s="169"/>
      <c r="N843" s="165">
        <v>710000</v>
      </c>
      <c r="O843" s="169">
        <f t="shared" si="41"/>
        <v>0</v>
      </c>
      <c r="P843" s="165">
        <v>111766</v>
      </c>
      <c r="Q843" s="166">
        <f t="shared" si="39"/>
        <v>0</v>
      </c>
      <c r="R843" s="169"/>
      <c r="S843" s="169"/>
      <c r="T843" s="169"/>
      <c r="U843" s="169"/>
      <c r="V843" s="166">
        <f t="shared" si="40"/>
        <v>0</v>
      </c>
      <c r="W843" s="205"/>
      <c r="X843" s="167"/>
    </row>
    <row r="844" spans="8:24" s="220" customFormat="1" ht="12" hidden="1" customHeight="1">
      <c r="H844" s="162" t="s">
        <v>659</v>
      </c>
      <c r="I844" s="163" t="s">
        <v>1073</v>
      </c>
      <c r="J844" s="163" t="s">
        <v>2332</v>
      </c>
      <c r="K844" s="162" t="s">
        <v>2376</v>
      </c>
      <c r="L844" s="164" t="s">
        <v>755</v>
      </c>
      <c r="M844" s="169"/>
      <c r="N844" s="165">
        <v>710000</v>
      </c>
      <c r="O844" s="169">
        <f t="shared" si="41"/>
        <v>0</v>
      </c>
      <c r="P844" s="165">
        <v>111766</v>
      </c>
      <c r="Q844" s="166">
        <f t="shared" si="39"/>
        <v>0</v>
      </c>
      <c r="R844" s="169"/>
      <c r="S844" s="169"/>
      <c r="T844" s="169"/>
      <c r="U844" s="169"/>
      <c r="V844" s="166">
        <f t="shared" si="40"/>
        <v>0</v>
      </c>
      <c r="W844" s="205"/>
      <c r="X844" s="167"/>
    </row>
    <row r="845" spans="8:24" s="220" customFormat="1" ht="12" hidden="1" customHeight="1">
      <c r="H845" s="162" t="s">
        <v>1268</v>
      </c>
      <c r="I845" s="163" t="s">
        <v>2219</v>
      </c>
      <c r="J845" s="163" t="s">
        <v>2220</v>
      </c>
      <c r="K845" s="162" t="s">
        <v>2221</v>
      </c>
      <c r="L845" s="164" t="s">
        <v>92</v>
      </c>
      <c r="M845" s="169"/>
      <c r="N845" s="165">
        <v>160000</v>
      </c>
      <c r="O845" s="169">
        <f t="shared" si="41"/>
        <v>0</v>
      </c>
      <c r="P845" s="165">
        <v>53993</v>
      </c>
      <c r="Q845" s="166">
        <f t="shared" si="39"/>
        <v>0</v>
      </c>
      <c r="R845" s="169"/>
      <c r="S845" s="169"/>
      <c r="T845" s="169"/>
      <c r="U845" s="169"/>
      <c r="V845" s="166">
        <f t="shared" si="40"/>
        <v>0</v>
      </c>
      <c r="W845" s="205"/>
      <c r="X845" s="167"/>
    </row>
    <row r="846" spans="8:24" s="220" customFormat="1" ht="12" hidden="1" customHeight="1">
      <c r="H846" s="162" t="s">
        <v>1278</v>
      </c>
      <c r="I846" s="163" t="s">
        <v>2219</v>
      </c>
      <c r="J846" s="163" t="s">
        <v>2251</v>
      </c>
      <c r="K846" s="162" t="s">
        <v>2252</v>
      </c>
      <c r="L846" s="164" t="s">
        <v>92</v>
      </c>
      <c r="M846" s="169"/>
      <c r="N846" s="165">
        <v>200000</v>
      </c>
      <c r="O846" s="169">
        <f t="shared" si="41"/>
        <v>0</v>
      </c>
      <c r="P846" s="165">
        <v>53993</v>
      </c>
      <c r="Q846" s="166">
        <f t="shared" si="39"/>
        <v>0</v>
      </c>
      <c r="R846" s="169"/>
      <c r="S846" s="169"/>
      <c r="T846" s="169"/>
      <c r="U846" s="169"/>
      <c r="V846" s="166">
        <f t="shared" si="40"/>
        <v>0</v>
      </c>
      <c r="W846" s="205"/>
      <c r="X846" s="167"/>
    </row>
    <row r="847" spans="8:24" s="220" customFormat="1" ht="12" hidden="1" customHeight="1">
      <c r="H847" s="162" t="s">
        <v>1279</v>
      </c>
      <c r="I847" s="163" t="s">
        <v>2219</v>
      </c>
      <c r="J847" s="163" t="s">
        <v>2251</v>
      </c>
      <c r="K847" s="162" t="s">
        <v>2253</v>
      </c>
      <c r="L847" s="164" t="s">
        <v>92</v>
      </c>
      <c r="M847" s="169"/>
      <c r="N847" s="165">
        <v>200000</v>
      </c>
      <c r="O847" s="169">
        <f t="shared" si="41"/>
        <v>0</v>
      </c>
      <c r="P847" s="165">
        <v>53993</v>
      </c>
      <c r="Q847" s="166">
        <f t="shared" si="39"/>
        <v>0</v>
      </c>
      <c r="R847" s="169"/>
      <c r="S847" s="169"/>
      <c r="T847" s="169"/>
      <c r="U847" s="169"/>
      <c r="V847" s="166">
        <f t="shared" si="40"/>
        <v>0</v>
      </c>
      <c r="W847" s="205"/>
      <c r="X847" s="167"/>
    </row>
    <row r="848" spans="8:24" s="220" customFormat="1" ht="12" hidden="1" customHeight="1">
      <c r="H848" s="162" t="s">
        <v>1280</v>
      </c>
      <c r="I848" s="163" t="s">
        <v>2219</v>
      </c>
      <c r="J848" s="163" t="s">
        <v>2251</v>
      </c>
      <c r="K848" s="162" t="s">
        <v>2254</v>
      </c>
      <c r="L848" s="164" t="s">
        <v>92</v>
      </c>
      <c r="M848" s="169"/>
      <c r="N848" s="165">
        <v>86400</v>
      </c>
      <c r="O848" s="169">
        <f t="shared" si="41"/>
        <v>0</v>
      </c>
      <c r="P848" s="165">
        <v>53993</v>
      </c>
      <c r="Q848" s="166">
        <f t="shared" ref="Q848:Q911" si="42">IF(W848="",M848*P848*$Q$3*$W$3,M848*P848*$Q$3*W848)</f>
        <v>0</v>
      </c>
      <c r="R848" s="169"/>
      <c r="S848" s="169"/>
      <c r="T848" s="169"/>
      <c r="U848" s="169"/>
      <c r="V848" s="166">
        <f t="shared" ref="V848:V911" si="43">SUM(O848+Q848)+S848+U848</f>
        <v>0</v>
      </c>
      <c r="W848" s="205"/>
      <c r="X848" s="167"/>
    </row>
    <row r="849" spans="8:24" s="220" customFormat="1" ht="12" hidden="1" customHeight="1">
      <c r="H849" s="162" t="s">
        <v>1281</v>
      </c>
      <c r="I849" s="163" t="s">
        <v>2219</v>
      </c>
      <c r="J849" s="163" t="s">
        <v>2255</v>
      </c>
      <c r="K849" s="162" t="s">
        <v>2256</v>
      </c>
      <c r="L849" s="164" t="s">
        <v>92</v>
      </c>
      <c r="M849" s="169"/>
      <c r="N849" s="165">
        <v>100000</v>
      </c>
      <c r="O849" s="169">
        <f t="shared" si="41"/>
        <v>0</v>
      </c>
      <c r="P849" s="165">
        <v>53993</v>
      </c>
      <c r="Q849" s="166">
        <f t="shared" si="42"/>
        <v>0</v>
      </c>
      <c r="R849" s="169"/>
      <c r="S849" s="169"/>
      <c r="T849" s="169"/>
      <c r="U849" s="169"/>
      <c r="V849" s="166">
        <f t="shared" si="43"/>
        <v>0</v>
      </c>
      <c r="W849" s="205"/>
      <c r="X849" s="167"/>
    </row>
    <row r="850" spans="8:24" s="220" customFormat="1" ht="12" hidden="1" customHeight="1">
      <c r="H850" s="162" t="s">
        <v>1282</v>
      </c>
      <c r="I850" s="163" t="s">
        <v>2219</v>
      </c>
      <c r="J850" s="163" t="s">
        <v>2220</v>
      </c>
      <c r="K850" s="162" t="s">
        <v>2221</v>
      </c>
      <c r="L850" s="164" t="s">
        <v>92</v>
      </c>
      <c r="M850" s="169"/>
      <c r="N850" s="165">
        <v>160000</v>
      </c>
      <c r="O850" s="169">
        <f t="shared" si="41"/>
        <v>0</v>
      </c>
      <c r="P850" s="165">
        <v>53993</v>
      </c>
      <c r="Q850" s="166">
        <f t="shared" si="42"/>
        <v>0</v>
      </c>
      <c r="R850" s="169"/>
      <c r="S850" s="169"/>
      <c r="T850" s="169"/>
      <c r="U850" s="169"/>
      <c r="V850" s="166">
        <f t="shared" si="43"/>
        <v>0</v>
      </c>
      <c r="W850" s="205"/>
      <c r="X850" s="167"/>
    </row>
    <row r="851" spans="8:24" s="220" customFormat="1" ht="12" hidden="1" customHeight="1">
      <c r="H851" s="162" t="s">
        <v>1283</v>
      </c>
      <c r="I851" s="163" t="s">
        <v>2219</v>
      </c>
      <c r="J851" s="163" t="s">
        <v>2257</v>
      </c>
      <c r="K851" s="162" t="s">
        <v>2256</v>
      </c>
      <c r="L851" s="164" t="s">
        <v>92</v>
      </c>
      <c r="M851" s="169"/>
      <c r="N851" s="165">
        <v>220000</v>
      </c>
      <c r="O851" s="169">
        <f t="shared" si="41"/>
        <v>0</v>
      </c>
      <c r="P851" s="165">
        <v>53993</v>
      </c>
      <c r="Q851" s="166">
        <f t="shared" si="42"/>
        <v>0</v>
      </c>
      <c r="R851" s="169"/>
      <c r="S851" s="169"/>
      <c r="T851" s="169"/>
      <c r="U851" s="169"/>
      <c r="V851" s="166">
        <f t="shared" si="43"/>
        <v>0</v>
      </c>
      <c r="W851" s="205"/>
      <c r="X851" s="167"/>
    </row>
    <row r="852" spans="8:24" s="220" customFormat="1" ht="12" hidden="1" customHeight="1">
      <c r="H852" s="162" t="s">
        <v>1326</v>
      </c>
      <c r="I852" s="163" t="s">
        <v>2219</v>
      </c>
      <c r="J852" s="163" t="s">
        <v>2257</v>
      </c>
      <c r="K852" s="162" t="s">
        <v>2256</v>
      </c>
      <c r="L852" s="164" t="s">
        <v>92</v>
      </c>
      <c r="M852" s="169"/>
      <c r="N852" s="165">
        <v>220000</v>
      </c>
      <c r="O852" s="169">
        <f t="shared" si="41"/>
        <v>0</v>
      </c>
      <c r="P852" s="165">
        <v>53993</v>
      </c>
      <c r="Q852" s="166">
        <f t="shared" si="42"/>
        <v>0</v>
      </c>
      <c r="R852" s="169"/>
      <c r="S852" s="169"/>
      <c r="T852" s="169"/>
      <c r="U852" s="169"/>
      <c r="V852" s="166">
        <f t="shared" si="43"/>
        <v>0</v>
      </c>
      <c r="W852" s="205"/>
      <c r="X852" s="167"/>
    </row>
    <row r="853" spans="8:24" s="220" customFormat="1" ht="12" hidden="1" customHeight="1">
      <c r="H853" s="162" t="s">
        <v>1330</v>
      </c>
      <c r="I853" s="163" t="s">
        <v>2219</v>
      </c>
      <c r="J853" s="163" t="s">
        <v>2251</v>
      </c>
      <c r="K853" s="162" t="s">
        <v>2252</v>
      </c>
      <c r="L853" s="164" t="s">
        <v>92</v>
      </c>
      <c r="M853" s="169"/>
      <c r="N853" s="165">
        <v>200000</v>
      </c>
      <c r="O853" s="169">
        <f t="shared" si="41"/>
        <v>0</v>
      </c>
      <c r="P853" s="165">
        <v>53993</v>
      </c>
      <c r="Q853" s="166">
        <f t="shared" si="42"/>
        <v>0</v>
      </c>
      <c r="R853" s="169"/>
      <c r="S853" s="169"/>
      <c r="T853" s="169"/>
      <c r="U853" s="169"/>
      <c r="V853" s="166">
        <f t="shared" si="43"/>
        <v>0</v>
      </c>
      <c r="W853" s="205"/>
      <c r="X853" s="167"/>
    </row>
    <row r="854" spans="8:24" s="220" customFormat="1" ht="12" hidden="1" customHeight="1">
      <c r="H854" s="162" t="s">
        <v>1331</v>
      </c>
      <c r="I854" s="163" t="s">
        <v>2219</v>
      </c>
      <c r="J854" s="163" t="s">
        <v>2251</v>
      </c>
      <c r="K854" s="162" t="s">
        <v>2253</v>
      </c>
      <c r="L854" s="164" t="s">
        <v>92</v>
      </c>
      <c r="M854" s="169"/>
      <c r="N854" s="165">
        <v>200000</v>
      </c>
      <c r="O854" s="169">
        <f t="shared" si="41"/>
        <v>0</v>
      </c>
      <c r="P854" s="165">
        <v>53993</v>
      </c>
      <c r="Q854" s="166">
        <f t="shared" si="42"/>
        <v>0</v>
      </c>
      <c r="R854" s="169"/>
      <c r="S854" s="169"/>
      <c r="T854" s="169"/>
      <c r="U854" s="169"/>
      <c r="V854" s="166">
        <f t="shared" si="43"/>
        <v>0</v>
      </c>
      <c r="W854" s="205"/>
      <c r="X854" s="167"/>
    </row>
    <row r="855" spans="8:24" s="220" customFormat="1" ht="12" hidden="1" customHeight="1">
      <c r="H855" s="162" t="s">
        <v>1332</v>
      </c>
      <c r="I855" s="163" t="s">
        <v>2219</v>
      </c>
      <c r="J855" s="163" t="s">
        <v>2255</v>
      </c>
      <c r="K855" s="162" t="s">
        <v>2256</v>
      </c>
      <c r="L855" s="164" t="s">
        <v>92</v>
      </c>
      <c r="M855" s="169"/>
      <c r="N855" s="165">
        <v>100000</v>
      </c>
      <c r="O855" s="169">
        <f t="shared" si="41"/>
        <v>0</v>
      </c>
      <c r="P855" s="165">
        <v>53993</v>
      </c>
      <c r="Q855" s="166">
        <f t="shared" si="42"/>
        <v>0</v>
      </c>
      <c r="R855" s="169"/>
      <c r="S855" s="169"/>
      <c r="T855" s="169"/>
      <c r="U855" s="169"/>
      <c r="V855" s="166">
        <f t="shared" si="43"/>
        <v>0</v>
      </c>
      <c r="W855" s="205"/>
      <c r="X855" s="167"/>
    </row>
    <row r="856" spans="8:24" s="220" customFormat="1" ht="12" hidden="1" customHeight="1">
      <c r="H856" s="162" t="s">
        <v>1350</v>
      </c>
      <c r="I856" s="163" t="s">
        <v>2219</v>
      </c>
      <c r="J856" s="163" t="s">
        <v>2251</v>
      </c>
      <c r="K856" s="162" t="s">
        <v>2254</v>
      </c>
      <c r="L856" s="164" t="s">
        <v>92</v>
      </c>
      <c r="M856" s="169"/>
      <c r="N856" s="165">
        <v>86400</v>
      </c>
      <c r="O856" s="169">
        <f t="shared" si="41"/>
        <v>0</v>
      </c>
      <c r="P856" s="165">
        <v>53993</v>
      </c>
      <c r="Q856" s="166">
        <f t="shared" si="42"/>
        <v>0</v>
      </c>
      <c r="R856" s="169"/>
      <c r="S856" s="169"/>
      <c r="T856" s="169"/>
      <c r="U856" s="169"/>
      <c r="V856" s="166">
        <f t="shared" si="43"/>
        <v>0</v>
      </c>
      <c r="W856" s="205"/>
      <c r="X856" s="167"/>
    </row>
    <row r="857" spans="8:24" s="220" customFormat="1" ht="12" hidden="1" customHeight="1">
      <c r="H857" s="162" t="s">
        <v>575</v>
      </c>
      <c r="I857" s="163" t="s">
        <v>1072</v>
      </c>
      <c r="J857" s="163" t="s">
        <v>2377</v>
      </c>
      <c r="K857" s="162" t="s">
        <v>2378</v>
      </c>
      <c r="L857" s="164" t="s">
        <v>755</v>
      </c>
      <c r="M857" s="169"/>
      <c r="N857" s="165">
        <v>7990</v>
      </c>
      <c r="O857" s="169">
        <f t="shared" si="41"/>
        <v>0</v>
      </c>
      <c r="P857" s="165">
        <v>60202</v>
      </c>
      <c r="Q857" s="166">
        <f t="shared" si="42"/>
        <v>0</v>
      </c>
      <c r="R857" s="169"/>
      <c r="S857" s="169"/>
      <c r="T857" s="169"/>
      <c r="U857" s="169"/>
      <c r="V857" s="166">
        <f t="shared" si="43"/>
        <v>0</v>
      </c>
      <c r="W857" s="205"/>
      <c r="X857" s="167"/>
    </row>
    <row r="858" spans="8:24" s="220" customFormat="1" ht="12" hidden="1" customHeight="1">
      <c r="H858" s="162" t="s">
        <v>576</v>
      </c>
      <c r="I858" s="163" t="s">
        <v>1072</v>
      </c>
      <c r="J858" s="163" t="s">
        <v>2377</v>
      </c>
      <c r="K858" s="162" t="s">
        <v>2379</v>
      </c>
      <c r="L858" s="164" t="s">
        <v>755</v>
      </c>
      <c r="M858" s="169"/>
      <c r="N858" s="165">
        <v>9990</v>
      </c>
      <c r="O858" s="169">
        <f t="shared" si="41"/>
        <v>0</v>
      </c>
      <c r="P858" s="165">
        <v>60202</v>
      </c>
      <c r="Q858" s="166">
        <f t="shared" si="42"/>
        <v>0</v>
      </c>
      <c r="R858" s="169"/>
      <c r="S858" s="169"/>
      <c r="T858" s="169"/>
      <c r="U858" s="169"/>
      <c r="V858" s="166">
        <f t="shared" si="43"/>
        <v>0</v>
      </c>
      <c r="W858" s="205"/>
      <c r="X858" s="167"/>
    </row>
    <row r="859" spans="8:24" s="220" customFormat="1" ht="12" hidden="1" customHeight="1">
      <c r="H859" s="162" t="s">
        <v>577</v>
      </c>
      <c r="I859" s="163" t="s">
        <v>1072</v>
      </c>
      <c r="J859" s="163" t="s">
        <v>2377</v>
      </c>
      <c r="K859" s="162" t="s">
        <v>2380</v>
      </c>
      <c r="L859" s="164" t="s">
        <v>755</v>
      </c>
      <c r="M859" s="169"/>
      <c r="N859" s="165">
        <v>11000</v>
      </c>
      <c r="O859" s="169">
        <f t="shared" si="41"/>
        <v>0</v>
      </c>
      <c r="P859" s="165">
        <v>60202</v>
      </c>
      <c r="Q859" s="166">
        <f t="shared" si="42"/>
        <v>0</v>
      </c>
      <c r="R859" s="169"/>
      <c r="S859" s="169"/>
      <c r="T859" s="169"/>
      <c r="U859" s="169"/>
      <c r="V859" s="166">
        <f t="shared" si="43"/>
        <v>0</v>
      </c>
      <c r="W859" s="205"/>
      <c r="X859" s="167"/>
    </row>
    <row r="860" spans="8:24" s="220" customFormat="1" ht="12" hidden="1" customHeight="1">
      <c r="H860" s="162" t="s">
        <v>578</v>
      </c>
      <c r="I860" s="163" t="s">
        <v>1072</v>
      </c>
      <c r="J860" s="163" t="s">
        <v>2377</v>
      </c>
      <c r="K860" s="162" t="s">
        <v>2381</v>
      </c>
      <c r="L860" s="164" t="s">
        <v>755</v>
      </c>
      <c r="M860" s="169"/>
      <c r="N860" s="165">
        <v>12000</v>
      </c>
      <c r="O860" s="169">
        <f t="shared" si="41"/>
        <v>0</v>
      </c>
      <c r="P860" s="165">
        <v>60202</v>
      </c>
      <c r="Q860" s="166">
        <f t="shared" si="42"/>
        <v>0</v>
      </c>
      <c r="R860" s="169"/>
      <c r="S860" s="169"/>
      <c r="T860" s="169"/>
      <c r="U860" s="169"/>
      <c r="V860" s="166">
        <f t="shared" si="43"/>
        <v>0</v>
      </c>
      <c r="W860" s="205"/>
      <c r="X860" s="167"/>
    </row>
    <row r="861" spans="8:24" s="220" customFormat="1" ht="12" hidden="1" customHeight="1">
      <c r="H861" s="162" t="s">
        <v>579</v>
      </c>
      <c r="I861" s="163" t="s">
        <v>1072</v>
      </c>
      <c r="J861" s="163" t="s">
        <v>2377</v>
      </c>
      <c r="K861" s="162" t="s">
        <v>2382</v>
      </c>
      <c r="L861" s="164" t="s">
        <v>755</v>
      </c>
      <c r="M861" s="169"/>
      <c r="N861" s="165">
        <v>17400</v>
      </c>
      <c r="O861" s="169">
        <f t="shared" si="41"/>
        <v>0</v>
      </c>
      <c r="P861" s="165">
        <v>60202</v>
      </c>
      <c r="Q861" s="166">
        <f t="shared" si="42"/>
        <v>0</v>
      </c>
      <c r="R861" s="169"/>
      <c r="S861" s="169"/>
      <c r="T861" s="169"/>
      <c r="U861" s="169"/>
      <c r="V861" s="166">
        <f t="shared" si="43"/>
        <v>0</v>
      </c>
      <c r="W861" s="205"/>
      <c r="X861" s="167"/>
    </row>
    <row r="862" spans="8:24" s="220" customFormat="1" ht="12" hidden="1" customHeight="1">
      <c r="H862" s="162" t="s">
        <v>606</v>
      </c>
      <c r="I862" s="163" t="s">
        <v>1080</v>
      </c>
      <c r="J862" s="163" t="s">
        <v>2217</v>
      </c>
      <c r="K862" s="162" t="s">
        <v>2218</v>
      </c>
      <c r="L862" s="164" t="s">
        <v>92</v>
      </c>
      <c r="M862" s="169"/>
      <c r="N862" s="165">
        <v>74000</v>
      </c>
      <c r="O862" s="169">
        <f t="shared" si="41"/>
        <v>0</v>
      </c>
      <c r="P862" s="165">
        <v>612827</v>
      </c>
      <c r="Q862" s="166">
        <f t="shared" si="42"/>
        <v>0</v>
      </c>
      <c r="R862" s="169"/>
      <c r="S862" s="169"/>
      <c r="T862" s="169"/>
      <c r="U862" s="169"/>
      <c r="V862" s="166">
        <f t="shared" si="43"/>
        <v>0</v>
      </c>
      <c r="W862" s="205"/>
      <c r="X862" s="167"/>
    </row>
    <row r="863" spans="8:24" s="220" customFormat="1" ht="12" hidden="1" customHeight="1">
      <c r="H863" s="162" t="s">
        <v>580</v>
      </c>
      <c r="I863" s="163" t="s">
        <v>1074</v>
      </c>
      <c r="J863" s="163" t="s">
        <v>2383</v>
      </c>
      <c r="K863" s="162" t="s">
        <v>2384</v>
      </c>
      <c r="L863" s="164" t="s">
        <v>755</v>
      </c>
      <c r="M863" s="169"/>
      <c r="N863" s="165">
        <v>5890</v>
      </c>
      <c r="O863" s="169">
        <f t="shared" si="41"/>
        <v>0</v>
      </c>
      <c r="P863" s="165">
        <v>47784</v>
      </c>
      <c r="Q863" s="166">
        <f t="shared" si="42"/>
        <v>0</v>
      </c>
      <c r="R863" s="169"/>
      <c r="S863" s="169"/>
      <c r="T863" s="169"/>
      <c r="U863" s="169"/>
      <c r="V863" s="166">
        <f t="shared" si="43"/>
        <v>0</v>
      </c>
      <c r="W863" s="205"/>
      <c r="X863" s="167"/>
    </row>
    <row r="864" spans="8:24" s="220" customFormat="1" ht="12" hidden="1" customHeight="1">
      <c r="H864" s="162" t="s">
        <v>581</v>
      </c>
      <c r="I864" s="163" t="s">
        <v>1071</v>
      </c>
      <c r="J864" s="163" t="s">
        <v>2385</v>
      </c>
      <c r="K864" s="162" t="s">
        <v>2386</v>
      </c>
      <c r="L864" s="164" t="s">
        <v>755</v>
      </c>
      <c r="M864" s="157"/>
      <c r="N864" s="165">
        <v>5890</v>
      </c>
      <c r="O864" s="169">
        <f t="shared" si="41"/>
        <v>0</v>
      </c>
      <c r="P864" s="165">
        <v>74781</v>
      </c>
      <c r="Q864" s="166">
        <f t="shared" si="42"/>
        <v>0</v>
      </c>
      <c r="R864" s="169"/>
      <c r="S864" s="169"/>
      <c r="T864" s="169"/>
      <c r="U864" s="169"/>
      <c r="V864" s="166">
        <f t="shared" si="43"/>
        <v>0</v>
      </c>
      <c r="W864" s="205"/>
      <c r="X864" s="167"/>
    </row>
    <row r="865" spans="8:24" s="220" customFormat="1" ht="12" hidden="1" customHeight="1">
      <c r="H865" s="162" t="s">
        <v>596</v>
      </c>
      <c r="I865" s="163" t="s">
        <v>1082</v>
      </c>
      <c r="J865" s="163" t="s">
        <v>2408</v>
      </c>
      <c r="K865" s="162" t="s">
        <v>2409</v>
      </c>
      <c r="L865" s="164" t="s">
        <v>92</v>
      </c>
      <c r="M865" s="157"/>
      <c r="N865" s="165">
        <v>19000</v>
      </c>
      <c r="O865" s="169">
        <f t="shared" si="41"/>
        <v>0</v>
      </c>
      <c r="P865" s="165">
        <v>332060</v>
      </c>
      <c r="Q865" s="166">
        <f t="shared" si="42"/>
        <v>0</v>
      </c>
      <c r="R865" s="169"/>
      <c r="S865" s="169"/>
      <c r="T865" s="169"/>
      <c r="U865" s="169"/>
      <c r="V865" s="166">
        <f t="shared" si="43"/>
        <v>0</v>
      </c>
      <c r="W865" s="205"/>
      <c r="X865" s="167"/>
    </row>
    <row r="866" spans="8:24" s="220" customFormat="1" ht="12" hidden="1" customHeight="1">
      <c r="H866" s="162" t="s">
        <v>597</v>
      </c>
      <c r="I866" s="163" t="s">
        <v>1082</v>
      </c>
      <c r="J866" s="163" t="s">
        <v>2408</v>
      </c>
      <c r="K866" s="162" t="s">
        <v>2410</v>
      </c>
      <c r="L866" s="164" t="s">
        <v>92</v>
      </c>
      <c r="M866" s="169"/>
      <c r="N866" s="165">
        <v>21000</v>
      </c>
      <c r="O866" s="169">
        <f t="shared" si="41"/>
        <v>0</v>
      </c>
      <c r="P866" s="165">
        <v>332060</v>
      </c>
      <c r="Q866" s="166">
        <f t="shared" si="42"/>
        <v>0</v>
      </c>
      <c r="R866" s="169"/>
      <c r="S866" s="169"/>
      <c r="T866" s="169"/>
      <c r="U866" s="169"/>
      <c r="V866" s="166">
        <f t="shared" si="43"/>
        <v>0</v>
      </c>
      <c r="W866" s="205"/>
      <c r="X866" s="167"/>
    </row>
    <row r="867" spans="8:24" s="220" customFormat="1" ht="12" hidden="1" customHeight="1">
      <c r="H867" s="162" t="s">
        <v>598</v>
      </c>
      <c r="I867" s="163" t="s">
        <v>1083</v>
      </c>
      <c r="J867" s="163" t="s">
        <v>2411</v>
      </c>
      <c r="K867" s="162" t="s">
        <v>2412</v>
      </c>
      <c r="L867" s="164" t="s">
        <v>92</v>
      </c>
      <c r="M867" s="169"/>
      <c r="N867" s="165">
        <v>24000</v>
      </c>
      <c r="O867" s="169">
        <f t="shared" si="41"/>
        <v>0</v>
      </c>
      <c r="P867" s="165">
        <v>396852</v>
      </c>
      <c r="Q867" s="166">
        <f t="shared" si="42"/>
        <v>0</v>
      </c>
      <c r="R867" s="169"/>
      <c r="S867" s="169"/>
      <c r="T867" s="169"/>
      <c r="U867" s="169"/>
      <c r="V867" s="166">
        <f t="shared" si="43"/>
        <v>0</v>
      </c>
      <c r="W867" s="205"/>
      <c r="X867" s="167"/>
    </row>
    <row r="868" spans="8:24" s="220" customFormat="1" ht="12" hidden="1" customHeight="1">
      <c r="H868" s="162" t="s">
        <v>599</v>
      </c>
      <c r="I868" s="163" t="s">
        <v>1083</v>
      </c>
      <c r="J868" s="163" t="s">
        <v>2411</v>
      </c>
      <c r="K868" s="162" t="s">
        <v>2413</v>
      </c>
      <c r="L868" s="164" t="s">
        <v>92</v>
      </c>
      <c r="M868" s="169"/>
      <c r="N868" s="165">
        <v>27000</v>
      </c>
      <c r="O868" s="169">
        <f t="shared" si="41"/>
        <v>0</v>
      </c>
      <c r="P868" s="165">
        <v>396852</v>
      </c>
      <c r="Q868" s="166">
        <f t="shared" si="42"/>
        <v>0</v>
      </c>
      <c r="R868" s="169"/>
      <c r="S868" s="169"/>
      <c r="T868" s="169"/>
      <c r="U868" s="169"/>
      <c r="V868" s="166">
        <f t="shared" si="43"/>
        <v>0</v>
      </c>
      <c r="W868" s="205"/>
      <c r="X868" s="167"/>
    </row>
    <row r="869" spans="8:24" s="220" customFormat="1" ht="12" hidden="1" customHeight="1">
      <c r="H869" s="162" t="s">
        <v>600</v>
      </c>
      <c r="I869" s="163" t="s">
        <v>1084</v>
      </c>
      <c r="J869" s="163" t="s">
        <v>2414</v>
      </c>
      <c r="K869" s="162" t="s">
        <v>2415</v>
      </c>
      <c r="L869" s="164" t="s">
        <v>92</v>
      </c>
      <c r="M869" s="169"/>
      <c r="N869" s="165">
        <v>29000</v>
      </c>
      <c r="O869" s="169">
        <f t="shared" si="41"/>
        <v>0</v>
      </c>
      <c r="P869" s="165">
        <v>404952</v>
      </c>
      <c r="Q869" s="166">
        <f t="shared" si="42"/>
        <v>0</v>
      </c>
      <c r="R869" s="169"/>
      <c r="S869" s="169"/>
      <c r="T869" s="169"/>
      <c r="U869" s="169"/>
      <c r="V869" s="166">
        <f t="shared" si="43"/>
        <v>0</v>
      </c>
      <c r="W869" s="205"/>
      <c r="X869" s="167"/>
    </row>
    <row r="870" spans="8:24" s="220" customFormat="1" ht="12" hidden="1" customHeight="1">
      <c r="H870" s="162" t="s">
        <v>601</v>
      </c>
      <c r="I870" s="163" t="s">
        <v>1081</v>
      </c>
      <c r="J870" s="163" t="s">
        <v>2416</v>
      </c>
      <c r="K870" s="162" t="s">
        <v>2417</v>
      </c>
      <c r="L870" s="164" t="s">
        <v>92</v>
      </c>
      <c r="M870" s="169"/>
      <c r="N870" s="165">
        <v>32000</v>
      </c>
      <c r="O870" s="169">
        <f t="shared" si="41"/>
        <v>0</v>
      </c>
      <c r="P870" s="165">
        <v>453546</v>
      </c>
      <c r="Q870" s="166">
        <f t="shared" si="42"/>
        <v>0</v>
      </c>
      <c r="R870" s="169"/>
      <c r="S870" s="169"/>
      <c r="T870" s="169"/>
      <c r="U870" s="169"/>
      <c r="V870" s="166">
        <f t="shared" si="43"/>
        <v>0</v>
      </c>
      <c r="W870" s="205"/>
      <c r="X870" s="167"/>
    </row>
    <row r="871" spans="8:24" s="220" customFormat="1" ht="12" hidden="1" customHeight="1">
      <c r="H871" s="162" t="s">
        <v>602</v>
      </c>
      <c r="I871" s="163" t="s">
        <v>1080</v>
      </c>
      <c r="J871" s="163" t="s">
        <v>2418</v>
      </c>
      <c r="K871" s="162" t="s">
        <v>2419</v>
      </c>
      <c r="L871" s="164" t="s">
        <v>92</v>
      </c>
      <c r="M871" s="169"/>
      <c r="N871" s="165">
        <v>76000</v>
      </c>
      <c r="O871" s="169">
        <f t="shared" si="41"/>
        <v>0</v>
      </c>
      <c r="P871" s="165">
        <v>612827</v>
      </c>
      <c r="Q871" s="166">
        <f t="shared" si="42"/>
        <v>0</v>
      </c>
      <c r="R871" s="169"/>
      <c r="S871" s="169"/>
      <c r="T871" s="169"/>
      <c r="U871" s="169"/>
      <c r="V871" s="166">
        <f t="shared" si="43"/>
        <v>0</v>
      </c>
      <c r="W871" s="205"/>
      <c r="X871" s="167"/>
    </row>
    <row r="872" spans="8:24" s="220" customFormat="1" ht="12" hidden="1" customHeight="1">
      <c r="H872" s="162" t="s">
        <v>603</v>
      </c>
      <c r="I872" s="163" t="s">
        <v>1083</v>
      </c>
      <c r="J872" s="163" t="s">
        <v>2420</v>
      </c>
      <c r="K872" s="162" t="s">
        <v>2421</v>
      </c>
      <c r="L872" s="164" t="s">
        <v>92</v>
      </c>
      <c r="M872" s="169"/>
      <c r="N872" s="165">
        <v>27500</v>
      </c>
      <c r="O872" s="169">
        <f t="shared" si="41"/>
        <v>0</v>
      </c>
      <c r="P872" s="165">
        <v>396852</v>
      </c>
      <c r="Q872" s="166">
        <f t="shared" si="42"/>
        <v>0</v>
      </c>
      <c r="R872" s="169"/>
      <c r="S872" s="169"/>
      <c r="T872" s="169"/>
      <c r="U872" s="169"/>
      <c r="V872" s="166">
        <f t="shared" si="43"/>
        <v>0</v>
      </c>
      <c r="W872" s="205"/>
      <c r="X872" s="167"/>
    </row>
    <row r="873" spans="8:24" s="220" customFormat="1" ht="12" hidden="1" customHeight="1">
      <c r="H873" s="162" t="s">
        <v>604</v>
      </c>
      <c r="I873" s="163" t="s">
        <v>1084</v>
      </c>
      <c r="J873" s="163" t="s">
        <v>2422</v>
      </c>
      <c r="K873" s="162" t="s">
        <v>2423</v>
      </c>
      <c r="L873" s="164" t="s">
        <v>92</v>
      </c>
      <c r="M873" s="169"/>
      <c r="N873" s="165">
        <v>27500</v>
      </c>
      <c r="O873" s="169">
        <f t="shared" si="41"/>
        <v>0</v>
      </c>
      <c r="P873" s="165">
        <v>404952</v>
      </c>
      <c r="Q873" s="166">
        <f t="shared" si="42"/>
        <v>0</v>
      </c>
      <c r="R873" s="169"/>
      <c r="S873" s="169"/>
      <c r="T873" s="169"/>
      <c r="U873" s="169"/>
      <c r="V873" s="166">
        <f t="shared" si="43"/>
        <v>0</v>
      </c>
      <c r="W873" s="205"/>
      <c r="X873" s="167"/>
    </row>
    <row r="874" spans="8:24" s="220" customFormat="1" ht="12" hidden="1" customHeight="1">
      <c r="H874" s="162" t="s">
        <v>605</v>
      </c>
      <c r="I874" s="163" t="s">
        <v>1081</v>
      </c>
      <c r="J874" s="163" t="s">
        <v>2424</v>
      </c>
      <c r="K874" s="162" t="s">
        <v>2425</v>
      </c>
      <c r="L874" s="164" t="s">
        <v>92</v>
      </c>
      <c r="M874" s="169"/>
      <c r="N874" s="165">
        <v>29500</v>
      </c>
      <c r="O874" s="169">
        <f t="shared" si="41"/>
        <v>0</v>
      </c>
      <c r="P874" s="165">
        <v>453546</v>
      </c>
      <c r="Q874" s="166">
        <f t="shared" si="42"/>
        <v>0</v>
      </c>
      <c r="R874" s="169"/>
      <c r="S874" s="169"/>
      <c r="T874" s="169"/>
      <c r="U874" s="169"/>
      <c r="V874" s="166">
        <f t="shared" si="43"/>
        <v>0</v>
      </c>
      <c r="W874" s="205"/>
      <c r="X874" s="167"/>
    </row>
    <row r="875" spans="8:24" s="220" customFormat="1" ht="12" hidden="1" customHeight="1">
      <c r="H875" s="162" t="s">
        <v>607</v>
      </c>
      <c r="I875" s="163" t="s">
        <v>1092</v>
      </c>
      <c r="J875" s="163" t="s">
        <v>2426</v>
      </c>
      <c r="K875" s="162" t="s">
        <v>2427</v>
      </c>
      <c r="L875" s="164" t="s">
        <v>745</v>
      </c>
      <c r="M875" s="169"/>
      <c r="N875" s="165">
        <v>1533000</v>
      </c>
      <c r="O875" s="169">
        <f t="shared" si="41"/>
        <v>0</v>
      </c>
      <c r="P875" s="165">
        <v>745111</v>
      </c>
      <c r="Q875" s="166">
        <f t="shared" si="42"/>
        <v>0</v>
      </c>
      <c r="R875" s="169"/>
      <c r="S875" s="169"/>
      <c r="T875" s="169"/>
      <c r="U875" s="169"/>
      <c r="V875" s="166">
        <f t="shared" si="43"/>
        <v>0</v>
      </c>
      <c r="W875" s="205"/>
      <c r="X875" s="167"/>
    </row>
    <row r="876" spans="8:24" s="220" customFormat="1" ht="12" hidden="1" customHeight="1">
      <c r="H876" s="162" t="s">
        <v>608</v>
      </c>
      <c r="I876" s="163" t="s">
        <v>1094</v>
      </c>
      <c r="J876" s="163" t="s">
        <v>2428</v>
      </c>
      <c r="K876" s="162" t="s">
        <v>2429</v>
      </c>
      <c r="L876" s="164" t="s">
        <v>745</v>
      </c>
      <c r="M876" s="169"/>
      <c r="N876" s="165">
        <v>2091000</v>
      </c>
      <c r="O876" s="169">
        <f t="shared" si="41"/>
        <v>0</v>
      </c>
      <c r="P876" s="165">
        <v>942188</v>
      </c>
      <c r="Q876" s="166">
        <f t="shared" si="42"/>
        <v>0</v>
      </c>
      <c r="R876" s="169"/>
      <c r="S876" s="169"/>
      <c r="T876" s="169"/>
      <c r="U876" s="169"/>
      <c r="V876" s="166">
        <f t="shared" si="43"/>
        <v>0</v>
      </c>
      <c r="W876" s="205"/>
      <c r="X876" s="167"/>
    </row>
    <row r="877" spans="8:24" s="220" customFormat="1" ht="12" hidden="1" customHeight="1">
      <c r="H877" s="162" t="s">
        <v>609</v>
      </c>
      <c r="I877" s="163" t="s">
        <v>1095</v>
      </c>
      <c r="J877" s="163" t="s">
        <v>2430</v>
      </c>
      <c r="K877" s="162" t="s">
        <v>2431</v>
      </c>
      <c r="L877" s="164" t="s">
        <v>745</v>
      </c>
      <c r="M877" s="169"/>
      <c r="N877" s="165">
        <v>2368000</v>
      </c>
      <c r="O877" s="169">
        <f t="shared" si="41"/>
        <v>0</v>
      </c>
      <c r="P877" s="165">
        <v>1131165</v>
      </c>
      <c r="Q877" s="166">
        <f t="shared" si="42"/>
        <v>0</v>
      </c>
      <c r="R877" s="169"/>
      <c r="S877" s="169"/>
      <c r="T877" s="169"/>
      <c r="U877" s="169"/>
      <c r="V877" s="166">
        <f t="shared" si="43"/>
        <v>0</v>
      </c>
      <c r="W877" s="205"/>
      <c r="X877" s="167"/>
    </row>
    <row r="878" spans="8:24" s="220" customFormat="1" ht="12" hidden="1" customHeight="1">
      <c r="H878" s="162" t="s">
        <v>610</v>
      </c>
      <c r="I878" s="163" t="s">
        <v>1096</v>
      </c>
      <c r="J878" s="163" t="s">
        <v>2432</v>
      </c>
      <c r="K878" s="162" t="s">
        <v>2433</v>
      </c>
      <c r="L878" s="164" t="s">
        <v>750</v>
      </c>
      <c r="M878" s="169"/>
      <c r="N878" s="165">
        <v>135000</v>
      </c>
      <c r="O878" s="169">
        <f t="shared" si="41"/>
        <v>0</v>
      </c>
      <c r="P878" s="165">
        <v>52350</v>
      </c>
      <c r="Q878" s="166">
        <f t="shared" si="42"/>
        <v>0</v>
      </c>
      <c r="R878" s="169"/>
      <c r="S878" s="169"/>
      <c r="T878" s="169"/>
      <c r="U878" s="169"/>
      <c r="V878" s="166">
        <f t="shared" si="43"/>
        <v>0</v>
      </c>
      <c r="W878" s="205"/>
      <c r="X878" s="167"/>
    </row>
    <row r="879" spans="8:24" s="220" customFormat="1" ht="12" hidden="1" customHeight="1">
      <c r="H879" s="162" t="s">
        <v>611</v>
      </c>
      <c r="I879" s="163" t="s">
        <v>1096</v>
      </c>
      <c r="J879" s="163" t="s">
        <v>2432</v>
      </c>
      <c r="K879" s="162" t="s">
        <v>2434</v>
      </c>
      <c r="L879" s="164" t="s">
        <v>750</v>
      </c>
      <c r="M879" s="169"/>
      <c r="N879" s="165">
        <v>176000</v>
      </c>
      <c r="O879" s="169">
        <f t="shared" si="41"/>
        <v>0</v>
      </c>
      <c r="P879" s="165">
        <v>52350</v>
      </c>
      <c r="Q879" s="166">
        <f t="shared" si="42"/>
        <v>0</v>
      </c>
      <c r="R879" s="169"/>
      <c r="S879" s="169"/>
      <c r="T879" s="169"/>
      <c r="U879" s="169"/>
      <c r="V879" s="166">
        <f t="shared" si="43"/>
        <v>0</v>
      </c>
      <c r="W879" s="205"/>
      <c r="X879" s="167"/>
    </row>
    <row r="880" spans="8:24" s="220" customFormat="1" ht="12" hidden="1" customHeight="1">
      <c r="H880" s="162" t="s">
        <v>612</v>
      </c>
      <c r="I880" s="163" t="s">
        <v>1096</v>
      </c>
      <c r="J880" s="163" t="s">
        <v>2432</v>
      </c>
      <c r="K880" s="162" t="s">
        <v>2435</v>
      </c>
      <c r="L880" s="164" t="s">
        <v>750</v>
      </c>
      <c r="M880" s="169"/>
      <c r="N880" s="165">
        <v>180000</v>
      </c>
      <c r="O880" s="169">
        <f t="shared" si="41"/>
        <v>0</v>
      </c>
      <c r="P880" s="165">
        <v>52350</v>
      </c>
      <c r="Q880" s="166">
        <f t="shared" si="42"/>
        <v>0</v>
      </c>
      <c r="R880" s="169"/>
      <c r="S880" s="169"/>
      <c r="T880" s="169"/>
      <c r="U880" s="169"/>
      <c r="V880" s="166">
        <f t="shared" si="43"/>
        <v>0</v>
      </c>
      <c r="W880" s="205"/>
      <c r="X880" s="167"/>
    </row>
    <row r="881" spans="8:24" s="220" customFormat="1" ht="12" hidden="1" customHeight="1">
      <c r="H881" s="162" t="s">
        <v>613</v>
      </c>
      <c r="I881" s="163" t="s">
        <v>1096</v>
      </c>
      <c r="J881" s="163" t="s">
        <v>2432</v>
      </c>
      <c r="K881" s="162" t="s">
        <v>2436</v>
      </c>
      <c r="L881" s="164" t="s">
        <v>750</v>
      </c>
      <c r="M881" s="169"/>
      <c r="N881" s="165">
        <v>135000</v>
      </c>
      <c r="O881" s="169">
        <f t="shared" si="41"/>
        <v>0</v>
      </c>
      <c r="P881" s="165">
        <v>52350</v>
      </c>
      <c r="Q881" s="166">
        <f t="shared" si="42"/>
        <v>0</v>
      </c>
      <c r="R881" s="169"/>
      <c r="S881" s="169"/>
      <c r="T881" s="169"/>
      <c r="U881" s="169"/>
      <c r="V881" s="166">
        <f t="shared" si="43"/>
        <v>0</v>
      </c>
      <c r="W881" s="205"/>
      <c r="X881" s="167"/>
    </row>
    <row r="882" spans="8:24" s="220" customFormat="1" ht="12" hidden="1" customHeight="1">
      <c r="H882" s="162" t="s">
        <v>614</v>
      </c>
      <c r="I882" s="163" t="s">
        <v>1096</v>
      </c>
      <c r="J882" s="163" t="s">
        <v>2432</v>
      </c>
      <c r="K882" s="162" t="s">
        <v>2437</v>
      </c>
      <c r="L882" s="164" t="s">
        <v>750</v>
      </c>
      <c r="M882" s="169"/>
      <c r="N882" s="165">
        <v>176000</v>
      </c>
      <c r="O882" s="169">
        <f t="shared" si="41"/>
        <v>0</v>
      </c>
      <c r="P882" s="165">
        <v>52350</v>
      </c>
      <c r="Q882" s="166">
        <f t="shared" si="42"/>
        <v>0</v>
      </c>
      <c r="R882" s="169"/>
      <c r="S882" s="169"/>
      <c r="T882" s="169"/>
      <c r="U882" s="169"/>
      <c r="V882" s="166">
        <f t="shared" si="43"/>
        <v>0</v>
      </c>
      <c r="W882" s="205"/>
      <c r="X882" s="167"/>
    </row>
    <row r="883" spans="8:24" s="220" customFormat="1" ht="12" hidden="1" customHeight="1">
      <c r="H883" s="162" t="s">
        <v>615</v>
      </c>
      <c r="I883" s="163" t="s">
        <v>1096</v>
      </c>
      <c r="J883" s="163" t="s">
        <v>2432</v>
      </c>
      <c r="K883" s="162" t="s">
        <v>2438</v>
      </c>
      <c r="L883" s="164" t="s">
        <v>750</v>
      </c>
      <c r="M883" s="169"/>
      <c r="N883" s="165">
        <v>177000</v>
      </c>
      <c r="O883" s="169">
        <f t="shared" si="41"/>
        <v>0</v>
      </c>
      <c r="P883" s="165">
        <v>52350</v>
      </c>
      <c r="Q883" s="166">
        <f t="shared" si="42"/>
        <v>0</v>
      </c>
      <c r="R883" s="169"/>
      <c r="S883" s="169"/>
      <c r="T883" s="169"/>
      <c r="U883" s="169"/>
      <c r="V883" s="166">
        <f t="shared" si="43"/>
        <v>0</v>
      </c>
      <c r="W883" s="205"/>
      <c r="X883" s="167"/>
    </row>
    <row r="884" spans="8:24" s="220" customFormat="1" ht="12" hidden="1" customHeight="1">
      <c r="H884" s="162" t="s">
        <v>887</v>
      </c>
      <c r="I884" s="163" t="s">
        <v>1092</v>
      </c>
      <c r="J884" s="163" t="s">
        <v>809</v>
      </c>
      <c r="K884" s="162" t="s">
        <v>810</v>
      </c>
      <c r="L884" s="164" t="s">
        <v>745</v>
      </c>
      <c r="M884" s="169"/>
      <c r="N884" s="165"/>
      <c r="O884" s="169">
        <f t="shared" si="41"/>
        <v>0</v>
      </c>
      <c r="P884" s="165">
        <v>745111</v>
      </c>
      <c r="Q884" s="166">
        <f t="shared" si="42"/>
        <v>0</v>
      </c>
      <c r="R884" s="169"/>
      <c r="S884" s="169"/>
      <c r="T884" s="169"/>
      <c r="U884" s="169"/>
      <c r="V884" s="166">
        <f t="shared" si="43"/>
        <v>0</v>
      </c>
      <c r="W884" s="205"/>
      <c r="X884" s="167"/>
    </row>
    <row r="885" spans="8:24" s="220" customFormat="1" ht="12" hidden="1" customHeight="1">
      <c r="H885" s="162" t="s">
        <v>888</v>
      </c>
      <c r="I885" s="163" t="s">
        <v>1093</v>
      </c>
      <c r="J885" s="163" t="s">
        <v>811</v>
      </c>
      <c r="K885" s="162" t="s">
        <v>812</v>
      </c>
      <c r="L885" s="164" t="s">
        <v>745</v>
      </c>
      <c r="M885" s="169"/>
      <c r="N885" s="165"/>
      <c r="O885" s="169">
        <f t="shared" si="41"/>
        <v>0</v>
      </c>
      <c r="P885" s="165">
        <v>844999</v>
      </c>
      <c r="Q885" s="166">
        <f t="shared" si="42"/>
        <v>0</v>
      </c>
      <c r="R885" s="169"/>
      <c r="S885" s="169"/>
      <c r="T885" s="169"/>
      <c r="U885" s="169"/>
      <c r="V885" s="166">
        <f t="shared" si="43"/>
        <v>0</v>
      </c>
      <c r="W885" s="205"/>
      <c r="X885" s="167"/>
    </row>
    <row r="886" spans="8:24" s="220" customFormat="1" ht="12" hidden="1" customHeight="1">
      <c r="H886" s="162" t="s">
        <v>889</v>
      </c>
      <c r="I886" s="163" t="s">
        <v>1094</v>
      </c>
      <c r="J886" s="163" t="s">
        <v>813</v>
      </c>
      <c r="K886" s="162" t="s">
        <v>814</v>
      </c>
      <c r="L886" s="164" t="s">
        <v>745</v>
      </c>
      <c r="M886" s="169"/>
      <c r="N886" s="165"/>
      <c r="O886" s="169">
        <f t="shared" ref="O886:O949" si="44">M886*N886*$O$3</f>
        <v>0</v>
      </c>
      <c r="P886" s="165">
        <v>942188</v>
      </c>
      <c r="Q886" s="166">
        <f t="shared" si="42"/>
        <v>0</v>
      </c>
      <c r="R886" s="169"/>
      <c r="S886" s="169"/>
      <c r="T886" s="169"/>
      <c r="U886" s="169"/>
      <c r="V886" s="166">
        <f t="shared" si="43"/>
        <v>0</v>
      </c>
      <c r="W886" s="205"/>
      <c r="X886" s="167"/>
    </row>
    <row r="887" spans="8:24" s="220" customFormat="1" ht="12" hidden="1" customHeight="1">
      <c r="H887" s="162" t="s">
        <v>1269</v>
      </c>
      <c r="I887" s="163" t="s">
        <v>1138</v>
      </c>
      <c r="J887" s="163" t="s">
        <v>2222</v>
      </c>
      <c r="K887" s="162" t="s">
        <v>2223</v>
      </c>
      <c r="L887" s="164" t="s">
        <v>744</v>
      </c>
      <c r="M887" s="169"/>
      <c r="N887" s="165">
        <v>13000</v>
      </c>
      <c r="O887" s="169">
        <f t="shared" si="44"/>
        <v>0</v>
      </c>
      <c r="P887" s="165">
        <v>27851</v>
      </c>
      <c r="Q887" s="166">
        <f t="shared" si="42"/>
        <v>0</v>
      </c>
      <c r="R887" s="169"/>
      <c r="S887" s="169"/>
      <c r="T887" s="169"/>
      <c r="U887" s="169"/>
      <c r="V887" s="166">
        <f t="shared" si="43"/>
        <v>0</v>
      </c>
      <c r="W887" s="205"/>
      <c r="X887" s="167"/>
    </row>
    <row r="888" spans="8:24" s="220" customFormat="1" ht="12" hidden="1" customHeight="1">
      <c r="H888" s="162" t="s">
        <v>629</v>
      </c>
      <c r="I888" s="163" t="s">
        <v>1141</v>
      </c>
      <c r="J888" s="163" t="s">
        <v>2224</v>
      </c>
      <c r="K888" s="162" t="s">
        <v>2225</v>
      </c>
      <c r="L888" s="164" t="s">
        <v>744</v>
      </c>
      <c r="M888" s="169"/>
      <c r="N888" s="165">
        <v>299000</v>
      </c>
      <c r="O888" s="169">
        <f t="shared" si="44"/>
        <v>0</v>
      </c>
      <c r="P888" s="165">
        <v>107428</v>
      </c>
      <c r="Q888" s="166">
        <f t="shared" si="42"/>
        <v>0</v>
      </c>
      <c r="R888" s="169"/>
      <c r="S888" s="169"/>
      <c r="T888" s="169"/>
      <c r="U888" s="169"/>
      <c r="V888" s="166">
        <f t="shared" si="43"/>
        <v>0</v>
      </c>
      <c r="W888" s="205"/>
      <c r="X888" s="167"/>
    </row>
    <row r="889" spans="8:24" s="220" customFormat="1" ht="12" hidden="1" customHeight="1">
      <c r="H889" s="162" t="s">
        <v>634</v>
      </c>
      <c r="I889" s="163" t="s">
        <v>1138</v>
      </c>
      <c r="J889" s="163" t="s">
        <v>2226</v>
      </c>
      <c r="K889" s="162" t="s">
        <v>2227</v>
      </c>
      <c r="L889" s="164" t="s">
        <v>744</v>
      </c>
      <c r="M889" s="169"/>
      <c r="N889" s="165">
        <v>33400</v>
      </c>
      <c r="O889" s="169">
        <f t="shared" si="44"/>
        <v>0</v>
      </c>
      <c r="P889" s="165">
        <v>27851</v>
      </c>
      <c r="Q889" s="166">
        <f t="shared" si="42"/>
        <v>0</v>
      </c>
      <c r="R889" s="169"/>
      <c r="S889" s="169"/>
      <c r="T889" s="169"/>
      <c r="U889" s="169"/>
      <c r="V889" s="166">
        <f t="shared" si="43"/>
        <v>0</v>
      </c>
      <c r="W889" s="205"/>
      <c r="X889" s="167"/>
    </row>
    <row r="890" spans="8:24" s="220" customFormat="1" ht="12" hidden="1" customHeight="1">
      <c r="H890" s="162" t="s">
        <v>638</v>
      </c>
      <c r="I890" s="163" t="s">
        <v>1138</v>
      </c>
      <c r="J890" s="163" t="s">
        <v>2226</v>
      </c>
      <c r="K890" s="162" t="s">
        <v>2228</v>
      </c>
      <c r="L890" s="164" t="s">
        <v>744</v>
      </c>
      <c r="M890" s="169"/>
      <c r="N890" s="165">
        <v>84300</v>
      </c>
      <c r="O890" s="169">
        <f t="shared" si="44"/>
        <v>0</v>
      </c>
      <c r="P890" s="165">
        <v>27851</v>
      </c>
      <c r="Q890" s="166">
        <f t="shared" si="42"/>
        <v>0</v>
      </c>
      <c r="R890" s="169"/>
      <c r="S890" s="169"/>
      <c r="T890" s="169"/>
      <c r="U890" s="169"/>
      <c r="V890" s="166">
        <f t="shared" si="43"/>
        <v>0</v>
      </c>
      <c r="W890" s="205"/>
      <c r="X890" s="167"/>
    </row>
    <row r="891" spans="8:24" s="220" customFormat="1" ht="12" hidden="1" customHeight="1">
      <c r="H891" s="162" t="s">
        <v>1352</v>
      </c>
      <c r="I891" s="163" t="s">
        <v>1138</v>
      </c>
      <c r="J891" s="163" t="s">
        <v>2222</v>
      </c>
      <c r="K891" s="162" t="s">
        <v>2353</v>
      </c>
      <c r="L891" s="164" t="s">
        <v>744</v>
      </c>
      <c r="M891" s="169"/>
      <c r="N891" s="165">
        <v>7040</v>
      </c>
      <c r="O891" s="169">
        <f t="shared" si="44"/>
        <v>0</v>
      </c>
      <c r="P891" s="165">
        <v>27851</v>
      </c>
      <c r="Q891" s="166">
        <f t="shared" si="42"/>
        <v>0</v>
      </c>
      <c r="R891" s="169"/>
      <c r="S891" s="169"/>
      <c r="T891" s="169"/>
      <c r="U891" s="169"/>
      <c r="V891" s="166">
        <f t="shared" si="43"/>
        <v>0</v>
      </c>
      <c r="W891" s="205"/>
      <c r="X891" s="167"/>
    </row>
    <row r="892" spans="8:24" s="220" customFormat="1" ht="12" hidden="1" customHeight="1">
      <c r="H892" s="162" t="s">
        <v>1353</v>
      </c>
      <c r="I892" s="163" t="s">
        <v>1138</v>
      </c>
      <c r="J892" s="163" t="s">
        <v>2222</v>
      </c>
      <c r="K892" s="162" t="s">
        <v>2354</v>
      </c>
      <c r="L892" s="164" t="s">
        <v>744</v>
      </c>
      <c r="M892" s="169"/>
      <c r="N892" s="165">
        <v>7700</v>
      </c>
      <c r="O892" s="169">
        <f t="shared" si="44"/>
        <v>0</v>
      </c>
      <c r="P892" s="165">
        <v>27851</v>
      </c>
      <c r="Q892" s="166">
        <f t="shared" si="42"/>
        <v>0</v>
      </c>
      <c r="R892" s="169"/>
      <c r="S892" s="169"/>
      <c r="T892" s="169"/>
      <c r="U892" s="169"/>
      <c r="V892" s="166">
        <f t="shared" si="43"/>
        <v>0</v>
      </c>
      <c r="W892" s="205"/>
      <c r="X892" s="167"/>
    </row>
    <row r="893" spans="8:24" s="220" customFormat="1" ht="12" hidden="1" customHeight="1">
      <c r="H893" s="162" t="s">
        <v>1354</v>
      </c>
      <c r="I893" s="163" t="s">
        <v>1138</v>
      </c>
      <c r="J893" s="163" t="s">
        <v>2222</v>
      </c>
      <c r="K893" s="162" t="s">
        <v>2355</v>
      </c>
      <c r="L893" s="164" t="s">
        <v>744</v>
      </c>
      <c r="M893" s="169"/>
      <c r="N893" s="165">
        <v>8580</v>
      </c>
      <c r="O893" s="169">
        <f t="shared" si="44"/>
        <v>0</v>
      </c>
      <c r="P893" s="165">
        <v>27851</v>
      </c>
      <c r="Q893" s="166">
        <f t="shared" si="42"/>
        <v>0</v>
      </c>
      <c r="R893" s="169"/>
      <c r="S893" s="169"/>
      <c r="T893" s="169"/>
      <c r="U893" s="169"/>
      <c r="V893" s="166">
        <f t="shared" si="43"/>
        <v>0</v>
      </c>
      <c r="W893" s="205"/>
      <c r="X893" s="167"/>
    </row>
    <row r="894" spans="8:24" s="220" customFormat="1" ht="12" hidden="1" customHeight="1">
      <c r="H894" s="162" t="s">
        <v>1355</v>
      </c>
      <c r="I894" s="163" t="s">
        <v>1138</v>
      </c>
      <c r="J894" s="163" t="s">
        <v>2222</v>
      </c>
      <c r="K894" s="162" t="s">
        <v>2227</v>
      </c>
      <c r="L894" s="164" t="s">
        <v>744</v>
      </c>
      <c r="M894" s="169"/>
      <c r="N894" s="165">
        <v>10800</v>
      </c>
      <c r="O894" s="169">
        <f t="shared" si="44"/>
        <v>0</v>
      </c>
      <c r="P894" s="165">
        <v>27851</v>
      </c>
      <c r="Q894" s="166">
        <f t="shared" si="42"/>
        <v>0</v>
      </c>
      <c r="R894" s="169"/>
      <c r="S894" s="169"/>
      <c r="T894" s="169"/>
      <c r="U894" s="169"/>
      <c r="V894" s="166">
        <f t="shared" si="43"/>
        <v>0</v>
      </c>
      <c r="W894" s="205"/>
      <c r="X894" s="167"/>
    </row>
    <row r="895" spans="8:24" s="220" customFormat="1" ht="12" hidden="1" customHeight="1">
      <c r="H895" s="162" t="s">
        <v>1356</v>
      </c>
      <c r="I895" s="163" t="s">
        <v>1138</v>
      </c>
      <c r="J895" s="163" t="s">
        <v>2222</v>
      </c>
      <c r="K895" s="162" t="s">
        <v>2356</v>
      </c>
      <c r="L895" s="164" t="s">
        <v>744</v>
      </c>
      <c r="M895" s="169"/>
      <c r="N895" s="165">
        <v>15600</v>
      </c>
      <c r="O895" s="169">
        <f t="shared" si="44"/>
        <v>0</v>
      </c>
      <c r="P895" s="165">
        <v>27851</v>
      </c>
      <c r="Q895" s="166">
        <f t="shared" si="42"/>
        <v>0</v>
      </c>
      <c r="R895" s="169"/>
      <c r="S895" s="169"/>
      <c r="T895" s="169"/>
      <c r="U895" s="169"/>
      <c r="V895" s="166">
        <f t="shared" si="43"/>
        <v>0</v>
      </c>
      <c r="W895" s="205"/>
      <c r="X895" s="167"/>
    </row>
    <row r="896" spans="8:24" s="220" customFormat="1" ht="12" hidden="1" customHeight="1">
      <c r="H896" s="162" t="s">
        <v>1357</v>
      </c>
      <c r="I896" s="163" t="s">
        <v>1138</v>
      </c>
      <c r="J896" s="163" t="s">
        <v>2222</v>
      </c>
      <c r="K896" s="162" t="s">
        <v>2357</v>
      </c>
      <c r="L896" s="164" t="s">
        <v>744</v>
      </c>
      <c r="M896" s="169"/>
      <c r="N896" s="165">
        <v>22900</v>
      </c>
      <c r="O896" s="169">
        <f t="shared" si="44"/>
        <v>0</v>
      </c>
      <c r="P896" s="165">
        <v>27851</v>
      </c>
      <c r="Q896" s="166">
        <f t="shared" si="42"/>
        <v>0</v>
      </c>
      <c r="R896" s="169"/>
      <c r="S896" s="169"/>
      <c r="T896" s="169"/>
      <c r="U896" s="169"/>
      <c r="V896" s="166">
        <f t="shared" si="43"/>
        <v>0</v>
      </c>
      <c r="W896" s="205"/>
      <c r="X896" s="167"/>
    </row>
    <row r="897" spans="8:24" s="220" customFormat="1" ht="12" hidden="1" customHeight="1">
      <c r="H897" s="162" t="s">
        <v>1358</v>
      </c>
      <c r="I897" s="163" t="s">
        <v>1138</v>
      </c>
      <c r="J897" s="163" t="s">
        <v>2222</v>
      </c>
      <c r="K897" s="162" t="s">
        <v>2228</v>
      </c>
      <c r="L897" s="164" t="s">
        <v>744</v>
      </c>
      <c r="M897" s="169"/>
      <c r="N897" s="165">
        <v>27900</v>
      </c>
      <c r="O897" s="169">
        <f t="shared" si="44"/>
        <v>0</v>
      </c>
      <c r="P897" s="165">
        <v>27851</v>
      </c>
      <c r="Q897" s="166">
        <f t="shared" si="42"/>
        <v>0</v>
      </c>
      <c r="R897" s="169"/>
      <c r="S897" s="169"/>
      <c r="T897" s="169"/>
      <c r="U897" s="169"/>
      <c r="V897" s="166">
        <f t="shared" si="43"/>
        <v>0</v>
      </c>
      <c r="W897" s="205"/>
      <c r="X897" s="167"/>
    </row>
    <row r="898" spans="8:24" s="220" customFormat="1" ht="12" hidden="1" customHeight="1">
      <c r="H898" s="162" t="s">
        <v>1359</v>
      </c>
      <c r="I898" s="163" t="s">
        <v>1138</v>
      </c>
      <c r="J898" s="163" t="s">
        <v>2222</v>
      </c>
      <c r="K898" s="162" t="s">
        <v>2358</v>
      </c>
      <c r="L898" s="164" t="s">
        <v>744</v>
      </c>
      <c r="M898" s="169"/>
      <c r="N898" s="165">
        <v>41400</v>
      </c>
      <c r="O898" s="169">
        <f t="shared" si="44"/>
        <v>0</v>
      </c>
      <c r="P898" s="165">
        <v>27851</v>
      </c>
      <c r="Q898" s="166">
        <f t="shared" si="42"/>
        <v>0</v>
      </c>
      <c r="R898" s="169"/>
      <c r="S898" s="169"/>
      <c r="T898" s="169"/>
      <c r="U898" s="169"/>
      <c r="V898" s="166">
        <f t="shared" si="43"/>
        <v>0</v>
      </c>
      <c r="W898" s="205"/>
      <c r="X898" s="167"/>
    </row>
    <row r="899" spans="8:24" s="220" customFormat="1" ht="12" hidden="1" customHeight="1">
      <c r="H899" s="162" t="s">
        <v>616</v>
      </c>
      <c r="I899" s="163" t="s">
        <v>1138</v>
      </c>
      <c r="J899" s="163" t="s">
        <v>2222</v>
      </c>
      <c r="K899" s="162" t="s">
        <v>2387</v>
      </c>
      <c r="L899" s="164" t="s">
        <v>744</v>
      </c>
      <c r="M899" s="169"/>
      <c r="N899" s="165">
        <v>42500</v>
      </c>
      <c r="O899" s="169">
        <f t="shared" si="44"/>
        <v>0</v>
      </c>
      <c r="P899" s="165">
        <v>27851</v>
      </c>
      <c r="Q899" s="166">
        <f t="shared" si="42"/>
        <v>0</v>
      </c>
      <c r="R899" s="169"/>
      <c r="S899" s="169"/>
      <c r="T899" s="169"/>
      <c r="U899" s="169"/>
      <c r="V899" s="166">
        <f t="shared" si="43"/>
        <v>0</v>
      </c>
      <c r="W899" s="205"/>
      <c r="X899" s="167"/>
    </row>
    <row r="900" spans="8:24" s="220" customFormat="1" ht="12" hidden="1" customHeight="1">
      <c r="H900" s="162" t="s">
        <v>617</v>
      </c>
      <c r="I900" s="163" t="s">
        <v>1138</v>
      </c>
      <c r="J900" s="163" t="s">
        <v>2222</v>
      </c>
      <c r="K900" s="162" t="s">
        <v>2439</v>
      </c>
      <c r="L900" s="164" t="s">
        <v>744</v>
      </c>
      <c r="M900" s="169"/>
      <c r="N900" s="165">
        <v>49500</v>
      </c>
      <c r="O900" s="169">
        <f t="shared" si="44"/>
        <v>0</v>
      </c>
      <c r="P900" s="165">
        <v>27851</v>
      </c>
      <c r="Q900" s="166">
        <f t="shared" si="42"/>
        <v>0</v>
      </c>
      <c r="R900" s="169"/>
      <c r="S900" s="169"/>
      <c r="T900" s="169"/>
      <c r="U900" s="169"/>
      <c r="V900" s="166">
        <f t="shared" si="43"/>
        <v>0</v>
      </c>
      <c r="W900" s="205"/>
      <c r="X900" s="167"/>
    </row>
    <row r="901" spans="8:24" s="220" customFormat="1" ht="12" hidden="1" customHeight="1">
      <c r="H901" s="162" t="s">
        <v>618</v>
      </c>
      <c r="I901" s="163" t="s">
        <v>1138</v>
      </c>
      <c r="J901" s="163" t="s">
        <v>2222</v>
      </c>
      <c r="K901" s="162" t="s">
        <v>2440</v>
      </c>
      <c r="L901" s="164" t="s">
        <v>744</v>
      </c>
      <c r="M901" s="169"/>
      <c r="N901" s="165">
        <v>61200</v>
      </c>
      <c r="O901" s="169">
        <f t="shared" si="44"/>
        <v>0</v>
      </c>
      <c r="P901" s="165">
        <v>27851</v>
      </c>
      <c r="Q901" s="166">
        <f t="shared" si="42"/>
        <v>0</v>
      </c>
      <c r="R901" s="169"/>
      <c r="S901" s="169"/>
      <c r="T901" s="169"/>
      <c r="U901" s="169"/>
      <c r="V901" s="166">
        <f t="shared" si="43"/>
        <v>0</v>
      </c>
      <c r="W901" s="205"/>
      <c r="X901" s="167"/>
    </row>
    <row r="902" spans="8:24" s="220" customFormat="1" ht="12" hidden="1" customHeight="1">
      <c r="H902" s="162" t="s">
        <v>619</v>
      </c>
      <c r="I902" s="163" t="s">
        <v>1138</v>
      </c>
      <c r="J902" s="163" t="s">
        <v>2222</v>
      </c>
      <c r="K902" s="162" t="s">
        <v>2441</v>
      </c>
      <c r="L902" s="164" t="s">
        <v>744</v>
      </c>
      <c r="M902" s="169"/>
      <c r="N902" s="165">
        <v>73000</v>
      </c>
      <c r="O902" s="169">
        <f t="shared" si="44"/>
        <v>0</v>
      </c>
      <c r="P902" s="165">
        <v>27851</v>
      </c>
      <c r="Q902" s="166">
        <f t="shared" si="42"/>
        <v>0</v>
      </c>
      <c r="R902" s="169"/>
      <c r="S902" s="169"/>
      <c r="T902" s="169"/>
      <c r="U902" s="169"/>
      <c r="V902" s="166">
        <f t="shared" si="43"/>
        <v>0</v>
      </c>
      <c r="W902" s="205"/>
      <c r="X902" s="167"/>
    </row>
    <row r="903" spans="8:24" s="220" customFormat="1" ht="12" hidden="1" customHeight="1">
      <c r="H903" s="162" t="s">
        <v>620</v>
      </c>
      <c r="I903" s="163" t="s">
        <v>1138</v>
      </c>
      <c r="J903" s="163" t="s">
        <v>2222</v>
      </c>
      <c r="K903" s="162" t="s">
        <v>2442</v>
      </c>
      <c r="L903" s="164" t="s">
        <v>744</v>
      </c>
      <c r="M903" s="169"/>
      <c r="N903" s="165">
        <v>98800</v>
      </c>
      <c r="O903" s="169">
        <f t="shared" si="44"/>
        <v>0</v>
      </c>
      <c r="P903" s="165">
        <v>27851</v>
      </c>
      <c r="Q903" s="166">
        <f t="shared" si="42"/>
        <v>0</v>
      </c>
      <c r="R903" s="169"/>
      <c r="S903" s="169"/>
      <c r="T903" s="169"/>
      <c r="U903" s="169"/>
      <c r="V903" s="166">
        <f t="shared" si="43"/>
        <v>0</v>
      </c>
      <c r="W903" s="205"/>
      <c r="X903" s="167"/>
    </row>
    <row r="904" spans="8:24" s="220" customFormat="1" ht="12" hidden="1" customHeight="1">
      <c r="H904" s="162" t="s">
        <v>621</v>
      </c>
      <c r="I904" s="163" t="s">
        <v>1138</v>
      </c>
      <c r="J904" s="163" t="s">
        <v>2222</v>
      </c>
      <c r="K904" s="162" t="s">
        <v>2443</v>
      </c>
      <c r="L904" s="164" t="s">
        <v>744</v>
      </c>
      <c r="M904" s="169"/>
      <c r="N904" s="165">
        <v>122000</v>
      </c>
      <c r="O904" s="169">
        <f t="shared" si="44"/>
        <v>0</v>
      </c>
      <c r="P904" s="165">
        <v>27851</v>
      </c>
      <c r="Q904" s="166">
        <f t="shared" si="42"/>
        <v>0</v>
      </c>
      <c r="R904" s="169"/>
      <c r="S904" s="169"/>
      <c r="T904" s="169"/>
      <c r="U904" s="169"/>
      <c r="V904" s="166">
        <f t="shared" si="43"/>
        <v>0</v>
      </c>
      <c r="W904" s="205"/>
      <c r="X904" s="167"/>
    </row>
    <row r="905" spans="8:24" s="220" customFormat="1" ht="12" hidden="1" customHeight="1">
      <c r="H905" s="162" t="s">
        <v>622</v>
      </c>
      <c r="I905" s="163" t="s">
        <v>1138</v>
      </c>
      <c r="J905" s="163" t="s">
        <v>2222</v>
      </c>
      <c r="K905" s="162" t="s">
        <v>2444</v>
      </c>
      <c r="L905" s="164" t="s">
        <v>744</v>
      </c>
      <c r="M905" s="169"/>
      <c r="N905" s="165">
        <v>148000</v>
      </c>
      <c r="O905" s="169">
        <f t="shared" si="44"/>
        <v>0</v>
      </c>
      <c r="P905" s="165">
        <v>27851</v>
      </c>
      <c r="Q905" s="166">
        <f t="shared" si="42"/>
        <v>0</v>
      </c>
      <c r="R905" s="169"/>
      <c r="S905" s="169"/>
      <c r="T905" s="169"/>
      <c r="U905" s="169"/>
      <c r="V905" s="166">
        <f t="shared" si="43"/>
        <v>0</v>
      </c>
      <c r="W905" s="205"/>
      <c r="X905" s="167"/>
    </row>
    <row r="906" spans="8:24" s="220" customFormat="1" ht="12" hidden="1" customHeight="1">
      <c r="H906" s="162" t="s">
        <v>623</v>
      </c>
      <c r="I906" s="163" t="s">
        <v>1138</v>
      </c>
      <c r="J906" s="163" t="s">
        <v>2222</v>
      </c>
      <c r="K906" s="162" t="s">
        <v>2445</v>
      </c>
      <c r="L906" s="164" t="s">
        <v>744</v>
      </c>
      <c r="M906" s="169"/>
      <c r="N906" s="165">
        <v>184000</v>
      </c>
      <c r="O906" s="169">
        <f t="shared" si="44"/>
        <v>0</v>
      </c>
      <c r="P906" s="165">
        <v>27851</v>
      </c>
      <c r="Q906" s="166">
        <f t="shared" si="42"/>
        <v>0</v>
      </c>
      <c r="R906" s="169"/>
      <c r="S906" s="169"/>
      <c r="T906" s="169"/>
      <c r="U906" s="169"/>
      <c r="V906" s="166">
        <f t="shared" si="43"/>
        <v>0</v>
      </c>
      <c r="W906" s="205"/>
      <c r="X906" s="167"/>
    </row>
    <row r="907" spans="8:24" s="220" customFormat="1" ht="12" hidden="1" customHeight="1">
      <c r="H907" s="162" t="s">
        <v>624</v>
      </c>
      <c r="I907" s="163" t="s">
        <v>1138</v>
      </c>
      <c r="J907" s="163" t="s">
        <v>2222</v>
      </c>
      <c r="K907" s="162" t="s">
        <v>2446</v>
      </c>
      <c r="L907" s="164" t="s">
        <v>744</v>
      </c>
      <c r="M907" s="169"/>
      <c r="N907" s="165">
        <v>202000</v>
      </c>
      <c r="O907" s="169">
        <f t="shared" si="44"/>
        <v>0</v>
      </c>
      <c r="P907" s="165">
        <v>27851</v>
      </c>
      <c r="Q907" s="166">
        <f t="shared" si="42"/>
        <v>0</v>
      </c>
      <c r="R907" s="169"/>
      <c r="S907" s="169"/>
      <c r="T907" s="169"/>
      <c r="U907" s="169"/>
      <c r="V907" s="166">
        <f t="shared" si="43"/>
        <v>0</v>
      </c>
      <c r="W907" s="205"/>
      <c r="X907" s="167"/>
    </row>
    <row r="908" spans="8:24" s="220" customFormat="1" ht="12" hidden="1" customHeight="1">
      <c r="H908" s="162" t="s">
        <v>625</v>
      </c>
      <c r="I908" s="163" t="s">
        <v>1138</v>
      </c>
      <c r="J908" s="163" t="s">
        <v>2222</v>
      </c>
      <c r="K908" s="162" t="s">
        <v>2447</v>
      </c>
      <c r="L908" s="164" t="s">
        <v>744</v>
      </c>
      <c r="M908" s="157"/>
      <c r="N908" s="165">
        <v>254000</v>
      </c>
      <c r="O908" s="169">
        <f t="shared" si="44"/>
        <v>0</v>
      </c>
      <c r="P908" s="165">
        <v>27851</v>
      </c>
      <c r="Q908" s="166">
        <f t="shared" si="42"/>
        <v>0</v>
      </c>
      <c r="R908" s="169"/>
      <c r="S908" s="169"/>
      <c r="T908" s="169"/>
      <c r="U908" s="169"/>
      <c r="V908" s="166">
        <f t="shared" si="43"/>
        <v>0</v>
      </c>
      <c r="W908" s="205"/>
      <c r="X908" s="167"/>
    </row>
    <row r="909" spans="8:24" s="220" customFormat="1" ht="12" hidden="1" customHeight="1">
      <c r="H909" s="162" t="s">
        <v>626</v>
      </c>
      <c r="I909" s="163" t="s">
        <v>1139</v>
      </c>
      <c r="J909" s="163" t="s">
        <v>2448</v>
      </c>
      <c r="K909" s="162" t="s">
        <v>2449</v>
      </c>
      <c r="L909" s="164" t="s">
        <v>744</v>
      </c>
      <c r="M909" s="157"/>
      <c r="N909" s="165">
        <v>128000</v>
      </c>
      <c r="O909" s="169">
        <f t="shared" si="44"/>
        <v>0</v>
      </c>
      <c r="P909" s="165">
        <v>35809</v>
      </c>
      <c r="Q909" s="166">
        <f t="shared" si="42"/>
        <v>0</v>
      </c>
      <c r="R909" s="169"/>
      <c r="S909" s="169"/>
      <c r="T909" s="169"/>
      <c r="U909" s="169"/>
      <c r="V909" s="166">
        <f t="shared" si="43"/>
        <v>0</v>
      </c>
      <c r="W909" s="205"/>
      <c r="X909" s="167"/>
    </row>
    <row r="910" spans="8:24" s="220" customFormat="1" ht="12" hidden="1" customHeight="1">
      <c r="H910" s="162" t="s">
        <v>627</v>
      </c>
      <c r="I910" s="163" t="s">
        <v>1140</v>
      </c>
      <c r="J910" s="163" t="s">
        <v>2450</v>
      </c>
      <c r="K910" s="162" t="s">
        <v>2451</v>
      </c>
      <c r="L910" s="164" t="s">
        <v>744</v>
      </c>
      <c r="M910" s="169"/>
      <c r="N910" s="165">
        <v>194000</v>
      </c>
      <c r="O910" s="169">
        <f t="shared" si="44"/>
        <v>0</v>
      </c>
      <c r="P910" s="165">
        <v>51724</v>
      </c>
      <c r="Q910" s="166">
        <f t="shared" si="42"/>
        <v>0</v>
      </c>
      <c r="R910" s="169"/>
      <c r="S910" s="169"/>
      <c r="T910" s="169"/>
      <c r="U910" s="169"/>
      <c r="V910" s="166">
        <f t="shared" si="43"/>
        <v>0</v>
      </c>
      <c r="W910" s="205"/>
      <c r="X910" s="167"/>
    </row>
    <row r="911" spans="8:24" s="220" customFormat="1" ht="12" hidden="1" customHeight="1">
      <c r="H911" s="162" t="s">
        <v>628</v>
      </c>
      <c r="I911" s="163" t="s">
        <v>1140</v>
      </c>
      <c r="J911" s="163" t="s">
        <v>2450</v>
      </c>
      <c r="K911" s="162" t="s">
        <v>2452</v>
      </c>
      <c r="L911" s="164" t="s">
        <v>744</v>
      </c>
      <c r="M911" s="169"/>
      <c r="N911" s="165">
        <v>260000</v>
      </c>
      <c r="O911" s="169">
        <f t="shared" si="44"/>
        <v>0</v>
      </c>
      <c r="P911" s="165">
        <v>51724</v>
      </c>
      <c r="Q911" s="166">
        <f t="shared" si="42"/>
        <v>0</v>
      </c>
      <c r="R911" s="169"/>
      <c r="S911" s="169"/>
      <c r="T911" s="169"/>
      <c r="U911" s="169"/>
      <c r="V911" s="166">
        <f t="shared" si="43"/>
        <v>0</v>
      </c>
      <c r="W911" s="205"/>
      <c r="X911" s="167"/>
    </row>
    <row r="912" spans="8:24" s="220" customFormat="1" ht="12" hidden="1" customHeight="1">
      <c r="H912" s="162" t="s">
        <v>630</v>
      </c>
      <c r="I912" s="163" t="s">
        <v>1138</v>
      </c>
      <c r="J912" s="163" t="s">
        <v>2226</v>
      </c>
      <c r="K912" s="162" t="s">
        <v>2353</v>
      </c>
      <c r="L912" s="164" t="s">
        <v>744</v>
      </c>
      <c r="M912" s="169"/>
      <c r="N912" s="165">
        <v>12500</v>
      </c>
      <c r="O912" s="169">
        <f t="shared" si="44"/>
        <v>0</v>
      </c>
      <c r="P912" s="165">
        <v>27851</v>
      </c>
      <c r="Q912" s="166">
        <f t="shared" ref="Q912:Q975" si="45">IF(W912="",M912*P912*$Q$3*$W$3,M912*P912*$Q$3*W912)</f>
        <v>0</v>
      </c>
      <c r="R912" s="169"/>
      <c r="S912" s="169"/>
      <c r="T912" s="169"/>
      <c r="U912" s="169"/>
      <c r="V912" s="166">
        <f t="shared" ref="V912:V975" si="46">SUM(O912+Q912)+S912+U912</f>
        <v>0</v>
      </c>
      <c r="W912" s="205"/>
      <c r="X912" s="167"/>
    </row>
    <row r="913" spans="8:24" s="220" customFormat="1" ht="12" hidden="1" customHeight="1">
      <c r="H913" s="162" t="s">
        <v>631</v>
      </c>
      <c r="I913" s="163" t="s">
        <v>1138</v>
      </c>
      <c r="J913" s="163" t="s">
        <v>2226</v>
      </c>
      <c r="K913" s="162" t="s">
        <v>2354</v>
      </c>
      <c r="L913" s="164" t="s">
        <v>744</v>
      </c>
      <c r="M913" s="169"/>
      <c r="N913" s="165">
        <v>17600</v>
      </c>
      <c r="O913" s="169">
        <f t="shared" si="44"/>
        <v>0</v>
      </c>
      <c r="P913" s="165">
        <v>27851</v>
      </c>
      <c r="Q913" s="166">
        <f t="shared" si="45"/>
        <v>0</v>
      </c>
      <c r="R913" s="169"/>
      <c r="S913" s="169"/>
      <c r="T913" s="169"/>
      <c r="U913" s="169"/>
      <c r="V913" s="166">
        <f t="shared" si="46"/>
        <v>0</v>
      </c>
      <c r="W913" s="205"/>
      <c r="X913" s="167"/>
    </row>
    <row r="914" spans="8:24" s="220" customFormat="1" ht="12" hidden="1" customHeight="1">
      <c r="H914" s="162" t="s">
        <v>632</v>
      </c>
      <c r="I914" s="163" t="s">
        <v>1138</v>
      </c>
      <c r="J914" s="163" t="s">
        <v>2226</v>
      </c>
      <c r="K914" s="162" t="s">
        <v>2355</v>
      </c>
      <c r="L914" s="164" t="s">
        <v>744</v>
      </c>
      <c r="M914" s="169"/>
      <c r="N914" s="165">
        <v>23300</v>
      </c>
      <c r="O914" s="169">
        <f t="shared" si="44"/>
        <v>0</v>
      </c>
      <c r="P914" s="165">
        <v>27851</v>
      </c>
      <c r="Q914" s="166">
        <f t="shared" si="45"/>
        <v>0</v>
      </c>
      <c r="R914" s="169"/>
      <c r="S914" s="169"/>
      <c r="T914" s="169"/>
      <c r="U914" s="169"/>
      <c r="V914" s="166">
        <f t="shared" si="46"/>
        <v>0</v>
      </c>
      <c r="W914" s="205"/>
      <c r="X914" s="167"/>
    </row>
    <row r="915" spans="8:24" s="220" customFormat="1" ht="12" hidden="1" customHeight="1">
      <c r="H915" s="162" t="s">
        <v>633</v>
      </c>
      <c r="I915" s="163" t="s">
        <v>1138</v>
      </c>
      <c r="J915" s="163" t="s">
        <v>2226</v>
      </c>
      <c r="K915" s="162" t="s">
        <v>2453</v>
      </c>
      <c r="L915" s="164" t="s">
        <v>744</v>
      </c>
      <c r="M915" s="169"/>
      <c r="N915" s="165">
        <v>27500</v>
      </c>
      <c r="O915" s="169">
        <f t="shared" si="44"/>
        <v>0</v>
      </c>
      <c r="P915" s="165">
        <v>27851</v>
      </c>
      <c r="Q915" s="166">
        <f t="shared" si="45"/>
        <v>0</v>
      </c>
      <c r="R915" s="169"/>
      <c r="S915" s="169"/>
      <c r="T915" s="169"/>
      <c r="U915" s="169"/>
      <c r="V915" s="166">
        <f t="shared" si="46"/>
        <v>0</v>
      </c>
      <c r="W915" s="205"/>
      <c r="X915" s="167"/>
    </row>
    <row r="916" spans="8:24" s="220" customFormat="1" ht="12" hidden="1" customHeight="1">
      <c r="H916" s="162" t="s">
        <v>635</v>
      </c>
      <c r="I916" s="163" t="s">
        <v>1138</v>
      </c>
      <c r="J916" s="163" t="s">
        <v>2226</v>
      </c>
      <c r="K916" s="162" t="s">
        <v>2223</v>
      </c>
      <c r="L916" s="164" t="s">
        <v>744</v>
      </c>
      <c r="M916" s="169"/>
      <c r="N916" s="165">
        <v>45800</v>
      </c>
      <c r="O916" s="169">
        <f t="shared" si="44"/>
        <v>0</v>
      </c>
      <c r="P916" s="165">
        <v>27851</v>
      </c>
      <c r="Q916" s="166">
        <f t="shared" si="45"/>
        <v>0</v>
      </c>
      <c r="R916" s="169"/>
      <c r="S916" s="169"/>
      <c r="T916" s="169"/>
      <c r="U916" s="169"/>
      <c r="V916" s="166">
        <f t="shared" si="46"/>
        <v>0</v>
      </c>
      <c r="W916" s="205"/>
      <c r="X916" s="167"/>
    </row>
    <row r="917" spans="8:24" s="220" customFormat="1" ht="12" hidden="1" customHeight="1">
      <c r="H917" s="162" t="s">
        <v>636</v>
      </c>
      <c r="I917" s="163" t="s">
        <v>1138</v>
      </c>
      <c r="J917" s="163" t="s">
        <v>2226</v>
      </c>
      <c r="K917" s="162" t="s">
        <v>2356</v>
      </c>
      <c r="L917" s="164" t="s">
        <v>744</v>
      </c>
      <c r="M917" s="169"/>
      <c r="N917" s="165">
        <v>48800</v>
      </c>
      <c r="O917" s="169">
        <f t="shared" si="44"/>
        <v>0</v>
      </c>
      <c r="P917" s="165">
        <v>27851</v>
      </c>
      <c r="Q917" s="166">
        <f t="shared" si="45"/>
        <v>0</v>
      </c>
      <c r="R917" s="169"/>
      <c r="S917" s="169"/>
      <c r="T917" s="169"/>
      <c r="U917" s="169"/>
      <c r="V917" s="166">
        <f t="shared" si="46"/>
        <v>0</v>
      </c>
      <c r="W917" s="205"/>
      <c r="X917" s="167"/>
    </row>
    <row r="918" spans="8:24" s="220" customFormat="1" ht="12" hidden="1" customHeight="1">
      <c r="H918" s="162" t="s">
        <v>637</v>
      </c>
      <c r="I918" s="163" t="s">
        <v>1138</v>
      </c>
      <c r="J918" s="163" t="s">
        <v>2226</v>
      </c>
      <c r="K918" s="162" t="s">
        <v>2357</v>
      </c>
      <c r="L918" s="164" t="s">
        <v>744</v>
      </c>
      <c r="M918" s="169"/>
      <c r="N918" s="165">
        <v>66400</v>
      </c>
      <c r="O918" s="169">
        <f t="shared" si="44"/>
        <v>0</v>
      </c>
      <c r="P918" s="165">
        <v>27851</v>
      </c>
      <c r="Q918" s="166">
        <f t="shared" si="45"/>
        <v>0</v>
      </c>
      <c r="R918" s="169"/>
      <c r="S918" s="169"/>
      <c r="T918" s="169"/>
      <c r="U918" s="169"/>
      <c r="V918" s="166">
        <f t="shared" si="46"/>
        <v>0</v>
      </c>
      <c r="W918" s="205"/>
      <c r="X918" s="167"/>
    </row>
    <row r="919" spans="8:24" s="220" customFormat="1" ht="12" hidden="1" customHeight="1">
      <c r="H919" s="162" t="s">
        <v>639</v>
      </c>
      <c r="I919" s="163" t="s">
        <v>1138</v>
      </c>
      <c r="J919" s="163" t="s">
        <v>2226</v>
      </c>
      <c r="K919" s="162" t="s">
        <v>2358</v>
      </c>
      <c r="L919" s="164" t="s">
        <v>744</v>
      </c>
      <c r="M919" s="169"/>
      <c r="N919" s="165">
        <v>128000</v>
      </c>
      <c r="O919" s="169">
        <f t="shared" si="44"/>
        <v>0</v>
      </c>
      <c r="P919" s="165">
        <v>27851</v>
      </c>
      <c r="Q919" s="166">
        <f t="shared" si="45"/>
        <v>0</v>
      </c>
      <c r="R919" s="169"/>
      <c r="S919" s="169"/>
      <c r="T919" s="169"/>
      <c r="U919" s="169"/>
      <c r="V919" s="166">
        <f t="shared" si="46"/>
        <v>0</v>
      </c>
      <c r="W919" s="205"/>
      <c r="X919" s="167"/>
    </row>
    <row r="920" spans="8:24" s="220" customFormat="1" ht="12" hidden="1" customHeight="1">
      <c r="H920" s="162" t="s">
        <v>640</v>
      </c>
      <c r="I920" s="163" t="s">
        <v>1138</v>
      </c>
      <c r="J920" s="163" t="s">
        <v>2226</v>
      </c>
      <c r="K920" s="162" t="s">
        <v>2387</v>
      </c>
      <c r="L920" s="164" t="s">
        <v>744</v>
      </c>
      <c r="M920" s="169"/>
      <c r="N920" s="165">
        <v>136000</v>
      </c>
      <c r="O920" s="169">
        <f t="shared" si="44"/>
        <v>0</v>
      </c>
      <c r="P920" s="165">
        <v>27851</v>
      </c>
      <c r="Q920" s="166">
        <f t="shared" si="45"/>
        <v>0</v>
      </c>
      <c r="R920" s="169"/>
      <c r="S920" s="169"/>
      <c r="T920" s="169"/>
      <c r="U920" s="169"/>
      <c r="V920" s="166">
        <f t="shared" si="46"/>
        <v>0</v>
      </c>
      <c r="W920" s="205"/>
      <c r="X920" s="167"/>
    </row>
    <row r="921" spans="8:24" s="220" customFormat="1" ht="12" hidden="1" customHeight="1">
      <c r="H921" s="162" t="s">
        <v>641</v>
      </c>
      <c r="I921" s="163" t="s">
        <v>1138</v>
      </c>
      <c r="J921" s="163" t="s">
        <v>2226</v>
      </c>
      <c r="K921" s="162" t="s">
        <v>2439</v>
      </c>
      <c r="L921" s="164" t="s">
        <v>744</v>
      </c>
      <c r="M921" s="169"/>
      <c r="N921" s="165">
        <v>169000</v>
      </c>
      <c r="O921" s="169">
        <f t="shared" si="44"/>
        <v>0</v>
      </c>
      <c r="P921" s="165">
        <v>27851</v>
      </c>
      <c r="Q921" s="166">
        <f t="shared" si="45"/>
        <v>0</v>
      </c>
      <c r="R921" s="169"/>
      <c r="S921" s="169"/>
      <c r="T921" s="169"/>
      <c r="U921" s="169"/>
      <c r="V921" s="166">
        <f t="shared" si="46"/>
        <v>0</v>
      </c>
      <c r="W921" s="205"/>
      <c r="X921" s="167"/>
    </row>
    <row r="922" spans="8:24" s="220" customFormat="1" ht="12" hidden="1" customHeight="1">
      <c r="H922" s="162" t="s">
        <v>1411</v>
      </c>
      <c r="I922" s="163" t="s">
        <v>1138</v>
      </c>
      <c r="J922" s="163" t="s">
        <v>2226</v>
      </c>
      <c r="K922" s="162" t="s">
        <v>2440</v>
      </c>
      <c r="L922" s="164" t="s">
        <v>744</v>
      </c>
      <c r="M922" s="169"/>
      <c r="N922" s="165">
        <v>215000</v>
      </c>
      <c r="O922" s="169">
        <f t="shared" si="44"/>
        <v>0</v>
      </c>
      <c r="P922" s="165">
        <v>27851</v>
      </c>
      <c r="Q922" s="166">
        <f t="shared" si="45"/>
        <v>0</v>
      </c>
      <c r="R922" s="169"/>
      <c r="S922" s="169"/>
      <c r="T922" s="169"/>
      <c r="U922" s="169"/>
      <c r="V922" s="166">
        <f t="shared" si="46"/>
        <v>0</v>
      </c>
      <c r="W922" s="205"/>
      <c r="X922" s="167"/>
    </row>
    <row r="923" spans="8:24" s="220" customFormat="1" ht="12" hidden="1" customHeight="1">
      <c r="H923" s="162" t="s">
        <v>1418</v>
      </c>
      <c r="I923" s="163" t="s">
        <v>1138</v>
      </c>
      <c r="J923" s="163" t="s">
        <v>2226</v>
      </c>
      <c r="K923" s="162" t="s">
        <v>2441</v>
      </c>
      <c r="L923" s="164" t="s">
        <v>744</v>
      </c>
      <c r="M923" s="169"/>
      <c r="N923" s="165">
        <v>247000</v>
      </c>
      <c r="O923" s="169">
        <f t="shared" si="44"/>
        <v>0</v>
      </c>
      <c r="P923" s="165">
        <v>27851</v>
      </c>
      <c r="Q923" s="166">
        <f t="shared" si="45"/>
        <v>0</v>
      </c>
      <c r="R923" s="169"/>
      <c r="S923" s="169"/>
      <c r="T923" s="169"/>
      <c r="U923" s="169"/>
      <c r="V923" s="166">
        <f t="shared" si="46"/>
        <v>0</v>
      </c>
      <c r="W923" s="205"/>
      <c r="X923" s="167"/>
    </row>
    <row r="924" spans="8:24" s="220" customFormat="1" ht="12" hidden="1" customHeight="1">
      <c r="H924" s="162" t="s">
        <v>1419</v>
      </c>
      <c r="I924" s="163" t="s">
        <v>1138</v>
      </c>
      <c r="J924" s="163" t="s">
        <v>2226</v>
      </c>
      <c r="K924" s="162" t="s">
        <v>2442</v>
      </c>
      <c r="L924" s="164" t="s">
        <v>744</v>
      </c>
      <c r="M924" s="169"/>
      <c r="N924" s="165">
        <v>326000</v>
      </c>
      <c r="O924" s="169">
        <f t="shared" si="44"/>
        <v>0</v>
      </c>
      <c r="P924" s="165">
        <v>27851</v>
      </c>
      <c r="Q924" s="166">
        <f t="shared" si="45"/>
        <v>0</v>
      </c>
      <c r="R924" s="169"/>
      <c r="S924" s="169"/>
      <c r="T924" s="169"/>
      <c r="U924" s="169"/>
      <c r="V924" s="166">
        <f t="shared" si="46"/>
        <v>0</v>
      </c>
      <c r="W924" s="205"/>
      <c r="X924" s="167"/>
    </row>
    <row r="925" spans="8:24" s="220" customFormat="1" ht="12" hidden="1" customHeight="1">
      <c r="H925" s="162" t="s">
        <v>1420</v>
      </c>
      <c r="I925" s="163" t="s">
        <v>1138</v>
      </c>
      <c r="J925" s="163" t="s">
        <v>2226</v>
      </c>
      <c r="K925" s="162" t="s">
        <v>2443</v>
      </c>
      <c r="L925" s="164" t="s">
        <v>744</v>
      </c>
      <c r="M925" s="169"/>
      <c r="N925" s="165">
        <v>394000</v>
      </c>
      <c r="O925" s="169">
        <f t="shared" si="44"/>
        <v>0</v>
      </c>
      <c r="P925" s="165">
        <v>27851</v>
      </c>
      <c r="Q925" s="166">
        <f t="shared" si="45"/>
        <v>0</v>
      </c>
      <c r="R925" s="169"/>
      <c r="S925" s="169"/>
      <c r="T925" s="169"/>
      <c r="U925" s="169"/>
      <c r="V925" s="166">
        <f t="shared" si="46"/>
        <v>0</v>
      </c>
      <c r="W925" s="205"/>
      <c r="X925" s="167"/>
    </row>
    <row r="926" spans="8:24" s="220" customFormat="1" ht="12" hidden="1" customHeight="1">
      <c r="H926" s="162" t="s">
        <v>1421</v>
      </c>
      <c r="I926" s="163" t="s">
        <v>1139</v>
      </c>
      <c r="J926" s="163" t="s">
        <v>2495</v>
      </c>
      <c r="K926" s="162" t="s">
        <v>2449</v>
      </c>
      <c r="L926" s="164" t="s">
        <v>744</v>
      </c>
      <c r="M926" s="169"/>
      <c r="N926" s="165">
        <v>128000</v>
      </c>
      <c r="O926" s="169">
        <f t="shared" si="44"/>
        <v>0</v>
      </c>
      <c r="P926" s="165">
        <v>35809</v>
      </c>
      <c r="Q926" s="166">
        <f t="shared" si="45"/>
        <v>0</v>
      </c>
      <c r="R926" s="169"/>
      <c r="S926" s="169"/>
      <c r="T926" s="169"/>
      <c r="U926" s="169"/>
      <c r="V926" s="166">
        <f t="shared" si="46"/>
        <v>0</v>
      </c>
      <c r="W926" s="205"/>
      <c r="X926" s="167"/>
    </row>
    <row r="927" spans="8:24" s="220" customFormat="1" ht="12" hidden="1" customHeight="1">
      <c r="H927" s="162" t="s">
        <v>1422</v>
      </c>
      <c r="I927" s="163" t="s">
        <v>1140</v>
      </c>
      <c r="J927" s="163" t="s">
        <v>2496</v>
      </c>
      <c r="K927" s="162" t="s">
        <v>2451</v>
      </c>
      <c r="L927" s="164" t="s">
        <v>744</v>
      </c>
      <c r="M927" s="169"/>
      <c r="N927" s="165">
        <v>194000</v>
      </c>
      <c r="O927" s="169">
        <f t="shared" si="44"/>
        <v>0</v>
      </c>
      <c r="P927" s="165">
        <v>51724</v>
      </c>
      <c r="Q927" s="166">
        <f t="shared" si="45"/>
        <v>0</v>
      </c>
      <c r="R927" s="169"/>
      <c r="S927" s="169"/>
      <c r="T927" s="169"/>
      <c r="U927" s="169"/>
      <c r="V927" s="166">
        <f t="shared" si="46"/>
        <v>0</v>
      </c>
      <c r="W927" s="205"/>
      <c r="X927" s="167"/>
    </row>
    <row r="928" spans="8:24" s="220" customFormat="1" ht="12" hidden="1" customHeight="1">
      <c r="H928" s="162" t="s">
        <v>1423</v>
      </c>
      <c r="I928" s="163" t="s">
        <v>1140</v>
      </c>
      <c r="J928" s="163" t="s">
        <v>2496</v>
      </c>
      <c r="K928" s="162" t="s">
        <v>2452</v>
      </c>
      <c r="L928" s="164" t="s">
        <v>744</v>
      </c>
      <c r="M928" s="169"/>
      <c r="N928" s="165">
        <v>260000</v>
      </c>
      <c r="O928" s="169">
        <f t="shared" si="44"/>
        <v>0</v>
      </c>
      <c r="P928" s="165">
        <v>51724</v>
      </c>
      <c r="Q928" s="166">
        <f t="shared" si="45"/>
        <v>0</v>
      </c>
      <c r="R928" s="169"/>
      <c r="S928" s="169"/>
      <c r="T928" s="169"/>
      <c r="U928" s="169"/>
      <c r="V928" s="166">
        <f t="shared" si="46"/>
        <v>0</v>
      </c>
      <c r="W928" s="205"/>
      <c r="X928" s="167"/>
    </row>
    <row r="929" spans="8:24" s="220" customFormat="1" ht="12" hidden="1" customHeight="1">
      <c r="H929" s="162" t="s">
        <v>1424</v>
      </c>
      <c r="I929" s="163" t="s">
        <v>1141</v>
      </c>
      <c r="J929" s="163" t="s">
        <v>2497</v>
      </c>
      <c r="K929" s="162" t="s">
        <v>2225</v>
      </c>
      <c r="L929" s="164" t="s">
        <v>744</v>
      </c>
      <c r="M929" s="157"/>
      <c r="N929" s="165">
        <v>299000</v>
      </c>
      <c r="O929" s="169">
        <f t="shared" si="44"/>
        <v>0</v>
      </c>
      <c r="P929" s="165">
        <v>107428</v>
      </c>
      <c r="Q929" s="166">
        <f t="shared" si="45"/>
        <v>0</v>
      </c>
      <c r="R929" s="169"/>
      <c r="S929" s="169"/>
      <c r="T929" s="169"/>
      <c r="U929" s="169"/>
      <c r="V929" s="166">
        <f t="shared" si="46"/>
        <v>0</v>
      </c>
      <c r="W929" s="205"/>
      <c r="X929" s="167"/>
    </row>
    <row r="930" spans="8:24" s="220" customFormat="1" ht="12" hidden="1" customHeight="1">
      <c r="H930" s="162" t="s">
        <v>1425</v>
      </c>
      <c r="I930" s="163" t="s">
        <v>1141</v>
      </c>
      <c r="J930" s="163" t="s">
        <v>2497</v>
      </c>
      <c r="K930" s="162" t="s">
        <v>2498</v>
      </c>
      <c r="L930" s="164" t="s">
        <v>744</v>
      </c>
      <c r="M930" s="157"/>
      <c r="N930" s="165">
        <v>363000</v>
      </c>
      <c r="O930" s="169">
        <f t="shared" si="44"/>
        <v>0</v>
      </c>
      <c r="P930" s="165">
        <v>107428</v>
      </c>
      <c r="Q930" s="166">
        <f t="shared" si="45"/>
        <v>0</v>
      </c>
      <c r="R930" s="169"/>
      <c r="S930" s="169"/>
      <c r="T930" s="169"/>
      <c r="U930" s="169"/>
      <c r="V930" s="166">
        <f t="shared" si="46"/>
        <v>0</v>
      </c>
      <c r="W930" s="205"/>
      <c r="X930" s="167"/>
    </row>
    <row r="931" spans="8:24" s="220" customFormat="1" ht="12" hidden="1" customHeight="1">
      <c r="H931" s="162" t="s">
        <v>1426</v>
      </c>
      <c r="I931" s="163" t="s">
        <v>1141</v>
      </c>
      <c r="J931" s="163" t="s">
        <v>2497</v>
      </c>
      <c r="K931" s="162" t="s">
        <v>2499</v>
      </c>
      <c r="L931" s="164" t="s">
        <v>744</v>
      </c>
      <c r="M931" s="157"/>
      <c r="N931" s="165">
        <v>543000</v>
      </c>
      <c r="O931" s="169">
        <f t="shared" si="44"/>
        <v>0</v>
      </c>
      <c r="P931" s="165">
        <v>107428</v>
      </c>
      <c r="Q931" s="166">
        <f t="shared" si="45"/>
        <v>0</v>
      </c>
      <c r="R931" s="169"/>
      <c r="S931" s="169"/>
      <c r="T931" s="169"/>
      <c r="U931" s="169"/>
      <c r="V931" s="166">
        <f t="shared" si="46"/>
        <v>0</v>
      </c>
      <c r="W931" s="205"/>
      <c r="X931" s="167"/>
    </row>
    <row r="932" spans="8:24" s="220" customFormat="1" ht="12" hidden="1" customHeight="1">
      <c r="H932" s="162" t="s">
        <v>1427</v>
      </c>
      <c r="I932" s="163" t="s">
        <v>1141</v>
      </c>
      <c r="J932" s="163" t="s">
        <v>2497</v>
      </c>
      <c r="K932" s="162" t="s">
        <v>2500</v>
      </c>
      <c r="L932" s="164" t="s">
        <v>744</v>
      </c>
      <c r="M932" s="169"/>
      <c r="N932" s="165">
        <v>832000</v>
      </c>
      <c r="O932" s="169">
        <f t="shared" si="44"/>
        <v>0</v>
      </c>
      <c r="P932" s="165">
        <v>107428</v>
      </c>
      <c r="Q932" s="166">
        <f t="shared" si="45"/>
        <v>0</v>
      </c>
      <c r="R932" s="169"/>
      <c r="S932" s="169"/>
      <c r="T932" s="169"/>
      <c r="U932" s="169"/>
      <c r="V932" s="166">
        <f t="shared" si="46"/>
        <v>0</v>
      </c>
      <c r="W932" s="205"/>
      <c r="X932" s="167"/>
    </row>
    <row r="933" spans="8:24" s="220" customFormat="1" ht="12" hidden="1" customHeight="1">
      <c r="H933" s="162" t="s">
        <v>1428</v>
      </c>
      <c r="I933" s="163" t="s">
        <v>1141</v>
      </c>
      <c r="J933" s="163" t="s">
        <v>2497</v>
      </c>
      <c r="K933" s="162" t="s">
        <v>2501</v>
      </c>
      <c r="L933" s="164" t="s">
        <v>744</v>
      </c>
      <c r="M933" s="157"/>
      <c r="N933" s="165">
        <v>1045000</v>
      </c>
      <c r="O933" s="169">
        <f t="shared" si="44"/>
        <v>0</v>
      </c>
      <c r="P933" s="165">
        <v>107428</v>
      </c>
      <c r="Q933" s="166">
        <f t="shared" si="45"/>
        <v>0</v>
      </c>
      <c r="R933" s="169"/>
      <c r="S933" s="169"/>
      <c r="T933" s="169"/>
      <c r="U933" s="169"/>
      <c r="V933" s="166">
        <f t="shared" si="46"/>
        <v>0</v>
      </c>
      <c r="W933" s="205"/>
      <c r="X933" s="167"/>
    </row>
    <row r="934" spans="8:24" s="220" customFormat="1" ht="12" hidden="1" customHeight="1">
      <c r="H934" s="162" t="s">
        <v>1429</v>
      </c>
      <c r="I934" s="163" t="s">
        <v>1141</v>
      </c>
      <c r="J934" s="163" t="s">
        <v>2497</v>
      </c>
      <c r="K934" s="162" t="s">
        <v>2502</v>
      </c>
      <c r="L934" s="164" t="s">
        <v>744</v>
      </c>
      <c r="M934" s="169"/>
      <c r="N934" s="165">
        <v>1522000</v>
      </c>
      <c r="O934" s="169">
        <f t="shared" si="44"/>
        <v>0</v>
      </c>
      <c r="P934" s="165">
        <v>107428</v>
      </c>
      <c r="Q934" s="166">
        <f t="shared" si="45"/>
        <v>0</v>
      </c>
      <c r="R934" s="169"/>
      <c r="S934" s="169"/>
      <c r="T934" s="169"/>
      <c r="U934" s="169"/>
      <c r="V934" s="166">
        <f t="shared" si="46"/>
        <v>0</v>
      </c>
      <c r="W934" s="205"/>
      <c r="X934" s="167"/>
    </row>
    <row r="935" spans="8:24" s="220" customFormat="1" ht="12" hidden="1" customHeight="1">
      <c r="H935" s="162" t="s">
        <v>1351</v>
      </c>
      <c r="I935" s="163" t="s">
        <v>2351</v>
      </c>
      <c r="J935" s="163" t="s">
        <v>2352</v>
      </c>
      <c r="K935" s="162" t="s">
        <v>1206</v>
      </c>
      <c r="L935" s="164" t="s">
        <v>790</v>
      </c>
      <c r="M935" s="165"/>
      <c r="N935" s="165"/>
      <c r="O935" s="169">
        <f t="shared" si="44"/>
        <v>0</v>
      </c>
      <c r="P935" s="165">
        <v>32371</v>
      </c>
      <c r="Q935" s="166">
        <f t="shared" si="45"/>
        <v>0</v>
      </c>
      <c r="R935" s="169"/>
      <c r="S935" s="169"/>
      <c r="T935" s="169"/>
      <c r="U935" s="169"/>
      <c r="V935" s="166">
        <f t="shared" si="46"/>
        <v>0</v>
      </c>
      <c r="W935" s="205"/>
      <c r="X935" s="167"/>
    </row>
    <row r="936" spans="8:24" s="220" customFormat="1" ht="12" hidden="1" customHeight="1">
      <c r="H936" s="162" t="s">
        <v>909</v>
      </c>
      <c r="I936" s="163" t="s">
        <v>1142</v>
      </c>
      <c r="J936" s="163" t="s">
        <v>791</v>
      </c>
      <c r="K936" s="162" t="s">
        <v>792</v>
      </c>
      <c r="L936" s="164" t="s">
        <v>790</v>
      </c>
      <c r="M936" s="169"/>
      <c r="N936" s="165"/>
      <c r="O936" s="169">
        <f t="shared" si="44"/>
        <v>0</v>
      </c>
      <c r="P936" s="165">
        <v>43701</v>
      </c>
      <c r="Q936" s="166">
        <f t="shared" si="45"/>
        <v>0</v>
      </c>
      <c r="R936" s="169"/>
      <c r="S936" s="169"/>
      <c r="T936" s="169"/>
      <c r="U936" s="169"/>
      <c r="V936" s="166">
        <f t="shared" si="46"/>
        <v>0</v>
      </c>
      <c r="W936" s="205"/>
      <c r="X936" s="167"/>
    </row>
    <row r="937" spans="8:24" s="220" customFormat="1" ht="12" hidden="1" customHeight="1">
      <c r="H937" s="162" t="s">
        <v>910</v>
      </c>
      <c r="I937" s="163" t="s">
        <v>1143</v>
      </c>
      <c r="J937" s="163" t="s">
        <v>793</v>
      </c>
      <c r="K937" s="162" t="s">
        <v>792</v>
      </c>
      <c r="L937" s="164" t="s">
        <v>790</v>
      </c>
      <c r="M937" s="169"/>
      <c r="N937" s="165"/>
      <c r="O937" s="169">
        <f t="shared" si="44"/>
        <v>0</v>
      </c>
      <c r="P937" s="165">
        <v>56650</v>
      </c>
      <c r="Q937" s="166">
        <f t="shared" si="45"/>
        <v>0</v>
      </c>
      <c r="R937" s="169"/>
      <c r="S937" s="169"/>
      <c r="T937" s="169"/>
      <c r="U937" s="169"/>
      <c r="V937" s="166">
        <f t="shared" si="46"/>
        <v>0</v>
      </c>
      <c r="W937" s="205"/>
      <c r="X937" s="167"/>
    </row>
    <row r="938" spans="8:24" s="220" customFormat="1" ht="12" hidden="1" customHeight="1">
      <c r="H938" s="162" t="s">
        <v>911</v>
      </c>
      <c r="I938" s="163" t="s">
        <v>1144</v>
      </c>
      <c r="J938" s="163" t="s">
        <v>794</v>
      </c>
      <c r="K938" s="162" t="s">
        <v>792</v>
      </c>
      <c r="L938" s="164" t="s">
        <v>790</v>
      </c>
      <c r="M938" s="169"/>
      <c r="N938" s="165"/>
      <c r="O938" s="169">
        <f t="shared" si="44"/>
        <v>0</v>
      </c>
      <c r="P938" s="165">
        <v>69598</v>
      </c>
      <c r="Q938" s="166">
        <f t="shared" si="45"/>
        <v>0</v>
      </c>
      <c r="R938" s="169"/>
      <c r="S938" s="169"/>
      <c r="T938" s="169"/>
      <c r="U938" s="169"/>
      <c r="V938" s="166">
        <f t="shared" si="46"/>
        <v>0</v>
      </c>
      <c r="W938" s="205"/>
      <c r="X938" s="167"/>
    </row>
    <row r="939" spans="8:24" s="220" customFormat="1" ht="12" hidden="1" customHeight="1">
      <c r="H939" s="162" t="s">
        <v>912</v>
      </c>
      <c r="I939" s="163" t="s">
        <v>1145</v>
      </c>
      <c r="J939" s="163" t="s">
        <v>795</v>
      </c>
      <c r="K939" s="162" t="s">
        <v>792</v>
      </c>
      <c r="L939" s="164" t="s">
        <v>790</v>
      </c>
      <c r="M939" s="169"/>
      <c r="N939" s="165"/>
      <c r="O939" s="169">
        <f t="shared" si="44"/>
        <v>0</v>
      </c>
      <c r="P939" s="165">
        <v>124630</v>
      </c>
      <c r="Q939" s="166">
        <f t="shared" si="45"/>
        <v>0</v>
      </c>
      <c r="R939" s="169"/>
      <c r="S939" s="169"/>
      <c r="T939" s="169"/>
      <c r="U939" s="169"/>
      <c r="V939" s="166">
        <f t="shared" si="46"/>
        <v>0</v>
      </c>
      <c r="W939" s="205"/>
      <c r="X939" s="167"/>
    </row>
    <row r="940" spans="8:24" s="220" customFormat="1" ht="12" hidden="1" customHeight="1">
      <c r="H940" s="162" t="s">
        <v>913</v>
      </c>
      <c r="I940" s="163" t="s">
        <v>1146</v>
      </c>
      <c r="J940" s="163" t="s">
        <v>796</v>
      </c>
      <c r="K940" s="162" t="s">
        <v>792</v>
      </c>
      <c r="L940" s="164" t="s">
        <v>790</v>
      </c>
      <c r="M940" s="169"/>
      <c r="N940" s="165"/>
      <c r="O940" s="169">
        <f t="shared" si="44"/>
        <v>0</v>
      </c>
      <c r="P940" s="165">
        <v>521020</v>
      </c>
      <c r="Q940" s="166">
        <f t="shared" si="45"/>
        <v>0</v>
      </c>
      <c r="R940" s="169"/>
      <c r="S940" s="169"/>
      <c r="T940" s="169"/>
      <c r="U940" s="169"/>
      <c r="V940" s="166">
        <f t="shared" si="46"/>
        <v>0</v>
      </c>
      <c r="W940" s="205"/>
      <c r="X940" s="167"/>
    </row>
    <row r="941" spans="8:24" s="220" customFormat="1" ht="12" hidden="1" customHeight="1">
      <c r="H941" s="162" t="s">
        <v>914</v>
      </c>
      <c r="I941" s="163" t="s">
        <v>1147</v>
      </c>
      <c r="J941" s="163" t="s">
        <v>797</v>
      </c>
      <c r="K941" s="162" t="s">
        <v>792</v>
      </c>
      <c r="L941" s="164" t="s">
        <v>790</v>
      </c>
      <c r="M941" s="169"/>
      <c r="N941" s="165"/>
      <c r="O941" s="169">
        <f t="shared" si="44"/>
        <v>0</v>
      </c>
      <c r="P941" s="165">
        <v>752585</v>
      </c>
      <c r="Q941" s="166">
        <f t="shared" si="45"/>
        <v>0</v>
      </c>
      <c r="R941" s="169"/>
      <c r="S941" s="169"/>
      <c r="T941" s="169"/>
      <c r="U941" s="169"/>
      <c r="V941" s="166">
        <f t="shared" si="46"/>
        <v>0</v>
      </c>
      <c r="W941" s="205"/>
      <c r="X941" s="167"/>
    </row>
    <row r="942" spans="8:24" s="220" customFormat="1" ht="12" hidden="1" customHeight="1">
      <c r="H942" s="162" t="s">
        <v>915</v>
      </c>
      <c r="I942" s="163" t="s">
        <v>1148</v>
      </c>
      <c r="J942" s="163" t="s">
        <v>798</v>
      </c>
      <c r="K942" s="162" t="s">
        <v>792</v>
      </c>
      <c r="L942" s="164" t="s">
        <v>790</v>
      </c>
      <c r="M942" s="169"/>
      <c r="N942" s="165"/>
      <c r="O942" s="169">
        <f t="shared" si="44"/>
        <v>0</v>
      </c>
      <c r="P942" s="165">
        <v>1676659</v>
      </c>
      <c r="Q942" s="166">
        <f t="shared" si="45"/>
        <v>0</v>
      </c>
      <c r="R942" s="169"/>
      <c r="S942" s="169"/>
      <c r="T942" s="169"/>
      <c r="U942" s="169"/>
      <c r="V942" s="166">
        <f t="shared" si="46"/>
        <v>0</v>
      </c>
      <c r="W942" s="205"/>
      <c r="X942" s="167"/>
    </row>
    <row r="943" spans="8:24" s="220" customFormat="1" ht="12" hidden="1" customHeight="1">
      <c r="H943" s="162" t="s">
        <v>430</v>
      </c>
      <c r="I943" s="163" t="s">
        <v>1109</v>
      </c>
      <c r="J943" s="163" t="s">
        <v>2475</v>
      </c>
      <c r="K943" s="162" t="s">
        <v>2476</v>
      </c>
      <c r="L943" s="164" t="s">
        <v>92</v>
      </c>
      <c r="M943" s="169"/>
      <c r="N943" s="165">
        <v>30100</v>
      </c>
      <c r="O943" s="169">
        <f t="shared" si="44"/>
        <v>0</v>
      </c>
      <c r="P943" s="165">
        <v>51293</v>
      </c>
      <c r="Q943" s="166">
        <f t="shared" si="45"/>
        <v>0</v>
      </c>
      <c r="R943" s="169"/>
      <c r="S943" s="169"/>
      <c r="T943" s="169"/>
      <c r="U943" s="169"/>
      <c r="V943" s="166">
        <f t="shared" si="46"/>
        <v>0</v>
      </c>
      <c r="W943" s="205"/>
      <c r="X943" s="167"/>
    </row>
    <row r="944" spans="8:24" s="220" customFormat="1" ht="12" hidden="1" customHeight="1">
      <c r="H944" s="162" t="s">
        <v>431</v>
      </c>
      <c r="I944" s="163" t="s">
        <v>1109</v>
      </c>
      <c r="J944" s="163" t="s">
        <v>2475</v>
      </c>
      <c r="K944" s="162" t="s">
        <v>2477</v>
      </c>
      <c r="L944" s="164" t="s">
        <v>92</v>
      </c>
      <c r="M944" s="169"/>
      <c r="N944" s="165">
        <v>49300</v>
      </c>
      <c r="O944" s="169">
        <f t="shared" si="44"/>
        <v>0</v>
      </c>
      <c r="P944" s="165">
        <v>51293</v>
      </c>
      <c r="Q944" s="166">
        <f t="shared" si="45"/>
        <v>0</v>
      </c>
      <c r="R944" s="169"/>
      <c r="S944" s="169"/>
      <c r="T944" s="169"/>
      <c r="U944" s="169"/>
      <c r="V944" s="166">
        <f t="shared" si="46"/>
        <v>0</v>
      </c>
      <c r="W944" s="205"/>
      <c r="X944" s="167"/>
    </row>
    <row r="945" spans="8:24" s="220" customFormat="1" ht="12" hidden="1" customHeight="1">
      <c r="H945" s="162" t="s">
        <v>432</v>
      </c>
      <c r="I945" s="163" t="s">
        <v>1109</v>
      </c>
      <c r="J945" s="163" t="s">
        <v>2475</v>
      </c>
      <c r="K945" s="162" t="s">
        <v>2478</v>
      </c>
      <c r="L945" s="164" t="s">
        <v>92</v>
      </c>
      <c r="M945" s="169"/>
      <c r="N945" s="165">
        <v>58600</v>
      </c>
      <c r="O945" s="169">
        <f t="shared" si="44"/>
        <v>0</v>
      </c>
      <c r="P945" s="165">
        <v>51293</v>
      </c>
      <c r="Q945" s="166">
        <f t="shared" si="45"/>
        <v>0</v>
      </c>
      <c r="R945" s="169"/>
      <c r="S945" s="169"/>
      <c r="T945" s="169"/>
      <c r="U945" s="169"/>
      <c r="V945" s="166">
        <f t="shared" si="46"/>
        <v>0</v>
      </c>
      <c r="W945" s="205"/>
      <c r="X945" s="167"/>
    </row>
    <row r="946" spans="8:24" s="220" customFormat="1" ht="12" hidden="1" customHeight="1">
      <c r="H946" s="162" t="s">
        <v>433</v>
      </c>
      <c r="I946" s="163" t="s">
        <v>1110</v>
      </c>
      <c r="J946" s="163" t="s">
        <v>2479</v>
      </c>
      <c r="K946" s="162" t="s">
        <v>2480</v>
      </c>
      <c r="L946" s="164" t="s">
        <v>92</v>
      </c>
      <c r="M946" s="169"/>
      <c r="N946" s="165">
        <v>40100</v>
      </c>
      <c r="O946" s="169">
        <f t="shared" si="44"/>
        <v>0</v>
      </c>
      <c r="P946" s="165">
        <v>70191</v>
      </c>
      <c r="Q946" s="166">
        <f t="shared" si="45"/>
        <v>0</v>
      </c>
      <c r="R946" s="169"/>
      <c r="S946" s="169"/>
      <c r="T946" s="169"/>
      <c r="U946" s="169"/>
      <c r="V946" s="166">
        <f t="shared" si="46"/>
        <v>0</v>
      </c>
      <c r="W946" s="205"/>
      <c r="X946" s="167"/>
    </row>
    <row r="947" spans="8:24" s="220" customFormat="1" ht="12" hidden="1" customHeight="1">
      <c r="H947" s="162" t="s">
        <v>434</v>
      </c>
      <c r="I947" s="163" t="s">
        <v>1110</v>
      </c>
      <c r="J947" s="163" t="s">
        <v>2479</v>
      </c>
      <c r="K947" s="162" t="s">
        <v>2481</v>
      </c>
      <c r="L947" s="164" t="s">
        <v>92</v>
      </c>
      <c r="M947" s="169"/>
      <c r="N947" s="165">
        <v>53600</v>
      </c>
      <c r="O947" s="169">
        <f t="shared" si="44"/>
        <v>0</v>
      </c>
      <c r="P947" s="165">
        <v>70191</v>
      </c>
      <c r="Q947" s="166">
        <f t="shared" si="45"/>
        <v>0</v>
      </c>
      <c r="R947" s="169"/>
      <c r="S947" s="169"/>
      <c r="T947" s="169"/>
      <c r="U947" s="169"/>
      <c r="V947" s="166">
        <f t="shared" si="46"/>
        <v>0</v>
      </c>
      <c r="W947" s="205"/>
      <c r="X947" s="167"/>
    </row>
    <row r="948" spans="8:24" s="220" customFormat="1" ht="12" hidden="1" customHeight="1">
      <c r="H948" s="162" t="s">
        <v>435</v>
      </c>
      <c r="I948" s="163" t="s">
        <v>1110</v>
      </c>
      <c r="J948" s="163" t="s">
        <v>2479</v>
      </c>
      <c r="K948" s="162" t="s">
        <v>2482</v>
      </c>
      <c r="L948" s="164" t="s">
        <v>92</v>
      </c>
      <c r="M948" s="169"/>
      <c r="N948" s="165">
        <v>66900</v>
      </c>
      <c r="O948" s="169">
        <f t="shared" si="44"/>
        <v>0</v>
      </c>
      <c r="P948" s="165">
        <v>70191</v>
      </c>
      <c r="Q948" s="166">
        <f t="shared" si="45"/>
        <v>0</v>
      </c>
      <c r="R948" s="169"/>
      <c r="S948" s="169"/>
      <c r="T948" s="169"/>
      <c r="U948" s="169"/>
      <c r="V948" s="166">
        <f t="shared" si="46"/>
        <v>0</v>
      </c>
      <c r="W948" s="205"/>
      <c r="X948" s="167"/>
    </row>
    <row r="949" spans="8:24" s="220" customFormat="1" ht="12" hidden="1" customHeight="1">
      <c r="H949" s="162" t="s">
        <v>436</v>
      </c>
      <c r="I949" s="163" t="s">
        <v>1111</v>
      </c>
      <c r="J949" s="163" t="s">
        <v>2483</v>
      </c>
      <c r="K949" s="162" t="s">
        <v>2484</v>
      </c>
      <c r="L949" s="164" t="s">
        <v>92</v>
      </c>
      <c r="M949" s="169"/>
      <c r="N949" s="165">
        <v>42600</v>
      </c>
      <c r="O949" s="169">
        <f t="shared" si="44"/>
        <v>0</v>
      </c>
      <c r="P949" s="165">
        <v>97188</v>
      </c>
      <c r="Q949" s="166">
        <f t="shared" si="45"/>
        <v>0</v>
      </c>
      <c r="R949" s="169"/>
      <c r="S949" s="169"/>
      <c r="T949" s="169"/>
      <c r="U949" s="169"/>
      <c r="V949" s="166">
        <f t="shared" si="46"/>
        <v>0</v>
      </c>
      <c r="W949" s="205"/>
      <c r="X949" s="167"/>
    </row>
    <row r="950" spans="8:24" s="220" customFormat="1" ht="12" hidden="1" customHeight="1">
      <c r="H950" s="162" t="s">
        <v>437</v>
      </c>
      <c r="I950" s="163" t="s">
        <v>1111</v>
      </c>
      <c r="J950" s="163" t="s">
        <v>2483</v>
      </c>
      <c r="K950" s="162" t="s">
        <v>2485</v>
      </c>
      <c r="L950" s="164" t="s">
        <v>92</v>
      </c>
      <c r="M950" s="169"/>
      <c r="N950" s="165">
        <v>55900</v>
      </c>
      <c r="O950" s="169">
        <f t="shared" ref="O950:O1013" si="47">M950*N950*$O$3</f>
        <v>0</v>
      </c>
      <c r="P950" s="165">
        <v>97188</v>
      </c>
      <c r="Q950" s="166">
        <f t="shared" si="45"/>
        <v>0</v>
      </c>
      <c r="R950" s="169"/>
      <c r="S950" s="169"/>
      <c r="T950" s="169"/>
      <c r="U950" s="169"/>
      <c r="V950" s="166">
        <f t="shared" si="46"/>
        <v>0</v>
      </c>
      <c r="W950" s="205"/>
      <c r="X950" s="167"/>
    </row>
    <row r="951" spans="8:24" s="220" customFormat="1" ht="12" hidden="1" customHeight="1">
      <c r="H951" s="162" t="s">
        <v>438</v>
      </c>
      <c r="I951" s="163" t="s">
        <v>1111</v>
      </c>
      <c r="J951" s="163" t="s">
        <v>2483</v>
      </c>
      <c r="K951" s="162" t="s">
        <v>2486</v>
      </c>
      <c r="L951" s="164" t="s">
        <v>92</v>
      </c>
      <c r="M951" s="169"/>
      <c r="N951" s="165">
        <v>70600</v>
      </c>
      <c r="O951" s="169">
        <f t="shared" si="47"/>
        <v>0</v>
      </c>
      <c r="P951" s="165">
        <v>97188</v>
      </c>
      <c r="Q951" s="166">
        <f t="shared" si="45"/>
        <v>0</v>
      </c>
      <c r="R951" s="169"/>
      <c r="S951" s="169"/>
      <c r="T951" s="169"/>
      <c r="U951" s="169"/>
      <c r="V951" s="166">
        <f t="shared" si="46"/>
        <v>0</v>
      </c>
      <c r="W951" s="205"/>
      <c r="X951" s="167"/>
    </row>
    <row r="952" spans="8:24" s="220" customFormat="1" ht="12" hidden="1" customHeight="1">
      <c r="H952" s="162" t="s">
        <v>439</v>
      </c>
      <c r="I952" s="163" t="s">
        <v>1112</v>
      </c>
      <c r="J952" s="163" t="s">
        <v>2487</v>
      </c>
      <c r="K952" s="162" t="s">
        <v>2488</v>
      </c>
      <c r="L952" s="164" t="s">
        <v>92</v>
      </c>
      <c r="M952" s="169"/>
      <c r="N952" s="165">
        <v>81300</v>
      </c>
      <c r="O952" s="169">
        <f t="shared" si="47"/>
        <v>0</v>
      </c>
      <c r="P952" s="165">
        <v>126884</v>
      </c>
      <c r="Q952" s="166">
        <f t="shared" si="45"/>
        <v>0</v>
      </c>
      <c r="R952" s="169"/>
      <c r="S952" s="169"/>
      <c r="T952" s="169"/>
      <c r="U952" s="169"/>
      <c r="V952" s="166">
        <f t="shared" si="46"/>
        <v>0</v>
      </c>
      <c r="W952" s="205"/>
      <c r="X952" s="167"/>
    </row>
    <row r="953" spans="8:24" s="220" customFormat="1" ht="12" hidden="1" customHeight="1">
      <c r="H953" s="162" t="s">
        <v>440</v>
      </c>
      <c r="I953" s="163" t="s">
        <v>1112</v>
      </c>
      <c r="J953" s="163" t="s">
        <v>2489</v>
      </c>
      <c r="K953" s="162" t="s">
        <v>2490</v>
      </c>
      <c r="L953" s="164" t="s">
        <v>92</v>
      </c>
      <c r="M953" s="169"/>
      <c r="N953" s="165">
        <v>104000</v>
      </c>
      <c r="O953" s="169">
        <f t="shared" si="47"/>
        <v>0</v>
      </c>
      <c r="P953" s="165">
        <v>126884</v>
      </c>
      <c r="Q953" s="166">
        <f t="shared" si="45"/>
        <v>0</v>
      </c>
      <c r="R953" s="169"/>
      <c r="S953" s="169"/>
      <c r="T953" s="169"/>
      <c r="U953" s="169"/>
      <c r="V953" s="166">
        <f t="shared" si="46"/>
        <v>0</v>
      </c>
      <c r="W953" s="205"/>
      <c r="X953" s="167"/>
    </row>
    <row r="954" spans="8:24" s="220" customFormat="1" ht="12" hidden="1" customHeight="1">
      <c r="H954" s="162" t="s">
        <v>441</v>
      </c>
      <c r="I954" s="163" t="s">
        <v>1112</v>
      </c>
      <c r="J954" s="163" t="s">
        <v>2489</v>
      </c>
      <c r="K954" s="162" t="s">
        <v>2491</v>
      </c>
      <c r="L954" s="164" t="s">
        <v>92</v>
      </c>
      <c r="M954" s="169"/>
      <c r="N954" s="165">
        <v>129000</v>
      </c>
      <c r="O954" s="169">
        <f t="shared" si="47"/>
        <v>0</v>
      </c>
      <c r="P954" s="165">
        <v>126884</v>
      </c>
      <c r="Q954" s="166">
        <f t="shared" si="45"/>
        <v>0</v>
      </c>
      <c r="R954" s="169"/>
      <c r="S954" s="169"/>
      <c r="T954" s="169"/>
      <c r="U954" s="169"/>
      <c r="V954" s="166">
        <f t="shared" si="46"/>
        <v>0</v>
      </c>
      <c r="W954" s="205"/>
      <c r="X954" s="167"/>
    </row>
    <row r="955" spans="8:24" s="220" customFormat="1" ht="12" hidden="1" customHeight="1">
      <c r="H955" s="162" t="s">
        <v>442</v>
      </c>
      <c r="I955" s="163" t="s">
        <v>1113</v>
      </c>
      <c r="J955" s="163" t="s">
        <v>2492</v>
      </c>
      <c r="K955" s="162" t="s">
        <v>2493</v>
      </c>
      <c r="L955" s="164" t="s">
        <v>92</v>
      </c>
      <c r="M955" s="169"/>
      <c r="N955" s="165">
        <v>211000</v>
      </c>
      <c r="O955" s="169">
        <f t="shared" si="47"/>
        <v>0</v>
      </c>
      <c r="P955" s="165">
        <v>183578</v>
      </c>
      <c r="Q955" s="166">
        <f t="shared" si="45"/>
        <v>0</v>
      </c>
      <c r="R955" s="169"/>
      <c r="S955" s="169"/>
      <c r="T955" s="169"/>
      <c r="U955" s="169"/>
      <c r="V955" s="166">
        <f t="shared" si="46"/>
        <v>0</v>
      </c>
      <c r="W955" s="205"/>
      <c r="X955" s="167"/>
    </row>
    <row r="956" spans="8:24" s="220" customFormat="1" ht="12" hidden="1" customHeight="1">
      <c r="H956" s="162" t="s">
        <v>443</v>
      </c>
      <c r="I956" s="163" t="s">
        <v>1113</v>
      </c>
      <c r="J956" s="163" t="s">
        <v>2492</v>
      </c>
      <c r="K956" s="162" t="s">
        <v>2494</v>
      </c>
      <c r="L956" s="164" t="s">
        <v>92</v>
      </c>
      <c r="M956" s="169"/>
      <c r="N956" s="165">
        <v>251000</v>
      </c>
      <c r="O956" s="169">
        <f t="shared" si="47"/>
        <v>0</v>
      </c>
      <c r="P956" s="165">
        <v>183578</v>
      </c>
      <c r="Q956" s="166">
        <f t="shared" si="45"/>
        <v>0</v>
      </c>
      <c r="R956" s="169"/>
      <c r="S956" s="169"/>
      <c r="T956" s="169"/>
      <c r="U956" s="169"/>
      <c r="V956" s="166">
        <f t="shared" si="46"/>
        <v>0</v>
      </c>
      <c r="W956" s="205"/>
      <c r="X956" s="167"/>
    </row>
    <row r="957" spans="8:24" s="220" customFormat="1" ht="12" hidden="1" customHeight="1">
      <c r="H957" s="162" t="s">
        <v>444</v>
      </c>
      <c r="I957" s="163" t="s">
        <v>1113</v>
      </c>
      <c r="J957" s="163" t="s">
        <v>2492</v>
      </c>
      <c r="K957" s="162" t="s">
        <v>2523</v>
      </c>
      <c r="L957" s="164" t="s">
        <v>92</v>
      </c>
      <c r="M957" s="169"/>
      <c r="N957" s="165">
        <v>288000</v>
      </c>
      <c r="O957" s="169">
        <f t="shared" si="47"/>
        <v>0</v>
      </c>
      <c r="P957" s="165">
        <v>183578</v>
      </c>
      <c r="Q957" s="166">
        <f t="shared" si="45"/>
        <v>0</v>
      </c>
      <c r="R957" s="169"/>
      <c r="S957" s="169"/>
      <c r="T957" s="169"/>
      <c r="U957" s="169"/>
      <c r="V957" s="166">
        <f t="shared" si="46"/>
        <v>0</v>
      </c>
      <c r="W957" s="205"/>
      <c r="X957" s="167"/>
    </row>
    <row r="958" spans="8:24" s="220" customFormat="1" ht="12" hidden="1" customHeight="1">
      <c r="H958" s="162" t="s">
        <v>445</v>
      </c>
      <c r="I958" s="163" t="s">
        <v>1113</v>
      </c>
      <c r="J958" s="163" t="s">
        <v>2492</v>
      </c>
      <c r="K958" s="162" t="s">
        <v>2524</v>
      </c>
      <c r="L958" s="164" t="s">
        <v>92</v>
      </c>
      <c r="M958" s="169"/>
      <c r="N958" s="165">
        <v>360000</v>
      </c>
      <c r="O958" s="169">
        <f t="shared" si="47"/>
        <v>0</v>
      </c>
      <c r="P958" s="165">
        <v>183578</v>
      </c>
      <c r="Q958" s="166">
        <f t="shared" si="45"/>
        <v>0</v>
      </c>
      <c r="R958" s="169"/>
      <c r="S958" s="169"/>
      <c r="T958" s="169"/>
      <c r="U958" s="169"/>
      <c r="V958" s="166">
        <f t="shared" si="46"/>
        <v>0</v>
      </c>
      <c r="W958" s="205"/>
      <c r="X958" s="167"/>
    </row>
    <row r="959" spans="8:24" s="220" customFormat="1" ht="12" hidden="1" customHeight="1">
      <c r="H959" s="162" t="s">
        <v>446</v>
      </c>
      <c r="I959" s="163" t="s">
        <v>1113</v>
      </c>
      <c r="J959" s="163" t="s">
        <v>2492</v>
      </c>
      <c r="K959" s="162" t="s">
        <v>2525</v>
      </c>
      <c r="L959" s="164" t="s">
        <v>92</v>
      </c>
      <c r="M959" s="169"/>
      <c r="N959" s="165">
        <v>417000</v>
      </c>
      <c r="O959" s="169">
        <f t="shared" si="47"/>
        <v>0</v>
      </c>
      <c r="P959" s="165">
        <v>183578</v>
      </c>
      <c r="Q959" s="166">
        <f t="shared" si="45"/>
        <v>0</v>
      </c>
      <c r="R959" s="169"/>
      <c r="S959" s="169"/>
      <c r="T959" s="169"/>
      <c r="U959" s="169"/>
      <c r="V959" s="166">
        <f t="shared" si="46"/>
        <v>0</v>
      </c>
      <c r="W959" s="205"/>
      <c r="X959" s="167"/>
    </row>
    <row r="960" spans="8:24" s="220" customFormat="1" ht="12" hidden="1" customHeight="1">
      <c r="H960" s="162" t="s">
        <v>447</v>
      </c>
      <c r="I960" s="163" t="s">
        <v>1113</v>
      </c>
      <c r="J960" s="163" t="s">
        <v>2492</v>
      </c>
      <c r="K960" s="162" t="s">
        <v>2526</v>
      </c>
      <c r="L960" s="164" t="s">
        <v>92</v>
      </c>
      <c r="M960" s="169"/>
      <c r="N960" s="165">
        <v>509000</v>
      </c>
      <c r="O960" s="169">
        <f t="shared" si="47"/>
        <v>0</v>
      </c>
      <c r="P960" s="165">
        <v>183578</v>
      </c>
      <c r="Q960" s="166">
        <f t="shared" si="45"/>
        <v>0</v>
      </c>
      <c r="R960" s="169"/>
      <c r="S960" s="169"/>
      <c r="T960" s="169"/>
      <c r="U960" s="169"/>
      <c r="V960" s="166">
        <f t="shared" si="46"/>
        <v>0</v>
      </c>
      <c r="W960" s="205"/>
      <c r="X960" s="167"/>
    </row>
    <row r="961" spans="8:24" s="220" customFormat="1" ht="12" hidden="1" customHeight="1">
      <c r="H961" s="162" t="s">
        <v>448</v>
      </c>
      <c r="I961" s="163" t="s">
        <v>1114</v>
      </c>
      <c r="J961" s="163" t="s">
        <v>2527</v>
      </c>
      <c r="K961" s="162" t="s">
        <v>2528</v>
      </c>
      <c r="L961" s="164" t="s">
        <v>92</v>
      </c>
      <c r="M961" s="169"/>
      <c r="N961" s="165">
        <v>808000</v>
      </c>
      <c r="O961" s="169">
        <f t="shared" si="47"/>
        <v>0</v>
      </c>
      <c r="P961" s="165">
        <v>240271</v>
      </c>
      <c r="Q961" s="166">
        <f t="shared" si="45"/>
        <v>0</v>
      </c>
      <c r="R961" s="169"/>
      <c r="S961" s="169"/>
      <c r="T961" s="169"/>
      <c r="U961" s="169"/>
      <c r="V961" s="166">
        <f t="shared" si="46"/>
        <v>0</v>
      </c>
      <c r="W961" s="205"/>
      <c r="X961" s="167"/>
    </row>
    <row r="962" spans="8:24" s="220" customFormat="1" ht="12" hidden="1" customHeight="1">
      <c r="H962" s="162" t="s">
        <v>449</v>
      </c>
      <c r="I962" s="163" t="s">
        <v>1114</v>
      </c>
      <c r="J962" s="163" t="s">
        <v>2527</v>
      </c>
      <c r="K962" s="162" t="s">
        <v>2529</v>
      </c>
      <c r="L962" s="164" t="s">
        <v>92</v>
      </c>
      <c r="M962" s="169"/>
      <c r="N962" s="165">
        <v>984000</v>
      </c>
      <c r="O962" s="169">
        <f t="shared" si="47"/>
        <v>0</v>
      </c>
      <c r="P962" s="165">
        <v>240271</v>
      </c>
      <c r="Q962" s="166">
        <f t="shared" si="45"/>
        <v>0</v>
      </c>
      <c r="R962" s="169"/>
      <c r="S962" s="169"/>
      <c r="T962" s="169"/>
      <c r="U962" s="169"/>
      <c r="V962" s="166">
        <f t="shared" si="46"/>
        <v>0</v>
      </c>
      <c r="W962" s="205"/>
      <c r="X962" s="167"/>
    </row>
    <row r="963" spans="8:24" s="220" customFormat="1" ht="12" hidden="1" customHeight="1">
      <c r="H963" s="162" t="s">
        <v>450</v>
      </c>
      <c r="I963" s="163" t="s">
        <v>1114</v>
      </c>
      <c r="J963" s="163" t="s">
        <v>2527</v>
      </c>
      <c r="K963" s="162" t="s">
        <v>2530</v>
      </c>
      <c r="L963" s="164" t="s">
        <v>92</v>
      </c>
      <c r="M963" s="169"/>
      <c r="N963" s="165">
        <v>1108000</v>
      </c>
      <c r="O963" s="169">
        <f t="shared" si="47"/>
        <v>0</v>
      </c>
      <c r="P963" s="165">
        <v>240271</v>
      </c>
      <c r="Q963" s="166">
        <f t="shared" si="45"/>
        <v>0</v>
      </c>
      <c r="R963" s="169"/>
      <c r="S963" s="169"/>
      <c r="T963" s="169"/>
      <c r="U963" s="169"/>
      <c r="V963" s="166">
        <f t="shared" si="46"/>
        <v>0</v>
      </c>
      <c r="W963" s="205"/>
      <c r="X963" s="167"/>
    </row>
    <row r="964" spans="8:24" s="220" customFormat="1" ht="12" hidden="1" customHeight="1">
      <c r="H964" s="162" t="s">
        <v>451</v>
      </c>
      <c r="I964" s="163" t="s">
        <v>1114</v>
      </c>
      <c r="J964" s="163" t="s">
        <v>2527</v>
      </c>
      <c r="K964" s="162" t="s">
        <v>2531</v>
      </c>
      <c r="L964" s="164" t="s">
        <v>92</v>
      </c>
      <c r="M964" s="169"/>
      <c r="N964" s="165">
        <v>975000</v>
      </c>
      <c r="O964" s="169">
        <f t="shared" si="47"/>
        <v>0</v>
      </c>
      <c r="P964" s="165">
        <v>240271</v>
      </c>
      <c r="Q964" s="166">
        <f t="shared" si="45"/>
        <v>0</v>
      </c>
      <c r="R964" s="169"/>
      <c r="S964" s="169"/>
      <c r="T964" s="169"/>
      <c r="U964" s="169"/>
      <c r="V964" s="166">
        <f t="shared" si="46"/>
        <v>0</v>
      </c>
      <c r="W964" s="205"/>
      <c r="X964" s="167"/>
    </row>
    <row r="965" spans="8:24" s="220" customFormat="1" ht="12" hidden="1" customHeight="1">
      <c r="H965" s="162" t="s">
        <v>452</v>
      </c>
      <c r="I965" s="163" t="s">
        <v>1114</v>
      </c>
      <c r="J965" s="163" t="s">
        <v>2527</v>
      </c>
      <c r="K965" s="162" t="s">
        <v>2532</v>
      </c>
      <c r="L965" s="164" t="s">
        <v>92</v>
      </c>
      <c r="M965" s="169"/>
      <c r="N965" s="165">
        <v>1183000</v>
      </c>
      <c r="O965" s="169">
        <f t="shared" si="47"/>
        <v>0</v>
      </c>
      <c r="P965" s="165">
        <v>240271</v>
      </c>
      <c r="Q965" s="166">
        <f t="shared" si="45"/>
        <v>0</v>
      </c>
      <c r="R965" s="169"/>
      <c r="S965" s="169"/>
      <c r="T965" s="169"/>
      <c r="U965" s="169"/>
      <c r="V965" s="166">
        <f t="shared" si="46"/>
        <v>0</v>
      </c>
      <c r="W965" s="205"/>
      <c r="X965" s="167"/>
    </row>
    <row r="966" spans="8:24" s="220" customFormat="1" ht="12" hidden="1" customHeight="1">
      <c r="H966" s="162" t="s">
        <v>453</v>
      </c>
      <c r="I966" s="163" t="s">
        <v>1114</v>
      </c>
      <c r="J966" s="163" t="s">
        <v>2527</v>
      </c>
      <c r="K966" s="162" t="s">
        <v>2533</v>
      </c>
      <c r="L966" s="164" t="s">
        <v>92</v>
      </c>
      <c r="M966" s="169"/>
      <c r="N966" s="165">
        <v>1378000</v>
      </c>
      <c r="O966" s="169">
        <f t="shared" si="47"/>
        <v>0</v>
      </c>
      <c r="P966" s="165">
        <v>240271</v>
      </c>
      <c r="Q966" s="166">
        <f t="shared" si="45"/>
        <v>0</v>
      </c>
      <c r="R966" s="169"/>
      <c r="S966" s="169"/>
      <c r="T966" s="169"/>
      <c r="U966" s="169"/>
      <c r="V966" s="166">
        <f t="shared" si="46"/>
        <v>0</v>
      </c>
      <c r="W966" s="205"/>
      <c r="X966" s="167"/>
    </row>
    <row r="967" spans="8:24" s="220" customFormat="1" ht="12" hidden="1" customHeight="1">
      <c r="H967" s="162" t="s">
        <v>454</v>
      </c>
      <c r="I967" s="163" t="s">
        <v>1109</v>
      </c>
      <c r="J967" s="163" t="s">
        <v>2189</v>
      </c>
      <c r="K967" s="162" t="s">
        <v>2534</v>
      </c>
      <c r="L967" s="164" t="s">
        <v>92</v>
      </c>
      <c r="M967" s="169"/>
      <c r="N967" s="165">
        <v>13900</v>
      </c>
      <c r="O967" s="169">
        <f t="shared" si="47"/>
        <v>0</v>
      </c>
      <c r="P967" s="165">
        <v>51293</v>
      </c>
      <c r="Q967" s="166">
        <f t="shared" si="45"/>
        <v>0</v>
      </c>
      <c r="R967" s="169"/>
      <c r="S967" s="169"/>
      <c r="T967" s="169"/>
      <c r="U967" s="169"/>
      <c r="V967" s="166">
        <f t="shared" si="46"/>
        <v>0</v>
      </c>
      <c r="W967" s="205"/>
      <c r="X967" s="167"/>
    </row>
    <row r="968" spans="8:24" s="220" customFormat="1" ht="12" hidden="1" customHeight="1">
      <c r="H968" s="162" t="s">
        <v>455</v>
      </c>
      <c r="I968" s="163" t="s">
        <v>1109</v>
      </c>
      <c r="J968" s="163" t="s">
        <v>2189</v>
      </c>
      <c r="K968" s="162" t="s">
        <v>2535</v>
      </c>
      <c r="L968" s="164" t="s">
        <v>92</v>
      </c>
      <c r="M968" s="169"/>
      <c r="N968" s="165">
        <v>13900</v>
      </c>
      <c r="O968" s="169">
        <f t="shared" si="47"/>
        <v>0</v>
      </c>
      <c r="P968" s="165">
        <v>51293</v>
      </c>
      <c r="Q968" s="166">
        <f t="shared" si="45"/>
        <v>0</v>
      </c>
      <c r="R968" s="169"/>
      <c r="S968" s="169"/>
      <c r="T968" s="169"/>
      <c r="U968" s="169"/>
      <c r="V968" s="166">
        <f t="shared" si="46"/>
        <v>0</v>
      </c>
      <c r="W968" s="205"/>
      <c r="X968" s="167"/>
    </row>
    <row r="969" spans="8:24" s="220" customFormat="1" ht="12" hidden="1" customHeight="1">
      <c r="H969" s="162" t="s">
        <v>456</v>
      </c>
      <c r="I969" s="163" t="s">
        <v>1109</v>
      </c>
      <c r="J969" s="163" t="s">
        <v>2189</v>
      </c>
      <c r="K969" s="162" t="s">
        <v>2536</v>
      </c>
      <c r="L969" s="164" t="s">
        <v>92</v>
      </c>
      <c r="M969" s="169"/>
      <c r="N969" s="165">
        <v>27000</v>
      </c>
      <c r="O969" s="169">
        <f t="shared" si="47"/>
        <v>0</v>
      </c>
      <c r="P969" s="165">
        <v>51293</v>
      </c>
      <c r="Q969" s="166">
        <f t="shared" si="45"/>
        <v>0</v>
      </c>
      <c r="R969" s="169"/>
      <c r="S969" s="169"/>
      <c r="T969" s="169"/>
      <c r="U969" s="169"/>
      <c r="V969" s="166">
        <f t="shared" si="46"/>
        <v>0</v>
      </c>
      <c r="W969" s="205"/>
      <c r="X969" s="167"/>
    </row>
    <row r="970" spans="8:24" s="220" customFormat="1" ht="12" hidden="1" customHeight="1">
      <c r="H970" s="162" t="s">
        <v>457</v>
      </c>
      <c r="I970" s="163" t="s">
        <v>1109</v>
      </c>
      <c r="J970" s="163" t="s">
        <v>2189</v>
      </c>
      <c r="K970" s="162" t="s">
        <v>2537</v>
      </c>
      <c r="L970" s="164" t="s">
        <v>92</v>
      </c>
      <c r="M970" s="169"/>
      <c r="N970" s="165">
        <v>13900</v>
      </c>
      <c r="O970" s="169">
        <f t="shared" si="47"/>
        <v>0</v>
      </c>
      <c r="P970" s="165">
        <v>51293</v>
      </c>
      <c r="Q970" s="166">
        <f t="shared" si="45"/>
        <v>0</v>
      </c>
      <c r="R970" s="169"/>
      <c r="S970" s="169"/>
      <c r="T970" s="169"/>
      <c r="U970" s="169"/>
      <c r="V970" s="166">
        <f t="shared" si="46"/>
        <v>0</v>
      </c>
      <c r="W970" s="205"/>
      <c r="X970" s="167"/>
    </row>
    <row r="971" spans="8:24" s="220" customFormat="1" ht="12" hidden="1" customHeight="1">
      <c r="H971" s="162" t="s">
        <v>458</v>
      </c>
      <c r="I971" s="163" t="s">
        <v>1109</v>
      </c>
      <c r="J971" s="163" t="s">
        <v>2189</v>
      </c>
      <c r="K971" s="162" t="s">
        <v>2538</v>
      </c>
      <c r="L971" s="164" t="s">
        <v>92</v>
      </c>
      <c r="M971" s="169"/>
      <c r="N971" s="165">
        <v>13900</v>
      </c>
      <c r="O971" s="169">
        <f t="shared" si="47"/>
        <v>0</v>
      </c>
      <c r="P971" s="165">
        <v>51293</v>
      </c>
      <c r="Q971" s="166">
        <f t="shared" si="45"/>
        <v>0</v>
      </c>
      <c r="R971" s="169"/>
      <c r="S971" s="169"/>
      <c r="T971" s="169"/>
      <c r="U971" s="169"/>
      <c r="V971" s="166">
        <f t="shared" si="46"/>
        <v>0</v>
      </c>
      <c r="W971" s="205"/>
      <c r="X971" s="167"/>
    </row>
    <row r="972" spans="8:24" s="220" customFormat="1" ht="12" hidden="1" customHeight="1">
      <c r="H972" s="162" t="s">
        <v>459</v>
      </c>
      <c r="I972" s="163" t="s">
        <v>1109</v>
      </c>
      <c r="J972" s="163" t="s">
        <v>2189</v>
      </c>
      <c r="K972" s="162" t="s">
        <v>2539</v>
      </c>
      <c r="L972" s="164" t="s">
        <v>92</v>
      </c>
      <c r="M972" s="169"/>
      <c r="N972" s="165">
        <v>38900</v>
      </c>
      <c r="O972" s="169">
        <f t="shared" si="47"/>
        <v>0</v>
      </c>
      <c r="P972" s="165">
        <v>51293</v>
      </c>
      <c r="Q972" s="166">
        <f t="shared" si="45"/>
        <v>0</v>
      </c>
      <c r="R972" s="169"/>
      <c r="S972" s="169"/>
      <c r="T972" s="169"/>
      <c r="U972" s="169"/>
      <c r="V972" s="166">
        <f t="shared" si="46"/>
        <v>0</v>
      </c>
      <c r="W972" s="205"/>
      <c r="X972" s="167"/>
    </row>
    <row r="973" spans="8:24" s="220" customFormat="1" ht="12" hidden="1" customHeight="1">
      <c r="H973" s="162" t="s">
        <v>460</v>
      </c>
      <c r="I973" s="163" t="s">
        <v>1109</v>
      </c>
      <c r="J973" s="163" t="s">
        <v>2189</v>
      </c>
      <c r="K973" s="162" t="s">
        <v>2540</v>
      </c>
      <c r="L973" s="164" t="s">
        <v>92</v>
      </c>
      <c r="M973" s="169"/>
      <c r="N973" s="165">
        <v>47000</v>
      </c>
      <c r="O973" s="169">
        <f t="shared" si="47"/>
        <v>0</v>
      </c>
      <c r="P973" s="165">
        <v>51293</v>
      </c>
      <c r="Q973" s="166">
        <f t="shared" si="45"/>
        <v>0</v>
      </c>
      <c r="R973" s="169"/>
      <c r="S973" s="169"/>
      <c r="T973" s="169"/>
      <c r="U973" s="169"/>
      <c r="V973" s="166">
        <f t="shared" si="46"/>
        <v>0</v>
      </c>
      <c r="W973" s="205"/>
      <c r="X973" s="167"/>
    </row>
    <row r="974" spans="8:24" s="220" customFormat="1" ht="12" hidden="1" customHeight="1">
      <c r="H974" s="162" t="s">
        <v>461</v>
      </c>
      <c r="I974" s="163" t="s">
        <v>1110</v>
      </c>
      <c r="J974" s="163" t="s">
        <v>2541</v>
      </c>
      <c r="K974" s="162" t="s">
        <v>2542</v>
      </c>
      <c r="L974" s="164" t="s">
        <v>92</v>
      </c>
      <c r="M974" s="169"/>
      <c r="N974" s="165">
        <v>42200</v>
      </c>
      <c r="O974" s="169">
        <f t="shared" si="47"/>
        <v>0</v>
      </c>
      <c r="P974" s="165">
        <v>70191</v>
      </c>
      <c r="Q974" s="166">
        <f t="shared" si="45"/>
        <v>0</v>
      </c>
      <c r="R974" s="169"/>
      <c r="S974" s="169"/>
      <c r="T974" s="169"/>
      <c r="U974" s="169"/>
      <c r="V974" s="166">
        <f t="shared" si="46"/>
        <v>0</v>
      </c>
      <c r="W974" s="205"/>
      <c r="X974" s="167"/>
    </row>
    <row r="975" spans="8:24" s="220" customFormat="1" ht="12" hidden="1" customHeight="1">
      <c r="H975" s="162" t="s">
        <v>462</v>
      </c>
      <c r="I975" s="163" t="s">
        <v>1110</v>
      </c>
      <c r="J975" s="163" t="s">
        <v>2541</v>
      </c>
      <c r="K975" s="162" t="s">
        <v>2543</v>
      </c>
      <c r="L975" s="164" t="s">
        <v>92</v>
      </c>
      <c r="M975" s="169"/>
      <c r="N975" s="165">
        <v>51900</v>
      </c>
      <c r="O975" s="169">
        <f t="shared" si="47"/>
        <v>0</v>
      </c>
      <c r="P975" s="165">
        <v>70191</v>
      </c>
      <c r="Q975" s="166">
        <f t="shared" si="45"/>
        <v>0</v>
      </c>
      <c r="R975" s="169"/>
      <c r="S975" s="169"/>
      <c r="T975" s="169"/>
      <c r="U975" s="169"/>
      <c r="V975" s="166">
        <f t="shared" si="46"/>
        <v>0</v>
      </c>
      <c r="W975" s="205"/>
      <c r="X975" s="167"/>
    </row>
    <row r="976" spans="8:24" s="220" customFormat="1" ht="12" hidden="1" customHeight="1">
      <c r="H976" s="162" t="s">
        <v>463</v>
      </c>
      <c r="I976" s="163" t="s">
        <v>1111</v>
      </c>
      <c r="J976" s="163" t="s">
        <v>2544</v>
      </c>
      <c r="K976" s="162" t="s">
        <v>2545</v>
      </c>
      <c r="L976" s="164" t="s">
        <v>92</v>
      </c>
      <c r="M976" s="169"/>
      <c r="N976" s="165">
        <v>83300</v>
      </c>
      <c r="O976" s="169">
        <f t="shared" si="47"/>
        <v>0</v>
      </c>
      <c r="P976" s="165">
        <v>97188</v>
      </c>
      <c r="Q976" s="166">
        <f t="shared" ref="Q976:Q1039" si="48">IF(W976="",M976*P976*$Q$3*$W$3,M976*P976*$Q$3*W976)</f>
        <v>0</v>
      </c>
      <c r="R976" s="169"/>
      <c r="S976" s="169"/>
      <c r="T976" s="169"/>
      <c r="U976" s="169"/>
      <c r="V976" s="166">
        <f t="shared" ref="V976:V1039" si="49">SUM(O976+Q976)+S976+U976</f>
        <v>0</v>
      </c>
      <c r="W976" s="205"/>
      <c r="X976" s="167"/>
    </row>
    <row r="977" spans="8:24" s="220" customFormat="1" ht="12" hidden="1" customHeight="1">
      <c r="H977" s="162" t="s">
        <v>464</v>
      </c>
      <c r="I977" s="163" t="s">
        <v>1111</v>
      </c>
      <c r="J977" s="163" t="s">
        <v>2544</v>
      </c>
      <c r="K977" s="162" t="s">
        <v>2546</v>
      </c>
      <c r="L977" s="164" t="s">
        <v>92</v>
      </c>
      <c r="M977" s="169"/>
      <c r="N977" s="165">
        <v>95500</v>
      </c>
      <c r="O977" s="169">
        <f t="shared" si="47"/>
        <v>0</v>
      </c>
      <c r="P977" s="165">
        <v>97188</v>
      </c>
      <c r="Q977" s="166">
        <f t="shared" si="48"/>
        <v>0</v>
      </c>
      <c r="R977" s="169"/>
      <c r="S977" s="169"/>
      <c r="T977" s="169"/>
      <c r="U977" s="169"/>
      <c r="V977" s="166">
        <f t="shared" si="49"/>
        <v>0</v>
      </c>
      <c r="W977" s="205"/>
      <c r="X977" s="167"/>
    </row>
    <row r="978" spans="8:24" s="220" customFormat="1" ht="12" hidden="1" customHeight="1">
      <c r="H978" s="162" t="s">
        <v>465</v>
      </c>
      <c r="I978" s="163" t="s">
        <v>1109</v>
      </c>
      <c r="J978" s="163" t="s">
        <v>2190</v>
      </c>
      <c r="K978" s="162" t="s">
        <v>2547</v>
      </c>
      <c r="L978" s="164" t="s">
        <v>92</v>
      </c>
      <c r="M978" s="169"/>
      <c r="N978" s="165">
        <v>110000</v>
      </c>
      <c r="O978" s="169">
        <f t="shared" si="47"/>
        <v>0</v>
      </c>
      <c r="P978" s="165">
        <v>51293</v>
      </c>
      <c r="Q978" s="166">
        <f t="shared" si="48"/>
        <v>0</v>
      </c>
      <c r="R978" s="169"/>
      <c r="S978" s="169"/>
      <c r="T978" s="169"/>
      <c r="U978" s="169"/>
      <c r="V978" s="166">
        <f t="shared" si="49"/>
        <v>0</v>
      </c>
      <c r="W978" s="205"/>
      <c r="X978" s="167"/>
    </row>
    <row r="979" spans="8:24" s="220" customFormat="1" ht="12" hidden="1" customHeight="1">
      <c r="H979" s="162" t="s">
        <v>466</v>
      </c>
      <c r="I979" s="163" t="s">
        <v>1110</v>
      </c>
      <c r="J979" s="163" t="s">
        <v>2548</v>
      </c>
      <c r="K979" s="162" t="s">
        <v>2549</v>
      </c>
      <c r="L979" s="164" t="s">
        <v>92</v>
      </c>
      <c r="M979" s="169"/>
      <c r="N979" s="165">
        <v>131000</v>
      </c>
      <c r="O979" s="169">
        <f t="shared" si="47"/>
        <v>0</v>
      </c>
      <c r="P979" s="165">
        <v>70191</v>
      </c>
      <c r="Q979" s="166">
        <f t="shared" si="48"/>
        <v>0</v>
      </c>
      <c r="R979" s="169"/>
      <c r="S979" s="169"/>
      <c r="T979" s="169"/>
      <c r="U979" s="169"/>
      <c r="V979" s="166">
        <f t="shared" si="49"/>
        <v>0</v>
      </c>
      <c r="W979" s="205"/>
      <c r="X979" s="167"/>
    </row>
    <row r="980" spans="8:24" s="220" customFormat="1" ht="12" hidden="1" customHeight="1">
      <c r="H980" s="162" t="s">
        <v>467</v>
      </c>
      <c r="I980" s="163" t="s">
        <v>1110</v>
      </c>
      <c r="J980" s="163" t="s">
        <v>2548</v>
      </c>
      <c r="K980" s="162" t="s">
        <v>2550</v>
      </c>
      <c r="L980" s="164" t="s">
        <v>92</v>
      </c>
      <c r="M980" s="169"/>
      <c r="N980" s="165">
        <v>143000</v>
      </c>
      <c r="O980" s="169">
        <f t="shared" si="47"/>
        <v>0</v>
      </c>
      <c r="P980" s="165">
        <v>70191</v>
      </c>
      <c r="Q980" s="166">
        <f t="shared" si="48"/>
        <v>0</v>
      </c>
      <c r="R980" s="169"/>
      <c r="S980" s="169"/>
      <c r="T980" s="169"/>
      <c r="U980" s="169"/>
      <c r="V980" s="166">
        <f t="shared" si="49"/>
        <v>0</v>
      </c>
      <c r="W980" s="205"/>
      <c r="X980" s="167"/>
    </row>
    <row r="981" spans="8:24" s="220" customFormat="1" ht="12" hidden="1" customHeight="1">
      <c r="H981" s="162" t="s">
        <v>468</v>
      </c>
      <c r="I981" s="163" t="s">
        <v>1111</v>
      </c>
      <c r="J981" s="163" t="s">
        <v>2551</v>
      </c>
      <c r="K981" s="162" t="s">
        <v>2552</v>
      </c>
      <c r="L981" s="164" t="s">
        <v>92</v>
      </c>
      <c r="M981" s="169"/>
      <c r="N981" s="165">
        <v>134000</v>
      </c>
      <c r="O981" s="169">
        <f t="shared" si="47"/>
        <v>0</v>
      </c>
      <c r="P981" s="165">
        <v>97188</v>
      </c>
      <c r="Q981" s="166">
        <f t="shared" si="48"/>
        <v>0</v>
      </c>
      <c r="R981" s="169"/>
      <c r="S981" s="169"/>
      <c r="T981" s="169"/>
      <c r="U981" s="169"/>
      <c r="V981" s="166">
        <f t="shared" si="49"/>
        <v>0</v>
      </c>
      <c r="W981" s="205"/>
      <c r="X981" s="167"/>
    </row>
    <row r="982" spans="8:24" s="220" customFormat="1" ht="12" hidden="1" customHeight="1">
      <c r="H982" s="162" t="s">
        <v>469</v>
      </c>
      <c r="I982" s="163" t="s">
        <v>1111</v>
      </c>
      <c r="J982" s="163" t="s">
        <v>2551</v>
      </c>
      <c r="K982" s="162" t="s">
        <v>2553</v>
      </c>
      <c r="L982" s="164" t="s">
        <v>92</v>
      </c>
      <c r="M982" s="169"/>
      <c r="N982" s="165">
        <v>170000</v>
      </c>
      <c r="O982" s="169">
        <f t="shared" si="47"/>
        <v>0</v>
      </c>
      <c r="P982" s="165">
        <v>97188</v>
      </c>
      <c r="Q982" s="166">
        <f t="shared" si="48"/>
        <v>0</v>
      </c>
      <c r="R982" s="169"/>
      <c r="S982" s="169"/>
      <c r="T982" s="169"/>
      <c r="U982" s="169"/>
      <c r="V982" s="166">
        <f t="shared" si="49"/>
        <v>0</v>
      </c>
      <c r="W982" s="205"/>
      <c r="X982" s="167"/>
    </row>
    <row r="983" spans="8:24" s="220" customFormat="1" ht="12" hidden="1" customHeight="1">
      <c r="H983" s="162" t="s">
        <v>470</v>
      </c>
      <c r="I983" s="163" t="s">
        <v>1112</v>
      </c>
      <c r="J983" s="163" t="s">
        <v>2554</v>
      </c>
      <c r="K983" s="162" t="s">
        <v>2555</v>
      </c>
      <c r="L983" s="164" t="s">
        <v>92</v>
      </c>
      <c r="M983" s="169"/>
      <c r="N983" s="165">
        <v>178000</v>
      </c>
      <c r="O983" s="169">
        <f t="shared" si="47"/>
        <v>0</v>
      </c>
      <c r="P983" s="165">
        <v>126884</v>
      </c>
      <c r="Q983" s="166">
        <f t="shared" si="48"/>
        <v>0</v>
      </c>
      <c r="R983" s="169"/>
      <c r="S983" s="169"/>
      <c r="T983" s="169"/>
      <c r="U983" s="169"/>
      <c r="V983" s="166">
        <f t="shared" si="49"/>
        <v>0</v>
      </c>
      <c r="W983" s="205"/>
      <c r="X983" s="167"/>
    </row>
    <row r="984" spans="8:24" s="220" customFormat="1" ht="12" hidden="1" customHeight="1">
      <c r="H984" s="162" t="s">
        <v>471</v>
      </c>
      <c r="I984" s="163" t="s">
        <v>1112</v>
      </c>
      <c r="J984" s="163" t="s">
        <v>2554</v>
      </c>
      <c r="K984" s="162" t="s">
        <v>2556</v>
      </c>
      <c r="L984" s="164" t="s">
        <v>92</v>
      </c>
      <c r="M984" s="169"/>
      <c r="N984" s="165">
        <v>214000</v>
      </c>
      <c r="O984" s="169">
        <f t="shared" si="47"/>
        <v>0</v>
      </c>
      <c r="P984" s="165">
        <v>126884</v>
      </c>
      <c r="Q984" s="166">
        <f t="shared" si="48"/>
        <v>0</v>
      </c>
      <c r="R984" s="169"/>
      <c r="S984" s="169"/>
      <c r="T984" s="169"/>
      <c r="U984" s="169"/>
      <c r="V984" s="166">
        <f t="shared" si="49"/>
        <v>0</v>
      </c>
      <c r="W984" s="205"/>
      <c r="X984" s="167"/>
    </row>
    <row r="985" spans="8:24" s="220" customFormat="1" ht="12" hidden="1" customHeight="1">
      <c r="H985" s="162" t="s">
        <v>472</v>
      </c>
      <c r="I985" s="163" t="s">
        <v>1113</v>
      </c>
      <c r="J985" s="163" t="s">
        <v>2557</v>
      </c>
      <c r="K985" s="162" t="s">
        <v>2558</v>
      </c>
      <c r="L985" s="164" t="s">
        <v>92</v>
      </c>
      <c r="M985" s="169"/>
      <c r="N985" s="165">
        <v>444000</v>
      </c>
      <c r="O985" s="169">
        <f t="shared" si="47"/>
        <v>0</v>
      </c>
      <c r="P985" s="165">
        <v>183578</v>
      </c>
      <c r="Q985" s="166">
        <f t="shared" si="48"/>
        <v>0</v>
      </c>
      <c r="R985" s="169"/>
      <c r="S985" s="169"/>
      <c r="T985" s="169"/>
      <c r="U985" s="169"/>
      <c r="V985" s="166">
        <f t="shared" si="49"/>
        <v>0</v>
      </c>
      <c r="W985" s="205"/>
      <c r="X985" s="167"/>
    </row>
    <row r="986" spans="8:24" s="220" customFormat="1" ht="12" hidden="1" customHeight="1">
      <c r="H986" s="162" t="s">
        <v>473</v>
      </c>
      <c r="I986" s="163" t="s">
        <v>1113</v>
      </c>
      <c r="J986" s="163" t="s">
        <v>2557</v>
      </c>
      <c r="K986" s="162" t="s">
        <v>2559</v>
      </c>
      <c r="L986" s="164" t="s">
        <v>92</v>
      </c>
      <c r="M986" s="169"/>
      <c r="N986" s="165">
        <v>110000</v>
      </c>
      <c r="O986" s="169">
        <f t="shared" si="47"/>
        <v>0</v>
      </c>
      <c r="P986" s="165">
        <v>183578</v>
      </c>
      <c r="Q986" s="166">
        <f t="shared" si="48"/>
        <v>0</v>
      </c>
      <c r="R986" s="169"/>
      <c r="S986" s="169"/>
      <c r="T986" s="169"/>
      <c r="U986" s="169"/>
      <c r="V986" s="166">
        <f t="shared" si="49"/>
        <v>0</v>
      </c>
      <c r="W986" s="205"/>
      <c r="X986" s="167"/>
    </row>
    <row r="987" spans="8:24" s="220" customFormat="1" ht="12" hidden="1" customHeight="1">
      <c r="H987" s="162" t="s">
        <v>474</v>
      </c>
      <c r="I987" s="163" t="s">
        <v>1113</v>
      </c>
      <c r="J987" s="163" t="s">
        <v>2557</v>
      </c>
      <c r="K987" s="162" t="s">
        <v>2560</v>
      </c>
      <c r="L987" s="164" t="s">
        <v>92</v>
      </c>
      <c r="M987" s="169"/>
      <c r="N987" s="165">
        <v>644000</v>
      </c>
      <c r="O987" s="169">
        <f t="shared" si="47"/>
        <v>0</v>
      </c>
      <c r="P987" s="165">
        <v>183578</v>
      </c>
      <c r="Q987" s="166">
        <f t="shared" si="48"/>
        <v>0</v>
      </c>
      <c r="R987" s="169"/>
      <c r="S987" s="169"/>
      <c r="T987" s="169"/>
      <c r="U987" s="169"/>
      <c r="V987" s="166">
        <f t="shared" si="49"/>
        <v>0</v>
      </c>
      <c r="W987" s="205"/>
      <c r="X987" s="167"/>
    </row>
    <row r="988" spans="8:24" s="220" customFormat="1" ht="12" hidden="1" customHeight="1">
      <c r="H988" s="162" t="s">
        <v>475</v>
      </c>
      <c r="I988" s="163" t="s">
        <v>1113</v>
      </c>
      <c r="J988" s="163" t="s">
        <v>2557</v>
      </c>
      <c r="K988" s="162" t="s">
        <v>2561</v>
      </c>
      <c r="L988" s="164" t="s">
        <v>92</v>
      </c>
      <c r="M988" s="169"/>
      <c r="N988" s="165">
        <v>856000</v>
      </c>
      <c r="O988" s="169">
        <f t="shared" si="47"/>
        <v>0</v>
      </c>
      <c r="P988" s="165">
        <v>183578</v>
      </c>
      <c r="Q988" s="166">
        <f t="shared" si="48"/>
        <v>0</v>
      </c>
      <c r="R988" s="169"/>
      <c r="S988" s="169"/>
      <c r="T988" s="169"/>
      <c r="U988" s="169"/>
      <c r="V988" s="166">
        <f t="shared" si="49"/>
        <v>0</v>
      </c>
      <c r="W988" s="205"/>
      <c r="X988" s="167"/>
    </row>
    <row r="989" spans="8:24" s="220" customFormat="1" ht="12" hidden="1" customHeight="1">
      <c r="H989" s="162" t="s">
        <v>476</v>
      </c>
      <c r="I989" s="163" t="s">
        <v>1114</v>
      </c>
      <c r="J989" s="163" t="s">
        <v>2562</v>
      </c>
      <c r="K989" s="162" t="s">
        <v>2563</v>
      </c>
      <c r="L989" s="164" t="s">
        <v>92</v>
      </c>
      <c r="M989" s="169"/>
      <c r="N989" s="165">
        <v>1202000</v>
      </c>
      <c r="O989" s="169">
        <f t="shared" si="47"/>
        <v>0</v>
      </c>
      <c r="P989" s="165">
        <v>240271</v>
      </c>
      <c r="Q989" s="166">
        <f t="shared" si="48"/>
        <v>0</v>
      </c>
      <c r="R989" s="169"/>
      <c r="S989" s="169"/>
      <c r="T989" s="169"/>
      <c r="U989" s="169"/>
      <c r="V989" s="166">
        <f t="shared" si="49"/>
        <v>0</v>
      </c>
      <c r="W989" s="205"/>
      <c r="X989" s="167"/>
    </row>
    <row r="990" spans="8:24" s="220" customFormat="1" ht="12" hidden="1" customHeight="1">
      <c r="H990" s="162" t="s">
        <v>477</v>
      </c>
      <c r="I990" s="163" t="s">
        <v>1114</v>
      </c>
      <c r="J990" s="163" t="s">
        <v>2562</v>
      </c>
      <c r="K990" s="162" t="s">
        <v>2564</v>
      </c>
      <c r="L990" s="164" t="s">
        <v>92</v>
      </c>
      <c r="M990" s="169"/>
      <c r="N990" s="165">
        <v>1464000</v>
      </c>
      <c r="O990" s="169">
        <f t="shared" si="47"/>
        <v>0</v>
      </c>
      <c r="P990" s="165">
        <v>240271</v>
      </c>
      <c r="Q990" s="166">
        <f t="shared" si="48"/>
        <v>0</v>
      </c>
      <c r="R990" s="169"/>
      <c r="S990" s="169"/>
      <c r="T990" s="169"/>
      <c r="U990" s="169"/>
      <c r="V990" s="166">
        <f t="shared" si="49"/>
        <v>0</v>
      </c>
      <c r="W990" s="205"/>
      <c r="X990" s="167"/>
    </row>
    <row r="991" spans="8:24" s="220" customFormat="1" ht="12" hidden="1" customHeight="1">
      <c r="H991" s="162" t="s">
        <v>644</v>
      </c>
      <c r="I991" s="163" t="s">
        <v>1149</v>
      </c>
      <c r="J991" s="163" t="s">
        <v>2229</v>
      </c>
      <c r="K991" s="162" t="s">
        <v>2230</v>
      </c>
      <c r="L991" s="164" t="s">
        <v>744</v>
      </c>
      <c r="M991" s="169"/>
      <c r="N991" s="165">
        <v>220000</v>
      </c>
      <c r="O991" s="169">
        <f t="shared" si="47"/>
        <v>0</v>
      </c>
      <c r="P991" s="165">
        <v>29696</v>
      </c>
      <c r="Q991" s="166">
        <f t="shared" si="48"/>
        <v>0</v>
      </c>
      <c r="R991" s="169"/>
      <c r="S991" s="169"/>
      <c r="T991" s="169"/>
      <c r="U991" s="169"/>
      <c r="V991" s="166">
        <f t="shared" si="49"/>
        <v>0</v>
      </c>
      <c r="W991" s="205"/>
      <c r="X991" s="167"/>
    </row>
    <row r="992" spans="8:24" s="220" customFormat="1" ht="12" hidden="1" customHeight="1">
      <c r="H992" s="162" t="s">
        <v>642</v>
      </c>
      <c r="I992" s="163" t="s">
        <v>1149</v>
      </c>
      <c r="J992" s="163" t="s">
        <v>2229</v>
      </c>
      <c r="K992" s="162" t="s">
        <v>2503</v>
      </c>
      <c r="L992" s="164" t="s">
        <v>744</v>
      </c>
      <c r="M992" s="169"/>
      <c r="N992" s="165">
        <v>85000</v>
      </c>
      <c r="O992" s="169">
        <f t="shared" si="47"/>
        <v>0</v>
      </c>
      <c r="P992" s="165">
        <v>29696</v>
      </c>
      <c r="Q992" s="166">
        <f t="shared" si="48"/>
        <v>0</v>
      </c>
      <c r="R992" s="169"/>
      <c r="S992" s="169"/>
      <c r="T992" s="169"/>
      <c r="U992" s="169"/>
      <c r="V992" s="166">
        <f t="shared" si="49"/>
        <v>0</v>
      </c>
      <c r="W992" s="205"/>
      <c r="X992" s="167"/>
    </row>
    <row r="993" spans="8:24" s="220" customFormat="1" ht="12" hidden="1" customHeight="1">
      <c r="H993" s="162" t="s">
        <v>643</v>
      </c>
      <c r="I993" s="163" t="s">
        <v>1149</v>
      </c>
      <c r="J993" s="163" t="s">
        <v>2229</v>
      </c>
      <c r="K993" s="162" t="s">
        <v>2504</v>
      </c>
      <c r="L993" s="164" t="s">
        <v>744</v>
      </c>
      <c r="M993" s="169"/>
      <c r="N993" s="165">
        <v>150000</v>
      </c>
      <c r="O993" s="169">
        <f t="shared" si="47"/>
        <v>0</v>
      </c>
      <c r="P993" s="165">
        <v>29696</v>
      </c>
      <c r="Q993" s="166">
        <f t="shared" si="48"/>
        <v>0</v>
      </c>
      <c r="R993" s="169"/>
      <c r="S993" s="169"/>
      <c r="T993" s="169"/>
      <c r="U993" s="169"/>
      <c r="V993" s="166">
        <f t="shared" si="49"/>
        <v>0</v>
      </c>
      <c r="W993" s="205"/>
      <c r="X993" s="167"/>
    </row>
    <row r="994" spans="8:24" s="220" customFormat="1" ht="12" hidden="1" customHeight="1">
      <c r="H994" s="162" t="s">
        <v>645</v>
      </c>
      <c r="I994" s="163" t="s">
        <v>1149</v>
      </c>
      <c r="J994" s="163" t="s">
        <v>2229</v>
      </c>
      <c r="K994" s="162" t="s">
        <v>2602</v>
      </c>
      <c r="L994" s="164" t="s">
        <v>744</v>
      </c>
      <c r="M994" s="169"/>
      <c r="N994" s="165">
        <v>300000</v>
      </c>
      <c r="O994" s="169">
        <f t="shared" si="47"/>
        <v>0</v>
      </c>
      <c r="P994" s="165">
        <v>29696</v>
      </c>
      <c r="Q994" s="166">
        <f t="shared" si="48"/>
        <v>0</v>
      </c>
      <c r="R994" s="169"/>
      <c r="S994" s="169"/>
      <c r="T994" s="169"/>
      <c r="U994" s="169"/>
      <c r="V994" s="166">
        <f t="shared" si="49"/>
        <v>0</v>
      </c>
      <c r="W994" s="205"/>
      <c r="X994" s="167"/>
    </row>
    <row r="995" spans="8:24" s="220" customFormat="1" ht="12" hidden="1" customHeight="1">
      <c r="H995" s="162" t="s">
        <v>646</v>
      </c>
      <c r="I995" s="163" t="s">
        <v>1149</v>
      </c>
      <c r="J995" s="163" t="s">
        <v>2229</v>
      </c>
      <c r="K995" s="162" t="s">
        <v>2603</v>
      </c>
      <c r="L995" s="164" t="s">
        <v>744</v>
      </c>
      <c r="M995" s="169"/>
      <c r="N995" s="165">
        <v>360000</v>
      </c>
      <c r="O995" s="169">
        <f t="shared" si="47"/>
        <v>0</v>
      </c>
      <c r="P995" s="165">
        <v>29696</v>
      </c>
      <c r="Q995" s="166">
        <f t="shared" si="48"/>
        <v>0</v>
      </c>
      <c r="R995" s="169"/>
      <c r="S995" s="169"/>
      <c r="T995" s="169"/>
      <c r="U995" s="169"/>
      <c r="V995" s="166">
        <f t="shared" si="49"/>
        <v>0</v>
      </c>
      <c r="W995" s="205"/>
      <c r="X995" s="167"/>
    </row>
    <row r="996" spans="8:24" s="220" customFormat="1" ht="12" hidden="1" customHeight="1">
      <c r="H996" s="162" t="s">
        <v>647</v>
      </c>
      <c r="I996" s="163" t="s">
        <v>1149</v>
      </c>
      <c r="J996" s="163" t="s">
        <v>2229</v>
      </c>
      <c r="K996" s="162" t="s">
        <v>2604</v>
      </c>
      <c r="L996" s="164" t="s">
        <v>744</v>
      </c>
      <c r="M996" s="169"/>
      <c r="N996" s="165">
        <v>410000</v>
      </c>
      <c r="O996" s="169">
        <f t="shared" si="47"/>
        <v>0</v>
      </c>
      <c r="P996" s="165">
        <v>29696</v>
      </c>
      <c r="Q996" s="166">
        <f t="shared" si="48"/>
        <v>0</v>
      </c>
      <c r="R996" s="169"/>
      <c r="S996" s="169"/>
      <c r="T996" s="169"/>
      <c r="U996" s="169"/>
      <c r="V996" s="166">
        <f t="shared" si="49"/>
        <v>0</v>
      </c>
      <c r="W996" s="205"/>
      <c r="X996" s="167"/>
    </row>
    <row r="997" spans="8:24" s="220" customFormat="1" ht="12" hidden="1" customHeight="1">
      <c r="H997" s="162" t="s">
        <v>649</v>
      </c>
      <c r="I997" s="163" t="s">
        <v>1149</v>
      </c>
      <c r="J997" s="163" t="s">
        <v>2229</v>
      </c>
      <c r="K997" s="162" t="s">
        <v>2633</v>
      </c>
      <c r="L997" s="164" t="s">
        <v>744</v>
      </c>
      <c r="M997" s="169"/>
      <c r="N997" s="165">
        <v>300000</v>
      </c>
      <c r="O997" s="169">
        <f t="shared" si="47"/>
        <v>0</v>
      </c>
      <c r="P997" s="165">
        <v>29696</v>
      </c>
      <c r="Q997" s="166">
        <f t="shared" si="48"/>
        <v>0</v>
      </c>
      <c r="R997" s="169"/>
      <c r="S997" s="169"/>
      <c r="T997" s="169"/>
      <c r="U997" s="169"/>
      <c r="V997" s="166">
        <f t="shared" si="49"/>
        <v>0</v>
      </c>
      <c r="W997" s="205"/>
      <c r="X997" s="167"/>
    </row>
    <row r="998" spans="8:24" s="220" customFormat="1" ht="12" hidden="1" customHeight="1">
      <c r="H998" s="162" t="s">
        <v>650</v>
      </c>
      <c r="I998" s="163" t="s">
        <v>1149</v>
      </c>
      <c r="J998" s="163" t="s">
        <v>2229</v>
      </c>
      <c r="K998" s="162" t="s">
        <v>2634</v>
      </c>
      <c r="L998" s="164" t="s">
        <v>744</v>
      </c>
      <c r="M998" s="169"/>
      <c r="N998" s="165">
        <v>300000</v>
      </c>
      <c r="O998" s="169">
        <f t="shared" si="47"/>
        <v>0</v>
      </c>
      <c r="P998" s="165">
        <v>29696</v>
      </c>
      <c r="Q998" s="166">
        <f t="shared" si="48"/>
        <v>0</v>
      </c>
      <c r="R998" s="169"/>
      <c r="S998" s="169"/>
      <c r="T998" s="169"/>
      <c r="U998" s="169"/>
      <c r="V998" s="166">
        <f t="shared" si="49"/>
        <v>0</v>
      </c>
      <c r="W998" s="205"/>
      <c r="X998" s="167"/>
    </row>
    <row r="999" spans="8:24" s="220" customFormat="1" ht="12" hidden="1" customHeight="1">
      <c r="H999" s="162" t="s">
        <v>651</v>
      </c>
      <c r="I999" s="163" t="s">
        <v>1149</v>
      </c>
      <c r="J999" s="163" t="s">
        <v>2229</v>
      </c>
      <c r="K999" s="162" t="s">
        <v>2635</v>
      </c>
      <c r="L999" s="164" t="s">
        <v>744</v>
      </c>
      <c r="M999" s="169"/>
      <c r="N999" s="165">
        <v>360000</v>
      </c>
      <c r="O999" s="169">
        <f t="shared" si="47"/>
        <v>0</v>
      </c>
      <c r="P999" s="165">
        <v>29696</v>
      </c>
      <c r="Q999" s="166">
        <f t="shared" si="48"/>
        <v>0</v>
      </c>
      <c r="R999" s="169"/>
      <c r="S999" s="169"/>
      <c r="T999" s="169"/>
      <c r="U999" s="169"/>
      <c r="V999" s="166">
        <f t="shared" si="49"/>
        <v>0</v>
      </c>
      <c r="W999" s="205"/>
      <c r="X999" s="167"/>
    </row>
    <row r="1000" spans="8:24" s="220" customFormat="1" ht="12" hidden="1" customHeight="1">
      <c r="H1000" s="162" t="s">
        <v>652</v>
      </c>
      <c r="I1000" s="163" t="s">
        <v>1149</v>
      </c>
      <c r="J1000" s="163" t="s">
        <v>2229</v>
      </c>
      <c r="K1000" s="162" t="s">
        <v>2636</v>
      </c>
      <c r="L1000" s="164" t="s">
        <v>744</v>
      </c>
      <c r="M1000" s="169"/>
      <c r="N1000" s="165">
        <v>550000</v>
      </c>
      <c r="O1000" s="169">
        <f t="shared" si="47"/>
        <v>0</v>
      </c>
      <c r="P1000" s="165">
        <v>29696</v>
      </c>
      <c r="Q1000" s="166">
        <f t="shared" si="48"/>
        <v>0</v>
      </c>
      <c r="R1000" s="169"/>
      <c r="S1000" s="169"/>
      <c r="T1000" s="169"/>
      <c r="U1000" s="169"/>
      <c r="V1000" s="166">
        <f t="shared" si="49"/>
        <v>0</v>
      </c>
      <c r="W1000" s="205"/>
      <c r="X1000" s="167"/>
    </row>
    <row r="1001" spans="8:24" s="220" customFormat="1" ht="12" hidden="1" customHeight="1">
      <c r="H1001" s="162" t="s">
        <v>653</v>
      </c>
      <c r="I1001" s="163" t="s">
        <v>1149</v>
      </c>
      <c r="J1001" s="163" t="s">
        <v>2229</v>
      </c>
      <c r="K1001" s="162" t="s">
        <v>2637</v>
      </c>
      <c r="L1001" s="164" t="s">
        <v>744</v>
      </c>
      <c r="M1001" s="169"/>
      <c r="N1001" s="165">
        <v>580000</v>
      </c>
      <c r="O1001" s="169">
        <f t="shared" si="47"/>
        <v>0</v>
      </c>
      <c r="P1001" s="165">
        <v>29696</v>
      </c>
      <c r="Q1001" s="166">
        <f t="shared" si="48"/>
        <v>0</v>
      </c>
      <c r="R1001" s="169"/>
      <c r="S1001" s="169"/>
      <c r="T1001" s="169"/>
      <c r="U1001" s="169"/>
      <c r="V1001" s="166">
        <f t="shared" si="49"/>
        <v>0</v>
      </c>
      <c r="W1001" s="205"/>
      <c r="X1001" s="167"/>
    </row>
    <row r="1002" spans="8:24" s="220" customFormat="1" ht="12" hidden="1" customHeight="1">
      <c r="H1002" s="162" t="s">
        <v>648</v>
      </c>
      <c r="I1002" s="163" t="s">
        <v>1149</v>
      </c>
      <c r="J1002" s="163" t="s">
        <v>2229</v>
      </c>
      <c r="K1002" s="162" t="s">
        <v>2640</v>
      </c>
      <c r="L1002" s="164" t="s">
        <v>744</v>
      </c>
      <c r="M1002" s="169"/>
      <c r="N1002" s="165">
        <v>220000</v>
      </c>
      <c r="O1002" s="169">
        <f t="shared" si="47"/>
        <v>0</v>
      </c>
      <c r="P1002" s="165">
        <v>29696</v>
      </c>
      <c r="Q1002" s="166">
        <f t="shared" si="48"/>
        <v>0</v>
      </c>
      <c r="R1002" s="169"/>
      <c r="S1002" s="169"/>
      <c r="T1002" s="169"/>
      <c r="U1002" s="169"/>
      <c r="V1002" s="166">
        <f t="shared" si="49"/>
        <v>0</v>
      </c>
      <c r="W1002" s="205"/>
      <c r="X1002" s="167"/>
    </row>
    <row r="1003" spans="8:24" s="220" customFormat="1" ht="12" hidden="1" customHeight="1">
      <c r="H1003" s="162" t="s">
        <v>1446</v>
      </c>
      <c r="I1003" s="163" t="s">
        <v>2195</v>
      </c>
      <c r="J1003" s="163" t="s">
        <v>2196</v>
      </c>
      <c r="K1003" s="162" t="s">
        <v>2595</v>
      </c>
      <c r="L1003" s="164" t="s">
        <v>744</v>
      </c>
      <c r="M1003" s="169"/>
      <c r="N1003" s="165">
        <v>58000</v>
      </c>
      <c r="O1003" s="169">
        <f t="shared" si="47"/>
        <v>0</v>
      </c>
      <c r="P1003" s="165">
        <v>37795</v>
      </c>
      <c r="Q1003" s="166">
        <f t="shared" si="48"/>
        <v>0</v>
      </c>
      <c r="R1003" s="169"/>
      <c r="S1003" s="169"/>
      <c r="T1003" s="169"/>
      <c r="U1003" s="169"/>
      <c r="V1003" s="166">
        <f t="shared" si="49"/>
        <v>0</v>
      </c>
      <c r="W1003" s="205"/>
      <c r="X1003" s="167"/>
    </row>
    <row r="1004" spans="8:24" s="220" customFormat="1" ht="12" hidden="1" customHeight="1">
      <c r="H1004" s="162" t="s">
        <v>1447</v>
      </c>
      <c r="I1004" s="163" t="s">
        <v>2195</v>
      </c>
      <c r="J1004" s="163" t="s">
        <v>2196</v>
      </c>
      <c r="K1004" s="162" t="s">
        <v>2596</v>
      </c>
      <c r="L1004" s="164" t="s">
        <v>744</v>
      </c>
      <c r="M1004" s="169"/>
      <c r="N1004" s="165">
        <v>58000</v>
      </c>
      <c r="O1004" s="169">
        <f t="shared" si="47"/>
        <v>0</v>
      </c>
      <c r="P1004" s="165">
        <v>37795</v>
      </c>
      <c r="Q1004" s="166">
        <f t="shared" si="48"/>
        <v>0</v>
      </c>
      <c r="R1004" s="169"/>
      <c r="S1004" s="169"/>
      <c r="T1004" s="169"/>
      <c r="U1004" s="169"/>
      <c r="V1004" s="166">
        <f t="shared" si="49"/>
        <v>0</v>
      </c>
      <c r="W1004" s="205"/>
      <c r="X1004" s="167"/>
    </row>
    <row r="1005" spans="8:24" s="220" customFormat="1" ht="12" hidden="1" customHeight="1">
      <c r="H1005" s="162" t="s">
        <v>1448</v>
      </c>
      <c r="I1005" s="163" t="s">
        <v>2195</v>
      </c>
      <c r="J1005" s="163" t="s">
        <v>2196</v>
      </c>
      <c r="K1005" s="162" t="s">
        <v>2597</v>
      </c>
      <c r="L1005" s="164" t="s">
        <v>744</v>
      </c>
      <c r="M1005" s="169"/>
      <c r="N1005" s="165">
        <v>92000</v>
      </c>
      <c r="O1005" s="169">
        <f t="shared" si="47"/>
        <v>0</v>
      </c>
      <c r="P1005" s="165">
        <v>37795</v>
      </c>
      <c r="Q1005" s="166">
        <f t="shared" si="48"/>
        <v>0</v>
      </c>
      <c r="R1005" s="169"/>
      <c r="S1005" s="169"/>
      <c r="T1005" s="169"/>
      <c r="U1005" s="169"/>
      <c r="V1005" s="166">
        <f t="shared" si="49"/>
        <v>0</v>
      </c>
      <c r="W1005" s="205"/>
      <c r="X1005" s="167"/>
    </row>
    <row r="1006" spans="8:24" s="220" customFormat="1" ht="12" hidden="1" customHeight="1">
      <c r="H1006" s="162" t="s">
        <v>1449</v>
      </c>
      <c r="I1006" s="163" t="s">
        <v>1123</v>
      </c>
      <c r="J1006" s="163" t="s">
        <v>2598</v>
      </c>
      <c r="K1006" s="162" t="s">
        <v>2599</v>
      </c>
      <c r="L1006" s="164" t="s">
        <v>744</v>
      </c>
      <c r="M1006" s="169"/>
      <c r="N1006" s="165">
        <v>189000</v>
      </c>
      <c r="O1006" s="169">
        <f t="shared" si="47"/>
        <v>0</v>
      </c>
      <c r="P1006" s="165">
        <v>86389</v>
      </c>
      <c r="Q1006" s="166">
        <f t="shared" si="48"/>
        <v>0</v>
      </c>
      <c r="R1006" s="169"/>
      <c r="S1006" s="169"/>
      <c r="T1006" s="169"/>
      <c r="U1006" s="169"/>
      <c r="V1006" s="166">
        <f t="shared" si="49"/>
        <v>0</v>
      </c>
      <c r="W1006" s="205"/>
      <c r="X1006" s="167"/>
    </row>
    <row r="1007" spans="8:24" s="220" customFormat="1" ht="12" hidden="1" customHeight="1">
      <c r="H1007" s="162" t="s">
        <v>1450</v>
      </c>
      <c r="I1007" s="163" t="s">
        <v>1123</v>
      </c>
      <c r="J1007" s="163" t="s">
        <v>2598</v>
      </c>
      <c r="K1007" s="162" t="s">
        <v>2600</v>
      </c>
      <c r="L1007" s="164" t="s">
        <v>744</v>
      </c>
      <c r="M1007" s="169"/>
      <c r="N1007" s="165">
        <v>189000</v>
      </c>
      <c r="O1007" s="169">
        <f t="shared" si="47"/>
        <v>0</v>
      </c>
      <c r="P1007" s="165">
        <v>86389</v>
      </c>
      <c r="Q1007" s="166">
        <f t="shared" si="48"/>
        <v>0</v>
      </c>
      <c r="R1007" s="169"/>
      <c r="S1007" s="169"/>
      <c r="T1007" s="169"/>
      <c r="U1007" s="169"/>
      <c r="V1007" s="166">
        <f t="shared" si="49"/>
        <v>0</v>
      </c>
      <c r="W1007" s="205"/>
      <c r="X1007" s="167"/>
    </row>
    <row r="1008" spans="8:24" s="220" customFormat="1" ht="12" hidden="1" customHeight="1">
      <c r="H1008" s="162" t="s">
        <v>1451</v>
      </c>
      <c r="I1008" s="163" t="s">
        <v>1123</v>
      </c>
      <c r="J1008" s="163" t="s">
        <v>2598</v>
      </c>
      <c r="K1008" s="162" t="s">
        <v>2601</v>
      </c>
      <c r="L1008" s="164" t="s">
        <v>744</v>
      </c>
      <c r="M1008" s="169"/>
      <c r="N1008" s="165">
        <v>189000</v>
      </c>
      <c r="O1008" s="169">
        <f t="shared" si="47"/>
        <v>0</v>
      </c>
      <c r="P1008" s="165">
        <v>86389</v>
      </c>
      <c r="Q1008" s="166">
        <f t="shared" si="48"/>
        <v>0</v>
      </c>
      <c r="R1008" s="169"/>
      <c r="S1008" s="169"/>
      <c r="T1008" s="169"/>
      <c r="U1008" s="169"/>
      <c r="V1008" s="166">
        <f t="shared" si="49"/>
        <v>0</v>
      </c>
      <c r="W1008" s="205"/>
      <c r="X1008" s="167"/>
    </row>
    <row r="1009" spans="8:24" s="220" customFormat="1" ht="12" hidden="1" customHeight="1">
      <c r="H1009" s="162" t="s">
        <v>1452</v>
      </c>
      <c r="I1009" s="163" t="s">
        <v>2195</v>
      </c>
      <c r="J1009" s="163" t="s">
        <v>2614</v>
      </c>
      <c r="K1009" s="162" t="s">
        <v>2615</v>
      </c>
      <c r="L1009" s="164" t="s">
        <v>744</v>
      </c>
      <c r="M1009" s="169"/>
      <c r="N1009" s="165">
        <v>77500</v>
      </c>
      <c r="O1009" s="169">
        <f t="shared" si="47"/>
        <v>0</v>
      </c>
      <c r="P1009" s="165">
        <v>37795</v>
      </c>
      <c r="Q1009" s="166">
        <f t="shared" si="48"/>
        <v>0</v>
      </c>
      <c r="R1009" s="169"/>
      <c r="S1009" s="169"/>
      <c r="T1009" s="169"/>
      <c r="U1009" s="169"/>
      <c r="V1009" s="166">
        <f t="shared" si="49"/>
        <v>0</v>
      </c>
      <c r="W1009" s="205"/>
      <c r="X1009" s="167"/>
    </row>
    <row r="1010" spans="8:24" s="220" customFormat="1" ht="12" hidden="1" customHeight="1">
      <c r="H1010" s="162" t="s">
        <v>1453</v>
      </c>
      <c r="I1010" s="163" t="s">
        <v>2195</v>
      </c>
      <c r="J1010" s="163" t="s">
        <v>2614</v>
      </c>
      <c r="K1010" s="162" t="s">
        <v>2616</v>
      </c>
      <c r="L1010" s="164" t="s">
        <v>744</v>
      </c>
      <c r="M1010" s="169"/>
      <c r="N1010" s="165">
        <v>85300</v>
      </c>
      <c r="O1010" s="169">
        <f t="shared" si="47"/>
        <v>0</v>
      </c>
      <c r="P1010" s="165">
        <v>37795</v>
      </c>
      <c r="Q1010" s="166">
        <f t="shared" si="48"/>
        <v>0</v>
      </c>
      <c r="R1010" s="169"/>
      <c r="S1010" s="169"/>
      <c r="T1010" s="169"/>
      <c r="U1010" s="169"/>
      <c r="V1010" s="166">
        <f t="shared" si="49"/>
        <v>0</v>
      </c>
      <c r="W1010" s="205"/>
      <c r="X1010" s="167"/>
    </row>
    <row r="1011" spans="8:24" s="220" customFormat="1" ht="12" hidden="1" customHeight="1">
      <c r="H1011" s="162" t="s">
        <v>1454</v>
      </c>
      <c r="I1011" s="163" t="s">
        <v>2195</v>
      </c>
      <c r="J1011" s="163" t="s">
        <v>2614</v>
      </c>
      <c r="K1011" s="162" t="s">
        <v>2617</v>
      </c>
      <c r="L1011" s="164" t="s">
        <v>744</v>
      </c>
      <c r="M1011" s="169"/>
      <c r="N1011" s="165">
        <v>93000</v>
      </c>
      <c r="O1011" s="169">
        <f t="shared" si="47"/>
        <v>0</v>
      </c>
      <c r="P1011" s="165">
        <v>37795</v>
      </c>
      <c r="Q1011" s="166">
        <f t="shared" si="48"/>
        <v>0</v>
      </c>
      <c r="R1011" s="169"/>
      <c r="S1011" s="169"/>
      <c r="T1011" s="169"/>
      <c r="U1011" s="169"/>
      <c r="V1011" s="166">
        <f t="shared" si="49"/>
        <v>0</v>
      </c>
      <c r="W1011" s="205"/>
      <c r="X1011" s="167"/>
    </row>
    <row r="1012" spans="8:24" s="220" customFormat="1" ht="12" hidden="1" customHeight="1">
      <c r="H1012" s="162" t="s">
        <v>1455</v>
      </c>
      <c r="I1012" s="163" t="s">
        <v>1123</v>
      </c>
      <c r="J1012" s="163" t="s">
        <v>2618</v>
      </c>
      <c r="K1012" s="162" t="s">
        <v>2619</v>
      </c>
      <c r="L1012" s="164" t="s">
        <v>744</v>
      </c>
      <c r="M1012" s="169"/>
      <c r="N1012" s="165">
        <v>171000</v>
      </c>
      <c r="O1012" s="169">
        <f t="shared" si="47"/>
        <v>0</v>
      </c>
      <c r="P1012" s="165">
        <v>86389</v>
      </c>
      <c r="Q1012" s="166">
        <f t="shared" si="48"/>
        <v>0</v>
      </c>
      <c r="R1012" s="169"/>
      <c r="S1012" s="169"/>
      <c r="T1012" s="169"/>
      <c r="U1012" s="169"/>
      <c r="V1012" s="166">
        <f t="shared" si="49"/>
        <v>0</v>
      </c>
      <c r="W1012" s="205"/>
      <c r="X1012" s="167"/>
    </row>
    <row r="1013" spans="8:24" s="220" customFormat="1" ht="12" hidden="1" customHeight="1">
      <c r="H1013" s="162" t="s">
        <v>1456</v>
      </c>
      <c r="I1013" s="163" t="s">
        <v>1123</v>
      </c>
      <c r="J1013" s="163" t="s">
        <v>2618</v>
      </c>
      <c r="K1013" s="162" t="s">
        <v>2620</v>
      </c>
      <c r="L1013" s="164" t="s">
        <v>744</v>
      </c>
      <c r="M1013" s="157"/>
      <c r="N1013" s="165">
        <v>178000</v>
      </c>
      <c r="O1013" s="169">
        <f t="shared" si="47"/>
        <v>0</v>
      </c>
      <c r="P1013" s="165">
        <v>86389</v>
      </c>
      <c r="Q1013" s="166">
        <f t="shared" si="48"/>
        <v>0</v>
      </c>
      <c r="R1013" s="169"/>
      <c r="S1013" s="169"/>
      <c r="T1013" s="169"/>
      <c r="U1013" s="169"/>
      <c r="V1013" s="166">
        <f t="shared" si="49"/>
        <v>0</v>
      </c>
      <c r="W1013" s="205"/>
      <c r="X1013" s="167"/>
    </row>
    <row r="1014" spans="8:24" s="220" customFormat="1" ht="12" hidden="1" customHeight="1">
      <c r="H1014" s="162" t="s">
        <v>1457</v>
      </c>
      <c r="I1014" s="163" t="s">
        <v>1123</v>
      </c>
      <c r="J1014" s="163" t="s">
        <v>2618</v>
      </c>
      <c r="K1014" s="162" t="s">
        <v>2621</v>
      </c>
      <c r="L1014" s="164" t="s">
        <v>744</v>
      </c>
      <c r="M1014" s="169"/>
      <c r="N1014" s="165">
        <v>194000</v>
      </c>
      <c r="O1014" s="169">
        <f t="shared" ref="O1014:O1077" si="50">M1014*N1014*$O$3</f>
        <v>0</v>
      </c>
      <c r="P1014" s="165">
        <v>86389</v>
      </c>
      <c r="Q1014" s="166">
        <f t="shared" si="48"/>
        <v>0</v>
      </c>
      <c r="R1014" s="169"/>
      <c r="S1014" s="169"/>
      <c r="T1014" s="169"/>
      <c r="U1014" s="169"/>
      <c r="V1014" s="166">
        <f t="shared" si="49"/>
        <v>0</v>
      </c>
      <c r="W1014" s="205"/>
      <c r="X1014" s="167"/>
    </row>
    <row r="1015" spans="8:24" s="220" customFormat="1" ht="12" hidden="1" customHeight="1">
      <c r="H1015" s="162" t="s">
        <v>504</v>
      </c>
      <c r="I1015" s="163" t="s">
        <v>1123</v>
      </c>
      <c r="J1015" s="163" t="s">
        <v>2618</v>
      </c>
      <c r="K1015" s="162" t="s">
        <v>2622</v>
      </c>
      <c r="L1015" s="164" t="s">
        <v>744</v>
      </c>
      <c r="M1015" s="169"/>
      <c r="N1015" s="165">
        <v>202000</v>
      </c>
      <c r="O1015" s="169">
        <f t="shared" si="50"/>
        <v>0</v>
      </c>
      <c r="P1015" s="165">
        <v>86389</v>
      </c>
      <c r="Q1015" s="166">
        <f t="shared" si="48"/>
        <v>0</v>
      </c>
      <c r="R1015" s="169"/>
      <c r="S1015" s="169"/>
      <c r="T1015" s="169"/>
      <c r="U1015" s="169"/>
      <c r="V1015" s="166">
        <f t="shared" si="49"/>
        <v>0</v>
      </c>
      <c r="W1015" s="205"/>
      <c r="X1015" s="167"/>
    </row>
    <row r="1016" spans="8:24" s="220" customFormat="1" ht="12" hidden="1" customHeight="1">
      <c r="H1016" s="162" t="s">
        <v>515</v>
      </c>
      <c r="I1016" s="163" t="s">
        <v>1127</v>
      </c>
      <c r="J1016" s="163" t="s">
        <v>2666</v>
      </c>
      <c r="K1016" s="162" t="s">
        <v>2667</v>
      </c>
      <c r="L1016" s="164" t="s">
        <v>744</v>
      </c>
      <c r="M1016" s="169"/>
      <c r="N1016" s="165">
        <v>39000</v>
      </c>
      <c r="O1016" s="169">
        <f t="shared" si="50"/>
        <v>0</v>
      </c>
      <c r="P1016" s="165">
        <v>107987</v>
      </c>
      <c r="Q1016" s="166">
        <f t="shared" si="48"/>
        <v>0</v>
      </c>
      <c r="R1016" s="169"/>
      <c r="S1016" s="169"/>
      <c r="T1016" s="169"/>
      <c r="U1016" s="169"/>
      <c r="V1016" s="166">
        <f t="shared" si="49"/>
        <v>0</v>
      </c>
      <c r="W1016" s="205"/>
      <c r="X1016" s="167"/>
    </row>
    <row r="1017" spans="8:24" s="220" customFormat="1" ht="12" hidden="1" customHeight="1">
      <c r="H1017" s="162" t="s">
        <v>516</v>
      </c>
      <c r="I1017" s="163" t="s">
        <v>1128</v>
      </c>
      <c r="J1017" s="163" t="s">
        <v>2668</v>
      </c>
      <c r="K1017" s="162" t="s">
        <v>2669</v>
      </c>
      <c r="L1017" s="164" t="s">
        <v>744</v>
      </c>
      <c r="M1017" s="169"/>
      <c r="N1017" s="165">
        <v>28800</v>
      </c>
      <c r="O1017" s="169">
        <f t="shared" si="50"/>
        <v>0</v>
      </c>
      <c r="P1017" s="165">
        <v>107987</v>
      </c>
      <c r="Q1017" s="166">
        <f t="shared" si="48"/>
        <v>0</v>
      </c>
      <c r="R1017" s="169"/>
      <c r="S1017" s="169"/>
      <c r="T1017" s="169"/>
      <c r="U1017" s="169"/>
      <c r="V1017" s="166">
        <f t="shared" si="49"/>
        <v>0</v>
      </c>
      <c r="W1017" s="205"/>
      <c r="X1017" s="167"/>
    </row>
    <row r="1018" spans="8:24" s="220" customFormat="1" ht="12" hidden="1" customHeight="1">
      <c r="H1018" s="162" t="s">
        <v>517</v>
      </c>
      <c r="I1018" s="163" t="s">
        <v>1129</v>
      </c>
      <c r="J1018" s="163" t="s">
        <v>2670</v>
      </c>
      <c r="K1018" s="162" t="s">
        <v>2671</v>
      </c>
      <c r="L1018" s="164" t="s">
        <v>744</v>
      </c>
      <c r="M1018" s="169"/>
      <c r="N1018" s="165">
        <v>41700</v>
      </c>
      <c r="O1018" s="169">
        <f t="shared" si="50"/>
        <v>0</v>
      </c>
      <c r="P1018" s="165">
        <v>107987</v>
      </c>
      <c r="Q1018" s="166">
        <f t="shared" si="48"/>
        <v>0</v>
      </c>
      <c r="R1018" s="169"/>
      <c r="S1018" s="169"/>
      <c r="T1018" s="169"/>
      <c r="U1018" s="169"/>
      <c r="V1018" s="166">
        <f t="shared" si="49"/>
        <v>0</v>
      </c>
      <c r="W1018" s="205"/>
      <c r="X1018" s="167"/>
    </row>
    <row r="1019" spans="8:24" s="220" customFormat="1" ht="12" hidden="1" customHeight="1">
      <c r="H1019" s="162" t="s">
        <v>518</v>
      </c>
      <c r="I1019" s="163" t="s">
        <v>1129</v>
      </c>
      <c r="J1019" s="163" t="s">
        <v>2670</v>
      </c>
      <c r="K1019" s="162" t="s">
        <v>2672</v>
      </c>
      <c r="L1019" s="164" t="s">
        <v>744</v>
      </c>
      <c r="M1019" s="169"/>
      <c r="N1019" s="165">
        <v>41600</v>
      </c>
      <c r="O1019" s="169">
        <f t="shared" si="50"/>
        <v>0</v>
      </c>
      <c r="P1019" s="165">
        <v>107987</v>
      </c>
      <c r="Q1019" s="166">
        <f t="shared" si="48"/>
        <v>0</v>
      </c>
      <c r="R1019" s="169"/>
      <c r="S1019" s="169"/>
      <c r="T1019" s="169"/>
      <c r="U1019" s="169"/>
      <c r="V1019" s="166">
        <f t="shared" si="49"/>
        <v>0</v>
      </c>
      <c r="W1019" s="205"/>
      <c r="X1019" s="167"/>
    </row>
    <row r="1020" spans="8:24" s="220" customFormat="1" ht="12" hidden="1" customHeight="1">
      <c r="H1020" s="162" t="s">
        <v>519</v>
      </c>
      <c r="I1020" s="163" t="s">
        <v>1129</v>
      </c>
      <c r="J1020" s="163" t="s">
        <v>2670</v>
      </c>
      <c r="K1020" s="162" t="s">
        <v>2673</v>
      </c>
      <c r="L1020" s="164" t="s">
        <v>744</v>
      </c>
      <c r="M1020" s="169"/>
      <c r="N1020" s="165">
        <v>60100</v>
      </c>
      <c r="O1020" s="169">
        <f t="shared" si="50"/>
        <v>0</v>
      </c>
      <c r="P1020" s="165">
        <v>107987</v>
      </c>
      <c r="Q1020" s="166">
        <f t="shared" si="48"/>
        <v>0</v>
      </c>
      <c r="R1020" s="169"/>
      <c r="S1020" s="169"/>
      <c r="T1020" s="169"/>
      <c r="U1020" s="169"/>
      <c r="V1020" s="166">
        <f t="shared" si="49"/>
        <v>0</v>
      </c>
      <c r="W1020" s="205"/>
      <c r="X1020" s="167"/>
    </row>
    <row r="1021" spans="8:24" s="220" customFormat="1" ht="12" hidden="1" customHeight="1">
      <c r="H1021" s="162" t="s">
        <v>1471</v>
      </c>
      <c r="I1021" s="163" t="s">
        <v>2201</v>
      </c>
      <c r="J1021" s="163" t="s">
        <v>2202</v>
      </c>
      <c r="K1021" s="162" t="s">
        <v>2674</v>
      </c>
      <c r="L1021" s="164" t="s">
        <v>744</v>
      </c>
      <c r="M1021" s="169"/>
      <c r="N1021" s="165">
        <v>125000</v>
      </c>
      <c r="O1021" s="169">
        <f t="shared" si="50"/>
        <v>0</v>
      </c>
      <c r="P1021" s="165">
        <v>80990</v>
      </c>
      <c r="Q1021" s="166">
        <f t="shared" si="48"/>
        <v>0</v>
      </c>
      <c r="R1021" s="169"/>
      <c r="S1021" s="169"/>
      <c r="T1021" s="169"/>
      <c r="U1021" s="169"/>
      <c r="V1021" s="166">
        <f t="shared" si="49"/>
        <v>0</v>
      </c>
      <c r="W1021" s="205"/>
      <c r="X1021" s="167"/>
    </row>
    <row r="1022" spans="8:24" s="220" customFormat="1" ht="12" hidden="1" customHeight="1">
      <c r="H1022" s="162" t="s">
        <v>1472</v>
      </c>
      <c r="I1022" s="163" t="s">
        <v>2201</v>
      </c>
      <c r="J1022" s="163" t="s">
        <v>2202</v>
      </c>
      <c r="K1022" s="162" t="s">
        <v>2675</v>
      </c>
      <c r="L1022" s="164" t="s">
        <v>744</v>
      </c>
      <c r="M1022" s="169"/>
      <c r="N1022" s="165">
        <v>166000</v>
      </c>
      <c r="O1022" s="169">
        <f t="shared" si="50"/>
        <v>0</v>
      </c>
      <c r="P1022" s="165">
        <v>80990</v>
      </c>
      <c r="Q1022" s="166">
        <f t="shared" si="48"/>
        <v>0</v>
      </c>
      <c r="R1022" s="169"/>
      <c r="S1022" s="169"/>
      <c r="T1022" s="169"/>
      <c r="U1022" s="169"/>
      <c r="V1022" s="166">
        <f t="shared" si="49"/>
        <v>0</v>
      </c>
      <c r="W1022" s="205"/>
      <c r="X1022" s="167"/>
    </row>
    <row r="1023" spans="8:24" s="220" customFormat="1" ht="12" hidden="1" customHeight="1">
      <c r="H1023" s="162" t="s">
        <v>1473</v>
      </c>
      <c r="I1023" s="163" t="s">
        <v>2201</v>
      </c>
      <c r="J1023" s="163" t="s">
        <v>2202</v>
      </c>
      <c r="K1023" s="162" t="s">
        <v>2676</v>
      </c>
      <c r="L1023" s="164" t="s">
        <v>744</v>
      </c>
      <c r="M1023" s="169"/>
      <c r="N1023" s="165">
        <v>166000</v>
      </c>
      <c r="O1023" s="169">
        <f t="shared" si="50"/>
        <v>0</v>
      </c>
      <c r="P1023" s="165">
        <v>80990</v>
      </c>
      <c r="Q1023" s="166">
        <f t="shared" si="48"/>
        <v>0</v>
      </c>
      <c r="R1023" s="169"/>
      <c r="S1023" s="169"/>
      <c r="T1023" s="169"/>
      <c r="U1023" s="169"/>
      <c r="V1023" s="166">
        <f t="shared" si="49"/>
        <v>0</v>
      </c>
      <c r="W1023" s="205"/>
      <c r="X1023" s="167"/>
    </row>
    <row r="1024" spans="8:24" s="220" customFormat="1" ht="12" hidden="1" customHeight="1">
      <c r="H1024" s="162" t="s">
        <v>509</v>
      </c>
      <c r="I1024" s="163" t="s">
        <v>1124</v>
      </c>
      <c r="J1024" s="163" t="s">
        <v>2197</v>
      </c>
      <c r="K1024" s="162" t="s">
        <v>2198</v>
      </c>
      <c r="L1024" s="164" t="s">
        <v>744</v>
      </c>
      <c r="M1024" s="169"/>
      <c r="N1024" s="165">
        <v>4281000</v>
      </c>
      <c r="O1024" s="169">
        <f t="shared" si="50"/>
        <v>0</v>
      </c>
      <c r="P1024" s="165">
        <v>247368</v>
      </c>
      <c r="Q1024" s="166">
        <f t="shared" si="48"/>
        <v>0</v>
      </c>
      <c r="R1024" s="169"/>
      <c r="S1024" s="169"/>
      <c r="T1024" s="169"/>
      <c r="U1024" s="169"/>
      <c r="V1024" s="166">
        <f t="shared" si="49"/>
        <v>0</v>
      </c>
      <c r="W1024" s="205"/>
      <c r="X1024" s="167"/>
    </row>
    <row r="1025" spans="8:24" s="220" customFormat="1" ht="12" hidden="1" customHeight="1">
      <c r="H1025" s="162" t="s">
        <v>505</v>
      </c>
      <c r="I1025" s="163" t="s">
        <v>1124</v>
      </c>
      <c r="J1025" s="163" t="s">
        <v>2197</v>
      </c>
      <c r="K1025" s="162" t="s">
        <v>2623</v>
      </c>
      <c r="L1025" s="164" t="s">
        <v>744</v>
      </c>
      <c r="M1025" s="169"/>
      <c r="N1025" s="165">
        <v>1811000</v>
      </c>
      <c r="O1025" s="169">
        <f t="shared" si="50"/>
        <v>0</v>
      </c>
      <c r="P1025" s="165">
        <v>247368</v>
      </c>
      <c r="Q1025" s="166">
        <f t="shared" si="48"/>
        <v>0</v>
      </c>
      <c r="R1025" s="169"/>
      <c r="S1025" s="169"/>
      <c r="T1025" s="169"/>
      <c r="U1025" s="169"/>
      <c r="V1025" s="166">
        <f t="shared" si="49"/>
        <v>0</v>
      </c>
      <c r="W1025" s="205"/>
      <c r="X1025" s="167"/>
    </row>
    <row r="1026" spans="8:24" s="220" customFormat="1" ht="12" hidden="1" customHeight="1">
      <c r="H1026" s="162" t="s">
        <v>506</v>
      </c>
      <c r="I1026" s="163" t="s">
        <v>1124</v>
      </c>
      <c r="J1026" s="163" t="s">
        <v>2197</v>
      </c>
      <c r="K1026" s="162" t="s">
        <v>2624</v>
      </c>
      <c r="L1026" s="164" t="s">
        <v>744</v>
      </c>
      <c r="M1026" s="169"/>
      <c r="N1026" s="165">
        <v>2058000</v>
      </c>
      <c r="O1026" s="169">
        <f t="shared" si="50"/>
        <v>0</v>
      </c>
      <c r="P1026" s="165">
        <v>247368</v>
      </c>
      <c r="Q1026" s="166">
        <f t="shared" si="48"/>
        <v>0</v>
      </c>
      <c r="R1026" s="169"/>
      <c r="S1026" s="169"/>
      <c r="T1026" s="169"/>
      <c r="U1026" s="169"/>
      <c r="V1026" s="166">
        <f t="shared" si="49"/>
        <v>0</v>
      </c>
      <c r="W1026" s="205"/>
      <c r="X1026" s="167"/>
    </row>
    <row r="1027" spans="8:24" s="220" customFormat="1" ht="12" hidden="1" customHeight="1">
      <c r="H1027" s="162" t="s">
        <v>507</v>
      </c>
      <c r="I1027" s="163" t="s">
        <v>1124</v>
      </c>
      <c r="J1027" s="163" t="s">
        <v>2197</v>
      </c>
      <c r="K1027" s="162" t="s">
        <v>2625</v>
      </c>
      <c r="L1027" s="164" t="s">
        <v>744</v>
      </c>
      <c r="M1027" s="169"/>
      <c r="N1027" s="165">
        <v>2552000</v>
      </c>
      <c r="O1027" s="169">
        <f t="shared" si="50"/>
        <v>0</v>
      </c>
      <c r="P1027" s="165">
        <v>247368</v>
      </c>
      <c r="Q1027" s="166">
        <f t="shared" si="48"/>
        <v>0</v>
      </c>
      <c r="R1027" s="169"/>
      <c r="S1027" s="169"/>
      <c r="T1027" s="169"/>
      <c r="U1027" s="169"/>
      <c r="V1027" s="166">
        <f t="shared" si="49"/>
        <v>0</v>
      </c>
      <c r="W1027" s="205"/>
      <c r="X1027" s="167"/>
    </row>
    <row r="1028" spans="8:24" s="220" customFormat="1" ht="12" hidden="1" customHeight="1">
      <c r="H1028" s="162" t="s">
        <v>508</v>
      </c>
      <c r="I1028" s="163" t="s">
        <v>1124</v>
      </c>
      <c r="J1028" s="163" t="s">
        <v>2197</v>
      </c>
      <c r="K1028" s="162" t="s">
        <v>2626</v>
      </c>
      <c r="L1028" s="164" t="s">
        <v>744</v>
      </c>
      <c r="M1028" s="169"/>
      <c r="N1028" s="165">
        <v>3211000</v>
      </c>
      <c r="O1028" s="169">
        <f t="shared" si="50"/>
        <v>0</v>
      </c>
      <c r="P1028" s="165">
        <v>247368</v>
      </c>
      <c r="Q1028" s="166">
        <f t="shared" si="48"/>
        <v>0</v>
      </c>
      <c r="R1028" s="169"/>
      <c r="S1028" s="169"/>
      <c r="T1028" s="169"/>
      <c r="U1028" s="169"/>
      <c r="V1028" s="166">
        <f t="shared" si="49"/>
        <v>0</v>
      </c>
      <c r="W1028" s="205"/>
      <c r="X1028" s="167"/>
    </row>
    <row r="1029" spans="8:24" s="220" customFormat="1" ht="12" hidden="1" customHeight="1">
      <c r="H1029" s="162" t="s">
        <v>510</v>
      </c>
      <c r="I1029" s="163" t="s">
        <v>1124</v>
      </c>
      <c r="J1029" s="163" t="s">
        <v>2197</v>
      </c>
      <c r="K1029" s="162" t="s">
        <v>2627</v>
      </c>
      <c r="L1029" s="164" t="s">
        <v>744</v>
      </c>
      <c r="M1029" s="169"/>
      <c r="N1029" s="165">
        <v>5927000</v>
      </c>
      <c r="O1029" s="169">
        <f t="shared" si="50"/>
        <v>0</v>
      </c>
      <c r="P1029" s="165">
        <v>247368</v>
      </c>
      <c r="Q1029" s="166">
        <f t="shared" si="48"/>
        <v>0</v>
      </c>
      <c r="R1029" s="169"/>
      <c r="S1029" s="169"/>
      <c r="T1029" s="169"/>
      <c r="U1029" s="169"/>
      <c r="V1029" s="166">
        <f t="shared" si="49"/>
        <v>0</v>
      </c>
      <c r="W1029" s="205"/>
      <c r="X1029" s="167"/>
    </row>
    <row r="1030" spans="8:24" s="220" customFormat="1" ht="12" hidden="1" customHeight="1">
      <c r="H1030" s="162" t="s">
        <v>509</v>
      </c>
      <c r="I1030" s="163" t="s">
        <v>1124</v>
      </c>
      <c r="J1030" s="163" t="s">
        <v>2197</v>
      </c>
      <c r="K1030" s="162" t="s">
        <v>2198</v>
      </c>
      <c r="L1030" s="164" t="s">
        <v>744</v>
      </c>
      <c r="M1030" s="169"/>
      <c r="N1030" s="165">
        <v>4281000</v>
      </c>
      <c r="O1030" s="169">
        <f t="shared" si="50"/>
        <v>0</v>
      </c>
      <c r="P1030" s="165">
        <v>247368</v>
      </c>
      <c r="Q1030" s="166">
        <f t="shared" si="48"/>
        <v>0</v>
      </c>
      <c r="R1030" s="169"/>
      <c r="S1030" s="169"/>
      <c r="T1030" s="169"/>
      <c r="U1030" s="169"/>
      <c r="V1030" s="166">
        <f t="shared" si="49"/>
        <v>0</v>
      </c>
      <c r="W1030" s="205"/>
      <c r="X1030" s="167"/>
    </row>
    <row r="1031" spans="8:24" s="220" customFormat="1" ht="12" hidden="1" customHeight="1">
      <c r="H1031" s="162" t="s">
        <v>902</v>
      </c>
      <c r="I1031" s="163" t="s">
        <v>1124</v>
      </c>
      <c r="J1031" s="163" t="s">
        <v>2199</v>
      </c>
      <c r="K1031" s="162" t="s">
        <v>2200</v>
      </c>
      <c r="L1031" s="164" t="s">
        <v>744</v>
      </c>
      <c r="M1031" s="169"/>
      <c r="N1031" s="165">
        <v>43000000</v>
      </c>
      <c r="O1031" s="169">
        <f t="shared" si="50"/>
        <v>0</v>
      </c>
      <c r="P1031" s="165">
        <v>247368</v>
      </c>
      <c r="Q1031" s="166">
        <f t="shared" si="48"/>
        <v>0</v>
      </c>
      <c r="R1031" s="169"/>
      <c r="S1031" s="169"/>
      <c r="T1031" s="169"/>
      <c r="U1031" s="169"/>
      <c r="V1031" s="166">
        <f t="shared" si="49"/>
        <v>0</v>
      </c>
      <c r="W1031" s="205"/>
      <c r="X1031" s="167"/>
    </row>
    <row r="1032" spans="8:24" s="220" customFormat="1" ht="12" hidden="1" customHeight="1">
      <c r="H1032" s="162" t="s">
        <v>505</v>
      </c>
      <c r="I1032" s="163" t="s">
        <v>1124</v>
      </c>
      <c r="J1032" s="163" t="s">
        <v>2197</v>
      </c>
      <c r="K1032" s="162" t="s">
        <v>2623</v>
      </c>
      <c r="L1032" s="164" t="s">
        <v>744</v>
      </c>
      <c r="M1032" s="169"/>
      <c r="N1032" s="165">
        <v>1811000</v>
      </c>
      <c r="O1032" s="169">
        <f t="shared" si="50"/>
        <v>0</v>
      </c>
      <c r="P1032" s="165">
        <v>247368</v>
      </c>
      <c r="Q1032" s="166">
        <f t="shared" si="48"/>
        <v>0</v>
      </c>
      <c r="R1032" s="169"/>
      <c r="S1032" s="169"/>
      <c r="T1032" s="169"/>
      <c r="U1032" s="169"/>
      <c r="V1032" s="166">
        <f t="shared" si="49"/>
        <v>0</v>
      </c>
      <c r="W1032" s="205"/>
      <c r="X1032" s="167"/>
    </row>
    <row r="1033" spans="8:24" s="220" customFormat="1" ht="12" hidden="1" customHeight="1">
      <c r="H1033" s="162" t="s">
        <v>506</v>
      </c>
      <c r="I1033" s="163" t="s">
        <v>1124</v>
      </c>
      <c r="J1033" s="163" t="s">
        <v>2197</v>
      </c>
      <c r="K1033" s="162" t="s">
        <v>2624</v>
      </c>
      <c r="L1033" s="164" t="s">
        <v>744</v>
      </c>
      <c r="M1033" s="169"/>
      <c r="N1033" s="165">
        <v>2058000</v>
      </c>
      <c r="O1033" s="169">
        <f t="shared" si="50"/>
        <v>0</v>
      </c>
      <c r="P1033" s="165">
        <v>247368</v>
      </c>
      <c r="Q1033" s="166">
        <f t="shared" si="48"/>
        <v>0</v>
      </c>
      <c r="R1033" s="169"/>
      <c r="S1033" s="169"/>
      <c r="T1033" s="169"/>
      <c r="U1033" s="169"/>
      <c r="V1033" s="166">
        <f t="shared" si="49"/>
        <v>0</v>
      </c>
      <c r="W1033" s="205"/>
      <c r="X1033" s="167"/>
    </row>
    <row r="1034" spans="8:24" s="220" customFormat="1" ht="12" hidden="1" customHeight="1">
      <c r="H1034" s="162" t="s">
        <v>507</v>
      </c>
      <c r="I1034" s="163" t="s">
        <v>1124</v>
      </c>
      <c r="J1034" s="163" t="s">
        <v>2197</v>
      </c>
      <c r="K1034" s="162" t="s">
        <v>2625</v>
      </c>
      <c r="L1034" s="164" t="s">
        <v>744</v>
      </c>
      <c r="M1034" s="169"/>
      <c r="N1034" s="165">
        <v>2552000</v>
      </c>
      <c r="O1034" s="169">
        <f t="shared" si="50"/>
        <v>0</v>
      </c>
      <c r="P1034" s="165">
        <v>247368</v>
      </c>
      <c r="Q1034" s="166">
        <f t="shared" si="48"/>
        <v>0</v>
      </c>
      <c r="R1034" s="169"/>
      <c r="S1034" s="169"/>
      <c r="T1034" s="169"/>
      <c r="U1034" s="169"/>
      <c r="V1034" s="166">
        <f t="shared" si="49"/>
        <v>0</v>
      </c>
      <c r="W1034" s="205"/>
      <c r="X1034" s="167"/>
    </row>
    <row r="1035" spans="8:24" s="220" customFormat="1" ht="12" hidden="1" customHeight="1">
      <c r="H1035" s="162" t="s">
        <v>508</v>
      </c>
      <c r="I1035" s="163" t="s">
        <v>1124</v>
      </c>
      <c r="J1035" s="163" t="s">
        <v>2197</v>
      </c>
      <c r="K1035" s="162" t="s">
        <v>2626</v>
      </c>
      <c r="L1035" s="164" t="s">
        <v>744</v>
      </c>
      <c r="M1035" s="169"/>
      <c r="N1035" s="165">
        <v>3211000</v>
      </c>
      <c r="O1035" s="169">
        <f t="shared" si="50"/>
        <v>0</v>
      </c>
      <c r="P1035" s="165">
        <v>247368</v>
      </c>
      <c r="Q1035" s="166">
        <f t="shared" si="48"/>
        <v>0</v>
      </c>
      <c r="R1035" s="169"/>
      <c r="S1035" s="169"/>
      <c r="T1035" s="169"/>
      <c r="U1035" s="169"/>
      <c r="V1035" s="166">
        <f t="shared" si="49"/>
        <v>0</v>
      </c>
      <c r="W1035" s="205"/>
      <c r="X1035" s="167"/>
    </row>
    <row r="1036" spans="8:24" s="220" customFormat="1" ht="12" hidden="1" customHeight="1">
      <c r="H1036" s="162" t="s">
        <v>510</v>
      </c>
      <c r="I1036" s="163" t="s">
        <v>1124</v>
      </c>
      <c r="J1036" s="163" t="s">
        <v>2197</v>
      </c>
      <c r="K1036" s="162" t="s">
        <v>2627</v>
      </c>
      <c r="L1036" s="164" t="s">
        <v>744</v>
      </c>
      <c r="M1036" s="169"/>
      <c r="N1036" s="165">
        <v>5927000</v>
      </c>
      <c r="O1036" s="169">
        <f t="shared" si="50"/>
        <v>0</v>
      </c>
      <c r="P1036" s="165">
        <v>247368</v>
      </c>
      <c r="Q1036" s="166">
        <f t="shared" si="48"/>
        <v>0</v>
      </c>
      <c r="R1036" s="169"/>
      <c r="S1036" s="169"/>
      <c r="T1036" s="169"/>
      <c r="U1036" s="169"/>
      <c r="V1036" s="166">
        <f t="shared" si="49"/>
        <v>0</v>
      </c>
      <c r="W1036" s="205"/>
      <c r="X1036" s="167"/>
    </row>
    <row r="1037" spans="8:24" s="220" customFormat="1" ht="12" hidden="1" customHeight="1">
      <c r="H1037" s="162" t="s">
        <v>899</v>
      </c>
      <c r="I1037" s="163" t="s">
        <v>1124</v>
      </c>
      <c r="J1037" s="163" t="s">
        <v>2199</v>
      </c>
      <c r="K1037" s="162" t="s">
        <v>2628</v>
      </c>
      <c r="L1037" s="164" t="s">
        <v>744</v>
      </c>
      <c r="M1037" s="169"/>
      <c r="N1037" s="165">
        <v>15700000</v>
      </c>
      <c r="O1037" s="169">
        <f t="shared" si="50"/>
        <v>0</v>
      </c>
      <c r="P1037" s="165">
        <v>247368</v>
      </c>
      <c r="Q1037" s="166">
        <f t="shared" si="48"/>
        <v>0</v>
      </c>
      <c r="R1037" s="169"/>
      <c r="S1037" s="169"/>
      <c r="T1037" s="169"/>
      <c r="U1037" s="169"/>
      <c r="V1037" s="166">
        <f t="shared" si="49"/>
        <v>0</v>
      </c>
      <c r="W1037" s="205"/>
      <c r="X1037" s="167"/>
    </row>
    <row r="1038" spans="8:24" s="220" customFormat="1" ht="12" hidden="1" customHeight="1">
      <c r="H1038" s="162" t="s">
        <v>900</v>
      </c>
      <c r="I1038" s="163" t="s">
        <v>1124</v>
      </c>
      <c r="J1038" s="163" t="s">
        <v>2199</v>
      </c>
      <c r="K1038" s="162" t="s">
        <v>2629</v>
      </c>
      <c r="L1038" s="164" t="s">
        <v>744</v>
      </c>
      <c r="M1038" s="169"/>
      <c r="N1038" s="165">
        <v>24500000</v>
      </c>
      <c r="O1038" s="169">
        <f t="shared" si="50"/>
        <v>0</v>
      </c>
      <c r="P1038" s="165">
        <v>247368</v>
      </c>
      <c r="Q1038" s="166">
        <f t="shared" si="48"/>
        <v>0</v>
      </c>
      <c r="R1038" s="169"/>
      <c r="S1038" s="169"/>
      <c r="T1038" s="169"/>
      <c r="U1038" s="169"/>
      <c r="V1038" s="166">
        <f t="shared" si="49"/>
        <v>0</v>
      </c>
      <c r="W1038" s="205"/>
      <c r="X1038" s="167"/>
    </row>
    <row r="1039" spans="8:24" s="220" customFormat="1" ht="12" hidden="1" customHeight="1">
      <c r="H1039" s="162" t="s">
        <v>901</v>
      </c>
      <c r="I1039" s="163" t="s">
        <v>1124</v>
      </c>
      <c r="J1039" s="163" t="s">
        <v>2199</v>
      </c>
      <c r="K1039" s="162" t="s">
        <v>2630</v>
      </c>
      <c r="L1039" s="164" t="s">
        <v>744</v>
      </c>
      <c r="M1039" s="169"/>
      <c r="N1039" s="165">
        <v>29000000</v>
      </c>
      <c r="O1039" s="169">
        <f t="shared" si="50"/>
        <v>0</v>
      </c>
      <c r="P1039" s="165">
        <v>247368</v>
      </c>
      <c r="Q1039" s="166">
        <f t="shared" si="48"/>
        <v>0</v>
      </c>
      <c r="R1039" s="169"/>
      <c r="S1039" s="169"/>
      <c r="T1039" s="169"/>
      <c r="U1039" s="169"/>
      <c r="V1039" s="166">
        <f t="shared" si="49"/>
        <v>0</v>
      </c>
      <c r="W1039" s="205"/>
      <c r="X1039" s="167"/>
    </row>
    <row r="1040" spans="8:24" s="220" customFormat="1" ht="12" hidden="1" customHeight="1">
      <c r="H1040" s="162" t="s">
        <v>903</v>
      </c>
      <c r="I1040" s="163" t="s">
        <v>1124</v>
      </c>
      <c r="J1040" s="163" t="s">
        <v>2199</v>
      </c>
      <c r="K1040" s="162" t="s">
        <v>2631</v>
      </c>
      <c r="L1040" s="164" t="s">
        <v>744</v>
      </c>
      <c r="M1040" s="169"/>
      <c r="N1040" s="165">
        <v>58000000</v>
      </c>
      <c r="O1040" s="169">
        <f t="shared" si="50"/>
        <v>0</v>
      </c>
      <c r="P1040" s="165">
        <v>247368</v>
      </c>
      <c r="Q1040" s="166">
        <f t="shared" ref="Q1040:Q1105" si="51">IF(W1040="",M1040*P1040*$Q$3*$W$3,M1040*P1040*$Q$3*W1040)</f>
        <v>0</v>
      </c>
      <c r="R1040" s="169"/>
      <c r="S1040" s="169"/>
      <c r="T1040" s="169"/>
      <c r="U1040" s="169"/>
      <c r="V1040" s="166">
        <f t="shared" ref="V1040:V1105" si="52">SUM(O1040+Q1040)+S1040+U1040</f>
        <v>0</v>
      </c>
      <c r="W1040" s="205"/>
      <c r="X1040" s="167"/>
    </row>
    <row r="1041" spans="8:24" s="220" customFormat="1" ht="12" hidden="1" customHeight="1">
      <c r="H1041" s="162" t="s">
        <v>904</v>
      </c>
      <c r="I1041" s="163" t="s">
        <v>1124</v>
      </c>
      <c r="J1041" s="163" t="s">
        <v>2199</v>
      </c>
      <c r="K1041" s="162" t="s">
        <v>2632</v>
      </c>
      <c r="L1041" s="164" t="s">
        <v>744</v>
      </c>
      <c r="M1041" s="169"/>
      <c r="N1041" s="165">
        <v>72000000</v>
      </c>
      <c r="O1041" s="169">
        <f t="shared" si="50"/>
        <v>0</v>
      </c>
      <c r="P1041" s="165">
        <v>247368</v>
      </c>
      <c r="Q1041" s="166">
        <f t="shared" si="51"/>
        <v>0</v>
      </c>
      <c r="R1041" s="169"/>
      <c r="S1041" s="169"/>
      <c r="T1041" s="169"/>
      <c r="U1041" s="169"/>
      <c r="V1041" s="166">
        <f t="shared" si="52"/>
        <v>0</v>
      </c>
      <c r="W1041" s="205"/>
      <c r="X1041" s="167"/>
    </row>
    <row r="1042" spans="8:24" s="220" customFormat="1" ht="12" hidden="1" customHeight="1">
      <c r="H1042" s="162" t="s">
        <v>905</v>
      </c>
      <c r="I1042" s="163" t="s">
        <v>1125</v>
      </c>
      <c r="J1042" s="163" t="s">
        <v>848</v>
      </c>
      <c r="K1042" s="162" t="s">
        <v>849</v>
      </c>
      <c r="L1042" s="164" t="s">
        <v>744</v>
      </c>
      <c r="M1042" s="169"/>
      <c r="N1042" s="165">
        <v>0</v>
      </c>
      <c r="O1042" s="169">
        <f t="shared" si="50"/>
        <v>0</v>
      </c>
      <c r="P1042" s="165">
        <v>274755</v>
      </c>
      <c r="Q1042" s="166">
        <f t="shared" si="51"/>
        <v>0</v>
      </c>
      <c r="R1042" s="169"/>
      <c r="S1042" s="169"/>
      <c r="T1042" s="169"/>
      <c r="U1042" s="169"/>
      <c r="V1042" s="166">
        <f t="shared" si="52"/>
        <v>0</v>
      </c>
      <c r="W1042" s="205"/>
      <c r="X1042" s="167"/>
    </row>
    <row r="1043" spans="8:24" s="220" customFormat="1" ht="12" hidden="1" customHeight="1">
      <c r="H1043" s="162" t="s">
        <v>1270</v>
      </c>
      <c r="I1043" s="163" t="s">
        <v>2238</v>
      </c>
      <c r="J1043" s="163" t="s">
        <v>2239</v>
      </c>
      <c r="K1043" s="162" t="s">
        <v>2240</v>
      </c>
      <c r="L1043" s="164" t="s">
        <v>744</v>
      </c>
      <c r="M1043" s="169"/>
      <c r="N1043" s="165">
        <v>23100</v>
      </c>
      <c r="O1043" s="169">
        <f t="shared" si="50"/>
        <v>0</v>
      </c>
      <c r="P1043" s="165">
        <v>89089</v>
      </c>
      <c r="Q1043" s="166">
        <f t="shared" si="51"/>
        <v>0</v>
      </c>
      <c r="R1043" s="169"/>
      <c r="S1043" s="169"/>
      <c r="T1043" s="169"/>
      <c r="U1043" s="169"/>
      <c r="V1043" s="166">
        <f t="shared" si="52"/>
        <v>0</v>
      </c>
      <c r="W1043" s="205"/>
      <c r="X1043" s="167"/>
    </row>
    <row r="1044" spans="8:24" s="220" customFormat="1" ht="12" hidden="1" customHeight="1">
      <c r="H1044" s="162" t="s">
        <v>1271</v>
      </c>
      <c r="I1044" s="163" t="s">
        <v>2241</v>
      </c>
      <c r="J1044" s="163" t="s">
        <v>2242</v>
      </c>
      <c r="K1044" s="162" t="s">
        <v>2243</v>
      </c>
      <c r="L1044" s="164" t="s">
        <v>744</v>
      </c>
      <c r="M1044" s="169"/>
      <c r="N1044" s="165">
        <v>1933000</v>
      </c>
      <c r="O1044" s="169">
        <f t="shared" si="50"/>
        <v>0</v>
      </c>
      <c r="P1044" s="165">
        <v>121247</v>
      </c>
      <c r="Q1044" s="166">
        <f t="shared" si="51"/>
        <v>0</v>
      </c>
      <c r="R1044" s="169"/>
      <c r="S1044" s="169"/>
      <c r="T1044" s="169"/>
      <c r="U1044" s="169"/>
      <c r="V1044" s="166">
        <f t="shared" si="52"/>
        <v>0</v>
      </c>
      <c r="W1044" s="205"/>
      <c r="X1044" s="167"/>
    </row>
    <row r="1045" spans="8:24" s="220" customFormat="1" ht="12" hidden="1" customHeight="1">
      <c r="H1045" s="162" t="s">
        <v>1272</v>
      </c>
      <c r="I1045" s="163" t="s">
        <v>2241</v>
      </c>
      <c r="J1045" s="163" t="s">
        <v>2242</v>
      </c>
      <c r="K1045" s="162" t="s">
        <v>2244</v>
      </c>
      <c r="L1045" s="164" t="s">
        <v>744</v>
      </c>
      <c r="M1045" s="169"/>
      <c r="N1045" s="165">
        <v>2278000</v>
      </c>
      <c r="O1045" s="169">
        <f t="shared" si="50"/>
        <v>0</v>
      </c>
      <c r="P1045" s="165">
        <v>121247</v>
      </c>
      <c r="Q1045" s="166">
        <f t="shared" si="51"/>
        <v>0</v>
      </c>
      <c r="R1045" s="169"/>
      <c r="S1045" s="169"/>
      <c r="T1045" s="169"/>
      <c r="U1045" s="169"/>
      <c r="V1045" s="166">
        <f t="shared" si="52"/>
        <v>0</v>
      </c>
      <c r="W1045" s="205"/>
      <c r="X1045" s="167"/>
    </row>
    <row r="1046" spans="8:24" s="220" customFormat="1" ht="12" hidden="1" customHeight="1">
      <c r="H1046" s="162" t="s">
        <v>1273</v>
      </c>
      <c r="I1046" s="163" t="s">
        <v>2241</v>
      </c>
      <c r="J1046" s="163" t="s">
        <v>2242</v>
      </c>
      <c r="K1046" s="162" t="s">
        <v>2245</v>
      </c>
      <c r="L1046" s="164" t="s">
        <v>744</v>
      </c>
      <c r="M1046" s="169"/>
      <c r="N1046" s="165">
        <v>3183000</v>
      </c>
      <c r="O1046" s="169">
        <f t="shared" si="50"/>
        <v>0</v>
      </c>
      <c r="P1046" s="165">
        <v>121247</v>
      </c>
      <c r="Q1046" s="166">
        <f t="shared" si="51"/>
        <v>0</v>
      </c>
      <c r="R1046" s="169"/>
      <c r="S1046" s="169"/>
      <c r="T1046" s="169"/>
      <c r="U1046" s="169"/>
      <c r="V1046" s="166">
        <f t="shared" si="52"/>
        <v>0</v>
      </c>
      <c r="W1046" s="205"/>
      <c r="X1046" s="167"/>
    </row>
    <row r="1047" spans="8:24" s="220" customFormat="1" ht="12" hidden="1" customHeight="1">
      <c r="H1047" s="162" t="s">
        <v>1274</v>
      </c>
      <c r="I1047" s="163" t="s">
        <v>2241</v>
      </c>
      <c r="J1047" s="163" t="s">
        <v>2246</v>
      </c>
      <c r="K1047" s="162" t="s">
        <v>2247</v>
      </c>
      <c r="L1047" s="164" t="s">
        <v>744</v>
      </c>
      <c r="M1047" s="169"/>
      <c r="N1047" s="165">
        <v>1108000</v>
      </c>
      <c r="O1047" s="169">
        <f t="shared" si="50"/>
        <v>0</v>
      </c>
      <c r="P1047" s="165">
        <v>121247</v>
      </c>
      <c r="Q1047" s="166">
        <f t="shared" si="51"/>
        <v>0</v>
      </c>
      <c r="R1047" s="169"/>
      <c r="S1047" s="169"/>
      <c r="T1047" s="169"/>
      <c r="U1047" s="169"/>
      <c r="V1047" s="166">
        <f t="shared" si="52"/>
        <v>0</v>
      </c>
      <c r="W1047" s="205"/>
      <c r="X1047" s="167"/>
    </row>
    <row r="1048" spans="8:24" s="220" customFormat="1" ht="12" hidden="1" customHeight="1">
      <c r="H1048" s="162" t="s">
        <v>1275</v>
      </c>
      <c r="I1048" s="163" t="s">
        <v>2241</v>
      </c>
      <c r="J1048" s="163" t="s">
        <v>2246</v>
      </c>
      <c r="K1048" s="162" t="s">
        <v>2248</v>
      </c>
      <c r="L1048" s="164" t="s">
        <v>744</v>
      </c>
      <c r="M1048" s="169"/>
      <c r="N1048" s="165">
        <v>1338000</v>
      </c>
      <c r="O1048" s="169">
        <f t="shared" si="50"/>
        <v>0</v>
      </c>
      <c r="P1048" s="165">
        <v>121247</v>
      </c>
      <c r="Q1048" s="166">
        <f t="shared" si="51"/>
        <v>0</v>
      </c>
      <c r="R1048" s="169"/>
      <c r="S1048" s="169"/>
      <c r="T1048" s="169"/>
      <c r="U1048" s="169"/>
      <c r="V1048" s="166">
        <f t="shared" si="52"/>
        <v>0</v>
      </c>
      <c r="W1048" s="205"/>
      <c r="X1048" s="167"/>
    </row>
    <row r="1049" spans="8:24" s="220" customFormat="1" ht="12" hidden="1" customHeight="1">
      <c r="H1049" s="162" t="s">
        <v>1276</v>
      </c>
      <c r="I1049" s="163" t="s">
        <v>2241</v>
      </c>
      <c r="J1049" s="163" t="s">
        <v>2246</v>
      </c>
      <c r="K1049" s="162" t="s">
        <v>2249</v>
      </c>
      <c r="L1049" s="164" t="s">
        <v>744</v>
      </c>
      <c r="M1049" s="169"/>
      <c r="N1049" s="165">
        <v>1590000</v>
      </c>
      <c r="O1049" s="169">
        <f t="shared" si="50"/>
        <v>0</v>
      </c>
      <c r="P1049" s="165">
        <v>121247</v>
      </c>
      <c r="Q1049" s="166">
        <f t="shared" si="51"/>
        <v>0</v>
      </c>
      <c r="R1049" s="169"/>
      <c r="S1049" s="169"/>
      <c r="T1049" s="169"/>
      <c r="U1049" s="169"/>
      <c r="V1049" s="166">
        <f t="shared" si="52"/>
        <v>0</v>
      </c>
      <c r="W1049" s="205"/>
      <c r="X1049" s="167"/>
    </row>
    <row r="1050" spans="8:24" s="220" customFormat="1" ht="12" hidden="1" customHeight="1">
      <c r="H1050" s="162" t="s">
        <v>1277</v>
      </c>
      <c r="I1050" s="163" t="s">
        <v>2241</v>
      </c>
      <c r="J1050" s="163" t="s">
        <v>2246</v>
      </c>
      <c r="K1050" s="162" t="s">
        <v>2250</v>
      </c>
      <c r="L1050" s="164" t="s">
        <v>744</v>
      </c>
      <c r="M1050" s="169"/>
      <c r="N1050" s="165">
        <v>1843000</v>
      </c>
      <c r="O1050" s="169">
        <f t="shared" si="50"/>
        <v>0</v>
      </c>
      <c r="P1050" s="165">
        <v>121247</v>
      </c>
      <c r="Q1050" s="166">
        <f t="shared" si="51"/>
        <v>0</v>
      </c>
      <c r="R1050" s="169"/>
      <c r="S1050" s="169"/>
      <c r="T1050" s="169"/>
      <c r="U1050" s="169"/>
      <c r="V1050" s="166">
        <f t="shared" si="52"/>
        <v>0</v>
      </c>
      <c r="W1050" s="205"/>
      <c r="X1050" s="167"/>
    </row>
    <row r="1051" spans="8:24" s="220" customFormat="1" ht="12" hidden="1" customHeight="1">
      <c r="H1051" s="162" t="s">
        <v>1284</v>
      </c>
      <c r="I1051" s="163" t="s">
        <v>2238</v>
      </c>
      <c r="J1051" s="163" t="s">
        <v>2259</v>
      </c>
      <c r="K1051" s="162" t="s">
        <v>2260</v>
      </c>
      <c r="L1051" s="164" t="s">
        <v>744</v>
      </c>
      <c r="M1051" s="169"/>
      <c r="N1051" s="165">
        <v>80000</v>
      </c>
      <c r="O1051" s="169">
        <f t="shared" si="50"/>
        <v>0</v>
      </c>
      <c r="P1051" s="165">
        <v>89089</v>
      </c>
      <c r="Q1051" s="166">
        <f t="shared" si="51"/>
        <v>0</v>
      </c>
      <c r="R1051" s="169"/>
      <c r="S1051" s="169"/>
      <c r="T1051" s="169"/>
      <c r="U1051" s="169"/>
      <c r="V1051" s="166">
        <f t="shared" si="52"/>
        <v>0</v>
      </c>
      <c r="W1051" s="205"/>
      <c r="X1051" s="167"/>
    </row>
    <row r="1052" spans="8:24" s="220" customFormat="1" ht="12" hidden="1" customHeight="1">
      <c r="H1052" s="162" t="s">
        <v>1285</v>
      </c>
      <c r="I1052" s="163" t="s">
        <v>2241</v>
      </c>
      <c r="J1052" s="163" t="s">
        <v>2242</v>
      </c>
      <c r="K1052" s="162" t="s">
        <v>2244</v>
      </c>
      <c r="L1052" s="164" t="s">
        <v>744</v>
      </c>
      <c r="M1052" s="169"/>
      <c r="N1052" s="165">
        <v>2278000</v>
      </c>
      <c r="O1052" s="169">
        <f t="shared" si="50"/>
        <v>0</v>
      </c>
      <c r="P1052" s="165">
        <v>121247</v>
      </c>
      <c r="Q1052" s="166">
        <f t="shared" si="51"/>
        <v>0</v>
      </c>
      <c r="R1052" s="169"/>
      <c r="S1052" s="169"/>
      <c r="T1052" s="169"/>
      <c r="U1052" s="169"/>
      <c r="V1052" s="166">
        <f t="shared" si="52"/>
        <v>0</v>
      </c>
      <c r="W1052" s="205"/>
      <c r="X1052" s="167"/>
    </row>
    <row r="1053" spans="8:24" s="220" customFormat="1" ht="12" hidden="1" customHeight="1">
      <c r="H1053" s="162" t="s">
        <v>1286</v>
      </c>
      <c r="I1053" s="163" t="s">
        <v>2241</v>
      </c>
      <c r="J1053" s="163" t="s">
        <v>2242</v>
      </c>
      <c r="K1053" s="162" t="s">
        <v>2245</v>
      </c>
      <c r="L1053" s="164" t="s">
        <v>744</v>
      </c>
      <c r="M1053" s="169"/>
      <c r="N1053" s="165">
        <v>3183000</v>
      </c>
      <c r="O1053" s="169">
        <f t="shared" si="50"/>
        <v>0</v>
      </c>
      <c r="P1053" s="165">
        <v>121247</v>
      </c>
      <c r="Q1053" s="166">
        <f t="shared" si="51"/>
        <v>0</v>
      </c>
      <c r="R1053" s="169"/>
      <c r="S1053" s="169"/>
      <c r="T1053" s="169"/>
      <c r="U1053" s="169"/>
      <c r="V1053" s="166">
        <f t="shared" si="52"/>
        <v>0</v>
      </c>
      <c r="W1053" s="205"/>
      <c r="X1053" s="167"/>
    </row>
    <row r="1054" spans="8:24" s="220" customFormat="1" ht="12" hidden="1" customHeight="1">
      <c r="H1054" s="162" t="s">
        <v>1287</v>
      </c>
      <c r="I1054" s="163" t="s">
        <v>2241</v>
      </c>
      <c r="J1054" s="163" t="s">
        <v>2246</v>
      </c>
      <c r="K1054" s="162" t="s">
        <v>2247</v>
      </c>
      <c r="L1054" s="164" t="s">
        <v>744</v>
      </c>
      <c r="M1054" s="169"/>
      <c r="N1054" s="165">
        <v>1108000</v>
      </c>
      <c r="O1054" s="169">
        <f t="shared" si="50"/>
        <v>0</v>
      </c>
      <c r="P1054" s="165">
        <v>121247</v>
      </c>
      <c r="Q1054" s="166">
        <f t="shared" si="51"/>
        <v>0</v>
      </c>
      <c r="R1054" s="169"/>
      <c r="S1054" s="169"/>
      <c r="T1054" s="169"/>
      <c r="U1054" s="169"/>
      <c r="V1054" s="166">
        <f t="shared" si="52"/>
        <v>0</v>
      </c>
      <c r="W1054" s="205"/>
      <c r="X1054" s="167"/>
    </row>
    <row r="1055" spans="8:24" s="220" customFormat="1" ht="12" hidden="1" customHeight="1">
      <c r="H1055" s="162" t="s">
        <v>1288</v>
      </c>
      <c r="I1055" s="163" t="s">
        <v>2241</v>
      </c>
      <c r="J1055" s="163" t="s">
        <v>2246</v>
      </c>
      <c r="K1055" s="162" t="s">
        <v>2248</v>
      </c>
      <c r="L1055" s="164" t="s">
        <v>744</v>
      </c>
      <c r="M1055" s="169"/>
      <c r="N1055" s="165">
        <v>1338000</v>
      </c>
      <c r="O1055" s="169">
        <f t="shared" si="50"/>
        <v>0</v>
      </c>
      <c r="P1055" s="165">
        <v>121247</v>
      </c>
      <c r="Q1055" s="166">
        <f t="shared" si="51"/>
        <v>0</v>
      </c>
      <c r="R1055" s="169"/>
      <c r="S1055" s="169"/>
      <c r="T1055" s="169"/>
      <c r="U1055" s="169"/>
      <c r="V1055" s="166">
        <f t="shared" si="52"/>
        <v>0</v>
      </c>
      <c r="W1055" s="205"/>
      <c r="X1055" s="167"/>
    </row>
    <row r="1056" spans="8:24" s="220" customFormat="1" ht="12" hidden="1" customHeight="1">
      <c r="H1056" s="162" t="s">
        <v>1328</v>
      </c>
      <c r="I1056" s="163" t="s">
        <v>2241</v>
      </c>
      <c r="J1056" s="163" t="s">
        <v>2246</v>
      </c>
      <c r="K1056" s="162" t="s">
        <v>2249</v>
      </c>
      <c r="L1056" s="164" t="s">
        <v>744</v>
      </c>
      <c r="M1056" s="169"/>
      <c r="N1056" s="165">
        <v>1590000</v>
      </c>
      <c r="O1056" s="169">
        <f t="shared" si="50"/>
        <v>0</v>
      </c>
      <c r="P1056" s="165">
        <v>121247</v>
      </c>
      <c r="Q1056" s="166">
        <f t="shared" si="51"/>
        <v>0</v>
      </c>
      <c r="R1056" s="169"/>
      <c r="S1056" s="169"/>
      <c r="T1056" s="169"/>
      <c r="U1056" s="169"/>
      <c r="V1056" s="166">
        <f t="shared" si="52"/>
        <v>0</v>
      </c>
      <c r="W1056" s="205"/>
      <c r="X1056" s="167"/>
    </row>
    <row r="1057" spans="8:24" s="220" customFormat="1" ht="12" hidden="1" customHeight="1">
      <c r="H1057" s="162" t="s">
        <v>1329</v>
      </c>
      <c r="I1057" s="163" t="s">
        <v>2241</v>
      </c>
      <c r="J1057" s="163" t="s">
        <v>2246</v>
      </c>
      <c r="K1057" s="162" t="s">
        <v>2250</v>
      </c>
      <c r="L1057" s="164" t="s">
        <v>744</v>
      </c>
      <c r="M1057" s="169"/>
      <c r="N1057" s="165">
        <v>1843000</v>
      </c>
      <c r="O1057" s="169">
        <f t="shared" si="50"/>
        <v>0</v>
      </c>
      <c r="P1057" s="165">
        <v>121247</v>
      </c>
      <c r="Q1057" s="166">
        <f t="shared" si="51"/>
        <v>0</v>
      </c>
      <c r="R1057" s="169"/>
      <c r="S1057" s="169"/>
      <c r="T1057" s="169"/>
      <c r="U1057" s="169"/>
      <c r="V1057" s="166">
        <f t="shared" si="52"/>
        <v>0</v>
      </c>
      <c r="W1057" s="205"/>
      <c r="X1057" s="167"/>
    </row>
    <row r="1058" spans="8:24" s="220" customFormat="1" ht="12" hidden="1" customHeight="1">
      <c r="H1058" s="162" t="s">
        <v>1342</v>
      </c>
      <c r="I1058" s="163" t="s">
        <v>2238</v>
      </c>
      <c r="J1058" s="163" t="s">
        <v>2259</v>
      </c>
      <c r="K1058" s="162" t="s">
        <v>2260</v>
      </c>
      <c r="L1058" s="164" t="s">
        <v>744</v>
      </c>
      <c r="M1058" s="169"/>
      <c r="N1058" s="165">
        <v>80000</v>
      </c>
      <c r="O1058" s="169">
        <f t="shared" si="50"/>
        <v>0</v>
      </c>
      <c r="P1058" s="165">
        <v>89089</v>
      </c>
      <c r="Q1058" s="166">
        <f t="shared" si="51"/>
        <v>0</v>
      </c>
      <c r="R1058" s="169"/>
      <c r="S1058" s="169"/>
      <c r="T1058" s="169"/>
      <c r="U1058" s="169"/>
      <c r="V1058" s="166">
        <f t="shared" si="52"/>
        <v>0</v>
      </c>
      <c r="W1058" s="205"/>
      <c r="X1058" s="167"/>
    </row>
    <row r="1059" spans="8:24" s="220" customFormat="1" ht="12" hidden="1" customHeight="1">
      <c r="H1059" s="162" t="s">
        <v>1349</v>
      </c>
      <c r="I1059" s="163" t="s">
        <v>2241</v>
      </c>
      <c r="J1059" s="163" t="s">
        <v>2242</v>
      </c>
      <c r="K1059" s="162" t="s">
        <v>2243</v>
      </c>
      <c r="L1059" s="164" t="s">
        <v>744</v>
      </c>
      <c r="M1059" s="169"/>
      <c r="N1059" s="165">
        <v>1933000</v>
      </c>
      <c r="O1059" s="169">
        <f t="shared" si="50"/>
        <v>0</v>
      </c>
      <c r="P1059" s="165">
        <v>121247</v>
      </c>
      <c r="Q1059" s="166">
        <f t="shared" si="51"/>
        <v>0</v>
      </c>
      <c r="R1059" s="169"/>
      <c r="S1059" s="169"/>
      <c r="T1059" s="169"/>
      <c r="U1059" s="169"/>
      <c r="V1059" s="166">
        <f t="shared" si="52"/>
        <v>0</v>
      </c>
      <c r="W1059" s="205"/>
      <c r="X1059" s="167"/>
    </row>
    <row r="1060" spans="8:24" s="220" customFormat="1" ht="12" hidden="1" customHeight="1">
      <c r="H1060" s="162" t="s">
        <v>908</v>
      </c>
      <c r="I1060" s="163" t="s">
        <v>1137</v>
      </c>
      <c r="J1060" s="163" t="s">
        <v>838</v>
      </c>
      <c r="K1060" s="162" t="s">
        <v>839</v>
      </c>
      <c r="L1060" s="164" t="s">
        <v>750</v>
      </c>
      <c r="M1060" s="169"/>
      <c r="N1060" s="165">
        <v>0</v>
      </c>
      <c r="O1060" s="169">
        <f t="shared" si="50"/>
        <v>0</v>
      </c>
      <c r="P1060" s="165">
        <v>59136</v>
      </c>
      <c r="Q1060" s="166">
        <f t="shared" si="51"/>
        <v>0</v>
      </c>
      <c r="R1060" s="169"/>
      <c r="S1060" s="169"/>
      <c r="T1060" s="169"/>
      <c r="U1060" s="169"/>
      <c r="V1060" s="166">
        <f t="shared" si="52"/>
        <v>0</v>
      </c>
      <c r="W1060" s="205"/>
      <c r="X1060" s="167"/>
    </row>
    <row r="1061" spans="8:24" s="220" customFormat="1" ht="12" hidden="1" customHeight="1">
      <c r="H1061" s="162" t="s">
        <v>1458</v>
      </c>
      <c r="I1061" s="163" t="s">
        <v>2238</v>
      </c>
      <c r="J1061" s="163" t="s">
        <v>2239</v>
      </c>
      <c r="K1061" s="162" t="s">
        <v>2240</v>
      </c>
      <c r="L1061" s="164" t="s">
        <v>744</v>
      </c>
      <c r="M1061" s="169"/>
      <c r="N1061" s="165">
        <v>23100</v>
      </c>
      <c r="O1061" s="169">
        <f t="shared" si="50"/>
        <v>0</v>
      </c>
      <c r="P1061" s="165">
        <v>89089</v>
      </c>
      <c r="Q1061" s="166">
        <f t="shared" si="51"/>
        <v>0</v>
      </c>
      <c r="R1061" s="169"/>
      <c r="S1061" s="169"/>
      <c r="T1061" s="169"/>
      <c r="U1061" s="169"/>
      <c r="V1061" s="166">
        <f t="shared" si="52"/>
        <v>0</v>
      </c>
      <c r="W1061" s="205"/>
      <c r="X1061" s="167"/>
    </row>
    <row r="1062" spans="8:24" s="220" customFormat="1" ht="12" hidden="1" customHeight="1">
      <c r="H1062" s="162" t="s">
        <v>1459</v>
      </c>
      <c r="I1062" s="163" t="s">
        <v>2238</v>
      </c>
      <c r="J1062" s="163" t="s">
        <v>2239</v>
      </c>
      <c r="K1062" s="162" t="s">
        <v>2638</v>
      </c>
      <c r="L1062" s="164" t="s">
        <v>744</v>
      </c>
      <c r="M1062" s="169"/>
      <c r="N1062" s="165">
        <v>17500</v>
      </c>
      <c r="O1062" s="169">
        <f t="shared" si="50"/>
        <v>0</v>
      </c>
      <c r="P1062" s="165">
        <v>89089</v>
      </c>
      <c r="Q1062" s="166">
        <f t="shared" si="51"/>
        <v>0</v>
      </c>
      <c r="R1062" s="169"/>
      <c r="S1062" s="169"/>
      <c r="T1062" s="169"/>
      <c r="U1062" s="169"/>
      <c r="V1062" s="166">
        <f t="shared" si="52"/>
        <v>0</v>
      </c>
      <c r="W1062" s="205"/>
      <c r="X1062" s="167"/>
    </row>
    <row r="1063" spans="8:24" s="220" customFormat="1" ht="12" hidden="1" customHeight="1">
      <c r="H1063" s="162" t="s">
        <v>1460</v>
      </c>
      <c r="I1063" s="163" t="s">
        <v>2238</v>
      </c>
      <c r="J1063" s="163" t="s">
        <v>2239</v>
      </c>
      <c r="K1063" s="162" t="s">
        <v>2639</v>
      </c>
      <c r="L1063" s="164" t="s">
        <v>744</v>
      </c>
      <c r="M1063" s="169"/>
      <c r="N1063" s="165">
        <v>44000</v>
      </c>
      <c r="O1063" s="169">
        <f t="shared" si="50"/>
        <v>0</v>
      </c>
      <c r="P1063" s="165">
        <v>89089</v>
      </c>
      <c r="Q1063" s="166">
        <f t="shared" si="51"/>
        <v>0</v>
      </c>
      <c r="R1063" s="169"/>
      <c r="S1063" s="169"/>
      <c r="T1063" s="169"/>
      <c r="U1063" s="169"/>
      <c r="V1063" s="166">
        <f t="shared" si="52"/>
        <v>0</v>
      </c>
      <c r="W1063" s="205"/>
      <c r="X1063" s="167"/>
    </row>
    <row r="1064" spans="8:24" s="220" customFormat="1" ht="12" hidden="1" customHeight="1">
      <c r="H1064" s="162" t="s">
        <v>916</v>
      </c>
      <c r="I1064" s="163" t="s">
        <v>1150</v>
      </c>
      <c r="J1064" s="163" t="s">
        <v>1151</v>
      </c>
      <c r="K1064" s="162" t="s">
        <v>836</v>
      </c>
      <c r="L1064" s="164" t="s">
        <v>697</v>
      </c>
      <c r="M1064" s="169"/>
      <c r="N1064" s="165">
        <v>0</v>
      </c>
      <c r="O1064" s="169">
        <f t="shared" si="50"/>
        <v>0</v>
      </c>
      <c r="P1064" s="165">
        <v>656752</v>
      </c>
      <c r="Q1064" s="166">
        <f t="shared" si="51"/>
        <v>0</v>
      </c>
      <c r="R1064" s="169"/>
      <c r="S1064" s="169"/>
      <c r="T1064" s="169"/>
      <c r="U1064" s="169"/>
      <c r="V1064" s="166">
        <f t="shared" si="52"/>
        <v>0</v>
      </c>
      <c r="W1064" s="205"/>
      <c r="X1064" s="167"/>
    </row>
    <row r="1065" spans="8:24" s="220" customFormat="1" ht="12" hidden="1" customHeight="1">
      <c r="H1065" s="162" t="s">
        <v>917</v>
      </c>
      <c r="I1065" s="163" t="s">
        <v>1152</v>
      </c>
      <c r="J1065" s="163" t="s">
        <v>1153</v>
      </c>
      <c r="K1065" s="162" t="s">
        <v>837</v>
      </c>
      <c r="L1065" s="164" t="s">
        <v>697</v>
      </c>
      <c r="M1065" s="169"/>
      <c r="N1065" s="165">
        <v>0</v>
      </c>
      <c r="O1065" s="169">
        <f t="shared" si="50"/>
        <v>0</v>
      </c>
      <c r="P1065" s="165">
        <v>764396</v>
      </c>
      <c r="Q1065" s="166">
        <f t="shared" si="51"/>
        <v>0</v>
      </c>
      <c r="R1065" s="169"/>
      <c r="S1065" s="169"/>
      <c r="T1065" s="169"/>
      <c r="U1065" s="169"/>
      <c r="V1065" s="166">
        <f t="shared" si="52"/>
        <v>0</v>
      </c>
      <c r="W1065" s="205"/>
      <c r="X1065" s="167"/>
    </row>
    <row r="1066" spans="8:24" s="220" customFormat="1" ht="12" hidden="1" customHeight="1">
      <c r="H1066" s="162" t="s">
        <v>1180</v>
      </c>
      <c r="I1066" s="163" t="s">
        <v>1154</v>
      </c>
      <c r="J1066" s="163" t="s">
        <v>840</v>
      </c>
      <c r="K1066" s="162" t="s">
        <v>841</v>
      </c>
      <c r="L1066" s="164" t="s">
        <v>744</v>
      </c>
      <c r="M1066" s="169"/>
      <c r="N1066" s="165">
        <v>0</v>
      </c>
      <c r="O1066" s="169">
        <f t="shared" si="50"/>
        <v>0</v>
      </c>
      <c r="P1066" s="165">
        <v>2753552</v>
      </c>
      <c r="Q1066" s="166">
        <f t="shared" si="51"/>
        <v>0</v>
      </c>
      <c r="R1066" s="169"/>
      <c r="S1066" s="169"/>
      <c r="T1066" s="169"/>
      <c r="U1066" s="169"/>
      <c r="V1066" s="166">
        <f t="shared" si="52"/>
        <v>0</v>
      </c>
      <c r="W1066" s="205"/>
      <c r="X1066" s="167"/>
    </row>
    <row r="1067" spans="8:24" s="220" customFormat="1" ht="12" hidden="1" customHeight="1">
      <c r="H1067" s="162" t="s">
        <v>918</v>
      </c>
      <c r="I1067" s="163" t="s">
        <v>1155</v>
      </c>
      <c r="J1067" s="163" t="s">
        <v>835</v>
      </c>
      <c r="K1067" s="162" t="s">
        <v>1156</v>
      </c>
      <c r="L1067" s="164" t="s">
        <v>697</v>
      </c>
      <c r="M1067" s="169"/>
      <c r="N1067" s="165">
        <v>0</v>
      </c>
      <c r="O1067" s="169">
        <f t="shared" si="50"/>
        <v>0</v>
      </c>
      <c r="P1067" s="165">
        <v>184235</v>
      </c>
      <c r="Q1067" s="166">
        <f t="shared" si="51"/>
        <v>0</v>
      </c>
      <c r="R1067" s="169"/>
      <c r="S1067" s="169"/>
      <c r="T1067" s="169"/>
      <c r="U1067" s="169"/>
      <c r="V1067" s="166">
        <f t="shared" si="52"/>
        <v>0</v>
      </c>
      <c r="W1067" s="205"/>
      <c r="X1067" s="167"/>
    </row>
    <row r="1068" spans="8:24" s="220" customFormat="1" ht="12" hidden="1" customHeight="1">
      <c r="H1068" s="162" t="s">
        <v>906</v>
      </c>
      <c r="I1068" s="163" t="s">
        <v>1130</v>
      </c>
      <c r="J1068" s="163" t="s">
        <v>799</v>
      </c>
      <c r="K1068" s="162" t="s">
        <v>800</v>
      </c>
      <c r="L1068" s="164" t="s">
        <v>744</v>
      </c>
      <c r="M1068" s="169"/>
      <c r="N1068" s="165"/>
      <c r="O1068" s="169">
        <f t="shared" si="50"/>
        <v>0</v>
      </c>
      <c r="P1068" s="165">
        <v>129584</v>
      </c>
      <c r="Q1068" s="166">
        <f t="shared" si="51"/>
        <v>0</v>
      </c>
      <c r="R1068" s="169"/>
      <c r="S1068" s="169"/>
      <c r="T1068" s="169"/>
      <c r="U1068" s="169"/>
      <c r="V1068" s="166">
        <f t="shared" si="52"/>
        <v>0</v>
      </c>
      <c r="W1068" s="205"/>
      <c r="X1068" s="167"/>
    </row>
    <row r="1069" spans="8:24" s="220" customFormat="1" ht="12" hidden="1" customHeight="1">
      <c r="H1069" s="162" t="s">
        <v>520</v>
      </c>
      <c r="I1069" s="163" t="s">
        <v>1131</v>
      </c>
      <c r="J1069" s="163" t="s">
        <v>2677</v>
      </c>
      <c r="K1069" s="162" t="s">
        <v>2678</v>
      </c>
      <c r="L1069" s="164" t="s">
        <v>746</v>
      </c>
      <c r="M1069" s="169"/>
      <c r="N1069" s="165">
        <v>1380</v>
      </c>
      <c r="O1069" s="169">
        <f t="shared" si="50"/>
        <v>0</v>
      </c>
      <c r="P1069" s="165">
        <v>53993</v>
      </c>
      <c r="Q1069" s="166">
        <f t="shared" si="51"/>
        <v>0</v>
      </c>
      <c r="R1069" s="169"/>
      <c r="S1069" s="169"/>
      <c r="T1069" s="169"/>
      <c r="U1069" s="169"/>
      <c r="V1069" s="166">
        <f t="shared" si="52"/>
        <v>0</v>
      </c>
      <c r="W1069" s="205"/>
      <c r="X1069" s="167"/>
    </row>
    <row r="1070" spans="8:24" s="220" customFormat="1" ht="12" hidden="1" customHeight="1">
      <c r="H1070" s="162" t="s">
        <v>521</v>
      </c>
      <c r="I1070" s="163" t="s">
        <v>1131</v>
      </c>
      <c r="J1070" s="163" t="s">
        <v>2679</v>
      </c>
      <c r="K1070" s="162" t="s">
        <v>2680</v>
      </c>
      <c r="L1070" s="164" t="s">
        <v>746</v>
      </c>
      <c r="M1070" s="169"/>
      <c r="N1070" s="165">
        <v>1360</v>
      </c>
      <c r="O1070" s="169">
        <f t="shared" si="50"/>
        <v>0</v>
      </c>
      <c r="P1070" s="165">
        <v>53993</v>
      </c>
      <c r="Q1070" s="166">
        <f t="shared" si="51"/>
        <v>0</v>
      </c>
      <c r="R1070" s="169"/>
      <c r="S1070" s="169"/>
      <c r="T1070" s="169"/>
      <c r="U1070" s="169"/>
      <c r="V1070" s="166">
        <f t="shared" si="52"/>
        <v>0</v>
      </c>
      <c r="W1070" s="205"/>
      <c r="X1070" s="167"/>
    </row>
    <row r="1071" spans="8:24" s="220" customFormat="1" ht="12" hidden="1" customHeight="1">
      <c r="H1071" s="162" t="s">
        <v>522</v>
      </c>
      <c r="I1071" s="163" t="s">
        <v>1131</v>
      </c>
      <c r="J1071" s="163" t="s">
        <v>2679</v>
      </c>
      <c r="K1071" s="162" t="s">
        <v>2681</v>
      </c>
      <c r="L1071" s="164" t="s">
        <v>746</v>
      </c>
      <c r="M1071" s="169"/>
      <c r="N1071" s="165">
        <v>3250</v>
      </c>
      <c r="O1071" s="169">
        <f t="shared" si="50"/>
        <v>0</v>
      </c>
      <c r="P1071" s="165">
        <v>53993</v>
      </c>
      <c r="Q1071" s="166">
        <f t="shared" si="51"/>
        <v>0</v>
      </c>
      <c r="R1071" s="169"/>
      <c r="S1071" s="169"/>
      <c r="T1071" s="169"/>
      <c r="U1071" s="169"/>
      <c r="V1071" s="166">
        <f t="shared" si="52"/>
        <v>0</v>
      </c>
      <c r="W1071" s="205"/>
      <c r="X1071" s="167"/>
    </row>
    <row r="1072" spans="8:24" s="220" customFormat="1" ht="12" hidden="1" customHeight="1">
      <c r="H1072" s="162" t="s">
        <v>523</v>
      </c>
      <c r="I1072" s="163" t="s">
        <v>1131</v>
      </c>
      <c r="J1072" s="163" t="s">
        <v>2679</v>
      </c>
      <c r="K1072" s="162" t="s">
        <v>2682</v>
      </c>
      <c r="L1072" s="164" t="s">
        <v>746</v>
      </c>
      <c r="M1072" s="169"/>
      <c r="N1072" s="165">
        <v>3790</v>
      </c>
      <c r="O1072" s="169">
        <f t="shared" si="50"/>
        <v>0</v>
      </c>
      <c r="P1072" s="165">
        <v>53993</v>
      </c>
      <c r="Q1072" s="166">
        <f t="shared" si="51"/>
        <v>0</v>
      </c>
      <c r="R1072" s="169"/>
      <c r="S1072" s="169"/>
      <c r="T1072" s="169"/>
      <c r="U1072" s="169"/>
      <c r="V1072" s="166">
        <f t="shared" si="52"/>
        <v>0</v>
      </c>
      <c r="W1072" s="205"/>
      <c r="X1072" s="167"/>
    </row>
    <row r="1073" spans="8:24" s="220" customFormat="1" ht="12" hidden="1" customHeight="1">
      <c r="H1073" s="162" t="s">
        <v>524</v>
      </c>
      <c r="I1073" s="163" t="s">
        <v>1131</v>
      </c>
      <c r="J1073" s="163" t="s">
        <v>2679</v>
      </c>
      <c r="K1073" s="162" t="s">
        <v>2683</v>
      </c>
      <c r="L1073" s="164" t="s">
        <v>746</v>
      </c>
      <c r="M1073" s="169"/>
      <c r="N1073" s="165">
        <v>6240</v>
      </c>
      <c r="O1073" s="169">
        <f t="shared" si="50"/>
        <v>0</v>
      </c>
      <c r="P1073" s="165">
        <v>53993</v>
      </c>
      <c r="Q1073" s="166">
        <f t="shared" si="51"/>
        <v>0</v>
      </c>
      <c r="R1073" s="169"/>
      <c r="S1073" s="169"/>
      <c r="T1073" s="169"/>
      <c r="U1073" s="169"/>
      <c r="V1073" s="166">
        <f t="shared" si="52"/>
        <v>0</v>
      </c>
      <c r="W1073" s="205"/>
      <c r="X1073" s="167"/>
    </row>
    <row r="1074" spans="8:24" s="220" customFormat="1" ht="12" hidden="1" customHeight="1">
      <c r="H1074" s="162" t="s">
        <v>926</v>
      </c>
      <c r="I1074" s="163" t="s">
        <v>1172</v>
      </c>
      <c r="J1074" s="163" t="s">
        <v>842</v>
      </c>
      <c r="K1074" s="162" t="s">
        <v>843</v>
      </c>
      <c r="L1074" s="164" t="s">
        <v>750</v>
      </c>
      <c r="M1074" s="169"/>
      <c r="N1074" s="165"/>
      <c r="O1074" s="169">
        <f t="shared" si="50"/>
        <v>0</v>
      </c>
      <c r="P1074" s="165">
        <v>3688</v>
      </c>
      <c r="Q1074" s="166">
        <f t="shared" si="51"/>
        <v>0</v>
      </c>
      <c r="R1074" s="169"/>
      <c r="S1074" s="169"/>
      <c r="T1074" s="169"/>
      <c r="U1074" s="169"/>
      <c r="V1074" s="166">
        <f t="shared" si="52"/>
        <v>0</v>
      </c>
      <c r="W1074" s="205"/>
      <c r="X1074" s="167"/>
    </row>
    <row r="1075" spans="8:24" s="220" customFormat="1" ht="12" hidden="1" customHeight="1">
      <c r="H1075" s="162" t="s">
        <v>927</v>
      </c>
      <c r="I1075" s="163" t="s">
        <v>1173</v>
      </c>
      <c r="J1075" s="163" t="s">
        <v>844</v>
      </c>
      <c r="K1075" s="162" t="s">
        <v>845</v>
      </c>
      <c r="L1075" s="164" t="s">
        <v>750</v>
      </c>
      <c r="M1075" s="169"/>
      <c r="N1075" s="165"/>
      <c r="O1075" s="169">
        <f t="shared" si="50"/>
        <v>0</v>
      </c>
      <c r="P1075" s="165">
        <v>44267</v>
      </c>
      <c r="Q1075" s="166">
        <f t="shared" si="51"/>
        <v>0</v>
      </c>
      <c r="R1075" s="169"/>
      <c r="S1075" s="169"/>
      <c r="T1075" s="169"/>
      <c r="U1075" s="169"/>
      <c r="V1075" s="166">
        <f t="shared" si="52"/>
        <v>0</v>
      </c>
      <c r="W1075" s="205"/>
      <c r="X1075" s="167"/>
    </row>
    <row r="1076" spans="8:24" s="220" customFormat="1" ht="12" hidden="1" customHeight="1">
      <c r="H1076" s="162" t="s">
        <v>928</v>
      </c>
      <c r="I1076" s="163" t="s">
        <v>1174</v>
      </c>
      <c r="J1076" s="163" t="s">
        <v>842</v>
      </c>
      <c r="K1076" s="162" t="s">
        <v>846</v>
      </c>
      <c r="L1076" s="164" t="s">
        <v>750</v>
      </c>
      <c r="M1076" s="169"/>
      <c r="N1076" s="165"/>
      <c r="O1076" s="169">
        <f t="shared" si="50"/>
        <v>0</v>
      </c>
      <c r="P1076" s="165">
        <v>62712</v>
      </c>
      <c r="Q1076" s="166">
        <f t="shared" si="51"/>
        <v>0</v>
      </c>
      <c r="R1076" s="169"/>
      <c r="S1076" s="169"/>
      <c r="T1076" s="169"/>
      <c r="U1076" s="169"/>
      <c r="V1076" s="166">
        <f t="shared" si="52"/>
        <v>0</v>
      </c>
      <c r="W1076" s="205"/>
      <c r="X1076" s="167"/>
    </row>
    <row r="1077" spans="8:24" s="220" customFormat="1" ht="12" hidden="1" customHeight="1">
      <c r="H1077" s="162" t="s">
        <v>929</v>
      </c>
      <c r="I1077" s="163" t="s">
        <v>1175</v>
      </c>
      <c r="J1077" s="163" t="s">
        <v>844</v>
      </c>
      <c r="K1077" s="162" t="s">
        <v>847</v>
      </c>
      <c r="L1077" s="164" t="s">
        <v>750</v>
      </c>
      <c r="M1077" s="169"/>
      <c r="N1077" s="165"/>
      <c r="O1077" s="169">
        <f t="shared" si="50"/>
        <v>0</v>
      </c>
      <c r="P1077" s="165">
        <v>77467</v>
      </c>
      <c r="Q1077" s="166">
        <f t="shared" si="51"/>
        <v>0</v>
      </c>
      <c r="R1077" s="169"/>
      <c r="S1077" s="169"/>
      <c r="T1077" s="169"/>
      <c r="U1077" s="169"/>
      <c r="V1077" s="166">
        <f t="shared" si="52"/>
        <v>0</v>
      </c>
      <c r="W1077" s="205"/>
      <c r="X1077" s="167"/>
    </row>
    <row r="1078" spans="8:24" s="220" customFormat="1" ht="12" hidden="1" customHeight="1">
      <c r="H1078" s="162" t="s">
        <v>907</v>
      </c>
      <c r="I1078" s="163" t="s">
        <v>1136</v>
      </c>
      <c r="J1078" s="163" t="s">
        <v>834</v>
      </c>
      <c r="K1078" s="162" t="s">
        <v>823</v>
      </c>
      <c r="L1078" s="164" t="s">
        <v>750</v>
      </c>
      <c r="M1078" s="169"/>
      <c r="N1078" s="165"/>
      <c r="O1078" s="169">
        <f t="shared" ref="O1078:O1088" si="53">M1078*N1078*$O$3</f>
        <v>0</v>
      </c>
      <c r="P1078" s="165">
        <v>157149</v>
      </c>
      <c r="Q1078" s="166">
        <f t="shared" si="51"/>
        <v>0</v>
      </c>
      <c r="R1078" s="169"/>
      <c r="S1078" s="169"/>
      <c r="T1078" s="169"/>
      <c r="U1078" s="169"/>
      <c r="V1078" s="166">
        <f t="shared" si="52"/>
        <v>0</v>
      </c>
      <c r="W1078" s="205"/>
      <c r="X1078" s="167"/>
    </row>
    <row r="1079" spans="8:24" s="220" customFormat="1" ht="12" hidden="1" customHeight="1">
      <c r="H1079" s="162" t="s">
        <v>890</v>
      </c>
      <c r="I1079" s="163" t="s">
        <v>1097</v>
      </c>
      <c r="J1079" s="163" t="s">
        <v>824</v>
      </c>
      <c r="K1079" s="162" t="s">
        <v>825</v>
      </c>
      <c r="L1079" s="164" t="s">
        <v>750</v>
      </c>
      <c r="M1079" s="169"/>
      <c r="N1079" s="165"/>
      <c r="O1079" s="169">
        <f t="shared" si="53"/>
        <v>0</v>
      </c>
      <c r="P1079" s="165">
        <v>35413</v>
      </c>
      <c r="Q1079" s="166">
        <f t="shared" si="51"/>
        <v>0</v>
      </c>
      <c r="R1079" s="169"/>
      <c r="S1079" s="169"/>
      <c r="T1079" s="169"/>
      <c r="U1079" s="169"/>
      <c r="V1079" s="166">
        <f t="shared" si="52"/>
        <v>0</v>
      </c>
      <c r="W1079" s="205"/>
      <c r="X1079" s="167"/>
    </row>
    <row r="1080" spans="8:24" s="220" customFormat="1" ht="12" hidden="1" customHeight="1">
      <c r="H1080" s="162" t="s">
        <v>891</v>
      </c>
      <c r="I1080" s="163" t="s">
        <v>1098</v>
      </c>
      <c r="J1080" s="163" t="s">
        <v>826</v>
      </c>
      <c r="K1080" s="162" t="s">
        <v>815</v>
      </c>
      <c r="L1080" s="164" t="s">
        <v>750</v>
      </c>
      <c r="M1080" s="169"/>
      <c r="N1080" s="165"/>
      <c r="O1080" s="169">
        <f t="shared" si="53"/>
        <v>0</v>
      </c>
      <c r="P1080" s="165">
        <v>43898</v>
      </c>
      <c r="Q1080" s="166">
        <f t="shared" si="51"/>
        <v>0</v>
      </c>
      <c r="R1080" s="169"/>
      <c r="S1080" s="169"/>
      <c r="T1080" s="169"/>
      <c r="U1080" s="169"/>
      <c r="V1080" s="166">
        <f t="shared" si="52"/>
        <v>0</v>
      </c>
      <c r="W1080" s="205"/>
      <c r="X1080" s="167"/>
    </row>
    <row r="1081" spans="8:24" s="220" customFormat="1" ht="12" hidden="1" customHeight="1">
      <c r="H1081" s="162" t="s">
        <v>892</v>
      </c>
      <c r="I1081" s="163" t="s">
        <v>1099</v>
      </c>
      <c r="J1081" s="163" t="s">
        <v>827</v>
      </c>
      <c r="K1081" s="162" t="s">
        <v>816</v>
      </c>
      <c r="L1081" s="164" t="s">
        <v>750</v>
      </c>
      <c r="M1081" s="169"/>
      <c r="N1081" s="165"/>
      <c r="O1081" s="169">
        <f t="shared" si="53"/>
        <v>0</v>
      </c>
      <c r="P1081" s="165">
        <v>52383</v>
      </c>
      <c r="Q1081" s="166">
        <f t="shared" si="51"/>
        <v>0</v>
      </c>
      <c r="R1081" s="169"/>
      <c r="S1081" s="169"/>
      <c r="T1081" s="169"/>
      <c r="U1081" s="169"/>
      <c r="V1081" s="166">
        <f t="shared" si="52"/>
        <v>0</v>
      </c>
      <c r="W1081" s="205"/>
      <c r="X1081" s="167"/>
    </row>
    <row r="1082" spans="8:24" s="220" customFormat="1" ht="12" hidden="1" customHeight="1">
      <c r="H1082" s="162" t="s">
        <v>893</v>
      </c>
      <c r="I1082" s="163" t="s">
        <v>1100</v>
      </c>
      <c r="J1082" s="163" t="s">
        <v>828</v>
      </c>
      <c r="K1082" s="162" t="s">
        <v>817</v>
      </c>
      <c r="L1082" s="164" t="s">
        <v>750</v>
      </c>
      <c r="M1082" s="169"/>
      <c r="N1082" s="165"/>
      <c r="O1082" s="169">
        <f t="shared" si="53"/>
        <v>0</v>
      </c>
      <c r="P1082" s="165">
        <v>60867</v>
      </c>
      <c r="Q1082" s="166">
        <f t="shared" si="51"/>
        <v>0</v>
      </c>
      <c r="R1082" s="169"/>
      <c r="S1082" s="169"/>
      <c r="T1082" s="169"/>
      <c r="U1082" s="169"/>
      <c r="V1082" s="166">
        <f t="shared" si="52"/>
        <v>0</v>
      </c>
      <c r="W1082" s="205"/>
      <c r="X1082" s="167"/>
    </row>
    <row r="1083" spans="8:24" s="220" customFormat="1" ht="12" hidden="1" customHeight="1">
      <c r="H1083" s="162" t="s">
        <v>894</v>
      </c>
      <c r="I1083" s="163" t="s">
        <v>1101</v>
      </c>
      <c r="J1083" s="163" t="s">
        <v>829</v>
      </c>
      <c r="K1083" s="162" t="s">
        <v>818</v>
      </c>
      <c r="L1083" s="164" t="s">
        <v>750</v>
      </c>
      <c r="M1083" s="169"/>
      <c r="N1083" s="165"/>
      <c r="O1083" s="169">
        <f t="shared" si="53"/>
        <v>0</v>
      </c>
      <c r="P1083" s="165">
        <v>77467</v>
      </c>
      <c r="Q1083" s="166">
        <f t="shared" si="51"/>
        <v>0</v>
      </c>
      <c r="R1083" s="169"/>
      <c r="S1083" s="169"/>
      <c r="T1083" s="169"/>
      <c r="U1083" s="169"/>
      <c r="V1083" s="166">
        <f t="shared" si="52"/>
        <v>0</v>
      </c>
      <c r="W1083" s="205"/>
      <c r="X1083" s="167"/>
    </row>
    <row r="1084" spans="8:24" s="220" customFormat="1" ht="12" hidden="1" customHeight="1">
      <c r="H1084" s="162" t="s">
        <v>895</v>
      </c>
      <c r="I1084" s="163" t="s">
        <v>1102</v>
      </c>
      <c r="J1084" s="163" t="s">
        <v>830</v>
      </c>
      <c r="K1084" s="162" t="s">
        <v>819</v>
      </c>
      <c r="L1084" s="164" t="s">
        <v>750</v>
      </c>
      <c r="M1084" s="169"/>
      <c r="N1084" s="165"/>
      <c r="O1084" s="169">
        <f t="shared" si="53"/>
        <v>0</v>
      </c>
      <c r="P1084" s="165">
        <v>92961</v>
      </c>
      <c r="Q1084" s="166">
        <f t="shared" si="51"/>
        <v>0</v>
      </c>
      <c r="R1084" s="169"/>
      <c r="S1084" s="169"/>
      <c r="T1084" s="169"/>
      <c r="U1084" s="169"/>
      <c r="V1084" s="166">
        <f t="shared" si="52"/>
        <v>0</v>
      </c>
      <c r="W1084" s="205"/>
      <c r="X1084" s="167"/>
    </row>
    <row r="1085" spans="8:24" s="220" customFormat="1" ht="12" hidden="1" customHeight="1">
      <c r="H1085" s="162" t="s">
        <v>896</v>
      </c>
      <c r="I1085" s="163" t="s">
        <v>1103</v>
      </c>
      <c r="J1085" s="163" t="s">
        <v>831</v>
      </c>
      <c r="K1085" s="162" t="s">
        <v>820</v>
      </c>
      <c r="L1085" s="164" t="s">
        <v>750</v>
      </c>
      <c r="M1085" s="169"/>
      <c r="N1085" s="165"/>
      <c r="O1085" s="169">
        <f t="shared" si="53"/>
        <v>0</v>
      </c>
      <c r="P1085" s="165">
        <v>108824</v>
      </c>
      <c r="Q1085" s="166">
        <f t="shared" si="51"/>
        <v>0</v>
      </c>
      <c r="R1085" s="169"/>
      <c r="S1085" s="169"/>
      <c r="T1085" s="169"/>
      <c r="U1085" s="169"/>
      <c r="V1085" s="166">
        <f t="shared" si="52"/>
        <v>0</v>
      </c>
      <c r="W1085" s="205"/>
      <c r="X1085" s="167"/>
    </row>
    <row r="1086" spans="8:24" s="220" customFormat="1" ht="12" hidden="1" customHeight="1">
      <c r="H1086" s="162" t="s">
        <v>897</v>
      </c>
      <c r="I1086" s="163" t="s">
        <v>1104</v>
      </c>
      <c r="J1086" s="163" t="s">
        <v>832</v>
      </c>
      <c r="K1086" s="162" t="s">
        <v>821</v>
      </c>
      <c r="L1086" s="164" t="s">
        <v>750</v>
      </c>
      <c r="M1086" s="169"/>
      <c r="N1086" s="165"/>
      <c r="O1086" s="169">
        <f t="shared" si="53"/>
        <v>0</v>
      </c>
      <c r="P1086" s="165">
        <v>125055</v>
      </c>
      <c r="Q1086" s="166">
        <f t="shared" si="51"/>
        <v>0</v>
      </c>
      <c r="R1086" s="169"/>
      <c r="S1086" s="169"/>
      <c r="T1086" s="169"/>
      <c r="U1086" s="169"/>
      <c r="V1086" s="166">
        <f t="shared" si="52"/>
        <v>0</v>
      </c>
      <c r="W1086" s="205"/>
      <c r="X1086" s="167"/>
    </row>
    <row r="1087" spans="8:24" s="220" customFormat="1" ht="12" hidden="1" customHeight="1">
      <c r="H1087" s="162" t="s">
        <v>898</v>
      </c>
      <c r="I1087" s="163" t="s">
        <v>1105</v>
      </c>
      <c r="J1087" s="163" t="s">
        <v>833</v>
      </c>
      <c r="K1087" s="162" t="s">
        <v>822</v>
      </c>
      <c r="L1087" s="164" t="s">
        <v>750</v>
      </c>
      <c r="M1087" s="169"/>
      <c r="N1087" s="165"/>
      <c r="O1087" s="169">
        <f t="shared" si="53"/>
        <v>0</v>
      </c>
      <c r="P1087" s="165">
        <v>141655</v>
      </c>
      <c r="Q1087" s="166">
        <f t="shared" si="51"/>
        <v>0</v>
      </c>
      <c r="R1087" s="169"/>
      <c r="S1087" s="169"/>
      <c r="T1087" s="169"/>
      <c r="U1087" s="169"/>
      <c r="V1087" s="166">
        <f t="shared" si="52"/>
        <v>0</v>
      </c>
      <c r="W1087" s="205"/>
      <c r="X1087" s="167"/>
    </row>
    <row r="1088" spans="8:24" s="220" customFormat="1" ht="12" hidden="1" customHeight="1">
      <c r="H1088" s="158" t="s">
        <v>6931</v>
      </c>
      <c r="I1088" s="159" t="s">
        <v>6932</v>
      </c>
      <c r="J1088" s="159" t="s">
        <v>6933</v>
      </c>
      <c r="K1088" s="158" t="s">
        <v>6934</v>
      </c>
      <c r="L1088" s="160" t="s">
        <v>92</v>
      </c>
      <c r="M1088" s="161"/>
      <c r="N1088" s="161">
        <v>1500</v>
      </c>
      <c r="O1088" s="169">
        <f t="shared" si="53"/>
        <v>0</v>
      </c>
      <c r="P1088" s="161">
        <v>21069</v>
      </c>
      <c r="Q1088" s="166">
        <f t="shared" si="51"/>
        <v>0</v>
      </c>
      <c r="R1088" s="169"/>
      <c r="S1088" s="169"/>
      <c r="T1088" s="169"/>
      <c r="U1088" s="169"/>
      <c r="V1088" s="166">
        <f t="shared" si="52"/>
        <v>0</v>
      </c>
      <c r="W1088" s="205"/>
      <c r="X1088" s="167"/>
    </row>
    <row r="1089" spans="8:24" s="220" customFormat="1" ht="12" hidden="1" customHeight="1">
      <c r="H1089" s="236" t="s">
        <v>6989</v>
      </c>
      <c r="I1089" s="237" t="s">
        <v>6990</v>
      </c>
      <c r="J1089" s="237" t="s">
        <v>7037</v>
      </c>
      <c r="K1089" s="237" t="s">
        <v>6991</v>
      </c>
      <c r="L1089" s="160" t="s">
        <v>92</v>
      </c>
      <c r="M1089" s="161"/>
      <c r="N1089" s="161"/>
      <c r="O1089" s="169"/>
      <c r="P1089" s="161">
        <v>115790.18</v>
      </c>
      <c r="Q1089" s="166">
        <f t="shared" si="51"/>
        <v>0</v>
      </c>
      <c r="R1089" s="169"/>
      <c r="S1089" s="169"/>
      <c r="T1089" s="169"/>
      <c r="U1089" s="169"/>
      <c r="V1089" s="166">
        <f t="shared" si="52"/>
        <v>0</v>
      </c>
      <c r="W1089" s="205"/>
      <c r="X1089" s="167"/>
    </row>
    <row r="1090" spans="8:24" s="220" customFormat="1" ht="12" hidden="1" customHeight="1">
      <c r="H1090" s="196" t="s">
        <v>2745</v>
      </c>
      <c r="I1090" s="206" t="s">
        <v>1048</v>
      </c>
      <c r="J1090" s="206" t="s">
        <v>2765</v>
      </c>
      <c r="K1090" s="206" t="s">
        <v>2792</v>
      </c>
      <c r="L1090" s="206" t="s">
        <v>5</v>
      </c>
      <c r="M1090" s="169"/>
      <c r="N1090" s="165"/>
      <c r="O1090" s="169"/>
      <c r="P1090" s="197">
        <v>6677.6589999999997</v>
      </c>
      <c r="Q1090" s="166">
        <f t="shared" si="51"/>
        <v>0</v>
      </c>
      <c r="R1090" s="169"/>
      <c r="S1090" s="169"/>
      <c r="T1090" s="169"/>
      <c r="U1090" s="169"/>
      <c r="V1090" s="166">
        <f t="shared" si="52"/>
        <v>0</v>
      </c>
      <c r="W1090" s="205"/>
      <c r="X1090" s="167"/>
    </row>
    <row r="1091" spans="8:24" s="220" customFormat="1" ht="12" hidden="1" customHeight="1">
      <c r="H1091" s="196" t="s">
        <v>2746</v>
      </c>
      <c r="I1091" s="206" t="s">
        <v>1049</v>
      </c>
      <c r="J1091" s="206" t="s">
        <v>2766</v>
      </c>
      <c r="K1091" s="206" t="s">
        <v>2793</v>
      </c>
      <c r="L1091" s="206" t="s">
        <v>5</v>
      </c>
      <c r="M1091" s="166"/>
      <c r="N1091" s="165"/>
      <c r="O1091" s="169"/>
      <c r="P1091" s="197">
        <v>8709.99</v>
      </c>
      <c r="Q1091" s="166">
        <f t="shared" si="51"/>
        <v>0</v>
      </c>
      <c r="R1091" s="169"/>
      <c r="S1091" s="169"/>
      <c r="T1091" s="169"/>
      <c r="U1091" s="169"/>
      <c r="V1091" s="166">
        <f t="shared" si="52"/>
        <v>0</v>
      </c>
      <c r="W1091" s="205"/>
      <c r="X1091" s="167"/>
    </row>
    <row r="1092" spans="8:24" s="220" customFormat="1" ht="12" hidden="1" customHeight="1">
      <c r="H1092" s="196" t="s">
        <v>2747</v>
      </c>
      <c r="I1092" s="206" t="s">
        <v>1050</v>
      </c>
      <c r="J1092" s="206" t="s">
        <v>2767</v>
      </c>
      <c r="K1092" s="206" t="s">
        <v>2794</v>
      </c>
      <c r="L1092" s="206" t="s">
        <v>5</v>
      </c>
      <c r="M1092" s="169"/>
      <c r="N1092" s="165"/>
      <c r="O1092" s="169"/>
      <c r="P1092" s="197">
        <v>10451.987999999999</v>
      </c>
      <c r="Q1092" s="166">
        <f t="shared" si="51"/>
        <v>0</v>
      </c>
      <c r="R1092" s="169"/>
      <c r="S1092" s="169"/>
      <c r="T1092" s="169"/>
      <c r="U1092" s="169"/>
      <c r="V1092" s="166">
        <f t="shared" si="52"/>
        <v>0</v>
      </c>
      <c r="W1092" s="205"/>
      <c r="X1092" s="167"/>
    </row>
    <row r="1093" spans="8:24" s="220" customFormat="1" ht="12" hidden="1" customHeight="1">
      <c r="H1093" s="196" t="s">
        <v>2748</v>
      </c>
      <c r="I1093" s="206" t="s">
        <v>1059</v>
      </c>
      <c r="J1093" s="206" t="s">
        <v>2768</v>
      </c>
      <c r="K1093" s="206" t="s">
        <v>2795</v>
      </c>
      <c r="L1093" s="206" t="s">
        <v>5</v>
      </c>
      <c r="M1093" s="169"/>
      <c r="N1093" s="165"/>
      <c r="O1093" s="169"/>
      <c r="P1093" s="197">
        <v>12484.319</v>
      </c>
      <c r="Q1093" s="166">
        <f t="shared" si="51"/>
        <v>0</v>
      </c>
      <c r="R1093" s="169"/>
      <c r="S1093" s="169"/>
      <c r="T1093" s="169"/>
      <c r="U1093" s="169"/>
      <c r="V1093" s="166">
        <f t="shared" si="52"/>
        <v>0</v>
      </c>
      <c r="W1093" s="205"/>
      <c r="X1093" s="167"/>
    </row>
    <row r="1094" spans="8:24" s="220" customFormat="1" ht="12" hidden="1" customHeight="1">
      <c r="H1094" s="196" t="s">
        <v>2749</v>
      </c>
      <c r="I1094" s="206" t="s">
        <v>2769</v>
      </c>
      <c r="J1094" s="206" t="s">
        <v>2770</v>
      </c>
      <c r="K1094" s="206" t="s">
        <v>2796</v>
      </c>
      <c r="L1094" s="206" t="s">
        <v>5</v>
      </c>
      <c r="M1094" s="169"/>
      <c r="N1094" s="165"/>
      <c r="O1094" s="169"/>
      <c r="P1094" s="197">
        <v>14226.316999999999</v>
      </c>
      <c r="Q1094" s="166">
        <f t="shared" si="51"/>
        <v>0</v>
      </c>
      <c r="R1094" s="169"/>
      <c r="S1094" s="169"/>
      <c r="T1094" s="169"/>
      <c r="U1094" s="169"/>
      <c r="V1094" s="166">
        <f t="shared" si="52"/>
        <v>0</v>
      </c>
      <c r="W1094" s="205"/>
      <c r="X1094" s="167"/>
    </row>
    <row r="1095" spans="8:24" s="220" customFormat="1" ht="12" hidden="1" customHeight="1">
      <c r="H1095" s="196" t="s">
        <v>2750</v>
      </c>
      <c r="I1095" s="206" t="s">
        <v>1060</v>
      </c>
      <c r="J1095" s="206" t="s">
        <v>2771</v>
      </c>
      <c r="K1095" s="206" t="s">
        <v>2797</v>
      </c>
      <c r="L1095" s="206" t="s">
        <v>5</v>
      </c>
      <c r="M1095" s="166"/>
      <c r="N1095" s="165"/>
      <c r="O1095" s="169"/>
      <c r="P1095" s="197">
        <v>16548.981</v>
      </c>
      <c r="Q1095" s="166">
        <f t="shared" si="51"/>
        <v>0</v>
      </c>
      <c r="R1095" s="169"/>
      <c r="S1095" s="169"/>
      <c r="T1095" s="169"/>
      <c r="U1095" s="169"/>
      <c r="V1095" s="166">
        <f t="shared" si="52"/>
        <v>0</v>
      </c>
      <c r="W1095" s="205"/>
      <c r="X1095" s="167"/>
    </row>
    <row r="1096" spans="8:24" s="220" customFormat="1" ht="12" hidden="1" customHeight="1">
      <c r="H1096" s="196" t="s">
        <v>2751</v>
      </c>
      <c r="I1096" s="206" t="s">
        <v>2772</v>
      </c>
      <c r="J1096" s="206" t="s">
        <v>2773</v>
      </c>
      <c r="K1096" s="206" t="s">
        <v>2798</v>
      </c>
      <c r="L1096" s="206" t="s">
        <v>5</v>
      </c>
      <c r="M1096" s="169"/>
      <c r="N1096" s="165"/>
      <c r="O1096" s="169"/>
      <c r="P1096" s="197">
        <v>17419.98</v>
      </c>
      <c r="Q1096" s="166">
        <f t="shared" si="51"/>
        <v>0</v>
      </c>
      <c r="R1096" s="169"/>
      <c r="S1096" s="169"/>
      <c r="T1096" s="169"/>
      <c r="U1096" s="169"/>
      <c r="V1096" s="166">
        <f t="shared" si="52"/>
        <v>0</v>
      </c>
      <c r="W1096" s="205"/>
      <c r="X1096" s="167"/>
    </row>
    <row r="1097" spans="8:24" s="220" customFormat="1" ht="12" hidden="1" customHeight="1">
      <c r="H1097" s="196" t="s">
        <v>2752</v>
      </c>
      <c r="I1097" s="206" t="s">
        <v>1061</v>
      </c>
      <c r="J1097" s="206" t="s">
        <v>2774</v>
      </c>
      <c r="K1097" s="206" t="s">
        <v>2799</v>
      </c>
      <c r="L1097" s="206" t="s">
        <v>5</v>
      </c>
      <c r="M1097" s="169"/>
      <c r="N1097" s="165"/>
      <c r="O1097" s="169"/>
      <c r="P1097" s="197">
        <v>20613.643</v>
      </c>
      <c r="Q1097" s="166">
        <f t="shared" si="51"/>
        <v>0</v>
      </c>
      <c r="R1097" s="169"/>
      <c r="S1097" s="169"/>
      <c r="T1097" s="169"/>
      <c r="U1097" s="169"/>
      <c r="V1097" s="166">
        <f t="shared" si="52"/>
        <v>0</v>
      </c>
      <c r="W1097" s="205"/>
      <c r="X1097" s="167"/>
    </row>
    <row r="1098" spans="8:24" s="220" customFormat="1" ht="12" hidden="1" customHeight="1">
      <c r="H1098" s="196" t="s">
        <v>2753</v>
      </c>
      <c r="I1098" s="206" t="s">
        <v>1062</v>
      </c>
      <c r="J1098" s="206" t="s">
        <v>2775</v>
      </c>
      <c r="K1098" s="206" t="s">
        <v>2800</v>
      </c>
      <c r="L1098" s="206" t="s">
        <v>5</v>
      </c>
      <c r="M1098" s="169"/>
      <c r="N1098" s="165"/>
      <c r="O1098" s="169"/>
      <c r="P1098" s="197">
        <v>24387.972000000002</v>
      </c>
      <c r="Q1098" s="166">
        <f t="shared" si="51"/>
        <v>0</v>
      </c>
      <c r="R1098" s="169"/>
      <c r="S1098" s="169"/>
      <c r="T1098" s="169"/>
      <c r="U1098" s="169"/>
      <c r="V1098" s="166">
        <f t="shared" si="52"/>
        <v>0</v>
      </c>
      <c r="W1098" s="205"/>
      <c r="X1098" s="167"/>
    </row>
    <row r="1099" spans="8:24" s="220" customFormat="1" ht="12" hidden="1" customHeight="1">
      <c r="H1099" s="196" t="s">
        <v>2754</v>
      </c>
      <c r="I1099" s="206" t="s">
        <v>1063</v>
      </c>
      <c r="J1099" s="206" t="s">
        <v>2776</v>
      </c>
      <c r="K1099" s="206" t="s">
        <v>2801</v>
      </c>
      <c r="L1099" s="206" t="s">
        <v>5</v>
      </c>
      <c r="M1099" s="169"/>
      <c r="N1099" s="165"/>
      <c r="O1099" s="169"/>
      <c r="P1099" s="197">
        <v>28162.300999999999</v>
      </c>
      <c r="Q1099" s="166">
        <f t="shared" si="51"/>
        <v>0</v>
      </c>
      <c r="R1099" s="169"/>
      <c r="S1099" s="169"/>
      <c r="T1099" s="169"/>
      <c r="U1099" s="169"/>
      <c r="V1099" s="166">
        <f t="shared" si="52"/>
        <v>0</v>
      </c>
      <c r="W1099" s="205"/>
      <c r="X1099" s="167"/>
    </row>
    <row r="1100" spans="8:24" s="220" customFormat="1" ht="12" hidden="1" customHeight="1">
      <c r="H1100" s="196" t="s">
        <v>2755</v>
      </c>
      <c r="I1100" s="206" t="s">
        <v>1064</v>
      </c>
      <c r="J1100" s="206" t="s">
        <v>2777</v>
      </c>
      <c r="K1100" s="206" t="s">
        <v>2802</v>
      </c>
      <c r="L1100" s="206" t="s">
        <v>5</v>
      </c>
      <c r="M1100" s="169"/>
      <c r="N1100" s="165"/>
      <c r="O1100" s="169"/>
      <c r="P1100" s="197">
        <v>31355.964</v>
      </c>
      <c r="Q1100" s="166">
        <f t="shared" si="51"/>
        <v>0</v>
      </c>
      <c r="R1100" s="169"/>
      <c r="S1100" s="169"/>
      <c r="T1100" s="169"/>
      <c r="U1100" s="169"/>
      <c r="V1100" s="166">
        <f t="shared" si="52"/>
        <v>0</v>
      </c>
      <c r="W1100" s="205"/>
      <c r="X1100" s="167"/>
    </row>
    <row r="1101" spans="8:24" s="220" customFormat="1" ht="12" hidden="1" customHeight="1">
      <c r="H1101" s="196" t="s">
        <v>2756</v>
      </c>
      <c r="I1101" s="206" t="s">
        <v>2778</v>
      </c>
      <c r="J1101" s="206" t="s">
        <v>2779</v>
      </c>
      <c r="K1101" s="206" t="s">
        <v>2803</v>
      </c>
      <c r="L1101" s="206" t="s">
        <v>5</v>
      </c>
      <c r="M1101" s="169"/>
      <c r="N1101" s="165"/>
      <c r="O1101" s="169"/>
      <c r="P1101" s="197">
        <v>33968.961000000003</v>
      </c>
      <c r="Q1101" s="166">
        <f t="shared" si="51"/>
        <v>0</v>
      </c>
      <c r="R1101" s="169"/>
      <c r="S1101" s="169"/>
      <c r="T1101" s="169"/>
      <c r="U1101" s="169"/>
      <c r="V1101" s="166">
        <f t="shared" si="52"/>
        <v>0</v>
      </c>
      <c r="W1101" s="205"/>
      <c r="X1101" s="167"/>
    </row>
    <row r="1102" spans="8:24" s="220" customFormat="1" ht="12" hidden="1" customHeight="1">
      <c r="H1102" s="196" t="s">
        <v>2757</v>
      </c>
      <c r="I1102" s="206" t="s">
        <v>1065</v>
      </c>
      <c r="J1102" s="206" t="s">
        <v>2780</v>
      </c>
      <c r="K1102" s="206" t="s">
        <v>2804</v>
      </c>
      <c r="L1102" s="206" t="s">
        <v>5</v>
      </c>
      <c r="M1102" s="169"/>
      <c r="N1102" s="165"/>
      <c r="O1102" s="169"/>
      <c r="P1102" s="197">
        <v>39485.288</v>
      </c>
      <c r="Q1102" s="166">
        <f t="shared" si="51"/>
        <v>0</v>
      </c>
      <c r="R1102" s="169"/>
      <c r="S1102" s="169"/>
      <c r="T1102" s="169"/>
      <c r="U1102" s="169"/>
      <c r="V1102" s="166">
        <f t="shared" si="52"/>
        <v>0</v>
      </c>
      <c r="W1102" s="205"/>
      <c r="X1102" s="167"/>
    </row>
    <row r="1103" spans="8:24" s="220" customFormat="1" ht="12" hidden="1" customHeight="1">
      <c r="H1103" s="196" t="s">
        <v>2758</v>
      </c>
      <c r="I1103" s="206" t="s">
        <v>2781</v>
      </c>
      <c r="J1103" s="206" t="s">
        <v>2782</v>
      </c>
      <c r="K1103" s="206" t="s">
        <v>2805</v>
      </c>
      <c r="L1103" s="206" t="s">
        <v>5</v>
      </c>
      <c r="M1103" s="169"/>
      <c r="N1103" s="165"/>
      <c r="O1103" s="169"/>
      <c r="P1103" s="197">
        <v>41227.286</v>
      </c>
      <c r="Q1103" s="166">
        <f t="shared" si="51"/>
        <v>0</v>
      </c>
      <c r="R1103" s="169"/>
      <c r="S1103" s="169"/>
      <c r="T1103" s="169"/>
      <c r="U1103" s="169"/>
      <c r="V1103" s="166">
        <f t="shared" si="52"/>
        <v>0</v>
      </c>
      <c r="W1103" s="205"/>
      <c r="X1103" s="167"/>
    </row>
    <row r="1104" spans="8:24" s="220" customFormat="1" ht="12" hidden="1" customHeight="1">
      <c r="H1104" s="196" t="s">
        <v>2759</v>
      </c>
      <c r="I1104" s="206" t="s">
        <v>1066</v>
      </c>
      <c r="J1104" s="206" t="s">
        <v>2783</v>
      </c>
      <c r="K1104" s="206" t="s">
        <v>2806</v>
      </c>
      <c r="L1104" s="206" t="s">
        <v>5</v>
      </c>
      <c r="M1104" s="169"/>
      <c r="N1104" s="165"/>
      <c r="O1104" s="169"/>
      <c r="P1104" s="197">
        <v>46162.947</v>
      </c>
      <c r="Q1104" s="166">
        <f t="shared" si="51"/>
        <v>0</v>
      </c>
      <c r="R1104" s="169"/>
      <c r="S1104" s="169"/>
      <c r="T1104" s="169"/>
      <c r="U1104" s="169"/>
      <c r="V1104" s="166">
        <f t="shared" si="52"/>
        <v>0</v>
      </c>
      <c r="W1104" s="205"/>
      <c r="X1104" s="167"/>
    </row>
    <row r="1105" spans="8:24" s="220" customFormat="1" ht="12" hidden="1" customHeight="1">
      <c r="H1105" s="196" t="s">
        <v>2760</v>
      </c>
      <c r="I1105" s="206" t="s">
        <v>2784</v>
      </c>
      <c r="J1105" s="206" t="s">
        <v>2785</v>
      </c>
      <c r="K1105" s="206" t="s">
        <v>2807</v>
      </c>
      <c r="L1105" s="206" t="s">
        <v>5</v>
      </c>
      <c r="M1105" s="169"/>
      <c r="N1105" s="165"/>
      <c r="O1105" s="169"/>
      <c r="P1105" s="197">
        <v>49937.275999999998</v>
      </c>
      <c r="Q1105" s="166">
        <f t="shared" si="51"/>
        <v>0</v>
      </c>
      <c r="R1105" s="169"/>
      <c r="S1105" s="169"/>
      <c r="T1105" s="169"/>
      <c r="U1105" s="169"/>
      <c r="V1105" s="166">
        <f t="shared" si="52"/>
        <v>0</v>
      </c>
      <c r="W1105" s="205"/>
      <c r="X1105" s="167"/>
    </row>
    <row r="1106" spans="8:24" s="220" customFormat="1" ht="12" hidden="1" customHeight="1">
      <c r="H1106" s="196" t="s">
        <v>2761</v>
      </c>
      <c r="I1106" s="206" t="s">
        <v>2786</v>
      </c>
      <c r="J1106" s="206" t="s">
        <v>2787</v>
      </c>
      <c r="K1106" s="206" t="s">
        <v>2808</v>
      </c>
      <c r="L1106" s="206" t="s">
        <v>5</v>
      </c>
      <c r="M1106" s="169"/>
      <c r="N1106" s="165"/>
      <c r="O1106" s="169"/>
      <c r="P1106" s="197">
        <v>59518.264999999999</v>
      </c>
      <c r="Q1106" s="166">
        <f t="shared" ref="Q1106:Q1169" si="54">IF(W1106="",M1106*P1106*$Q$3*$W$3,M1106*P1106*$Q$3*W1106)</f>
        <v>0</v>
      </c>
      <c r="R1106" s="169"/>
      <c r="S1106" s="169"/>
      <c r="T1106" s="169"/>
      <c r="U1106" s="169"/>
      <c r="V1106" s="166">
        <f t="shared" ref="V1106:V1169" si="55">SUM(O1106+Q1106)+S1106+U1106</f>
        <v>0</v>
      </c>
      <c r="W1106" s="205"/>
      <c r="X1106" s="167"/>
    </row>
    <row r="1107" spans="8:24" s="220" customFormat="1" ht="12" hidden="1" customHeight="1">
      <c r="H1107" s="196" t="s">
        <v>2762</v>
      </c>
      <c r="I1107" s="206" t="s">
        <v>1067</v>
      </c>
      <c r="J1107" s="206" t="s">
        <v>2788</v>
      </c>
      <c r="K1107" s="206" t="s">
        <v>2809</v>
      </c>
      <c r="L1107" s="206" t="s">
        <v>5</v>
      </c>
      <c r="M1107" s="169"/>
      <c r="N1107" s="165"/>
      <c r="O1107" s="169"/>
      <c r="P1107" s="197">
        <v>69679.92</v>
      </c>
      <c r="Q1107" s="166">
        <f t="shared" si="54"/>
        <v>0</v>
      </c>
      <c r="R1107" s="169"/>
      <c r="S1107" s="169"/>
      <c r="T1107" s="169"/>
      <c r="U1107" s="169"/>
      <c r="V1107" s="166">
        <f t="shared" si="55"/>
        <v>0</v>
      </c>
      <c r="W1107" s="205"/>
      <c r="X1107" s="167"/>
    </row>
    <row r="1108" spans="8:24" s="220" customFormat="1" ht="12" hidden="1" customHeight="1">
      <c r="H1108" s="196" t="s">
        <v>2763</v>
      </c>
      <c r="I1108" s="206" t="s">
        <v>1068</v>
      </c>
      <c r="J1108" s="206" t="s">
        <v>2789</v>
      </c>
      <c r="K1108" s="206" t="s">
        <v>2810</v>
      </c>
      <c r="L1108" s="206" t="s">
        <v>5</v>
      </c>
      <c r="M1108" s="169"/>
      <c r="N1108" s="165"/>
      <c r="O1108" s="169"/>
      <c r="P1108" s="197">
        <v>82744.904999999999</v>
      </c>
      <c r="Q1108" s="166">
        <f t="shared" si="54"/>
        <v>0</v>
      </c>
      <c r="R1108" s="169"/>
      <c r="S1108" s="169"/>
      <c r="T1108" s="169"/>
      <c r="U1108" s="169"/>
      <c r="V1108" s="166">
        <f t="shared" si="55"/>
        <v>0</v>
      </c>
      <c r="W1108" s="205"/>
      <c r="X1108" s="167"/>
    </row>
    <row r="1109" spans="8:24" s="220" customFormat="1" ht="12" hidden="1" customHeight="1">
      <c r="H1109" s="196" t="s">
        <v>2764</v>
      </c>
      <c r="I1109" s="206" t="s">
        <v>2790</v>
      </c>
      <c r="J1109" s="206" t="s">
        <v>2791</v>
      </c>
      <c r="K1109" s="206" t="s">
        <v>2811</v>
      </c>
      <c r="L1109" s="206" t="s">
        <v>5</v>
      </c>
      <c r="M1109" s="169"/>
      <c r="N1109" s="165"/>
      <c r="O1109" s="169"/>
      <c r="P1109" s="197">
        <v>120488.19500000001</v>
      </c>
      <c r="Q1109" s="166">
        <f t="shared" si="54"/>
        <v>0</v>
      </c>
      <c r="R1109" s="169"/>
      <c r="S1109" s="169"/>
      <c r="T1109" s="169"/>
      <c r="U1109" s="169"/>
      <c r="V1109" s="166">
        <f t="shared" si="55"/>
        <v>0</v>
      </c>
      <c r="W1109" s="205"/>
      <c r="X1109" s="167"/>
    </row>
    <row r="1110" spans="8:24" s="220" customFormat="1" ht="12" hidden="1" customHeight="1">
      <c r="H1110" s="196" t="s">
        <v>2812</v>
      </c>
      <c r="I1110" s="206" t="s">
        <v>1055</v>
      </c>
      <c r="J1110" s="206" t="s">
        <v>2877</v>
      </c>
      <c r="K1110" s="206" t="s">
        <v>2878</v>
      </c>
      <c r="L1110" s="206" t="s">
        <v>5</v>
      </c>
      <c r="M1110" s="157"/>
      <c r="N1110" s="165"/>
      <c r="O1110" s="169"/>
      <c r="P1110" s="197">
        <v>2903.33</v>
      </c>
      <c r="Q1110" s="166">
        <f t="shared" si="54"/>
        <v>0</v>
      </c>
      <c r="R1110" s="169"/>
      <c r="S1110" s="169"/>
      <c r="T1110" s="169"/>
      <c r="U1110" s="169"/>
      <c r="V1110" s="166">
        <f t="shared" si="55"/>
        <v>0</v>
      </c>
      <c r="W1110" s="205"/>
      <c r="X1110" s="167"/>
    </row>
    <row r="1111" spans="8:24" s="220" customFormat="1" ht="12" hidden="1" customHeight="1">
      <c r="H1111" s="196" t="s">
        <v>2813</v>
      </c>
      <c r="I1111" s="206" t="s">
        <v>1056</v>
      </c>
      <c r="J1111" s="206" t="s">
        <v>2879</v>
      </c>
      <c r="K1111" s="206" t="s">
        <v>2880</v>
      </c>
      <c r="L1111" s="206" t="s">
        <v>5</v>
      </c>
      <c r="M1111" s="157"/>
      <c r="N1111" s="165"/>
      <c r="O1111" s="169"/>
      <c r="P1111" s="197">
        <v>3193.663</v>
      </c>
      <c r="Q1111" s="166">
        <f t="shared" si="54"/>
        <v>0</v>
      </c>
      <c r="R1111" s="169"/>
      <c r="S1111" s="169"/>
      <c r="T1111" s="169"/>
      <c r="U1111" s="169"/>
      <c r="V1111" s="166">
        <f t="shared" si="55"/>
        <v>0</v>
      </c>
      <c r="W1111" s="205"/>
      <c r="X1111" s="167"/>
    </row>
    <row r="1112" spans="8:24" s="220" customFormat="1" ht="12" hidden="1" customHeight="1">
      <c r="H1112" s="196" t="s">
        <v>2814</v>
      </c>
      <c r="I1112" s="206" t="s">
        <v>1057</v>
      </c>
      <c r="J1112" s="206" t="s">
        <v>2881</v>
      </c>
      <c r="K1112" s="206" t="s">
        <v>2882</v>
      </c>
      <c r="L1112" s="206" t="s">
        <v>5</v>
      </c>
      <c r="M1112" s="157"/>
      <c r="N1112" s="165"/>
      <c r="O1112" s="169"/>
      <c r="P1112" s="197">
        <v>3774.3290000000002</v>
      </c>
      <c r="Q1112" s="166">
        <f t="shared" si="54"/>
        <v>0</v>
      </c>
      <c r="R1112" s="169"/>
      <c r="S1112" s="169"/>
      <c r="T1112" s="169"/>
      <c r="U1112" s="169"/>
      <c r="V1112" s="166">
        <f t="shared" si="55"/>
        <v>0</v>
      </c>
      <c r="W1112" s="205"/>
      <c r="X1112" s="167"/>
    </row>
    <row r="1113" spans="8:24" s="220" customFormat="1" ht="12" hidden="1" customHeight="1">
      <c r="H1113" s="196" t="s">
        <v>2815</v>
      </c>
      <c r="I1113" s="206" t="s">
        <v>2883</v>
      </c>
      <c r="J1113" s="206" t="s">
        <v>2884</v>
      </c>
      <c r="K1113" s="206" t="s">
        <v>2885</v>
      </c>
      <c r="L1113" s="206" t="s">
        <v>5</v>
      </c>
      <c r="M1113" s="157"/>
      <c r="N1113" s="165"/>
      <c r="O1113" s="169"/>
      <c r="P1113" s="197">
        <v>4064.6619999999998</v>
      </c>
      <c r="Q1113" s="166">
        <f t="shared" si="54"/>
        <v>0</v>
      </c>
      <c r="R1113" s="169"/>
      <c r="S1113" s="169"/>
      <c r="T1113" s="169"/>
      <c r="U1113" s="169"/>
      <c r="V1113" s="166">
        <f t="shared" si="55"/>
        <v>0</v>
      </c>
      <c r="W1113" s="205"/>
      <c r="X1113" s="167"/>
    </row>
    <row r="1114" spans="8:24" s="220" customFormat="1" ht="12" hidden="1" customHeight="1">
      <c r="H1114" s="196" t="s">
        <v>2816</v>
      </c>
      <c r="I1114" s="206" t="s">
        <v>1058</v>
      </c>
      <c r="J1114" s="206" t="s">
        <v>2886</v>
      </c>
      <c r="K1114" s="206" t="s">
        <v>2887</v>
      </c>
      <c r="L1114" s="206" t="s">
        <v>5</v>
      </c>
      <c r="M1114" s="157"/>
      <c r="N1114" s="165"/>
      <c r="O1114" s="169"/>
      <c r="P1114" s="197">
        <v>5225.9939999999997</v>
      </c>
      <c r="Q1114" s="166">
        <f t="shared" si="54"/>
        <v>0</v>
      </c>
      <c r="R1114" s="169"/>
      <c r="S1114" s="169"/>
      <c r="T1114" s="169"/>
      <c r="U1114" s="169"/>
      <c r="V1114" s="166">
        <f t="shared" si="55"/>
        <v>0</v>
      </c>
      <c r="W1114" s="205"/>
      <c r="X1114" s="167"/>
    </row>
    <row r="1115" spans="8:24" s="220" customFormat="1" ht="12" hidden="1" customHeight="1">
      <c r="H1115" s="196" t="s">
        <v>2817</v>
      </c>
      <c r="I1115" s="206" t="s">
        <v>1025</v>
      </c>
      <c r="J1115" s="206" t="s">
        <v>2888</v>
      </c>
      <c r="K1115" s="206" t="s">
        <v>2878</v>
      </c>
      <c r="L1115" s="206" t="s">
        <v>5</v>
      </c>
      <c r="M1115" s="157"/>
      <c r="N1115" s="165"/>
      <c r="O1115" s="169"/>
      <c r="P1115" s="197">
        <v>15677.982</v>
      </c>
      <c r="Q1115" s="166">
        <f t="shared" si="54"/>
        <v>0</v>
      </c>
      <c r="R1115" s="169"/>
      <c r="S1115" s="169"/>
      <c r="T1115" s="169"/>
      <c r="U1115" s="169"/>
      <c r="V1115" s="166">
        <f t="shared" si="55"/>
        <v>0</v>
      </c>
      <c r="W1115" s="205"/>
      <c r="X1115" s="167"/>
    </row>
    <row r="1116" spans="8:24" s="220" customFormat="1" ht="12" hidden="1" customHeight="1">
      <c r="H1116" s="196" t="s">
        <v>2818</v>
      </c>
      <c r="I1116" s="206" t="s">
        <v>1026</v>
      </c>
      <c r="J1116" s="206" t="s">
        <v>2889</v>
      </c>
      <c r="K1116" s="206" t="s">
        <v>2880</v>
      </c>
      <c r="L1116" s="206" t="s">
        <v>5</v>
      </c>
      <c r="M1116" s="157"/>
      <c r="N1116" s="165"/>
      <c r="O1116" s="169"/>
      <c r="P1116" s="197">
        <v>16839.313999999998</v>
      </c>
      <c r="Q1116" s="166">
        <f t="shared" si="54"/>
        <v>0</v>
      </c>
      <c r="R1116" s="169"/>
      <c r="S1116" s="169"/>
      <c r="T1116" s="169"/>
      <c r="U1116" s="169"/>
      <c r="V1116" s="166">
        <f t="shared" si="55"/>
        <v>0</v>
      </c>
      <c r="W1116" s="205"/>
      <c r="X1116" s="167"/>
    </row>
    <row r="1117" spans="8:24" s="220" customFormat="1" ht="12" hidden="1" customHeight="1">
      <c r="H1117" s="196" t="s">
        <v>2819</v>
      </c>
      <c r="I1117" s="206" t="s">
        <v>1027</v>
      </c>
      <c r="J1117" s="206" t="s">
        <v>2890</v>
      </c>
      <c r="K1117" s="206" t="s">
        <v>2882</v>
      </c>
      <c r="L1117" s="206" t="s">
        <v>5</v>
      </c>
      <c r="M1117" s="157"/>
      <c r="N1117" s="165"/>
      <c r="O1117" s="169"/>
      <c r="P1117" s="197">
        <v>19161.977999999999</v>
      </c>
      <c r="Q1117" s="166">
        <f t="shared" si="54"/>
        <v>0</v>
      </c>
      <c r="R1117" s="169"/>
      <c r="S1117" s="169"/>
      <c r="T1117" s="169"/>
      <c r="U1117" s="169"/>
      <c r="V1117" s="166">
        <f t="shared" si="55"/>
        <v>0</v>
      </c>
      <c r="W1117" s="205"/>
      <c r="X1117" s="167"/>
    </row>
    <row r="1118" spans="8:24" s="220" customFormat="1" ht="12" hidden="1" customHeight="1">
      <c r="H1118" s="196" t="s">
        <v>2820</v>
      </c>
      <c r="I1118" s="206" t="s">
        <v>2891</v>
      </c>
      <c r="J1118" s="206" t="s">
        <v>2892</v>
      </c>
      <c r="K1118" s="206" t="s">
        <v>2878</v>
      </c>
      <c r="L1118" s="206" t="s">
        <v>5</v>
      </c>
      <c r="M1118" s="157"/>
      <c r="N1118" s="165"/>
      <c r="O1118" s="169"/>
      <c r="P1118" s="197">
        <v>17129.647000000001</v>
      </c>
      <c r="Q1118" s="166">
        <f t="shared" si="54"/>
        <v>0</v>
      </c>
      <c r="R1118" s="169"/>
      <c r="S1118" s="169"/>
      <c r="T1118" s="169"/>
      <c r="U1118" s="169"/>
      <c r="V1118" s="166">
        <f t="shared" si="55"/>
        <v>0</v>
      </c>
      <c r="W1118" s="205"/>
      <c r="X1118" s="167"/>
    </row>
    <row r="1119" spans="8:24" s="220" customFormat="1" ht="12" hidden="1" customHeight="1">
      <c r="H1119" s="196" t="s">
        <v>2821</v>
      </c>
      <c r="I1119" s="206" t="s">
        <v>2893</v>
      </c>
      <c r="J1119" s="206" t="s">
        <v>2894</v>
      </c>
      <c r="K1119" s="206" t="s">
        <v>2880</v>
      </c>
      <c r="L1119" s="206" t="s">
        <v>5</v>
      </c>
      <c r="M1119" s="157"/>
      <c r="N1119" s="165"/>
      <c r="O1119" s="169"/>
      <c r="P1119" s="197">
        <v>18581.312000000002</v>
      </c>
      <c r="Q1119" s="166">
        <f t="shared" si="54"/>
        <v>0</v>
      </c>
      <c r="R1119" s="169"/>
      <c r="S1119" s="169"/>
      <c r="T1119" s="169"/>
      <c r="U1119" s="169"/>
      <c r="V1119" s="166">
        <f t="shared" si="55"/>
        <v>0</v>
      </c>
      <c r="W1119" s="205"/>
      <c r="X1119" s="167"/>
    </row>
    <row r="1120" spans="8:24" s="220" customFormat="1" ht="12" hidden="1" customHeight="1">
      <c r="H1120" s="196" t="s">
        <v>2822</v>
      </c>
      <c r="I1120" s="206" t="s">
        <v>2895</v>
      </c>
      <c r="J1120" s="206" t="s">
        <v>2896</v>
      </c>
      <c r="K1120" s="206" t="s">
        <v>2882</v>
      </c>
      <c r="L1120" s="206" t="s">
        <v>5</v>
      </c>
      <c r="M1120" s="157"/>
      <c r="N1120" s="165"/>
      <c r="O1120" s="169"/>
      <c r="P1120" s="197">
        <v>21194.309000000001</v>
      </c>
      <c r="Q1120" s="166">
        <f t="shared" si="54"/>
        <v>0</v>
      </c>
      <c r="R1120" s="169"/>
      <c r="S1120" s="169"/>
      <c r="T1120" s="169"/>
      <c r="U1120" s="169"/>
      <c r="V1120" s="166">
        <f t="shared" si="55"/>
        <v>0</v>
      </c>
      <c r="W1120" s="205"/>
      <c r="X1120" s="167"/>
    </row>
    <row r="1121" spans="8:24" s="220" customFormat="1" ht="12" hidden="1" customHeight="1">
      <c r="H1121" s="196" t="s">
        <v>2823</v>
      </c>
      <c r="I1121" s="206" t="s">
        <v>1028</v>
      </c>
      <c r="J1121" s="206" t="s">
        <v>2897</v>
      </c>
      <c r="K1121" s="206" t="s">
        <v>2878</v>
      </c>
      <c r="L1121" s="206" t="s">
        <v>5</v>
      </c>
      <c r="M1121" s="157"/>
      <c r="N1121" s="165"/>
      <c r="O1121" s="169"/>
      <c r="P1121" s="197">
        <v>18000.646000000001</v>
      </c>
      <c r="Q1121" s="166">
        <f t="shared" si="54"/>
        <v>0</v>
      </c>
      <c r="R1121" s="169"/>
      <c r="S1121" s="169"/>
      <c r="T1121" s="169"/>
      <c r="U1121" s="169"/>
      <c r="V1121" s="166">
        <f t="shared" si="55"/>
        <v>0</v>
      </c>
      <c r="W1121" s="205"/>
      <c r="X1121" s="167"/>
    </row>
    <row r="1122" spans="8:24" s="220" customFormat="1" ht="12" hidden="1" customHeight="1">
      <c r="H1122" s="196" t="s">
        <v>2824</v>
      </c>
      <c r="I1122" s="206" t="s">
        <v>1029</v>
      </c>
      <c r="J1122" s="206" t="s">
        <v>2898</v>
      </c>
      <c r="K1122" s="206" t="s">
        <v>2880</v>
      </c>
      <c r="L1122" s="206" t="s">
        <v>5</v>
      </c>
      <c r="M1122" s="157"/>
      <c r="N1122" s="165"/>
      <c r="O1122" s="169"/>
      <c r="P1122" s="197">
        <v>19452.311000000002</v>
      </c>
      <c r="Q1122" s="166">
        <f t="shared" si="54"/>
        <v>0</v>
      </c>
      <c r="R1122" s="169"/>
      <c r="S1122" s="169"/>
      <c r="T1122" s="169"/>
      <c r="U1122" s="169"/>
      <c r="V1122" s="166">
        <f t="shared" si="55"/>
        <v>0</v>
      </c>
      <c r="W1122" s="205"/>
      <c r="X1122" s="167"/>
    </row>
    <row r="1123" spans="8:24" s="220" customFormat="1" ht="12" hidden="1" customHeight="1">
      <c r="H1123" s="196" t="s">
        <v>2825</v>
      </c>
      <c r="I1123" s="206" t="s">
        <v>2899</v>
      </c>
      <c r="J1123" s="206" t="s">
        <v>2900</v>
      </c>
      <c r="K1123" s="206" t="s">
        <v>2882</v>
      </c>
      <c r="L1123" s="206" t="s">
        <v>5</v>
      </c>
      <c r="M1123" s="157"/>
      <c r="N1123" s="165"/>
      <c r="O1123" s="169"/>
      <c r="P1123" s="197">
        <v>22065.308000000001</v>
      </c>
      <c r="Q1123" s="166">
        <f t="shared" si="54"/>
        <v>0</v>
      </c>
      <c r="R1123" s="169"/>
      <c r="S1123" s="169"/>
      <c r="T1123" s="169"/>
      <c r="U1123" s="169"/>
      <c r="V1123" s="166">
        <f t="shared" si="55"/>
        <v>0</v>
      </c>
      <c r="W1123" s="205"/>
      <c r="X1123" s="167"/>
    </row>
    <row r="1124" spans="8:24" s="220" customFormat="1" ht="12" hidden="1" customHeight="1">
      <c r="H1124" s="196" t="s">
        <v>2826</v>
      </c>
      <c r="I1124" s="206" t="s">
        <v>2901</v>
      </c>
      <c r="J1124" s="206" t="s">
        <v>2902</v>
      </c>
      <c r="K1124" s="206" t="s">
        <v>2878</v>
      </c>
      <c r="L1124" s="206" t="s">
        <v>5</v>
      </c>
      <c r="M1124" s="157"/>
      <c r="N1124" s="165"/>
      <c r="O1124" s="169"/>
      <c r="P1124" s="197">
        <v>20903.975999999999</v>
      </c>
      <c r="Q1124" s="166">
        <f t="shared" si="54"/>
        <v>0</v>
      </c>
      <c r="R1124" s="169"/>
      <c r="S1124" s="169"/>
      <c r="T1124" s="169"/>
      <c r="U1124" s="169"/>
      <c r="V1124" s="166">
        <f t="shared" si="55"/>
        <v>0</v>
      </c>
      <c r="W1124" s="205"/>
      <c r="X1124" s="167"/>
    </row>
    <row r="1125" spans="8:24" s="220" customFormat="1" ht="12" hidden="1" customHeight="1">
      <c r="H1125" s="196" t="s">
        <v>2827</v>
      </c>
      <c r="I1125" s="206" t="s">
        <v>2903</v>
      </c>
      <c r="J1125" s="206" t="s">
        <v>2904</v>
      </c>
      <c r="K1125" s="206" t="s">
        <v>2880</v>
      </c>
      <c r="L1125" s="206" t="s">
        <v>5</v>
      </c>
      <c r="M1125" s="157"/>
      <c r="N1125" s="165"/>
      <c r="O1125" s="169"/>
      <c r="P1125" s="197">
        <v>22645.973999999998</v>
      </c>
      <c r="Q1125" s="166">
        <f t="shared" si="54"/>
        <v>0</v>
      </c>
      <c r="R1125" s="169"/>
      <c r="S1125" s="169"/>
      <c r="T1125" s="169"/>
      <c r="U1125" s="169"/>
      <c r="V1125" s="166">
        <f t="shared" si="55"/>
        <v>0</v>
      </c>
      <c r="W1125" s="205"/>
      <c r="X1125" s="167"/>
    </row>
    <row r="1126" spans="8:24" s="220" customFormat="1" ht="12" hidden="1" customHeight="1">
      <c r="H1126" s="196" t="s">
        <v>2828</v>
      </c>
      <c r="I1126" s="206" t="s">
        <v>2905</v>
      </c>
      <c r="J1126" s="206" t="s">
        <v>2906</v>
      </c>
      <c r="K1126" s="206" t="s">
        <v>2882</v>
      </c>
      <c r="L1126" s="206" t="s">
        <v>5</v>
      </c>
      <c r="M1126" s="157"/>
      <c r="N1126" s="165"/>
      <c r="O1126" s="169"/>
      <c r="P1126" s="197">
        <v>25839.636999999999</v>
      </c>
      <c r="Q1126" s="166">
        <f t="shared" si="54"/>
        <v>0</v>
      </c>
      <c r="R1126" s="169"/>
      <c r="S1126" s="169"/>
      <c r="T1126" s="169"/>
      <c r="U1126" s="169"/>
      <c r="V1126" s="166">
        <f t="shared" si="55"/>
        <v>0</v>
      </c>
      <c r="W1126" s="205"/>
      <c r="X1126" s="167"/>
    </row>
    <row r="1127" spans="8:24" s="220" customFormat="1" ht="12" hidden="1" customHeight="1">
      <c r="H1127" s="196" t="s">
        <v>2829</v>
      </c>
      <c r="I1127" s="206" t="s">
        <v>1030</v>
      </c>
      <c r="J1127" s="206" t="s">
        <v>2907</v>
      </c>
      <c r="K1127" s="206" t="s">
        <v>2878</v>
      </c>
      <c r="L1127" s="206" t="s">
        <v>5</v>
      </c>
      <c r="M1127" s="157"/>
      <c r="N1127" s="165"/>
      <c r="O1127" s="169"/>
      <c r="P1127" s="197">
        <v>21484.642</v>
      </c>
      <c r="Q1127" s="166">
        <f t="shared" si="54"/>
        <v>0</v>
      </c>
      <c r="R1127" s="169"/>
      <c r="S1127" s="169"/>
      <c r="T1127" s="169"/>
      <c r="U1127" s="169"/>
      <c r="V1127" s="166">
        <f t="shared" si="55"/>
        <v>0</v>
      </c>
      <c r="W1127" s="205"/>
      <c r="X1127" s="167"/>
    </row>
    <row r="1128" spans="8:24" s="220" customFormat="1" ht="12" hidden="1" customHeight="1">
      <c r="H1128" s="196" t="s">
        <v>2830</v>
      </c>
      <c r="I1128" s="206" t="s">
        <v>1031</v>
      </c>
      <c r="J1128" s="206" t="s">
        <v>2908</v>
      </c>
      <c r="K1128" s="206" t="s">
        <v>2880</v>
      </c>
      <c r="L1128" s="206" t="s">
        <v>5</v>
      </c>
      <c r="M1128" s="157"/>
      <c r="N1128" s="165"/>
      <c r="O1128" s="169"/>
      <c r="P1128" s="197">
        <v>23226.639999999999</v>
      </c>
      <c r="Q1128" s="166">
        <f t="shared" si="54"/>
        <v>0</v>
      </c>
      <c r="R1128" s="169"/>
      <c r="S1128" s="169"/>
      <c r="T1128" s="169"/>
      <c r="U1128" s="169"/>
      <c r="V1128" s="166">
        <f t="shared" si="55"/>
        <v>0</v>
      </c>
      <c r="W1128" s="205"/>
      <c r="X1128" s="167"/>
    </row>
    <row r="1129" spans="8:24" s="220" customFormat="1" ht="12" hidden="1" customHeight="1">
      <c r="H1129" s="196" t="s">
        <v>2831</v>
      </c>
      <c r="I1129" s="206" t="s">
        <v>2909</v>
      </c>
      <c r="J1129" s="206" t="s">
        <v>2910</v>
      </c>
      <c r="K1129" s="206" t="s">
        <v>2882</v>
      </c>
      <c r="L1129" s="206" t="s">
        <v>5</v>
      </c>
      <c r="M1129" s="157"/>
      <c r="N1129" s="165"/>
      <c r="O1129" s="169"/>
      <c r="P1129" s="197">
        <v>26710.635999999999</v>
      </c>
      <c r="Q1129" s="166">
        <f t="shared" si="54"/>
        <v>0</v>
      </c>
      <c r="R1129" s="169"/>
      <c r="S1129" s="169"/>
      <c r="T1129" s="169"/>
      <c r="U1129" s="169"/>
      <c r="V1129" s="166">
        <f t="shared" si="55"/>
        <v>0</v>
      </c>
      <c r="W1129" s="205"/>
      <c r="X1129" s="167"/>
    </row>
    <row r="1130" spans="8:24" s="220" customFormat="1" ht="12" hidden="1" customHeight="1">
      <c r="H1130" s="196" t="s">
        <v>2832</v>
      </c>
      <c r="I1130" s="206" t="s">
        <v>2911</v>
      </c>
      <c r="J1130" s="206" t="s">
        <v>2912</v>
      </c>
      <c r="K1130" s="206" t="s">
        <v>2878</v>
      </c>
      <c r="L1130" s="206" t="s">
        <v>5</v>
      </c>
      <c r="M1130" s="157"/>
      <c r="N1130" s="165"/>
      <c r="O1130" s="169"/>
      <c r="P1130" s="197">
        <v>24387.972000000002</v>
      </c>
      <c r="Q1130" s="166">
        <f t="shared" si="54"/>
        <v>0</v>
      </c>
      <c r="R1130" s="169"/>
      <c r="S1130" s="169"/>
      <c r="T1130" s="169"/>
      <c r="U1130" s="169"/>
      <c r="V1130" s="166">
        <f t="shared" si="55"/>
        <v>0</v>
      </c>
      <c r="W1130" s="205"/>
      <c r="X1130" s="167"/>
    </row>
    <row r="1131" spans="8:24" s="220" customFormat="1" ht="12" hidden="1" customHeight="1">
      <c r="H1131" s="196" t="s">
        <v>2833</v>
      </c>
      <c r="I1131" s="206" t="s">
        <v>2913</v>
      </c>
      <c r="J1131" s="206" t="s">
        <v>2914</v>
      </c>
      <c r="K1131" s="206" t="s">
        <v>2880</v>
      </c>
      <c r="L1131" s="206" t="s">
        <v>5</v>
      </c>
      <c r="M1131" s="157"/>
      <c r="N1131" s="165"/>
      <c r="O1131" s="169"/>
      <c r="P1131" s="197">
        <v>26129.97</v>
      </c>
      <c r="Q1131" s="166">
        <f t="shared" si="54"/>
        <v>0</v>
      </c>
      <c r="R1131" s="169"/>
      <c r="S1131" s="169"/>
      <c r="T1131" s="169"/>
      <c r="U1131" s="169"/>
      <c r="V1131" s="166">
        <f t="shared" si="55"/>
        <v>0</v>
      </c>
      <c r="W1131" s="205"/>
      <c r="X1131" s="167"/>
    </row>
    <row r="1132" spans="8:24" s="220" customFormat="1" ht="12" hidden="1" customHeight="1">
      <c r="H1132" s="196" t="s">
        <v>2834</v>
      </c>
      <c r="I1132" s="206" t="s">
        <v>2915</v>
      </c>
      <c r="J1132" s="206" t="s">
        <v>2916</v>
      </c>
      <c r="K1132" s="206" t="s">
        <v>2882</v>
      </c>
      <c r="L1132" s="206" t="s">
        <v>5</v>
      </c>
      <c r="M1132" s="157"/>
      <c r="N1132" s="165"/>
      <c r="O1132" s="169"/>
      <c r="P1132" s="197">
        <v>29904.298999999999</v>
      </c>
      <c r="Q1132" s="166">
        <f t="shared" si="54"/>
        <v>0</v>
      </c>
      <c r="R1132" s="169"/>
      <c r="S1132" s="169"/>
      <c r="T1132" s="169"/>
      <c r="U1132" s="169"/>
      <c r="V1132" s="166">
        <f t="shared" si="55"/>
        <v>0</v>
      </c>
      <c r="W1132" s="205"/>
      <c r="X1132" s="167"/>
    </row>
    <row r="1133" spans="8:24" s="220" customFormat="1" ht="12" hidden="1" customHeight="1">
      <c r="H1133" s="196" t="s">
        <v>2835</v>
      </c>
      <c r="I1133" s="206" t="s">
        <v>1032</v>
      </c>
      <c r="J1133" s="206" t="s">
        <v>2917</v>
      </c>
      <c r="K1133" s="206" t="s">
        <v>2878</v>
      </c>
      <c r="L1133" s="206" t="s">
        <v>5</v>
      </c>
      <c r="M1133" s="157"/>
      <c r="N1133" s="165"/>
      <c r="O1133" s="169"/>
      <c r="P1133" s="197">
        <v>28452.633999999998</v>
      </c>
      <c r="Q1133" s="166">
        <f t="shared" si="54"/>
        <v>0</v>
      </c>
      <c r="R1133" s="169"/>
      <c r="S1133" s="169"/>
      <c r="T1133" s="169"/>
      <c r="U1133" s="169"/>
      <c r="V1133" s="166">
        <f t="shared" si="55"/>
        <v>0</v>
      </c>
      <c r="W1133" s="205"/>
      <c r="X1133" s="167"/>
    </row>
    <row r="1134" spans="8:24" s="220" customFormat="1" ht="12" hidden="1" customHeight="1">
      <c r="H1134" s="196" t="s">
        <v>2836</v>
      </c>
      <c r="I1134" s="206" t="s">
        <v>1033</v>
      </c>
      <c r="J1134" s="206" t="s">
        <v>2918</v>
      </c>
      <c r="K1134" s="206" t="s">
        <v>2878</v>
      </c>
      <c r="L1134" s="206" t="s">
        <v>5</v>
      </c>
      <c r="M1134" s="157"/>
      <c r="N1134" s="165"/>
      <c r="O1134" s="169"/>
      <c r="P1134" s="197">
        <v>32517.295999999998</v>
      </c>
      <c r="Q1134" s="166">
        <f t="shared" si="54"/>
        <v>0</v>
      </c>
      <c r="R1134" s="169"/>
      <c r="S1134" s="169"/>
      <c r="T1134" s="169"/>
      <c r="U1134" s="169"/>
      <c r="V1134" s="166">
        <f t="shared" si="55"/>
        <v>0</v>
      </c>
      <c r="W1134" s="205"/>
      <c r="X1134" s="167"/>
    </row>
    <row r="1135" spans="8:24" s="220" customFormat="1" ht="12" hidden="1" customHeight="1">
      <c r="H1135" s="196" t="s">
        <v>2837</v>
      </c>
      <c r="I1135" s="206" t="s">
        <v>1001</v>
      </c>
      <c r="J1135" s="206" t="s">
        <v>2919</v>
      </c>
      <c r="K1135" s="206" t="s">
        <v>2878</v>
      </c>
      <c r="L1135" s="206" t="s">
        <v>5</v>
      </c>
      <c r="M1135" s="157"/>
      <c r="N1135" s="165"/>
      <c r="O1135" s="169"/>
      <c r="P1135" s="197">
        <v>4064.6619999999998</v>
      </c>
      <c r="Q1135" s="166">
        <f t="shared" si="54"/>
        <v>0</v>
      </c>
      <c r="R1135" s="169"/>
      <c r="S1135" s="169"/>
      <c r="T1135" s="169"/>
      <c r="U1135" s="169"/>
      <c r="V1135" s="166">
        <f t="shared" si="55"/>
        <v>0</v>
      </c>
      <c r="W1135" s="205"/>
      <c r="X1135" s="167"/>
    </row>
    <row r="1136" spans="8:24" s="220" customFormat="1" ht="12" hidden="1" customHeight="1">
      <c r="H1136" s="196" t="s">
        <v>2838</v>
      </c>
      <c r="I1136" s="206" t="s">
        <v>1002</v>
      </c>
      <c r="J1136" s="206" t="s">
        <v>2920</v>
      </c>
      <c r="K1136" s="206" t="s">
        <v>2880</v>
      </c>
      <c r="L1136" s="206" t="s">
        <v>5</v>
      </c>
      <c r="M1136" s="157"/>
      <c r="N1136" s="165"/>
      <c r="O1136" s="169"/>
      <c r="P1136" s="197">
        <v>4645.3280000000004</v>
      </c>
      <c r="Q1136" s="166">
        <f t="shared" si="54"/>
        <v>0</v>
      </c>
      <c r="R1136" s="169"/>
      <c r="S1136" s="169"/>
      <c r="T1136" s="169"/>
      <c r="U1136" s="169"/>
      <c r="V1136" s="166">
        <f t="shared" si="55"/>
        <v>0</v>
      </c>
      <c r="W1136" s="205"/>
      <c r="X1136" s="167"/>
    </row>
    <row r="1137" spans="8:24" s="220" customFormat="1" ht="12" hidden="1" customHeight="1">
      <c r="H1137" s="196" t="s">
        <v>2839</v>
      </c>
      <c r="I1137" s="206" t="s">
        <v>1003</v>
      </c>
      <c r="J1137" s="206" t="s">
        <v>2921</v>
      </c>
      <c r="K1137" s="206" t="s">
        <v>2882</v>
      </c>
      <c r="L1137" s="206" t="s">
        <v>5</v>
      </c>
      <c r="M1137" s="157"/>
      <c r="N1137" s="165"/>
      <c r="O1137" s="169"/>
      <c r="P1137" s="197">
        <v>5225.9939999999997</v>
      </c>
      <c r="Q1137" s="166">
        <f t="shared" si="54"/>
        <v>0</v>
      </c>
      <c r="R1137" s="169"/>
      <c r="S1137" s="169"/>
      <c r="T1137" s="169"/>
      <c r="U1137" s="169"/>
      <c r="V1137" s="166">
        <f t="shared" si="55"/>
        <v>0</v>
      </c>
      <c r="W1137" s="205"/>
      <c r="X1137" s="167"/>
    </row>
    <row r="1138" spans="8:24" s="220" customFormat="1" ht="12" hidden="1" customHeight="1">
      <c r="H1138" s="196" t="s">
        <v>2840</v>
      </c>
      <c r="I1138" s="206" t="s">
        <v>2922</v>
      </c>
      <c r="J1138" s="206" t="s">
        <v>2923</v>
      </c>
      <c r="K1138" s="206" t="s">
        <v>2885</v>
      </c>
      <c r="L1138" s="206" t="s">
        <v>5</v>
      </c>
      <c r="M1138" s="157"/>
      <c r="N1138" s="165"/>
      <c r="O1138" s="169"/>
      <c r="P1138" s="197">
        <v>5806.66</v>
      </c>
      <c r="Q1138" s="166">
        <f t="shared" si="54"/>
        <v>0</v>
      </c>
      <c r="R1138" s="169"/>
      <c r="S1138" s="169"/>
      <c r="T1138" s="169"/>
      <c r="U1138" s="169"/>
      <c r="V1138" s="166">
        <f t="shared" si="55"/>
        <v>0</v>
      </c>
      <c r="W1138" s="205"/>
      <c r="X1138" s="167"/>
    </row>
    <row r="1139" spans="8:24" s="220" customFormat="1" ht="12" hidden="1" customHeight="1">
      <c r="H1139" s="196" t="s">
        <v>2841</v>
      </c>
      <c r="I1139" s="206" t="s">
        <v>1047</v>
      </c>
      <c r="J1139" s="206" t="s">
        <v>2924</v>
      </c>
      <c r="K1139" s="206" t="s">
        <v>2887</v>
      </c>
      <c r="L1139" s="206" t="s">
        <v>5</v>
      </c>
      <c r="M1139" s="157"/>
      <c r="N1139" s="165"/>
      <c r="O1139" s="169"/>
      <c r="P1139" s="197">
        <v>7258.3249999999998</v>
      </c>
      <c r="Q1139" s="166">
        <f t="shared" si="54"/>
        <v>0</v>
      </c>
      <c r="R1139" s="169"/>
      <c r="S1139" s="169"/>
      <c r="T1139" s="169"/>
      <c r="U1139" s="169"/>
      <c r="V1139" s="166">
        <f t="shared" si="55"/>
        <v>0</v>
      </c>
      <c r="W1139" s="205"/>
      <c r="X1139" s="167"/>
    </row>
    <row r="1140" spans="8:24" s="220" customFormat="1" ht="12" hidden="1" customHeight="1">
      <c r="H1140" s="196" t="s">
        <v>2842</v>
      </c>
      <c r="I1140" s="206" t="s">
        <v>1004</v>
      </c>
      <c r="J1140" s="206" t="s">
        <v>2925</v>
      </c>
      <c r="K1140" s="206" t="s">
        <v>2878</v>
      </c>
      <c r="L1140" s="206" t="s">
        <v>5</v>
      </c>
      <c r="M1140" s="157"/>
      <c r="N1140" s="165"/>
      <c r="O1140" s="169"/>
      <c r="P1140" s="197">
        <v>5516.3270000000002</v>
      </c>
      <c r="Q1140" s="166">
        <f t="shared" si="54"/>
        <v>0</v>
      </c>
      <c r="R1140" s="169"/>
      <c r="S1140" s="169"/>
      <c r="T1140" s="169"/>
      <c r="U1140" s="169"/>
      <c r="V1140" s="166">
        <f t="shared" si="55"/>
        <v>0</v>
      </c>
      <c r="W1140" s="205"/>
      <c r="X1140" s="167"/>
    </row>
    <row r="1141" spans="8:24" s="220" customFormat="1" ht="12" hidden="1" customHeight="1">
      <c r="H1141" s="196" t="s">
        <v>2843</v>
      </c>
      <c r="I1141" s="206" t="s">
        <v>1005</v>
      </c>
      <c r="J1141" s="206" t="s">
        <v>2926</v>
      </c>
      <c r="K1141" s="206" t="s">
        <v>2880</v>
      </c>
      <c r="L1141" s="206" t="s">
        <v>5</v>
      </c>
      <c r="M1141" s="157"/>
      <c r="N1141" s="165"/>
      <c r="O1141" s="169"/>
      <c r="P1141" s="197">
        <v>6387.326</v>
      </c>
      <c r="Q1141" s="166">
        <f t="shared" si="54"/>
        <v>0</v>
      </c>
      <c r="R1141" s="169"/>
      <c r="S1141" s="169"/>
      <c r="T1141" s="169"/>
      <c r="U1141" s="169"/>
      <c r="V1141" s="166">
        <f t="shared" si="55"/>
        <v>0</v>
      </c>
      <c r="W1141" s="205"/>
      <c r="X1141" s="167"/>
    </row>
    <row r="1142" spans="8:24" s="220" customFormat="1" ht="12" hidden="1" customHeight="1">
      <c r="H1142" s="196" t="s">
        <v>2844</v>
      </c>
      <c r="I1142" s="206" t="s">
        <v>1006</v>
      </c>
      <c r="J1142" s="206" t="s">
        <v>2927</v>
      </c>
      <c r="K1142" s="206" t="s">
        <v>2882</v>
      </c>
      <c r="L1142" s="206" t="s">
        <v>5</v>
      </c>
      <c r="M1142" s="157"/>
      <c r="N1142" s="165"/>
      <c r="O1142" s="169"/>
      <c r="P1142" s="197">
        <v>7548.6580000000004</v>
      </c>
      <c r="Q1142" s="166">
        <f t="shared" si="54"/>
        <v>0</v>
      </c>
      <c r="R1142" s="169"/>
      <c r="S1142" s="169"/>
      <c r="T1142" s="169"/>
      <c r="U1142" s="169"/>
      <c r="V1142" s="166">
        <f t="shared" si="55"/>
        <v>0</v>
      </c>
      <c r="W1142" s="205"/>
      <c r="X1142" s="167"/>
    </row>
    <row r="1143" spans="8:24" s="220" customFormat="1" ht="12" hidden="1" customHeight="1">
      <c r="H1143" s="196" t="s">
        <v>2845</v>
      </c>
      <c r="I1143" s="206" t="s">
        <v>2928</v>
      </c>
      <c r="J1143" s="206" t="s">
        <v>2929</v>
      </c>
      <c r="K1143" s="206" t="s">
        <v>2885</v>
      </c>
      <c r="L1143" s="206" t="s">
        <v>5</v>
      </c>
      <c r="M1143" s="157"/>
      <c r="N1143" s="165"/>
      <c r="O1143" s="169"/>
      <c r="P1143" s="197">
        <v>8419.6569999999992</v>
      </c>
      <c r="Q1143" s="166">
        <f t="shared" si="54"/>
        <v>0</v>
      </c>
      <c r="R1143" s="169"/>
      <c r="S1143" s="169"/>
      <c r="T1143" s="169"/>
      <c r="U1143" s="169"/>
      <c r="V1143" s="166">
        <f t="shared" si="55"/>
        <v>0</v>
      </c>
      <c r="W1143" s="205"/>
      <c r="X1143" s="167"/>
    </row>
    <row r="1144" spans="8:24" s="220" customFormat="1" ht="12" hidden="1" customHeight="1">
      <c r="H1144" s="196" t="s">
        <v>2846</v>
      </c>
      <c r="I1144" s="206" t="s">
        <v>1051</v>
      </c>
      <c r="J1144" s="206" t="s">
        <v>2930</v>
      </c>
      <c r="K1144" s="206" t="s">
        <v>2887</v>
      </c>
      <c r="L1144" s="206" t="s">
        <v>5</v>
      </c>
      <c r="M1144" s="157"/>
      <c r="N1144" s="165"/>
      <c r="O1144" s="169"/>
      <c r="P1144" s="197">
        <v>10451.987999999999</v>
      </c>
      <c r="Q1144" s="166">
        <f t="shared" si="54"/>
        <v>0</v>
      </c>
      <c r="R1144" s="169"/>
      <c r="S1144" s="169"/>
      <c r="T1144" s="169"/>
      <c r="U1144" s="169"/>
      <c r="V1144" s="166">
        <f t="shared" si="55"/>
        <v>0</v>
      </c>
      <c r="W1144" s="205"/>
      <c r="X1144" s="167"/>
    </row>
    <row r="1145" spans="8:24" s="220" customFormat="1" ht="12" hidden="1" customHeight="1">
      <c r="H1145" s="196" t="s">
        <v>2847</v>
      </c>
      <c r="I1145" s="206" t="s">
        <v>1007</v>
      </c>
      <c r="J1145" s="206" t="s">
        <v>2931</v>
      </c>
      <c r="K1145" s="206" t="s">
        <v>2878</v>
      </c>
      <c r="L1145" s="206" t="s">
        <v>5</v>
      </c>
      <c r="M1145" s="157"/>
      <c r="N1145" s="165"/>
      <c r="O1145" s="169"/>
      <c r="P1145" s="197">
        <v>7548.6580000000004</v>
      </c>
      <c r="Q1145" s="166">
        <f t="shared" si="54"/>
        <v>0</v>
      </c>
      <c r="R1145" s="169"/>
      <c r="S1145" s="169"/>
      <c r="T1145" s="169"/>
      <c r="U1145" s="169"/>
      <c r="V1145" s="166">
        <f t="shared" si="55"/>
        <v>0</v>
      </c>
      <c r="W1145" s="205"/>
      <c r="X1145" s="167"/>
    </row>
    <row r="1146" spans="8:24" s="220" customFormat="1" ht="12" hidden="1" customHeight="1">
      <c r="H1146" s="196" t="s">
        <v>2848</v>
      </c>
      <c r="I1146" s="206" t="s">
        <v>1008</v>
      </c>
      <c r="J1146" s="206" t="s">
        <v>2932</v>
      </c>
      <c r="K1146" s="206" t="s">
        <v>2880</v>
      </c>
      <c r="L1146" s="206" t="s">
        <v>5</v>
      </c>
      <c r="M1146" s="157"/>
      <c r="N1146" s="165"/>
      <c r="O1146" s="169"/>
      <c r="P1146" s="197">
        <v>8419.6569999999992</v>
      </c>
      <c r="Q1146" s="166">
        <f t="shared" si="54"/>
        <v>0</v>
      </c>
      <c r="R1146" s="169"/>
      <c r="S1146" s="169"/>
      <c r="T1146" s="169"/>
      <c r="U1146" s="169"/>
      <c r="V1146" s="166">
        <f t="shared" si="55"/>
        <v>0</v>
      </c>
      <c r="W1146" s="205"/>
      <c r="X1146" s="167"/>
    </row>
    <row r="1147" spans="8:24" s="220" customFormat="1" ht="12" hidden="1" customHeight="1">
      <c r="H1147" s="196" t="s">
        <v>2849</v>
      </c>
      <c r="I1147" s="206" t="s">
        <v>1009</v>
      </c>
      <c r="J1147" s="206" t="s">
        <v>2933</v>
      </c>
      <c r="K1147" s="206" t="s">
        <v>2882</v>
      </c>
      <c r="L1147" s="206" t="s">
        <v>5</v>
      </c>
      <c r="M1147" s="157"/>
      <c r="N1147" s="165"/>
      <c r="O1147" s="169"/>
      <c r="P1147" s="197">
        <v>9871.3220000000001</v>
      </c>
      <c r="Q1147" s="166">
        <f t="shared" si="54"/>
        <v>0</v>
      </c>
      <c r="R1147" s="169"/>
      <c r="S1147" s="169"/>
      <c r="T1147" s="169"/>
      <c r="U1147" s="169"/>
      <c r="V1147" s="166">
        <f t="shared" si="55"/>
        <v>0</v>
      </c>
      <c r="W1147" s="205"/>
      <c r="X1147" s="167"/>
    </row>
    <row r="1148" spans="8:24" s="220" customFormat="1" ht="12" hidden="1" customHeight="1">
      <c r="H1148" s="196" t="s">
        <v>2850</v>
      </c>
      <c r="I1148" s="206" t="s">
        <v>2934</v>
      </c>
      <c r="J1148" s="206" t="s">
        <v>2935</v>
      </c>
      <c r="K1148" s="206" t="s">
        <v>2885</v>
      </c>
      <c r="L1148" s="206" t="s">
        <v>5</v>
      </c>
      <c r="M1148" s="157"/>
      <c r="N1148" s="165"/>
      <c r="O1148" s="169"/>
      <c r="P1148" s="197">
        <v>11322.986999999999</v>
      </c>
      <c r="Q1148" s="166">
        <f t="shared" si="54"/>
        <v>0</v>
      </c>
      <c r="R1148" s="169"/>
      <c r="S1148" s="169"/>
      <c r="T1148" s="169"/>
      <c r="U1148" s="169"/>
      <c r="V1148" s="166">
        <f t="shared" si="55"/>
        <v>0</v>
      </c>
      <c r="W1148" s="205"/>
      <c r="X1148" s="167"/>
    </row>
    <row r="1149" spans="8:24" s="220" customFormat="1" ht="12" hidden="1" customHeight="1">
      <c r="H1149" s="196" t="s">
        <v>2851</v>
      </c>
      <c r="I1149" s="206" t="s">
        <v>1052</v>
      </c>
      <c r="J1149" s="206" t="s">
        <v>2936</v>
      </c>
      <c r="K1149" s="206" t="s">
        <v>2887</v>
      </c>
      <c r="L1149" s="206" t="s">
        <v>5</v>
      </c>
      <c r="M1149" s="157"/>
      <c r="N1149" s="165"/>
      <c r="O1149" s="169"/>
      <c r="P1149" s="197">
        <v>14226.316999999999</v>
      </c>
      <c r="Q1149" s="166">
        <f t="shared" si="54"/>
        <v>0</v>
      </c>
      <c r="R1149" s="169"/>
      <c r="S1149" s="169"/>
      <c r="T1149" s="169"/>
      <c r="U1149" s="169"/>
      <c r="V1149" s="166">
        <f t="shared" si="55"/>
        <v>0</v>
      </c>
      <c r="W1149" s="205"/>
      <c r="X1149" s="167"/>
    </row>
    <row r="1150" spans="8:24" s="220" customFormat="1" ht="12" hidden="1" customHeight="1">
      <c r="H1150" s="196" t="s">
        <v>2852</v>
      </c>
      <c r="I1150" s="206" t="s">
        <v>1010</v>
      </c>
      <c r="J1150" s="206" t="s">
        <v>2937</v>
      </c>
      <c r="K1150" s="206" t="s">
        <v>2878</v>
      </c>
      <c r="L1150" s="206" t="s">
        <v>5</v>
      </c>
      <c r="M1150" s="157"/>
      <c r="N1150" s="165"/>
      <c r="O1150" s="169"/>
      <c r="P1150" s="197">
        <v>9290.6560000000009</v>
      </c>
      <c r="Q1150" s="166">
        <f t="shared" si="54"/>
        <v>0</v>
      </c>
      <c r="R1150" s="169"/>
      <c r="S1150" s="169"/>
      <c r="T1150" s="169"/>
      <c r="U1150" s="169"/>
      <c r="V1150" s="166">
        <f t="shared" si="55"/>
        <v>0</v>
      </c>
      <c r="W1150" s="205"/>
      <c r="X1150" s="167"/>
    </row>
    <row r="1151" spans="8:24" s="220" customFormat="1" ht="12" hidden="1" customHeight="1">
      <c r="H1151" s="196" t="s">
        <v>2853</v>
      </c>
      <c r="I1151" s="206" t="s">
        <v>1011</v>
      </c>
      <c r="J1151" s="206" t="s">
        <v>2938</v>
      </c>
      <c r="K1151" s="206" t="s">
        <v>2880</v>
      </c>
      <c r="L1151" s="206" t="s">
        <v>5</v>
      </c>
      <c r="M1151" s="157"/>
      <c r="N1151" s="165"/>
      <c r="O1151" s="169"/>
      <c r="P1151" s="197">
        <v>9871.3220000000001</v>
      </c>
      <c r="Q1151" s="166">
        <f t="shared" si="54"/>
        <v>0</v>
      </c>
      <c r="R1151" s="169"/>
      <c r="S1151" s="169"/>
      <c r="T1151" s="169"/>
      <c r="U1151" s="169"/>
      <c r="V1151" s="166">
        <f t="shared" si="55"/>
        <v>0</v>
      </c>
      <c r="W1151" s="205"/>
      <c r="X1151" s="167"/>
    </row>
    <row r="1152" spans="8:24" s="220" customFormat="1" ht="12" hidden="1" customHeight="1">
      <c r="H1152" s="196" t="s">
        <v>2854</v>
      </c>
      <c r="I1152" s="206" t="s">
        <v>1012</v>
      </c>
      <c r="J1152" s="206" t="s">
        <v>2939</v>
      </c>
      <c r="K1152" s="206" t="s">
        <v>2882</v>
      </c>
      <c r="L1152" s="206" t="s">
        <v>5</v>
      </c>
      <c r="M1152" s="157"/>
      <c r="N1152" s="165"/>
      <c r="O1152" s="169"/>
      <c r="P1152" s="197">
        <v>11322.986999999999</v>
      </c>
      <c r="Q1152" s="166">
        <f t="shared" si="54"/>
        <v>0</v>
      </c>
      <c r="R1152" s="169"/>
      <c r="S1152" s="169"/>
      <c r="T1152" s="169"/>
      <c r="U1152" s="169"/>
      <c r="V1152" s="166">
        <f t="shared" si="55"/>
        <v>0</v>
      </c>
      <c r="W1152" s="205"/>
      <c r="X1152" s="167"/>
    </row>
    <row r="1153" spans="8:24" s="220" customFormat="1" ht="12" hidden="1" customHeight="1">
      <c r="H1153" s="196" t="s">
        <v>2855</v>
      </c>
      <c r="I1153" s="206" t="s">
        <v>2940</v>
      </c>
      <c r="J1153" s="206" t="s">
        <v>2941</v>
      </c>
      <c r="K1153" s="206" t="s">
        <v>2885</v>
      </c>
      <c r="L1153" s="206" t="s">
        <v>5</v>
      </c>
      <c r="M1153" s="157"/>
      <c r="N1153" s="165"/>
      <c r="O1153" s="169"/>
      <c r="P1153" s="197">
        <v>12774.652</v>
      </c>
      <c r="Q1153" s="166">
        <f t="shared" si="54"/>
        <v>0</v>
      </c>
      <c r="R1153" s="169"/>
      <c r="S1153" s="169"/>
      <c r="T1153" s="169"/>
      <c r="U1153" s="169"/>
      <c r="V1153" s="166">
        <f t="shared" si="55"/>
        <v>0</v>
      </c>
      <c r="W1153" s="205"/>
      <c r="X1153" s="167"/>
    </row>
    <row r="1154" spans="8:24" s="220" customFormat="1" ht="12" hidden="1" customHeight="1">
      <c r="H1154" s="196" t="s">
        <v>2856</v>
      </c>
      <c r="I1154" s="206" t="s">
        <v>1053</v>
      </c>
      <c r="J1154" s="206" t="s">
        <v>2942</v>
      </c>
      <c r="K1154" s="206" t="s">
        <v>2887</v>
      </c>
      <c r="L1154" s="206" t="s">
        <v>5</v>
      </c>
      <c r="M1154" s="157"/>
      <c r="N1154" s="165"/>
      <c r="O1154" s="169"/>
      <c r="P1154" s="197">
        <v>15968.315000000001</v>
      </c>
      <c r="Q1154" s="166">
        <f t="shared" si="54"/>
        <v>0</v>
      </c>
      <c r="R1154" s="169"/>
      <c r="S1154" s="169"/>
      <c r="T1154" s="169"/>
      <c r="U1154" s="169"/>
      <c r="V1154" s="166">
        <f t="shared" si="55"/>
        <v>0</v>
      </c>
      <c r="W1154" s="205"/>
      <c r="X1154" s="167"/>
    </row>
    <row r="1155" spans="8:24" s="220" customFormat="1" ht="12" hidden="1" customHeight="1">
      <c r="H1155" s="196" t="s">
        <v>2857</v>
      </c>
      <c r="I1155" s="206" t="s">
        <v>1013</v>
      </c>
      <c r="J1155" s="206" t="s">
        <v>2943</v>
      </c>
      <c r="K1155" s="206" t="s">
        <v>2878</v>
      </c>
      <c r="L1155" s="206" t="s">
        <v>5</v>
      </c>
      <c r="M1155" s="157"/>
      <c r="N1155" s="165"/>
      <c r="O1155" s="169"/>
      <c r="P1155" s="197">
        <v>10161.655000000001</v>
      </c>
      <c r="Q1155" s="166">
        <f t="shared" si="54"/>
        <v>0</v>
      </c>
      <c r="R1155" s="169"/>
      <c r="S1155" s="169"/>
      <c r="T1155" s="169"/>
      <c r="U1155" s="169"/>
      <c r="V1155" s="166">
        <f t="shared" si="55"/>
        <v>0</v>
      </c>
      <c r="W1155" s="205"/>
      <c r="X1155" s="167"/>
    </row>
    <row r="1156" spans="8:24" s="220" customFormat="1" ht="12" hidden="1" customHeight="1">
      <c r="H1156" s="196" t="s">
        <v>2858</v>
      </c>
      <c r="I1156" s="206" t="s">
        <v>1014</v>
      </c>
      <c r="J1156" s="206" t="s">
        <v>2944</v>
      </c>
      <c r="K1156" s="206" t="s">
        <v>2880</v>
      </c>
      <c r="L1156" s="206" t="s">
        <v>5</v>
      </c>
      <c r="M1156" s="157"/>
      <c r="N1156" s="165"/>
      <c r="O1156" s="169"/>
      <c r="P1156" s="197">
        <v>11032.654</v>
      </c>
      <c r="Q1156" s="166">
        <f t="shared" si="54"/>
        <v>0</v>
      </c>
      <c r="R1156" s="169"/>
      <c r="S1156" s="169"/>
      <c r="T1156" s="169"/>
      <c r="U1156" s="169"/>
      <c r="V1156" s="166">
        <f t="shared" si="55"/>
        <v>0</v>
      </c>
      <c r="W1156" s="205"/>
      <c r="X1156" s="167"/>
    </row>
    <row r="1157" spans="8:24" s="220" customFormat="1" ht="12" hidden="1" customHeight="1">
      <c r="H1157" s="196" t="s">
        <v>2859</v>
      </c>
      <c r="I1157" s="206" t="s">
        <v>1015</v>
      </c>
      <c r="J1157" s="206" t="s">
        <v>2945</v>
      </c>
      <c r="K1157" s="206" t="s">
        <v>2882</v>
      </c>
      <c r="L1157" s="206" t="s">
        <v>5</v>
      </c>
      <c r="M1157" s="157"/>
      <c r="N1157" s="165"/>
      <c r="O1157" s="169"/>
      <c r="P1157" s="197">
        <v>12774.652</v>
      </c>
      <c r="Q1157" s="166">
        <f t="shared" si="54"/>
        <v>0</v>
      </c>
      <c r="R1157" s="169"/>
      <c r="S1157" s="169"/>
      <c r="T1157" s="169"/>
      <c r="U1157" s="169"/>
      <c r="V1157" s="166">
        <f t="shared" si="55"/>
        <v>0</v>
      </c>
      <c r="W1157" s="205"/>
      <c r="X1157" s="167"/>
    </row>
    <row r="1158" spans="8:24" s="220" customFormat="1" ht="12" hidden="1" customHeight="1">
      <c r="H1158" s="196" t="s">
        <v>2860</v>
      </c>
      <c r="I1158" s="206" t="s">
        <v>2946</v>
      </c>
      <c r="J1158" s="206" t="s">
        <v>2947</v>
      </c>
      <c r="K1158" s="206" t="s">
        <v>2885</v>
      </c>
      <c r="L1158" s="206" t="s">
        <v>5</v>
      </c>
      <c r="M1158" s="157"/>
      <c r="N1158" s="165"/>
      <c r="O1158" s="169"/>
      <c r="P1158" s="197">
        <v>14516.65</v>
      </c>
      <c r="Q1158" s="166">
        <f t="shared" si="54"/>
        <v>0</v>
      </c>
      <c r="R1158" s="169"/>
      <c r="S1158" s="169"/>
      <c r="T1158" s="169"/>
      <c r="U1158" s="169"/>
      <c r="V1158" s="166">
        <f t="shared" si="55"/>
        <v>0</v>
      </c>
      <c r="W1158" s="205"/>
      <c r="X1158" s="167"/>
    </row>
    <row r="1159" spans="8:24" s="220" customFormat="1" ht="12" hidden="1" customHeight="1">
      <c r="H1159" s="196" t="s">
        <v>2861</v>
      </c>
      <c r="I1159" s="206" t="s">
        <v>1054</v>
      </c>
      <c r="J1159" s="206" t="s">
        <v>2948</v>
      </c>
      <c r="K1159" s="206" t="s">
        <v>2887</v>
      </c>
      <c r="L1159" s="206" t="s">
        <v>5</v>
      </c>
      <c r="M1159" s="157"/>
      <c r="N1159" s="165"/>
      <c r="O1159" s="169"/>
      <c r="P1159" s="197">
        <v>18290.978999999999</v>
      </c>
      <c r="Q1159" s="166">
        <f t="shared" si="54"/>
        <v>0</v>
      </c>
      <c r="R1159" s="169"/>
      <c r="S1159" s="169"/>
      <c r="T1159" s="169"/>
      <c r="U1159" s="169"/>
      <c r="V1159" s="166">
        <f t="shared" si="55"/>
        <v>0</v>
      </c>
      <c r="W1159" s="205"/>
      <c r="X1159" s="167"/>
    </row>
    <row r="1160" spans="8:24" s="220" customFormat="1" ht="12" hidden="1" customHeight="1">
      <c r="H1160" s="196" t="s">
        <v>2862</v>
      </c>
      <c r="I1160" s="206" t="s">
        <v>1016</v>
      </c>
      <c r="J1160" s="206" t="s">
        <v>2949</v>
      </c>
      <c r="K1160" s="206" t="s">
        <v>2878</v>
      </c>
      <c r="L1160" s="206" t="s">
        <v>5</v>
      </c>
      <c r="M1160" s="157"/>
      <c r="N1160" s="165"/>
      <c r="O1160" s="169"/>
      <c r="P1160" s="197">
        <v>11322.986999999999</v>
      </c>
      <c r="Q1160" s="166">
        <f t="shared" si="54"/>
        <v>0</v>
      </c>
      <c r="R1160" s="169"/>
      <c r="S1160" s="169"/>
      <c r="T1160" s="169"/>
      <c r="U1160" s="169"/>
      <c r="V1160" s="166">
        <f t="shared" si="55"/>
        <v>0</v>
      </c>
      <c r="W1160" s="205"/>
      <c r="X1160" s="167"/>
    </row>
    <row r="1161" spans="8:24" s="220" customFormat="1" ht="12" hidden="1" customHeight="1">
      <c r="H1161" s="196" t="s">
        <v>2863</v>
      </c>
      <c r="I1161" s="206" t="s">
        <v>1017</v>
      </c>
      <c r="J1161" s="206" t="s">
        <v>2950</v>
      </c>
      <c r="K1161" s="206" t="s">
        <v>2880</v>
      </c>
      <c r="L1161" s="206" t="s">
        <v>5</v>
      </c>
      <c r="M1161" s="157"/>
      <c r="N1161" s="165"/>
      <c r="O1161" s="169"/>
      <c r="P1161" s="197">
        <v>12193.986000000001</v>
      </c>
      <c r="Q1161" s="166">
        <f t="shared" si="54"/>
        <v>0</v>
      </c>
      <c r="R1161" s="169"/>
      <c r="S1161" s="169"/>
      <c r="T1161" s="169"/>
      <c r="U1161" s="169"/>
      <c r="V1161" s="166">
        <f t="shared" si="55"/>
        <v>0</v>
      </c>
      <c r="W1161" s="205"/>
      <c r="X1161" s="167"/>
    </row>
    <row r="1162" spans="8:24" s="220" customFormat="1" ht="12" hidden="1" customHeight="1">
      <c r="H1162" s="196" t="s">
        <v>2864</v>
      </c>
      <c r="I1162" s="206" t="s">
        <v>1018</v>
      </c>
      <c r="J1162" s="206" t="s">
        <v>2951</v>
      </c>
      <c r="K1162" s="206" t="s">
        <v>2882</v>
      </c>
      <c r="L1162" s="206" t="s">
        <v>5</v>
      </c>
      <c r="M1162" s="157"/>
      <c r="N1162" s="165"/>
      <c r="O1162" s="169"/>
      <c r="P1162" s="197">
        <v>13935.984</v>
      </c>
      <c r="Q1162" s="166">
        <f t="shared" si="54"/>
        <v>0</v>
      </c>
      <c r="R1162" s="169"/>
      <c r="S1162" s="169"/>
      <c r="T1162" s="169"/>
      <c r="U1162" s="169"/>
      <c r="V1162" s="166">
        <f t="shared" si="55"/>
        <v>0</v>
      </c>
      <c r="W1162" s="205"/>
      <c r="X1162" s="167"/>
    </row>
    <row r="1163" spans="8:24" s="220" customFormat="1" ht="12" hidden="1" customHeight="1">
      <c r="H1163" s="196" t="s">
        <v>2865</v>
      </c>
      <c r="I1163" s="206" t="s">
        <v>2952</v>
      </c>
      <c r="J1163" s="206" t="s">
        <v>2953</v>
      </c>
      <c r="K1163" s="206" t="s">
        <v>2885</v>
      </c>
      <c r="L1163" s="206" t="s">
        <v>5</v>
      </c>
      <c r="M1163" s="157"/>
      <c r="N1163" s="165"/>
      <c r="O1163" s="169"/>
      <c r="P1163" s="197">
        <v>15677.982</v>
      </c>
      <c r="Q1163" s="166">
        <f t="shared" si="54"/>
        <v>0</v>
      </c>
      <c r="R1163" s="169"/>
      <c r="S1163" s="169"/>
      <c r="T1163" s="169"/>
      <c r="U1163" s="169"/>
      <c r="V1163" s="166">
        <f t="shared" si="55"/>
        <v>0</v>
      </c>
      <c r="W1163" s="205"/>
      <c r="X1163" s="167"/>
    </row>
    <row r="1164" spans="8:24" s="220" customFormat="1" ht="12" hidden="1" customHeight="1">
      <c r="H1164" s="196" t="s">
        <v>2866</v>
      </c>
      <c r="I1164" s="206" t="s">
        <v>2954</v>
      </c>
      <c r="J1164" s="206" t="s">
        <v>2955</v>
      </c>
      <c r="K1164" s="206" t="s">
        <v>2887</v>
      </c>
      <c r="L1164" s="206" t="s">
        <v>5</v>
      </c>
      <c r="M1164" s="157"/>
      <c r="N1164" s="165"/>
      <c r="O1164" s="169"/>
      <c r="P1164" s="197">
        <v>19742.644</v>
      </c>
      <c r="Q1164" s="166">
        <f t="shared" si="54"/>
        <v>0</v>
      </c>
      <c r="R1164" s="169"/>
      <c r="S1164" s="169"/>
      <c r="T1164" s="169"/>
      <c r="U1164" s="169"/>
      <c r="V1164" s="166">
        <f t="shared" si="55"/>
        <v>0</v>
      </c>
      <c r="W1164" s="205"/>
      <c r="X1164" s="167"/>
    </row>
    <row r="1165" spans="8:24" s="220" customFormat="1" ht="12" hidden="1" customHeight="1">
      <c r="H1165" s="196" t="s">
        <v>2867</v>
      </c>
      <c r="I1165" s="206" t="s">
        <v>1019</v>
      </c>
      <c r="J1165" s="206" t="s">
        <v>2956</v>
      </c>
      <c r="K1165" s="206" t="s">
        <v>2878</v>
      </c>
      <c r="L1165" s="206" t="s">
        <v>5</v>
      </c>
      <c r="M1165" s="157"/>
      <c r="N1165" s="165"/>
      <c r="O1165" s="169"/>
      <c r="P1165" s="197">
        <v>12193.986000000001</v>
      </c>
      <c r="Q1165" s="166">
        <f t="shared" si="54"/>
        <v>0</v>
      </c>
      <c r="R1165" s="169"/>
      <c r="S1165" s="169"/>
      <c r="T1165" s="169"/>
      <c r="U1165" s="169"/>
      <c r="V1165" s="166">
        <f t="shared" si="55"/>
        <v>0</v>
      </c>
      <c r="W1165" s="205"/>
      <c r="X1165" s="167"/>
    </row>
    <row r="1166" spans="8:24" s="220" customFormat="1" ht="12" hidden="1" customHeight="1">
      <c r="H1166" s="196" t="s">
        <v>2868</v>
      </c>
      <c r="I1166" s="206" t="s">
        <v>1020</v>
      </c>
      <c r="J1166" s="206" t="s">
        <v>2957</v>
      </c>
      <c r="K1166" s="206" t="s">
        <v>2880</v>
      </c>
      <c r="L1166" s="206" t="s">
        <v>5</v>
      </c>
      <c r="M1166" s="157"/>
      <c r="N1166" s="165"/>
      <c r="O1166" s="169"/>
      <c r="P1166" s="197">
        <v>13355.317999999999</v>
      </c>
      <c r="Q1166" s="166">
        <f t="shared" si="54"/>
        <v>0</v>
      </c>
      <c r="R1166" s="169"/>
      <c r="S1166" s="169"/>
      <c r="T1166" s="169"/>
      <c r="U1166" s="169"/>
      <c r="V1166" s="166">
        <f t="shared" si="55"/>
        <v>0</v>
      </c>
      <c r="W1166" s="205"/>
      <c r="X1166" s="167"/>
    </row>
    <row r="1167" spans="8:24" s="220" customFormat="1" ht="12" hidden="1" customHeight="1">
      <c r="H1167" s="196" t="s">
        <v>2869</v>
      </c>
      <c r="I1167" s="206" t="s">
        <v>1021</v>
      </c>
      <c r="J1167" s="206" t="s">
        <v>2958</v>
      </c>
      <c r="K1167" s="206" t="s">
        <v>2882</v>
      </c>
      <c r="L1167" s="206" t="s">
        <v>5</v>
      </c>
      <c r="M1167" s="157"/>
      <c r="N1167" s="165"/>
      <c r="O1167" s="169"/>
      <c r="P1167" s="197">
        <v>15097.316000000001</v>
      </c>
      <c r="Q1167" s="166">
        <f t="shared" si="54"/>
        <v>0</v>
      </c>
      <c r="R1167" s="169"/>
      <c r="S1167" s="169"/>
      <c r="T1167" s="169"/>
      <c r="U1167" s="169"/>
      <c r="V1167" s="166">
        <f t="shared" si="55"/>
        <v>0</v>
      </c>
      <c r="W1167" s="205"/>
      <c r="X1167" s="167"/>
    </row>
    <row r="1168" spans="8:24" s="220" customFormat="1" ht="12" hidden="1" customHeight="1">
      <c r="H1168" s="196" t="s">
        <v>2870</v>
      </c>
      <c r="I1168" s="206" t="s">
        <v>2959</v>
      </c>
      <c r="J1168" s="206" t="s">
        <v>2960</v>
      </c>
      <c r="K1168" s="206" t="s">
        <v>2885</v>
      </c>
      <c r="L1168" s="206" t="s">
        <v>5</v>
      </c>
      <c r="M1168" s="157"/>
      <c r="N1168" s="165"/>
      <c r="O1168" s="169"/>
      <c r="P1168" s="197">
        <v>16839.313999999998</v>
      </c>
      <c r="Q1168" s="166">
        <f t="shared" si="54"/>
        <v>0</v>
      </c>
      <c r="R1168" s="169"/>
      <c r="S1168" s="169"/>
      <c r="T1168" s="169"/>
      <c r="U1168" s="169"/>
      <c r="V1168" s="166">
        <f t="shared" si="55"/>
        <v>0</v>
      </c>
      <c r="W1168" s="205"/>
      <c r="X1168" s="167"/>
    </row>
    <row r="1169" spans="8:24" s="220" customFormat="1" ht="12" hidden="1" customHeight="1">
      <c r="H1169" s="196" t="s">
        <v>2871</v>
      </c>
      <c r="I1169" s="206" t="s">
        <v>2961</v>
      </c>
      <c r="J1169" s="206" t="s">
        <v>2962</v>
      </c>
      <c r="K1169" s="206" t="s">
        <v>2887</v>
      </c>
      <c r="L1169" s="206" t="s">
        <v>5</v>
      </c>
      <c r="M1169" s="157"/>
      <c r="N1169" s="165"/>
      <c r="O1169" s="169"/>
      <c r="P1169" s="197">
        <v>21194.309000000001</v>
      </c>
      <c r="Q1169" s="166">
        <f t="shared" si="54"/>
        <v>0</v>
      </c>
      <c r="R1169" s="169"/>
      <c r="S1169" s="169"/>
      <c r="T1169" s="169"/>
      <c r="U1169" s="169"/>
      <c r="V1169" s="166">
        <f t="shared" si="55"/>
        <v>0</v>
      </c>
      <c r="W1169" s="205"/>
      <c r="X1169" s="167"/>
    </row>
    <row r="1170" spans="8:24" s="220" customFormat="1" ht="12" hidden="1" customHeight="1">
      <c r="H1170" s="196" t="s">
        <v>2872</v>
      </c>
      <c r="I1170" s="206" t="s">
        <v>1022</v>
      </c>
      <c r="J1170" s="206" t="s">
        <v>2963</v>
      </c>
      <c r="K1170" s="206" t="s">
        <v>2878</v>
      </c>
      <c r="L1170" s="206" t="s">
        <v>5</v>
      </c>
      <c r="M1170" s="157"/>
      <c r="N1170" s="165"/>
      <c r="O1170" s="169"/>
      <c r="P1170" s="197">
        <v>13935.984</v>
      </c>
      <c r="Q1170" s="166">
        <f t="shared" ref="Q1170:Q1243" si="56">IF(W1170="",M1170*P1170*$Q$3*$W$3,M1170*P1170*$Q$3*W1170)</f>
        <v>0</v>
      </c>
      <c r="R1170" s="169"/>
      <c r="S1170" s="169"/>
      <c r="T1170" s="169"/>
      <c r="U1170" s="169"/>
      <c r="V1170" s="166">
        <f t="shared" ref="V1170:V1221" si="57">SUM(O1170+Q1170)+S1170+U1170</f>
        <v>0</v>
      </c>
      <c r="W1170" s="205"/>
      <c r="X1170" s="167"/>
    </row>
    <row r="1171" spans="8:24" s="220" customFormat="1" ht="12" hidden="1" customHeight="1">
      <c r="H1171" s="196" t="s">
        <v>2873</v>
      </c>
      <c r="I1171" s="206" t="s">
        <v>1023</v>
      </c>
      <c r="J1171" s="206" t="s">
        <v>2964</v>
      </c>
      <c r="K1171" s="206" t="s">
        <v>2880</v>
      </c>
      <c r="L1171" s="206" t="s">
        <v>5</v>
      </c>
      <c r="M1171" s="157"/>
      <c r="N1171" s="165"/>
      <c r="O1171" s="169"/>
      <c r="P1171" s="197">
        <v>15097.316000000001</v>
      </c>
      <c r="Q1171" s="166">
        <f t="shared" si="56"/>
        <v>0</v>
      </c>
      <c r="R1171" s="169"/>
      <c r="S1171" s="169"/>
      <c r="T1171" s="169"/>
      <c r="U1171" s="169"/>
      <c r="V1171" s="166">
        <f t="shared" si="57"/>
        <v>0</v>
      </c>
      <c r="W1171" s="205"/>
      <c r="X1171" s="167"/>
    </row>
    <row r="1172" spans="8:24" s="220" customFormat="1" ht="12" hidden="1" customHeight="1">
      <c r="H1172" s="196" t="s">
        <v>2874</v>
      </c>
      <c r="I1172" s="206" t="s">
        <v>1024</v>
      </c>
      <c r="J1172" s="206" t="s">
        <v>2965</v>
      </c>
      <c r="K1172" s="206" t="s">
        <v>2882</v>
      </c>
      <c r="L1172" s="206" t="s">
        <v>5</v>
      </c>
      <c r="M1172" s="157"/>
      <c r="N1172" s="165"/>
      <c r="O1172" s="169"/>
      <c r="P1172" s="197">
        <v>17129.647000000001</v>
      </c>
      <c r="Q1172" s="166">
        <f t="shared" si="56"/>
        <v>0</v>
      </c>
      <c r="R1172" s="169"/>
      <c r="S1172" s="169"/>
      <c r="T1172" s="169"/>
      <c r="U1172" s="169"/>
      <c r="V1172" s="166">
        <f t="shared" si="57"/>
        <v>0</v>
      </c>
      <c r="W1172" s="205"/>
      <c r="X1172" s="167"/>
    </row>
    <row r="1173" spans="8:24" s="220" customFormat="1" ht="12" hidden="1" customHeight="1">
      <c r="H1173" s="196" t="s">
        <v>2875</v>
      </c>
      <c r="I1173" s="206" t="s">
        <v>2966</v>
      </c>
      <c r="J1173" s="206" t="s">
        <v>2967</v>
      </c>
      <c r="K1173" s="206" t="s">
        <v>2885</v>
      </c>
      <c r="L1173" s="206" t="s">
        <v>5</v>
      </c>
      <c r="M1173" s="157"/>
      <c r="N1173" s="165"/>
      <c r="O1173" s="169"/>
      <c r="P1173" s="197">
        <v>19452.311000000002</v>
      </c>
      <c r="Q1173" s="166">
        <f t="shared" si="56"/>
        <v>0</v>
      </c>
      <c r="R1173" s="169"/>
      <c r="S1173" s="169"/>
      <c r="T1173" s="169"/>
      <c r="U1173" s="169"/>
      <c r="V1173" s="166">
        <f t="shared" si="57"/>
        <v>0</v>
      </c>
      <c r="W1173" s="205"/>
      <c r="X1173" s="167"/>
    </row>
    <row r="1174" spans="8:24" s="220" customFormat="1" ht="12" hidden="1" customHeight="1">
      <c r="H1174" s="196" t="s">
        <v>2876</v>
      </c>
      <c r="I1174" s="206" t="s">
        <v>2968</v>
      </c>
      <c r="J1174" s="206" t="s">
        <v>2969</v>
      </c>
      <c r="K1174" s="206" t="s">
        <v>2887</v>
      </c>
      <c r="L1174" s="206" t="s">
        <v>5</v>
      </c>
      <c r="M1174" s="157"/>
      <c r="N1174" s="165"/>
      <c r="O1174" s="169"/>
      <c r="P1174" s="197">
        <v>24387.972000000002</v>
      </c>
      <c r="Q1174" s="166">
        <f t="shared" si="56"/>
        <v>0</v>
      </c>
      <c r="R1174" s="169"/>
      <c r="S1174" s="169"/>
      <c r="T1174" s="169"/>
      <c r="U1174" s="169"/>
      <c r="V1174" s="166">
        <f t="shared" si="57"/>
        <v>0</v>
      </c>
      <c r="W1174" s="205"/>
      <c r="X1174" s="167"/>
    </row>
    <row r="1175" spans="8:24" s="220" customFormat="1" ht="12" hidden="1" customHeight="1">
      <c r="H1175" s="233" t="s">
        <v>6937</v>
      </c>
      <c r="I1175" s="234" t="s">
        <v>6941</v>
      </c>
      <c r="J1175" s="234" t="s">
        <v>6942</v>
      </c>
      <c r="K1175" s="234" t="s">
        <v>6943</v>
      </c>
      <c r="L1175" s="156" t="s">
        <v>697</v>
      </c>
      <c r="M1175" s="157"/>
      <c r="N1175" s="165"/>
      <c r="O1175" s="169"/>
      <c r="P1175" s="195">
        <v>14651.85</v>
      </c>
      <c r="Q1175" s="166">
        <f t="shared" si="56"/>
        <v>0</v>
      </c>
      <c r="R1175" s="169"/>
      <c r="S1175" s="169"/>
      <c r="T1175" s="169"/>
      <c r="U1175" s="169"/>
      <c r="V1175" s="166">
        <f t="shared" si="57"/>
        <v>0</v>
      </c>
      <c r="W1175" s="205"/>
      <c r="X1175" s="167"/>
    </row>
    <row r="1176" spans="8:24" s="220" customFormat="1" ht="12" hidden="1" customHeight="1">
      <c r="H1176" s="233" t="s">
        <v>6938</v>
      </c>
      <c r="I1176" s="234" t="s">
        <v>6944</v>
      </c>
      <c r="J1176" s="234" t="s">
        <v>6945</v>
      </c>
      <c r="K1176" s="234" t="s">
        <v>6946</v>
      </c>
      <c r="L1176" s="156" t="s">
        <v>697</v>
      </c>
      <c r="M1176" s="157"/>
      <c r="N1176" s="165"/>
      <c r="O1176" s="169"/>
      <c r="P1176" s="195">
        <v>15251.65</v>
      </c>
      <c r="Q1176" s="166">
        <f t="shared" si="56"/>
        <v>0</v>
      </c>
      <c r="R1176" s="169"/>
      <c r="S1176" s="169"/>
      <c r="T1176" s="169"/>
      <c r="U1176" s="169"/>
      <c r="V1176" s="166">
        <f t="shared" si="57"/>
        <v>0</v>
      </c>
      <c r="W1176" s="205"/>
      <c r="X1176" s="167"/>
    </row>
    <row r="1177" spans="8:24" s="220" customFormat="1" ht="12" hidden="1" customHeight="1">
      <c r="H1177" s="233" t="s">
        <v>6939</v>
      </c>
      <c r="I1177" s="234" t="s">
        <v>6947</v>
      </c>
      <c r="J1177" s="234" t="s">
        <v>6948</v>
      </c>
      <c r="K1177" s="234" t="s">
        <v>6949</v>
      </c>
      <c r="L1177" s="156" t="s">
        <v>697</v>
      </c>
      <c r="M1177" s="157"/>
      <c r="N1177" s="165"/>
      <c r="O1177" s="169"/>
      <c r="P1177" s="195">
        <v>42331.8</v>
      </c>
      <c r="Q1177" s="166">
        <f t="shared" si="56"/>
        <v>0</v>
      </c>
      <c r="R1177" s="169"/>
      <c r="S1177" s="169"/>
      <c r="T1177" s="169"/>
      <c r="U1177" s="169"/>
      <c r="V1177" s="166">
        <f t="shared" si="57"/>
        <v>0</v>
      </c>
      <c r="W1177" s="205"/>
      <c r="X1177" s="167"/>
    </row>
    <row r="1178" spans="8:24" s="220" customFormat="1" ht="12" hidden="1" customHeight="1">
      <c r="H1178" s="233" t="s">
        <v>6940</v>
      </c>
      <c r="I1178" s="234" t="s">
        <v>6950</v>
      </c>
      <c r="J1178" s="234" t="s">
        <v>6951</v>
      </c>
      <c r="K1178" s="234" t="s">
        <v>6952</v>
      </c>
      <c r="L1178" s="234" t="s">
        <v>744</v>
      </c>
      <c r="M1178" s="157"/>
      <c r="N1178" s="165"/>
      <c r="O1178" s="169"/>
      <c r="P1178" s="195">
        <v>45140.76</v>
      </c>
      <c r="Q1178" s="166">
        <f t="shared" si="56"/>
        <v>0</v>
      </c>
      <c r="R1178" s="169"/>
      <c r="S1178" s="169"/>
      <c r="T1178" s="169"/>
      <c r="U1178" s="169"/>
      <c r="V1178" s="166">
        <f t="shared" si="57"/>
        <v>0</v>
      </c>
      <c r="W1178" s="205"/>
      <c r="X1178" s="167"/>
    </row>
    <row r="1179" spans="8:24" s="220" customFormat="1" ht="12" hidden="1" customHeight="1">
      <c r="H1179" s="233" t="s">
        <v>6959</v>
      </c>
      <c r="I1179" s="234" t="s">
        <v>6953</v>
      </c>
      <c r="J1179" s="234" t="s">
        <v>6954</v>
      </c>
      <c r="K1179" s="234" t="s">
        <v>6943</v>
      </c>
      <c r="L1179" s="156" t="s">
        <v>697</v>
      </c>
      <c r="M1179" s="157"/>
      <c r="N1179" s="165"/>
      <c r="O1179" s="169"/>
      <c r="P1179" s="195">
        <v>13498.4</v>
      </c>
      <c r="Q1179" s="166">
        <f t="shared" si="56"/>
        <v>0</v>
      </c>
      <c r="R1179" s="169"/>
      <c r="S1179" s="169"/>
      <c r="T1179" s="169"/>
      <c r="U1179" s="169"/>
      <c r="V1179" s="166">
        <f t="shared" si="57"/>
        <v>0</v>
      </c>
      <c r="W1179" s="205"/>
      <c r="X1179" s="167"/>
    </row>
    <row r="1180" spans="8:24" s="220" customFormat="1" ht="12" hidden="1" customHeight="1">
      <c r="H1180" s="233" t="s">
        <v>6935</v>
      </c>
      <c r="I1180" s="234" t="s">
        <v>6955</v>
      </c>
      <c r="J1180" s="234" t="s">
        <v>6956</v>
      </c>
      <c r="K1180" s="234" t="s">
        <v>6946</v>
      </c>
      <c r="L1180" s="156" t="s">
        <v>697</v>
      </c>
      <c r="M1180" s="157"/>
      <c r="N1180" s="165"/>
      <c r="O1180" s="169"/>
      <c r="P1180" s="195">
        <v>15727.2</v>
      </c>
      <c r="Q1180" s="166">
        <f t="shared" si="56"/>
        <v>0</v>
      </c>
      <c r="R1180" s="169"/>
      <c r="S1180" s="169"/>
      <c r="T1180" s="169"/>
      <c r="U1180" s="169"/>
      <c r="V1180" s="166">
        <f t="shared" si="57"/>
        <v>0</v>
      </c>
      <c r="W1180" s="205"/>
      <c r="X1180" s="167"/>
    </row>
    <row r="1181" spans="8:24" s="220" customFormat="1" ht="12" hidden="1" customHeight="1">
      <c r="H1181" s="233" t="s">
        <v>6936</v>
      </c>
      <c r="I1181" s="234" t="s">
        <v>6957</v>
      </c>
      <c r="J1181" s="234" t="s">
        <v>6958</v>
      </c>
      <c r="K1181" s="234" t="s">
        <v>6949</v>
      </c>
      <c r="L1181" s="156" t="s">
        <v>697</v>
      </c>
      <c r="M1181" s="157"/>
      <c r="N1181" s="165"/>
      <c r="O1181" s="169"/>
      <c r="P1181" s="195">
        <v>42331.8</v>
      </c>
      <c r="Q1181" s="166">
        <f t="shared" si="56"/>
        <v>0</v>
      </c>
      <c r="R1181" s="169"/>
      <c r="S1181" s="169"/>
      <c r="T1181" s="169"/>
      <c r="U1181" s="169"/>
      <c r="V1181" s="166">
        <f t="shared" si="57"/>
        <v>0</v>
      </c>
      <c r="W1181" s="205"/>
      <c r="X1181" s="167"/>
    </row>
    <row r="1182" spans="8:24" s="220" customFormat="1" ht="12" hidden="1" customHeight="1">
      <c r="H1182" s="196" t="s">
        <v>2970</v>
      </c>
      <c r="I1182" s="206" t="s">
        <v>2977</v>
      </c>
      <c r="J1182" s="206" t="s">
        <v>2978</v>
      </c>
      <c r="K1182" s="206" t="s">
        <v>2979</v>
      </c>
      <c r="L1182" s="206" t="s">
        <v>2980</v>
      </c>
      <c r="M1182" s="157"/>
      <c r="N1182" s="165"/>
      <c r="O1182" s="169"/>
      <c r="P1182" s="197">
        <v>66776.59</v>
      </c>
      <c r="Q1182" s="166">
        <f t="shared" si="56"/>
        <v>0</v>
      </c>
      <c r="R1182" s="169"/>
      <c r="S1182" s="169"/>
      <c r="T1182" s="169"/>
      <c r="U1182" s="169"/>
      <c r="V1182" s="166">
        <f t="shared" si="57"/>
        <v>0</v>
      </c>
      <c r="W1182" s="205"/>
      <c r="X1182" s="167"/>
    </row>
    <row r="1183" spans="8:24" s="220" customFormat="1" ht="12" hidden="1" customHeight="1">
      <c r="H1183" s="196" t="s">
        <v>2971</v>
      </c>
      <c r="I1183" s="206" t="s">
        <v>2981</v>
      </c>
      <c r="J1183" s="206" t="s">
        <v>2982</v>
      </c>
      <c r="K1183" s="206" t="s">
        <v>2983</v>
      </c>
      <c r="L1183" s="206" t="s">
        <v>2980</v>
      </c>
      <c r="M1183" s="157"/>
      <c r="N1183" s="165"/>
      <c r="O1183" s="169"/>
      <c r="P1183" s="197">
        <v>40495.199999999997</v>
      </c>
      <c r="Q1183" s="166">
        <f t="shared" si="56"/>
        <v>0</v>
      </c>
      <c r="R1183" s="169"/>
      <c r="S1183" s="169"/>
      <c r="T1183" s="169"/>
      <c r="U1183" s="169"/>
      <c r="V1183" s="166">
        <f t="shared" si="57"/>
        <v>0</v>
      </c>
      <c r="W1183" s="205"/>
      <c r="X1183" s="167"/>
    </row>
    <row r="1184" spans="8:24" s="220" customFormat="1" ht="12" hidden="1" customHeight="1">
      <c r="H1184" s="196" t="s">
        <v>2972</v>
      </c>
      <c r="I1184" s="206" t="s">
        <v>2984</v>
      </c>
      <c r="J1184" s="206" t="s">
        <v>2985</v>
      </c>
      <c r="K1184" s="206" t="s">
        <v>2986</v>
      </c>
      <c r="L1184" s="206" t="s">
        <v>2980</v>
      </c>
      <c r="M1184" s="157"/>
      <c r="N1184" s="165"/>
      <c r="O1184" s="169"/>
      <c r="P1184" s="197">
        <v>52259.94</v>
      </c>
      <c r="Q1184" s="166">
        <f t="shared" si="56"/>
        <v>0</v>
      </c>
      <c r="R1184" s="169"/>
      <c r="S1184" s="169"/>
      <c r="T1184" s="169"/>
      <c r="U1184" s="169"/>
      <c r="V1184" s="166">
        <f t="shared" si="57"/>
        <v>0</v>
      </c>
      <c r="W1184" s="205"/>
      <c r="X1184" s="167"/>
    </row>
    <row r="1185" spans="8:24" s="220" customFormat="1" ht="12" hidden="1" customHeight="1">
      <c r="H1185" s="196" t="s">
        <v>2973</v>
      </c>
      <c r="I1185" s="206" t="s">
        <v>2987</v>
      </c>
      <c r="J1185" s="206" t="s">
        <v>2988</v>
      </c>
      <c r="K1185" s="206" t="s">
        <v>2989</v>
      </c>
      <c r="L1185" s="206" t="s">
        <v>2980</v>
      </c>
      <c r="M1185" s="157"/>
      <c r="N1185" s="165"/>
      <c r="O1185" s="169"/>
      <c r="P1185" s="197">
        <v>66776.59</v>
      </c>
      <c r="Q1185" s="166">
        <f t="shared" si="56"/>
        <v>0</v>
      </c>
      <c r="R1185" s="169"/>
      <c r="S1185" s="169"/>
      <c r="T1185" s="169"/>
      <c r="U1185" s="169"/>
      <c r="V1185" s="166">
        <f t="shared" si="57"/>
        <v>0</v>
      </c>
      <c r="W1185" s="205"/>
      <c r="X1185" s="167"/>
    </row>
    <row r="1186" spans="8:24" s="220" customFormat="1" ht="12" hidden="1" customHeight="1">
      <c r="H1186" s="196" t="s">
        <v>2974</v>
      </c>
      <c r="I1186" s="206" t="s">
        <v>2990</v>
      </c>
      <c r="J1186" s="206" t="s">
        <v>2991</v>
      </c>
      <c r="K1186" s="206" t="s">
        <v>2992</v>
      </c>
      <c r="L1186" s="206" t="s">
        <v>2980</v>
      </c>
      <c r="M1186" s="157"/>
      <c r="N1186" s="165"/>
      <c r="O1186" s="169"/>
      <c r="P1186" s="197">
        <v>66776.59</v>
      </c>
      <c r="Q1186" s="166">
        <f t="shared" si="56"/>
        <v>0</v>
      </c>
      <c r="R1186" s="169"/>
      <c r="S1186" s="169"/>
      <c r="T1186" s="169"/>
      <c r="U1186" s="169"/>
      <c r="V1186" s="166">
        <f t="shared" si="57"/>
        <v>0</v>
      </c>
      <c r="W1186" s="205"/>
      <c r="X1186" s="167"/>
    </row>
    <row r="1187" spans="8:24" s="220" customFormat="1" ht="12" hidden="1" customHeight="1">
      <c r="H1187" s="196" t="s">
        <v>2975</v>
      </c>
      <c r="I1187" s="206" t="s">
        <v>2993</v>
      </c>
      <c r="J1187" s="206" t="s">
        <v>2994</v>
      </c>
      <c r="K1187" s="206" t="s">
        <v>2995</v>
      </c>
      <c r="L1187" s="206" t="s">
        <v>2980</v>
      </c>
      <c r="M1187" s="157"/>
      <c r="N1187" s="165"/>
      <c r="O1187" s="169"/>
      <c r="P1187" s="197">
        <v>92906.559999999998</v>
      </c>
      <c r="Q1187" s="166">
        <f t="shared" si="56"/>
        <v>0</v>
      </c>
      <c r="R1187" s="169"/>
      <c r="S1187" s="169"/>
      <c r="T1187" s="169"/>
      <c r="U1187" s="169"/>
      <c r="V1187" s="166">
        <f t="shared" si="57"/>
        <v>0</v>
      </c>
      <c r="W1187" s="205"/>
      <c r="X1187" s="167"/>
    </row>
    <row r="1188" spans="8:24" s="220" customFormat="1" ht="12" hidden="1" customHeight="1">
      <c r="H1188" s="196" t="s">
        <v>2976</v>
      </c>
      <c r="I1188" s="206" t="s">
        <v>2996</v>
      </c>
      <c r="J1188" s="206" t="s">
        <v>2997</v>
      </c>
      <c r="K1188" s="206" t="s">
        <v>2998</v>
      </c>
      <c r="L1188" s="206" t="s">
        <v>2980</v>
      </c>
      <c r="M1188" s="157"/>
      <c r="N1188" s="165"/>
      <c r="O1188" s="169"/>
      <c r="P1188" s="197">
        <v>130649.85</v>
      </c>
      <c r="Q1188" s="166">
        <f t="shared" si="56"/>
        <v>0</v>
      </c>
      <c r="R1188" s="169"/>
      <c r="S1188" s="169"/>
      <c r="T1188" s="169"/>
      <c r="U1188" s="169"/>
      <c r="V1188" s="166">
        <f t="shared" si="57"/>
        <v>0</v>
      </c>
      <c r="W1188" s="205"/>
      <c r="X1188" s="167"/>
    </row>
    <row r="1189" spans="8:24" s="220" customFormat="1" ht="12" hidden="1" customHeight="1">
      <c r="H1189" s="233" t="s">
        <v>6970</v>
      </c>
      <c r="I1189" s="234" t="s">
        <v>945</v>
      </c>
      <c r="J1189" s="234" t="s">
        <v>6973</v>
      </c>
      <c r="K1189" s="156" t="s">
        <v>6976</v>
      </c>
      <c r="L1189" s="156" t="s">
        <v>5</v>
      </c>
      <c r="M1189" s="157"/>
      <c r="N1189" s="165"/>
      <c r="O1189" s="169"/>
      <c r="P1189" s="238">
        <v>53994</v>
      </c>
      <c r="Q1189" s="166">
        <f t="shared" si="56"/>
        <v>0</v>
      </c>
      <c r="R1189" s="169"/>
      <c r="S1189" s="169"/>
      <c r="T1189" s="169"/>
      <c r="U1189" s="169"/>
      <c r="V1189" s="166">
        <f t="shared" si="57"/>
        <v>0</v>
      </c>
      <c r="W1189" s="205"/>
      <c r="X1189" s="167"/>
    </row>
    <row r="1190" spans="8:24" s="220" customFormat="1" ht="12" hidden="1" customHeight="1">
      <c r="H1190" s="233" t="s">
        <v>6971</v>
      </c>
      <c r="I1190" s="234" t="s">
        <v>1034</v>
      </c>
      <c r="J1190" s="234" t="s">
        <v>6974</v>
      </c>
      <c r="K1190" s="156" t="s">
        <v>6977</v>
      </c>
      <c r="L1190" s="156" t="s">
        <v>5</v>
      </c>
      <c r="M1190" s="157"/>
      <c r="N1190" s="165"/>
      <c r="O1190" s="169"/>
      <c r="P1190" s="238">
        <v>80990</v>
      </c>
      <c r="Q1190" s="166">
        <f t="shared" si="56"/>
        <v>0</v>
      </c>
      <c r="R1190" s="169"/>
      <c r="S1190" s="169"/>
      <c r="T1190" s="169"/>
      <c r="U1190" s="169"/>
      <c r="V1190" s="166">
        <f t="shared" si="57"/>
        <v>0</v>
      </c>
      <c r="W1190" s="205"/>
      <c r="X1190" s="167"/>
    </row>
    <row r="1191" spans="8:24" s="220" customFormat="1" ht="12" hidden="1" customHeight="1">
      <c r="H1191" s="233" t="s">
        <v>6972</v>
      </c>
      <c r="I1191" s="234" t="s">
        <v>1035</v>
      </c>
      <c r="J1191" s="234" t="s">
        <v>6975</v>
      </c>
      <c r="K1191" s="156" t="s">
        <v>6978</v>
      </c>
      <c r="L1191" s="156" t="s">
        <v>5</v>
      </c>
      <c r="M1191" s="157"/>
      <c r="N1191" s="165"/>
      <c r="O1191" s="169"/>
      <c r="P1191" s="238">
        <v>137684</v>
      </c>
      <c r="Q1191" s="166">
        <f t="shared" si="56"/>
        <v>0</v>
      </c>
      <c r="R1191" s="169"/>
      <c r="S1191" s="169"/>
      <c r="T1191" s="169"/>
      <c r="U1191" s="169"/>
      <c r="V1191" s="166">
        <f t="shared" si="57"/>
        <v>0</v>
      </c>
      <c r="W1191" s="205"/>
      <c r="X1191" s="167"/>
    </row>
    <row r="1192" spans="8:24" s="220" customFormat="1" ht="12" hidden="1" customHeight="1">
      <c r="H1192" s="196" t="s">
        <v>2999</v>
      </c>
      <c r="I1192" s="206" t="s">
        <v>3007</v>
      </c>
      <c r="J1192" s="206" t="s">
        <v>3008</v>
      </c>
      <c r="K1192" s="206" t="s">
        <v>3009</v>
      </c>
      <c r="L1192" s="206" t="s">
        <v>5</v>
      </c>
      <c r="M1192" s="157"/>
      <c r="N1192" s="165"/>
      <c r="O1192" s="169"/>
      <c r="P1192" s="197">
        <v>48594.239999999998</v>
      </c>
      <c r="Q1192" s="166">
        <f t="shared" si="56"/>
        <v>0</v>
      </c>
      <c r="R1192" s="169"/>
      <c r="S1192" s="169"/>
      <c r="T1192" s="169"/>
      <c r="U1192" s="169"/>
      <c r="V1192" s="166">
        <f t="shared" si="57"/>
        <v>0</v>
      </c>
      <c r="W1192" s="205"/>
      <c r="X1192" s="167"/>
    </row>
    <row r="1193" spans="8:24" s="220" customFormat="1" ht="12" hidden="1" customHeight="1">
      <c r="H1193" s="196" t="s">
        <v>3000</v>
      </c>
      <c r="I1193" s="206" t="s">
        <v>938</v>
      </c>
      <c r="J1193" s="206" t="s">
        <v>3010</v>
      </c>
      <c r="K1193" s="206" t="s">
        <v>3011</v>
      </c>
      <c r="L1193" s="206" t="s">
        <v>5</v>
      </c>
      <c r="M1193" s="157"/>
      <c r="N1193" s="165"/>
      <c r="O1193" s="169"/>
      <c r="P1193" s="197">
        <v>62092.639999999999</v>
      </c>
      <c r="Q1193" s="166">
        <f t="shared" si="56"/>
        <v>0</v>
      </c>
      <c r="R1193" s="169"/>
      <c r="S1193" s="169"/>
      <c r="T1193" s="169"/>
      <c r="U1193" s="169"/>
      <c r="V1193" s="166">
        <f t="shared" si="57"/>
        <v>0</v>
      </c>
      <c r="W1193" s="205"/>
      <c r="X1193" s="167"/>
    </row>
    <row r="1194" spans="8:24" s="220" customFormat="1" ht="12" hidden="1" customHeight="1">
      <c r="H1194" s="196" t="s">
        <v>3001</v>
      </c>
      <c r="I1194" s="206" t="s">
        <v>939</v>
      </c>
      <c r="J1194" s="206" t="s">
        <v>3012</v>
      </c>
      <c r="K1194" s="206" t="s">
        <v>3013</v>
      </c>
      <c r="L1194" s="206" t="s">
        <v>5</v>
      </c>
      <c r="M1194" s="157"/>
      <c r="N1194" s="165"/>
      <c r="O1194" s="169"/>
      <c r="P1194" s="197">
        <v>80990.399999999994</v>
      </c>
      <c r="Q1194" s="166">
        <f t="shared" si="56"/>
        <v>0</v>
      </c>
      <c r="R1194" s="169"/>
      <c r="S1194" s="169"/>
      <c r="T1194" s="169"/>
      <c r="U1194" s="169"/>
      <c r="V1194" s="166">
        <f t="shared" si="57"/>
        <v>0</v>
      </c>
      <c r="W1194" s="205"/>
      <c r="X1194" s="167"/>
    </row>
    <row r="1195" spans="8:24" s="220" customFormat="1" ht="12" hidden="1" customHeight="1">
      <c r="H1195" s="196" t="s">
        <v>3002</v>
      </c>
      <c r="I1195" s="206" t="s">
        <v>940</v>
      </c>
      <c r="J1195" s="206" t="s">
        <v>3014</v>
      </c>
      <c r="K1195" s="206" t="s">
        <v>3015</v>
      </c>
      <c r="L1195" s="206" t="s">
        <v>5</v>
      </c>
      <c r="M1195" s="157"/>
      <c r="N1195" s="165"/>
      <c r="O1195" s="169"/>
      <c r="P1195" s="197">
        <v>97188.479999999996</v>
      </c>
      <c r="Q1195" s="166">
        <f t="shared" si="56"/>
        <v>0</v>
      </c>
      <c r="R1195" s="169"/>
      <c r="S1195" s="169"/>
      <c r="T1195" s="169"/>
      <c r="U1195" s="169"/>
      <c r="V1195" s="166">
        <f t="shared" si="57"/>
        <v>0</v>
      </c>
      <c r="W1195" s="205"/>
      <c r="X1195" s="167"/>
    </row>
    <row r="1196" spans="8:24" s="220" customFormat="1" ht="12" hidden="1" customHeight="1">
      <c r="H1196" s="196" t="s">
        <v>3003</v>
      </c>
      <c r="I1196" s="206" t="s">
        <v>941</v>
      </c>
      <c r="J1196" s="206" t="s">
        <v>3016</v>
      </c>
      <c r="K1196" s="206" t="s">
        <v>3017</v>
      </c>
      <c r="L1196" s="206" t="s">
        <v>5</v>
      </c>
      <c r="M1196" s="157"/>
      <c r="N1196" s="165"/>
      <c r="O1196" s="169"/>
      <c r="P1196" s="197">
        <v>129584.64</v>
      </c>
      <c r="Q1196" s="166">
        <f t="shared" si="56"/>
        <v>0</v>
      </c>
      <c r="R1196" s="169"/>
      <c r="S1196" s="169"/>
      <c r="T1196" s="169"/>
      <c r="U1196" s="169"/>
      <c r="V1196" s="166">
        <f t="shared" si="57"/>
        <v>0</v>
      </c>
      <c r="W1196" s="205"/>
      <c r="X1196" s="167"/>
    </row>
    <row r="1197" spans="8:24" s="220" customFormat="1" ht="12" hidden="1" customHeight="1">
      <c r="H1197" s="196" t="s">
        <v>3004</v>
      </c>
      <c r="I1197" s="206" t="s">
        <v>942</v>
      </c>
      <c r="J1197" s="206" t="s">
        <v>3018</v>
      </c>
      <c r="K1197" s="206" t="s">
        <v>3019</v>
      </c>
      <c r="L1197" s="206" t="s">
        <v>5</v>
      </c>
      <c r="M1197" s="157"/>
      <c r="N1197" s="165"/>
      <c r="O1197" s="169"/>
      <c r="P1197" s="197">
        <v>145782.72</v>
      </c>
      <c r="Q1197" s="166">
        <f t="shared" si="56"/>
        <v>0</v>
      </c>
      <c r="R1197" s="169"/>
      <c r="S1197" s="169"/>
      <c r="T1197" s="169"/>
      <c r="U1197" s="169"/>
      <c r="V1197" s="166">
        <f t="shared" si="57"/>
        <v>0</v>
      </c>
      <c r="W1197" s="205"/>
      <c r="X1197" s="167"/>
    </row>
    <row r="1198" spans="8:24" s="220" customFormat="1" ht="12" hidden="1" customHeight="1">
      <c r="H1198" s="196" t="s">
        <v>3005</v>
      </c>
      <c r="I1198" s="206" t="s">
        <v>943</v>
      </c>
      <c r="J1198" s="206" t="s">
        <v>3020</v>
      </c>
      <c r="K1198" s="206" t="s">
        <v>3021</v>
      </c>
      <c r="L1198" s="206" t="s">
        <v>5</v>
      </c>
      <c r="M1198" s="157"/>
      <c r="N1198" s="165"/>
      <c r="O1198" s="169"/>
      <c r="P1198" s="197">
        <v>194376.95999999999</v>
      </c>
      <c r="Q1198" s="166">
        <f t="shared" si="56"/>
        <v>0</v>
      </c>
      <c r="R1198" s="169"/>
      <c r="S1198" s="169"/>
      <c r="T1198" s="169"/>
      <c r="U1198" s="169"/>
      <c r="V1198" s="166">
        <f t="shared" si="57"/>
        <v>0</v>
      </c>
      <c r="W1198" s="205"/>
      <c r="X1198" s="167"/>
    </row>
    <row r="1199" spans="8:24" s="220" customFormat="1" ht="12" hidden="1" customHeight="1">
      <c r="H1199" s="196" t="s">
        <v>3006</v>
      </c>
      <c r="I1199" s="206" t="s">
        <v>3022</v>
      </c>
      <c r="J1199" s="206" t="s">
        <v>3023</v>
      </c>
      <c r="K1199" s="206" t="s">
        <v>3024</v>
      </c>
      <c r="L1199" s="206" t="s">
        <v>5</v>
      </c>
      <c r="M1199" s="157"/>
      <c r="N1199" s="165"/>
      <c r="O1199" s="169"/>
      <c r="P1199" s="197">
        <v>242971.2</v>
      </c>
      <c r="Q1199" s="166">
        <f t="shared" si="56"/>
        <v>0</v>
      </c>
      <c r="R1199" s="169"/>
      <c r="S1199" s="169"/>
      <c r="T1199" s="169"/>
      <c r="U1199" s="169"/>
      <c r="V1199" s="166">
        <f t="shared" si="57"/>
        <v>0</v>
      </c>
      <c r="W1199" s="205"/>
      <c r="X1199" s="167"/>
    </row>
    <row r="1200" spans="8:24" s="220" customFormat="1" ht="12" hidden="1" customHeight="1">
      <c r="H1200" s="196" t="s">
        <v>3025</v>
      </c>
      <c r="I1200" s="206" t="s">
        <v>3035</v>
      </c>
      <c r="J1200" s="206" t="s">
        <v>3036</v>
      </c>
      <c r="K1200" s="206" t="s">
        <v>3037</v>
      </c>
      <c r="L1200" s="206" t="s">
        <v>750</v>
      </c>
      <c r="M1200" s="157"/>
      <c r="N1200" s="165"/>
      <c r="O1200" s="169"/>
      <c r="P1200" s="197">
        <v>49356.61</v>
      </c>
      <c r="Q1200" s="166">
        <f t="shared" si="56"/>
        <v>0</v>
      </c>
      <c r="R1200" s="169"/>
      <c r="S1200" s="169"/>
      <c r="T1200" s="169"/>
      <c r="U1200" s="169"/>
      <c r="V1200" s="166">
        <f t="shared" si="57"/>
        <v>0</v>
      </c>
      <c r="W1200" s="205"/>
      <c r="X1200" s="167"/>
    </row>
    <row r="1201" spans="8:24" s="220" customFormat="1" ht="12" hidden="1" customHeight="1">
      <c r="H1201" s="196" t="s">
        <v>3026</v>
      </c>
      <c r="I1201" s="206" t="s">
        <v>3038</v>
      </c>
      <c r="J1201" s="206" t="s">
        <v>3039</v>
      </c>
      <c r="K1201" s="206" t="s">
        <v>3040</v>
      </c>
      <c r="L1201" s="206" t="s">
        <v>750</v>
      </c>
      <c r="M1201" s="157"/>
      <c r="N1201" s="165"/>
      <c r="O1201" s="169"/>
      <c r="P1201" s="197">
        <v>58066.6</v>
      </c>
      <c r="Q1201" s="166">
        <f t="shared" si="56"/>
        <v>0</v>
      </c>
      <c r="R1201" s="169"/>
      <c r="S1201" s="169"/>
      <c r="T1201" s="169"/>
      <c r="U1201" s="169"/>
      <c r="V1201" s="166">
        <f t="shared" si="57"/>
        <v>0</v>
      </c>
      <c r="W1201" s="205"/>
      <c r="X1201" s="167"/>
    </row>
    <row r="1202" spans="8:24" s="220" customFormat="1" ht="12" hidden="1" customHeight="1">
      <c r="H1202" s="196" t="s">
        <v>3027</v>
      </c>
      <c r="I1202" s="206" t="s">
        <v>3041</v>
      </c>
      <c r="J1202" s="206" t="s">
        <v>3042</v>
      </c>
      <c r="K1202" s="206" t="s">
        <v>3043</v>
      </c>
      <c r="L1202" s="206" t="s">
        <v>750</v>
      </c>
      <c r="M1202" s="157"/>
      <c r="N1202" s="165"/>
      <c r="O1202" s="169"/>
      <c r="P1202" s="197">
        <v>66776.59</v>
      </c>
      <c r="Q1202" s="166">
        <f t="shared" si="56"/>
        <v>0</v>
      </c>
      <c r="R1202" s="169"/>
      <c r="S1202" s="169"/>
      <c r="T1202" s="169"/>
      <c r="U1202" s="169"/>
      <c r="V1202" s="166">
        <f t="shared" si="57"/>
        <v>0</v>
      </c>
      <c r="W1202" s="205"/>
      <c r="X1202" s="167"/>
    </row>
    <row r="1203" spans="8:24" s="220" customFormat="1" ht="12" hidden="1" customHeight="1">
      <c r="H1203" s="196" t="s">
        <v>3028</v>
      </c>
      <c r="I1203" s="206" t="s">
        <v>3044</v>
      </c>
      <c r="J1203" s="206" t="s">
        <v>3045</v>
      </c>
      <c r="K1203" s="206" t="s">
        <v>3046</v>
      </c>
      <c r="L1203" s="206" t="s">
        <v>750</v>
      </c>
      <c r="M1203" s="157"/>
      <c r="N1203" s="165"/>
      <c r="O1203" s="169"/>
      <c r="P1203" s="197">
        <v>69679.92</v>
      </c>
      <c r="Q1203" s="166">
        <f t="shared" si="56"/>
        <v>0</v>
      </c>
      <c r="R1203" s="169"/>
      <c r="S1203" s="169"/>
      <c r="T1203" s="169"/>
      <c r="U1203" s="169"/>
      <c r="V1203" s="166">
        <f t="shared" si="57"/>
        <v>0</v>
      </c>
      <c r="W1203" s="205"/>
      <c r="X1203" s="167"/>
    </row>
    <row r="1204" spans="8:24" s="220" customFormat="1" ht="12" hidden="1" customHeight="1">
      <c r="H1204" s="196" t="s">
        <v>3029</v>
      </c>
      <c r="I1204" s="206" t="s">
        <v>3047</v>
      </c>
      <c r="J1204" s="206" t="s">
        <v>3048</v>
      </c>
      <c r="K1204" s="206" t="s">
        <v>3049</v>
      </c>
      <c r="L1204" s="206" t="s">
        <v>750</v>
      </c>
      <c r="M1204" s="157"/>
      <c r="N1204" s="165"/>
      <c r="O1204" s="169"/>
      <c r="P1204" s="197">
        <v>81293.240000000005</v>
      </c>
      <c r="Q1204" s="166">
        <f t="shared" si="56"/>
        <v>0</v>
      </c>
      <c r="R1204" s="169"/>
      <c r="S1204" s="169"/>
      <c r="T1204" s="169"/>
      <c r="U1204" s="169"/>
      <c r="V1204" s="166">
        <f t="shared" si="57"/>
        <v>0</v>
      </c>
      <c r="W1204" s="205"/>
      <c r="X1204" s="167"/>
    </row>
    <row r="1205" spans="8:24" s="220" customFormat="1" ht="12" hidden="1" customHeight="1">
      <c r="H1205" s="196" t="s">
        <v>3030</v>
      </c>
      <c r="I1205" s="206" t="s">
        <v>3050</v>
      </c>
      <c r="J1205" s="206" t="s">
        <v>3051</v>
      </c>
      <c r="K1205" s="206" t="s">
        <v>3052</v>
      </c>
      <c r="L1205" s="206" t="s">
        <v>750</v>
      </c>
      <c r="M1205" s="157"/>
      <c r="N1205" s="165"/>
      <c r="O1205" s="169"/>
      <c r="P1205" s="197">
        <v>87099.9</v>
      </c>
      <c r="Q1205" s="166">
        <f t="shared" si="56"/>
        <v>0</v>
      </c>
      <c r="R1205" s="169"/>
      <c r="S1205" s="169"/>
      <c r="T1205" s="169"/>
      <c r="U1205" s="169"/>
      <c r="V1205" s="166">
        <f t="shared" si="57"/>
        <v>0</v>
      </c>
      <c r="W1205" s="205"/>
      <c r="X1205" s="167"/>
    </row>
    <row r="1206" spans="8:24" s="220" customFormat="1" ht="12" hidden="1" customHeight="1">
      <c r="H1206" s="196" t="s">
        <v>3031</v>
      </c>
      <c r="I1206" s="206" t="s">
        <v>3053</v>
      </c>
      <c r="J1206" s="206" t="s">
        <v>3054</v>
      </c>
      <c r="K1206" s="206" t="s">
        <v>3055</v>
      </c>
      <c r="L1206" s="206" t="s">
        <v>750</v>
      </c>
      <c r="M1206" s="157"/>
      <c r="N1206" s="165"/>
      <c r="O1206" s="169"/>
      <c r="P1206" s="197">
        <v>98713.22</v>
      </c>
      <c r="Q1206" s="166">
        <f t="shared" si="56"/>
        <v>0</v>
      </c>
      <c r="R1206" s="169"/>
      <c r="S1206" s="169"/>
      <c r="T1206" s="169"/>
      <c r="U1206" s="169"/>
      <c r="V1206" s="166">
        <f t="shared" si="57"/>
        <v>0</v>
      </c>
      <c r="W1206" s="205"/>
      <c r="X1206" s="167"/>
    </row>
    <row r="1207" spans="8:24" s="220" customFormat="1" ht="12" hidden="1" customHeight="1">
      <c r="H1207" s="196" t="s">
        <v>3032</v>
      </c>
      <c r="I1207" s="206" t="s">
        <v>3056</v>
      </c>
      <c r="J1207" s="206" t="s">
        <v>3057</v>
      </c>
      <c r="K1207" s="206" t="s">
        <v>3058</v>
      </c>
      <c r="L1207" s="206" t="s">
        <v>750</v>
      </c>
      <c r="M1207" s="157"/>
      <c r="N1207" s="165"/>
      <c r="O1207" s="169"/>
      <c r="P1207" s="197">
        <v>119036.53</v>
      </c>
      <c r="Q1207" s="166">
        <f t="shared" si="56"/>
        <v>0</v>
      </c>
      <c r="R1207" s="169"/>
      <c r="S1207" s="169"/>
      <c r="T1207" s="169"/>
      <c r="U1207" s="169"/>
      <c r="V1207" s="166">
        <f t="shared" si="57"/>
        <v>0</v>
      </c>
      <c r="W1207" s="205"/>
      <c r="X1207" s="167"/>
    </row>
    <row r="1208" spans="8:24" s="220" customFormat="1" ht="12" hidden="1" customHeight="1">
      <c r="H1208" s="196" t="s">
        <v>3033</v>
      </c>
      <c r="I1208" s="206" t="s">
        <v>3059</v>
      </c>
      <c r="J1208" s="206" t="s">
        <v>3060</v>
      </c>
      <c r="K1208" s="206" t="s">
        <v>3061</v>
      </c>
      <c r="L1208" s="206" t="s">
        <v>750</v>
      </c>
      <c r="M1208" s="157"/>
      <c r="N1208" s="165"/>
      <c r="O1208" s="169"/>
      <c r="P1208" s="197">
        <v>136456.51</v>
      </c>
      <c r="Q1208" s="166">
        <f t="shared" si="56"/>
        <v>0</v>
      </c>
      <c r="R1208" s="169"/>
      <c r="S1208" s="169"/>
      <c r="T1208" s="169"/>
      <c r="U1208" s="169"/>
      <c r="V1208" s="166">
        <f t="shared" si="57"/>
        <v>0</v>
      </c>
      <c r="W1208" s="205"/>
      <c r="X1208" s="167"/>
    </row>
    <row r="1209" spans="8:24" s="220" customFormat="1" ht="12" hidden="1" customHeight="1">
      <c r="H1209" s="196" t="s">
        <v>3034</v>
      </c>
      <c r="I1209" s="206" t="s">
        <v>3062</v>
      </c>
      <c r="J1209" s="206" t="s">
        <v>3063</v>
      </c>
      <c r="K1209" s="206" t="s">
        <v>3064</v>
      </c>
      <c r="L1209" s="206" t="s">
        <v>750</v>
      </c>
      <c r="M1209" s="157"/>
      <c r="N1209" s="165"/>
      <c r="O1209" s="169"/>
      <c r="P1209" s="197">
        <v>148069.82999999999</v>
      </c>
      <c r="Q1209" s="166">
        <f t="shared" si="56"/>
        <v>0</v>
      </c>
      <c r="R1209" s="169"/>
      <c r="S1209" s="169"/>
      <c r="T1209" s="169"/>
      <c r="U1209" s="169"/>
      <c r="V1209" s="166">
        <f t="shared" si="57"/>
        <v>0</v>
      </c>
      <c r="W1209" s="205"/>
      <c r="X1209" s="167"/>
    </row>
    <row r="1210" spans="8:24" s="220" customFormat="1" ht="12" hidden="1" customHeight="1">
      <c r="H1210" s="196" t="s">
        <v>3065</v>
      </c>
      <c r="I1210" s="206" t="s">
        <v>956</v>
      </c>
      <c r="J1210" s="206" t="s">
        <v>3075</v>
      </c>
      <c r="K1210" s="206" t="s">
        <v>3037</v>
      </c>
      <c r="L1210" s="206" t="s">
        <v>750</v>
      </c>
      <c r="M1210" s="157"/>
      <c r="N1210" s="165"/>
      <c r="O1210" s="169"/>
      <c r="P1210" s="197">
        <v>78389.91</v>
      </c>
      <c r="Q1210" s="166">
        <f t="shared" si="56"/>
        <v>0</v>
      </c>
      <c r="R1210" s="169"/>
      <c r="S1210" s="169"/>
      <c r="T1210" s="169"/>
      <c r="U1210" s="169"/>
      <c r="V1210" s="166">
        <f t="shared" si="57"/>
        <v>0</v>
      </c>
      <c r="W1210" s="205"/>
      <c r="X1210" s="167"/>
    </row>
    <row r="1211" spans="8:24" s="220" customFormat="1" ht="12" hidden="1" customHeight="1">
      <c r="H1211" s="196" t="s">
        <v>3066</v>
      </c>
      <c r="I1211" s="206" t="s">
        <v>957</v>
      </c>
      <c r="J1211" s="206" t="s">
        <v>3076</v>
      </c>
      <c r="K1211" s="206" t="s">
        <v>3040</v>
      </c>
      <c r="L1211" s="206" t="s">
        <v>750</v>
      </c>
      <c r="M1211" s="157"/>
      <c r="N1211" s="165"/>
      <c r="O1211" s="169"/>
      <c r="P1211" s="197">
        <v>95809.89</v>
      </c>
      <c r="Q1211" s="166">
        <f t="shared" si="56"/>
        <v>0</v>
      </c>
      <c r="R1211" s="169"/>
      <c r="S1211" s="169"/>
      <c r="T1211" s="169"/>
      <c r="U1211" s="169"/>
      <c r="V1211" s="166">
        <f t="shared" si="57"/>
        <v>0</v>
      </c>
      <c r="W1211" s="205"/>
      <c r="X1211" s="167"/>
    </row>
    <row r="1212" spans="8:24" s="220" customFormat="1" ht="12" hidden="1" customHeight="1">
      <c r="H1212" s="196" t="s">
        <v>3067</v>
      </c>
      <c r="I1212" s="206" t="s">
        <v>958</v>
      </c>
      <c r="J1212" s="206" t="s">
        <v>3077</v>
      </c>
      <c r="K1212" s="206" t="s">
        <v>3043</v>
      </c>
      <c r="L1212" s="206" t="s">
        <v>750</v>
      </c>
      <c r="M1212" s="157"/>
      <c r="N1212" s="165"/>
      <c r="O1212" s="169"/>
      <c r="P1212" s="197">
        <v>104519.88</v>
      </c>
      <c r="Q1212" s="166">
        <f t="shared" si="56"/>
        <v>0</v>
      </c>
      <c r="R1212" s="169"/>
      <c r="S1212" s="169"/>
      <c r="T1212" s="169"/>
      <c r="U1212" s="169"/>
      <c r="V1212" s="166">
        <f t="shared" si="57"/>
        <v>0</v>
      </c>
      <c r="W1212" s="205"/>
      <c r="X1212" s="167"/>
    </row>
    <row r="1213" spans="8:24" s="220" customFormat="1" ht="12" hidden="1" customHeight="1">
      <c r="H1213" s="196" t="s">
        <v>3068</v>
      </c>
      <c r="I1213" s="206" t="s">
        <v>959</v>
      </c>
      <c r="J1213" s="206" t="s">
        <v>3078</v>
      </c>
      <c r="K1213" s="206" t="s">
        <v>3046</v>
      </c>
      <c r="L1213" s="206" t="s">
        <v>750</v>
      </c>
      <c r="M1213" s="157"/>
      <c r="N1213" s="165"/>
      <c r="O1213" s="169"/>
      <c r="P1213" s="197">
        <v>116133.2</v>
      </c>
      <c r="Q1213" s="166">
        <f t="shared" si="56"/>
        <v>0</v>
      </c>
      <c r="R1213" s="169"/>
      <c r="S1213" s="169"/>
      <c r="T1213" s="169"/>
      <c r="U1213" s="169"/>
      <c r="V1213" s="166">
        <f t="shared" si="57"/>
        <v>0</v>
      </c>
      <c r="W1213" s="205"/>
      <c r="X1213" s="167"/>
    </row>
    <row r="1214" spans="8:24" s="220" customFormat="1" ht="12" hidden="1" customHeight="1">
      <c r="H1214" s="196" t="s">
        <v>3069</v>
      </c>
      <c r="I1214" s="206" t="s">
        <v>960</v>
      </c>
      <c r="J1214" s="206" t="s">
        <v>3079</v>
      </c>
      <c r="K1214" s="206" t="s">
        <v>3049</v>
      </c>
      <c r="L1214" s="206" t="s">
        <v>750</v>
      </c>
      <c r="M1214" s="157"/>
      <c r="N1214" s="165"/>
      <c r="O1214" s="169"/>
      <c r="P1214" s="197">
        <v>136456.51</v>
      </c>
      <c r="Q1214" s="166">
        <f t="shared" si="56"/>
        <v>0</v>
      </c>
      <c r="R1214" s="169"/>
      <c r="S1214" s="169"/>
      <c r="T1214" s="169"/>
      <c r="U1214" s="169"/>
      <c r="V1214" s="166">
        <f t="shared" si="57"/>
        <v>0</v>
      </c>
      <c r="W1214" s="205"/>
      <c r="X1214" s="167"/>
    </row>
    <row r="1215" spans="8:24" s="220" customFormat="1" ht="12" hidden="1" customHeight="1">
      <c r="H1215" s="196" t="s">
        <v>3070</v>
      </c>
      <c r="I1215" s="206" t="s">
        <v>961</v>
      </c>
      <c r="J1215" s="206" t="s">
        <v>3080</v>
      </c>
      <c r="K1215" s="206" t="s">
        <v>3052</v>
      </c>
      <c r="L1215" s="206" t="s">
        <v>750</v>
      </c>
      <c r="M1215" s="157"/>
      <c r="N1215" s="165"/>
      <c r="O1215" s="169"/>
      <c r="P1215" s="197">
        <v>145166.5</v>
      </c>
      <c r="Q1215" s="166">
        <f t="shared" si="56"/>
        <v>0</v>
      </c>
      <c r="R1215" s="169"/>
      <c r="S1215" s="169"/>
      <c r="T1215" s="169"/>
      <c r="U1215" s="169"/>
      <c r="V1215" s="166">
        <f t="shared" si="57"/>
        <v>0</v>
      </c>
      <c r="W1215" s="205"/>
      <c r="X1215" s="167"/>
    </row>
    <row r="1216" spans="8:24" s="220" customFormat="1" ht="12" hidden="1" customHeight="1">
      <c r="H1216" s="196" t="s">
        <v>3071</v>
      </c>
      <c r="I1216" s="206" t="s">
        <v>962</v>
      </c>
      <c r="J1216" s="206" t="s">
        <v>3081</v>
      </c>
      <c r="K1216" s="206" t="s">
        <v>3055</v>
      </c>
      <c r="L1216" s="206" t="s">
        <v>750</v>
      </c>
      <c r="M1216" s="157"/>
      <c r="N1216" s="165"/>
      <c r="O1216" s="169"/>
      <c r="P1216" s="197">
        <v>165489.81</v>
      </c>
      <c r="Q1216" s="166">
        <f t="shared" si="56"/>
        <v>0</v>
      </c>
      <c r="R1216" s="169"/>
      <c r="S1216" s="169"/>
      <c r="T1216" s="169"/>
      <c r="U1216" s="169"/>
      <c r="V1216" s="166">
        <f t="shared" si="57"/>
        <v>0</v>
      </c>
      <c r="W1216" s="205"/>
      <c r="X1216" s="167"/>
    </row>
    <row r="1217" spans="8:40" s="220" customFormat="1" ht="12" hidden="1" customHeight="1">
      <c r="H1217" s="196" t="s">
        <v>3072</v>
      </c>
      <c r="I1217" s="206" t="s">
        <v>963</v>
      </c>
      <c r="J1217" s="206" t="s">
        <v>3082</v>
      </c>
      <c r="K1217" s="206" t="s">
        <v>3058</v>
      </c>
      <c r="L1217" s="206" t="s">
        <v>750</v>
      </c>
      <c r="M1217" s="157"/>
      <c r="N1217" s="165"/>
      <c r="O1217" s="169"/>
      <c r="P1217" s="197">
        <v>197426.44</v>
      </c>
      <c r="Q1217" s="166">
        <f t="shared" si="56"/>
        <v>0</v>
      </c>
      <c r="R1217" s="169"/>
      <c r="S1217" s="169"/>
      <c r="T1217" s="169"/>
      <c r="U1217" s="169"/>
      <c r="V1217" s="166">
        <f t="shared" si="57"/>
        <v>0</v>
      </c>
      <c r="W1217" s="205"/>
      <c r="X1217" s="167"/>
    </row>
    <row r="1218" spans="8:40" s="220" customFormat="1" ht="12" hidden="1" customHeight="1">
      <c r="H1218" s="196" t="s">
        <v>3073</v>
      </c>
      <c r="I1218" s="206" t="s">
        <v>964</v>
      </c>
      <c r="J1218" s="206" t="s">
        <v>3083</v>
      </c>
      <c r="K1218" s="206" t="s">
        <v>3061</v>
      </c>
      <c r="L1218" s="206" t="s">
        <v>750</v>
      </c>
      <c r="M1218" s="157"/>
      <c r="N1218" s="165"/>
      <c r="O1218" s="169"/>
      <c r="P1218" s="197">
        <v>223556.41</v>
      </c>
      <c r="Q1218" s="166">
        <f t="shared" si="56"/>
        <v>0</v>
      </c>
      <c r="R1218" s="169"/>
      <c r="S1218" s="169"/>
      <c r="T1218" s="169"/>
      <c r="U1218" s="169"/>
      <c r="V1218" s="166">
        <f t="shared" si="57"/>
        <v>0</v>
      </c>
      <c r="W1218" s="205"/>
      <c r="X1218" s="167"/>
    </row>
    <row r="1219" spans="8:40" s="220" customFormat="1" ht="12" hidden="1" customHeight="1">
      <c r="H1219" s="196" t="s">
        <v>3074</v>
      </c>
      <c r="I1219" s="206" t="s">
        <v>965</v>
      </c>
      <c r="J1219" s="206" t="s">
        <v>3084</v>
      </c>
      <c r="K1219" s="206" t="s">
        <v>3064</v>
      </c>
      <c r="L1219" s="206" t="s">
        <v>750</v>
      </c>
      <c r="M1219" s="157"/>
      <c r="N1219" s="165"/>
      <c r="O1219" s="169"/>
      <c r="P1219" s="197">
        <v>243879.72</v>
      </c>
      <c r="Q1219" s="166">
        <f t="shared" si="56"/>
        <v>0</v>
      </c>
      <c r="R1219" s="169"/>
      <c r="S1219" s="169"/>
      <c r="T1219" s="169"/>
      <c r="U1219" s="169"/>
      <c r="V1219" s="166">
        <f t="shared" si="57"/>
        <v>0</v>
      </c>
      <c r="W1219" s="205"/>
      <c r="X1219" s="167"/>
    </row>
    <row r="1220" spans="8:40" s="220" customFormat="1" ht="12" hidden="1" customHeight="1">
      <c r="H1220" s="168" t="s">
        <v>3085</v>
      </c>
      <c r="I1220" s="206" t="s">
        <v>1171</v>
      </c>
      <c r="J1220" s="206" t="s">
        <v>3087</v>
      </c>
      <c r="K1220" s="206" t="s">
        <v>3088</v>
      </c>
      <c r="L1220" s="206" t="s">
        <v>747</v>
      </c>
      <c r="M1220" s="157"/>
      <c r="N1220" s="165"/>
      <c r="O1220" s="169"/>
      <c r="P1220" s="169">
        <v>1502550.1</v>
      </c>
      <c r="Q1220" s="166">
        <f t="shared" si="56"/>
        <v>0</v>
      </c>
      <c r="R1220" s="169"/>
      <c r="S1220" s="169"/>
      <c r="T1220" s="169"/>
      <c r="U1220" s="169"/>
      <c r="V1220" s="166">
        <f t="shared" si="57"/>
        <v>0</v>
      </c>
      <c r="W1220" s="205"/>
      <c r="X1220" s="167"/>
    </row>
    <row r="1221" spans="8:40" s="220" customFormat="1" ht="12" hidden="1" customHeight="1">
      <c r="H1221" s="168" t="s">
        <v>3086</v>
      </c>
      <c r="I1221" s="206" t="s">
        <v>3089</v>
      </c>
      <c r="J1221" s="206" t="s">
        <v>3090</v>
      </c>
      <c r="K1221" s="206" t="s">
        <v>3091</v>
      </c>
      <c r="L1221" s="206" t="s">
        <v>747</v>
      </c>
      <c r="M1221" s="157"/>
      <c r="N1221" s="165"/>
      <c r="O1221" s="169"/>
      <c r="P1221" s="169">
        <v>1912023.5</v>
      </c>
      <c r="Q1221" s="166">
        <f t="shared" si="56"/>
        <v>0</v>
      </c>
      <c r="R1221" s="169"/>
      <c r="S1221" s="169"/>
      <c r="T1221" s="169"/>
      <c r="U1221" s="169"/>
      <c r="V1221" s="166">
        <f t="shared" si="57"/>
        <v>0</v>
      </c>
      <c r="W1221" s="205"/>
      <c r="X1221" s="167"/>
    </row>
    <row r="1222" spans="8:40" s="220" customFormat="1" ht="12" hidden="1" customHeight="1">
      <c r="H1222" s="168" t="s">
        <v>3092</v>
      </c>
      <c r="I1222" s="206" t="s">
        <v>3103</v>
      </c>
      <c r="J1222" s="206" t="s">
        <v>3104</v>
      </c>
      <c r="K1222" s="206" t="s">
        <v>3105</v>
      </c>
      <c r="L1222" s="206" t="s">
        <v>92</v>
      </c>
      <c r="M1222" s="157"/>
      <c r="N1222" s="165"/>
      <c r="O1222" s="169"/>
      <c r="P1222" s="169">
        <v>17547.919999999998</v>
      </c>
      <c r="Q1222" s="166">
        <f t="shared" si="56"/>
        <v>0</v>
      </c>
      <c r="R1222" s="169"/>
      <c r="S1222" s="169"/>
      <c r="T1222" s="169"/>
      <c r="U1222" s="169"/>
      <c r="V1222" s="166">
        <f t="shared" ref="V1222:V1285" si="58">SUM(O1222+Q1222)+S1222+U1222</f>
        <v>0</v>
      </c>
      <c r="W1222" s="205"/>
      <c r="X1222" s="167"/>
    </row>
    <row r="1223" spans="8:40" s="220" customFormat="1" ht="12" hidden="1" customHeight="1">
      <c r="H1223" s="168" t="s">
        <v>3093</v>
      </c>
      <c r="I1223" s="206" t="s">
        <v>1133</v>
      </c>
      <c r="J1223" s="206" t="s">
        <v>3106</v>
      </c>
      <c r="K1223" s="206" t="s">
        <v>3107</v>
      </c>
      <c r="L1223" s="206" t="s">
        <v>92</v>
      </c>
      <c r="M1223" s="157"/>
      <c r="N1223" s="165"/>
      <c r="O1223" s="169"/>
      <c r="P1223" s="169">
        <v>21597.439999999999</v>
      </c>
      <c r="Q1223" s="166">
        <f t="shared" si="56"/>
        <v>0</v>
      </c>
      <c r="R1223" s="169"/>
      <c r="S1223" s="169"/>
      <c r="T1223" s="169"/>
      <c r="U1223" s="169"/>
      <c r="V1223" s="166">
        <f t="shared" si="58"/>
        <v>0</v>
      </c>
      <c r="W1223" s="205"/>
      <c r="X1223" s="167"/>
    </row>
    <row r="1224" spans="8:40" s="220" customFormat="1" ht="12" hidden="1" customHeight="1">
      <c r="H1224" s="168" t="s">
        <v>3094</v>
      </c>
      <c r="I1224" s="206" t="s">
        <v>3108</v>
      </c>
      <c r="J1224" s="206" t="s">
        <v>3109</v>
      </c>
      <c r="K1224" s="206" t="s">
        <v>3110</v>
      </c>
      <c r="L1224" s="206" t="s">
        <v>92</v>
      </c>
      <c r="M1224" s="157"/>
      <c r="N1224" s="165"/>
      <c r="O1224" s="169"/>
      <c r="P1224" s="169">
        <v>22947.279999999999</v>
      </c>
      <c r="Q1224" s="166">
        <f t="shared" si="56"/>
        <v>0</v>
      </c>
      <c r="R1224" s="169"/>
      <c r="S1224" s="169"/>
      <c r="T1224" s="169"/>
      <c r="U1224" s="169"/>
      <c r="V1224" s="166">
        <f t="shared" si="58"/>
        <v>0</v>
      </c>
      <c r="W1224" s="205"/>
      <c r="X1224" s="167"/>
    </row>
    <row r="1225" spans="8:40" s="220" customFormat="1" ht="12" hidden="1" customHeight="1">
      <c r="H1225" s="168" t="s">
        <v>3095</v>
      </c>
      <c r="I1225" s="206" t="s">
        <v>3111</v>
      </c>
      <c r="J1225" s="206" t="s">
        <v>3112</v>
      </c>
      <c r="K1225" s="206" t="s">
        <v>3113</v>
      </c>
      <c r="L1225" s="206" t="s">
        <v>92</v>
      </c>
      <c r="M1225" s="157"/>
      <c r="N1225" s="165"/>
      <c r="O1225" s="169"/>
      <c r="P1225" s="169">
        <v>29696.48</v>
      </c>
      <c r="Q1225" s="166">
        <f t="shared" si="56"/>
        <v>0</v>
      </c>
      <c r="R1225" s="169"/>
      <c r="S1225" s="169"/>
      <c r="T1225" s="169"/>
      <c r="U1225" s="169"/>
      <c r="V1225" s="166">
        <f t="shared" si="58"/>
        <v>0</v>
      </c>
      <c r="W1225" s="205"/>
      <c r="X1225" s="167"/>
    </row>
    <row r="1226" spans="8:40" s="220" customFormat="1" ht="12" hidden="1" customHeight="1">
      <c r="H1226" s="168" t="s">
        <v>3096</v>
      </c>
      <c r="I1226" s="206" t="s">
        <v>3114</v>
      </c>
      <c r="J1226" s="206" t="s">
        <v>3115</v>
      </c>
      <c r="K1226" s="206" t="s">
        <v>3116</v>
      </c>
      <c r="L1226" s="206" t="s">
        <v>92</v>
      </c>
      <c r="M1226" s="157"/>
      <c r="N1226" s="165"/>
      <c r="O1226" s="169"/>
      <c r="P1226" s="169">
        <v>25916.928</v>
      </c>
      <c r="Q1226" s="166">
        <f t="shared" si="56"/>
        <v>0</v>
      </c>
      <c r="R1226" s="169"/>
      <c r="S1226" s="169"/>
      <c r="T1226" s="169"/>
      <c r="U1226" s="169"/>
      <c r="V1226" s="166">
        <f t="shared" si="58"/>
        <v>0</v>
      </c>
      <c r="W1226" s="205"/>
      <c r="X1226" s="167"/>
    </row>
    <row r="1227" spans="8:40" s="220" customFormat="1" ht="12" hidden="1" customHeight="1">
      <c r="H1227" s="168" t="s">
        <v>3097</v>
      </c>
      <c r="I1227" s="206" t="s">
        <v>3117</v>
      </c>
      <c r="J1227" s="206" t="s">
        <v>3118</v>
      </c>
      <c r="K1227" s="206" t="s">
        <v>3119</v>
      </c>
      <c r="L1227" s="206" t="s">
        <v>92</v>
      </c>
      <c r="M1227" s="157"/>
      <c r="N1227" s="165"/>
      <c r="O1227" s="169"/>
      <c r="P1227" s="169">
        <v>25916.928</v>
      </c>
      <c r="Q1227" s="166">
        <f t="shared" si="56"/>
        <v>0</v>
      </c>
      <c r="R1227" s="169"/>
      <c r="S1227" s="169"/>
      <c r="T1227" s="169"/>
      <c r="U1227" s="169"/>
      <c r="V1227" s="166">
        <f t="shared" si="58"/>
        <v>0</v>
      </c>
      <c r="W1227" s="205"/>
      <c r="X1227" s="167"/>
    </row>
    <row r="1228" spans="8:40" s="220" customFormat="1" ht="12" hidden="1" customHeight="1">
      <c r="H1228" s="168" t="s">
        <v>3098</v>
      </c>
      <c r="I1228" s="206" t="s">
        <v>3120</v>
      </c>
      <c r="J1228" s="206" t="s">
        <v>3121</v>
      </c>
      <c r="K1228" s="206" t="s">
        <v>3122</v>
      </c>
      <c r="L1228" s="206" t="s">
        <v>92</v>
      </c>
      <c r="M1228" s="157"/>
      <c r="N1228" s="165"/>
      <c r="O1228" s="169"/>
      <c r="P1228" s="169">
        <v>25916.928</v>
      </c>
      <c r="Q1228" s="166">
        <f t="shared" si="56"/>
        <v>0</v>
      </c>
      <c r="R1228" s="169"/>
      <c r="S1228" s="169"/>
      <c r="T1228" s="169"/>
      <c r="U1228" s="169"/>
      <c r="V1228" s="166">
        <f t="shared" si="58"/>
        <v>0</v>
      </c>
      <c r="W1228" s="205"/>
      <c r="X1228" s="167"/>
    </row>
    <row r="1229" spans="8:40" s="220" customFormat="1" ht="12" hidden="1" customHeight="1">
      <c r="H1229" s="168" t="s">
        <v>3099</v>
      </c>
      <c r="I1229" s="206" t="s">
        <v>3123</v>
      </c>
      <c r="J1229" s="206" t="s">
        <v>3124</v>
      </c>
      <c r="K1229" s="206" t="s">
        <v>3105</v>
      </c>
      <c r="L1229" s="206" t="s">
        <v>92</v>
      </c>
      <c r="M1229" s="157"/>
      <c r="N1229" s="165"/>
      <c r="O1229" s="169"/>
      <c r="P1229" s="169">
        <v>25646.959999999999</v>
      </c>
      <c r="Q1229" s="166">
        <f t="shared" si="56"/>
        <v>0</v>
      </c>
      <c r="R1229" s="169"/>
      <c r="S1229" s="169"/>
      <c r="T1229" s="169"/>
      <c r="U1229" s="169"/>
      <c r="V1229" s="166">
        <f t="shared" si="58"/>
        <v>0</v>
      </c>
      <c r="W1229" s="205"/>
      <c r="X1229" s="167"/>
      <c r="Y1229" s="190"/>
      <c r="Z1229" s="190"/>
      <c r="AA1229" s="190"/>
      <c r="AB1229" s="190"/>
      <c r="AC1229" s="190"/>
      <c r="AD1229" s="190"/>
      <c r="AE1229" s="190"/>
      <c r="AF1229" s="190"/>
      <c r="AG1229" s="190"/>
      <c r="AH1229" s="190"/>
      <c r="AI1229" s="190"/>
      <c r="AJ1229" s="190"/>
      <c r="AK1229" s="190"/>
      <c r="AL1229" s="190"/>
      <c r="AM1229" s="190"/>
      <c r="AN1229" s="190"/>
    </row>
    <row r="1230" spans="8:40" s="220" customFormat="1" ht="12" hidden="1" customHeight="1">
      <c r="H1230" s="168" t="s">
        <v>3100</v>
      </c>
      <c r="I1230" s="206" t="s">
        <v>1135</v>
      </c>
      <c r="J1230" s="206" t="s">
        <v>3125</v>
      </c>
      <c r="K1230" s="206" t="s">
        <v>3113</v>
      </c>
      <c r="L1230" s="206" t="s">
        <v>92</v>
      </c>
      <c r="M1230" s="157"/>
      <c r="N1230" s="165"/>
      <c r="O1230" s="169"/>
      <c r="P1230" s="169">
        <v>39145.360000000001</v>
      </c>
      <c r="Q1230" s="166">
        <f t="shared" si="56"/>
        <v>0</v>
      </c>
      <c r="R1230" s="169"/>
      <c r="S1230" s="169"/>
      <c r="T1230" s="169"/>
      <c r="U1230" s="169"/>
      <c r="V1230" s="166">
        <f t="shared" si="58"/>
        <v>0</v>
      </c>
      <c r="W1230" s="205"/>
      <c r="X1230" s="167"/>
      <c r="Y1230" s="190"/>
      <c r="Z1230" s="190"/>
      <c r="AA1230" s="190"/>
      <c r="AB1230" s="190"/>
      <c r="AC1230" s="190"/>
      <c r="AD1230" s="190"/>
      <c r="AE1230" s="190"/>
      <c r="AF1230" s="190"/>
      <c r="AG1230" s="190"/>
      <c r="AH1230" s="190"/>
      <c r="AI1230" s="190"/>
      <c r="AJ1230" s="190"/>
      <c r="AK1230" s="190"/>
      <c r="AL1230" s="190"/>
      <c r="AM1230" s="190"/>
      <c r="AN1230" s="190"/>
    </row>
    <row r="1231" spans="8:40" s="220" customFormat="1" ht="12" hidden="1" customHeight="1">
      <c r="H1231" s="168" t="s">
        <v>3101</v>
      </c>
      <c r="I1231" s="206" t="s">
        <v>3126</v>
      </c>
      <c r="J1231" s="206" t="s">
        <v>3127</v>
      </c>
      <c r="K1231" s="206" t="s">
        <v>3105</v>
      </c>
      <c r="L1231" s="206" t="s">
        <v>92</v>
      </c>
      <c r="M1231" s="157"/>
      <c r="N1231" s="165"/>
      <c r="O1231" s="169"/>
      <c r="P1231" s="169">
        <v>26996.799999999999</v>
      </c>
      <c r="Q1231" s="166">
        <f t="shared" si="56"/>
        <v>0</v>
      </c>
      <c r="R1231" s="169"/>
      <c r="S1231" s="169"/>
      <c r="T1231" s="169"/>
      <c r="U1231" s="169"/>
      <c r="V1231" s="166">
        <f t="shared" si="58"/>
        <v>0</v>
      </c>
      <c r="W1231" s="205"/>
      <c r="X1231" s="167"/>
      <c r="Y1231" s="190"/>
      <c r="Z1231" s="190"/>
      <c r="AA1231" s="190"/>
      <c r="AB1231" s="190"/>
      <c r="AC1231" s="190"/>
      <c r="AD1231" s="190"/>
      <c r="AE1231" s="190"/>
      <c r="AF1231" s="190"/>
      <c r="AG1231" s="190"/>
      <c r="AH1231" s="190"/>
      <c r="AI1231" s="190"/>
      <c r="AJ1231" s="190"/>
      <c r="AK1231" s="190"/>
      <c r="AL1231" s="190"/>
      <c r="AM1231" s="190"/>
      <c r="AN1231" s="190"/>
    </row>
    <row r="1232" spans="8:40" s="220" customFormat="1" ht="12" hidden="1" customHeight="1">
      <c r="H1232" s="168" t="s">
        <v>3102</v>
      </c>
      <c r="I1232" s="206" t="s">
        <v>1134</v>
      </c>
      <c r="J1232" s="206" t="s">
        <v>3128</v>
      </c>
      <c r="K1232" s="206" t="s">
        <v>3113</v>
      </c>
      <c r="L1232" s="206" t="s">
        <v>92</v>
      </c>
      <c r="M1232" s="157"/>
      <c r="N1232" s="165"/>
      <c r="O1232" s="169"/>
      <c r="P1232" s="169">
        <v>40495.199999999997</v>
      </c>
      <c r="Q1232" s="166">
        <f t="shared" si="56"/>
        <v>0</v>
      </c>
      <c r="R1232" s="169"/>
      <c r="S1232" s="169"/>
      <c r="T1232" s="169"/>
      <c r="U1232" s="169"/>
      <c r="V1232" s="166">
        <f t="shared" si="58"/>
        <v>0</v>
      </c>
      <c r="W1232" s="205"/>
      <c r="X1232" s="167"/>
      <c r="Y1232" s="190"/>
      <c r="Z1232" s="190"/>
      <c r="AA1232" s="190"/>
      <c r="AB1232" s="190"/>
      <c r="AC1232" s="190"/>
      <c r="AD1232" s="190"/>
      <c r="AE1232" s="190"/>
      <c r="AF1232" s="190"/>
      <c r="AG1232" s="190"/>
      <c r="AH1232" s="190"/>
      <c r="AI1232" s="190"/>
      <c r="AJ1232" s="190"/>
      <c r="AK1232" s="190"/>
      <c r="AL1232" s="190"/>
      <c r="AM1232" s="190"/>
      <c r="AN1232" s="190"/>
    </row>
    <row r="1233" spans="8:40" s="220" customFormat="1" ht="12" hidden="1" customHeight="1">
      <c r="H1233" s="168" t="s">
        <v>3129</v>
      </c>
      <c r="I1233" s="206" t="s">
        <v>1115</v>
      </c>
      <c r="J1233" s="206" t="s">
        <v>3145</v>
      </c>
      <c r="K1233" s="207" t="s">
        <v>5144</v>
      </c>
      <c r="L1233" s="206" t="s">
        <v>92</v>
      </c>
      <c r="M1233" s="157"/>
      <c r="N1233" s="165"/>
      <c r="O1233" s="169"/>
      <c r="P1233" s="169">
        <v>80990.399999999994</v>
      </c>
      <c r="Q1233" s="166">
        <f t="shared" si="56"/>
        <v>0</v>
      </c>
      <c r="R1233" s="169"/>
      <c r="S1233" s="169"/>
      <c r="T1233" s="169"/>
      <c r="U1233" s="169"/>
      <c r="V1233" s="166">
        <f t="shared" si="58"/>
        <v>0</v>
      </c>
      <c r="W1233" s="205"/>
      <c r="X1233" s="167"/>
      <c r="Y1233" s="190"/>
      <c r="Z1233" s="190"/>
      <c r="AA1233" s="190"/>
      <c r="AB1233" s="190"/>
      <c r="AC1233" s="190"/>
      <c r="AD1233" s="190"/>
      <c r="AE1233" s="190"/>
      <c r="AF1233" s="190"/>
      <c r="AG1233" s="190"/>
      <c r="AH1233" s="190"/>
      <c r="AI1233" s="190"/>
      <c r="AJ1233" s="190"/>
      <c r="AK1233" s="190"/>
      <c r="AL1233" s="190"/>
      <c r="AM1233" s="190"/>
      <c r="AN1233" s="190"/>
    </row>
    <row r="1234" spans="8:40" s="220" customFormat="1" ht="12" hidden="1" customHeight="1">
      <c r="H1234" s="168" t="s">
        <v>3130</v>
      </c>
      <c r="I1234" s="206" t="s">
        <v>1116</v>
      </c>
      <c r="J1234" s="206" t="s">
        <v>3146</v>
      </c>
      <c r="K1234" s="207" t="s">
        <v>5145</v>
      </c>
      <c r="L1234" s="206" t="s">
        <v>92</v>
      </c>
      <c r="M1234" s="157"/>
      <c r="N1234" s="165"/>
      <c r="O1234" s="169"/>
      <c r="P1234" s="169">
        <v>121485.6</v>
      </c>
      <c r="Q1234" s="166">
        <f t="shared" si="56"/>
        <v>0</v>
      </c>
      <c r="R1234" s="169"/>
      <c r="S1234" s="169"/>
      <c r="T1234" s="169"/>
      <c r="U1234" s="169"/>
      <c r="V1234" s="166">
        <f t="shared" si="58"/>
        <v>0</v>
      </c>
      <c r="W1234" s="205"/>
      <c r="X1234" s="167"/>
      <c r="Y1234" s="190"/>
      <c r="Z1234" s="190"/>
      <c r="AA1234" s="190"/>
      <c r="AB1234" s="190"/>
      <c r="AC1234" s="190"/>
      <c r="AD1234" s="190"/>
      <c r="AE1234" s="190"/>
      <c r="AF1234" s="190"/>
      <c r="AG1234" s="190"/>
      <c r="AH1234" s="190"/>
      <c r="AI1234" s="190"/>
      <c r="AJ1234" s="190"/>
      <c r="AK1234" s="190"/>
      <c r="AL1234" s="190"/>
      <c r="AM1234" s="190"/>
      <c r="AN1234" s="190"/>
    </row>
    <row r="1235" spans="8:40" s="220" customFormat="1" ht="12" hidden="1" customHeight="1">
      <c r="H1235" s="168" t="s">
        <v>3131</v>
      </c>
      <c r="I1235" s="206" t="s">
        <v>1117</v>
      </c>
      <c r="J1235" s="206" t="s">
        <v>3147</v>
      </c>
      <c r="K1235" s="207" t="s">
        <v>5146</v>
      </c>
      <c r="L1235" s="206" t="s">
        <v>92</v>
      </c>
      <c r="M1235" s="157"/>
      <c r="N1235" s="165"/>
      <c r="O1235" s="169"/>
      <c r="P1235" s="169">
        <v>161980.79999999999</v>
      </c>
      <c r="Q1235" s="166">
        <f t="shared" si="56"/>
        <v>0</v>
      </c>
      <c r="R1235" s="169"/>
      <c r="S1235" s="169"/>
      <c r="T1235" s="169"/>
      <c r="U1235" s="169"/>
      <c r="V1235" s="166">
        <f t="shared" si="58"/>
        <v>0</v>
      </c>
      <c r="W1235" s="205"/>
      <c r="X1235" s="167"/>
      <c r="Y1235" s="190"/>
      <c r="Z1235" s="190"/>
      <c r="AA1235" s="190"/>
      <c r="AB1235" s="190"/>
      <c r="AC1235" s="190"/>
      <c r="AD1235" s="190"/>
      <c r="AE1235" s="190"/>
      <c r="AF1235" s="190"/>
      <c r="AG1235" s="190"/>
      <c r="AH1235" s="190"/>
      <c r="AI1235" s="190"/>
      <c r="AJ1235" s="190"/>
      <c r="AK1235" s="190"/>
      <c r="AL1235" s="190"/>
      <c r="AM1235" s="190"/>
      <c r="AN1235" s="190"/>
    </row>
    <row r="1236" spans="8:40" s="220" customFormat="1" ht="12" hidden="1" customHeight="1">
      <c r="H1236" s="168" t="s">
        <v>3132</v>
      </c>
      <c r="I1236" s="206" t="s">
        <v>1118</v>
      </c>
      <c r="J1236" s="206" t="s">
        <v>3148</v>
      </c>
      <c r="K1236" s="207" t="s">
        <v>5147</v>
      </c>
      <c r="L1236" s="206" t="s">
        <v>92</v>
      </c>
      <c r="M1236" s="157"/>
      <c r="N1236" s="165"/>
      <c r="O1236" s="169"/>
      <c r="P1236" s="169">
        <v>215974.39999999999</v>
      </c>
      <c r="Q1236" s="166">
        <f t="shared" si="56"/>
        <v>0</v>
      </c>
      <c r="R1236" s="169"/>
      <c r="S1236" s="169"/>
      <c r="T1236" s="169"/>
      <c r="U1236" s="169"/>
      <c r="V1236" s="166">
        <f t="shared" si="58"/>
        <v>0</v>
      </c>
      <c r="W1236" s="205"/>
      <c r="X1236" s="167"/>
      <c r="Y1236" s="190"/>
      <c r="Z1236" s="190"/>
      <c r="AA1236" s="190"/>
      <c r="AB1236" s="190"/>
      <c r="AC1236" s="190"/>
      <c r="AD1236" s="190"/>
      <c r="AE1236" s="190"/>
      <c r="AF1236" s="190"/>
      <c r="AG1236" s="190"/>
      <c r="AH1236" s="190"/>
      <c r="AI1236" s="190"/>
      <c r="AJ1236" s="190"/>
      <c r="AK1236" s="190"/>
      <c r="AL1236" s="190"/>
      <c r="AM1236" s="190"/>
      <c r="AN1236" s="190"/>
    </row>
    <row r="1237" spans="8:40" s="220" customFormat="1" ht="12" hidden="1" customHeight="1">
      <c r="H1237" s="168" t="s">
        <v>3133</v>
      </c>
      <c r="I1237" s="206" t="s">
        <v>1119</v>
      </c>
      <c r="J1237" s="206" t="s">
        <v>3149</v>
      </c>
      <c r="K1237" s="207" t="s">
        <v>5148</v>
      </c>
      <c r="L1237" s="206" t="s">
        <v>92</v>
      </c>
      <c r="M1237" s="157"/>
      <c r="N1237" s="165"/>
      <c r="O1237" s="169"/>
      <c r="P1237" s="169">
        <v>283466.40000000002</v>
      </c>
      <c r="Q1237" s="166">
        <f t="shared" si="56"/>
        <v>0</v>
      </c>
      <c r="R1237" s="169"/>
      <c r="S1237" s="169"/>
      <c r="T1237" s="169"/>
      <c r="U1237" s="169"/>
      <c r="V1237" s="166">
        <f t="shared" si="58"/>
        <v>0</v>
      </c>
      <c r="W1237" s="205"/>
      <c r="X1237" s="167"/>
      <c r="Y1237" s="190"/>
      <c r="Z1237" s="190"/>
      <c r="AA1237" s="190"/>
      <c r="AB1237" s="190"/>
      <c r="AC1237" s="190"/>
      <c r="AD1237" s="190"/>
      <c r="AE1237" s="190"/>
      <c r="AF1237" s="190"/>
      <c r="AG1237" s="190"/>
      <c r="AH1237" s="190"/>
      <c r="AI1237" s="190"/>
      <c r="AJ1237" s="190"/>
      <c r="AK1237" s="190"/>
      <c r="AL1237" s="190"/>
      <c r="AM1237" s="190"/>
      <c r="AN1237" s="190"/>
    </row>
    <row r="1238" spans="8:40" s="220" customFormat="1" ht="12" hidden="1" customHeight="1">
      <c r="H1238" s="168" t="s">
        <v>3134</v>
      </c>
      <c r="I1238" s="206" t="s">
        <v>1120</v>
      </c>
      <c r="J1238" s="206" t="s">
        <v>3150</v>
      </c>
      <c r="K1238" s="207" t="s">
        <v>5149</v>
      </c>
      <c r="L1238" s="206" t="s">
        <v>92</v>
      </c>
      <c r="M1238" s="157"/>
      <c r="N1238" s="165"/>
      <c r="O1238" s="169"/>
      <c r="P1238" s="169">
        <v>337460</v>
      </c>
      <c r="Q1238" s="166">
        <f t="shared" si="56"/>
        <v>0</v>
      </c>
      <c r="R1238" s="169"/>
      <c r="S1238" s="169"/>
      <c r="T1238" s="169"/>
      <c r="U1238" s="169"/>
      <c r="V1238" s="166">
        <f t="shared" si="58"/>
        <v>0</v>
      </c>
      <c r="W1238" s="205"/>
      <c r="X1238" s="167"/>
      <c r="Y1238" s="190"/>
      <c r="Z1238" s="190"/>
      <c r="AA1238" s="190"/>
      <c r="AB1238" s="190"/>
      <c r="AC1238" s="190"/>
      <c r="AD1238" s="190"/>
      <c r="AE1238" s="190"/>
      <c r="AF1238" s="190"/>
      <c r="AG1238" s="190"/>
      <c r="AH1238" s="190"/>
      <c r="AI1238" s="190"/>
      <c r="AJ1238" s="190"/>
      <c r="AK1238" s="190"/>
      <c r="AL1238" s="190"/>
      <c r="AM1238" s="190"/>
      <c r="AN1238" s="190"/>
    </row>
    <row r="1239" spans="8:40" s="220" customFormat="1" ht="12" hidden="1" customHeight="1">
      <c r="H1239" s="168" t="s">
        <v>3135</v>
      </c>
      <c r="I1239" s="206" t="s">
        <v>1121</v>
      </c>
      <c r="J1239" s="206" t="s">
        <v>3151</v>
      </c>
      <c r="K1239" s="207" t="s">
        <v>5150</v>
      </c>
      <c r="L1239" s="206" t="s">
        <v>92</v>
      </c>
      <c r="M1239" s="157"/>
      <c r="N1239" s="165"/>
      <c r="O1239" s="169"/>
      <c r="P1239" s="169">
        <v>458945.6</v>
      </c>
      <c r="Q1239" s="166">
        <f t="shared" si="56"/>
        <v>0</v>
      </c>
      <c r="R1239" s="169"/>
      <c r="S1239" s="169"/>
      <c r="T1239" s="169"/>
      <c r="U1239" s="169"/>
      <c r="V1239" s="166">
        <f t="shared" si="58"/>
        <v>0</v>
      </c>
      <c r="W1239" s="205"/>
      <c r="X1239" s="167"/>
      <c r="Y1239" s="190"/>
      <c r="Z1239" s="190"/>
      <c r="AA1239" s="190"/>
      <c r="AB1239" s="190"/>
      <c r="AC1239" s="190"/>
      <c r="AD1239" s="190"/>
      <c r="AE1239" s="190"/>
      <c r="AF1239" s="190"/>
      <c r="AG1239" s="190"/>
      <c r="AH1239" s="190"/>
      <c r="AI1239" s="190"/>
      <c r="AJ1239" s="190"/>
      <c r="AK1239" s="190"/>
      <c r="AL1239" s="190"/>
      <c r="AM1239" s="190"/>
      <c r="AN1239" s="190"/>
    </row>
    <row r="1240" spans="8:40" s="220" customFormat="1" ht="12" hidden="1" customHeight="1">
      <c r="H1240" s="168" t="s">
        <v>3136</v>
      </c>
      <c r="I1240" s="206" t="s">
        <v>1122</v>
      </c>
      <c r="J1240" s="206" t="s">
        <v>3152</v>
      </c>
      <c r="K1240" s="207" t="s">
        <v>5151</v>
      </c>
      <c r="L1240" s="206" t="s">
        <v>92</v>
      </c>
      <c r="M1240" s="157"/>
      <c r="N1240" s="165"/>
      <c r="O1240" s="169"/>
      <c r="P1240" s="169">
        <v>593929.6</v>
      </c>
      <c r="Q1240" s="166">
        <f t="shared" si="56"/>
        <v>0</v>
      </c>
      <c r="R1240" s="169"/>
      <c r="S1240" s="169"/>
      <c r="T1240" s="169"/>
      <c r="U1240" s="169"/>
      <c r="V1240" s="166">
        <f t="shared" si="58"/>
        <v>0</v>
      </c>
      <c r="W1240" s="205"/>
      <c r="X1240" s="167"/>
      <c r="Y1240" s="190"/>
      <c r="Z1240" s="190"/>
      <c r="AA1240" s="190"/>
      <c r="AB1240" s="190"/>
      <c r="AC1240" s="190"/>
      <c r="AD1240" s="190"/>
      <c r="AE1240" s="190"/>
      <c r="AF1240" s="190"/>
      <c r="AG1240" s="190"/>
      <c r="AH1240" s="190"/>
      <c r="AI1240" s="190"/>
      <c r="AJ1240" s="190"/>
      <c r="AK1240" s="190"/>
      <c r="AL1240" s="190"/>
      <c r="AM1240" s="190"/>
      <c r="AN1240" s="190"/>
    </row>
    <row r="1241" spans="8:40" s="220" customFormat="1" ht="12" hidden="1" customHeight="1">
      <c r="H1241" s="168" t="s">
        <v>3137</v>
      </c>
      <c r="I1241" s="206" t="s">
        <v>3153</v>
      </c>
      <c r="J1241" s="206" t="s">
        <v>3154</v>
      </c>
      <c r="K1241" s="207" t="s">
        <v>5144</v>
      </c>
      <c r="L1241" s="206" t="s">
        <v>92</v>
      </c>
      <c r="M1241" s="157"/>
      <c r="N1241" s="165"/>
      <c r="O1241" s="169"/>
      <c r="P1241" s="169">
        <v>29696.48</v>
      </c>
      <c r="Q1241" s="166">
        <f t="shared" si="56"/>
        <v>0</v>
      </c>
      <c r="R1241" s="169"/>
      <c r="S1241" s="169"/>
      <c r="T1241" s="169"/>
      <c r="U1241" s="169"/>
      <c r="V1241" s="166">
        <f t="shared" si="58"/>
        <v>0</v>
      </c>
      <c r="W1241" s="205"/>
      <c r="X1241" s="167"/>
      <c r="Y1241" s="190"/>
      <c r="Z1241" s="190"/>
      <c r="AA1241" s="190"/>
      <c r="AB1241" s="190"/>
      <c r="AC1241" s="190"/>
      <c r="AD1241" s="190"/>
      <c r="AE1241" s="190"/>
      <c r="AF1241" s="190"/>
      <c r="AG1241" s="190"/>
      <c r="AH1241" s="190"/>
      <c r="AI1241" s="190"/>
      <c r="AJ1241" s="190"/>
      <c r="AK1241" s="190"/>
      <c r="AL1241" s="190"/>
      <c r="AM1241" s="190"/>
      <c r="AN1241" s="190"/>
    </row>
    <row r="1242" spans="8:40" s="220" customFormat="1" ht="12" hidden="1" customHeight="1">
      <c r="H1242" s="168" t="s">
        <v>3138</v>
      </c>
      <c r="I1242" s="206" t="s">
        <v>3155</v>
      </c>
      <c r="J1242" s="206" t="s">
        <v>3156</v>
      </c>
      <c r="K1242" s="207" t="s">
        <v>5145</v>
      </c>
      <c r="L1242" s="206" t="s">
        <v>92</v>
      </c>
      <c r="M1242" s="157"/>
      <c r="N1242" s="165"/>
      <c r="O1242" s="169"/>
      <c r="P1242" s="169">
        <v>40495.199999999997</v>
      </c>
      <c r="Q1242" s="166">
        <f t="shared" si="56"/>
        <v>0</v>
      </c>
      <c r="R1242" s="169"/>
      <c r="S1242" s="169"/>
      <c r="T1242" s="169"/>
      <c r="U1242" s="169"/>
      <c r="V1242" s="166">
        <f t="shared" si="58"/>
        <v>0</v>
      </c>
      <c r="W1242" s="205"/>
      <c r="X1242" s="167"/>
      <c r="Y1242" s="190"/>
      <c r="Z1242" s="190"/>
      <c r="AA1242" s="190"/>
      <c r="AB1242" s="190"/>
      <c r="AC1242" s="190"/>
      <c r="AD1242" s="190"/>
      <c r="AE1242" s="190"/>
      <c r="AF1242" s="190"/>
      <c r="AG1242" s="190"/>
      <c r="AH1242" s="190"/>
      <c r="AI1242" s="190"/>
      <c r="AJ1242" s="190"/>
      <c r="AK1242" s="190"/>
      <c r="AL1242" s="190"/>
      <c r="AM1242" s="190"/>
      <c r="AN1242" s="190"/>
    </row>
    <row r="1243" spans="8:40" s="220" customFormat="1" ht="12" hidden="1" customHeight="1">
      <c r="H1243" s="168" t="s">
        <v>3139</v>
      </c>
      <c r="I1243" s="206" t="s">
        <v>3157</v>
      </c>
      <c r="J1243" s="206" t="s">
        <v>3158</v>
      </c>
      <c r="K1243" s="207" t="s">
        <v>5146</v>
      </c>
      <c r="L1243" s="206" t="s">
        <v>92</v>
      </c>
      <c r="M1243" s="157"/>
      <c r="N1243" s="165"/>
      <c r="O1243" s="169"/>
      <c r="P1243" s="169">
        <v>62092.639999999999</v>
      </c>
      <c r="Q1243" s="166">
        <f t="shared" si="56"/>
        <v>0</v>
      </c>
      <c r="R1243" s="169"/>
      <c r="S1243" s="169"/>
      <c r="T1243" s="169"/>
      <c r="U1243" s="169"/>
      <c r="V1243" s="166">
        <f t="shared" si="58"/>
        <v>0</v>
      </c>
      <c r="W1243" s="205"/>
      <c r="X1243" s="167"/>
      <c r="Y1243" s="190"/>
      <c r="Z1243" s="190"/>
      <c r="AA1243" s="190"/>
      <c r="AB1243" s="190"/>
      <c r="AC1243" s="190"/>
      <c r="AD1243" s="190"/>
      <c r="AE1243" s="190"/>
      <c r="AF1243" s="190"/>
      <c r="AG1243" s="190"/>
      <c r="AH1243" s="190"/>
      <c r="AI1243" s="190"/>
      <c r="AJ1243" s="190"/>
      <c r="AK1243" s="190"/>
      <c r="AL1243" s="190"/>
      <c r="AM1243" s="190"/>
      <c r="AN1243" s="190"/>
    </row>
    <row r="1244" spans="8:40" s="220" customFormat="1" ht="12" hidden="1" customHeight="1">
      <c r="H1244" s="168" t="s">
        <v>3140</v>
      </c>
      <c r="I1244" s="206" t="s">
        <v>3159</v>
      </c>
      <c r="J1244" s="206" t="s">
        <v>3160</v>
      </c>
      <c r="K1244" s="207" t="s">
        <v>5147</v>
      </c>
      <c r="L1244" s="206" t="s">
        <v>92</v>
      </c>
      <c r="M1244" s="157"/>
      <c r="N1244" s="165"/>
      <c r="O1244" s="169"/>
      <c r="P1244" s="169">
        <v>78290.720000000001</v>
      </c>
      <c r="Q1244" s="166">
        <f t="shared" ref="Q1244:Q1307" si="59">IF(W1244="",M1244*P1244*$Q$3*$W$3,M1244*P1244*$Q$3*W1244)</f>
        <v>0</v>
      </c>
      <c r="R1244" s="169"/>
      <c r="S1244" s="169"/>
      <c r="T1244" s="169"/>
      <c r="U1244" s="169"/>
      <c r="V1244" s="166">
        <f t="shared" si="58"/>
        <v>0</v>
      </c>
      <c r="W1244" s="205"/>
      <c r="X1244" s="167"/>
      <c r="Y1244" s="190"/>
      <c r="Z1244" s="190"/>
      <c r="AA1244" s="190"/>
      <c r="AB1244" s="190"/>
      <c r="AC1244" s="190"/>
      <c r="AD1244" s="190"/>
      <c r="AE1244" s="190"/>
      <c r="AF1244" s="190"/>
      <c r="AG1244" s="190"/>
      <c r="AH1244" s="190"/>
      <c r="AI1244" s="190"/>
      <c r="AJ1244" s="190"/>
      <c r="AK1244" s="190"/>
      <c r="AL1244" s="190"/>
      <c r="AM1244" s="190"/>
      <c r="AN1244" s="190"/>
    </row>
    <row r="1245" spans="8:40" s="220" customFormat="1" ht="12" hidden="1" customHeight="1">
      <c r="H1245" s="168" t="s">
        <v>3141</v>
      </c>
      <c r="I1245" s="206" t="s">
        <v>3161</v>
      </c>
      <c r="J1245" s="206" t="s">
        <v>3162</v>
      </c>
      <c r="K1245" s="207" t="s">
        <v>5148</v>
      </c>
      <c r="L1245" s="206" t="s">
        <v>92</v>
      </c>
      <c r="M1245" s="157"/>
      <c r="N1245" s="165"/>
      <c r="O1245" s="169"/>
      <c r="P1245" s="169">
        <v>97188.479999999996</v>
      </c>
      <c r="Q1245" s="166">
        <f t="shared" si="59"/>
        <v>0</v>
      </c>
      <c r="R1245" s="169"/>
      <c r="S1245" s="169"/>
      <c r="T1245" s="169"/>
      <c r="U1245" s="169"/>
      <c r="V1245" s="166">
        <f t="shared" si="58"/>
        <v>0</v>
      </c>
      <c r="W1245" s="205"/>
      <c r="X1245" s="167"/>
      <c r="Y1245" s="190"/>
      <c r="Z1245" s="190"/>
      <c r="AA1245" s="190"/>
      <c r="AB1245" s="190"/>
      <c r="AC1245" s="190"/>
      <c r="AD1245" s="190"/>
      <c r="AE1245" s="190"/>
      <c r="AF1245" s="190"/>
      <c r="AG1245" s="190"/>
      <c r="AH1245" s="190"/>
      <c r="AI1245" s="190"/>
      <c r="AJ1245" s="190"/>
      <c r="AK1245" s="190"/>
      <c r="AL1245" s="190"/>
      <c r="AM1245" s="190"/>
      <c r="AN1245" s="190"/>
    </row>
    <row r="1246" spans="8:40" s="220" customFormat="1" ht="12" hidden="1" customHeight="1">
      <c r="H1246" s="168" t="s">
        <v>3142</v>
      </c>
      <c r="I1246" s="206" t="s">
        <v>3163</v>
      </c>
      <c r="J1246" s="206" t="s">
        <v>3164</v>
      </c>
      <c r="K1246" s="207" t="s">
        <v>5149</v>
      </c>
      <c r="L1246" s="206" t="s">
        <v>92</v>
      </c>
      <c r="M1246" s="157"/>
      <c r="N1246" s="165"/>
      <c r="O1246" s="169"/>
      <c r="P1246" s="169">
        <v>110686.88</v>
      </c>
      <c r="Q1246" s="166">
        <f t="shared" si="59"/>
        <v>0</v>
      </c>
      <c r="R1246" s="169"/>
      <c r="S1246" s="169"/>
      <c r="T1246" s="169"/>
      <c r="U1246" s="169"/>
      <c r="V1246" s="166">
        <f t="shared" si="58"/>
        <v>0</v>
      </c>
      <c r="W1246" s="205"/>
      <c r="X1246" s="167"/>
      <c r="Y1246" s="190"/>
      <c r="Z1246" s="190"/>
      <c r="AA1246" s="190"/>
      <c r="AB1246" s="190"/>
      <c r="AC1246" s="190"/>
      <c r="AD1246" s="190"/>
      <c r="AE1246" s="190"/>
      <c r="AF1246" s="190"/>
      <c r="AG1246" s="190"/>
      <c r="AH1246" s="190"/>
      <c r="AI1246" s="190"/>
      <c r="AJ1246" s="190"/>
      <c r="AK1246" s="190"/>
      <c r="AL1246" s="190"/>
      <c r="AM1246" s="190"/>
      <c r="AN1246" s="190"/>
    </row>
    <row r="1247" spans="8:40" s="220" customFormat="1" ht="12" hidden="1" customHeight="1">
      <c r="H1247" s="168" t="s">
        <v>3143</v>
      </c>
      <c r="I1247" s="206" t="s">
        <v>3165</v>
      </c>
      <c r="J1247" s="206" t="s">
        <v>3166</v>
      </c>
      <c r="K1247" s="207" t="s">
        <v>5150</v>
      </c>
      <c r="L1247" s="206" t="s">
        <v>92</v>
      </c>
      <c r="M1247" s="157"/>
      <c r="N1247" s="165"/>
      <c r="O1247" s="169"/>
      <c r="P1247" s="169">
        <v>134984</v>
      </c>
      <c r="Q1247" s="166">
        <f t="shared" si="59"/>
        <v>0</v>
      </c>
      <c r="R1247" s="169"/>
      <c r="S1247" s="169"/>
      <c r="T1247" s="169"/>
      <c r="U1247" s="169"/>
      <c r="V1247" s="166">
        <f t="shared" si="58"/>
        <v>0</v>
      </c>
      <c r="W1247" s="205"/>
      <c r="X1247" s="167"/>
      <c r="Y1247" s="190"/>
      <c r="Z1247" s="190"/>
      <c r="AA1247" s="190"/>
      <c r="AB1247" s="190"/>
      <c r="AC1247" s="190"/>
      <c r="AD1247" s="190"/>
      <c r="AE1247" s="190"/>
      <c r="AF1247" s="190"/>
      <c r="AG1247" s="190"/>
      <c r="AH1247" s="190"/>
      <c r="AI1247" s="190"/>
      <c r="AJ1247" s="190"/>
      <c r="AK1247" s="190"/>
      <c r="AL1247" s="190"/>
      <c r="AM1247" s="190"/>
      <c r="AN1247" s="190"/>
    </row>
    <row r="1248" spans="8:40" s="220" customFormat="1" ht="12" hidden="1" customHeight="1">
      <c r="H1248" s="168" t="s">
        <v>3144</v>
      </c>
      <c r="I1248" s="206" t="s">
        <v>3167</v>
      </c>
      <c r="J1248" s="206" t="s">
        <v>3168</v>
      </c>
      <c r="K1248" s="207" t="s">
        <v>5151</v>
      </c>
      <c r="L1248" s="206" t="s">
        <v>92</v>
      </c>
      <c r="M1248" s="157"/>
      <c r="N1248" s="165"/>
      <c r="O1248" s="169"/>
      <c r="P1248" s="169">
        <v>159281.12</v>
      </c>
      <c r="Q1248" s="166">
        <f t="shared" si="59"/>
        <v>0</v>
      </c>
      <c r="R1248" s="169"/>
      <c r="S1248" s="169"/>
      <c r="T1248" s="169"/>
      <c r="U1248" s="169"/>
      <c r="V1248" s="166">
        <f t="shared" si="58"/>
        <v>0</v>
      </c>
      <c r="W1248" s="205"/>
      <c r="X1248" s="167"/>
      <c r="Y1248" s="190"/>
      <c r="Z1248" s="190"/>
      <c r="AA1248" s="190"/>
      <c r="AB1248" s="190"/>
      <c r="AC1248" s="190"/>
      <c r="AD1248" s="190"/>
      <c r="AE1248" s="190"/>
      <c r="AF1248" s="190"/>
      <c r="AG1248" s="190"/>
      <c r="AH1248" s="190"/>
      <c r="AI1248" s="190"/>
      <c r="AJ1248" s="190"/>
      <c r="AK1248" s="190"/>
      <c r="AL1248" s="190"/>
      <c r="AM1248" s="190"/>
      <c r="AN1248" s="190"/>
    </row>
    <row r="1249" spans="8:40" s="220" customFormat="1" ht="12" hidden="1" customHeight="1">
      <c r="H1249" s="168" t="s">
        <v>3169</v>
      </c>
      <c r="I1249" s="206" t="s">
        <v>1069</v>
      </c>
      <c r="J1249" s="206" t="s">
        <v>801</v>
      </c>
      <c r="K1249" s="206" t="s">
        <v>802</v>
      </c>
      <c r="L1249" s="206" t="s">
        <v>92</v>
      </c>
      <c r="M1249" s="157"/>
      <c r="N1249" s="165"/>
      <c r="O1249" s="169"/>
      <c r="P1249" s="169">
        <v>22947.279999999999</v>
      </c>
      <c r="Q1249" s="166">
        <f t="shared" si="59"/>
        <v>0</v>
      </c>
      <c r="R1249" s="169"/>
      <c r="S1249" s="169"/>
      <c r="T1249" s="169"/>
      <c r="U1249" s="169"/>
      <c r="V1249" s="166">
        <f t="shared" si="58"/>
        <v>0</v>
      </c>
      <c r="W1249" s="205"/>
      <c r="X1249" s="167"/>
      <c r="Y1249" s="190"/>
      <c r="Z1249" s="190"/>
      <c r="AA1249" s="190"/>
      <c r="AB1249" s="190"/>
      <c r="AC1249" s="190"/>
      <c r="AD1249" s="190"/>
      <c r="AE1249" s="190"/>
      <c r="AF1249" s="190"/>
      <c r="AG1249" s="190"/>
      <c r="AH1249" s="190"/>
      <c r="AI1249" s="190"/>
      <c r="AJ1249" s="190"/>
      <c r="AK1249" s="190"/>
      <c r="AL1249" s="190"/>
      <c r="AM1249" s="190"/>
      <c r="AN1249" s="190"/>
    </row>
    <row r="1250" spans="8:40" s="220" customFormat="1" ht="12" hidden="1" customHeight="1">
      <c r="H1250" s="168" t="s">
        <v>3170</v>
      </c>
      <c r="I1250" s="206" t="s">
        <v>1070</v>
      </c>
      <c r="J1250" s="206" t="s">
        <v>3175</v>
      </c>
      <c r="K1250" s="206" t="s">
        <v>3176</v>
      </c>
      <c r="L1250" s="206" t="s">
        <v>92</v>
      </c>
      <c r="M1250" s="157"/>
      <c r="N1250" s="165"/>
      <c r="O1250" s="169"/>
      <c r="P1250" s="169">
        <v>22947.279999999999</v>
      </c>
      <c r="Q1250" s="166">
        <f t="shared" si="59"/>
        <v>0</v>
      </c>
      <c r="R1250" s="169"/>
      <c r="S1250" s="169"/>
      <c r="T1250" s="169"/>
      <c r="U1250" s="169"/>
      <c r="V1250" s="166">
        <f t="shared" si="58"/>
        <v>0</v>
      </c>
      <c r="W1250" s="205"/>
      <c r="X1250" s="167"/>
      <c r="Y1250" s="190"/>
      <c r="Z1250" s="190"/>
      <c r="AA1250" s="190"/>
      <c r="AB1250" s="190"/>
      <c r="AC1250" s="190"/>
      <c r="AD1250" s="190"/>
      <c r="AE1250" s="190"/>
      <c r="AF1250" s="190"/>
      <c r="AG1250" s="190"/>
      <c r="AH1250" s="190"/>
      <c r="AI1250" s="190"/>
      <c r="AJ1250" s="190"/>
      <c r="AK1250" s="190"/>
      <c r="AL1250" s="190"/>
      <c r="AM1250" s="190"/>
      <c r="AN1250" s="190"/>
    </row>
    <row r="1251" spans="8:40" s="220" customFormat="1" ht="12" hidden="1" customHeight="1">
      <c r="H1251" s="168" t="s">
        <v>3171</v>
      </c>
      <c r="I1251" s="206" t="s">
        <v>3177</v>
      </c>
      <c r="J1251" s="206" t="s">
        <v>3178</v>
      </c>
      <c r="K1251" s="206" t="s">
        <v>3179</v>
      </c>
      <c r="L1251" s="206" t="s">
        <v>92</v>
      </c>
      <c r="M1251" s="157"/>
      <c r="N1251" s="165"/>
      <c r="O1251" s="169"/>
      <c r="P1251" s="169">
        <v>26996.799999999999</v>
      </c>
      <c r="Q1251" s="166">
        <f t="shared" si="59"/>
        <v>0</v>
      </c>
      <c r="R1251" s="169"/>
      <c r="S1251" s="169"/>
      <c r="T1251" s="169"/>
      <c r="U1251" s="169"/>
      <c r="V1251" s="166">
        <f t="shared" si="58"/>
        <v>0</v>
      </c>
      <c r="W1251" s="205"/>
      <c r="X1251" s="167"/>
      <c r="Y1251" s="190"/>
      <c r="Z1251" s="190"/>
      <c r="AA1251" s="190"/>
      <c r="AB1251" s="190"/>
      <c r="AC1251" s="190"/>
      <c r="AD1251" s="190"/>
      <c r="AE1251" s="190"/>
      <c r="AF1251" s="190"/>
      <c r="AG1251" s="190"/>
      <c r="AH1251" s="190"/>
      <c r="AI1251" s="190"/>
      <c r="AJ1251" s="190"/>
      <c r="AK1251" s="190"/>
      <c r="AL1251" s="190"/>
      <c r="AM1251" s="190"/>
      <c r="AN1251" s="190"/>
    </row>
    <row r="1252" spans="8:40" s="220" customFormat="1" ht="12" hidden="1" customHeight="1">
      <c r="H1252" s="168" t="s">
        <v>3172</v>
      </c>
      <c r="I1252" s="206" t="s">
        <v>3180</v>
      </c>
      <c r="J1252" s="206" t="s">
        <v>3181</v>
      </c>
      <c r="K1252" s="206" t="s">
        <v>3182</v>
      </c>
      <c r="L1252" s="206" t="s">
        <v>92</v>
      </c>
      <c r="M1252" s="157"/>
      <c r="N1252" s="165"/>
      <c r="O1252" s="169"/>
      <c r="P1252" s="169">
        <v>26996.799999999999</v>
      </c>
      <c r="Q1252" s="166">
        <f t="shared" si="59"/>
        <v>0</v>
      </c>
      <c r="R1252" s="169"/>
      <c r="S1252" s="169"/>
      <c r="T1252" s="169"/>
      <c r="U1252" s="169"/>
      <c r="V1252" s="166">
        <f t="shared" si="58"/>
        <v>0</v>
      </c>
      <c r="W1252" s="205"/>
      <c r="X1252" s="167"/>
      <c r="Y1252" s="190"/>
      <c r="Z1252" s="190"/>
      <c r="AA1252" s="190"/>
      <c r="AB1252" s="190"/>
      <c r="AC1252" s="190"/>
      <c r="AD1252" s="190"/>
      <c r="AE1252" s="190"/>
      <c r="AF1252" s="190"/>
      <c r="AG1252" s="190"/>
      <c r="AH1252" s="190"/>
      <c r="AI1252" s="190"/>
      <c r="AJ1252" s="190"/>
      <c r="AK1252" s="190"/>
      <c r="AL1252" s="190"/>
      <c r="AM1252" s="190"/>
      <c r="AN1252" s="190"/>
    </row>
    <row r="1253" spans="8:40" s="220" customFormat="1" ht="12" hidden="1" customHeight="1">
      <c r="H1253" s="168" t="s">
        <v>3173</v>
      </c>
      <c r="I1253" s="206" t="s">
        <v>1157</v>
      </c>
      <c r="J1253" s="206" t="s">
        <v>803</v>
      </c>
      <c r="K1253" s="206" t="s">
        <v>804</v>
      </c>
      <c r="L1253" s="206" t="s">
        <v>92</v>
      </c>
      <c r="M1253" s="157"/>
      <c r="N1253" s="165"/>
      <c r="O1253" s="169"/>
      <c r="P1253" s="169">
        <v>17547.919999999998</v>
      </c>
      <c r="Q1253" s="166">
        <f t="shared" si="59"/>
        <v>0</v>
      </c>
      <c r="R1253" s="169"/>
      <c r="S1253" s="169"/>
      <c r="T1253" s="169"/>
      <c r="U1253" s="169"/>
      <c r="V1253" s="166">
        <f t="shared" si="58"/>
        <v>0</v>
      </c>
      <c r="W1253" s="205"/>
      <c r="X1253" s="167"/>
      <c r="Y1253" s="190"/>
      <c r="Z1253" s="190"/>
      <c r="AA1253" s="190"/>
      <c r="AB1253" s="190"/>
      <c r="AC1253" s="190"/>
      <c r="AD1253" s="190"/>
      <c r="AE1253" s="190"/>
      <c r="AF1253" s="190"/>
      <c r="AG1253" s="190"/>
      <c r="AH1253" s="190"/>
      <c r="AI1253" s="190"/>
      <c r="AJ1253" s="190"/>
      <c r="AK1253" s="190"/>
      <c r="AL1253" s="190"/>
      <c r="AM1253" s="190"/>
      <c r="AN1253" s="190"/>
    </row>
    <row r="1254" spans="8:40" s="220" customFormat="1" ht="12" hidden="1" customHeight="1">
      <c r="H1254" s="168" t="s">
        <v>3174</v>
      </c>
      <c r="I1254" s="206" t="s">
        <v>3183</v>
      </c>
      <c r="J1254" s="206" t="s">
        <v>3184</v>
      </c>
      <c r="K1254" s="206" t="s">
        <v>3185</v>
      </c>
      <c r="L1254" s="206" t="s">
        <v>92</v>
      </c>
      <c r="M1254" s="157"/>
      <c r="N1254" s="165"/>
      <c r="O1254" s="169"/>
      <c r="P1254" s="169">
        <v>18897.759999999998</v>
      </c>
      <c r="Q1254" s="166">
        <f t="shared" si="59"/>
        <v>0</v>
      </c>
      <c r="R1254" s="169"/>
      <c r="S1254" s="169"/>
      <c r="T1254" s="169"/>
      <c r="U1254" s="169"/>
      <c r="V1254" s="166">
        <f t="shared" si="58"/>
        <v>0</v>
      </c>
      <c r="W1254" s="205"/>
      <c r="X1254" s="167"/>
      <c r="Y1254" s="190"/>
      <c r="Z1254" s="190"/>
      <c r="AA1254" s="190"/>
      <c r="AB1254" s="190"/>
      <c r="AC1254" s="190"/>
      <c r="AD1254" s="190"/>
      <c r="AE1254" s="190"/>
      <c r="AF1254" s="190"/>
      <c r="AG1254" s="190"/>
      <c r="AH1254" s="190"/>
      <c r="AI1254" s="190"/>
      <c r="AJ1254" s="190"/>
      <c r="AK1254" s="190"/>
      <c r="AL1254" s="190"/>
      <c r="AM1254" s="190"/>
      <c r="AN1254" s="190"/>
    </row>
    <row r="1255" spans="8:40" s="220" customFormat="1" ht="12" hidden="1" customHeight="1">
      <c r="H1255" s="168" t="s">
        <v>3186</v>
      </c>
      <c r="I1255" s="206" t="s">
        <v>3213</v>
      </c>
      <c r="J1255" s="206" t="s">
        <v>799</v>
      </c>
      <c r="K1255" s="206" t="s">
        <v>3214</v>
      </c>
      <c r="L1255" s="206" t="s">
        <v>744</v>
      </c>
      <c r="M1255" s="157"/>
      <c r="N1255" s="165"/>
      <c r="O1255" s="169"/>
      <c r="P1255" s="169">
        <v>107987.2</v>
      </c>
      <c r="Q1255" s="166">
        <f t="shared" si="59"/>
        <v>0</v>
      </c>
      <c r="R1255" s="169"/>
      <c r="S1255" s="169"/>
      <c r="T1255" s="169"/>
      <c r="U1255" s="169"/>
      <c r="V1255" s="166">
        <f t="shared" si="58"/>
        <v>0</v>
      </c>
      <c r="W1255" s="205"/>
      <c r="X1255" s="167"/>
      <c r="Y1255" s="190"/>
      <c r="Z1255" s="190"/>
      <c r="AA1255" s="190"/>
      <c r="AB1255" s="190"/>
      <c r="AC1255" s="190"/>
      <c r="AD1255" s="190"/>
      <c r="AE1255" s="190"/>
      <c r="AF1255" s="190"/>
      <c r="AG1255" s="190"/>
      <c r="AH1255" s="190"/>
      <c r="AI1255" s="190"/>
      <c r="AJ1255" s="190"/>
      <c r="AK1255" s="190"/>
      <c r="AL1255" s="190"/>
      <c r="AM1255" s="190"/>
      <c r="AN1255" s="190"/>
    </row>
    <row r="1256" spans="8:40" s="220" customFormat="1" ht="12" hidden="1" customHeight="1">
      <c r="H1256" s="168" t="s">
        <v>3187</v>
      </c>
      <c r="I1256" s="206" t="s">
        <v>3215</v>
      </c>
      <c r="J1256" s="206" t="s">
        <v>3216</v>
      </c>
      <c r="K1256" s="206" t="s">
        <v>3217</v>
      </c>
      <c r="L1256" s="206" t="s">
        <v>744</v>
      </c>
      <c r="M1256" s="157"/>
      <c r="N1256" s="165"/>
      <c r="O1256" s="169"/>
      <c r="P1256" s="169">
        <v>161980.79999999999</v>
      </c>
      <c r="Q1256" s="166">
        <f t="shared" si="59"/>
        <v>0</v>
      </c>
      <c r="R1256" s="169"/>
      <c r="S1256" s="169"/>
      <c r="T1256" s="169"/>
      <c r="U1256" s="169"/>
      <c r="V1256" s="166">
        <f t="shared" si="58"/>
        <v>0</v>
      </c>
      <c r="W1256" s="205"/>
      <c r="X1256" s="167"/>
      <c r="Y1256" s="190"/>
      <c r="Z1256" s="190"/>
      <c r="AA1256" s="190"/>
      <c r="AB1256" s="190"/>
      <c r="AC1256" s="190"/>
      <c r="AD1256" s="190"/>
      <c r="AE1256" s="190"/>
      <c r="AF1256" s="190"/>
      <c r="AG1256" s="190"/>
      <c r="AH1256" s="190"/>
      <c r="AI1256" s="190"/>
      <c r="AJ1256" s="190"/>
      <c r="AK1256" s="190"/>
      <c r="AL1256" s="190"/>
      <c r="AM1256" s="190"/>
      <c r="AN1256" s="190"/>
    </row>
    <row r="1257" spans="8:40" s="220" customFormat="1" ht="12" hidden="1" customHeight="1">
      <c r="H1257" s="168" t="s">
        <v>3188</v>
      </c>
      <c r="I1257" s="206" t="s">
        <v>3218</v>
      </c>
      <c r="J1257" s="206" t="s">
        <v>3219</v>
      </c>
      <c r="K1257" s="206" t="s">
        <v>3220</v>
      </c>
      <c r="L1257" s="206" t="s">
        <v>744</v>
      </c>
      <c r="M1257" s="157"/>
      <c r="N1257" s="165"/>
      <c r="O1257" s="169"/>
      <c r="P1257" s="169">
        <v>269968</v>
      </c>
      <c r="Q1257" s="166">
        <f t="shared" si="59"/>
        <v>0</v>
      </c>
      <c r="R1257" s="169"/>
      <c r="S1257" s="169"/>
      <c r="T1257" s="169"/>
      <c r="U1257" s="169"/>
      <c r="V1257" s="166">
        <f t="shared" si="58"/>
        <v>0</v>
      </c>
      <c r="W1257" s="205"/>
      <c r="X1257" s="167"/>
      <c r="Y1257" s="190"/>
      <c r="Z1257" s="190"/>
      <c r="AA1257" s="190"/>
      <c r="AB1257" s="190"/>
      <c r="AC1257" s="190"/>
      <c r="AD1257" s="190"/>
      <c r="AE1257" s="190"/>
      <c r="AF1257" s="190"/>
      <c r="AG1257" s="190"/>
      <c r="AH1257" s="190"/>
      <c r="AI1257" s="190"/>
      <c r="AJ1257" s="190"/>
      <c r="AK1257" s="190"/>
      <c r="AL1257" s="190"/>
      <c r="AM1257" s="190"/>
      <c r="AN1257" s="190"/>
    </row>
    <row r="1258" spans="8:40" s="220" customFormat="1" ht="12" hidden="1" customHeight="1">
      <c r="H1258" s="168" t="s">
        <v>3189</v>
      </c>
      <c r="I1258" s="206" t="s">
        <v>3221</v>
      </c>
      <c r="J1258" s="206" t="s">
        <v>3222</v>
      </c>
      <c r="K1258" s="206" t="s">
        <v>3223</v>
      </c>
      <c r="L1258" s="206" t="s">
        <v>744</v>
      </c>
      <c r="M1258" s="157"/>
      <c r="N1258" s="165"/>
      <c r="O1258" s="169"/>
      <c r="P1258" s="169">
        <v>377955.2</v>
      </c>
      <c r="Q1258" s="166">
        <f t="shared" si="59"/>
        <v>0</v>
      </c>
      <c r="R1258" s="169"/>
      <c r="S1258" s="169"/>
      <c r="T1258" s="169"/>
      <c r="U1258" s="169"/>
      <c r="V1258" s="166">
        <f t="shared" si="58"/>
        <v>0</v>
      </c>
      <c r="W1258" s="205"/>
      <c r="X1258" s="167"/>
      <c r="Y1258" s="190"/>
      <c r="Z1258" s="190"/>
      <c r="AA1258" s="190"/>
      <c r="AB1258" s="190"/>
      <c r="AC1258" s="190"/>
      <c r="AD1258" s="190"/>
      <c r="AE1258" s="190"/>
      <c r="AF1258" s="190"/>
      <c r="AG1258" s="190"/>
      <c r="AH1258" s="190"/>
      <c r="AI1258" s="190"/>
      <c r="AJ1258" s="190"/>
      <c r="AK1258" s="190"/>
      <c r="AL1258" s="190"/>
      <c r="AM1258" s="190"/>
      <c r="AN1258" s="190"/>
    </row>
    <row r="1259" spans="8:40" s="220" customFormat="1" ht="12" hidden="1" customHeight="1">
      <c r="H1259" s="168" t="s">
        <v>3190</v>
      </c>
      <c r="I1259" s="206" t="s">
        <v>1132</v>
      </c>
      <c r="J1259" s="206" t="s">
        <v>799</v>
      </c>
      <c r="K1259" s="206" t="s">
        <v>3224</v>
      </c>
      <c r="L1259" s="206" t="s">
        <v>92</v>
      </c>
      <c r="M1259" s="157"/>
      <c r="N1259" s="165"/>
      <c r="O1259" s="169"/>
      <c r="P1259" s="169">
        <v>1619.808</v>
      </c>
      <c r="Q1259" s="166">
        <f t="shared" si="59"/>
        <v>0</v>
      </c>
      <c r="R1259" s="169"/>
      <c r="S1259" s="169"/>
      <c r="T1259" s="169"/>
      <c r="U1259" s="169"/>
      <c r="V1259" s="166">
        <f t="shared" si="58"/>
        <v>0</v>
      </c>
      <c r="W1259" s="205"/>
      <c r="X1259" s="167"/>
      <c r="Y1259" s="190"/>
      <c r="Z1259" s="190"/>
      <c r="AA1259" s="190"/>
      <c r="AB1259" s="190"/>
      <c r="AC1259" s="190"/>
      <c r="AD1259" s="190"/>
      <c r="AE1259" s="190"/>
      <c r="AF1259" s="190"/>
      <c r="AG1259" s="190"/>
      <c r="AH1259" s="190"/>
      <c r="AI1259" s="190"/>
      <c r="AJ1259" s="190"/>
      <c r="AK1259" s="190"/>
      <c r="AL1259" s="190"/>
      <c r="AM1259" s="190"/>
      <c r="AN1259" s="190"/>
    </row>
    <row r="1260" spans="8:40" s="220" customFormat="1" ht="12" hidden="1" customHeight="1">
      <c r="H1260" s="168" t="s">
        <v>3191</v>
      </c>
      <c r="I1260" s="206" t="s">
        <v>3225</v>
      </c>
      <c r="J1260" s="206" t="s">
        <v>799</v>
      </c>
      <c r="K1260" s="206" t="s">
        <v>3226</v>
      </c>
      <c r="L1260" s="206" t="s">
        <v>92</v>
      </c>
      <c r="M1260" s="157"/>
      <c r="N1260" s="165"/>
      <c r="O1260" s="169"/>
      <c r="P1260" s="169">
        <v>12148.56</v>
      </c>
      <c r="Q1260" s="166">
        <f t="shared" si="59"/>
        <v>0</v>
      </c>
      <c r="R1260" s="169"/>
      <c r="S1260" s="169"/>
      <c r="T1260" s="169"/>
      <c r="U1260" s="169"/>
      <c r="V1260" s="166">
        <f t="shared" si="58"/>
        <v>0</v>
      </c>
      <c r="W1260" s="205"/>
      <c r="X1260" s="167"/>
      <c r="Y1260" s="190"/>
      <c r="Z1260" s="190"/>
      <c r="AA1260" s="190"/>
      <c r="AB1260" s="190"/>
      <c r="AC1260" s="190"/>
      <c r="AD1260" s="190"/>
      <c r="AE1260" s="190"/>
      <c r="AF1260" s="190"/>
      <c r="AG1260" s="190"/>
      <c r="AH1260" s="190"/>
      <c r="AI1260" s="190"/>
      <c r="AJ1260" s="190"/>
      <c r="AK1260" s="190"/>
      <c r="AL1260" s="190"/>
      <c r="AM1260" s="190"/>
      <c r="AN1260" s="190"/>
    </row>
    <row r="1261" spans="8:40" s="220" customFormat="1" ht="12" hidden="1" customHeight="1">
      <c r="H1261" s="168" t="s">
        <v>3192</v>
      </c>
      <c r="I1261" s="206" t="s">
        <v>3227</v>
      </c>
      <c r="J1261" s="206" t="s">
        <v>799</v>
      </c>
      <c r="K1261" s="206" t="s">
        <v>3228</v>
      </c>
      <c r="L1261" s="206" t="s">
        <v>744</v>
      </c>
      <c r="M1261" s="157"/>
      <c r="N1261" s="165"/>
      <c r="O1261" s="169"/>
      <c r="P1261" s="169">
        <v>4589.4560000000001</v>
      </c>
      <c r="Q1261" s="166">
        <f t="shared" si="59"/>
        <v>0</v>
      </c>
      <c r="R1261" s="169"/>
      <c r="S1261" s="169"/>
      <c r="T1261" s="169"/>
      <c r="U1261" s="169"/>
      <c r="V1261" s="166">
        <f t="shared" si="58"/>
        <v>0</v>
      </c>
      <c r="W1261" s="205"/>
      <c r="X1261" s="167"/>
      <c r="Y1261" s="190"/>
      <c r="Z1261" s="190"/>
      <c r="AA1261" s="190"/>
      <c r="AB1261" s="190"/>
      <c r="AC1261" s="190"/>
      <c r="AD1261" s="190"/>
      <c r="AE1261" s="190"/>
      <c r="AF1261" s="190"/>
      <c r="AG1261" s="190"/>
      <c r="AH1261" s="190"/>
      <c r="AI1261" s="190"/>
      <c r="AJ1261" s="190"/>
      <c r="AK1261" s="190"/>
      <c r="AL1261" s="190"/>
      <c r="AM1261" s="190"/>
      <c r="AN1261" s="190"/>
    </row>
    <row r="1262" spans="8:40" s="220" customFormat="1" ht="12" hidden="1" customHeight="1">
      <c r="H1262" s="168" t="s">
        <v>3193</v>
      </c>
      <c r="I1262" s="206" t="s">
        <v>3229</v>
      </c>
      <c r="J1262" s="206" t="s">
        <v>3216</v>
      </c>
      <c r="K1262" s="206" t="s">
        <v>3230</v>
      </c>
      <c r="L1262" s="206" t="s">
        <v>744</v>
      </c>
      <c r="M1262" s="157"/>
      <c r="N1262" s="165"/>
      <c r="O1262" s="169"/>
      <c r="P1262" s="169">
        <v>17817.887999999999</v>
      </c>
      <c r="Q1262" s="166">
        <f t="shared" si="59"/>
        <v>0</v>
      </c>
      <c r="R1262" s="169"/>
      <c r="S1262" s="169"/>
      <c r="T1262" s="169"/>
      <c r="U1262" s="169"/>
      <c r="V1262" s="166">
        <f t="shared" si="58"/>
        <v>0</v>
      </c>
      <c r="W1262" s="205"/>
      <c r="X1262" s="167"/>
      <c r="Y1262" s="190"/>
      <c r="Z1262" s="190"/>
      <c r="AA1262" s="190"/>
      <c r="AB1262" s="190"/>
      <c r="AC1262" s="190"/>
      <c r="AD1262" s="190"/>
      <c r="AE1262" s="190"/>
      <c r="AF1262" s="190"/>
      <c r="AG1262" s="190"/>
      <c r="AH1262" s="190"/>
      <c r="AI1262" s="190"/>
      <c r="AJ1262" s="190"/>
      <c r="AK1262" s="190"/>
      <c r="AL1262" s="190"/>
      <c r="AM1262" s="190"/>
      <c r="AN1262" s="190"/>
    </row>
    <row r="1263" spans="8:40" s="220" customFormat="1" ht="12" hidden="1" customHeight="1">
      <c r="H1263" s="168" t="s">
        <v>3194</v>
      </c>
      <c r="I1263" s="206" t="s">
        <v>3231</v>
      </c>
      <c r="J1263" s="206" t="s">
        <v>3219</v>
      </c>
      <c r="K1263" s="206" t="s">
        <v>3232</v>
      </c>
      <c r="L1263" s="206" t="s">
        <v>744</v>
      </c>
      <c r="M1263" s="157"/>
      <c r="N1263" s="165"/>
      <c r="O1263" s="169"/>
      <c r="P1263" s="169">
        <v>22407.344000000001</v>
      </c>
      <c r="Q1263" s="166">
        <f t="shared" si="59"/>
        <v>0</v>
      </c>
      <c r="R1263" s="169"/>
      <c r="S1263" s="169"/>
      <c r="T1263" s="169"/>
      <c r="U1263" s="169"/>
      <c r="V1263" s="166">
        <f t="shared" si="58"/>
        <v>0</v>
      </c>
      <c r="W1263" s="205"/>
      <c r="X1263" s="167"/>
      <c r="Y1263" s="190"/>
      <c r="Z1263" s="190"/>
      <c r="AA1263" s="190"/>
      <c r="AB1263" s="190"/>
      <c r="AC1263" s="190"/>
      <c r="AD1263" s="190"/>
      <c r="AE1263" s="190"/>
      <c r="AF1263" s="190"/>
      <c r="AG1263" s="190"/>
      <c r="AH1263" s="190"/>
      <c r="AI1263" s="190"/>
      <c r="AJ1263" s="190"/>
      <c r="AK1263" s="190"/>
      <c r="AL1263" s="190"/>
      <c r="AM1263" s="190"/>
      <c r="AN1263" s="190"/>
    </row>
    <row r="1264" spans="8:40" s="220" customFormat="1" ht="12" hidden="1" customHeight="1">
      <c r="H1264" s="168" t="s">
        <v>3195</v>
      </c>
      <c r="I1264" s="206" t="s">
        <v>3233</v>
      </c>
      <c r="J1264" s="206" t="s">
        <v>799</v>
      </c>
      <c r="K1264" s="206" t="s">
        <v>3234</v>
      </c>
      <c r="L1264" s="206" t="s">
        <v>744</v>
      </c>
      <c r="M1264" s="157"/>
      <c r="N1264" s="165"/>
      <c r="O1264" s="169"/>
      <c r="P1264" s="169">
        <v>3509.5839999999998</v>
      </c>
      <c r="Q1264" s="166">
        <f t="shared" si="59"/>
        <v>0</v>
      </c>
      <c r="R1264" s="169"/>
      <c r="S1264" s="169"/>
      <c r="T1264" s="169"/>
      <c r="U1264" s="169"/>
      <c r="V1264" s="166">
        <f t="shared" si="58"/>
        <v>0</v>
      </c>
      <c r="W1264" s="205"/>
      <c r="X1264" s="167"/>
      <c r="Y1264" s="190"/>
      <c r="Z1264" s="190"/>
      <c r="AA1264" s="190"/>
      <c r="AB1264" s="190"/>
      <c r="AC1264" s="190"/>
      <c r="AD1264" s="190"/>
      <c r="AE1264" s="190"/>
      <c r="AF1264" s="190"/>
      <c r="AG1264" s="190"/>
      <c r="AH1264" s="190"/>
      <c r="AI1264" s="190"/>
      <c r="AJ1264" s="190"/>
      <c r="AK1264" s="190"/>
      <c r="AL1264" s="190"/>
      <c r="AM1264" s="190"/>
      <c r="AN1264" s="190"/>
    </row>
    <row r="1265" spans="8:40" s="220" customFormat="1" ht="12" hidden="1" customHeight="1">
      <c r="H1265" s="168" t="s">
        <v>3196</v>
      </c>
      <c r="I1265" s="206" t="s">
        <v>3235</v>
      </c>
      <c r="J1265" s="206" t="s">
        <v>799</v>
      </c>
      <c r="K1265" s="206" t="s">
        <v>3236</v>
      </c>
      <c r="L1265" s="206" t="s">
        <v>744</v>
      </c>
      <c r="M1265" s="157"/>
      <c r="N1265" s="165"/>
      <c r="O1265" s="169"/>
      <c r="P1265" s="169">
        <v>20247.599999999999</v>
      </c>
      <c r="Q1265" s="166">
        <f t="shared" si="59"/>
        <v>0</v>
      </c>
      <c r="R1265" s="169"/>
      <c r="S1265" s="169"/>
      <c r="T1265" s="169"/>
      <c r="U1265" s="169"/>
      <c r="V1265" s="166">
        <f t="shared" si="58"/>
        <v>0</v>
      </c>
      <c r="W1265" s="205"/>
      <c r="X1265" s="167"/>
      <c r="Y1265" s="190"/>
      <c r="Z1265" s="190"/>
      <c r="AA1265" s="190"/>
      <c r="AB1265" s="190"/>
      <c r="AC1265" s="190"/>
      <c r="AD1265" s="190"/>
      <c r="AE1265" s="190"/>
      <c r="AF1265" s="190"/>
      <c r="AG1265" s="190"/>
      <c r="AH1265" s="190"/>
      <c r="AI1265" s="190"/>
      <c r="AJ1265" s="190"/>
      <c r="AK1265" s="190"/>
      <c r="AL1265" s="190"/>
      <c r="AM1265" s="190"/>
      <c r="AN1265" s="190"/>
    </row>
    <row r="1266" spans="8:40" s="220" customFormat="1" ht="12" hidden="1" customHeight="1">
      <c r="H1266" s="168" t="s">
        <v>3197</v>
      </c>
      <c r="I1266" s="206" t="s">
        <v>3237</v>
      </c>
      <c r="J1266" s="206" t="s">
        <v>3216</v>
      </c>
      <c r="K1266" s="206" t="s">
        <v>3238</v>
      </c>
      <c r="L1266" s="206" t="s">
        <v>744</v>
      </c>
      <c r="M1266" s="157"/>
      <c r="N1266" s="165"/>
      <c r="O1266" s="169"/>
      <c r="P1266" s="169">
        <v>16198.08</v>
      </c>
      <c r="Q1266" s="166">
        <f t="shared" si="59"/>
        <v>0</v>
      </c>
      <c r="R1266" s="169"/>
      <c r="S1266" s="169"/>
      <c r="T1266" s="169"/>
      <c r="U1266" s="169"/>
      <c r="V1266" s="166">
        <f t="shared" si="58"/>
        <v>0</v>
      </c>
      <c r="W1266" s="205"/>
      <c r="X1266" s="167"/>
      <c r="Y1266" s="190"/>
      <c r="Z1266" s="190"/>
      <c r="AA1266" s="190"/>
      <c r="AB1266" s="190"/>
      <c r="AC1266" s="190"/>
      <c r="AD1266" s="190"/>
      <c r="AE1266" s="190"/>
      <c r="AF1266" s="190"/>
      <c r="AG1266" s="190"/>
      <c r="AH1266" s="190"/>
      <c r="AI1266" s="190"/>
      <c r="AJ1266" s="190"/>
      <c r="AK1266" s="190"/>
      <c r="AL1266" s="190"/>
      <c r="AM1266" s="190"/>
      <c r="AN1266" s="190"/>
    </row>
    <row r="1267" spans="8:40" s="220" customFormat="1" ht="12" hidden="1" customHeight="1">
      <c r="H1267" s="168" t="s">
        <v>3198</v>
      </c>
      <c r="I1267" s="206" t="s">
        <v>3239</v>
      </c>
      <c r="J1267" s="206" t="s">
        <v>799</v>
      </c>
      <c r="K1267" s="206" t="s">
        <v>3240</v>
      </c>
      <c r="L1267" s="206" t="s">
        <v>92</v>
      </c>
      <c r="M1267" s="157"/>
      <c r="N1267" s="165"/>
      <c r="O1267" s="169"/>
      <c r="P1267" s="169">
        <v>26996.799999999999</v>
      </c>
      <c r="Q1267" s="166">
        <f t="shared" si="59"/>
        <v>0</v>
      </c>
      <c r="R1267" s="169"/>
      <c r="S1267" s="169"/>
      <c r="T1267" s="169"/>
      <c r="U1267" s="169"/>
      <c r="V1267" s="166">
        <f t="shared" si="58"/>
        <v>0</v>
      </c>
      <c r="W1267" s="205"/>
      <c r="X1267" s="167"/>
      <c r="Y1267" s="190"/>
      <c r="Z1267" s="190"/>
      <c r="AA1267" s="190"/>
      <c r="AB1267" s="190"/>
      <c r="AC1267" s="190"/>
      <c r="AD1267" s="190"/>
      <c r="AE1267" s="190"/>
      <c r="AF1267" s="190"/>
      <c r="AG1267" s="190"/>
      <c r="AH1267" s="190"/>
      <c r="AI1267" s="190"/>
      <c r="AJ1267" s="190"/>
      <c r="AK1267" s="190"/>
      <c r="AL1267" s="190"/>
      <c r="AM1267" s="190"/>
      <c r="AN1267" s="190"/>
    </row>
    <row r="1268" spans="8:40" s="220" customFormat="1" ht="12" hidden="1" customHeight="1">
      <c r="H1268" s="168" t="s">
        <v>3199</v>
      </c>
      <c r="I1268" s="206" t="s">
        <v>3241</v>
      </c>
      <c r="J1268" s="206" t="s">
        <v>3216</v>
      </c>
      <c r="K1268" s="206" t="s">
        <v>3242</v>
      </c>
      <c r="L1268" s="206" t="s">
        <v>92</v>
      </c>
      <c r="M1268" s="157"/>
      <c r="N1268" s="165"/>
      <c r="O1268" s="169"/>
      <c r="P1268" s="169">
        <v>21597.439999999999</v>
      </c>
      <c r="Q1268" s="166">
        <f t="shared" si="59"/>
        <v>0</v>
      </c>
      <c r="R1268" s="169"/>
      <c r="S1268" s="169"/>
      <c r="T1268" s="169"/>
      <c r="U1268" s="169"/>
      <c r="V1268" s="166">
        <f t="shared" si="58"/>
        <v>0</v>
      </c>
      <c r="W1268" s="205"/>
      <c r="X1268" s="167"/>
      <c r="Y1268" s="190"/>
      <c r="Z1268" s="190"/>
      <c r="AA1268" s="190"/>
      <c r="AB1268" s="190"/>
      <c r="AC1268" s="190"/>
      <c r="AD1268" s="190"/>
      <c r="AE1268" s="190"/>
      <c r="AF1268" s="190"/>
      <c r="AG1268" s="190"/>
      <c r="AH1268" s="190"/>
      <c r="AI1268" s="190"/>
      <c r="AJ1268" s="190"/>
      <c r="AK1268" s="190"/>
      <c r="AL1268" s="190"/>
      <c r="AM1268" s="190"/>
      <c r="AN1268" s="190"/>
    </row>
    <row r="1269" spans="8:40" s="220" customFormat="1" ht="12" hidden="1" customHeight="1">
      <c r="H1269" s="168" t="s">
        <v>3200</v>
      </c>
      <c r="I1269" s="206" t="s">
        <v>3243</v>
      </c>
      <c r="J1269" s="206" t="s">
        <v>3219</v>
      </c>
      <c r="K1269" s="206" t="s">
        <v>3244</v>
      </c>
      <c r="L1269" s="206" t="s">
        <v>92</v>
      </c>
      <c r="M1269" s="157"/>
      <c r="N1269" s="165"/>
      <c r="O1269" s="169"/>
      <c r="P1269" s="169">
        <v>29696.48</v>
      </c>
      <c r="Q1269" s="166">
        <f t="shared" si="59"/>
        <v>0</v>
      </c>
      <c r="R1269" s="169"/>
      <c r="S1269" s="169"/>
      <c r="T1269" s="169"/>
      <c r="U1269" s="169"/>
      <c r="V1269" s="166">
        <f t="shared" si="58"/>
        <v>0</v>
      </c>
      <c r="W1269" s="205"/>
      <c r="X1269" s="167"/>
      <c r="Y1269" s="190"/>
      <c r="Z1269" s="190"/>
      <c r="AA1269" s="190"/>
      <c r="AB1269" s="190"/>
      <c r="AC1269" s="190"/>
      <c r="AD1269" s="190"/>
      <c r="AE1269" s="190"/>
      <c r="AF1269" s="190"/>
      <c r="AG1269" s="190"/>
      <c r="AH1269" s="190"/>
      <c r="AI1269" s="190"/>
      <c r="AJ1269" s="190"/>
      <c r="AK1269" s="190"/>
      <c r="AL1269" s="190"/>
      <c r="AM1269" s="190"/>
      <c r="AN1269" s="190"/>
    </row>
    <row r="1270" spans="8:40" s="220" customFormat="1" ht="12" hidden="1" customHeight="1">
      <c r="H1270" s="168" t="s">
        <v>3201</v>
      </c>
      <c r="I1270" s="206" t="s">
        <v>3245</v>
      </c>
      <c r="J1270" s="206" t="s">
        <v>3222</v>
      </c>
      <c r="K1270" s="206" t="s">
        <v>3246</v>
      </c>
      <c r="L1270" s="206" t="s">
        <v>92</v>
      </c>
      <c r="M1270" s="157"/>
      <c r="N1270" s="165"/>
      <c r="O1270" s="169"/>
      <c r="P1270" s="169">
        <v>26996.799999999999</v>
      </c>
      <c r="Q1270" s="166">
        <f t="shared" si="59"/>
        <v>0</v>
      </c>
      <c r="R1270" s="169"/>
      <c r="S1270" s="169"/>
      <c r="T1270" s="169"/>
      <c r="U1270" s="169"/>
      <c r="V1270" s="166">
        <f t="shared" si="58"/>
        <v>0</v>
      </c>
      <c r="W1270" s="205"/>
      <c r="X1270" s="167"/>
      <c r="Y1270" s="190"/>
      <c r="Z1270" s="190"/>
      <c r="AA1270" s="190"/>
      <c r="AB1270" s="190"/>
      <c r="AC1270" s="190"/>
      <c r="AD1270" s="190"/>
      <c r="AE1270" s="190"/>
      <c r="AF1270" s="190"/>
      <c r="AG1270" s="190"/>
      <c r="AH1270" s="190"/>
      <c r="AI1270" s="190"/>
      <c r="AJ1270" s="190"/>
      <c r="AK1270" s="190"/>
      <c r="AL1270" s="190"/>
      <c r="AM1270" s="190"/>
      <c r="AN1270" s="190"/>
    </row>
    <row r="1271" spans="8:40" s="220" customFormat="1" ht="12" hidden="1" customHeight="1">
      <c r="H1271" s="168" t="s">
        <v>3202</v>
      </c>
      <c r="I1271" s="206" t="s">
        <v>3247</v>
      </c>
      <c r="J1271" s="206" t="s">
        <v>799</v>
      </c>
      <c r="K1271" s="206" t="s">
        <v>3248</v>
      </c>
      <c r="L1271" s="206" t="s">
        <v>744</v>
      </c>
      <c r="M1271" s="157"/>
      <c r="N1271" s="165"/>
      <c r="O1271" s="169"/>
      <c r="P1271" s="169">
        <v>53993.599999999999</v>
      </c>
      <c r="Q1271" s="166">
        <f t="shared" si="59"/>
        <v>0</v>
      </c>
      <c r="R1271" s="169"/>
      <c r="S1271" s="169"/>
      <c r="T1271" s="169"/>
      <c r="U1271" s="169"/>
      <c r="V1271" s="166">
        <f t="shared" si="58"/>
        <v>0</v>
      </c>
      <c r="W1271" s="205"/>
      <c r="X1271" s="167"/>
      <c r="Y1271" s="190"/>
      <c r="Z1271" s="190"/>
      <c r="AA1271" s="190"/>
      <c r="AB1271" s="190"/>
      <c r="AC1271" s="190"/>
      <c r="AD1271" s="190"/>
      <c r="AE1271" s="190"/>
      <c r="AF1271" s="190"/>
      <c r="AG1271" s="190"/>
      <c r="AH1271" s="190"/>
      <c r="AI1271" s="190"/>
      <c r="AJ1271" s="190"/>
      <c r="AK1271" s="190"/>
      <c r="AL1271" s="190"/>
      <c r="AM1271" s="190"/>
      <c r="AN1271" s="190"/>
    </row>
    <row r="1272" spans="8:40" s="220" customFormat="1" ht="12" hidden="1" customHeight="1">
      <c r="H1272" s="168" t="s">
        <v>3203</v>
      </c>
      <c r="I1272" s="206" t="s">
        <v>3249</v>
      </c>
      <c r="J1272" s="206" t="s">
        <v>799</v>
      </c>
      <c r="K1272" s="206" t="s">
        <v>3250</v>
      </c>
      <c r="L1272" s="206" t="s">
        <v>744</v>
      </c>
      <c r="M1272" s="157"/>
      <c r="N1272" s="165"/>
      <c r="O1272" s="169"/>
      <c r="P1272" s="169">
        <v>53993.599999999999</v>
      </c>
      <c r="Q1272" s="166">
        <f t="shared" si="59"/>
        <v>0</v>
      </c>
      <c r="R1272" s="169"/>
      <c r="S1272" s="169"/>
      <c r="T1272" s="169"/>
      <c r="U1272" s="169"/>
      <c r="V1272" s="166">
        <f t="shared" si="58"/>
        <v>0</v>
      </c>
      <c r="W1272" s="205"/>
      <c r="X1272" s="167"/>
      <c r="Y1272" s="190"/>
      <c r="Z1272" s="190"/>
      <c r="AA1272" s="190"/>
      <c r="AB1272" s="190"/>
      <c r="AC1272" s="190"/>
      <c r="AD1272" s="190"/>
      <c r="AE1272" s="190"/>
      <c r="AF1272" s="190"/>
      <c r="AG1272" s="190"/>
      <c r="AH1272" s="190"/>
      <c r="AI1272" s="190"/>
      <c r="AJ1272" s="190"/>
      <c r="AK1272" s="190"/>
      <c r="AL1272" s="190"/>
      <c r="AM1272" s="190"/>
      <c r="AN1272" s="190"/>
    </row>
    <row r="1273" spans="8:40" s="220" customFormat="1" ht="12" hidden="1" customHeight="1">
      <c r="H1273" s="168" t="s">
        <v>3204</v>
      </c>
      <c r="I1273" s="206" t="s">
        <v>3251</v>
      </c>
      <c r="J1273" s="206" t="s">
        <v>3216</v>
      </c>
      <c r="K1273" s="206" t="s">
        <v>3252</v>
      </c>
      <c r="L1273" s="206" t="s">
        <v>744</v>
      </c>
      <c r="M1273" s="157"/>
      <c r="N1273" s="165"/>
      <c r="O1273" s="169"/>
      <c r="P1273" s="169">
        <v>134984</v>
      </c>
      <c r="Q1273" s="166">
        <f t="shared" si="59"/>
        <v>0</v>
      </c>
      <c r="R1273" s="169"/>
      <c r="S1273" s="169"/>
      <c r="T1273" s="169"/>
      <c r="U1273" s="169"/>
      <c r="V1273" s="166">
        <f t="shared" si="58"/>
        <v>0</v>
      </c>
      <c r="W1273" s="205"/>
      <c r="X1273" s="167"/>
      <c r="Y1273" s="190"/>
      <c r="Z1273" s="190"/>
      <c r="AA1273" s="190"/>
      <c r="AB1273" s="190"/>
      <c r="AC1273" s="190"/>
      <c r="AD1273" s="190"/>
      <c r="AE1273" s="190"/>
      <c r="AF1273" s="190"/>
      <c r="AG1273" s="190"/>
      <c r="AH1273" s="190"/>
      <c r="AI1273" s="190"/>
      <c r="AJ1273" s="190"/>
      <c r="AK1273" s="190"/>
      <c r="AL1273" s="190"/>
      <c r="AM1273" s="190"/>
      <c r="AN1273" s="190"/>
    </row>
    <row r="1274" spans="8:40" s="220" customFormat="1" ht="12" hidden="1" customHeight="1">
      <c r="H1274" s="168" t="s">
        <v>3205</v>
      </c>
      <c r="I1274" s="206" t="s">
        <v>1130</v>
      </c>
      <c r="J1274" s="206" t="s">
        <v>799</v>
      </c>
      <c r="K1274" s="206" t="s">
        <v>800</v>
      </c>
      <c r="L1274" s="206" t="s">
        <v>744</v>
      </c>
      <c r="M1274" s="157"/>
      <c r="N1274" s="165"/>
      <c r="O1274" s="169"/>
      <c r="P1274" s="169">
        <v>129584.64</v>
      </c>
      <c r="Q1274" s="166">
        <f t="shared" si="59"/>
        <v>0</v>
      </c>
      <c r="R1274" s="169"/>
      <c r="S1274" s="169"/>
      <c r="T1274" s="169"/>
      <c r="U1274" s="169"/>
      <c r="V1274" s="166">
        <f t="shared" si="58"/>
        <v>0</v>
      </c>
      <c r="W1274" s="205"/>
      <c r="X1274" s="167"/>
      <c r="Y1274" s="190"/>
      <c r="Z1274" s="190"/>
      <c r="AA1274" s="190"/>
      <c r="AB1274" s="190"/>
      <c r="AC1274" s="190"/>
      <c r="AD1274" s="190"/>
      <c r="AE1274" s="190"/>
      <c r="AF1274" s="190"/>
      <c r="AG1274" s="190"/>
      <c r="AH1274" s="190"/>
      <c r="AI1274" s="190"/>
      <c r="AJ1274" s="190"/>
      <c r="AK1274" s="190"/>
      <c r="AL1274" s="190"/>
      <c r="AM1274" s="190"/>
      <c r="AN1274" s="190"/>
    </row>
    <row r="1275" spans="8:40" s="220" customFormat="1" ht="12" hidden="1" customHeight="1">
      <c r="H1275" s="168" t="s">
        <v>3206</v>
      </c>
      <c r="I1275" s="206" t="s">
        <v>3253</v>
      </c>
      <c r="J1275" s="206" t="s">
        <v>3216</v>
      </c>
      <c r="K1275" s="206" t="s">
        <v>3254</v>
      </c>
      <c r="L1275" s="206" t="s">
        <v>744</v>
      </c>
      <c r="M1275" s="157"/>
      <c r="N1275" s="165"/>
      <c r="O1275" s="169"/>
      <c r="P1275" s="169">
        <v>215974.39999999999</v>
      </c>
      <c r="Q1275" s="166">
        <f t="shared" si="59"/>
        <v>0</v>
      </c>
      <c r="R1275" s="169"/>
      <c r="S1275" s="169"/>
      <c r="T1275" s="169"/>
      <c r="U1275" s="169"/>
      <c r="V1275" s="166">
        <f t="shared" si="58"/>
        <v>0</v>
      </c>
      <c r="W1275" s="205"/>
      <c r="X1275" s="167"/>
      <c r="Y1275" s="190"/>
      <c r="Z1275" s="190"/>
      <c r="AA1275" s="190"/>
      <c r="AB1275" s="190"/>
      <c r="AC1275" s="190"/>
      <c r="AD1275" s="190"/>
      <c r="AE1275" s="190"/>
      <c r="AF1275" s="190"/>
      <c r="AG1275" s="190"/>
      <c r="AH1275" s="190"/>
      <c r="AI1275" s="190"/>
      <c r="AJ1275" s="190"/>
      <c r="AK1275" s="190"/>
      <c r="AL1275" s="190"/>
      <c r="AM1275" s="190"/>
      <c r="AN1275" s="190"/>
    </row>
    <row r="1276" spans="8:40" s="220" customFormat="1" ht="12" hidden="1" customHeight="1">
      <c r="H1276" s="168" t="s">
        <v>3207</v>
      </c>
      <c r="I1276" s="206" t="s">
        <v>3255</v>
      </c>
      <c r="J1276" s="206" t="s">
        <v>799</v>
      </c>
      <c r="K1276" s="206" t="s">
        <v>3256</v>
      </c>
      <c r="L1276" s="206" t="s">
        <v>92</v>
      </c>
      <c r="M1276" s="157"/>
      <c r="N1276" s="165"/>
      <c r="O1276" s="169"/>
      <c r="P1276" s="169">
        <v>36445.68</v>
      </c>
      <c r="Q1276" s="166">
        <f t="shared" si="59"/>
        <v>0</v>
      </c>
      <c r="R1276" s="169"/>
      <c r="S1276" s="169"/>
      <c r="T1276" s="169"/>
      <c r="U1276" s="169"/>
      <c r="V1276" s="166">
        <f t="shared" si="58"/>
        <v>0</v>
      </c>
      <c r="W1276" s="205"/>
      <c r="X1276" s="167"/>
      <c r="Y1276" s="190"/>
      <c r="Z1276" s="190"/>
      <c r="AA1276" s="190"/>
      <c r="AB1276" s="190"/>
      <c r="AC1276" s="190"/>
      <c r="AD1276" s="190"/>
      <c r="AE1276" s="190"/>
      <c r="AF1276" s="190"/>
      <c r="AG1276" s="190"/>
      <c r="AH1276" s="190"/>
      <c r="AI1276" s="190"/>
      <c r="AJ1276" s="190"/>
      <c r="AK1276" s="190"/>
      <c r="AL1276" s="190"/>
      <c r="AM1276" s="190"/>
      <c r="AN1276" s="190"/>
    </row>
    <row r="1277" spans="8:40" s="220" customFormat="1" ht="12" hidden="1" customHeight="1">
      <c r="H1277" s="168" t="s">
        <v>3208</v>
      </c>
      <c r="I1277" s="206" t="s">
        <v>3257</v>
      </c>
      <c r="J1277" s="206" t="s">
        <v>799</v>
      </c>
      <c r="K1277" s="206" t="s">
        <v>3258</v>
      </c>
      <c r="L1277" s="206" t="s">
        <v>744</v>
      </c>
      <c r="M1277" s="157"/>
      <c r="N1277" s="165"/>
      <c r="O1277" s="169"/>
      <c r="P1277" s="169">
        <v>215974.39999999999</v>
      </c>
      <c r="Q1277" s="166">
        <f t="shared" si="59"/>
        <v>0</v>
      </c>
      <c r="R1277" s="169"/>
      <c r="S1277" s="169"/>
      <c r="T1277" s="169"/>
      <c r="U1277" s="169"/>
      <c r="V1277" s="166">
        <f t="shared" si="58"/>
        <v>0</v>
      </c>
      <c r="W1277" s="205"/>
      <c r="X1277" s="167"/>
      <c r="Y1277" s="190"/>
      <c r="Z1277" s="190"/>
      <c r="AA1277" s="190"/>
      <c r="AB1277" s="190"/>
      <c r="AC1277" s="190"/>
      <c r="AD1277" s="190"/>
      <c r="AE1277" s="190"/>
      <c r="AF1277" s="190"/>
      <c r="AG1277" s="190"/>
      <c r="AH1277" s="190"/>
      <c r="AI1277" s="190"/>
      <c r="AJ1277" s="190"/>
      <c r="AK1277" s="190"/>
      <c r="AL1277" s="190"/>
      <c r="AM1277" s="190"/>
      <c r="AN1277" s="190"/>
    </row>
    <row r="1278" spans="8:40" s="220" customFormat="1" ht="12" hidden="1" customHeight="1">
      <c r="H1278" s="168" t="s">
        <v>3209</v>
      </c>
      <c r="I1278" s="206" t="s">
        <v>3259</v>
      </c>
      <c r="J1278" s="206" t="s">
        <v>3216</v>
      </c>
      <c r="K1278" s="206" t="s">
        <v>3260</v>
      </c>
      <c r="L1278" s="206" t="s">
        <v>744</v>
      </c>
      <c r="M1278" s="157"/>
      <c r="N1278" s="165"/>
      <c r="O1278" s="169"/>
      <c r="P1278" s="169">
        <v>229472.8</v>
      </c>
      <c r="Q1278" s="166">
        <f t="shared" si="59"/>
        <v>0</v>
      </c>
      <c r="R1278" s="169"/>
      <c r="S1278" s="169"/>
      <c r="T1278" s="169"/>
      <c r="U1278" s="169"/>
      <c r="V1278" s="166">
        <f t="shared" si="58"/>
        <v>0</v>
      </c>
      <c r="W1278" s="205"/>
      <c r="X1278" s="167"/>
      <c r="Y1278" s="190"/>
      <c r="Z1278" s="190"/>
      <c r="AA1278" s="190"/>
      <c r="AB1278" s="190"/>
      <c r="AC1278" s="190"/>
      <c r="AD1278" s="190"/>
      <c r="AE1278" s="190"/>
      <c r="AF1278" s="190"/>
      <c r="AG1278" s="190"/>
      <c r="AH1278" s="190"/>
      <c r="AI1278" s="190"/>
      <c r="AJ1278" s="190"/>
      <c r="AK1278" s="190"/>
      <c r="AL1278" s="190"/>
      <c r="AM1278" s="190"/>
      <c r="AN1278" s="190"/>
    </row>
    <row r="1279" spans="8:40" s="220" customFormat="1" ht="12" hidden="1" customHeight="1">
      <c r="H1279" s="168" t="s">
        <v>3210</v>
      </c>
      <c r="I1279" s="206" t="s">
        <v>3261</v>
      </c>
      <c r="J1279" s="206" t="s">
        <v>3219</v>
      </c>
      <c r="K1279" s="206" t="s">
        <v>3262</v>
      </c>
      <c r="L1279" s="206" t="s">
        <v>744</v>
      </c>
      <c r="M1279" s="157"/>
      <c r="N1279" s="165"/>
      <c r="O1279" s="169"/>
      <c r="P1279" s="169">
        <v>296964.8</v>
      </c>
      <c r="Q1279" s="166">
        <f t="shared" si="59"/>
        <v>0</v>
      </c>
      <c r="R1279" s="169"/>
      <c r="S1279" s="169"/>
      <c r="T1279" s="169"/>
      <c r="U1279" s="169"/>
      <c r="V1279" s="166">
        <f t="shared" si="58"/>
        <v>0</v>
      </c>
      <c r="W1279" s="205"/>
      <c r="X1279" s="167"/>
      <c r="Y1279" s="190"/>
      <c r="Z1279" s="190"/>
      <c r="AA1279" s="190"/>
      <c r="AB1279" s="190"/>
      <c r="AC1279" s="190"/>
      <c r="AD1279" s="190"/>
      <c r="AE1279" s="190"/>
      <c r="AF1279" s="190"/>
      <c r="AG1279" s="190"/>
      <c r="AH1279" s="190"/>
      <c r="AI1279" s="190"/>
      <c r="AJ1279" s="190"/>
      <c r="AK1279" s="190"/>
      <c r="AL1279" s="190"/>
      <c r="AM1279" s="190"/>
      <c r="AN1279" s="190"/>
    </row>
    <row r="1280" spans="8:40" s="220" customFormat="1" ht="12" hidden="1" customHeight="1">
      <c r="H1280" s="168" t="s">
        <v>3211</v>
      </c>
      <c r="I1280" s="206" t="s">
        <v>1131</v>
      </c>
      <c r="J1280" s="206" t="s">
        <v>799</v>
      </c>
      <c r="K1280" s="206" t="s">
        <v>3263</v>
      </c>
      <c r="L1280" s="206" t="s">
        <v>746</v>
      </c>
      <c r="M1280" s="157"/>
      <c r="N1280" s="165"/>
      <c r="O1280" s="169"/>
      <c r="P1280" s="169">
        <v>53993.599999999999</v>
      </c>
      <c r="Q1280" s="166">
        <f t="shared" si="59"/>
        <v>0</v>
      </c>
      <c r="R1280" s="169"/>
      <c r="S1280" s="169"/>
      <c r="T1280" s="169"/>
      <c r="U1280" s="169"/>
      <c r="V1280" s="166">
        <f t="shared" si="58"/>
        <v>0</v>
      </c>
      <c r="W1280" s="205"/>
      <c r="X1280" s="167"/>
      <c r="Y1280" s="190"/>
      <c r="Z1280" s="190"/>
      <c r="AA1280" s="190"/>
      <c r="AB1280" s="190"/>
      <c r="AC1280" s="190"/>
      <c r="AD1280" s="190"/>
      <c r="AE1280" s="190"/>
      <c r="AF1280" s="190"/>
      <c r="AG1280" s="190"/>
      <c r="AH1280" s="190"/>
      <c r="AI1280" s="190"/>
      <c r="AJ1280" s="190"/>
      <c r="AK1280" s="190"/>
      <c r="AL1280" s="190"/>
      <c r="AM1280" s="190"/>
      <c r="AN1280" s="190"/>
    </row>
    <row r="1281" spans="8:40" s="220" customFormat="1" ht="12" hidden="1" customHeight="1">
      <c r="H1281" s="168" t="s">
        <v>3212</v>
      </c>
      <c r="I1281" s="206" t="s">
        <v>3264</v>
      </c>
      <c r="J1281" s="206" t="s">
        <v>799</v>
      </c>
      <c r="K1281" s="206" t="s">
        <v>3265</v>
      </c>
      <c r="L1281" s="206" t="s">
        <v>92</v>
      </c>
      <c r="M1281" s="157"/>
      <c r="N1281" s="165"/>
      <c r="O1281" s="169"/>
      <c r="P1281" s="169">
        <v>15118.208000000001</v>
      </c>
      <c r="Q1281" s="166">
        <f t="shared" si="59"/>
        <v>0</v>
      </c>
      <c r="R1281" s="169"/>
      <c r="S1281" s="169"/>
      <c r="T1281" s="169"/>
      <c r="U1281" s="169"/>
      <c r="V1281" s="166">
        <f t="shared" si="58"/>
        <v>0</v>
      </c>
      <c r="W1281" s="205"/>
      <c r="X1281" s="167"/>
      <c r="Y1281" s="190"/>
      <c r="Z1281" s="190"/>
      <c r="AA1281" s="190"/>
      <c r="AB1281" s="190"/>
      <c r="AC1281" s="190"/>
      <c r="AD1281" s="190"/>
      <c r="AE1281" s="190"/>
      <c r="AF1281" s="190"/>
      <c r="AG1281" s="190"/>
      <c r="AH1281" s="190"/>
      <c r="AI1281" s="190"/>
      <c r="AJ1281" s="190"/>
      <c r="AK1281" s="190"/>
      <c r="AL1281" s="190"/>
      <c r="AM1281" s="190"/>
      <c r="AN1281" s="190"/>
    </row>
    <row r="1282" spans="8:40" s="220" customFormat="1" ht="12" hidden="1" customHeight="1">
      <c r="H1282" s="196" t="s">
        <v>2971</v>
      </c>
      <c r="I1282" s="206" t="s">
        <v>2981</v>
      </c>
      <c r="J1282" s="206" t="s">
        <v>2982</v>
      </c>
      <c r="K1282" s="206" t="s">
        <v>2983</v>
      </c>
      <c r="L1282" s="164"/>
      <c r="M1282" s="157"/>
      <c r="N1282" s="165"/>
      <c r="O1282" s="169"/>
      <c r="P1282" s="197">
        <v>40495.199999999997</v>
      </c>
      <c r="Q1282" s="166">
        <f t="shared" si="59"/>
        <v>0</v>
      </c>
      <c r="R1282" s="169"/>
      <c r="S1282" s="169"/>
      <c r="T1282" s="169"/>
      <c r="U1282" s="169"/>
      <c r="V1282" s="166">
        <f t="shared" si="58"/>
        <v>0</v>
      </c>
      <c r="W1282" s="205"/>
      <c r="X1282" s="167"/>
      <c r="Y1282" s="190"/>
      <c r="Z1282" s="190"/>
      <c r="AA1282" s="190"/>
      <c r="AB1282" s="190"/>
      <c r="AC1282" s="190"/>
      <c r="AD1282" s="190"/>
      <c r="AE1282" s="190"/>
      <c r="AF1282" s="190"/>
      <c r="AG1282" s="190"/>
      <c r="AH1282" s="190"/>
      <c r="AI1282" s="190"/>
      <c r="AJ1282" s="190"/>
      <c r="AK1282" s="190"/>
      <c r="AL1282" s="190"/>
      <c r="AM1282" s="190"/>
      <c r="AN1282" s="190"/>
    </row>
    <row r="1283" spans="8:40" s="220" customFormat="1" ht="12" hidden="1" customHeight="1">
      <c r="H1283" s="196" t="s">
        <v>2972</v>
      </c>
      <c r="I1283" s="206" t="s">
        <v>2984</v>
      </c>
      <c r="J1283" s="206" t="s">
        <v>2985</v>
      </c>
      <c r="K1283" s="206" t="s">
        <v>2986</v>
      </c>
      <c r="L1283" s="164"/>
      <c r="M1283" s="157"/>
      <c r="N1283" s="165"/>
      <c r="O1283" s="169"/>
      <c r="P1283" s="197">
        <v>52259.94</v>
      </c>
      <c r="Q1283" s="166">
        <f t="shared" si="59"/>
        <v>0</v>
      </c>
      <c r="R1283" s="169"/>
      <c r="S1283" s="169"/>
      <c r="T1283" s="169"/>
      <c r="U1283" s="169"/>
      <c r="V1283" s="166">
        <f t="shared" si="58"/>
        <v>0</v>
      </c>
      <c r="W1283" s="205"/>
      <c r="X1283" s="167"/>
      <c r="Y1283" s="190"/>
      <c r="Z1283" s="190"/>
      <c r="AA1283" s="190"/>
      <c r="AB1283" s="190"/>
      <c r="AC1283" s="190"/>
      <c r="AD1283" s="190"/>
      <c r="AE1283" s="190"/>
      <c r="AF1283" s="190"/>
      <c r="AG1283" s="190"/>
      <c r="AH1283" s="190"/>
      <c r="AI1283" s="190"/>
      <c r="AJ1283" s="190"/>
      <c r="AK1283" s="190"/>
      <c r="AL1283" s="190"/>
      <c r="AM1283" s="190"/>
      <c r="AN1283" s="190"/>
    </row>
    <row r="1284" spans="8:40" s="220" customFormat="1" ht="12" hidden="1" customHeight="1">
      <c r="H1284" s="196" t="s">
        <v>2973</v>
      </c>
      <c r="I1284" s="206" t="s">
        <v>2987</v>
      </c>
      <c r="J1284" s="206" t="s">
        <v>2988</v>
      </c>
      <c r="K1284" s="206" t="s">
        <v>2989</v>
      </c>
      <c r="L1284" s="164"/>
      <c r="M1284" s="157"/>
      <c r="N1284" s="165"/>
      <c r="O1284" s="169"/>
      <c r="P1284" s="197">
        <v>66776.59</v>
      </c>
      <c r="Q1284" s="166">
        <f t="shared" si="59"/>
        <v>0</v>
      </c>
      <c r="R1284" s="169"/>
      <c r="S1284" s="169"/>
      <c r="T1284" s="169"/>
      <c r="U1284" s="169"/>
      <c r="V1284" s="166">
        <f t="shared" si="58"/>
        <v>0</v>
      </c>
      <c r="W1284" s="205"/>
      <c r="X1284" s="167"/>
      <c r="Y1284" s="190"/>
      <c r="Z1284" s="190"/>
      <c r="AA1284" s="190"/>
      <c r="AB1284" s="190"/>
      <c r="AC1284" s="190"/>
      <c r="AD1284" s="190"/>
      <c r="AE1284" s="190"/>
      <c r="AF1284" s="190"/>
      <c r="AG1284" s="190"/>
      <c r="AH1284" s="190"/>
      <c r="AI1284" s="190"/>
      <c r="AJ1284" s="190"/>
      <c r="AK1284" s="190"/>
      <c r="AL1284" s="190"/>
      <c r="AM1284" s="190"/>
      <c r="AN1284" s="190"/>
    </row>
    <row r="1285" spans="8:40" s="220" customFormat="1" ht="12" hidden="1" customHeight="1">
      <c r="H1285" s="196" t="s">
        <v>2974</v>
      </c>
      <c r="I1285" s="206" t="s">
        <v>2990</v>
      </c>
      <c r="J1285" s="206" t="s">
        <v>2991</v>
      </c>
      <c r="K1285" s="206" t="s">
        <v>2992</v>
      </c>
      <c r="L1285" s="164"/>
      <c r="M1285" s="157"/>
      <c r="N1285" s="165"/>
      <c r="O1285" s="169"/>
      <c r="P1285" s="197">
        <v>66776.59</v>
      </c>
      <c r="Q1285" s="166">
        <f t="shared" si="59"/>
        <v>0</v>
      </c>
      <c r="R1285" s="169"/>
      <c r="S1285" s="169"/>
      <c r="T1285" s="169"/>
      <c r="U1285" s="169"/>
      <c r="V1285" s="166">
        <f t="shared" si="58"/>
        <v>0</v>
      </c>
      <c r="W1285" s="205"/>
      <c r="X1285" s="167"/>
      <c r="Y1285" s="190"/>
      <c r="Z1285" s="190"/>
      <c r="AA1285" s="190"/>
      <c r="AB1285" s="190"/>
      <c r="AC1285" s="190"/>
      <c r="AD1285" s="190"/>
      <c r="AE1285" s="190"/>
      <c r="AF1285" s="190"/>
      <c r="AG1285" s="190"/>
      <c r="AH1285" s="190"/>
      <c r="AI1285" s="190"/>
      <c r="AJ1285" s="190"/>
      <c r="AK1285" s="190"/>
      <c r="AL1285" s="190"/>
      <c r="AM1285" s="190"/>
      <c r="AN1285" s="190"/>
    </row>
    <row r="1286" spans="8:40" s="220" customFormat="1" ht="12" hidden="1" customHeight="1">
      <c r="H1286" s="196" t="s">
        <v>2975</v>
      </c>
      <c r="I1286" s="206" t="s">
        <v>2993</v>
      </c>
      <c r="J1286" s="206" t="s">
        <v>2994</v>
      </c>
      <c r="K1286" s="206" t="s">
        <v>2995</v>
      </c>
      <c r="L1286" s="164"/>
      <c r="M1286" s="157"/>
      <c r="N1286" s="165"/>
      <c r="O1286" s="169"/>
      <c r="P1286" s="197">
        <v>92906.559999999998</v>
      </c>
      <c r="Q1286" s="166">
        <f t="shared" si="59"/>
        <v>0</v>
      </c>
      <c r="R1286" s="169"/>
      <c r="S1286" s="169"/>
      <c r="T1286" s="169"/>
      <c r="U1286" s="169"/>
      <c r="V1286" s="166">
        <f t="shared" ref="V1286:V1349" si="60">SUM(O1286+Q1286)+S1286+U1286</f>
        <v>0</v>
      </c>
      <c r="W1286" s="205"/>
      <c r="X1286" s="167"/>
      <c r="Y1286" s="190"/>
      <c r="Z1286" s="190"/>
      <c r="AA1286" s="190"/>
      <c r="AB1286" s="190"/>
      <c r="AC1286" s="190"/>
      <c r="AD1286" s="190"/>
      <c r="AE1286" s="190"/>
      <c r="AF1286" s="190"/>
      <c r="AG1286" s="190"/>
      <c r="AH1286" s="190"/>
      <c r="AI1286" s="190"/>
      <c r="AJ1286" s="190"/>
      <c r="AK1286" s="190"/>
      <c r="AL1286" s="190"/>
      <c r="AM1286" s="190"/>
      <c r="AN1286" s="190"/>
    </row>
    <row r="1287" spans="8:40" s="220" customFormat="1" ht="12" hidden="1" customHeight="1">
      <c r="H1287" s="196" t="s">
        <v>2976</v>
      </c>
      <c r="I1287" s="206" t="s">
        <v>2996</v>
      </c>
      <c r="J1287" s="206" t="s">
        <v>2997</v>
      </c>
      <c r="K1287" s="206" t="s">
        <v>2998</v>
      </c>
      <c r="L1287" s="164"/>
      <c r="M1287" s="157"/>
      <c r="N1287" s="165"/>
      <c r="O1287" s="169"/>
      <c r="P1287" s="197">
        <v>130649.85</v>
      </c>
      <c r="Q1287" s="166">
        <f t="shared" si="59"/>
        <v>0</v>
      </c>
      <c r="R1287" s="169"/>
      <c r="S1287" s="169"/>
      <c r="T1287" s="169"/>
      <c r="U1287" s="169"/>
      <c r="V1287" s="166">
        <f t="shared" si="60"/>
        <v>0</v>
      </c>
      <c r="W1287" s="205"/>
      <c r="X1287" s="167"/>
      <c r="Y1287" s="190"/>
      <c r="Z1287" s="190"/>
      <c r="AA1287" s="190"/>
      <c r="AB1287" s="190"/>
      <c r="AC1287" s="190"/>
      <c r="AD1287" s="190"/>
      <c r="AE1287" s="190"/>
      <c r="AF1287" s="190"/>
      <c r="AG1287" s="190"/>
      <c r="AH1287" s="190"/>
      <c r="AI1287" s="190"/>
      <c r="AJ1287" s="190"/>
      <c r="AK1287" s="190"/>
      <c r="AL1287" s="190"/>
      <c r="AM1287" s="190"/>
      <c r="AN1287" s="190"/>
    </row>
    <row r="1288" spans="8:40" s="220" customFormat="1" ht="12" hidden="1" customHeight="1">
      <c r="H1288" s="168" t="s">
        <v>3266</v>
      </c>
      <c r="I1288" s="206" t="s">
        <v>3345</v>
      </c>
      <c r="J1288" s="206" t="s">
        <v>3346</v>
      </c>
      <c r="K1288" s="207" t="s">
        <v>5152</v>
      </c>
      <c r="L1288" s="164"/>
      <c r="M1288" s="157"/>
      <c r="N1288" s="165"/>
      <c r="O1288" s="169"/>
      <c r="P1288" s="169">
        <v>458945.6</v>
      </c>
      <c r="Q1288" s="166">
        <f t="shared" si="59"/>
        <v>0</v>
      </c>
      <c r="R1288" s="169"/>
      <c r="S1288" s="169"/>
      <c r="T1288" s="169"/>
      <c r="U1288" s="169"/>
      <c r="V1288" s="166">
        <f t="shared" si="60"/>
        <v>0</v>
      </c>
      <c r="W1288" s="205"/>
      <c r="X1288" s="167"/>
      <c r="Y1288" s="190"/>
      <c r="Z1288" s="190"/>
      <c r="AA1288" s="190"/>
      <c r="AB1288" s="190"/>
      <c r="AC1288" s="190"/>
      <c r="AD1288" s="190"/>
      <c r="AE1288" s="190"/>
      <c r="AF1288" s="190"/>
      <c r="AG1288" s="190"/>
      <c r="AH1288" s="190"/>
      <c r="AI1288" s="190"/>
      <c r="AJ1288" s="190"/>
      <c r="AK1288" s="190"/>
      <c r="AL1288" s="190"/>
      <c r="AM1288" s="190"/>
      <c r="AN1288" s="190"/>
    </row>
    <row r="1289" spans="8:40" s="220" customFormat="1" ht="12" hidden="1" customHeight="1">
      <c r="H1289" s="168" t="s">
        <v>3267</v>
      </c>
      <c r="I1289" s="206" t="s">
        <v>3347</v>
      </c>
      <c r="J1289" s="206" t="s">
        <v>3348</v>
      </c>
      <c r="K1289" s="206" t="s">
        <v>3349</v>
      </c>
      <c r="L1289" s="164"/>
      <c r="M1289" s="157"/>
      <c r="N1289" s="165"/>
      <c r="O1289" s="169"/>
      <c r="P1289" s="169">
        <v>53993.599999999999</v>
      </c>
      <c r="Q1289" s="166">
        <f t="shared" si="59"/>
        <v>0</v>
      </c>
      <c r="R1289" s="169"/>
      <c r="S1289" s="169"/>
      <c r="T1289" s="169"/>
      <c r="U1289" s="169"/>
      <c r="V1289" s="166">
        <f t="shared" si="60"/>
        <v>0</v>
      </c>
      <c r="W1289" s="205"/>
      <c r="X1289" s="167"/>
      <c r="Y1289" s="190"/>
      <c r="Z1289" s="190"/>
      <c r="AA1289" s="190"/>
      <c r="AB1289" s="190"/>
      <c r="AC1289" s="190"/>
      <c r="AD1289" s="190"/>
      <c r="AE1289" s="190"/>
      <c r="AF1289" s="190"/>
      <c r="AG1289" s="190"/>
      <c r="AH1289" s="190"/>
      <c r="AI1289" s="190"/>
      <c r="AJ1289" s="190"/>
      <c r="AK1289" s="190"/>
      <c r="AL1289" s="190"/>
      <c r="AM1289" s="190"/>
      <c r="AN1289" s="190"/>
    </row>
    <row r="1290" spans="8:40" s="220" customFormat="1" ht="12" hidden="1" customHeight="1">
      <c r="H1290" s="168" t="s">
        <v>3268</v>
      </c>
      <c r="I1290" s="206" t="s">
        <v>3350</v>
      </c>
      <c r="J1290" s="206" t="s">
        <v>3351</v>
      </c>
      <c r="K1290" s="206" t="s">
        <v>3352</v>
      </c>
      <c r="L1290" s="164"/>
      <c r="M1290" s="169"/>
      <c r="N1290" s="165"/>
      <c r="O1290" s="169"/>
      <c r="P1290" s="169">
        <v>107987.2</v>
      </c>
      <c r="Q1290" s="166">
        <f t="shared" si="59"/>
        <v>0</v>
      </c>
      <c r="R1290" s="169"/>
      <c r="S1290" s="169"/>
      <c r="T1290" s="169"/>
      <c r="U1290" s="169"/>
      <c r="V1290" s="166">
        <f t="shared" si="60"/>
        <v>0</v>
      </c>
      <c r="W1290" s="205"/>
      <c r="X1290" s="167"/>
      <c r="Y1290" s="190"/>
      <c r="Z1290" s="190"/>
      <c r="AA1290" s="190"/>
      <c r="AB1290" s="190"/>
      <c r="AC1290" s="190"/>
      <c r="AD1290" s="190"/>
      <c r="AE1290" s="190"/>
      <c r="AF1290" s="190"/>
      <c r="AG1290" s="190"/>
      <c r="AH1290" s="190"/>
      <c r="AI1290" s="190"/>
      <c r="AJ1290" s="190"/>
      <c r="AK1290" s="190"/>
      <c r="AL1290" s="190"/>
      <c r="AM1290" s="190"/>
      <c r="AN1290" s="190"/>
    </row>
    <row r="1291" spans="8:40" s="220" customFormat="1" ht="12" hidden="1" customHeight="1">
      <c r="H1291" s="168" t="s">
        <v>3269</v>
      </c>
      <c r="I1291" s="206" t="s">
        <v>3353</v>
      </c>
      <c r="J1291" s="206" t="s">
        <v>3354</v>
      </c>
      <c r="K1291" s="206" t="s">
        <v>3355</v>
      </c>
      <c r="L1291" s="164"/>
      <c r="M1291" s="157"/>
      <c r="N1291" s="165"/>
      <c r="O1291" s="169"/>
      <c r="P1291" s="169">
        <v>188977.6</v>
      </c>
      <c r="Q1291" s="166">
        <f t="shared" si="59"/>
        <v>0</v>
      </c>
      <c r="R1291" s="169"/>
      <c r="S1291" s="169"/>
      <c r="T1291" s="169"/>
      <c r="U1291" s="169"/>
      <c r="V1291" s="166">
        <f t="shared" si="60"/>
        <v>0</v>
      </c>
      <c r="W1291" s="205"/>
      <c r="X1291" s="167"/>
      <c r="Y1291" s="190"/>
      <c r="Z1291" s="190"/>
      <c r="AA1291" s="190"/>
      <c r="AB1291" s="190"/>
      <c r="AC1291" s="190"/>
      <c r="AD1291" s="190"/>
      <c r="AE1291" s="190"/>
      <c r="AF1291" s="190"/>
      <c r="AG1291" s="190"/>
      <c r="AH1291" s="190"/>
      <c r="AI1291" s="190"/>
      <c r="AJ1291" s="190"/>
      <c r="AK1291" s="190"/>
      <c r="AL1291" s="190"/>
      <c r="AM1291" s="190"/>
      <c r="AN1291" s="190"/>
    </row>
    <row r="1292" spans="8:40" s="220" customFormat="1" ht="12" hidden="1" customHeight="1">
      <c r="H1292" s="168" t="s">
        <v>3270</v>
      </c>
      <c r="I1292" s="206" t="s">
        <v>3356</v>
      </c>
      <c r="J1292" s="206" t="s">
        <v>3357</v>
      </c>
      <c r="K1292" s="206" t="s">
        <v>836</v>
      </c>
      <c r="L1292" s="164"/>
      <c r="M1292" s="157"/>
      <c r="N1292" s="165"/>
      <c r="O1292" s="169"/>
      <c r="P1292" s="169">
        <v>437482.4</v>
      </c>
      <c r="Q1292" s="166">
        <f t="shared" si="59"/>
        <v>0</v>
      </c>
      <c r="R1292" s="169"/>
      <c r="S1292" s="169"/>
      <c r="T1292" s="169"/>
      <c r="U1292" s="169"/>
      <c r="V1292" s="166">
        <f t="shared" si="60"/>
        <v>0</v>
      </c>
      <c r="W1292" s="205"/>
      <c r="X1292" s="167"/>
      <c r="Y1292" s="190"/>
      <c r="Z1292" s="190"/>
      <c r="AA1292" s="190"/>
      <c r="AB1292" s="190"/>
      <c r="AC1292" s="190"/>
      <c r="AD1292" s="190"/>
      <c r="AE1292" s="190"/>
      <c r="AF1292" s="190"/>
      <c r="AG1292" s="190"/>
      <c r="AH1292" s="190"/>
      <c r="AI1292" s="190"/>
      <c r="AJ1292" s="190"/>
      <c r="AK1292" s="190"/>
      <c r="AL1292" s="190"/>
      <c r="AM1292" s="190"/>
      <c r="AN1292" s="190"/>
    </row>
    <row r="1293" spans="8:40" s="220" customFormat="1" ht="12" hidden="1" customHeight="1">
      <c r="H1293" s="168" t="s">
        <v>3271</v>
      </c>
      <c r="I1293" s="206" t="s">
        <v>3358</v>
      </c>
      <c r="J1293" s="206" t="s">
        <v>3359</v>
      </c>
      <c r="K1293" s="206" t="s">
        <v>3360</v>
      </c>
      <c r="L1293" s="164"/>
      <c r="M1293" s="157"/>
      <c r="N1293" s="165"/>
      <c r="O1293" s="169"/>
      <c r="P1293" s="169">
        <v>168694.8</v>
      </c>
      <c r="Q1293" s="166">
        <f t="shared" si="59"/>
        <v>0</v>
      </c>
      <c r="R1293" s="169"/>
      <c r="S1293" s="169"/>
      <c r="T1293" s="169"/>
      <c r="U1293" s="169"/>
      <c r="V1293" s="166">
        <f t="shared" si="60"/>
        <v>0</v>
      </c>
      <c r="W1293" s="205"/>
      <c r="X1293" s="167"/>
      <c r="Y1293" s="190"/>
      <c r="Z1293" s="190"/>
      <c r="AA1293" s="190"/>
      <c r="AB1293" s="190"/>
      <c r="AC1293" s="190"/>
      <c r="AD1293" s="190"/>
      <c r="AE1293" s="190"/>
      <c r="AF1293" s="190"/>
      <c r="AG1293" s="190"/>
      <c r="AH1293" s="190"/>
      <c r="AI1293" s="190"/>
      <c r="AJ1293" s="190"/>
      <c r="AK1293" s="190"/>
      <c r="AL1293" s="190"/>
      <c r="AM1293" s="190"/>
      <c r="AN1293" s="190"/>
    </row>
    <row r="1294" spans="8:40" s="220" customFormat="1" ht="12" hidden="1" customHeight="1">
      <c r="H1294" s="168" t="s">
        <v>3272</v>
      </c>
      <c r="I1294" s="206" t="s">
        <v>3361</v>
      </c>
      <c r="J1294" s="206" t="s">
        <v>3362</v>
      </c>
      <c r="K1294" s="206" t="s">
        <v>3363</v>
      </c>
      <c r="L1294" s="164"/>
      <c r="M1294" s="157"/>
      <c r="N1294" s="165"/>
      <c r="O1294" s="169"/>
      <c r="P1294" s="169">
        <v>1224790</v>
      </c>
      <c r="Q1294" s="166">
        <f t="shared" si="59"/>
        <v>0</v>
      </c>
      <c r="R1294" s="169"/>
      <c r="S1294" s="169"/>
      <c r="T1294" s="169"/>
      <c r="U1294" s="169"/>
      <c r="V1294" s="166">
        <f t="shared" si="60"/>
        <v>0</v>
      </c>
      <c r="W1294" s="205"/>
      <c r="X1294" s="167"/>
      <c r="Y1294" s="190"/>
      <c r="Z1294" s="190"/>
      <c r="AA1294" s="190"/>
      <c r="AB1294" s="190"/>
      <c r="AC1294" s="190"/>
      <c r="AD1294" s="190"/>
      <c r="AE1294" s="190"/>
      <c r="AF1294" s="190"/>
      <c r="AG1294" s="190"/>
      <c r="AH1294" s="190"/>
      <c r="AI1294" s="190"/>
      <c r="AJ1294" s="190"/>
      <c r="AK1294" s="190"/>
      <c r="AL1294" s="190"/>
      <c r="AM1294" s="190"/>
      <c r="AN1294" s="190"/>
    </row>
    <row r="1295" spans="8:40" s="220" customFormat="1" ht="12" hidden="1" customHeight="1">
      <c r="H1295" s="168" t="s">
        <v>3273</v>
      </c>
      <c r="I1295" s="206" t="s">
        <v>3364</v>
      </c>
      <c r="J1295" s="206" t="s">
        <v>3365</v>
      </c>
      <c r="K1295" s="206" t="s">
        <v>837</v>
      </c>
      <c r="L1295" s="164"/>
      <c r="M1295" s="157"/>
      <c r="N1295" s="165"/>
      <c r="O1295" s="169"/>
      <c r="P1295" s="169">
        <v>910246</v>
      </c>
      <c r="Q1295" s="166">
        <f t="shared" si="59"/>
        <v>0</v>
      </c>
      <c r="R1295" s="169"/>
      <c r="S1295" s="169"/>
      <c r="T1295" s="169"/>
      <c r="U1295" s="169"/>
      <c r="V1295" s="166">
        <f t="shared" si="60"/>
        <v>0</v>
      </c>
      <c r="W1295" s="205"/>
      <c r="X1295" s="167"/>
      <c r="Y1295" s="190"/>
      <c r="Z1295" s="190"/>
      <c r="AA1295" s="190"/>
      <c r="AB1295" s="190"/>
      <c r="AC1295" s="190"/>
      <c r="AD1295" s="190"/>
      <c r="AE1295" s="190"/>
      <c r="AF1295" s="190"/>
      <c r="AG1295" s="190"/>
      <c r="AH1295" s="190"/>
      <c r="AI1295" s="190"/>
      <c r="AJ1295" s="190"/>
      <c r="AK1295" s="190"/>
      <c r="AL1295" s="190"/>
      <c r="AM1295" s="190"/>
      <c r="AN1295" s="190"/>
    </row>
    <row r="1296" spans="8:40" s="220" customFormat="1" ht="12" hidden="1" customHeight="1">
      <c r="H1296" s="168" t="s">
        <v>3274</v>
      </c>
      <c r="I1296" s="206" t="s">
        <v>3366</v>
      </c>
      <c r="J1296" s="206" t="s">
        <v>3367</v>
      </c>
      <c r="K1296" s="206" t="s">
        <v>836</v>
      </c>
      <c r="L1296" s="164"/>
      <c r="M1296" s="157"/>
      <c r="N1296" s="165"/>
      <c r="O1296" s="169"/>
      <c r="P1296" s="169">
        <v>239773</v>
      </c>
      <c r="Q1296" s="166">
        <f t="shared" si="59"/>
        <v>0</v>
      </c>
      <c r="R1296" s="169"/>
      <c r="S1296" s="169"/>
      <c r="T1296" s="169"/>
      <c r="U1296" s="169"/>
      <c r="V1296" s="166">
        <f t="shared" si="60"/>
        <v>0</v>
      </c>
      <c r="W1296" s="205"/>
      <c r="X1296" s="167"/>
      <c r="Y1296" s="190"/>
      <c r="Z1296" s="190"/>
      <c r="AA1296" s="190"/>
      <c r="AB1296" s="190"/>
      <c r="AC1296" s="190"/>
      <c r="AD1296" s="190"/>
      <c r="AE1296" s="190"/>
      <c r="AF1296" s="190"/>
      <c r="AG1296" s="190"/>
      <c r="AH1296" s="190"/>
      <c r="AI1296" s="190"/>
      <c r="AJ1296" s="190"/>
      <c r="AK1296" s="190"/>
      <c r="AL1296" s="190"/>
      <c r="AM1296" s="190"/>
      <c r="AN1296" s="190"/>
    </row>
    <row r="1297" spans="8:40" s="220" customFormat="1" ht="12" hidden="1" customHeight="1">
      <c r="H1297" s="168" t="s">
        <v>3275</v>
      </c>
      <c r="I1297" s="206" t="s">
        <v>3368</v>
      </c>
      <c r="J1297" s="206" t="s">
        <v>3369</v>
      </c>
      <c r="K1297" s="206" t="s">
        <v>3360</v>
      </c>
      <c r="L1297" s="164"/>
      <c r="M1297" s="157"/>
      <c r="N1297" s="165"/>
      <c r="O1297" s="169"/>
      <c r="P1297" s="169">
        <v>112463.2</v>
      </c>
      <c r="Q1297" s="166">
        <f t="shared" si="59"/>
        <v>0</v>
      </c>
      <c r="R1297" s="169"/>
      <c r="S1297" s="169"/>
      <c r="T1297" s="169"/>
      <c r="U1297" s="169"/>
      <c r="V1297" s="166">
        <f t="shared" si="60"/>
        <v>0</v>
      </c>
      <c r="W1297" s="205"/>
      <c r="X1297" s="167"/>
      <c r="Y1297" s="190"/>
      <c r="Z1297" s="190"/>
      <c r="AA1297" s="190"/>
      <c r="AB1297" s="190"/>
      <c r="AC1297" s="190"/>
      <c r="AD1297" s="190"/>
      <c r="AE1297" s="190"/>
      <c r="AF1297" s="190"/>
      <c r="AG1297" s="190"/>
      <c r="AH1297" s="190"/>
      <c r="AI1297" s="190"/>
      <c r="AJ1297" s="190"/>
      <c r="AK1297" s="190"/>
      <c r="AL1297" s="190"/>
      <c r="AM1297" s="190"/>
      <c r="AN1297" s="190"/>
    </row>
    <row r="1298" spans="8:40" s="220" customFormat="1" ht="12" hidden="1" customHeight="1">
      <c r="H1298" s="168" t="s">
        <v>3276</v>
      </c>
      <c r="I1298" s="206" t="s">
        <v>3370</v>
      </c>
      <c r="J1298" s="206" t="s">
        <v>3371</v>
      </c>
      <c r="K1298" s="206" t="s">
        <v>3363</v>
      </c>
      <c r="L1298" s="164"/>
      <c r="M1298" s="157"/>
      <c r="N1298" s="165"/>
      <c r="O1298" s="169"/>
      <c r="P1298" s="169">
        <v>234942.2</v>
      </c>
      <c r="Q1298" s="166">
        <f t="shared" si="59"/>
        <v>0</v>
      </c>
      <c r="R1298" s="169"/>
      <c r="S1298" s="169"/>
      <c r="T1298" s="169"/>
      <c r="U1298" s="169"/>
      <c r="V1298" s="166">
        <f t="shared" si="60"/>
        <v>0</v>
      </c>
      <c r="W1298" s="205"/>
      <c r="X1298" s="167"/>
      <c r="Y1298" s="190"/>
      <c r="Z1298" s="190"/>
      <c r="AA1298" s="190"/>
      <c r="AB1298" s="190"/>
      <c r="AC1298" s="190"/>
      <c r="AD1298" s="190"/>
      <c r="AE1298" s="190"/>
      <c r="AF1298" s="190"/>
      <c r="AG1298" s="190"/>
      <c r="AH1298" s="190"/>
      <c r="AI1298" s="190"/>
      <c r="AJ1298" s="190"/>
      <c r="AK1298" s="190"/>
      <c r="AL1298" s="190"/>
      <c r="AM1298" s="190"/>
      <c r="AN1298" s="190"/>
    </row>
    <row r="1299" spans="8:40" s="220" customFormat="1" ht="12" hidden="1" customHeight="1">
      <c r="H1299" s="168" t="s">
        <v>3277</v>
      </c>
      <c r="I1299" s="206" t="s">
        <v>3372</v>
      </c>
      <c r="J1299" s="206" t="s">
        <v>3373</v>
      </c>
      <c r="K1299" s="206" t="s">
        <v>837</v>
      </c>
      <c r="L1299" s="164"/>
      <c r="M1299" s="157"/>
      <c r="N1299" s="165"/>
      <c r="O1299" s="169"/>
      <c r="P1299" s="169">
        <v>157272</v>
      </c>
      <c r="Q1299" s="166">
        <f t="shared" si="59"/>
        <v>0</v>
      </c>
      <c r="R1299" s="169"/>
      <c r="S1299" s="169"/>
      <c r="T1299" s="169"/>
      <c r="U1299" s="169"/>
      <c r="V1299" s="166">
        <f t="shared" si="60"/>
        <v>0</v>
      </c>
      <c r="W1299" s="205"/>
      <c r="X1299" s="167"/>
      <c r="Y1299" s="190"/>
      <c r="Z1299" s="190"/>
      <c r="AA1299" s="190"/>
      <c r="AB1299" s="190"/>
      <c r="AC1299" s="190"/>
      <c r="AD1299" s="190"/>
      <c r="AE1299" s="190"/>
      <c r="AF1299" s="190"/>
      <c r="AG1299" s="190"/>
      <c r="AH1299" s="190"/>
      <c r="AI1299" s="190"/>
      <c r="AJ1299" s="190"/>
      <c r="AK1299" s="190"/>
      <c r="AL1299" s="190"/>
      <c r="AM1299" s="190"/>
      <c r="AN1299" s="190"/>
    </row>
    <row r="1300" spans="8:40" s="220" customFormat="1" ht="12" hidden="1" customHeight="1">
      <c r="H1300" s="168" t="s">
        <v>3278</v>
      </c>
      <c r="I1300" s="206" t="s">
        <v>3374</v>
      </c>
      <c r="J1300" s="206" t="s">
        <v>3375</v>
      </c>
      <c r="K1300" s="206" t="s">
        <v>836</v>
      </c>
      <c r="L1300" s="164"/>
      <c r="M1300" s="157"/>
      <c r="N1300" s="165"/>
      <c r="O1300" s="169"/>
      <c r="P1300" s="169">
        <v>296004.59999999998</v>
      </c>
      <c r="Q1300" s="166">
        <f t="shared" si="59"/>
        <v>0</v>
      </c>
      <c r="R1300" s="169"/>
      <c r="S1300" s="169"/>
      <c r="T1300" s="169"/>
      <c r="U1300" s="169"/>
      <c r="V1300" s="166">
        <f t="shared" si="60"/>
        <v>0</v>
      </c>
      <c r="W1300" s="205"/>
      <c r="X1300" s="167"/>
      <c r="Y1300" s="190"/>
      <c r="Z1300" s="190"/>
      <c r="AA1300" s="190"/>
      <c r="AB1300" s="190"/>
      <c r="AC1300" s="190"/>
      <c r="AD1300" s="190"/>
      <c r="AE1300" s="190"/>
      <c r="AF1300" s="190"/>
      <c r="AG1300" s="190"/>
      <c r="AH1300" s="190"/>
      <c r="AI1300" s="190"/>
      <c r="AJ1300" s="190"/>
      <c r="AK1300" s="190"/>
      <c r="AL1300" s="190"/>
      <c r="AM1300" s="190"/>
      <c r="AN1300" s="190"/>
    </row>
    <row r="1301" spans="8:40" s="220" customFormat="1" ht="12" hidden="1" customHeight="1">
      <c r="H1301" s="168" t="s">
        <v>3279</v>
      </c>
      <c r="I1301" s="206" t="s">
        <v>3376</v>
      </c>
      <c r="J1301" s="206" t="s">
        <v>3377</v>
      </c>
      <c r="K1301" s="206" t="s">
        <v>3360</v>
      </c>
      <c r="L1301" s="164"/>
      <c r="M1301" s="157"/>
      <c r="N1301" s="165"/>
      <c r="O1301" s="169"/>
      <c r="P1301" s="169">
        <v>140579</v>
      </c>
      <c r="Q1301" s="166">
        <f t="shared" si="59"/>
        <v>0</v>
      </c>
      <c r="R1301" s="169"/>
      <c r="S1301" s="169"/>
      <c r="T1301" s="169"/>
      <c r="U1301" s="169"/>
      <c r="V1301" s="166">
        <f t="shared" si="60"/>
        <v>0</v>
      </c>
      <c r="W1301" s="205"/>
      <c r="X1301" s="167"/>
      <c r="Y1301" s="190"/>
      <c r="Z1301" s="190"/>
      <c r="AA1301" s="190"/>
      <c r="AB1301" s="190"/>
      <c r="AC1301" s="190"/>
      <c r="AD1301" s="190"/>
      <c r="AE1301" s="190"/>
      <c r="AF1301" s="190"/>
      <c r="AG1301" s="190"/>
      <c r="AH1301" s="190"/>
      <c r="AI1301" s="190"/>
      <c r="AJ1301" s="190"/>
      <c r="AK1301" s="190"/>
      <c r="AL1301" s="190"/>
      <c r="AM1301" s="190"/>
      <c r="AN1301" s="190"/>
    </row>
    <row r="1302" spans="8:40" s="220" customFormat="1" ht="12" hidden="1" customHeight="1">
      <c r="H1302" s="168" t="s">
        <v>3280</v>
      </c>
      <c r="I1302" s="206" t="s">
        <v>3378</v>
      </c>
      <c r="J1302" s="206" t="s">
        <v>3379</v>
      </c>
      <c r="K1302" s="206" t="s">
        <v>3363</v>
      </c>
      <c r="L1302" s="164"/>
      <c r="M1302" s="157"/>
      <c r="N1302" s="165"/>
      <c r="O1302" s="169"/>
      <c r="P1302" s="169">
        <v>294512.40000000002</v>
      </c>
      <c r="Q1302" s="166">
        <f t="shared" si="59"/>
        <v>0</v>
      </c>
      <c r="R1302" s="169"/>
      <c r="S1302" s="169"/>
      <c r="T1302" s="169"/>
      <c r="U1302" s="169"/>
      <c r="V1302" s="166">
        <f t="shared" si="60"/>
        <v>0</v>
      </c>
      <c r="W1302" s="205"/>
      <c r="X1302" s="167"/>
      <c r="Y1302" s="190"/>
      <c r="Z1302" s="190"/>
      <c r="AA1302" s="190"/>
      <c r="AB1302" s="190"/>
      <c r="AC1302" s="190"/>
      <c r="AD1302" s="190"/>
      <c r="AE1302" s="190"/>
      <c r="AF1302" s="190"/>
      <c r="AG1302" s="190"/>
      <c r="AH1302" s="190"/>
      <c r="AI1302" s="190"/>
      <c r="AJ1302" s="190"/>
      <c r="AK1302" s="190"/>
      <c r="AL1302" s="190"/>
      <c r="AM1302" s="190"/>
      <c r="AN1302" s="190"/>
    </row>
    <row r="1303" spans="8:40" s="220" customFormat="1" ht="12" hidden="1" customHeight="1">
      <c r="H1303" s="168" t="s">
        <v>3281</v>
      </c>
      <c r="I1303" s="206" t="s">
        <v>3380</v>
      </c>
      <c r="J1303" s="206" t="s">
        <v>3381</v>
      </c>
      <c r="K1303" s="206" t="s">
        <v>837</v>
      </c>
      <c r="L1303" s="164"/>
      <c r="M1303" s="157"/>
      <c r="N1303" s="165"/>
      <c r="O1303" s="169"/>
      <c r="P1303" s="169">
        <v>532793.19999999995</v>
      </c>
      <c r="Q1303" s="166">
        <f t="shared" si="59"/>
        <v>0</v>
      </c>
      <c r="R1303" s="169"/>
      <c r="S1303" s="169"/>
      <c r="T1303" s="169"/>
      <c r="U1303" s="169"/>
      <c r="V1303" s="166">
        <f t="shared" si="60"/>
        <v>0</v>
      </c>
      <c r="W1303" s="205"/>
      <c r="X1303" s="167"/>
      <c r="Y1303" s="190"/>
      <c r="Z1303" s="190"/>
      <c r="AA1303" s="190"/>
      <c r="AB1303" s="190"/>
      <c r="AC1303" s="190"/>
      <c r="AD1303" s="190"/>
      <c r="AE1303" s="190"/>
      <c r="AF1303" s="190"/>
      <c r="AG1303" s="190"/>
      <c r="AH1303" s="190"/>
      <c r="AI1303" s="190"/>
      <c r="AJ1303" s="190"/>
      <c r="AK1303" s="190"/>
      <c r="AL1303" s="190"/>
      <c r="AM1303" s="190"/>
      <c r="AN1303" s="190"/>
    </row>
    <row r="1304" spans="8:40" s="220" customFormat="1" ht="12" hidden="1" customHeight="1">
      <c r="H1304" s="168" t="s">
        <v>3282</v>
      </c>
      <c r="I1304" s="206" t="s">
        <v>3382</v>
      </c>
      <c r="J1304" s="206" t="s">
        <v>3383</v>
      </c>
      <c r="K1304" s="206" t="s">
        <v>836</v>
      </c>
      <c r="L1304" s="164"/>
      <c r="M1304" s="157"/>
      <c r="N1304" s="165"/>
      <c r="O1304" s="169"/>
      <c r="P1304" s="169">
        <v>440839.4</v>
      </c>
      <c r="Q1304" s="166">
        <f t="shared" si="59"/>
        <v>0</v>
      </c>
      <c r="R1304" s="169"/>
      <c r="S1304" s="169"/>
      <c r="T1304" s="169"/>
      <c r="U1304" s="169"/>
      <c r="V1304" s="166">
        <f t="shared" si="60"/>
        <v>0</v>
      </c>
      <c r="W1304" s="205"/>
      <c r="X1304" s="167"/>
      <c r="Y1304" s="190"/>
      <c r="Z1304" s="190"/>
      <c r="AA1304" s="190"/>
      <c r="AB1304" s="190"/>
      <c r="AC1304" s="190"/>
      <c r="AD1304" s="190"/>
      <c r="AE1304" s="190"/>
      <c r="AF1304" s="190"/>
      <c r="AG1304" s="190"/>
      <c r="AH1304" s="190"/>
      <c r="AI1304" s="190"/>
      <c r="AJ1304" s="190"/>
      <c r="AK1304" s="190"/>
      <c r="AL1304" s="190"/>
      <c r="AM1304" s="190"/>
      <c r="AN1304" s="190"/>
    </row>
    <row r="1305" spans="8:40" s="220" customFormat="1" ht="12" hidden="1" customHeight="1">
      <c r="H1305" s="168" t="s">
        <v>3283</v>
      </c>
      <c r="I1305" s="206" t="s">
        <v>3384</v>
      </c>
      <c r="J1305" s="206" t="s">
        <v>3385</v>
      </c>
      <c r="K1305" s="206" t="s">
        <v>3360</v>
      </c>
      <c r="L1305" s="164"/>
      <c r="M1305" s="157"/>
      <c r="N1305" s="165"/>
      <c r="O1305" s="169"/>
      <c r="P1305" s="169">
        <v>168694.8</v>
      </c>
      <c r="Q1305" s="166">
        <f t="shared" si="59"/>
        <v>0</v>
      </c>
      <c r="R1305" s="169"/>
      <c r="S1305" s="169"/>
      <c r="T1305" s="169"/>
      <c r="U1305" s="169"/>
      <c r="V1305" s="166">
        <f t="shared" si="60"/>
        <v>0</v>
      </c>
      <c r="W1305" s="205"/>
      <c r="X1305" s="167"/>
      <c r="Y1305" s="190"/>
      <c r="Z1305" s="190"/>
      <c r="AA1305" s="190"/>
      <c r="AB1305" s="190"/>
      <c r="AC1305" s="190"/>
      <c r="AD1305" s="190"/>
      <c r="AE1305" s="190"/>
      <c r="AF1305" s="190"/>
      <c r="AG1305" s="190"/>
      <c r="AH1305" s="190"/>
      <c r="AI1305" s="190"/>
      <c r="AJ1305" s="190"/>
      <c r="AK1305" s="190"/>
      <c r="AL1305" s="190"/>
      <c r="AM1305" s="190"/>
      <c r="AN1305" s="190"/>
    </row>
    <row r="1306" spans="8:40" s="220" customFormat="1" ht="12" hidden="1" customHeight="1">
      <c r="H1306" s="168" t="s">
        <v>3284</v>
      </c>
      <c r="I1306" s="206" t="s">
        <v>3386</v>
      </c>
      <c r="J1306" s="206" t="s">
        <v>3387</v>
      </c>
      <c r="K1306" s="206" t="s">
        <v>3363</v>
      </c>
      <c r="L1306" s="164"/>
      <c r="M1306" s="157"/>
      <c r="N1306" s="165"/>
      <c r="O1306" s="169"/>
      <c r="P1306" s="169">
        <v>752974</v>
      </c>
      <c r="Q1306" s="166">
        <f t="shared" si="59"/>
        <v>0</v>
      </c>
      <c r="R1306" s="169"/>
      <c r="S1306" s="169"/>
      <c r="T1306" s="169"/>
      <c r="U1306" s="169"/>
      <c r="V1306" s="166">
        <f t="shared" si="60"/>
        <v>0</v>
      </c>
      <c r="W1306" s="205"/>
      <c r="X1306" s="167"/>
      <c r="Y1306" s="190"/>
      <c r="Z1306" s="190"/>
      <c r="AA1306" s="190"/>
      <c r="AB1306" s="190"/>
      <c r="AC1306" s="190"/>
      <c r="AD1306" s="190"/>
      <c r="AE1306" s="190"/>
      <c r="AF1306" s="190"/>
      <c r="AG1306" s="190"/>
      <c r="AH1306" s="190"/>
      <c r="AI1306" s="190"/>
      <c r="AJ1306" s="190"/>
      <c r="AK1306" s="190"/>
      <c r="AL1306" s="190"/>
      <c r="AM1306" s="190"/>
      <c r="AN1306" s="190"/>
    </row>
    <row r="1307" spans="8:40" s="220" customFormat="1" ht="12" hidden="1" customHeight="1">
      <c r="H1307" s="168" t="s">
        <v>3285</v>
      </c>
      <c r="I1307" s="206" t="s">
        <v>3388</v>
      </c>
      <c r="J1307" s="206" t="s">
        <v>3389</v>
      </c>
      <c r="K1307" s="206" t="s">
        <v>837</v>
      </c>
      <c r="L1307" s="164"/>
      <c r="M1307" s="157"/>
      <c r="N1307" s="165"/>
      <c r="O1307" s="169"/>
      <c r="P1307" s="169">
        <v>736281</v>
      </c>
      <c r="Q1307" s="166">
        <f t="shared" si="59"/>
        <v>0</v>
      </c>
      <c r="R1307" s="169"/>
      <c r="S1307" s="169"/>
      <c r="T1307" s="169"/>
      <c r="U1307" s="169"/>
      <c r="V1307" s="166">
        <f t="shared" si="60"/>
        <v>0</v>
      </c>
      <c r="W1307" s="205"/>
      <c r="X1307" s="167"/>
      <c r="Y1307" s="190"/>
      <c r="Z1307" s="190"/>
      <c r="AA1307" s="190"/>
      <c r="AB1307" s="190"/>
      <c r="AC1307" s="190"/>
      <c r="AD1307" s="190"/>
      <c r="AE1307" s="190"/>
      <c r="AF1307" s="190"/>
      <c r="AG1307" s="190"/>
      <c r="AH1307" s="190"/>
      <c r="AI1307" s="190"/>
      <c r="AJ1307" s="190"/>
      <c r="AK1307" s="190"/>
      <c r="AL1307" s="190"/>
      <c r="AM1307" s="190"/>
      <c r="AN1307" s="190"/>
    </row>
    <row r="1308" spans="8:40" s="220" customFormat="1" ht="12" hidden="1" customHeight="1">
      <c r="H1308" s="168" t="s">
        <v>3286</v>
      </c>
      <c r="I1308" s="206" t="s">
        <v>3390</v>
      </c>
      <c r="J1308" s="206" t="s">
        <v>3391</v>
      </c>
      <c r="K1308" s="206" t="s">
        <v>836</v>
      </c>
      <c r="L1308" s="164"/>
      <c r="M1308" s="157"/>
      <c r="N1308" s="165"/>
      <c r="O1308" s="169"/>
      <c r="P1308" s="169">
        <v>365065</v>
      </c>
      <c r="Q1308" s="166">
        <f t="shared" ref="Q1308:Q1371" si="61">IF(W1308="",M1308*P1308*$Q$3*$W$3,M1308*P1308*$Q$3*W1308)</f>
        <v>0</v>
      </c>
      <c r="R1308" s="169"/>
      <c r="S1308" s="169"/>
      <c r="T1308" s="169"/>
      <c r="U1308" s="169"/>
      <c r="V1308" s="166">
        <f t="shared" si="60"/>
        <v>0</v>
      </c>
      <c r="W1308" s="205"/>
      <c r="X1308" s="167"/>
      <c r="Y1308" s="190"/>
      <c r="Z1308" s="190"/>
      <c r="AA1308" s="190"/>
      <c r="AB1308" s="190"/>
      <c r="AC1308" s="190"/>
      <c r="AD1308" s="190"/>
      <c r="AE1308" s="190"/>
      <c r="AF1308" s="190"/>
      <c r="AG1308" s="190"/>
      <c r="AH1308" s="190"/>
      <c r="AI1308" s="190"/>
      <c r="AJ1308" s="190"/>
      <c r="AK1308" s="190"/>
      <c r="AL1308" s="190"/>
      <c r="AM1308" s="190"/>
      <c r="AN1308" s="190"/>
    </row>
    <row r="1309" spans="8:40" s="220" customFormat="1" ht="12" hidden="1" customHeight="1">
      <c r="H1309" s="168" t="s">
        <v>3287</v>
      </c>
      <c r="I1309" s="206" t="s">
        <v>3392</v>
      </c>
      <c r="J1309" s="206" t="s">
        <v>3393</v>
      </c>
      <c r="K1309" s="206" t="s">
        <v>3360</v>
      </c>
      <c r="L1309" s="164"/>
      <c r="M1309" s="157"/>
      <c r="N1309" s="165"/>
      <c r="O1309" s="169"/>
      <c r="P1309" s="169">
        <v>112463.2</v>
      </c>
      <c r="Q1309" s="166">
        <f t="shared" si="61"/>
        <v>0</v>
      </c>
      <c r="R1309" s="169"/>
      <c r="S1309" s="169"/>
      <c r="T1309" s="169"/>
      <c r="U1309" s="169"/>
      <c r="V1309" s="166">
        <f t="shared" si="60"/>
        <v>0</v>
      </c>
      <c r="W1309" s="205"/>
      <c r="X1309" s="167"/>
      <c r="Y1309" s="190"/>
      <c r="Z1309" s="190"/>
      <c r="AA1309" s="190"/>
      <c r="AB1309" s="190"/>
      <c r="AC1309" s="190"/>
      <c r="AD1309" s="190"/>
      <c r="AE1309" s="190"/>
      <c r="AF1309" s="190"/>
      <c r="AG1309" s="190"/>
      <c r="AH1309" s="190"/>
      <c r="AI1309" s="190"/>
      <c r="AJ1309" s="190"/>
      <c r="AK1309" s="190"/>
      <c r="AL1309" s="190"/>
      <c r="AM1309" s="190"/>
      <c r="AN1309" s="190"/>
    </row>
    <row r="1310" spans="8:40" s="220" customFormat="1" ht="12" hidden="1" customHeight="1">
      <c r="H1310" s="168" t="s">
        <v>3288</v>
      </c>
      <c r="I1310" s="206" t="s">
        <v>3394</v>
      </c>
      <c r="J1310" s="206" t="s">
        <v>3395</v>
      </c>
      <c r="K1310" s="206" t="s">
        <v>3363</v>
      </c>
      <c r="L1310" s="164"/>
      <c r="M1310" s="157"/>
      <c r="N1310" s="165"/>
      <c r="O1310" s="169"/>
      <c r="P1310" s="169">
        <v>294512.40000000002</v>
      </c>
      <c r="Q1310" s="166">
        <f t="shared" si="61"/>
        <v>0</v>
      </c>
      <c r="R1310" s="169"/>
      <c r="S1310" s="169"/>
      <c r="T1310" s="169"/>
      <c r="U1310" s="169"/>
      <c r="V1310" s="166">
        <f t="shared" si="60"/>
        <v>0</v>
      </c>
      <c r="W1310" s="205"/>
      <c r="X1310" s="167"/>
      <c r="Y1310" s="190"/>
      <c r="Z1310" s="190"/>
      <c r="AA1310" s="190"/>
      <c r="AB1310" s="190"/>
      <c r="AC1310" s="190"/>
      <c r="AD1310" s="190"/>
      <c r="AE1310" s="190"/>
      <c r="AF1310" s="190"/>
      <c r="AG1310" s="190"/>
      <c r="AH1310" s="190"/>
      <c r="AI1310" s="190"/>
      <c r="AJ1310" s="190"/>
      <c r="AK1310" s="190"/>
      <c r="AL1310" s="190"/>
      <c r="AM1310" s="190"/>
      <c r="AN1310" s="190"/>
    </row>
    <row r="1311" spans="8:40" s="220" customFormat="1" ht="12" hidden="1" customHeight="1">
      <c r="H1311" s="168" t="s">
        <v>3289</v>
      </c>
      <c r="I1311" s="206" t="s">
        <v>3396</v>
      </c>
      <c r="J1311" s="206" t="s">
        <v>3397</v>
      </c>
      <c r="K1311" s="206" t="s">
        <v>837</v>
      </c>
      <c r="L1311" s="164"/>
      <c r="M1311" s="157"/>
      <c r="N1311" s="165"/>
      <c r="O1311" s="169"/>
      <c r="P1311" s="169">
        <v>532793.19999999995</v>
      </c>
      <c r="Q1311" s="166">
        <f t="shared" si="61"/>
        <v>0</v>
      </c>
      <c r="R1311" s="169"/>
      <c r="S1311" s="169"/>
      <c r="T1311" s="169"/>
      <c r="U1311" s="169"/>
      <c r="V1311" s="166">
        <f t="shared" si="60"/>
        <v>0</v>
      </c>
      <c r="W1311" s="205"/>
      <c r="X1311" s="167"/>
      <c r="Y1311" s="190"/>
      <c r="Z1311" s="190"/>
      <c r="AA1311" s="190"/>
      <c r="AB1311" s="190"/>
      <c r="AC1311" s="190"/>
      <c r="AD1311" s="190"/>
      <c r="AE1311" s="190"/>
      <c r="AF1311" s="190"/>
      <c r="AG1311" s="190"/>
      <c r="AH1311" s="190"/>
      <c r="AI1311" s="190"/>
      <c r="AJ1311" s="190"/>
      <c r="AK1311" s="190"/>
      <c r="AL1311" s="190"/>
      <c r="AM1311" s="190"/>
      <c r="AN1311" s="190"/>
    </row>
    <row r="1312" spans="8:40" s="220" customFormat="1" ht="12" hidden="1" customHeight="1">
      <c r="H1312" s="168" t="s">
        <v>3290</v>
      </c>
      <c r="I1312" s="206" t="s">
        <v>3398</v>
      </c>
      <c r="J1312" s="206" t="s">
        <v>3399</v>
      </c>
      <c r="K1312" s="206" t="s">
        <v>836</v>
      </c>
      <c r="L1312" s="164"/>
      <c r="M1312" s="157"/>
      <c r="N1312" s="165"/>
      <c r="O1312" s="169"/>
      <c r="P1312" s="169">
        <v>239773</v>
      </c>
      <c r="Q1312" s="166">
        <f t="shared" si="61"/>
        <v>0</v>
      </c>
      <c r="R1312" s="169"/>
      <c r="S1312" s="169"/>
      <c r="T1312" s="169"/>
      <c r="U1312" s="169"/>
      <c r="V1312" s="166">
        <f t="shared" si="60"/>
        <v>0</v>
      </c>
      <c r="W1312" s="205"/>
      <c r="X1312" s="167"/>
      <c r="Y1312" s="190"/>
      <c r="Z1312" s="190"/>
      <c r="AA1312" s="190"/>
      <c r="AB1312" s="190"/>
      <c r="AC1312" s="190"/>
      <c r="AD1312" s="190"/>
      <c r="AE1312" s="190"/>
      <c r="AF1312" s="190"/>
      <c r="AG1312" s="190"/>
      <c r="AH1312" s="190"/>
      <c r="AI1312" s="190"/>
      <c r="AJ1312" s="190"/>
      <c r="AK1312" s="190"/>
      <c r="AL1312" s="190"/>
      <c r="AM1312" s="190"/>
      <c r="AN1312" s="190"/>
    </row>
    <row r="1313" spans="8:40" s="220" customFormat="1" ht="12" hidden="1" customHeight="1">
      <c r="H1313" s="168" t="s">
        <v>3291</v>
      </c>
      <c r="I1313" s="206" t="s">
        <v>3400</v>
      </c>
      <c r="J1313" s="206" t="s">
        <v>3401</v>
      </c>
      <c r="K1313" s="206" t="s">
        <v>3360</v>
      </c>
      <c r="L1313" s="164"/>
      <c r="M1313" s="157"/>
      <c r="N1313" s="165"/>
      <c r="O1313" s="169"/>
      <c r="P1313" s="169">
        <v>112463.2</v>
      </c>
      <c r="Q1313" s="166">
        <f t="shared" si="61"/>
        <v>0</v>
      </c>
      <c r="R1313" s="169"/>
      <c r="S1313" s="169"/>
      <c r="T1313" s="169"/>
      <c r="U1313" s="169"/>
      <c r="V1313" s="166">
        <f t="shared" si="60"/>
        <v>0</v>
      </c>
      <c r="W1313" s="205"/>
      <c r="X1313" s="167"/>
      <c r="Y1313" s="190"/>
      <c r="Z1313" s="190"/>
      <c r="AA1313" s="190"/>
      <c r="AB1313" s="190"/>
      <c r="AC1313" s="190"/>
      <c r="AD1313" s="190"/>
      <c r="AE1313" s="190"/>
      <c r="AF1313" s="190"/>
      <c r="AG1313" s="190"/>
      <c r="AH1313" s="190"/>
      <c r="AI1313" s="190"/>
      <c r="AJ1313" s="190"/>
      <c r="AK1313" s="190"/>
      <c r="AL1313" s="190"/>
      <c r="AM1313" s="190"/>
      <c r="AN1313" s="190"/>
    </row>
    <row r="1314" spans="8:40" s="220" customFormat="1" ht="12" hidden="1" customHeight="1">
      <c r="H1314" s="168" t="s">
        <v>3292</v>
      </c>
      <c r="I1314" s="206" t="s">
        <v>3402</v>
      </c>
      <c r="J1314" s="206" t="s">
        <v>3403</v>
      </c>
      <c r="K1314" s="206" t="s">
        <v>3363</v>
      </c>
      <c r="L1314" s="164"/>
      <c r="M1314" s="157"/>
      <c r="N1314" s="165"/>
      <c r="O1314" s="169"/>
      <c r="P1314" s="169">
        <v>234942.2</v>
      </c>
      <c r="Q1314" s="166">
        <f t="shared" si="61"/>
        <v>0</v>
      </c>
      <c r="R1314" s="169"/>
      <c r="S1314" s="169"/>
      <c r="T1314" s="169"/>
      <c r="U1314" s="169"/>
      <c r="V1314" s="166">
        <f t="shared" si="60"/>
        <v>0</v>
      </c>
      <c r="W1314" s="205"/>
      <c r="X1314" s="167"/>
      <c r="Y1314" s="190"/>
      <c r="Z1314" s="190"/>
      <c r="AA1314" s="190"/>
      <c r="AB1314" s="190"/>
      <c r="AC1314" s="190"/>
      <c r="AD1314" s="190"/>
      <c r="AE1314" s="190"/>
      <c r="AF1314" s="190"/>
      <c r="AG1314" s="190"/>
      <c r="AH1314" s="190"/>
      <c r="AI1314" s="190"/>
      <c r="AJ1314" s="190"/>
      <c r="AK1314" s="190"/>
      <c r="AL1314" s="190"/>
      <c r="AM1314" s="190"/>
      <c r="AN1314" s="190"/>
    </row>
    <row r="1315" spans="8:40" s="220" customFormat="1" ht="12" hidden="1" customHeight="1">
      <c r="H1315" s="168" t="s">
        <v>3293</v>
      </c>
      <c r="I1315" s="206" t="s">
        <v>3404</v>
      </c>
      <c r="J1315" s="206" t="s">
        <v>3405</v>
      </c>
      <c r="K1315" s="206" t="s">
        <v>837</v>
      </c>
      <c r="L1315" s="164"/>
      <c r="M1315" s="157"/>
      <c r="N1315" s="165"/>
      <c r="O1315" s="169"/>
      <c r="P1315" s="169">
        <v>382198.4</v>
      </c>
      <c r="Q1315" s="166">
        <f t="shared" si="61"/>
        <v>0</v>
      </c>
      <c r="R1315" s="169"/>
      <c r="S1315" s="169"/>
      <c r="T1315" s="169"/>
      <c r="U1315" s="169"/>
      <c r="V1315" s="166">
        <f t="shared" si="60"/>
        <v>0</v>
      </c>
      <c r="W1315" s="205"/>
      <c r="X1315" s="167"/>
      <c r="Y1315" s="190"/>
      <c r="Z1315" s="190"/>
      <c r="AA1315" s="190"/>
      <c r="AB1315" s="190"/>
      <c r="AC1315" s="190"/>
      <c r="AD1315" s="190"/>
      <c r="AE1315" s="190"/>
      <c r="AF1315" s="190"/>
      <c r="AG1315" s="190"/>
      <c r="AH1315" s="190"/>
      <c r="AI1315" s="190"/>
      <c r="AJ1315" s="190"/>
      <c r="AK1315" s="190"/>
      <c r="AL1315" s="190"/>
      <c r="AM1315" s="190"/>
      <c r="AN1315" s="190"/>
    </row>
    <row r="1316" spans="8:40" s="220" customFormat="1" ht="12" hidden="1" customHeight="1">
      <c r="H1316" s="168" t="s">
        <v>3294</v>
      </c>
      <c r="I1316" s="206" t="s">
        <v>3406</v>
      </c>
      <c r="J1316" s="206" t="s">
        <v>3407</v>
      </c>
      <c r="K1316" s="206" t="s">
        <v>836</v>
      </c>
      <c r="L1316" s="164"/>
      <c r="M1316" s="157"/>
      <c r="N1316" s="165"/>
      <c r="O1316" s="169"/>
      <c r="P1316" s="169">
        <v>267888.8</v>
      </c>
      <c r="Q1316" s="166">
        <f t="shared" si="61"/>
        <v>0</v>
      </c>
      <c r="R1316" s="169"/>
      <c r="S1316" s="169"/>
      <c r="T1316" s="169"/>
      <c r="U1316" s="169"/>
      <c r="V1316" s="166">
        <f t="shared" si="60"/>
        <v>0</v>
      </c>
      <c r="W1316" s="205"/>
      <c r="X1316" s="167"/>
      <c r="Y1316" s="190"/>
      <c r="Z1316" s="190"/>
      <c r="AA1316" s="190"/>
      <c r="AB1316" s="190"/>
      <c r="AC1316" s="190"/>
      <c r="AD1316" s="190"/>
      <c r="AE1316" s="190"/>
      <c r="AF1316" s="190"/>
      <c r="AG1316" s="190"/>
      <c r="AH1316" s="190"/>
      <c r="AI1316" s="190"/>
      <c r="AJ1316" s="190"/>
      <c r="AK1316" s="190"/>
      <c r="AL1316" s="190"/>
      <c r="AM1316" s="190"/>
      <c r="AN1316" s="190"/>
    </row>
    <row r="1317" spans="8:40" s="220" customFormat="1" ht="12" hidden="1" customHeight="1">
      <c r="H1317" s="168" t="s">
        <v>3295</v>
      </c>
      <c r="I1317" s="206" t="s">
        <v>3408</v>
      </c>
      <c r="J1317" s="206" t="s">
        <v>3409</v>
      </c>
      <c r="K1317" s="206" t="s">
        <v>3360</v>
      </c>
      <c r="L1317" s="164"/>
      <c r="M1317" s="157"/>
      <c r="N1317" s="165"/>
      <c r="O1317" s="169"/>
      <c r="P1317" s="169">
        <v>168694.8</v>
      </c>
      <c r="Q1317" s="166">
        <f t="shared" si="61"/>
        <v>0</v>
      </c>
      <c r="R1317" s="169"/>
      <c r="S1317" s="169"/>
      <c r="T1317" s="169"/>
      <c r="U1317" s="169"/>
      <c r="V1317" s="166">
        <f t="shared" si="60"/>
        <v>0</v>
      </c>
      <c r="W1317" s="205"/>
      <c r="X1317" s="167"/>
      <c r="Y1317" s="190"/>
      <c r="Z1317" s="190"/>
      <c r="AA1317" s="190"/>
      <c r="AB1317" s="190"/>
      <c r="AC1317" s="190"/>
      <c r="AD1317" s="190"/>
      <c r="AE1317" s="190"/>
      <c r="AF1317" s="190"/>
      <c r="AG1317" s="190"/>
      <c r="AH1317" s="190"/>
      <c r="AI1317" s="190"/>
      <c r="AJ1317" s="190"/>
      <c r="AK1317" s="190"/>
      <c r="AL1317" s="190"/>
      <c r="AM1317" s="190"/>
      <c r="AN1317" s="190"/>
    </row>
    <row r="1318" spans="8:40" s="220" customFormat="1" ht="12" hidden="1" customHeight="1">
      <c r="H1318" s="168" t="s">
        <v>3296</v>
      </c>
      <c r="I1318" s="206" t="s">
        <v>3410</v>
      </c>
      <c r="J1318" s="206" t="s">
        <v>3411</v>
      </c>
      <c r="K1318" s="206" t="s">
        <v>3363</v>
      </c>
      <c r="L1318" s="164"/>
      <c r="M1318" s="157"/>
      <c r="N1318" s="165"/>
      <c r="O1318" s="169"/>
      <c r="P1318" s="169">
        <v>595702</v>
      </c>
      <c r="Q1318" s="166">
        <f t="shared" si="61"/>
        <v>0</v>
      </c>
      <c r="R1318" s="169"/>
      <c r="S1318" s="169"/>
      <c r="T1318" s="169"/>
      <c r="U1318" s="169"/>
      <c r="V1318" s="166">
        <f t="shared" si="60"/>
        <v>0</v>
      </c>
      <c r="W1318" s="205"/>
      <c r="X1318" s="167"/>
      <c r="Y1318" s="190"/>
      <c r="Z1318" s="190"/>
      <c r="AA1318" s="190"/>
      <c r="AB1318" s="190"/>
      <c r="AC1318" s="190"/>
      <c r="AD1318" s="190"/>
      <c r="AE1318" s="190"/>
      <c r="AF1318" s="190"/>
      <c r="AG1318" s="190"/>
      <c r="AH1318" s="190"/>
      <c r="AI1318" s="190"/>
      <c r="AJ1318" s="190"/>
      <c r="AK1318" s="190"/>
      <c r="AL1318" s="190"/>
      <c r="AM1318" s="190"/>
      <c r="AN1318" s="190"/>
    </row>
    <row r="1319" spans="8:40" s="220" customFormat="1" ht="12" hidden="1" customHeight="1">
      <c r="H1319" s="168" t="s">
        <v>3297</v>
      </c>
      <c r="I1319" s="206" t="s">
        <v>3412</v>
      </c>
      <c r="J1319" s="206" t="s">
        <v>3413</v>
      </c>
      <c r="K1319" s="206" t="s">
        <v>837</v>
      </c>
      <c r="L1319" s="164"/>
      <c r="M1319" s="157"/>
      <c r="N1319" s="165"/>
      <c r="O1319" s="169"/>
      <c r="P1319" s="169">
        <v>736281</v>
      </c>
      <c r="Q1319" s="166">
        <f t="shared" si="61"/>
        <v>0</v>
      </c>
      <c r="R1319" s="169"/>
      <c r="S1319" s="169"/>
      <c r="T1319" s="169"/>
      <c r="U1319" s="169"/>
      <c r="V1319" s="166">
        <f t="shared" si="60"/>
        <v>0</v>
      </c>
      <c r="W1319" s="205"/>
      <c r="X1319" s="167"/>
      <c r="Y1319" s="190"/>
      <c r="Z1319" s="190"/>
      <c r="AA1319" s="190"/>
      <c r="AB1319" s="190"/>
      <c r="AC1319" s="190"/>
      <c r="AD1319" s="190"/>
      <c r="AE1319" s="190"/>
      <c r="AF1319" s="190"/>
      <c r="AG1319" s="190"/>
      <c r="AH1319" s="190"/>
      <c r="AI1319" s="190"/>
      <c r="AJ1319" s="190"/>
      <c r="AK1319" s="190"/>
      <c r="AL1319" s="190"/>
      <c r="AM1319" s="190"/>
      <c r="AN1319" s="190"/>
    </row>
    <row r="1320" spans="8:40" s="220" customFormat="1" ht="12" hidden="1" customHeight="1">
      <c r="H1320" s="168" t="s">
        <v>3298</v>
      </c>
      <c r="I1320" s="206" t="s">
        <v>3414</v>
      </c>
      <c r="J1320" s="206" t="s">
        <v>3415</v>
      </c>
      <c r="K1320" s="206" t="s">
        <v>836</v>
      </c>
      <c r="L1320" s="164"/>
      <c r="M1320" s="157"/>
      <c r="N1320" s="165"/>
      <c r="O1320" s="169"/>
      <c r="P1320" s="169">
        <v>267888.8</v>
      </c>
      <c r="Q1320" s="166">
        <f t="shared" si="61"/>
        <v>0</v>
      </c>
      <c r="R1320" s="169"/>
      <c r="S1320" s="169"/>
      <c r="T1320" s="169"/>
      <c r="U1320" s="169"/>
      <c r="V1320" s="166">
        <f t="shared" si="60"/>
        <v>0</v>
      </c>
      <c r="W1320" s="205"/>
      <c r="X1320" s="167"/>
      <c r="Y1320" s="190"/>
      <c r="Z1320" s="190"/>
      <c r="AA1320" s="190"/>
      <c r="AB1320" s="190"/>
      <c r="AC1320" s="190"/>
      <c r="AD1320" s="190"/>
      <c r="AE1320" s="190"/>
      <c r="AF1320" s="190"/>
      <c r="AG1320" s="190"/>
      <c r="AH1320" s="190"/>
      <c r="AI1320" s="190"/>
      <c r="AJ1320" s="190"/>
      <c r="AK1320" s="190"/>
      <c r="AL1320" s="190"/>
      <c r="AM1320" s="190"/>
      <c r="AN1320" s="190"/>
    </row>
    <row r="1321" spans="8:40" s="220" customFormat="1" ht="12" hidden="1" customHeight="1">
      <c r="H1321" s="168" t="s">
        <v>3299</v>
      </c>
      <c r="I1321" s="206" t="s">
        <v>3416</v>
      </c>
      <c r="J1321" s="206" t="s">
        <v>3417</v>
      </c>
      <c r="K1321" s="206" t="s">
        <v>3360</v>
      </c>
      <c r="L1321" s="164"/>
      <c r="M1321" s="157"/>
      <c r="N1321" s="165"/>
      <c r="O1321" s="169"/>
      <c r="P1321" s="169">
        <v>140579</v>
      </c>
      <c r="Q1321" s="166">
        <f t="shared" si="61"/>
        <v>0</v>
      </c>
      <c r="R1321" s="169"/>
      <c r="S1321" s="169"/>
      <c r="T1321" s="169"/>
      <c r="U1321" s="169"/>
      <c r="V1321" s="166">
        <f t="shared" si="60"/>
        <v>0</v>
      </c>
      <c r="W1321" s="205"/>
      <c r="X1321" s="167"/>
      <c r="Y1321" s="190"/>
      <c r="Z1321" s="190"/>
      <c r="AA1321" s="190"/>
      <c r="AB1321" s="190"/>
      <c r="AC1321" s="190"/>
      <c r="AD1321" s="190"/>
      <c r="AE1321" s="190"/>
      <c r="AF1321" s="190"/>
      <c r="AG1321" s="190"/>
      <c r="AH1321" s="190"/>
      <c r="AI1321" s="190"/>
      <c r="AJ1321" s="190"/>
      <c r="AK1321" s="190"/>
      <c r="AL1321" s="190"/>
      <c r="AM1321" s="190"/>
      <c r="AN1321" s="190"/>
    </row>
    <row r="1322" spans="8:40" s="220" customFormat="1" ht="12" hidden="1" customHeight="1">
      <c r="H1322" s="168" t="s">
        <v>3300</v>
      </c>
      <c r="I1322" s="206" t="s">
        <v>3418</v>
      </c>
      <c r="J1322" s="206" t="s">
        <v>3419</v>
      </c>
      <c r="K1322" s="206" t="s">
        <v>3363</v>
      </c>
      <c r="L1322" s="164"/>
      <c r="M1322" s="157"/>
      <c r="N1322" s="165"/>
      <c r="O1322" s="169"/>
      <c r="P1322" s="169">
        <v>382198.4</v>
      </c>
      <c r="Q1322" s="166">
        <f t="shared" si="61"/>
        <v>0</v>
      </c>
      <c r="R1322" s="169"/>
      <c r="S1322" s="169"/>
      <c r="T1322" s="169"/>
      <c r="U1322" s="169"/>
      <c r="V1322" s="166">
        <f t="shared" si="60"/>
        <v>0</v>
      </c>
      <c r="W1322" s="205"/>
      <c r="X1322" s="167"/>
      <c r="Y1322" s="190"/>
      <c r="Z1322" s="190"/>
      <c r="AA1322" s="190"/>
      <c r="AB1322" s="190"/>
      <c r="AC1322" s="190"/>
      <c r="AD1322" s="190"/>
      <c r="AE1322" s="190"/>
      <c r="AF1322" s="190"/>
      <c r="AG1322" s="190"/>
      <c r="AH1322" s="190"/>
      <c r="AI1322" s="190"/>
      <c r="AJ1322" s="190"/>
      <c r="AK1322" s="190"/>
      <c r="AL1322" s="190"/>
      <c r="AM1322" s="190"/>
      <c r="AN1322" s="190"/>
    </row>
    <row r="1323" spans="8:40" s="220" customFormat="1" ht="12" hidden="1" customHeight="1">
      <c r="H1323" s="168" t="s">
        <v>3301</v>
      </c>
      <c r="I1323" s="206" t="s">
        <v>3420</v>
      </c>
      <c r="J1323" s="206" t="s">
        <v>3421</v>
      </c>
      <c r="K1323" s="206" t="s">
        <v>837</v>
      </c>
      <c r="L1323" s="164"/>
      <c r="M1323" s="157"/>
      <c r="N1323" s="165"/>
      <c r="O1323" s="169"/>
      <c r="P1323" s="169">
        <v>350744</v>
      </c>
      <c r="Q1323" s="166">
        <f t="shared" si="61"/>
        <v>0</v>
      </c>
      <c r="R1323" s="169"/>
      <c r="S1323" s="169"/>
      <c r="T1323" s="169"/>
      <c r="U1323" s="169"/>
      <c r="V1323" s="166">
        <f t="shared" si="60"/>
        <v>0</v>
      </c>
      <c r="W1323" s="205"/>
      <c r="X1323" s="167"/>
      <c r="Y1323" s="190"/>
      <c r="Z1323" s="190"/>
      <c r="AA1323" s="190"/>
      <c r="AB1323" s="190"/>
      <c r="AC1323" s="190"/>
      <c r="AD1323" s="190"/>
      <c r="AE1323" s="190"/>
      <c r="AF1323" s="190"/>
      <c r="AG1323" s="190"/>
      <c r="AH1323" s="190"/>
      <c r="AI1323" s="190"/>
      <c r="AJ1323" s="190"/>
      <c r="AK1323" s="190"/>
      <c r="AL1323" s="190"/>
      <c r="AM1323" s="190"/>
      <c r="AN1323" s="190"/>
    </row>
    <row r="1324" spans="8:40" s="220" customFormat="1" ht="12" hidden="1" customHeight="1">
      <c r="H1324" s="168" t="s">
        <v>3302</v>
      </c>
      <c r="I1324" s="206" t="s">
        <v>3422</v>
      </c>
      <c r="J1324" s="206" t="s">
        <v>3423</v>
      </c>
      <c r="K1324" s="206" t="s">
        <v>836</v>
      </c>
      <c r="L1324" s="164"/>
      <c r="M1324" s="157"/>
      <c r="N1324" s="165"/>
      <c r="O1324" s="169"/>
      <c r="P1324" s="169">
        <v>239773</v>
      </c>
      <c r="Q1324" s="166">
        <f t="shared" si="61"/>
        <v>0</v>
      </c>
      <c r="R1324" s="169"/>
      <c r="S1324" s="169"/>
      <c r="T1324" s="169"/>
      <c r="U1324" s="169"/>
      <c r="V1324" s="166">
        <f t="shared" si="60"/>
        <v>0</v>
      </c>
      <c r="W1324" s="205"/>
      <c r="X1324" s="167"/>
      <c r="Y1324" s="190"/>
      <c r="Z1324" s="190"/>
      <c r="AA1324" s="190"/>
      <c r="AB1324" s="190"/>
      <c r="AC1324" s="190"/>
      <c r="AD1324" s="190"/>
      <c r="AE1324" s="190"/>
      <c r="AF1324" s="190"/>
      <c r="AG1324" s="190"/>
      <c r="AH1324" s="190"/>
      <c r="AI1324" s="190"/>
      <c r="AJ1324" s="190"/>
      <c r="AK1324" s="190"/>
      <c r="AL1324" s="190"/>
      <c r="AM1324" s="190"/>
      <c r="AN1324" s="190"/>
    </row>
    <row r="1325" spans="8:40" s="220" customFormat="1" ht="12" hidden="1" customHeight="1">
      <c r="H1325" s="168" t="s">
        <v>3303</v>
      </c>
      <c r="I1325" s="206" t="s">
        <v>3424</v>
      </c>
      <c r="J1325" s="206" t="s">
        <v>3425</v>
      </c>
      <c r="K1325" s="206" t="s">
        <v>3360</v>
      </c>
      <c r="L1325" s="164"/>
      <c r="M1325" s="157"/>
      <c r="N1325" s="165"/>
      <c r="O1325" s="169"/>
      <c r="P1325" s="169">
        <v>112463.2</v>
      </c>
      <c r="Q1325" s="166">
        <f t="shared" si="61"/>
        <v>0</v>
      </c>
      <c r="R1325" s="169"/>
      <c r="S1325" s="169"/>
      <c r="T1325" s="169"/>
      <c r="U1325" s="169"/>
      <c r="V1325" s="166">
        <f t="shared" si="60"/>
        <v>0</v>
      </c>
      <c r="W1325" s="205"/>
      <c r="X1325" s="167"/>
      <c r="Y1325" s="190"/>
      <c r="Z1325" s="190"/>
      <c r="AA1325" s="190"/>
      <c r="AB1325" s="190"/>
      <c r="AC1325" s="190"/>
      <c r="AD1325" s="190"/>
      <c r="AE1325" s="190"/>
      <c r="AF1325" s="190"/>
      <c r="AG1325" s="190"/>
      <c r="AH1325" s="190"/>
      <c r="AI1325" s="190"/>
      <c r="AJ1325" s="190"/>
      <c r="AK1325" s="190"/>
      <c r="AL1325" s="190"/>
      <c r="AM1325" s="190"/>
      <c r="AN1325" s="190"/>
    </row>
    <row r="1326" spans="8:40" s="220" customFormat="1" ht="12" hidden="1" customHeight="1">
      <c r="H1326" s="168" t="s">
        <v>3304</v>
      </c>
      <c r="I1326" s="206" t="s">
        <v>3426</v>
      </c>
      <c r="J1326" s="206" t="s">
        <v>3427</v>
      </c>
      <c r="K1326" s="206" t="s">
        <v>3363</v>
      </c>
      <c r="L1326" s="164"/>
      <c r="M1326" s="157"/>
      <c r="N1326" s="165"/>
      <c r="O1326" s="169"/>
      <c r="P1326" s="169">
        <v>294512.40000000002</v>
      </c>
      <c r="Q1326" s="166">
        <f t="shared" si="61"/>
        <v>0</v>
      </c>
      <c r="R1326" s="169"/>
      <c r="S1326" s="169"/>
      <c r="T1326" s="169"/>
      <c r="U1326" s="169"/>
      <c r="V1326" s="166">
        <f t="shared" si="60"/>
        <v>0</v>
      </c>
      <c r="W1326" s="205"/>
      <c r="X1326" s="167"/>
      <c r="Y1326" s="190"/>
      <c r="Z1326" s="190"/>
      <c r="AA1326" s="190"/>
      <c r="AB1326" s="190"/>
      <c r="AC1326" s="190"/>
      <c r="AD1326" s="190"/>
      <c r="AE1326" s="190"/>
      <c r="AF1326" s="190"/>
      <c r="AG1326" s="190"/>
      <c r="AH1326" s="190"/>
      <c r="AI1326" s="190"/>
      <c r="AJ1326" s="190"/>
      <c r="AK1326" s="190"/>
      <c r="AL1326" s="190"/>
      <c r="AM1326" s="190"/>
      <c r="AN1326" s="190"/>
    </row>
    <row r="1327" spans="8:40" s="220" customFormat="1" ht="12" hidden="1" customHeight="1">
      <c r="H1327" s="168" t="s">
        <v>3305</v>
      </c>
      <c r="I1327" s="206" t="s">
        <v>3428</v>
      </c>
      <c r="J1327" s="206" t="s">
        <v>3429</v>
      </c>
      <c r="K1327" s="206" t="s">
        <v>837</v>
      </c>
      <c r="L1327" s="164"/>
      <c r="M1327" s="157"/>
      <c r="N1327" s="165"/>
      <c r="O1327" s="169"/>
      <c r="P1327" s="169">
        <v>413652.8</v>
      </c>
      <c r="Q1327" s="166">
        <f t="shared" si="61"/>
        <v>0</v>
      </c>
      <c r="R1327" s="169"/>
      <c r="S1327" s="169"/>
      <c r="T1327" s="169"/>
      <c r="U1327" s="169"/>
      <c r="V1327" s="166">
        <f t="shared" si="60"/>
        <v>0</v>
      </c>
      <c r="W1327" s="205"/>
      <c r="X1327" s="167"/>
      <c r="Y1327" s="190"/>
      <c r="Z1327" s="190"/>
      <c r="AA1327" s="190"/>
      <c r="AB1327" s="190"/>
      <c r="AC1327" s="190"/>
      <c r="AD1327" s="190"/>
      <c r="AE1327" s="190"/>
      <c r="AF1327" s="190"/>
      <c r="AG1327" s="190"/>
      <c r="AH1327" s="190"/>
      <c r="AI1327" s="190"/>
      <c r="AJ1327" s="190"/>
      <c r="AK1327" s="190"/>
      <c r="AL1327" s="190"/>
      <c r="AM1327" s="190"/>
      <c r="AN1327" s="190"/>
    </row>
    <row r="1328" spans="8:40" s="220" customFormat="1" ht="12" hidden="1" customHeight="1">
      <c r="H1328" s="168" t="s">
        <v>3306</v>
      </c>
      <c r="I1328" s="206" t="s">
        <v>3430</v>
      </c>
      <c r="J1328" s="206" t="s">
        <v>3431</v>
      </c>
      <c r="K1328" s="206" t="s">
        <v>836</v>
      </c>
      <c r="L1328" s="164"/>
      <c r="M1328" s="157"/>
      <c r="N1328" s="165"/>
      <c r="O1328" s="169"/>
      <c r="P1328" s="169">
        <v>239773</v>
      </c>
      <c r="Q1328" s="166">
        <f t="shared" si="61"/>
        <v>0</v>
      </c>
      <c r="R1328" s="169"/>
      <c r="S1328" s="169"/>
      <c r="T1328" s="169"/>
      <c r="U1328" s="169"/>
      <c r="V1328" s="166">
        <f t="shared" si="60"/>
        <v>0</v>
      </c>
      <c r="W1328" s="205"/>
      <c r="X1328" s="167"/>
      <c r="Y1328" s="190"/>
      <c r="Z1328" s="190"/>
      <c r="AA1328" s="190"/>
      <c r="AB1328" s="190"/>
      <c r="AC1328" s="190"/>
      <c r="AD1328" s="190"/>
      <c r="AE1328" s="190"/>
      <c r="AF1328" s="190"/>
      <c r="AG1328" s="190"/>
      <c r="AH1328" s="190"/>
      <c r="AI1328" s="190"/>
      <c r="AJ1328" s="190"/>
      <c r="AK1328" s="190"/>
      <c r="AL1328" s="190"/>
      <c r="AM1328" s="190"/>
      <c r="AN1328" s="190"/>
    </row>
    <row r="1329" spans="8:40" s="220" customFormat="1" ht="12" hidden="1" customHeight="1">
      <c r="H1329" s="168" t="s">
        <v>3307</v>
      </c>
      <c r="I1329" s="206" t="s">
        <v>3432</v>
      </c>
      <c r="J1329" s="206" t="s">
        <v>3433</v>
      </c>
      <c r="K1329" s="206" t="s">
        <v>3360</v>
      </c>
      <c r="L1329" s="164"/>
      <c r="M1329" s="157"/>
      <c r="N1329" s="165"/>
      <c r="O1329" s="169"/>
      <c r="P1329" s="169">
        <v>112463.2</v>
      </c>
      <c r="Q1329" s="166">
        <f t="shared" si="61"/>
        <v>0</v>
      </c>
      <c r="R1329" s="169"/>
      <c r="S1329" s="169"/>
      <c r="T1329" s="169"/>
      <c r="U1329" s="169"/>
      <c r="V1329" s="166">
        <f t="shared" si="60"/>
        <v>0</v>
      </c>
      <c r="W1329" s="205"/>
      <c r="X1329" s="167"/>
      <c r="Y1329" s="190"/>
      <c r="Z1329" s="190"/>
      <c r="AA1329" s="190"/>
      <c r="AB1329" s="190"/>
      <c r="AC1329" s="190"/>
      <c r="AD1329" s="190"/>
      <c r="AE1329" s="190"/>
      <c r="AF1329" s="190"/>
      <c r="AG1329" s="190"/>
      <c r="AH1329" s="190"/>
      <c r="AI1329" s="190"/>
      <c r="AJ1329" s="190"/>
      <c r="AK1329" s="190"/>
      <c r="AL1329" s="190"/>
      <c r="AM1329" s="190"/>
      <c r="AN1329" s="190"/>
    </row>
    <row r="1330" spans="8:40" s="220" customFormat="1" ht="12" hidden="1" customHeight="1">
      <c r="H1330" s="168" t="s">
        <v>3308</v>
      </c>
      <c r="I1330" s="206" t="s">
        <v>3434</v>
      </c>
      <c r="J1330" s="206" t="s">
        <v>3435</v>
      </c>
      <c r="K1330" s="206" t="s">
        <v>3363</v>
      </c>
      <c r="L1330" s="164"/>
      <c r="M1330" s="157"/>
      <c r="N1330" s="165"/>
      <c r="O1330" s="169"/>
      <c r="P1330" s="169">
        <v>294512.40000000002</v>
      </c>
      <c r="Q1330" s="166">
        <f t="shared" si="61"/>
        <v>0</v>
      </c>
      <c r="R1330" s="169"/>
      <c r="S1330" s="169"/>
      <c r="T1330" s="169"/>
      <c r="U1330" s="169"/>
      <c r="V1330" s="166">
        <f t="shared" si="60"/>
        <v>0</v>
      </c>
      <c r="W1330" s="205"/>
      <c r="X1330" s="167"/>
      <c r="Y1330" s="190"/>
      <c r="Z1330" s="190"/>
      <c r="AA1330" s="190"/>
      <c r="AB1330" s="190"/>
      <c r="AC1330" s="190"/>
      <c r="AD1330" s="190"/>
      <c r="AE1330" s="190"/>
      <c r="AF1330" s="190"/>
      <c r="AG1330" s="190"/>
      <c r="AH1330" s="190"/>
      <c r="AI1330" s="190"/>
      <c r="AJ1330" s="190"/>
      <c r="AK1330" s="190"/>
      <c r="AL1330" s="190"/>
      <c r="AM1330" s="190"/>
      <c r="AN1330" s="190"/>
    </row>
    <row r="1331" spans="8:40" s="220" customFormat="1" ht="12" hidden="1" customHeight="1">
      <c r="H1331" s="168" t="s">
        <v>3309</v>
      </c>
      <c r="I1331" s="206" t="s">
        <v>3436</v>
      </c>
      <c r="J1331" s="206" t="s">
        <v>3437</v>
      </c>
      <c r="K1331" s="206" t="s">
        <v>837</v>
      </c>
      <c r="L1331" s="164"/>
      <c r="M1331" s="157"/>
      <c r="N1331" s="165"/>
      <c r="O1331" s="169"/>
      <c r="P1331" s="169">
        <v>413652.8</v>
      </c>
      <c r="Q1331" s="166">
        <f t="shared" si="61"/>
        <v>0</v>
      </c>
      <c r="R1331" s="169"/>
      <c r="S1331" s="169"/>
      <c r="T1331" s="169"/>
      <c r="U1331" s="169"/>
      <c r="V1331" s="166">
        <f t="shared" si="60"/>
        <v>0</v>
      </c>
      <c r="W1331" s="205"/>
      <c r="X1331" s="167"/>
      <c r="Y1331" s="190"/>
      <c r="Z1331" s="190"/>
      <c r="AA1331" s="190"/>
      <c r="AB1331" s="190"/>
      <c r="AC1331" s="190"/>
      <c r="AD1331" s="190"/>
      <c r="AE1331" s="190"/>
      <c r="AF1331" s="190"/>
      <c r="AG1331" s="190"/>
      <c r="AH1331" s="190"/>
      <c r="AI1331" s="190"/>
      <c r="AJ1331" s="190"/>
      <c r="AK1331" s="190"/>
      <c r="AL1331" s="190"/>
      <c r="AM1331" s="190"/>
      <c r="AN1331" s="190"/>
    </row>
    <row r="1332" spans="8:40" s="220" customFormat="1" ht="12" hidden="1" customHeight="1">
      <c r="H1332" s="168" t="s">
        <v>3310</v>
      </c>
      <c r="I1332" s="206" t="s">
        <v>3438</v>
      </c>
      <c r="J1332" s="206" t="s">
        <v>3439</v>
      </c>
      <c r="K1332" s="206" t="s">
        <v>836</v>
      </c>
      <c r="L1332" s="164"/>
      <c r="M1332" s="157"/>
      <c r="N1332" s="165"/>
      <c r="O1332" s="169"/>
      <c r="P1332" s="169">
        <v>424682.82</v>
      </c>
      <c r="Q1332" s="166">
        <f t="shared" si="61"/>
        <v>0</v>
      </c>
      <c r="R1332" s="169"/>
      <c r="S1332" s="169"/>
      <c r="T1332" s="169"/>
      <c r="U1332" s="169"/>
      <c r="V1332" s="166">
        <f t="shared" si="60"/>
        <v>0</v>
      </c>
      <c r="W1332" s="205"/>
      <c r="X1332" s="167"/>
      <c r="Y1332" s="190"/>
      <c r="Z1332" s="190"/>
      <c r="AA1332" s="190"/>
      <c r="AB1332" s="190"/>
      <c r="AC1332" s="190"/>
      <c r="AD1332" s="190"/>
      <c r="AE1332" s="190"/>
      <c r="AF1332" s="190"/>
      <c r="AG1332" s="190"/>
      <c r="AH1332" s="190"/>
      <c r="AI1332" s="190"/>
      <c r="AJ1332" s="190"/>
      <c r="AK1332" s="190"/>
      <c r="AL1332" s="190"/>
      <c r="AM1332" s="190"/>
      <c r="AN1332" s="190"/>
    </row>
    <row r="1333" spans="8:40" s="220" customFormat="1" ht="12" hidden="1" customHeight="1">
      <c r="H1333" s="168" t="s">
        <v>3311</v>
      </c>
      <c r="I1333" s="206" t="s">
        <v>3440</v>
      </c>
      <c r="J1333" s="206" t="s">
        <v>3441</v>
      </c>
      <c r="K1333" s="206" t="s">
        <v>3360</v>
      </c>
      <c r="L1333" s="164"/>
      <c r="M1333" s="157"/>
      <c r="N1333" s="165"/>
      <c r="O1333" s="169"/>
      <c r="P1333" s="169">
        <v>98405.3</v>
      </c>
      <c r="Q1333" s="166">
        <f t="shared" si="61"/>
        <v>0</v>
      </c>
      <c r="R1333" s="169"/>
      <c r="S1333" s="169"/>
      <c r="T1333" s="169"/>
      <c r="U1333" s="169"/>
      <c r="V1333" s="166">
        <f t="shared" si="60"/>
        <v>0</v>
      </c>
      <c r="W1333" s="205"/>
      <c r="X1333" s="167"/>
      <c r="Y1333" s="190"/>
      <c r="Z1333" s="190"/>
      <c r="AA1333" s="190"/>
      <c r="AB1333" s="190"/>
      <c r="AC1333" s="190"/>
      <c r="AD1333" s="190"/>
      <c r="AE1333" s="190"/>
      <c r="AF1333" s="190"/>
      <c r="AG1333" s="190"/>
      <c r="AH1333" s="190"/>
      <c r="AI1333" s="190"/>
      <c r="AJ1333" s="190"/>
      <c r="AK1333" s="190"/>
      <c r="AL1333" s="190"/>
      <c r="AM1333" s="190"/>
      <c r="AN1333" s="190"/>
    </row>
    <row r="1334" spans="8:40" s="220" customFormat="1" ht="12" hidden="1" customHeight="1">
      <c r="H1334" s="168" t="s">
        <v>3312</v>
      </c>
      <c r="I1334" s="206" t="s">
        <v>3442</v>
      </c>
      <c r="J1334" s="206" t="s">
        <v>3443</v>
      </c>
      <c r="K1334" s="206" t="s">
        <v>3363</v>
      </c>
      <c r="L1334" s="164"/>
      <c r="M1334" s="157"/>
      <c r="N1334" s="165"/>
      <c r="O1334" s="169"/>
      <c r="P1334" s="169">
        <v>605806.04</v>
      </c>
      <c r="Q1334" s="166">
        <f t="shared" si="61"/>
        <v>0</v>
      </c>
      <c r="R1334" s="169"/>
      <c r="S1334" s="169"/>
      <c r="T1334" s="169"/>
      <c r="U1334" s="169"/>
      <c r="V1334" s="166">
        <f t="shared" si="60"/>
        <v>0</v>
      </c>
      <c r="W1334" s="205"/>
      <c r="X1334" s="167"/>
      <c r="Y1334" s="190"/>
      <c r="Z1334" s="190"/>
      <c r="AA1334" s="190"/>
      <c r="AB1334" s="190"/>
      <c r="AC1334" s="190"/>
      <c r="AD1334" s="190"/>
      <c r="AE1334" s="190"/>
      <c r="AF1334" s="190"/>
      <c r="AG1334" s="190"/>
      <c r="AH1334" s="190"/>
      <c r="AI1334" s="190"/>
      <c r="AJ1334" s="190"/>
      <c r="AK1334" s="190"/>
      <c r="AL1334" s="190"/>
      <c r="AM1334" s="190"/>
      <c r="AN1334" s="190"/>
    </row>
    <row r="1335" spans="8:40" s="220" customFormat="1" ht="12" hidden="1" customHeight="1">
      <c r="H1335" s="168" t="s">
        <v>3313</v>
      </c>
      <c r="I1335" s="206" t="s">
        <v>3444</v>
      </c>
      <c r="J1335" s="206" t="s">
        <v>3445</v>
      </c>
      <c r="K1335" s="206" t="s">
        <v>837</v>
      </c>
      <c r="L1335" s="164"/>
      <c r="M1335" s="157"/>
      <c r="N1335" s="165"/>
      <c r="O1335" s="169"/>
      <c r="P1335" s="169">
        <v>730903.46</v>
      </c>
      <c r="Q1335" s="166">
        <f t="shared" si="61"/>
        <v>0</v>
      </c>
      <c r="R1335" s="169"/>
      <c r="S1335" s="169"/>
      <c r="T1335" s="169"/>
      <c r="U1335" s="169"/>
      <c r="V1335" s="166">
        <f t="shared" si="60"/>
        <v>0</v>
      </c>
      <c r="W1335" s="205"/>
      <c r="X1335" s="167"/>
      <c r="Y1335" s="190"/>
      <c r="Z1335" s="190"/>
      <c r="AA1335" s="190"/>
      <c r="AB1335" s="190"/>
      <c r="AC1335" s="190"/>
      <c r="AD1335" s="190"/>
      <c r="AE1335" s="190"/>
      <c r="AF1335" s="190"/>
      <c r="AG1335" s="190"/>
      <c r="AH1335" s="190"/>
      <c r="AI1335" s="190"/>
      <c r="AJ1335" s="190"/>
      <c r="AK1335" s="190"/>
      <c r="AL1335" s="190"/>
      <c r="AM1335" s="190"/>
      <c r="AN1335" s="190"/>
    </row>
    <row r="1336" spans="8:40" s="220" customFormat="1" ht="12" hidden="1" customHeight="1">
      <c r="H1336" s="168" t="s">
        <v>3314</v>
      </c>
      <c r="I1336" s="206" t="s">
        <v>3446</v>
      </c>
      <c r="J1336" s="206" t="s">
        <v>3447</v>
      </c>
      <c r="K1336" s="206" t="s">
        <v>836</v>
      </c>
      <c r="L1336" s="164"/>
      <c r="M1336" s="157"/>
      <c r="N1336" s="165"/>
      <c r="O1336" s="169"/>
      <c r="P1336" s="169">
        <v>239773</v>
      </c>
      <c r="Q1336" s="166">
        <f t="shared" si="61"/>
        <v>0</v>
      </c>
      <c r="R1336" s="169"/>
      <c r="S1336" s="169"/>
      <c r="T1336" s="169"/>
      <c r="U1336" s="169"/>
      <c r="V1336" s="166">
        <f t="shared" si="60"/>
        <v>0</v>
      </c>
      <c r="W1336" s="205"/>
      <c r="X1336" s="167"/>
      <c r="Y1336" s="190"/>
      <c r="Z1336" s="190"/>
      <c r="AA1336" s="190"/>
      <c r="AB1336" s="190"/>
      <c r="AC1336" s="190"/>
      <c r="AD1336" s="190"/>
      <c r="AE1336" s="190"/>
      <c r="AF1336" s="190"/>
      <c r="AG1336" s="190"/>
      <c r="AH1336" s="190"/>
      <c r="AI1336" s="190"/>
      <c r="AJ1336" s="190"/>
      <c r="AK1336" s="190"/>
      <c r="AL1336" s="190"/>
      <c r="AM1336" s="190"/>
      <c r="AN1336" s="190"/>
    </row>
    <row r="1337" spans="8:40" s="220" customFormat="1" ht="12" hidden="1" customHeight="1">
      <c r="H1337" s="168" t="s">
        <v>3315</v>
      </c>
      <c r="I1337" s="206" t="s">
        <v>3448</v>
      </c>
      <c r="J1337" s="206" t="s">
        <v>3449</v>
      </c>
      <c r="K1337" s="206" t="s">
        <v>3360</v>
      </c>
      <c r="L1337" s="164"/>
      <c r="M1337" s="157"/>
      <c r="N1337" s="165"/>
      <c r="O1337" s="169"/>
      <c r="P1337" s="169">
        <v>112463.2</v>
      </c>
      <c r="Q1337" s="166">
        <f t="shared" si="61"/>
        <v>0</v>
      </c>
      <c r="R1337" s="169"/>
      <c r="S1337" s="169"/>
      <c r="T1337" s="169"/>
      <c r="U1337" s="169"/>
      <c r="V1337" s="166">
        <f t="shared" si="60"/>
        <v>0</v>
      </c>
      <c r="W1337" s="205"/>
      <c r="X1337" s="167"/>
      <c r="Y1337" s="190"/>
      <c r="Z1337" s="190"/>
      <c r="AA1337" s="190"/>
      <c r="AB1337" s="190"/>
      <c r="AC1337" s="190"/>
      <c r="AD1337" s="190"/>
      <c r="AE1337" s="190"/>
      <c r="AF1337" s="190"/>
      <c r="AG1337" s="190"/>
      <c r="AH1337" s="190"/>
      <c r="AI1337" s="190"/>
      <c r="AJ1337" s="190"/>
      <c r="AK1337" s="190"/>
      <c r="AL1337" s="190"/>
      <c r="AM1337" s="190"/>
      <c r="AN1337" s="190"/>
    </row>
    <row r="1338" spans="8:40" s="220" customFormat="1" ht="12" hidden="1" customHeight="1">
      <c r="H1338" s="168" t="s">
        <v>3316</v>
      </c>
      <c r="I1338" s="206" t="s">
        <v>3450</v>
      </c>
      <c r="J1338" s="206" t="s">
        <v>3451</v>
      </c>
      <c r="K1338" s="206" t="s">
        <v>3363</v>
      </c>
      <c r="L1338" s="164"/>
      <c r="M1338" s="157"/>
      <c r="N1338" s="165"/>
      <c r="O1338" s="169"/>
      <c r="P1338" s="169">
        <v>261939</v>
      </c>
      <c r="Q1338" s="166">
        <f t="shared" si="61"/>
        <v>0</v>
      </c>
      <c r="R1338" s="169"/>
      <c r="S1338" s="169"/>
      <c r="T1338" s="169"/>
      <c r="U1338" s="169"/>
      <c r="V1338" s="166">
        <f t="shared" si="60"/>
        <v>0</v>
      </c>
      <c r="W1338" s="205"/>
      <c r="X1338" s="167"/>
      <c r="Y1338" s="190"/>
      <c r="Z1338" s="190"/>
      <c r="AA1338" s="190"/>
      <c r="AB1338" s="190"/>
      <c r="AC1338" s="190"/>
      <c r="AD1338" s="190"/>
      <c r="AE1338" s="190"/>
      <c r="AF1338" s="190"/>
      <c r="AG1338" s="190"/>
      <c r="AH1338" s="190"/>
      <c r="AI1338" s="190"/>
      <c r="AJ1338" s="190"/>
      <c r="AK1338" s="190"/>
      <c r="AL1338" s="190"/>
      <c r="AM1338" s="190"/>
      <c r="AN1338" s="190"/>
    </row>
    <row r="1339" spans="8:40" s="220" customFormat="1" ht="12" hidden="1" customHeight="1">
      <c r="H1339" s="168" t="s">
        <v>3317</v>
      </c>
      <c r="I1339" s="206" t="s">
        <v>3452</v>
      </c>
      <c r="J1339" s="206" t="s">
        <v>3453</v>
      </c>
      <c r="K1339" s="206" t="s">
        <v>837</v>
      </c>
      <c r="L1339" s="164"/>
      <c r="M1339" s="157"/>
      <c r="N1339" s="165"/>
      <c r="O1339" s="169"/>
      <c r="P1339" s="169">
        <v>438430</v>
      </c>
      <c r="Q1339" s="166">
        <f t="shared" si="61"/>
        <v>0</v>
      </c>
      <c r="R1339" s="169"/>
      <c r="S1339" s="169"/>
      <c r="T1339" s="169"/>
      <c r="U1339" s="169"/>
      <c r="V1339" s="166">
        <f t="shared" si="60"/>
        <v>0</v>
      </c>
      <c r="W1339" s="205"/>
      <c r="X1339" s="167"/>
      <c r="Y1339" s="190"/>
      <c r="Z1339" s="190"/>
      <c r="AA1339" s="190"/>
      <c r="AB1339" s="190"/>
      <c r="AC1339" s="190"/>
      <c r="AD1339" s="190"/>
      <c r="AE1339" s="190"/>
      <c r="AF1339" s="190"/>
      <c r="AG1339" s="190"/>
      <c r="AH1339" s="190"/>
      <c r="AI1339" s="190"/>
      <c r="AJ1339" s="190"/>
      <c r="AK1339" s="190"/>
      <c r="AL1339" s="190"/>
      <c r="AM1339" s="190"/>
      <c r="AN1339" s="190"/>
    </row>
    <row r="1340" spans="8:40" s="220" customFormat="1" ht="12" hidden="1" customHeight="1">
      <c r="H1340" s="168" t="s">
        <v>3318</v>
      </c>
      <c r="I1340" s="206" t="s">
        <v>3454</v>
      </c>
      <c r="J1340" s="206" t="s">
        <v>3455</v>
      </c>
      <c r="K1340" s="207" t="s">
        <v>5255</v>
      </c>
      <c r="L1340" s="164"/>
      <c r="M1340" s="157"/>
      <c r="N1340" s="165"/>
      <c r="O1340" s="169"/>
      <c r="P1340" s="169">
        <v>68722.899999999994</v>
      </c>
      <c r="Q1340" s="166">
        <f t="shared" si="61"/>
        <v>0</v>
      </c>
      <c r="R1340" s="169"/>
      <c r="S1340" s="169"/>
      <c r="T1340" s="169"/>
      <c r="U1340" s="169"/>
      <c r="V1340" s="166">
        <f t="shared" si="60"/>
        <v>0</v>
      </c>
      <c r="W1340" s="205"/>
      <c r="X1340" s="167"/>
      <c r="Y1340" s="190"/>
      <c r="Z1340" s="190"/>
      <c r="AA1340" s="190"/>
      <c r="AB1340" s="190"/>
      <c r="AC1340" s="190"/>
      <c r="AD1340" s="190"/>
      <c r="AE1340" s="190"/>
      <c r="AF1340" s="190"/>
      <c r="AG1340" s="190"/>
      <c r="AH1340" s="190"/>
      <c r="AI1340" s="190"/>
      <c r="AJ1340" s="190"/>
      <c r="AK1340" s="190"/>
      <c r="AL1340" s="190"/>
      <c r="AM1340" s="190"/>
      <c r="AN1340" s="190"/>
    </row>
    <row r="1341" spans="8:40" s="220" customFormat="1" ht="12" hidden="1" customHeight="1">
      <c r="H1341" s="168" t="s">
        <v>3319</v>
      </c>
      <c r="I1341" s="206" t="s">
        <v>3456</v>
      </c>
      <c r="J1341" s="206" t="s">
        <v>3457</v>
      </c>
      <c r="K1341" s="207" t="s">
        <v>5256</v>
      </c>
      <c r="L1341" s="164"/>
      <c r="M1341" s="157"/>
      <c r="N1341" s="165"/>
      <c r="O1341" s="169"/>
      <c r="P1341" s="169">
        <v>55000.7</v>
      </c>
      <c r="Q1341" s="166">
        <f t="shared" si="61"/>
        <v>0</v>
      </c>
      <c r="R1341" s="169"/>
      <c r="S1341" s="169"/>
      <c r="T1341" s="169"/>
      <c r="U1341" s="169"/>
      <c r="V1341" s="166">
        <f t="shared" si="60"/>
        <v>0</v>
      </c>
      <c r="W1341" s="205"/>
      <c r="X1341" s="167"/>
      <c r="Y1341" s="190"/>
      <c r="Z1341" s="190"/>
      <c r="AA1341" s="190"/>
      <c r="AB1341" s="190"/>
      <c r="AC1341" s="190"/>
      <c r="AD1341" s="190"/>
      <c r="AE1341" s="190"/>
      <c r="AF1341" s="190"/>
      <c r="AG1341" s="190"/>
      <c r="AH1341" s="190"/>
      <c r="AI1341" s="190"/>
      <c r="AJ1341" s="190"/>
      <c r="AK1341" s="190"/>
      <c r="AL1341" s="190"/>
      <c r="AM1341" s="190"/>
      <c r="AN1341" s="190"/>
    </row>
    <row r="1342" spans="8:40" s="220" customFormat="1" ht="12" hidden="1" customHeight="1">
      <c r="H1342" s="168" t="s">
        <v>3320</v>
      </c>
      <c r="I1342" s="206" t="s">
        <v>3458</v>
      </c>
      <c r="J1342" s="206" t="s">
        <v>3459</v>
      </c>
      <c r="K1342" s="207" t="s">
        <v>5257</v>
      </c>
      <c r="L1342" s="164"/>
      <c r="M1342" s="157"/>
      <c r="N1342" s="165"/>
      <c r="O1342" s="169"/>
      <c r="P1342" s="169">
        <v>22492.639999999999</v>
      </c>
      <c r="Q1342" s="166">
        <f t="shared" si="61"/>
        <v>0</v>
      </c>
      <c r="R1342" s="169"/>
      <c r="S1342" s="169"/>
      <c r="T1342" s="169"/>
      <c r="U1342" s="169"/>
      <c r="V1342" s="166">
        <f t="shared" si="60"/>
        <v>0</v>
      </c>
      <c r="W1342" s="205"/>
      <c r="X1342" s="167"/>
      <c r="Y1342" s="190"/>
      <c r="Z1342" s="190"/>
      <c r="AA1342" s="190"/>
      <c r="AB1342" s="190"/>
      <c r="AC1342" s="190"/>
      <c r="AD1342" s="190"/>
      <c r="AE1342" s="190"/>
      <c r="AF1342" s="190"/>
      <c r="AG1342" s="190"/>
      <c r="AH1342" s="190"/>
      <c r="AI1342" s="190"/>
      <c r="AJ1342" s="190"/>
      <c r="AK1342" s="190"/>
      <c r="AL1342" s="190"/>
      <c r="AM1342" s="190"/>
      <c r="AN1342" s="190"/>
    </row>
    <row r="1343" spans="8:40" s="220" customFormat="1" ht="12" hidden="1" customHeight="1">
      <c r="H1343" s="168" t="s">
        <v>3321</v>
      </c>
      <c r="I1343" s="206" t="s">
        <v>3460</v>
      </c>
      <c r="J1343" s="206" t="s">
        <v>3461</v>
      </c>
      <c r="K1343" s="207" t="s">
        <v>5258</v>
      </c>
      <c r="L1343" s="164"/>
      <c r="M1343" s="157"/>
      <c r="N1343" s="165"/>
      <c r="O1343" s="169"/>
      <c r="P1343" s="169">
        <v>115512.66</v>
      </c>
      <c r="Q1343" s="166">
        <f t="shared" si="61"/>
        <v>0</v>
      </c>
      <c r="R1343" s="169"/>
      <c r="S1343" s="169"/>
      <c r="T1343" s="169"/>
      <c r="U1343" s="169"/>
      <c r="V1343" s="166">
        <f t="shared" si="60"/>
        <v>0</v>
      </c>
      <c r="W1343" s="205"/>
      <c r="X1343" s="167"/>
      <c r="Y1343" s="190"/>
      <c r="Z1343" s="190"/>
      <c r="AA1343" s="190"/>
      <c r="AB1343" s="190"/>
      <c r="AC1343" s="190"/>
      <c r="AD1343" s="190"/>
      <c r="AE1343" s="190"/>
      <c r="AF1343" s="190"/>
      <c r="AG1343" s="190"/>
      <c r="AH1343" s="190"/>
      <c r="AI1343" s="190"/>
      <c r="AJ1343" s="190"/>
      <c r="AK1343" s="190"/>
      <c r="AL1343" s="190"/>
      <c r="AM1343" s="190"/>
      <c r="AN1343" s="190"/>
    </row>
    <row r="1344" spans="8:40" s="220" customFormat="1" ht="12" hidden="1" customHeight="1">
      <c r="H1344" s="168" t="s">
        <v>3322</v>
      </c>
      <c r="I1344" s="206" t="s">
        <v>3462</v>
      </c>
      <c r="J1344" s="206" t="s">
        <v>3463</v>
      </c>
      <c r="K1344" s="207" t="s">
        <v>5259</v>
      </c>
      <c r="L1344" s="164"/>
      <c r="M1344" s="157"/>
      <c r="N1344" s="165"/>
      <c r="O1344" s="169"/>
      <c r="P1344" s="169">
        <v>93467.62</v>
      </c>
      <c r="Q1344" s="166">
        <f t="shared" si="61"/>
        <v>0</v>
      </c>
      <c r="R1344" s="169"/>
      <c r="S1344" s="169"/>
      <c r="T1344" s="169"/>
      <c r="U1344" s="169"/>
      <c r="V1344" s="166">
        <f t="shared" si="60"/>
        <v>0</v>
      </c>
      <c r="W1344" s="205"/>
      <c r="X1344" s="167"/>
      <c r="Y1344" s="190"/>
      <c r="Z1344" s="190"/>
      <c r="AA1344" s="190"/>
      <c r="AB1344" s="190"/>
      <c r="AC1344" s="190"/>
      <c r="AD1344" s="190"/>
      <c r="AE1344" s="190"/>
      <c r="AF1344" s="190"/>
      <c r="AG1344" s="190"/>
      <c r="AH1344" s="190"/>
      <c r="AI1344" s="190"/>
      <c r="AJ1344" s="190"/>
      <c r="AK1344" s="190"/>
      <c r="AL1344" s="190"/>
      <c r="AM1344" s="190"/>
      <c r="AN1344" s="190"/>
    </row>
    <row r="1345" spans="8:40" s="220" customFormat="1" ht="12" hidden="1" customHeight="1">
      <c r="H1345" s="168" t="s">
        <v>3323</v>
      </c>
      <c r="I1345" s="206" t="s">
        <v>3464</v>
      </c>
      <c r="J1345" s="206" t="s">
        <v>3465</v>
      </c>
      <c r="K1345" s="207" t="s">
        <v>5260</v>
      </c>
      <c r="L1345" s="164"/>
      <c r="M1345" s="157"/>
      <c r="N1345" s="165"/>
      <c r="O1345" s="169"/>
      <c r="P1345" s="169">
        <v>36550.54</v>
      </c>
      <c r="Q1345" s="166">
        <f t="shared" si="61"/>
        <v>0</v>
      </c>
      <c r="R1345" s="169"/>
      <c r="S1345" s="169"/>
      <c r="T1345" s="169"/>
      <c r="U1345" s="169"/>
      <c r="V1345" s="166">
        <f t="shared" si="60"/>
        <v>0</v>
      </c>
      <c r="W1345" s="205"/>
      <c r="X1345" s="167"/>
      <c r="Y1345" s="190"/>
      <c r="Z1345" s="190"/>
      <c r="AA1345" s="190"/>
      <c r="AB1345" s="190"/>
      <c r="AC1345" s="190"/>
      <c r="AD1345" s="190"/>
      <c r="AE1345" s="190"/>
      <c r="AF1345" s="190"/>
      <c r="AG1345" s="190"/>
      <c r="AH1345" s="190"/>
      <c r="AI1345" s="190"/>
      <c r="AJ1345" s="190"/>
      <c r="AK1345" s="190"/>
      <c r="AL1345" s="190"/>
      <c r="AM1345" s="190"/>
      <c r="AN1345" s="190"/>
    </row>
    <row r="1346" spans="8:40" s="220" customFormat="1" ht="12" hidden="1" customHeight="1">
      <c r="H1346" s="168" t="s">
        <v>3324</v>
      </c>
      <c r="I1346" s="206" t="s">
        <v>3466</v>
      </c>
      <c r="J1346" s="206" t="s">
        <v>3467</v>
      </c>
      <c r="K1346" s="207" t="s">
        <v>5261</v>
      </c>
      <c r="L1346" s="164"/>
      <c r="M1346" s="157"/>
      <c r="N1346" s="165"/>
      <c r="O1346" s="169"/>
      <c r="P1346" s="169">
        <v>148468.32</v>
      </c>
      <c r="Q1346" s="166">
        <f t="shared" si="61"/>
        <v>0</v>
      </c>
      <c r="R1346" s="169"/>
      <c r="S1346" s="169"/>
      <c r="T1346" s="169"/>
      <c r="U1346" s="169"/>
      <c r="V1346" s="166">
        <f t="shared" si="60"/>
        <v>0</v>
      </c>
      <c r="W1346" s="205"/>
      <c r="X1346" s="167"/>
      <c r="Y1346" s="190"/>
      <c r="Z1346" s="190"/>
      <c r="AA1346" s="190"/>
      <c r="AB1346" s="190"/>
      <c r="AC1346" s="190"/>
      <c r="AD1346" s="190"/>
      <c r="AE1346" s="190"/>
      <c r="AF1346" s="190"/>
      <c r="AG1346" s="190"/>
      <c r="AH1346" s="190"/>
      <c r="AI1346" s="190"/>
      <c r="AJ1346" s="190"/>
      <c r="AK1346" s="190"/>
      <c r="AL1346" s="190"/>
      <c r="AM1346" s="190"/>
      <c r="AN1346" s="190"/>
    </row>
    <row r="1347" spans="8:40" s="220" customFormat="1" ht="12" hidden="1" customHeight="1">
      <c r="H1347" s="168" t="s">
        <v>3325</v>
      </c>
      <c r="I1347" s="206" t="s">
        <v>3468</v>
      </c>
      <c r="J1347" s="206" t="s">
        <v>3469</v>
      </c>
      <c r="K1347" s="207" t="s">
        <v>5262</v>
      </c>
      <c r="L1347" s="164"/>
      <c r="M1347" s="157"/>
      <c r="N1347" s="165"/>
      <c r="O1347" s="169"/>
      <c r="P1347" s="169">
        <v>118212.34</v>
      </c>
      <c r="Q1347" s="166">
        <f t="shared" si="61"/>
        <v>0</v>
      </c>
      <c r="R1347" s="169"/>
      <c r="S1347" s="169"/>
      <c r="T1347" s="169"/>
      <c r="U1347" s="169"/>
      <c r="V1347" s="166">
        <f t="shared" si="60"/>
        <v>0</v>
      </c>
      <c r="W1347" s="205"/>
      <c r="X1347" s="167"/>
      <c r="Y1347" s="190"/>
      <c r="Z1347" s="190"/>
      <c r="AA1347" s="190"/>
      <c r="AB1347" s="190"/>
      <c r="AC1347" s="190"/>
      <c r="AD1347" s="190"/>
      <c r="AE1347" s="190"/>
      <c r="AF1347" s="190"/>
      <c r="AG1347" s="190"/>
      <c r="AH1347" s="190"/>
      <c r="AI1347" s="190"/>
      <c r="AJ1347" s="190"/>
      <c r="AK1347" s="190"/>
      <c r="AL1347" s="190"/>
      <c r="AM1347" s="190"/>
      <c r="AN1347" s="190"/>
    </row>
    <row r="1348" spans="8:40" s="220" customFormat="1" ht="12" hidden="1" customHeight="1">
      <c r="H1348" s="168" t="s">
        <v>3326</v>
      </c>
      <c r="I1348" s="206" t="s">
        <v>3470</v>
      </c>
      <c r="J1348" s="206" t="s">
        <v>3471</v>
      </c>
      <c r="K1348" s="207" t="s">
        <v>5263</v>
      </c>
      <c r="L1348" s="164"/>
      <c r="M1348" s="157"/>
      <c r="N1348" s="165"/>
      <c r="O1348" s="169"/>
      <c r="P1348" s="169">
        <v>44985.279999999999</v>
      </c>
      <c r="Q1348" s="166">
        <f t="shared" si="61"/>
        <v>0</v>
      </c>
      <c r="R1348" s="169"/>
      <c r="S1348" s="169"/>
      <c r="T1348" s="169"/>
      <c r="U1348" s="169"/>
      <c r="V1348" s="166">
        <f t="shared" si="60"/>
        <v>0</v>
      </c>
      <c r="W1348" s="205"/>
      <c r="X1348" s="167"/>
      <c r="Y1348" s="190"/>
      <c r="Z1348" s="190"/>
      <c r="AA1348" s="190"/>
      <c r="AB1348" s="190"/>
      <c r="AC1348" s="190"/>
      <c r="AD1348" s="190"/>
      <c r="AE1348" s="190"/>
      <c r="AF1348" s="190"/>
      <c r="AG1348" s="190"/>
      <c r="AH1348" s="190"/>
      <c r="AI1348" s="190"/>
      <c r="AJ1348" s="190"/>
      <c r="AK1348" s="190"/>
      <c r="AL1348" s="190"/>
      <c r="AM1348" s="190"/>
      <c r="AN1348" s="190"/>
    </row>
    <row r="1349" spans="8:40" s="220" customFormat="1" ht="12" hidden="1" customHeight="1">
      <c r="H1349" s="168" t="s">
        <v>3327</v>
      </c>
      <c r="I1349" s="206" t="s">
        <v>3472</v>
      </c>
      <c r="J1349" s="206" t="s">
        <v>835</v>
      </c>
      <c r="K1349" s="206" t="s">
        <v>3473</v>
      </c>
      <c r="L1349" s="164"/>
      <c r="M1349" s="157"/>
      <c r="N1349" s="165"/>
      <c r="O1349" s="169"/>
      <c r="P1349" s="169">
        <v>184235.56</v>
      </c>
      <c r="Q1349" s="166">
        <f t="shared" si="61"/>
        <v>0</v>
      </c>
      <c r="R1349" s="169"/>
      <c r="S1349" s="169"/>
      <c r="T1349" s="169"/>
      <c r="U1349" s="169"/>
      <c r="V1349" s="166">
        <f t="shared" si="60"/>
        <v>0</v>
      </c>
      <c r="W1349" s="205"/>
      <c r="X1349" s="167"/>
      <c r="Y1349" s="190"/>
      <c r="Z1349" s="190"/>
      <c r="AA1349" s="190"/>
      <c r="AB1349" s="190"/>
      <c r="AC1349" s="190"/>
      <c r="AD1349" s="190"/>
      <c r="AE1349" s="190"/>
      <c r="AF1349" s="190"/>
      <c r="AG1349" s="190"/>
      <c r="AH1349" s="190"/>
      <c r="AI1349" s="190"/>
      <c r="AJ1349" s="190"/>
      <c r="AK1349" s="190"/>
      <c r="AL1349" s="190"/>
      <c r="AM1349" s="190"/>
      <c r="AN1349" s="190"/>
    </row>
    <row r="1350" spans="8:40" s="220" customFormat="1" ht="12" hidden="1" customHeight="1">
      <c r="H1350" s="168" t="s">
        <v>3328</v>
      </c>
      <c r="I1350" s="206" t="s">
        <v>3474</v>
      </c>
      <c r="J1350" s="206" t="s">
        <v>3475</v>
      </c>
      <c r="K1350" s="206" t="s">
        <v>3476</v>
      </c>
      <c r="L1350" s="164"/>
      <c r="M1350" s="157"/>
      <c r="N1350" s="165"/>
      <c r="O1350" s="169"/>
      <c r="P1350" s="169">
        <v>145656.74</v>
      </c>
      <c r="Q1350" s="166">
        <f t="shared" si="61"/>
        <v>0</v>
      </c>
      <c r="R1350" s="169"/>
      <c r="S1350" s="169"/>
      <c r="T1350" s="169"/>
      <c r="U1350" s="169"/>
      <c r="V1350" s="166">
        <f t="shared" ref="V1350:V1413" si="62">SUM(O1350+Q1350)+S1350+U1350</f>
        <v>0</v>
      </c>
      <c r="W1350" s="205"/>
      <c r="X1350" s="167"/>
      <c r="Y1350" s="190"/>
      <c r="Z1350" s="190"/>
      <c r="AA1350" s="190"/>
      <c r="AB1350" s="190"/>
      <c r="AC1350" s="190"/>
      <c r="AD1350" s="190"/>
      <c r="AE1350" s="190"/>
      <c r="AF1350" s="190"/>
      <c r="AG1350" s="190"/>
      <c r="AH1350" s="190"/>
      <c r="AI1350" s="190"/>
      <c r="AJ1350" s="190"/>
      <c r="AK1350" s="190"/>
      <c r="AL1350" s="190"/>
      <c r="AM1350" s="190"/>
      <c r="AN1350" s="190"/>
    </row>
    <row r="1351" spans="8:40" s="220" customFormat="1" ht="12" hidden="1" customHeight="1">
      <c r="H1351" s="168" t="s">
        <v>3329</v>
      </c>
      <c r="I1351" s="206" t="s">
        <v>3477</v>
      </c>
      <c r="J1351" s="206" t="s">
        <v>3478</v>
      </c>
      <c r="K1351" s="206" t="s">
        <v>3479</v>
      </c>
      <c r="L1351" s="164"/>
      <c r="M1351" s="157"/>
      <c r="N1351" s="165"/>
      <c r="O1351" s="169"/>
      <c r="P1351" s="169">
        <v>56231.6</v>
      </c>
      <c r="Q1351" s="166">
        <f t="shared" si="61"/>
        <v>0</v>
      </c>
      <c r="R1351" s="169"/>
      <c r="S1351" s="169"/>
      <c r="T1351" s="169"/>
      <c r="U1351" s="169"/>
      <c r="V1351" s="166">
        <f t="shared" si="62"/>
        <v>0</v>
      </c>
      <c r="W1351" s="205"/>
      <c r="X1351" s="167"/>
      <c r="Y1351" s="190"/>
      <c r="Z1351" s="190"/>
      <c r="AA1351" s="190"/>
      <c r="AB1351" s="190"/>
      <c r="AC1351" s="190"/>
      <c r="AD1351" s="190"/>
      <c r="AE1351" s="190"/>
      <c r="AF1351" s="190"/>
      <c r="AG1351" s="190"/>
      <c r="AH1351" s="190"/>
      <c r="AI1351" s="190"/>
      <c r="AJ1351" s="190"/>
      <c r="AK1351" s="190"/>
      <c r="AL1351" s="190"/>
      <c r="AM1351" s="190"/>
      <c r="AN1351" s="190"/>
    </row>
    <row r="1352" spans="8:40" s="220" customFormat="1" ht="12" hidden="1" customHeight="1">
      <c r="H1352" s="168" t="s">
        <v>3330</v>
      </c>
      <c r="I1352" s="206" t="s">
        <v>3480</v>
      </c>
      <c r="J1352" s="206" t="s">
        <v>3481</v>
      </c>
      <c r="K1352" s="206" t="s">
        <v>836</v>
      </c>
      <c r="L1352" s="164"/>
      <c r="M1352" s="157"/>
      <c r="N1352" s="165"/>
      <c r="O1352" s="169"/>
      <c r="P1352" s="169">
        <v>783224.8</v>
      </c>
      <c r="Q1352" s="166">
        <f t="shared" si="61"/>
        <v>0</v>
      </c>
      <c r="R1352" s="169"/>
      <c r="S1352" s="169"/>
      <c r="T1352" s="169"/>
      <c r="U1352" s="169"/>
      <c r="V1352" s="166">
        <f t="shared" si="62"/>
        <v>0</v>
      </c>
      <c r="W1352" s="205"/>
      <c r="X1352" s="167"/>
      <c r="Y1352" s="190"/>
      <c r="Z1352" s="190"/>
      <c r="AA1352" s="190"/>
      <c r="AB1352" s="190"/>
      <c r="AC1352" s="190"/>
      <c r="AD1352" s="190"/>
      <c r="AE1352" s="190"/>
      <c r="AF1352" s="190"/>
      <c r="AG1352" s="190"/>
      <c r="AH1352" s="190"/>
      <c r="AI1352" s="190"/>
      <c r="AJ1352" s="190"/>
      <c r="AK1352" s="190"/>
      <c r="AL1352" s="190"/>
      <c r="AM1352" s="190"/>
      <c r="AN1352" s="190"/>
    </row>
    <row r="1353" spans="8:40" s="220" customFormat="1" ht="12" hidden="1" customHeight="1">
      <c r="H1353" s="168" t="s">
        <v>3331</v>
      </c>
      <c r="I1353" s="206" t="s">
        <v>3482</v>
      </c>
      <c r="J1353" s="206" t="s">
        <v>3483</v>
      </c>
      <c r="K1353" s="206" t="s">
        <v>3360</v>
      </c>
      <c r="L1353" s="164"/>
      <c r="M1353" s="157"/>
      <c r="N1353" s="165"/>
      <c r="O1353" s="169"/>
      <c r="P1353" s="169">
        <v>140579</v>
      </c>
      <c r="Q1353" s="166">
        <f t="shared" si="61"/>
        <v>0</v>
      </c>
      <c r="R1353" s="169"/>
      <c r="S1353" s="169"/>
      <c r="T1353" s="169"/>
      <c r="U1353" s="169"/>
      <c r="V1353" s="166">
        <f t="shared" si="62"/>
        <v>0</v>
      </c>
      <c r="W1353" s="205"/>
      <c r="X1353" s="167"/>
      <c r="Y1353" s="190"/>
      <c r="Z1353" s="190"/>
      <c r="AA1353" s="190"/>
      <c r="AB1353" s="190"/>
      <c r="AC1353" s="190"/>
      <c r="AD1353" s="190"/>
      <c r="AE1353" s="190"/>
      <c r="AF1353" s="190"/>
      <c r="AG1353" s="190"/>
      <c r="AH1353" s="190"/>
      <c r="AI1353" s="190"/>
      <c r="AJ1353" s="190"/>
      <c r="AK1353" s="190"/>
      <c r="AL1353" s="190"/>
      <c r="AM1353" s="190"/>
      <c r="AN1353" s="190"/>
    </row>
    <row r="1354" spans="8:40" s="220" customFormat="1" ht="12" hidden="1" customHeight="1">
      <c r="H1354" s="168" t="s">
        <v>3332</v>
      </c>
      <c r="I1354" s="206" t="s">
        <v>3484</v>
      </c>
      <c r="J1354" s="206" t="s">
        <v>3485</v>
      </c>
      <c r="K1354" s="206" t="s">
        <v>837</v>
      </c>
      <c r="L1354" s="164"/>
      <c r="M1354" s="157"/>
      <c r="N1354" s="165"/>
      <c r="O1354" s="169"/>
      <c r="P1354" s="169">
        <v>595702</v>
      </c>
      <c r="Q1354" s="166">
        <f t="shared" si="61"/>
        <v>0</v>
      </c>
      <c r="R1354" s="169"/>
      <c r="S1354" s="169"/>
      <c r="T1354" s="169"/>
      <c r="U1354" s="169"/>
      <c r="V1354" s="166">
        <f t="shared" si="62"/>
        <v>0</v>
      </c>
      <c r="W1354" s="205"/>
      <c r="X1354" s="167"/>
      <c r="Y1354" s="190"/>
      <c r="Z1354" s="190"/>
      <c r="AA1354" s="190"/>
      <c r="AB1354" s="190"/>
      <c r="AC1354" s="190"/>
      <c r="AD1354" s="190"/>
      <c r="AE1354" s="190"/>
      <c r="AF1354" s="190"/>
      <c r="AG1354" s="190"/>
      <c r="AH1354" s="190"/>
      <c r="AI1354" s="190"/>
      <c r="AJ1354" s="190"/>
      <c r="AK1354" s="190"/>
      <c r="AL1354" s="190"/>
      <c r="AM1354" s="190"/>
      <c r="AN1354" s="190"/>
    </row>
    <row r="1355" spans="8:40" s="220" customFormat="1" ht="12" hidden="1" customHeight="1">
      <c r="H1355" s="168" t="s">
        <v>3333</v>
      </c>
      <c r="I1355" s="206" t="s">
        <v>3486</v>
      </c>
      <c r="J1355" s="206" t="s">
        <v>3487</v>
      </c>
      <c r="K1355" s="206" t="s">
        <v>836</v>
      </c>
      <c r="L1355" s="164"/>
      <c r="M1355" s="157"/>
      <c r="N1355" s="165"/>
      <c r="O1355" s="169"/>
      <c r="P1355" s="169">
        <v>365065</v>
      </c>
      <c r="Q1355" s="166">
        <f t="shared" si="61"/>
        <v>0</v>
      </c>
      <c r="R1355" s="169"/>
      <c r="S1355" s="169"/>
      <c r="T1355" s="169"/>
      <c r="U1355" s="169"/>
      <c r="V1355" s="166">
        <f t="shared" si="62"/>
        <v>0</v>
      </c>
      <c r="W1355" s="205"/>
      <c r="X1355" s="167"/>
      <c r="Y1355" s="190"/>
      <c r="Z1355" s="190"/>
      <c r="AA1355" s="190"/>
      <c r="AB1355" s="190"/>
      <c r="AC1355" s="190"/>
      <c r="AD1355" s="190"/>
      <c r="AE1355" s="190"/>
      <c r="AF1355" s="190"/>
      <c r="AG1355" s="190"/>
      <c r="AH1355" s="190"/>
      <c r="AI1355" s="190"/>
      <c r="AJ1355" s="190"/>
      <c r="AK1355" s="190"/>
      <c r="AL1355" s="190"/>
      <c r="AM1355" s="190"/>
      <c r="AN1355" s="190"/>
    </row>
    <row r="1356" spans="8:40" s="220" customFormat="1" ht="12" hidden="1" customHeight="1">
      <c r="H1356" s="168" t="s">
        <v>3334</v>
      </c>
      <c r="I1356" s="206" t="s">
        <v>3488</v>
      </c>
      <c r="J1356" s="206" t="s">
        <v>3489</v>
      </c>
      <c r="K1356" s="206" t="s">
        <v>3360</v>
      </c>
      <c r="L1356" s="164"/>
      <c r="M1356" s="157"/>
      <c r="N1356" s="165"/>
      <c r="O1356" s="169"/>
      <c r="P1356" s="169">
        <v>112463.2</v>
      </c>
      <c r="Q1356" s="166">
        <f t="shared" si="61"/>
        <v>0</v>
      </c>
      <c r="R1356" s="169"/>
      <c r="S1356" s="169"/>
      <c r="T1356" s="169"/>
      <c r="U1356" s="169"/>
      <c r="V1356" s="166">
        <f t="shared" si="62"/>
        <v>0</v>
      </c>
      <c r="W1356" s="205"/>
      <c r="X1356" s="167"/>
      <c r="Y1356" s="190"/>
      <c r="Z1356" s="190"/>
      <c r="AA1356" s="190"/>
      <c r="AB1356" s="190"/>
      <c r="AC1356" s="190"/>
      <c r="AD1356" s="190"/>
      <c r="AE1356" s="190"/>
      <c r="AF1356" s="190"/>
      <c r="AG1356" s="190"/>
      <c r="AH1356" s="190"/>
      <c r="AI1356" s="190"/>
      <c r="AJ1356" s="190"/>
      <c r="AK1356" s="190"/>
      <c r="AL1356" s="190"/>
      <c r="AM1356" s="190"/>
      <c r="AN1356" s="190"/>
    </row>
    <row r="1357" spans="8:40" s="220" customFormat="1" ht="12" hidden="1" customHeight="1">
      <c r="H1357" s="168" t="s">
        <v>3335</v>
      </c>
      <c r="I1357" s="206" t="s">
        <v>3490</v>
      </c>
      <c r="J1357" s="206" t="s">
        <v>3491</v>
      </c>
      <c r="K1357" s="206" t="s">
        <v>3363</v>
      </c>
      <c r="L1357" s="164"/>
      <c r="M1357" s="157"/>
      <c r="N1357" s="165"/>
      <c r="O1357" s="169"/>
      <c r="P1357" s="169">
        <v>294512.40000000002</v>
      </c>
      <c r="Q1357" s="166">
        <f t="shared" si="61"/>
        <v>0</v>
      </c>
      <c r="R1357" s="169"/>
      <c r="S1357" s="169"/>
      <c r="T1357" s="169"/>
      <c r="U1357" s="169"/>
      <c r="V1357" s="166">
        <f t="shared" si="62"/>
        <v>0</v>
      </c>
      <c r="W1357" s="205"/>
      <c r="X1357" s="167"/>
      <c r="Y1357" s="190"/>
      <c r="Z1357" s="190"/>
      <c r="AA1357" s="190"/>
      <c r="AB1357" s="190"/>
      <c r="AC1357" s="190"/>
      <c r="AD1357" s="190"/>
      <c r="AE1357" s="190"/>
      <c r="AF1357" s="190"/>
      <c r="AG1357" s="190"/>
      <c r="AH1357" s="190"/>
      <c r="AI1357" s="190"/>
      <c r="AJ1357" s="190"/>
      <c r="AK1357" s="190"/>
      <c r="AL1357" s="190"/>
      <c r="AM1357" s="190"/>
      <c r="AN1357" s="190"/>
    </row>
    <row r="1358" spans="8:40" s="220" customFormat="1" ht="12" hidden="1" customHeight="1">
      <c r="H1358" s="168" t="s">
        <v>3336</v>
      </c>
      <c r="I1358" s="206" t="s">
        <v>3492</v>
      </c>
      <c r="J1358" s="206" t="s">
        <v>3493</v>
      </c>
      <c r="K1358" s="206" t="s">
        <v>837</v>
      </c>
      <c r="L1358" s="164"/>
      <c r="M1358" s="157"/>
      <c r="N1358" s="165"/>
      <c r="O1358" s="169"/>
      <c r="P1358" s="169">
        <v>532793.19999999995</v>
      </c>
      <c r="Q1358" s="166">
        <f t="shared" si="61"/>
        <v>0</v>
      </c>
      <c r="R1358" s="169"/>
      <c r="S1358" s="169"/>
      <c r="T1358" s="169"/>
      <c r="U1358" s="169"/>
      <c r="V1358" s="166">
        <f t="shared" si="62"/>
        <v>0</v>
      </c>
      <c r="W1358" s="205"/>
      <c r="X1358" s="167"/>
      <c r="Y1358" s="190"/>
      <c r="Z1358" s="190"/>
      <c r="AA1358" s="190"/>
      <c r="AB1358" s="190"/>
      <c r="AC1358" s="190"/>
      <c r="AD1358" s="190"/>
      <c r="AE1358" s="190"/>
      <c r="AF1358" s="190"/>
      <c r="AG1358" s="190"/>
      <c r="AH1358" s="190"/>
      <c r="AI1358" s="190"/>
      <c r="AJ1358" s="190"/>
      <c r="AK1358" s="190"/>
      <c r="AL1358" s="190"/>
      <c r="AM1358" s="190"/>
      <c r="AN1358" s="190"/>
    </row>
    <row r="1359" spans="8:40" s="220" customFormat="1" ht="12" hidden="1" customHeight="1">
      <c r="H1359" s="168" t="s">
        <v>3337</v>
      </c>
      <c r="I1359" s="206" t="s">
        <v>3494</v>
      </c>
      <c r="J1359" s="206" t="s">
        <v>3495</v>
      </c>
      <c r="K1359" s="206" t="s">
        <v>836</v>
      </c>
      <c r="L1359" s="164"/>
      <c r="M1359" s="157"/>
      <c r="N1359" s="165"/>
      <c r="O1359" s="169"/>
      <c r="P1359" s="169">
        <v>239773</v>
      </c>
      <c r="Q1359" s="166">
        <f t="shared" si="61"/>
        <v>0</v>
      </c>
      <c r="R1359" s="169"/>
      <c r="S1359" s="169"/>
      <c r="T1359" s="169"/>
      <c r="U1359" s="169"/>
      <c r="V1359" s="166">
        <f t="shared" si="62"/>
        <v>0</v>
      </c>
      <c r="W1359" s="205"/>
      <c r="X1359" s="167"/>
    </row>
    <row r="1360" spans="8:40" s="220" customFormat="1" ht="12" hidden="1" customHeight="1">
      <c r="H1360" s="168" t="s">
        <v>3338</v>
      </c>
      <c r="I1360" s="206" t="s">
        <v>3496</v>
      </c>
      <c r="J1360" s="206" t="s">
        <v>3497</v>
      </c>
      <c r="K1360" s="206" t="s">
        <v>3360</v>
      </c>
      <c r="L1360" s="164"/>
      <c r="M1360" s="157"/>
      <c r="N1360" s="165"/>
      <c r="O1360" s="169"/>
      <c r="P1360" s="169">
        <v>112463.2</v>
      </c>
      <c r="Q1360" s="166">
        <f t="shared" si="61"/>
        <v>0</v>
      </c>
      <c r="R1360" s="169"/>
      <c r="S1360" s="169"/>
      <c r="T1360" s="169"/>
      <c r="U1360" s="169"/>
      <c r="V1360" s="166">
        <f t="shared" si="62"/>
        <v>0</v>
      </c>
      <c r="W1360" s="205"/>
      <c r="X1360" s="167"/>
    </row>
    <row r="1361" spans="8:24" s="220" customFormat="1" ht="12" hidden="1" customHeight="1">
      <c r="H1361" s="168" t="s">
        <v>3339</v>
      </c>
      <c r="I1361" s="206" t="s">
        <v>3498</v>
      </c>
      <c r="J1361" s="206" t="s">
        <v>3499</v>
      </c>
      <c r="K1361" s="206" t="s">
        <v>3363</v>
      </c>
      <c r="L1361" s="164"/>
      <c r="M1361" s="157"/>
      <c r="N1361" s="165"/>
      <c r="O1361" s="169"/>
      <c r="P1361" s="169">
        <v>234942.2</v>
      </c>
      <c r="Q1361" s="166">
        <f t="shared" si="61"/>
        <v>0</v>
      </c>
      <c r="R1361" s="169"/>
      <c r="S1361" s="169"/>
      <c r="T1361" s="169"/>
      <c r="U1361" s="169"/>
      <c r="V1361" s="166">
        <f t="shared" si="62"/>
        <v>0</v>
      </c>
      <c r="W1361" s="205"/>
      <c r="X1361" s="167"/>
    </row>
    <row r="1362" spans="8:24" s="220" customFormat="1" ht="12" hidden="1" customHeight="1">
      <c r="H1362" s="168" t="s">
        <v>3340</v>
      </c>
      <c r="I1362" s="206" t="s">
        <v>3500</v>
      </c>
      <c r="J1362" s="206" t="s">
        <v>3501</v>
      </c>
      <c r="K1362" s="206" t="s">
        <v>837</v>
      </c>
      <c r="L1362" s="164"/>
      <c r="M1362" s="157"/>
      <c r="N1362" s="165"/>
      <c r="O1362" s="169"/>
      <c r="P1362" s="169">
        <v>382198.4</v>
      </c>
      <c r="Q1362" s="166">
        <f t="shared" si="61"/>
        <v>0</v>
      </c>
      <c r="R1362" s="169"/>
      <c r="S1362" s="169"/>
      <c r="T1362" s="169"/>
      <c r="U1362" s="169"/>
      <c r="V1362" s="166">
        <f t="shared" si="62"/>
        <v>0</v>
      </c>
      <c r="W1362" s="205"/>
      <c r="X1362" s="167"/>
    </row>
    <row r="1363" spans="8:24" s="220" customFormat="1" ht="12" hidden="1" customHeight="1">
      <c r="H1363" s="168" t="s">
        <v>3341</v>
      </c>
      <c r="I1363" s="206" t="s">
        <v>1150</v>
      </c>
      <c r="J1363" s="206" t="s">
        <v>1151</v>
      </c>
      <c r="K1363" s="206" t="s">
        <v>836</v>
      </c>
      <c r="L1363" s="164"/>
      <c r="M1363" s="157"/>
      <c r="N1363" s="165"/>
      <c r="O1363" s="169"/>
      <c r="P1363" s="169">
        <v>656752.4</v>
      </c>
      <c r="Q1363" s="166">
        <f t="shared" si="61"/>
        <v>0</v>
      </c>
      <c r="R1363" s="169"/>
      <c r="S1363" s="169"/>
      <c r="T1363" s="169"/>
      <c r="U1363" s="169"/>
      <c r="V1363" s="166">
        <f t="shared" si="62"/>
        <v>0</v>
      </c>
      <c r="W1363" s="205"/>
      <c r="X1363" s="167"/>
    </row>
    <row r="1364" spans="8:24" s="220" customFormat="1" ht="12" hidden="1" customHeight="1">
      <c r="H1364" s="168" t="s">
        <v>3342</v>
      </c>
      <c r="I1364" s="206" t="s">
        <v>3502</v>
      </c>
      <c r="J1364" s="206" t="s">
        <v>3503</v>
      </c>
      <c r="K1364" s="206" t="s">
        <v>3360</v>
      </c>
      <c r="L1364" s="164"/>
      <c r="M1364" s="157"/>
      <c r="N1364" s="165"/>
      <c r="O1364" s="169"/>
      <c r="P1364" s="169">
        <v>168694.8</v>
      </c>
      <c r="Q1364" s="166">
        <f t="shared" si="61"/>
        <v>0</v>
      </c>
      <c r="R1364" s="169"/>
      <c r="S1364" s="169"/>
      <c r="T1364" s="169"/>
      <c r="U1364" s="169"/>
      <c r="V1364" s="166">
        <f t="shared" si="62"/>
        <v>0</v>
      </c>
      <c r="W1364" s="205"/>
      <c r="X1364" s="167"/>
    </row>
    <row r="1365" spans="8:24" s="220" customFormat="1" ht="12" hidden="1" customHeight="1">
      <c r="H1365" s="168" t="s">
        <v>3343</v>
      </c>
      <c r="I1365" s="206" t="s">
        <v>3504</v>
      </c>
      <c r="J1365" s="206" t="s">
        <v>3505</v>
      </c>
      <c r="K1365" s="206" t="s">
        <v>3363</v>
      </c>
      <c r="L1365" s="164"/>
      <c r="M1365" s="157"/>
      <c r="N1365" s="165"/>
      <c r="O1365" s="169"/>
      <c r="P1365" s="169">
        <v>595702</v>
      </c>
      <c r="Q1365" s="166">
        <f t="shared" si="61"/>
        <v>0</v>
      </c>
      <c r="R1365" s="169"/>
      <c r="S1365" s="169"/>
      <c r="T1365" s="169"/>
      <c r="U1365" s="169"/>
      <c r="V1365" s="166">
        <f t="shared" si="62"/>
        <v>0</v>
      </c>
      <c r="W1365" s="205"/>
      <c r="X1365" s="167"/>
    </row>
    <row r="1366" spans="8:24" s="220" customFormat="1" ht="12" hidden="1" customHeight="1">
      <c r="H1366" s="168" t="s">
        <v>3344</v>
      </c>
      <c r="I1366" s="206" t="s">
        <v>1152</v>
      </c>
      <c r="J1366" s="206" t="s">
        <v>1153</v>
      </c>
      <c r="K1366" s="206" t="s">
        <v>837</v>
      </c>
      <c r="L1366" s="164"/>
      <c r="M1366" s="157"/>
      <c r="N1366" s="165"/>
      <c r="O1366" s="169"/>
      <c r="P1366" s="169">
        <v>764396.8</v>
      </c>
      <c r="Q1366" s="166">
        <f t="shared" si="61"/>
        <v>0</v>
      </c>
      <c r="R1366" s="169"/>
      <c r="S1366" s="169"/>
      <c r="T1366" s="169"/>
      <c r="U1366" s="169"/>
      <c r="V1366" s="166">
        <f t="shared" si="62"/>
        <v>0</v>
      </c>
      <c r="W1366" s="205"/>
      <c r="X1366" s="167"/>
    </row>
    <row r="1367" spans="8:24" s="220" customFormat="1" ht="12" hidden="1" customHeight="1">
      <c r="H1367" s="168" t="s">
        <v>3506</v>
      </c>
      <c r="I1367" s="206" t="s">
        <v>3510</v>
      </c>
      <c r="J1367" s="206" t="s">
        <v>3511</v>
      </c>
      <c r="K1367" s="207" t="s">
        <v>5153</v>
      </c>
      <c r="L1367" s="164"/>
      <c r="M1367" s="157"/>
      <c r="N1367" s="165"/>
      <c r="O1367" s="169"/>
      <c r="P1367" s="169">
        <v>566087.80000000005</v>
      </c>
      <c r="Q1367" s="166">
        <f t="shared" si="61"/>
        <v>0</v>
      </c>
      <c r="R1367" s="169"/>
      <c r="S1367" s="169"/>
      <c r="T1367" s="169"/>
      <c r="U1367" s="169"/>
      <c r="V1367" s="166">
        <f t="shared" si="62"/>
        <v>0</v>
      </c>
      <c r="W1367" s="205"/>
      <c r="X1367" s="167"/>
    </row>
    <row r="1368" spans="8:24" s="220" customFormat="1" ht="12" hidden="1" customHeight="1">
      <c r="H1368" s="168" t="s">
        <v>3507</v>
      </c>
      <c r="I1368" s="206" t="s">
        <v>3512</v>
      </c>
      <c r="J1368" s="206" t="s">
        <v>3513</v>
      </c>
      <c r="K1368" s="207" t="s">
        <v>5154</v>
      </c>
      <c r="L1368" s="164"/>
      <c r="M1368" s="157"/>
      <c r="N1368" s="165"/>
      <c r="O1368" s="169"/>
      <c r="P1368" s="169">
        <v>84347.4</v>
      </c>
      <c r="Q1368" s="166">
        <f t="shared" si="61"/>
        <v>0</v>
      </c>
      <c r="R1368" s="169"/>
      <c r="S1368" s="169"/>
      <c r="T1368" s="169"/>
      <c r="U1368" s="169"/>
      <c r="V1368" s="166">
        <f t="shared" si="62"/>
        <v>0</v>
      </c>
      <c r="W1368" s="205"/>
      <c r="X1368" s="167"/>
    </row>
    <row r="1369" spans="8:24" s="220" customFormat="1" ht="12" hidden="1" customHeight="1">
      <c r="H1369" s="168" t="s">
        <v>3508</v>
      </c>
      <c r="I1369" s="206" t="s">
        <v>3514</v>
      </c>
      <c r="J1369" s="206" t="s">
        <v>3515</v>
      </c>
      <c r="K1369" s="207" t="s">
        <v>5155</v>
      </c>
      <c r="L1369" s="164"/>
      <c r="M1369" s="157"/>
      <c r="N1369" s="165"/>
      <c r="O1369" s="169"/>
      <c r="P1369" s="169">
        <v>196810.6</v>
      </c>
      <c r="Q1369" s="166">
        <f t="shared" si="61"/>
        <v>0</v>
      </c>
      <c r="R1369" s="169"/>
      <c r="S1369" s="169"/>
      <c r="T1369" s="169"/>
      <c r="U1369" s="169"/>
      <c r="V1369" s="166">
        <f t="shared" si="62"/>
        <v>0</v>
      </c>
      <c r="W1369" s="205"/>
      <c r="X1369" s="167"/>
    </row>
    <row r="1370" spans="8:24" s="220" customFormat="1" ht="12" hidden="1" customHeight="1">
      <c r="H1370" s="168" t="s">
        <v>3509</v>
      </c>
      <c r="I1370" s="206" t="s">
        <v>3516</v>
      </c>
      <c r="J1370" s="206" t="s">
        <v>3517</v>
      </c>
      <c r="K1370" s="207" t="s">
        <v>5264</v>
      </c>
      <c r="L1370" s="164"/>
      <c r="M1370" s="157"/>
      <c r="N1370" s="165"/>
      <c r="O1370" s="169"/>
      <c r="P1370" s="169">
        <v>1751378.2</v>
      </c>
      <c r="Q1370" s="166">
        <f t="shared" si="61"/>
        <v>0</v>
      </c>
      <c r="R1370" s="169"/>
      <c r="S1370" s="169"/>
      <c r="T1370" s="169"/>
      <c r="U1370" s="169"/>
      <c r="V1370" s="166">
        <f t="shared" si="62"/>
        <v>0</v>
      </c>
      <c r="W1370" s="205"/>
      <c r="X1370" s="167"/>
    </row>
    <row r="1371" spans="8:24" s="220" customFormat="1" ht="12" hidden="1" customHeight="1">
      <c r="H1371" s="168" t="s">
        <v>3518</v>
      </c>
      <c r="I1371" s="206" t="s">
        <v>1154</v>
      </c>
      <c r="J1371" s="206" t="s">
        <v>840</v>
      </c>
      <c r="K1371" s="206" t="s">
        <v>841</v>
      </c>
      <c r="L1371" s="206" t="s">
        <v>744</v>
      </c>
      <c r="M1371" s="169"/>
      <c r="N1371" s="165"/>
      <c r="O1371" s="169"/>
      <c r="P1371" s="169">
        <v>2753552</v>
      </c>
      <c r="Q1371" s="166">
        <f t="shared" si="61"/>
        <v>0</v>
      </c>
      <c r="R1371" s="169"/>
      <c r="S1371" s="169"/>
      <c r="T1371" s="169"/>
      <c r="U1371" s="169"/>
      <c r="V1371" s="166">
        <f t="shared" si="62"/>
        <v>0</v>
      </c>
      <c r="W1371" s="205"/>
      <c r="X1371" s="167"/>
    </row>
    <row r="1372" spans="8:24" s="220" customFormat="1" ht="12" hidden="1" customHeight="1">
      <c r="H1372" s="168" t="s">
        <v>3519</v>
      </c>
      <c r="I1372" s="206" t="s">
        <v>3530</v>
      </c>
      <c r="J1372" s="206" t="s">
        <v>3531</v>
      </c>
      <c r="K1372" s="206" t="s">
        <v>3532</v>
      </c>
      <c r="L1372" s="206" t="s">
        <v>744</v>
      </c>
      <c r="M1372" s="157"/>
      <c r="N1372" s="165"/>
      <c r="O1372" s="169"/>
      <c r="P1372" s="169">
        <v>4258430</v>
      </c>
      <c r="Q1372" s="166">
        <f t="shared" ref="Q1372:Q1435" si="63">IF(W1372="",M1372*P1372*$Q$3*$W$3,M1372*P1372*$Q$3*W1372)</f>
        <v>0</v>
      </c>
      <c r="R1372" s="169"/>
      <c r="S1372" s="169"/>
      <c r="T1372" s="169"/>
      <c r="U1372" s="169"/>
      <c r="V1372" s="166">
        <f t="shared" si="62"/>
        <v>0</v>
      </c>
      <c r="W1372" s="205"/>
      <c r="X1372" s="167"/>
    </row>
    <row r="1373" spans="8:24" s="220" customFormat="1" ht="12" hidden="1" customHeight="1">
      <c r="H1373" s="168" t="s">
        <v>3520</v>
      </c>
      <c r="I1373" s="206" t="s">
        <v>3533</v>
      </c>
      <c r="J1373" s="206" t="s">
        <v>3534</v>
      </c>
      <c r="K1373" s="206" t="s">
        <v>3535</v>
      </c>
      <c r="L1373" s="206" t="s">
        <v>744</v>
      </c>
      <c r="M1373" s="157"/>
      <c r="N1373" s="165"/>
      <c r="O1373" s="169"/>
      <c r="P1373" s="169">
        <v>8246892</v>
      </c>
      <c r="Q1373" s="166">
        <f t="shared" si="63"/>
        <v>0</v>
      </c>
      <c r="R1373" s="169"/>
      <c r="S1373" s="169"/>
      <c r="T1373" s="169"/>
      <c r="U1373" s="169"/>
      <c r="V1373" s="166">
        <f t="shared" si="62"/>
        <v>0</v>
      </c>
      <c r="W1373" s="205"/>
      <c r="X1373" s="167"/>
    </row>
    <row r="1374" spans="8:24" s="220" customFormat="1" ht="12" hidden="1" customHeight="1">
      <c r="H1374" s="168" t="s">
        <v>3521</v>
      </c>
      <c r="I1374" s="206" t="s">
        <v>3536</v>
      </c>
      <c r="J1374" s="206" t="s">
        <v>3537</v>
      </c>
      <c r="K1374" s="206" t="s">
        <v>3538</v>
      </c>
      <c r="L1374" s="206" t="s">
        <v>744</v>
      </c>
      <c r="M1374" s="157"/>
      <c r="N1374" s="165"/>
      <c r="O1374" s="169"/>
      <c r="P1374" s="169">
        <v>1849251</v>
      </c>
      <c r="Q1374" s="166">
        <f t="shared" si="63"/>
        <v>0</v>
      </c>
      <c r="R1374" s="169"/>
      <c r="S1374" s="169"/>
      <c r="T1374" s="169"/>
      <c r="U1374" s="169"/>
      <c r="V1374" s="166">
        <f t="shared" si="62"/>
        <v>0</v>
      </c>
      <c r="W1374" s="205"/>
      <c r="X1374" s="167"/>
    </row>
    <row r="1375" spans="8:24" s="220" customFormat="1" ht="12" hidden="1" customHeight="1">
      <c r="H1375" s="168" t="s">
        <v>3522</v>
      </c>
      <c r="I1375" s="206" t="s">
        <v>3539</v>
      </c>
      <c r="J1375" s="206" t="s">
        <v>3540</v>
      </c>
      <c r="K1375" s="206" t="s">
        <v>3541</v>
      </c>
      <c r="L1375" s="206" t="s">
        <v>744</v>
      </c>
      <c r="M1375" s="157"/>
      <c r="N1375" s="165"/>
      <c r="O1375" s="169"/>
      <c r="P1375" s="169">
        <v>2881654</v>
      </c>
      <c r="Q1375" s="166">
        <f t="shared" si="63"/>
        <v>0</v>
      </c>
      <c r="R1375" s="169"/>
      <c r="S1375" s="169"/>
      <c r="T1375" s="169"/>
      <c r="U1375" s="169"/>
      <c r="V1375" s="166">
        <f t="shared" si="62"/>
        <v>0</v>
      </c>
      <c r="W1375" s="205"/>
      <c r="X1375" s="167"/>
    </row>
    <row r="1376" spans="8:24" s="220" customFormat="1" ht="12" hidden="1" customHeight="1">
      <c r="H1376" s="168" t="s">
        <v>3523</v>
      </c>
      <c r="I1376" s="206" t="s">
        <v>3542</v>
      </c>
      <c r="J1376" s="206" t="s">
        <v>3543</v>
      </c>
      <c r="K1376" s="206" t="s">
        <v>3544</v>
      </c>
      <c r="L1376" s="206" t="s">
        <v>744</v>
      </c>
      <c r="M1376" s="157"/>
      <c r="N1376" s="165"/>
      <c r="O1376" s="169"/>
      <c r="P1376" s="169">
        <v>5999571</v>
      </c>
      <c r="Q1376" s="166">
        <f t="shared" si="63"/>
        <v>0</v>
      </c>
      <c r="R1376" s="169"/>
      <c r="S1376" s="169"/>
      <c r="T1376" s="169"/>
      <c r="U1376" s="169"/>
      <c r="V1376" s="166">
        <f t="shared" si="62"/>
        <v>0</v>
      </c>
      <c r="W1376" s="205"/>
      <c r="X1376" s="167"/>
    </row>
    <row r="1377" spans="8:24" s="220" customFormat="1" ht="12" hidden="1" customHeight="1">
      <c r="H1377" s="168" t="s">
        <v>3524</v>
      </c>
      <c r="I1377" s="206" t="s">
        <v>3545</v>
      </c>
      <c r="J1377" s="206" t="s">
        <v>3546</v>
      </c>
      <c r="K1377" s="206" t="s">
        <v>3547</v>
      </c>
      <c r="L1377" s="206" t="s">
        <v>744</v>
      </c>
      <c r="M1377" s="157"/>
      <c r="N1377" s="165"/>
      <c r="O1377" s="169"/>
      <c r="P1377" s="169">
        <v>1376776</v>
      </c>
      <c r="Q1377" s="166">
        <f t="shared" si="63"/>
        <v>0</v>
      </c>
      <c r="R1377" s="169"/>
      <c r="S1377" s="169"/>
      <c r="T1377" s="169"/>
      <c r="U1377" s="169"/>
      <c r="V1377" s="166">
        <f t="shared" si="62"/>
        <v>0</v>
      </c>
      <c r="W1377" s="205"/>
      <c r="X1377" s="167"/>
    </row>
    <row r="1378" spans="8:24" s="220" customFormat="1" ht="12" hidden="1" customHeight="1">
      <c r="H1378" s="168" t="s">
        <v>3525</v>
      </c>
      <c r="I1378" s="206" t="s">
        <v>3548</v>
      </c>
      <c r="J1378" s="206" t="s">
        <v>3549</v>
      </c>
      <c r="K1378" s="206" t="s">
        <v>3550</v>
      </c>
      <c r="L1378" s="206" t="s">
        <v>744</v>
      </c>
      <c r="M1378" s="157"/>
      <c r="N1378" s="165"/>
      <c r="O1378" s="169"/>
      <c r="P1378" s="169">
        <v>2011109</v>
      </c>
      <c r="Q1378" s="166">
        <f t="shared" si="63"/>
        <v>0</v>
      </c>
      <c r="R1378" s="169"/>
      <c r="S1378" s="169"/>
      <c r="T1378" s="169"/>
      <c r="U1378" s="169"/>
      <c r="V1378" s="166">
        <f t="shared" si="62"/>
        <v>0</v>
      </c>
      <c r="W1378" s="205"/>
      <c r="X1378" s="167"/>
    </row>
    <row r="1379" spans="8:24" s="220" customFormat="1" ht="12" hidden="1" customHeight="1">
      <c r="H1379" s="168" t="s">
        <v>3526</v>
      </c>
      <c r="I1379" s="206" t="s">
        <v>3551</v>
      </c>
      <c r="J1379" s="206" t="s">
        <v>3552</v>
      </c>
      <c r="K1379" s="206" t="s">
        <v>3553</v>
      </c>
      <c r="L1379" s="206" t="s">
        <v>744</v>
      </c>
      <c r="M1379" s="169"/>
      <c r="N1379" s="165"/>
      <c r="O1379" s="169"/>
      <c r="P1379" s="169">
        <v>4258430</v>
      </c>
      <c r="Q1379" s="166">
        <f t="shared" si="63"/>
        <v>0</v>
      </c>
      <c r="R1379" s="169"/>
      <c r="S1379" s="169"/>
      <c r="T1379" s="169"/>
      <c r="U1379" s="169"/>
      <c r="V1379" s="166">
        <f t="shared" si="62"/>
        <v>0</v>
      </c>
      <c r="W1379" s="205"/>
      <c r="X1379" s="167"/>
    </row>
    <row r="1380" spans="8:24" s="220" customFormat="1" ht="12" hidden="1" customHeight="1">
      <c r="H1380" s="168" t="s">
        <v>3527</v>
      </c>
      <c r="I1380" s="206" t="s">
        <v>2238</v>
      </c>
      <c r="J1380" s="206" t="s">
        <v>3554</v>
      </c>
      <c r="K1380" s="206" t="s">
        <v>3555</v>
      </c>
      <c r="L1380" s="206" t="s">
        <v>744</v>
      </c>
      <c r="M1380" s="169"/>
      <c r="N1380" s="165"/>
      <c r="O1380" s="169"/>
      <c r="P1380" s="169">
        <v>89089.44</v>
      </c>
      <c r="Q1380" s="166">
        <f t="shared" si="63"/>
        <v>0</v>
      </c>
      <c r="R1380" s="169"/>
      <c r="S1380" s="169"/>
      <c r="T1380" s="169"/>
      <c r="U1380" s="169"/>
      <c r="V1380" s="166">
        <f t="shared" si="62"/>
        <v>0</v>
      </c>
      <c r="W1380" s="205"/>
      <c r="X1380" s="167"/>
    </row>
    <row r="1381" spans="8:24" s="220" customFormat="1" ht="12" hidden="1" customHeight="1">
      <c r="H1381" s="168" t="s">
        <v>3528</v>
      </c>
      <c r="I1381" s="206" t="s">
        <v>3556</v>
      </c>
      <c r="J1381" s="206" t="s">
        <v>3557</v>
      </c>
      <c r="K1381" s="206" t="s">
        <v>3558</v>
      </c>
      <c r="L1381" s="206" t="s">
        <v>744</v>
      </c>
      <c r="M1381" s="169"/>
      <c r="N1381" s="165"/>
      <c r="O1381" s="169"/>
      <c r="P1381" s="169">
        <v>341728.92</v>
      </c>
      <c r="Q1381" s="166">
        <f t="shared" si="63"/>
        <v>0</v>
      </c>
      <c r="R1381" s="169"/>
      <c r="S1381" s="169"/>
      <c r="T1381" s="169"/>
      <c r="U1381" s="169"/>
      <c r="V1381" s="166">
        <f t="shared" si="62"/>
        <v>0</v>
      </c>
      <c r="W1381" s="205"/>
      <c r="X1381" s="167"/>
    </row>
    <row r="1382" spans="8:24" s="220" customFormat="1" ht="12" hidden="1" customHeight="1">
      <c r="H1382" s="168" t="s">
        <v>3529</v>
      </c>
      <c r="I1382" s="206" t="s">
        <v>3559</v>
      </c>
      <c r="J1382" s="206" t="s">
        <v>3560</v>
      </c>
      <c r="K1382" s="206" t="s">
        <v>3561</v>
      </c>
      <c r="L1382" s="206" t="s">
        <v>744</v>
      </c>
      <c r="M1382" s="169"/>
      <c r="N1382" s="165"/>
      <c r="O1382" s="169"/>
      <c r="P1382" s="169">
        <v>683457.84</v>
      </c>
      <c r="Q1382" s="166">
        <f t="shared" si="63"/>
        <v>0</v>
      </c>
      <c r="R1382" s="169"/>
      <c r="S1382" s="169"/>
      <c r="T1382" s="169"/>
      <c r="U1382" s="169"/>
      <c r="V1382" s="166">
        <f t="shared" si="62"/>
        <v>0</v>
      </c>
      <c r="W1382" s="205"/>
      <c r="X1382" s="167"/>
    </row>
    <row r="1383" spans="8:24" s="220" customFormat="1" ht="12" hidden="1" customHeight="1">
      <c r="H1383" s="168" t="s">
        <v>3129</v>
      </c>
      <c r="I1383" s="206" t="s">
        <v>1115</v>
      </c>
      <c r="J1383" s="206" t="s">
        <v>3145</v>
      </c>
      <c r="K1383" s="207" t="s">
        <v>5144</v>
      </c>
      <c r="L1383" s="206" t="s">
        <v>92</v>
      </c>
      <c r="M1383" s="157"/>
      <c r="N1383" s="165"/>
      <c r="O1383" s="169"/>
      <c r="P1383" s="169">
        <v>80990.399999999994</v>
      </c>
      <c r="Q1383" s="166">
        <f t="shared" si="63"/>
        <v>0</v>
      </c>
      <c r="R1383" s="169"/>
      <c r="S1383" s="169"/>
      <c r="T1383" s="169"/>
      <c r="U1383" s="169"/>
      <c r="V1383" s="166">
        <f t="shared" si="62"/>
        <v>0</v>
      </c>
      <c r="W1383" s="205"/>
      <c r="X1383" s="167"/>
    </row>
    <row r="1384" spans="8:24" s="220" customFormat="1" ht="12" hidden="1" customHeight="1">
      <c r="H1384" s="168" t="s">
        <v>3130</v>
      </c>
      <c r="I1384" s="206" t="s">
        <v>1116</v>
      </c>
      <c r="J1384" s="206" t="s">
        <v>3146</v>
      </c>
      <c r="K1384" s="207" t="s">
        <v>5145</v>
      </c>
      <c r="L1384" s="206" t="s">
        <v>92</v>
      </c>
      <c r="M1384" s="157"/>
      <c r="N1384" s="165"/>
      <c r="O1384" s="169"/>
      <c r="P1384" s="169">
        <v>121485.6</v>
      </c>
      <c r="Q1384" s="166">
        <f t="shared" si="63"/>
        <v>0</v>
      </c>
      <c r="R1384" s="169"/>
      <c r="S1384" s="169"/>
      <c r="T1384" s="169"/>
      <c r="U1384" s="169"/>
      <c r="V1384" s="166">
        <f t="shared" si="62"/>
        <v>0</v>
      </c>
      <c r="W1384" s="205"/>
      <c r="X1384" s="167"/>
    </row>
    <row r="1385" spans="8:24" s="220" customFormat="1" ht="12" hidden="1" customHeight="1">
      <c r="H1385" s="168" t="s">
        <v>3131</v>
      </c>
      <c r="I1385" s="206" t="s">
        <v>1117</v>
      </c>
      <c r="J1385" s="206" t="s">
        <v>3147</v>
      </c>
      <c r="K1385" s="207" t="s">
        <v>5146</v>
      </c>
      <c r="L1385" s="206" t="s">
        <v>92</v>
      </c>
      <c r="M1385" s="157"/>
      <c r="N1385" s="165"/>
      <c r="O1385" s="169"/>
      <c r="P1385" s="169">
        <v>161980.79999999999</v>
      </c>
      <c r="Q1385" s="166">
        <f t="shared" si="63"/>
        <v>0</v>
      </c>
      <c r="R1385" s="169"/>
      <c r="S1385" s="169"/>
      <c r="T1385" s="169"/>
      <c r="U1385" s="169"/>
      <c r="V1385" s="166">
        <f t="shared" si="62"/>
        <v>0</v>
      </c>
      <c r="W1385" s="205"/>
      <c r="X1385" s="167"/>
    </row>
    <row r="1386" spans="8:24" s="220" customFormat="1" ht="12" hidden="1" customHeight="1">
      <c r="H1386" s="168" t="s">
        <v>3132</v>
      </c>
      <c r="I1386" s="206" t="s">
        <v>1118</v>
      </c>
      <c r="J1386" s="206" t="s">
        <v>3148</v>
      </c>
      <c r="K1386" s="207" t="s">
        <v>5147</v>
      </c>
      <c r="L1386" s="206" t="s">
        <v>92</v>
      </c>
      <c r="M1386" s="157"/>
      <c r="N1386" s="165"/>
      <c r="O1386" s="169"/>
      <c r="P1386" s="169">
        <v>215974.39999999999</v>
      </c>
      <c r="Q1386" s="166">
        <f t="shared" si="63"/>
        <v>0</v>
      </c>
      <c r="R1386" s="169"/>
      <c r="S1386" s="169"/>
      <c r="T1386" s="169"/>
      <c r="U1386" s="169"/>
      <c r="V1386" s="166">
        <f t="shared" si="62"/>
        <v>0</v>
      </c>
      <c r="W1386" s="205"/>
      <c r="X1386" s="167"/>
    </row>
    <row r="1387" spans="8:24" s="220" customFormat="1" ht="12" hidden="1" customHeight="1">
      <c r="H1387" s="168" t="s">
        <v>3133</v>
      </c>
      <c r="I1387" s="206" t="s">
        <v>1119</v>
      </c>
      <c r="J1387" s="206" t="s">
        <v>3149</v>
      </c>
      <c r="K1387" s="207" t="s">
        <v>5148</v>
      </c>
      <c r="L1387" s="206" t="s">
        <v>92</v>
      </c>
      <c r="M1387" s="157"/>
      <c r="N1387" s="165"/>
      <c r="O1387" s="169"/>
      <c r="P1387" s="169">
        <v>283466.40000000002</v>
      </c>
      <c r="Q1387" s="166">
        <f t="shared" si="63"/>
        <v>0</v>
      </c>
      <c r="R1387" s="169"/>
      <c r="S1387" s="169"/>
      <c r="T1387" s="169"/>
      <c r="U1387" s="169"/>
      <c r="V1387" s="166">
        <f t="shared" si="62"/>
        <v>0</v>
      </c>
      <c r="W1387" s="205"/>
      <c r="X1387" s="167"/>
    </row>
    <row r="1388" spans="8:24" s="220" customFormat="1" ht="12" hidden="1" customHeight="1">
      <c r="H1388" s="168" t="s">
        <v>3134</v>
      </c>
      <c r="I1388" s="206" t="s">
        <v>1120</v>
      </c>
      <c r="J1388" s="206" t="s">
        <v>3150</v>
      </c>
      <c r="K1388" s="207" t="s">
        <v>5149</v>
      </c>
      <c r="L1388" s="206" t="s">
        <v>92</v>
      </c>
      <c r="M1388" s="157"/>
      <c r="N1388" s="165"/>
      <c r="O1388" s="169"/>
      <c r="P1388" s="169">
        <v>337460</v>
      </c>
      <c r="Q1388" s="166">
        <f t="shared" si="63"/>
        <v>0</v>
      </c>
      <c r="R1388" s="169"/>
      <c r="S1388" s="169"/>
      <c r="T1388" s="169"/>
      <c r="U1388" s="169"/>
      <c r="V1388" s="166">
        <f t="shared" si="62"/>
        <v>0</v>
      </c>
      <c r="W1388" s="205"/>
      <c r="X1388" s="167"/>
    </row>
    <row r="1389" spans="8:24" s="220" customFormat="1" ht="12" hidden="1" customHeight="1">
      <c r="H1389" s="168" t="s">
        <v>3135</v>
      </c>
      <c r="I1389" s="206" t="s">
        <v>1121</v>
      </c>
      <c r="J1389" s="206" t="s">
        <v>3151</v>
      </c>
      <c r="K1389" s="207" t="s">
        <v>5150</v>
      </c>
      <c r="L1389" s="206" t="s">
        <v>92</v>
      </c>
      <c r="M1389" s="157"/>
      <c r="N1389" s="165"/>
      <c r="O1389" s="169"/>
      <c r="P1389" s="169">
        <v>458945.6</v>
      </c>
      <c r="Q1389" s="166">
        <f t="shared" si="63"/>
        <v>0</v>
      </c>
      <c r="R1389" s="169"/>
      <c r="S1389" s="169"/>
      <c r="T1389" s="169"/>
      <c r="U1389" s="169"/>
      <c r="V1389" s="166">
        <f t="shared" si="62"/>
        <v>0</v>
      </c>
      <c r="W1389" s="205"/>
      <c r="X1389" s="167"/>
    </row>
    <row r="1390" spans="8:24" s="220" customFormat="1" ht="12" hidden="1" customHeight="1">
      <c r="H1390" s="168" t="s">
        <v>3136</v>
      </c>
      <c r="I1390" s="206" t="s">
        <v>1122</v>
      </c>
      <c r="J1390" s="206" t="s">
        <v>3152</v>
      </c>
      <c r="K1390" s="207" t="s">
        <v>5151</v>
      </c>
      <c r="L1390" s="206" t="s">
        <v>92</v>
      </c>
      <c r="M1390" s="157"/>
      <c r="N1390" s="165"/>
      <c r="O1390" s="169"/>
      <c r="P1390" s="169">
        <v>593929.6</v>
      </c>
      <c r="Q1390" s="166">
        <f t="shared" si="63"/>
        <v>0</v>
      </c>
      <c r="R1390" s="169"/>
      <c r="S1390" s="169"/>
      <c r="T1390" s="169"/>
      <c r="U1390" s="169"/>
      <c r="V1390" s="166">
        <f t="shared" si="62"/>
        <v>0</v>
      </c>
      <c r="W1390" s="205"/>
      <c r="X1390" s="167"/>
    </row>
    <row r="1391" spans="8:24" s="220" customFormat="1" ht="12" hidden="1" customHeight="1">
      <c r="H1391" s="168" t="s">
        <v>3562</v>
      </c>
      <c r="I1391" s="206" t="s">
        <v>3580</v>
      </c>
      <c r="J1391" s="206" t="s">
        <v>3581</v>
      </c>
      <c r="K1391" s="206" t="s">
        <v>3582</v>
      </c>
      <c r="L1391" s="206" t="s">
        <v>92</v>
      </c>
      <c r="M1391" s="157"/>
      <c r="N1391" s="165"/>
      <c r="O1391" s="169"/>
      <c r="P1391" s="169">
        <v>91789.119999999995</v>
      </c>
      <c r="Q1391" s="166">
        <f t="shared" si="63"/>
        <v>0</v>
      </c>
      <c r="R1391" s="169"/>
      <c r="S1391" s="169"/>
      <c r="T1391" s="169"/>
      <c r="U1391" s="169"/>
      <c r="V1391" s="166">
        <f t="shared" si="62"/>
        <v>0</v>
      </c>
      <c r="W1391" s="205"/>
      <c r="X1391" s="167"/>
    </row>
    <row r="1392" spans="8:24" s="220" customFormat="1" ht="12" hidden="1" customHeight="1">
      <c r="H1392" s="168" t="s">
        <v>3563</v>
      </c>
      <c r="I1392" s="206" t="s">
        <v>3583</v>
      </c>
      <c r="J1392" s="206" t="s">
        <v>3584</v>
      </c>
      <c r="K1392" s="206" t="s">
        <v>3585</v>
      </c>
      <c r="L1392" s="206" t="s">
        <v>92</v>
      </c>
      <c r="M1392" s="157"/>
      <c r="N1392" s="165"/>
      <c r="O1392" s="169"/>
      <c r="P1392" s="169">
        <v>116086.24</v>
      </c>
      <c r="Q1392" s="166">
        <f t="shared" si="63"/>
        <v>0</v>
      </c>
      <c r="R1392" s="169"/>
      <c r="S1392" s="169"/>
      <c r="T1392" s="169"/>
      <c r="U1392" s="169"/>
      <c r="V1392" s="166">
        <f t="shared" si="62"/>
        <v>0</v>
      </c>
      <c r="W1392" s="205"/>
      <c r="X1392" s="167"/>
    </row>
    <row r="1393" spans="8:24" s="220" customFormat="1" ht="12" hidden="1" customHeight="1">
      <c r="H1393" s="168" t="s">
        <v>3564</v>
      </c>
      <c r="I1393" s="206" t="s">
        <v>3586</v>
      </c>
      <c r="J1393" s="206" t="s">
        <v>3587</v>
      </c>
      <c r="K1393" s="206" t="s">
        <v>3588</v>
      </c>
      <c r="L1393" s="206" t="s">
        <v>92</v>
      </c>
      <c r="M1393" s="157"/>
      <c r="N1393" s="165"/>
      <c r="O1393" s="169"/>
      <c r="P1393" s="169">
        <v>156581.44</v>
      </c>
      <c r="Q1393" s="166">
        <f t="shared" si="63"/>
        <v>0</v>
      </c>
      <c r="R1393" s="169"/>
      <c r="S1393" s="169"/>
      <c r="T1393" s="169"/>
      <c r="U1393" s="169"/>
      <c r="V1393" s="166">
        <f t="shared" si="62"/>
        <v>0</v>
      </c>
      <c r="W1393" s="205"/>
      <c r="X1393" s="167"/>
    </row>
    <row r="1394" spans="8:24" s="220" customFormat="1" ht="12" hidden="1" customHeight="1">
      <c r="H1394" s="168" t="s">
        <v>3565</v>
      </c>
      <c r="I1394" s="206" t="s">
        <v>3589</v>
      </c>
      <c r="J1394" s="206" t="s">
        <v>3590</v>
      </c>
      <c r="K1394" s="206" t="s">
        <v>3591</v>
      </c>
      <c r="L1394" s="206" t="s">
        <v>92</v>
      </c>
      <c r="M1394" s="157"/>
      <c r="N1394" s="165"/>
      <c r="O1394" s="169"/>
      <c r="P1394" s="169">
        <v>199776.32</v>
      </c>
      <c r="Q1394" s="166">
        <f t="shared" si="63"/>
        <v>0</v>
      </c>
      <c r="R1394" s="169"/>
      <c r="S1394" s="169"/>
      <c r="T1394" s="169"/>
      <c r="U1394" s="169"/>
      <c r="V1394" s="166">
        <f t="shared" si="62"/>
        <v>0</v>
      </c>
      <c r="W1394" s="205"/>
      <c r="X1394" s="167"/>
    </row>
    <row r="1395" spans="8:24" s="220" customFormat="1" ht="12" hidden="1" customHeight="1">
      <c r="H1395" s="168" t="s">
        <v>3566</v>
      </c>
      <c r="I1395" s="206" t="s">
        <v>3592</v>
      </c>
      <c r="J1395" s="206" t="s">
        <v>3593</v>
      </c>
      <c r="K1395" s="206" t="s">
        <v>3582</v>
      </c>
      <c r="L1395" s="206" t="s">
        <v>92</v>
      </c>
      <c r="M1395" s="157"/>
      <c r="N1395" s="165"/>
      <c r="O1395" s="169"/>
      <c r="P1395" s="169">
        <v>116086.24</v>
      </c>
      <c r="Q1395" s="166">
        <f t="shared" si="63"/>
        <v>0</v>
      </c>
      <c r="R1395" s="169"/>
      <c r="S1395" s="169"/>
      <c r="T1395" s="169"/>
      <c r="U1395" s="169"/>
      <c r="V1395" s="166">
        <f t="shared" si="62"/>
        <v>0</v>
      </c>
      <c r="W1395" s="205"/>
      <c r="X1395" s="167"/>
    </row>
    <row r="1396" spans="8:24" s="220" customFormat="1" ht="12" hidden="1" customHeight="1">
      <c r="H1396" s="168" t="s">
        <v>3567</v>
      </c>
      <c r="I1396" s="206" t="s">
        <v>3594</v>
      </c>
      <c r="J1396" s="206" t="s">
        <v>3595</v>
      </c>
      <c r="K1396" s="206" t="s">
        <v>3585</v>
      </c>
      <c r="L1396" s="206" t="s">
        <v>92</v>
      </c>
      <c r="M1396" s="157"/>
      <c r="N1396" s="165"/>
      <c r="O1396" s="169"/>
      <c r="P1396" s="169">
        <v>156581.44</v>
      </c>
      <c r="Q1396" s="166">
        <f t="shared" si="63"/>
        <v>0</v>
      </c>
      <c r="R1396" s="169"/>
      <c r="S1396" s="169"/>
      <c r="T1396" s="169"/>
      <c r="U1396" s="169"/>
      <c r="V1396" s="166">
        <f t="shared" si="62"/>
        <v>0</v>
      </c>
      <c r="W1396" s="205"/>
      <c r="X1396" s="167"/>
    </row>
    <row r="1397" spans="8:24" s="220" customFormat="1" ht="12" hidden="1" customHeight="1">
      <c r="H1397" s="168" t="s">
        <v>3568</v>
      </c>
      <c r="I1397" s="206" t="s">
        <v>3596</v>
      </c>
      <c r="J1397" s="206" t="s">
        <v>3597</v>
      </c>
      <c r="K1397" s="206" t="s">
        <v>3588</v>
      </c>
      <c r="L1397" s="206" t="s">
        <v>92</v>
      </c>
      <c r="M1397" s="157"/>
      <c r="N1397" s="165"/>
      <c r="O1397" s="169"/>
      <c r="P1397" s="169">
        <v>199776.32</v>
      </c>
      <c r="Q1397" s="166">
        <f t="shared" si="63"/>
        <v>0</v>
      </c>
      <c r="R1397" s="169"/>
      <c r="S1397" s="169"/>
      <c r="T1397" s="169"/>
      <c r="U1397" s="169"/>
      <c r="V1397" s="166">
        <f t="shared" si="62"/>
        <v>0</v>
      </c>
      <c r="W1397" s="205"/>
      <c r="X1397" s="167"/>
    </row>
    <row r="1398" spans="8:24" s="220" customFormat="1" ht="12" hidden="1" customHeight="1">
      <c r="H1398" s="168" t="s">
        <v>3569</v>
      </c>
      <c r="I1398" s="206" t="s">
        <v>3598</v>
      </c>
      <c r="J1398" s="206" t="s">
        <v>3599</v>
      </c>
      <c r="K1398" s="206" t="s">
        <v>3591</v>
      </c>
      <c r="L1398" s="206" t="s">
        <v>92</v>
      </c>
      <c r="M1398" s="157"/>
      <c r="N1398" s="165"/>
      <c r="O1398" s="169"/>
      <c r="P1398" s="169">
        <v>280766.71999999997</v>
      </c>
      <c r="Q1398" s="166">
        <f t="shared" si="63"/>
        <v>0</v>
      </c>
      <c r="R1398" s="169"/>
      <c r="S1398" s="169"/>
      <c r="T1398" s="169"/>
      <c r="U1398" s="169"/>
      <c r="V1398" s="166">
        <f t="shared" si="62"/>
        <v>0</v>
      </c>
      <c r="W1398" s="205"/>
      <c r="X1398" s="167"/>
    </row>
    <row r="1399" spans="8:24" s="220" customFormat="1" ht="12" hidden="1" customHeight="1">
      <c r="H1399" s="168" t="s">
        <v>3570</v>
      </c>
      <c r="I1399" s="206" t="s">
        <v>3600</v>
      </c>
      <c r="J1399" s="206" t="s">
        <v>3601</v>
      </c>
      <c r="K1399" s="206" t="s">
        <v>3602</v>
      </c>
      <c r="L1399" s="206" t="s">
        <v>92</v>
      </c>
      <c r="M1399" s="157"/>
      <c r="N1399" s="165"/>
      <c r="O1399" s="169"/>
      <c r="P1399" s="169">
        <v>445447.2</v>
      </c>
      <c r="Q1399" s="166">
        <f t="shared" si="63"/>
        <v>0</v>
      </c>
      <c r="R1399" s="169"/>
      <c r="S1399" s="169"/>
      <c r="T1399" s="169"/>
      <c r="U1399" s="169"/>
      <c r="V1399" s="166">
        <f t="shared" si="62"/>
        <v>0</v>
      </c>
      <c r="W1399" s="205"/>
      <c r="X1399" s="167"/>
    </row>
    <row r="1400" spans="8:24" s="220" customFormat="1" ht="12" hidden="1" customHeight="1">
      <c r="H1400" s="168" t="s">
        <v>3571</v>
      </c>
      <c r="I1400" s="206" t="s">
        <v>3603</v>
      </c>
      <c r="J1400" s="206" t="s">
        <v>3604</v>
      </c>
      <c r="K1400" s="206" t="s">
        <v>3605</v>
      </c>
      <c r="L1400" s="206" t="s">
        <v>92</v>
      </c>
      <c r="M1400" s="157"/>
      <c r="N1400" s="165"/>
      <c r="O1400" s="169"/>
      <c r="P1400" s="169">
        <v>523737.92</v>
      </c>
      <c r="Q1400" s="166">
        <f t="shared" si="63"/>
        <v>0</v>
      </c>
      <c r="R1400" s="169"/>
      <c r="S1400" s="169"/>
      <c r="T1400" s="169"/>
      <c r="U1400" s="169"/>
      <c r="V1400" s="166">
        <f t="shared" si="62"/>
        <v>0</v>
      </c>
      <c r="W1400" s="205"/>
      <c r="X1400" s="167"/>
    </row>
    <row r="1401" spans="8:24" s="220" customFormat="1" ht="12" hidden="1" customHeight="1">
      <c r="H1401" s="168" t="s">
        <v>3572</v>
      </c>
      <c r="I1401" s="206" t="s">
        <v>3606</v>
      </c>
      <c r="J1401" s="206" t="s">
        <v>3607</v>
      </c>
      <c r="K1401" s="206" t="s">
        <v>3608</v>
      </c>
      <c r="L1401" s="206" t="s">
        <v>92</v>
      </c>
      <c r="M1401" s="157"/>
      <c r="N1401" s="165"/>
      <c r="O1401" s="169"/>
      <c r="P1401" s="169">
        <v>604728.31999999995</v>
      </c>
      <c r="Q1401" s="166">
        <f t="shared" si="63"/>
        <v>0</v>
      </c>
      <c r="R1401" s="169"/>
      <c r="S1401" s="169"/>
      <c r="T1401" s="169"/>
      <c r="U1401" s="169"/>
      <c r="V1401" s="166">
        <f t="shared" si="62"/>
        <v>0</v>
      </c>
      <c r="W1401" s="205"/>
      <c r="X1401" s="167"/>
    </row>
    <row r="1402" spans="8:24" s="220" customFormat="1" ht="12" hidden="1" customHeight="1">
      <c r="H1402" s="168" t="s">
        <v>3573</v>
      </c>
      <c r="I1402" s="206" t="s">
        <v>1106</v>
      </c>
      <c r="J1402" s="206" t="s">
        <v>3609</v>
      </c>
      <c r="K1402" s="206" t="s">
        <v>3582</v>
      </c>
      <c r="L1402" s="206" t="s">
        <v>92</v>
      </c>
      <c r="M1402" s="157"/>
      <c r="N1402" s="165"/>
      <c r="O1402" s="169"/>
      <c r="P1402" s="169">
        <v>145782.72</v>
      </c>
      <c r="Q1402" s="166">
        <f t="shared" si="63"/>
        <v>0</v>
      </c>
      <c r="R1402" s="169"/>
      <c r="S1402" s="169"/>
      <c r="T1402" s="169"/>
      <c r="U1402" s="169"/>
      <c r="V1402" s="166">
        <f t="shared" si="62"/>
        <v>0</v>
      </c>
      <c r="W1402" s="205"/>
      <c r="X1402" s="167"/>
    </row>
    <row r="1403" spans="8:24" s="220" customFormat="1" ht="12" hidden="1" customHeight="1">
      <c r="H1403" s="168" t="s">
        <v>3574</v>
      </c>
      <c r="I1403" s="206" t="s">
        <v>1107</v>
      </c>
      <c r="J1403" s="206" t="s">
        <v>3610</v>
      </c>
      <c r="K1403" s="206" t="s">
        <v>3585</v>
      </c>
      <c r="L1403" s="206" t="s">
        <v>92</v>
      </c>
      <c r="M1403" s="157"/>
      <c r="N1403" s="165"/>
      <c r="O1403" s="169"/>
      <c r="P1403" s="169">
        <v>199776.32</v>
      </c>
      <c r="Q1403" s="166">
        <f t="shared" si="63"/>
        <v>0</v>
      </c>
      <c r="R1403" s="169"/>
      <c r="S1403" s="169"/>
      <c r="T1403" s="169"/>
      <c r="U1403" s="169"/>
      <c r="V1403" s="166">
        <f t="shared" si="62"/>
        <v>0</v>
      </c>
      <c r="W1403" s="205"/>
      <c r="X1403" s="167"/>
    </row>
    <row r="1404" spans="8:24" s="220" customFormat="1" ht="12" hidden="1" customHeight="1">
      <c r="H1404" s="168" t="s">
        <v>3575</v>
      </c>
      <c r="I1404" s="206" t="s">
        <v>1108</v>
      </c>
      <c r="J1404" s="206" t="s">
        <v>3611</v>
      </c>
      <c r="K1404" s="206" t="s">
        <v>3588</v>
      </c>
      <c r="L1404" s="206" t="s">
        <v>92</v>
      </c>
      <c r="M1404" s="169"/>
      <c r="N1404" s="165"/>
      <c r="O1404" s="169"/>
      <c r="P1404" s="169">
        <v>280766.71999999997</v>
      </c>
      <c r="Q1404" s="166">
        <f t="shared" si="63"/>
        <v>0</v>
      </c>
      <c r="R1404" s="169"/>
      <c r="S1404" s="169"/>
      <c r="T1404" s="169"/>
      <c r="U1404" s="169"/>
      <c r="V1404" s="166">
        <f t="shared" si="62"/>
        <v>0</v>
      </c>
      <c r="W1404" s="205"/>
      <c r="X1404" s="167"/>
    </row>
    <row r="1405" spans="8:24" s="220" customFormat="1" ht="12" hidden="1" customHeight="1">
      <c r="H1405" s="168" t="s">
        <v>3576</v>
      </c>
      <c r="I1405" s="206" t="s">
        <v>3612</v>
      </c>
      <c r="J1405" s="206" t="s">
        <v>3613</v>
      </c>
      <c r="K1405" s="206" t="s">
        <v>3591</v>
      </c>
      <c r="L1405" s="206" t="s">
        <v>92</v>
      </c>
      <c r="M1405" s="169"/>
      <c r="N1405" s="165"/>
      <c r="O1405" s="169"/>
      <c r="P1405" s="169">
        <v>364456.8</v>
      </c>
      <c r="Q1405" s="166">
        <f t="shared" si="63"/>
        <v>0</v>
      </c>
      <c r="R1405" s="169"/>
      <c r="S1405" s="169"/>
      <c r="T1405" s="169"/>
      <c r="U1405" s="169"/>
      <c r="V1405" s="166">
        <f t="shared" si="62"/>
        <v>0</v>
      </c>
      <c r="W1405" s="205"/>
      <c r="X1405" s="167"/>
    </row>
    <row r="1406" spans="8:24" s="220" customFormat="1" ht="12" hidden="1" customHeight="1">
      <c r="H1406" s="168" t="s">
        <v>3577</v>
      </c>
      <c r="I1406" s="206" t="s">
        <v>3614</v>
      </c>
      <c r="J1406" s="206" t="s">
        <v>3615</v>
      </c>
      <c r="K1406" s="206" t="s">
        <v>3602</v>
      </c>
      <c r="L1406" s="206" t="s">
        <v>92</v>
      </c>
      <c r="M1406" s="157"/>
      <c r="N1406" s="165"/>
      <c r="O1406" s="169"/>
      <c r="P1406" s="169">
        <v>526437.6</v>
      </c>
      <c r="Q1406" s="166">
        <f t="shared" si="63"/>
        <v>0</v>
      </c>
      <c r="R1406" s="169"/>
      <c r="S1406" s="169"/>
      <c r="T1406" s="169"/>
      <c r="U1406" s="169"/>
      <c r="V1406" s="166">
        <f t="shared" si="62"/>
        <v>0</v>
      </c>
      <c r="W1406" s="205"/>
      <c r="X1406" s="167"/>
    </row>
    <row r="1407" spans="8:24" s="220" customFormat="1" ht="12" hidden="1" customHeight="1">
      <c r="H1407" s="168" t="s">
        <v>3578</v>
      </c>
      <c r="I1407" s="206" t="s">
        <v>3616</v>
      </c>
      <c r="J1407" s="206" t="s">
        <v>3617</v>
      </c>
      <c r="K1407" s="206" t="s">
        <v>3605</v>
      </c>
      <c r="L1407" s="206" t="s">
        <v>92</v>
      </c>
      <c r="M1407" s="157"/>
      <c r="N1407" s="165"/>
      <c r="O1407" s="169"/>
      <c r="P1407" s="169">
        <v>604728.31999999995</v>
      </c>
      <c r="Q1407" s="166">
        <f t="shared" si="63"/>
        <v>0</v>
      </c>
      <c r="R1407" s="169"/>
      <c r="S1407" s="169"/>
      <c r="T1407" s="169"/>
      <c r="U1407" s="169"/>
      <c r="V1407" s="166">
        <f t="shared" si="62"/>
        <v>0</v>
      </c>
      <c r="W1407" s="205"/>
      <c r="X1407" s="167"/>
    </row>
    <row r="1408" spans="8:24" s="220" customFormat="1" ht="12" hidden="1" customHeight="1">
      <c r="H1408" s="168" t="s">
        <v>3579</v>
      </c>
      <c r="I1408" s="206" t="s">
        <v>3618</v>
      </c>
      <c r="J1408" s="206" t="s">
        <v>3619</v>
      </c>
      <c r="K1408" s="206" t="s">
        <v>3608</v>
      </c>
      <c r="L1408" s="206" t="s">
        <v>92</v>
      </c>
      <c r="M1408" s="157"/>
      <c r="N1408" s="165"/>
      <c r="O1408" s="169"/>
      <c r="P1408" s="169">
        <v>688418.4</v>
      </c>
      <c r="Q1408" s="166">
        <f t="shared" si="63"/>
        <v>0</v>
      </c>
      <c r="R1408" s="169"/>
      <c r="S1408" s="169"/>
      <c r="T1408" s="169"/>
      <c r="U1408" s="169"/>
      <c r="V1408" s="166">
        <f t="shared" si="62"/>
        <v>0</v>
      </c>
      <c r="W1408" s="205"/>
      <c r="X1408" s="167"/>
    </row>
    <row r="1409" spans="8:24" s="220" customFormat="1" ht="12" hidden="1" customHeight="1">
      <c r="H1409" s="168" t="s">
        <v>3620</v>
      </c>
      <c r="I1409" s="206" t="s">
        <v>1109</v>
      </c>
      <c r="J1409" s="206" t="s">
        <v>3627</v>
      </c>
      <c r="K1409" s="207" t="s">
        <v>5156</v>
      </c>
      <c r="L1409" s="206" t="s">
        <v>92</v>
      </c>
      <c r="M1409" s="157"/>
      <c r="N1409" s="165"/>
      <c r="O1409" s="169"/>
      <c r="P1409" s="169">
        <v>51293.919999999998</v>
      </c>
      <c r="Q1409" s="166">
        <f t="shared" si="63"/>
        <v>0</v>
      </c>
      <c r="R1409" s="169"/>
      <c r="S1409" s="169"/>
      <c r="T1409" s="169"/>
      <c r="U1409" s="169"/>
      <c r="V1409" s="166">
        <f t="shared" si="62"/>
        <v>0</v>
      </c>
      <c r="W1409" s="205"/>
      <c r="X1409" s="167"/>
    </row>
    <row r="1410" spans="8:24" s="220" customFormat="1" ht="12" hidden="1" customHeight="1">
      <c r="H1410" s="168" t="s">
        <v>3621</v>
      </c>
      <c r="I1410" s="206" t="s">
        <v>1110</v>
      </c>
      <c r="J1410" s="206" t="s">
        <v>3628</v>
      </c>
      <c r="K1410" s="207" t="s">
        <v>5157</v>
      </c>
      <c r="L1410" s="206" t="s">
        <v>92</v>
      </c>
      <c r="M1410" s="169"/>
      <c r="N1410" s="165"/>
      <c r="O1410" s="169"/>
      <c r="P1410" s="169">
        <v>70191.679999999993</v>
      </c>
      <c r="Q1410" s="166">
        <f t="shared" si="63"/>
        <v>0</v>
      </c>
      <c r="R1410" s="169"/>
      <c r="S1410" s="169"/>
      <c r="T1410" s="169"/>
      <c r="U1410" s="169"/>
      <c r="V1410" s="166">
        <f t="shared" si="62"/>
        <v>0</v>
      </c>
      <c r="W1410" s="205"/>
      <c r="X1410" s="167"/>
    </row>
    <row r="1411" spans="8:24" s="220" customFormat="1" ht="12" hidden="1" customHeight="1">
      <c r="H1411" s="168" t="s">
        <v>3622</v>
      </c>
      <c r="I1411" s="206" t="s">
        <v>1111</v>
      </c>
      <c r="J1411" s="206" t="s">
        <v>3629</v>
      </c>
      <c r="K1411" s="207" t="s">
        <v>5158</v>
      </c>
      <c r="L1411" s="206" t="s">
        <v>92</v>
      </c>
      <c r="M1411" s="157"/>
      <c r="N1411" s="165"/>
      <c r="O1411" s="169"/>
      <c r="P1411" s="169">
        <v>97188.479999999996</v>
      </c>
      <c r="Q1411" s="166">
        <f t="shared" si="63"/>
        <v>0</v>
      </c>
      <c r="R1411" s="169"/>
      <c r="S1411" s="169"/>
      <c r="T1411" s="169"/>
      <c r="U1411" s="169"/>
      <c r="V1411" s="166">
        <f t="shared" si="62"/>
        <v>0</v>
      </c>
      <c r="W1411" s="205"/>
      <c r="X1411" s="167"/>
    </row>
    <row r="1412" spans="8:24" s="220" customFormat="1" ht="12" hidden="1" customHeight="1">
      <c r="H1412" s="168" t="s">
        <v>3623</v>
      </c>
      <c r="I1412" s="206" t="s">
        <v>1112</v>
      </c>
      <c r="J1412" s="206" t="s">
        <v>3630</v>
      </c>
      <c r="K1412" s="207" t="s">
        <v>5159</v>
      </c>
      <c r="L1412" s="206" t="s">
        <v>92</v>
      </c>
      <c r="M1412" s="157"/>
      <c r="N1412" s="165"/>
      <c r="O1412" s="169"/>
      <c r="P1412" s="169">
        <v>126884.96</v>
      </c>
      <c r="Q1412" s="166">
        <f t="shared" si="63"/>
        <v>0</v>
      </c>
      <c r="R1412" s="169"/>
      <c r="S1412" s="169"/>
      <c r="T1412" s="169"/>
      <c r="U1412" s="169"/>
      <c r="V1412" s="166">
        <f t="shared" si="62"/>
        <v>0</v>
      </c>
      <c r="W1412" s="205"/>
      <c r="X1412" s="167"/>
    </row>
    <row r="1413" spans="8:24" s="220" customFormat="1" ht="12" hidden="1" customHeight="1">
      <c r="H1413" s="168" t="s">
        <v>3624</v>
      </c>
      <c r="I1413" s="206" t="s">
        <v>1113</v>
      </c>
      <c r="J1413" s="206" t="s">
        <v>3631</v>
      </c>
      <c r="K1413" s="207" t="s">
        <v>5160</v>
      </c>
      <c r="L1413" s="206" t="s">
        <v>92</v>
      </c>
      <c r="M1413" s="157"/>
      <c r="N1413" s="165"/>
      <c r="O1413" s="169"/>
      <c r="P1413" s="169">
        <v>183578.23999999999</v>
      </c>
      <c r="Q1413" s="166">
        <f t="shared" si="63"/>
        <v>0</v>
      </c>
      <c r="R1413" s="169"/>
      <c r="S1413" s="169"/>
      <c r="T1413" s="169"/>
      <c r="U1413" s="169"/>
      <c r="V1413" s="166">
        <f t="shared" si="62"/>
        <v>0</v>
      </c>
      <c r="W1413" s="205"/>
      <c r="X1413" s="167"/>
    </row>
    <row r="1414" spans="8:24" s="220" customFormat="1" ht="12" hidden="1" customHeight="1">
      <c r="H1414" s="168" t="s">
        <v>3625</v>
      </c>
      <c r="I1414" s="206" t="s">
        <v>3632</v>
      </c>
      <c r="J1414" s="206" t="s">
        <v>3633</v>
      </c>
      <c r="K1414" s="207" t="s">
        <v>5161</v>
      </c>
      <c r="L1414" s="206" t="s">
        <v>92</v>
      </c>
      <c r="M1414" s="157"/>
      <c r="N1414" s="165"/>
      <c r="O1414" s="169"/>
      <c r="P1414" s="169">
        <v>210575.04</v>
      </c>
      <c r="Q1414" s="166">
        <f t="shared" si="63"/>
        <v>0</v>
      </c>
      <c r="R1414" s="169"/>
      <c r="S1414" s="169"/>
      <c r="T1414" s="169"/>
      <c r="U1414" s="169"/>
      <c r="V1414" s="166">
        <f t="shared" ref="V1414:V1477" si="64">SUM(O1414+Q1414)+S1414+U1414</f>
        <v>0</v>
      </c>
      <c r="W1414" s="205"/>
      <c r="X1414" s="167"/>
    </row>
    <row r="1415" spans="8:24" s="220" customFormat="1" ht="12" hidden="1" customHeight="1">
      <c r="H1415" s="168" t="s">
        <v>3626</v>
      </c>
      <c r="I1415" s="206" t="s">
        <v>1114</v>
      </c>
      <c r="J1415" s="206" t="s">
        <v>3634</v>
      </c>
      <c r="K1415" s="207" t="s">
        <v>5162</v>
      </c>
      <c r="L1415" s="206" t="s">
        <v>92</v>
      </c>
      <c r="M1415" s="157"/>
      <c r="N1415" s="165"/>
      <c r="O1415" s="169"/>
      <c r="P1415" s="169">
        <v>240271.52</v>
      </c>
      <c r="Q1415" s="166">
        <f t="shared" si="63"/>
        <v>0</v>
      </c>
      <c r="R1415" s="169"/>
      <c r="S1415" s="169"/>
      <c r="T1415" s="169"/>
      <c r="U1415" s="169"/>
      <c r="V1415" s="166">
        <f t="shared" si="64"/>
        <v>0</v>
      </c>
      <c r="W1415" s="205"/>
      <c r="X1415" s="167"/>
    </row>
    <row r="1416" spans="8:24" s="220" customFormat="1" ht="12" hidden="1" customHeight="1">
      <c r="H1416" s="168" t="s">
        <v>3635</v>
      </c>
      <c r="I1416" s="206" t="s">
        <v>3652</v>
      </c>
      <c r="J1416" s="206" t="s">
        <v>3653</v>
      </c>
      <c r="K1416" s="206" t="s">
        <v>3654</v>
      </c>
      <c r="L1416" s="206" t="s">
        <v>755</v>
      </c>
      <c r="M1416" s="157"/>
      <c r="N1416" s="165"/>
      <c r="O1416" s="169"/>
      <c r="P1416" s="169">
        <v>48594.239999999998</v>
      </c>
      <c r="Q1416" s="166">
        <f t="shared" si="63"/>
        <v>0</v>
      </c>
      <c r="R1416" s="169"/>
      <c r="S1416" s="169"/>
      <c r="T1416" s="169"/>
      <c r="U1416" s="169"/>
      <c r="V1416" s="166">
        <f t="shared" si="64"/>
        <v>0</v>
      </c>
      <c r="W1416" s="205"/>
      <c r="X1416" s="167"/>
    </row>
    <row r="1417" spans="8:24" s="220" customFormat="1" ht="12" hidden="1" customHeight="1">
      <c r="H1417" s="168" t="s">
        <v>3636</v>
      </c>
      <c r="I1417" s="206" t="s">
        <v>3655</v>
      </c>
      <c r="J1417" s="206" t="s">
        <v>3656</v>
      </c>
      <c r="K1417" s="206" t="s">
        <v>3657</v>
      </c>
      <c r="L1417" s="206" t="s">
        <v>755</v>
      </c>
      <c r="M1417" s="157"/>
      <c r="N1417" s="165"/>
      <c r="O1417" s="169"/>
      <c r="P1417" s="169">
        <v>66142.16</v>
      </c>
      <c r="Q1417" s="166">
        <f t="shared" si="63"/>
        <v>0</v>
      </c>
      <c r="R1417" s="169"/>
      <c r="S1417" s="169"/>
      <c r="T1417" s="169"/>
      <c r="U1417" s="169"/>
      <c r="V1417" s="166">
        <f t="shared" si="64"/>
        <v>0</v>
      </c>
      <c r="W1417" s="205"/>
      <c r="X1417" s="167"/>
    </row>
    <row r="1418" spans="8:24" s="220" customFormat="1" ht="12" hidden="1" customHeight="1">
      <c r="H1418" s="168" t="s">
        <v>3637</v>
      </c>
      <c r="I1418" s="206" t="s">
        <v>3658</v>
      </c>
      <c r="J1418" s="206" t="s">
        <v>3659</v>
      </c>
      <c r="K1418" s="206" t="s">
        <v>3660</v>
      </c>
      <c r="L1418" s="206" t="s">
        <v>755</v>
      </c>
      <c r="M1418" s="157"/>
      <c r="N1418" s="165"/>
      <c r="O1418" s="169"/>
      <c r="P1418" s="169">
        <v>66142.16</v>
      </c>
      <c r="Q1418" s="166">
        <f t="shared" si="63"/>
        <v>0</v>
      </c>
      <c r="R1418" s="169"/>
      <c r="S1418" s="169"/>
      <c r="T1418" s="169"/>
      <c r="U1418" s="169"/>
      <c r="V1418" s="166">
        <f t="shared" si="64"/>
        <v>0</v>
      </c>
      <c r="W1418" s="205"/>
      <c r="X1418" s="167"/>
    </row>
    <row r="1419" spans="8:24" s="220" customFormat="1" ht="12" hidden="1" customHeight="1">
      <c r="H1419" s="168" t="s">
        <v>3638</v>
      </c>
      <c r="I1419" s="206" t="s">
        <v>3661</v>
      </c>
      <c r="J1419" s="206" t="s">
        <v>3662</v>
      </c>
      <c r="K1419" s="206" t="s">
        <v>3663</v>
      </c>
      <c r="L1419" s="206" t="s">
        <v>755</v>
      </c>
      <c r="M1419" s="157"/>
      <c r="N1419" s="165"/>
      <c r="O1419" s="169"/>
      <c r="P1419" s="169">
        <v>45894.559999999998</v>
      </c>
      <c r="Q1419" s="166">
        <f t="shared" si="63"/>
        <v>0</v>
      </c>
      <c r="R1419" s="169"/>
      <c r="S1419" s="169"/>
      <c r="T1419" s="169"/>
      <c r="U1419" s="169"/>
      <c r="V1419" s="166">
        <f t="shared" si="64"/>
        <v>0</v>
      </c>
      <c r="W1419" s="205"/>
      <c r="X1419" s="167"/>
    </row>
    <row r="1420" spans="8:24" s="220" customFormat="1" ht="12" hidden="1" customHeight="1">
      <c r="H1420" s="168" t="s">
        <v>3639</v>
      </c>
      <c r="I1420" s="206" t="s">
        <v>3664</v>
      </c>
      <c r="J1420" s="206" t="s">
        <v>3665</v>
      </c>
      <c r="K1420" s="206" t="s">
        <v>3666</v>
      </c>
      <c r="L1420" s="206" t="s">
        <v>755</v>
      </c>
      <c r="M1420" s="157"/>
      <c r="N1420" s="165"/>
      <c r="O1420" s="169"/>
      <c r="P1420" s="169">
        <v>29426.511999999999</v>
      </c>
      <c r="Q1420" s="166">
        <f t="shared" si="63"/>
        <v>0</v>
      </c>
      <c r="R1420" s="169"/>
      <c r="S1420" s="169"/>
      <c r="T1420" s="169"/>
      <c r="U1420" s="169"/>
      <c r="V1420" s="166">
        <f t="shared" si="64"/>
        <v>0</v>
      </c>
      <c r="W1420" s="205"/>
      <c r="X1420" s="167"/>
    </row>
    <row r="1421" spans="8:24" s="220" customFormat="1" ht="12" hidden="1" customHeight="1">
      <c r="H1421" s="168" t="s">
        <v>3640</v>
      </c>
      <c r="I1421" s="206" t="s">
        <v>3667</v>
      </c>
      <c r="J1421" s="206" t="s">
        <v>3668</v>
      </c>
      <c r="K1421" s="206" t="s">
        <v>3669</v>
      </c>
      <c r="L1421" s="206" t="s">
        <v>755</v>
      </c>
      <c r="M1421" s="157"/>
      <c r="N1421" s="165"/>
      <c r="O1421" s="169"/>
      <c r="P1421" s="169">
        <v>45894.559999999998</v>
      </c>
      <c r="Q1421" s="166">
        <f t="shared" si="63"/>
        <v>0</v>
      </c>
      <c r="R1421" s="169"/>
      <c r="S1421" s="169"/>
      <c r="T1421" s="169"/>
      <c r="U1421" s="169"/>
      <c r="V1421" s="166">
        <f t="shared" si="64"/>
        <v>0</v>
      </c>
      <c r="W1421" s="205"/>
      <c r="X1421" s="167"/>
    </row>
    <row r="1422" spans="8:24" s="220" customFormat="1" ht="12" hidden="1" customHeight="1">
      <c r="H1422" s="168" t="s">
        <v>3641</v>
      </c>
      <c r="I1422" s="206" t="s">
        <v>3670</v>
      </c>
      <c r="J1422" s="206" t="s">
        <v>3671</v>
      </c>
      <c r="K1422" s="206" t="s">
        <v>3672</v>
      </c>
      <c r="L1422" s="206" t="s">
        <v>755</v>
      </c>
      <c r="M1422" s="157"/>
      <c r="N1422" s="165"/>
      <c r="O1422" s="169"/>
      <c r="P1422" s="169">
        <v>40495.199999999997</v>
      </c>
      <c r="Q1422" s="166">
        <f t="shared" si="63"/>
        <v>0</v>
      </c>
      <c r="R1422" s="169"/>
      <c r="S1422" s="169"/>
      <c r="T1422" s="169"/>
      <c r="U1422" s="169"/>
      <c r="V1422" s="166">
        <f t="shared" si="64"/>
        <v>0</v>
      </c>
      <c r="W1422" s="205"/>
      <c r="X1422" s="167"/>
    </row>
    <row r="1423" spans="8:24" s="220" customFormat="1" ht="12" hidden="1" customHeight="1">
      <c r="H1423" s="168" t="s">
        <v>3642</v>
      </c>
      <c r="I1423" s="206" t="s">
        <v>3673</v>
      </c>
      <c r="J1423" s="206" t="s">
        <v>3674</v>
      </c>
      <c r="K1423" s="206" t="s">
        <v>3675</v>
      </c>
      <c r="L1423" s="206" t="s">
        <v>755</v>
      </c>
      <c r="M1423" s="157"/>
      <c r="N1423" s="165"/>
      <c r="O1423" s="169"/>
      <c r="P1423" s="169">
        <v>26996.799999999999</v>
      </c>
      <c r="Q1423" s="166">
        <f t="shared" si="63"/>
        <v>0</v>
      </c>
      <c r="R1423" s="169"/>
      <c r="S1423" s="169"/>
      <c r="T1423" s="169"/>
      <c r="U1423" s="169"/>
      <c r="V1423" s="166">
        <f t="shared" si="64"/>
        <v>0</v>
      </c>
      <c r="W1423" s="205"/>
      <c r="X1423" s="167"/>
    </row>
    <row r="1424" spans="8:24" s="220" customFormat="1" ht="12" hidden="1" customHeight="1">
      <c r="H1424" s="168" t="s">
        <v>3643</v>
      </c>
      <c r="I1424" s="206" t="s">
        <v>3676</v>
      </c>
      <c r="J1424" s="206" t="s">
        <v>3677</v>
      </c>
      <c r="K1424" s="206" t="s">
        <v>3654</v>
      </c>
      <c r="L1424" s="206" t="s">
        <v>755</v>
      </c>
      <c r="M1424" s="157"/>
      <c r="N1424" s="165"/>
      <c r="O1424" s="169"/>
      <c r="P1424" s="169">
        <v>51293.919999999998</v>
      </c>
      <c r="Q1424" s="166">
        <f t="shared" si="63"/>
        <v>0</v>
      </c>
      <c r="R1424" s="169"/>
      <c r="S1424" s="169"/>
      <c r="T1424" s="169"/>
      <c r="U1424" s="169"/>
      <c r="V1424" s="166">
        <f t="shared" si="64"/>
        <v>0</v>
      </c>
      <c r="W1424" s="205"/>
      <c r="X1424" s="167"/>
    </row>
    <row r="1425" spans="8:24" s="220" customFormat="1" ht="12" hidden="1" customHeight="1">
      <c r="H1425" s="168" t="s">
        <v>3644</v>
      </c>
      <c r="I1425" s="206" t="s">
        <v>3678</v>
      </c>
      <c r="J1425" s="206" t="s">
        <v>3679</v>
      </c>
      <c r="K1425" s="206" t="s">
        <v>3657</v>
      </c>
      <c r="L1425" s="206" t="s">
        <v>755</v>
      </c>
      <c r="M1425" s="157"/>
      <c r="N1425" s="165"/>
      <c r="O1425" s="169"/>
      <c r="P1425" s="169">
        <v>69381.775999999998</v>
      </c>
      <c r="Q1425" s="166">
        <f t="shared" si="63"/>
        <v>0</v>
      </c>
      <c r="R1425" s="169"/>
      <c r="S1425" s="169"/>
      <c r="T1425" s="169"/>
      <c r="U1425" s="169"/>
      <c r="V1425" s="166">
        <f t="shared" si="64"/>
        <v>0</v>
      </c>
      <c r="W1425" s="205"/>
      <c r="X1425" s="167"/>
    </row>
    <row r="1426" spans="8:24" s="220" customFormat="1" ht="12" hidden="1" customHeight="1">
      <c r="H1426" s="168" t="s">
        <v>3645</v>
      </c>
      <c r="I1426" s="206" t="s">
        <v>3680</v>
      </c>
      <c r="J1426" s="206" t="s">
        <v>3681</v>
      </c>
      <c r="K1426" s="206" t="s">
        <v>3682</v>
      </c>
      <c r="L1426" s="206" t="s">
        <v>755</v>
      </c>
      <c r="M1426" s="157"/>
      <c r="N1426" s="165"/>
      <c r="O1426" s="169"/>
      <c r="P1426" s="169">
        <v>69381.775999999998</v>
      </c>
      <c r="Q1426" s="166">
        <f t="shared" si="63"/>
        <v>0</v>
      </c>
      <c r="R1426" s="169"/>
      <c r="S1426" s="169"/>
      <c r="T1426" s="169"/>
      <c r="U1426" s="169"/>
      <c r="V1426" s="166">
        <f t="shared" si="64"/>
        <v>0</v>
      </c>
      <c r="W1426" s="205"/>
      <c r="X1426" s="167"/>
    </row>
    <row r="1427" spans="8:24" s="220" customFormat="1" ht="12" hidden="1" customHeight="1">
      <c r="H1427" s="168" t="s">
        <v>3646</v>
      </c>
      <c r="I1427" s="206" t="s">
        <v>3683</v>
      </c>
      <c r="J1427" s="206" t="s">
        <v>3684</v>
      </c>
      <c r="K1427" s="206" t="s">
        <v>3663</v>
      </c>
      <c r="L1427" s="206" t="s">
        <v>755</v>
      </c>
      <c r="M1427" s="157"/>
      <c r="N1427" s="165"/>
      <c r="O1427" s="169"/>
      <c r="P1427" s="169">
        <v>48324.271999999997</v>
      </c>
      <c r="Q1427" s="166">
        <f t="shared" si="63"/>
        <v>0</v>
      </c>
      <c r="R1427" s="169"/>
      <c r="S1427" s="169"/>
      <c r="T1427" s="169"/>
      <c r="U1427" s="169"/>
      <c r="V1427" s="166">
        <f t="shared" si="64"/>
        <v>0</v>
      </c>
      <c r="W1427" s="205"/>
      <c r="X1427" s="167"/>
    </row>
    <row r="1428" spans="8:24" s="220" customFormat="1" ht="12" hidden="1" customHeight="1">
      <c r="H1428" s="168" t="s">
        <v>3647</v>
      </c>
      <c r="I1428" s="206" t="s">
        <v>3685</v>
      </c>
      <c r="J1428" s="206" t="s">
        <v>3686</v>
      </c>
      <c r="K1428" s="206" t="s">
        <v>3666</v>
      </c>
      <c r="L1428" s="206" t="s">
        <v>755</v>
      </c>
      <c r="M1428" s="157"/>
      <c r="N1428" s="165"/>
      <c r="O1428" s="169"/>
      <c r="P1428" s="169">
        <v>39685.296000000002</v>
      </c>
      <c r="Q1428" s="166">
        <f t="shared" si="63"/>
        <v>0</v>
      </c>
      <c r="R1428" s="169"/>
      <c r="S1428" s="169"/>
      <c r="T1428" s="169"/>
      <c r="U1428" s="169"/>
      <c r="V1428" s="166">
        <f t="shared" si="64"/>
        <v>0</v>
      </c>
      <c r="W1428" s="205"/>
      <c r="X1428" s="167"/>
    </row>
    <row r="1429" spans="8:24" s="220" customFormat="1" ht="12" hidden="1" customHeight="1">
      <c r="H1429" s="168" t="s">
        <v>3648</v>
      </c>
      <c r="I1429" s="206" t="s">
        <v>3687</v>
      </c>
      <c r="J1429" s="206" t="s">
        <v>3688</v>
      </c>
      <c r="K1429" s="206" t="s">
        <v>3669</v>
      </c>
      <c r="L1429" s="206" t="s">
        <v>755</v>
      </c>
      <c r="M1429" s="157"/>
      <c r="N1429" s="165"/>
      <c r="O1429" s="169"/>
      <c r="P1429" s="169">
        <v>48324.271999999997</v>
      </c>
      <c r="Q1429" s="166">
        <f t="shared" si="63"/>
        <v>0</v>
      </c>
      <c r="R1429" s="169"/>
      <c r="S1429" s="169"/>
      <c r="T1429" s="169"/>
      <c r="U1429" s="169"/>
      <c r="V1429" s="166">
        <f t="shared" si="64"/>
        <v>0</v>
      </c>
      <c r="W1429" s="205"/>
      <c r="X1429" s="167"/>
    </row>
    <row r="1430" spans="8:24" s="220" customFormat="1" ht="12" hidden="1" customHeight="1">
      <c r="H1430" s="168" t="s">
        <v>3649</v>
      </c>
      <c r="I1430" s="206" t="s">
        <v>3689</v>
      </c>
      <c r="J1430" s="206" t="s">
        <v>3690</v>
      </c>
      <c r="K1430" s="206" t="s">
        <v>3672</v>
      </c>
      <c r="L1430" s="206" t="s">
        <v>755</v>
      </c>
      <c r="M1430" s="157"/>
      <c r="N1430" s="165"/>
      <c r="O1430" s="169"/>
      <c r="P1430" s="169">
        <v>42654.944000000003</v>
      </c>
      <c r="Q1430" s="166">
        <f t="shared" si="63"/>
        <v>0</v>
      </c>
      <c r="R1430" s="169"/>
      <c r="S1430" s="169"/>
      <c r="T1430" s="169"/>
      <c r="U1430" s="169"/>
      <c r="V1430" s="166">
        <f t="shared" si="64"/>
        <v>0</v>
      </c>
      <c r="W1430" s="205"/>
      <c r="X1430" s="167"/>
    </row>
    <row r="1431" spans="8:24" s="220" customFormat="1" ht="12" hidden="1" customHeight="1">
      <c r="H1431" s="168" t="s">
        <v>3650</v>
      </c>
      <c r="I1431" s="206" t="s">
        <v>3691</v>
      </c>
      <c r="J1431" s="206" t="s">
        <v>3692</v>
      </c>
      <c r="K1431" s="206" t="s">
        <v>3693</v>
      </c>
      <c r="L1431" s="206" t="s">
        <v>755</v>
      </c>
      <c r="M1431" s="157"/>
      <c r="N1431" s="165"/>
      <c r="O1431" s="169"/>
      <c r="P1431" s="169">
        <v>133634.16</v>
      </c>
      <c r="Q1431" s="166">
        <f t="shared" si="63"/>
        <v>0</v>
      </c>
      <c r="R1431" s="169"/>
      <c r="S1431" s="169"/>
      <c r="T1431" s="169"/>
      <c r="U1431" s="169"/>
      <c r="V1431" s="166">
        <f t="shared" si="64"/>
        <v>0</v>
      </c>
      <c r="W1431" s="205"/>
      <c r="X1431" s="167"/>
    </row>
    <row r="1432" spans="8:24" s="220" customFormat="1" ht="12" hidden="1" customHeight="1">
      <c r="H1432" s="168" t="s">
        <v>3651</v>
      </c>
      <c r="I1432" s="206" t="s">
        <v>3694</v>
      </c>
      <c r="J1432" s="206" t="s">
        <v>3695</v>
      </c>
      <c r="K1432" s="206" t="s">
        <v>3696</v>
      </c>
      <c r="L1432" s="206" t="s">
        <v>755</v>
      </c>
      <c r="M1432" s="157"/>
      <c r="N1432" s="165"/>
      <c r="O1432" s="169"/>
      <c r="P1432" s="169">
        <v>140383.35999999999</v>
      </c>
      <c r="Q1432" s="166">
        <f t="shared" si="63"/>
        <v>0</v>
      </c>
      <c r="R1432" s="169"/>
      <c r="S1432" s="169"/>
      <c r="T1432" s="169"/>
      <c r="U1432" s="169"/>
      <c r="V1432" s="166">
        <f t="shared" si="64"/>
        <v>0</v>
      </c>
      <c r="W1432" s="205"/>
      <c r="X1432" s="167"/>
    </row>
    <row r="1433" spans="8:24" s="220" customFormat="1" ht="12" hidden="1" customHeight="1">
      <c r="H1433" s="168" t="s">
        <v>3697</v>
      </c>
      <c r="I1433" s="206" t="s">
        <v>3732</v>
      </c>
      <c r="J1433" s="206" t="s">
        <v>3733</v>
      </c>
      <c r="K1433" s="207" t="s">
        <v>5265</v>
      </c>
      <c r="L1433" s="206" t="s">
        <v>755</v>
      </c>
      <c r="M1433" s="157"/>
      <c r="N1433" s="165"/>
      <c r="O1433" s="169"/>
      <c r="P1433" s="169">
        <v>33206.063999999998</v>
      </c>
      <c r="Q1433" s="166">
        <f t="shared" si="63"/>
        <v>0</v>
      </c>
      <c r="R1433" s="169"/>
      <c r="S1433" s="169"/>
      <c r="T1433" s="169"/>
      <c r="U1433" s="169"/>
      <c r="V1433" s="166">
        <f t="shared" si="64"/>
        <v>0</v>
      </c>
      <c r="W1433" s="205"/>
      <c r="X1433" s="167"/>
    </row>
    <row r="1434" spans="8:24" s="220" customFormat="1" ht="12" hidden="1" customHeight="1">
      <c r="H1434" s="168" t="s">
        <v>3698</v>
      </c>
      <c r="I1434" s="206" t="s">
        <v>3734</v>
      </c>
      <c r="J1434" s="206" t="s">
        <v>3735</v>
      </c>
      <c r="K1434" s="207" t="s">
        <v>5266</v>
      </c>
      <c r="L1434" s="206" t="s">
        <v>755</v>
      </c>
      <c r="M1434" s="157"/>
      <c r="N1434" s="165"/>
      <c r="O1434" s="169"/>
      <c r="P1434" s="169">
        <v>38065.487999999998</v>
      </c>
      <c r="Q1434" s="166">
        <f t="shared" si="63"/>
        <v>0</v>
      </c>
      <c r="R1434" s="169"/>
      <c r="S1434" s="169"/>
      <c r="T1434" s="169"/>
      <c r="U1434" s="169"/>
      <c r="V1434" s="166">
        <f t="shared" si="64"/>
        <v>0</v>
      </c>
      <c r="W1434" s="205"/>
      <c r="X1434" s="167"/>
    </row>
    <row r="1435" spans="8:24" s="220" customFormat="1" ht="12" hidden="1" customHeight="1">
      <c r="H1435" s="168" t="s">
        <v>3699</v>
      </c>
      <c r="I1435" s="206" t="s">
        <v>1074</v>
      </c>
      <c r="J1435" s="206" t="s">
        <v>3736</v>
      </c>
      <c r="K1435" s="207" t="s">
        <v>5267</v>
      </c>
      <c r="L1435" s="206" t="s">
        <v>755</v>
      </c>
      <c r="M1435" s="157"/>
      <c r="N1435" s="165"/>
      <c r="O1435" s="169"/>
      <c r="P1435" s="169">
        <v>47784.336000000003</v>
      </c>
      <c r="Q1435" s="166">
        <f t="shared" si="63"/>
        <v>0</v>
      </c>
      <c r="R1435" s="169"/>
      <c r="S1435" s="169"/>
      <c r="T1435" s="169"/>
      <c r="U1435" s="169"/>
      <c r="V1435" s="166">
        <f t="shared" si="64"/>
        <v>0</v>
      </c>
      <c r="W1435" s="205"/>
      <c r="X1435" s="167"/>
    </row>
    <row r="1436" spans="8:24" s="220" customFormat="1" ht="12" hidden="1" customHeight="1">
      <c r="H1436" s="168" t="s">
        <v>3700</v>
      </c>
      <c r="I1436" s="206" t="s">
        <v>3737</v>
      </c>
      <c r="J1436" s="206" t="s">
        <v>3738</v>
      </c>
      <c r="K1436" s="207" t="s">
        <v>5268</v>
      </c>
      <c r="L1436" s="206" t="s">
        <v>755</v>
      </c>
      <c r="M1436" s="157"/>
      <c r="N1436" s="165"/>
      <c r="O1436" s="169"/>
      <c r="P1436" s="169">
        <v>60202.864000000001</v>
      </c>
      <c r="Q1436" s="166">
        <f t="shared" ref="Q1436:Q1499" si="65">IF(W1436="",M1436*P1436*$Q$3*$W$3,M1436*P1436*$Q$3*W1436)</f>
        <v>0</v>
      </c>
      <c r="R1436" s="169"/>
      <c r="S1436" s="169"/>
      <c r="T1436" s="169"/>
      <c r="U1436" s="169"/>
      <c r="V1436" s="166">
        <f t="shared" si="64"/>
        <v>0</v>
      </c>
      <c r="W1436" s="205"/>
      <c r="X1436" s="167"/>
    </row>
    <row r="1437" spans="8:24" s="220" customFormat="1" ht="12" hidden="1" customHeight="1">
      <c r="H1437" s="168" t="s">
        <v>3701</v>
      </c>
      <c r="I1437" s="206" t="s">
        <v>3739</v>
      </c>
      <c r="J1437" s="206" t="s">
        <v>3740</v>
      </c>
      <c r="K1437" s="207" t="s">
        <v>5269</v>
      </c>
      <c r="L1437" s="206" t="s">
        <v>755</v>
      </c>
      <c r="M1437" s="157"/>
      <c r="N1437" s="165"/>
      <c r="O1437" s="169"/>
      <c r="P1437" s="169">
        <v>87199.664000000004</v>
      </c>
      <c r="Q1437" s="166">
        <f t="shared" si="65"/>
        <v>0</v>
      </c>
      <c r="R1437" s="169"/>
      <c r="S1437" s="169"/>
      <c r="T1437" s="169"/>
      <c r="U1437" s="169"/>
      <c r="V1437" s="166">
        <f t="shared" si="64"/>
        <v>0</v>
      </c>
      <c r="W1437" s="205"/>
      <c r="X1437" s="167"/>
    </row>
    <row r="1438" spans="8:24" s="220" customFormat="1" ht="12" hidden="1" customHeight="1">
      <c r="H1438" s="168" t="s">
        <v>3702</v>
      </c>
      <c r="I1438" s="206" t="s">
        <v>3741</v>
      </c>
      <c r="J1438" s="206" t="s">
        <v>3742</v>
      </c>
      <c r="K1438" s="207" t="s">
        <v>5270</v>
      </c>
      <c r="L1438" s="206" t="s">
        <v>755</v>
      </c>
      <c r="M1438" s="157"/>
      <c r="N1438" s="165"/>
      <c r="O1438" s="169"/>
      <c r="P1438" s="169">
        <v>40495.199999999997</v>
      </c>
      <c r="Q1438" s="166">
        <f t="shared" si="65"/>
        <v>0</v>
      </c>
      <c r="R1438" s="169"/>
      <c r="S1438" s="169"/>
      <c r="T1438" s="169"/>
      <c r="U1438" s="169"/>
      <c r="V1438" s="166">
        <f t="shared" si="64"/>
        <v>0</v>
      </c>
      <c r="W1438" s="205"/>
      <c r="X1438" s="167"/>
    </row>
    <row r="1439" spans="8:24" s="220" customFormat="1" ht="12" hidden="1" customHeight="1">
      <c r="H1439" s="168" t="s">
        <v>3703</v>
      </c>
      <c r="I1439" s="206" t="s">
        <v>3743</v>
      </c>
      <c r="J1439" s="206" t="s">
        <v>3744</v>
      </c>
      <c r="K1439" s="207" t="s">
        <v>5271</v>
      </c>
      <c r="L1439" s="206" t="s">
        <v>755</v>
      </c>
      <c r="M1439" s="157"/>
      <c r="N1439" s="165"/>
      <c r="O1439" s="169"/>
      <c r="P1439" s="169">
        <v>51023.951999999997</v>
      </c>
      <c r="Q1439" s="166">
        <f t="shared" si="65"/>
        <v>0</v>
      </c>
      <c r="R1439" s="169"/>
      <c r="S1439" s="169"/>
      <c r="T1439" s="169"/>
      <c r="U1439" s="169"/>
      <c r="V1439" s="166">
        <f t="shared" si="64"/>
        <v>0</v>
      </c>
      <c r="W1439" s="205"/>
      <c r="X1439" s="167"/>
    </row>
    <row r="1440" spans="8:24" s="220" customFormat="1" ht="12" hidden="1" customHeight="1">
      <c r="H1440" s="168" t="s">
        <v>3704</v>
      </c>
      <c r="I1440" s="206" t="s">
        <v>1072</v>
      </c>
      <c r="J1440" s="206" t="s">
        <v>3745</v>
      </c>
      <c r="K1440" s="207" t="s">
        <v>5272</v>
      </c>
      <c r="L1440" s="206" t="s">
        <v>755</v>
      </c>
      <c r="M1440" s="157"/>
      <c r="N1440" s="165"/>
      <c r="O1440" s="169"/>
      <c r="P1440" s="169">
        <v>60202.864000000001</v>
      </c>
      <c r="Q1440" s="166">
        <f t="shared" si="65"/>
        <v>0</v>
      </c>
      <c r="R1440" s="169"/>
      <c r="S1440" s="169"/>
      <c r="T1440" s="169"/>
      <c r="U1440" s="169"/>
      <c r="V1440" s="166">
        <f t="shared" si="64"/>
        <v>0</v>
      </c>
      <c r="W1440" s="205"/>
      <c r="X1440" s="167"/>
    </row>
    <row r="1441" spans="8:24" s="220" customFormat="1" ht="12" hidden="1" customHeight="1">
      <c r="H1441" s="168" t="s">
        <v>3705</v>
      </c>
      <c r="I1441" s="206" t="s">
        <v>1071</v>
      </c>
      <c r="J1441" s="206" t="s">
        <v>3746</v>
      </c>
      <c r="K1441" s="207" t="s">
        <v>5273</v>
      </c>
      <c r="L1441" s="206" t="s">
        <v>755</v>
      </c>
      <c r="M1441" s="157"/>
      <c r="N1441" s="165"/>
      <c r="O1441" s="169"/>
      <c r="P1441" s="169">
        <v>74781.135999999999</v>
      </c>
      <c r="Q1441" s="166">
        <f t="shared" si="65"/>
        <v>0</v>
      </c>
      <c r="R1441" s="169"/>
      <c r="S1441" s="169"/>
      <c r="T1441" s="169"/>
      <c r="U1441" s="169"/>
      <c r="V1441" s="166">
        <f t="shared" si="64"/>
        <v>0</v>
      </c>
      <c r="W1441" s="205"/>
      <c r="X1441" s="167"/>
    </row>
    <row r="1442" spans="8:24" s="220" customFormat="1" ht="12" hidden="1" customHeight="1">
      <c r="H1442" s="168" t="s">
        <v>3706</v>
      </c>
      <c r="I1442" s="206" t="s">
        <v>3747</v>
      </c>
      <c r="J1442" s="206" t="s">
        <v>3748</v>
      </c>
      <c r="K1442" s="207" t="s">
        <v>5274</v>
      </c>
      <c r="L1442" s="206" t="s">
        <v>755</v>
      </c>
      <c r="M1442" s="157"/>
      <c r="N1442" s="165"/>
      <c r="O1442" s="169"/>
      <c r="P1442" s="169">
        <v>96918.512000000002</v>
      </c>
      <c r="Q1442" s="166">
        <f t="shared" si="65"/>
        <v>0</v>
      </c>
      <c r="R1442" s="169"/>
      <c r="S1442" s="169"/>
      <c r="T1442" s="169"/>
      <c r="U1442" s="169"/>
      <c r="V1442" s="166">
        <f t="shared" si="64"/>
        <v>0</v>
      </c>
      <c r="W1442" s="205"/>
      <c r="X1442" s="167"/>
    </row>
    <row r="1443" spans="8:24" s="220" customFormat="1" ht="12" hidden="1" customHeight="1">
      <c r="H1443" s="168" t="s">
        <v>3707</v>
      </c>
      <c r="I1443" s="206" t="s">
        <v>3749</v>
      </c>
      <c r="J1443" s="206" t="s">
        <v>3750</v>
      </c>
      <c r="K1443" s="207" t="s">
        <v>5275</v>
      </c>
      <c r="L1443" s="206" t="s">
        <v>755</v>
      </c>
      <c r="M1443" s="157"/>
      <c r="N1443" s="165"/>
      <c r="O1443" s="169"/>
      <c r="P1443" s="169">
        <v>126345.024</v>
      </c>
      <c r="Q1443" s="166">
        <f t="shared" si="65"/>
        <v>0</v>
      </c>
      <c r="R1443" s="169"/>
      <c r="S1443" s="169"/>
      <c r="T1443" s="169"/>
      <c r="U1443" s="169"/>
      <c r="V1443" s="166">
        <f t="shared" si="64"/>
        <v>0</v>
      </c>
      <c r="W1443" s="205"/>
      <c r="X1443" s="167"/>
    </row>
    <row r="1444" spans="8:24" s="220" customFormat="1" ht="12" hidden="1" customHeight="1">
      <c r="H1444" s="168" t="s">
        <v>3708</v>
      </c>
      <c r="I1444" s="206" t="s">
        <v>1073</v>
      </c>
      <c r="J1444" s="206" t="s">
        <v>3751</v>
      </c>
      <c r="K1444" s="207" t="s">
        <v>5276</v>
      </c>
      <c r="L1444" s="206" t="s">
        <v>755</v>
      </c>
      <c r="M1444" s="157"/>
      <c r="N1444" s="165"/>
      <c r="O1444" s="169"/>
      <c r="P1444" s="169">
        <v>111766.75199999999</v>
      </c>
      <c r="Q1444" s="166">
        <f t="shared" si="65"/>
        <v>0</v>
      </c>
      <c r="R1444" s="169"/>
      <c r="S1444" s="169"/>
      <c r="T1444" s="169"/>
      <c r="U1444" s="169"/>
      <c r="V1444" s="166">
        <f t="shared" si="64"/>
        <v>0</v>
      </c>
      <c r="W1444" s="205"/>
      <c r="X1444" s="167"/>
    </row>
    <row r="1445" spans="8:24" s="220" customFormat="1" ht="12" hidden="1" customHeight="1">
      <c r="H1445" s="168" t="s">
        <v>3709</v>
      </c>
      <c r="I1445" s="206" t="s">
        <v>3752</v>
      </c>
      <c r="J1445" s="206" t="s">
        <v>3753</v>
      </c>
      <c r="K1445" s="207" t="s">
        <v>5277</v>
      </c>
      <c r="L1445" s="206" t="s">
        <v>755</v>
      </c>
      <c r="M1445" s="157"/>
      <c r="N1445" s="165"/>
      <c r="O1445" s="169"/>
      <c r="P1445" s="169">
        <v>136333.84</v>
      </c>
      <c r="Q1445" s="166">
        <f t="shared" si="65"/>
        <v>0</v>
      </c>
      <c r="R1445" s="169"/>
      <c r="S1445" s="169"/>
      <c r="T1445" s="169"/>
      <c r="U1445" s="169"/>
      <c r="V1445" s="166">
        <f t="shared" si="64"/>
        <v>0</v>
      </c>
      <c r="W1445" s="205"/>
      <c r="X1445" s="167"/>
    </row>
    <row r="1446" spans="8:24" s="220" customFormat="1" ht="12" hidden="1" customHeight="1">
      <c r="H1446" s="168" t="s">
        <v>3710</v>
      </c>
      <c r="I1446" s="206" t="s">
        <v>3754</v>
      </c>
      <c r="J1446" s="206" t="s">
        <v>3755</v>
      </c>
      <c r="K1446" s="207" t="s">
        <v>5265</v>
      </c>
      <c r="L1446" s="206" t="s">
        <v>755</v>
      </c>
      <c r="M1446" s="157"/>
      <c r="N1446" s="165"/>
      <c r="O1446" s="169"/>
      <c r="P1446" s="169">
        <v>40495.199999999997</v>
      </c>
      <c r="Q1446" s="166">
        <f t="shared" si="65"/>
        <v>0</v>
      </c>
      <c r="R1446" s="169"/>
      <c r="S1446" s="169"/>
      <c r="T1446" s="169"/>
      <c r="U1446" s="169"/>
      <c r="V1446" s="166">
        <f t="shared" si="64"/>
        <v>0</v>
      </c>
      <c r="W1446" s="205"/>
      <c r="X1446" s="167"/>
    </row>
    <row r="1447" spans="8:24" s="220" customFormat="1" ht="12" hidden="1" customHeight="1">
      <c r="H1447" s="168" t="s">
        <v>3711</v>
      </c>
      <c r="I1447" s="206" t="s">
        <v>3756</v>
      </c>
      <c r="J1447" s="206" t="s">
        <v>3757</v>
      </c>
      <c r="K1447" s="207" t="s">
        <v>5266</v>
      </c>
      <c r="L1447" s="206" t="s">
        <v>755</v>
      </c>
      <c r="M1447" s="157"/>
      <c r="N1447" s="165"/>
      <c r="O1447" s="169"/>
      <c r="P1447" s="169">
        <v>45354.624000000003</v>
      </c>
      <c r="Q1447" s="166">
        <f t="shared" si="65"/>
        <v>0</v>
      </c>
      <c r="R1447" s="169"/>
      <c r="S1447" s="169"/>
      <c r="T1447" s="169"/>
      <c r="U1447" s="169"/>
      <c r="V1447" s="166">
        <f t="shared" si="64"/>
        <v>0</v>
      </c>
      <c r="W1447" s="205"/>
      <c r="X1447" s="167"/>
    </row>
    <row r="1448" spans="8:24" s="220" customFormat="1" ht="12" hidden="1" customHeight="1">
      <c r="H1448" s="168" t="s">
        <v>3712</v>
      </c>
      <c r="I1448" s="206" t="s">
        <v>3758</v>
      </c>
      <c r="J1448" s="206" t="s">
        <v>3759</v>
      </c>
      <c r="K1448" s="207" t="s">
        <v>5267</v>
      </c>
      <c r="L1448" s="206" t="s">
        <v>755</v>
      </c>
      <c r="M1448" s="157"/>
      <c r="N1448" s="165"/>
      <c r="O1448" s="169"/>
      <c r="P1448" s="169">
        <v>57908.135999999999</v>
      </c>
      <c r="Q1448" s="166">
        <f t="shared" si="65"/>
        <v>0</v>
      </c>
      <c r="R1448" s="169"/>
      <c r="S1448" s="169"/>
      <c r="T1448" s="169"/>
      <c r="U1448" s="169"/>
      <c r="V1448" s="166">
        <f t="shared" si="64"/>
        <v>0</v>
      </c>
      <c r="W1448" s="205"/>
      <c r="X1448" s="167"/>
    </row>
    <row r="1449" spans="8:24" s="220" customFormat="1" ht="12" hidden="1" customHeight="1">
      <c r="H1449" s="168" t="s">
        <v>3713</v>
      </c>
      <c r="I1449" s="206" t="s">
        <v>3760</v>
      </c>
      <c r="J1449" s="206" t="s">
        <v>3761</v>
      </c>
      <c r="K1449" s="207" t="s">
        <v>5270</v>
      </c>
      <c r="L1449" s="206" t="s">
        <v>755</v>
      </c>
      <c r="M1449" s="157"/>
      <c r="N1449" s="165"/>
      <c r="O1449" s="169"/>
      <c r="P1449" s="169">
        <v>47784.336000000003</v>
      </c>
      <c r="Q1449" s="166">
        <f t="shared" si="65"/>
        <v>0</v>
      </c>
      <c r="R1449" s="169"/>
      <c r="S1449" s="169"/>
      <c r="T1449" s="169"/>
      <c r="U1449" s="169"/>
      <c r="V1449" s="166">
        <f t="shared" si="64"/>
        <v>0</v>
      </c>
      <c r="W1449" s="205"/>
      <c r="X1449" s="167"/>
    </row>
    <row r="1450" spans="8:24" s="220" customFormat="1" ht="12" hidden="1" customHeight="1">
      <c r="H1450" s="168" t="s">
        <v>3714</v>
      </c>
      <c r="I1450" s="206" t="s">
        <v>3762</v>
      </c>
      <c r="J1450" s="206" t="s">
        <v>3763</v>
      </c>
      <c r="K1450" s="207" t="s">
        <v>5272</v>
      </c>
      <c r="L1450" s="206" t="s">
        <v>755</v>
      </c>
      <c r="M1450" s="157"/>
      <c r="N1450" s="165"/>
      <c r="O1450" s="169"/>
      <c r="P1450" s="169">
        <v>72351.423999999999</v>
      </c>
      <c r="Q1450" s="166">
        <f t="shared" si="65"/>
        <v>0</v>
      </c>
      <c r="R1450" s="169"/>
      <c r="S1450" s="169"/>
      <c r="T1450" s="169"/>
      <c r="U1450" s="169"/>
      <c r="V1450" s="166">
        <f t="shared" si="64"/>
        <v>0</v>
      </c>
      <c r="W1450" s="205"/>
      <c r="X1450" s="167"/>
    </row>
    <row r="1451" spans="8:24" s="220" customFormat="1" ht="12" hidden="1" customHeight="1">
      <c r="H1451" s="168" t="s">
        <v>3715</v>
      </c>
      <c r="I1451" s="206" t="s">
        <v>3764</v>
      </c>
      <c r="J1451" s="206" t="s">
        <v>3765</v>
      </c>
      <c r="K1451" s="207" t="s">
        <v>5273</v>
      </c>
      <c r="L1451" s="206" t="s">
        <v>755</v>
      </c>
      <c r="M1451" s="157"/>
      <c r="N1451" s="165"/>
      <c r="O1451" s="169"/>
      <c r="P1451" s="169">
        <v>89629.376000000004</v>
      </c>
      <c r="Q1451" s="166">
        <f t="shared" si="65"/>
        <v>0</v>
      </c>
      <c r="R1451" s="169"/>
      <c r="S1451" s="169"/>
      <c r="T1451" s="169"/>
      <c r="U1451" s="169"/>
      <c r="V1451" s="166">
        <f t="shared" si="64"/>
        <v>0</v>
      </c>
      <c r="W1451" s="205"/>
      <c r="X1451" s="167"/>
    </row>
    <row r="1452" spans="8:24" s="220" customFormat="1" ht="12" hidden="1" customHeight="1">
      <c r="H1452" s="168" t="s">
        <v>3716</v>
      </c>
      <c r="I1452" s="206" t="s">
        <v>3766</v>
      </c>
      <c r="J1452" s="206" t="s">
        <v>3767</v>
      </c>
      <c r="K1452" s="207" t="s">
        <v>5274</v>
      </c>
      <c r="L1452" s="206" t="s">
        <v>755</v>
      </c>
      <c r="M1452" s="157"/>
      <c r="N1452" s="165"/>
      <c r="O1452" s="169"/>
      <c r="P1452" s="169">
        <v>116626.17600000001</v>
      </c>
      <c r="Q1452" s="166">
        <f t="shared" si="65"/>
        <v>0</v>
      </c>
      <c r="R1452" s="169"/>
      <c r="S1452" s="169"/>
      <c r="T1452" s="169"/>
      <c r="U1452" s="169"/>
      <c r="V1452" s="166">
        <f t="shared" si="64"/>
        <v>0</v>
      </c>
      <c r="W1452" s="205"/>
      <c r="X1452" s="167"/>
    </row>
    <row r="1453" spans="8:24" s="220" customFormat="1" ht="12" hidden="1" customHeight="1">
      <c r="H1453" s="168" t="s">
        <v>3717</v>
      </c>
      <c r="I1453" s="206" t="s">
        <v>3768</v>
      </c>
      <c r="J1453" s="206" t="s">
        <v>3769</v>
      </c>
      <c r="K1453" s="207" t="s">
        <v>5276</v>
      </c>
      <c r="L1453" s="206" t="s">
        <v>755</v>
      </c>
      <c r="M1453" s="157"/>
      <c r="N1453" s="165"/>
      <c r="O1453" s="169"/>
      <c r="P1453" s="169">
        <v>133634.16</v>
      </c>
      <c r="Q1453" s="166">
        <f t="shared" si="65"/>
        <v>0</v>
      </c>
      <c r="R1453" s="169"/>
      <c r="S1453" s="169"/>
      <c r="T1453" s="169"/>
      <c r="U1453" s="169"/>
      <c r="V1453" s="166">
        <f t="shared" si="64"/>
        <v>0</v>
      </c>
      <c r="W1453" s="205"/>
      <c r="X1453" s="167"/>
    </row>
    <row r="1454" spans="8:24" s="220" customFormat="1" ht="12" hidden="1" customHeight="1">
      <c r="H1454" s="168" t="s">
        <v>3718</v>
      </c>
      <c r="I1454" s="206" t="s">
        <v>3770</v>
      </c>
      <c r="J1454" s="206" t="s">
        <v>3771</v>
      </c>
      <c r="K1454" s="207" t="s">
        <v>5277</v>
      </c>
      <c r="L1454" s="206" t="s">
        <v>755</v>
      </c>
      <c r="M1454" s="157"/>
      <c r="N1454" s="165"/>
      <c r="O1454" s="169"/>
      <c r="P1454" s="169">
        <v>162250.76800000001</v>
      </c>
      <c r="Q1454" s="166">
        <f t="shared" si="65"/>
        <v>0</v>
      </c>
      <c r="R1454" s="169"/>
      <c r="S1454" s="169"/>
      <c r="T1454" s="169"/>
      <c r="U1454" s="169"/>
      <c r="V1454" s="166">
        <f t="shared" si="64"/>
        <v>0</v>
      </c>
      <c r="W1454" s="205"/>
      <c r="X1454" s="167"/>
    </row>
    <row r="1455" spans="8:24" s="220" customFormat="1" ht="12" hidden="1" customHeight="1">
      <c r="H1455" s="168" t="s">
        <v>3719</v>
      </c>
      <c r="I1455" s="206" t="s">
        <v>3772</v>
      </c>
      <c r="J1455" s="206" t="s">
        <v>3773</v>
      </c>
      <c r="K1455" s="207" t="s">
        <v>5265</v>
      </c>
      <c r="L1455" s="206" t="s">
        <v>755</v>
      </c>
      <c r="M1455" s="157"/>
      <c r="N1455" s="165"/>
      <c r="O1455" s="169"/>
      <c r="P1455" s="169">
        <v>49134.175999999999</v>
      </c>
      <c r="Q1455" s="166">
        <f t="shared" si="65"/>
        <v>0</v>
      </c>
      <c r="R1455" s="169"/>
      <c r="S1455" s="169"/>
      <c r="T1455" s="169"/>
      <c r="U1455" s="169"/>
      <c r="V1455" s="166">
        <f t="shared" si="64"/>
        <v>0</v>
      </c>
      <c r="W1455" s="205"/>
      <c r="X1455" s="167"/>
    </row>
    <row r="1456" spans="8:24" s="220" customFormat="1" ht="12" hidden="1" customHeight="1">
      <c r="H1456" s="168" t="s">
        <v>3720</v>
      </c>
      <c r="I1456" s="206" t="s">
        <v>3774</v>
      </c>
      <c r="J1456" s="206" t="s">
        <v>3775</v>
      </c>
      <c r="K1456" s="207" t="s">
        <v>5266</v>
      </c>
      <c r="L1456" s="206" t="s">
        <v>755</v>
      </c>
      <c r="M1456" s="157"/>
      <c r="N1456" s="165"/>
      <c r="O1456" s="169"/>
      <c r="P1456" s="169">
        <v>57773.152000000002</v>
      </c>
      <c r="Q1456" s="166">
        <f t="shared" si="65"/>
        <v>0</v>
      </c>
      <c r="R1456" s="169"/>
      <c r="S1456" s="169"/>
      <c r="T1456" s="169"/>
      <c r="U1456" s="169"/>
      <c r="V1456" s="166">
        <f t="shared" si="64"/>
        <v>0</v>
      </c>
      <c r="W1456" s="205"/>
      <c r="X1456" s="167"/>
    </row>
    <row r="1457" spans="8:24" s="220" customFormat="1" ht="12" hidden="1" customHeight="1">
      <c r="H1457" s="168" t="s">
        <v>3721</v>
      </c>
      <c r="I1457" s="206" t="s">
        <v>3776</v>
      </c>
      <c r="J1457" s="206" t="s">
        <v>3777</v>
      </c>
      <c r="K1457" s="207" t="s">
        <v>5267</v>
      </c>
      <c r="L1457" s="206" t="s">
        <v>755</v>
      </c>
      <c r="M1457" s="157"/>
      <c r="N1457" s="165"/>
      <c r="O1457" s="169"/>
      <c r="P1457" s="169">
        <v>73701.263999999996</v>
      </c>
      <c r="Q1457" s="166">
        <f t="shared" si="65"/>
        <v>0</v>
      </c>
      <c r="R1457" s="169"/>
      <c r="S1457" s="169"/>
      <c r="T1457" s="169"/>
      <c r="U1457" s="169"/>
      <c r="V1457" s="166">
        <f t="shared" si="64"/>
        <v>0</v>
      </c>
      <c r="W1457" s="205"/>
      <c r="X1457" s="167"/>
    </row>
    <row r="1458" spans="8:24" s="220" customFormat="1" ht="12" hidden="1" customHeight="1">
      <c r="H1458" s="168" t="s">
        <v>3722</v>
      </c>
      <c r="I1458" s="206" t="s">
        <v>3778</v>
      </c>
      <c r="J1458" s="206" t="s">
        <v>3779</v>
      </c>
      <c r="K1458" s="207" t="s">
        <v>5268</v>
      </c>
      <c r="L1458" s="206" t="s">
        <v>755</v>
      </c>
      <c r="M1458" s="157"/>
      <c r="N1458" s="165"/>
      <c r="O1458" s="169"/>
      <c r="P1458" s="169">
        <v>90439.28</v>
      </c>
      <c r="Q1458" s="166">
        <f t="shared" si="65"/>
        <v>0</v>
      </c>
      <c r="R1458" s="169"/>
      <c r="S1458" s="169"/>
      <c r="T1458" s="169"/>
      <c r="U1458" s="169"/>
      <c r="V1458" s="166">
        <f t="shared" si="64"/>
        <v>0</v>
      </c>
      <c r="W1458" s="205"/>
      <c r="X1458" s="167"/>
    </row>
    <row r="1459" spans="8:24" s="220" customFormat="1" ht="12" hidden="1" customHeight="1">
      <c r="H1459" s="168" t="s">
        <v>3723</v>
      </c>
      <c r="I1459" s="206" t="s">
        <v>3780</v>
      </c>
      <c r="J1459" s="206" t="s">
        <v>3781</v>
      </c>
      <c r="K1459" s="207" t="s">
        <v>5269</v>
      </c>
      <c r="L1459" s="206" t="s">
        <v>755</v>
      </c>
      <c r="M1459" s="157"/>
      <c r="N1459" s="165"/>
      <c r="O1459" s="169"/>
      <c r="P1459" s="169">
        <v>132014.35200000001</v>
      </c>
      <c r="Q1459" s="166">
        <f t="shared" si="65"/>
        <v>0</v>
      </c>
      <c r="R1459" s="169"/>
      <c r="S1459" s="169"/>
      <c r="T1459" s="169"/>
      <c r="U1459" s="169"/>
      <c r="V1459" s="166">
        <f t="shared" si="64"/>
        <v>0</v>
      </c>
      <c r="W1459" s="205"/>
      <c r="X1459" s="167"/>
    </row>
    <row r="1460" spans="8:24" s="220" customFormat="1" ht="12" hidden="1" customHeight="1">
      <c r="H1460" s="168" t="s">
        <v>3724</v>
      </c>
      <c r="I1460" s="206" t="s">
        <v>3782</v>
      </c>
      <c r="J1460" s="206" t="s">
        <v>3783</v>
      </c>
      <c r="K1460" s="207" t="s">
        <v>5270</v>
      </c>
      <c r="L1460" s="206" t="s">
        <v>755</v>
      </c>
      <c r="M1460" s="157"/>
      <c r="N1460" s="165"/>
      <c r="O1460" s="169"/>
      <c r="P1460" s="169">
        <v>61282.735999999997</v>
      </c>
      <c r="Q1460" s="166">
        <f t="shared" si="65"/>
        <v>0</v>
      </c>
      <c r="R1460" s="169"/>
      <c r="S1460" s="169"/>
      <c r="T1460" s="169"/>
      <c r="U1460" s="169"/>
      <c r="V1460" s="166">
        <f t="shared" si="64"/>
        <v>0</v>
      </c>
      <c r="W1460" s="205"/>
      <c r="X1460" s="167"/>
    </row>
    <row r="1461" spans="8:24" s="220" customFormat="1" ht="12" hidden="1" customHeight="1">
      <c r="H1461" s="168" t="s">
        <v>3725</v>
      </c>
      <c r="I1461" s="206" t="s">
        <v>3784</v>
      </c>
      <c r="J1461" s="206" t="s">
        <v>3785</v>
      </c>
      <c r="K1461" s="207" t="s">
        <v>5271</v>
      </c>
      <c r="L1461" s="206" t="s">
        <v>755</v>
      </c>
      <c r="M1461" s="157"/>
      <c r="N1461" s="165"/>
      <c r="O1461" s="169"/>
      <c r="P1461" s="169">
        <v>83690.080000000002</v>
      </c>
      <c r="Q1461" s="166">
        <f t="shared" si="65"/>
        <v>0</v>
      </c>
      <c r="R1461" s="169"/>
      <c r="S1461" s="169"/>
      <c r="T1461" s="169"/>
      <c r="U1461" s="169"/>
      <c r="V1461" s="166">
        <f t="shared" si="64"/>
        <v>0</v>
      </c>
      <c r="W1461" s="205"/>
      <c r="X1461" s="167"/>
    </row>
    <row r="1462" spans="8:24" s="220" customFormat="1" ht="12" hidden="1" customHeight="1">
      <c r="H1462" s="168" t="s">
        <v>3726</v>
      </c>
      <c r="I1462" s="206" t="s">
        <v>3786</v>
      </c>
      <c r="J1462" s="206" t="s">
        <v>3787</v>
      </c>
      <c r="K1462" s="207" t="s">
        <v>5272</v>
      </c>
      <c r="L1462" s="206" t="s">
        <v>755</v>
      </c>
      <c r="M1462" s="157"/>
      <c r="N1462" s="165"/>
      <c r="O1462" s="169"/>
      <c r="P1462" s="169">
        <v>91789.119999999995</v>
      </c>
      <c r="Q1462" s="166">
        <f t="shared" si="65"/>
        <v>0</v>
      </c>
      <c r="R1462" s="169"/>
      <c r="S1462" s="169"/>
      <c r="T1462" s="169"/>
      <c r="U1462" s="169"/>
      <c r="V1462" s="166">
        <f t="shared" si="64"/>
        <v>0</v>
      </c>
      <c r="W1462" s="205"/>
      <c r="X1462" s="167"/>
    </row>
    <row r="1463" spans="8:24" s="220" customFormat="1" ht="12" hidden="1" customHeight="1">
      <c r="H1463" s="168" t="s">
        <v>3727</v>
      </c>
      <c r="I1463" s="206" t="s">
        <v>3788</v>
      </c>
      <c r="J1463" s="206" t="s">
        <v>3789</v>
      </c>
      <c r="K1463" s="207" t="s">
        <v>5273</v>
      </c>
      <c r="L1463" s="206" t="s">
        <v>755</v>
      </c>
      <c r="M1463" s="157"/>
      <c r="N1463" s="165"/>
      <c r="O1463" s="169"/>
      <c r="P1463" s="169">
        <v>112846.624</v>
      </c>
      <c r="Q1463" s="166">
        <f t="shared" si="65"/>
        <v>0</v>
      </c>
      <c r="R1463" s="169"/>
      <c r="S1463" s="169"/>
      <c r="T1463" s="169"/>
      <c r="U1463" s="169"/>
      <c r="V1463" s="166">
        <f t="shared" si="64"/>
        <v>0</v>
      </c>
      <c r="W1463" s="205"/>
      <c r="X1463" s="167"/>
    </row>
    <row r="1464" spans="8:24" s="220" customFormat="1" ht="12" hidden="1" customHeight="1">
      <c r="H1464" s="168" t="s">
        <v>3728</v>
      </c>
      <c r="I1464" s="206" t="s">
        <v>3790</v>
      </c>
      <c r="J1464" s="206" t="s">
        <v>3791</v>
      </c>
      <c r="K1464" s="207" t="s">
        <v>5274</v>
      </c>
      <c r="L1464" s="206" t="s">
        <v>755</v>
      </c>
      <c r="M1464" s="157"/>
      <c r="N1464" s="165"/>
      <c r="O1464" s="169"/>
      <c r="P1464" s="169">
        <v>147132.56</v>
      </c>
      <c r="Q1464" s="166">
        <f t="shared" si="65"/>
        <v>0</v>
      </c>
      <c r="R1464" s="169"/>
      <c r="S1464" s="169"/>
      <c r="T1464" s="169"/>
      <c r="U1464" s="169"/>
      <c r="V1464" s="166">
        <f t="shared" si="64"/>
        <v>0</v>
      </c>
      <c r="W1464" s="205"/>
      <c r="X1464" s="167"/>
    </row>
    <row r="1465" spans="8:24" s="220" customFormat="1" ht="12" hidden="1" customHeight="1">
      <c r="H1465" s="168" t="s">
        <v>3729</v>
      </c>
      <c r="I1465" s="206" t="s">
        <v>3792</v>
      </c>
      <c r="J1465" s="206" t="s">
        <v>3793</v>
      </c>
      <c r="K1465" s="207" t="s">
        <v>5275</v>
      </c>
      <c r="L1465" s="206" t="s">
        <v>755</v>
      </c>
      <c r="M1465" s="157"/>
      <c r="N1465" s="165"/>
      <c r="O1465" s="169"/>
      <c r="P1465" s="169">
        <v>191677.28</v>
      </c>
      <c r="Q1465" s="166">
        <f t="shared" si="65"/>
        <v>0</v>
      </c>
      <c r="R1465" s="169"/>
      <c r="S1465" s="169"/>
      <c r="T1465" s="169"/>
      <c r="U1465" s="169"/>
      <c r="V1465" s="166">
        <f t="shared" si="64"/>
        <v>0</v>
      </c>
      <c r="W1465" s="205"/>
      <c r="X1465" s="167"/>
    </row>
    <row r="1466" spans="8:24" s="220" customFormat="1" ht="12" hidden="1" customHeight="1">
      <c r="H1466" s="168" t="s">
        <v>3730</v>
      </c>
      <c r="I1466" s="206" t="s">
        <v>3794</v>
      </c>
      <c r="J1466" s="206" t="s">
        <v>3795</v>
      </c>
      <c r="K1466" s="207" t="s">
        <v>5276</v>
      </c>
      <c r="L1466" s="206" t="s">
        <v>755</v>
      </c>
      <c r="M1466" s="157"/>
      <c r="N1466" s="165"/>
      <c r="O1466" s="169"/>
      <c r="P1466" s="169">
        <v>169269.93599999999</v>
      </c>
      <c r="Q1466" s="166">
        <f t="shared" si="65"/>
        <v>0</v>
      </c>
      <c r="R1466" s="169"/>
      <c r="S1466" s="169"/>
      <c r="T1466" s="169"/>
      <c r="U1466" s="169"/>
      <c r="V1466" s="166">
        <f t="shared" si="64"/>
        <v>0</v>
      </c>
      <c r="W1466" s="205"/>
      <c r="X1466" s="167"/>
    </row>
    <row r="1467" spans="8:24" s="220" customFormat="1" ht="12" hidden="1" customHeight="1">
      <c r="H1467" s="168" t="s">
        <v>3731</v>
      </c>
      <c r="I1467" s="206" t="s">
        <v>3796</v>
      </c>
      <c r="J1467" s="206" t="s">
        <v>3797</v>
      </c>
      <c r="K1467" s="207" t="s">
        <v>5277</v>
      </c>
      <c r="L1467" s="206" t="s">
        <v>755</v>
      </c>
      <c r="M1467" s="157"/>
      <c r="N1467" s="165"/>
      <c r="O1467" s="169"/>
      <c r="P1467" s="169">
        <v>206255.552</v>
      </c>
      <c r="Q1467" s="166">
        <f t="shared" si="65"/>
        <v>0</v>
      </c>
      <c r="R1467" s="169"/>
      <c r="S1467" s="169"/>
      <c r="T1467" s="169"/>
      <c r="U1467" s="169"/>
      <c r="V1467" s="166">
        <f t="shared" si="64"/>
        <v>0</v>
      </c>
      <c r="W1467" s="205"/>
      <c r="X1467" s="167"/>
    </row>
    <row r="1468" spans="8:24" s="220" customFormat="1" ht="12.75" hidden="1" customHeight="1">
      <c r="H1468" s="168" t="s">
        <v>3798</v>
      </c>
      <c r="I1468" s="206" t="s">
        <v>1079</v>
      </c>
      <c r="J1468" s="206" t="s">
        <v>3818</v>
      </c>
      <c r="K1468" s="207" t="s">
        <v>5163</v>
      </c>
      <c r="L1468" s="206" t="s">
        <v>92</v>
      </c>
      <c r="M1468" s="157"/>
      <c r="N1468" s="165"/>
      <c r="O1468" s="169"/>
      <c r="P1468" s="169">
        <v>31586.256000000001</v>
      </c>
      <c r="Q1468" s="166">
        <f t="shared" si="65"/>
        <v>0</v>
      </c>
      <c r="R1468" s="169"/>
      <c r="S1468" s="169"/>
      <c r="T1468" s="169"/>
      <c r="U1468" s="169"/>
      <c r="V1468" s="166">
        <f t="shared" si="64"/>
        <v>0</v>
      </c>
      <c r="W1468" s="205"/>
      <c r="X1468" s="167"/>
    </row>
    <row r="1469" spans="8:24" s="220" customFormat="1" ht="12.75" hidden="1" customHeight="1">
      <c r="H1469" s="168" t="s">
        <v>3799</v>
      </c>
      <c r="I1469" s="206" t="s">
        <v>3819</v>
      </c>
      <c r="J1469" s="206" t="s">
        <v>3820</v>
      </c>
      <c r="K1469" s="207" t="s">
        <v>5164</v>
      </c>
      <c r="L1469" s="206" t="s">
        <v>92</v>
      </c>
      <c r="M1469" s="157"/>
      <c r="N1469" s="165"/>
      <c r="O1469" s="169"/>
      <c r="P1469" s="169">
        <v>37255.584000000003</v>
      </c>
      <c r="Q1469" s="166">
        <f t="shared" si="65"/>
        <v>0</v>
      </c>
      <c r="R1469" s="169"/>
      <c r="S1469" s="169"/>
      <c r="T1469" s="169"/>
      <c r="U1469" s="169"/>
      <c r="V1469" s="166">
        <f t="shared" si="64"/>
        <v>0</v>
      </c>
      <c r="W1469" s="205"/>
      <c r="X1469" s="167"/>
    </row>
    <row r="1470" spans="8:24" s="220" customFormat="1" ht="12.75" hidden="1" customHeight="1">
      <c r="H1470" s="168" t="s">
        <v>3800</v>
      </c>
      <c r="I1470" s="206" t="s">
        <v>3821</v>
      </c>
      <c r="J1470" s="206" t="s">
        <v>3822</v>
      </c>
      <c r="K1470" s="207" t="s">
        <v>5165</v>
      </c>
      <c r="L1470" s="206" t="s">
        <v>92</v>
      </c>
      <c r="M1470" s="157"/>
      <c r="N1470" s="165"/>
      <c r="O1470" s="169"/>
      <c r="P1470" s="169">
        <v>44004.784</v>
      </c>
      <c r="Q1470" s="166">
        <f t="shared" si="65"/>
        <v>0</v>
      </c>
      <c r="R1470" s="169"/>
      <c r="S1470" s="169"/>
      <c r="T1470" s="169"/>
      <c r="U1470" s="169"/>
      <c r="V1470" s="166">
        <f t="shared" si="64"/>
        <v>0</v>
      </c>
      <c r="W1470" s="205"/>
      <c r="X1470" s="167"/>
    </row>
    <row r="1471" spans="8:24" s="220" customFormat="1" ht="12.75" hidden="1" customHeight="1">
      <c r="H1471" s="168" t="s">
        <v>3801</v>
      </c>
      <c r="I1471" s="206" t="s">
        <v>3823</v>
      </c>
      <c r="J1471" s="206" t="s">
        <v>3824</v>
      </c>
      <c r="K1471" s="207" t="s">
        <v>5166</v>
      </c>
      <c r="L1471" s="206" t="s">
        <v>92</v>
      </c>
      <c r="M1471" s="157"/>
      <c r="N1471" s="165"/>
      <c r="O1471" s="169"/>
      <c r="P1471" s="169">
        <v>59662.928</v>
      </c>
      <c r="Q1471" s="166">
        <f t="shared" si="65"/>
        <v>0</v>
      </c>
      <c r="R1471" s="169"/>
      <c r="S1471" s="169"/>
      <c r="T1471" s="169"/>
      <c r="U1471" s="169"/>
      <c r="V1471" s="166">
        <f t="shared" si="64"/>
        <v>0</v>
      </c>
      <c r="W1471" s="205"/>
      <c r="X1471" s="167"/>
    </row>
    <row r="1472" spans="8:24" s="220" customFormat="1" ht="12.75" hidden="1" customHeight="1">
      <c r="H1472" s="168" t="s">
        <v>3802</v>
      </c>
      <c r="I1472" s="206" t="s">
        <v>3825</v>
      </c>
      <c r="J1472" s="206" t="s">
        <v>3826</v>
      </c>
      <c r="K1472" s="207" t="s">
        <v>5167</v>
      </c>
      <c r="L1472" s="206" t="s">
        <v>92</v>
      </c>
      <c r="M1472" s="157"/>
      <c r="N1472" s="165"/>
      <c r="O1472" s="169"/>
      <c r="P1472" s="169">
        <v>68571.872000000003</v>
      </c>
      <c r="Q1472" s="166">
        <f t="shared" si="65"/>
        <v>0</v>
      </c>
      <c r="R1472" s="169"/>
      <c r="S1472" s="169"/>
      <c r="T1472" s="169"/>
      <c r="U1472" s="169"/>
      <c r="V1472" s="166">
        <f t="shared" si="64"/>
        <v>0</v>
      </c>
      <c r="W1472" s="205"/>
      <c r="X1472" s="167"/>
    </row>
    <row r="1473" spans="8:24" s="220" customFormat="1" ht="12.75" hidden="1" customHeight="1">
      <c r="H1473" s="168" t="s">
        <v>3803</v>
      </c>
      <c r="I1473" s="206" t="s">
        <v>3827</v>
      </c>
      <c r="J1473" s="206" t="s">
        <v>3828</v>
      </c>
      <c r="K1473" s="207" t="s">
        <v>5163</v>
      </c>
      <c r="L1473" s="206" t="s">
        <v>92</v>
      </c>
      <c r="M1473" s="157"/>
      <c r="N1473" s="165"/>
      <c r="O1473" s="169"/>
      <c r="P1473" s="169">
        <v>42654.944000000003</v>
      </c>
      <c r="Q1473" s="166">
        <f t="shared" si="65"/>
        <v>0</v>
      </c>
      <c r="R1473" s="169"/>
      <c r="S1473" s="169"/>
      <c r="T1473" s="169"/>
      <c r="U1473" s="169"/>
      <c r="V1473" s="166">
        <f t="shared" si="64"/>
        <v>0</v>
      </c>
      <c r="W1473" s="205"/>
      <c r="X1473" s="167"/>
    </row>
    <row r="1474" spans="8:24" s="220" customFormat="1" ht="12.75" hidden="1" customHeight="1">
      <c r="H1474" s="168" t="s">
        <v>3804</v>
      </c>
      <c r="I1474" s="206" t="s">
        <v>3829</v>
      </c>
      <c r="J1474" s="206" t="s">
        <v>3830</v>
      </c>
      <c r="K1474" s="207" t="s">
        <v>5164</v>
      </c>
      <c r="L1474" s="206" t="s">
        <v>92</v>
      </c>
      <c r="M1474" s="157"/>
      <c r="N1474" s="165"/>
      <c r="O1474" s="169"/>
      <c r="P1474" s="169">
        <v>44004.784</v>
      </c>
      <c r="Q1474" s="166">
        <f t="shared" si="65"/>
        <v>0</v>
      </c>
      <c r="R1474" s="169"/>
      <c r="S1474" s="169"/>
      <c r="T1474" s="169"/>
      <c r="U1474" s="169"/>
      <c r="V1474" s="166">
        <f t="shared" si="64"/>
        <v>0</v>
      </c>
      <c r="W1474" s="205"/>
      <c r="X1474" s="167"/>
    </row>
    <row r="1475" spans="8:24" s="220" customFormat="1" ht="12.75" hidden="1" customHeight="1">
      <c r="H1475" s="168" t="s">
        <v>3805</v>
      </c>
      <c r="I1475" s="206" t="s">
        <v>3831</v>
      </c>
      <c r="J1475" s="206" t="s">
        <v>3832</v>
      </c>
      <c r="K1475" s="207" t="s">
        <v>5165</v>
      </c>
      <c r="L1475" s="206" t="s">
        <v>92</v>
      </c>
      <c r="M1475" s="157"/>
      <c r="N1475" s="165"/>
      <c r="O1475" s="169"/>
      <c r="P1475" s="169">
        <v>57503.184000000001</v>
      </c>
      <c r="Q1475" s="166">
        <f t="shared" si="65"/>
        <v>0</v>
      </c>
      <c r="R1475" s="169"/>
      <c r="S1475" s="169"/>
      <c r="T1475" s="169"/>
      <c r="U1475" s="169"/>
      <c r="V1475" s="166">
        <f t="shared" si="64"/>
        <v>0</v>
      </c>
      <c r="W1475" s="205"/>
      <c r="X1475" s="167"/>
    </row>
    <row r="1476" spans="8:24" s="220" customFormat="1" ht="12.75" hidden="1" customHeight="1">
      <c r="H1476" s="168" t="s">
        <v>3806</v>
      </c>
      <c r="I1476" s="206" t="s">
        <v>3833</v>
      </c>
      <c r="J1476" s="206" t="s">
        <v>3834</v>
      </c>
      <c r="K1476" s="207" t="s">
        <v>5166</v>
      </c>
      <c r="L1476" s="206" t="s">
        <v>92</v>
      </c>
      <c r="M1476" s="157"/>
      <c r="N1476" s="165"/>
      <c r="O1476" s="169"/>
      <c r="P1476" s="169">
        <v>67222.032000000007</v>
      </c>
      <c r="Q1476" s="166">
        <f t="shared" si="65"/>
        <v>0</v>
      </c>
      <c r="R1476" s="169"/>
      <c r="S1476" s="169"/>
      <c r="T1476" s="169"/>
      <c r="U1476" s="169"/>
      <c r="V1476" s="166">
        <f t="shared" si="64"/>
        <v>0</v>
      </c>
      <c r="W1476" s="205"/>
      <c r="X1476" s="167"/>
    </row>
    <row r="1477" spans="8:24" s="220" customFormat="1" ht="12.75" hidden="1" customHeight="1">
      <c r="H1477" s="168" t="s">
        <v>3807</v>
      </c>
      <c r="I1477" s="206" t="s">
        <v>1077</v>
      </c>
      <c r="J1477" s="206" t="s">
        <v>3835</v>
      </c>
      <c r="K1477" s="207" t="s">
        <v>5163</v>
      </c>
      <c r="L1477" s="206" t="s">
        <v>92</v>
      </c>
      <c r="M1477" s="157"/>
      <c r="N1477" s="165"/>
      <c r="O1477" s="169"/>
      <c r="P1477" s="169">
        <v>41845.040000000001</v>
      </c>
      <c r="Q1477" s="166">
        <f t="shared" si="65"/>
        <v>0</v>
      </c>
      <c r="R1477" s="169"/>
      <c r="S1477" s="169"/>
      <c r="T1477" s="169"/>
      <c r="U1477" s="169"/>
      <c r="V1477" s="166">
        <f t="shared" si="64"/>
        <v>0</v>
      </c>
      <c r="W1477" s="205"/>
      <c r="X1477" s="167"/>
    </row>
    <row r="1478" spans="8:24" s="220" customFormat="1" ht="12.75" hidden="1" customHeight="1">
      <c r="H1478" s="168" t="s">
        <v>3808</v>
      </c>
      <c r="I1478" s="206" t="s">
        <v>3836</v>
      </c>
      <c r="J1478" s="206" t="s">
        <v>3837</v>
      </c>
      <c r="K1478" s="207" t="s">
        <v>5164</v>
      </c>
      <c r="L1478" s="206" t="s">
        <v>92</v>
      </c>
      <c r="M1478" s="157"/>
      <c r="N1478" s="165"/>
      <c r="O1478" s="169"/>
      <c r="P1478" s="169">
        <v>49134.175999999999</v>
      </c>
      <c r="Q1478" s="166">
        <f t="shared" si="65"/>
        <v>0</v>
      </c>
      <c r="R1478" s="169"/>
      <c r="S1478" s="169"/>
      <c r="T1478" s="169"/>
      <c r="U1478" s="169"/>
      <c r="V1478" s="166">
        <f t="shared" ref="V1478:V1541" si="66">SUM(O1478+Q1478)+S1478+U1478</f>
        <v>0</v>
      </c>
      <c r="W1478" s="205"/>
      <c r="X1478" s="167"/>
    </row>
    <row r="1479" spans="8:24" s="220" customFormat="1" ht="12.75" hidden="1" customHeight="1">
      <c r="H1479" s="168" t="s">
        <v>3809</v>
      </c>
      <c r="I1479" s="206" t="s">
        <v>1078</v>
      </c>
      <c r="J1479" s="206" t="s">
        <v>3838</v>
      </c>
      <c r="K1479" s="207" t="s">
        <v>5165</v>
      </c>
      <c r="L1479" s="206" t="s">
        <v>92</v>
      </c>
      <c r="M1479" s="157"/>
      <c r="N1479" s="165"/>
      <c r="O1479" s="169"/>
      <c r="P1479" s="169">
        <v>56153.343999999997</v>
      </c>
      <c r="Q1479" s="166">
        <f t="shared" si="65"/>
        <v>0</v>
      </c>
      <c r="R1479" s="169"/>
      <c r="S1479" s="169"/>
      <c r="T1479" s="169"/>
      <c r="U1479" s="169"/>
      <c r="V1479" s="166">
        <f t="shared" si="66"/>
        <v>0</v>
      </c>
      <c r="W1479" s="205"/>
      <c r="X1479" s="167"/>
    </row>
    <row r="1480" spans="8:24" s="220" customFormat="1" ht="12.75" hidden="1" customHeight="1">
      <c r="H1480" s="168" t="s">
        <v>3810</v>
      </c>
      <c r="I1480" s="206" t="s">
        <v>1075</v>
      </c>
      <c r="J1480" s="206" t="s">
        <v>3839</v>
      </c>
      <c r="K1480" s="207" t="s">
        <v>5165</v>
      </c>
      <c r="L1480" s="206" t="s">
        <v>92</v>
      </c>
      <c r="M1480" s="157"/>
      <c r="N1480" s="165"/>
      <c r="O1480" s="169"/>
      <c r="P1480" s="169">
        <v>65332.256000000001</v>
      </c>
      <c r="Q1480" s="166">
        <f t="shared" si="65"/>
        <v>0</v>
      </c>
      <c r="R1480" s="169"/>
      <c r="S1480" s="169"/>
      <c r="T1480" s="169"/>
      <c r="U1480" s="169"/>
      <c r="V1480" s="166">
        <f t="shared" si="66"/>
        <v>0</v>
      </c>
      <c r="W1480" s="205"/>
      <c r="X1480" s="167"/>
    </row>
    <row r="1481" spans="8:24" s="220" customFormat="1" ht="12.75" hidden="1" customHeight="1">
      <c r="H1481" s="168" t="s">
        <v>3811</v>
      </c>
      <c r="I1481" s="206" t="s">
        <v>3840</v>
      </c>
      <c r="J1481" s="206" t="s">
        <v>3841</v>
      </c>
      <c r="K1481" s="207" t="s">
        <v>5166</v>
      </c>
      <c r="L1481" s="206" t="s">
        <v>92</v>
      </c>
      <c r="M1481" s="157"/>
      <c r="N1481" s="165"/>
      <c r="O1481" s="169"/>
      <c r="P1481" s="169">
        <v>71001.584000000003</v>
      </c>
      <c r="Q1481" s="166">
        <f t="shared" si="65"/>
        <v>0</v>
      </c>
      <c r="R1481" s="169"/>
      <c r="S1481" s="169"/>
      <c r="T1481" s="169"/>
      <c r="U1481" s="169"/>
      <c r="V1481" s="166">
        <f t="shared" si="66"/>
        <v>0</v>
      </c>
      <c r="W1481" s="205"/>
      <c r="X1481" s="167"/>
    </row>
    <row r="1482" spans="8:24" s="220" customFormat="1" ht="12.75" hidden="1" customHeight="1">
      <c r="H1482" s="168" t="s">
        <v>3812</v>
      </c>
      <c r="I1482" s="206" t="s">
        <v>1076</v>
      </c>
      <c r="J1482" s="206" t="s">
        <v>3842</v>
      </c>
      <c r="K1482" s="207" t="s">
        <v>5167</v>
      </c>
      <c r="L1482" s="206" t="s">
        <v>92</v>
      </c>
      <c r="M1482" s="157"/>
      <c r="N1482" s="165"/>
      <c r="O1482" s="169"/>
      <c r="P1482" s="169">
        <v>82610.207999999999</v>
      </c>
      <c r="Q1482" s="166">
        <f t="shared" si="65"/>
        <v>0</v>
      </c>
      <c r="R1482" s="169"/>
      <c r="S1482" s="169"/>
      <c r="T1482" s="169"/>
      <c r="U1482" s="169"/>
      <c r="V1482" s="166">
        <f t="shared" si="66"/>
        <v>0</v>
      </c>
      <c r="W1482" s="205"/>
      <c r="X1482" s="167"/>
    </row>
    <row r="1483" spans="8:24" s="220" customFormat="1" ht="12.75" hidden="1" customHeight="1">
      <c r="H1483" s="168" t="s">
        <v>3813</v>
      </c>
      <c r="I1483" s="206" t="s">
        <v>3843</v>
      </c>
      <c r="J1483" s="206" t="s">
        <v>3844</v>
      </c>
      <c r="K1483" s="207" t="s">
        <v>5168</v>
      </c>
      <c r="L1483" s="206" t="s">
        <v>92</v>
      </c>
      <c r="M1483" s="157"/>
      <c r="N1483" s="165"/>
      <c r="O1483" s="169"/>
      <c r="P1483" s="169">
        <v>56153.343999999997</v>
      </c>
      <c r="Q1483" s="166">
        <f t="shared" si="65"/>
        <v>0</v>
      </c>
      <c r="R1483" s="169"/>
      <c r="S1483" s="169"/>
      <c r="T1483" s="169"/>
      <c r="U1483" s="169"/>
      <c r="V1483" s="166">
        <f t="shared" si="66"/>
        <v>0</v>
      </c>
      <c r="W1483" s="205"/>
      <c r="X1483" s="167"/>
    </row>
    <row r="1484" spans="8:24" s="220" customFormat="1" ht="12.75" hidden="1" customHeight="1">
      <c r="H1484" s="168" t="s">
        <v>3814</v>
      </c>
      <c r="I1484" s="206" t="s">
        <v>3845</v>
      </c>
      <c r="J1484" s="206" t="s">
        <v>3846</v>
      </c>
      <c r="K1484" s="207" t="s">
        <v>5169</v>
      </c>
      <c r="L1484" s="206" t="s">
        <v>92</v>
      </c>
      <c r="M1484" s="157"/>
      <c r="N1484" s="165"/>
      <c r="O1484" s="169"/>
      <c r="P1484" s="169">
        <v>72621.392000000007</v>
      </c>
      <c r="Q1484" s="166">
        <f t="shared" si="65"/>
        <v>0</v>
      </c>
      <c r="R1484" s="169"/>
      <c r="S1484" s="169"/>
      <c r="T1484" s="169"/>
      <c r="U1484" s="169"/>
      <c r="V1484" s="166">
        <f t="shared" si="66"/>
        <v>0</v>
      </c>
      <c r="W1484" s="205"/>
      <c r="X1484" s="167"/>
    </row>
    <row r="1485" spans="8:24" s="220" customFormat="1" ht="12.75" hidden="1" customHeight="1">
      <c r="H1485" s="168" t="s">
        <v>3815</v>
      </c>
      <c r="I1485" s="206" t="s">
        <v>3847</v>
      </c>
      <c r="J1485" s="206" t="s">
        <v>3848</v>
      </c>
      <c r="K1485" s="207" t="s">
        <v>5170</v>
      </c>
      <c r="L1485" s="206" t="s">
        <v>92</v>
      </c>
      <c r="M1485" s="157"/>
      <c r="N1485" s="165"/>
      <c r="O1485" s="169"/>
      <c r="P1485" s="169">
        <v>87739.6</v>
      </c>
      <c r="Q1485" s="166">
        <f t="shared" si="65"/>
        <v>0</v>
      </c>
      <c r="R1485" s="169"/>
      <c r="S1485" s="169"/>
      <c r="T1485" s="169"/>
      <c r="U1485" s="169"/>
      <c r="V1485" s="166">
        <f t="shared" si="66"/>
        <v>0</v>
      </c>
      <c r="W1485" s="205"/>
      <c r="X1485" s="167"/>
    </row>
    <row r="1486" spans="8:24" s="220" customFormat="1" ht="12.75" hidden="1" customHeight="1">
      <c r="H1486" s="168" t="s">
        <v>3816</v>
      </c>
      <c r="I1486" s="206" t="s">
        <v>3849</v>
      </c>
      <c r="J1486" s="206" t="s">
        <v>3850</v>
      </c>
      <c r="K1486" s="207" t="s">
        <v>5171</v>
      </c>
      <c r="L1486" s="206" t="s">
        <v>92</v>
      </c>
      <c r="M1486" s="157"/>
      <c r="N1486" s="165"/>
      <c r="O1486" s="169"/>
      <c r="P1486" s="169">
        <v>49404.144</v>
      </c>
      <c r="Q1486" s="166">
        <f t="shared" si="65"/>
        <v>0</v>
      </c>
      <c r="R1486" s="169"/>
      <c r="S1486" s="169"/>
      <c r="T1486" s="169"/>
      <c r="U1486" s="169"/>
      <c r="V1486" s="166">
        <f t="shared" si="66"/>
        <v>0</v>
      </c>
      <c r="W1486" s="205"/>
      <c r="X1486" s="167"/>
    </row>
    <row r="1487" spans="8:24" s="220" customFormat="1" ht="12.75" hidden="1" customHeight="1">
      <c r="H1487" s="168" t="s">
        <v>3817</v>
      </c>
      <c r="I1487" s="206" t="s">
        <v>3851</v>
      </c>
      <c r="J1487" s="206" t="s">
        <v>3852</v>
      </c>
      <c r="K1487" s="207" t="s">
        <v>5168</v>
      </c>
      <c r="L1487" s="206" t="s">
        <v>92</v>
      </c>
      <c r="M1487" s="157"/>
      <c r="N1487" s="165"/>
      <c r="O1487" s="169"/>
      <c r="P1487" s="169">
        <v>55073.472000000002</v>
      </c>
      <c r="Q1487" s="166">
        <f t="shared" si="65"/>
        <v>0</v>
      </c>
      <c r="R1487" s="169"/>
      <c r="S1487" s="169"/>
      <c r="T1487" s="169"/>
      <c r="U1487" s="169"/>
      <c r="V1487" s="166">
        <f t="shared" si="66"/>
        <v>0</v>
      </c>
      <c r="W1487" s="205"/>
      <c r="X1487" s="167"/>
    </row>
    <row r="1488" spans="8:24" s="220" customFormat="1" ht="12.75" hidden="1" customHeight="1">
      <c r="H1488" s="168" t="s">
        <v>3853</v>
      </c>
      <c r="I1488" s="206" t="s">
        <v>1085</v>
      </c>
      <c r="J1488" s="206" t="s">
        <v>1086</v>
      </c>
      <c r="K1488" s="207" t="s">
        <v>5172</v>
      </c>
      <c r="L1488" s="206" t="s">
        <v>92</v>
      </c>
      <c r="M1488" s="157"/>
      <c r="N1488" s="165"/>
      <c r="O1488" s="169"/>
      <c r="P1488" s="169">
        <v>55073.472000000002</v>
      </c>
      <c r="Q1488" s="166">
        <f t="shared" si="65"/>
        <v>0</v>
      </c>
      <c r="R1488" s="169"/>
      <c r="S1488" s="169"/>
      <c r="T1488" s="169"/>
      <c r="U1488" s="169"/>
      <c r="V1488" s="166">
        <f t="shared" si="66"/>
        <v>0</v>
      </c>
      <c r="W1488" s="205"/>
      <c r="X1488" s="167"/>
    </row>
    <row r="1489" spans="8:24" s="220" customFormat="1" ht="12.75" hidden="1" customHeight="1">
      <c r="H1489" s="168" t="s">
        <v>3854</v>
      </c>
      <c r="I1489" s="206" t="s">
        <v>1087</v>
      </c>
      <c r="J1489" s="206" t="s">
        <v>1088</v>
      </c>
      <c r="K1489" s="207" t="s">
        <v>5173</v>
      </c>
      <c r="L1489" s="206" t="s">
        <v>92</v>
      </c>
      <c r="M1489" s="157"/>
      <c r="N1489" s="165"/>
      <c r="O1489" s="169"/>
      <c r="P1489" s="169">
        <v>57503.184000000001</v>
      </c>
      <c r="Q1489" s="166">
        <f t="shared" si="65"/>
        <v>0</v>
      </c>
      <c r="R1489" s="169"/>
      <c r="S1489" s="169"/>
      <c r="T1489" s="169"/>
      <c r="U1489" s="169"/>
      <c r="V1489" s="166">
        <f t="shared" si="66"/>
        <v>0</v>
      </c>
      <c r="W1489" s="205"/>
      <c r="X1489" s="167"/>
    </row>
    <row r="1490" spans="8:24" s="220" customFormat="1" ht="12.75" hidden="1" customHeight="1">
      <c r="H1490" s="168" t="s">
        <v>3855</v>
      </c>
      <c r="I1490" s="206" t="s">
        <v>1090</v>
      </c>
      <c r="J1490" s="206" t="s">
        <v>1091</v>
      </c>
      <c r="K1490" s="207" t="s">
        <v>5174</v>
      </c>
      <c r="L1490" s="206" t="s">
        <v>92</v>
      </c>
      <c r="M1490" s="157"/>
      <c r="N1490" s="165"/>
      <c r="O1490" s="169"/>
      <c r="P1490" s="169">
        <v>59662.928</v>
      </c>
      <c r="Q1490" s="166">
        <f t="shared" si="65"/>
        <v>0</v>
      </c>
      <c r="R1490" s="169"/>
      <c r="S1490" s="169"/>
      <c r="T1490" s="169"/>
      <c r="U1490" s="169"/>
      <c r="V1490" s="166">
        <f t="shared" si="66"/>
        <v>0</v>
      </c>
      <c r="W1490" s="205"/>
      <c r="X1490" s="167"/>
    </row>
    <row r="1491" spans="8:24" s="220" customFormat="1" ht="12.75" hidden="1" customHeight="1">
      <c r="H1491" s="168" t="s">
        <v>3856</v>
      </c>
      <c r="I1491" s="206" t="s">
        <v>3861</v>
      </c>
      <c r="J1491" s="206" t="s">
        <v>3862</v>
      </c>
      <c r="K1491" s="207" t="s">
        <v>5175</v>
      </c>
      <c r="L1491" s="206" t="s">
        <v>92</v>
      </c>
      <c r="M1491" s="157"/>
      <c r="N1491" s="165"/>
      <c r="O1491" s="169"/>
      <c r="P1491" s="169">
        <v>61822.671999999999</v>
      </c>
      <c r="Q1491" s="166">
        <f t="shared" si="65"/>
        <v>0</v>
      </c>
      <c r="R1491" s="169"/>
      <c r="S1491" s="169"/>
      <c r="T1491" s="169"/>
      <c r="U1491" s="169"/>
      <c r="V1491" s="166">
        <f t="shared" si="66"/>
        <v>0</v>
      </c>
      <c r="W1491" s="205"/>
      <c r="X1491" s="167"/>
    </row>
    <row r="1492" spans="8:24" s="220" customFormat="1" ht="12.75" hidden="1" customHeight="1">
      <c r="H1492" s="168" t="s">
        <v>3857</v>
      </c>
      <c r="I1492" s="206" t="s">
        <v>3863</v>
      </c>
      <c r="J1492" s="206" t="s">
        <v>3864</v>
      </c>
      <c r="K1492" s="207" t="s">
        <v>5172</v>
      </c>
      <c r="L1492" s="206" t="s">
        <v>92</v>
      </c>
      <c r="M1492" s="157"/>
      <c r="N1492" s="165"/>
      <c r="O1492" s="169"/>
      <c r="P1492" s="169">
        <v>56153.343999999997</v>
      </c>
      <c r="Q1492" s="166">
        <f t="shared" si="65"/>
        <v>0</v>
      </c>
      <c r="R1492" s="169"/>
      <c r="S1492" s="169"/>
      <c r="T1492" s="169"/>
      <c r="U1492" s="169"/>
      <c r="V1492" s="166">
        <f t="shared" si="66"/>
        <v>0</v>
      </c>
      <c r="W1492" s="205"/>
      <c r="X1492" s="167"/>
    </row>
    <row r="1493" spans="8:24" s="220" customFormat="1" ht="12.75" hidden="1" customHeight="1">
      <c r="H1493" s="168" t="s">
        <v>3858</v>
      </c>
      <c r="I1493" s="206" t="s">
        <v>3865</v>
      </c>
      <c r="J1493" s="206" t="s">
        <v>3866</v>
      </c>
      <c r="K1493" s="206" t="s">
        <v>1089</v>
      </c>
      <c r="L1493" s="206" t="s">
        <v>92</v>
      </c>
      <c r="M1493" s="157"/>
      <c r="N1493" s="165"/>
      <c r="O1493" s="169"/>
      <c r="P1493" s="169">
        <v>58313.088000000003</v>
      </c>
      <c r="Q1493" s="166">
        <f t="shared" si="65"/>
        <v>0</v>
      </c>
      <c r="R1493" s="169"/>
      <c r="S1493" s="169"/>
      <c r="T1493" s="169"/>
      <c r="U1493" s="169"/>
      <c r="V1493" s="166">
        <f t="shared" si="66"/>
        <v>0</v>
      </c>
      <c r="W1493" s="205"/>
      <c r="X1493" s="167"/>
    </row>
    <row r="1494" spans="8:24" s="220" customFormat="1" ht="12.75" hidden="1" customHeight="1">
      <c r="H1494" s="168" t="s">
        <v>3859</v>
      </c>
      <c r="I1494" s="206" t="s">
        <v>3867</v>
      </c>
      <c r="J1494" s="206" t="s">
        <v>3868</v>
      </c>
      <c r="K1494" s="206" t="s">
        <v>808</v>
      </c>
      <c r="L1494" s="206" t="s">
        <v>92</v>
      </c>
      <c r="M1494" s="157"/>
      <c r="N1494" s="165"/>
      <c r="O1494" s="169"/>
      <c r="P1494" s="169">
        <v>60742.8</v>
      </c>
      <c r="Q1494" s="166">
        <f t="shared" si="65"/>
        <v>0</v>
      </c>
      <c r="R1494" s="169"/>
      <c r="S1494" s="169"/>
      <c r="T1494" s="169"/>
      <c r="U1494" s="169"/>
      <c r="V1494" s="166">
        <f t="shared" si="66"/>
        <v>0</v>
      </c>
      <c r="W1494" s="205"/>
      <c r="X1494" s="167"/>
    </row>
    <row r="1495" spans="8:24" s="220" customFormat="1" ht="12.75" hidden="1" customHeight="1">
      <c r="H1495" s="168" t="s">
        <v>3860</v>
      </c>
      <c r="I1495" s="206" t="s">
        <v>3869</v>
      </c>
      <c r="J1495" s="206" t="s">
        <v>3870</v>
      </c>
      <c r="K1495" s="206" t="s">
        <v>3871</v>
      </c>
      <c r="L1495" s="206" t="s">
        <v>92</v>
      </c>
      <c r="M1495" s="157"/>
      <c r="N1495" s="165"/>
      <c r="O1495" s="169"/>
      <c r="P1495" s="169">
        <v>62902.544000000002</v>
      </c>
      <c r="Q1495" s="166">
        <f t="shared" si="65"/>
        <v>0</v>
      </c>
      <c r="R1495" s="169"/>
      <c r="S1495" s="169"/>
      <c r="T1495" s="169"/>
      <c r="U1495" s="169"/>
      <c r="V1495" s="166">
        <f t="shared" si="66"/>
        <v>0</v>
      </c>
      <c r="W1495" s="205"/>
      <c r="X1495" s="167"/>
    </row>
    <row r="1496" spans="8:24" s="220" customFormat="1" ht="12.75" hidden="1" customHeight="1">
      <c r="H1496" s="168" t="s">
        <v>3872</v>
      </c>
      <c r="I1496" s="206" t="s">
        <v>3875</v>
      </c>
      <c r="J1496" s="206" t="s">
        <v>3876</v>
      </c>
      <c r="K1496" s="206" t="s">
        <v>3877</v>
      </c>
      <c r="L1496" s="206" t="s">
        <v>744</v>
      </c>
      <c r="M1496" s="157"/>
      <c r="N1496" s="165"/>
      <c r="O1496" s="169"/>
      <c r="P1496" s="169">
        <v>372457.6</v>
      </c>
      <c r="Q1496" s="166">
        <f t="shared" si="65"/>
        <v>0</v>
      </c>
      <c r="R1496" s="169"/>
      <c r="S1496" s="169"/>
      <c r="T1496" s="169"/>
      <c r="U1496" s="169"/>
      <c r="V1496" s="166">
        <f t="shared" si="66"/>
        <v>0</v>
      </c>
      <c r="W1496" s="205"/>
      <c r="X1496" s="167"/>
    </row>
    <row r="1497" spans="8:24" s="220" customFormat="1" ht="12.75" hidden="1" customHeight="1">
      <c r="H1497" s="168" t="s">
        <v>3873</v>
      </c>
      <c r="I1497" s="206" t="s">
        <v>3878</v>
      </c>
      <c r="J1497" s="206" t="s">
        <v>3879</v>
      </c>
      <c r="K1497" s="206" t="s">
        <v>3880</v>
      </c>
      <c r="L1497" s="206" t="s">
        <v>744</v>
      </c>
      <c r="M1497" s="157"/>
      <c r="N1497" s="165"/>
      <c r="O1497" s="169"/>
      <c r="P1497" s="169">
        <v>113362</v>
      </c>
      <c r="Q1497" s="166">
        <f t="shared" si="65"/>
        <v>0</v>
      </c>
      <c r="R1497" s="169"/>
      <c r="S1497" s="169"/>
      <c r="T1497" s="169"/>
      <c r="U1497" s="169"/>
      <c r="V1497" s="166">
        <f t="shared" si="66"/>
        <v>0</v>
      </c>
      <c r="W1497" s="205"/>
      <c r="X1497" s="167"/>
    </row>
    <row r="1498" spans="8:24" s="220" customFormat="1" ht="12.75" hidden="1" customHeight="1">
      <c r="H1498" s="168" t="s">
        <v>3874</v>
      </c>
      <c r="I1498" s="206" t="s">
        <v>3881</v>
      </c>
      <c r="J1498" s="206" t="s">
        <v>3882</v>
      </c>
      <c r="K1498" s="206" t="s">
        <v>3883</v>
      </c>
      <c r="L1498" s="206" t="s">
        <v>744</v>
      </c>
      <c r="M1498" s="157"/>
      <c r="N1498" s="165"/>
      <c r="O1498" s="169"/>
      <c r="P1498" s="169">
        <v>113362</v>
      </c>
      <c r="Q1498" s="166">
        <f t="shared" si="65"/>
        <v>0</v>
      </c>
      <c r="R1498" s="169"/>
      <c r="S1498" s="169"/>
      <c r="T1498" s="169"/>
      <c r="U1498" s="169"/>
      <c r="V1498" s="166">
        <f t="shared" si="66"/>
        <v>0</v>
      </c>
      <c r="W1498" s="205"/>
      <c r="X1498" s="167"/>
    </row>
    <row r="1499" spans="8:24" s="220" customFormat="1" ht="12.75" hidden="1" customHeight="1">
      <c r="H1499" s="168" t="s">
        <v>3884</v>
      </c>
      <c r="I1499" s="206" t="s">
        <v>3886</v>
      </c>
      <c r="J1499" s="206" t="s">
        <v>3887</v>
      </c>
      <c r="K1499" s="206" t="s">
        <v>3888</v>
      </c>
      <c r="L1499" s="206" t="s">
        <v>744</v>
      </c>
      <c r="M1499" s="157"/>
      <c r="N1499" s="165"/>
      <c r="O1499" s="169"/>
      <c r="P1499" s="169">
        <v>74793.66</v>
      </c>
      <c r="Q1499" s="166">
        <f t="shared" si="65"/>
        <v>0</v>
      </c>
      <c r="R1499" s="169"/>
      <c r="S1499" s="169"/>
      <c r="T1499" s="169"/>
      <c r="U1499" s="169"/>
      <c r="V1499" s="166">
        <f t="shared" si="66"/>
        <v>0</v>
      </c>
      <c r="W1499" s="205"/>
      <c r="X1499" s="167"/>
    </row>
    <row r="1500" spans="8:24" s="220" customFormat="1" ht="12.75" hidden="1" customHeight="1">
      <c r="H1500" s="168" t="s">
        <v>3885</v>
      </c>
      <c r="I1500" s="206" t="s">
        <v>3889</v>
      </c>
      <c r="J1500" s="206" t="s">
        <v>3890</v>
      </c>
      <c r="K1500" s="207" t="s">
        <v>5278</v>
      </c>
      <c r="L1500" s="206" t="s">
        <v>744</v>
      </c>
      <c r="M1500" s="157"/>
      <c r="N1500" s="165"/>
      <c r="O1500" s="169"/>
      <c r="P1500" s="169">
        <v>58147.98</v>
      </c>
      <c r="Q1500" s="166">
        <f t="shared" ref="Q1500:Q1563" si="67">IF(W1500="",M1500*P1500*$Q$3*$W$3,M1500*P1500*$Q$3*W1500)</f>
        <v>0</v>
      </c>
      <c r="R1500" s="169"/>
      <c r="S1500" s="169"/>
      <c r="T1500" s="169"/>
      <c r="U1500" s="169"/>
      <c r="V1500" s="166">
        <f t="shared" si="66"/>
        <v>0</v>
      </c>
      <c r="W1500" s="205"/>
      <c r="X1500" s="167"/>
    </row>
    <row r="1501" spans="8:24" s="220" customFormat="1" ht="12.75" hidden="1" customHeight="1">
      <c r="H1501" s="168" t="s">
        <v>3891</v>
      </c>
      <c r="I1501" s="206" t="s">
        <v>3896</v>
      </c>
      <c r="J1501" s="206" t="s">
        <v>3897</v>
      </c>
      <c r="K1501" s="207" t="s">
        <v>3898</v>
      </c>
      <c r="L1501" s="206" t="s">
        <v>3899</v>
      </c>
      <c r="M1501" s="157"/>
      <c r="N1501" s="165"/>
      <c r="O1501" s="169"/>
      <c r="P1501" s="169">
        <v>275367.36</v>
      </c>
      <c r="Q1501" s="166">
        <f t="shared" si="67"/>
        <v>0</v>
      </c>
      <c r="R1501" s="169"/>
      <c r="S1501" s="169"/>
      <c r="T1501" s="169"/>
      <c r="U1501" s="169"/>
      <c r="V1501" s="166">
        <f t="shared" si="66"/>
        <v>0</v>
      </c>
      <c r="W1501" s="205"/>
      <c r="X1501" s="167"/>
    </row>
    <row r="1502" spans="8:24" s="220" customFormat="1" ht="12.75" hidden="1" customHeight="1">
      <c r="H1502" s="168" t="s">
        <v>3892</v>
      </c>
      <c r="I1502" s="206" t="s">
        <v>3900</v>
      </c>
      <c r="J1502" s="206" t="s">
        <v>3901</v>
      </c>
      <c r="K1502" s="206" t="s">
        <v>3902</v>
      </c>
      <c r="L1502" s="206" t="s">
        <v>744</v>
      </c>
      <c r="M1502" s="157"/>
      <c r="N1502" s="165"/>
      <c r="O1502" s="169"/>
      <c r="P1502" s="169">
        <v>202572.32</v>
      </c>
      <c r="Q1502" s="166">
        <f t="shared" si="67"/>
        <v>0</v>
      </c>
      <c r="R1502" s="169"/>
      <c r="S1502" s="169"/>
      <c r="T1502" s="169"/>
      <c r="U1502" s="169"/>
      <c r="V1502" s="166">
        <f t="shared" si="66"/>
        <v>0</v>
      </c>
      <c r="W1502" s="205"/>
      <c r="X1502" s="167"/>
    </row>
    <row r="1503" spans="8:24" s="220" customFormat="1" ht="12.75" hidden="1" customHeight="1">
      <c r="H1503" s="168" t="s">
        <v>3893</v>
      </c>
      <c r="I1503" s="206" t="s">
        <v>3903</v>
      </c>
      <c r="J1503" s="206" t="s">
        <v>3904</v>
      </c>
      <c r="K1503" s="206" t="s">
        <v>3905</v>
      </c>
      <c r="L1503" s="206" t="s">
        <v>744</v>
      </c>
      <c r="M1503" s="157"/>
      <c r="N1503" s="165"/>
      <c r="O1503" s="169"/>
      <c r="P1503" s="169">
        <v>377955.2</v>
      </c>
      <c r="Q1503" s="166">
        <f t="shared" si="67"/>
        <v>0</v>
      </c>
      <c r="R1503" s="169"/>
      <c r="S1503" s="169"/>
      <c r="T1503" s="169"/>
      <c r="U1503" s="169"/>
      <c r="V1503" s="166">
        <f t="shared" si="66"/>
        <v>0</v>
      </c>
      <c r="W1503" s="205"/>
      <c r="X1503" s="167"/>
    </row>
    <row r="1504" spans="8:24" s="220" customFormat="1" ht="12.75" hidden="1" customHeight="1">
      <c r="H1504" s="168" t="s">
        <v>3894</v>
      </c>
      <c r="I1504" s="206" t="s">
        <v>3906</v>
      </c>
      <c r="J1504" s="206" t="s">
        <v>3907</v>
      </c>
      <c r="K1504" s="206" t="s">
        <v>3898</v>
      </c>
      <c r="L1504" s="206" t="s">
        <v>3908</v>
      </c>
      <c r="M1504" s="157"/>
      <c r="N1504" s="165"/>
      <c r="O1504" s="169"/>
      <c r="P1504" s="169">
        <v>664924.16000000003</v>
      </c>
      <c r="Q1504" s="166">
        <f t="shared" si="67"/>
        <v>0</v>
      </c>
      <c r="R1504" s="169"/>
      <c r="S1504" s="169"/>
      <c r="T1504" s="169"/>
      <c r="U1504" s="169"/>
      <c r="V1504" s="166">
        <f t="shared" si="66"/>
        <v>0</v>
      </c>
      <c r="W1504" s="205"/>
      <c r="X1504" s="167"/>
    </row>
    <row r="1505" spans="8:24" s="220" customFormat="1" ht="12.75" hidden="1" customHeight="1">
      <c r="H1505" s="168" t="s">
        <v>3895</v>
      </c>
      <c r="I1505" s="206" t="s">
        <v>3909</v>
      </c>
      <c r="J1505" s="206" t="s">
        <v>3910</v>
      </c>
      <c r="K1505" s="207" t="s">
        <v>3898</v>
      </c>
      <c r="L1505" s="206" t="s">
        <v>3899</v>
      </c>
      <c r="M1505" s="157"/>
      <c r="N1505" s="165"/>
      <c r="O1505" s="169"/>
      <c r="P1505" s="169">
        <v>8099.04</v>
      </c>
      <c r="Q1505" s="166">
        <f t="shared" si="67"/>
        <v>0</v>
      </c>
      <c r="R1505" s="169"/>
      <c r="S1505" s="169"/>
      <c r="T1505" s="169"/>
      <c r="U1505" s="169"/>
      <c r="V1505" s="166">
        <f t="shared" si="66"/>
        <v>0</v>
      </c>
      <c r="W1505" s="205"/>
      <c r="X1505" s="167"/>
    </row>
    <row r="1506" spans="8:24" s="220" customFormat="1" ht="12.75" hidden="1" customHeight="1">
      <c r="H1506" s="168" t="s">
        <v>3911</v>
      </c>
      <c r="I1506" s="206" t="s">
        <v>3915</v>
      </c>
      <c r="J1506" s="206" t="s">
        <v>3916</v>
      </c>
      <c r="K1506" s="206" t="s">
        <v>3917</v>
      </c>
      <c r="L1506" s="206" t="s">
        <v>744</v>
      </c>
      <c r="M1506" s="157"/>
      <c r="N1506" s="165"/>
      <c r="O1506" s="169"/>
      <c r="P1506" s="169">
        <v>438600</v>
      </c>
      <c r="Q1506" s="166">
        <f t="shared" si="67"/>
        <v>0</v>
      </c>
      <c r="R1506" s="169"/>
      <c r="S1506" s="169"/>
      <c r="T1506" s="169"/>
      <c r="U1506" s="169"/>
      <c r="V1506" s="166">
        <f t="shared" si="66"/>
        <v>0</v>
      </c>
      <c r="W1506" s="205"/>
      <c r="X1506" s="167"/>
    </row>
    <row r="1507" spans="8:24" s="220" customFormat="1" ht="12.75" hidden="1" customHeight="1">
      <c r="H1507" s="168" t="s">
        <v>3912</v>
      </c>
      <c r="I1507" s="206" t="s">
        <v>3918</v>
      </c>
      <c r="J1507" s="206" t="s">
        <v>3919</v>
      </c>
      <c r="K1507" s="206" t="s">
        <v>3920</v>
      </c>
      <c r="L1507" s="206" t="s">
        <v>744</v>
      </c>
      <c r="M1507" s="157"/>
      <c r="N1507" s="165"/>
      <c r="O1507" s="169"/>
      <c r="P1507" s="169">
        <v>365659.25</v>
      </c>
      <c r="Q1507" s="166">
        <f t="shared" si="67"/>
        <v>0</v>
      </c>
      <c r="R1507" s="169"/>
      <c r="S1507" s="169"/>
      <c r="T1507" s="169"/>
      <c r="U1507" s="169"/>
      <c r="V1507" s="166">
        <f t="shared" si="66"/>
        <v>0</v>
      </c>
      <c r="W1507" s="205"/>
      <c r="X1507" s="167"/>
    </row>
    <row r="1508" spans="8:24" s="220" customFormat="1" ht="12.75" hidden="1" customHeight="1">
      <c r="H1508" s="168" t="s">
        <v>3913</v>
      </c>
      <c r="I1508" s="206" t="s">
        <v>3921</v>
      </c>
      <c r="J1508" s="206" t="s">
        <v>3922</v>
      </c>
      <c r="K1508" s="206" t="s">
        <v>3923</v>
      </c>
      <c r="L1508" s="206" t="s">
        <v>744</v>
      </c>
      <c r="M1508" s="157"/>
      <c r="N1508" s="165"/>
      <c r="O1508" s="169"/>
      <c r="P1508" s="169">
        <v>336419.25</v>
      </c>
      <c r="Q1508" s="166">
        <f t="shared" si="67"/>
        <v>0</v>
      </c>
      <c r="R1508" s="169"/>
      <c r="S1508" s="169"/>
      <c r="T1508" s="169"/>
      <c r="U1508" s="169"/>
      <c r="V1508" s="166">
        <f t="shared" si="66"/>
        <v>0</v>
      </c>
      <c r="W1508" s="205"/>
      <c r="X1508" s="167"/>
    </row>
    <row r="1509" spans="8:24" s="220" customFormat="1" ht="12.75" hidden="1" customHeight="1">
      <c r="H1509" s="168" t="s">
        <v>3914</v>
      </c>
      <c r="I1509" s="206" t="s">
        <v>3924</v>
      </c>
      <c r="J1509" s="206" t="s">
        <v>3925</v>
      </c>
      <c r="K1509" s="206" t="s">
        <v>3926</v>
      </c>
      <c r="L1509" s="206" t="s">
        <v>744</v>
      </c>
      <c r="M1509" s="157"/>
      <c r="N1509" s="165"/>
      <c r="O1509" s="169"/>
      <c r="P1509" s="169">
        <v>87911.1</v>
      </c>
      <c r="Q1509" s="166">
        <f t="shared" si="67"/>
        <v>0</v>
      </c>
      <c r="R1509" s="169"/>
      <c r="S1509" s="169"/>
      <c r="T1509" s="169"/>
      <c r="U1509" s="169"/>
      <c r="V1509" s="166">
        <f t="shared" si="66"/>
        <v>0</v>
      </c>
      <c r="W1509" s="205"/>
      <c r="X1509" s="167"/>
    </row>
    <row r="1510" spans="8:24" s="220" customFormat="1" ht="12.75" hidden="1" customHeight="1">
      <c r="H1510" s="168" t="s">
        <v>3927</v>
      </c>
      <c r="I1510" s="206" t="s">
        <v>1082</v>
      </c>
      <c r="J1510" s="206" t="s">
        <v>3956</v>
      </c>
      <c r="K1510" s="207" t="s">
        <v>5172</v>
      </c>
      <c r="L1510" s="163" t="s">
        <v>5400</v>
      </c>
      <c r="M1510" s="157"/>
      <c r="N1510" s="165"/>
      <c r="O1510" s="169"/>
      <c r="P1510" s="169">
        <v>332060.64</v>
      </c>
      <c r="Q1510" s="166">
        <f t="shared" si="67"/>
        <v>0</v>
      </c>
      <c r="R1510" s="169"/>
      <c r="S1510" s="169"/>
      <c r="T1510" s="169"/>
      <c r="U1510" s="169"/>
      <c r="V1510" s="166">
        <f t="shared" si="66"/>
        <v>0</v>
      </c>
      <c r="W1510" s="205"/>
      <c r="X1510" s="167"/>
    </row>
    <row r="1511" spans="8:24" s="220" customFormat="1" ht="12.75" hidden="1" customHeight="1">
      <c r="H1511" s="168" t="s">
        <v>3928</v>
      </c>
      <c r="I1511" s="206" t="s">
        <v>1083</v>
      </c>
      <c r="J1511" s="206" t="s">
        <v>3957</v>
      </c>
      <c r="K1511" s="207" t="s">
        <v>5174</v>
      </c>
      <c r="L1511" s="163" t="s">
        <v>5400</v>
      </c>
      <c r="M1511" s="157"/>
      <c r="N1511" s="165"/>
      <c r="O1511" s="169"/>
      <c r="P1511" s="169">
        <v>396852.96</v>
      </c>
      <c r="Q1511" s="166">
        <f t="shared" si="67"/>
        <v>0</v>
      </c>
      <c r="R1511" s="169"/>
      <c r="S1511" s="169"/>
      <c r="T1511" s="169"/>
      <c r="U1511" s="169"/>
      <c r="V1511" s="166">
        <f t="shared" si="66"/>
        <v>0</v>
      </c>
      <c r="W1511" s="205"/>
      <c r="X1511" s="167"/>
    </row>
    <row r="1512" spans="8:24" s="220" customFormat="1" ht="12.75" hidden="1" customHeight="1">
      <c r="H1512" s="168" t="s">
        <v>3929</v>
      </c>
      <c r="I1512" s="206" t="s">
        <v>1084</v>
      </c>
      <c r="J1512" s="206" t="s">
        <v>3958</v>
      </c>
      <c r="K1512" s="207" t="s">
        <v>5175</v>
      </c>
      <c r="L1512" s="163" t="s">
        <v>5400</v>
      </c>
      <c r="M1512" s="157"/>
      <c r="N1512" s="165"/>
      <c r="O1512" s="169"/>
      <c r="P1512" s="169">
        <v>404952</v>
      </c>
      <c r="Q1512" s="166">
        <f t="shared" si="67"/>
        <v>0</v>
      </c>
      <c r="R1512" s="169"/>
      <c r="S1512" s="169"/>
      <c r="T1512" s="169"/>
      <c r="U1512" s="169"/>
      <c r="V1512" s="166">
        <f t="shared" si="66"/>
        <v>0</v>
      </c>
      <c r="W1512" s="205"/>
      <c r="X1512" s="167"/>
    </row>
    <row r="1513" spans="8:24" s="220" customFormat="1" ht="12.75" hidden="1" customHeight="1">
      <c r="H1513" s="168" t="s">
        <v>3930</v>
      </c>
      <c r="I1513" s="206" t="s">
        <v>3959</v>
      </c>
      <c r="J1513" s="206" t="s">
        <v>3960</v>
      </c>
      <c r="K1513" s="207" t="s">
        <v>5176</v>
      </c>
      <c r="L1513" s="163" t="s">
        <v>5400</v>
      </c>
      <c r="M1513" s="157"/>
      <c r="N1513" s="165"/>
      <c r="O1513" s="169"/>
      <c r="P1513" s="169">
        <v>445447.2</v>
      </c>
      <c r="Q1513" s="166">
        <f t="shared" si="67"/>
        <v>0</v>
      </c>
      <c r="R1513" s="169"/>
      <c r="S1513" s="169"/>
      <c r="T1513" s="169"/>
      <c r="U1513" s="169"/>
      <c r="V1513" s="166">
        <f t="shared" si="66"/>
        <v>0</v>
      </c>
      <c r="W1513" s="205"/>
      <c r="X1513" s="167"/>
    </row>
    <row r="1514" spans="8:24" s="220" customFormat="1" ht="12.75" hidden="1" customHeight="1">
      <c r="H1514" s="168" t="s">
        <v>3931</v>
      </c>
      <c r="I1514" s="206" t="s">
        <v>1081</v>
      </c>
      <c r="J1514" s="206" t="s">
        <v>3961</v>
      </c>
      <c r="K1514" s="207" t="s">
        <v>5177</v>
      </c>
      <c r="L1514" s="163" t="s">
        <v>5400</v>
      </c>
      <c r="M1514" s="157"/>
      <c r="N1514" s="165"/>
      <c r="O1514" s="169"/>
      <c r="P1514" s="169">
        <v>453546.23999999999</v>
      </c>
      <c r="Q1514" s="166">
        <f t="shared" si="67"/>
        <v>0</v>
      </c>
      <c r="R1514" s="169"/>
      <c r="S1514" s="169"/>
      <c r="T1514" s="169"/>
      <c r="U1514" s="169"/>
      <c r="V1514" s="166">
        <f t="shared" si="66"/>
        <v>0</v>
      </c>
      <c r="W1514" s="205"/>
      <c r="X1514" s="167"/>
    </row>
    <row r="1515" spans="8:24" s="220" customFormat="1" ht="12.75" hidden="1" customHeight="1">
      <c r="H1515" s="168" t="s">
        <v>3932</v>
      </c>
      <c r="I1515" s="206" t="s">
        <v>3962</v>
      </c>
      <c r="J1515" s="206" t="s">
        <v>3963</v>
      </c>
      <c r="K1515" s="207" t="s">
        <v>5178</v>
      </c>
      <c r="L1515" s="163" t="s">
        <v>5400</v>
      </c>
      <c r="M1515" s="157"/>
      <c r="N1515" s="165"/>
      <c r="O1515" s="169"/>
      <c r="P1515" s="169">
        <v>550734.72</v>
      </c>
      <c r="Q1515" s="166">
        <f t="shared" si="67"/>
        <v>0</v>
      </c>
      <c r="R1515" s="169"/>
      <c r="S1515" s="169"/>
      <c r="T1515" s="169"/>
      <c r="U1515" s="169"/>
      <c r="V1515" s="166">
        <f t="shared" si="66"/>
        <v>0</v>
      </c>
      <c r="W1515" s="205"/>
      <c r="X1515" s="167"/>
    </row>
    <row r="1516" spans="8:24" s="220" customFormat="1" ht="12.75" hidden="1" customHeight="1">
      <c r="H1516" s="168" t="s">
        <v>3933</v>
      </c>
      <c r="I1516" s="206" t="s">
        <v>1080</v>
      </c>
      <c r="J1516" s="206" t="s">
        <v>3964</v>
      </c>
      <c r="K1516" s="207" t="s">
        <v>5179</v>
      </c>
      <c r="L1516" s="163" t="s">
        <v>5400</v>
      </c>
      <c r="M1516" s="157"/>
      <c r="N1516" s="165"/>
      <c r="O1516" s="169"/>
      <c r="P1516" s="169">
        <v>612827.36</v>
      </c>
      <c r="Q1516" s="166">
        <f t="shared" si="67"/>
        <v>0</v>
      </c>
      <c r="R1516" s="169"/>
      <c r="S1516" s="169"/>
      <c r="T1516" s="169"/>
      <c r="U1516" s="169"/>
      <c r="V1516" s="166">
        <f t="shared" si="66"/>
        <v>0</v>
      </c>
      <c r="W1516" s="205"/>
      <c r="X1516" s="167"/>
    </row>
    <row r="1517" spans="8:24" s="220" customFormat="1" ht="12.75" hidden="1" customHeight="1">
      <c r="H1517" s="168" t="s">
        <v>3934</v>
      </c>
      <c r="I1517" s="206" t="s">
        <v>3965</v>
      </c>
      <c r="J1517" s="206" t="s">
        <v>3966</v>
      </c>
      <c r="K1517" s="207" t="s">
        <v>5180</v>
      </c>
      <c r="L1517" s="163" t="s">
        <v>5400</v>
      </c>
      <c r="M1517" s="157"/>
      <c r="N1517" s="165"/>
      <c r="O1517" s="169"/>
      <c r="P1517" s="169">
        <v>674920</v>
      </c>
      <c r="Q1517" s="166">
        <f t="shared" si="67"/>
        <v>0</v>
      </c>
      <c r="R1517" s="169"/>
      <c r="S1517" s="169"/>
      <c r="T1517" s="169"/>
      <c r="U1517" s="169"/>
      <c r="V1517" s="166">
        <f t="shared" si="66"/>
        <v>0</v>
      </c>
      <c r="W1517" s="205"/>
      <c r="X1517" s="167"/>
    </row>
    <row r="1518" spans="8:24" s="220" customFormat="1" ht="12.75" hidden="1" customHeight="1">
      <c r="H1518" s="168" t="s">
        <v>3935</v>
      </c>
      <c r="I1518" s="206" t="s">
        <v>3967</v>
      </c>
      <c r="J1518" s="206" t="s">
        <v>3968</v>
      </c>
      <c r="K1518" s="207" t="s">
        <v>5172</v>
      </c>
      <c r="L1518" s="163" t="s">
        <v>5400</v>
      </c>
      <c r="M1518" s="157"/>
      <c r="N1518" s="165"/>
      <c r="O1518" s="169"/>
      <c r="P1518" s="169">
        <v>94488.8</v>
      </c>
      <c r="Q1518" s="166">
        <f t="shared" si="67"/>
        <v>0</v>
      </c>
      <c r="R1518" s="169"/>
      <c r="S1518" s="169"/>
      <c r="T1518" s="169"/>
      <c r="U1518" s="169"/>
      <c r="V1518" s="166">
        <f t="shared" si="66"/>
        <v>0</v>
      </c>
      <c r="W1518" s="205"/>
      <c r="X1518" s="167"/>
    </row>
    <row r="1519" spans="8:24" s="220" customFormat="1" ht="12.75" hidden="1" customHeight="1">
      <c r="H1519" s="168" t="s">
        <v>3936</v>
      </c>
      <c r="I1519" s="206" t="s">
        <v>3969</v>
      </c>
      <c r="J1519" s="206" t="s">
        <v>3970</v>
      </c>
      <c r="K1519" s="207" t="s">
        <v>5174</v>
      </c>
      <c r="L1519" s="163" t="s">
        <v>5400</v>
      </c>
      <c r="M1519" s="157"/>
      <c r="N1519" s="165"/>
      <c r="O1519" s="169"/>
      <c r="P1519" s="169">
        <v>107987.2</v>
      </c>
      <c r="Q1519" s="166">
        <f t="shared" si="67"/>
        <v>0</v>
      </c>
      <c r="R1519" s="169"/>
      <c r="S1519" s="169"/>
      <c r="T1519" s="169"/>
      <c r="U1519" s="169"/>
      <c r="V1519" s="166">
        <f t="shared" si="66"/>
        <v>0</v>
      </c>
      <c r="W1519" s="205"/>
      <c r="X1519" s="167"/>
    </row>
    <row r="1520" spans="8:24" s="220" customFormat="1" ht="12.75" hidden="1" customHeight="1">
      <c r="H1520" s="168" t="s">
        <v>3937</v>
      </c>
      <c r="I1520" s="206" t="s">
        <v>3971</v>
      </c>
      <c r="J1520" s="206" t="s">
        <v>3972</v>
      </c>
      <c r="K1520" s="207" t="s">
        <v>5175</v>
      </c>
      <c r="L1520" s="163" t="s">
        <v>5400</v>
      </c>
      <c r="M1520" s="157"/>
      <c r="N1520" s="165"/>
      <c r="O1520" s="169"/>
      <c r="P1520" s="169">
        <v>121485.6</v>
      </c>
      <c r="Q1520" s="166">
        <f t="shared" si="67"/>
        <v>0</v>
      </c>
      <c r="R1520" s="169"/>
      <c r="S1520" s="169"/>
      <c r="T1520" s="169"/>
      <c r="U1520" s="169"/>
      <c r="V1520" s="166">
        <f t="shared" si="66"/>
        <v>0</v>
      </c>
      <c r="W1520" s="205"/>
      <c r="X1520" s="167"/>
    </row>
    <row r="1521" spans="8:24" s="220" customFormat="1" ht="12.75" hidden="1" customHeight="1">
      <c r="H1521" s="168" t="s">
        <v>3938</v>
      </c>
      <c r="I1521" s="206" t="s">
        <v>3973</v>
      </c>
      <c r="J1521" s="206" t="s">
        <v>3974</v>
      </c>
      <c r="K1521" s="207" t="s">
        <v>5176</v>
      </c>
      <c r="L1521" s="163" t="s">
        <v>5400</v>
      </c>
      <c r="M1521" s="157"/>
      <c r="N1521" s="165"/>
      <c r="O1521" s="169"/>
      <c r="P1521" s="169">
        <v>121485.6</v>
      </c>
      <c r="Q1521" s="166">
        <f t="shared" si="67"/>
        <v>0</v>
      </c>
      <c r="R1521" s="169"/>
      <c r="S1521" s="169"/>
      <c r="T1521" s="169"/>
      <c r="U1521" s="169"/>
      <c r="V1521" s="166">
        <f t="shared" si="66"/>
        <v>0</v>
      </c>
      <c r="W1521" s="205"/>
      <c r="X1521" s="167"/>
    </row>
    <row r="1522" spans="8:24" s="220" customFormat="1" ht="12.75" hidden="1" customHeight="1">
      <c r="H1522" s="168" t="s">
        <v>3939</v>
      </c>
      <c r="I1522" s="206" t="s">
        <v>3975</v>
      </c>
      <c r="J1522" s="206" t="s">
        <v>3976</v>
      </c>
      <c r="K1522" s="207" t="s">
        <v>5177</v>
      </c>
      <c r="L1522" s="163" t="s">
        <v>5400</v>
      </c>
      <c r="M1522" s="157"/>
      <c r="N1522" s="165"/>
      <c r="O1522" s="169"/>
      <c r="P1522" s="169">
        <v>129584.64</v>
      </c>
      <c r="Q1522" s="166">
        <f t="shared" si="67"/>
        <v>0</v>
      </c>
      <c r="R1522" s="169"/>
      <c r="S1522" s="169"/>
      <c r="T1522" s="169"/>
      <c r="U1522" s="169"/>
      <c r="V1522" s="166">
        <f t="shared" si="66"/>
        <v>0</v>
      </c>
      <c r="W1522" s="205"/>
      <c r="X1522" s="167"/>
    </row>
    <row r="1523" spans="8:24" s="220" customFormat="1" ht="12.75" hidden="1" customHeight="1">
      <c r="H1523" s="168" t="s">
        <v>3940</v>
      </c>
      <c r="I1523" s="206" t="s">
        <v>3977</v>
      </c>
      <c r="J1523" s="206" t="s">
        <v>3978</v>
      </c>
      <c r="K1523" s="207" t="s">
        <v>5178</v>
      </c>
      <c r="L1523" s="163" t="s">
        <v>5400</v>
      </c>
      <c r="M1523" s="157"/>
      <c r="N1523" s="165"/>
      <c r="O1523" s="169"/>
      <c r="P1523" s="169">
        <v>151182.07999999999</v>
      </c>
      <c r="Q1523" s="166">
        <f t="shared" si="67"/>
        <v>0</v>
      </c>
      <c r="R1523" s="169"/>
      <c r="S1523" s="169"/>
      <c r="T1523" s="169"/>
      <c r="U1523" s="169"/>
      <c r="V1523" s="166">
        <f t="shared" si="66"/>
        <v>0</v>
      </c>
      <c r="W1523" s="205"/>
      <c r="X1523" s="167"/>
    </row>
    <row r="1524" spans="8:24" s="220" customFormat="1" ht="12.75" hidden="1" customHeight="1">
      <c r="H1524" s="168" t="s">
        <v>3941</v>
      </c>
      <c r="I1524" s="206" t="s">
        <v>3979</v>
      </c>
      <c r="J1524" s="206" t="s">
        <v>3980</v>
      </c>
      <c r="K1524" s="207" t="s">
        <v>5179</v>
      </c>
      <c r="L1524" s="163" t="s">
        <v>5400</v>
      </c>
      <c r="M1524" s="157"/>
      <c r="N1524" s="165"/>
      <c r="O1524" s="169"/>
      <c r="P1524" s="169">
        <v>164680.48000000001</v>
      </c>
      <c r="Q1524" s="166">
        <f t="shared" si="67"/>
        <v>0</v>
      </c>
      <c r="R1524" s="169"/>
      <c r="S1524" s="169"/>
      <c r="T1524" s="169"/>
      <c r="U1524" s="169"/>
      <c r="V1524" s="166">
        <f t="shared" si="66"/>
        <v>0</v>
      </c>
      <c r="W1524" s="205"/>
      <c r="X1524" s="167"/>
    </row>
    <row r="1525" spans="8:24" s="220" customFormat="1" ht="12.75" hidden="1" customHeight="1">
      <c r="H1525" s="168" t="s">
        <v>3942</v>
      </c>
      <c r="I1525" s="206" t="s">
        <v>3981</v>
      </c>
      <c r="J1525" s="206" t="s">
        <v>3982</v>
      </c>
      <c r="K1525" s="207" t="s">
        <v>5180</v>
      </c>
      <c r="L1525" s="163" t="s">
        <v>5400</v>
      </c>
      <c r="M1525" s="157"/>
      <c r="N1525" s="165"/>
      <c r="O1525" s="169"/>
      <c r="P1525" s="169">
        <v>178178.88</v>
      </c>
      <c r="Q1525" s="166">
        <f t="shared" si="67"/>
        <v>0</v>
      </c>
      <c r="R1525" s="169"/>
      <c r="S1525" s="169"/>
      <c r="T1525" s="169"/>
      <c r="U1525" s="169"/>
      <c r="V1525" s="166">
        <f t="shared" si="66"/>
        <v>0</v>
      </c>
      <c r="W1525" s="205"/>
      <c r="X1525" s="167"/>
    </row>
    <row r="1526" spans="8:24" s="220" customFormat="1" ht="12.75" hidden="1" customHeight="1">
      <c r="H1526" s="168" t="s">
        <v>3943</v>
      </c>
      <c r="I1526" s="206" t="s">
        <v>3983</v>
      </c>
      <c r="J1526" s="206" t="s">
        <v>3984</v>
      </c>
      <c r="K1526" s="207" t="s">
        <v>5172</v>
      </c>
      <c r="L1526" s="163" t="s">
        <v>5400</v>
      </c>
      <c r="M1526" s="157"/>
      <c r="N1526" s="165"/>
      <c r="O1526" s="169"/>
      <c r="P1526" s="169">
        <v>102587.84</v>
      </c>
      <c r="Q1526" s="166">
        <f t="shared" si="67"/>
        <v>0</v>
      </c>
      <c r="R1526" s="169"/>
      <c r="S1526" s="169"/>
      <c r="T1526" s="169"/>
      <c r="U1526" s="169"/>
      <c r="V1526" s="166">
        <f t="shared" si="66"/>
        <v>0</v>
      </c>
      <c r="W1526" s="205"/>
      <c r="X1526" s="167"/>
    </row>
    <row r="1527" spans="8:24" s="220" customFormat="1" ht="12.75" hidden="1" customHeight="1">
      <c r="H1527" s="168" t="s">
        <v>3944</v>
      </c>
      <c r="I1527" s="206" t="s">
        <v>3985</v>
      </c>
      <c r="J1527" s="206" t="s">
        <v>3986</v>
      </c>
      <c r="K1527" s="207" t="s">
        <v>5174</v>
      </c>
      <c r="L1527" s="163" t="s">
        <v>5400</v>
      </c>
      <c r="M1527" s="157"/>
      <c r="N1527" s="165"/>
      <c r="O1527" s="169"/>
      <c r="P1527" s="169">
        <v>118785.92</v>
      </c>
      <c r="Q1527" s="166">
        <f t="shared" si="67"/>
        <v>0</v>
      </c>
      <c r="R1527" s="169"/>
      <c r="S1527" s="169"/>
      <c r="T1527" s="169"/>
      <c r="U1527" s="169"/>
      <c r="V1527" s="166">
        <f t="shared" si="66"/>
        <v>0</v>
      </c>
      <c r="W1527" s="205"/>
      <c r="X1527" s="167"/>
    </row>
    <row r="1528" spans="8:24" s="220" customFormat="1" ht="12.75" hidden="1" customHeight="1">
      <c r="H1528" s="168" t="s">
        <v>3945</v>
      </c>
      <c r="I1528" s="206" t="s">
        <v>3987</v>
      </c>
      <c r="J1528" s="206" t="s">
        <v>3988</v>
      </c>
      <c r="K1528" s="207" t="s">
        <v>5175</v>
      </c>
      <c r="L1528" s="163" t="s">
        <v>5400</v>
      </c>
      <c r="M1528" s="157"/>
      <c r="N1528" s="165"/>
      <c r="O1528" s="169"/>
      <c r="P1528" s="169">
        <v>133634.16</v>
      </c>
      <c r="Q1528" s="166">
        <f t="shared" si="67"/>
        <v>0</v>
      </c>
      <c r="R1528" s="169"/>
      <c r="S1528" s="169"/>
      <c r="T1528" s="169"/>
      <c r="U1528" s="169"/>
      <c r="V1528" s="166">
        <f t="shared" si="66"/>
        <v>0</v>
      </c>
      <c r="W1528" s="205"/>
      <c r="X1528" s="167"/>
    </row>
    <row r="1529" spans="8:24" s="220" customFormat="1" ht="12.75" hidden="1" customHeight="1">
      <c r="H1529" s="168" t="s">
        <v>3946</v>
      </c>
      <c r="I1529" s="206" t="s">
        <v>3989</v>
      </c>
      <c r="J1529" s="206" t="s">
        <v>3990</v>
      </c>
      <c r="K1529" s="207" t="s">
        <v>5176</v>
      </c>
      <c r="L1529" s="163" t="s">
        <v>5400</v>
      </c>
      <c r="M1529" s="157"/>
      <c r="N1529" s="165"/>
      <c r="O1529" s="169"/>
      <c r="P1529" s="169">
        <v>133634.16</v>
      </c>
      <c r="Q1529" s="166">
        <f t="shared" si="67"/>
        <v>0</v>
      </c>
      <c r="R1529" s="169"/>
      <c r="S1529" s="169"/>
      <c r="T1529" s="169"/>
      <c r="U1529" s="169"/>
      <c r="V1529" s="166">
        <f t="shared" si="66"/>
        <v>0</v>
      </c>
      <c r="W1529" s="205"/>
      <c r="X1529" s="167"/>
    </row>
    <row r="1530" spans="8:24" s="220" customFormat="1" ht="12.75" hidden="1" customHeight="1">
      <c r="H1530" s="168" t="s">
        <v>3947</v>
      </c>
      <c r="I1530" s="206" t="s">
        <v>3991</v>
      </c>
      <c r="J1530" s="206" t="s">
        <v>3992</v>
      </c>
      <c r="K1530" s="207" t="s">
        <v>5177</v>
      </c>
      <c r="L1530" s="163" t="s">
        <v>5400</v>
      </c>
      <c r="M1530" s="157"/>
      <c r="N1530" s="165"/>
      <c r="O1530" s="169"/>
      <c r="P1530" s="169">
        <v>143083.04</v>
      </c>
      <c r="Q1530" s="166">
        <f t="shared" si="67"/>
        <v>0</v>
      </c>
      <c r="R1530" s="169"/>
      <c r="S1530" s="169"/>
      <c r="T1530" s="169"/>
      <c r="U1530" s="169"/>
      <c r="V1530" s="166">
        <f t="shared" si="66"/>
        <v>0</v>
      </c>
      <c r="W1530" s="205"/>
      <c r="X1530" s="167"/>
    </row>
    <row r="1531" spans="8:24" s="220" customFormat="1" ht="12.75" hidden="1" customHeight="1">
      <c r="H1531" s="168" t="s">
        <v>3948</v>
      </c>
      <c r="I1531" s="206" t="s">
        <v>3993</v>
      </c>
      <c r="J1531" s="206" t="s">
        <v>3994</v>
      </c>
      <c r="K1531" s="207" t="s">
        <v>5178</v>
      </c>
      <c r="L1531" s="163" t="s">
        <v>5400</v>
      </c>
      <c r="M1531" s="157"/>
      <c r="N1531" s="165"/>
      <c r="O1531" s="169"/>
      <c r="P1531" s="169">
        <v>167380.16</v>
      </c>
      <c r="Q1531" s="166">
        <f t="shared" si="67"/>
        <v>0</v>
      </c>
      <c r="R1531" s="169"/>
      <c r="S1531" s="169"/>
      <c r="T1531" s="169"/>
      <c r="U1531" s="169"/>
      <c r="V1531" s="166">
        <f t="shared" si="66"/>
        <v>0</v>
      </c>
      <c r="W1531" s="205"/>
      <c r="X1531" s="167"/>
    </row>
    <row r="1532" spans="8:24" s="220" customFormat="1" ht="12.75" hidden="1" customHeight="1">
      <c r="H1532" s="168" t="s">
        <v>3949</v>
      </c>
      <c r="I1532" s="206" t="s">
        <v>3995</v>
      </c>
      <c r="J1532" s="206" t="s">
        <v>3996</v>
      </c>
      <c r="K1532" s="207" t="s">
        <v>5179</v>
      </c>
      <c r="L1532" s="163" t="s">
        <v>5400</v>
      </c>
      <c r="M1532" s="157"/>
      <c r="N1532" s="165"/>
      <c r="O1532" s="169"/>
      <c r="P1532" s="169">
        <v>180878.56</v>
      </c>
      <c r="Q1532" s="166">
        <f t="shared" si="67"/>
        <v>0</v>
      </c>
      <c r="R1532" s="169"/>
      <c r="S1532" s="169"/>
      <c r="T1532" s="169"/>
      <c r="U1532" s="169"/>
      <c r="V1532" s="166">
        <f t="shared" si="66"/>
        <v>0</v>
      </c>
      <c r="W1532" s="205"/>
      <c r="X1532" s="167"/>
    </row>
    <row r="1533" spans="8:24" s="220" customFormat="1" ht="12.75" hidden="1" customHeight="1">
      <c r="H1533" s="168" t="s">
        <v>3950</v>
      </c>
      <c r="I1533" s="206" t="s">
        <v>3997</v>
      </c>
      <c r="J1533" s="206" t="s">
        <v>3998</v>
      </c>
      <c r="K1533" s="207" t="s">
        <v>5180</v>
      </c>
      <c r="L1533" s="163" t="s">
        <v>5400</v>
      </c>
      <c r="M1533" s="157"/>
      <c r="N1533" s="165"/>
      <c r="O1533" s="169"/>
      <c r="P1533" s="169">
        <v>194376.95999999999</v>
      </c>
      <c r="Q1533" s="166">
        <f t="shared" si="67"/>
        <v>0</v>
      </c>
      <c r="R1533" s="169"/>
      <c r="S1533" s="169"/>
      <c r="T1533" s="169"/>
      <c r="U1533" s="169"/>
      <c r="V1533" s="166">
        <f t="shared" si="66"/>
        <v>0</v>
      </c>
      <c r="W1533" s="205"/>
      <c r="X1533" s="167"/>
    </row>
    <row r="1534" spans="8:24" s="220" customFormat="1" ht="12.75" hidden="1" customHeight="1">
      <c r="H1534" s="168" t="s">
        <v>3951</v>
      </c>
      <c r="I1534" s="206" t="s">
        <v>3999</v>
      </c>
      <c r="J1534" s="206" t="s">
        <v>4000</v>
      </c>
      <c r="K1534" s="207" t="s">
        <v>5172</v>
      </c>
      <c r="L1534" s="163" t="s">
        <v>5400</v>
      </c>
      <c r="M1534" s="157"/>
      <c r="N1534" s="165"/>
      <c r="O1534" s="169"/>
      <c r="P1534" s="169">
        <v>126884.96</v>
      </c>
      <c r="Q1534" s="166">
        <f t="shared" si="67"/>
        <v>0</v>
      </c>
      <c r="R1534" s="169"/>
      <c r="S1534" s="169"/>
      <c r="T1534" s="169"/>
      <c r="U1534" s="169"/>
      <c r="V1534" s="166">
        <f t="shared" si="66"/>
        <v>0</v>
      </c>
      <c r="W1534" s="205"/>
      <c r="X1534" s="167"/>
    </row>
    <row r="1535" spans="8:24" s="220" customFormat="1" ht="12.75" hidden="1" customHeight="1">
      <c r="H1535" s="168" t="s">
        <v>3952</v>
      </c>
      <c r="I1535" s="206" t="s">
        <v>4001</v>
      </c>
      <c r="J1535" s="206" t="s">
        <v>4002</v>
      </c>
      <c r="K1535" s="207" t="s">
        <v>5174</v>
      </c>
      <c r="L1535" s="163" t="s">
        <v>5400</v>
      </c>
      <c r="M1535" s="157"/>
      <c r="N1535" s="165"/>
      <c r="O1535" s="169"/>
      <c r="P1535" s="169">
        <v>145782.72</v>
      </c>
      <c r="Q1535" s="166">
        <f t="shared" si="67"/>
        <v>0</v>
      </c>
      <c r="R1535" s="169"/>
      <c r="S1535" s="169"/>
      <c r="T1535" s="169"/>
      <c r="U1535" s="169"/>
      <c r="V1535" s="166">
        <f t="shared" si="66"/>
        <v>0</v>
      </c>
      <c r="W1535" s="205"/>
      <c r="X1535" s="167"/>
    </row>
    <row r="1536" spans="8:24" s="220" customFormat="1" ht="12.75" hidden="1" customHeight="1">
      <c r="H1536" s="168" t="s">
        <v>3953</v>
      </c>
      <c r="I1536" s="206" t="s">
        <v>4003</v>
      </c>
      <c r="J1536" s="206" t="s">
        <v>4004</v>
      </c>
      <c r="K1536" s="207" t="s">
        <v>5175</v>
      </c>
      <c r="L1536" s="163" t="s">
        <v>5400</v>
      </c>
      <c r="M1536" s="157"/>
      <c r="N1536" s="165"/>
      <c r="O1536" s="169"/>
      <c r="P1536" s="169">
        <v>164680.48000000001</v>
      </c>
      <c r="Q1536" s="166">
        <f t="shared" si="67"/>
        <v>0</v>
      </c>
      <c r="R1536" s="169"/>
      <c r="S1536" s="169"/>
      <c r="T1536" s="169"/>
      <c r="U1536" s="169"/>
      <c r="V1536" s="166">
        <f t="shared" si="66"/>
        <v>0</v>
      </c>
      <c r="W1536" s="205"/>
      <c r="X1536" s="167"/>
    </row>
    <row r="1537" spans="8:24" s="220" customFormat="1" ht="12.75" hidden="1" customHeight="1">
      <c r="H1537" s="168" t="s">
        <v>3954</v>
      </c>
      <c r="I1537" s="206" t="s">
        <v>4005</v>
      </c>
      <c r="J1537" s="206" t="s">
        <v>4006</v>
      </c>
      <c r="K1537" s="207" t="s">
        <v>5176</v>
      </c>
      <c r="L1537" s="163" t="s">
        <v>5400</v>
      </c>
      <c r="M1537" s="157"/>
      <c r="N1537" s="165"/>
      <c r="O1537" s="169"/>
      <c r="P1537" s="169">
        <v>164680.48000000001</v>
      </c>
      <c r="Q1537" s="166">
        <f t="shared" si="67"/>
        <v>0</v>
      </c>
      <c r="R1537" s="169"/>
      <c r="S1537" s="169"/>
      <c r="T1537" s="169"/>
      <c r="U1537" s="169"/>
      <c r="V1537" s="166">
        <f t="shared" si="66"/>
        <v>0</v>
      </c>
      <c r="W1537" s="205"/>
      <c r="X1537" s="167"/>
    </row>
    <row r="1538" spans="8:24" s="220" customFormat="1" ht="12.75" hidden="1" customHeight="1">
      <c r="H1538" s="168" t="s">
        <v>3955</v>
      </c>
      <c r="I1538" s="206" t="s">
        <v>4007</v>
      </c>
      <c r="J1538" s="206" t="s">
        <v>4008</v>
      </c>
      <c r="K1538" s="207" t="s">
        <v>5177</v>
      </c>
      <c r="L1538" s="163" t="s">
        <v>5400</v>
      </c>
      <c r="M1538" s="157"/>
      <c r="N1538" s="165"/>
      <c r="O1538" s="169"/>
      <c r="P1538" s="169">
        <v>175479.2</v>
      </c>
      <c r="Q1538" s="166">
        <f t="shared" si="67"/>
        <v>0</v>
      </c>
      <c r="R1538" s="169"/>
      <c r="S1538" s="169"/>
      <c r="T1538" s="169"/>
      <c r="U1538" s="169"/>
      <c r="V1538" s="166">
        <f t="shared" si="66"/>
        <v>0</v>
      </c>
      <c r="W1538" s="205"/>
      <c r="X1538" s="167"/>
    </row>
    <row r="1539" spans="8:24" s="220" customFormat="1" ht="12.75" hidden="1" customHeight="1">
      <c r="H1539" s="168" t="s">
        <v>4009</v>
      </c>
      <c r="I1539" s="206" t="s">
        <v>936</v>
      </c>
      <c r="J1539" s="206" t="s">
        <v>4015</v>
      </c>
      <c r="K1539" s="207" t="s">
        <v>5279</v>
      </c>
      <c r="L1539" s="207" t="s">
        <v>5</v>
      </c>
      <c r="M1539" s="157"/>
      <c r="N1539" s="165"/>
      <c r="O1539" s="169"/>
      <c r="P1539" s="169">
        <v>40495.199999999997</v>
      </c>
      <c r="Q1539" s="166">
        <f t="shared" si="67"/>
        <v>0</v>
      </c>
      <c r="R1539" s="169"/>
      <c r="S1539" s="169"/>
      <c r="T1539" s="169"/>
      <c r="U1539" s="169"/>
      <c r="V1539" s="166">
        <f t="shared" si="66"/>
        <v>0</v>
      </c>
      <c r="W1539" s="205"/>
      <c r="X1539" s="167"/>
    </row>
    <row r="1540" spans="8:24" s="220" customFormat="1" ht="12.75" hidden="1" customHeight="1">
      <c r="H1540" s="168" t="s">
        <v>4010</v>
      </c>
      <c r="I1540" s="206" t="s">
        <v>937</v>
      </c>
      <c r="J1540" s="206" t="s">
        <v>4016</v>
      </c>
      <c r="K1540" s="207" t="s">
        <v>5280</v>
      </c>
      <c r="L1540" s="207" t="s">
        <v>5</v>
      </c>
      <c r="M1540" s="157"/>
      <c r="N1540" s="165"/>
      <c r="O1540" s="169"/>
      <c r="P1540" s="169">
        <v>53993.599999999999</v>
      </c>
      <c r="Q1540" s="166">
        <f t="shared" si="67"/>
        <v>0</v>
      </c>
      <c r="R1540" s="169"/>
      <c r="S1540" s="169"/>
      <c r="T1540" s="169"/>
      <c r="U1540" s="169"/>
      <c r="V1540" s="166">
        <f t="shared" si="66"/>
        <v>0</v>
      </c>
      <c r="W1540" s="205"/>
      <c r="X1540" s="167"/>
    </row>
    <row r="1541" spans="8:24" s="220" customFormat="1" ht="12.75" hidden="1" customHeight="1">
      <c r="H1541" s="168" t="s">
        <v>4011</v>
      </c>
      <c r="I1541" s="206" t="s">
        <v>934</v>
      </c>
      <c r="J1541" s="206" t="s">
        <v>4017</v>
      </c>
      <c r="K1541" s="207" t="s">
        <v>5281</v>
      </c>
      <c r="L1541" s="207" t="s">
        <v>5</v>
      </c>
      <c r="M1541" s="157"/>
      <c r="N1541" s="165"/>
      <c r="O1541" s="169"/>
      <c r="P1541" s="169">
        <v>80990.399999999994</v>
      </c>
      <c r="Q1541" s="166">
        <f t="shared" si="67"/>
        <v>0</v>
      </c>
      <c r="R1541" s="169"/>
      <c r="S1541" s="169"/>
      <c r="T1541" s="169"/>
      <c r="U1541" s="169"/>
      <c r="V1541" s="166">
        <f t="shared" si="66"/>
        <v>0</v>
      </c>
      <c r="W1541" s="205"/>
      <c r="X1541" s="167"/>
    </row>
    <row r="1542" spans="8:24" s="220" customFormat="1" ht="12.75" hidden="1" customHeight="1">
      <c r="H1542" s="168" t="s">
        <v>4012</v>
      </c>
      <c r="I1542" s="206" t="s">
        <v>935</v>
      </c>
      <c r="J1542" s="206" t="s">
        <v>4018</v>
      </c>
      <c r="K1542" s="207" t="s">
        <v>5282</v>
      </c>
      <c r="L1542" s="207" t="s">
        <v>5</v>
      </c>
      <c r="M1542" s="157"/>
      <c r="N1542" s="165"/>
      <c r="O1542" s="169"/>
      <c r="P1542" s="169">
        <v>107987.2</v>
      </c>
      <c r="Q1542" s="166">
        <f t="shared" si="67"/>
        <v>0</v>
      </c>
      <c r="R1542" s="169"/>
      <c r="S1542" s="169"/>
      <c r="T1542" s="169"/>
      <c r="U1542" s="169"/>
      <c r="V1542" s="166">
        <f t="shared" ref="V1542:V1605" si="68">SUM(O1542+Q1542)+S1542+U1542</f>
        <v>0</v>
      </c>
      <c r="W1542" s="205"/>
      <c r="X1542" s="167"/>
    </row>
    <row r="1543" spans="8:24" s="220" customFormat="1" ht="12.75" hidden="1" customHeight="1">
      <c r="H1543" s="168" t="s">
        <v>4013</v>
      </c>
      <c r="I1543" s="206" t="s">
        <v>930</v>
      </c>
      <c r="J1543" s="206" t="s">
        <v>4019</v>
      </c>
      <c r="K1543" s="207" t="s">
        <v>5283</v>
      </c>
      <c r="L1543" s="207" t="s">
        <v>5</v>
      </c>
      <c r="M1543" s="157"/>
      <c r="N1543" s="165"/>
      <c r="O1543" s="169"/>
      <c r="P1543" s="169">
        <v>121485.6</v>
      </c>
      <c r="Q1543" s="166">
        <f t="shared" si="67"/>
        <v>0</v>
      </c>
      <c r="R1543" s="169"/>
      <c r="S1543" s="169"/>
      <c r="T1543" s="169"/>
      <c r="U1543" s="169"/>
      <c r="V1543" s="166">
        <f t="shared" si="68"/>
        <v>0</v>
      </c>
      <c r="W1543" s="205"/>
      <c r="X1543" s="167"/>
    </row>
    <row r="1544" spans="8:24" s="220" customFormat="1" ht="12.75" hidden="1" customHeight="1">
      <c r="H1544" s="168" t="s">
        <v>4014</v>
      </c>
      <c r="I1544" s="206" t="s">
        <v>931</v>
      </c>
      <c r="J1544" s="206" t="s">
        <v>4020</v>
      </c>
      <c r="K1544" s="207" t="s">
        <v>5284</v>
      </c>
      <c r="L1544" s="207" t="s">
        <v>5</v>
      </c>
      <c r="M1544" s="157"/>
      <c r="N1544" s="165"/>
      <c r="O1544" s="169"/>
      <c r="P1544" s="169">
        <v>134984</v>
      </c>
      <c r="Q1544" s="166">
        <f t="shared" si="67"/>
        <v>0</v>
      </c>
      <c r="R1544" s="169"/>
      <c r="S1544" s="169"/>
      <c r="T1544" s="169"/>
      <c r="U1544" s="169"/>
      <c r="V1544" s="166">
        <f t="shared" si="68"/>
        <v>0</v>
      </c>
      <c r="W1544" s="205"/>
      <c r="X1544" s="167"/>
    </row>
    <row r="1545" spans="8:24" s="220" customFormat="1" ht="12.75" hidden="1" customHeight="1">
      <c r="H1545" s="168" t="s">
        <v>4021</v>
      </c>
      <c r="I1545" s="206" t="s">
        <v>4053</v>
      </c>
      <c r="J1545" s="206" t="s">
        <v>4054</v>
      </c>
      <c r="K1545" s="207" t="s">
        <v>5181</v>
      </c>
      <c r="L1545" s="207" t="s">
        <v>5</v>
      </c>
      <c r="M1545" s="157"/>
      <c r="N1545" s="165"/>
      <c r="O1545" s="169"/>
      <c r="P1545" s="169">
        <v>10798.72</v>
      </c>
      <c r="Q1545" s="166">
        <f t="shared" si="67"/>
        <v>0</v>
      </c>
      <c r="R1545" s="169"/>
      <c r="S1545" s="169"/>
      <c r="T1545" s="169"/>
      <c r="U1545" s="169"/>
      <c r="V1545" s="166">
        <f t="shared" si="68"/>
        <v>0</v>
      </c>
      <c r="W1545" s="205"/>
      <c r="X1545" s="167"/>
    </row>
    <row r="1546" spans="8:24" s="220" customFormat="1" ht="12.75" hidden="1" customHeight="1">
      <c r="H1546" s="168" t="s">
        <v>4022</v>
      </c>
      <c r="I1546" s="206" t="s">
        <v>968</v>
      </c>
      <c r="J1546" s="206" t="s">
        <v>4055</v>
      </c>
      <c r="K1546" s="207" t="s">
        <v>5182</v>
      </c>
      <c r="L1546" s="207" t="s">
        <v>5</v>
      </c>
      <c r="M1546" s="157"/>
      <c r="N1546" s="165"/>
      <c r="O1546" s="169"/>
      <c r="P1546" s="169">
        <v>13498.4</v>
      </c>
      <c r="Q1546" s="166">
        <f t="shared" si="67"/>
        <v>0</v>
      </c>
      <c r="R1546" s="169"/>
      <c r="S1546" s="169"/>
      <c r="T1546" s="169"/>
      <c r="U1546" s="169"/>
      <c r="V1546" s="166">
        <f t="shared" si="68"/>
        <v>0</v>
      </c>
      <c r="W1546" s="205"/>
      <c r="X1546" s="167"/>
    </row>
    <row r="1547" spans="8:24" s="220" customFormat="1" ht="12.75" hidden="1" customHeight="1">
      <c r="H1547" s="168" t="s">
        <v>4023</v>
      </c>
      <c r="I1547" s="206" t="s">
        <v>969</v>
      </c>
      <c r="J1547" s="206" t="s">
        <v>4056</v>
      </c>
      <c r="K1547" s="207" t="s">
        <v>5183</v>
      </c>
      <c r="L1547" s="207" t="s">
        <v>5</v>
      </c>
      <c r="M1547" s="157"/>
      <c r="N1547" s="165"/>
      <c r="O1547" s="169"/>
      <c r="P1547" s="169">
        <v>16198.08</v>
      </c>
      <c r="Q1547" s="166">
        <f t="shared" si="67"/>
        <v>0</v>
      </c>
      <c r="R1547" s="169"/>
      <c r="S1547" s="169"/>
      <c r="T1547" s="169"/>
      <c r="U1547" s="169"/>
      <c r="V1547" s="166">
        <f t="shared" si="68"/>
        <v>0</v>
      </c>
      <c r="W1547" s="205"/>
      <c r="X1547" s="167"/>
    </row>
    <row r="1548" spans="8:24" s="220" customFormat="1" ht="12.75" hidden="1" customHeight="1">
      <c r="H1548" s="168" t="s">
        <v>4024</v>
      </c>
      <c r="I1548" s="206" t="s">
        <v>970</v>
      </c>
      <c r="J1548" s="206" t="s">
        <v>4057</v>
      </c>
      <c r="K1548" s="207" t="s">
        <v>5184</v>
      </c>
      <c r="L1548" s="207" t="s">
        <v>5</v>
      </c>
      <c r="M1548" s="157"/>
      <c r="N1548" s="165"/>
      <c r="O1548" s="169"/>
      <c r="P1548" s="169">
        <v>21597.439999999999</v>
      </c>
      <c r="Q1548" s="166">
        <f t="shared" si="67"/>
        <v>0</v>
      </c>
      <c r="R1548" s="169"/>
      <c r="S1548" s="169"/>
      <c r="T1548" s="169"/>
      <c r="U1548" s="169"/>
      <c r="V1548" s="166">
        <f t="shared" si="68"/>
        <v>0</v>
      </c>
      <c r="W1548" s="205"/>
      <c r="X1548" s="167"/>
    </row>
    <row r="1549" spans="8:24" s="220" customFormat="1" ht="12.75" hidden="1" customHeight="1">
      <c r="H1549" s="168" t="s">
        <v>4025</v>
      </c>
      <c r="I1549" s="206" t="s">
        <v>971</v>
      </c>
      <c r="J1549" s="206" t="s">
        <v>4058</v>
      </c>
      <c r="K1549" s="207" t="s">
        <v>5185</v>
      </c>
      <c r="L1549" s="207" t="s">
        <v>5</v>
      </c>
      <c r="M1549" s="157"/>
      <c r="N1549" s="165"/>
      <c r="O1549" s="169"/>
      <c r="P1549" s="169">
        <v>26996.799999999999</v>
      </c>
      <c r="Q1549" s="166">
        <f t="shared" si="67"/>
        <v>0</v>
      </c>
      <c r="R1549" s="169"/>
      <c r="S1549" s="169"/>
      <c r="T1549" s="169"/>
      <c r="U1549" s="169"/>
      <c r="V1549" s="166">
        <f t="shared" si="68"/>
        <v>0</v>
      </c>
      <c r="W1549" s="205"/>
      <c r="X1549" s="167"/>
    </row>
    <row r="1550" spans="8:24" s="220" customFormat="1" ht="12.75" hidden="1" customHeight="1">
      <c r="H1550" s="168" t="s">
        <v>4026</v>
      </c>
      <c r="I1550" s="206" t="s">
        <v>972</v>
      </c>
      <c r="J1550" s="206" t="s">
        <v>4059</v>
      </c>
      <c r="K1550" s="207" t="s">
        <v>5186</v>
      </c>
      <c r="L1550" s="207" t="s">
        <v>5</v>
      </c>
      <c r="M1550" s="157"/>
      <c r="N1550" s="165"/>
      <c r="O1550" s="169"/>
      <c r="P1550" s="169">
        <v>35095.839999999997</v>
      </c>
      <c r="Q1550" s="166">
        <f t="shared" si="67"/>
        <v>0</v>
      </c>
      <c r="R1550" s="169"/>
      <c r="S1550" s="169"/>
      <c r="T1550" s="169"/>
      <c r="U1550" s="169"/>
      <c r="V1550" s="166">
        <f t="shared" si="68"/>
        <v>0</v>
      </c>
      <c r="W1550" s="205"/>
      <c r="X1550" s="167"/>
    </row>
    <row r="1551" spans="8:24" s="220" customFormat="1" ht="12.75" hidden="1" customHeight="1">
      <c r="H1551" s="168" t="s">
        <v>4027</v>
      </c>
      <c r="I1551" s="206" t="s">
        <v>973</v>
      </c>
      <c r="J1551" s="206" t="s">
        <v>4060</v>
      </c>
      <c r="K1551" s="207" t="s">
        <v>5187</v>
      </c>
      <c r="L1551" s="207" t="s">
        <v>5</v>
      </c>
      <c r="M1551" s="157"/>
      <c r="N1551" s="165"/>
      <c r="O1551" s="169"/>
      <c r="P1551" s="169">
        <v>51293.919999999998</v>
      </c>
      <c r="Q1551" s="166">
        <f t="shared" si="67"/>
        <v>0</v>
      </c>
      <c r="R1551" s="169"/>
      <c r="S1551" s="169"/>
      <c r="T1551" s="169"/>
      <c r="U1551" s="169"/>
      <c r="V1551" s="166">
        <f t="shared" si="68"/>
        <v>0</v>
      </c>
      <c r="W1551" s="205"/>
      <c r="X1551" s="167"/>
    </row>
    <row r="1552" spans="8:24" s="220" customFormat="1" ht="12.75" hidden="1" customHeight="1">
      <c r="H1552" s="168" t="s">
        <v>4028</v>
      </c>
      <c r="I1552" s="206" t="s">
        <v>974</v>
      </c>
      <c r="J1552" s="206" t="s">
        <v>4061</v>
      </c>
      <c r="K1552" s="207" t="s">
        <v>5188</v>
      </c>
      <c r="L1552" s="207" t="s">
        <v>5</v>
      </c>
      <c r="M1552" s="157"/>
      <c r="N1552" s="165"/>
      <c r="O1552" s="169"/>
      <c r="P1552" s="169">
        <v>75591.039999999994</v>
      </c>
      <c r="Q1552" s="166">
        <f t="shared" si="67"/>
        <v>0</v>
      </c>
      <c r="R1552" s="169"/>
      <c r="S1552" s="169"/>
      <c r="T1552" s="169"/>
      <c r="U1552" s="169"/>
      <c r="V1552" s="166">
        <f t="shared" si="68"/>
        <v>0</v>
      </c>
      <c r="W1552" s="205"/>
      <c r="X1552" s="167"/>
    </row>
    <row r="1553" spans="8:24" s="220" customFormat="1" ht="12.75" hidden="1" customHeight="1">
      <c r="H1553" s="168" t="s">
        <v>4029</v>
      </c>
      <c r="I1553" s="206" t="s">
        <v>975</v>
      </c>
      <c r="J1553" s="206" t="s">
        <v>4062</v>
      </c>
      <c r="K1553" s="207" t="s">
        <v>5189</v>
      </c>
      <c r="L1553" s="207" t="s">
        <v>5</v>
      </c>
      <c r="M1553" s="157"/>
      <c r="N1553" s="165"/>
      <c r="O1553" s="169"/>
      <c r="P1553" s="169">
        <v>99888.16</v>
      </c>
      <c r="Q1553" s="166">
        <f t="shared" si="67"/>
        <v>0</v>
      </c>
      <c r="R1553" s="169"/>
      <c r="S1553" s="169"/>
      <c r="T1553" s="169"/>
      <c r="U1553" s="169"/>
      <c r="V1553" s="166">
        <f t="shared" si="68"/>
        <v>0</v>
      </c>
      <c r="W1553" s="205"/>
      <c r="X1553" s="167"/>
    </row>
    <row r="1554" spans="8:24" s="220" customFormat="1" ht="12.75" hidden="1" customHeight="1">
      <c r="H1554" s="168" t="s">
        <v>4030</v>
      </c>
      <c r="I1554" s="206" t="s">
        <v>4063</v>
      </c>
      <c r="J1554" s="206" t="s">
        <v>4064</v>
      </c>
      <c r="K1554" s="207" t="s">
        <v>5190</v>
      </c>
      <c r="L1554" s="207" t="s">
        <v>5</v>
      </c>
      <c r="M1554" s="157"/>
      <c r="N1554" s="165"/>
      <c r="O1554" s="169"/>
      <c r="P1554" s="169">
        <v>121485.6</v>
      </c>
      <c r="Q1554" s="166">
        <f t="shared" si="67"/>
        <v>0</v>
      </c>
      <c r="R1554" s="169"/>
      <c r="S1554" s="169"/>
      <c r="T1554" s="169"/>
      <c r="U1554" s="169"/>
      <c r="V1554" s="166">
        <f t="shared" si="68"/>
        <v>0</v>
      </c>
      <c r="W1554" s="205"/>
      <c r="X1554" s="167"/>
    </row>
    <row r="1555" spans="8:24" s="220" customFormat="1" ht="12.75" hidden="1" customHeight="1">
      <c r="H1555" s="168" t="s">
        <v>4031</v>
      </c>
      <c r="I1555" s="206" t="s">
        <v>976</v>
      </c>
      <c r="J1555" s="206" t="s">
        <v>4065</v>
      </c>
      <c r="K1555" s="207" t="s">
        <v>5191</v>
      </c>
      <c r="L1555" s="207" t="s">
        <v>5</v>
      </c>
      <c r="M1555" s="157"/>
      <c r="N1555" s="165"/>
      <c r="O1555" s="169"/>
      <c r="P1555" s="169">
        <v>124185.28</v>
      </c>
      <c r="Q1555" s="166">
        <f t="shared" si="67"/>
        <v>0</v>
      </c>
      <c r="R1555" s="169"/>
      <c r="S1555" s="169"/>
      <c r="T1555" s="169"/>
      <c r="U1555" s="169"/>
      <c r="V1555" s="166">
        <f t="shared" si="68"/>
        <v>0</v>
      </c>
      <c r="W1555" s="205"/>
      <c r="X1555" s="167"/>
    </row>
    <row r="1556" spans="8:24" s="220" customFormat="1" ht="12.75" hidden="1" customHeight="1">
      <c r="H1556" s="168" t="s">
        <v>4032</v>
      </c>
      <c r="I1556" s="206" t="s">
        <v>4066</v>
      </c>
      <c r="J1556" s="206" t="s">
        <v>4067</v>
      </c>
      <c r="K1556" s="207" t="s">
        <v>5192</v>
      </c>
      <c r="L1556" s="207" t="s">
        <v>5</v>
      </c>
      <c r="M1556" s="157"/>
      <c r="N1556" s="165"/>
      <c r="O1556" s="169"/>
      <c r="P1556" s="169">
        <v>137683.68</v>
      </c>
      <c r="Q1556" s="166">
        <f t="shared" si="67"/>
        <v>0</v>
      </c>
      <c r="R1556" s="169"/>
      <c r="S1556" s="169"/>
      <c r="T1556" s="169"/>
      <c r="U1556" s="169"/>
      <c r="V1556" s="166">
        <f t="shared" si="68"/>
        <v>0</v>
      </c>
      <c r="W1556" s="205"/>
      <c r="X1556" s="167"/>
    </row>
    <row r="1557" spans="8:24" s="220" customFormat="1" ht="12.75" hidden="1" customHeight="1">
      <c r="H1557" s="168" t="s">
        <v>4033</v>
      </c>
      <c r="I1557" s="206" t="s">
        <v>977</v>
      </c>
      <c r="J1557" s="206" t="s">
        <v>4068</v>
      </c>
      <c r="K1557" s="207" t="s">
        <v>5182</v>
      </c>
      <c r="L1557" s="207" t="s">
        <v>5</v>
      </c>
      <c r="M1557" s="157"/>
      <c r="N1557" s="165"/>
      <c r="O1557" s="169"/>
      <c r="P1557" s="169">
        <v>21597.439999999999</v>
      </c>
      <c r="Q1557" s="166">
        <f t="shared" si="67"/>
        <v>0</v>
      </c>
      <c r="R1557" s="169"/>
      <c r="S1557" s="169"/>
      <c r="T1557" s="169"/>
      <c r="U1557" s="169"/>
      <c r="V1557" s="166">
        <f t="shared" si="68"/>
        <v>0</v>
      </c>
      <c r="W1557" s="205"/>
      <c r="X1557" s="167"/>
    </row>
    <row r="1558" spans="8:24" s="220" customFormat="1" ht="12.75" hidden="1" customHeight="1">
      <c r="H1558" s="168" t="s">
        <v>4034</v>
      </c>
      <c r="I1558" s="206" t="s">
        <v>978</v>
      </c>
      <c r="J1558" s="206" t="s">
        <v>4069</v>
      </c>
      <c r="K1558" s="207" t="s">
        <v>5183</v>
      </c>
      <c r="L1558" s="207" t="s">
        <v>5</v>
      </c>
      <c r="M1558" s="157"/>
      <c r="N1558" s="165"/>
      <c r="O1558" s="169"/>
      <c r="P1558" s="169">
        <v>29696.48</v>
      </c>
      <c r="Q1558" s="166">
        <f t="shared" si="67"/>
        <v>0</v>
      </c>
      <c r="R1558" s="169"/>
      <c r="S1558" s="169"/>
      <c r="T1558" s="169"/>
      <c r="U1558" s="169"/>
      <c r="V1558" s="166">
        <f t="shared" si="68"/>
        <v>0</v>
      </c>
      <c r="W1558" s="205"/>
      <c r="X1558" s="167"/>
    </row>
    <row r="1559" spans="8:24" s="220" customFormat="1" ht="12.75" hidden="1" customHeight="1">
      <c r="H1559" s="168" t="s">
        <v>4035</v>
      </c>
      <c r="I1559" s="206" t="s">
        <v>979</v>
      </c>
      <c r="J1559" s="206" t="s">
        <v>4070</v>
      </c>
      <c r="K1559" s="207" t="s">
        <v>5184</v>
      </c>
      <c r="L1559" s="207" t="s">
        <v>5</v>
      </c>
      <c r="M1559" s="157"/>
      <c r="N1559" s="165"/>
      <c r="O1559" s="169"/>
      <c r="P1559" s="169">
        <v>37795.519999999997</v>
      </c>
      <c r="Q1559" s="166">
        <f t="shared" si="67"/>
        <v>0</v>
      </c>
      <c r="R1559" s="169"/>
      <c r="S1559" s="169"/>
      <c r="T1559" s="169"/>
      <c r="U1559" s="169"/>
      <c r="V1559" s="166">
        <f t="shared" si="68"/>
        <v>0</v>
      </c>
      <c r="W1559" s="205"/>
      <c r="X1559" s="167"/>
    </row>
    <row r="1560" spans="8:24" s="220" customFormat="1" ht="12.75" hidden="1" customHeight="1">
      <c r="H1560" s="168" t="s">
        <v>4036</v>
      </c>
      <c r="I1560" s="206" t="s">
        <v>980</v>
      </c>
      <c r="J1560" s="206" t="s">
        <v>4071</v>
      </c>
      <c r="K1560" s="207" t="s">
        <v>5185</v>
      </c>
      <c r="L1560" s="207" t="s">
        <v>5</v>
      </c>
      <c r="M1560" s="157"/>
      <c r="N1560" s="165"/>
      <c r="O1560" s="169"/>
      <c r="P1560" s="169">
        <v>53993.599999999999</v>
      </c>
      <c r="Q1560" s="166">
        <f t="shared" si="67"/>
        <v>0</v>
      </c>
      <c r="R1560" s="169"/>
      <c r="S1560" s="169"/>
      <c r="T1560" s="169"/>
      <c r="U1560" s="169"/>
      <c r="V1560" s="166">
        <f t="shared" si="68"/>
        <v>0</v>
      </c>
      <c r="W1560" s="205"/>
      <c r="X1560" s="167"/>
    </row>
    <row r="1561" spans="8:24" s="220" customFormat="1" ht="12.75" hidden="1" customHeight="1">
      <c r="H1561" s="168" t="s">
        <v>4037</v>
      </c>
      <c r="I1561" s="206" t="s">
        <v>981</v>
      </c>
      <c r="J1561" s="206" t="s">
        <v>4072</v>
      </c>
      <c r="K1561" s="207" t="s">
        <v>5186</v>
      </c>
      <c r="L1561" s="207" t="s">
        <v>5</v>
      </c>
      <c r="M1561" s="157"/>
      <c r="N1561" s="165"/>
      <c r="O1561" s="169"/>
      <c r="P1561" s="169">
        <v>67492</v>
      </c>
      <c r="Q1561" s="166">
        <f t="shared" si="67"/>
        <v>0</v>
      </c>
      <c r="R1561" s="169"/>
      <c r="S1561" s="169"/>
      <c r="T1561" s="169"/>
      <c r="U1561" s="169"/>
      <c r="V1561" s="166">
        <f t="shared" si="68"/>
        <v>0</v>
      </c>
      <c r="W1561" s="205"/>
      <c r="X1561" s="167"/>
    </row>
    <row r="1562" spans="8:24" s="220" customFormat="1" ht="12.75" hidden="1" customHeight="1">
      <c r="H1562" s="168" t="s">
        <v>4038</v>
      </c>
      <c r="I1562" s="206" t="s">
        <v>982</v>
      </c>
      <c r="J1562" s="206" t="s">
        <v>4073</v>
      </c>
      <c r="K1562" s="207" t="s">
        <v>5187</v>
      </c>
      <c r="L1562" s="207" t="s">
        <v>5</v>
      </c>
      <c r="M1562" s="157"/>
      <c r="N1562" s="165"/>
      <c r="O1562" s="169"/>
      <c r="P1562" s="169">
        <v>91789.119999999995</v>
      </c>
      <c r="Q1562" s="166">
        <f t="shared" si="67"/>
        <v>0</v>
      </c>
      <c r="R1562" s="169"/>
      <c r="S1562" s="169"/>
      <c r="T1562" s="169"/>
      <c r="U1562" s="169"/>
      <c r="V1562" s="166">
        <f t="shared" si="68"/>
        <v>0</v>
      </c>
      <c r="W1562" s="205"/>
      <c r="X1562" s="167"/>
    </row>
    <row r="1563" spans="8:24" s="220" customFormat="1" ht="12.75" hidden="1" customHeight="1">
      <c r="H1563" s="168" t="s">
        <v>4039</v>
      </c>
      <c r="I1563" s="206" t="s">
        <v>983</v>
      </c>
      <c r="J1563" s="206" t="s">
        <v>4074</v>
      </c>
      <c r="K1563" s="207" t="s">
        <v>5188</v>
      </c>
      <c r="L1563" s="207" t="s">
        <v>5</v>
      </c>
      <c r="M1563" s="157"/>
      <c r="N1563" s="165"/>
      <c r="O1563" s="169"/>
      <c r="P1563" s="169">
        <v>118785.92</v>
      </c>
      <c r="Q1563" s="166">
        <f t="shared" si="67"/>
        <v>0</v>
      </c>
      <c r="R1563" s="169"/>
      <c r="S1563" s="169"/>
      <c r="T1563" s="169"/>
      <c r="U1563" s="169"/>
      <c r="V1563" s="166">
        <f t="shared" si="68"/>
        <v>0</v>
      </c>
      <c r="W1563" s="205"/>
      <c r="X1563" s="167"/>
    </row>
    <row r="1564" spans="8:24" s="220" customFormat="1" ht="12.75" hidden="1" customHeight="1">
      <c r="H1564" s="168" t="s">
        <v>4040</v>
      </c>
      <c r="I1564" s="206" t="s">
        <v>984</v>
      </c>
      <c r="J1564" s="206" t="s">
        <v>4075</v>
      </c>
      <c r="K1564" s="207" t="s">
        <v>5189</v>
      </c>
      <c r="L1564" s="207" t="s">
        <v>5</v>
      </c>
      <c r="M1564" s="157"/>
      <c r="N1564" s="165"/>
      <c r="O1564" s="169"/>
      <c r="P1564" s="169">
        <v>145782.72</v>
      </c>
      <c r="Q1564" s="166">
        <f t="shared" ref="Q1564:Q1589" si="69">IF(W1564="",M1564*P1564*$Q$3*$W$3,M1564*P1564*$Q$3*W1564)</f>
        <v>0</v>
      </c>
      <c r="R1564" s="169"/>
      <c r="S1564" s="169"/>
      <c r="T1564" s="169"/>
      <c r="U1564" s="169"/>
      <c r="V1564" s="166">
        <f t="shared" si="68"/>
        <v>0</v>
      </c>
      <c r="W1564" s="205"/>
      <c r="X1564" s="167"/>
    </row>
    <row r="1565" spans="8:24" s="220" customFormat="1" ht="12.75" hidden="1" customHeight="1">
      <c r="H1565" s="168" t="s">
        <v>4041</v>
      </c>
      <c r="I1565" s="206" t="s">
        <v>4076</v>
      </c>
      <c r="J1565" s="206" t="s">
        <v>4077</v>
      </c>
      <c r="K1565" s="207" t="s">
        <v>5190</v>
      </c>
      <c r="L1565" s="207" t="s">
        <v>5</v>
      </c>
      <c r="M1565" s="157"/>
      <c r="N1565" s="165"/>
      <c r="O1565" s="169"/>
      <c r="P1565" s="169">
        <v>161980.79999999999</v>
      </c>
      <c r="Q1565" s="166">
        <f t="shared" si="69"/>
        <v>0</v>
      </c>
      <c r="R1565" s="169"/>
      <c r="S1565" s="169"/>
      <c r="T1565" s="169"/>
      <c r="U1565" s="169"/>
      <c r="V1565" s="166">
        <f t="shared" si="68"/>
        <v>0</v>
      </c>
      <c r="W1565" s="205"/>
      <c r="X1565" s="167"/>
    </row>
    <row r="1566" spans="8:24" s="220" customFormat="1" ht="12.75" hidden="1" customHeight="1">
      <c r="H1566" s="168" t="s">
        <v>4042</v>
      </c>
      <c r="I1566" s="206" t="s">
        <v>985</v>
      </c>
      <c r="J1566" s="206" t="s">
        <v>4078</v>
      </c>
      <c r="K1566" s="207" t="s">
        <v>5191</v>
      </c>
      <c r="L1566" s="207" t="s">
        <v>5</v>
      </c>
      <c r="M1566" s="157"/>
      <c r="N1566" s="165"/>
      <c r="O1566" s="169"/>
      <c r="P1566" s="169">
        <v>191677.28</v>
      </c>
      <c r="Q1566" s="166">
        <f t="shared" si="69"/>
        <v>0</v>
      </c>
      <c r="R1566" s="169"/>
      <c r="S1566" s="169"/>
      <c r="T1566" s="169"/>
      <c r="U1566" s="169"/>
      <c r="V1566" s="166">
        <f t="shared" si="68"/>
        <v>0</v>
      </c>
      <c r="W1566" s="205"/>
      <c r="X1566" s="167"/>
    </row>
    <row r="1567" spans="8:24" s="220" customFormat="1" ht="12.75" hidden="1" customHeight="1">
      <c r="H1567" s="168" t="s">
        <v>4043</v>
      </c>
      <c r="I1567" s="206" t="s">
        <v>986</v>
      </c>
      <c r="J1567" s="206" t="s">
        <v>4079</v>
      </c>
      <c r="K1567" s="207" t="s">
        <v>5182</v>
      </c>
      <c r="L1567" s="207" t="s">
        <v>5</v>
      </c>
      <c r="M1567" s="157"/>
      <c r="N1567" s="165"/>
      <c r="O1567" s="169"/>
      <c r="P1567" s="169">
        <v>11878.592000000001</v>
      </c>
      <c r="Q1567" s="166">
        <f t="shared" si="69"/>
        <v>0</v>
      </c>
      <c r="R1567" s="169"/>
      <c r="S1567" s="169"/>
      <c r="T1567" s="169"/>
      <c r="U1567" s="169"/>
      <c r="V1567" s="166">
        <f t="shared" si="68"/>
        <v>0</v>
      </c>
      <c r="W1567" s="205"/>
      <c r="X1567" s="167"/>
    </row>
    <row r="1568" spans="8:24" s="220" customFormat="1" ht="12.75" hidden="1" customHeight="1">
      <c r="H1568" s="168" t="s">
        <v>4044</v>
      </c>
      <c r="I1568" s="206" t="s">
        <v>987</v>
      </c>
      <c r="J1568" s="206" t="s">
        <v>4080</v>
      </c>
      <c r="K1568" s="207" t="s">
        <v>5183</v>
      </c>
      <c r="L1568" s="207" t="s">
        <v>5</v>
      </c>
      <c r="M1568" s="157"/>
      <c r="N1568" s="165"/>
      <c r="O1568" s="169"/>
      <c r="P1568" s="169">
        <v>15928.111999999999</v>
      </c>
      <c r="Q1568" s="166">
        <f t="shared" si="69"/>
        <v>0</v>
      </c>
      <c r="R1568" s="169"/>
      <c r="S1568" s="169"/>
      <c r="T1568" s="169"/>
      <c r="U1568" s="169"/>
      <c r="V1568" s="166">
        <f t="shared" si="68"/>
        <v>0</v>
      </c>
      <c r="W1568" s="205"/>
      <c r="X1568" s="167"/>
    </row>
    <row r="1569" spans="8:24" s="220" customFormat="1" ht="12.75" hidden="1" customHeight="1">
      <c r="H1569" s="168" t="s">
        <v>4045</v>
      </c>
      <c r="I1569" s="206" t="s">
        <v>988</v>
      </c>
      <c r="J1569" s="206" t="s">
        <v>4081</v>
      </c>
      <c r="K1569" s="207" t="s">
        <v>5184</v>
      </c>
      <c r="L1569" s="207" t="s">
        <v>5</v>
      </c>
      <c r="M1569" s="157"/>
      <c r="N1569" s="165"/>
      <c r="O1569" s="169"/>
      <c r="P1569" s="169">
        <v>19437.696</v>
      </c>
      <c r="Q1569" s="166">
        <f t="shared" si="69"/>
        <v>0</v>
      </c>
      <c r="R1569" s="169"/>
      <c r="S1569" s="169"/>
      <c r="T1569" s="169"/>
      <c r="U1569" s="169"/>
      <c r="V1569" s="166">
        <f t="shared" si="68"/>
        <v>0</v>
      </c>
      <c r="W1569" s="205"/>
      <c r="X1569" s="167"/>
    </row>
    <row r="1570" spans="8:24" s="220" customFormat="1" ht="12.75" hidden="1" customHeight="1">
      <c r="H1570" s="168" t="s">
        <v>4046</v>
      </c>
      <c r="I1570" s="206" t="s">
        <v>989</v>
      </c>
      <c r="J1570" s="206" t="s">
        <v>4082</v>
      </c>
      <c r="K1570" s="207" t="s">
        <v>5185</v>
      </c>
      <c r="L1570" s="207" t="s">
        <v>5</v>
      </c>
      <c r="M1570" s="157"/>
      <c r="N1570" s="165"/>
      <c r="O1570" s="169"/>
      <c r="P1570" s="169">
        <v>23487.216</v>
      </c>
      <c r="Q1570" s="166">
        <f t="shared" si="69"/>
        <v>0</v>
      </c>
      <c r="R1570" s="169"/>
      <c r="S1570" s="169"/>
      <c r="T1570" s="169"/>
      <c r="U1570" s="169"/>
      <c r="V1570" s="166">
        <f t="shared" si="68"/>
        <v>0</v>
      </c>
      <c r="W1570" s="205"/>
      <c r="X1570" s="167"/>
    </row>
    <row r="1571" spans="8:24" s="220" customFormat="1" ht="12.75" hidden="1" customHeight="1">
      <c r="H1571" s="168" t="s">
        <v>4047</v>
      </c>
      <c r="I1571" s="206" t="s">
        <v>990</v>
      </c>
      <c r="J1571" s="206" t="s">
        <v>4083</v>
      </c>
      <c r="K1571" s="207" t="s">
        <v>5186</v>
      </c>
      <c r="L1571" s="207" t="s">
        <v>5</v>
      </c>
      <c r="M1571" s="157"/>
      <c r="N1571" s="165"/>
      <c r="O1571" s="169"/>
      <c r="P1571" s="169">
        <v>28076.671999999999</v>
      </c>
      <c r="Q1571" s="166">
        <f t="shared" si="69"/>
        <v>0</v>
      </c>
      <c r="R1571" s="169"/>
      <c r="S1571" s="169"/>
      <c r="T1571" s="169"/>
      <c r="U1571" s="169"/>
      <c r="V1571" s="166">
        <f t="shared" si="68"/>
        <v>0</v>
      </c>
      <c r="W1571" s="205"/>
      <c r="X1571" s="167"/>
    </row>
    <row r="1572" spans="8:24" s="220" customFormat="1" ht="12.75" hidden="1" customHeight="1">
      <c r="H1572" s="168" t="s">
        <v>4048</v>
      </c>
      <c r="I1572" s="206" t="s">
        <v>991</v>
      </c>
      <c r="J1572" s="206" t="s">
        <v>4084</v>
      </c>
      <c r="K1572" s="207" t="s">
        <v>5187</v>
      </c>
      <c r="L1572" s="207" t="s">
        <v>5</v>
      </c>
      <c r="M1572" s="157"/>
      <c r="N1572" s="165"/>
      <c r="O1572" s="169"/>
      <c r="P1572" s="169">
        <v>36715.648000000001</v>
      </c>
      <c r="Q1572" s="166">
        <f t="shared" si="69"/>
        <v>0</v>
      </c>
      <c r="R1572" s="169"/>
      <c r="S1572" s="169"/>
      <c r="T1572" s="169"/>
      <c r="U1572" s="169"/>
      <c r="V1572" s="166">
        <f t="shared" si="68"/>
        <v>0</v>
      </c>
      <c r="W1572" s="205"/>
      <c r="X1572" s="167"/>
    </row>
    <row r="1573" spans="8:24" s="220" customFormat="1" ht="12.75" hidden="1" customHeight="1">
      <c r="H1573" s="168" t="s">
        <v>4049</v>
      </c>
      <c r="I1573" s="206" t="s">
        <v>992</v>
      </c>
      <c r="J1573" s="206" t="s">
        <v>4085</v>
      </c>
      <c r="K1573" s="207" t="s">
        <v>5188</v>
      </c>
      <c r="L1573" s="207" t="s">
        <v>5</v>
      </c>
      <c r="M1573" s="157"/>
      <c r="N1573" s="165"/>
      <c r="O1573" s="169"/>
      <c r="P1573" s="169">
        <v>42115.008000000002</v>
      </c>
      <c r="Q1573" s="166">
        <f t="shared" si="69"/>
        <v>0</v>
      </c>
      <c r="R1573" s="169"/>
      <c r="S1573" s="169"/>
      <c r="T1573" s="169"/>
      <c r="U1573" s="169"/>
      <c r="V1573" s="166">
        <f t="shared" si="68"/>
        <v>0</v>
      </c>
      <c r="W1573" s="205"/>
      <c r="X1573" s="167"/>
    </row>
    <row r="1574" spans="8:24" s="220" customFormat="1" ht="12.75" hidden="1" customHeight="1">
      <c r="H1574" s="168" t="s">
        <v>4050</v>
      </c>
      <c r="I1574" s="206" t="s">
        <v>993</v>
      </c>
      <c r="J1574" s="206" t="s">
        <v>4086</v>
      </c>
      <c r="K1574" s="207" t="s">
        <v>5189</v>
      </c>
      <c r="L1574" s="207" t="s">
        <v>5</v>
      </c>
      <c r="M1574" s="157"/>
      <c r="N1574" s="165"/>
      <c r="O1574" s="169"/>
      <c r="P1574" s="169">
        <v>47514.368000000002</v>
      </c>
      <c r="Q1574" s="166">
        <f t="shared" si="69"/>
        <v>0</v>
      </c>
      <c r="R1574" s="169"/>
      <c r="S1574" s="169"/>
      <c r="T1574" s="169"/>
      <c r="U1574" s="169"/>
      <c r="V1574" s="166">
        <f t="shared" si="68"/>
        <v>0</v>
      </c>
      <c r="W1574" s="205"/>
      <c r="X1574" s="167"/>
    </row>
    <row r="1575" spans="8:24" s="220" customFormat="1" ht="12.75" hidden="1" customHeight="1">
      <c r="H1575" s="168" t="s">
        <v>4051</v>
      </c>
      <c r="I1575" s="206" t="s">
        <v>4087</v>
      </c>
      <c r="J1575" s="206" t="s">
        <v>4088</v>
      </c>
      <c r="K1575" s="207" t="s">
        <v>5190</v>
      </c>
      <c r="L1575" s="207" t="s">
        <v>5</v>
      </c>
      <c r="M1575" s="157"/>
      <c r="N1575" s="165"/>
      <c r="O1575" s="169"/>
      <c r="P1575" s="169">
        <v>52913.728000000003</v>
      </c>
      <c r="Q1575" s="166">
        <f t="shared" si="69"/>
        <v>0</v>
      </c>
      <c r="R1575" s="169"/>
      <c r="S1575" s="169"/>
      <c r="T1575" s="169"/>
      <c r="U1575" s="169"/>
      <c r="V1575" s="166">
        <f t="shared" si="68"/>
        <v>0</v>
      </c>
      <c r="W1575" s="205"/>
      <c r="X1575" s="167"/>
    </row>
    <row r="1576" spans="8:24" s="220" customFormat="1" ht="12.75" hidden="1" customHeight="1">
      <c r="H1576" s="168" t="s">
        <v>4052</v>
      </c>
      <c r="I1576" s="206" t="s">
        <v>994</v>
      </c>
      <c r="J1576" s="206" t="s">
        <v>4089</v>
      </c>
      <c r="K1576" s="207" t="s">
        <v>5191</v>
      </c>
      <c r="L1576" s="207" t="s">
        <v>5</v>
      </c>
      <c r="M1576" s="157"/>
      <c r="N1576" s="165"/>
      <c r="O1576" s="169"/>
      <c r="P1576" s="169">
        <v>58313.088000000003</v>
      </c>
      <c r="Q1576" s="166">
        <f t="shared" si="69"/>
        <v>0</v>
      </c>
      <c r="R1576" s="169"/>
      <c r="S1576" s="169"/>
      <c r="T1576" s="169"/>
      <c r="U1576" s="169"/>
      <c r="V1576" s="166">
        <f t="shared" si="68"/>
        <v>0</v>
      </c>
      <c r="W1576" s="205"/>
      <c r="X1576" s="167"/>
    </row>
    <row r="1577" spans="8:24" s="220" customFormat="1" ht="12.75" hidden="1" customHeight="1">
      <c r="H1577" s="168" t="s">
        <v>4090</v>
      </c>
      <c r="I1577" s="206" t="s">
        <v>4091</v>
      </c>
      <c r="J1577" s="206" t="s">
        <v>4092</v>
      </c>
      <c r="K1577" s="206" t="s">
        <v>4093</v>
      </c>
      <c r="L1577" s="206" t="s">
        <v>4094</v>
      </c>
      <c r="M1577" s="157"/>
      <c r="N1577" s="165"/>
      <c r="O1577" s="169"/>
      <c r="P1577" s="169">
        <v>8099.04</v>
      </c>
      <c r="Q1577" s="166">
        <f t="shared" si="69"/>
        <v>0</v>
      </c>
      <c r="R1577" s="169"/>
      <c r="S1577" s="169"/>
      <c r="T1577" s="169"/>
      <c r="U1577" s="169"/>
      <c r="V1577" s="166">
        <f t="shared" si="68"/>
        <v>0</v>
      </c>
      <c r="W1577" s="205"/>
      <c r="X1577" s="167"/>
    </row>
    <row r="1578" spans="8:24" s="220" customFormat="1" ht="12.75" hidden="1" customHeight="1">
      <c r="H1578" s="168" t="s">
        <v>4095</v>
      </c>
      <c r="I1578" s="206" t="s">
        <v>4096</v>
      </c>
      <c r="J1578" s="206" t="s">
        <v>4097</v>
      </c>
      <c r="K1578" s="206" t="s">
        <v>4098</v>
      </c>
      <c r="L1578" s="206" t="s">
        <v>92</v>
      </c>
      <c r="M1578" s="157"/>
      <c r="N1578" s="165"/>
      <c r="O1578" s="169"/>
      <c r="P1578" s="169">
        <v>32396.16</v>
      </c>
      <c r="Q1578" s="166">
        <f t="shared" si="69"/>
        <v>0</v>
      </c>
      <c r="R1578" s="169"/>
      <c r="S1578" s="169"/>
      <c r="T1578" s="169"/>
      <c r="U1578" s="169"/>
      <c r="V1578" s="166">
        <f t="shared" si="68"/>
        <v>0</v>
      </c>
      <c r="W1578" s="205"/>
      <c r="X1578" s="167"/>
    </row>
    <row r="1579" spans="8:24" s="220" customFormat="1" ht="12.75" hidden="1" customHeight="1">
      <c r="H1579" s="168" t="s">
        <v>4099</v>
      </c>
      <c r="I1579" s="206" t="s">
        <v>4100</v>
      </c>
      <c r="J1579" s="206" t="s">
        <v>4101</v>
      </c>
      <c r="K1579" s="206" t="s">
        <v>4102</v>
      </c>
      <c r="L1579" s="206" t="s">
        <v>92</v>
      </c>
      <c r="M1579" s="157"/>
      <c r="N1579" s="165"/>
      <c r="O1579" s="169"/>
      <c r="P1579" s="169">
        <v>11068.688</v>
      </c>
      <c r="Q1579" s="166">
        <f t="shared" si="69"/>
        <v>0</v>
      </c>
      <c r="R1579" s="169"/>
      <c r="S1579" s="169"/>
      <c r="T1579" s="169"/>
      <c r="U1579" s="169"/>
      <c r="V1579" s="166">
        <f t="shared" si="68"/>
        <v>0</v>
      </c>
      <c r="W1579" s="205"/>
      <c r="X1579" s="167"/>
    </row>
    <row r="1580" spans="8:24" s="220" customFormat="1" ht="12.75" hidden="1" customHeight="1">
      <c r="H1580" s="168" t="s">
        <v>4103</v>
      </c>
      <c r="I1580" s="206" t="s">
        <v>4110</v>
      </c>
      <c r="J1580" s="206" t="s">
        <v>4111</v>
      </c>
      <c r="K1580" s="207" t="s">
        <v>4112</v>
      </c>
      <c r="L1580" s="206" t="s">
        <v>92</v>
      </c>
      <c r="M1580" s="157"/>
      <c r="N1580" s="165"/>
      <c r="O1580" s="169"/>
      <c r="P1580" s="169">
        <v>32396.16</v>
      </c>
      <c r="Q1580" s="166">
        <f t="shared" si="69"/>
        <v>0</v>
      </c>
      <c r="R1580" s="169"/>
      <c r="S1580" s="169"/>
      <c r="T1580" s="169"/>
      <c r="U1580" s="169"/>
      <c r="V1580" s="166">
        <f t="shared" si="68"/>
        <v>0</v>
      </c>
      <c r="W1580" s="205"/>
      <c r="X1580" s="167"/>
    </row>
    <row r="1581" spans="8:24" s="220" customFormat="1" ht="12.75" hidden="1" customHeight="1">
      <c r="H1581" s="168" t="s">
        <v>4104</v>
      </c>
      <c r="I1581" s="206" t="s">
        <v>4113</v>
      </c>
      <c r="J1581" s="206" t="s">
        <v>4114</v>
      </c>
      <c r="K1581" s="206" t="s">
        <v>4115</v>
      </c>
      <c r="L1581" s="206" t="s">
        <v>92</v>
      </c>
      <c r="M1581" s="157"/>
      <c r="N1581" s="165"/>
      <c r="O1581" s="169"/>
      <c r="P1581" s="169">
        <v>53993.599999999999</v>
      </c>
      <c r="Q1581" s="166">
        <f t="shared" si="69"/>
        <v>0</v>
      </c>
      <c r="R1581" s="169"/>
      <c r="S1581" s="169"/>
      <c r="T1581" s="169"/>
      <c r="U1581" s="169"/>
      <c r="V1581" s="166">
        <f t="shared" si="68"/>
        <v>0</v>
      </c>
      <c r="W1581" s="205"/>
      <c r="X1581" s="167"/>
    </row>
    <row r="1582" spans="8:24" s="220" customFormat="1" ht="12.75" hidden="1" customHeight="1">
      <c r="H1582" s="168" t="s">
        <v>4105</v>
      </c>
      <c r="I1582" s="206" t="s">
        <v>995</v>
      </c>
      <c r="J1582" s="206" t="s">
        <v>4116</v>
      </c>
      <c r="K1582" s="206" t="s">
        <v>4117</v>
      </c>
      <c r="L1582" s="206" t="s">
        <v>92</v>
      </c>
      <c r="M1582" s="157"/>
      <c r="N1582" s="165"/>
      <c r="O1582" s="169"/>
      <c r="P1582" s="169">
        <v>53993.599999999999</v>
      </c>
      <c r="Q1582" s="166">
        <f t="shared" si="69"/>
        <v>0</v>
      </c>
      <c r="R1582" s="169"/>
      <c r="S1582" s="169"/>
      <c r="T1582" s="169"/>
      <c r="U1582" s="169"/>
      <c r="V1582" s="166">
        <f t="shared" si="68"/>
        <v>0</v>
      </c>
      <c r="W1582" s="205"/>
      <c r="X1582" s="167"/>
    </row>
    <row r="1583" spans="8:24" s="220" customFormat="1" ht="12.75" hidden="1" customHeight="1">
      <c r="H1583" s="168" t="s">
        <v>4106</v>
      </c>
      <c r="I1583" s="206" t="s">
        <v>4118</v>
      </c>
      <c r="J1583" s="206" t="s">
        <v>4119</v>
      </c>
      <c r="K1583" s="206" t="s">
        <v>4120</v>
      </c>
      <c r="L1583" s="206" t="s">
        <v>92</v>
      </c>
      <c r="M1583" s="157"/>
      <c r="N1583" s="165"/>
      <c r="O1583" s="169"/>
      <c r="P1583" s="169">
        <v>67492</v>
      </c>
      <c r="Q1583" s="166">
        <f t="shared" si="69"/>
        <v>0</v>
      </c>
      <c r="R1583" s="169"/>
      <c r="S1583" s="169"/>
      <c r="T1583" s="169"/>
      <c r="U1583" s="169"/>
      <c r="V1583" s="166">
        <f t="shared" si="68"/>
        <v>0</v>
      </c>
      <c r="W1583" s="205"/>
      <c r="X1583" s="167"/>
    </row>
    <row r="1584" spans="8:24" s="220" customFormat="1" ht="12.75" hidden="1" customHeight="1">
      <c r="H1584" s="168" t="s">
        <v>4107</v>
      </c>
      <c r="I1584" s="206" t="s">
        <v>996</v>
      </c>
      <c r="J1584" s="206" t="s">
        <v>4121</v>
      </c>
      <c r="K1584" s="206" t="s">
        <v>4122</v>
      </c>
      <c r="L1584" s="206" t="s">
        <v>92</v>
      </c>
      <c r="M1584" s="157"/>
      <c r="N1584" s="165"/>
      <c r="O1584" s="169"/>
      <c r="P1584" s="169">
        <v>78290.720000000001</v>
      </c>
      <c r="Q1584" s="166">
        <f t="shared" si="69"/>
        <v>0</v>
      </c>
      <c r="R1584" s="169"/>
      <c r="S1584" s="169"/>
      <c r="T1584" s="169"/>
      <c r="U1584" s="169"/>
      <c r="V1584" s="166">
        <f t="shared" si="68"/>
        <v>0</v>
      </c>
      <c r="W1584" s="205"/>
      <c r="X1584" s="167"/>
    </row>
    <row r="1585" spans="8:24" s="220" customFormat="1" ht="12.75" hidden="1" customHeight="1">
      <c r="H1585" s="168" t="s">
        <v>4108</v>
      </c>
      <c r="I1585" s="206" t="s">
        <v>4123</v>
      </c>
      <c r="J1585" s="206" t="s">
        <v>4124</v>
      </c>
      <c r="K1585" s="206" t="s">
        <v>4125</v>
      </c>
      <c r="L1585" s="206" t="s">
        <v>92</v>
      </c>
      <c r="M1585" s="157"/>
      <c r="N1585" s="165"/>
      <c r="O1585" s="169"/>
      <c r="P1585" s="169">
        <v>53993.599999999999</v>
      </c>
      <c r="Q1585" s="166">
        <f t="shared" si="69"/>
        <v>0</v>
      </c>
      <c r="R1585" s="169"/>
      <c r="S1585" s="169"/>
      <c r="T1585" s="169"/>
      <c r="U1585" s="169"/>
      <c r="V1585" s="166">
        <f t="shared" si="68"/>
        <v>0</v>
      </c>
      <c r="W1585" s="205"/>
      <c r="X1585" s="167"/>
    </row>
    <row r="1586" spans="8:24" s="220" customFormat="1" ht="12.75" hidden="1" customHeight="1">
      <c r="H1586" s="168" t="s">
        <v>4109</v>
      </c>
      <c r="I1586" s="206" t="s">
        <v>1036</v>
      </c>
      <c r="J1586" s="206" t="s">
        <v>4126</v>
      </c>
      <c r="K1586" s="206" t="s">
        <v>4127</v>
      </c>
      <c r="L1586" s="206" t="s">
        <v>92</v>
      </c>
      <c r="M1586" s="157"/>
      <c r="N1586" s="165"/>
      <c r="O1586" s="169"/>
      <c r="P1586" s="169">
        <v>10798.72</v>
      </c>
      <c r="Q1586" s="166">
        <f t="shared" si="69"/>
        <v>0</v>
      </c>
      <c r="R1586" s="169"/>
      <c r="S1586" s="169"/>
      <c r="T1586" s="169"/>
      <c r="U1586" s="169"/>
      <c r="V1586" s="166">
        <f t="shared" si="68"/>
        <v>0</v>
      </c>
      <c r="W1586" s="205"/>
      <c r="X1586" s="167"/>
    </row>
    <row r="1587" spans="8:24" s="220" customFormat="1" ht="12.75" hidden="1" customHeight="1">
      <c r="H1587" s="168" t="s">
        <v>4128</v>
      </c>
      <c r="I1587" s="206" t="s">
        <v>1198</v>
      </c>
      <c r="J1587" s="206" t="s">
        <v>4144</v>
      </c>
      <c r="K1587" s="207" t="s">
        <v>5285</v>
      </c>
      <c r="L1587" s="206" t="s">
        <v>92</v>
      </c>
      <c r="M1587" s="157"/>
      <c r="N1587" s="165"/>
      <c r="O1587" s="169"/>
      <c r="P1587" s="169">
        <v>10798.72</v>
      </c>
      <c r="Q1587" s="166">
        <f t="shared" si="69"/>
        <v>0</v>
      </c>
      <c r="R1587" s="169"/>
      <c r="S1587" s="169"/>
      <c r="T1587" s="169"/>
      <c r="U1587" s="169"/>
      <c r="V1587" s="166">
        <f t="shared" si="68"/>
        <v>0</v>
      </c>
      <c r="W1587" s="205"/>
      <c r="X1587" s="167"/>
    </row>
    <row r="1588" spans="8:24" s="220" customFormat="1" ht="12.75" hidden="1" customHeight="1">
      <c r="H1588" s="168" t="s">
        <v>4129</v>
      </c>
      <c r="I1588" s="206" t="s">
        <v>1199</v>
      </c>
      <c r="J1588" s="206" t="s">
        <v>4145</v>
      </c>
      <c r="K1588" s="207" t="s">
        <v>5286</v>
      </c>
      <c r="L1588" s="206" t="s">
        <v>92</v>
      </c>
      <c r="M1588" s="157"/>
      <c r="N1588" s="165"/>
      <c r="O1588" s="169"/>
      <c r="P1588" s="169">
        <v>59392.959999999999</v>
      </c>
      <c r="Q1588" s="166">
        <f t="shared" si="69"/>
        <v>0</v>
      </c>
      <c r="R1588" s="169"/>
      <c r="S1588" s="169"/>
      <c r="T1588" s="169"/>
      <c r="U1588" s="169"/>
      <c r="V1588" s="166">
        <f t="shared" si="68"/>
        <v>0</v>
      </c>
      <c r="W1588" s="205"/>
      <c r="X1588" s="167"/>
    </row>
    <row r="1589" spans="8:24" s="220" customFormat="1" ht="12.75" hidden="1" customHeight="1">
      <c r="H1589" s="168" t="s">
        <v>4130</v>
      </c>
      <c r="I1589" s="206" t="s">
        <v>1200</v>
      </c>
      <c r="J1589" s="206" t="s">
        <v>4146</v>
      </c>
      <c r="K1589" s="207" t="s">
        <v>5287</v>
      </c>
      <c r="L1589" s="206" t="s">
        <v>92</v>
      </c>
      <c r="M1589" s="157"/>
      <c r="N1589" s="165"/>
      <c r="O1589" s="169"/>
      <c r="P1589" s="169">
        <v>94488.8</v>
      </c>
      <c r="Q1589" s="166">
        <f t="shared" si="69"/>
        <v>0</v>
      </c>
      <c r="R1589" s="169"/>
      <c r="S1589" s="169"/>
      <c r="T1589" s="169"/>
      <c r="U1589" s="169"/>
      <c r="V1589" s="166">
        <f t="shared" si="68"/>
        <v>0</v>
      </c>
      <c r="W1589" s="205"/>
      <c r="X1589" s="167"/>
    </row>
    <row r="1590" spans="8:24" s="220" customFormat="1" ht="12.75" hidden="1" customHeight="1">
      <c r="H1590" s="168" t="s">
        <v>4131</v>
      </c>
      <c r="I1590" s="206" t="s">
        <v>4147</v>
      </c>
      <c r="J1590" s="206" t="s">
        <v>4148</v>
      </c>
      <c r="K1590" s="207" t="s">
        <v>5288</v>
      </c>
      <c r="L1590" s="206" t="s">
        <v>92</v>
      </c>
      <c r="M1590" s="157"/>
      <c r="N1590" s="165"/>
      <c r="O1590" s="169"/>
      <c r="P1590" s="169">
        <v>178178.88</v>
      </c>
      <c r="Q1590" s="166">
        <f t="shared" ref="Q1590:Q1653" si="70">IF(W1590="",M1590*P1590*$Q$3*$W$3,M1590*P1590*$Q$3*W1590)</f>
        <v>0</v>
      </c>
      <c r="R1590" s="169"/>
      <c r="S1590" s="169"/>
      <c r="T1590" s="169"/>
      <c r="U1590" s="169"/>
      <c r="V1590" s="166">
        <f t="shared" si="68"/>
        <v>0</v>
      </c>
      <c r="W1590" s="205"/>
      <c r="X1590" s="167"/>
    </row>
    <row r="1591" spans="8:24" s="220" customFormat="1" ht="12.75" hidden="1" customHeight="1">
      <c r="H1591" s="168" t="s">
        <v>4132</v>
      </c>
      <c r="I1591" s="206" t="s">
        <v>4149</v>
      </c>
      <c r="J1591" s="206" t="s">
        <v>4150</v>
      </c>
      <c r="K1591" s="207" t="s">
        <v>5289</v>
      </c>
      <c r="L1591" s="206" t="s">
        <v>92</v>
      </c>
      <c r="M1591" s="157"/>
      <c r="N1591" s="165"/>
      <c r="O1591" s="169"/>
      <c r="P1591" s="169">
        <v>256469.6</v>
      </c>
      <c r="Q1591" s="166">
        <f t="shared" si="70"/>
        <v>0</v>
      </c>
      <c r="R1591" s="169"/>
      <c r="S1591" s="169"/>
      <c r="T1591" s="169"/>
      <c r="U1591" s="169"/>
      <c r="V1591" s="166">
        <f t="shared" si="68"/>
        <v>0</v>
      </c>
      <c r="W1591" s="205"/>
      <c r="X1591" s="167"/>
    </row>
    <row r="1592" spans="8:24" s="220" customFormat="1" ht="12.75" hidden="1" customHeight="1">
      <c r="H1592" s="168" t="s">
        <v>4133</v>
      </c>
      <c r="I1592" s="206" t="s">
        <v>4151</v>
      </c>
      <c r="J1592" s="206" t="s">
        <v>4152</v>
      </c>
      <c r="K1592" s="207" t="s">
        <v>5290</v>
      </c>
      <c r="L1592" s="206" t="s">
        <v>92</v>
      </c>
      <c r="M1592" s="157"/>
      <c r="N1592" s="165"/>
      <c r="O1592" s="169"/>
      <c r="P1592" s="169">
        <v>350958.4</v>
      </c>
      <c r="Q1592" s="166">
        <f t="shared" si="70"/>
        <v>0</v>
      </c>
      <c r="R1592" s="169"/>
      <c r="S1592" s="169"/>
      <c r="T1592" s="169"/>
      <c r="U1592" s="169"/>
      <c r="V1592" s="166">
        <f t="shared" si="68"/>
        <v>0</v>
      </c>
      <c r="W1592" s="205"/>
      <c r="X1592" s="167"/>
    </row>
    <row r="1593" spans="8:24" s="220" customFormat="1" ht="12.75" hidden="1" customHeight="1">
      <c r="H1593" s="168" t="s">
        <v>4134</v>
      </c>
      <c r="I1593" s="206" t="s">
        <v>4153</v>
      </c>
      <c r="J1593" s="206" t="s">
        <v>4154</v>
      </c>
      <c r="K1593" s="207" t="s">
        <v>5291</v>
      </c>
      <c r="L1593" s="206" t="s">
        <v>92</v>
      </c>
      <c r="M1593" s="157"/>
      <c r="N1593" s="165"/>
      <c r="O1593" s="169"/>
      <c r="P1593" s="169">
        <v>674920</v>
      </c>
      <c r="Q1593" s="166">
        <f t="shared" si="70"/>
        <v>0</v>
      </c>
      <c r="R1593" s="169"/>
      <c r="S1593" s="169"/>
      <c r="T1593" s="169"/>
      <c r="U1593" s="169"/>
      <c r="V1593" s="166">
        <f t="shared" si="68"/>
        <v>0</v>
      </c>
      <c r="W1593" s="205"/>
      <c r="X1593" s="167"/>
    </row>
    <row r="1594" spans="8:24" s="220" customFormat="1" ht="12.75" hidden="1" customHeight="1">
      <c r="H1594" s="168" t="s">
        <v>4135</v>
      </c>
      <c r="I1594" s="206" t="s">
        <v>4155</v>
      </c>
      <c r="J1594" s="206" t="s">
        <v>4156</v>
      </c>
      <c r="K1594" s="207" t="s">
        <v>5292</v>
      </c>
      <c r="L1594" s="206" t="s">
        <v>92</v>
      </c>
      <c r="M1594" s="157"/>
      <c r="N1594" s="165"/>
      <c r="O1594" s="169"/>
      <c r="P1594" s="169">
        <v>1268849.6000000001</v>
      </c>
      <c r="Q1594" s="166">
        <f t="shared" si="70"/>
        <v>0</v>
      </c>
      <c r="R1594" s="169"/>
      <c r="S1594" s="169"/>
      <c r="T1594" s="169"/>
      <c r="U1594" s="169"/>
      <c r="V1594" s="166">
        <f t="shared" si="68"/>
        <v>0</v>
      </c>
      <c r="W1594" s="205"/>
      <c r="X1594" s="167"/>
    </row>
    <row r="1595" spans="8:24" s="220" customFormat="1" ht="12.75" hidden="1" customHeight="1">
      <c r="H1595" s="168" t="s">
        <v>4136</v>
      </c>
      <c r="I1595" s="206" t="s">
        <v>997</v>
      </c>
      <c r="J1595" s="206" t="s">
        <v>4157</v>
      </c>
      <c r="K1595" s="207" t="s">
        <v>5285</v>
      </c>
      <c r="L1595" s="206" t="s">
        <v>92</v>
      </c>
      <c r="M1595" s="157"/>
      <c r="N1595" s="165"/>
      <c r="O1595" s="169"/>
      <c r="P1595" s="169">
        <v>45894.559999999998</v>
      </c>
      <c r="Q1595" s="166">
        <f t="shared" si="70"/>
        <v>0</v>
      </c>
      <c r="R1595" s="169"/>
      <c r="S1595" s="169"/>
      <c r="T1595" s="169"/>
      <c r="U1595" s="169"/>
      <c r="V1595" s="166">
        <f t="shared" si="68"/>
        <v>0</v>
      </c>
      <c r="W1595" s="205"/>
      <c r="X1595" s="167"/>
    </row>
    <row r="1596" spans="8:24" s="220" customFormat="1" ht="12.75" hidden="1" customHeight="1">
      <c r="H1596" s="168" t="s">
        <v>4137</v>
      </c>
      <c r="I1596" s="206" t="s">
        <v>998</v>
      </c>
      <c r="J1596" s="206" t="s">
        <v>4158</v>
      </c>
      <c r="K1596" s="207" t="s">
        <v>5286</v>
      </c>
      <c r="L1596" s="206" t="s">
        <v>92</v>
      </c>
      <c r="M1596" s="157"/>
      <c r="N1596" s="165"/>
      <c r="O1596" s="169"/>
      <c r="P1596" s="169">
        <v>148482.4</v>
      </c>
      <c r="Q1596" s="166">
        <f t="shared" si="70"/>
        <v>0</v>
      </c>
      <c r="R1596" s="169"/>
      <c r="S1596" s="169"/>
      <c r="T1596" s="169"/>
      <c r="U1596" s="169"/>
      <c r="V1596" s="166">
        <f t="shared" si="68"/>
        <v>0</v>
      </c>
      <c r="W1596" s="205"/>
      <c r="X1596" s="167"/>
    </row>
    <row r="1597" spans="8:24" s="220" customFormat="1" ht="12.75" hidden="1" customHeight="1">
      <c r="H1597" s="168" t="s">
        <v>4138</v>
      </c>
      <c r="I1597" s="206" t="s">
        <v>999</v>
      </c>
      <c r="J1597" s="206" t="s">
        <v>4159</v>
      </c>
      <c r="K1597" s="207" t="s">
        <v>5287</v>
      </c>
      <c r="L1597" s="206" t="s">
        <v>92</v>
      </c>
      <c r="M1597" s="169"/>
      <c r="N1597" s="165"/>
      <c r="O1597" s="169"/>
      <c r="P1597" s="169">
        <v>178178.88</v>
      </c>
      <c r="Q1597" s="166">
        <f t="shared" si="70"/>
        <v>0</v>
      </c>
      <c r="R1597" s="169"/>
      <c r="S1597" s="169"/>
      <c r="T1597" s="169"/>
      <c r="U1597" s="169"/>
      <c r="V1597" s="166">
        <f t="shared" si="68"/>
        <v>0</v>
      </c>
      <c r="W1597" s="205"/>
      <c r="X1597" s="167"/>
    </row>
    <row r="1598" spans="8:24" s="220" customFormat="1" ht="12.75" hidden="1" customHeight="1">
      <c r="H1598" s="168" t="s">
        <v>4139</v>
      </c>
      <c r="I1598" s="206" t="s">
        <v>1000</v>
      </c>
      <c r="J1598" s="206" t="s">
        <v>4160</v>
      </c>
      <c r="K1598" s="207" t="s">
        <v>5288</v>
      </c>
      <c r="L1598" s="206" t="s">
        <v>92</v>
      </c>
      <c r="M1598" s="169"/>
      <c r="N1598" s="165"/>
      <c r="O1598" s="169"/>
      <c r="P1598" s="169">
        <v>256469.6</v>
      </c>
      <c r="Q1598" s="166">
        <f t="shared" si="70"/>
        <v>0</v>
      </c>
      <c r="R1598" s="169"/>
      <c r="S1598" s="169"/>
      <c r="T1598" s="169"/>
      <c r="U1598" s="169"/>
      <c r="V1598" s="166">
        <f t="shared" si="68"/>
        <v>0</v>
      </c>
      <c r="W1598" s="205"/>
      <c r="X1598" s="167"/>
    </row>
    <row r="1599" spans="8:24" s="220" customFormat="1" ht="12.75" hidden="1" customHeight="1">
      <c r="H1599" s="168" t="s">
        <v>4140</v>
      </c>
      <c r="I1599" s="206" t="s">
        <v>4161</v>
      </c>
      <c r="J1599" s="206" t="s">
        <v>4162</v>
      </c>
      <c r="K1599" s="207" t="s">
        <v>5289</v>
      </c>
      <c r="L1599" s="206" t="s">
        <v>92</v>
      </c>
      <c r="M1599" s="169"/>
      <c r="N1599" s="165"/>
      <c r="O1599" s="169"/>
      <c r="P1599" s="169">
        <v>332060.64</v>
      </c>
      <c r="Q1599" s="166">
        <f t="shared" si="70"/>
        <v>0</v>
      </c>
      <c r="R1599" s="169"/>
      <c r="S1599" s="169"/>
      <c r="T1599" s="169"/>
      <c r="U1599" s="169"/>
      <c r="V1599" s="166">
        <f t="shared" si="68"/>
        <v>0</v>
      </c>
      <c r="W1599" s="205"/>
      <c r="X1599" s="167"/>
    </row>
    <row r="1600" spans="8:24" s="220" customFormat="1" ht="12.75" hidden="1" customHeight="1">
      <c r="H1600" s="168" t="s">
        <v>4141</v>
      </c>
      <c r="I1600" s="206" t="s">
        <v>4163</v>
      </c>
      <c r="J1600" s="206" t="s">
        <v>4164</v>
      </c>
      <c r="K1600" s="207" t="s">
        <v>5290</v>
      </c>
      <c r="L1600" s="206" t="s">
        <v>92</v>
      </c>
      <c r="M1600" s="169"/>
      <c r="N1600" s="165"/>
      <c r="O1600" s="169"/>
      <c r="P1600" s="169">
        <v>421150.08</v>
      </c>
      <c r="Q1600" s="166">
        <f t="shared" si="70"/>
        <v>0</v>
      </c>
      <c r="R1600" s="169"/>
      <c r="S1600" s="169"/>
      <c r="T1600" s="169"/>
      <c r="U1600" s="169"/>
      <c r="V1600" s="166">
        <f t="shared" si="68"/>
        <v>0</v>
      </c>
      <c r="W1600" s="205"/>
      <c r="X1600" s="167"/>
    </row>
    <row r="1601" spans="8:24" s="220" customFormat="1" ht="12.75" hidden="1" customHeight="1">
      <c r="H1601" s="168" t="s">
        <v>4142</v>
      </c>
      <c r="I1601" s="206" t="s">
        <v>4165</v>
      </c>
      <c r="J1601" s="206" t="s">
        <v>4166</v>
      </c>
      <c r="K1601" s="207" t="s">
        <v>5291</v>
      </c>
      <c r="L1601" s="206" t="s">
        <v>92</v>
      </c>
      <c r="M1601" s="169"/>
      <c r="N1601" s="165"/>
      <c r="O1601" s="169"/>
      <c r="P1601" s="169">
        <v>809904</v>
      </c>
      <c r="Q1601" s="166">
        <f t="shared" si="70"/>
        <v>0</v>
      </c>
      <c r="R1601" s="169"/>
      <c r="S1601" s="169"/>
      <c r="T1601" s="169"/>
      <c r="U1601" s="169"/>
      <c r="V1601" s="166">
        <f t="shared" si="68"/>
        <v>0</v>
      </c>
      <c r="W1601" s="205"/>
      <c r="X1601" s="167"/>
    </row>
    <row r="1602" spans="8:24" s="220" customFormat="1" ht="12.75" hidden="1" customHeight="1">
      <c r="H1602" s="168" t="s">
        <v>4143</v>
      </c>
      <c r="I1602" s="206" t="s">
        <v>4167</v>
      </c>
      <c r="J1602" s="206" t="s">
        <v>4168</v>
      </c>
      <c r="K1602" s="207" t="s">
        <v>5292</v>
      </c>
      <c r="L1602" s="206" t="s">
        <v>92</v>
      </c>
      <c r="M1602" s="169"/>
      <c r="N1602" s="165"/>
      <c r="O1602" s="169"/>
      <c r="P1602" s="169">
        <v>1522619.52</v>
      </c>
      <c r="Q1602" s="166">
        <f t="shared" si="70"/>
        <v>0</v>
      </c>
      <c r="R1602" s="169"/>
      <c r="S1602" s="169"/>
      <c r="T1602" s="169"/>
      <c r="U1602" s="169"/>
      <c r="V1602" s="166">
        <f t="shared" si="68"/>
        <v>0</v>
      </c>
      <c r="W1602" s="205"/>
      <c r="X1602" s="167"/>
    </row>
    <row r="1603" spans="8:24" s="220" customFormat="1" ht="12.75" hidden="1" customHeight="1">
      <c r="H1603" s="168" t="s">
        <v>4169</v>
      </c>
      <c r="I1603" s="206" t="s">
        <v>4172</v>
      </c>
      <c r="J1603" s="206" t="s">
        <v>4173</v>
      </c>
      <c r="K1603" s="206" t="s">
        <v>4174</v>
      </c>
      <c r="L1603" s="206" t="s">
        <v>92</v>
      </c>
      <c r="M1603" s="169"/>
      <c r="N1603" s="165"/>
      <c r="O1603" s="169"/>
      <c r="P1603" s="169">
        <v>170079.84</v>
      </c>
      <c r="Q1603" s="166">
        <f t="shared" si="70"/>
        <v>0</v>
      </c>
      <c r="R1603" s="169"/>
      <c r="S1603" s="169"/>
      <c r="T1603" s="169"/>
      <c r="U1603" s="169"/>
      <c r="V1603" s="166">
        <f t="shared" si="68"/>
        <v>0</v>
      </c>
      <c r="W1603" s="205"/>
      <c r="X1603" s="167"/>
    </row>
    <row r="1604" spans="8:24" s="220" customFormat="1" ht="12.75" hidden="1" customHeight="1">
      <c r="H1604" s="168" t="s">
        <v>4170</v>
      </c>
      <c r="I1604" s="206" t="s">
        <v>4175</v>
      </c>
      <c r="J1604" s="206" t="s">
        <v>4176</v>
      </c>
      <c r="K1604" s="206" t="s">
        <v>4177</v>
      </c>
      <c r="L1604" s="206" t="s">
        <v>92</v>
      </c>
      <c r="M1604" s="169"/>
      <c r="N1604" s="165"/>
      <c r="O1604" s="169"/>
      <c r="P1604" s="169">
        <v>110686.88</v>
      </c>
      <c r="Q1604" s="166">
        <f t="shared" si="70"/>
        <v>0</v>
      </c>
      <c r="R1604" s="169"/>
      <c r="S1604" s="169"/>
      <c r="T1604" s="169"/>
      <c r="U1604" s="169"/>
      <c r="V1604" s="166">
        <f t="shared" si="68"/>
        <v>0</v>
      </c>
      <c r="W1604" s="205"/>
      <c r="X1604" s="167"/>
    </row>
    <row r="1605" spans="8:24" s="220" customFormat="1" ht="12.75" hidden="1" customHeight="1">
      <c r="H1605" s="168" t="s">
        <v>4171</v>
      </c>
      <c r="I1605" s="206" t="s">
        <v>4178</v>
      </c>
      <c r="J1605" s="206" t="s">
        <v>4179</v>
      </c>
      <c r="K1605" s="206" t="s">
        <v>4180</v>
      </c>
      <c r="L1605" s="206" t="s">
        <v>92</v>
      </c>
      <c r="M1605" s="169"/>
      <c r="N1605" s="165"/>
      <c r="O1605" s="169"/>
      <c r="P1605" s="169">
        <v>67492</v>
      </c>
      <c r="Q1605" s="166">
        <f t="shared" si="70"/>
        <v>0</v>
      </c>
      <c r="R1605" s="169"/>
      <c r="S1605" s="169"/>
      <c r="T1605" s="169"/>
      <c r="U1605" s="169"/>
      <c r="V1605" s="166">
        <f t="shared" si="68"/>
        <v>0</v>
      </c>
      <c r="W1605" s="205"/>
      <c r="X1605" s="167"/>
    </row>
    <row r="1606" spans="8:24" s="220" customFormat="1" ht="12.75" hidden="1" customHeight="1">
      <c r="H1606" s="168" t="s">
        <v>4181</v>
      </c>
      <c r="I1606" s="206" t="s">
        <v>2351</v>
      </c>
      <c r="J1606" s="206" t="s">
        <v>2352</v>
      </c>
      <c r="K1606" s="206" t="s">
        <v>1206</v>
      </c>
      <c r="L1606" s="206" t="s">
        <v>790</v>
      </c>
      <c r="M1606" s="169"/>
      <c r="N1606" s="165"/>
      <c r="O1606" s="169"/>
      <c r="P1606" s="169">
        <v>32371.599999999999</v>
      </c>
      <c r="Q1606" s="166">
        <f t="shared" si="70"/>
        <v>0</v>
      </c>
      <c r="R1606" s="169"/>
      <c r="S1606" s="169"/>
      <c r="T1606" s="169"/>
      <c r="U1606" s="169"/>
      <c r="V1606" s="166">
        <f t="shared" ref="V1606:V1669" si="71">SUM(O1606+Q1606)+S1606+U1606</f>
        <v>0</v>
      </c>
      <c r="W1606" s="205"/>
      <c r="X1606" s="167"/>
    </row>
    <row r="1607" spans="8:24" s="220" customFormat="1" ht="12.75" hidden="1" customHeight="1">
      <c r="H1607" s="168" t="s">
        <v>4182</v>
      </c>
      <c r="I1607" s="206" t="s">
        <v>1142</v>
      </c>
      <c r="J1607" s="206" t="s">
        <v>791</v>
      </c>
      <c r="K1607" s="207" t="s">
        <v>5293</v>
      </c>
      <c r="L1607" s="206" t="s">
        <v>790</v>
      </c>
      <c r="M1607" s="169"/>
      <c r="N1607" s="165"/>
      <c r="O1607" s="169"/>
      <c r="P1607" s="169">
        <v>43701.66</v>
      </c>
      <c r="Q1607" s="166">
        <f t="shared" si="70"/>
        <v>0</v>
      </c>
      <c r="R1607" s="169"/>
      <c r="S1607" s="169"/>
      <c r="T1607" s="169"/>
      <c r="U1607" s="169"/>
      <c r="V1607" s="166">
        <f t="shared" si="71"/>
        <v>0</v>
      </c>
      <c r="W1607" s="205"/>
      <c r="X1607" s="167"/>
    </row>
    <row r="1608" spans="8:24" s="220" customFormat="1" ht="12.75" hidden="1" customHeight="1">
      <c r="H1608" s="168" t="s">
        <v>4183</v>
      </c>
      <c r="I1608" s="206" t="s">
        <v>4202</v>
      </c>
      <c r="J1608" s="206" t="s">
        <v>4203</v>
      </c>
      <c r="K1608" s="207" t="s">
        <v>5294</v>
      </c>
      <c r="L1608" s="206" t="s">
        <v>790</v>
      </c>
      <c r="M1608" s="169"/>
      <c r="N1608" s="165"/>
      <c r="O1608" s="169"/>
      <c r="P1608" s="169">
        <v>55031.72</v>
      </c>
      <c r="Q1608" s="166">
        <f t="shared" si="70"/>
        <v>0</v>
      </c>
      <c r="R1608" s="169"/>
      <c r="S1608" s="169"/>
      <c r="T1608" s="169"/>
      <c r="U1608" s="169"/>
      <c r="V1608" s="166">
        <f t="shared" si="71"/>
        <v>0</v>
      </c>
      <c r="W1608" s="205"/>
      <c r="X1608" s="167"/>
    </row>
    <row r="1609" spans="8:24" s="220" customFormat="1" ht="12.75" hidden="1" customHeight="1">
      <c r="H1609" s="168" t="s">
        <v>4184</v>
      </c>
      <c r="I1609" s="206" t="s">
        <v>4204</v>
      </c>
      <c r="J1609" s="206" t="s">
        <v>4205</v>
      </c>
      <c r="K1609" s="206" t="s">
        <v>1206</v>
      </c>
      <c r="L1609" s="206" t="s">
        <v>790</v>
      </c>
      <c r="M1609" s="169"/>
      <c r="N1609" s="165"/>
      <c r="O1609" s="169"/>
      <c r="P1609" s="169">
        <v>42083.08</v>
      </c>
      <c r="Q1609" s="166">
        <f t="shared" si="70"/>
        <v>0</v>
      </c>
      <c r="R1609" s="169"/>
      <c r="S1609" s="169"/>
      <c r="T1609" s="169"/>
      <c r="U1609" s="169"/>
      <c r="V1609" s="166">
        <f t="shared" si="71"/>
        <v>0</v>
      </c>
      <c r="W1609" s="205"/>
      <c r="X1609" s="167"/>
    </row>
    <row r="1610" spans="8:24" s="220" customFormat="1" ht="12.75" hidden="1" customHeight="1">
      <c r="H1610" s="168" t="s">
        <v>4185</v>
      </c>
      <c r="I1610" s="206" t="s">
        <v>1143</v>
      </c>
      <c r="J1610" s="206" t="s">
        <v>793</v>
      </c>
      <c r="K1610" s="207" t="s">
        <v>5293</v>
      </c>
      <c r="L1610" s="206" t="s">
        <v>790</v>
      </c>
      <c r="M1610" s="169"/>
      <c r="N1610" s="165"/>
      <c r="O1610" s="169"/>
      <c r="P1610" s="169">
        <v>56650.3</v>
      </c>
      <c r="Q1610" s="166">
        <f t="shared" si="70"/>
        <v>0</v>
      </c>
      <c r="R1610" s="169"/>
      <c r="S1610" s="169"/>
      <c r="T1610" s="169"/>
      <c r="U1610" s="169"/>
      <c r="V1610" s="166">
        <f t="shared" si="71"/>
        <v>0</v>
      </c>
      <c r="W1610" s="205"/>
      <c r="X1610" s="167"/>
    </row>
    <row r="1611" spans="8:24" s="220" customFormat="1" ht="12.75" hidden="1" customHeight="1">
      <c r="H1611" s="168" t="s">
        <v>4186</v>
      </c>
      <c r="I1611" s="206" t="s">
        <v>4206</v>
      </c>
      <c r="J1611" s="206" t="s">
        <v>4207</v>
      </c>
      <c r="K1611" s="207" t="s">
        <v>5294</v>
      </c>
      <c r="L1611" s="206" t="s">
        <v>790</v>
      </c>
      <c r="M1611" s="169"/>
      <c r="N1611" s="165"/>
      <c r="O1611" s="169"/>
      <c r="P1611" s="169">
        <v>71217.52</v>
      </c>
      <c r="Q1611" s="166">
        <f t="shared" si="70"/>
        <v>0</v>
      </c>
      <c r="R1611" s="169"/>
      <c r="S1611" s="169"/>
      <c r="T1611" s="169"/>
      <c r="U1611" s="169"/>
      <c r="V1611" s="166">
        <f t="shared" si="71"/>
        <v>0</v>
      </c>
      <c r="W1611" s="205"/>
      <c r="X1611" s="167"/>
    </row>
    <row r="1612" spans="8:24" s="220" customFormat="1" ht="12.75" hidden="1" customHeight="1">
      <c r="H1612" s="168" t="s">
        <v>4187</v>
      </c>
      <c r="I1612" s="206" t="s">
        <v>4208</v>
      </c>
      <c r="J1612" s="206" t="s">
        <v>4209</v>
      </c>
      <c r="K1612" s="206" t="s">
        <v>1206</v>
      </c>
      <c r="L1612" s="206" t="s">
        <v>790</v>
      </c>
      <c r="M1612" s="169"/>
      <c r="N1612" s="165"/>
      <c r="O1612" s="169"/>
      <c r="P1612" s="169">
        <v>51794.559999999998</v>
      </c>
      <c r="Q1612" s="166">
        <f t="shared" si="70"/>
        <v>0</v>
      </c>
      <c r="R1612" s="169"/>
      <c r="S1612" s="169"/>
      <c r="T1612" s="169"/>
      <c r="U1612" s="169"/>
      <c r="V1612" s="166">
        <f t="shared" si="71"/>
        <v>0</v>
      </c>
      <c r="W1612" s="205"/>
      <c r="X1612" s="167"/>
    </row>
    <row r="1613" spans="8:24" s="220" customFormat="1" ht="12.75" hidden="1" customHeight="1">
      <c r="H1613" s="168" t="s">
        <v>4188</v>
      </c>
      <c r="I1613" s="206" t="s">
        <v>1144</v>
      </c>
      <c r="J1613" s="206" t="s">
        <v>794</v>
      </c>
      <c r="K1613" s="207" t="s">
        <v>5293</v>
      </c>
      <c r="L1613" s="206" t="s">
        <v>790</v>
      </c>
      <c r="M1613" s="169"/>
      <c r="N1613" s="165"/>
      <c r="O1613" s="169"/>
      <c r="P1613" s="169">
        <v>69598.94</v>
      </c>
      <c r="Q1613" s="166">
        <f t="shared" si="70"/>
        <v>0</v>
      </c>
      <c r="R1613" s="169"/>
      <c r="S1613" s="169"/>
      <c r="T1613" s="169"/>
      <c r="U1613" s="169"/>
      <c r="V1613" s="166">
        <f t="shared" si="71"/>
        <v>0</v>
      </c>
      <c r="W1613" s="205"/>
      <c r="X1613" s="167"/>
    </row>
    <row r="1614" spans="8:24" s="220" customFormat="1" ht="12.75" hidden="1" customHeight="1">
      <c r="H1614" s="168" t="s">
        <v>4189</v>
      </c>
      <c r="I1614" s="206" t="s">
        <v>4210</v>
      </c>
      <c r="J1614" s="206" t="s">
        <v>4211</v>
      </c>
      <c r="K1614" s="207" t="s">
        <v>5294</v>
      </c>
      <c r="L1614" s="206" t="s">
        <v>790</v>
      </c>
      <c r="M1614" s="169"/>
      <c r="N1614" s="165"/>
      <c r="O1614" s="169"/>
      <c r="P1614" s="169">
        <v>87403.32</v>
      </c>
      <c r="Q1614" s="166">
        <f t="shared" si="70"/>
        <v>0</v>
      </c>
      <c r="R1614" s="169"/>
      <c r="S1614" s="169"/>
      <c r="T1614" s="169"/>
      <c r="U1614" s="169"/>
      <c r="V1614" s="166">
        <f t="shared" si="71"/>
        <v>0</v>
      </c>
      <c r="W1614" s="205"/>
      <c r="X1614" s="167"/>
    </row>
    <row r="1615" spans="8:24" s="220" customFormat="1" ht="12.75" hidden="1" customHeight="1">
      <c r="H1615" s="168" t="s">
        <v>4190</v>
      </c>
      <c r="I1615" s="206" t="s">
        <v>4212</v>
      </c>
      <c r="J1615" s="206" t="s">
        <v>4213</v>
      </c>
      <c r="K1615" s="206" t="s">
        <v>1206</v>
      </c>
      <c r="L1615" s="206" t="s">
        <v>790</v>
      </c>
      <c r="M1615" s="169"/>
      <c r="N1615" s="165"/>
      <c r="O1615" s="169"/>
      <c r="P1615" s="169">
        <v>92259.06</v>
      </c>
      <c r="Q1615" s="166">
        <f t="shared" si="70"/>
        <v>0</v>
      </c>
      <c r="R1615" s="169"/>
      <c r="S1615" s="169"/>
      <c r="T1615" s="169"/>
      <c r="U1615" s="169"/>
      <c r="V1615" s="166">
        <f t="shared" si="71"/>
        <v>0</v>
      </c>
      <c r="W1615" s="205"/>
      <c r="X1615" s="167"/>
    </row>
    <row r="1616" spans="8:24" s="220" customFormat="1" ht="12.75" hidden="1" customHeight="1">
      <c r="H1616" s="168" t="s">
        <v>4191</v>
      </c>
      <c r="I1616" s="206" t="s">
        <v>1145</v>
      </c>
      <c r="J1616" s="206" t="s">
        <v>795</v>
      </c>
      <c r="K1616" s="207" t="s">
        <v>5293</v>
      </c>
      <c r="L1616" s="206" t="s">
        <v>790</v>
      </c>
      <c r="M1616" s="169"/>
      <c r="N1616" s="165"/>
      <c r="O1616" s="169"/>
      <c r="P1616" s="169">
        <v>124630.66</v>
      </c>
      <c r="Q1616" s="166">
        <f t="shared" si="70"/>
        <v>0</v>
      </c>
      <c r="R1616" s="169"/>
      <c r="S1616" s="169"/>
      <c r="T1616" s="169"/>
      <c r="U1616" s="169"/>
      <c r="V1616" s="166">
        <f t="shared" si="71"/>
        <v>0</v>
      </c>
      <c r="W1616" s="205"/>
      <c r="X1616" s="167"/>
    </row>
    <row r="1617" spans="8:24" s="220" customFormat="1" ht="12.75" hidden="1" customHeight="1">
      <c r="H1617" s="168" t="s">
        <v>4192</v>
      </c>
      <c r="I1617" s="206" t="s">
        <v>4214</v>
      </c>
      <c r="J1617" s="206" t="s">
        <v>4215</v>
      </c>
      <c r="K1617" s="207" t="s">
        <v>5294</v>
      </c>
      <c r="L1617" s="206" t="s">
        <v>790</v>
      </c>
      <c r="M1617" s="169"/>
      <c r="N1617" s="165"/>
      <c r="O1617" s="169"/>
      <c r="P1617" s="169">
        <v>157002.26</v>
      </c>
      <c r="Q1617" s="166">
        <f t="shared" si="70"/>
        <v>0</v>
      </c>
      <c r="R1617" s="169"/>
      <c r="S1617" s="169"/>
      <c r="T1617" s="169"/>
      <c r="U1617" s="169"/>
      <c r="V1617" s="166">
        <f t="shared" si="71"/>
        <v>0</v>
      </c>
      <c r="W1617" s="205"/>
      <c r="X1617" s="167"/>
    </row>
    <row r="1618" spans="8:24" s="220" customFormat="1" ht="12.75" hidden="1" customHeight="1">
      <c r="H1618" s="168" t="s">
        <v>4193</v>
      </c>
      <c r="I1618" s="206" t="s">
        <v>4216</v>
      </c>
      <c r="J1618" s="206" t="s">
        <v>4217</v>
      </c>
      <c r="K1618" s="206" t="s">
        <v>1206</v>
      </c>
      <c r="L1618" s="206" t="s">
        <v>790</v>
      </c>
      <c r="M1618" s="169"/>
      <c r="N1618" s="165"/>
      <c r="O1618" s="169"/>
      <c r="P1618" s="169">
        <v>463129.59999999998</v>
      </c>
      <c r="Q1618" s="166">
        <f t="shared" si="70"/>
        <v>0</v>
      </c>
      <c r="R1618" s="169"/>
      <c r="S1618" s="169"/>
      <c r="T1618" s="169"/>
      <c r="U1618" s="169"/>
      <c r="V1618" s="166">
        <f t="shared" si="71"/>
        <v>0</v>
      </c>
      <c r="W1618" s="205"/>
      <c r="X1618" s="167"/>
    </row>
    <row r="1619" spans="8:24" s="220" customFormat="1" ht="12.75" hidden="1" customHeight="1">
      <c r="H1619" s="168" t="s">
        <v>4194</v>
      </c>
      <c r="I1619" s="206" t="s">
        <v>1146</v>
      </c>
      <c r="J1619" s="206" t="s">
        <v>796</v>
      </c>
      <c r="K1619" s="207" t="s">
        <v>5293</v>
      </c>
      <c r="L1619" s="206" t="s">
        <v>790</v>
      </c>
      <c r="M1619" s="169"/>
      <c r="N1619" s="165"/>
      <c r="O1619" s="169"/>
      <c r="P1619" s="169">
        <v>521020.8</v>
      </c>
      <c r="Q1619" s="166">
        <f t="shared" si="70"/>
        <v>0</v>
      </c>
      <c r="R1619" s="169"/>
      <c r="S1619" s="169"/>
      <c r="T1619" s="169"/>
      <c r="U1619" s="169"/>
      <c r="V1619" s="166">
        <f t="shared" si="71"/>
        <v>0</v>
      </c>
      <c r="W1619" s="205"/>
      <c r="X1619" s="167"/>
    </row>
    <row r="1620" spans="8:24" s="220" customFormat="1" ht="12.75" hidden="1" customHeight="1">
      <c r="H1620" s="168" t="s">
        <v>4195</v>
      </c>
      <c r="I1620" s="206" t="s">
        <v>4218</v>
      </c>
      <c r="J1620" s="206" t="s">
        <v>4219</v>
      </c>
      <c r="K1620" s="207" t="s">
        <v>5294</v>
      </c>
      <c r="L1620" s="206" t="s">
        <v>790</v>
      </c>
      <c r="M1620" s="169"/>
      <c r="N1620" s="165"/>
      <c r="O1620" s="169"/>
      <c r="P1620" s="169">
        <v>578912</v>
      </c>
      <c r="Q1620" s="166">
        <f t="shared" si="70"/>
        <v>0</v>
      </c>
      <c r="R1620" s="169"/>
      <c r="S1620" s="169"/>
      <c r="T1620" s="169"/>
      <c r="U1620" s="169"/>
      <c r="V1620" s="166">
        <f t="shared" si="71"/>
        <v>0</v>
      </c>
      <c r="W1620" s="205"/>
      <c r="X1620" s="167"/>
    </row>
    <row r="1621" spans="8:24" s="220" customFormat="1" ht="12.75" hidden="1" customHeight="1">
      <c r="H1621" s="168" t="s">
        <v>4196</v>
      </c>
      <c r="I1621" s="206" t="s">
        <v>4220</v>
      </c>
      <c r="J1621" s="206" t="s">
        <v>4221</v>
      </c>
      <c r="K1621" s="206" t="s">
        <v>1206</v>
      </c>
      <c r="L1621" s="206" t="s">
        <v>790</v>
      </c>
      <c r="M1621" s="169"/>
      <c r="N1621" s="165"/>
      <c r="O1621" s="169"/>
      <c r="P1621" s="169">
        <v>694694.40000000002</v>
      </c>
      <c r="Q1621" s="166">
        <f t="shared" si="70"/>
        <v>0</v>
      </c>
      <c r="R1621" s="169"/>
      <c r="S1621" s="169"/>
      <c r="T1621" s="169"/>
      <c r="U1621" s="169"/>
      <c r="V1621" s="166">
        <f t="shared" si="71"/>
        <v>0</v>
      </c>
      <c r="W1621" s="205"/>
      <c r="X1621" s="167"/>
    </row>
    <row r="1622" spans="8:24" s="220" customFormat="1" ht="12.75" hidden="1" customHeight="1">
      <c r="H1622" s="168" t="s">
        <v>4197</v>
      </c>
      <c r="I1622" s="206" t="s">
        <v>1147</v>
      </c>
      <c r="J1622" s="206" t="s">
        <v>797</v>
      </c>
      <c r="K1622" s="207" t="s">
        <v>5293</v>
      </c>
      <c r="L1622" s="206" t="s">
        <v>790</v>
      </c>
      <c r="M1622" s="169"/>
      <c r="N1622" s="165"/>
      <c r="O1622" s="169"/>
      <c r="P1622" s="169">
        <v>752585.6</v>
      </c>
      <c r="Q1622" s="166">
        <f t="shared" si="70"/>
        <v>0</v>
      </c>
      <c r="R1622" s="169"/>
      <c r="S1622" s="169"/>
      <c r="T1622" s="169"/>
      <c r="U1622" s="169"/>
      <c r="V1622" s="166">
        <f t="shared" si="71"/>
        <v>0</v>
      </c>
      <c r="W1622" s="205"/>
      <c r="X1622" s="167"/>
    </row>
    <row r="1623" spans="8:24" s="220" customFormat="1" ht="12.75" hidden="1" customHeight="1">
      <c r="H1623" s="168" t="s">
        <v>4198</v>
      </c>
      <c r="I1623" s="206" t="s">
        <v>4222</v>
      </c>
      <c r="J1623" s="206" t="s">
        <v>4223</v>
      </c>
      <c r="K1623" s="207" t="s">
        <v>5294</v>
      </c>
      <c r="L1623" s="206" t="s">
        <v>790</v>
      </c>
      <c r="M1623" s="169"/>
      <c r="N1623" s="165"/>
      <c r="O1623" s="169"/>
      <c r="P1623" s="169">
        <v>810476.8</v>
      </c>
      <c r="Q1623" s="166">
        <f t="shared" si="70"/>
        <v>0</v>
      </c>
      <c r="R1623" s="169"/>
      <c r="S1623" s="169"/>
      <c r="T1623" s="169"/>
      <c r="U1623" s="169"/>
      <c r="V1623" s="166">
        <f t="shared" si="71"/>
        <v>0</v>
      </c>
      <c r="W1623" s="205"/>
      <c r="X1623" s="167"/>
    </row>
    <row r="1624" spans="8:24" s="220" customFormat="1" ht="12.75" hidden="1" customHeight="1">
      <c r="H1624" s="168" t="s">
        <v>4199</v>
      </c>
      <c r="I1624" s="206" t="s">
        <v>4224</v>
      </c>
      <c r="J1624" s="206" t="s">
        <v>4225</v>
      </c>
      <c r="K1624" s="206" t="s">
        <v>1206</v>
      </c>
      <c r="L1624" s="206" t="s">
        <v>790</v>
      </c>
      <c r="M1624" s="169"/>
      <c r="N1624" s="165"/>
      <c r="O1624" s="169"/>
      <c r="P1624" s="169">
        <v>1208863.2</v>
      </c>
      <c r="Q1624" s="166">
        <f t="shared" si="70"/>
        <v>0</v>
      </c>
      <c r="R1624" s="169"/>
      <c r="S1624" s="169"/>
      <c r="T1624" s="169"/>
      <c r="U1624" s="169"/>
      <c r="V1624" s="166">
        <f t="shared" si="71"/>
        <v>0</v>
      </c>
      <c r="W1624" s="205"/>
      <c r="X1624" s="167"/>
    </row>
    <row r="1625" spans="8:24" s="220" customFormat="1" ht="12.75" hidden="1" customHeight="1">
      <c r="H1625" s="168" t="s">
        <v>4200</v>
      </c>
      <c r="I1625" s="206" t="s">
        <v>1148</v>
      </c>
      <c r="J1625" s="206" t="s">
        <v>798</v>
      </c>
      <c r="K1625" s="206" t="s">
        <v>792</v>
      </c>
      <c r="L1625" s="206" t="s">
        <v>790</v>
      </c>
      <c r="M1625" s="169"/>
      <c r="N1625" s="165"/>
      <c r="O1625" s="169"/>
      <c r="P1625" s="169">
        <v>1676659.7</v>
      </c>
      <c r="Q1625" s="166">
        <f t="shared" si="70"/>
        <v>0</v>
      </c>
      <c r="R1625" s="169"/>
      <c r="S1625" s="169"/>
      <c r="T1625" s="169"/>
      <c r="U1625" s="169"/>
      <c r="V1625" s="166">
        <f t="shared" si="71"/>
        <v>0</v>
      </c>
      <c r="W1625" s="205"/>
      <c r="X1625" s="167"/>
    </row>
    <row r="1626" spans="8:24" s="220" customFormat="1" ht="12.75" hidden="1" customHeight="1">
      <c r="H1626" s="168" t="s">
        <v>4201</v>
      </c>
      <c r="I1626" s="206" t="s">
        <v>4226</v>
      </c>
      <c r="J1626" s="206" t="s">
        <v>4227</v>
      </c>
      <c r="K1626" s="206" t="s">
        <v>4228</v>
      </c>
      <c r="L1626" s="206" t="s">
        <v>790</v>
      </c>
      <c r="M1626" s="169"/>
      <c r="N1626" s="165"/>
      <c r="O1626" s="169"/>
      <c r="P1626" s="169">
        <v>2144456.2000000002</v>
      </c>
      <c r="Q1626" s="166">
        <f t="shared" si="70"/>
        <v>0</v>
      </c>
      <c r="R1626" s="169"/>
      <c r="S1626" s="169"/>
      <c r="T1626" s="169"/>
      <c r="U1626" s="169"/>
      <c r="V1626" s="166">
        <f t="shared" si="71"/>
        <v>0</v>
      </c>
      <c r="W1626" s="205"/>
      <c r="X1626" s="167"/>
    </row>
    <row r="1627" spans="8:24" s="220" customFormat="1" ht="12.75" hidden="1" customHeight="1">
      <c r="H1627" s="168" t="s">
        <v>4229</v>
      </c>
      <c r="I1627" s="206" t="s">
        <v>4240</v>
      </c>
      <c r="J1627" s="206" t="s">
        <v>4241</v>
      </c>
      <c r="K1627" s="207" t="s">
        <v>5193</v>
      </c>
      <c r="L1627" s="206" t="s">
        <v>745</v>
      </c>
      <c r="M1627" s="169"/>
      <c r="N1627" s="165"/>
      <c r="O1627" s="169"/>
      <c r="P1627" s="169">
        <v>365775.79</v>
      </c>
      <c r="Q1627" s="166">
        <f t="shared" si="70"/>
        <v>0</v>
      </c>
      <c r="R1627" s="169"/>
      <c r="S1627" s="169"/>
      <c r="T1627" s="169"/>
      <c r="U1627" s="169"/>
      <c r="V1627" s="166">
        <f t="shared" si="71"/>
        <v>0</v>
      </c>
      <c r="W1627" s="205"/>
      <c r="X1627" s="167"/>
    </row>
    <row r="1628" spans="8:24" s="220" customFormat="1" ht="12.75" hidden="1" customHeight="1">
      <c r="H1628" s="168" t="s">
        <v>4230</v>
      </c>
      <c r="I1628" s="206" t="s">
        <v>4242</v>
      </c>
      <c r="J1628" s="206" t="s">
        <v>4243</v>
      </c>
      <c r="K1628" s="207" t="s">
        <v>5194</v>
      </c>
      <c r="L1628" s="206" t="s">
        <v>745</v>
      </c>
      <c r="M1628" s="169"/>
      <c r="N1628" s="165"/>
      <c r="O1628" s="169"/>
      <c r="P1628" s="169">
        <v>405391.14</v>
      </c>
      <c r="Q1628" s="166">
        <f t="shared" si="70"/>
        <v>0</v>
      </c>
      <c r="R1628" s="169"/>
      <c r="S1628" s="169"/>
      <c r="T1628" s="169"/>
      <c r="U1628" s="169"/>
      <c r="V1628" s="166">
        <f t="shared" si="71"/>
        <v>0</v>
      </c>
      <c r="W1628" s="205"/>
      <c r="X1628" s="167"/>
    </row>
    <row r="1629" spans="8:24" s="220" customFormat="1" ht="12.75" hidden="1" customHeight="1">
      <c r="H1629" s="168" t="s">
        <v>4231</v>
      </c>
      <c r="I1629" s="206" t="s">
        <v>4244</v>
      </c>
      <c r="J1629" s="206" t="s">
        <v>4245</v>
      </c>
      <c r="K1629" s="207" t="s">
        <v>5195</v>
      </c>
      <c r="L1629" s="206" t="s">
        <v>745</v>
      </c>
      <c r="M1629" s="169"/>
      <c r="N1629" s="165"/>
      <c r="O1629" s="169"/>
      <c r="P1629" s="169">
        <v>695173.39</v>
      </c>
      <c r="Q1629" s="166">
        <f t="shared" si="70"/>
        <v>0</v>
      </c>
      <c r="R1629" s="169"/>
      <c r="S1629" s="169"/>
      <c r="T1629" s="169"/>
      <c r="U1629" s="169"/>
      <c r="V1629" s="166">
        <f t="shared" si="71"/>
        <v>0</v>
      </c>
      <c r="W1629" s="205"/>
      <c r="X1629" s="167"/>
    </row>
    <row r="1630" spans="8:24" s="220" customFormat="1" ht="12.75" hidden="1" customHeight="1">
      <c r="H1630" s="168" t="s">
        <v>4232</v>
      </c>
      <c r="I1630" s="206" t="s">
        <v>4246</v>
      </c>
      <c r="J1630" s="206" t="s">
        <v>4247</v>
      </c>
      <c r="K1630" s="207" t="s">
        <v>5196</v>
      </c>
      <c r="L1630" s="206" t="s">
        <v>745</v>
      </c>
      <c r="M1630" s="169"/>
      <c r="N1630" s="165"/>
      <c r="O1630" s="169"/>
      <c r="P1630" s="169">
        <v>936675.02</v>
      </c>
      <c r="Q1630" s="166">
        <f t="shared" si="70"/>
        <v>0</v>
      </c>
      <c r="R1630" s="169"/>
      <c r="S1630" s="169"/>
      <c r="T1630" s="169"/>
      <c r="U1630" s="169"/>
      <c r="V1630" s="166">
        <f t="shared" si="71"/>
        <v>0</v>
      </c>
      <c r="W1630" s="205"/>
      <c r="X1630" s="167"/>
    </row>
    <row r="1631" spans="8:24" s="220" customFormat="1" ht="12.75" hidden="1" customHeight="1">
      <c r="H1631" s="168" t="s">
        <v>4233</v>
      </c>
      <c r="I1631" s="206" t="s">
        <v>4248</v>
      </c>
      <c r="J1631" s="206" t="s">
        <v>4249</v>
      </c>
      <c r="K1631" s="207" t="s">
        <v>5197</v>
      </c>
      <c r="L1631" s="206" t="s">
        <v>745</v>
      </c>
      <c r="M1631" s="169"/>
      <c r="N1631" s="165"/>
      <c r="O1631" s="169"/>
      <c r="P1631" s="169">
        <v>984758.58</v>
      </c>
      <c r="Q1631" s="166">
        <f t="shared" si="70"/>
        <v>0</v>
      </c>
      <c r="R1631" s="169"/>
      <c r="S1631" s="169"/>
      <c r="T1631" s="169"/>
      <c r="U1631" s="169"/>
      <c r="V1631" s="166">
        <f t="shared" si="71"/>
        <v>0</v>
      </c>
      <c r="W1631" s="205"/>
      <c r="X1631" s="167"/>
    </row>
    <row r="1632" spans="8:24" s="220" customFormat="1" ht="12.75" hidden="1" customHeight="1">
      <c r="H1632" s="168" t="s">
        <v>4234</v>
      </c>
      <c r="I1632" s="206" t="s">
        <v>4250</v>
      </c>
      <c r="J1632" s="206" t="s">
        <v>4251</v>
      </c>
      <c r="K1632" s="207" t="s">
        <v>5198</v>
      </c>
      <c r="L1632" s="206" t="s">
        <v>745</v>
      </c>
      <c r="M1632" s="169"/>
      <c r="N1632" s="165"/>
      <c r="O1632" s="169"/>
      <c r="P1632" s="169">
        <v>1178453.43</v>
      </c>
      <c r="Q1632" s="166">
        <f t="shared" si="70"/>
        <v>0</v>
      </c>
      <c r="R1632" s="169"/>
      <c r="S1632" s="169"/>
      <c r="T1632" s="169"/>
      <c r="U1632" s="169"/>
      <c r="V1632" s="166">
        <f t="shared" si="71"/>
        <v>0</v>
      </c>
      <c r="W1632" s="205"/>
      <c r="X1632" s="167"/>
    </row>
    <row r="1633" spans="8:24" s="220" customFormat="1" ht="12.75" hidden="1" customHeight="1">
      <c r="H1633" s="168" t="s">
        <v>4235</v>
      </c>
      <c r="I1633" s="206" t="s">
        <v>4252</v>
      </c>
      <c r="J1633" s="206" t="s">
        <v>4253</v>
      </c>
      <c r="K1633" s="207" t="s">
        <v>5199</v>
      </c>
      <c r="L1633" s="206" t="s">
        <v>745</v>
      </c>
      <c r="M1633" s="169"/>
      <c r="N1633" s="165"/>
      <c r="O1633" s="169"/>
      <c r="P1633" s="169">
        <v>1378069.04</v>
      </c>
      <c r="Q1633" s="166">
        <f t="shared" si="70"/>
        <v>0</v>
      </c>
      <c r="R1633" s="169"/>
      <c r="S1633" s="169"/>
      <c r="T1633" s="169"/>
      <c r="U1633" s="169"/>
      <c r="V1633" s="166">
        <f t="shared" si="71"/>
        <v>0</v>
      </c>
      <c r="W1633" s="205"/>
      <c r="X1633" s="167"/>
    </row>
    <row r="1634" spans="8:24" s="220" customFormat="1" ht="12.75" hidden="1" customHeight="1">
      <c r="H1634" s="168" t="s">
        <v>4236</v>
      </c>
      <c r="I1634" s="206" t="s">
        <v>4254</v>
      </c>
      <c r="J1634" s="206" t="s">
        <v>4255</v>
      </c>
      <c r="K1634" s="207" t="s">
        <v>5200</v>
      </c>
      <c r="L1634" s="206" t="s">
        <v>745</v>
      </c>
      <c r="M1634" s="169"/>
      <c r="N1634" s="165"/>
      <c r="O1634" s="169"/>
      <c r="P1634" s="169">
        <v>1575099.58</v>
      </c>
      <c r="Q1634" s="166">
        <f t="shared" si="70"/>
        <v>0</v>
      </c>
      <c r="R1634" s="169"/>
      <c r="S1634" s="169"/>
      <c r="T1634" s="169"/>
      <c r="U1634" s="169"/>
      <c r="V1634" s="166">
        <f t="shared" si="71"/>
        <v>0</v>
      </c>
      <c r="W1634" s="205"/>
      <c r="X1634" s="167"/>
    </row>
    <row r="1635" spans="8:24" s="220" customFormat="1" ht="12.75" hidden="1" customHeight="1">
      <c r="H1635" s="168" t="s">
        <v>4237</v>
      </c>
      <c r="I1635" s="206" t="s">
        <v>4256</v>
      </c>
      <c r="J1635" s="206" t="s">
        <v>4257</v>
      </c>
      <c r="K1635" s="207" t="s">
        <v>5201</v>
      </c>
      <c r="L1635" s="206" t="s">
        <v>745</v>
      </c>
      <c r="M1635" s="169"/>
      <c r="N1635" s="165"/>
      <c r="O1635" s="169"/>
      <c r="P1635" s="169">
        <v>2057708.72</v>
      </c>
      <c r="Q1635" s="166">
        <f t="shared" si="70"/>
        <v>0</v>
      </c>
      <c r="R1635" s="169"/>
      <c r="S1635" s="169"/>
      <c r="T1635" s="169"/>
      <c r="U1635" s="169"/>
      <c r="V1635" s="166">
        <f t="shared" si="71"/>
        <v>0</v>
      </c>
      <c r="W1635" s="205"/>
      <c r="X1635" s="167"/>
    </row>
    <row r="1636" spans="8:24" s="220" customFormat="1" ht="12.75" hidden="1" customHeight="1">
      <c r="H1636" s="168" t="s">
        <v>4238</v>
      </c>
      <c r="I1636" s="206" t="s">
        <v>4258</v>
      </c>
      <c r="J1636" s="206" t="s">
        <v>4259</v>
      </c>
      <c r="K1636" s="207" t="s">
        <v>5202</v>
      </c>
      <c r="L1636" s="206" t="s">
        <v>745</v>
      </c>
      <c r="M1636" s="169"/>
      <c r="N1636" s="165"/>
      <c r="O1636" s="169"/>
      <c r="P1636" s="169">
        <v>2784521.9</v>
      </c>
      <c r="Q1636" s="166">
        <f t="shared" si="70"/>
        <v>0</v>
      </c>
      <c r="R1636" s="169"/>
      <c r="S1636" s="169"/>
      <c r="T1636" s="169"/>
      <c r="U1636" s="169"/>
      <c r="V1636" s="166">
        <f t="shared" si="71"/>
        <v>0</v>
      </c>
      <c r="W1636" s="205"/>
      <c r="X1636" s="167"/>
    </row>
    <row r="1637" spans="8:24" s="220" customFormat="1" ht="12.75" hidden="1" customHeight="1">
      <c r="H1637" s="168" t="s">
        <v>4239</v>
      </c>
      <c r="I1637" s="206" t="s">
        <v>4260</v>
      </c>
      <c r="J1637" s="206" t="s">
        <v>4261</v>
      </c>
      <c r="K1637" s="207" t="s">
        <v>5203</v>
      </c>
      <c r="L1637" s="206" t="s">
        <v>745</v>
      </c>
      <c r="M1637" s="169"/>
      <c r="N1637" s="165"/>
      <c r="O1637" s="169"/>
      <c r="P1637" s="169">
        <v>3567117.42</v>
      </c>
      <c r="Q1637" s="166">
        <f t="shared" si="70"/>
        <v>0</v>
      </c>
      <c r="R1637" s="169"/>
      <c r="S1637" s="169"/>
      <c r="T1637" s="169"/>
      <c r="U1637" s="169"/>
      <c r="V1637" s="166">
        <f t="shared" si="71"/>
        <v>0</v>
      </c>
      <c r="W1637" s="205"/>
      <c r="X1637" s="167"/>
    </row>
    <row r="1638" spans="8:24" s="220" customFormat="1" ht="12.75" hidden="1" customHeight="1">
      <c r="H1638" s="168" t="s">
        <v>4262</v>
      </c>
      <c r="I1638" s="206" t="s">
        <v>4278</v>
      </c>
      <c r="J1638" s="206" t="s">
        <v>4279</v>
      </c>
      <c r="K1638" s="206" t="s">
        <v>4280</v>
      </c>
      <c r="L1638" s="206" t="s">
        <v>745</v>
      </c>
      <c r="M1638" s="169"/>
      <c r="N1638" s="165"/>
      <c r="O1638" s="169"/>
      <c r="P1638" s="169">
        <v>566932.80000000005</v>
      </c>
      <c r="Q1638" s="166">
        <f t="shared" si="70"/>
        <v>0</v>
      </c>
      <c r="R1638" s="169"/>
      <c r="S1638" s="169"/>
      <c r="T1638" s="169"/>
      <c r="U1638" s="169"/>
      <c r="V1638" s="166">
        <f t="shared" si="71"/>
        <v>0</v>
      </c>
      <c r="W1638" s="205"/>
      <c r="X1638" s="167"/>
    </row>
    <row r="1639" spans="8:24" s="220" customFormat="1" ht="12.75" hidden="1" customHeight="1">
      <c r="H1639" s="168" t="s">
        <v>4263</v>
      </c>
      <c r="I1639" s="206" t="s">
        <v>4281</v>
      </c>
      <c r="J1639" s="206" t="s">
        <v>4282</v>
      </c>
      <c r="K1639" s="206" t="s">
        <v>4283</v>
      </c>
      <c r="L1639" s="206" t="s">
        <v>745</v>
      </c>
      <c r="M1639" s="169"/>
      <c r="N1639" s="165"/>
      <c r="O1639" s="169"/>
      <c r="P1639" s="169">
        <v>593929.6</v>
      </c>
      <c r="Q1639" s="166">
        <f t="shared" si="70"/>
        <v>0</v>
      </c>
      <c r="R1639" s="169"/>
      <c r="S1639" s="169"/>
      <c r="T1639" s="169"/>
      <c r="U1639" s="169"/>
      <c r="V1639" s="166">
        <f t="shared" si="71"/>
        <v>0</v>
      </c>
      <c r="W1639" s="205"/>
      <c r="X1639" s="167"/>
    </row>
    <row r="1640" spans="8:24" s="220" customFormat="1" ht="12.75" hidden="1" customHeight="1">
      <c r="H1640" s="168" t="s">
        <v>4264</v>
      </c>
      <c r="I1640" s="206" t="s">
        <v>4284</v>
      </c>
      <c r="J1640" s="206" t="s">
        <v>4285</v>
      </c>
      <c r="K1640" s="206" t="s">
        <v>4286</v>
      </c>
      <c r="L1640" s="206" t="s">
        <v>745</v>
      </c>
      <c r="M1640" s="169"/>
      <c r="N1640" s="165"/>
      <c r="O1640" s="169"/>
      <c r="P1640" s="169">
        <v>680319.36</v>
      </c>
      <c r="Q1640" s="166">
        <f t="shared" si="70"/>
        <v>0</v>
      </c>
      <c r="R1640" s="169"/>
      <c r="S1640" s="169"/>
      <c r="T1640" s="169"/>
      <c r="U1640" s="169"/>
      <c r="V1640" s="166">
        <f t="shared" si="71"/>
        <v>0</v>
      </c>
      <c r="W1640" s="205"/>
      <c r="X1640" s="167"/>
    </row>
    <row r="1641" spans="8:24" s="220" customFormat="1" ht="12.75" hidden="1" customHeight="1">
      <c r="H1641" s="168" t="s">
        <v>4265</v>
      </c>
      <c r="I1641" s="206" t="s">
        <v>1092</v>
      </c>
      <c r="J1641" s="206" t="s">
        <v>809</v>
      </c>
      <c r="K1641" s="206" t="s">
        <v>810</v>
      </c>
      <c r="L1641" s="206" t="s">
        <v>745</v>
      </c>
      <c r="M1641" s="169"/>
      <c r="N1641" s="165"/>
      <c r="O1641" s="169"/>
      <c r="P1641" s="169">
        <v>745111.68</v>
      </c>
      <c r="Q1641" s="166">
        <f t="shared" si="70"/>
        <v>0</v>
      </c>
      <c r="R1641" s="169"/>
      <c r="S1641" s="169"/>
      <c r="T1641" s="169"/>
      <c r="U1641" s="169"/>
      <c r="V1641" s="166">
        <f t="shared" si="71"/>
        <v>0</v>
      </c>
      <c r="W1641" s="205"/>
      <c r="X1641" s="167"/>
    </row>
    <row r="1642" spans="8:24" s="220" customFormat="1" ht="12.75" hidden="1" customHeight="1">
      <c r="H1642" s="168" t="s">
        <v>4266</v>
      </c>
      <c r="I1642" s="206" t="s">
        <v>1093</v>
      </c>
      <c r="J1642" s="206" t="s">
        <v>811</v>
      </c>
      <c r="K1642" s="206" t="s">
        <v>812</v>
      </c>
      <c r="L1642" s="206" t="s">
        <v>745</v>
      </c>
      <c r="M1642" s="169"/>
      <c r="N1642" s="165"/>
      <c r="O1642" s="169"/>
      <c r="P1642" s="169">
        <v>844999.84</v>
      </c>
      <c r="Q1642" s="166">
        <f t="shared" si="70"/>
        <v>0</v>
      </c>
      <c r="R1642" s="169"/>
      <c r="S1642" s="169"/>
      <c r="T1642" s="169"/>
      <c r="U1642" s="169"/>
      <c r="V1642" s="166">
        <f t="shared" si="71"/>
        <v>0</v>
      </c>
      <c r="W1642" s="205"/>
      <c r="X1642" s="167"/>
    </row>
    <row r="1643" spans="8:24" s="220" customFormat="1" ht="12.75" hidden="1" customHeight="1">
      <c r="H1643" s="168" t="s">
        <v>4267</v>
      </c>
      <c r="I1643" s="206" t="s">
        <v>1094</v>
      </c>
      <c r="J1643" s="206" t="s">
        <v>813</v>
      </c>
      <c r="K1643" s="206" t="s">
        <v>814</v>
      </c>
      <c r="L1643" s="206" t="s">
        <v>745</v>
      </c>
      <c r="M1643" s="169"/>
      <c r="N1643" s="165"/>
      <c r="O1643" s="169"/>
      <c r="P1643" s="169">
        <v>942188.32</v>
      </c>
      <c r="Q1643" s="166">
        <f t="shared" si="70"/>
        <v>0</v>
      </c>
      <c r="R1643" s="169"/>
      <c r="S1643" s="169"/>
      <c r="T1643" s="169"/>
      <c r="U1643" s="169"/>
      <c r="V1643" s="166">
        <f t="shared" si="71"/>
        <v>0</v>
      </c>
      <c r="W1643" s="205"/>
      <c r="X1643" s="167"/>
    </row>
    <row r="1644" spans="8:24" s="220" customFormat="1" ht="12.75" hidden="1" customHeight="1">
      <c r="H1644" s="168" t="s">
        <v>4268</v>
      </c>
      <c r="I1644" s="206" t="s">
        <v>1095</v>
      </c>
      <c r="J1644" s="206" t="s">
        <v>4287</v>
      </c>
      <c r="K1644" s="206" t="s">
        <v>4288</v>
      </c>
      <c r="L1644" s="206" t="s">
        <v>745</v>
      </c>
      <c r="M1644" s="169"/>
      <c r="N1644" s="165"/>
      <c r="O1644" s="169"/>
      <c r="P1644" s="169">
        <v>1131165.92</v>
      </c>
      <c r="Q1644" s="166">
        <f t="shared" si="70"/>
        <v>0</v>
      </c>
      <c r="R1644" s="169"/>
      <c r="S1644" s="169"/>
      <c r="T1644" s="169"/>
      <c r="U1644" s="169"/>
      <c r="V1644" s="166">
        <f t="shared" si="71"/>
        <v>0</v>
      </c>
      <c r="W1644" s="205"/>
      <c r="X1644" s="167"/>
    </row>
    <row r="1645" spans="8:24" s="220" customFormat="1" ht="12.75" hidden="1" customHeight="1">
      <c r="H1645" s="168" t="s">
        <v>4269</v>
      </c>
      <c r="I1645" s="206" t="s">
        <v>4289</v>
      </c>
      <c r="J1645" s="206" t="s">
        <v>4290</v>
      </c>
      <c r="K1645" s="206" t="s">
        <v>4291</v>
      </c>
      <c r="L1645" s="206" t="s">
        <v>745</v>
      </c>
      <c r="M1645" s="169"/>
      <c r="N1645" s="165"/>
      <c r="O1645" s="169"/>
      <c r="P1645" s="169">
        <v>1357939.04</v>
      </c>
      <c r="Q1645" s="166">
        <f t="shared" si="70"/>
        <v>0</v>
      </c>
      <c r="R1645" s="169"/>
      <c r="S1645" s="169"/>
      <c r="T1645" s="169"/>
      <c r="U1645" s="169"/>
      <c r="V1645" s="166">
        <f t="shared" si="71"/>
        <v>0</v>
      </c>
      <c r="W1645" s="205"/>
      <c r="X1645" s="167"/>
    </row>
    <row r="1646" spans="8:24" s="220" customFormat="1" ht="12.75" hidden="1" customHeight="1">
      <c r="H1646" s="168" t="s">
        <v>4270</v>
      </c>
      <c r="I1646" s="206" t="s">
        <v>4292</v>
      </c>
      <c r="J1646" s="206" t="s">
        <v>4293</v>
      </c>
      <c r="K1646" s="207" t="s">
        <v>5204</v>
      </c>
      <c r="L1646" s="206" t="s">
        <v>745</v>
      </c>
      <c r="M1646" s="169"/>
      <c r="N1646" s="165"/>
      <c r="O1646" s="169"/>
      <c r="P1646" s="169">
        <v>680319.36</v>
      </c>
      <c r="Q1646" s="166">
        <f t="shared" si="70"/>
        <v>0</v>
      </c>
      <c r="R1646" s="169"/>
      <c r="S1646" s="169"/>
      <c r="T1646" s="169"/>
      <c r="U1646" s="169"/>
      <c r="V1646" s="166">
        <f t="shared" si="71"/>
        <v>0</v>
      </c>
      <c r="W1646" s="205"/>
      <c r="X1646" s="167"/>
    </row>
    <row r="1647" spans="8:24" s="220" customFormat="1" ht="12.75" hidden="1" customHeight="1">
      <c r="H1647" s="168" t="s">
        <v>4271</v>
      </c>
      <c r="I1647" s="206" t="s">
        <v>4294</v>
      </c>
      <c r="J1647" s="206" t="s">
        <v>4295</v>
      </c>
      <c r="K1647" s="207" t="s">
        <v>5205</v>
      </c>
      <c r="L1647" s="206" t="s">
        <v>745</v>
      </c>
      <c r="M1647" s="169"/>
      <c r="N1647" s="165"/>
      <c r="O1647" s="169"/>
      <c r="P1647" s="169">
        <v>715415.2</v>
      </c>
      <c r="Q1647" s="166">
        <f t="shared" si="70"/>
        <v>0</v>
      </c>
      <c r="R1647" s="169"/>
      <c r="S1647" s="169"/>
      <c r="T1647" s="169"/>
      <c r="U1647" s="169"/>
      <c r="V1647" s="166">
        <f t="shared" si="71"/>
        <v>0</v>
      </c>
      <c r="W1647" s="205"/>
      <c r="X1647" s="167"/>
    </row>
    <row r="1648" spans="8:24" s="220" customFormat="1" ht="12.75" hidden="1" customHeight="1">
      <c r="H1648" s="168" t="s">
        <v>4272</v>
      </c>
      <c r="I1648" s="206" t="s">
        <v>4296</v>
      </c>
      <c r="J1648" s="206" t="s">
        <v>4297</v>
      </c>
      <c r="K1648" s="207" t="s">
        <v>5206</v>
      </c>
      <c r="L1648" s="206" t="s">
        <v>745</v>
      </c>
      <c r="M1648" s="169"/>
      <c r="N1648" s="165"/>
      <c r="O1648" s="169"/>
      <c r="P1648" s="169">
        <v>782907.2</v>
      </c>
      <c r="Q1648" s="166">
        <f t="shared" si="70"/>
        <v>0</v>
      </c>
      <c r="R1648" s="169"/>
      <c r="S1648" s="169"/>
      <c r="T1648" s="169"/>
      <c r="U1648" s="169"/>
      <c r="V1648" s="166">
        <f t="shared" si="71"/>
        <v>0</v>
      </c>
      <c r="W1648" s="205"/>
      <c r="X1648" s="167"/>
    </row>
    <row r="1649" spans="8:24" s="220" customFormat="1" ht="12.75" hidden="1" customHeight="1">
      <c r="H1649" s="168" t="s">
        <v>4273</v>
      </c>
      <c r="I1649" s="206" t="s">
        <v>4298</v>
      </c>
      <c r="J1649" s="206" t="s">
        <v>4299</v>
      </c>
      <c r="K1649" s="207" t="s">
        <v>5207</v>
      </c>
      <c r="L1649" s="206" t="s">
        <v>745</v>
      </c>
      <c r="M1649" s="169"/>
      <c r="N1649" s="165"/>
      <c r="O1649" s="169"/>
      <c r="P1649" s="169">
        <v>831501.44</v>
      </c>
      <c r="Q1649" s="166">
        <f t="shared" si="70"/>
        <v>0</v>
      </c>
      <c r="R1649" s="169"/>
      <c r="S1649" s="169"/>
      <c r="T1649" s="169"/>
      <c r="U1649" s="169"/>
      <c r="V1649" s="166">
        <f t="shared" si="71"/>
        <v>0</v>
      </c>
      <c r="W1649" s="205"/>
      <c r="X1649" s="167"/>
    </row>
    <row r="1650" spans="8:24" s="220" customFormat="1" ht="12.75" hidden="1" customHeight="1">
      <c r="H1650" s="168" t="s">
        <v>4274</v>
      </c>
      <c r="I1650" s="206" t="s">
        <v>4300</v>
      </c>
      <c r="J1650" s="206" t="s">
        <v>4301</v>
      </c>
      <c r="K1650" s="207" t="s">
        <v>5208</v>
      </c>
      <c r="L1650" s="206" t="s">
        <v>745</v>
      </c>
      <c r="M1650" s="169"/>
      <c r="N1650" s="165"/>
      <c r="O1650" s="169"/>
      <c r="P1650" s="169">
        <v>909792.16</v>
      </c>
      <c r="Q1650" s="166">
        <f t="shared" si="70"/>
        <v>0</v>
      </c>
      <c r="R1650" s="169"/>
      <c r="S1650" s="169"/>
      <c r="T1650" s="169"/>
      <c r="U1650" s="169"/>
      <c r="V1650" s="166">
        <f t="shared" si="71"/>
        <v>0</v>
      </c>
      <c r="W1650" s="205"/>
      <c r="X1650" s="167"/>
    </row>
    <row r="1651" spans="8:24" s="220" customFormat="1" ht="12.75" hidden="1" customHeight="1">
      <c r="H1651" s="168" t="s">
        <v>4275</v>
      </c>
      <c r="I1651" s="206" t="s">
        <v>4302</v>
      </c>
      <c r="J1651" s="206" t="s">
        <v>4303</v>
      </c>
      <c r="K1651" s="207" t="s">
        <v>5209</v>
      </c>
      <c r="L1651" s="206" t="s">
        <v>745</v>
      </c>
      <c r="M1651" s="169"/>
      <c r="N1651" s="165"/>
      <c r="O1651" s="169"/>
      <c r="P1651" s="169">
        <v>998881.6</v>
      </c>
      <c r="Q1651" s="166">
        <f t="shared" si="70"/>
        <v>0</v>
      </c>
      <c r="R1651" s="169"/>
      <c r="S1651" s="169"/>
      <c r="T1651" s="169"/>
      <c r="U1651" s="169"/>
      <c r="V1651" s="166">
        <f t="shared" si="71"/>
        <v>0</v>
      </c>
      <c r="W1651" s="205"/>
      <c r="X1651" s="167"/>
    </row>
    <row r="1652" spans="8:24" s="220" customFormat="1" ht="12.75" hidden="1" customHeight="1">
      <c r="H1652" s="168" t="s">
        <v>4276</v>
      </c>
      <c r="I1652" s="206" t="s">
        <v>4304</v>
      </c>
      <c r="J1652" s="206" t="s">
        <v>4305</v>
      </c>
      <c r="K1652" s="207" t="s">
        <v>5210</v>
      </c>
      <c r="L1652" s="206" t="s">
        <v>745</v>
      </c>
      <c r="M1652" s="169"/>
      <c r="N1652" s="165"/>
      <c r="O1652" s="169"/>
      <c r="P1652" s="169">
        <v>1187859.2</v>
      </c>
      <c r="Q1652" s="166">
        <f t="shared" si="70"/>
        <v>0</v>
      </c>
      <c r="R1652" s="169"/>
      <c r="S1652" s="169"/>
      <c r="T1652" s="169"/>
      <c r="U1652" s="169"/>
      <c r="V1652" s="166">
        <f t="shared" si="71"/>
        <v>0</v>
      </c>
      <c r="W1652" s="205"/>
      <c r="X1652" s="167"/>
    </row>
    <row r="1653" spans="8:24" s="220" customFormat="1" ht="12.75" hidden="1" customHeight="1">
      <c r="H1653" s="168" t="s">
        <v>4277</v>
      </c>
      <c r="I1653" s="206" t="s">
        <v>4306</v>
      </c>
      <c r="J1653" s="206" t="s">
        <v>4307</v>
      </c>
      <c r="K1653" s="207" t="s">
        <v>5211</v>
      </c>
      <c r="L1653" s="206" t="s">
        <v>745</v>
      </c>
      <c r="M1653" s="169"/>
      <c r="N1653" s="165"/>
      <c r="O1653" s="169"/>
      <c r="P1653" s="169">
        <v>1414632.32</v>
      </c>
      <c r="Q1653" s="166">
        <f t="shared" si="70"/>
        <v>0</v>
      </c>
      <c r="R1653" s="169"/>
      <c r="S1653" s="169"/>
      <c r="T1653" s="169"/>
      <c r="U1653" s="169"/>
      <c r="V1653" s="166">
        <f t="shared" si="71"/>
        <v>0</v>
      </c>
      <c r="W1653" s="205"/>
      <c r="X1653" s="167"/>
    </row>
    <row r="1654" spans="8:24" s="220" customFormat="1" ht="12.75" hidden="1" customHeight="1">
      <c r="H1654" s="168" t="s">
        <v>4308</v>
      </c>
      <c r="I1654" s="206" t="s">
        <v>4313</v>
      </c>
      <c r="J1654" s="206" t="s">
        <v>4314</v>
      </c>
      <c r="K1654" s="207" t="s">
        <v>5196</v>
      </c>
      <c r="L1654" s="206" t="s">
        <v>745</v>
      </c>
      <c r="M1654" s="204"/>
      <c r="N1654" s="165"/>
      <c r="O1654" s="169"/>
      <c r="P1654" s="169">
        <v>517593.34</v>
      </c>
      <c r="Q1654" s="166">
        <f t="shared" ref="Q1654:Q1717" si="72">IF(W1654="",M1654*P1654*$Q$3*$W$3,M1654*P1654*$Q$3*W1654)</f>
        <v>0</v>
      </c>
      <c r="R1654" s="169"/>
      <c r="S1654" s="169"/>
      <c r="T1654" s="169"/>
      <c r="U1654" s="169"/>
      <c r="V1654" s="166">
        <f t="shared" si="71"/>
        <v>0</v>
      </c>
      <c r="W1654" s="205"/>
      <c r="X1654" s="167"/>
    </row>
    <row r="1655" spans="8:24" s="220" customFormat="1" ht="12.75" hidden="1" customHeight="1">
      <c r="H1655" s="168" t="s">
        <v>4309</v>
      </c>
      <c r="I1655" s="206" t="s">
        <v>4315</v>
      </c>
      <c r="J1655" s="206" t="s">
        <v>4316</v>
      </c>
      <c r="K1655" s="207" t="s">
        <v>5198</v>
      </c>
      <c r="L1655" s="206" t="s">
        <v>745</v>
      </c>
      <c r="M1655" s="157"/>
      <c r="N1655" s="165"/>
      <c r="O1655" s="169"/>
      <c r="P1655" s="169">
        <v>662655.02</v>
      </c>
      <c r="Q1655" s="166">
        <f t="shared" si="72"/>
        <v>0</v>
      </c>
      <c r="R1655" s="169"/>
      <c r="S1655" s="169"/>
      <c r="T1655" s="169"/>
      <c r="U1655" s="169"/>
      <c r="V1655" s="166">
        <f t="shared" si="71"/>
        <v>0</v>
      </c>
      <c r="W1655" s="205"/>
      <c r="X1655" s="167"/>
    </row>
    <row r="1656" spans="8:24" s="220" customFormat="1" ht="12.75" hidden="1" customHeight="1">
      <c r="H1656" s="168" t="s">
        <v>4310</v>
      </c>
      <c r="I1656" s="206" t="s">
        <v>4317</v>
      </c>
      <c r="J1656" s="206" t="s">
        <v>4318</v>
      </c>
      <c r="K1656" s="207" t="s">
        <v>5200</v>
      </c>
      <c r="L1656" s="206" t="s">
        <v>745</v>
      </c>
      <c r="M1656" s="169"/>
      <c r="N1656" s="165"/>
      <c r="O1656" s="169"/>
      <c r="P1656" s="169">
        <v>863756.48</v>
      </c>
      <c r="Q1656" s="166">
        <f t="shared" si="72"/>
        <v>0</v>
      </c>
      <c r="R1656" s="169"/>
      <c r="S1656" s="169"/>
      <c r="T1656" s="169"/>
      <c r="U1656" s="169"/>
      <c r="V1656" s="166">
        <f t="shared" si="71"/>
        <v>0</v>
      </c>
      <c r="W1656" s="205"/>
      <c r="X1656" s="167"/>
    </row>
    <row r="1657" spans="8:24" s="220" customFormat="1" ht="12.75" hidden="1" customHeight="1">
      <c r="H1657" s="168" t="s">
        <v>4311</v>
      </c>
      <c r="I1657" s="206" t="s">
        <v>4319</v>
      </c>
      <c r="J1657" s="206" t="s">
        <v>4320</v>
      </c>
      <c r="K1657" s="207" t="s">
        <v>5201</v>
      </c>
      <c r="L1657" s="206" t="s">
        <v>745</v>
      </c>
      <c r="M1657" s="169"/>
      <c r="N1657" s="165"/>
      <c r="O1657" s="169"/>
      <c r="P1657" s="169">
        <v>1146528.6200000001</v>
      </c>
      <c r="Q1657" s="166">
        <f t="shared" si="72"/>
        <v>0</v>
      </c>
      <c r="R1657" s="169"/>
      <c r="S1657" s="169"/>
      <c r="T1657" s="169"/>
      <c r="U1657" s="169"/>
      <c r="V1657" s="166">
        <f t="shared" si="71"/>
        <v>0</v>
      </c>
      <c r="W1657" s="205"/>
      <c r="X1657" s="167"/>
    </row>
    <row r="1658" spans="8:24" s="220" customFormat="1" ht="12.75" hidden="1" customHeight="1">
      <c r="H1658" s="168" t="s">
        <v>4312</v>
      </c>
      <c r="I1658" s="206" t="s">
        <v>4321</v>
      </c>
      <c r="J1658" s="206" t="s">
        <v>4322</v>
      </c>
      <c r="K1658" s="207" t="s">
        <v>5202</v>
      </c>
      <c r="L1658" s="206" t="s">
        <v>745</v>
      </c>
      <c r="M1658" s="169"/>
      <c r="N1658" s="165"/>
      <c r="O1658" s="169"/>
      <c r="P1658" s="169">
        <v>1521014.88</v>
      </c>
      <c r="Q1658" s="166">
        <f t="shared" si="72"/>
        <v>0</v>
      </c>
      <c r="R1658" s="169"/>
      <c r="S1658" s="169"/>
      <c r="T1658" s="169"/>
      <c r="U1658" s="169"/>
      <c r="V1658" s="166">
        <f t="shared" si="71"/>
        <v>0</v>
      </c>
      <c r="W1658" s="205"/>
      <c r="X1658" s="167"/>
    </row>
    <row r="1659" spans="8:24" s="220" customFormat="1" ht="12.75" hidden="1" customHeight="1">
      <c r="H1659" s="168" t="s">
        <v>4323</v>
      </c>
      <c r="I1659" s="206" t="s">
        <v>4328</v>
      </c>
      <c r="J1659" s="206" t="s">
        <v>4329</v>
      </c>
      <c r="K1659" s="207" t="s">
        <v>5212</v>
      </c>
      <c r="L1659" s="206" t="s">
        <v>92</v>
      </c>
      <c r="M1659" s="169"/>
      <c r="N1659" s="165"/>
      <c r="O1659" s="169"/>
      <c r="P1659" s="169">
        <v>9718.848</v>
      </c>
      <c r="Q1659" s="166">
        <f t="shared" si="72"/>
        <v>0</v>
      </c>
      <c r="R1659" s="169"/>
      <c r="S1659" s="169"/>
      <c r="T1659" s="169"/>
      <c r="U1659" s="169"/>
      <c r="V1659" s="166">
        <f t="shared" si="71"/>
        <v>0</v>
      </c>
      <c r="W1659" s="205"/>
      <c r="X1659" s="167"/>
    </row>
    <row r="1660" spans="8:24" s="220" customFormat="1" ht="12.75" hidden="1" customHeight="1">
      <c r="H1660" s="168" t="s">
        <v>4324</v>
      </c>
      <c r="I1660" s="206" t="s">
        <v>4330</v>
      </c>
      <c r="J1660" s="206" t="s">
        <v>4331</v>
      </c>
      <c r="K1660" s="207" t="s">
        <v>4332</v>
      </c>
      <c r="L1660" s="206" t="s">
        <v>92</v>
      </c>
      <c r="M1660" s="169"/>
      <c r="N1660" s="165"/>
      <c r="O1660" s="169"/>
      <c r="P1660" s="169">
        <v>21597.439999999999</v>
      </c>
      <c r="Q1660" s="166">
        <f t="shared" si="72"/>
        <v>0</v>
      </c>
      <c r="R1660" s="169"/>
      <c r="S1660" s="169"/>
      <c r="T1660" s="169"/>
      <c r="U1660" s="169"/>
      <c r="V1660" s="166">
        <f t="shared" si="71"/>
        <v>0</v>
      </c>
      <c r="W1660" s="205"/>
      <c r="X1660" s="167"/>
    </row>
    <row r="1661" spans="8:24" s="220" customFormat="1" ht="12.75" hidden="1" customHeight="1">
      <c r="H1661" s="168" t="s">
        <v>4325</v>
      </c>
      <c r="I1661" s="206" t="s">
        <v>4333</v>
      </c>
      <c r="J1661" s="206" t="s">
        <v>4334</v>
      </c>
      <c r="K1661" s="206" t="s">
        <v>4335</v>
      </c>
      <c r="L1661" s="206" t="s">
        <v>92</v>
      </c>
      <c r="M1661" s="169"/>
      <c r="N1661" s="165"/>
      <c r="O1661" s="169"/>
      <c r="P1661" s="169">
        <v>32396.16</v>
      </c>
      <c r="Q1661" s="166">
        <f t="shared" si="72"/>
        <v>0</v>
      </c>
      <c r="R1661" s="169"/>
      <c r="S1661" s="169"/>
      <c r="T1661" s="169"/>
      <c r="U1661" s="169"/>
      <c r="V1661" s="166">
        <f t="shared" si="71"/>
        <v>0</v>
      </c>
      <c r="W1661" s="205"/>
      <c r="X1661" s="167"/>
    </row>
    <row r="1662" spans="8:24" s="220" customFormat="1" ht="12.75" hidden="1" customHeight="1">
      <c r="H1662" s="168" t="s">
        <v>4326</v>
      </c>
      <c r="I1662" s="206" t="s">
        <v>4336</v>
      </c>
      <c r="J1662" s="206" t="s">
        <v>4337</v>
      </c>
      <c r="K1662" s="206" t="s">
        <v>4338</v>
      </c>
      <c r="L1662" s="206" t="s">
        <v>92</v>
      </c>
      <c r="M1662" s="169"/>
      <c r="N1662" s="165"/>
      <c r="O1662" s="169"/>
      <c r="P1662" s="169">
        <v>62092.639999999999</v>
      </c>
      <c r="Q1662" s="166">
        <f t="shared" si="72"/>
        <v>0</v>
      </c>
      <c r="R1662" s="169"/>
      <c r="S1662" s="169"/>
      <c r="T1662" s="169"/>
      <c r="U1662" s="169"/>
      <c r="V1662" s="166">
        <f t="shared" si="71"/>
        <v>0</v>
      </c>
      <c r="W1662" s="205"/>
      <c r="X1662" s="167"/>
    </row>
    <row r="1663" spans="8:24" s="220" customFormat="1" ht="12.75" hidden="1" customHeight="1">
      <c r="H1663" s="168" t="s">
        <v>4327</v>
      </c>
      <c r="I1663" s="206" t="s">
        <v>4339</v>
      </c>
      <c r="J1663" s="206" t="s">
        <v>4340</v>
      </c>
      <c r="K1663" s="206" t="s">
        <v>4341</v>
      </c>
      <c r="L1663" s="206" t="s">
        <v>92</v>
      </c>
      <c r="M1663" s="169"/>
      <c r="N1663" s="165"/>
      <c r="O1663" s="169"/>
      <c r="P1663" s="169">
        <v>80990.399999999994</v>
      </c>
      <c r="Q1663" s="166">
        <f t="shared" si="72"/>
        <v>0</v>
      </c>
      <c r="R1663" s="169"/>
      <c r="S1663" s="169"/>
      <c r="T1663" s="169"/>
      <c r="U1663" s="169"/>
      <c r="V1663" s="166">
        <f t="shared" si="71"/>
        <v>0</v>
      </c>
      <c r="W1663" s="205"/>
      <c r="X1663" s="167"/>
    </row>
    <row r="1664" spans="8:24" s="220" customFormat="1" ht="12.75" hidden="1" customHeight="1">
      <c r="H1664" s="168" t="s">
        <v>4342</v>
      </c>
      <c r="I1664" s="206" t="s">
        <v>4343</v>
      </c>
      <c r="J1664" s="206" t="s">
        <v>4344</v>
      </c>
      <c r="K1664" s="207" t="s">
        <v>4345</v>
      </c>
      <c r="L1664" s="206" t="s">
        <v>746</v>
      </c>
      <c r="M1664" s="169"/>
      <c r="N1664" s="165"/>
      <c r="O1664" s="169"/>
      <c r="P1664" s="169">
        <v>11936.52</v>
      </c>
      <c r="Q1664" s="166">
        <f t="shared" si="72"/>
        <v>0</v>
      </c>
      <c r="R1664" s="169"/>
      <c r="S1664" s="169"/>
      <c r="T1664" s="169"/>
      <c r="U1664" s="169"/>
      <c r="V1664" s="166">
        <f t="shared" si="71"/>
        <v>0</v>
      </c>
      <c r="W1664" s="205"/>
      <c r="X1664" s="167"/>
    </row>
    <row r="1665" spans="8:24" s="220" customFormat="1" ht="12.75" hidden="1" customHeight="1">
      <c r="H1665" s="168" t="s">
        <v>4346</v>
      </c>
      <c r="I1665" s="206" t="s">
        <v>4352</v>
      </c>
      <c r="J1665" s="206" t="s">
        <v>4353</v>
      </c>
      <c r="K1665" s="206" t="s">
        <v>4354</v>
      </c>
      <c r="L1665" s="206" t="s">
        <v>745</v>
      </c>
      <c r="M1665" s="169"/>
      <c r="N1665" s="165"/>
      <c r="O1665" s="169"/>
      <c r="P1665" s="169">
        <v>37386.75</v>
      </c>
      <c r="Q1665" s="166">
        <f t="shared" si="72"/>
        <v>0</v>
      </c>
      <c r="R1665" s="169"/>
      <c r="S1665" s="169"/>
      <c r="T1665" s="169"/>
      <c r="U1665" s="169"/>
      <c r="V1665" s="166">
        <f t="shared" si="71"/>
        <v>0</v>
      </c>
      <c r="W1665" s="205"/>
      <c r="X1665" s="167"/>
    </row>
    <row r="1666" spans="8:24" s="220" customFormat="1" ht="12.75" hidden="1" customHeight="1">
      <c r="H1666" s="168" t="s">
        <v>4347</v>
      </c>
      <c r="I1666" s="206" t="s">
        <v>4355</v>
      </c>
      <c r="J1666" s="206" t="s">
        <v>4356</v>
      </c>
      <c r="K1666" s="206" t="s">
        <v>4357</v>
      </c>
      <c r="L1666" s="206" t="s">
        <v>745</v>
      </c>
      <c r="M1666" s="169"/>
      <c r="N1666" s="165"/>
      <c r="O1666" s="169"/>
      <c r="P1666" s="169">
        <v>18767.43</v>
      </c>
      <c r="Q1666" s="166">
        <f t="shared" si="72"/>
        <v>0</v>
      </c>
      <c r="R1666" s="169"/>
      <c r="S1666" s="169"/>
      <c r="T1666" s="169"/>
      <c r="U1666" s="169"/>
      <c r="V1666" s="166">
        <f t="shared" si="71"/>
        <v>0</v>
      </c>
      <c r="W1666" s="205"/>
      <c r="X1666" s="167"/>
    </row>
    <row r="1667" spans="8:24" s="220" customFormat="1" ht="12.75" hidden="1" customHeight="1">
      <c r="H1667" s="168" t="s">
        <v>4348</v>
      </c>
      <c r="I1667" s="206" t="s">
        <v>4358</v>
      </c>
      <c r="J1667" s="206" t="s">
        <v>4359</v>
      </c>
      <c r="K1667" s="206" t="s">
        <v>4360</v>
      </c>
      <c r="L1667" s="206" t="s">
        <v>750</v>
      </c>
      <c r="M1667" s="169"/>
      <c r="N1667" s="165"/>
      <c r="O1667" s="169"/>
      <c r="P1667" s="169">
        <v>3399.018</v>
      </c>
      <c r="Q1667" s="166">
        <f t="shared" si="72"/>
        <v>0</v>
      </c>
      <c r="R1667" s="169"/>
      <c r="S1667" s="169"/>
      <c r="T1667" s="169"/>
      <c r="U1667" s="169"/>
      <c r="V1667" s="166">
        <f t="shared" si="71"/>
        <v>0</v>
      </c>
      <c r="W1667" s="205"/>
      <c r="X1667" s="167"/>
    </row>
    <row r="1668" spans="8:24" s="220" customFormat="1" ht="12.75" hidden="1" customHeight="1">
      <c r="H1668" s="168" t="s">
        <v>4349</v>
      </c>
      <c r="I1668" s="206" t="s">
        <v>4361</v>
      </c>
      <c r="J1668" s="206" t="s">
        <v>4362</v>
      </c>
      <c r="K1668" s="206" t="s">
        <v>4363</v>
      </c>
      <c r="L1668" s="206" t="s">
        <v>750</v>
      </c>
      <c r="M1668" s="169"/>
      <c r="N1668" s="165"/>
      <c r="O1668" s="169"/>
      <c r="P1668" s="169">
        <v>27851.88</v>
      </c>
      <c r="Q1668" s="166">
        <f t="shared" si="72"/>
        <v>0</v>
      </c>
      <c r="R1668" s="169"/>
      <c r="S1668" s="169"/>
      <c r="T1668" s="169"/>
      <c r="U1668" s="169"/>
      <c r="V1668" s="166">
        <f t="shared" si="71"/>
        <v>0</v>
      </c>
      <c r="W1668" s="205"/>
      <c r="X1668" s="167"/>
    </row>
    <row r="1669" spans="8:24" s="220" customFormat="1" ht="12.75" hidden="1" customHeight="1">
      <c r="H1669" s="168" t="s">
        <v>4350</v>
      </c>
      <c r="I1669" s="206" t="s">
        <v>4364</v>
      </c>
      <c r="J1669" s="206" t="s">
        <v>4365</v>
      </c>
      <c r="K1669" s="206" t="s">
        <v>4366</v>
      </c>
      <c r="L1669" s="206" t="s">
        <v>750</v>
      </c>
      <c r="M1669" s="169"/>
      <c r="N1669" s="165"/>
      <c r="O1669" s="169"/>
      <c r="P1669" s="169">
        <v>75597.960000000006</v>
      </c>
      <c r="Q1669" s="166">
        <f t="shared" si="72"/>
        <v>0</v>
      </c>
      <c r="R1669" s="169"/>
      <c r="S1669" s="169"/>
      <c r="T1669" s="169"/>
      <c r="U1669" s="169"/>
      <c r="V1669" s="166">
        <f t="shared" si="71"/>
        <v>0</v>
      </c>
      <c r="W1669" s="205"/>
      <c r="X1669" s="167"/>
    </row>
    <row r="1670" spans="8:24" s="220" customFormat="1" ht="12.75" hidden="1" customHeight="1">
      <c r="H1670" s="168" t="s">
        <v>4351</v>
      </c>
      <c r="I1670" s="206" t="s">
        <v>4367</v>
      </c>
      <c r="J1670" s="206" t="s">
        <v>4368</v>
      </c>
      <c r="K1670" s="206" t="s">
        <v>4369</v>
      </c>
      <c r="L1670" s="206" t="s">
        <v>750</v>
      </c>
      <c r="M1670" s="169"/>
      <c r="N1670" s="165"/>
      <c r="O1670" s="169"/>
      <c r="P1670" s="169">
        <v>29841.3</v>
      </c>
      <c r="Q1670" s="166">
        <f t="shared" si="72"/>
        <v>0</v>
      </c>
      <c r="R1670" s="169"/>
      <c r="S1670" s="169"/>
      <c r="T1670" s="169"/>
      <c r="U1670" s="169"/>
      <c r="V1670" s="166">
        <f t="shared" ref="V1670:V1733" si="73">SUM(O1670+Q1670)+S1670+U1670</f>
        <v>0</v>
      </c>
      <c r="W1670" s="205"/>
      <c r="X1670" s="167"/>
    </row>
    <row r="1671" spans="8:24" s="220" customFormat="1" ht="12.75" hidden="1" customHeight="1">
      <c r="H1671" s="168" t="s">
        <v>4604</v>
      </c>
      <c r="I1671" s="206" t="s">
        <v>4605</v>
      </c>
      <c r="J1671" s="206" t="s">
        <v>4606</v>
      </c>
      <c r="K1671" s="206" t="s">
        <v>4607</v>
      </c>
      <c r="L1671" s="206" t="s">
        <v>750</v>
      </c>
      <c r="M1671" s="169"/>
      <c r="N1671" s="165"/>
      <c r="O1671" s="169"/>
      <c r="P1671" s="169">
        <v>26996.799999999999</v>
      </c>
      <c r="Q1671" s="166">
        <f t="shared" si="72"/>
        <v>0</v>
      </c>
      <c r="R1671" s="169"/>
      <c r="S1671" s="169"/>
      <c r="T1671" s="169"/>
      <c r="U1671" s="169"/>
      <c r="V1671" s="166">
        <f t="shared" si="73"/>
        <v>0</v>
      </c>
      <c r="W1671" s="205"/>
      <c r="X1671" s="167"/>
    </row>
    <row r="1672" spans="8:24" s="220" customFormat="1" ht="12.75" hidden="1" customHeight="1">
      <c r="H1672" s="168" t="s">
        <v>4095</v>
      </c>
      <c r="I1672" s="206" t="s">
        <v>4096</v>
      </c>
      <c r="J1672" s="206" t="s">
        <v>4097</v>
      </c>
      <c r="K1672" s="206" t="s">
        <v>4098</v>
      </c>
      <c r="L1672" s="206" t="s">
        <v>92</v>
      </c>
      <c r="M1672" s="169"/>
      <c r="N1672" s="165"/>
      <c r="O1672" s="169"/>
      <c r="P1672" s="169">
        <v>32396.16</v>
      </c>
      <c r="Q1672" s="166">
        <f t="shared" si="72"/>
        <v>0</v>
      </c>
      <c r="R1672" s="169"/>
      <c r="S1672" s="169"/>
      <c r="T1672" s="169"/>
      <c r="U1672" s="169"/>
      <c r="V1672" s="166">
        <f t="shared" si="73"/>
        <v>0</v>
      </c>
      <c r="W1672" s="205"/>
      <c r="X1672" s="167"/>
    </row>
    <row r="1673" spans="8:24" s="220" customFormat="1" ht="12.75" hidden="1" customHeight="1">
      <c r="H1673" s="168" t="s">
        <v>4099</v>
      </c>
      <c r="I1673" s="206" t="s">
        <v>4100</v>
      </c>
      <c r="J1673" s="206" t="s">
        <v>4101</v>
      </c>
      <c r="K1673" s="206" t="s">
        <v>4102</v>
      </c>
      <c r="L1673" s="206" t="s">
        <v>92</v>
      </c>
      <c r="M1673" s="169"/>
      <c r="N1673" s="165"/>
      <c r="O1673" s="169"/>
      <c r="P1673" s="169">
        <v>11068.688</v>
      </c>
      <c r="Q1673" s="166">
        <f t="shared" si="72"/>
        <v>0</v>
      </c>
      <c r="R1673" s="169"/>
      <c r="S1673" s="169"/>
      <c r="T1673" s="169"/>
      <c r="U1673" s="169"/>
      <c r="V1673" s="166">
        <f t="shared" si="73"/>
        <v>0</v>
      </c>
      <c r="W1673" s="205"/>
      <c r="X1673" s="167"/>
    </row>
    <row r="1674" spans="8:24" s="220" customFormat="1" ht="12.75" hidden="1" customHeight="1">
      <c r="H1674" s="168" t="s">
        <v>4370</v>
      </c>
      <c r="I1674" s="206" t="s">
        <v>4381</v>
      </c>
      <c r="J1674" s="206" t="s">
        <v>4382</v>
      </c>
      <c r="K1674" s="206" t="s">
        <v>815</v>
      </c>
      <c r="L1674" s="206" t="s">
        <v>750</v>
      </c>
      <c r="M1674" s="169"/>
      <c r="N1674" s="165"/>
      <c r="O1674" s="169"/>
      <c r="P1674" s="169">
        <v>27108.51</v>
      </c>
      <c r="Q1674" s="166">
        <f t="shared" si="72"/>
        <v>0</v>
      </c>
      <c r="R1674" s="169"/>
      <c r="S1674" s="169"/>
      <c r="T1674" s="169"/>
      <c r="U1674" s="169"/>
      <c r="V1674" s="166">
        <f t="shared" si="73"/>
        <v>0</v>
      </c>
      <c r="W1674" s="205"/>
      <c r="X1674" s="167"/>
    </row>
    <row r="1675" spans="8:24" s="220" customFormat="1" ht="12.75" hidden="1" customHeight="1">
      <c r="H1675" s="168" t="s">
        <v>4371</v>
      </c>
      <c r="I1675" s="206" t="s">
        <v>4383</v>
      </c>
      <c r="J1675" s="206" t="s">
        <v>4384</v>
      </c>
      <c r="K1675" s="206" t="s">
        <v>816</v>
      </c>
      <c r="L1675" s="206" t="s">
        <v>750</v>
      </c>
      <c r="M1675" s="169"/>
      <c r="N1675" s="165"/>
      <c r="O1675" s="169"/>
      <c r="P1675" s="169">
        <v>31279.05</v>
      </c>
      <c r="Q1675" s="166">
        <f t="shared" si="72"/>
        <v>0</v>
      </c>
      <c r="R1675" s="169"/>
      <c r="S1675" s="169"/>
      <c r="T1675" s="169"/>
      <c r="U1675" s="169"/>
      <c r="V1675" s="166">
        <f t="shared" si="73"/>
        <v>0</v>
      </c>
      <c r="W1675" s="205"/>
      <c r="X1675" s="167"/>
    </row>
    <row r="1676" spans="8:24" s="220" customFormat="1" ht="12.75" hidden="1" customHeight="1">
      <c r="H1676" s="168" t="s">
        <v>4372</v>
      </c>
      <c r="I1676" s="206" t="s">
        <v>4385</v>
      </c>
      <c r="J1676" s="206" t="s">
        <v>4386</v>
      </c>
      <c r="K1676" s="206" t="s">
        <v>817</v>
      </c>
      <c r="L1676" s="206" t="s">
        <v>750</v>
      </c>
      <c r="M1676" s="169"/>
      <c r="N1676" s="165"/>
      <c r="O1676" s="169"/>
      <c r="P1676" s="169">
        <v>37534.86</v>
      </c>
      <c r="Q1676" s="166">
        <f t="shared" si="72"/>
        <v>0</v>
      </c>
      <c r="R1676" s="169"/>
      <c r="S1676" s="169"/>
      <c r="T1676" s="169"/>
      <c r="U1676" s="169"/>
      <c r="V1676" s="166">
        <f t="shared" si="73"/>
        <v>0</v>
      </c>
      <c r="W1676" s="205"/>
      <c r="X1676" s="167"/>
    </row>
    <row r="1677" spans="8:24" s="220" customFormat="1" ht="12.75" hidden="1" customHeight="1">
      <c r="H1677" s="168" t="s">
        <v>4373</v>
      </c>
      <c r="I1677" s="206" t="s">
        <v>4387</v>
      </c>
      <c r="J1677" s="206" t="s">
        <v>4388</v>
      </c>
      <c r="K1677" s="206" t="s">
        <v>818</v>
      </c>
      <c r="L1677" s="206" t="s">
        <v>750</v>
      </c>
      <c r="M1677" s="169"/>
      <c r="N1677" s="165"/>
      <c r="O1677" s="169"/>
      <c r="P1677" s="169">
        <v>41705.4</v>
      </c>
      <c r="Q1677" s="166">
        <f t="shared" si="72"/>
        <v>0</v>
      </c>
      <c r="R1677" s="169"/>
      <c r="S1677" s="169"/>
      <c r="T1677" s="169"/>
      <c r="U1677" s="169"/>
      <c r="V1677" s="166">
        <f t="shared" si="73"/>
        <v>0</v>
      </c>
      <c r="W1677" s="205"/>
      <c r="X1677" s="167"/>
    </row>
    <row r="1678" spans="8:24" s="220" customFormat="1" ht="12.75" hidden="1" customHeight="1">
      <c r="H1678" s="168" t="s">
        <v>4374</v>
      </c>
      <c r="I1678" s="206" t="s">
        <v>4389</v>
      </c>
      <c r="J1678" s="206" t="s">
        <v>4390</v>
      </c>
      <c r="K1678" s="206" t="s">
        <v>819</v>
      </c>
      <c r="L1678" s="206" t="s">
        <v>750</v>
      </c>
      <c r="M1678" s="169"/>
      <c r="N1678" s="165"/>
      <c r="O1678" s="169"/>
      <c r="P1678" s="169">
        <v>50046.48</v>
      </c>
      <c r="Q1678" s="166">
        <f t="shared" si="72"/>
        <v>0</v>
      </c>
      <c r="R1678" s="169"/>
      <c r="S1678" s="169"/>
      <c r="T1678" s="169"/>
      <c r="U1678" s="169"/>
      <c r="V1678" s="166">
        <f t="shared" si="73"/>
        <v>0</v>
      </c>
      <c r="W1678" s="205"/>
      <c r="X1678" s="167"/>
    </row>
    <row r="1679" spans="8:24" s="220" customFormat="1" ht="12.75" hidden="1" customHeight="1">
      <c r="H1679" s="168" t="s">
        <v>4375</v>
      </c>
      <c r="I1679" s="206" t="s">
        <v>4391</v>
      </c>
      <c r="J1679" s="206" t="s">
        <v>4392</v>
      </c>
      <c r="K1679" s="206" t="s">
        <v>820</v>
      </c>
      <c r="L1679" s="206" t="s">
        <v>750</v>
      </c>
      <c r="M1679" s="169"/>
      <c r="N1679" s="165"/>
      <c r="O1679" s="169"/>
      <c r="P1679" s="169">
        <v>54217.02</v>
      </c>
      <c r="Q1679" s="166">
        <f t="shared" si="72"/>
        <v>0</v>
      </c>
      <c r="R1679" s="169"/>
      <c r="S1679" s="169"/>
      <c r="T1679" s="169"/>
      <c r="U1679" s="169"/>
      <c r="V1679" s="166">
        <f t="shared" si="73"/>
        <v>0</v>
      </c>
      <c r="W1679" s="205"/>
      <c r="X1679" s="167"/>
    </row>
    <row r="1680" spans="8:24" s="220" customFormat="1" ht="12.75" hidden="1" customHeight="1">
      <c r="H1680" s="168" t="s">
        <v>4376</v>
      </c>
      <c r="I1680" s="206" t="s">
        <v>4393</v>
      </c>
      <c r="J1680" s="206" t="s">
        <v>4394</v>
      </c>
      <c r="K1680" s="206" t="s">
        <v>821</v>
      </c>
      <c r="L1680" s="206" t="s">
        <v>750</v>
      </c>
      <c r="M1680" s="157"/>
      <c r="N1680" s="165"/>
      <c r="O1680" s="169"/>
      <c r="P1680" s="169">
        <v>64643.37</v>
      </c>
      <c r="Q1680" s="166">
        <f t="shared" si="72"/>
        <v>0</v>
      </c>
      <c r="R1680" s="169"/>
      <c r="S1680" s="169"/>
      <c r="T1680" s="169"/>
      <c r="U1680" s="169"/>
      <c r="V1680" s="166">
        <f t="shared" si="73"/>
        <v>0</v>
      </c>
      <c r="W1680" s="205"/>
      <c r="X1680" s="167"/>
    </row>
    <row r="1681" spans="8:24" s="220" customFormat="1" ht="12.75" hidden="1" customHeight="1">
      <c r="H1681" s="168" t="s">
        <v>4377</v>
      </c>
      <c r="I1681" s="206" t="s">
        <v>4395</v>
      </c>
      <c r="J1681" s="206" t="s">
        <v>4396</v>
      </c>
      <c r="K1681" s="206" t="s">
        <v>822</v>
      </c>
      <c r="L1681" s="206" t="s">
        <v>750</v>
      </c>
      <c r="M1681" s="157"/>
      <c r="N1681" s="165"/>
      <c r="O1681" s="169"/>
      <c r="P1681" s="169">
        <v>75069.72</v>
      </c>
      <c r="Q1681" s="166">
        <f t="shared" si="72"/>
        <v>0</v>
      </c>
      <c r="R1681" s="169"/>
      <c r="S1681" s="169"/>
      <c r="T1681" s="169"/>
      <c r="U1681" s="169"/>
      <c r="V1681" s="166">
        <f t="shared" si="73"/>
        <v>0</v>
      </c>
      <c r="W1681" s="205"/>
      <c r="X1681" s="167"/>
    </row>
    <row r="1682" spans="8:24" s="220" customFormat="1" ht="12.75" hidden="1" customHeight="1">
      <c r="H1682" s="168" t="s">
        <v>4378</v>
      </c>
      <c r="I1682" s="206" t="s">
        <v>4397</v>
      </c>
      <c r="J1682" s="206" t="s">
        <v>4398</v>
      </c>
      <c r="K1682" s="206" t="s">
        <v>823</v>
      </c>
      <c r="L1682" s="206" t="s">
        <v>750</v>
      </c>
      <c r="M1682" s="157"/>
      <c r="N1682" s="165"/>
      <c r="O1682" s="169"/>
      <c r="P1682" s="169">
        <v>85496.07</v>
      </c>
      <c r="Q1682" s="166">
        <f t="shared" si="72"/>
        <v>0</v>
      </c>
      <c r="R1682" s="169"/>
      <c r="S1682" s="169"/>
      <c r="T1682" s="169"/>
      <c r="U1682" s="169"/>
      <c r="V1682" s="166">
        <f t="shared" si="73"/>
        <v>0</v>
      </c>
      <c r="W1682" s="205"/>
      <c r="X1682" s="167"/>
    </row>
    <row r="1683" spans="8:24" s="220" customFormat="1" ht="12.75" hidden="1" customHeight="1">
      <c r="H1683" s="168" t="s">
        <v>4379</v>
      </c>
      <c r="I1683" s="206" t="s">
        <v>4399</v>
      </c>
      <c r="J1683" s="206" t="s">
        <v>4400</v>
      </c>
      <c r="K1683" s="206" t="s">
        <v>4401</v>
      </c>
      <c r="L1683" s="206" t="s">
        <v>750</v>
      </c>
      <c r="M1683" s="157"/>
      <c r="N1683" s="165"/>
      <c r="O1683" s="169"/>
      <c r="P1683" s="169">
        <v>100092.96</v>
      </c>
      <c r="Q1683" s="166">
        <f t="shared" si="72"/>
        <v>0</v>
      </c>
      <c r="R1683" s="169"/>
      <c r="S1683" s="169"/>
      <c r="T1683" s="169"/>
      <c r="U1683" s="169"/>
      <c r="V1683" s="166">
        <f t="shared" si="73"/>
        <v>0</v>
      </c>
      <c r="W1683" s="205"/>
      <c r="X1683" s="167"/>
    </row>
    <row r="1684" spans="8:24" s="220" customFormat="1" ht="12.75" hidden="1" customHeight="1">
      <c r="H1684" s="168" t="s">
        <v>4380</v>
      </c>
      <c r="I1684" s="206" t="s">
        <v>4402</v>
      </c>
      <c r="J1684" s="206" t="s">
        <v>4403</v>
      </c>
      <c r="K1684" s="206" t="s">
        <v>4404</v>
      </c>
      <c r="L1684" s="206" t="s">
        <v>750</v>
      </c>
      <c r="M1684" s="157"/>
      <c r="N1684" s="165"/>
      <c r="O1684" s="169"/>
      <c r="P1684" s="169">
        <v>114689.85</v>
      </c>
      <c r="Q1684" s="166">
        <f t="shared" si="72"/>
        <v>0</v>
      </c>
      <c r="R1684" s="169"/>
      <c r="S1684" s="169"/>
      <c r="T1684" s="169"/>
      <c r="U1684" s="169"/>
      <c r="V1684" s="166">
        <f t="shared" si="73"/>
        <v>0</v>
      </c>
      <c r="W1684" s="205"/>
      <c r="X1684" s="167"/>
    </row>
    <row r="1685" spans="8:24" s="220" customFormat="1" ht="12.75" hidden="1" customHeight="1">
      <c r="H1685" s="168" t="s">
        <v>4608</v>
      </c>
      <c r="I1685" s="206" t="s">
        <v>4644</v>
      </c>
      <c r="J1685" s="206" t="s">
        <v>4645</v>
      </c>
      <c r="K1685" s="206" t="s">
        <v>4646</v>
      </c>
      <c r="L1685" s="206" t="s">
        <v>750</v>
      </c>
      <c r="M1685" s="157"/>
      <c r="N1685" s="165"/>
      <c r="O1685" s="169"/>
      <c r="P1685" s="169">
        <v>104263.5</v>
      </c>
      <c r="Q1685" s="166">
        <f t="shared" si="72"/>
        <v>0</v>
      </c>
      <c r="R1685" s="169"/>
      <c r="S1685" s="169"/>
      <c r="T1685" s="169"/>
      <c r="U1685" s="169"/>
      <c r="V1685" s="166">
        <f t="shared" si="73"/>
        <v>0</v>
      </c>
      <c r="W1685" s="205"/>
      <c r="X1685" s="167"/>
    </row>
    <row r="1686" spans="8:24" s="220" customFormat="1" ht="12.75" hidden="1" customHeight="1">
      <c r="H1686" s="168" t="s">
        <v>4609</v>
      </c>
      <c r="I1686" s="206" t="s">
        <v>4647</v>
      </c>
      <c r="J1686" s="206" t="s">
        <v>4648</v>
      </c>
      <c r="K1686" s="206" t="s">
        <v>4649</v>
      </c>
      <c r="L1686" s="206" t="s">
        <v>750</v>
      </c>
      <c r="M1686" s="157"/>
      <c r="N1686" s="165"/>
      <c r="O1686" s="169"/>
      <c r="P1686" s="169">
        <v>145968.9</v>
      </c>
      <c r="Q1686" s="166">
        <f t="shared" si="72"/>
        <v>0</v>
      </c>
      <c r="R1686" s="169"/>
      <c r="S1686" s="169"/>
      <c r="T1686" s="169"/>
      <c r="U1686" s="169"/>
      <c r="V1686" s="166">
        <f t="shared" si="73"/>
        <v>0</v>
      </c>
      <c r="W1686" s="205"/>
      <c r="X1686" s="167"/>
    </row>
    <row r="1687" spans="8:24" s="220" customFormat="1" ht="12.75" hidden="1" customHeight="1">
      <c r="H1687" s="168" t="s">
        <v>4610</v>
      </c>
      <c r="I1687" s="206" t="s">
        <v>4650</v>
      </c>
      <c r="J1687" s="206" t="s">
        <v>4651</v>
      </c>
      <c r="K1687" s="206" t="s">
        <v>4652</v>
      </c>
      <c r="L1687" s="206" t="s">
        <v>750</v>
      </c>
      <c r="M1687" s="157"/>
      <c r="N1687" s="165"/>
      <c r="O1687" s="169"/>
      <c r="P1687" s="169">
        <v>208527</v>
      </c>
      <c r="Q1687" s="166">
        <f t="shared" si="72"/>
        <v>0</v>
      </c>
      <c r="R1687" s="169"/>
      <c r="S1687" s="169"/>
      <c r="T1687" s="169"/>
      <c r="U1687" s="169"/>
      <c r="V1687" s="166">
        <f t="shared" si="73"/>
        <v>0</v>
      </c>
      <c r="W1687" s="205"/>
      <c r="X1687" s="167"/>
    </row>
    <row r="1688" spans="8:24" s="220" customFormat="1" ht="12.75" hidden="1" customHeight="1">
      <c r="H1688" s="168" t="s">
        <v>4611</v>
      </c>
      <c r="I1688" s="206" t="s">
        <v>4653</v>
      </c>
      <c r="J1688" s="206" t="s">
        <v>4654</v>
      </c>
      <c r="K1688" s="206" t="s">
        <v>4655</v>
      </c>
      <c r="L1688" s="206" t="s">
        <v>750</v>
      </c>
      <c r="M1688" s="157"/>
      <c r="N1688" s="165"/>
      <c r="O1688" s="169"/>
      <c r="P1688" s="169">
        <v>229379.7</v>
      </c>
      <c r="Q1688" s="166">
        <f t="shared" si="72"/>
        <v>0</v>
      </c>
      <c r="R1688" s="169"/>
      <c r="S1688" s="169"/>
      <c r="T1688" s="169"/>
      <c r="U1688" s="169"/>
      <c r="V1688" s="166">
        <f t="shared" si="73"/>
        <v>0</v>
      </c>
      <c r="W1688" s="205"/>
      <c r="X1688" s="167"/>
    </row>
    <row r="1689" spans="8:24" s="220" customFormat="1" ht="12.75" hidden="1" customHeight="1">
      <c r="H1689" s="168" t="s">
        <v>4612</v>
      </c>
      <c r="I1689" s="206" t="s">
        <v>4656</v>
      </c>
      <c r="J1689" s="206" t="s">
        <v>4657</v>
      </c>
      <c r="K1689" s="206" t="s">
        <v>4658</v>
      </c>
      <c r="L1689" s="206" t="s">
        <v>750</v>
      </c>
      <c r="M1689" s="157"/>
      <c r="N1689" s="165"/>
      <c r="O1689" s="169"/>
      <c r="P1689" s="169">
        <v>250232.4</v>
      </c>
      <c r="Q1689" s="166">
        <f t="shared" si="72"/>
        <v>0</v>
      </c>
      <c r="R1689" s="169"/>
      <c r="S1689" s="169"/>
      <c r="T1689" s="169"/>
      <c r="U1689" s="169"/>
      <c r="V1689" s="166">
        <f t="shared" si="73"/>
        <v>0</v>
      </c>
      <c r="W1689" s="205"/>
      <c r="X1689" s="167"/>
    </row>
    <row r="1690" spans="8:24" s="220" customFormat="1" ht="12.75" hidden="1" customHeight="1">
      <c r="H1690" s="168" t="s">
        <v>4613</v>
      </c>
      <c r="I1690" s="206" t="s">
        <v>4659</v>
      </c>
      <c r="J1690" s="206" t="s">
        <v>4660</v>
      </c>
      <c r="K1690" s="206" t="s">
        <v>4661</v>
      </c>
      <c r="L1690" s="206" t="s">
        <v>750</v>
      </c>
      <c r="M1690" s="157"/>
      <c r="N1690" s="165"/>
      <c r="O1690" s="169"/>
      <c r="P1690" s="169">
        <v>260658.75</v>
      </c>
      <c r="Q1690" s="166">
        <f t="shared" si="72"/>
        <v>0</v>
      </c>
      <c r="R1690" s="169"/>
      <c r="S1690" s="169"/>
      <c r="T1690" s="169"/>
      <c r="U1690" s="169"/>
      <c r="V1690" s="166">
        <f t="shared" si="73"/>
        <v>0</v>
      </c>
      <c r="W1690" s="205"/>
      <c r="X1690" s="167"/>
    </row>
    <row r="1691" spans="8:24" s="220" customFormat="1" ht="12.75" hidden="1" customHeight="1">
      <c r="H1691" s="168" t="s">
        <v>4614</v>
      </c>
      <c r="I1691" s="206" t="s">
        <v>4662</v>
      </c>
      <c r="J1691" s="206" t="s">
        <v>4663</v>
      </c>
      <c r="K1691" s="206" t="s">
        <v>4664</v>
      </c>
      <c r="L1691" s="206" t="s">
        <v>750</v>
      </c>
      <c r="M1691" s="157"/>
      <c r="N1691" s="165"/>
      <c r="O1691" s="169"/>
      <c r="P1691" s="169">
        <v>271085.09999999998</v>
      </c>
      <c r="Q1691" s="166">
        <f t="shared" si="72"/>
        <v>0</v>
      </c>
      <c r="R1691" s="169"/>
      <c r="S1691" s="169"/>
      <c r="T1691" s="169"/>
      <c r="U1691" s="169"/>
      <c r="V1691" s="166">
        <f t="shared" si="73"/>
        <v>0</v>
      </c>
      <c r="W1691" s="205"/>
      <c r="X1691" s="167"/>
    </row>
    <row r="1692" spans="8:24" s="220" customFormat="1" ht="12.75" hidden="1" customHeight="1">
      <c r="H1692" s="168" t="s">
        <v>4615</v>
      </c>
      <c r="I1692" s="206" t="s">
        <v>4665</v>
      </c>
      <c r="J1692" s="206" t="s">
        <v>4666</v>
      </c>
      <c r="K1692" s="206" t="s">
        <v>4667</v>
      </c>
      <c r="L1692" s="206" t="s">
        <v>750</v>
      </c>
      <c r="M1692" s="157"/>
      <c r="N1692" s="165"/>
      <c r="O1692" s="169"/>
      <c r="P1692" s="169">
        <v>291937.8</v>
      </c>
      <c r="Q1692" s="166">
        <f t="shared" si="72"/>
        <v>0</v>
      </c>
      <c r="R1692" s="169"/>
      <c r="S1692" s="169"/>
      <c r="T1692" s="169"/>
      <c r="U1692" s="169"/>
      <c r="V1692" s="166">
        <f t="shared" si="73"/>
        <v>0</v>
      </c>
      <c r="W1692" s="205"/>
      <c r="X1692" s="167"/>
    </row>
    <row r="1693" spans="8:24" s="220" customFormat="1" ht="12.75" hidden="1" customHeight="1">
      <c r="H1693" s="168" t="s">
        <v>4616</v>
      </c>
      <c r="I1693" s="206" t="s">
        <v>4668</v>
      </c>
      <c r="J1693" s="206" t="s">
        <v>4669</v>
      </c>
      <c r="K1693" s="206" t="s">
        <v>4670</v>
      </c>
      <c r="L1693" s="206" t="s">
        <v>750</v>
      </c>
      <c r="M1693" s="157"/>
      <c r="N1693" s="165"/>
      <c r="O1693" s="169"/>
      <c r="P1693" s="169">
        <v>333643.2</v>
      </c>
      <c r="Q1693" s="166">
        <f t="shared" si="72"/>
        <v>0</v>
      </c>
      <c r="R1693" s="169"/>
      <c r="S1693" s="169"/>
      <c r="T1693" s="169"/>
      <c r="U1693" s="169"/>
      <c r="V1693" s="166">
        <f t="shared" si="73"/>
        <v>0</v>
      </c>
      <c r="W1693" s="205"/>
      <c r="X1693" s="167"/>
    </row>
    <row r="1694" spans="8:24" s="220" customFormat="1" ht="12.75" hidden="1" customHeight="1">
      <c r="H1694" s="168" t="s">
        <v>4617</v>
      </c>
      <c r="I1694" s="206" t="s">
        <v>4671</v>
      </c>
      <c r="J1694" s="206" t="s">
        <v>4672</v>
      </c>
      <c r="K1694" s="206" t="s">
        <v>4646</v>
      </c>
      <c r="L1694" s="206" t="s">
        <v>750</v>
      </c>
      <c r="M1694" s="157"/>
      <c r="N1694" s="165"/>
      <c r="O1694" s="169"/>
      <c r="P1694" s="169">
        <v>229379.7</v>
      </c>
      <c r="Q1694" s="166">
        <f t="shared" si="72"/>
        <v>0</v>
      </c>
      <c r="R1694" s="169"/>
      <c r="S1694" s="169"/>
      <c r="T1694" s="169"/>
      <c r="U1694" s="169"/>
      <c r="V1694" s="166">
        <f t="shared" si="73"/>
        <v>0</v>
      </c>
      <c r="W1694" s="205"/>
      <c r="X1694" s="167"/>
    </row>
    <row r="1695" spans="8:24" s="220" customFormat="1" ht="12.75" hidden="1" customHeight="1">
      <c r="H1695" s="168" t="s">
        <v>4618</v>
      </c>
      <c r="I1695" s="206" t="s">
        <v>4673</v>
      </c>
      <c r="J1695" s="206" t="s">
        <v>4674</v>
      </c>
      <c r="K1695" s="206" t="s">
        <v>4649</v>
      </c>
      <c r="L1695" s="206" t="s">
        <v>750</v>
      </c>
      <c r="M1695" s="157"/>
      <c r="N1695" s="165"/>
      <c r="O1695" s="169"/>
      <c r="P1695" s="169">
        <v>291937.8</v>
      </c>
      <c r="Q1695" s="166">
        <f t="shared" si="72"/>
        <v>0</v>
      </c>
      <c r="R1695" s="169"/>
      <c r="S1695" s="169"/>
      <c r="T1695" s="169"/>
      <c r="U1695" s="169"/>
      <c r="V1695" s="166">
        <f t="shared" si="73"/>
        <v>0</v>
      </c>
      <c r="W1695" s="205"/>
      <c r="X1695" s="167"/>
    </row>
    <row r="1696" spans="8:24" s="220" customFormat="1" ht="12.75" hidden="1" customHeight="1">
      <c r="H1696" s="168" t="s">
        <v>4619</v>
      </c>
      <c r="I1696" s="206" t="s">
        <v>4675</v>
      </c>
      <c r="J1696" s="206" t="s">
        <v>4676</v>
      </c>
      <c r="K1696" s="206" t="s">
        <v>4652</v>
      </c>
      <c r="L1696" s="206" t="s">
        <v>750</v>
      </c>
      <c r="M1696" s="157"/>
      <c r="N1696" s="165"/>
      <c r="O1696" s="169"/>
      <c r="P1696" s="169">
        <v>396201.3</v>
      </c>
      <c r="Q1696" s="166">
        <f t="shared" si="72"/>
        <v>0</v>
      </c>
      <c r="R1696" s="169"/>
      <c r="S1696" s="169"/>
      <c r="T1696" s="169"/>
      <c r="U1696" s="169"/>
      <c r="V1696" s="166">
        <f t="shared" si="73"/>
        <v>0</v>
      </c>
      <c r="W1696" s="205"/>
      <c r="X1696" s="167"/>
    </row>
    <row r="1697" spans="8:24" s="220" customFormat="1" ht="12.75" hidden="1" customHeight="1">
      <c r="H1697" s="168" t="s">
        <v>4620</v>
      </c>
      <c r="I1697" s="206" t="s">
        <v>4677</v>
      </c>
      <c r="J1697" s="206" t="s">
        <v>4678</v>
      </c>
      <c r="K1697" s="206" t="s">
        <v>4655</v>
      </c>
      <c r="L1697" s="206" t="s">
        <v>750</v>
      </c>
      <c r="M1697" s="157"/>
      <c r="N1697" s="165"/>
      <c r="O1697" s="169"/>
      <c r="P1697" s="169">
        <v>458759.4</v>
      </c>
      <c r="Q1697" s="166">
        <f t="shared" si="72"/>
        <v>0</v>
      </c>
      <c r="R1697" s="169"/>
      <c r="S1697" s="169"/>
      <c r="T1697" s="169"/>
      <c r="U1697" s="169"/>
      <c r="V1697" s="166">
        <f t="shared" si="73"/>
        <v>0</v>
      </c>
      <c r="W1697" s="205"/>
      <c r="X1697" s="167"/>
    </row>
    <row r="1698" spans="8:24" s="220" customFormat="1" ht="12.75" hidden="1" customHeight="1">
      <c r="H1698" s="168" t="s">
        <v>4621</v>
      </c>
      <c r="I1698" s="206" t="s">
        <v>4679</v>
      </c>
      <c r="J1698" s="206" t="s">
        <v>4680</v>
      </c>
      <c r="K1698" s="206" t="s">
        <v>4658</v>
      </c>
      <c r="L1698" s="206" t="s">
        <v>750</v>
      </c>
      <c r="M1698" s="157"/>
      <c r="N1698" s="165"/>
      <c r="O1698" s="169"/>
      <c r="P1698" s="169">
        <v>469185.75</v>
      </c>
      <c r="Q1698" s="166">
        <f t="shared" si="72"/>
        <v>0</v>
      </c>
      <c r="R1698" s="169"/>
      <c r="S1698" s="169"/>
      <c r="T1698" s="169"/>
      <c r="U1698" s="169"/>
      <c r="V1698" s="166">
        <f t="shared" si="73"/>
        <v>0</v>
      </c>
      <c r="W1698" s="205"/>
      <c r="X1698" s="167"/>
    </row>
    <row r="1699" spans="8:24" s="220" customFormat="1" ht="12.75" hidden="1" customHeight="1">
      <c r="H1699" s="168" t="s">
        <v>4622</v>
      </c>
      <c r="I1699" s="206" t="s">
        <v>4681</v>
      </c>
      <c r="J1699" s="206" t="s">
        <v>4682</v>
      </c>
      <c r="K1699" s="206" t="s">
        <v>4661</v>
      </c>
      <c r="L1699" s="206" t="s">
        <v>750</v>
      </c>
      <c r="M1699" s="157"/>
      <c r="N1699" s="165"/>
      <c r="O1699" s="169"/>
      <c r="P1699" s="169">
        <v>500464.8</v>
      </c>
      <c r="Q1699" s="166">
        <f t="shared" si="72"/>
        <v>0</v>
      </c>
      <c r="R1699" s="169"/>
      <c r="S1699" s="169"/>
      <c r="T1699" s="169"/>
      <c r="U1699" s="169"/>
      <c r="V1699" s="166">
        <f t="shared" si="73"/>
        <v>0</v>
      </c>
      <c r="W1699" s="205"/>
      <c r="X1699" s="167"/>
    </row>
    <row r="1700" spans="8:24" s="220" customFormat="1" ht="12.75" hidden="1" customHeight="1">
      <c r="H1700" s="168" t="s">
        <v>4623</v>
      </c>
      <c r="I1700" s="206" t="s">
        <v>4683</v>
      </c>
      <c r="J1700" s="206" t="s">
        <v>4684</v>
      </c>
      <c r="K1700" s="206" t="s">
        <v>4664</v>
      </c>
      <c r="L1700" s="206" t="s">
        <v>750</v>
      </c>
      <c r="M1700" s="157"/>
      <c r="N1700" s="165"/>
      <c r="O1700" s="169"/>
      <c r="P1700" s="169">
        <v>542170.19999999995</v>
      </c>
      <c r="Q1700" s="166">
        <f t="shared" si="72"/>
        <v>0</v>
      </c>
      <c r="R1700" s="169"/>
      <c r="S1700" s="169"/>
      <c r="T1700" s="169"/>
      <c r="U1700" s="169"/>
      <c r="V1700" s="166">
        <f t="shared" si="73"/>
        <v>0</v>
      </c>
      <c r="W1700" s="205"/>
      <c r="X1700" s="167"/>
    </row>
    <row r="1701" spans="8:24" s="220" customFormat="1" ht="12.75" hidden="1" customHeight="1">
      <c r="H1701" s="168" t="s">
        <v>4624</v>
      </c>
      <c r="I1701" s="206" t="s">
        <v>4685</v>
      </c>
      <c r="J1701" s="206" t="s">
        <v>4686</v>
      </c>
      <c r="K1701" s="206" t="s">
        <v>4667</v>
      </c>
      <c r="L1701" s="206" t="s">
        <v>750</v>
      </c>
      <c r="M1701" s="157"/>
      <c r="N1701" s="165"/>
      <c r="O1701" s="169"/>
      <c r="P1701" s="169">
        <v>563022.9</v>
      </c>
      <c r="Q1701" s="166">
        <f t="shared" si="72"/>
        <v>0</v>
      </c>
      <c r="R1701" s="169"/>
      <c r="S1701" s="169"/>
      <c r="T1701" s="169"/>
      <c r="U1701" s="169"/>
      <c r="V1701" s="166">
        <f t="shared" si="73"/>
        <v>0</v>
      </c>
      <c r="W1701" s="205"/>
      <c r="X1701" s="167"/>
    </row>
    <row r="1702" spans="8:24" s="220" customFormat="1" ht="12.75" hidden="1" customHeight="1">
      <c r="H1702" s="168" t="s">
        <v>4625</v>
      </c>
      <c r="I1702" s="206" t="s">
        <v>4687</v>
      </c>
      <c r="J1702" s="206" t="s">
        <v>4688</v>
      </c>
      <c r="K1702" s="206" t="s">
        <v>4670</v>
      </c>
      <c r="L1702" s="206" t="s">
        <v>750</v>
      </c>
      <c r="M1702" s="157"/>
      <c r="N1702" s="165"/>
      <c r="O1702" s="169"/>
      <c r="P1702" s="169">
        <v>750697.2</v>
      </c>
      <c r="Q1702" s="166">
        <f t="shared" si="72"/>
        <v>0</v>
      </c>
      <c r="R1702" s="169"/>
      <c r="S1702" s="169"/>
      <c r="T1702" s="169"/>
      <c r="U1702" s="169"/>
      <c r="V1702" s="166">
        <f t="shared" si="73"/>
        <v>0</v>
      </c>
      <c r="W1702" s="205"/>
      <c r="X1702" s="167"/>
    </row>
    <row r="1703" spans="8:24" s="220" customFormat="1" ht="12.75" hidden="1" customHeight="1">
      <c r="H1703" s="168" t="s">
        <v>4626</v>
      </c>
      <c r="I1703" s="206" t="s">
        <v>4689</v>
      </c>
      <c r="J1703" s="206" t="s">
        <v>4690</v>
      </c>
      <c r="K1703" s="206" t="s">
        <v>4646</v>
      </c>
      <c r="L1703" s="206" t="s">
        <v>750</v>
      </c>
      <c r="M1703" s="157"/>
      <c r="N1703" s="165"/>
      <c r="O1703" s="169"/>
      <c r="P1703" s="169">
        <v>271085.09999999998</v>
      </c>
      <c r="Q1703" s="166">
        <f t="shared" si="72"/>
        <v>0</v>
      </c>
      <c r="R1703" s="169"/>
      <c r="S1703" s="169"/>
      <c r="T1703" s="169"/>
      <c r="U1703" s="169"/>
      <c r="V1703" s="166">
        <f t="shared" si="73"/>
        <v>0</v>
      </c>
      <c r="W1703" s="205"/>
      <c r="X1703" s="167"/>
    </row>
    <row r="1704" spans="8:24" s="220" customFormat="1" ht="12.75" hidden="1" customHeight="1">
      <c r="H1704" s="168" t="s">
        <v>4627</v>
      </c>
      <c r="I1704" s="206" t="s">
        <v>4691</v>
      </c>
      <c r="J1704" s="206" t="s">
        <v>4692</v>
      </c>
      <c r="K1704" s="206" t="s">
        <v>4649</v>
      </c>
      <c r="L1704" s="206" t="s">
        <v>750</v>
      </c>
      <c r="M1704" s="157"/>
      <c r="N1704" s="165"/>
      <c r="O1704" s="169"/>
      <c r="P1704" s="169">
        <v>375348.6</v>
      </c>
      <c r="Q1704" s="166">
        <f t="shared" si="72"/>
        <v>0</v>
      </c>
      <c r="R1704" s="169"/>
      <c r="S1704" s="169"/>
      <c r="T1704" s="169"/>
      <c r="U1704" s="169"/>
      <c r="V1704" s="166">
        <f t="shared" si="73"/>
        <v>0</v>
      </c>
      <c r="W1704" s="205"/>
      <c r="X1704" s="167"/>
    </row>
    <row r="1705" spans="8:24" s="220" customFormat="1" ht="12.75" hidden="1" customHeight="1">
      <c r="H1705" s="168" t="s">
        <v>4628</v>
      </c>
      <c r="I1705" s="206" t="s">
        <v>4693</v>
      </c>
      <c r="J1705" s="206" t="s">
        <v>4694</v>
      </c>
      <c r="K1705" s="206" t="s">
        <v>4652</v>
      </c>
      <c r="L1705" s="206" t="s">
        <v>750</v>
      </c>
      <c r="M1705" s="157"/>
      <c r="N1705" s="165"/>
      <c r="O1705" s="169"/>
      <c r="P1705" s="169">
        <v>500464.8</v>
      </c>
      <c r="Q1705" s="166">
        <f t="shared" si="72"/>
        <v>0</v>
      </c>
      <c r="R1705" s="169"/>
      <c r="S1705" s="169"/>
      <c r="T1705" s="169"/>
      <c r="U1705" s="169"/>
      <c r="V1705" s="166">
        <f t="shared" si="73"/>
        <v>0</v>
      </c>
      <c r="W1705" s="205"/>
      <c r="X1705" s="167"/>
    </row>
    <row r="1706" spans="8:24" s="220" customFormat="1" ht="12.75" hidden="1" customHeight="1">
      <c r="H1706" s="168" t="s">
        <v>4629</v>
      </c>
      <c r="I1706" s="206" t="s">
        <v>4695</v>
      </c>
      <c r="J1706" s="206" t="s">
        <v>4696</v>
      </c>
      <c r="K1706" s="206" t="s">
        <v>4655</v>
      </c>
      <c r="L1706" s="206" t="s">
        <v>750</v>
      </c>
      <c r="M1706" s="157"/>
      <c r="N1706" s="165"/>
      <c r="O1706" s="169"/>
      <c r="P1706" s="169">
        <v>542170.19999999995</v>
      </c>
      <c r="Q1706" s="166">
        <f t="shared" si="72"/>
        <v>0</v>
      </c>
      <c r="R1706" s="169"/>
      <c r="S1706" s="169"/>
      <c r="T1706" s="169"/>
      <c r="U1706" s="169"/>
      <c r="V1706" s="166">
        <f t="shared" si="73"/>
        <v>0</v>
      </c>
      <c r="W1706" s="205"/>
      <c r="X1706" s="167"/>
    </row>
    <row r="1707" spans="8:24" s="220" customFormat="1" ht="12.75" hidden="1" customHeight="1">
      <c r="H1707" s="168" t="s">
        <v>4630</v>
      </c>
      <c r="I1707" s="206" t="s">
        <v>4697</v>
      </c>
      <c r="J1707" s="206" t="s">
        <v>4698</v>
      </c>
      <c r="K1707" s="206" t="s">
        <v>4658</v>
      </c>
      <c r="L1707" s="206" t="s">
        <v>750</v>
      </c>
      <c r="M1707" s="157"/>
      <c r="N1707" s="165"/>
      <c r="O1707" s="169"/>
      <c r="P1707" s="169">
        <v>604728.30000000005</v>
      </c>
      <c r="Q1707" s="166">
        <f t="shared" si="72"/>
        <v>0</v>
      </c>
      <c r="R1707" s="169"/>
      <c r="S1707" s="169"/>
      <c r="T1707" s="169"/>
      <c r="U1707" s="169"/>
      <c r="V1707" s="166">
        <f t="shared" si="73"/>
        <v>0</v>
      </c>
      <c r="W1707" s="205"/>
      <c r="X1707" s="167"/>
    </row>
    <row r="1708" spans="8:24" s="220" customFormat="1" ht="12.75" hidden="1" customHeight="1">
      <c r="H1708" s="168" t="s">
        <v>4631</v>
      </c>
      <c r="I1708" s="206" t="s">
        <v>4699</v>
      </c>
      <c r="J1708" s="206" t="s">
        <v>4700</v>
      </c>
      <c r="K1708" s="206" t="s">
        <v>4661</v>
      </c>
      <c r="L1708" s="206" t="s">
        <v>750</v>
      </c>
      <c r="M1708" s="157"/>
      <c r="N1708" s="165"/>
      <c r="O1708" s="169"/>
      <c r="P1708" s="169">
        <v>625581</v>
      </c>
      <c r="Q1708" s="166">
        <f t="shared" si="72"/>
        <v>0</v>
      </c>
      <c r="R1708" s="169"/>
      <c r="S1708" s="169"/>
      <c r="T1708" s="169"/>
      <c r="U1708" s="169"/>
      <c r="V1708" s="166">
        <f t="shared" si="73"/>
        <v>0</v>
      </c>
      <c r="W1708" s="205"/>
      <c r="X1708" s="167"/>
    </row>
    <row r="1709" spans="8:24" s="220" customFormat="1" ht="12.75" hidden="1" customHeight="1">
      <c r="H1709" s="168" t="s">
        <v>4632</v>
      </c>
      <c r="I1709" s="206" t="s">
        <v>4701</v>
      </c>
      <c r="J1709" s="206" t="s">
        <v>4702</v>
      </c>
      <c r="K1709" s="206" t="s">
        <v>4664</v>
      </c>
      <c r="L1709" s="206" t="s">
        <v>750</v>
      </c>
      <c r="M1709" s="157"/>
      <c r="N1709" s="165"/>
      <c r="O1709" s="169"/>
      <c r="P1709" s="169">
        <v>646433.69999999995</v>
      </c>
      <c r="Q1709" s="166">
        <f t="shared" si="72"/>
        <v>0</v>
      </c>
      <c r="R1709" s="169"/>
      <c r="S1709" s="169"/>
      <c r="T1709" s="169"/>
      <c r="U1709" s="169"/>
      <c r="V1709" s="166">
        <f t="shared" si="73"/>
        <v>0</v>
      </c>
      <c r="W1709" s="205"/>
      <c r="X1709" s="167"/>
    </row>
    <row r="1710" spans="8:24" s="220" customFormat="1" ht="12.75" hidden="1" customHeight="1">
      <c r="H1710" s="168" t="s">
        <v>4633</v>
      </c>
      <c r="I1710" s="206" t="s">
        <v>4703</v>
      </c>
      <c r="J1710" s="206" t="s">
        <v>4704</v>
      </c>
      <c r="K1710" s="206" t="s">
        <v>4667</v>
      </c>
      <c r="L1710" s="206" t="s">
        <v>750</v>
      </c>
      <c r="M1710" s="157"/>
      <c r="N1710" s="165"/>
      <c r="O1710" s="169"/>
      <c r="P1710" s="169">
        <v>667286.4</v>
      </c>
      <c r="Q1710" s="166">
        <f t="shared" si="72"/>
        <v>0</v>
      </c>
      <c r="R1710" s="169"/>
      <c r="S1710" s="169"/>
      <c r="T1710" s="169"/>
      <c r="U1710" s="169"/>
      <c r="V1710" s="166">
        <f t="shared" si="73"/>
        <v>0</v>
      </c>
      <c r="W1710" s="205"/>
      <c r="X1710" s="167"/>
    </row>
    <row r="1711" spans="8:24" s="220" customFormat="1" ht="12.75" hidden="1" customHeight="1">
      <c r="H1711" s="168" t="s">
        <v>4634</v>
      </c>
      <c r="I1711" s="206" t="s">
        <v>4705</v>
      </c>
      <c r="J1711" s="206" t="s">
        <v>4706</v>
      </c>
      <c r="K1711" s="206" t="s">
        <v>4670</v>
      </c>
      <c r="L1711" s="206" t="s">
        <v>750</v>
      </c>
      <c r="M1711" s="157"/>
      <c r="N1711" s="165"/>
      <c r="O1711" s="169"/>
      <c r="P1711" s="169">
        <v>917518.8</v>
      </c>
      <c r="Q1711" s="166">
        <f t="shared" si="72"/>
        <v>0</v>
      </c>
      <c r="R1711" s="169"/>
      <c r="S1711" s="169"/>
      <c r="T1711" s="169"/>
      <c r="U1711" s="169"/>
      <c r="V1711" s="166">
        <f t="shared" si="73"/>
        <v>0</v>
      </c>
      <c r="W1711" s="205"/>
      <c r="X1711" s="167"/>
    </row>
    <row r="1712" spans="8:24" s="220" customFormat="1" ht="12.75" hidden="1" customHeight="1">
      <c r="H1712" s="168" t="s">
        <v>4405</v>
      </c>
      <c r="I1712" s="206" t="s">
        <v>4478</v>
      </c>
      <c r="J1712" s="206" t="s">
        <v>4479</v>
      </c>
      <c r="K1712" s="206" t="s">
        <v>815</v>
      </c>
      <c r="L1712" s="206" t="s">
        <v>750</v>
      </c>
      <c r="M1712" s="157"/>
      <c r="N1712" s="165"/>
      <c r="O1712" s="169"/>
      <c r="P1712" s="169">
        <v>43790.67</v>
      </c>
      <c r="Q1712" s="166">
        <f t="shared" si="72"/>
        <v>0</v>
      </c>
      <c r="R1712" s="169"/>
      <c r="S1712" s="169"/>
      <c r="T1712" s="169"/>
      <c r="U1712" s="169"/>
      <c r="V1712" s="166">
        <f t="shared" si="73"/>
        <v>0</v>
      </c>
      <c r="W1712" s="205"/>
      <c r="X1712" s="167"/>
    </row>
    <row r="1713" spans="8:24" s="220" customFormat="1" ht="12.75" hidden="1" customHeight="1">
      <c r="H1713" s="168" t="s">
        <v>4406</v>
      </c>
      <c r="I1713" s="206" t="s">
        <v>4480</v>
      </c>
      <c r="J1713" s="206" t="s">
        <v>4481</v>
      </c>
      <c r="K1713" s="206" t="s">
        <v>816</v>
      </c>
      <c r="L1713" s="206" t="s">
        <v>750</v>
      </c>
      <c r="M1713" s="157"/>
      <c r="N1713" s="165"/>
      <c r="O1713" s="169"/>
      <c r="P1713" s="169">
        <v>47961.21</v>
      </c>
      <c r="Q1713" s="166">
        <f t="shared" si="72"/>
        <v>0</v>
      </c>
      <c r="R1713" s="169"/>
      <c r="S1713" s="169"/>
      <c r="T1713" s="169"/>
      <c r="U1713" s="169"/>
      <c r="V1713" s="166">
        <f t="shared" si="73"/>
        <v>0</v>
      </c>
      <c r="W1713" s="205"/>
      <c r="X1713" s="167"/>
    </row>
    <row r="1714" spans="8:24" s="220" customFormat="1" ht="12.75" hidden="1" customHeight="1">
      <c r="H1714" s="168" t="s">
        <v>4407</v>
      </c>
      <c r="I1714" s="206" t="s">
        <v>4482</v>
      </c>
      <c r="J1714" s="206" t="s">
        <v>4483</v>
      </c>
      <c r="K1714" s="206" t="s">
        <v>817</v>
      </c>
      <c r="L1714" s="206" t="s">
        <v>750</v>
      </c>
      <c r="M1714" s="157"/>
      <c r="N1714" s="165"/>
      <c r="O1714" s="169"/>
      <c r="P1714" s="169">
        <v>54217.02</v>
      </c>
      <c r="Q1714" s="166">
        <f t="shared" si="72"/>
        <v>0</v>
      </c>
      <c r="R1714" s="169"/>
      <c r="S1714" s="169"/>
      <c r="T1714" s="169"/>
      <c r="U1714" s="169"/>
      <c r="V1714" s="166">
        <f t="shared" si="73"/>
        <v>0</v>
      </c>
      <c r="W1714" s="205"/>
      <c r="X1714" s="167"/>
    </row>
    <row r="1715" spans="8:24" s="220" customFormat="1" ht="12.75" hidden="1" customHeight="1">
      <c r="H1715" s="168" t="s">
        <v>4408</v>
      </c>
      <c r="I1715" s="206" t="s">
        <v>4484</v>
      </c>
      <c r="J1715" s="206" t="s">
        <v>4485</v>
      </c>
      <c r="K1715" s="206" t="s">
        <v>818</v>
      </c>
      <c r="L1715" s="206" t="s">
        <v>750</v>
      </c>
      <c r="M1715" s="157"/>
      <c r="N1715" s="165"/>
      <c r="O1715" s="169"/>
      <c r="P1715" s="169">
        <v>62558.1</v>
      </c>
      <c r="Q1715" s="166">
        <f t="shared" si="72"/>
        <v>0</v>
      </c>
      <c r="R1715" s="169"/>
      <c r="S1715" s="169"/>
      <c r="T1715" s="169"/>
      <c r="U1715" s="169"/>
      <c r="V1715" s="166">
        <f t="shared" si="73"/>
        <v>0</v>
      </c>
      <c r="W1715" s="205"/>
      <c r="X1715" s="167"/>
    </row>
    <row r="1716" spans="8:24" s="220" customFormat="1" ht="12.75" hidden="1" customHeight="1">
      <c r="H1716" s="168" t="s">
        <v>4409</v>
      </c>
      <c r="I1716" s="206" t="s">
        <v>4486</v>
      </c>
      <c r="J1716" s="206" t="s">
        <v>4487</v>
      </c>
      <c r="K1716" s="206" t="s">
        <v>819</v>
      </c>
      <c r="L1716" s="206" t="s">
        <v>750</v>
      </c>
      <c r="M1716" s="157"/>
      <c r="N1716" s="165"/>
      <c r="O1716" s="169"/>
      <c r="P1716" s="169">
        <v>70899.179999999993</v>
      </c>
      <c r="Q1716" s="166">
        <f t="shared" si="72"/>
        <v>0</v>
      </c>
      <c r="R1716" s="169"/>
      <c r="S1716" s="169"/>
      <c r="T1716" s="169"/>
      <c r="U1716" s="169"/>
      <c r="V1716" s="166">
        <f t="shared" si="73"/>
        <v>0</v>
      </c>
      <c r="W1716" s="205"/>
      <c r="X1716" s="167"/>
    </row>
    <row r="1717" spans="8:24" s="220" customFormat="1" ht="12.75" hidden="1" customHeight="1">
      <c r="H1717" s="168" t="s">
        <v>4410</v>
      </c>
      <c r="I1717" s="206" t="s">
        <v>4488</v>
      </c>
      <c r="J1717" s="206" t="s">
        <v>4489</v>
      </c>
      <c r="K1717" s="206" t="s">
        <v>820</v>
      </c>
      <c r="L1717" s="206" t="s">
        <v>750</v>
      </c>
      <c r="M1717" s="157"/>
      <c r="N1717" s="165"/>
      <c r="O1717" s="169"/>
      <c r="P1717" s="169">
        <v>77154.990000000005</v>
      </c>
      <c r="Q1717" s="166">
        <f t="shared" si="72"/>
        <v>0</v>
      </c>
      <c r="R1717" s="169"/>
      <c r="S1717" s="169"/>
      <c r="T1717" s="169"/>
      <c r="U1717" s="169"/>
      <c r="V1717" s="166">
        <f t="shared" si="73"/>
        <v>0</v>
      </c>
      <c r="W1717" s="205"/>
      <c r="X1717" s="167"/>
    </row>
    <row r="1718" spans="8:24" s="220" customFormat="1" ht="12.75" hidden="1" customHeight="1">
      <c r="H1718" s="168" t="s">
        <v>4411</v>
      </c>
      <c r="I1718" s="206" t="s">
        <v>4490</v>
      </c>
      <c r="J1718" s="206" t="s">
        <v>4491</v>
      </c>
      <c r="K1718" s="206" t="s">
        <v>821</v>
      </c>
      <c r="L1718" s="206" t="s">
        <v>750</v>
      </c>
      <c r="M1718" s="157"/>
      <c r="N1718" s="165"/>
      <c r="O1718" s="169"/>
      <c r="P1718" s="169">
        <v>89666.61</v>
      </c>
      <c r="Q1718" s="166">
        <f t="shared" ref="Q1718:Q1781" si="74">IF(W1718="",M1718*P1718*$Q$3*$W$3,M1718*P1718*$Q$3*W1718)</f>
        <v>0</v>
      </c>
      <c r="R1718" s="169"/>
      <c r="S1718" s="169"/>
      <c r="T1718" s="169"/>
      <c r="U1718" s="169"/>
      <c r="V1718" s="166">
        <f t="shared" si="73"/>
        <v>0</v>
      </c>
      <c r="W1718" s="205"/>
      <c r="X1718" s="167"/>
    </row>
    <row r="1719" spans="8:24" s="220" customFormat="1" ht="12.75" hidden="1" customHeight="1">
      <c r="H1719" s="168" t="s">
        <v>4412</v>
      </c>
      <c r="I1719" s="206" t="s">
        <v>4492</v>
      </c>
      <c r="J1719" s="206" t="s">
        <v>4493</v>
      </c>
      <c r="K1719" s="206" t="s">
        <v>822</v>
      </c>
      <c r="L1719" s="206" t="s">
        <v>750</v>
      </c>
      <c r="M1719" s="157"/>
      <c r="N1719" s="165"/>
      <c r="O1719" s="169"/>
      <c r="P1719" s="169">
        <v>100092.96</v>
      </c>
      <c r="Q1719" s="166">
        <f t="shared" si="74"/>
        <v>0</v>
      </c>
      <c r="R1719" s="169"/>
      <c r="S1719" s="169"/>
      <c r="T1719" s="169"/>
      <c r="U1719" s="169"/>
      <c r="V1719" s="166">
        <f t="shared" si="73"/>
        <v>0</v>
      </c>
      <c r="W1719" s="205"/>
      <c r="X1719" s="167"/>
    </row>
    <row r="1720" spans="8:24" s="220" customFormat="1" ht="12.75" hidden="1" customHeight="1">
      <c r="H1720" s="168" t="s">
        <v>4413</v>
      </c>
      <c r="I1720" s="206" t="s">
        <v>4494</v>
      </c>
      <c r="J1720" s="206" t="s">
        <v>4495</v>
      </c>
      <c r="K1720" s="206" t="s">
        <v>823</v>
      </c>
      <c r="L1720" s="206" t="s">
        <v>750</v>
      </c>
      <c r="M1720" s="157"/>
      <c r="N1720" s="165"/>
      <c r="O1720" s="169"/>
      <c r="P1720" s="169">
        <v>112604.58</v>
      </c>
      <c r="Q1720" s="166">
        <f t="shared" si="74"/>
        <v>0</v>
      </c>
      <c r="R1720" s="169"/>
      <c r="S1720" s="169"/>
      <c r="T1720" s="169"/>
      <c r="U1720" s="169"/>
      <c r="V1720" s="166">
        <f t="shared" si="73"/>
        <v>0</v>
      </c>
      <c r="W1720" s="205"/>
      <c r="X1720" s="167"/>
    </row>
    <row r="1721" spans="8:24" s="220" customFormat="1" ht="12.75" hidden="1" customHeight="1">
      <c r="H1721" s="168" t="s">
        <v>4414</v>
      </c>
      <c r="I1721" s="206" t="s">
        <v>4496</v>
      </c>
      <c r="J1721" s="206" t="s">
        <v>4497</v>
      </c>
      <c r="K1721" s="206" t="s">
        <v>4401</v>
      </c>
      <c r="L1721" s="206" t="s">
        <v>750</v>
      </c>
      <c r="M1721" s="157"/>
      <c r="N1721" s="165"/>
      <c r="O1721" s="169"/>
      <c r="P1721" s="169">
        <v>131372.01</v>
      </c>
      <c r="Q1721" s="166">
        <f t="shared" si="74"/>
        <v>0</v>
      </c>
      <c r="R1721" s="169"/>
      <c r="S1721" s="169"/>
      <c r="T1721" s="169"/>
      <c r="U1721" s="169"/>
      <c r="V1721" s="166">
        <f t="shared" si="73"/>
        <v>0</v>
      </c>
      <c r="W1721" s="205"/>
      <c r="X1721" s="167"/>
    </row>
    <row r="1722" spans="8:24" s="220" customFormat="1" ht="12.75" hidden="1" customHeight="1">
      <c r="H1722" s="168" t="s">
        <v>4415</v>
      </c>
      <c r="I1722" s="206" t="s">
        <v>4498</v>
      </c>
      <c r="J1722" s="206" t="s">
        <v>4499</v>
      </c>
      <c r="K1722" s="206" t="s">
        <v>4404</v>
      </c>
      <c r="L1722" s="206" t="s">
        <v>750</v>
      </c>
      <c r="M1722" s="157"/>
      <c r="N1722" s="165"/>
      <c r="O1722" s="169"/>
      <c r="P1722" s="169">
        <v>148054.17000000001</v>
      </c>
      <c r="Q1722" s="166">
        <f t="shared" si="74"/>
        <v>0</v>
      </c>
      <c r="R1722" s="169"/>
      <c r="S1722" s="169"/>
      <c r="T1722" s="169"/>
      <c r="U1722" s="169"/>
      <c r="V1722" s="166">
        <f t="shared" si="73"/>
        <v>0</v>
      </c>
      <c r="W1722" s="205"/>
      <c r="X1722" s="167"/>
    </row>
    <row r="1723" spans="8:24" s="220" customFormat="1" ht="12.75" hidden="1" customHeight="1">
      <c r="H1723" s="168" t="s">
        <v>4416</v>
      </c>
      <c r="I1723" s="206" t="s">
        <v>4500</v>
      </c>
      <c r="J1723" s="206" t="s">
        <v>4501</v>
      </c>
      <c r="K1723" s="206" t="s">
        <v>815</v>
      </c>
      <c r="L1723" s="206" t="s">
        <v>750</v>
      </c>
      <c r="M1723" s="157"/>
      <c r="N1723" s="165"/>
      <c r="O1723" s="169"/>
      <c r="P1723" s="169">
        <v>87581.34</v>
      </c>
      <c r="Q1723" s="166">
        <f t="shared" si="74"/>
        <v>0</v>
      </c>
      <c r="R1723" s="169"/>
      <c r="S1723" s="169"/>
      <c r="T1723" s="169"/>
      <c r="U1723" s="169"/>
      <c r="V1723" s="166">
        <f t="shared" si="73"/>
        <v>0</v>
      </c>
      <c r="W1723" s="205"/>
      <c r="X1723" s="167"/>
    </row>
    <row r="1724" spans="8:24" s="220" customFormat="1" ht="12.75" hidden="1" customHeight="1">
      <c r="H1724" s="168" t="s">
        <v>4417</v>
      </c>
      <c r="I1724" s="206" t="s">
        <v>4502</v>
      </c>
      <c r="J1724" s="206" t="s">
        <v>4503</v>
      </c>
      <c r="K1724" s="206" t="s">
        <v>816</v>
      </c>
      <c r="L1724" s="206" t="s">
        <v>750</v>
      </c>
      <c r="M1724" s="157"/>
      <c r="N1724" s="165"/>
      <c r="O1724" s="169"/>
      <c r="P1724" s="169">
        <v>95922.42</v>
      </c>
      <c r="Q1724" s="166">
        <f t="shared" si="74"/>
        <v>0</v>
      </c>
      <c r="R1724" s="169"/>
      <c r="S1724" s="169"/>
      <c r="T1724" s="169"/>
      <c r="U1724" s="169"/>
      <c r="V1724" s="166">
        <f t="shared" si="73"/>
        <v>0</v>
      </c>
      <c r="W1724" s="205"/>
      <c r="X1724" s="167"/>
    </row>
    <row r="1725" spans="8:24" s="220" customFormat="1" ht="12.75" hidden="1" customHeight="1">
      <c r="H1725" s="168" t="s">
        <v>4418</v>
      </c>
      <c r="I1725" s="206" t="s">
        <v>4504</v>
      </c>
      <c r="J1725" s="206" t="s">
        <v>4505</v>
      </c>
      <c r="K1725" s="206" t="s">
        <v>817</v>
      </c>
      <c r="L1725" s="206" t="s">
        <v>750</v>
      </c>
      <c r="M1725" s="157"/>
      <c r="N1725" s="165"/>
      <c r="O1725" s="169"/>
      <c r="P1725" s="169">
        <v>106348.77</v>
      </c>
      <c r="Q1725" s="166">
        <f t="shared" si="74"/>
        <v>0</v>
      </c>
      <c r="R1725" s="169"/>
      <c r="S1725" s="169"/>
      <c r="T1725" s="169"/>
      <c r="U1725" s="169"/>
      <c r="V1725" s="166">
        <f t="shared" si="73"/>
        <v>0</v>
      </c>
      <c r="W1725" s="205"/>
      <c r="X1725" s="167"/>
    </row>
    <row r="1726" spans="8:24" s="220" customFormat="1" ht="12.75" hidden="1" customHeight="1">
      <c r="H1726" s="168" t="s">
        <v>4419</v>
      </c>
      <c r="I1726" s="206" t="s">
        <v>4506</v>
      </c>
      <c r="J1726" s="206" t="s">
        <v>4507</v>
      </c>
      <c r="K1726" s="206" t="s">
        <v>818</v>
      </c>
      <c r="L1726" s="206" t="s">
        <v>750</v>
      </c>
      <c r="M1726" s="157"/>
      <c r="N1726" s="165"/>
      <c r="O1726" s="169"/>
      <c r="P1726" s="169">
        <v>123030.93</v>
      </c>
      <c r="Q1726" s="166">
        <f t="shared" si="74"/>
        <v>0</v>
      </c>
      <c r="R1726" s="169"/>
      <c r="S1726" s="169"/>
      <c r="T1726" s="169"/>
      <c r="U1726" s="169"/>
      <c r="V1726" s="166">
        <f t="shared" si="73"/>
        <v>0</v>
      </c>
      <c r="W1726" s="205"/>
      <c r="X1726" s="167"/>
    </row>
    <row r="1727" spans="8:24" s="220" customFormat="1" ht="12.75" hidden="1" customHeight="1">
      <c r="H1727" s="168" t="s">
        <v>4420</v>
      </c>
      <c r="I1727" s="206" t="s">
        <v>4508</v>
      </c>
      <c r="J1727" s="206" t="s">
        <v>4509</v>
      </c>
      <c r="K1727" s="206" t="s">
        <v>819</v>
      </c>
      <c r="L1727" s="206" t="s">
        <v>750</v>
      </c>
      <c r="M1727" s="157"/>
      <c r="N1727" s="165"/>
      <c r="O1727" s="169"/>
      <c r="P1727" s="169">
        <v>135542.54999999999</v>
      </c>
      <c r="Q1727" s="166">
        <f t="shared" si="74"/>
        <v>0</v>
      </c>
      <c r="R1727" s="169"/>
      <c r="S1727" s="169"/>
      <c r="T1727" s="169"/>
      <c r="U1727" s="169"/>
      <c r="V1727" s="166">
        <f t="shared" si="73"/>
        <v>0</v>
      </c>
      <c r="W1727" s="205"/>
      <c r="X1727" s="167"/>
    </row>
    <row r="1728" spans="8:24" s="220" customFormat="1" ht="12.75" hidden="1" customHeight="1">
      <c r="H1728" s="168" t="s">
        <v>4421</v>
      </c>
      <c r="I1728" s="206" t="s">
        <v>4510</v>
      </c>
      <c r="J1728" s="206" t="s">
        <v>4511</v>
      </c>
      <c r="K1728" s="206" t="s">
        <v>820</v>
      </c>
      <c r="L1728" s="206" t="s">
        <v>750</v>
      </c>
      <c r="M1728" s="157"/>
      <c r="N1728" s="165"/>
      <c r="O1728" s="169"/>
      <c r="P1728" s="169">
        <v>152224.71</v>
      </c>
      <c r="Q1728" s="166">
        <f t="shared" si="74"/>
        <v>0</v>
      </c>
      <c r="R1728" s="169"/>
      <c r="S1728" s="169"/>
      <c r="T1728" s="169"/>
      <c r="U1728" s="169"/>
      <c r="V1728" s="166">
        <f t="shared" si="73"/>
        <v>0</v>
      </c>
      <c r="W1728" s="205"/>
      <c r="X1728" s="167"/>
    </row>
    <row r="1729" spans="8:24" s="220" customFormat="1" ht="12.75" hidden="1" customHeight="1">
      <c r="H1729" s="168" t="s">
        <v>4422</v>
      </c>
      <c r="I1729" s="206" t="s">
        <v>4512</v>
      </c>
      <c r="J1729" s="206" t="s">
        <v>4513</v>
      </c>
      <c r="K1729" s="206" t="s">
        <v>821</v>
      </c>
      <c r="L1729" s="206" t="s">
        <v>750</v>
      </c>
      <c r="M1729" s="157"/>
      <c r="N1729" s="165"/>
      <c r="O1729" s="169"/>
      <c r="P1729" s="169">
        <v>175162.68</v>
      </c>
      <c r="Q1729" s="166">
        <f t="shared" si="74"/>
        <v>0</v>
      </c>
      <c r="R1729" s="169"/>
      <c r="S1729" s="169"/>
      <c r="T1729" s="169"/>
      <c r="U1729" s="169"/>
      <c r="V1729" s="166">
        <f t="shared" si="73"/>
        <v>0</v>
      </c>
      <c r="W1729" s="205"/>
      <c r="X1729" s="167"/>
    </row>
    <row r="1730" spans="8:24" s="220" customFormat="1" ht="12.75" hidden="1" customHeight="1">
      <c r="H1730" s="168" t="s">
        <v>4423</v>
      </c>
      <c r="I1730" s="206" t="s">
        <v>4514</v>
      </c>
      <c r="J1730" s="206" t="s">
        <v>4515</v>
      </c>
      <c r="K1730" s="206" t="s">
        <v>822</v>
      </c>
      <c r="L1730" s="206" t="s">
        <v>750</v>
      </c>
      <c r="M1730" s="157"/>
      <c r="N1730" s="165"/>
      <c r="O1730" s="169"/>
      <c r="P1730" s="169">
        <v>204356.46</v>
      </c>
      <c r="Q1730" s="166">
        <f t="shared" si="74"/>
        <v>0</v>
      </c>
      <c r="R1730" s="169"/>
      <c r="S1730" s="169"/>
      <c r="T1730" s="169"/>
      <c r="U1730" s="169"/>
      <c r="V1730" s="166">
        <f t="shared" si="73"/>
        <v>0</v>
      </c>
      <c r="W1730" s="205"/>
      <c r="X1730" s="167"/>
    </row>
    <row r="1731" spans="8:24" s="220" customFormat="1" ht="12.75" hidden="1" customHeight="1">
      <c r="H1731" s="168" t="s">
        <v>4424</v>
      </c>
      <c r="I1731" s="206" t="s">
        <v>4516</v>
      </c>
      <c r="J1731" s="206" t="s">
        <v>4517</v>
      </c>
      <c r="K1731" s="206" t="s">
        <v>823</v>
      </c>
      <c r="L1731" s="206" t="s">
        <v>750</v>
      </c>
      <c r="M1731" s="157"/>
      <c r="N1731" s="165"/>
      <c r="O1731" s="169"/>
      <c r="P1731" s="169">
        <v>218953.35</v>
      </c>
      <c r="Q1731" s="166">
        <f t="shared" si="74"/>
        <v>0</v>
      </c>
      <c r="R1731" s="169"/>
      <c r="S1731" s="169"/>
      <c r="T1731" s="169"/>
      <c r="U1731" s="169"/>
      <c r="V1731" s="166">
        <f t="shared" si="73"/>
        <v>0</v>
      </c>
      <c r="W1731" s="205"/>
      <c r="X1731" s="167"/>
    </row>
    <row r="1732" spans="8:24" s="220" customFormat="1" ht="12.75" hidden="1" customHeight="1">
      <c r="H1732" s="168" t="s">
        <v>4425</v>
      </c>
      <c r="I1732" s="206" t="s">
        <v>4518</v>
      </c>
      <c r="J1732" s="206" t="s">
        <v>4519</v>
      </c>
      <c r="K1732" s="206" t="s">
        <v>4401</v>
      </c>
      <c r="L1732" s="206" t="s">
        <v>750</v>
      </c>
      <c r="M1732" s="157"/>
      <c r="N1732" s="165"/>
      <c r="O1732" s="169"/>
      <c r="P1732" s="169">
        <v>258573.48</v>
      </c>
      <c r="Q1732" s="166">
        <f t="shared" si="74"/>
        <v>0</v>
      </c>
      <c r="R1732" s="169"/>
      <c r="S1732" s="169"/>
      <c r="T1732" s="169"/>
      <c r="U1732" s="169"/>
      <c r="V1732" s="166">
        <f t="shared" si="73"/>
        <v>0</v>
      </c>
      <c r="W1732" s="205"/>
      <c r="X1732" s="167"/>
    </row>
    <row r="1733" spans="8:24" s="220" customFormat="1" ht="12.75" hidden="1" customHeight="1">
      <c r="H1733" s="168" t="s">
        <v>4426</v>
      </c>
      <c r="I1733" s="206" t="s">
        <v>4520</v>
      </c>
      <c r="J1733" s="206" t="s">
        <v>4521</v>
      </c>
      <c r="K1733" s="206" t="s">
        <v>4404</v>
      </c>
      <c r="L1733" s="206" t="s">
        <v>750</v>
      </c>
      <c r="M1733" s="157"/>
      <c r="N1733" s="165"/>
      <c r="O1733" s="169"/>
      <c r="P1733" s="169">
        <v>287767.26</v>
      </c>
      <c r="Q1733" s="166">
        <f t="shared" si="74"/>
        <v>0</v>
      </c>
      <c r="R1733" s="169"/>
      <c r="S1733" s="169"/>
      <c r="T1733" s="169"/>
      <c r="U1733" s="169"/>
      <c r="V1733" s="166">
        <f t="shared" si="73"/>
        <v>0</v>
      </c>
      <c r="W1733" s="205"/>
      <c r="X1733" s="167"/>
    </row>
    <row r="1734" spans="8:24" s="220" customFormat="1" ht="12.75" hidden="1" customHeight="1">
      <c r="H1734" s="168" t="s">
        <v>4427</v>
      </c>
      <c r="I1734" s="206" t="s">
        <v>4522</v>
      </c>
      <c r="J1734" s="206" t="s">
        <v>4523</v>
      </c>
      <c r="K1734" s="206" t="s">
        <v>815</v>
      </c>
      <c r="L1734" s="206" t="s">
        <v>750</v>
      </c>
      <c r="M1734" s="157"/>
      <c r="N1734" s="165"/>
      <c r="O1734" s="169"/>
      <c r="P1734" s="169">
        <v>108434.04</v>
      </c>
      <c r="Q1734" s="166">
        <f t="shared" si="74"/>
        <v>0</v>
      </c>
      <c r="R1734" s="169"/>
      <c r="S1734" s="169"/>
      <c r="T1734" s="169"/>
      <c r="U1734" s="169"/>
      <c r="V1734" s="166">
        <f t="shared" ref="V1734:V1797" si="75">SUM(O1734+Q1734)+S1734+U1734</f>
        <v>0</v>
      </c>
      <c r="W1734" s="205"/>
      <c r="X1734" s="167"/>
    </row>
    <row r="1735" spans="8:24" s="220" customFormat="1" ht="12.75" hidden="1" customHeight="1">
      <c r="H1735" s="168" t="s">
        <v>4428</v>
      </c>
      <c r="I1735" s="206" t="s">
        <v>4524</v>
      </c>
      <c r="J1735" s="206" t="s">
        <v>4525</v>
      </c>
      <c r="K1735" s="206" t="s">
        <v>816</v>
      </c>
      <c r="L1735" s="206" t="s">
        <v>750</v>
      </c>
      <c r="M1735" s="157"/>
      <c r="N1735" s="165"/>
      <c r="O1735" s="169"/>
      <c r="P1735" s="169">
        <v>123030.93</v>
      </c>
      <c r="Q1735" s="166">
        <f t="shared" si="74"/>
        <v>0</v>
      </c>
      <c r="R1735" s="169"/>
      <c r="S1735" s="169"/>
      <c r="T1735" s="169"/>
      <c r="U1735" s="169"/>
      <c r="V1735" s="166">
        <f t="shared" si="75"/>
        <v>0</v>
      </c>
      <c r="W1735" s="205"/>
      <c r="X1735" s="167"/>
    </row>
    <row r="1736" spans="8:24" s="220" customFormat="1" ht="12.75" hidden="1" customHeight="1">
      <c r="H1736" s="168" t="s">
        <v>4429</v>
      </c>
      <c r="I1736" s="206" t="s">
        <v>4526</v>
      </c>
      <c r="J1736" s="206" t="s">
        <v>4527</v>
      </c>
      <c r="K1736" s="206" t="s">
        <v>817</v>
      </c>
      <c r="L1736" s="206" t="s">
        <v>750</v>
      </c>
      <c r="M1736" s="157"/>
      <c r="N1736" s="165"/>
      <c r="O1736" s="169"/>
      <c r="P1736" s="169">
        <v>139713.09</v>
      </c>
      <c r="Q1736" s="166">
        <f t="shared" si="74"/>
        <v>0</v>
      </c>
      <c r="R1736" s="169"/>
      <c r="S1736" s="169"/>
      <c r="T1736" s="169"/>
      <c r="U1736" s="169"/>
      <c r="V1736" s="166">
        <f t="shared" si="75"/>
        <v>0</v>
      </c>
      <c r="W1736" s="205"/>
      <c r="X1736" s="167"/>
    </row>
    <row r="1737" spans="8:24" s="220" customFormat="1" ht="12.75" hidden="1" customHeight="1">
      <c r="H1737" s="168" t="s">
        <v>4430</v>
      </c>
      <c r="I1737" s="206" t="s">
        <v>4528</v>
      </c>
      <c r="J1737" s="206" t="s">
        <v>4529</v>
      </c>
      <c r="K1737" s="206" t="s">
        <v>818</v>
      </c>
      <c r="L1737" s="206" t="s">
        <v>750</v>
      </c>
      <c r="M1737" s="157"/>
      <c r="N1737" s="165"/>
      <c r="O1737" s="169"/>
      <c r="P1737" s="169">
        <v>158480.51999999999</v>
      </c>
      <c r="Q1737" s="166">
        <f t="shared" si="74"/>
        <v>0</v>
      </c>
      <c r="R1737" s="169"/>
      <c r="S1737" s="169"/>
      <c r="T1737" s="169"/>
      <c r="U1737" s="169"/>
      <c r="V1737" s="166">
        <f t="shared" si="75"/>
        <v>0</v>
      </c>
      <c r="W1737" s="205"/>
      <c r="X1737" s="167"/>
    </row>
    <row r="1738" spans="8:24" s="220" customFormat="1" ht="12.75" hidden="1" customHeight="1">
      <c r="H1738" s="168" t="s">
        <v>4431</v>
      </c>
      <c r="I1738" s="206" t="s">
        <v>4530</v>
      </c>
      <c r="J1738" s="206" t="s">
        <v>4531</v>
      </c>
      <c r="K1738" s="206" t="s">
        <v>819</v>
      </c>
      <c r="L1738" s="206" t="s">
        <v>750</v>
      </c>
      <c r="M1738" s="157"/>
      <c r="N1738" s="165"/>
      <c r="O1738" s="169"/>
      <c r="P1738" s="169">
        <v>183503.76</v>
      </c>
      <c r="Q1738" s="166">
        <f t="shared" si="74"/>
        <v>0</v>
      </c>
      <c r="R1738" s="169"/>
      <c r="S1738" s="169"/>
      <c r="T1738" s="169"/>
      <c r="U1738" s="169"/>
      <c r="V1738" s="166">
        <f t="shared" si="75"/>
        <v>0</v>
      </c>
      <c r="W1738" s="205"/>
      <c r="X1738" s="167"/>
    </row>
    <row r="1739" spans="8:24" s="220" customFormat="1" ht="12.75" hidden="1" customHeight="1">
      <c r="H1739" s="168" t="s">
        <v>4432</v>
      </c>
      <c r="I1739" s="206" t="s">
        <v>4532</v>
      </c>
      <c r="J1739" s="206" t="s">
        <v>4533</v>
      </c>
      <c r="K1739" s="206" t="s">
        <v>820</v>
      </c>
      <c r="L1739" s="206" t="s">
        <v>750</v>
      </c>
      <c r="M1739" s="157"/>
      <c r="N1739" s="165"/>
      <c r="O1739" s="169"/>
      <c r="P1739" s="169">
        <v>204356.46</v>
      </c>
      <c r="Q1739" s="166">
        <f t="shared" si="74"/>
        <v>0</v>
      </c>
      <c r="R1739" s="169"/>
      <c r="S1739" s="169"/>
      <c r="T1739" s="169"/>
      <c r="U1739" s="169"/>
      <c r="V1739" s="166">
        <f t="shared" si="75"/>
        <v>0</v>
      </c>
      <c r="W1739" s="205"/>
      <c r="X1739" s="167"/>
    </row>
    <row r="1740" spans="8:24" s="220" customFormat="1" ht="12.75" hidden="1" customHeight="1">
      <c r="H1740" s="168" t="s">
        <v>4433</v>
      </c>
      <c r="I1740" s="206" t="s">
        <v>4534</v>
      </c>
      <c r="J1740" s="206" t="s">
        <v>4535</v>
      </c>
      <c r="K1740" s="206" t="s">
        <v>821</v>
      </c>
      <c r="L1740" s="206" t="s">
        <v>750</v>
      </c>
      <c r="M1740" s="157"/>
      <c r="N1740" s="165"/>
      <c r="O1740" s="169"/>
      <c r="P1740" s="169">
        <v>239806.05</v>
      </c>
      <c r="Q1740" s="166">
        <f t="shared" si="74"/>
        <v>0</v>
      </c>
      <c r="R1740" s="169"/>
      <c r="S1740" s="169"/>
      <c r="T1740" s="169"/>
      <c r="U1740" s="169"/>
      <c r="V1740" s="166">
        <f t="shared" si="75"/>
        <v>0</v>
      </c>
      <c r="W1740" s="205"/>
      <c r="X1740" s="167"/>
    </row>
    <row r="1741" spans="8:24" s="220" customFormat="1" ht="12.75" hidden="1" customHeight="1">
      <c r="H1741" s="168" t="s">
        <v>4434</v>
      </c>
      <c r="I1741" s="206" t="s">
        <v>4536</v>
      </c>
      <c r="J1741" s="206" t="s">
        <v>4537</v>
      </c>
      <c r="K1741" s="206" t="s">
        <v>822</v>
      </c>
      <c r="L1741" s="206" t="s">
        <v>750</v>
      </c>
      <c r="M1741" s="157"/>
      <c r="N1741" s="165"/>
      <c r="O1741" s="169"/>
      <c r="P1741" s="169">
        <v>273170.37</v>
      </c>
      <c r="Q1741" s="166">
        <f t="shared" si="74"/>
        <v>0</v>
      </c>
      <c r="R1741" s="169"/>
      <c r="S1741" s="169"/>
      <c r="T1741" s="169"/>
      <c r="U1741" s="169"/>
      <c r="V1741" s="166">
        <f t="shared" si="75"/>
        <v>0</v>
      </c>
      <c r="W1741" s="205"/>
      <c r="X1741" s="167"/>
    </row>
    <row r="1742" spans="8:24" s="220" customFormat="1" ht="12.75" hidden="1" customHeight="1">
      <c r="H1742" s="168" t="s">
        <v>4435</v>
      </c>
      <c r="I1742" s="206" t="s">
        <v>4538</v>
      </c>
      <c r="J1742" s="206" t="s">
        <v>4539</v>
      </c>
      <c r="K1742" s="206" t="s">
        <v>823</v>
      </c>
      <c r="L1742" s="206" t="s">
        <v>750</v>
      </c>
      <c r="M1742" s="157"/>
      <c r="N1742" s="165"/>
      <c r="O1742" s="169"/>
      <c r="P1742" s="169">
        <v>316961.03999999998</v>
      </c>
      <c r="Q1742" s="166">
        <f t="shared" si="74"/>
        <v>0</v>
      </c>
      <c r="R1742" s="169"/>
      <c r="S1742" s="169"/>
      <c r="T1742" s="169"/>
      <c r="U1742" s="169"/>
      <c r="V1742" s="166">
        <f t="shared" si="75"/>
        <v>0</v>
      </c>
      <c r="W1742" s="205"/>
      <c r="X1742" s="167"/>
    </row>
    <row r="1743" spans="8:24" s="220" customFormat="1" ht="12.75" hidden="1" customHeight="1">
      <c r="H1743" s="168" t="s">
        <v>4436</v>
      </c>
      <c r="I1743" s="206" t="s">
        <v>4540</v>
      </c>
      <c r="J1743" s="206" t="s">
        <v>4541</v>
      </c>
      <c r="K1743" s="206" t="s">
        <v>4401</v>
      </c>
      <c r="L1743" s="206" t="s">
        <v>750</v>
      </c>
      <c r="M1743" s="157"/>
      <c r="N1743" s="165"/>
      <c r="O1743" s="169"/>
      <c r="P1743" s="169">
        <v>362836.98</v>
      </c>
      <c r="Q1743" s="166">
        <f t="shared" si="74"/>
        <v>0</v>
      </c>
      <c r="R1743" s="169"/>
      <c r="S1743" s="169"/>
      <c r="T1743" s="169"/>
      <c r="U1743" s="169"/>
      <c r="V1743" s="166">
        <f t="shared" si="75"/>
        <v>0</v>
      </c>
      <c r="W1743" s="205"/>
      <c r="X1743" s="167"/>
    </row>
    <row r="1744" spans="8:24" s="220" customFormat="1" ht="12.75" hidden="1" customHeight="1">
      <c r="H1744" s="168" t="s">
        <v>4437</v>
      </c>
      <c r="I1744" s="206" t="s">
        <v>4542</v>
      </c>
      <c r="J1744" s="206" t="s">
        <v>4543</v>
      </c>
      <c r="K1744" s="206" t="s">
        <v>4404</v>
      </c>
      <c r="L1744" s="206" t="s">
        <v>750</v>
      </c>
      <c r="M1744" s="157"/>
      <c r="N1744" s="165"/>
      <c r="O1744" s="169"/>
      <c r="P1744" s="169">
        <v>414968.73</v>
      </c>
      <c r="Q1744" s="166">
        <f t="shared" si="74"/>
        <v>0</v>
      </c>
      <c r="R1744" s="169"/>
      <c r="S1744" s="169"/>
      <c r="T1744" s="169"/>
      <c r="U1744" s="169"/>
      <c r="V1744" s="166">
        <f t="shared" si="75"/>
        <v>0</v>
      </c>
      <c r="W1744" s="205"/>
      <c r="X1744" s="167"/>
    </row>
    <row r="1745" spans="8:24" s="220" customFormat="1" ht="12.75" hidden="1" customHeight="1">
      <c r="H1745" s="168" t="s">
        <v>4438</v>
      </c>
      <c r="I1745" s="206" t="s">
        <v>1097</v>
      </c>
      <c r="J1745" s="206" t="s">
        <v>824</v>
      </c>
      <c r="K1745" s="206" t="s">
        <v>825</v>
      </c>
      <c r="L1745" s="206" t="s">
        <v>750</v>
      </c>
      <c r="M1745" s="157"/>
      <c r="N1745" s="165"/>
      <c r="O1745" s="169"/>
      <c r="P1745" s="169">
        <v>35413.919999999998</v>
      </c>
      <c r="Q1745" s="166">
        <f t="shared" si="74"/>
        <v>0</v>
      </c>
      <c r="R1745" s="169"/>
      <c r="S1745" s="169"/>
      <c r="T1745" s="169"/>
      <c r="U1745" s="169"/>
      <c r="V1745" s="166">
        <f t="shared" si="75"/>
        <v>0</v>
      </c>
      <c r="W1745" s="205"/>
      <c r="X1745" s="167"/>
    </row>
    <row r="1746" spans="8:24" s="220" customFormat="1" ht="12.75" hidden="1" customHeight="1">
      <c r="H1746" s="168" t="s">
        <v>4439</v>
      </c>
      <c r="I1746" s="206" t="s">
        <v>1098</v>
      </c>
      <c r="J1746" s="206" t="s">
        <v>826</v>
      </c>
      <c r="K1746" s="206" t="s">
        <v>815</v>
      </c>
      <c r="L1746" s="206" t="s">
        <v>750</v>
      </c>
      <c r="M1746" s="157"/>
      <c r="N1746" s="165"/>
      <c r="O1746" s="169"/>
      <c r="P1746" s="169">
        <v>43898.504999999997</v>
      </c>
      <c r="Q1746" s="166">
        <f t="shared" si="74"/>
        <v>0</v>
      </c>
      <c r="R1746" s="169"/>
      <c r="S1746" s="169"/>
      <c r="T1746" s="169"/>
      <c r="U1746" s="169"/>
      <c r="V1746" s="166">
        <f t="shared" si="75"/>
        <v>0</v>
      </c>
      <c r="W1746" s="205"/>
      <c r="X1746" s="167"/>
    </row>
    <row r="1747" spans="8:24" s="220" customFormat="1" ht="12.75" hidden="1" customHeight="1">
      <c r="H1747" s="168" t="s">
        <v>4440</v>
      </c>
      <c r="I1747" s="206" t="s">
        <v>1099</v>
      </c>
      <c r="J1747" s="206" t="s">
        <v>827</v>
      </c>
      <c r="K1747" s="206" t="s">
        <v>816</v>
      </c>
      <c r="L1747" s="206" t="s">
        <v>750</v>
      </c>
      <c r="M1747" s="157"/>
      <c r="N1747" s="165"/>
      <c r="O1747" s="169"/>
      <c r="P1747" s="169">
        <v>52383.09</v>
      </c>
      <c r="Q1747" s="166">
        <f t="shared" si="74"/>
        <v>0</v>
      </c>
      <c r="R1747" s="169"/>
      <c r="S1747" s="169"/>
      <c r="T1747" s="169"/>
      <c r="U1747" s="169"/>
      <c r="V1747" s="166">
        <f t="shared" si="75"/>
        <v>0</v>
      </c>
      <c r="W1747" s="205"/>
      <c r="X1747" s="167"/>
    </row>
    <row r="1748" spans="8:24" s="220" customFormat="1" ht="12.75" hidden="1" customHeight="1">
      <c r="H1748" s="168" t="s">
        <v>4441</v>
      </c>
      <c r="I1748" s="206" t="s">
        <v>1100</v>
      </c>
      <c r="J1748" s="206" t="s">
        <v>828</v>
      </c>
      <c r="K1748" s="206" t="s">
        <v>817</v>
      </c>
      <c r="L1748" s="206" t="s">
        <v>750</v>
      </c>
      <c r="M1748" s="157"/>
      <c r="N1748" s="165"/>
      <c r="O1748" s="169"/>
      <c r="P1748" s="169">
        <v>60867.675000000003</v>
      </c>
      <c r="Q1748" s="166">
        <f t="shared" si="74"/>
        <v>0</v>
      </c>
      <c r="R1748" s="169"/>
      <c r="S1748" s="169"/>
      <c r="T1748" s="169"/>
      <c r="U1748" s="169"/>
      <c r="V1748" s="166">
        <f t="shared" si="75"/>
        <v>0</v>
      </c>
      <c r="W1748" s="205"/>
      <c r="X1748" s="167"/>
    </row>
    <row r="1749" spans="8:24" s="220" customFormat="1" ht="12.75" hidden="1" customHeight="1">
      <c r="H1749" s="168" t="s">
        <v>4442</v>
      </c>
      <c r="I1749" s="206" t="s">
        <v>1101</v>
      </c>
      <c r="J1749" s="206" t="s">
        <v>829</v>
      </c>
      <c r="K1749" s="206" t="s">
        <v>818</v>
      </c>
      <c r="L1749" s="206" t="s">
        <v>750</v>
      </c>
      <c r="M1749" s="157"/>
      <c r="N1749" s="165"/>
      <c r="O1749" s="169"/>
      <c r="P1749" s="169">
        <v>77467.95</v>
      </c>
      <c r="Q1749" s="166">
        <f t="shared" si="74"/>
        <v>0</v>
      </c>
      <c r="R1749" s="169"/>
      <c r="S1749" s="169"/>
      <c r="T1749" s="169"/>
      <c r="U1749" s="169"/>
      <c r="V1749" s="166">
        <f t="shared" si="75"/>
        <v>0</v>
      </c>
      <c r="W1749" s="205"/>
      <c r="X1749" s="167"/>
    </row>
    <row r="1750" spans="8:24" s="220" customFormat="1" ht="12.75" hidden="1" customHeight="1">
      <c r="H1750" s="168" t="s">
        <v>4443</v>
      </c>
      <c r="I1750" s="206" t="s">
        <v>1102</v>
      </c>
      <c r="J1750" s="206" t="s">
        <v>830</v>
      </c>
      <c r="K1750" s="206" t="s">
        <v>819</v>
      </c>
      <c r="L1750" s="206" t="s">
        <v>750</v>
      </c>
      <c r="M1750" s="157"/>
      <c r="N1750" s="165"/>
      <c r="O1750" s="169"/>
      <c r="P1750" s="169">
        <v>92961.54</v>
      </c>
      <c r="Q1750" s="166">
        <f t="shared" si="74"/>
        <v>0</v>
      </c>
      <c r="R1750" s="169"/>
      <c r="S1750" s="169"/>
      <c r="T1750" s="169"/>
      <c r="U1750" s="169"/>
      <c r="V1750" s="166">
        <f t="shared" si="75"/>
        <v>0</v>
      </c>
      <c r="W1750" s="205"/>
      <c r="X1750" s="167"/>
    </row>
    <row r="1751" spans="8:24" s="220" customFormat="1" ht="12.75" hidden="1" customHeight="1">
      <c r="H1751" s="168" t="s">
        <v>4444</v>
      </c>
      <c r="I1751" s="206" t="s">
        <v>1103</v>
      </c>
      <c r="J1751" s="206" t="s">
        <v>831</v>
      </c>
      <c r="K1751" s="206" t="s">
        <v>820</v>
      </c>
      <c r="L1751" s="206" t="s">
        <v>750</v>
      </c>
      <c r="M1751" s="157"/>
      <c r="N1751" s="165"/>
      <c r="O1751" s="169"/>
      <c r="P1751" s="169">
        <v>108824.02499999999</v>
      </c>
      <c r="Q1751" s="166">
        <f t="shared" si="74"/>
        <v>0</v>
      </c>
      <c r="R1751" s="169"/>
      <c r="S1751" s="169"/>
      <c r="T1751" s="169"/>
      <c r="U1751" s="169"/>
      <c r="V1751" s="166">
        <f t="shared" si="75"/>
        <v>0</v>
      </c>
      <c r="W1751" s="205"/>
      <c r="X1751" s="167"/>
    </row>
    <row r="1752" spans="8:24" s="220" customFormat="1" ht="12.75" hidden="1" customHeight="1">
      <c r="H1752" s="168" t="s">
        <v>4445</v>
      </c>
      <c r="I1752" s="206" t="s">
        <v>1104</v>
      </c>
      <c r="J1752" s="206" t="s">
        <v>832</v>
      </c>
      <c r="K1752" s="206" t="s">
        <v>821</v>
      </c>
      <c r="L1752" s="206" t="s">
        <v>750</v>
      </c>
      <c r="M1752" s="157"/>
      <c r="N1752" s="165"/>
      <c r="O1752" s="169"/>
      <c r="P1752" s="169">
        <v>125055.405</v>
      </c>
      <c r="Q1752" s="166">
        <f t="shared" si="74"/>
        <v>0</v>
      </c>
      <c r="R1752" s="169"/>
      <c r="S1752" s="169"/>
      <c r="T1752" s="169"/>
      <c r="U1752" s="169"/>
      <c r="V1752" s="166">
        <f t="shared" si="75"/>
        <v>0</v>
      </c>
      <c r="W1752" s="205"/>
      <c r="X1752" s="167"/>
    </row>
    <row r="1753" spans="8:24" s="220" customFormat="1" ht="12.75" hidden="1" customHeight="1">
      <c r="H1753" s="168" t="s">
        <v>4446</v>
      </c>
      <c r="I1753" s="206" t="s">
        <v>1105</v>
      </c>
      <c r="J1753" s="206" t="s">
        <v>833</v>
      </c>
      <c r="K1753" s="206" t="s">
        <v>822</v>
      </c>
      <c r="L1753" s="206" t="s">
        <v>750</v>
      </c>
      <c r="M1753" s="157"/>
      <c r="N1753" s="165"/>
      <c r="O1753" s="169"/>
      <c r="P1753" s="169">
        <v>141655.67999999999</v>
      </c>
      <c r="Q1753" s="166">
        <f t="shared" si="74"/>
        <v>0</v>
      </c>
      <c r="R1753" s="169"/>
      <c r="S1753" s="169"/>
      <c r="T1753" s="169"/>
      <c r="U1753" s="169"/>
      <c r="V1753" s="166">
        <f t="shared" si="75"/>
        <v>0</v>
      </c>
      <c r="W1753" s="205"/>
      <c r="X1753" s="167"/>
    </row>
    <row r="1754" spans="8:24" s="220" customFormat="1" ht="12.75" hidden="1" customHeight="1">
      <c r="H1754" s="168" t="s">
        <v>4447</v>
      </c>
      <c r="I1754" s="206" t="s">
        <v>1136</v>
      </c>
      <c r="J1754" s="206" t="s">
        <v>834</v>
      </c>
      <c r="K1754" s="206" t="s">
        <v>823</v>
      </c>
      <c r="L1754" s="206" t="s">
        <v>750</v>
      </c>
      <c r="M1754" s="157"/>
      <c r="N1754" s="165"/>
      <c r="O1754" s="169"/>
      <c r="P1754" s="169">
        <v>157149.26999999999</v>
      </c>
      <c r="Q1754" s="166">
        <f t="shared" si="74"/>
        <v>0</v>
      </c>
      <c r="R1754" s="169"/>
      <c r="S1754" s="169"/>
      <c r="T1754" s="169"/>
      <c r="U1754" s="169"/>
      <c r="V1754" s="166">
        <f t="shared" si="75"/>
        <v>0</v>
      </c>
      <c r="W1754" s="205"/>
      <c r="X1754" s="167"/>
    </row>
    <row r="1755" spans="8:24" s="220" customFormat="1" ht="12.75" hidden="1" customHeight="1">
      <c r="H1755" s="168" t="s">
        <v>4448</v>
      </c>
      <c r="I1755" s="206" t="s">
        <v>4544</v>
      </c>
      <c r="J1755" s="206" t="s">
        <v>4545</v>
      </c>
      <c r="K1755" s="206" t="s">
        <v>825</v>
      </c>
      <c r="L1755" s="206" t="s">
        <v>750</v>
      </c>
      <c r="M1755" s="157"/>
      <c r="N1755" s="165"/>
      <c r="O1755" s="169"/>
      <c r="P1755" s="169">
        <v>45374.084999999999</v>
      </c>
      <c r="Q1755" s="166">
        <f t="shared" si="74"/>
        <v>0</v>
      </c>
      <c r="R1755" s="169"/>
      <c r="S1755" s="169"/>
      <c r="T1755" s="169"/>
      <c r="U1755" s="169"/>
      <c r="V1755" s="166">
        <f t="shared" si="75"/>
        <v>0</v>
      </c>
      <c r="W1755" s="205"/>
      <c r="X1755" s="167"/>
    </row>
    <row r="1756" spans="8:24" s="220" customFormat="1" ht="12.75" hidden="1" customHeight="1">
      <c r="H1756" s="168" t="s">
        <v>4449</v>
      </c>
      <c r="I1756" s="206" t="s">
        <v>4546</v>
      </c>
      <c r="J1756" s="206" t="s">
        <v>4547</v>
      </c>
      <c r="K1756" s="206" t="s">
        <v>815</v>
      </c>
      <c r="L1756" s="206" t="s">
        <v>750</v>
      </c>
      <c r="M1756" s="157"/>
      <c r="N1756" s="165"/>
      <c r="O1756" s="169"/>
      <c r="P1756" s="169">
        <v>56072.04</v>
      </c>
      <c r="Q1756" s="166">
        <f t="shared" si="74"/>
        <v>0</v>
      </c>
      <c r="R1756" s="169"/>
      <c r="S1756" s="169"/>
      <c r="T1756" s="169"/>
      <c r="U1756" s="169"/>
      <c r="V1756" s="166">
        <f t="shared" si="75"/>
        <v>0</v>
      </c>
      <c r="W1756" s="205"/>
      <c r="X1756" s="167"/>
    </row>
    <row r="1757" spans="8:24" s="220" customFormat="1" ht="12.75" hidden="1" customHeight="1">
      <c r="H1757" s="168" t="s">
        <v>4450</v>
      </c>
      <c r="I1757" s="206" t="s">
        <v>4548</v>
      </c>
      <c r="J1757" s="206" t="s">
        <v>4549</v>
      </c>
      <c r="K1757" s="206" t="s">
        <v>816</v>
      </c>
      <c r="L1757" s="206" t="s">
        <v>750</v>
      </c>
      <c r="M1757" s="157"/>
      <c r="N1757" s="165"/>
      <c r="O1757" s="169"/>
      <c r="P1757" s="169">
        <v>66769.994999999995</v>
      </c>
      <c r="Q1757" s="166">
        <f t="shared" si="74"/>
        <v>0</v>
      </c>
      <c r="R1757" s="169"/>
      <c r="S1757" s="169"/>
      <c r="T1757" s="169"/>
      <c r="U1757" s="169"/>
      <c r="V1757" s="166">
        <f t="shared" si="75"/>
        <v>0</v>
      </c>
      <c r="W1757" s="205"/>
      <c r="X1757" s="167"/>
    </row>
    <row r="1758" spans="8:24" s="220" customFormat="1" ht="12.75" hidden="1" customHeight="1">
      <c r="H1758" s="168" t="s">
        <v>4451</v>
      </c>
      <c r="I1758" s="206" t="s">
        <v>4550</v>
      </c>
      <c r="J1758" s="206" t="s">
        <v>4551</v>
      </c>
      <c r="K1758" s="206" t="s">
        <v>817</v>
      </c>
      <c r="L1758" s="206" t="s">
        <v>750</v>
      </c>
      <c r="M1758" s="157"/>
      <c r="N1758" s="165"/>
      <c r="O1758" s="169"/>
      <c r="P1758" s="169">
        <v>77836.845000000001</v>
      </c>
      <c r="Q1758" s="166">
        <f t="shared" si="74"/>
        <v>0</v>
      </c>
      <c r="R1758" s="169"/>
      <c r="S1758" s="169"/>
      <c r="T1758" s="169"/>
      <c r="U1758" s="169"/>
      <c r="V1758" s="166">
        <f t="shared" si="75"/>
        <v>0</v>
      </c>
      <c r="W1758" s="205"/>
      <c r="X1758" s="167"/>
    </row>
    <row r="1759" spans="8:24" s="220" customFormat="1" ht="12.75" hidden="1" customHeight="1">
      <c r="H1759" s="168" t="s">
        <v>4452</v>
      </c>
      <c r="I1759" s="206" t="s">
        <v>4552</v>
      </c>
      <c r="J1759" s="206" t="s">
        <v>4553</v>
      </c>
      <c r="K1759" s="206" t="s">
        <v>818</v>
      </c>
      <c r="L1759" s="206" t="s">
        <v>750</v>
      </c>
      <c r="M1759" s="157"/>
      <c r="N1759" s="165"/>
      <c r="O1759" s="169"/>
      <c r="P1759" s="169">
        <v>98863.86</v>
      </c>
      <c r="Q1759" s="166">
        <f t="shared" si="74"/>
        <v>0</v>
      </c>
      <c r="R1759" s="169"/>
      <c r="S1759" s="169"/>
      <c r="T1759" s="169"/>
      <c r="U1759" s="169"/>
      <c r="V1759" s="166">
        <f t="shared" si="75"/>
        <v>0</v>
      </c>
      <c r="W1759" s="205"/>
      <c r="X1759" s="167"/>
    </row>
    <row r="1760" spans="8:24" s="220" customFormat="1" ht="12.75" hidden="1" customHeight="1">
      <c r="H1760" s="168" t="s">
        <v>4453</v>
      </c>
      <c r="I1760" s="206" t="s">
        <v>4554</v>
      </c>
      <c r="J1760" s="206" t="s">
        <v>4555</v>
      </c>
      <c r="K1760" s="206" t="s">
        <v>819</v>
      </c>
      <c r="L1760" s="206" t="s">
        <v>750</v>
      </c>
      <c r="M1760" s="157"/>
      <c r="N1760" s="165"/>
      <c r="O1760" s="169"/>
      <c r="P1760" s="169">
        <v>118784.19</v>
      </c>
      <c r="Q1760" s="166">
        <f t="shared" si="74"/>
        <v>0</v>
      </c>
      <c r="R1760" s="169"/>
      <c r="S1760" s="169"/>
      <c r="T1760" s="169"/>
      <c r="U1760" s="169"/>
      <c r="V1760" s="166">
        <f t="shared" si="75"/>
        <v>0</v>
      </c>
      <c r="W1760" s="205"/>
      <c r="X1760" s="167"/>
    </row>
    <row r="1761" spans="8:24" s="220" customFormat="1" ht="12.75" hidden="1" customHeight="1">
      <c r="H1761" s="168" t="s">
        <v>4454</v>
      </c>
      <c r="I1761" s="206" t="s">
        <v>4556</v>
      </c>
      <c r="J1761" s="206" t="s">
        <v>4557</v>
      </c>
      <c r="K1761" s="206" t="s">
        <v>820</v>
      </c>
      <c r="L1761" s="206" t="s">
        <v>750</v>
      </c>
      <c r="M1761" s="157"/>
      <c r="N1761" s="165"/>
      <c r="O1761" s="169"/>
      <c r="P1761" s="169">
        <v>139073.41500000001</v>
      </c>
      <c r="Q1761" s="166">
        <f t="shared" si="74"/>
        <v>0</v>
      </c>
      <c r="R1761" s="169"/>
      <c r="S1761" s="169"/>
      <c r="T1761" s="169"/>
      <c r="U1761" s="169"/>
      <c r="V1761" s="166">
        <f t="shared" si="75"/>
        <v>0</v>
      </c>
      <c r="W1761" s="205"/>
      <c r="X1761" s="167"/>
    </row>
    <row r="1762" spans="8:24" s="220" customFormat="1" ht="12.75" hidden="1" customHeight="1">
      <c r="H1762" s="168" t="s">
        <v>4455</v>
      </c>
      <c r="I1762" s="206" t="s">
        <v>4558</v>
      </c>
      <c r="J1762" s="206" t="s">
        <v>4559</v>
      </c>
      <c r="K1762" s="206" t="s">
        <v>821</v>
      </c>
      <c r="L1762" s="206" t="s">
        <v>750</v>
      </c>
      <c r="M1762" s="157"/>
      <c r="N1762" s="165"/>
      <c r="O1762" s="169"/>
      <c r="P1762" s="169">
        <v>160100.43</v>
      </c>
      <c r="Q1762" s="166">
        <f t="shared" si="74"/>
        <v>0</v>
      </c>
      <c r="R1762" s="169"/>
      <c r="S1762" s="169"/>
      <c r="T1762" s="169"/>
      <c r="U1762" s="169"/>
      <c r="V1762" s="166">
        <f t="shared" si="75"/>
        <v>0</v>
      </c>
      <c r="W1762" s="205"/>
      <c r="X1762" s="167"/>
    </row>
    <row r="1763" spans="8:24" s="220" customFormat="1" ht="12.75" hidden="1" customHeight="1">
      <c r="H1763" s="168" t="s">
        <v>4456</v>
      </c>
      <c r="I1763" s="206" t="s">
        <v>4560</v>
      </c>
      <c r="J1763" s="206" t="s">
        <v>4561</v>
      </c>
      <c r="K1763" s="206" t="s">
        <v>822</v>
      </c>
      <c r="L1763" s="206" t="s">
        <v>750</v>
      </c>
      <c r="M1763" s="157"/>
      <c r="N1763" s="165"/>
      <c r="O1763" s="169"/>
      <c r="P1763" s="169">
        <v>181127.44500000001</v>
      </c>
      <c r="Q1763" s="166">
        <f t="shared" si="74"/>
        <v>0</v>
      </c>
      <c r="R1763" s="169"/>
      <c r="S1763" s="169"/>
      <c r="T1763" s="169"/>
      <c r="U1763" s="169"/>
      <c r="V1763" s="166">
        <f t="shared" si="75"/>
        <v>0</v>
      </c>
      <c r="W1763" s="205"/>
      <c r="X1763" s="167"/>
    </row>
    <row r="1764" spans="8:24" s="220" customFormat="1" ht="12.75" hidden="1" customHeight="1">
      <c r="H1764" s="168" t="s">
        <v>4457</v>
      </c>
      <c r="I1764" s="206" t="s">
        <v>4562</v>
      </c>
      <c r="J1764" s="206" t="s">
        <v>4563</v>
      </c>
      <c r="K1764" s="206" t="s">
        <v>823</v>
      </c>
      <c r="L1764" s="206" t="s">
        <v>750</v>
      </c>
      <c r="M1764" s="157"/>
      <c r="N1764" s="165"/>
      <c r="O1764" s="169"/>
      <c r="P1764" s="169">
        <v>200678.88</v>
      </c>
      <c r="Q1764" s="166">
        <f t="shared" si="74"/>
        <v>0</v>
      </c>
      <c r="R1764" s="169"/>
      <c r="S1764" s="169"/>
      <c r="T1764" s="169"/>
      <c r="U1764" s="169"/>
      <c r="V1764" s="166">
        <f t="shared" si="75"/>
        <v>0</v>
      </c>
      <c r="W1764" s="205"/>
      <c r="X1764" s="167"/>
    </row>
    <row r="1765" spans="8:24" s="220" customFormat="1" ht="12.75" hidden="1" customHeight="1">
      <c r="H1765" s="168" t="s">
        <v>4458</v>
      </c>
      <c r="I1765" s="206" t="s">
        <v>4564</v>
      </c>
      <c r="J1765" s="206" t="s">
        <v>4565</v>
      </c>
      <c r="K1765" s="206" t="s">
        <v>825</v>
      </c>
      <c r="L1765" s="206" t="s">
        <v>750</v>
      </c>
      <c r="M1765" s="157"/>
      <c r="N1765" s="165"/>
      <c r="O1765" s="169"/>
      <c r="P1765" s="169">
        <v>62343.254999999997</v>
      </c>
      <c r="Q1765" s="166">
        <f t="shared" si="74"/>
        <v>0</v>
      </c>
      <c r="R1765" s="169"/>
      <c r="S1765" s="169"/>
      <c r="T1765" s="169"/>
      <c r="U1765" s="169"/>
      <c r="V1765" s="166">
        <f t="shared" si="75"/>
        <v>0</v>
      </c>
      <c r="W1765" s="205"/>
      <c r="X1765" s="167"/>
    </row>
    <row r="1766" spans="8:24" s="220" customFormat="1" ht="12.75" hidden="1" customHeight="1">
      <c r="H1766" s="168" t="s">
        <v>4459</v>
      </c>
      <c r="I1766" s="206" t="s">
        <v>4566</v>
      </c>
      <c r="J1766" s="206" t="s">
        <v>4567</v>
      </c>
      <c r="K1766" s="206" t="s">
        <v>815</v>
      </c>
      <c r="L1766" s="206" t="s">
        <v>750</v>
      </c>
      <c r="M1766" s="157"/>
      <c r="N1766" s="165"/>
      <c r="O1766" s="169"/>
      <c r="P1766" s="169">
        <v>76730.16</v>
      </c>
      <c r="Q1766" s="166">
        <f t="shared" si="74"/>
        <v>0</v>
      </c>
      <c r="R1766" s="169"/>
      <c r="S1766" s="169"/>
      <c r="T1766" s="169"/>
      <c r="U1766" s="169"/>
      <c r="V1766" s="166">
        <f t="shared" si="75"/>
        <v>0</v>
      </c>
      <c r="W1766" s="205"/>
      <c r="X1766" s="167"/>
    </row>
    <row r="1767" spans="8:24" s="220" customFormat="1" ht="12.75" hidden="1" customHeight="1">
      <c r="H1767" s="168" t="s">
        <v>4460</v>
      </c>
      <c r="I1767" s="206" t="s">
        <v>4568</v>
      </c>
      <c r="J1767" s="206" t="s">
        <v>4569</v>
      </c>
      <c r="K1767" s="206" t="s">
        <v>816</v>
      </c>
      <c r="L1767" s="206" t="s">
        <v>750</v>
      </c>
      <c r="M1767" s="157"/>
      <c r="N1767" s="165"/>
      <c r="O1767" s="169"/>
      <c r="P1767" s="169">
        <v>91485.96</v>
      </c>
      <c r="Q1767" s="166">
        <f t="shared" si="74"/>
        <v>0</v>
      </c>
      <c r="R1767" s="169"/>
      <c r="S1767" s="169"/>
      <c r="T1767" s="169"/>
      <c r="U1767" s="169"/>
      <c r="V1767" s="166">
        <f t="shared" si="75"/>
        <v>0</v>
      </c>
      <c r="W1767" s="205"/>
      <c r="X1767" s="167"/>
    </row>
    <row r="1768" spans="8:24" s="220" customFormat="1" ht="12.75" hidden="1" customHeight="1">
      <c r="H1768" s="168" t="s">
        <v>4461</v>
      </c>
      <c r="I1768" s="206" t="s">
        <v>4570</v>
      </c>
      <c r="J1768" s="206" t="s">
        <v>4571</v>
      </c>
      <c r="K1768" s="206" t="s">
        <v>817</v>
      </c>
      <c r="L1768" s="206" t="s">
        <v>750</v>
      </c>
      <c r="M1768" s="157"/>
      <c r="N1768" s="165"/>
      <c r="O1768" s="169"/>
      <c r="P1768" s="169">
        <v>105872.86500000001</v>
      </c>
      <c r="Q1768" s="166">
        <f t="shared" si="74"/>
        <v>0</v>
      </c>
      <c r="R1768" s="169"/>
      <c r="S1768" s="169"/>
      <c r="T1768" s="169"/>
      <c r="U1768" s="169"/>
      <c r="V1768" s="166">
        <f t="shared" si="75"/>
        <v>0</v>
      </c>
      <c r="W1768" s="205"/>
      <c r="X1768" s="167"/>
    </row>
    <row r="1769" spans="8:24" s="220" customFormat="1" ht="12.75" hidden="1" customHeight="1">
      <c r="H1769" s="168" t="s">
        <v>4462</v>
      </c>
      <c r="I1769" s="206" t="s">
        <v>4572</v>
      </c>
      <c r="J1769" s="206" t="s">
        <v>4573</v>
      </c>
      <c r="K1769" s="206" t="s">
        <v>818</v>
      </c>
      <c r="L1769" s="206" t="s">
        <v>750</v>
      </c>
      <c r="M1769" s="157"/>
      <c r="N1769" s="165"/>
      <c r="O1769" s="169"/>
      <c r="P1769" s="169">
        <v>135384.465</v>
      </c>
      <c r="Q1769" s="166">
        <f t="shared" si="74"/>
        <v>0</v>
      </c>
      <c r="R1769" s="169"/>
      <c r="S1769" s="169"/>
      <c r="T1769" s="169"/>
      <c r="U1769" s="169"/>
      <c r="V1769" s="166">
        <f t="shared" si="75"/>
        <v>0</v>
      </c>
      <c r="W1769" s="205"/>
      <c r="X1769" s="167"/>
    </row>
    <row r="1770" spans="8:24" s="221" customFormat="1" ht="12.75" hidden="1" customHeight="1">
      <c r="H1770" s="168" t="s">
        <v>4463</v>
      </c>
      <c r="I1770" s="206" t="s">
        <v>4574</v>
      </c>
      <c r="J1770" s="206" t="s">
        <v>4575</v>
      </c>
      <c r="K1770" s="206" t="s">
        <v>819</v>
      </c>
      <c r="L1770" s="206" t="s">
        <v>750</v>
      </c>
      <c r="M1770" s="169"/>
      <c r="N1770" s="165"/>
      <c r="O1770" s="169"/>
      <c r="P1770" s="169">
        <v>164527.17000000001</v>
      </c>
      <c r="Q1770" s="166">
        <f t="shared" si="74"/>
        <v>0</v>
      </c>
      <c r="R1770" s="169"/>
      <c r="S1770" s="169"/>
      <c r="T1770" s="169"/>
      <c r="U1770" s="169"/>
      <c r="V1770" s="166">
        <f t="shared" si="75"/>
        <v>0</v>
      </c>
      <c r="W1770" s="205"/>
      <c r="X1770" s="167"/>
    </row>
    <row r="1771" spans="8:24" s="221" customFormat="1" ht="12.75" hidden="1" customHeight="1">
      <c r="H1771" s="168" t="s">
        <v>4464</v>
      </c>
      <c r="I1771" s="206" t="s">
        <v>4576</v>
      </c>
      <c r="J1771" s="206" t="s">
        <v>4577</v>
      </c>
      <c r="K1771" s="206" t="s">
        <v>820</v>
      </c>
      <c r="L1771" s="206" t="s">
        <v>750</v>
      </c>
      <c r="M1771" s="169"/>
      <c r="N1771" s="165"/>
      <c r="O1771" s="169"/>
      <c r="P1771" s="169">
        <v>193669.875</v>
      </c>
      <c r="Q1771" s="166">
        <f t="shared" si="74"/>
        <v>0</v>
      </c>
      <c r="R1771" s="169"/>
      <c r="S1771" s="169"/>
      <c r="T1771" s="169"/>
      <c r="U1771" s="169"/>
      <c r="V1771" s="166">
        <f t="shared" si="75"/>
        <v>0</v>
      </c>
      <c r="W1771" s="205"/>
      <c r="X1771" s="167"/>
    </row>
    <row r="1772" spans="8:24" s="221" customFormat="1" ht="12.75" hidden="1" customHeight="1">
      <c r="H1772" s="168" t="s">
        <v>4465</v>
      </c>
      <c r="I1772" s="206" t="s">
        <v>4578</v>
      </c>
      <c r="J1772" s="206" t="s">
        <v>4579</v>
      </c>
      <c r="K1772" s="206" t="s">
        <v>821</v>
      </c>
      <c r="L1772" s="206" t="s">
        <v>750</v>
      </c>
      <c r="M1772" s="169"/>
      <c r="N1772" s="165"/>
      <c r="O1772" s="169"/>
      <c r="P1772" s="169">
        <v>222812.58</v>
      </c>
      <c r="Q1772" s="166">
        <f t="shared" si="74"/>
        <v>0</v>
      </c>
      <c r="R1772" s="169"/>
      <c r="S1772" s="169"/>
      <c r="T1772" s="169"/>
      <c r="U1772" s="169"/>
      <c r="V1772" s="166">
        <f t="shared" si="75"/>
        <v>0</v>
      </c>
      <c r="W1772" s="205"/>
      <c r="X1772" s="167"/>
    </row>
    <row r="1773" spans="8:24" s="221" customFormat="1" ht="12.75" hidden="1" customHeight="1">
      <c r="H1773" s="168" t="s">
        <v>4466</v>
      </c>
      <c r="I1773" s="206" t="s">
        <v>4580</v>
      </c>
      <c r="J1773" s="206" t="s">
        <v>4581</v>
      </c>
      <c r="K1773" s="206" t="s">
        <v>822</v>
      </c>
      <c r="L1773" s="206" t="s">
        <v>750</v>
      </c>
      <c r="M1773" s="169"/>
      <c r="N1773" s="165"/>
      <c r="O1773" s="169"/>
      <c r="P1773" s="169">
        <v>251955.285</v>
      </c>
      <c r="Q1773" s="166">
        <f t="shared" si="74"/>
        <v>0</v>
      </c>
      <c r="R1773" s="169"/>
      <c r="S1773" s="169"/>
      <c r="T1773" s="169"/>
      <c r="U1773" s="169"/>
      <c r="V1773" s="166">
        <f t="shared" si="75"/>
        <v>0</v>
      </c>
      <c r="W1773" s="205"/>
      <c r="X1773" s="167"/>
    </row>
    <row r="1774" spans="8:24" s="221" customFormat="1" ht="12.75" hidden="1" customHeight="1">
      <c r="H1774" s="168" t="s">
        <v>4467</v>
      </c>
      <c r="I1774" s="206" t="s">
        <v>4582</v>
      </c>
      <c r="J1774" s="206" t="s">
        <v>4583</v>
      </c>
      <c r="K1774" s="206" t="s">
        <v>823</v>
      </c>
      <c r="L1774" s="206" t="s">
        <v>750</v>
      </c>
      <c r="M1774" s="169"/>
      <c r="N1774" s="165"/>
      <c r="O1774" s="169"/>
      <c r="P1774" s="169">
        <v>281097.99</v>
      </c>
      <c r="Q1774" s="166">
        <f t="shared" si="74"/>
        <v>0</v>
      </c>
      <c r="R1774" s="169"/>
      <c r="S1774" s="169"/>
      <c r="T1774" s="169"/>
      <c r="U1774" s="169"/>
      <c r="V1774" s="166">
        <f t="shared" si="75"/>
        <v>0</v>
      </c>
      <c r="W1774" s="205"/>
      <c r="X1774" s="167"/>
    </row>
    <row r="1775" spans="8:24" s="221" customFormat="1" ht="12.75" hidden="1" customHeight="1">
      <c r="H1775" s="168" t="s">
        <v>4468</v>
      </c>
      <c r="I1775" s="206" t="s">
        <v>4584</v>
      </c>
      <c r="J1775" s="206" t="s">
        <v>4585</v>
      </c>
      <c r="K1775" s="206" t="s">
        <v>825</v>
      </c>
      <c r="L1775" s="206" t="s">
        <v>750</v>
      </c>
      <c r="M1775" s="169"/>
      <c r="N1775" s="165"/>
      <c r="O1775" s="169"/>
      <c r="P1775" s="169">
        <v>79681.320000000007</v>
      </c>
      <c r="Q1775" s="166">
        <f t="shared" si="74"/>
        <v>0</v>
      </c>
      <c r="R1775" s="169"/>
      <c r="S1775" s="169"/>
      <c r="T1775" s="169"/>
      <c r="U1775" s="169"/>
      <c r="V1775" s="166">
        <f t="shared" si="75"/>
        <v>0</v>
      </c>
      <c r="W1775" s="205"/>
      <c r="X1775" s="167"/>
    </row>
    <row r="1776" spans="8:24" s="221" customFormat="1" ht="12.75" hidden="1" customHeight="1">
      <c r="H1776" s="168" t="s">
        <v>4469</v>
      </c>
      <c r="I1776" s="206" t="s">
        <v>4586</v>
      </c>
      <c r="J1776" s="206" t="s">
        <v>4587</v>
      </c>
      <c r="K1776" s="206" t="s">
        <v>815</v>
      </c>
      <c r="L1776" s="206" t="s">
        <v>750</v>
      </c>
      <c r="M1776" s="169"/>
      <c r="N1776" s="165"/>
      <c r="O1776" s="169"/>
      <c r="P1776" s="169">
        <v>98126.07</v>
      </c>
      <c r="Q1776" s="166">
        <f t="shared" si="74"/>
        <v>0</v>
      </c>
      <c r="R1776" s="169"/>
      <c r="S1776" s="169"/>
      <c r="T1776" s="169"/>
      <c r="U1776" s="169"/>
      <c r="V1776" s="166">
        <f t="shared" si="75"/>
        <v>0</v>
      </c>
      <c r="W1776" s="205"/>
      <c r="X1776" s="167"/>
    </row>
    <row r="1777" spans="8:24" s="221" customFormat="1" ht="12.75" hidden="1" customHeight="1">
      <c r="H1777" s="168" t="s">
        <v>4470</v>
      </c>
      <c r="I1777" s="206" t="s">
        <v>4588</v>
      </c>
      <c r="J1777" s="206" t="s">
        <v>4589</v>
      </c>
      <c r="K1777" s="206" t="s">
        <v>816</v>
      </c>
      <c r="L1777" s="206" t="s">
        <v>750</v>
      </c>
      <c r="M1777" s="169"/>
      <c r="N1777" s="165"/>
      <c r="O1777" s="169"/>
      <c r="P1777" s="169">
        <v>116939.715</v>
      </c>
      <c r="Q1777" s="166">
        <f t="shared" si="74"/>
        <v>0</v>
      </c>
      <c r="R1777" s="169"/>
      <c r="S1777" s="169"/>
      <c r="T1777" s="169"/>
      <c r="U1777" s="169"/>
      <c r="V1777" s="166">
        <f t="shared" si="75"/>
        <v>0</v>
      </c>
      <c r="W1777" s="205"/>
      <c r="X1777" s="167"/>
    </row>
    <row r="1778" spans="8:24" s="221" customFormat="1" ht="12.75" hidden="1" customHeight="1">
      <c r="H1778" s="168" t="s">
        <v>4471</v>
      </c>
      <c r="I1778" s="206" t="s">
        <v>4590</v>
      </c>
      <c r="J1778" s="206" t="s">
        <v>4591</v>
      </c>
      <c r="K1778" s="206" t="s">
        <v>817</v>
      </c>
      <c r="L1778" s="206" t="s">
        <v>750</v>
      </c>
      <c r="M1778" s="169"/>
      <c r="N1778" s="165"/>
      <c r="O1778" s="169"/>
      <c r="P1778" s="169">
        <v>135753.35999999999</v>
      </c>
      <c r="Q1778" s="166">
        <f t="shared" si="74"/>
        <v>0</v>
      </c>
      <c r="R1778" s="169"/>
      <c r="S1778" s="169"/>
      <c r="T1778" s="169"/>
      <c r="U1778" s="169"/>
      <c r="V1778" s="166">
        <f t="shared" si="75"/>
        <v>0</v>
      </c>
      <c r="W1778" s="205"/>
      <c r="X1778" s="167"/>
    </row>
    <row r="1779" spans="8:24" s="221" customFormat="1" ht="12.75" hidden="1" customHeight="1">
      <c r="H1779" s="168" t="s">
        <v>4472</v>
      </c>
      <c r="I1779" s="206" t="s">
        <v>4592</v>
      </c>
      <c r="J1779" s="206" t="s">
        <v>4593</v>
      </c>
      <c r="K1779" s="206" t="s">
        <v>818</v>
      </c>
      <c r="L1779" s="206" t="s">
        <v>750</v>
      </c>
      <c r="M1779" s="169"/>
      <c r="N1779" s="165"/>
      <c r="O1779" s="169"/>
      <c r="P1779" s="169">
        <v>173011.755</v>
      </c>
      <c r="Q1779" s="166">
        <f t="shared" si="74"/>
        <v>0</v>
      </c>
      <c r="R1779" s="169"/>
      <c r="S1779" s="169"/>
      <c r="T1779" s="169"/>
      <c r="U1779" s="169"/>
      <c r="V1779" s="166">
        <f t="shared" si="75"/>
        <v>0</v>
      </c>
      <c r="W1779" s="205"/>
      <c r="X1779" s="167"/>
    </row>
    <row r="1780" spans="8:24" s="221" customFormat="1" ht="12.75" hidden="1" customHeight="1">
      <c r="H1780" s="168" t="s">
        <v>4473</v>
      </c>
      <c r="I1780" s="206" t="s">
        <v>4594</v>
      </c>
      <c r="J1780" s="206" t="s">
        <v>4595</v>
      </c>
      <c r="K1780" s="206" t="s">
        <v>819</v>
      </c>
      <c r="L1780" s="206" t="s">
        <v>750</v>
      </c>
      <c r="M1780" s="169"/>
      <c r="N1780" s="165"/>
      <c r="O1780" s="169"/>
      <c r="P1780" s="169">
        <v>210270.15</v>
      </c>
      <c r="Q1780" s="166">
        <f t="shared" si="74"/>
        <v>0</v>
      </c>
      <c r="R1780" s="169"/>
      <c r="S1780" s="169"/>
      <c r="T1780" s="169"/>
      <c r="U1780" s="169"/>
      <c r="V1780" s="166">
        <f t="shared" si="75"/>
        <v>0</v>
      </c>
      <c r="W1780" s="205"/>
      <c r="X1780" s="167"/>
    </row>
    <row r="1781" spans="8:24" s="221" customFormat="1" ht="12.75" hidden="1" customHeight="1">
      <c r="H1781" s="168" t="s">
        <v>4474</v>
      </c>
      <c r="I1781" s="206" t="s">
        <v>4596</v>
      </c>
      <c r="J1781" s="206" t="s">
        <v>4597</v>
      </c>
      <c r="K1781" s="206" t="s">
        <v>820</v>
      </c>
      <c r="L1781" s="206" t="s">
        <v>750</v>
      </c>
      <c r="M1781" s="169"/>
      <c r="N1781" s="165"/>
      <c r="O1781" s="169"/>
      <c r="P1781" s="169">
        <v>247528.54500000001</v>
      </c>
      <c r="Q1781" s="166">
        <f t="shared" si="74"/>
        <v>0</v>
      </c>
      <c r="R1781" s="169"/>
      <c r="S1781" s="169"/>
      <c r="T1781" s="169"/>
      <c r="U1781" s="169"/>
      <c r="V1781" s="166">
        <f t="shared" si="75"/>
        <v>0</v>
      </c>
      <c r="W1781" s="205"/>
      <c r="X1781" s="167"/>
    </row>
    <row r="1782" spans="8:24" s="221" customFormat="1" ht="12.75" hidden="1" customHeight="1">
      <c r="H1782" s="168" t="s">
        <v>4475</v>
      </c>
      <c r="I1782" s="206" t="s">
        <v>4598</v>
      </c>
      <c r="J1782" s="206" t="s">
        <v>4599</v>
      </c>
      <c r="K1782" s="206" t="s">
        <v>821</v>
      </c>
      <c r="L1782" s="206" t="s">
        <v>750</v>
      </c>
      <c r="M1782" s="169"/>
      <c r="N1782" s="165"/>
      <c r="O1782" s="169"/>
      <c r="P1782" s="169">
        <v>284786.94</v>
      </c>
      <c r="Q1782" s="166">
        <f t="shared" ref="Q1782:Q1845" si="76">IF(W1782="",M1782*P1782*$Q$3*$W$3,M1782*P1782*$Q$3*W1782)</f>
        <v>0</v>
      </c>
      <c r="R1782" s="169"/>
      <c r="S1782" s="169"/>
      <c r="T1782" s="169"/>
      <c r="U1782" s="169"/>
      <c r="V1782" s="166">
        <f t="shared" si="75"/>
        <v>0</v>
      </c>
      <c r="W1782" s="205"/>
      <c r="X1782" s="167"/>
    </row>
    <row r="1783" spans="8:24" s="221" customFormat="1" ht="12.75" hidden="1" customHeight="1">
      <c r="H1783" s="168" t="s">
        <v>4476</v>
      </c>
      <c r="I1783" s="206" t="s">
        <v>4600</v>
      </c>
      <c r="J1783" s="206" t="s">
        <v>4601</v>
      </c>
      <c r="K1783" s="206" t="s">
        <v>822</v>
      </c>
      <c r="L1783" s="206" t="s">
        <v>750</v>
      </c>
      <c r="M1783" s="169"/>
      <c r="N1783" s="165"/>
      <c r="O1783" s="169"/>
      <c r="P1783" s="169">
        <v>322414.23</v>
      </c>
      <c r="Q1783" s="166">
        <f t="shared" si="76"/>
        <v>0</v>
      </c>
      <c r="R1783" s="169"/>
      <c r="S1783" s="169"/>
      <c r="T1783" s="169"/>
      <c r="U1783" s="169"/>
      <c r="V1783" s="166">
        <f t="shared" si="75"/>
        <v>0</v>
      </c>
      <c r="W1783" s="205"/>
      <c r="X1783" s="167"/>
    </row>
    <row r="1784" spans="8:24" s="221" customFormat="1" ht="12.75" hidden="1" customHeight="1">
      <c r="H1784" s="168" t="s">
        <v>4477</v>
      </c>
      <c r="I1784" s="206" t="s">
        <v>4602</v>
      </c>
      <c r="J1784" s="206" t="s">
        <v>4603</v>
      </c>
      <c r="K1784" s="206" t="s">
        <v>823</v>
      </c>
      <c r="L1784" s="206" t="s">
        <v>750</v>
      </c>
      <c r="M1784" s="169"/>
      <c r="N1784" s="165"/>
      <c r="O1784" s="169"/>
      <c r="P1784" s="169">
        <v>359672.625</v>
      </c>
      <c r="Q1784" s="166">
        <f t="shared" si="76"/>
        <v>0</v>
      </c>
      <c r="R1784" s="169"/>
      <c r="S1784" s="169"/>
      <c r="T1784" s="169"/>
      <c r="U1784" s="169"/>
      <c r="V1784" s="166">
        <f t="shared" si="75"/>
        <v>0</v>
      </c>
      <c r="W1784" s="205"/>
      <c r="X1784" s="167"/>
    </row>
    <row r="1785" spans="8:24" s="221" customFormat="1" ht="12.75" hidden="1" customHeight="1">
      <c r="H1785" s="168" t="s">
        <v>4635</v>
      </c>
      <c r="I1785" s="206" t="s">
        <v>4707</v>
      </c>
      <c r="J1785" s="206" t="s">
        <v>4708</v>
      </c>
      <c r="K1785" s="206" t="s">
        <v>4646</v>
      </c>
      <c r="L1785" s="206" t="s">
        <v>750</v>
      </c>
      <c r="M1785" s="169"/>
      <c r="N1785" s="165"/>
      <c r="O1785" s="169"/>
      <c r="P1785" s="169">
        <v>83410.8</v>
      </c>
      <c r="Q1785" s="166">
        <f t="shared" si="76"/>
        <v>0</v>
      </c>
      <c r="R1785" s="169"/>
      <c r="S1785" s="169"/>
      <c r="T1785" s="169"/>
      <c r="U1785" s="169"/>
      <c r="V1785" s="166">
        <f t="shared" si="75"/>
        <v>0</v>
      </c>
      <c r="W1785" s="205"/>
      <c r="X1785" s="167"/>
    </row>
    <row r="1786" spans="8:24" s="221" customFormat="1" ht="12.75" hidden="1" customHeight="1">
      <c r="H1786" s="168" t="s">
        <v>4636</v>
      </c>
      <c r="I1786" s="206" t="s">
        <v>4709</v>
      </c>
      <c r="J1786" s="206" t="s">
        <v>4710</v>
      </c>
      <c r="K1786" s="206" t="s">
        <v>4649</v>
      </c>
      <c r="L1786" s="206" t="s">
        <v>750</v>
      </c>
      <c r="M1786" s="169"/>
      <c r="N1786" s="165"/>
      <c r="O1786" s="169"/>
      <c r="P1786" s="169">
        <v>125116.2</v>
      </c>
      <c r="Q1786" s="166">
        <f t="shared" si="76"/>
        <v>0</v>
      </c>
      <c r="R1786" s="169"/>
      <c r="S1786" s="169"/>
      <c r="T1786" s="169"/>
      <c r="U1786" s="169"/>
      <c r="V1786" s="166">
        <f t="shared" si="75"/>
        <v>0</v>
      </c>
      <c r="W1786" s="205"/>
      <c r="X1786" s="167"/>
    </row>
    <row r="1787" spans="8:24" s="221" customFormat="1" ht="12.75" hidden="1" customHeight="1">
      <c r="H1787" s="168" t="s">
        <v>4637</v>
      </c>
      <c r="I1787" s="206" t="s">
        <v>4711</v>
      </c>
      <c r="J1787" s="206" t="s">
        <v>4712</v>
      </c>
      <c r="K1787" s="206" t="s">
        <v>4652</v>
      </c>
      <c r="L1787" s="206" t="s">
        <v>750</v>
      </c>
      <c r="M1787" s="169"/>
      <c r="N1787" s="165"/>
      <c r="O1787" s="169"/>
      <c r="P1787" s="169">
        <v>166821.6</v>
      </c>
      <c r="Q1787" s="166">
        <f t="shared" si="76"/>
        <v>0</v>
      </c>
      <c r="R1787" s="169"/>
      <c r="S1787" s="169"/>
      <c r="T1787" s="169"/>
      <c r="U1787" s="169"/>
      <c r="V1787" s="166">
        <f t="shared" si="75"/>
        <v>0</v>
      </c>
      <c r="W1787" s="205"/>
      <c r="X1787" s="167"/>
    </row>
    <row r="1788" spans="8:24" s="221" customFormat="1" ht="12.75" hidden="1" customHeight="1">
      <c r="H1788" s="168" t="s">
        <v>4638</v>
      </c>
      <c r="I1788" s="206" t="s">
        <v>4713</v>
      </c>
      <c r="J1788" s="206" t="s">
        <v>4714</v>
      </c>
      <c r="K1788" s="206" t="s">
        <v>4655</v>
      </c>
      <c r="L1788" s="206" t="s">
        <v>750</v>
      </c>
      <c r="M1788" s="169"/>
      <c r="N1788" s="165"/>
      <c r="O1788" s="169"/>
      <c r="P1788" s="169">
        <v>187674.3</v>
      </c>
      <c r="Q1788" s="166">
        <f t="shared" si="76"/>
        <v>0</v>
      </c>
      <c r="R1788" s="169"/>
      <c r="S1788" s="169"/>
      <c r="T1788" s="169"/>
      <c r="U1788" s="169"/>
      <c r="V1788" s="166">
        <f t="shared" si="75"/>
        <v>0</v>
      </c>
      <c r="W1788" s="205"/>
      <c r="X1788" s="167"/>
    </row>
    <row r="1789" spans="8:24" s="221" customFormat="1" ht="12.75" hidden="1" customHeight="1">
      <c r="H1789" s="168" t="s">
        <v>4639</v>
      </c>
      <c r="I1789" s="206" t="s">
        <v>4715</v>
      </c>
      <c r="J1789" s="206" t="s">
        <v>4716</v>
      </c>
      <c r="K1789" s="206" t="s">
        <v>4658</v>
      </c>
      <c r="L1789" s="206" t="s">
        <v>750</v>
      </c>
      <c r="M1789" s="169"/>
      <c r="N1789" s="165"/>
      <c r="O1789" s="169"/>
      <c r="P1789" s="169">
        <v>208527</v>
      </c>
      <c r="Q1789" s="166">
        <f t="shared" si="76"/>
        <v>0</v>
      </c>
      <c r="R1789" s="169"/>
      <c r="S1789" s="169"/>
      <c r="T1789" s="169"/>
      <c r="U1789" s="169"/>
      <c r="V1789" s="166">
        <f t="shared" si="75"/>
        <v>0</v>
      </c>
      <c r="W1789" s="205"/>
      <c r="X1789" s="167"/>
    </row>
    <row r="1790" spans="8:24" s="221" customFormat="1" ht="12.75" hidden="1" customHeight="1">
      <c r="H1790" s="168" t="s">
        <v>4640</v>
      </c>
      <c r="I1790" s="206" t="s">
        <v>4717</v>
      </c>
      <c r="J1790" s="206" t="s">
        <v>4718</v>
      </c>
      <c r="K1790" s="206" t="s">
        <v>4661</v>
      </c>
      <c r="L1790" s="206" t="s">
        <v>750</v>
      </c>
      <c r="M1790" s="169"/>
      <c r="N1790" s="165"/>
      <c r="O1790" s="169"/>
      <c r="P1790" s="169">
        <v>229379.7</v>
      </c>
      <c r="Q1790" s="166">
        <f t="shared" si="76"/>
        <v>0</v>
      </c>
      <c r="R1790" s="169"/>
      <c r="S1790" s="169"/>
      <c r="T1790" s="169"/>
      <c r="U1790" s="169"/>
      <c r="V1790" s="166">
        <f t="shared" si="75"/>
        <v>0</v>
      </c>
      <c r="W1790" s="205"/>
      <c r="X1790" s="167"/>
    </row>
    <row r="1791" spans="8:24" s="221" customFormat="1" ht="12.75" hidden="1" customHeight="1">
      <c r="H1791" s="168" t="s">
        <v>4641</v>
      </c>
      <c r="I1791" s="206" t="s">
        <v>4719</v>
      </c>
      <c r="J1791" s="206" t="s">
        <v>4720</v>
      </c>
      <c r="K1791" s="206" t="s">
        <v>4664</v>
      </c>
      <c r="L1791" s="206" t="s">
        <v>750</v>
      </c>
      <c r="M1791" s="169"/>
      <c r="N1791" s="165"/>
      <c r="O1791" s="169"/>
      <c r="P1791" s="169">
        <v>239806.05</v>
      </c>
      <c r="Q1791" s="166">
        <f t="shared" si="76"/>
        <v>0</v>
      </c>
      <c r="R1791" s="169"/>
      <c r="S1791" s="169"/>
      <c r="T1791" s="169"/>
      <c r="U1791" s="169"/>
      <c r="V1791" s="166">
        <f t="shared" si="75"/>
        <v>0</v>
      </c>
      <c r="W1791" s="205"/>
      <c r="X1791" s="167"/>
    </row>
    <row r="1792" spans="8:24" s="221" customFormat="1" ht="12.75" hidden="1" customHeight="1">
      <c r="H1792" s="168" t="s">
        <v>4642</v>
      </c>
      <c r="I1792" s="206" t="s">
        <v>4721</v>
      </c>
      <c r="J1792" s="206" t="s">
        <v>4722</v>
      </c>
      <c r="K1792" s="206" t="s">
        <v>4667</v>
      </c>
      <c r="L1792" s="206" t="s">
        <v>750</v>
      </c>
      <c r="M1792" s="169"/>
      <c r="N1792" s="165"/>
      <c r="O1792" s="169"/>
      <c r="P1792" s="169">
        <v>250232.4</v>
      </c>
      <c r="Q1792" s="166">
        <f t="shared" si="76"/>
        <v>0</v>
      </c>
      <c r="R1792" s="169"/>
      <c r="S1792" s="169"/>
      <c r="T1792" s="169"/>
      <c r="U1792" s="169"/>
      <c r="V1792" s="166">
        <f t="shared" si="75"/>
        <v>0</v>
      </c>
      <c r="W1792" s="205"/>
      <c r="X1792" s="167"/>
    </row>
    <row r="1793" spans="8:24" s="221" customFormat="1" ht="12.75" hidden="1" customHeight="1">
      <c r="H1793" s="168" t="s">
        <v>4643</v>
      </c>
      <c r="I1793" s="206" t="s">
        <v>4723</v>
      </c>
      <c r="J1793" s="206" t="s">
        <v>4724</v>
      </c>
      <c r="K1793" s="206" t="s">
        <v>4670</v>
      </c>
      <c r="L1793" s="206" t="s">
        <v>750</v>
      </c>
      <c r="M1793" s="169"/>
      <c r="N1793" s="165"/>
      <c r="O1793" s="169"/>
      <c r="P1793" s="169">
        <v>312790.5</v>
      </c>
      <c r="Q1793" s="166">
        <f t="shared" si="76"/>
        <v>0</v>
      </c>
      <c r="R1793" s="169"/>
      <c r="S1793" s="169"/>
      <c r="T1793" s="169"/>
      <c r="U1793" s="169"/>
      <c r="V1793" s="166">
        <f t="shared" si="75"/>
        <v>0</v>
      </c>
      <c r="W1793" s="205"/>
      <c r="X1793" s="167"/>
    </row>
    <row r="1794" spans="8:24" s="221" customFormat="1" ht="12.75" hidden="1" customHeight="1">
      <c r="H1794" s="168" t="s">
        <v>4725</v>
      </c>
      <c r="I1794" s="206" t="s">
        <v>4750</v>
      </c>
      <c r="J1794" s="206" t="s">
        <v>4751</v>
      </c>
      <c r="K1794" s="207" t="s">
        <v>5213</v>
      </c>
      <c r="L1794" s="206" t="s">
        <v>744</v>
      </c>
      <c r="M1794" s="169"/>
      <c r="N1794" s="165"/>
      <c r="O1794" s="169"/>
      <c r="P1794" s="169">
        <v>114354.24000000001</v>
      </c>
      <c r="Q1794" s="166">
        <f t="shared" si="76"/>
        <v>0</v>
      </c>
      <c r="R1794" s="169"/>
      <c r="S1794" s="169"/>
      <c r="T1794" s="169"/>
      <c r="U1794" s="169"/>
      <c r="V1794" s="166">
        <f t="shared" si="75"/>
        <v>0</v>
      </c>
      <c r="W1794" s="205"/>
      <c r="X1794" s="167"/>
    </row>
    <row r="1795" spans="8:24" s="221" customFormat="1" ht="12.75" hidden="1" customHeight="1">
      <c r="H1795" s="168" t="s">
        <v>4726</v>
      </c>
      <c r="I1795" s="206" t="s">
        <v>4752</v>
      </c>
      <c r="J1795" s="206" t="s">
        <v>4753</v>
      </c>
      <c r="K1795" s="207" t="s">
        <v>5214</v>
      </c>
      <c r="L1795" s="206" t="s">
        <v>744</v>
      </c>
      <c r="M1795" s="169"/>
      <c r="N1795" s="165"/>
      <c r="O1795" s="169"/>
      <c r="P1795" s="169">
        <v>142942.79999999999</v>
      </c>
      <c r="Q1795" s="166">
        <f t="shared" si="76"/>
        <v>0</v>
      </c>
      <c r="R1795" s="169"/>
      <c r="S1795" s="169"/>
      <c r="T1795" s="169"/>
      <c r="U1795" s="169"/>
      <c r="V1795" s="166">
        <f t="shared" si="75"/>
        <v>0</v>
      </c>
      <c r="W1795" s="205"/>
      <c r="X1795" s="167"/>
    </row>
    <row r="1796" spans="8:24" s="221" customFormat="1" ht="12.75" hidden="1" customHeight="1">
      <c r="H1796" s="168" t="s">
        <v>4727</v>
      </c>
      <c r="I1796" s="206" t="s">
        <v>4754</v>
      </c>
      <c r="J1796" s="206" t="s">
        <v>4755</v>
      </c>
      <c r="K1796" s="207" t="s">
        <v>5215</v>
      </c>
      <c r="L1796" s="206" t="s">
        <v>744</v>
      </c>
      <c r="M1796" s="169"/>
      <c r="N1796" s="165"/>
      <c r="O1796" s="169"/>
      <c r="P1796" s="169">
        <v>142942.79999999999</v>
      </c>
      <c r="Q1796" s="166">
        <f t="shared" si="76"/>
        <v>0</v>
      </c>
      <c r="R1796" s="169"/>
      <c r="S1796" s="169"/>
      <c r="T1796" s="169"/>
      <c r="U1796" s="169"/>
      <c r="V1796" s="166">
        <f t="shared" si="75"/>
        <v>0</v>
      </c>
      <c r="W1796" s="205"/>
      <c r="X1796" s="167"/>
    </row>
    <row r="1797" spans="8:24" s="221" customFormat="1" ht="12.75" hidden="1" customHeight="1">
      <c r="H1797" s="168" t="s">
        <v>4728</v>
      </c>
      <c r="I1797" s="206" t="s">
        <v>4756</v>
      </c>
      <c r="J1797" s="206" t="s">
        <v>4757</v>
      </c>
      <c r="K1797" s="207" t="s">
        <v>5216</v>
      </c>
      <c r="L1797" s="206" t="s">
        <v>744</v>
      </c>
      <c r="M1797" s="169"/>
      <c r="N1797" s="165"/>
      <c r="O1797" s="169"/>
      <c r="P1797" s="169">
        <v>171531.36</v>
      </c>
      <c r="Q1797" s="166">
        <f t="shared" si="76"/>
        <v>0</v>
      </c>
      <c r="R1797" s="169"/>
      <c r="S1797" s="169"/>
      <c r="T1797" s="169"/>
      <c r="U1797" s="169"/>
      <c r="V1797" s="166">
        <f t="shared" si="75"/>
        <v>0</v>
      </c>
      <c r="W1797" s="205"/>
      <c r="X1797" s="167"/>
    </row>
    <row r="1798" spans="8:24" s="221" customFormat="1" ht="12.75" hidden="1" customHeight="1">
      <c r="H1798" s="168" t="s">
        <v>4729</v>
      </c>
      <c r="I1798" s="206" t="s">
        <v>4758</v>
      </c>
      <c r="J1798" s="206" t="s">
        <v>4759</v>
      </c>
      <c r="K1798" s="207" t="s">
        <v>5217</v>
      </c>
      <c r="L1798" s="206" t="s">
        <v>744</v>
      </c>
      <c r="M1798" s="169"/>
      <c r="N1798" s="165"/>
      <c r="O1798" s="169"/>
      <c r="P1798" s="169">
        <v>200119.92</v>
      </c>
      <c r="Q1798" s="166">
        <f t="shared" si="76"/>
        <v>0</v>
      </c>
      <c r="R1798" s="169"/>
      <c r="S1798" s="169"/>
      <c r="T1798" s="169"/>
      <c r="U1798" s="169"/>
      <c r="V1798" s="166">
        <f t="shared" ref="V1798:V1861" si="77">SUM(O1798+Q1798)+S1798+U1798</f>
        <v>0</v>
      </c>
      <c r="W1798" s="205"/>
      <c r="X1798" s="167"/>
    </row>
    <row r="1799" spans="8:24" s="221" customFormat="1" ht="12.75" hidden="1" customHeight="1">
      <c r="H1799" s="168" t="s">
        <v>4730</v>
      </c>
      <c r="I1799" s="206" t="s">
        <v>4760</v>
      </c>
      <c r="J1799" s="206" t="s">
        <v>4761</v>
      </c>
      <c r="K1799" s="207" t="s">
        <v>5218</v>
      </c>
      <c r="L1799" s="206" t="s">
        <v>744</v>
      </c>
      <c r="M1799" s="169"/>
      <c r="N1799" s="169"/>
      <c r="O1799" s="169"/>
      <c r="P1799" s="169">
        <v>257297.04</v>
      </c>
      <c r="Q1799" s="166">
        <f t="shared" si="76"/>
        <v>0</v>
      </c>
      <c r="R1799" s="169"/>
      <c r="S1799" s="169"/>
      <c r="T1799" s="169"/>
      <c r="U1799" s="169"/>
      <c r="V1799" s="166">
        <f t="shared" si="77"/>
        <v>0</v>
      </c>
      <c r="W1799" s="205"/>
      <c r="X1799" s="167"/>
    </row>
    <row r="1800" spans="8:24" s="221" customFormat="1" ht="12.75" hidden="1" customHeight="1">
      <c r="H1800" s="168" t="s">
        <v>4731</v>
      </c>
      <c r="I1800" s="206" t="s">
        <v>4762</v>
      </c>
      <c r="J1800" s="206" t="s">
        <v>4763</v>
      </c>
      <c r="K1800" s="207" t="s">
        <v>5219</v>
      </c>
      <c r="L1800" s="206" t="s">
        <v>744</v>
      </c>
      <c r="M1800" s="169"/>
      <c r="N1800" s="169"/>
      <c r="O1800" s="169"/>
      <c r="P1800" s="169">
        <v>314474.15999999997</v>
      </c>
      <c r="Q1800" s="166">
        <f t="shared" si="76"/>
        <v>0</v>
      </c>
      <c r="R1800" s="169"/>
      <c r="S1800" s="169"/>
      <c r="T1800" s="169"/>
      <c r="U1800" s="169"/>
      <c r="V1800" s="166">
        <f t="shared" si="77"/>
        <v>0</v>
      </c>
      <c r="W1800" s="205"/>
      <c r="X1800" s="167"/>
    </row>
    <row r="1801" spans="8:24" s="221" customFormat="1" ht="12.75" hidden="1" customHeight="1">
      <c r="H1801" s="168" t="s">
        <v>4732</v>
      </c>
      <c r="I1801" s="206" t="s">
        <v>4764</v>
      </c>
      <c r="J1801" s="206" t="s">
        <v>4765</v>
      </c>
      <c r="K1801" s="207" t="s">
        <v>5220</v>
      </c>
      <c r="L1801" s="206" t="s">
        <v>744</v>
      </c>
      <c r="M1801" s="169"/>
      <c r="N1801" s="169"/>
      <c r="O1801" s="169"/>
      <c r="P1801" s="169">
        <v>400239.84</v>
      </c>
      <c r="Q1801" s="166">
        <f t="shared" si="76"/>
        <v>0</v>
      </c>
      <c r="R1801" s="169"/>
      <c r="S1801" s="169"/>
      <c r="T1801" s="169"/>
      <c r="U1801" s="169"/>
      <c r="V1801" s="166">
        <f t="shared" si="77"/>
        <v>0</v>
      </c>
      <c r="W1801" s="205"/>
      <c r="X1801" s="167"/>
    </row>
    <row r="1802" spans="8:24" s="221" customFormat="1" ht="12.75" hidden="1" customHeight="1">
      <c r="H1802" s="168" t="s">
        <v>4733</v>
      </c>
      <c r="I1802" s="206" t="s">
        <v>4766</v>
      </c>
      <c r="J1802" s="206" t="s">
        <v>4767</v>
      </c>
      <c r="K1802" s="207" t="s">
        <v>5221</v>
      </c>
      <c r="L1802" s="206" t="s">
        <v>744</v>
      </c>
      <c r="M1802" s="169"/>
      <c r="N1802" s="169"/>
      <c r="O1802" s="169"/>
      <c r="P1802" s="169">
        <v>569172.24</v>
      </c>
      <c r="Q1802" s="166">
        <f t="shared" si="76"/>
        <v>0</v>
      </c>
      <c r="R1802" s="169"/>
      <c r="S1802" s="169"/>
      <c r="T1802" s="169"/>
      <c r="U1802" s="169"/>
      <c r="V1802" s="166">
        <f t="shared" si="77"/>
        <v>0</v>
      </c>
      <c r="W1802" s="205"/>
      <c r="X1802" s="167"/>
    </row>
    <row r="1803" spans="8:24" s="221" customFormat="1" ht="12.75" hidden="1" customHeight="1">
      <c r="H1803" s="168" t="s">
        <v>4734</v>
      </c>
      <c r="I1803" s="206" t="s">
        <v>4768</v>
      </c>
      <c r="J1803" s="206" t="s">
        <v>4769</v>
      </c>
      <c r="K1803" s="207" t="s">
        <v>5222</v>
      </c>
      <c r="L1803" s="206" t="s">
        <v>744</v>
      </c>
      <c r="M1803" s="169"/>
      <c r="N1803" s="169"/>
      <c r="O1803" s="169"/>
      <c r="P1803" s="169">
        <v>740703.6</v>
      </c>
      <c r="Q1803" s="166">
        <f t="shared" si="76"/>
        <v>0</v>
      </c>
      <c r="R1803" s="169"/>
      <c r="S1803" s="169"/>
      <c r="T1803" s="169"/>
      <c r="U1803" s="169"/>
      <c r="V1803" s="166">
        <f t="shared" si="77"/>
        <v>0</v>
      </c>
      <c r="W1803" s="205"/>
      <c r="X1803" s="167"/>
    </row>
    <row r="1804" spans="8:24" s="221" customFormat="1" ht="12.75" hidden="1" customHeight="1">
      <c r="H1804" s="168" t="s">
        <v>4735</v>
      </c>
      <c r="I1804" s="206" t="s">
        <v>4770</v>
      </c>
      <c r="J1804" s="206" t="s">
        <v>4771</v>
      </c>
      <c r="K1804" s="207" t="s">
        <v>5223</v>
      </c>
      <c r="L1804" s="206" t="s">
        <v>744</v>
      </c>
      <c r="M1804" s="169"/>
      <c r="N1804" s="169"/>
      <c r="O1804" s="169"/>
      <c r="P1804" s="169">
        <v>855057.84</v>
      </c>
      <c r="Q1804" s="166">
        <f t="shared" si="76"/>
        <v>0</v>
      </c>
      <c r="R1804" s="169"/>
      <c r="S1804" s="169"/>
      <c r="T1804" s="169"/>
      <c r="U1804" s="169"/>
      <c r="V1804" s="166">
        <f t="shared" si="77"/>
        <v>0</v>
      </c>
      <c r="W1804" s="205"/>
      <c r="X1804" s="167"/>
    </row>
    <row r="1805" spans="8:24" s="221" customFormat="1" ht="12.75" hidden="1" customHeight="1">
      <c r="H1805" s="168" t="s">
        <v>4736</v>
      </c>
      <c r="I1805" s="206" t="s">
        <v>4772</v>
      </c>
      <c r="J1805" s="206" t="s">
        <v>4773</v>
      </c>
      <c r="K1805" s="207" t="s">
        <v>5224</v>
      </c>
      <c r="L1805" s="206" t="s">
        <v>744</v>
      </c>
      <c r="M1805" s="169"/>
      <c r="N1805" s="169"/>
      <c r="O1805" s="169"/>
      <c r="P1805" s="169">
        <v>899240.16</v>
      </c>
      <c r="Q1805" s="166">
        <f t="shared" si="76"/>
        <v>0</v>
      </c>
      <c r="R1805" s="169"/>
      <c r="S1805" s="169"/>
      <c r="T1805" s="169"/>
      <c r="U1805" s="169"/>
      <c r="V1805" s="166">
        <f t="shared" si="77"/>
        <v>0</v>
      </c>
      <c r="W1805" s="205"/>
      <c r="X1805" s="167"/>
    </row>
    <row r="1806" spans="8:24" s="221" customFormat="1" ht="12.75" hidden="1" customHeight="1">
      <c r="H1806" s="168" t="s">
        <v>4737</v>
      </c>
      <c r="I1806" s="206" t="s">
        <v>4774</v>
      </c>
      <c r="J1806" s="206" t="s">
        <v>4775</v>
      </c>
      <c r="K1806" s="207" t="s">
        <v>5225</v>
      </c>
      <c r="L1806" s="206" t="s">
        <v>744</v>
      </c>
      <c r="M1806" s="169"/>
      <c r="N1806" s="169"/>
      <c r="O1806" s="169"/>
      <c r="P1806" s="169">
        <v>969412.08</v>
      </c>
      <c r="Q1806" s="166">
        <f t="shared" si="76"/>
        <v>0</v>
      </c>
      <c r="R1806" s="169"/>
      <c r="S1806" s="169"/>
      <c r="T1806" s="169"/>
      <c r="U1806" s="169"/>
      <c r="V1806" s="166">
        <f t="shared" si="77"/>
        <v>0</v>
      </c>
      <c r="W1806" s="205"/>
      <c r="X1806" s="167"/>
    </row>
    <row r="1807" spans="8:24" s="221" customFormat="1" ht="12.75" hidden="1" customHeight="1">
      <c r="H1807" s="168" t="s">
        <v>4738</v>
      </c>
      <c r="I1807" s="206" t="s">
        <v>4776</v>
      </c>
      <c r="J1807" s="206" t="s">
        <v>4777</v>
      </c>
      <c r="K1807" s="207" t="s">
        <v>5226</v>
      </c>
      <c r="L1807" s="206" t="s">
        <v>744</v>
      </c>
      <c r="M1807" s="169"/>
      <c r="N1807" s="169"/>
      <c r="O1807" s="169"/>
      <c r="P1807" s="169">
        <v>1055177.76</v>
      </c>
      <c r="Q1807" s="166">
        <f t="shared" si="76"/>
        <v>0</v>
      </c>
      <c r="R1807" s="169"/>
      <c r="S1807" s="169"/>
      <c r="T1807" s="169"/>
      <c r="U1807" s="169"/>
      <c r="V1807" s="166">
        <f t="shared" si="77"/>
        <v>0</v>
      </c>
      <c r="W1807" s="205"/>
      <c r="X1807" s="167"/>
    </row>
    <row r="1808" spans="8:24" s="221" customFormat="1" ht="12.75" hidden="1" customHeight="1">
      <c r="H1808" s="168" t="s">
        <v>4739</v>
      </c>
      <c r="I1808" s="206" t="s">
        <v>4778</v>
      </c>
      <c r="J1808" s="206" t="s">
        <v>4779</v>
      </c>
      <c r="K1808" s="207" t="s">
        <v>5227</v>
      </c>
      <c r="L1808" s="206" t="s">
        <v>744</v>
      </c>
      <c r="M1808" s="169"/>
      <c r="N1808" s="169"/>
      <c r="O1808" s="169"/>
      <c r="P1808" s="169">
        <v>1140943.44</v>
      </c>
      <c r="Q1808" s="166">
        <f t="shared" si="76"/>
        <v>0</v>
      </c>
      <c r="R1808" s="169"/>
      <c r="S1808" s="169"/>
      <c r="T1808" s="169"/>
      <c r="U1808" s="169"/>
      <c r="V1808" s="166">
        <f t="shared" si="77"/>
        <v>0</v>
      </c>
      <c r="W1808" s="205"/>
      <c r="X1808" s="167"/>
    </row>
    <row r="1809" spans="8:24" s="221" customFormat="1" ht="12.75" hidden="1" customHeight="1">
      <c r="H1809" s="168" t="s">
        <v>4740</v>
      </c>
      <c r="I1809" s="206" t="s">
        <v>4780</v>
      </c>
      <c r="J1809" s="206" t="s">
        <v>4781</v>
      </c>
      <c r="K1809" s="207" t="s">
        <v>5228</v>
      </c>
      <c r="L1809" s="206" t="s">
        <v>744</v>
      </c>
      <c r="M1809" s="169"/>
      <c r="N1809" s="169"/>
      <c r="O1809" s="169"/>
      <c r="P1809" s="169">
        <v>1367052.96</v>
      </c>
      <c r="Q1809" s="166">
        <f t="shared" si="76"/>
        <v>0</v>
      </c>
      <c r="R1809" s="169"/>
      <c r="S1809" s="169"/>
      <c r="T1809" s="169"/>
      <c r="U1809" s="169"/>
      <c r="V1809" s="166">
        <f t="shared" si="77"/>
        <v>0</v>
      </c>
      <c r="W1809" s="205"/>
      <c r="X1809" s="167"/>
    </row>
    <row r="1810" spans="8:24" s="221" customFormat="1" ht="12.75" hidden="1" customHeight="1">
      <c r="H1810" s="168" t="s">
        <v>4741</v>
      </c>
      <c r="I1810" s="206" t="s">
        <v>4782</v>
      </c>
      <c r="J1810" s="206" t="s">
        <v>4783</v>
      </c>
      <c r="K1810" s="207" t="s">
        <v>5229</v>
      </c>
      <c r="L1810" s="206" t="s">
        <v>744</v>
      </c>
      <c r="M1810" s="169"/>
      <c r="N1810" s="169"/>
      <c r="O1810" s="169"/>
      <c r="P1810" s="169">
        <v>1367052.96</v>
      </c>
      <c r="Q1810" s="166">
        <f t="shared" si="76"/>
        <v>0</v>
      </c>
      <c r="R1810" s="169"/>
      <c r="S1810" s="169"/>
      <c r="T1810" s="169"/>
      <c r="U1810" s="169"/>
      <c r="V1810" s="166">
        <f t="shared" si="77"/>
        <v>0</v>
      </c>
      <c r="W1810" s="205"/>
      <c r="X1810" s="167"/>
    </row>
    <row r="1811" spans="8:24" s="221" customFormat="1" ht="12.75" hidden="1" customHeight="1">
      <c r="H1811" s="168" t="s">
        <v>4742</v>
      </c>
      <c r="I1811" s="206" t="s">
        <v>4784</v>
      </c>
      <c r="J1811" s="206" t="s">
        <v>4785</v>
      </c>
      <c r="K1811" s="207" t="s">
        <v>5230</v>
      </c>
      <c r="L1811" s="206" t="s">
        <v>744</v>
      </c>
      <c r="M1811" s="169"/>
      <c r="N1811" s="169"/>
      <c r="O1811" s="169"/>
      <c r="P1811" s="169">
        <v>1406037.36</v>
      </c>
      <c r="Q1811" s="166">
        <f t="shared" si="76"/>
        <v>0</v>
      </c>
      <c r="R1811" s="169"/>
      <c r="S1811" s="169"/>
      <c r="T1811" s="169"/>
      <c r="U1811" s="169"/>
      <c r="V1811" s="166">
        <f t="shared" si="77"/>
        <v>0</v>
      </c>
      <c r="W1811" s="205"/>
      <c r="X1811" s="167"/>
    </row>
    <row r="1812" spans="8:24" s="221" customFormat="1" ht="12.75" hidden="1" customHeight="1">
      <c r="H1812" s="168" t="s">
        <v>4743</v>
      </c>
      <c r="I1812" s="206" t="s">
        <v>4786</v>
      </c>
      <c r="J1812" s="206" t="s">
        <v>4787</v>
      </c>
      <c r="K1812" s="207" t="s">
        <v>5231</v>
      </c>
      <c r="L1812" s="206" t="s">
        <v>744</v>
      </c>
      <c r="M1812" s="169"/>
      <c r="N1812" s="169"/>
      <c r="O1812" s="169"/>
      <c r="P1812" s="169">
        <v>1481407.2</v>
      </c>
      <c r="Q1812" s="166">
        <f t="shared" si="76"/>
        <v>0</v>
      </c>
      <c r="R1812" s="169"/>
      <c r="S1812" s="169"/>
      <c r="T1812" s="169"/>
      <c r="U1812" s="169"/>
      <c r="V1812" s="166">
        <f t="shared" si="77"/>
        <v>0</v>
      </c>
      <c r="W1812" s="205"/>
      <c r="X1812" s="167"/>
    </row>
    <row r="1813" spans="8:24" s="221" customFormat="1" ht="12.75" hidden="1" customHeight="1">
      <c r="H1813" s="168" t="s">
        <v>4744</v>
      </c>
      <c r="I1813" s="206" t="s">
        <v>4788</v>
      </c>
      <c r="J1813" s="206" t="s">
        <v>4789</v>
      </c>
      <c r="K1813" s="207" t="s">
        <v>5232</v>
      </c>
      <c r="L1813" s="206" t="s">
        <v>744</v>
      </c>
      <c r="M1813" s="169"/>
      <c r="N1813" s="169"/>
      <c r="O1813" s="169"/>
      <c r="P1813" s="169">
        <v>1598360.4</v>
      </c>
      <c r="Q1813" s="166">
        <f t="shared" si="76"/>
        <v>0</v>
      </c>
      <c r="R1813" s="169"/>
      <c r="S1813" s="169"/>
      <c r="T1813" s="169"/>
      <c r="U1813" s="169"/>
      <c r="V1813" s="166">
        <f t="shared" si="77"/>
        <v>0</v>
      </c>
      <c r="W1813" s="205"/>
      <c r="X1813" s="167"/>
    </row>
    <row r="1814" spans="8:24" s="221" customFormat="1" ht="12.75" hidden="1" customHeight="1">
      <c r="H1814" s="168" t="s">
        <v>4745</v>
      </c>
      <c r="I1814" s="206" t="s">
        <v>4790</v>
      </c>
      <c r="J1814" s="206" t="s">
        <v>4791</v>
      </c>
      <c r="K1814" s="207" t="s">
        <v>5233</v>
      </c>
      <c r="L1814" s="206" t="s">
        <v>744</v>
      </c>
      <c r="M1814" s="169"/>
      <c r="N1814" s="169"/>
      <c r="O1814" s="169"/>
      <c r="P1814" s="169">
        <v>1681527.12</v>
      </c>
      <c r="Q1814" s="166">
        <f t="shared" si="76"/>
        <v>0</v>
      </c>
      <c r="R1814" s="169"/>
      <c r="S1814" s="169"/>
      <c r="T1814" s="169"/>
      <c r="U1814" s="169"/>
      <c r="V1814" s="166">
        <f t="shared" si="77"/>
        <v>0</v>
      </c>
      <c r="W1814" s="205"/>
      <c r="X1814" s="167"/>
    </row>
    <row r="1815" spans="8:24" s="221" customFormat="1" ht="12.75" hidden="1" customHeight="1">
      <c r="H1815" s="168" t="s">
        <v>4746</v>
      </c>
      <c r="I1815" s="206" t="s">
        <v>4792</v>
      </c>
      <c r="J1815" s="206" t="s">
        <v>4793</v>
      </c>
      <c r="K1815" s="207" t="s">
        <v>5234</v>
      </c>
      <c r="L1815" s="206" t="s">
        <v>744</v>
      </c>
      <c r="M1815" s="169"/>
      <c r="N1815" s="169"/>
      <c r="O1815" s="169"/>
      <c r="P1815" s="169">
        <v>1767292.8</v>
      </c>
      <c r="Q1815" s="166">
        <f t="shared" si="76"/>
        <v>0</v>
      </c>
      <c r="R1815" s="169"/>
      <c r="S1815" s="169"/>
      <c r="T1815" s="169"/>
      <c r="U1815" s="169"/>
      <c r="V1815" s="166">
        <f t="shared" si="77"/>
        <v>0</v>
      </c>
      <c r="W1815" s="205"/>
      <c r="X1815" s="167"/>
    </row>
    <row r="1816" spans="8:24" s="221" customFormat="1" ht="12.75" hidden="1" customHeight="1">
      <c r="H1816" s="168" t="s">
        <v>4747</v>
      </c>
      <c r="I1816" s="206" t="s">
        <v>4794</v>
      </c>
      <c r="J1816" s="206" t="s">
        <v>4795</v>
      </c>
      <c r="K1816" s="207" t="s">
        <v>5235</v>
      </c>
      <c r="L1816" s="206" t="s">
        <v>744</v>
      </c>
      <c r="M1816" s="169"/>
      <c r="N1816" s="169"/>
      <c r="O1816" s="169"/>
      <c r="P1816" s="169">
        <v>1988204.4</v>
      </c>
      <c r="Q1816" s="166">
        <f t="shared" si="76"/>
        <v>0</v>
      </c>
      <c r="R1816" s="169"/>
      <c r="S1816" s="169"/>
      <c r="T1816" s="169"/>
      <c r="U1816" s="169"/>
      <c r="V1816" s="166">
        <f t="shared" si="77"/>
        <v>0</v>
      </c>
      <c r="W1816" s="205"/>
      <c r="X1816" s="167"/>
    </row>
    <row r="1817" spans="8:24" s="221" customFormat="1" ht="12.75" hidden="1" customHeight="1">
      <c r="H1817" s="168" t="s">
        <v>4748</v>
      </c>
      <c r="I1817" s="206" t="s">
        <v>4796</v>
      </c>
      <c r="J1817" s="206" t="s">
        <v>4797</v>
      </c>
      <c r="K1817" s="207" t="s">
        <v>5236</v>
      </c>
      <c r="L1817" s="206" t="s">
        <v>744</v>
      </c>
      <c r="M1817" s="169"/>
      <c r="N1817" s="169"/>
      <c r="O1817" s="169"/>
      <c r="P1817" s="169">
        <v>2209116</v>
      </c>
      <c r="Q1817" s="166">
        <f t="shared" si="76"/>
        <v>0</v>
      </c>
      <c r="R1817" s="169"/>
      <c r="S1817" s="169"/>
      <c r="T1817" s="169"/>
      <c r="U1817" s="169"/>
      <c r="V1817" s="166">
        <f t="shared" si="77"/>
        <v>0</v>
      </c>
      <c r="W1817" s="205"/>
      <c r="X1817" s="167"/>
    </row>
    <row r="1818" spans="8:24" s="221" customFormat="1" ht="12.75" hidden="1" customHeight="1">
      <c r="H1818" s="168" t="s">
        <v>4749</v>
      </c>
      <c r="I1818" s="206" t="s">
        <v>4798</v>
      </c>
      <c r="J1818" s="206" t="s">
        <v>4751</v>
      </c>
      <c r="K1818" s="207" t="s">
        <v>5237</v>
      </c>
      <c r="L1818" s="206" t="s">
        <v>744</v>
      </c>
      <c r="M1818" s="169"/>
      <c r="N1818" s="169"/>
      <c r="O1818" s="169"/>
      <c r="P1818" s="169">
        <v>2430027.6</v>
      </c>
      <c r="Q1818" s="166">
        <f t="shared" si="76"/>
        <v>0</v>
      </c>
      <c r="R1818" s="169"/>
      <c r="S1818" s="169"/>
      <c r="T1818" s="169"/>
      <c r="U1818" s="169"/>
      <c r="V1818" s="166">
        <f t="shared" si="77"/>
        <v>0</v>
      </c>
      <c r="W1818" s="205"/>
      <c r="X1818" s="167"/>
    </row>
    <row r="1819" spans="8:24" s="221" customFormat="1" ht="12.75" hidden="1" customHeight="1">
      <c r="H1819" s="168" t="s">
        <v>4799</v>
      </c>
      <c r="I1819" s="206" t="s">
        <v>4816</v>
      </c>
      <c r="J1819" s="206" t="s">
        <v>4817</v>
      </c>
      <c r="K1819" s="206" t="s">
        <v>4818</v>
      </c>
      <c r="L1819" s="206" t="s">
        <v>744</v>
      </c>
      <c r="M1819" s="169"/>
      <c r="N1819" s="169"/>
      <c r="O1819" s="169"/>
      <c r="P1819" s="169">
        <v>221569.4</v>
      </c>
      <c r="Q1819" s="166">
        <f t="shared" si="76"/>
        <v>0</v>
      </c>
      <c r="R1819" s="169"/>
      <c r="S1819" s="169"/>
      <c r="T1819" s="169"/>
      <c r="U1819" s="169"/>
      <c r="V1819" s="166">
        <f t="shared" si="77"/>
        <v>0</v>
      </c>
      <c r="W1819" s="205"/>
      <c r="X1819" s="167"/>
    </row>
    <row r="1820" spans="8:24" s="221" customFormat="1" ht="12.75" hidden="1" customHeight="1">
      <c r="H1820" s="168" t="s">
        <v>4800</v>
      </c>
      <c r="I1820" s="206" t="s">
        <v>4819</v>
      </c>
      <c r="J1820" s="206" t="s">
        <v>4820</v>
      </c>
      <c r="K1820" s="206" t="s">
        <v>4821</v>
      </c>
      <c r="L1820" s="206" t="s">
        <v>744</v>
      </c>
      <c r="M1820" s="169"/>
      <c r="N1820" s="169"/>
      <c r="O1820" s="169"/>
      <c r="P1820" s="169">
        <v>129570.56</v>
      </c>
      <c r="Q1820" s="166">
        <f t="shared" si="76"/>
        <v>0</v>
      </c>
      <c r="R1820" s="169"/>
      <c r="S1820" s="169"/>
      <c r="T1820" s="169"/>
      <c r="U1820" s="169"/>
      <c r="V1820" s="166">
        <f t="shared" si="77"/>
        <v>0</v>
      </c>
      <c r="W1820" s="205"/>
      <c r="X1820" s="167"/>
    </row>
    <row r="1821" spans="8:24" s="221" customFormat="1" ht="12.75" hidden="1" customHeight="1">
      <c r="H1821" s="168" t="s">
        <v>4801</v>
      </c>
      <c r="I1821" s="206" t="s">
        <v>4822</v>
      </c>
      <c r="J1821" s="206" t="s">
        <v>4823</v>
      </c>
      <c r="K1821" s="206" t="s">
        <v>4818</v>
      </c>
      <c r="L1821" s="206" t="s">
        <v>744</v>
      </c>
      <c r="M1821" s="169"/>
      <c r="N1821" s="169"/>
      <c r="O1821" s="169"/>
      <c r="P1821" s="169">
        <v>310914.71999999997</v>
      </c>
      <c r="Q1821" s="166">
        <f t="shared" si="76"/>
        <v>0</v>
      </c>
      <c r="R1821" s="169"/>
      <c r="S1821" s="169"/>
      <c r="T1821" s="169"/>
      <c r="U1821" s="169"/>
      <c r="V1821" s="166">
        <f t="shared" si="77"/>
        <v>0</v>
      </c>
      <c r="W1821" s="205"/>
      <c r="X1821" s="167"/>
    </row>
    <row r="1822" spans="8:24" s="221" customFormat="1" ht="12.75" hidden="1" customHeight="1">
      <c r="H1822" s="168" t="s">
        <v>4802</v>
      </c>
      <c r="I1822" s="206" t="s">
        <v>4824</v>
      </c>
      <c r="J1822" s="206" t="s">
        <v>4825</v>
      </c>
      <c r="K1822" s="206" t="s">
        <v>4821</v>
      </c>
      <c r="L1822" s="206" t="s">
        <v>744</v>
      </c>
      <c r="M1822" s="169"/>
      <c r="N1822" s="169"/>
      <c r="O1822" s="169"/>
      <c r="P1822" s="169">
        <v>82046.94</v>
      </c>
      <c r="Q1822" s="166">
        <f t="shared" si="76"/>
        <v>0</v>
      </c>
      <c r="R1822" s="169"/>
      <c r="S1822" s="169"/>
      <c r="T1822" s="169"/>
      <c r="U1822" s="169"/>
      <c r="V1822" s="166">
        <f t="shared" si="77"/>
        <v>0</v>
      </c>
      <c r="W1822" s="205"/>
      <c r="X1822" s="167"/>
    </row>
    <row r="1823" spans="8:24" s="221" customFormat="1" ht="12.75" hidden="1" customHeight="1">
      <c r="H1823" s="168" t="s">
        <v>4803</v>
      </c>
      <c r="I1823" s="206" t="s">
        <v>4826</v>
      </c>
      <c r="J1823" s="206" t="s">
        <v>4827</v>
      </c>
      <c r="K1823" s="206" t="s">
        <v>4818</v>
      </c>
      <c r="L1823" s="206" t="s">
        <v>744</v>
      </c>
      <c r="M1823" s="169"/>
      <c r="N1823" s="169"/>
      <c r="O1823" s="169"/>
      <c r="P1823" s="169">
        <v>99319.98</v>
      </c>
      <c r="Q1823" s="166">
        <f t="shared" si="76"/>
        <v>0</v>
      </c>
      <c r="R1823" s="169"/>
      <c r="S1823" s="169"/>
      <c r="T1823" s="169"/>
      <c r="U1823" s="169"/>
      <c r="V1823" s="166">
        <f t="shared" si="77"/>
        <v>0</v>
      </c>
      <c r="W1823" s="205"/>
      <c r="X1823" s="167"/>
    </row>
    <row r="1824" spans="8:24" s="221" customFormat="1" ht="12.75" hidden="1" customHeight="1">
      <c r="H1824" s="168" t="s">
        <v>4804</v>
      </c>
      <c r="I1824" s="206" t="s">
        <v>4828</v>
      </c>
      <c r="J1824" s="206" t="s">
        <v>4829</v>
      </c>
      <c r="K1824" s="206" t="s">
        <v>4830</v>
      </c>
      <c r="L1824" s="206" t="s">
        <v>744</v>
      </c>
      <c r="M1824" s="169"/>
      <c r="N1824" s="169"/>
      <c r="O1824" s="169"/>
      <c r="P1824" s="169">
        <v>164093.88</v>
      </c>
      <c r="Q1824" s="166">
        <f t="shared" si="76"/>
        <v>0</v>
      </c>
      <c r="R1824" s="169"/>
      <c r="S1824" s="169"/>
      <c r="T1824" s="169"/>
      <c r="U1824" s="169"/>
      <c r="V1824" s="166">
        <f t="shared" si="77"/>
        <v>0</v>
      </c>
      <c r="W1824" s="205"/>
      <c r="X1824" s="167"/>
    </row>
    <row r="1825" spans="8:24" s="221" customFormat="1" ht="12.75" hidden="1" customHeight="1">
      <c r="H1825" s="168" t="s">
        <v>4805</v>
      </c>
      <c r="I1825" s="206" t="s">
        <v>4831</v>
      </c>
      <c r="J1825" s="206" t="s">
        <v>4832</v>
      </c>
      <c r="K1825" s="207" t="s">
        <v>3898</v>
      </c>
      <c r="L1825" s="206" t="s">
        <v>744</v>
      </c>
      <c r="M1825" s="169"/>
      <c r="N1825" s="169"/>
      <c r="O1825" s="169"/>
      <c r="P1825" s="169">
        <v>255308.68</v>
      </c>
      <c r="Q1825" s="166">
        <f t="shared" si="76"/>
        <v>0</v>
      </c>
      <c r="R1825" s="169"/>
      <c r="S1825" s="169"/>
      <c r="T1825" s="169"/>
      <c r="U1825" s="169"/>
      <c r="V1825" s="166">
        <f t="shared" si="77"/>
        <v>0</v>
      </c>
      <c r="W1825" s="205"/>
      <c r="X1825" s="167"/>
    </row>
    <row r="1826" spans="8:24" s="221" customFormat="1" ht="12.75" hidden="1" customHeight="1">
      <c r="H1826" s="168" t="s">
        <v>4806</v>
      </c>
      <c r="I1826" s="206" t="s">
        <v>4833</v>
      </c>
      <c r="J1826" s="206" t="s">
        <v>4834</v>
      </c>
      <c r="K1826" s="207" t="s">
        <v>3898</v>
      </c>
      <c r="L1826" s="206" t="s">
        <v>744</v>
      </c>
      <c r="M1826" s="169"/>
      <c r="N1826" s="169"/>
      <c r="O1826" s="169"/>
      <c r="P1826" s="169">
        <v>232172.48</v>
      </c>
      <c r="Q1826" s="166">
        <f t="shared" si="76"/>
        <v>0</v>
      </c>
      <c r="R1826" s="169"/>
      <c r="S1826" s="169"/>
      <c r="T1826" s="169"/>
      <c r="U1826" s="169"/>
      <c r="V1826" s="166">
        <f t="shared" si="77"/>
        <v>0</v>
      </c>
      <c r="W1826" s="205"/>
      <c r="X1826" s="167"/>
    </row>
    <row r="1827" spans="8:24" s="221" customFormat="1" ht="12.75" hidden="1" customHeight="1">
      <c r="H1827" s="168" t="s">
        <v>4807</v>
      </c>
      <c r="I1827" s="206" t="s">
        <v>4835</v>
      </c>
      <c r="J1827" s="206" t="s">
        <v>4836</v>
      </c>
      <c r="K1827" s="207" t="s">
        <v>3898</v>
      </c>
      <c r="L1827" s="206" t="s">
        <v>92</v>
      </c>
      <c r="M1827" s="169"/>
      <c r="N1827" s="169"/>
      <c r="O1827" s="169"/>
      <c r="P1827" s="169">
        <v>38864.339999999997</v>
      </c>
      <c r="Q1827" s="166">
        <f t="shared" si="76"/>
        <v>0</v>
      </c>
      <c r="R1827" s="169"/>
      <c r="S1827" s="169"/>
      <c r="T1827" s="169"/>
      <c r="U1827" s="169"/>
      <c r="V1827" s="166">
        <f t="shared" si="77"/>
        <v>0</v>
      </c>
      <c r="W1827" s="205"/>
      <c r="X1827" s="167"/>
    </row>
    <row r="1828" spans="8:24" s="221" customFormat="1" ht="12.75" hidden="1" customHeight="1">
      <c r="H1828" s="168" t="s">
        <v>4808</v>
      </c>
      <c r="I1828" s="206" t="s">
        <v>4837</v>
      </c>
      <c r="J1828" s="206" t="s">
        <v>4838</v>
      </c>
      <c r="K1828" s="207" t="s">
        <v>3898</v>
      </c>
      <c r="L1828" s="206" t="s">
        <v>744</v>
      </c>
      <c r="M1828" s="169"/>
      <c r="N1828" s="169"/>
      <c r="O1828" s="169"/>
      <c r="P1828" s="169">
        <v>88603.199999999997</v>
      </c>
      <c r="Q1828" s="166">
        <f t="shared" si="76"/>
        <v>0</v>
      </c>
      <c r="R1828" s="169"/>
      <c r="S1828" s="169"/>
      <c r="T1828" s="169"/>
      <c r="U1828" s="169"/>
      <c r="V1828" s="166">
        <f t="shared" si="77"/>
        <v>0</v>
      </c>
      <c r="W1828" s="205"/>
      <c r="X1828" s="167"/>
    </row>
    <row r="1829" spans="8:24" s="221" customFormat="1" ht="12.75" hidden="1" customHeight="1">
      <c r="H1829" s="168" t="s">
        <v>4809</v>
      </c>
      <c r="I1829" s="206" t="s">
        <v>4839</v>
      </c>
      <c r="J1829" s="206" t="s">
        <v>4840</v>
      </c>
      <c r="K1829" s="207" t="s">
        <v>3898</v>
      </c>
      <c r="L1829" s="206" t="s">
        <v>744</v>
      </c>
      <c r="M1829" s="169"/>
      <c r="N1829" s="169"/>
      <c r="O1829" s="169"/>
      <c r="P1829" s="169">
        <v>207287.7</v>
      </c>
      <c r="Q1829" s="166">
        <f t="shared" si="76"/>
        <v>0</v>
      </c>
      <c r="R1829" s="169"/>
      <c r="S1829" s="169"/>
      <c r="T1829" s="169"/>
      <c r="U1829" s="169"/>
      <c r="V1829" s="166">
        <f t="shared" si="77"/>
        <v>0</v>
      </c>
      <c r="W1829" s="205"/>
      <c r="X1829" s="167"/>
    </row>
    <row r="1830" spans="8:24" s="221" customFormat="1" ht="12.75" hidden="1" customHeight="1">
      <c r="H1830" s="168" t="s">
        <v>4810</v>
      </c>
      <c r="I1830" s="206" t="s">
        <v>4841</v>
      </c>
      <c r="J1830" s="206" t="s">
        <v>4842</v>
      </c>
      <c r="K1830" s="207" t="s">
        <v>3898</v>
      </c>
      <c r="L1830" s="207" t="s">
        <v>4843</v>
      </c>
      <c r="M1830" s="169"/>
      <c r="N1830" s="169"/>
      <c r="O1830" s="169"/>
      <c r="P1830" s="169">
        <v>431381.68</v>
      </c>
      <c r="Q1830" s="166">
        <f t="shared" si="76"/>
        <v>0</v>
      </c>
      <c r="R1830" s="169"/>
      <c r="S1830" s="169"/>
      <c r="T1830" s="169"/>
      <c r="U1830" s="169"/>
      <c r="V1830" s="166">
        <f t="shared" si="77"/>
        <v>0</v>
      </c>
      <c r="W1830" s="205"/>
      <c r="X1830" s="167"/>
    </row>
    <row r="1831" spans="8:24" s="221" customFormat="1" ht="12.75" hidden="1" customHeight="1">
      <c r="H1831" s="168" t="s">
        <v>4811</v>
      </c>
      <c r="I1831" s="206" t="s">
        <v>4844</v>
      </c>
      <c r="J1831" s="206" t="s">
        <v>4845</v>
      </c>
      <c r="K1831" s="207" t="s">
        <v>3898</v>
      </c>
      <c r="L1831" s="206" t="s">
        <v>744</v>
      </c>
      <c r="M1831" s="169"/>
      <c r="N1831" s="169"/>
      <c r="O1831" s="169"/>
      <c r="P1831" s="169">
        <v>102587.84</v>
      </c>
      <c r="Q1831" s="166">
        <f t="shared" si="76"/>
        <v>0</v>
      </c>
      <c r="R1831" s="169"/>
      <c r="S1831" s="169"/>
      <c r="T1831" s="169"/>
      <c r="U1831" s="169"/>
      <c r="V1831" s="166">
        <f t="shared" si="77"/>
        <v>0</v>
      </c>
      <c r="W1831" s="205"/>
      <c r="X1831" s="167"/>
    </row>
    <row r="1832" spans="8:24" s="221" customFormat="1" ht="12.75" hidden="1" customHeight="1">
      <c r="H1832" s="168" t="s">
        <v>4812</v>
      </c>
      <c r="I1832" s="206" t="s">
        <v>4846</v>
      </c>
      <c r="J1832" s="206" t="s">
        <v>4847</v>
      </c>
      <c r="K1832" s="207" t="s">
        <v>3898</v>
      </c>
      <c r="L1832" s="207" t="s">
        <v>4848</v>
      </c>
      <c r="M1832" s="169"/>
      <c r="N1832" s="169"/>
      <c r="O1832" s="169"/>
      <c r="P1832" s="169">
        <v>204028.52</v>
      </c>
      <c r="Q1832" s="166">
        <f t="shared" si="76"/>
        <v>0</v>
      </c>
      <c r="R1832" s="169"/>
      <c r="S1832" s="169"/>
      <c r="T1832" s="169"/>
      <c r="U1832" s="169"/>
      <c r="V1832" s="166">
        <f t="shared" si="77"/>
        <v>0</v>
      </c>
      <c r="W1832" s="205"/>
      <c r="X1832" s="167"/>
    </row>
    <row r="1833" spans="8:24" s="221" customFormat="1" ht="12.75" hidden="1" customHeight="1">
      <c r="H1833" s="168" t="s">
        <v>4813</v>
      </c>
      <c r="I1833" s="206" t="s">
        <v>4849</v>
      </c>
      <c r="J1833" s="206" t="s">
        <v>4850</v>
      </c>
      <c r="K1833" s="206" t="s">
        <v>3898</v>
      </c>
      <c r="L1833" s="206" t="s">
        <v>4851</v>
      </c>
      <c r="M1833" s="169"/>
      <c r="N1833" s="169"/>
      <c r="O1833" s="169"/>
      <c r="P1833" s="169">
        <v>188603.26</v>
      </c>
      <c r="Q1833" s="166">
        <f t="shared" si="76"/>
        <v>0</v>
      </c>
      <c r="R1833" s="169"/>
      <c r="S1833" s="169"/>
      <c r="T1833" s="169"/>
      <c r="U1833" s="169"/>
      <c r="V1833" s="166">
        <f t="shared" si="77"/>
        <v>0</v>
      </c>
      <c r="W1833" s="205"/>
      <c r="X1833" s="167"/>
    </row>
    <row r="1834" spans="8:24" s="221" customFormat="1" ht="12.75" hidden="1" customHeight="1">
      <c r="H1834" s="168" t="s">
        <v>4814</v>
      </c>
      <c r="I1834" s="206" t="s">
        <v>4852</v>
      </c>
      <c r="J1834" s="206" t="s">
        <v>4853</v>
      </c>
      <c r="K1834" s="206" t="s">
        <v>3898</v>
      </c>
      <c r="L1834" s="206" t="s">
        <v>4851</v>
      </c>
      <c r="M1834" s="169"/>
      <c r="N1834" s="169"/>
      <c r="O1834" s="169"/>
      <c r="P1834" s="169">
        <v>321681.36</v>
      </c>
      <c r="Q1834" s="166">
        <f t="shared" si="76"/>
        <v>0</v>
      </c>
      <c r="R1834" s="169"/>
      <c r="S1834" s="169"/>
      <c r="T1834" s="169"/>
      <c r="U1834" s="169"/>
      <c r="V1834" s="166">
        <f t="shared" si="77"/>
        <v>0</v>
      </c>
      <c r="W1834" s="205"/>
      <c r="X1834" s="167"/>
    </row>
    <row r="1835" spans="8:24" s="221" customFormat="1" ht="12.75" hidden="1" customHeight="1">
      <c r="H1835" s="168" t="s">
        <v>4815</v>
      </c>
      <c r="I1835" s="206" t="s">
        <v>4854</v>
      </c>
      <c r="J1835" s="206" t="s">
        <v>4855</v>
      </c>
      <c r="K1835" s="206" t="s">
        <v>3898</v>
      </c>
      <c r="L1835" s="206" t="s">
        <v>4851</v>
      </c>
      <c r="M1835" s="169"/>
      <c r="N1835" s="169"/>
      <c r="O1835" s="169"/>
      <c r="P1835" s="169">
        <v>275563</v>
      </c>
      <c r="Q1835" s="166">
        <f t="shared" si="76"/>
        <v>0</v>
      </c>
      <c r="R1835" s="169"/>
      <c r="S1835" s="169"/>
      <c r="T1835" s="169"/>
      <c r="U1835" s="169"/>
      <c r="V1835" s="166">
        <f t="shared" si="77"/>
        <v>0</v>
      </c>
      <c r="W1835" s="205"/>
      <c r="X1835" s="167"/>
    </row>
    <row r="1836" spans="8:24" s="221" customFormat="1" ht="12.75" hidden="1" customHeight="1">
      <c r="H1836" s="168" t="s">
        <v>4856</v>
      </c>
      <c r="I1836" s="206" t="s">
        <v>4859</v>
      </c>
      <c r="J1836" s="206" t="s">
        <v>4860</v>
      </c>
      <c r="K1836" s="206" t="s">
        <v>4861</v>
      </c>
      <c r="L1836" s="207" t="s">
        <v>2980</v>
      </c>
      <c r="M1836" s="169"/>
      <c r="N1836" s="169"/>
      <c r="O1836" s="169"/>
      <c r="P1836" s="169">
        <v>69287.75</v>
      </c>
      <c r="Q1836" s="166">
        <f t="shared" si="76"/>
        <v>0</v>
      </c>
      <c r="R1836" s="169"/>
      <c r="S1836" s="169"/>
      <c r="T1836" s="169"/>
      <c r="U1836" s="169"/>
      <c r="V1836" s="166">
        <f t="shared" si="77"/>
        <v>0</v>
      </c>
      <c r="W1836" s="205"/>
      <c r="X1836" s="167"/>
    </row>
    <row r="1837" spans="8:24" s="221" customFormat="1" ht="12.75" hidden="1" customHeight="1">
      <c r="H1837" s="168" t="s">
        <v>4857</v>
      </c>
      <c r="I1837" s="206" t="s">
        <v>4862</v>
      </c>
      <c r="J1837" s="206" t="s">
        <v>4863</v>
      </c>
      <c r="K1837" s="206" t="s">
        <v>4864</v>
      </c>
      <c r="L1837" s="207" t="s">
        <v>2980</v>
      </c>
      <c r="M1837" s="169"/>
      <c r="N1837" s="169"/>
      <c r="O1837" s="169"/>
      <c r="P1837" s="169">
        <v>89666.5</v>
      </c>
      <c r="Q1837" s="166">
        <f t="shared" si="76"/>
        <v>0</v>
      </c>
      <c r="R1837" s="169"/>
      <c r="S1837" s="169"/>
      <c r="T1837" s="169"/>
      <c r="U1837" s="169"/>
      <c r="V1837" s="166">
        <f t="shared" si="77"/>
        <v>0</v>
      </c>
      <c r="W1837" s="205"/>
      <c r="X1837" s="167"/>
    </row>
    <row r="1838" spans="8:24" s="221" customFormat="1" ht="12.75" hidden="1" customHeight="1">
      <c r="H1838" s="168" t="s">
        <v>4858</v>
      </c>
      <c r="I1838" s="206" t="s">
        <v>4865</v>
      </c>
      <c r="J1838" s="206" t="s">
        <v>4866</v>
      </c>
      <c r="K1838" s="206" t="s">
        <v>4867</v>
      </c>
      <c r="L1838" s="207" t="s">
        <v>2980</v>
      </c>
      <c r="M1838" s="169"/>
      <c r="N1838" s="169"/>
      <c r="O1838" s="169"/>
      <c r="P1838" s="169">
        <v>130424</v>
      </c>
      <c r="Q1838" s="166">
        <f t="shared" si="76"/>
        <v>0</v>
      </c>
      <c r="R1838" s="169"/>
      <c r="S1838" s="169"/>
      <c r="T1838" s="169"/>
      <c r="U1838" s="169"/>
      <c r="V1838" s="166">
        <f t="shared" si="77"/>
        <v>0</v>
      </c>
      <c r="W1838" s="205"/>
      <c r="X1838" s="167"/>
    </row>
    <row r="1839" spans="8:24" s="221" customFormat="1" ht="12.75" hidden="1" customHeight="1">
      <c r="H1839" s="168" t="s">
        <v>4868</v>
      </c>
      <c r="I1839" s="206" t="s">
        <v>4869</v>
      </c>
      <c r="J1839" s="206" t="s">
        <v>4870</v>
      </c>
      <c r="K1839" s="206" t="s">
        <v>4871</v>
      </c>
      <c r="L1839" s="206" t="s">
        <v>92</v>
      </c>
      <c r="M1839" s="169"/>
      <c r="N1839" s="169"/>
      <c r="O1839" s="169"/>
      <c r="P1839" s="169">
        <v>18435.97</v>
      </c>
      <c r="Q1839" s="166">
        <f t="shared" si="76"/>
        <v>0</v>
      </c>
      <c r="R1839" s="169"/>
      <c r="S1839" s="169"/>
      <c r="T1839" s="169"/>
      <c r="U1839" s="169"/>
      <c r="V1839" s="166">
        <f t="shared" si="77"/>
        <v>0</v>
      </c>
      <c r="W1839" s="205"/>
      <c r="X1839" s="167"/>
    </row>
    <row r="1840" spans="8:24" s="221" customFormat="1" ht="12.75" hidden="1" customHeight="1">
      <c r="H1840" s="168" t="s">
        <v>4872</v>
      </c>
      <c r="I1840" s="206" t="s">
        <v>4891</v>
      </c>
      <c r="J1840" s="206" t="s">
        <v>4892</v>
      </c>
      <c r="K1840" s="207" t="s">
        <v>5295</v>
      </c>
      <c r="L1840" s="207" t="s">
        <v>2980</v>
      </c>
      <c r="M1840" s="169"/>
      <c r="N1840" s="169"/>
      <c r="O1840" s="169"/>
      <c r="P1840" s="169">
        <v>61136.25</v>
      </c>
      <c r="Q1840" s="166">
        <f t="shared" si="76"/>
        <v>0</v>
      </c>
      <c r="R1840" s="169"/>
      <c r="S1840" s="169"/>
      <c r="T1840" s="169"/>
      <c r="U1840" s="169"/>
      <c r="V1840" s="166">
        <f t="shared" si="77"/>
        <v>0</v>
      </c>
      <c r="W1840" s="205"/>
      <c r="X1840" s="167"/>
    </row>
    <row r="1841" spans="8:24" s="221" customFormat="1" ht="12.75" hidden="1" customHeight="1">
      <c r="H1841" s="168" t="s">
        <v>4873</v>
      </c>
      <c r="I1841" s="206" t="s">
        <v>4893</v>
      </c>
      <c r="J1841" s="206" t="s">
        <v>4894</v>
      </c>
      <c r="K1841" s="207" t="s">
        <v>5296</v>
      </c>
      <c r="L1841" s="207" t="s">
        <v>2980</v>
      </c>
      <c r="M1841" s="169"/>
      <c r="N1841" s="169"/>
      <c r="O1841" s="169"/>
      <c r="P1841" s="169">
        <v>97818</v>
      </c>
      <c r="Q1841" s="166">
        <f t="shared" si="76"/>
        <v>0</v>
      </c>
      <c r="R1841" s="169"/>
      <c r="S1841" s="169"/>
      <c r="T1841" s="169"/>
      <c r="U1841" s="169"/>
      <c r="V1841" s="166">
        <f t="shared" si="77"/>
        <v>0</v>
      </c>
      <c r="W1841" s="205"/>
      <c r="X1841" s="167"/>
    </row>
    <row r="1842" spans="8:24" s="221" customFormat="1" ht="12.75" hidden="1" customHeight="1">
      <c r="H1842" s="168" t="s">
        <v>4874</v>
      </c>
      <c r="I1842" s="206" t="s">
        <v>4895</v>
      </c>
      <c r="J1842" s="206" t="s">
        <v>4896</v>
      </c>
      <c r="K1842" s="207" t="s">
        <v>5297</v>
      </c>
      <c r="L1842" s="207" t="s">
        <v>2980</v>
      </c>
      <c r="M1842" s="169"/>
      <c r="N1842" s="169"/>
      <c r="O1842" s="169"/>
      <c r="P1842" s="169">
        <v>142651.25</v>
      </c>
      <c r="Q1842" s="166">
        <f t="shared" si="76"/>
        <v>0</v>
      </c>
      <c r="R1842" s="169"/>
      <c r="S1842" s="169"/>
      <c r="T1842" s="169"/>
      <c r="U1842" s="169"/>
      <c r="V1842" s="166">
        <f t="shared" si="77"/>
        <v>0</v>
      </c>
      <c r="W1842" s="205"/>
      <c r="X1842" s="167"/>
    </row>
    <row r="1843" spans="8:24" s="221" customFormat="1" ht="12.75" hidden="1" customHeight="1">
      <c r="H1843" s="168" t="s">
        <v>4875</v>
      </c>
      <c r="I1843" s="206" t="s">
        <v>4897</v>
      </c>
      <c r="J1843" s="206" t="s">
        <v>4898</v>
      </c>
      <c r="K1843" s="207" t="s">
        <v>5298</v>
      </c>
      <c r="L1843" s="207" t="s">
        <v>2980</v>
      </c>
      <c r="M1843" s="169"/>
      <c r="N1843" s="169"/>
      <c r="O1843" s="169"/>
      <c r="P1843" s="169">
        <v>203787.5</v>
      </c>
      <c r="Q1843" s="166">
        <f t="shared" si="76"/>
        <v>0</v>
      </c>
      <c r="R1843" s="169"/>
      <c r="S1843" s="169"/>
      <c r="T1843" s="169"/>
      <c r="U1843" s="169"/>
      <c r="V1843" s="166">
        <f t="shared" si="77"/>
        <v>0</v>
      </c>
      <c r="W1843" s="205"/>
      <c r="X1843" s="167"/>
    </row>
    <row r="1844" spans="8:24" s="221" customFormat="1" ht="12.75" hidden="1" customHeight="1">
      <c r="H1844" s="168" t="s">
        <v>4876</v>
      </c>
      <c r="I1844" s="206" t="s">
        <v>4899</v>
      </c>
      <c r="J1844" s="206" t="s">
        <v>4900</v>
      </c>
      <c r="K1844" s="207" t="s">
        <v>5299</v>
      </c>
      <c r="L1844" s="207" t="s">
        <v>2980</v>
      </c>
      <c r="M1844" s="169"/>
      <c r="N1844" s="169"/>
      <c r="O1844" s="169"/>
      <c r="P1844" s="169">
        <v>20378.75</v>
      </c>
      <c r="Q1844" s="166">
        <f t="shared" si="76"/>
        <v>0</v>
      </c>
      <c r="R1844" s="169"/>
      <c r="S1844" s="169"/>
      <c r="T1844" s="169"/>
      <c r="U1844" s="169"/>
      <c r="V1844" s="166">
        <f t="shared" si="77"/>
        <v>0</v>
      </c>
      <c r="W1844" s="205"/>
      <c r="X1844" s="167"/>
    </row>
    <row r="1845" spans="8:24" s="221" customFormat="1" ht="12.75" hidden="1" customHeight="1">
      <c r="H1845" s="168" t="s">
        <v>4877</v>
      </c>
      <c r="I1845" s="206" t="s">
        <v>4901</v>
      </c>
      <c r="J1845" s="206" t="s">
        <v>4902</v>
      </c>
      <c r="K1845" s="207" t="s">
        <v>4903</v>
      </c>
      <c r="L1845" s="207" t="s">
        <v>2980</v>
      </c>
      <c r="M1845" s="169"/>
      <c r="N1845" s="169"/>
      <c r="O1845" s="169"/>
      <c r="P1845" s="169">
        <v>73363.5</v>
      </c>
      <c r="Q1845" s="166">
        <f t="shared" si="76"/>
        <v>0</v>
      </c>
      <c r="R1845" s="169"/>
      <c r="S1845" s="169"/>
      <c r="T1845" s="169"/>
      <c r="U1845" s="169"/>
      <c r="V1845" s="166">
        <f t="shared" si="77"/>
        <v>0</v>
      </c>
      <c r="W1845" s="205"/>
      <c r="X1845" s="167"/>
    </row>
    <row r="1846" spans="8:24" s="221" customFormat="1" ht="12.75" hidden="1" customHeight="1">
      <c r="H1846" s="168" t="s">
        <v>4878</v>
      </c>
      <c r="I1846" s="206" t="s">
        <v>4904</v>
      </c>
      <c r="J1846" s="206" t="s">
        <v>4905</v>
      </c>
      <c r="K1846" s="207" t="s">
        <v>4906</v>
      </c>
      <c r="L1846" s="207" t="s">
        <v>2980</v>
      </c>
      <c r="M1846" s="169"/>
      <c r="N1846" s="169"/>
      <c r="O1846" s="169"/>
      <c r="P1846" s="169">
        <v>130424</v>
      </c>
      <c r="Q1846" s="166">
        <f t="shared" ref="Q1846:Q1909" si="78">IF(W1846="",M1846*P1846*$Q$3*$W$3,M1846*P1846*$Q$3*W1846)</f>
        <v>0</v>
      </c>
      <c r="R1846" s="169"/>
      <c r="S1846" s="169"/>
      <c r="T1846" s="169"/>
      <c r="U1846" s="169"/>
      <c r="V1846" s="166">
        <f t="shared" si="77"/>
        <v>0</v>
      </c>
      <c r="W1846" s="205"/>
      <c r="X1846" s="167"/>
    </row>
    <row r="1847" spans="8:24" s="221" customFormat="1" ht="12.75" hidden="1" customHeight="1">
      <c r="H1847" s="168" t="s">
        <v>4879</v>
      </c>
      <c r="I1847" s="206" t="s">
        <v>4907</v>
      </c>
      <c r="J1847" s="206" t="s">
        <v>4908</v>
      </c>
      <c r="K1847" s="207" t="s">
        <v>5300</v>
      </c>
      <c r="L1847" s="207" t="s">
        <v>2980</v>
      </c>
      <c r="M1847" s="169"/>
      <c r="N1847" s="169"/>
      <c r="O1847" s="169"/>
      <c r="P1847" s="169">
        <v>73363.5</v>
      </c>
      <c r="Q1847" s="166">
        <f t="shared" si="78"/>
        <v>0</v>
      </c>
      <c r="R1847" s="169"/>
      <c r="S1847" s="169"/>
      <c r="T1847" s="169"/>
      <c r="U1847" s="169"/>
      <c r="V1847" s="166">
        <f t="shared" si="77"/>
        <v>0</v>
      </c>
      <c r="W1847" s="205"/>
      <c r="X1847" s="167"/>
    </row>
    <row r="1848" spans="8:24" s="221" customFormat="1" ht="12.75" hidden="1" customHeight="1">
      <c r="H1848" s="168" t="s">
        <v>4880</v>
      </c>
      <c r="I1848" s="206" t="s">
        <v>4909</v>
      </c>
      <c r="J1848" s="206" t="s">
        <v>4910</v>
      </c>
      <c r="K1848" s="207" t="s">
        <v>4911</v>
      </c>
      <c r="L1848" s="207" t="s">
        <v>2980</v>
      </c>
      <c r="M1848" s="169"/>
      <c r="N1848" s="169"/>
      <c r="O1848" s="169"/>
      <c r="P1848" s="169">
        <v>81515</v>
      </c>
      <c r="Q1848" s="166">
        <f t="shared" si="78"/>
        <v>0</v>
      </c>
      <c r="R1848" s="169"/>
      <c r="S1848" s="169"/>
      <c r="T1848" s="169"/>
      <c r="U1848" s="169"/>
      <c r="V1848" s="166">
        <f t="shared" si="77"/>
        <v>0</v>
      </c>
      <c r="W1848" s="205"/>
      <c r="X1848" s="167"/>
    </row>
    <row r="1849" spans="8:24" s="221" customFormat="1" ht="12.75" hidden="1" customHeight="1">
      <c r="H1849" s="168" t="s">
        <v>4881</v>
      </c>
      <c r="I1849" s="206" t="s">
        <v>4912</v>
      </c>
      <c r="J1849" s="206" t="s">
        <v>4892</v>
      </c>
      <c r="K1849" s="207" t="s">
        <v>4913</v>
      </c>
      <c r="L1849" s="207" t="s">
        <v>2980</v>
      </c>
      <c r="M1849" s="169"/>
      <c r="N1849" s="169"/>
      <c r="O1849" s="169"/>
      <c r="P1849" s="169">
        <v>44773.07</v>
      </c>
      <c r="Q1849" s="166">
        <f t="shared" si="78"/>
        <v>0</v>
      </c>
      <c r="R1849" s="169"/>
      <c r="S1849" s="169"/>
      <c r="T1849" s="169"/>
      <c r="U1849" s="169"/>
      <c r="V1849" s="166">
        <f t="shared" si="77"/>
        <v>0</v>
      </c>
      <c r="W1849" s="205"/>
      <c r="X1849" s="167"/>
    </row>
    <row r="1850" spans="8:24" s="221" customFormat="1" ht="12.75" hidden="1" customHeight="1">
      <c r="H1850" s="168" t="s">
        <v>4882</v>
      </c>
      <c r="I1850" s="206" t="s">
        <v>4914</v>
      </c>
      <c r="J1850" s="206" t="s">
        <v>4915</v>
      </c>
      <c r="K1850" s="207" t="s">
        <v>4916</v>
      </c>
      <c r="L1850" s="207" t="s">
        <v>5238</v>
      </c>
      <c r="M1850" s="169"/>
      <c r="N1850" s="169"/>
      <c r="O1850" s="169"/>
      <c r="P1850" s="169">
        <v>147487.76</v>
      </c>
      <c r="Q1850" s="166">
        <f t="shared" si="78"/>
        <v>0</v>
      </c>
      <c r="R1850" s="169"/>
      <c r="S1850" s="169"/>
      <c r="T1850" s="169"/>
      <c r="U1850" s="169"/>
      <c r="V1850" s="166">
        <f t="shared" si="77"/>
        <v>0</v>
      </c>
      <c r="W1850" s="205"/>
      <c r="X1850" s="167"/>
    </row>
    <row r="1851" spans="8:24" s="221" customFormat="1" ht="12.75" hidden="1" customHeight="1">
      <c r="H1851" s="168" t="s">
        <v>4883</v>
      </c>
      <c r="I1851" s="206" t="s">
        <v>4917</v>
      </c>
      <c r="J1851" s="206" t="s">
        <v>4918</v>
      </c>
      <c r="K1851" s="207" t="s">
        <v>4919</v>
      </c>
      <c r="L1851" s="207" t="s">
        <v>5238</v>
      </c>
      <c r="M1851" s="169"/>
      <c r="N1851" s="169"/>
      <c r="O1851" s="169"/>
      <c r="P1851" s="169">
        <v>147487.76</v>
      </c>
      <c r="Q1851" s="166">
        <f t="shared" si="78"/>
        <v>0</v>
      </c>
      <c r="R1851" s="169"/>
      <c r="S1851" s="169"/>
      <c r="T1851" s="169"/>
      <c r="U1851" s="169"/>
      <c r="V1851" s="166">
        <f t="shared" si="77"/>
        <v>0</v>
      </c>
      <c r="W1851" s="205"/>
      <c r="X1851" s="167"/>
    </row>
    <row r="1852" spans="8:24" s="221" customFormat="1" ht="12.75" hidden="1" customHeight="1">
      <c r="H1852" s="168" t="s">
        <v>4884</v>
      </c>
      <c r="I1852" s="206" t="s">
        <v>4920</v>
      </c>
      <c r="J1852" s="206" t="s">
        <v>4921</v>
      </c>
      <c r="K1852" s="207" t="s">
        <v>4922</v>
      </c>
      <c r="L1852" s="207" t="s">
        <v>5238</v>
      </c>
      <c r="M1852" s="169"/>
      <c r="N1852" s="169"/>
      <c r="O1852" s="169"/>
      <c r="P1852" s="169">
        <v>134319.21</v>
      </c>
      <c r="Q1852" s="166">
        <f t="shared" si="78"/>
        <v>0</v>
      </c>
      <c r="R1852" s="169"/>
      <c r="S1852" s="169"/>
      <c r="T1852" s="169"/>
      <c r="U1852" s="169"/>
      <c r="V1852" s="166">
        <f t="shared" si="77"/>
        <v>0</v>
      </c>
      <c r="W1852" s="205"/>
      <c r="X1852" s="167"/>
    </row>
    <row r="1853" spans="8:24" s="221" customFormat="1" ht="12.75" hidden="1" customHeight="1">
      <c r="H1853" s="168" t="s">
        <v>4885</v>
      </c>
      <c r="I1853" s="206" t="s">
        <v>4923</v>
      </c>
      <c r="J1853" s="206" t="s">
        <v>4924</v>
      </c>
      <c r="K1853" s="207" t="s">
        <v>4925</v>
      </c>
      <c r="L1853" s="207" t="s">
        <v>5238</v>
      </c>
      <c r="M1853" s="169"/>
      <c r="N1853" s="169"/>
      <c r="O1853" s="169"/>
      <c r="P1853" s="169">
        <v>36871.94</v>
      </c>
      <c r="Q1853" s="166">
        <f t="shared" si="78"/>
        <v>0</v>
      </c>
      <c r="R1853" s="169"/>
      <c r="S1853" s="169"/>
      <c r="T1853" s="169"/>
      <c r="U1853" s="169"/>
      <c r="V1853" s="166">
        <f t="shared" si="77"/>
        <v>0</v>
      </c>
      <c r="W1853" s="205"/>
      <c r="X1853" s="167"/>
    </row>
    <row r="1854" spans="8:24" s="221" customFormat="1" ht="12.75" hidden="1" customHeight="1">
      <c r="H1854" s="168" t="s">
        <v>4886</v>
      </c>
      <c r="I1854" s="206" t="s">
        <v>4926</v>
      </c>
      <c r="J1854" s="206" t="s">
        <v>4927</v>
      </c>
      <c r="K1854" s="207" t="s">
        <v>4928</v>
      </c>
      <c r="L1854" s="207" t="s">
        <v>5238</v>
      </c>
      <c r="M1854" s="169"/>
      <c r="N1854" s="169"/>
      <c r="O1854" s="169"/>
      <c r="P1854" s="169">
        <v>129051.79</v>
      </c>
      <c r="Q1854" s="166">
        <f t="shared" si="78"/>
        <v>0</v>
      </c>
      <c r="R1854" s="169"/>
      <c r="S1854" s="169"/>
      <c r="T1854" s="169"/>
      <c r="U1854" s="169"/>
      <c r="V1854" s="166">
        <f t="shared" si="77"/>
        <v>0</v>
      </c>
      <c r="W1854" s="205"/>
      <c r="X1854" s="167"/>
    </row>
    <row r="1855" spans="8:24" s="221" customFormat="1" ht="12.75" hidden="1" customHeight="1">
      <c r="H1855" s="168" t="s">
        <v>4887</v>
      </c>
      <c r="I1855" s="206" t="s">
        <v>4929</v>
      </c>
      <c r="J1855" s="206" t="s">
        <v>4930</v>
      </c>
      <c r="K1855" s="207" t="s">
        <v>4931</v>
      </c>
      <c r="L1855" s="207" t="s">
        <v>5238</v>
      </c>
      <c r="M1855" s="169"/>
      <c r="N1855" s="169"/>
      <c r="O1855" s="169"/>
      <c r="P1855" s="169">
        <v>44773.07</v>
      </c>
      <c r="Q1855" s="166">
        <f t="shared" si="78"/>
        <v>0</v>
      </c>
      <c r="R1855" s="169"/>
      <c r="S1855" s="169"/>
      <c r="T1855" s="169"/>
      <c r="U1855" s="169"/>
      <c r="V1855" s="166">
        <f t="shared" si="77"/>
        <v>0</v>
      </c>
      <c r="W1855" s="205"/>
      <c r="X1855" s="167"/>
    </row>
    <row r="1856" spans="8:24" s="221" customFormat="1" ht="12.75" hidden="1" customHeight="1">
      <c r="H1856" s="168" t="s">
        <v>4888</v>
      </c>
      <c r="I1856" s="206" t="s">
        <v>4932</v>
      </c>
      <c r="J1856" s="206" t="s">
        <v>4933</v>
      </c>
      <c r="K1856" s="207" t="s">
        <v>4934</v>
      </c>
      <c r="L1856" s="206" t="s">
        <v>4935</v>
      </c>
      <c r="M1856" s="169"/>
      <c r="N1856" s="169"/>
      <c r="O1856" s="169"/>
      <c r="P1856" s="169">
        <v>102714.69</v>
      </c>
      <c r="Q1856" s="166">
        <f t="shared" si="78"/>
        <v>0</v>
      </c>
      <c r="R1856" s="169"/>
      <c r="S1856" s="169"/>
      <c r="T1856" s="169"/>
      <c r="U1856" s="169"/>
      <c r="V1856" s="166">
        <f t="shared" si="77"/>
        <v>0</v>
      </c>
      <c r="W1856" s="205"/>
      <c r="X1856" s="167"/>
    </row>
    <row r="1857" spans="8:24" s="221" customFormat="1" ht="12.75" hidden="1" customHeight="1">
      <c r="H1857" s="168" t="s">
        <v>4889</v>
      </c>
      <c r="I1857" s="206" t="s">
        <v>4936</v>
      </c>
      <c r="J1857" s="206" t="s">
        <v>4937</v>
      </c>
      <c r="K1857" s="207" t="s">
        <v>4938</v>
      </c>
      <c r="L1857" s="206" t="s">
        <v>4935</v>
      </c>
      <c r="M1857" s="169"/>
      <c r="N1857" s="169"/>
      <c r="O1857" s="169"/>
      <c r="P1857" s="169">
        <v>313411.49</v>
      </c>
      <c r="Q1857" s="166">
        <f t="shared" si="78"/>
        <v>0</v>
      </c>
      <c r="R1857" s="169"/>
      <c r="S1857" s="169"/>
      <c r="T1857" s="169"/>
      <c r="U1857" s="169"/>
      <c r="V1857" s="166">
        <f t="shared" si="77"/>
        <v>0</v>
      </c>
      <c r="W1857" s="205"/>
      <c r="X1857" s="167"/>
    </row>
    <row r="1858" spans="8:24" s="221" customFormat="1" ht="12.75" hidden="1" customHeight="1">
      <c r="H1858" s="168" t="s">
        <v>4890</v>
      </c>
      <c r="I1858" s="206" t="s">
        <v>4939</v>
      </c>
      <c r="J1858" s="206" t="s">
        <v>4940</v>
      </c>
      <c r="K1858" s="207" t="s">
        <v>5301</v>
      </c>
      <c r="L1858" s="207" t="s">
        <v>5238</v>
      </c>
      <c r="M1858" s="169"/>
      <c r="N1858" s="169"/>
      <c r="O1858" s="169"/>
      <c r="P1858" s="169">
        <v>221231.64</v>
      </c>
      <c r="Q1858" s="166">
        <f t="shared" si="78"/>
        <v>0</v>
      </c>
      <c r="R1858" s="169"/>
      <c r="S1858" s="169"/>
      <c r="T1858" s="169"/>
      <c r="U1858" s="169"/>
      <c r="V1858" s="166">
        <f t="shared" si="77"/>
        <v>0</v>
      </c>
      <c r="W1858" s="205"/>
      <c r="X1858" s="167"/>
    </row>
    <row r="1859" spans="8:24" s="221" customFormat="1" ht="12.75" hidden="1" customHeight="1">
      <c r="H1859" s="168" t="s">
        <v>4941</v>
      </c>
      <c r="I1859" s="206" t="s">
        <v>4943</v>
      </c>
      <c r="J1859" s="206" t="s">
        <v>4944</v>
      </c>
      <c r="K1859" s="206" t="s">
        <v>4945</v>
      </c>
      <c r="L1859" s="206" t="s">
        <v>744</v>
      </c>
      <c r="M1859" s="169"/>
      <c r="N1859" s="169"/>
      <c r="O1859" s="169"/>
      <c r="P1859" s="169">
        <v>582750.74</v>
      </c>
      <c r="Q1859" s="166">
        <f t="shared" si="78"/>
        <v>0</v>
      </c>
      <c r="R1859" s="169"/>
      <c r="S1859" s="169"/>
      <c r="T1859" s="169"/>
      <c r="U1859" s="169"/>
      <c r="V1859" s="166">
        <f t="shared" si="77"/>
        <v>0</v>
      </c>
      <c r="W1859" s="205"/>
      <c r="X1859" s="167"/>
    </row>
    <row r="1860" spans="8:24" s="221" customFormat="1" ht="12.75" hidden="1" customHeight="1">
      <c r="H1860" s="168" t="s">
        <v>4942</v>
      </c>
      <c r="I1860" s="206" t="s">
        <v>4946</v>
      </c>
      <c r="J1860" s="206" t="s">
        <v>4947</v>
      </c>
      <c r="K1860" s="206" t="s">
        <v>4948</v>
      </c>
      <c r="L1860" s="206" t="s">
        <v>744</v>
      </c>
      <c r="M1860" s="169"/>
      <c r="N1860" s="169"/>
      <c r="O1860" s="169"/>
      <c r="P1860" s="169">
        <v>377519.68</v>
      </c>
      <c r="Q1860" s="166">
        <f t="shared" si="78"/>
        <v>0</v>
      </c>
      <c r="R1860" s="169"/>
      <c r="S1860" s="169"/>
      <c r="T1860" s="169"/>
      <c r="U1860" s="169"/>
      <c r="V1860" s="166">
        <f t="shared" si="77"/>
        <v>0</v>
      </c>
      <c r="W1860" s="205"/>
      <c r="X1860" s="167"/>
    </row>
    <row r="1861" spans="8:24" s="221" customFormat="1" ht="12.75" hidden="1" customHeight="1">
      <c r="H1861" s="168" t="s">
        <v>4949</v>
      </c>
      <c r="I1861" s="206" t="s">
        <v>4950</v>
      </c>
      <c r="J1861" s="206" t="s">
        <v>4951</v>
      </c>
      <c r="K1861" s="207" t="s">
        <v>3898</v>
      </c>
      <c r="L1861" s="206" t="s">
        <v>3908</v>
      </c>
      <c r="M1861" s="169"/>
      <c r="N1861" s="169"/>
      <c r="O1861" s="169"/>
      <c r="P1861" s="169">
        <v>27820.400000000001</v>
      </c>
      <c r="Q1861" s="166">
        <f t="shared" si="78"/>
        <v>0</v>
      </c>
      <c r="R1861" s="169"/>
      <c r="S1861" s="169"/>
      <c r="T1861" s="169"/>
      <c r="U1861" s="169"/>
      <c r="V1861" s="166">
        <f t="shared" si="77"/>
        <v>0</v>
      </c>
      <c r="W1861" s="205"/>
      <c r="X1861" s="167"/>
    </row>
    <row r="1862" spans="8:24" s="221" customFormat="1" ht="12.75" hidden="1" customHeight="1">
      <c r="H1862" s="168" t="s">
        <v>4952</v>
      </c>
      <c r="I1862" s="206" t="s">
        <v>4955</v>
      </c>
      <c r="J1862" s="206" t="s">
        <v>4956</v>
      </c>
      <c r="K1862" s="207" t="s">
        <v>3898</v>
      </c>
      <c r="L1862" s="206" t="s">
        <v>3908</v>
      </c>
      <c r="M1862" s="169"/>
      <c r="N1862" s="169"/>
      <c r="O1862" s="169"/>
      <c r="P1862" s="169">
        <v>89025.279999999999</v>
      </c>
      <c r="Q1862" s="166">
        <f t="shared" si="78"/>
        <v>0</v>
      </c>
      <c r="R1862" s="169"/>
      <c r="S1862" s="169"/>
      <c r="T1862" s="169"/>
      <c r="U1862" s="169"/>
      <c r="V1862" s="166">
        <f t="shared" ref="V1862:V1925" si="79">SUM(O1862+Q1862)+S1862+U1862</f>
        <v>0</v>
      </c>
      <c r="W1862" s="205"/>
      <c r="X1862" s="167"/>
    </row>
    <row r="1863" spans="8:24" s="221" customFormat="1" ht="12.75" hidden="1" customHeight="1">
      <c r="H1863" s="168" t="s">
        <v>4953</v>
      </c>
      <c r="I1863" s="206" t="s">
        <v>4957</v>
      </c>
      <c r="J1863" s="206" t="s">
        <v>4958</v>
      </c>
      <c r="K1863" s="207" t="s">
        <v>3898</v>
      </c>
      <c r="L1863" s="206" t="s">
        <v>750</v>
      </c>
      <c r="M1863" s="169"/>
      <c r="N1863" s="169"/>
      <c r="O1863" s="169"/>
      <c r="P1863" s="169">
        <v>161358.32</v>
      </c>
      <c r="Q1863" s="166">
        <f t="shared" si="78"/>
        <v>0</v>
      </c>
      <c r="R1863" s="169"/>
      <c r="S1863" s="169"/>
      <c r="T1863" s="169"/>
      <c r="U1863" s="169"/>
      <c r="V1863" s="166">
        <f t="shared" si="79"/>
        <v>0</v>
      </c>
      <c r="W1863" s="205"/>
      <c r="X1863" s="167"/>
    </row>
    <row r="1864" spans="8:24" s="221" customFormat="1" ht="12.75" hidden="1" customHeight="1">
      <c r="H1864" s="168" t="s">
        <v>4954</v>
      </c>
      <c r="I1864" s="206" t="s">
        <v>4959</v>
      </c>
      <c r="J1864" s="206" t="s">
        <v>4960</v>
      </c>
      <c r="K1864" s="207" t="s">
        <v>3898</v>
      </c>
      <c r="L1864" s="206" t="s">
        <v>4961</v>
      </c>
      <c r="M1864" s="169"/>
      <c r="N1864" s="169"/>
      <c r="O1864" s="169"/>
      <c r="P1864" s="169">
        <v>166022.07</v>
      </c>
      <c r="Q1864" s="166">
        <f t="shared" si="78"/>
        <v>0</v>
      </c>
      <c r="R1864" s="169"/>
      <c r="S1864" s="169"/>
      <c r="T1864" s="169"/>
      <c r="U1864" s="169"/>
      <c r="V1864" s="166">
        <f t="shared" si="79"/>
        <v>0</v>
      </c>
      <c r="W1864" s="205"/>
      <c r="X1864" s="167"/>
    </row>
    <row r="1865" spans="8:24" s="221" customFormat="1" ht="12.75" hidden="1" customHeight="1">
      <c r="H1865" s="168" t="s">
        <v>4962</v>
      </c>
      <c r="I1865" s="206" t="s">
        <v>4966</v>
      </c>
      <c r="J1865" s="206" t="s">
        <v>4967</v>
      </c>
      <c r="K1865" s="206" t="s">
        <v>4968</v>
      </c>
      <c r="L1865" s="207" t="s">
        <v>4969</v>
      </c>
      <c r="M1865" s="169"/>
      <c r="N1865" s="169"/>
      <c r="O1865" s="169"/>
      <c r="P1865" s="169">
        <v>633217.84</v>
      </c>
      <c r="Q1865" s="166">
        <f t="shared" si="78"/>
        <v>0</v>
      </c>
      <c r="R1865" s="169"/>
      <c r="S1865" s="169"/>
      <c r="T1865" s="169"/>
      <c r="U1865" s="169"/>
      <c r="V1865" s="166">
        <f t="shared" si="79"/>
        <v>0</v>
      </c>
      <c r="W1865" s="205"/>
      <c r="X1865" s="167"/>
    </row>
    <row r="1866" spans="8:24" s="221" customFormat="1" ht="12.75" hidden="1" customHeight="1">
      <c r="H1866" s="168" t="s">
        <v>4963</v>
      </c>
      <c r="I1866" s="206" t="s">
        <v>4970</v>
      </c>
      <c r="J1866" s="206" t="s">
        <v>4971</v>
      </c>
      <c r="K1866" s="206" t="s">
        <v>4972</v>
      </c>
      <c r="L1866" s="207" t="s">
        <v>4969</v>
      </c>
      <c r="M1866" s="169"/>
      <c r="N1866" s="169"/>
      <c r="O1866" s="169"/>
      <c r="P1866" s="169">
        <v>306900.47999999998</v>
      </c>
      <c r="Q1866" s="166">
        <f t="shared" si="78"/>
        <v>0</v>
      </c>
      <c r="R1866" s="169"/>
      <c r="S1866" s="169"/>
      <c r="T1866" s="169"/>
      <c r="U1866" s="169"/>
      <c r="V1866" s="166">
        <f t="shared" si="79"/>
        <v>0</v>
      </c>
      <c r="W1866" s="205"/>
      <c r="X1866" s="167"/>
    </row>
    <row r="1867" spans="8:24" s="221" customFormat="1" ht="12.75" hidden="1" customHeight="1">
      <c r="H1867" s="168" t="s">
        <v>4964</v>
      </c>
      <c r="I1867" s="206" t="s">
        <v>4973</v>
      </c>
      <c r="J1867" s="206" t="s">
        <v>4974</v>
      </c>
      <c r="K1867" s="206" t="s">
        <v>4975</v>
      </c>
      <c r="L1867" s="207" t="s">
        <v>4969</v>
      </c>
      <c r="M1867" s="169"/>
      <c r="N1867" s="169"/>
      <c r="O1867" s="169"/>
      <c r="P1867" s="169">
        <v>283432.31</v>
      </c>
      <c r="Q1867" s="166">
        <f t="shared" si="78"/>
        <v>0</v>
      </c>
      <c r="R1867" s="169"/>
      <c r="S1867" s="169"/>
      <c r="T1867" s="169"/>
      <c r="U1867" s="169"/>
      <c r="V1867" s="166">
        <f t="shared" si="79"/>
        <v>0</v>
      </c>
      <c r="W1867" s="205"/>
      <c r="X1867" s="167"/>
    </row>
    <row r="1868" spans="8:24" s="221" customFormat="1" ht="12.75" hidden="1" customHeight="1">
      <c r="H1868" s="168" t="s">
        <v>4965</v>
      </c>
      <c r="I1868" s="206" t="s">
        <v>4976</v>
      </c>
      <c r="J1868" s="206" t="s">
        <v>4977</v>
      </c>
      <c r="K1868" s="206" t="s">
        <v>4978</v>
      </c>
      <c r="L1868" s="207" t="s">
        <v>4969</v>
      </c>
      <c r="M1868" s="169"/>
      <c r="N1868" s="169"/>
      <c r="O1868" s="169"/>
      <c r="P1868" s="169">
        <v>745122.73</v>
      </c>
      <c r="Q1868" s="166">
        <f t="shared" si="78"/>
        <v>0</v>
      </c>
      <c r="R1868" s="169"/>
      <c r="S1868" s="169"/>
      <c r="T1868" s="169"/>
      <c r="U1868" s="169"/>
      <c r="V1868" s="166">
        <f t="shared" si="79"/>
        <v>0</v>
      </c>
      <c r="W1868" s="205"/>
      <c r="X1868" s="167"/>
    </row>
    <row r="1869" spans="8:24" s="221" customFormat="1" ht="12.75" hidden="1" customHeight="1">
      <c r="H1869" s="168" t="s">
        <v>4979</v>
      </c>
      <c r="I1869" s="206" t="s">
        <v>4995</v>
      </c>
      <c r="J1869" s="206" t="s">
        <v>4996</v>
      </c>
      <c r="K1869" s="207" t="s">
        <v>5302</v>
      </c>
      <c r="L1869" s="206" t="s">
        <v>4997</v>
      </c>
      <c r="M1869" s="169"/>
      <c r="N1869" s="169"/>
      <c r="O1869" s="169"/>
      <c r="P1869" s="169">
        <v>70331.360000000001</v>
      </c>
      <c r="Q1869" s="166">
        <f t="shared" si="78"/>
        <v>0</v>
      </c>
      <c r="R1869" s="169"/>
      <c r="S1869" s="169"/>
      <c r="T1869" s="169"/>
      <c r="U1869" s="169"/>
      <c r="V1869" s="166">
        <f t="shared" si="79"/>
        <v>0</v>
      </c>
      <c r="W1869" s="205"/>
      <c r="X1869" s="167"/>
    </row>
    <row r="1870" spans="8:24" s="221" customFormat="1" ht="12.75" hidden="1" customHeight="1">
      <c r="H1870" s="168" t="s">
        <v>4980</v>
      </c>
      <c r="I1870" s="206" t="s">
        <v>4998</v>
      </c>
      <c r="J1870" s="206" t="s">
        <v>4999</v>
      </c>
      <c r="K1870" s="207" t="s">
        <v>5303</v>
      </c>
      <c r="L1870" s="206" t="s">
        <v>4997</v>
      </c>
      <c r="M1870" s="169"/>
      <c r="N1870" s="169"/>
      <c r="O1870" s="169"/>
      <c r="P1870" s="169">
        <v>51150.080000000002</v>
      </c>
      <c r="Q1870" s="166">
        <f t="shared" si="78"/>
        <v>0</v>
      </c>
      <c r="R1870" s="169"/>
      <c r="S1870" s="169"/>
      <c r="T1870" s="169"/>
      <c r="U1870" s="169"/>
      <c r="V1870" s="166">
        <f t="shared" si="79"/>
        <v>0</v>
      </c>
      <c r="W1870" s="205"/>
      <c r="X1870" s="167"/>
    </row>
    <row r="1871" spans="8:24" s="221" customFormat="1" ht="12.75" hidden="1" customHeight="1">
      <c r="H1871" s="168" t="s">
        <v>4981</v>
      </c>
      <c r="I1871" s="206" t="s">
        <v>5000</v>
      </c>
      <c r="J1871" s="206" t="s">
        <v>5001</v>
      </c>
      <c r="K1871" s="207" t="s">
        <v>5304</v>
      </c>
      <c r="L1871" s="206" t="s">
        <v>4997</v>
      </c>
      <c r="M1871" s="169"/>
      <c r="N1871" s="169"/>
      <c r="O1871" s="169"/>
      <c r="P1871" s="169">
        <v>38362.559999999998</v>
      </c>
      <c r="Q1871" s="166">
        <f t="shared" si="78"/>
        <v>0</v>
      </c>
      <c r="R1871" s="169"/>
      <c r="S1871" s="169"/>
      <c r="T1871" s="169"/>
      <c r="U1871" s="169"/>
      <c r="V1871" s="166">
        <f t="shared" si="79"/>
        <v>0</v>
      </c>
      <c r="W1871" s="205"/>
      <c r="X1871" s="167"/>
    </row>
    <row r="1872" spans="8:24" s="221" customFormat="1" ht="12.75" hidden="1" customHeight="1">
      <c r="H1872" s="168" t="s">
        <v>4982</v>
      </c>
      <c r="I1872" s="206" t="s">
        <v>5002</v>
      </c>
      <c r="J1872" s="206" t="s">
        <v>5003</v>
      </c>
      <c r="K1872" s="207" t="s">
        <v>5305</v>
      </c>
      <c r="L1872" s="206" t="s">
        <v>4997</v>
      </c>
      <c r="M1872" s="169"/>
      <c r="N1872" s="169"/>
      <c r="O1872" s="169"/>
      <c r="P1872" s="169">
        <v>17096.009999999998</v>
      </c>
      <c r="Q1872" s="166">
        <f t="shared" si="78"/>
        <v>0</v>
      </c>
      <c r="R1872" s="169"/>
      <c r="S1872" s="169"/>
      <c r="T1872" s="169"/>
      <c r="U1872" s="169"/>
      <c r="V1872" s="166">
        <f t="shared" si="79"/>
        <v>0</v>
      </c>
      <c r="W1872" s="205"/>
      <c r="X1872" s="167"/>
    </row>
    <row r="1873" spans="8:24" s="221" customFormat="1" ht="12.75" hidden="1" customHeight="1">
      <c r="H1873" s="168" t="s">
        <v>4983</v>
      </c>
      <c r="I1873" s="206" t="s">
        <v>5004</v>
      </c>
      <c r="J1873" s="206" t="s">
        <v>5005</v>
      </c>
      <c r="K1873" s="207" t="s">
        <v>5302</v>
      </c>
      <c r="L1873" s="206" t="s">
        <v>4997</v>
      </c>
      <c r="M1873" s="169"/>
      <c r="N1873" s="169"/>
      <c r="O1873" s="169"/>
      <c r="P1873" s="169">
        <v>223781.6</v>
      </c>
      <c r="Q1873" s="166">
        <f t="shared" si="78"/>
        <v>0</v>
      </c>
      <c r="R1873" s="169"/>
      <c r="S1873" s="169"/>
      <c r="T1873" s="169"/>
      <c r="U1873" s="169"/>
      <c r="V1873" s="166">
        <f t="shared" si="79"/>
        <v>0</v>
      </c>
      <c r="W1873" s="205"/>
      <c r="X1873" s="167"/>
    </row>
    <row r="1874" spans="8:24" s="221" customFormat="1" ht="12.75" hidden="1" customHeight="1">
      <c r="H1874" s="168" t="s">
        <v>4984</v>
      </c>
      <c r="I1874" s="206" t="s">
        <v>5006</v>
      </c>
      <c r="J1874" s="206" t="s">
        <v>5007</v>
      </c>
      <c r="K1874" s="207" t="s">
        <v>5303</v>
      </c>
      <c r="L1874" s="206" t="s">
        <v>4997</v>
      </c>
      <c r="M1874" s="169"/>
      <c r="N1874" s="169"/>
      <c r="O1874" s="169"/>
      <c r="P1874" s="169">
        <v>159844</v>
      </c>
      <c r="Q1874" s="166">
        <f t="shared" si="78"/>
        <v>0</v>
      </c>
      <c r="R1874" s="169"/>
      <c r="S1874" s="169"/>
      <c r="T1874" s="169"/>
      <c r="U1874" s="169"/>
      <c r="V1874" s="166">
        <f t="shared" si="79"/>
        <v>0</v>
      </c>
      <c r="W1874" s="205"/>
      <c r="X1874" s="167"/>
    </row>
    <row r="1875" spans="8:24" s="221" customFormat="1" ht="12.75" hidden="1" customHeight="1">
      <c r="H1875" s="168" t="s">
        <v>4985</v>
      </c>
      <c r="I1875" s="206" t="s">
        <v>5008</v>
      </c>
      <c r="J1875" s="206" t="s">
        <v>5009</v>
      </c>
      <c r="K1875" s="206" t="s">
        <v>5010</v>
      </c>
      <c r="L1875" s="206" t="s">
        <v>4997</v>
      </c>
      <c r="M1875" s="169"/>
      <c r="N1875" s="169"/>
      <c r="O1875" s="169"/>
      <c r="P1875" s="169">
        <v>149279.70000000001</v>
      </c>
      <c r="Q1875" s="166">
        <f t="shared" si="78"/>
        <v>0</v>
      </c>
      <c r="R1875" s="169"/>
      <c r="S1875" s="169"/>
      <c r="T1875" s="169"/>
      <c r="U1875" s="169"/>
      <c r="V1875" s="166">
        <f t="shared" si="79"/>
        <v>0</v>
      </c>
      <c r="W1875" s="205"/>
      <c r="X1875" s="167"/>
    </row>
    <row r="1876" spans="8:24" s="221" customFormat="1" ht="12.75" hidden="1" customHeight="1">
      <c r="H1876" s="168" t="s">
        <v>4986</v>
      </c>
      <c r="I1876" s="206" t="s">
        <v>5011</v>
      </c>
      <c r="J1876" s="206" t="s">
        <v>5012</v>
      </c>
      <c r="K1876" s="206" t="s">
        <v>5013</v>
      </c>
      <c r="L1876" s="206" t="s">
        <v>4997</v>
      </c>
      <c r="M1876" s="169"/>
      <c r="N1876" s="169"/>
      <c r="O1876" s="169"/>
      <c r="P1876" s="169">
        <v>123704.66</v>
      </c>
      <c r="Q1876" s="166">
        <f t="shared" si="78"/>
        <v>0</v>
      </c>
      <c r="R1876" s="169"/>
      <c r="S1876" s="169"/>
      <c r="T1876" s="169"/>
      <c r="U1876" s="169"/>
      <c r="V1876" s="166">
        <f t="shared" si="79"/>
        <v>0</v>
      </c>
      <c r="W1876" s="205"/>
      <c r="X1876" s="167"/>
    </row>
    <row r="1877" spans="8:24" s="221" customFormat="1" ht="12.75" hidden="1" customHeight="1">
      <c r="H1877" s="168" t="s">
        <v>4987</v>
      </c>
      <c r="I1877" s="206" t="s">
        <v>5014</v>
      </c>
      <c r="J1877" s="206" t="s">
        <v>5015</v>
      </c>
      <c r="K1877" s="206" t="s">
        <v>3898</v>
      </c>
      <c r="L1877" s="206" t="s">
        <v>744</v>
      </c>
      <c r="M1877" s="169"/>
      <c r="N1877" s="169"/>
      <c r="O1877" s="169"/>
      <c r="P1877" s="169">
        <v>326081.76</v>
      </c>
      <c r="Q1877" s="166">
        <f t="shared" si="78"/>
        <v>0</v>
      </c>
      <c r="R1877" s="169"/>
      <c r="S1877" s="169"/>
      <c r="T1877" s="169"/>
      <c r="U1877" s="169"/>
      <c r="V1877" s="166">
        <f t="shared" si="79"/>
        <v>0</v>
      </c>
      <c r="W1877" s="205"/>
      <c r="X1877" s="167"/>
    </row>
    <row r="1878" spans="8:24" s="221" customFormat="1" ht="12.75" hidden="1" customHeight="1">
      <c r="H1878" s="168" t="s">
        <v>4988</v>
      </c>
      <c r="I1878" s="206" t="s">
        <v>5016</v>
      </c>
      <c r="J1878" s="206" t="s">
        <v>5017</v>
      </c>
      <c r="K1878" s="206" t="s">
        <v>5018</v>
      </c>
      <c r="L1878" s="206" t="s">
        <v>4997</v>
      </c>
      <c r="M1878" s="169"/>
      <c r="N1878" s="169"/>
      <c r="O1878" s="169"/>
      <c r="P1878" s="169">
        <v>91735.86</v>
      </c>
      <c r="Q1878" s="166">
        <f t="shared" si="78"/>
        <v>0</v>
      </c>
      <c r="R1878" s="169"/>
      <c r="S1878" s="169"/>
      <c r="T1878" s="169"/>
      <c r="U1878" s="169"/>
      <c r="V1878" s="166">
        <f t="shared" si="79"/>
        <v>0</v>
      </c>
      <c r="W1878" s="205"/>
      <c r="X1878" s="167"/>
    </row>
    <row r="1879" spans="8:24" s="221" customFormat="1" ht="12.75" hidden="1" customHeight="1">
      <c r="H1879" s="168" t="s">
        <v>4989</v>
      </c>
      <c r="I1879" s="206" t="s">
        <v>5019</v>
      </c>
      <c r="J1879" s="206" t="s">
        <v>5020</v>
      </c>
      <c r="K1879" s="206" t="s">
        <v>5021</v>
      </c>
      <c r="L1879" s="206" t="s">
        <v>4997</v>
      </c>
      <c r="M1879" s="169"/>
      <c r="N1879" s="169"/>
      <c r="O1879" s="169"/>
      <c r="P1879" s="169">
        <v>70331.360000000001</v>
      </c>
      <c r="Q1879" s="166">
        <f t="shared" si="78"/>
        <v>0</v>
      </c>
      <c r="R1879" s="169"/>
      <c r="S1879" s="169"/>
      <c r="T1879" s="169"/>
      <c r="U1879" s="169"/>
      <c r="V1879" s="166">
        <f t="shared" si="79"/>
        <v>0</v>
      </c>
      <c r="W1879" s="205"/>
      <c r="X1879" s="167"/>
    </row>
    <row r="1880" spans="8:24" s="221" customFormat="1" ht="12.75" hidden="1" customHeight="1">
      <c r="H1880" s="168" t="s">
        <v>4990</v>
      </c>
      <c r="I1880" s="206" t="s">
        <v>5022</v>
      </c>
      <c r="J1880" s="206" t="s">
        <v>5023</v>
      </c>
      <c r="K1880" s="206" t="s">
        <v>5024</v>
      </c>
      <c r="L1880" s="206" t="s">
        <v>4997</v>
      </c>
      <c r="M1880" s="169"/>
      <c r="N1880" s="169"/>
      <c r="O1880" s="169"/>
      <c r="P1880" s="169">
        <v>140662.72</v>
      </c>
      <c r="Q1880" s="166">
        <f t="shared" si="78"/>
        <v>0</v>
      </c>
      <c r="R1880" s="169"/>
      <c r="S1880" s="169"/>
      <c r="T1880" s="169"/>
      <c r="U1880" s="169"/>
      <c r="V1880" s="166">
        <f t="shared" si="79"/>
        <v>0</v>
      </c>
      <c r="W1880" s="205"/>
      <c r="X1880" s="167"/>
    </row>
    <row r="1881" spans="8:24" s="221" customFormat="1" ht="12.75" hidden="1" customHeight="1">
      <c r="H1881" s="168" t="s">
        <v>4991</v>
      </c>
      <c r="I1881" s="206" t="s">
        <v>5025</v>
      </c>
      <c r="J1881" s="206" t="s">
        <v>5026</v>
      </c>
      <c r="K1881" s="206" t="s">
        <v>5027</v>
      </c>
      <c r="L1881" s="206" t="s">
        <v>4997</v>
      </c>
      <c r="M1881" s="169"/>
      <c r="N1881" s="169"/>
      <c r="O1881" s="169"/>
      <c r="P1881" s="169">
        <v>377231.84</v>
      </c>
      <c r="Q1881" s="166">
        <f t="shared" si="78"/>
        <v>0</v>
      </c>
      <c r="R1881" s="169"/>
      <c r="S1881" s="169"/>
      <c r="T1881" s="169"/>
      <c r="U1881" s="169"/>
      <c r="V1881" s="166">
        <f t="shared" si="79"/>
        <v>0</v>
      </c>
      <c r="W1881" s="205"/>
      <c r="X1881" s="167"/>
    </row>
    <row r="1882" spans="8:24" s="221" customFormat="1" ht="12.75" hidden="1" customHeight="1">
      <c r="H1882" s="168" t="s">
        <v>4992</v>
      </c>
      <c r="I1882" s="206" t="s">
        <v>5028</v>
      </c>
      <c r="J1882" s="206" t="s">
        <v>5029</v>
      </c>
      <c r="K1882" s="206" t="s">
        <v>5030</v>
      </c>
      <c r="L1882" s="206" t="s">
        <v>4997</v>
      </c>
      <c r="M1882" s="169"/>
      <c r="N1882" s="169"/>
      <c r="O1882" s="169"/>
      <c r="P1882" s="169">
        <v>149417.65</v>
      </c>
      <c r="Q1882" s="166">
        <f t="shared" si="78"/>
        <v>0</v>
      </c>
      <c r="R1882" s="169"/>
      <c r="S1882" s="169"/>
      <c r="T1882" s="169"/>
      <c r="U1882" s="169"/>
      <c r="V1882" s="166">
        <f t="shared" si="79"/>
        <v>0</v>
      </c>
      <c r="W1882" s="205"/>
      <c r="X1882" s="167"/>
    </row>
    <row r="1883" spans="8:24" s="221" customFormat="1" ht="12.75" hidden="1" customHeight="1">
      <c r="H1883" s="168" t="s">
        <v>4993</v>
      </c>
      <c r="I1883" s="206" t="s">
        <v>5031</v>
      </c>
      <c r="J1883" s="206" t="s">
        <v>5017</v>
      </c>
      <c r="K1883" s="206" t="s">
        <v>5032</v>
      </c>
      <c r="L1883" s="206" t="s">
        <v>4997</v>
      </c>
      <c r="M1883" s="169"/>
      <c r="N1883" s="169"/>
      <c r="O1883" s="169"/>
      <c r="P1883" s="169">
        <v>189518.77</v>
      </c>
      <c r="Q1883" s="166">
        <f t="shared" si="78"/>
        <v>0</v>
      </c>
      <c r="R1883" s="169"/>
      <c r="S1883" s="169"/>
      <c r="T1883" s="169"/>
      <c r="U1883" s="169"/>
      <c r="V1883" s="166">
        <f t="shared" si="79"/>
        <v>0</v>
      </c>
      <c r="W1883" s="205"/>
      <c r="X1883" s="167"/>
    </row>
    <row r="1884" spans="8:24" s="221" customFormat="1" ht="12.75" hidden="1" customHeight="1">
      <c r="H1884" s="168" t="s">
        <v>4994</v>
      </c>
      <c r="I1884" s="206" t="s">
        <v>5033</v>
      </c>
      <c r="J1884" s="206" t="s">
        <v>5034</v>
      </c>
      <c r="K1884" s="207" t="s">
        <v>5239</v>
      </c>
      <c r="L1884" s="206" t="s">
        <v>5035</v>
      </c>
      <c r="M1884" s="169"/>
      <c r="N1884" s="169"/>
      <c r="O1884" s="169"/>
      <c r="P1884" s="169">
        <v>168598.93</v>
      </c>
      <c r="Q1884" s="166">
        <f t="shared" si="78"/>
        <v>0</v>
      </c>
      <c r="R1884" s="169"/>
      <c r="S1884" s="169"/>
      <c r="T1884" s="169"/>
      <c r="U1884" s="169"/>
      <c r="V1884" s="166">
        <f t="shared" si="79"/>
        <v>0</v>
      </c>
      <c r="W1884" s="205"/>
      <c r="X1884" s="167"/>
    </row>
    <row r="1885" spans="8:24" s="221" customFormat="1" ht="12.75" hidden="1" customHeight="1">
      <c r="H1885" s="168" t="s">
        <v>5036</v>
      </c>
      <c r="I1885" s="206" t="s">
        <v>5038</v>
      </c>
      <c r="J1885" s="206" t="s">
        <v>5039</v>
      </c>
      <c r="K1885" s="207" t="s">
        <v>3898</v>
      </c>
      <c r="L1885" s="206" t="s">
        <v>92</v>
      </c>
      <c r="M1885" s="169"/>
      <c r="N1885" s="169"/>
      <c r="O1885" s="169"/>
      <c r="P1885" s="169">
        <v>109259.43</v>
      </c>
      <c r="Q1885" s="166">
        <f t="shared" si="78"/>
        <v>0</v>
      </c>
      <c r="R1885" s="169"/>
      <c r="S1885" s="169"/>
      <c r="T1885" s="169"/>
      <c r="U1885" s="169"/>
      <c r="V1885" s="166">
        <f t="shared" si="79"/>
        <v>0</v>
      </c>
      <c r="W1885" s="205"/>
      <c r="X1885" s="167"/>
    </row>
    <row r="1886" spans="8:24" s="221" customFormat="1" ht="12.75" hidden="1" customHeight="1">
      <c r="H1886" s="168" t="s">
        <v>5037</v>
      </c>
      <c r="I1886" s="206" t="s">
        <v>5040</v>
      </c>
      <c r="J1886" s="206" t="s">
        <v>5041</v>
      </c>
      <c r="K1886" s="207" t="s">
        <v>5306</v>
      </c>
      <c r="L1886" s="206" t="s">
        <v>92</v>
      </c>
      <c r="M1886" s="169"/>
      <c r="N1886" s="169"/>
      <c r="O1886" s="169"/>
      <c r="P1886" s="169">
        <v>25850.94</v>
      </c>
      <c r="Q1886" s="166">
        <f t="shared" si="78"/>
        <v>0</v>
      </c>
      <c r="R1886" s="169"/>
      <c r="S1886" s="169"/>
      <c r="T1886" s="169"/>
      <c r="U1886" s="169"/>
      <c r="V1886" s="166">
        <f t="shared" si="79"/>
        <v>0</v>
      </c>
      <c r="W1886" s="205"/>
      <c r="X1886" s="167"/>
    </row>
    <row r="1887" spans="8:24" s="221" customFormat="1" ht="12.75" hidden="1" customHeight="1">
      <c r="H1887" s="168" t="s">
        <v>5042</v>
      </c>
      <c r="I1887" s="206" t="s">
        <v>5044</v>
      </c>
      <c r="J1887" s="206" t="s">
        <v>5045</v>
      </c>
      <c r="K1887" s="207" t="s">
        <v>5302</v>
      </c>
      <c r="L1887" s="207" t="s">
        <v>4969</v>
      </c>
      <c r="M1887" s="169"/>
      <c r="N1887" s="169"/>
      <c r="O1887" s="169"/>
      <c r="P1887" s="169">
        <v>492303.5</v>
      </c>
      <c r="Q1887" s="166">
        <f t="shared" si="78"/>
        <v>0</v>
      </c>
      <c r="R1887" s="169"/>
      <c r="S1887" s="169"/>
      <c r="T1887" s="169"/>
      <c r="U1887" s="169"/>
      <c r="V1887" s="166">
        <f t="shared" si="79"/>
        <v>0</v>
      </c>
      <c r="W1887" s="205"/>
      <c r="X1887" s="167"/>
    </row>
    <row r="1888" spans="8:24" s="221" customFormat="1" ht="12.75" hidden="1" customHeight="1">
      <c r="H1888" s="168" t="s">
        <v>5043</v>
      </c>
      <c r="I1888" s="206" t="s">
        <v>5046</v>
      </c>
      <c r="J1888" s="206" t="s">
        <v>5047</v>
      </c>
      <c r="K1888" s="207" t="s">
        <v>5307</v>
      </c>
      <c r="L1888" s="207" t="s">
        <v>4969</v>
      </c>
      <c r="M1888" s="169"/>
      <c r="N1888" s="169"/>
      <c r="O1888" s="169"/>
      <c r="P1888" s="169">
        <v>708433.77</v>
      </c>
      <c r="Q1888" s="166">
        <f t="shared" si="78"/>
        <v>0</v>
      </c>
      <c r="R1888" s="169"/>
      <c r="S1888" s="169"/>
      <c r="T1888" s="169"/>
      <c r="U1888" s="169"/>
      <c r="V1888" s="166">
        <f t="shared" si="79"/>
        <v>0</v>
      </c>
      <c r="W1888" s="205"/>
      <c r="X1888" s="167"/>
    </row>
    <row r="1889" spans="8:24" s="221" customFormat="1" ht="12.75" hidden="1" customHeight="1">
      <c r="H1889" s="168" t="s">
        <v>5048</v>
      </c>
      <c r="I1889" s="206" t="s">
        <v>5050</v>
      </c>
      <c r="J1889" s="206" t="s">
        <v>5051</v>
      </c>
      <c r="K1889" s="206" t="s">
        <v>5052</v>
      </c>
      <c r="L1889" s="206" t="s">
        <v>744</v>
      </c>
      <c r="M1889" s="169"/>
      <c r="N1889" s="169"/>
      <c r="O1889" s="169"/>
      <c r="P1889" s="169">
        <v>200145.79</v>
      </c>
      <c r="Q1889" s="166">
        <f t="shared" si="78"/>
        <v>0</v>
      </c>
      <c r="R1889" s="169"/>
      <c r="S1889" s="169"/>
      <c r="T1889" s="169"/>
      <c r="U1889" s="169"/>
      <c r="V1889" s="166">
        <f t="shared" si="79"/>
        <v>0</v>
      </c>
      <c r="W1889" s="205"/>
      <c r="X1889" s="167"/>
    </row>
    <row r="1890" spans="8:24" s="221" customFormat="1" ht="12.75" hidden="1" customHeight="1">
      <c r="H1890" s="168" t="s">
        <v>5049</v>
      </c>
      <c r="I1890" s="206" t="s">
        <v>5053</v>
      </c>
      <c r="J1890" s="206" t="s">
        <v>5054</v>
      </c>
      <c r="K1890" s="206" t="s">
        <v>5055</v>
      </c>
      <c r="L1890" s="206" t="s">
        <v>744</v>
      </c>
      <c r="M1890" s="169"/>
      <c r="N1890" s="169"/>
      <c r="O1890" s="169"/>
      <c r="P1890" s="169">
        <v>190182.14</v>
      </c>
      <c r="Q1890" s="166">
        <f t="shared" si="78"/>
        <v>0</v>
      </c>
      <c r="R1890" s="169"/>
      <c r="S1890" s="169"/>
      <c r="T1890" s="169"/>
      <c r="U1890" s="169"/>
      <c r="V1890" s="166">
        <f t="shared" si="79"/>
        <v>0</v>
      </c>
      <c r="W1890" s="205"/>
      <c r="X1890" s="167"/>
    </row>
    <row r="1891" spans="8:24" s="221" customFormat="1" ht="12.75" hidden="1" customHeight="1">
      <c r="H1891" s="168" t="s">
        <v>5056</v>
      </c>
      <c r="I1891" s="206" t="s">
        <v>5075</v>
      </c>
      <c r="J1891" s="206" t="s">
        <v>5076</v>
      </c>
      <c r="K1891" s="207" t="s">
        <v>5240</v>
      </c>
      <c r="L1891" s="206" t="s">
        <v>5077</v>
      </c>
      <c r="M1891" s="169"/>
      <c r="N1891" s="169"/>
      <c r="O1891" s="169"/>
      <c r="P1891" s="169">
        <v>44182.32</v>
      </c>
      <c r="Q1891" s="166">
        <f t="shared" si="78"/>
        <v>0</v>
      </c>
      <c r="R1891" s="169"/>
      <c r="S1891" s="169"/>
      <c r="T1891" s="169"/>
      <c r="U1891" s="169"/>
      <c r="V1891" s="166">
        <f t="shared" si="79"/>
        <v>0</v>
      </c>
      <c r="W1891" s="205"/>
      <c r="X1891" s="167"/>
    </row>
    <row r="1892" spans="8:24" s="221" customFormat="1" ht="12.75" hidden="1" customHeight="1">
      <c r="H1892" s="168" t="s">
        <v>5057</v>
      </c>
      <c r="I1892" s="206" t="s">
        <v>5078</v>
      </c>
      <c r="J1892" s="206" t="s">
        <v>5079</v>
      </c>
      <c r="K1892" s="207" t="s">
        <v>5241</v>
      </c>
      <c r="L1892" s="206" t="s">
        <v>5077</v>
      </c>
      <c r="M1892" s="169"/>
      <c r="N1892" s="169"/>
      <c r="O1892" s="169"/>
      <c r="P1892" s="169">
        <v>51979.199999999997</v>
      </c>
      <c r="Q1892" s="166">
        <f t="shared" si="78"/>
        <v>0</v>
      </c>
      <c r="R1892" s="169"/>
      <c r="S1892" s="169"/>
      <c r="T1892" s="169"/>
      <c r="U1892" s="169"/>
      <c r="V1892" s="166">
        <f t="shared" si="79"/>
        <v>0</v>
      </c>
      <c r="W1892" s="205"/>
      <c r="X1892" s="167"/>
    </row>
    <row r="1893" spans="8:24" s="221" customFormat="1" ht="12.75" hidden="1" customHeight="1">
      <c r="H1893" s="168" t="s">
        <v>5058</v>
      </c>
      <c r="I1893" s="206" t="s">
        <v>5080</v>
      </c>
      <c r="J1893" s="206" t="s">
        <v>5081</v>
      </c>
      <c r="K1893" s="207" t="s">
        <v>5172</v>
      </c>
      <c r="L1893" s="206" t="s">
        <v>5077</v>
      </c>
      <c r="M1893" s="169"/>
      <c r="N1893" s="169"/>
      <c r="O1893" s="169"/>
      <c r="P1893" s="169">
        <v>64974</v>
      </c>
      <c r="Q1893" s="166">
        <f t="shared" si="78"/>
        <v>0</v>
      </c>
      <c r="R1893" s="169"/>
      <c r="S1893" s="169"/>
      <c r="T1893" s="169"/>
      <c r="U1893" s="169"/>
      <c r="V1893" s="166">
        <f t="shared" si="79"/>
        <v>0</v>
      </c>
      <c r="W1893" s="205"/>
      <c r="X1893" s="167"/>
    </row>
    <row r="1894" spans="8:24" s="221" customFormat="1" ht="12.75" hidden="1" customHeight="1">
      <c r="H1894" s="168" t="s">
        <v>5059</v>
      </c>
      <c r="I1894" s="206" t="s">
        <v>5082</v>
      </c>
      <c r="J1894" s="206" t="s">
        <v>5083</v>
      </c>
      <c r="K1894" s="207" t="s">
        <v>5242</v>
      </c>
      <c r="L1894" s="206" t="s">
        <v>5077</v>
      </c>
      <c r="M1894" s="169"/>
      <c r="N1894" s="169"/>
      <c r="O1894" s="169"/>
      <c r="P1894" s="169">
        <v>90963.6</v>
      </c>
      <c r="Q1894" s="166">
        <f t="shared" si="78"/>
        <v>0</v>
      </c>
      <c r="R1894" s="169"/>
      <c r="S1894" s="169"/>
      <c r="T1894" s="169"/>
      <c r="U1894" s="169"/>
      <c r="V1894" s="166">
        <f t="shared" si="79"/>
        <v>0</v>
      </c>
      <c r="W1894" s="205"/>
      <c r="X1894" s="167"/>
    </row>
    <row r="1895" spans="8:24" s="221" customFormat="1" ht="12.75" hidden="1" customHeight="1">
      <c r="H1895" s="168" t="s">
        <v>5060</v>
      </c>
      <c r="I1895" s="206" t="s">
        <v>5084</v>
      </c>
      <c r="J1895" s="206" t="s">
        <v>5085</v>
      </c>
      <c r="K1895" s="207" t="s">
        <v>5308</v>
      </c>
      <c r="L1895" s="206" t="s">
        <v>744</v>
      </c>
      <c r="M1895" s="169"/>
      <c r="N1895" s="169"/>
      <c r="O1895" s="169"/>
      <c r="P1895" s="169">
        <v>103958.39999999999</v>
      </c>
      <c r="Q1895" s="166">
        <f t="shared" si="78"/>
        <v>0</v>
      </c>
      <c r="R1895" s="169"/>
      <c r="S1895" s="169"/>
      <c r="T1895" s="169"/>
      <c r="U1895" s="169"/>
      <c r="V1895" s="166">
        <f t="shared" si="79"/>
        <v>0</v>
      </c>
      <c r="W1895" s="205"/>
      <c r="X1895" s="167"/>
    </row>
    <row r="1896" spans="8:24" s="221" customFormat="1" ht="12.75" hidden="1" customHeight="1">
      <c r="H1896" s="168" t="s">
        <v>5061</v>
      </c>
      <c r="I1896" s="206" t="s">
        <v>5086</v>
      </c>
      <c r="J1896" s="206" t="s">
        <v>5087</v>
      </c>
      <c r="K1896" s="207" t="s">
        <v>5309</v>
      </c>
      <c r="L1896" s="206" t="s">
        <v>744</v>
      </c>
      <c r="M1896" s="169"/>
      <c r="N1896" s="169"/>
      <c r="O1896" s="169"/>
      <c r="P1896" s="169">
        <v>129948</v>
      </c>
      <c r="Q1896" s="166">
        <f t="shared" si="78"/>
        <v>0</v>
      </c>
      <c r="R1896" s="169"/>
      <c r="S1896" s="169"/>
      <c r="T1896" s="169"/>
      <c r="U1896" s="169"/>
      <c r="V1896" s="166">
        <f t="shared" si="79"/>
        <v>0</v>
      </c>
      <c r="W1896" s="205"/>
      <c r="X1896" s="167"/>
    </row>
    <row r="1897" spans="8:24" s="221" customFormat="1" ht="12.75" hidden="1" customHeight="1">
      <c r="H1897" s="168" t="s">
        <v>5062</v>
      </c>
      <c r="I1897" s="206" t="s">
        <v>5088</v>
      </c>
      <c r="J1897" s="206" t="s">
        <v>5089</v>
      </c>
      <c r="K1897" s="207" t="s">
        <v>5310</v>
      </c>
      <c r="L1897" s="206" t="s">
        <v>744</v>
      </c>
      <c r="M1897" s="169"/>
      <c r="N1897" s="169"/>
      <c r="O1897" s="169"/>
      <c r="P1897" s="169">
        <v>155937.60000000001</v>
      </c>
      <c r="Q1897" s="166">
        <f t="shared" si="78"/>
        <v>0</v>
      </c>
      <c r="R1897" s="169"/>
      <c r="S1897" s="169"/>
      <c r="T1897" s="169"/>
      <c r="U1897" s="169"/>
      <c r="V1897" s="166">
        <f t="shared" si="79"/>
        <v>0</v>
      </c>
      <c r="W1897" s="205"/>
      <c r="X1897" s="167"/>
    </row>
    <row r="1898" spans="8:24" s="221" customFormat="1" ht="12.75" hidden="1" customHeight="1">
      <c r="H1898" s="168" t="s">
        <v>5063</v>
      </c>
      <c r="I1898" s="206" t="s">
        <v>1159</v>
      </c>
      <c r="J1898" s="206" t="s">
        <v>5090</v>
      </c>
      <c r="K1898" s="207" t="s">
        <v>5243</v>
      </c>
      <c r="L1898" s="206" t="s">
        <v>744</v>
      </c>
      <c r="M1898" s="169"/>
      <c r="N1898" s="169"/>
      <c r="O1898" s="169"/>
      <c r="P1898" s="169">
        <v>114354.24000000001</v>
      </c>
      <c r="Q1898" s="166">
        <f t="shared" si="78"/>
        <v>0</v>
      </c>
      <c r="R1898" s="169"/>
      <c r="S1898" s="169"/>
      <c r="T1898" s="169"/>
      <c r="U1898" s="169"/>
      <c r="V1898" s="166">
        <f t="shared" si="79"/>
        <v>0</v>
      </c>
      <c r="W1898" s="205"/>
      <c r="X1898" s="167"/>
    </row>
    <row r="1899" spans="8:24" s="221" customFormat="1" ht="12.75" hidden="1" customHeight="1">
      <c r="H1899" s="168" t="s">
        <v>5064</v>
      </c>
      <c r="I1899" s="206" t="s">
        <v>1160</v>
      </c>
      <c r="J1899" s="206" t="s">
        <v>5091</v>
      </c>
      <c r="K1899" s="207" t="s">
        <v>5244</v>
      </c>
      <c r="L1899" s="206" t="s">
        <v>744</v>
      </c>
      <c r="M1899" s="169"/>
      <c r="N1899" s="169"/>
      <c r="O1899" s="169"/>
      <c r="P1899" s="169">
        <v>171531.36</v>
      </c>
      <c r="Q1899" s="166">
        <f t="shared" si="78"/>
        <v>0</v>
      </c>
      <c r="R1899" s="169"/>
      <c r="S1899" s="169"/>
      <c r="T1899" s="169"/>
      <c r="U1899" s="169"/>
      <c r="V1899" s="166">
        <f t="shared" si="79"/>
        <v>0</v>
      </c>
      <c r="W1899" s="205"/>
      <c r="X1899" s="167"/>
    </row>
    <row r="1900" spans="8:24" s="221" customFormat="1" ht="12.75" hidden="1" customHeight="1">
      <c r="H1900" s="168" t="s">
        <v>5065</v>
      </c>
      <c r="I1900" s="206" t="s">
        <v>5092</v>
      </c>
      <c r="J1900" s="206" t="s">
        <v>5093</v>
      </c>
      <c r="K1900" s="207" t="s">
        <v>5245</v>
      </c>
      <c r="L1900" s="206" t="s">
        <v>744</v>
      </c>
      <c r="M1900" s="169"/>
      <c r="N1900" s="169"/>
      <c r="O1900" s="169"/>
      <c r="P1900" s="169">
        <v>181927.2</v>
      </c>
      <c r="Q1900" s="166">
        <f t="shared" si="78"/>
        <v>0</v>
      </c>
      <c r="R1900" s="169"/>
      <c r="S1900" s="169"/>
      <c r="T1900" s="169"/>
      <c r="U1900" s="169"/>
      <c r="V1900" s="166">
        <f t="shared" si="79"/>
        <v>0</v>
      </c>
      <c r="W1900" s="205"/>
      <c r="X1900" s="167"/>
    </row>
    <row r="1901" spans="8:24" s="221" customFormat="1" ht="12.75" hidden="1" customHeight="1">
      <c r="H1901" s="168" t="s">
        <v>5066</v>
      </c>
      <c r="I1901" s="206" t="s">
        <v>1161</v>
      </c>
      <c r="J1901" s="206" t="s">
        <v>5094</v>
      </c>
      <c r="K1901" s="207" t="s">
        <v>5246</v>
      </c>
      <c r="L1901" s="206" t="s">
        <v>744</v>
      </c>
      <c r="M1901" s="169"/>
      <c r="N1901" s="169"/>
      <c r="O1901" s="169"/>
      <c r="P1901" s="169">
        <v>649740</v>
      </c>
      <c r="Q1901" s="166">
        <f t="shared" si="78"/>
        <v>0</v>
      </c>
      <c r="R1901" s="169"/>
      <c r="S1901" s="169"/>
      <c r="T1901" s="169"/>
      <c r="U1901" s="169"/>
      <c r="V1901" s="166">
        <f t="shared" si="79"/>
        <v>0</v>
      </c>
      <c r="W1901" s="205"/>
      <c r="X1901" s="167"/>
    </row>
    <row r="1902" spans="8:24" s="221" customFormat="1" ht="12.75" hidden="1" customHeight="1">
      <c r="H1902" s="168" t="s">
        <v>5067</v>
      </c>
      <c r="I1902" s="206" t="s">
        <v>2470</v>
      </c>
      <c r="J1902" s="206" t="s">
        <v>5095</v>
      </c>
      <c r="K1902" s="207" t="s">
        <v>5247</v>
      </c>
      <c r="L1902" s="206" t="s">
        <v>744</v>
      </c>
      <c r="M1902" s="169"/>
      <c r="N1902" s="169"/>
      <c r="O1902" s="169"/>
      <c r="P1902" s="169">
        <v>779688</v>
      </c>
      <c r="Q1902" s="166">
        <f t="shared" si="78"/>
        <v>0</v>
      </c>
      <c r="R1902" s="169"/>
      <c r="S1902" s="169"/>
      <c r="T1902" s="169"/>
      <c r="U1902" s="169"/>
      <c r="V1902" s="166">
        <f t="shared" si="79"/>
        <v>0</v>
      </c>
      <c r="W1902" s="205"/>
      <c r="X1902" s="167"/>
    </row>
    <row r="1903" spans="8:24" s="221" customFormat="1" ht="12.75" hidden="1" customHeight="1">
      <c r="H1903" s="168" t="s">
        <v>5068</v>
      </c>
      <c r="I1903" s="206" t="s">
        <v>2231</v>
      </c>
      <c r="J1903" s="206" t="s">
        <v>5096</v>
      </c>
      <c r="K1903" s="207" t="s">
        <v>5248</v>
      </c>
      <c r="L1903" s="206" t="s">
        <v>744</v>
      </c>
      <c r="M1903" s="169"/>
      <c r="N1903" s="169"/>
      <c r="O1903" s="169"/>
      <c r="P1903" s="169">
        <v>909636</v>
      </c>
      <c r="Q1903" s="166">
        <f t="shared" si="78"/>
        <v>0</v>
      </c>
      <c r="R1903" s="169"/>
      <c r="S1903" s="169"/>
      <c r="T1903" s="169"/>
      <c r="U1903" s="169"/>
      <c r="V1903" s="166">
        <f t="shared" si="79"/>
        <v>0</v>
      </c>
      <c r="W1903" s="205"/>
      <c r="X1903" s="167"/>
    </row>
    <row r="1904" spans="8:24" s="221" customFormat="1" ht="12.75" hidden="1" customHeight="1">
      <c r="H1904" s="168" t="s">
        <v>5069</v>
      </c>
      <c r="I1904" s="206" t="s">
        <v>2651</v>
      </c>
      <c r="J1904" s="206" t="s">
        <v>5097</v>
      </c>
      <c r="K1904" s="207" t="s">
        <v>5249</v>
      </c>
      <c r="L1904" s="206" t="s">
        <v>744</v>
      </c>
      <c r="M1904" s="169"/>
      <c r="N1904" s="169"/>
      <c r="O1904" s="169"/>
      <c r="P1904" s="169">
        <v>1039584</v>
      </c>
      <c r="Q1904" s="166">
        <f t="shared" si="78"/>
        <v>0</v>
      </c>
      <c r="R1904" s="169"/>
      <c r="S1904" s="169"/>
      <c r="T1904" s="169"/>
      <c r="U1904" s="169"/>
      <c r="V1904" s="166">
        <f t="shared" si="79"/>
        <v>0</v>
      </c>
      <c r="W1904" s="205"/>
      <c r="X1904" s="167"/>
    </row>
    <row r="1905" spans="8:24" s="221" customFormat="1" ht="12.75" hidden="1" customHeight="1">
      <c r="H1905" s="168" t="s">
        <v>5070</v>
      </c>
      <c r="I1905" s="206" t="s">
        <v>5098</v>
      </c>
      <c r="J1905" s="206" t="s">
        <v>5099</v>
      </c>
      <c r="K1905" s="207" t="s">
        <v>5250</v>
      </c>
      <c r="L1905" s="206" t="s">
        <v>744</v>
      </c>
      <c r="M1905" s="169"/>
      <c r="N1905" s="169"/>
      <c r="O1905" s="169"/>
      <c r="P1905" s="169">
        <v>1299480</v>
      </c>
      <c r="Q1905" s="166">
        <f t="shared" si="78"/>
        <v>0</v>
      </c>
      <c r="R1905" s="169"/>
      <c r="S1905" s="169"/>
      <c r="T1905" s="169"/>
      <c r="U1905" s="169"/>
      <c r="V1905" s="166">
        <f t="shared" si="79"/>
        <v>0</v>
      </c>
      <c r="W1905" s="205"/>
      <c r="X1905" s="167"/>
    </row>
    <row r="1906" spans="8:24" s="221" customFormat="1" ht="12.75" hidden="1" customHeight="1">
      <c r="H1906" s="168" t="s">
        <v>5071</v>
      </c>
      <c r="I1906" s="206" t="s">
        <v>5100</v>
      </c>
      <c r="J1906" s="206" t="s">
        <v>5101</v>
      </c>
      <c r="K1906" s="207" t="s">
        <v>5251</v>
      </c>
      <c r="L1906" s="206" t="s">
        <v>744</v>
      </c>
      <c r="M1906" s="169"/>
      <c r="N1906" s="169"/>
      <c r="O1906" s="169"/>
      <c r="P1906" s="169">
        <v>1819272</v>
      </c>
      <c r="Q1906" s="166">
        <f t="shared" si="78"/>
        <v>0</v>
      </c>
      <c r="R1906" s="169"/>
      <c r="S1906" s="169"/>
      <c r="T1906" s="169"/>
      <c r="U1906" s="169"/>
      <c r="V1906" s="166">
        <f t="shared" si="79"/>
        <v>0</v>
      </c>
      <c r="W1906" s="205"/>
      <c r="X1906" s="167"/>
    </row>
    <row r="1907" spans="8:24" s="221" customFormat="1" ht="12.75" hidden="1" customHeight="1">
      <c r="H1907" s="168" t="s">
        <v>5072</v>
      </c>
      <c r="I1907" s="206" t="s">
        <v>5102</v>
      </c>
      <c r="J1907" s="206" t="s">
        <v>5103</v>
      </c>
      <c r="K1907" s="207" t="s">
        <v>5252</v>
      </c>
      <c r="L1907" s="206" t="s">
        <v>744</v>
      </c>
      <c r="M1907" s="169"/>
      <c r="N1907" s="169"/>
      <c r="O1907" s="169"/>
      <c r="P1907" s="169">
        <v>2598960</v>
      </c>
      <c r="Q1907" s="166">
        <f t="shared" si="78"/>
        <v>0</v>
      </c>
      <c r="R1907" s="169"/>
      <c r="S1907" s="169"/>
      <c r="T1907" s="169"/>
      <c r="U1907" s="169"/>
      <c r="V1907" s="166">
        <f t="shared" si="79"/>
        <v>0</v>
      </c>
      <c r="W1907" s="205"/>
      <c r="X1907" s="167"/>
    </row>
    <row r="1908" spans="8:24" s="221" customFormat="1" ht="12.75" hidden="1" customHeight="1">
      <c r="H1908" s="168" t="s">
        <v>5073</v>
      </c>
      <c r="I1908" s="206" t="s">
        <v>5104</v>
      </c>
      <c r="J1908" s="206" t="s">
        <v>5105</v>
      </c>
      <c r="K1908" s="207" t="s">
        <v>5253</v>
      </c>
      <c r="L1908" s="206" t="s">
        <v>744</v>
      </c>
      <c r="M1908" s="169"/>
      <c r="N1908" s="169"/>
      <c r="O1908" s="169"/>
      <c r="P1908" s="169">
        <v>256469.6</v>
      </c>
      <c r="Q1908" s="166">
        <f t="shared" si="78"/>
        <v>0</v>
      </c>
      <c r="R1908" s="169"/>
      <c r="S1908" s="169"/>
      <c r="T1908" s="169"/>
      <c r="U1908" s="169"/>
      <c r="V1908" s="166">
        <f t="shared" si="79"/>
        <v>0</v>
      </c>
      <c r="W1908" s="205"/>
      <c r="X1908" s="167"/>
    </row>
    <row r="1909" spans="8:24" s="221" customFormat="1" ht="12.75" hidden="1" customHeight="1">
      <c r="H1909" s="168" t="s">
        <v>5074</v>
      </c>
      <c r="I1909" s="206" t="s">
        <v>5106</v>
      </c>
      <c r="J1909" s="206" t="s">
        <v>5107</v>
      </c>
      <c r="K1909" s="207" t="s">
        <v>5254</v>
      </c>
      <c r="L1909" s="206" t="s">
        <v>744</v>
      </c>
      <c r="M1909" s="169"/>
      <c r="N1909" s="169"/>
      <c r="O1909" s="169"/>
      <c r="P1909" s="169">
        <v>102587.84</v>
      </c>
      <c r="Q1909" s="166">
        <f t="shared" si="78"/>
        <v>0</v>
      </c>
      <c r="R1909" s="169"/>
      <c r="S1909" s="169"/>
      <c r="T1909" s="169"/>
      <c r="U1909" s="169"/>
      <c r="V1909" s="166">
        <f t="shared" si="79"/>
        <v>0</v>
      </c>
      <c r="W1909" s="205"/>
      <c r="X1909" s="167"/>
    </row>
    <row r="1910" spans="8:24" s="221" customFormat="1" ht="12.75" hidden="1" customHeight="1">
      <c r="H1910" s="168" t="s">
        <v>5108</v>
      </c>
      <c r="I1910" s="206" t="s">
        <v>5112</v>
      </c>
      <c r="J1910" s="206" t="s">
        <v>5113</v>
      </c>
      <c r="K1910" s="206" t="s">
        <v>5114</v>
      </c>
      <c r="L1910" s="206" t="s">
        <v>92</v>
      </c>
      <c r="M1910" s="169"/>
      <c r="N1910" s="169"/>
      <c r="O1910" s="169"/>
      <c r="P1910" s="169">
        <v>38095.300000000003</v>
      </c>
      <c r="Q1910" s="166">
        <f t="shared" ref="Q1910:Q1919" si="80">IF(W1910="",M1910*P1910*$Q$3*$W$3,M1910*P1910*$Q$3*W1910)</f>
        <v>0</v>
      </c>
      <c r="R1910" s="169"/>
      <c r="S1910" s="169"/>
      <c r="T1910" s="169"/>
      <c r="U1910" s="169"/>
      <c r="V1910" s="166">
        <f t="shared" si="79"/>
        <v>0</v>
      </c>
      <c r="W1910" s="205"/>
      <c r="X1910" s="167"/>
    </row>
    <row r="1911" spans="8:24" s="221" customFormat="1" ht="12.75" hidden="1" customHeight="1">
      <c r="H1911" s="168" t="s">
        <v>5109</v>
      </c>
      <c r="I1911" s="206" t="s">
        <v>5115</v>
      </c>
      <c r="J1911" s="206" t="s">
        <v>5116</v>
      </c>
      <c r="K1911" s="206" t="s">
        <v>5117</v>
      </c>
      <c r="L1911" s="206" t="s">
        <v>92</v>
      </c>
      <c r="M1911" s="169"/>
      <c r="N1911" s="169"/>
      <c r="O1911" s="169"/>
      <c r="P1911" s="169">
        <v>11428.59</v>
      </c>
      <c r="Q1911" s="166">
        <f t="shared" si="80"/>
        <v>0</v>
      </c>
      <c r="R1911" s="169"/>
      <c r="S1911" s="169"/>
      <c r="T1911" s="169"/>
      <c r="U1911" s="169"/>
      <c r="V1911" s="166">
        <f t="shared" si="79"/>
        <v>0</v>
      </c>
      <c r="W1911" s="205"/>
      <c r="X1911" s="167"/>
    </row>
    <row r="1912" spans="8:24" s="221" customFormat="1" ht="12.75" hidden="1" customHeight="1">
      <c r="H1912" s="168" t="s">
        <v>5110</v>
      </c>
      <c r="I1912" s="206" t="s">
        <v>5118</v>
      </c>
      <c r="J1912" s="206" t="s">
        <v>5119</v>
      </c>
      <c r="K1912" s="206" t="s">
        <v>5120</v>
      </c>
      <c r="L1912" s="206" t="s">
        <v>92</v>
      </c>
      <c r="M1912" s="169"/>
      <c r="N1912" s="169"/>
      <c r="O1912" s="169"/>
      <c r="P1912" s="169">
        <v>72381.070000000007</v>
      </c>
      <c r="Q1912" s="166">
        <f t="shared" si="80"/>
        <v>0</v>
      </c>
      <c r="R1912" s="169"/>
      <c r="S1912" s="169"/>
      <c r="T1912" s="169"/>
      <c r="U1912" s="169"/>
      <c r="V1912" s="166">
        <f t="shared" si="79"/>
        <v>0</v>
      </c>
      <c r="W1912" s="205"/>
      <c r="X1912" s="167"/>
    </row>
    <row r="1913" spans="8:24" s="221" customFormat="1" ht="12.75" hidden="1" customHeight="1">
      <c r="H1913" s="168" t="s">
        <v>5111</v>
      </c>
      <c r="I1913" s="206" t="s">
        <v>5121</v>
      </c>
      <c r="J1913" s="206" t="s">
        <v>5122</v>
      </c>
      <c r="K1913" s="206" t="s">
        <v>5123</v>
      </c>
      <c r="L1913" s="206" t="s">
        <v>92</v>
      </c>
      <c r="M1913" s="169"/>
      <c r="N1913" s="169"/>
      <c r="O1913" s="169"/>
      <c r="P1913" s="169">
        <v>19047.650000000001</v>
      </c>
      <c r="Q1913" s="166">
        <f t="shared" si="80"/>
        <v>0</v>
      </c>
      <c r="R1913" s="169"/>
      <c r="S1913" s="169"/>
      <c r="T1913" s="169"/>
      <c r="U1913" s="169"/>
      <c r="V1913" s="166">
        <f t="shared" si="79"/>
        <v>0</v>
      </c>
      <c r="W1913" s="205"/>
      <c r="X1913" s="167"/>
    </row>
    <row r="1914" spans="8:24" s="221" customFormat="1" ht="12.75" hidden="1" customHeight="1">
      <c r="H1914" s="168" t="s">
        <v>5124</v>
      </c>
      <c r="I1914" s="206" t="s">
        <v>5130</v>
      </c>
      <c r="J1914" s="206" t="s">
        <v>5113</v>
      </c>
      <c r="K1914" s="206" t="s">
        <v>5131</v>
      </c>
      <c r="L1914" s="206" t="s">
        <v>92</v>
      </c>
      <c r="M1914" s="169"/>
      <c r="N1914" s="169"/>
      <c r="O1914" s="169"/>
      <c r="P1914" s="169">
        <v>36542.745000000003</v>
      </c>
      <c r="Q1914" s="166">
        <f t="shared" si="80"/>
        <v>0</v>
      </c>
      <c r="R1914" s="169"/>
      <c r="S1914" s="169"/>
      <c r="T1914" s="169"/>
      <c r="U1914" s="169"/>
      <c r="V1914" s="166">
        <f t="shared" si="79"/>
        <v>0</v>
      </c>
      <c r="W1914" s="205"/>
      <c r="X1914" s="167"/>
    </row>
    <row r="1915" spans="8:24" s="221" customFormat="1" ht="12.75" hidden="1" customHeight="1">
      <c r="H1915" s="168" t="s">
        <v>5125</v>
      </c>
      <c r="I1915" s="206" t="s">
        <v>5132</v>
      </c>
      <c r="J1915" s="206" t="s">
        <v>5116</v>
      </c>
      <c r="K1915" s="206" t="s">
        <v>5133</v>
      </c>
      <c r="L1915" s="206" t="s">
        <v>92</v>
      </c>
      <c r="M1915" s="169"/>
      <c r="N1915" s="169"/>
      <c r="O1915" s="169"/>
      <c r="P1915" s="169">
        <v>43761.065000000002</v>
      </c>
      <c r="Q1915" s="166">
        <f t="shared" si="80"/>
        <v>0</v>
      </c>
      <c r="R1915" s="169"/>
      <c r="S1915" s="169"/>
      <c r="T1915" s="169"/>
      <c r="U1915" s="169"/>
      <c r="V1915" s="166">
        <f t="shared" si="79"/>
        <v>0</v>
      </c>
      <c r="W1915" s="205"/>
      <c r="X1915" s="167"/>
    </row>
    <row r="1916" spans="8:24" s="221" customFormat="1" ht="12.75" hidden="1" customHeight="1">
      <c r="H1916" s="168" t="s">
        <v>5126</v>
      </c>
      <c r="I1916" s="206" t="s">
        <v>5134</v>
      </c>
      <c r="J1916" s="206" t="s">
        <v>5119</v>
      </c>
      <c r="K1916" s="206" t="s">
        <v>5135</v>
      </c>
      <c r="L1916" s="206" t="s">
        <v>92</v>
      </c>
      <c r="M1916" s="169"/>
      <c r="N1916" s="169"/>
      <c r="O1916" s="169"/>
      <c r="P1916" s="169">
        <v>46016.79</v>
      </c>
      <c r="Q1916" s="166">
        <f t="shared" si="80"/>
        <v>0</v>
      </c>
      <c r="R1916" s="169"/>
      <c r="S1916" s="169"/>
      <c r="T1916" s="169"/>
      <c r="U1916" s="169"/>
      <c r="V1916" s="166">
        <f t="shared" si="79"/>
        <v>0</v>
      </c>
      <c r="W1916" s="205"/>
      <c r="X1916" s="167"/>
    </row>
    <row r="1917" spans="8:24" s="221" customFormat="1" ht="12.75" hidden="1" customHeight="1">
      <c r="H1917" s="168" t="s">
        <v>5127</v>
      </c>
      <c r="I1917" s="206" t="s">
        <v>5136</v>
      </c>
      <c r="J1917" s="206" t="s">
        <v>5122</v>
      </c>
      <c r="K1917" s="206" t="s">
        <v>5137</v>
      </c>
      <c r="L1917" s="206" t="s">
        <v>92</v>
      </c>
      <c r="M1917" s="169"/>
      <c r="N1917" s="169"/>
      <c r="O1917" s="169"/>
      <c r="P1917" s="169">
        <v>7218.32</v>
      </c>
      <c r="Q1917" s="166">
        <f t="shared" si="80"/>
        <v>0</v>
      </c>
      <c r="R1917" s="169"/>
      <c r="S1917" s="169"/>
      <c r="T1917" s="169"/>
      <c r="U1917" s="169"/>
      <c r="V1917" s="166">
        <f t="shared" si="79"/>
        <v>0</v>
      </c>
      <c r="W1917" s="205"/>
      <c r="X1917" s="167"/>
    </row>
    <row r="1918" spans="8:24" s="221" customFormat="1" ht="12.75" hidden="1" customHeight="1">
      <c r="H1918" s="168" t="s">
        <v>5128</v>
      </c>
      <c r="I1918" s="206" t="s">
        <v>5138</v>
      </c>
      <c r="J1918" s="206" t="s">
        <v>5139</v>
      </c>
      <c r="K1918" s="206" t="s">
        <v>5140</v>
      </c>
      <c r="L1918" s="206" t="s">
        <v>92</v>
      </c>
      <c r="M1918" s="169"/>
      <c r="N1918" s="169"/>
      <c r="O1918" s="169"/>
      <c r="P1918" s="169">
        <v>12180.915000000001</v>
      </c>
      <c r="Q1918" s="166">
        <f t="shared" si="80"/>
        <v>0</v>
      </c>
      <c r="R1918" s="169"/>
      <c r="S1918" s="169"/>
      <c r="T1918" s="169"/>
      <c r="U1918" s="169"/>
      <c r="V1918" s="166">
        <f t="shared" si="79"/>
        <v>0</v>
      </c>
      <c r="W1918" s="205"/>
      <c r="X1918" s="167"/>
    </row>
    <row r="1919" spans="8:24" s="221" customFormat="1" ht="12.75" hidden="1" customHeight="1">
      <c r="H1919" s="168" t="s">
        <v>5129</v>
      </c>
      <c r="I1919" s="206" t="s">
        <v>5141</v>
      </c>
      <c r="J1919" s="206" t="s">
        <v>5142</v>
      </c>
      <c r="K1919" s="206" t="s">
        <v>5143</v>
      </c>
      <c r="L1919" s="206" t="s">
        <v>92</v>
      </c>
      <c r="M1919" s="169"/>
      <c r="N1919" s="169"/>
      <c r="O1919" s="169"/>
      <c r="P1919" s="169">
        <v>9022.9</v>
      </c>
      <c r="Q1919" s="166">
        <f t="shared" si="80"/>
        <v>0</v>
      </c>
      <c r="R1919" s="169"/>
      <c r="S1919" s="169"/>
      <c r="T1919" s="169"/>
      <c r="U1919" s="169"/>
      <c r="V1919" s="166">
        <f t="shared" si="79"/>
        <v>0</v>
      </c>
      <c r="W1919" s="205"/>
      <c r="X1919" s="167"/>
    </row>
    <row r="1920" spans="8:24" s="221" customFormat="1" ht="12.75" hidden="1" customHeight="1">
      <c r="H1920" s="217" t="s">
        <v>5436</v>
      </c>
      <c r="I1920" s="217" t="s">
        <v>5438</v>
      </c>
      <c r="J1920" s="217" t="s">
        <v>5439</v>
      </c>
      <c r="K1920" s="217" t="s">
        <v>5440</v>
      </c>
      <c r="L1920" s="217" t="s">
        <v>92</v>
      </c>
      <c r="M1920" s="217"/>
      <c r="N1920" s="218">
        <v>148000</v>
      </c>
      <c r="O1920" s="169">
        <f t="shared" ref="O1920:O1921" si="81">M1920*N1920*$O$3</f>
        <v>0</v>
      </c>
      <c r="P1920" s="169"/>
      <c r="Q1920" s="166"/>
      <c r="R1920" s="169"/>
      <c r="S1920" s="169"/>
      <c r="T1920" s="169"/>
      <c r="U1920" s="169"/>
      <c r="V1920" s="166">
        <f t="shared" si="79"/>
        <v>0</v>
      </c>
      <c r="W1920" s="205"/>
      <c r="X1920" s="167"/>
    </row>
    <row r="1921" spans="8:24" s="221" customFormat="1" ht="12.75" hidden="1" customHeight="1">
      <c r="H1921" s="217" t="s">
        <v>5437</v>
      </c>
      <c r="I1921" s="217" t="s">
        <v>5438</v>
      </c>
      <c r="J1921" s="217" t="s">
        <v>5439</v>
      </c>
      <c r="K1921" s="217" t="s">
        <v>5441</v>
      </c>
      <c r="L1921" s="217" t="s">
        <v>92</v>
      </c>
      <c r="M1921" s="217"/>
      <c r="N1921" s="218">
        <v>148000</v>
      </c>
      <c r="O1921" s="169">
        <f t="shared" si="81"/>
        <v>0</v>
      </c>
      <c r="P1921" s="169"/>
      <c r="Q1921" s="166"/>
      <c r="R1921" s="169"/>
      <c r="S1921" s="169"/>
      <c r="T1921" s="169"/>
      <c r="U1921" s="169"/>
      <c r="V1921" s="166">
        <f t="shared" si="79"/>
        <v>0</v>
      </c>
      <c r="W1921" s="205"/>
      <c r="X1921" s="167"/>
    </row>
    <row r="1922" spans="8:24" s="221" customFormat="1" ht="12.75" hidden="1" customHeight="1">
      <c r="H1922" s="217" t="s">
        <v>5442</v>
      </c>
      <c r="I1922" s="217" t="s">
        <v>5438</v>
      </c>
      <c r="J1922" s="217" t="s">
        <v>5439</v>
      </c>
      <c r="K1922" s="217" t="s">
        <v>5443</v>
      </c>
      <c r="L1922" s="217" t="s">
        <v>92</v>
      </c>
      <c r="M1922" s="217"/>
      <c r="N1922" s="218">
        <v>155000</v>
      </c>
      <c r="O1922" s="169">
        <f t="shared" ref="O1922:O1986" si="82">M1922*N1922*$O$3</f>
        <v>0</v>
      </c>
      <c r="P1922" s="169"/>
      <c r="Q1922" s="166"/>
      <c r="R1922" s="169"/>
      <c r="S1922" s="169"/>
      <c r="T1922" s="169"/>
      <c r="U1922" s="169"/>
      <c r="V1922" s="166">
        <f t="shared" si="79"/>
        <v>0</v>
      </c>
      <c r="W1922" s="205"/>
      <c r="X1922" s="167"/>
    </row>
    <row r="1923" spans="8:24" s="221" customFormat="1" ht="12.75" hidden="1" customHeight="1">
      <c r="H1923" s="217" t="s">
        <v>5444</v>
      </c>
      <c r="I1923" s="217" t="s">
        <v>5438</v>
      </c>
      <c r="J1923" s="217" t="s">
        <v>5439</v>
      </c>
      <c r="K1923" s="217" t="s">
        <v>5445</v>
      </c>
      <c r="L1923" s="217" t="s">
        <v>92</v>
      </c>
      <c r="M1923" s="217"/>
      <c r="N1923" s="218">
        <v>168000</v>
      </c>
      <c r="O1923" s="169">
        <f t="shared" si="82"/>
        <v>0</v>
      </c>
      <c r="P1923" s="169"/>
      <c r="Q1923" s="166"/>
      <c r="R1923" s="169"/>
      <c r="S1923" s="169"/>
      <c r="T1923" s="169"/>
      <c r="U1923" s="169"/>
      <c r="V1923" s="166">
        <f t="shared" si="79"/>
        <v>0</v>
      </c>
      <c r="W1923" s="205"/>
      <c r="X1923" s="167"/>
    </row>
    <row r="1924" spans="8:24" s="221" customFormat="1" ht="12.75" hidden="1" customHeight="1">
      <c r="H1924" s="217" t="s">
        <v>5446</v>
      </c>
      <c r="I1924" s="217" t="s">
        <v>5438</v>
      </c>
      <c r="J1924" s="217" t="s">
        <v>5439</v>
      </c>
      <c r="K1924" s="217" t="s">
        <v>5447</v>
      </c>
      <c r="L1924" s="217" t="s">
        <v>92</v>
      </c>
      <c r="M1924" s="217"/>
      <c r="N1924" s="218">
        <v>169000</v>
      </c>
      <c r="O1924" s="169">
        <f t="shared" si="82"/>
        <v>0</v>
      </c>
      <c r="P1924" s="169"/>
      <c r="Q1924" s="166"/>
      <c r="R1924" s="169"/>
      <c r="S1924" s="169"/>
      <c r="T1924" s="169"/>
      <c r="U1924" s="169"/>
      <c r="V1924" s="166">
        <f t="shared" si="79"/>
        <v>0</v>
      </c>
      <c r="W1924" s="205"/>
      <c r="X1924" s="167"/>
    </row>
    <row r="1925" spans="8:24" s="221" customFormat="1" ht="12.75" hidden="1" customHeight="1">
      <c r="H1925" s="217" t="s">
        <v>5448</v>
      </c>
      <c r="I1925" s="217" t="s">
        <v>5438</v>
      </c>
      <c r="J1925" s="217" t="s">
        <v>5439</v>
      </c>
      <c r="K1925" s="217" t="s">
        <v>5449</v>
      </c>
      <c r="L1925" s="217" t="s">
        <v>92</v>
      </c>
      <c r="M1925" s="217"/>
      <c r="N1925" s="218">
        <v>183000</v>
      </c>
      <c r="O1925" s="169">
        <f t="shared" si="82"/>
        <v>0</v>
      </c>
      <c r="P1925" s="169"/>
      <c r="Q1925" s="166"/>
      <c r="R1925" s="169"/>
      <c r="S1925" s="169"/>
      <c r="T1925" s="169"/>
      <c r="U1925" s="169"/>
      <c r="V1925" s="166">
        <f t="shared" si="79"/>
        <v>0</v>
      </c>
      <c r="W1925" s="205"/>
      <c r="X1925" s="167"/>
    </row>
    <row r="1926" spans="8:24" s="221" customFormat="1" ht="12.75" hidden="1" customHeight="1">
      <c r="H1926" s="217" t="s">
        <v>5450</v>
      </c>
      <c r="I1926" s="217" t="s">
        <v>5438</v>
      </c>
      <c r="J1926" s="217" t="s">
        <v>5439</v>
      </c>
      <c r="K1926" s="217" t="s">
        <v>5451</v>
      </c>
      <c r="L1926" s="217" t="s">
        <v>92</v>
      </c>
      <c r="M1926" s="217"/>
      <c r="N1926" s="218">
        <v>188000</v>
      </c>
      <c r="O1926" s="169">
        <f t="shared" si="82"/>
        <v>0</v>
      </c>
      <c r="P1926" s="169"/>
      <c r="Q1926" s="166"/>
      <c r="R1926" s="169"/>
      <c r="S1926" s="169"/>
      <c r="T1926" s="169"/>
      <c r="U1926" s="169"/>
      <c r="V1926" s="166">
        <f t="shared" ref="V1926:V1989" si="83">SUM(O1926+Q1926)+S1926+U1926</f>
        <v>0</v>
      </c>
      <c r="W1926" s="205"/>
      <c r="X1926" s="167"/>
    </row>
    <row r="1927" spans="8:24" s="221" customFormat="1" ht="12.75" hidden="1" customHeight="1">
      <c r="H1927" s="217" t="s">
        <v>5452</v>
      </c>
      <c r="I1927" s="217" t="s">
        <v>5438</v>
      </c>
      <c r="J1927" s="217" t="s">
        <v>5439</v>
      </c>
      <c r="K1927" s="217" t="s">
        <v>5454</v>
      </c>
      <c r="L1927" s="217" t="s">
        <v>92</v>
      </c>
      <c r="M1927" s="217"/>
      <c r="N1927" s="218">
        <v>188000</v>
      </c>
      <c r="O1927" s="169"/>
      <c r="P1927" s="169"/>
      <c r="Q1927" s="166"/>
      <c r="R1927" s="169"/>
      <c r="S1927" s="169"/>
      <c r="T1927" s="169"/>
      <c r="U1927" s="169"/>
      <c r="V1927" s="166">
        <f t="shared" si="83"/>
        <v>0</v>
      </c>
      <c r="W1927" s="205"/>
      <c r="X1927" s="167"/>
    </row>
    <row r="1928" spans="8:24" s="221" customFormat="1" ht="12.75" hidden="1" customHeight="1">
      <c r="H1928" s="217" t="s">
        <v>5453</v>
      </c>
      <c r="I1928" s="217" t="s">
        <v>5438</v>
      </c>
      <c r="J1928" s="217" t="s">
        <v>5439</v>
      </c>
      <c r="K1928" s="217" t="s">
        <v>5455</v>
      </c>
      <c r="L1928" s="217" t="s">
        <v>92</v>
      </c>
      <c r="M1928" s="217"/>
      <c r="N1928" s="218">
        <v>188000</v>
      </c>
      <c r="O1928" s="169">
        <f t="shared" si="82"/>
        <v>0</v>
      </c>
      <c r="P1928" s="169"/>
      <c r="Q1928" s="166"/>
      <c r="R1928" s="169"/>
      <c r="S1928" s="169"/>
      <c r="T1928" s="169"/>
      <c r="U1928" s="169"/>
      <c r="V1928" s="166">
        <f t="shared" si="83"/>
        <v>0</v>
      </c>
      <c r="W1928" s="205"/>
      <c r="X1928" s="167"/>
    </row>
    <row r="1929" spans="8:24" s="221" customFormat="1" ht="12.75" hidden="1" customHeight="1">
      <c r="H1929" s="217" t="s">
        <v>5456</v>
      </c>
      <c r="I1929" s="217" t="s">
        <v>5438</v>
      </c>
      <c r="J1929" s="217" t="s">
        <v>5439</v>
      </c>
      <c r="K1929" s="217" t="s">
        <v>5457</v>
      </c>
      <c r="L1929" s="217" t="s">
        <v>92</v>
      </c>
      <c r="M1929" s="217"/>
      <c r="N1929" s="218">
        <v>198000</v>
      </c>
      <c r="O1929" s="169">
        <f t="shared" si="82"/>
        <v>0</v>
      </c>
      <c r="P1929" s="169"/>
      <c r="Q1929" s="166"/>
      <c r="R1929" s="169"/>
      <c r="S1929" s="169"/>
      <c r="T1929" s="169"/>
      <c r="U1929" s="169"/>
      <c r="V1929" s="166">
        <f t="shared" si="83"/>
        <v>0</v>
      </c>
      <c r="W1929" s="205"/>
      <c r="X1929" s="167"/>
    </row>
    <row r="1930" spans="8:24" s="221" customFormat="1" ht="12.75" hidden="1" customHeight="1">
      <c r="H1930" s="217" t="s">
        <v>5458</v>
      </c>
      <c r="I1930" s="217" t="s">
        <v>5438</v>
      </c>
      <c r="J1930" s="217" t="s">
        <v>5439</v>
      </c>
      <c r="K1930" s="217" t="s">
        <v>5459</v>
      </c>
      <c r="L1930" s="217" t="s">
        <v>92</v>
      </c>
      <c r="M1930" s="217"/>
      <c r="N1930" s="218">
        <v>208000</v>
      </c>
      <c r="O1930" s="169">
        <f t="shared" si="82"/>
        <v>0</v>
      </c>
      <c r="P1930" s="169"/>
      <c r="Q1930" s="166"/>
      <c r="R1930" s="169"/>
      <c r="S1930" s="169"/>
      <c r="T1930" s="169"/>
      <c r="U1930" s="169"/>
      <c r="V1930" s="166">
        <f t="shared" si="83"/>
        <v>0</v>
      </c>
      <c r="W1930" s="205"/>
      <c r="X1930" s="167"/>
    </row>
    <row r="1931" spans="8:24" s="221" customFormat="1" ht="12.75" hidden="1" customHeight="1">
      <c r="H1931" s="217" t="s">
        <v>5460</v>
      </c>
      <c r="I1931" s="217" t="s">
        <v>5438</v>
      </c>
      <c r="J1931" s="217" t="s">
        <v>5439</v>
      </c>
      <c r="K1931" s="217" t="s">
        <v>5461</v>
      </c>
      <c r="L1931" s="217" t="s">
        <v>92</v>
      </c>
      <c r="M1931" s="217"/>
      <c r="N1931" s="218">
        <v>220000</v>
      </c>
      <c r="O1931" s="169">
        <f t="shared" si="82"/>
        <v>0</v>
      </c>
      <c r="P1931" s="169"/>
      <c r="Q1931" s="166"/>
      <c r="R1931" s="169"/>
      <c r="S1931" s="169"/>
      <c r="T1931" s="169"/>
      <c r="U1931" s="169"/>
      <c r="V1931" s="166">
        <f t="shared" si="83"/>
        <v>0</v>
      </c>
      <c r="W1931" s="205"/>
      <c r="X1931" s="167"/>
    </row>
    <row r="1932" spans="8:24" s="221" customFormat="1" ht="12.75" hidden="1" customHeight="1">
      <c r="H1932" s="217" t="s">
        <v>5462</v>
      </c>
      <c r="I1932" s="217" t="s">
        <v>5438</v>
      </c>
      <c r="J1932" s="217" t="s">
        <v>5439</v>
      </c>
      <c r="K1932" s="217" t="s">
        <v>5463</v>
      </c>
      <c r="L1932" s="217" t="s">
        <v>92</v>
      </c>
      <c r="M1932" s="217"/>
      <c r="N1932" s="218">
        <v>226000</v>
      </c>
      <c r="O1932" s="169">
        <f t="shared" si="82"/>
        <v>0</v>
      </c>
      <c r="P1932" s="169"/>
      <c r="Q1932" s="166"/>
      <c r="R1932" s="169"/>
      <c r="S1932" s="169"/>
      <c r="T1932" s="169"/>
      <c r="U1932" s="169"/>
      <c r="V1932" s="166">
        <f t="shared" si="83"/>
        <v>0</v>
      </c>
      <c r="W1932" s="205"/>
      <c r="X1932" s="167"/>
    </row>
    <row r="1933" spans="8:24" s="221" customFormat="1" ht="12.75" hidden="1" customHeight="1">
      <c r="H1933" s="217" t="s">
        <v>5464</v>
      </c>
      <c r="I1933" s="217" t="s">
        <v>5438</v>
      </c>
      <c r="J1933" s="217" t="s">
        <v>5439</v>
      </c>
      <c r="K1933" s="217" t="s">
        <v>5465</v>
      </c>
      <c r="L1933" s="217" t="s">
        <v>92</v>
      </c>
      <c r="M1933" s="217"/>
      <c r="N1933" s="218">
        <v>249000</v>
      </c>
      <c r="O1933" s="169">
        <f t="shared" si="82"/>
        <v>0</v>
      </c>
      <c r="P1933" s="169"/>
      <c r="Q1933" s="166"/>
      <c r="R1933" s="169"/>
      <c r="S1933" s="169"/>
      <c r="T1933" s="169"/>
      <c r="U1933" s="169"/>
      <c r="V1933" s="166">
        <f t="shared" si="83"/>
        <v>0</v>
      </c>
      <c r="W1933" s="205"/>
      <c r="X1933" s="167"/>
    </row>
    <row r="1934" spans="8:24" s="221" customFormat="1" ht="12.75" hidden="1" customHeight="1">
      <c r="H1934" s="217" t="s">
        <v>5466</v>
      </c>
      <c r="I1934" s="217" t="s">
        <v>5438</v>
      </c>
      <c r="J1934" s="217" t="s">
        <v>5439</v>
      </c>
      <c r="K1934" s="217" t="s">
        <v>5467</v>
      </c>
      <c r="L1934" s="217" t="s">
        <v>92</v>
      </c>
      <c r="M1934" s="217"/>
      <c r="N1934" s="218">
        <v>253000</v>
      </c>
      <c r="O1934" s="169">
        <f t="shared" si="82"/>
        <v>0</v>
      </c>
      <c r="P1934" s="169"/>
      <c r="Q1934" s="166"/>
      <c r="R1934" s="169"/>
      <c r="S1934" s="169"/>
      <c r="T1934" s="169"/>
      <c r="U1934" s="169"/>
      <c r="V1934" s="166">
        <f t="shared" si="83"/>
        <v>0</v>
      </c>
      <c r="W1934" s="205"/>
      <c r="X1934" s="167"/>
    </row>
    <row r="1935" spans="8:24" s="221" customFormat="1" ht="12.75" hidden="1" customHeight="1">
      <c r="H1935" s="217" t="s">
        <v>5468</v>
      </c>
      <c r="I1935" s="217" t="s">
        <v>5438</v>
      </c>
      <c r="J1935" s="217" t="s">
        <v>5439</v>
      </c>
      <c r="K1935" s="217" t="s">
        <v>5469</v>
      </c>
      <c r="L1935" s="217" t="s">
        <v>92</v>
      </c>
      <c r="M1935" s="217"/>
      <c r="N1935" s="218">
        <v>270000</v>
      </c>
      <c r="O1935" s="169">
        <f t="shared" si="82"/>
        <v>0</v>
      </c>
      <c r="P1935" s="169"/>
      <c r="Q1935" s="166"/>
      <c r="R1935" s="169"/>
      <c r="S1935" s="169"/>
      <c r="T1935" s="169"/>
      <c r="U1935" s="169"/>
      <c r="V1935" s="166">
        <f t="shared" si="83"/>
        <v>0</v>
      </c>
      <c r="W1935" s="205"/>
      <c r="X1935" s="167"/>
    </row>
    <row r="1936" spans="8:24" s="221" customFormat="1" ht="12.75" hidden="1" customHeight="1">
      <c r="H1936" s="217" t="s">
        <v>5470</v>
      </c>
      <c r="I1936" s="217" t="s">
        <v>5438</v>
      </c>
      <c r="J1936" s="217" t="s">
        <v>5439</v>
      </c>
      <c r="K1936" s="217" t="s">
        <v>5471</v>
      </c>
      <c r="L1936" s="217" t="s">
        <v>92</v>
      </c>
      <c r="M1936" s="217"/>
      <c r="N1936" s="218">
        <v>271000</v>
      </c>
      <c r="O1936" s="169">
        <f t="shared" si="82"/>
        <v>0</v>
      </c>
      <c r="P1936" s="169"/>
      <c r="Q1936" s="166"/>
      <c r="R1936" s="169"/>
      <c r="S1936" s="169"/>
      <c r="T1936" s="169"/>
      <c r="U1936" s="169"/>
      <c r="V1936" s="166">
        <f t="shared" si="83"/>
        <v>0</v>
      </c>
      <c r="W1936" s="205"/>
      <c r="X1936" s="167"/>
    </row>
    <row r="1937" spans="8:24" s="221" customFormat="1" ht="12.75" hidden="1" customHeight="1">
      <c r="H1937" s="217" t="s">
        <v>5472</v>
      </c>
      <c r="I1937" s="217" t="s">
        <v>5438</v>
      </c>
      <c r="J1937" s="217" t="s">
        <v>5439</v>
      </c>
      <c r="K1937" s="217" t="s">
        <v>5473</v>
      </c>
      <c r="L1937" s="217" t="s">
        <v>92</v>
      </c>
      <c r="M1937" s="217"/>
      <c r="N1937" s="218">
        <v>280000</v>
      </c>
      <c r="O1937" s="169">
        <f t="shared" si="82"/>
        <v>0</v>
      </c>
      <c r="P1937" s="169"/>
      <c r="Q1937" s="166"/>
      <c r="R1937" s="169"/>
      <c r="S1937" s="169"/>
      <c r="T1937" s="169"/>
      <c r="U1937" s="169"/>
      <c r="V1937" s="166">
        <f t="shared" si="83"/>
        <v>0</v>
      </c>
      <c r="W1937" s="205"/>
      <c r="X1937" s="167"/>
    </row>
    <row r="1938" spans="8:24" s="221" customFormat="1" ht="12.75" hidden="1" customHeight="1">
      <c r="H1938" s="217" t="s">
        <v>5474</v>
      </c>
      <c r="I1938" s="217" t="s">
        <v>5438</v>
      </c>
      <c r="J1938" s="217" t="s">
        <v>5439</v>
      </c>
      <c r="K1938" s="217" t="s">
        <v>5475</v>
      </c>
      <c r="L1938" s="217" t="s">
        <v>92</v>
      </c>
      <c r="M1938" s="217"/>
      <c r="N1938" s="218">
        <v>292000</v>
      </c>
      <c r="O1938" s="169">
        <f t="shared" si="82"/>
        <v>0</v>
      </c>
      <c r="P1938" s="169"/>
      <c r="Q1938" s="166"/>
      <c r="R1938" s="169"/>
      <c r="S1938" s="169"/>
      <c r="T1938" s="169"/>
      <c r="U1938" s="169"/>
      <c r="V1938" s="166">
        <f t="shared" si="83"/>
        <v>0</v>
      </c>
      <c r="W1938" s="205"/>
      <c r="X1938" s="167"/>
    </row>
    <row r="1939" spans="8:24" s="221" customFormat="1" ht="12.75" hidden="1" customHeight="1">
      <c r="H1939" s="217" t="s">
        <v>5476</v>
      </c>
      <c r="I1939" s="217" t="s">
        <v>5438</v>
      </c>
      <c r="J1939" s="217" t="s">
        <v>5439</v>
      </c>
      <c r="K1939" s="217" t="s">
        <v>5477</v>
      </c>
      <c r="L1939" s="217" t="s">
        <v>92</v>
      </c>
      <c r="M1939" s="217"/>
      <c r="N1939" s="218">
        <v>292000</v>
      </c>
      <c r="O1939" s="169">
        <f t="shared" si="82"/>
        <v>0</v>
      </c>
      <c r="P1939" s="169"/>
      <c r="Q1939" s="166"/>
      <c r="R1939" s="169"/>
      <c r="S1939" s="169"/>
      <c r="T1939" s="169"/>
      <c r="U1939" s="169"/>
      <c r="V1939" s="166">
        <f t="shared" si="83"/>
        <v>0</v>
      </c>
      <c r="W1939" s="205"/>
      <c r="X1939" s="167"/>
    </row>
    <row r="1940" spans="8:24" s="221" customFormat="1" ht="12.75" hidden="1" customHeight="1">
      <c r="H1940" s="217" t="s">
        <v>5478</v>
      </c>
      <c r="I1940" s="217" t="s">
        <v>5438</v>
      </c>
      <c r="J1940" s="217" t="s">
        <v>5439</v>
      </c>
      <c r="K1940" s="217" t="s">
        <v>5479</v>
      </c>
      <c r="L1940" s="217" t="s">
        <v>92</v>
      </c>
      <c r="M1940" s="217"/>
      <c r="N1940" s="218">
        <v>403000</v>
      </c>
      <c r="O1940" s="169">
        <f t="shared" si="82"/>
        <v>0</v>
      </c>
      <c r="P1940" s="169"/>
      <c r="Q1940" s="166"/>
      <c r="R1940" s="169"/>
      <c r="S1940" s="169"/>
      <c r="T1940" s="169"/>
      <c r="U1940" s="169"/>
      <c r="V1940" s="166">
        <f t="shared" si="83"/>
        <v>0</v>
      </c>
      <c r="W1940" s="205"/>
      <c r="X1940" s="167"/>
    </row>
    <row r="1941" spans="8:24" s="221" customFormat="1" ht="12.75" hidden="1" customHeight="1">
      <c r="H1941" s="217" t="s">
        <v>5480</v>
      </c>
      <c r="I1941" s="217" t="s">
        <v>5438</v>
      </c>
      <c r="J1941" s="217" t="s">
        <v>5439</v>
      </c>
      <c r="K1941" s="217" t="s">
        <v>5481</v>
      </c>
      <c r="L1941" s="217" t="s">
        <v>92</v>
      </c>
      <c r="M1941" s="217"/>
      <c r="N1941" s="218">
        <v>460000</v>
      </c>
      <c r="O1941" s="169">
        <f t="shared" si="82"/>
        <v>0</v>
      </c>
      <c r="P1941" s="169"/>
      <c r="Q1941" s="166"/>
      <c r="R1941" s="169"/>
      <c r="S1941" s="169"/>
      <c r="T1941" s="169"/>
      <c r="U1941" s="169"/>
      <c r="V1941" s="166">
        <f t="shared" si="83"/>
        <v>0</v>
      </c>
      <c r="W1941" s="205"/>
      <c r="X1941" s="167"/>
    </row>
    <row r="1942" spans="8:24" s="221" customFormat="1" ht="12.75" hidden="1" customHeight="1">
      <c r="H1942" s="217" t="s">
        <v>5482</v>
      </c>
      <c r="I1942" s="217" t="s">
        <v>5438</v>
      </c>
      <c r="J1942" s="217" t="s">
        <v>5439</v>
      </c>
      <c r="K1942" s="217" t="s">
        <v>5483</v>
      </c>
      <c r="L1942" s="217" t="s">
        <v>92</v>
      </c>
      <c r="M1942" s="217"/>
      <c r="N1942" s="218">
        <v>488000</v>
      </c>
      <c r="O1942" s="169">
        <f t="shared" si="82"/>
        <v>0</v>
      </c>
      <c r="P1942" s="169"/>
      <c r="Q1942" s="166"/>
      <c r="R1942" s="169"/>
      <c r="S1942" s="169"/>
      <c r="T1942" s="169"/>
      <c r="U1942" s="169"/>
      <c r="V1942" s="166">
        <f t="shared" si="83"/>
        <v>0</v>
      </c>
      <c r="W1942" s="205"/>
      <c r="X1942" s="167"/>
    </row>
    <row r="1943" spans="8:24" s="221" customFormat="1" ht="12.75" hidden="1" customHeight="1">
      <c r="H1943" s="217" t="s">
        <v>5484</v>
      </c>
      <c r="I1943" s="217" t="s">
        <v>5485</v>
      </c>
      <c r="J1943" s="217" t="s">
        <v>5486</v>
      </c>
      <c r="K1943" s="217" t="s">
        <v>5487</v>
      </c>
      <c r="L1943" s="217" t="s">
        <v>744</v>
      </c>
      <c r="M1943" s="217"/>
      <c r="N1943" s="218"/>
      <c r="O1943" s="169">
        <f t="shared" si="82"/>
        <v>0</v>
      </c>
      <c r="P1943" s="169"/>
      <c r="Q1943" s="166"/>
      <c r="R1943" s="169"/>
      <c r="S1943" s="169"/>
      <c r="T1943" s="169"/>
      <c r="U1943" s="169"/>
      <c r="V1943" s="166">
        <f t="shared" si="83"/>
        <v>0</v>
      </c>
      <c r="W1943" s="205"/>
      <c r="X1943" s="167"/>
    </row>
    <row r="1944" spans="8:24" s="221" customFormat="1" ht="12.75" hidden="1" customHeight="1">
      <c r="H1944" s="217" t="s">
        <v>5488</v>
      </c>
      <c r="I1944" s="217" t="s">
        <v>5485</v>
      </c>
      <c r="J1944" s="217" t="s">
        <v>5486</v>
      </c>
      <c r="K1944" s="217" t="s">
        <v>5489</v>
      </c>
      <c r="L1944" s="217" t="s">
        <v>744</v>
      </c>
      <c r="M1944" s="217"/>
      <c r="N1944" s="218"/>
      <c r="O1944" s="169">
        <f t="shared" si="82"/>
        <v>0</v>
      </c>
      <c r="P1944" s="169"/>
      <c r="Q1944" s="166"/>
      <c r="R1944" s="169"/>
      <c r="S1944" s="169"/>
      <c r="T1944" s="169"/>
      <c r="U1944" s="169"/>
      <c r="V1944" s="166">
        <f t="shared" si="83"/>
        <v>0</v>
      </c>
      <c r="W1944" s="205"/>
      <c r="X1944" s="167"/>
    </row>
    <row r="1945" spans="8:24" s="221" customFormat="1" ht="12.75" hidden="1" customHeight="1">
      <c r="H1945" s="217" t="s">
        <v>5490</v>
      </c>
      <c r="I1945" s="217" t="s">
        <v>5485</v>
      </c>
      <c r="J1945" s="217" t="s">
        <v>5486</v>
      </c>
      <c r="K1945" s="217" t="s">
        <v>5491</v>
      </c>
      <c r="L1945" s="217" t="s">
        <v>744</v>
      </c>
      <c r="M1945" s="217"/>
      <c r="N1945" s="218"/>
      <c r="O1945" s="169">
        <f t="shared" si="82"/>
        <v>0</v>
      </c>
      <c r="P1945" s="169"/>
      <c r="Q1945" s="166"/>
      <c r="R1945" s="169"/>
      <c r="S1945" s="169"/>
      <c r="T1945" s="169"/>
      <c r="U1945" s="169"/>
      <c r="V1945" s="166">
        <f t="shared" si="83"/>
        <v>0</v>
      </c>
      <c r="W1945" s="205"/>
      <c r="X1945" s="167"/>
    </row>
    <row r="1946" spans="8:24" s="221" customFormat="1" ht="12.75" hidden="1" customHeight="1">
      <c r="H1946" s="217" t="s">
        <v>5492</v>
      </c>
      <c r="I1946" s="217" t="s">
        <v>5485</v>
      </c>
      <c r="J1946" s="217" t="s">
        <v>5486</v>
      </c>
      <c r="K1946" s="217" t="s">
        <v>5493</v>
      </c>
      <c r="L1946" s="217" t="s">
        <v>744</v>
      </c>
      <c r="M1946" s="217"/>
      <c r="N1946" s="218"/>
      <c r="O1946" s="169">
        <f t="shared" si="82"/>
        <v>0</v>
      </c>
      <c r="P1946" s="195"/>
      <c r="Q1946" s="166"/>
      <c r="R1946" s="169"/>
      <c r="S1946" s="169"/>
      <c r="T1946" s="169"/>
      <c r="U1946" s="169"/>
      <c r="V1946" s="166">
        <f t="shared" si="83"/>
        <v>0</v>
      </c>
      <c r="W1946" s="205"/>
      <c r="X1946" s="167"/>
    </row>
    <row r="1947" spans="8:24" s="221" customFormat="1" ht="12.75" hidden="1" customHeight="1">
      <c r="H1947" s="217" t="s">
        <v>5494</v>
      </c>
      <c r="I1947" s="217" t="s">
        <v>5485</v>
      </c>
      <c r="J1947" s="217" t="s">
        <v>5486</v>
      </c>
      <c r="K1947" s="217" t="s">
        <v>5495</v>
      </c>
      <c r="L1947" s="217" t="s">
        <v>744</v>
      </c>
      <c r="M1947" s="217"/>
      <c r="N1947" s="218"/>
      <c r="O1947" s="169">
        <f t="shared" si="82"/>
        <v>0</v>
      </c>
      <c r="P1947" s="195"/>
      <c r="Q1947" s="166"/>
      <c r="R1947" s="169"/>
      <c r="S1947" s="169"/>
      <c r="T1947" s="169"/>
      <c r="U1947" s="169"/>
      <c r="V1947" s="166">
        <f t="shared" si="83"/>
        <v>0</v>
      </c>
      <c r="W1947" s="205"/>
      <c r="X1947" s="167"/>
    </row>
    <row r="1948" spans="8:24" s="221" customFormat="1" ht="12.75" hidden="1" customHeight="1">
      <c r="H1948" s="217" t="s">
        <v>5496</v>
      </c>
      <c r="I1948" s="217" t="s">
        <v>5485</v>
      </c>
      <c r="J1948" s="217" t="s">
        <v>5486</v>
      </c>
      <c r="K1948" s="217" t="s">
        <v>5497</v>
      </c>
      <c r="L1948" s="217" t="s">
        <v>744</v>
      </c>
      <c r="M1948" s="217"/>
      <c r="N1948" s="218"/>
      <c r="O1948" s="169">
        <f t="shared" si="82"/>
        <v>0</v>
      </c>
      <c r="P1948" s="195"/>
      <c r="Q1948" s="166"/>
      <c r="R1948" s="169"/>
      <c r="S1948" s="169"/>
      <c r="T1948" s="169"/>
      <c r="U1948" s="169"/>
      <c r="V1948" s="166">
        <f t="shared" si="83"/>
        <v>0</v>
      </c>
      <c r="W1948" s="205"/>
      <c r="X1948" s="167"/>
    </row>
    <row r="1949" spans="8:24" s="221" customFormat="1" ht="12.75" hidden="1" customHeight="1">
      <c r="H1949" s="217" t="s">
        <v>5498</v>
      </c>
      <c r="I1949" s="217" t="s">
        <v>5485</v>
      </c>
      <c r="J1949" s="217" t="s">
        <v>5486</v>
      </c>
      <c r="K1949" s="217" t="s">
        <v>5499</v>
      </c>
      <c r="L1949" s="217" t="s">
        <v>744</v>
      </c>
      <c r="M1949" s="217"/>
      <c r="N1949" s="218"/>
      <c r="O1949" s="169">
        <f t="shared" si="82"/>
        <v>0</v>
      </c>
      <c r="P1949" s="195"/>
      <c r="Q1949" s="166"/>
      <c r="R1949" s="169"/>
      <c r="S1949" s="169"/>
      <c r="T1949" s="169"/>
      <c r="U1949" s="169"/>
      <c r="V1949" s="166">
        <f t="shared" si="83"/>
        <v>0</v>
      </c>
      <c r="W1949" s="205"/>
      <c r="X1949" s="167"/>
    </row>
    <row r="1950" spans="8:24" s="221" customFormat="1" ht="12.75" hidden="1" customHeight="1">
      <c r="H1950" s="217" t="s">
        <v>5500</v>
      </c>
      <c r="I1950" s="217" t="s">
        <v>5485</v>
      </c>
      <c r="J1950" s="217" t="s">
        <v>5486</v>
      </c>
      <c r="K1950" s="217" t="s">
        <v>5501</v>
      </c>
      <c r="L1950" s="217" t="s">
        <v>744</v>
      </c>
      <c r="M1950" s="217"/>
      <c r="N1950" s="218"/>
      <c r="O1950" s="169">
        <f t="shared" si="82"/>
        <v>0</v>
      </c>
      <c r="P1950" s="195"/>
      <c r="Q1950" s="166"/>
      <c r="R1950" s="169"/>
      <c r="S1950" s="169"/>
      <c r="T1950" s="169"/>
      <c r="U1950" s="169"/>
      <c r="V1950" s="166">
        <f t="shared" si="83"/>
        <v>0</v>
      </c>
      <c r="W1950" s="205"/>
      <c r="X1950" s="167"/>
    </row>
    <row r="1951" spans="8:24" s="221" customFormat="1" ht="12.75" hidden="1" customHeight="1">
      <c r="H1951" s="217" t="s">
        <v>5502</v>
      </c>
      <c r="I1951" s="217" t="s">
        <v>5485</v>
      </c>
      <c r="J1951" s="217" t="s">
        <v>5486</v>
      </c>
      <c r="K1951" s="217" t="s">
        <v>5503</v>
      </c>
      <c r="L1951" s="217" t="s">
        <v>744</v>
      </c>
      <c r="M1951" s="217"/>
      <c r="N1951" s="218"/>
      <c r="O1951" s="169">
        <f t="shared" si="82"/>
        <v>0</v>
      </c>
      <c r="P1951" s="195"/>
      <c r="Q1951" s="166"/>
      <c r="R1951" s="169"/>
      <c r="S1951" s="169"/>
      <c r="T1951" s="169"/>
      <c r="U1951" s="169"/>
      <c r="V1951" s="166">
        <f t="shared" si="83"/>
        <v>0</v>
      </c>
      <c r="W1951" s="205"/>
      <c r="X1951" s="167"/>
    </row>
    <row r="1952" spans="8:24" s="221" customFormat="1" ht="12.75" hidden="1" customHeight="1">
      <c r="H1952" s="217" t="s">
        <v>5504</v>
      </c>
      <c r="I1952" s="217" t="s">
        <v>5485</v>
      </c>
      <c r="J1952" s="217" t="s">
        <v>5486</v>
      </c>
      <c r="K1952" s="217" t="s">
        <v>5505</v>
      </c>
      <c r="L1952" s="217" t="s">
        <v>744</v>
      </c>
      <c r="M1952" s="217"/>
      <c r="N1952" s="218"/>
      <c r="O1952" s="169">
        <f t="shared" si="82"/>
        <v>0</v>
      </c>
      <c r="P1952" s="195"/>
      <c r="Q1952" s="166"/>
      <c r="R1952" s="169"/>
      <c r="S1952" s="169"/>
      <c r="T1952" s="169"/>
      <c r="U1952" s="169"/>
      <c r="V1952" s="166">
        <f t="shared" si="83"/>
        <v>0</v>
      </c>
      <c r="W1952" s="205"/>
      <c r="X1952" s="167"/>
    </row>
    <row r="1953" spans="8:24" s="221" customFormat="1" ht="12.75" hidden="1" customHeight="1">
      <c r="H1953" s="217" t="s">
        <v>5506</v>
      </c>
      <c r="I1953" s="217" t="s">
        <v>5485</v>
      </c>
      <c r="J1953" s="217" t="s">
        <v>5507</v>
      </c>
      <c r="K1953" s="217" t="s">
        <v>5508</v>
      </c>
      <c r="L1953" s="217" t="s">
        <v>744</v>
      </c>
      <c r="M1953" s="217"/>
      <c r="N1953" s="218"/>
      <c r="O1953" s="169">
        <f t="shared" si="82"/>
        <v>0</v>
      </c>
      <c r="P1953" s="195"/>
      <c r="Q1953" s="166"/>
      <c r="R1953" s="169"/>
      <c r="S1953" s="169"/>
      <c r="T1953" s="169"/>
      <c r="U1953" s="169"/>
      <c r="V1953" s="166">
        <f t="shared" si="83"/>
        <v>0</v>
      </c>
      <c r="W1953" s="205"/>
      <c r="X1953" s="167"/>
    </row>
    <row r="1954" spans="8:24" s="221" customFormat="1" ht="12.75" hidden="1" customHeight="1">
      <c r="H1954" s="217" t="s">
        <v>5509</v>
      </c>
      <c r="I1954" s="217" t="s">
        <v>5485</v>
      </c>
      <c r="J1954" s="217" t="s">
        <v>5507</v>
      </c>
      <c r="K1954" s="217" t="s">
        <v>5510</v>
      </c>
      <c r="L1954" s="217" t="s">
        <v>744</v>
      </c>
      <c r="M1954" s="217"/>
      <c r="N1954" s="218"/>
      <c r="O1954" s="169">
        <f t="shared" si="82"/>
        <v>0</v>
      </c>
      <c r="P1954" s="195"/>
      <c r="Q1954" s="166"/>
      <c r="R1954" s="169"/>
      <c r="S1954" s="169"/>
      <c r="T1954" s="169"/>
      <c r="U1954" s="169"/>
      <c r="V1954" s="166">
        <f t="shared" si="83"/>
        <v>0</v>
      </c>
      <c r="W1954" s="205"/>
      <c r="X1954" s="167"/>
    </row>
    <row r="1955" spans="8:24" s="221" customFormat="1" ht="12.75" hidden="1" customHeight="1">
      <c r="H1955" s="217" t="s">
        <v>5511</v>
      </c>
      <c r="I1955" s="217" t="s">
        <v>5485</v>
      </c>
      <c r="J1955" s="217" t="s">
        <v>5507</v>
      </c>
      <c r="K1955" s="217" t="s">
        <v>5512</v>
      </c>
      <c r="L1955" s="217" t="s">
        <v>744</v>
      </c>
      <c r="M1955" s="217"/>
      <c r="N1955" s="218"/>
      <c r="O1955" s="169">
        <f t="shared" si="82"/>
        <v>0</v>
      </c>
      <c r="P1955" s="195"/>
      <c r="Q1955" s="166"/>
      <c r="R1955" s="169"/>
      <c r="S1955" s="169"/>
      <c r="T1955" s="169"/>
      <c r="U1955" s="169"/>
      <c r="V1955" s="166">
        <f t="shared" si="83"/>
        <v>0</v>
      </c>
      <c r="W1955" s="205"/>
      <c r="X1955" s="167"/>
    </row>
    <row r="1956" spans="8:24" s="221" customFormat="1" ht="12.75" hidden="1" customHeight="1">
      <c r="H1956" s="217" t="s">
        <v>5513</v>
      </c>
      <c r="I1956" s="217" t="s">
        <v>5485</v>
      </c>
      <c r="J1956" s="217" t="s">
        <v>5507</v>
      </c>
      <c r="K1956" s="217" t="s">
        <v>5514</v>
      </c>
      <c r="L1956" s="217" t="s">
        <v>744</v>
      </c>
      <c r="M1956" s="217"/>
      <c r="N1956" s="218"/>
      <c r="O1956" s="169">
        <f t="shared" si="82"/>
        <v>0</v>
      </c>
      <c r="P1956" s="195"/>
      <c r="Q1956" s="166"/>
      <c r="R1956" s="169"/>
      <c r="S1956" s="169"/>
      <c r="T1956" s="169"/>
      <c r="U1956" s="169"/>
      <c r="V1956" s="166">
        <f t="shared" si="83"/>
        <v>0</v>
      </c>
      <c r="W1956" s="205"/>
      <c r="X1956" s="167"/>
    </row>
    <row r="1957" spans="8:24" s="221" customFormat="1" ht="12.75" hidden="1" customHeight="1">
      <c r="H1957" s="217" t="s">
        <v>5515</v>
      </c>
      <c r="I1957" s="217" t="s">
        <v>5485</v>
      </c>
      <c r="J1957" s="217" t="s">
        <v>5507</v>
      </c>
      <c r="K1957" s="217" t="s">
        <v>5516</v>
      </c>
      <c r="L1957" s="217" t="s">
        <v>744</v>
      </c>
      <c r="M1957" s="217"/>
      <c r="N1957" s="218"/>
      <c r="O1957" s="169">
        <f t="shared" si="82"/>
        <v>0</v>
      </c>
      <c r="P1957" s="195"/>
      <c r="Q1957" s="166"/>
      <c r="R1957" s="169"/>
      <c r="S1957" s="169"/>
      <c r="T1957" s="169"/>
      <c r="U1957" s="169"/>
      <c r="V1957" s="166">
        <f t="shared" si="83"/>
        <v>0</v>
      </c>
      <c r="W1957" s="205"/>
      <c r="X1957" s="167"/>
    </row>
    <row r="1958" spans="8:24" s="221" customFormat="1" ht="12.75" hidden="1" customHeight="1">
      <c r="H1958" s="217" t="s">
        <v>5517</v>
      </c>
      <c r="I1958" s="217" t="s">
        <v>5485</v>
      </c>
      <c r="J1958" s="217" t="s">
        <v>5507</v>
      </c>
      <c r="K1958" s="217" t="s">
        <v>5518</v>
      </c>
      <c r="L1958" s="217" t="s">
        <v>744</v>
      </c>
      <c r="M1958" s="217"/>
      <c r="N1958" s="218"/>
      <c r="O1958" s="169">
        <f t="shared" si="82"/>
        <v>0</v>
      </c>
      <c r="P1958" s="195"/>
      <c r="Q1958" s="166"/>
      <c r="R1958" s="169"/>
      <c r="S1958" s="169"/>
      <c r="T1958" s="169"/>
      <c r="U1958" s="169"/>
      <c r="V1958" s="166">
        <f t="shared" si="83"/>
        <v>0</v>
      </c>
      <c r="W1958" s="205"/>
      <c r="X1958" s="167"/>
    </row>
    <row r="1959" spans="8:24" s="221" customFormat="1" ht="12.75" hidden="1" customHeight="1">
      <c r="H1959" s="217" t="s">
        <v>5519</v>
      </c>
      <c r="I1959" s="217" t="s">
        <v>5485</v>
      </c>
      <c r="J1959" s="217" t="s">
        <v>5507</v>
      </c>
      <c r="K1959" s="217" t="s">
        <v>5520</v>
      </c>
      <c r="L1959" s="217" t="s">
        <v>744</v>
      </c>
      <c r="M1959" s="217"/>
      <c r="N1959" s="218"/>
      <c r="O1959" s="169">
        <f t="shared" si="82"/>
        <v>0</v>
      </c>
      <c r="P1959" s="195"/>
      <c r="Q1959" s="166"/>
      <c r="R1959" s="169"/>
      <c r="S1959" s="169"/>
      <c r="T1959" s="169"/>
      <c r="U1959" s="169"/>
      <c r="V1959" s="166">
        <f t="shared" si="83"/>
        <v>0</v>
      </c>
      <c r="W1959" s="205"/>
      <c r="X1959" s="167"/>
    </row>
    <row r="1960" spans="8:24" s="221" customFormat="1" ht="12.75" hidden="1" customHeight="1">
      <c r="H1960" s="217" t="s">
        <v>5521</v>
      </c>
      <c r="I1960" s="217" t="s">
        <v>5485</v>
      </c>
      <c r="J1960" s="217" t="s">
        <v>5507</v>
      </c>
      <c r="K1960" s="217" t="s">
        <v>5522</v>
      </c>
      <c r="L1960" s="217" t="s">
        <v>744</v>
      </c>
      <c r="M1960" s="217"/>
      <c r="N1960" s="218"/>
      <c r="O1960" s="169">
        <f t="shared" si="82"/>
        <v>0</v>
      </c>
      <c r="P1960" s="195"/>
      <c r="Q1960" s="166"/>
      <c r="R1960" s="169"/>
      <c r="S1960" s="169"/>
      <c r="T1960" s="169"/>
      <c r="U1960" s="169"/>
      <c r="V1960" s="166">
        <f t="shared" si="83"/>
        <v>0</v>
      </c>
      <c r="W1960" s="205"/>
      <c r="X1960" s="167"/>
    </row>
    <row r="1961" spans="8:24" s="221" customFormat="1" ht="12.75" hidden="1" customHeight="1">
      <c r="H1961" s="217" t="s">
        <v>5523</v>
      </c>
      <c r="I1961" s="217" t="s">
        <v>5485</v>
      </c>
      <c r="J1961" s="217" t="s">
        <v>5507</v>
      </c>
      <c r="K1961" s="217" t="s">
        <v>5524</v>
      </c>
      <c r="L1961" s="217" t="s">
        <v>744</v>
      </c>
      <c r="M1961" s="217"/>
      <c r="N1961" s="218"/>
      <c r="O1961" s="169">
        <f t="shared" si="82"/>
        <v>0</v>
      </c>
      <c r="P1961" s="195"/>
      <c r="Q1961" s="166"/>
      <c r="R1961" s="169"/>
      <c r="S1961" s="169"/>
      <c r="T1961" s="169"/>
      <c r="U1961" s="169"/>
      <c r="V1961" s="166">
        <f t="shared" si="83"/>
        <v>0</v>
      </c>
      <c r="W1961" s="205"/>
      <c r="X1961" s="167"/>
    </row>
    <row r="1962" spans="8:24" s="221" customFormat="1" ht="12.75" hidden="1" customHeight="1">
      <c r="H1962" s="217" t="s">
        <v>5525</v>
      </c>
      <c r="I1962" s="217" t="s">
        <v>5485</v>
      </c>
      <c r="J1962" s="217" t="s">
        <v>5507</v>
      </c>
      <c r="K1962" s="217" t="s">
        <v>5526</v>
      </c>
      <c r="L1962" s="217" t="s">
        <v>744</v>
      </c>
      <c r="M1962" s="217"/>
      <c r="N1962" s="218"/>
      <c r="O1962" s="169">
        <f t="shared" si="82"/>
        <v>0</v>
      </c>
      <c r="P1962" s="195"/>
      <c r="Q1962" s="166"/>
      <c r="R1962" s="169"/>
      <c r="S1962" s="169"/>
      <c r="T1962" s="169"/>
      <c r="U1962" s="169"/>
      <c r="V1962" s="166">
        <f t="shared" si="83"/>
        <v>0</v>
      </c>
      <c r="W1962" s="205"/>
      <c r="X1962" s="167"/>
    </row>
    <row r="1963" spans="8:24" s="221" customFormat="1" ht="12.75" hidden="1" customHeight="1">
      <c r="H1963" s="217" t="s">
        <v>5527</v>
      </c>
      <c r="I1963" s="217" t="s">
        <v>5485</v>
      </c>
      <c r="J1963" s="217" t="s">
        <v>5507</v>
      </c>
      <c r="K1963" s="217" t="s">
        <v>5528</v>
      </c>
      <c r="L1963" s="217" t="s">
        <v>744</v>
      </c>
      <c r="M1963" s="217"/>
      <c r="N1963" s="218"/>
      <c r="O1963" s="169">
        <f t="shared" si="82"/>
        <v>0</v>
      </c>
      <c r="P1963" s="195"/>
      <c r="Q1963" s="166"/>
      <c r="R1963" s="169"/>
      <c r="S1963" s="169"/>
      <c r="T1963" s="169"/>
      <c r="U1963" s="169"/>
      <c r="V1963" s="166">
        <f t="shared" si="83"/>
        <v>0</v>
      </c>
      <c r="W1963" s="205"/>
      <c r="X1963" s="167"/>
    </row>
    <row r="1964" spans="8:24" s="221" customFormat="1" ht="12.75" hidden="1" customHeight="1">
      <c r="H1964" s="217" t="s">
        <v>5529</v>
      </c>
      <c r="I1964" s="217" t="s">
        <v>5485</v>
      </c>
      <c r="J1964" s="217" t="s">
        <v>5507</v>
      </c>
      <c r="K1964" s="217" t="s">
        <v>5530</v>
      </c>
      <c r="L1964" s="217" t="s">
        <v>744</v>
      </c>
      <c r="M1964" s="217"/>
      <c r="N1964" s="218"/>
      <c r="O1964" s="169">
        <f t="shared" si="82"/>
        <v>0</v>
      </c>
      <c r="P1964" s="195"/>
      <c r="Q1964" s="166"/>
      <c r="R1964" s="169"/>
      <c r="S1964" s="169"/>
      <c r="T1964" s="169"/>
      <c r="U1964" s="169"/>
      <c r="V1964" s="166">
        <f t="shared" si="83"/>
        <v>0</v>
      </c>
      <c r="W1964" s="205"/>
      <c r="X1964" s="167"/>
    </row>
    <row r="1965" spans="8:24" s="221" customFormat="1" ht="12.75" hidden="1" customHeight="1">
      <c r="H1965" s="217" t="s">
        <v>5531</v>
      </c>
      <c r="I1965" s="217" t="s">
        <v>5485</v>
      </c>
      <c r="J1965" s="217" t="s">
        <v>5507</v>
      </c>
      <c r="K1965" s="217" t="s">
        <v>5532</v>
      </c>
      <c r="L1965" s="217" t="s">
        <v>744</v>
      </c>
      <c r="M1965" s="217"/>
      <c r="N1965" s="218"/>
      <c r="O1965" s="169">
        <f t="shared" si="82"/>
        <v>0</v>
      </c>
      <c r="P1965" s="195"/>
      <c r="Q1965" s="166"/>
      <c r="R1965" s="169"/>
      <c r="S1965" s="169"/>
      <c r="T1965" s="169"/>
      <c r="U1965" s="169"/>
      <c r="V1965" s="166">
        <f t="shared" si="83"/>
        <v>0</v>
      </c>
      <c r="W1965" s="205"/>
      <c r="X1965" s="167"/>
    </row>
    <row r="1966" spans="8:24" s="221" customFormat="1" ht="12.75" hidden="1" customHeight="1">
      <c r="H1966" s="217" t="s">
        <v>5533</v>
      </c>
      <c r="I1966" s="217" t="s">
        <v>5485</v>
      </c>
      <c r="J1966" s="217" t="s">
        <v>5507</v>
      </c>
      <c r="K1966" s="217" t="s">
        <v>5534</v>
      </c>
      <c r="L1966" s="217" t="s">
        <v>744</v>
      </c>
      <c r="M1966" s="217"/>
      <c r="N1966" s="218"/>
      <c r="O1966" s="169">
        <f t="shared" si="82"/>
        <v>0</v>
      </c>
      <c r="P1966" s="195"/>
      <c r="Q1966" s="166"/>
      <c r="R1966" s="169"/>
      <c r="S1966" s="169"/>
      <c r="T1966" s="169"/>
      <c r="U1966" s="169"/>
      <c r="V1966" s="166">
        <f t="shared" si="83"/>
        <v>0</v>
      </c>
      <c r="W1966" s="205"/>
      <c r="X1966" s="167"/>
    </row>
    <row r="1967" spans="8:24" s="221" customFormat="1" ht="12.75" hidden="1" customHeight="1">
      <c r="H1967" s="217" t="s">
        <v>5535</v>
      </c>
      <c r="I1967" s="217" t="s">
        <v>5536</v>
      </c>
      <c r="J1967" s="217" t="s">
        <v>5537</v>
      </c>
      <c r="K1967" s="217" t="s">
        <v>5538</v>
      </c>
      <c r="L1967" s="217" t="s">
        <v>744</v>
      </c>
      <c r="M1967" s="217"/>
      <c r="N1967" s="218">
        <v>40600</v>
      </c>
      <c r="O1967" s="169">
        <f t="shared" si="82"/>
        <v>0</v>
      </c>
      <c r="P1967" s="195"/>
      <c r="Q1967" s="166"/>
      <c r="R1967" s="169"/>
      <c r="S1967" s="169"/>
      <c r="T1967" s="169"/>
      <c r="U1967" s="169"/>
      <c r="V1967" s="166">
        <f t="shared" si="83"/>
        <v>0</v>
      </c>
      <c r="W1967" s="205"/>
      <c r="X1967" s="167"/>
    </row>
    <row r="1968" spans="8:24" s="221" customFormat="1" ht="12.75" hidden="1" customHeight="1">
      <c r="H1968" s="217" t="s">
        <v>5539</v>
      </c>
      <c r="I1968" s="217" t="s">
        <v>5536</v>
      </c>
      <c r="J1968" s="217" t="s">
        <v>5537</v>
      </c>
      <c r="K1968" s="217" t="s">
        <v>5540</v>
      </c>
      <c r="L1968" s="217" t="s">
        <v>744</v>
      </c>
      <c r="M1968" s="217"/>
      <c r="N1968" s="218">
        <v>43000</v>
      </c>
      <c r="O1968" s="169">
        <f t="shared" si="82"/>
        <v>0</v>
      </c>
      <c r="P1968" s="195"/>
      <c r="Q1968" s="166"/>
      <c r="R1968" s="169"/>
      <c r="S1968" s="169"/>
      <c r="T1968" s="169"/>
      <c r="U1968" s="169"/>
      <c r="V1968" s="166">
        <f t="shared" si="83"/>
        <v>0</v>
      </c>
      <c r="W1968" s="205"/>
      <c r="X1968" s="167"/>
    </row>
    <row r="1969" spans="8:24" s="221" customFormat="1" ht="12.75" hidden="1" customHeight="1">
      <c r="H1969" s="217" t="s">
        <v>5541</v>
      </c>
      <c r="I1969" s="217" t="s">
        <v>5536</v>
      </c>
      <c r="J1969" s="217" t="s">
        <v>5537</v>
      </c>
      <c r="K1969" s="217" t="s">
        <v>5542</v>
      </c>
      <c r="L1969" s="217" t="s">
        <v>744</v>
      </c>
      <c r="M1969" s="217"/>
      <c r="N1969" s="218">
        <v>48100</v>
      </c>
      <c r="O1969" s="169">
        <f t="shared" si="82"/>
        <v>0</v>
      </c>
      <c r="P1969" s="195"/>
      <c r="Q1969" s="166"/>
      <c r="R1969" s="169"/>
      <c r="S1969" s="169"/>
      <c r="T1969" s="169"/>
      <c r="U1969" s="169"/>
      <c r="V1969" s="166">
        <f t="shared" si="83"/>
        <v>0</v>
      </c>
      <c r="W1969" s="205"/>
      <c r="X1969" s="167"/>
    </row>
    <row r="1970" spans="8:24" s="221" customFormat="1" ht="12.75" hidden="1" customHeight="1">
      <c r="H1970" s="217" t="s">
        <v>5543</v>
      </c>
      <c r="I1970" s="217" t="s">
        <v>5536</v>
      </c>
      <c r="J1970" s="217" t="s">
        <v>5537</v>
      </c>
      <c r="K1970" s="217" t="s">
        <v>5544</v>
      </c>
      <c r="L1970" s="217" t="s">
        <v>744</v>
      </c>
      <c r="M1970" s="217"/>
      <c r="N1970" s="218">
        <v>52700</v>
      </c>
      <c r="O1970" s="169">
        <f t="shared" si="82"/>
        <v>0</v>
      </c>
      <c r="P1970" s="195"/>
      <c r="Q1970" s="166"/>
      <c r="R1970" s="169"/>
      <c r="S1970" s="169"/>
      <c r="T1970" s="169"/>
      <c r="U1970" s="169"/>
      <c r="V1970" s="166">
        <f t="shared" si="83"/>
        <v>0</v>
      </c>
      <c r="W1970" s="205"/>
      <c r="X1970" s="167"/>
    </row>
    <row r="1971" spans="8:24" s="221" customFormat="1" ht="12.75" hidden="1" customHeight="1">
      <c r="H1971" s="217" t="s">
        <v>5545</v>
      </c>
      <c r="I1971" s="217" t="s">
        <v>5536</v>
      </c>
      <c r="J1971" s="217" t="s">
        <v>5546</v>
      </c>
      <c r="K1971" s="217" t="s">
        <v>5547</v>
      </c>
      <c r="L1971" s="217" t="s">
        <v>744</v>
      </c>
      <c r="M1971" s="217"/>
      <c r="N1971" s="218">
        <v>72700</v>
      </c>
      <c r="O1971" s="169">
        <f t="shared" si="82"/>
        <v>0</v>
      </c>
      <c r="P1971" s="195"/>
      <c r="Q1971" s="166"/>
      <c r="R1971" s="169"/>
      <c r="S1971" s="169"/>
      <c r="T1971" s="169"/>
      <c r="U1971" s="169"/>
      <c r="V1971" s="166">
        <f t="shared" si="83"/>
        <v>0</v>
      </c>
      <c r="W1971" s="205"/>
      <c r="X1971" s="167"/>
    </row>
    <row r="1972" spans="8:24" s="221" customFormat="1" ht="12.75" hidden="1" customHeight="1">
      <c r="H1972" s="217" t="s">
        <v>5548</v>
      </c>
      <c r="I1972" s="217" t="s">
        <v>5536</v>
      </c>
      <c r="J1972" s="217" t="s">
        <v>5546</v>
      </c>
      <c r="K1972" s="217" t="s">
        <v>5549</v>
      </c>
      <c r="L1972" s="217" t="s">
        <v>744</v>
      </c>
      <c r="M1972" s="217"/>
      <c r="N1972" s="218">
        <v>73900</v>
      </c>
      <c r="O1972" s="169">
        <f t="shared" si="82"/>
        <v>0</v>
      </c>
      <c r="P1972" s="195"/>
      <c r="Q1972" s="166"/>
      <c r="R1972" s="169"/>
      <c r="S1972" s="169"/>
      <c r="T1972" s="169"/>
      <c r="U1972" s="169"/>
      <c r="V1972" s="166">
        <f t="shared" si="83"/>
        <v>0</v>
      </c>
      <c r="W1972" s="205"/>
      <c r="X1972" s="167"/>
    </row>
    <row r="1973" spans="8:24" s="221" customFormat="1" ht="12.75" hidden="1" customHeight="1">
      <c r="H1973" s="217" t="s">
        <v>5550</v>
      </c>
      <c r="I1973" s="217" t="s">
        <v>5536</v>
      </c>
      <c r="J1973" s="217" t="s">
        <v>5537</v>
      </c>
      <c r="K1973" s="217" t="s">
        <v>5551</v>
      </c>
      <c r="L1973" s="217" t="s">
        <v>744</v>
      </c>
      <c r="M1973" s="217"/>
      <c r="N1973" s="218">
        <v>90200</v>
      </c>
      <c r="O1973" s="169">
        <f t="shared" si="82"/>
        <v>0</v>
      </c>
      <c r="P1973" s="195"/>
      <c r="Q1973" s="166"/>
      <c r="R1973" s="169"/>
      <c r="S1973" s="169"/>
      <c r="T1973" s="169"/>
      <c r="U1973" s="169"/>
      <c r="V1973" s="166">
        <f t="shared" si="83"/>
        <v>0</v>
      </c>
      <c r="W1973" s="205"/>
      <c r="X1973" s="167"/>
    </row>
    <row r="1974" spans="8:24" s="221" customFormat="1" ht="12.75" hidden="1" customHeight="1">
      <c r="H1974" s="217" t="s">
        <v>5552</v>
      </c>
      <c r="I1974" s="217" t="s">
        <v>5536</v>
      </c>
      <c r="J1974" s="217" t="s">
        <v>5546</v>
      </c>
      <c r="K1974" s="217" t="s">
        <v>5554</v>
      </c>
      <c r="L1974" s="217" t="s">
        <v>744</v>
      </c>
      <c r="M1974" s="217"/>
      <c r="N1974" s="218">
        <v>110000</v>
      </c>
      <c r="O1974" s="169">
        <f t="shared" si="82"/>
        <v>0</v>
      </c>
      <c r="P1974" s="195"/>
      <c r="Q1974" s="166"/>
      <c r="R1974" s="169"/>
      <c r="S1974" s="169"/>
      <c r="T1974" s="169"/>
      <c r="U1974" s="169"/>
      <c r="V1974" s="166">
        <f t="shared" si="83"/>
        <v>0</v>
      </c>
      <c r="W1974" s="205"/>
      <c r="X1974" s="167"/>
    </row>
    <row r="1975" spans="8:24" s="221" customFormat="1" ht="12.75" hidden="1" customHeight="1">
      <c r="H1975" s="217" t="s">
        <v>5553</v>
      </c>
      <c r="I1975" s="217" t="s">
        <v>5536</v>
      </c>
      <c r="J1975" s="217" t="s">
        <v>5546</v>
      </c>
      <c r="K1975" s="217" t="s">
        <v>5555</v>
      </c>
      <c r="L1975" s="217" t="s">
        <v>744</v>
      </c>
      <c r="M1975" s="217"/>
      <c r="N1975" s="218">
        <v>110000</v>
      </c>
      <c r="O1975" s="169">
        <f t="shared" si="82"/>
        <v>0</v>
      </c>
      <c r="P1975" s="195"/>
      <c r="Q1975" s="166"/>
      <c r="R1975" s="169"/>
      <c r="S1975" s="169"/>
      <c r="T1975" s="169"/>
      <c r="U1975" s="169"/>
      <c r="V1975" s="166">
        <f t="shared" si="83"/>
        <v>0</v>
      </c>
      <c r="W1975" s="205"/>
      <c r="X1975" s="167"/>
    </row>
    <row r="1976" spans="8:24" s="221" customFormat="1" ht="12.75" hidden="1" customHeight="1">
      <c r="H1976" s="217" t="s">
        <v>5556</v>
      </c>
      <c r="I1976" s="217" t="s">
        <v>5536</v>
      </c>
      <c r="J1976" s="217" t="s">
        <v>5537</v>
      </c>
      <c r="K1976" s="217" t="s">
        <v>5557</v>
      </c>
      <c r="L1976" s="217" t="s">
        <v>744</v>
      </c>
      <c r="M1976" s="217"/>
      <c r="N1976" s="218">
        <v>113000</v>
      </c>
      <c r="O1976" s="169">
        <f t="shared" si="82"/>
        <v>0</v>
      </c>
      <c r="P1976" s="195"/>
      <c r="Q1976" s="166"/>
      <c r="R1976" s="169"/>
      <c r="S1976" s="169"/>
      <c r="T1976" s="169"/>
      <c r="U1976" s="169"/>
      <c r="V1976" s="166">
        <f t="shared" si="83"/>
        <v>0</v>
      </c>
      <c r="W1976" s="205"/>
      <c r="X1976" s="167"/>
    </row>
    <row r="1977" spans="8:24" s="221" customFormat="1" ht="12.75" hidden="1" customHeight="1">
      <c r="H1977" s="217" t="s">
        <v>5558</v>
      </c>
      <c r="I1977" s="217" t="s">
        <v>5536</v>
      </c>
      <c r="J1977" s="217" t="s">
        <v>5546</v>
      </c>
      <c r="K1977" s="217" t="s">
        <v>5559</v>
      </c>
      <c r="L1977" s="217" t="s">
        <v>744</v>
      </c>
      <c r="M1977" s="217"/>
      <c r="N1977" s="218">
        <v>131000</v>
      </c>
      <c r="O1977" s="169">
        <f t="shared" si="82"/>
        <v>0</v>
      </c>
      <c r="P1977" s="195"/>
      <c r="Q1977" s="166"/>
      <c r="R1977" s="169"/>
      <c r="S1977" s="169"/>
      <c r="T1977" s="169"/>
      <c r="U1977" s="169"/>
      <c r="V1977" s="166">
        <f t="shared" si="83"/>
        <v>0</v>
      </c>
      <c r="W1977" s="205"/>
      <c r="X1977" s="167"/>
    </row>
    <row r="1978" spans="8:24" s="221" customFormat="1" ht="12.75" hidden="1" customHeight="1">
      <c r="H1978" s="217" t="s">
        <v>5560</v>
      </c>
      <c r="I1978" s="217" t="s">
        <v>5536</v>
      </c>
      <c r="J1978" s="217" t="s">
        <v>5546</v>
      </c>
      <c r="K1978" s="217" t="s">
        <v>5561</v>
      </c>
      <c r="L1978" s="217" t="s">
        <v>744</v>
      </c>
      <c r="M1978" s="217"/>
      <c r="N1978" s="218">
        <v>134000</v>
      </c>
      <c r="O1978" s="169">
        <f t="shared" si="82"/>
        <v>0</v>
      </c>
      <c r="P1978" s="195"/>
      <c r="Q1978" s="166"/>
      <c r="R1978" s="169"/>
      <c r="S1978" s="169"/>
      <c r="T1978" s="169"/>
      <c r="U1978" s="169"/>
      <c r="V1978" s="166">
        <f t="shared" si="83"/>
        <v>0</v>
      </c>
      <c r="W1978" s="205"/>
      <c r="X1978" s="167"/>
    </row>
    <row r="1979" spans="8:24" s="221" customFormat="1" ht="12.75" hidden="1" customHeight="1">
      <c r="H1979" s="217" t="s">
        <v>5562</v>
      </c>
      <c r="I1979" s="217" t="s">
        <v>5536</v>
      </c>
      <c r="J1979" s="217" t="s">
        <v>5546</v>
      </c>
      <c r="K1979" s="217" t="s">
        <v>5563</v>
      </c>
      <c r="L1979" s="217" t="s">
        <v>744</v>
      </c>
      <c r="M1979" s="217"/>
      <c r="N1979" s="218">
        <v>143000</v>
      </c>
      <c r="O1979" s="169">
        <f t="shared" si="82"/>
        <v>0</v>
      </c>
      <c r="P1979" s="195"/>
      <c r="Q1979" s="166"/>
      <c r="R1979" s="169"/>
      <c r="S1979" s="169"/>
      <c r="T1979" s="169"/>
      <c r="U1979" s="169"/>
      <c r="V1979" s="166">
        <f t="shared" si="83"/>
        <v>0</v>
      </c>
      <c r="W1979" s="205"/>
      <c r="X1979" s="167"/>
    </row>
    <row r="1980" spans="8:24" s="221" customFormat="1" ht="12.75" hidden="1" customHeight="1">
      <c r="H1980" s="217" t="s">
        <v>5564</v>
      </c>
      <c r="I1980" s="217" t="s">
        <v>5536</v>
      </c>
      <c r="J1980" s="217" t="s">
        <v>5546</v>
      </c>
      <c r="K1980" s="217" t="s">
        <v>5565</v>
      </c>
      <c r="L1980" s="217" t="s">
        <v>744</v>
      </c>
      <c r="M1980" s="217"/>
      <c r="N1980" s="218">
        <v>170000</v>
      </c>
      <c r="O1980" s="169">
        <f t="shared" si="82"/>
        <v>0</v>
      </c>
      <c r="P1980" s="195"/>
      <c r="Q1980" s="166"/>
      <c r="R1980" s="169"/>
      <c r="S1980" s="169"/>
      <c r="T1980" s="169"/>
      <c r="U1980" s="169"/>
      <c r="V1980" s="166">
        <f t="shared" si="83"/>
        <v>0</v>
      </c>
      <c r="W1980" s="205"/>
      <c r="X1980" s="167"/>
    </row>
    <row r="1981" spans="8:24" s="221" customFormat="1" ht="12.75" hidden="1" customHeight="1">
      <c r="H1981" s="217" t="s">
        <v>5566</v>
      </c>
      <c r="I1981" s="217" t="s">
        <v>5536</v>
      </c>
      <c r="J1981" s="217" t="s">
        <v>5546</v>
      </c>
      <c r="K1981" s="217" t="s">
        <v>5567</v>
      </c>
      <c r="L1981" s="217" t="s">
        <v>744</v>
      </c>
      <c r="M1981" s="217"/>
      <c r="N1981" s="218">
        <v>178000</v>
      </c>
      <c r="O1981" s="169">
        <f t="shared" si="82"/>
        <v>0</v>
      </c>
      <c r="P1981" s="195"/>
      <c r="Q1981" s="166"/>
      <c r="R1981" s="169"/>
      <c r="S1981" s="169"/>
      <c r="T1981" s="169"/>
      <c r="U1981" s="169"/>
      <c r="V1981" s="166">
        <f t="shared" si="83"/>
        <v>0</v>
      </c>
      <c r="W1981" s="205"/>
      <c r="X1981" s="167"/>
    </row>
    <row r="1982" spans="8:24" s="221" customFormat="1" ht="12.75" hidden="1" customHeight="1">
      <c r="H1982" s="217" t="s">
        <v>5568</v>
      </c>
      <c r="I1982" s="217" t="s">
        <v>5536</v>
      </c>
      <c r="J1982" s="217" t="s">
        <v>5546</v>
      </c>
      <c r="K1982" s="217" t="s">
        <v>5569</v>
      </c>
      <c r="L1982" s="217" t="s">
        <v>744</v>
      </c>
      <c r="M1982" s="217"/>
      <c r="N1982" s="218">
        <v>214000</v>
      </c>
      <c r="O1982" s="169">
        <f t="shared" si="82"/>
        <v>0</v>
      </c>
      <c r="P1982" s="195"/>
      <c r="Q1982" s="166"/>
      <c r="R1982" s="169"/>
      <c r="S1982" s="169"/>
      <c r="T1982" s="169"/>
      <c r="U1982" s="169"/>
      <c r="V1982" s="166">
        <f t="shared" si="83"/>
        <v>0</v>
      </c>
      <c r="W1982" s="205"/>
      <c r="X1982" s="167"/>
    </row>
    <row r="1983" spans="8:24" s="221" customFormat="1" ht="12.75" hidden="1" customHeight="1">
      <c r="H1983" s="217" t="s">
        <v>5570</v>
      </c>
      <c r="I1983" s="217" t="s">
        <v>5536</v>
      </c>
      <c r="J1983" s="217" t="s">
        <v>5546</v>
      </c>
      <c r="K1983" s="217" t="s">
        <v>5571</v>
      </c>
      <c r="L1983" s="217" t="s">
        <v>744</v>
      </c>
      <c r="M1983" s="217"/>
      <c r="N1983" s="218">
        <v>444000</v>
      </c>
      <c r="O1983" s="169">
        <f t="shared" si="82"/>
        <v>0</v>
      </c>
      <c r="P1983" s="195"/>
      <c r="Q1983" s="166"/>
      <c r="R1983" s="169"/>
      <c r="S1983" s="169"/>
      <c r="T1983" s="169"/>
      <c r="U1983" s="169"/>
      <c r="V1983" s="166">
        <f t="shared" si="83"/>
        <v>0</v>
      </c>
      <c r="W1983" s="205"/>
      <c r="X1983" s="167"/>
    </row>
    <row r="1984" spans="8:24" s="221" customFormat="1" ht="12.75" hidden="1" customHeight="1">
      <c r="H1984" s="217" t="s">
        <v>5572</v>
      </c>
      <c r="I1984" s="217" t="s">
        <v>5536</v>
      </c>
      <c r="J1984" s="217" t="s">
        <v>5546</v>
      </c>
      <c r="K1984" s="217" t="s">
        <v>5573</v>
      </c>
      <c r="L1984" s="217" t="s">
        <v>744</v>
      </c>
      <c r="M1984" s="217"/>
      <c r="N1984" s="218">
        <v>644000</v>
      </c>
      <c r="O1984" s="169">
        <f t="shared" si="82"/>
        <v>0</v>
      </c>
      <c r="P1984" s="195"/>
      <c r="Q1984" s="166"/>
      <c r="R1984" s="169"/>
      <c r="S1984" s="169"/>
      <c r="T1984" s="169"/>
      <c r="U1984" s="169"/>
      <c r="V1984" s="166">
        <f t="shared" si="83"/>
        <v>0</v>
      </c>
      <c r="W1984" s="205"/>
      <c r="X1984" s="167"/>
    </row>
    <row r="1985" spans="8:24" s="221" customFormat="1" ht="12.75" hidden="1" customHeight="1">
      <c r="H1985" s="217" t="s">
        <v>5574</v>
      </c>
      <c r="I1985" s="217" t="s">
        <v>5536</v>
      </c>
      <c r="J1985" s="217" t="s">
        <v>5546</v>
      </c>
      <c r="K1985" s="217" t="s">
        <v>5575</v>
      </c>
      <c r="L1985" s="217" t="s">
        <v>744</v>
      </c>
      <c r="M1985" s="217"/>
      <c r="N1985" s="218">
        <v>856000</v>
      </c>
      <c r="O1985" s="169">
        <f t="shared" si="82"/>
        <v>0</v>
      </c>
      <c r="P1985" s="195"/>
      <c r="Q1985" s="166"/>
      <c r="R1985" s="169"/>
      <c r="S1985" s="169"/>
      <c r="T1985" s="169"/>
      <c r="U1985" s="169"/>
      <c r="V1985" s="166">
        <f t="shared" si="83"/>
        <v>0</v>
      </c>
      <c r="W1985" s="205"/>
      <c r="X1985" s="167"/>
    </row>
    <row r="1986" spans="8:24" s="221" customFormat="1" ht="12.75" hidden="1" customHeight="1">
      <c r="H1986" s="217" t="s">
        <v>5576</v>
      </c>
      <c r="I1986" s="217" t="s">
        <v>5536</v>
      </c>
      <c r="J1986" s="217" t="s">
        <v>5546</v>
      </c>
      <c r="K1986" s="217" t="s">
        <v>5577</v>
      </c>
      <c r="L1986" s="217" t="s">
        <v>744</v>
      </c>
      <c r="M1986" s="217"/>
      <c r="N1986" s="218">
        <v>1202000</v>
      </c>
      <c r="O1986" s="169">
        <f t="shared" si="82"/>
        <v>0</v>
      </c>
      <c r="P1986" s="195"/>
      <c r="Q1986" s="166"/>
      <c r="R1986" s="169"/>
      <c r="S1986" s="169"/>
      <c r="T1986" s="169"/>
      <c r="U1986" s="169"/>
      <c r="V1986" s="166">
        <f t="shared" si="83"/>
        <v>0</v>
      </c>
      <c r="W1986" s="205"/>
      <c r="X1986" s="167"/>
    </row>
    <row r="1987" spans="8:24" s="221" customFormat="1" ht="12.75" hidden="1" customHeight="1">
      <c r="H1987" s="217" t="s">
        <v>5578</v>
      </c>
      <c r="I1987" s="217" t="s">
        <v>5536</v>
      </c>
      <c r="J1987" s="217" t="s">
        <v>5546</v>
      </c>
      <c r="K1987" s="217" t="s">
        <v>5579</v>
      </c>
      <c r="L1987" s="217" t="s">
        <v>744</v>
      </c>
      <c r="M1987" s="217"/>
      <c r="N1987" s="218">
        <v>1464000</v>
      </c>
      <c r="O1987" s="169">
        <f t="shared" ref="O1987:O2050" si="84">M1987*N1987*$O$3</f>
        <v>0</v>
      </c>
      <c r="P1987" s="195"/>
      <c r="Q1987" s="166"/>
      <c r="R1987" s="169"/>
      <c r="S1987" s="169"/>
      <c r="T1987" s="169"/>
      <c r="U1987" s="169"/>
      <c r="V1987" s="166">
        <f t="shared" si="83"/>
        <v>0</v>
      </c>
      <c r="W1987" s="205"/>
      <c r="X1987" s="167"/>
    </row>
    <row r="1988" spans="8:24" s="221" customFormat="1" ht="12.75" hidden="1" customHeight="1">
      <c r="H1988" s="217" t="s">
        <v>5580</v>
      </c>
      <c r="I1988" s="217" t="s">
        <v>5536</v>
      </c>
      <c r="J1988" s="217" t="s">
        <v>5537</v>
      </c>
      <c r="K1988" s="217" t="s">
        <v>5581</v>
      </c>
      <c r="L1988" s="217" t="s">
        <v>744</v>
      </c>
      <c r="M1988" s="217"/>
      <c r="N1988" s="218">
        <v>13900</v>
      </c>
      <c r="O1988" s="169">
        <f t="shared" si="84"/>
        <v>0</v>
      </c>
      <c r="P1988" s="195"/>
      <c r="Q1988" s="166"/>
      <c r="R1988" s="169"/>
      <c r="S1988" s="169"/>
      <c r="T1988" s="169"/>
      <c r="U1988" s="169"/>
      <c r="V1988" s="166">
        <f t="shared" si="83"/>
        <v>0</v>
      </c>
      <c r="W1988" s="205"/>
      <c r="X1988" s="167"/>
    </row>
    <row r="1989" spans="8:24" s="221" customFormat="1" ht="12.75" hidden="1" customHeight="1">
      <c r="H1989" s="217" t="s">
        <v>5582</v>
      </c>
      <c r="I1989" s="217" t="s">
        <v>5536</v>
      </c>
      <c r="J1989" s="217" t="s">
        <v>5537</v>
      </c>
      <c r="K1989" s="217" t="s">
        <v>5583</v>
      </c>
      <c r="L1989" s="217" t="s">
        <v>744</v>
      </c>
      <c r="M1989" s="217"/>
      <c r="N1989" s="218">
        <v>13900</v>
      </c>
      <c r="O1989" s="169">
        <f t="shared" si="84"/>
        <v>0</v>
      </c>
      <c r="P1989" s="195"/>
      <c r="Q1989" s="166"/>
      <c r="R1989" s="169"/>
      <c r="S1989" s="169"/>
      <c r="T1989" s="169"/>
      <c r="U1989" s="169"/>
      <c r="V1989" s="166">
        <f t="shared" si="83"/>
        <v>0</v>
      </c>
      <c r="W1989" s="205"/>
      <c r="X1989" s="167"/>
    </row>
    <row r="1990" spans="8:24" s="221" customFormat="1" ht="12.75" hidden="1" customHeight="1">
      <c r="H1990" s="217" t="s">
        <v>5584</v>
      </c>
      <c r="I1990" s="217" t="s">
        <v>5536</v>
      </c>
      <c r="J1990" s="217" t="s">
        <v>5537</v>
      </c>
      <c r="K1990" s="217" t="s">
        <v>5586</v>
      </c>
      <c r="L1990" s="217" t="s">
        <v>744</v>
      </c>
      <c r="M1990" s="217"/>
      <c r="N1990" s="218">
        <v>13900</v>
      </c>
      <c r="O1990" s="169">
        <f t="shared" si="84"/>
        <v>0</v>
      </c>
      <c r="P1990" s="195"/>
      <c r="Q1990" s="166"/>
      <c r="R1990" s="169"/>
      <c r="S1990" s="169"/>
      <c r="T1990" s="169"/>
      <c r="U1990" s="169"/>
      <c r="V1990" s="166">
        <f t="shared" ref="V1990:V2053" si="85">SUM(O1990+Q1990)+S1990+U1990</f>
        <v>0</v>
      </c>
      <c r="W1990" s="205"/>
      <c r="X1990" s="167"/>
    </row>
    <row r="1991" spans="8:24" s="221" customFormat="1" ht="12.75" hidden="1" customHeight="1">
      <c r="H1991" s="217" t="s">
        <v>5585</v>
      </c>
      <c r="I1991" s="217" t="s">
        <v>5536</v>
      </c>
      <c r="J1991" s="217" t="s">
        <v>5537</v>
      </c>
      <c r="K1991" s="217" t="s">
        <v>5587</v>
      </c>
      <c r="L1991" s="217" t="s">
        <v>744</v>
      </c>
      <c r="M1991" s="217"/>
      <c r="N1991" s="218">
        <v>13900</v>
      </c>
      <c r="O1991" s="169">
        <f t="shared" si="84"/>
        <v>0</v>
      </c>
      <c r="P1991" s="195"/>
      <c r="Q1991" s="166"/>
      <c r="R1991" s="169"/>
      <c r="S1991" s="169"/>
      <c r="T1991" s="169"/>
      <c r="U1991" s="169"/>
      <c r="V1991" s="166">
        <f t="shared" si="85"/>
        <v>0</v>
      </c>
      <c r="W1991" s="205"/>
      <c r="X1991" s="167"/>
    </row>
    <row r="1992" spans="8:24" s="221" customFormat="1" ht="12.75" hidden="1" customHeight="1">
      <c r="H1992" s="217" t="s">
        <v>5588</v>
      </c>
      <c r="I1992" s="217" t="s">
        <v>5536</v>
      </c>
      <c r="J1992" s="217" t="s">
        <v>5537</v>
      </c>
      <c r="K1992" s="217" t="s">
        <v>5589</v>
      </c>
      <c r="L1992" s="217" t="s">
        <v>744</v>
      </c>
      <c r="M1992" s="217"/>
      <c r="N1992" s="218">
        <v>14800</v>
      </c>
      <c r="O1992" s="169">
        <f t="shared" si="84"/>
        <v>0</v>
      </c>
      <c r="P1992" s="195"/>
      <c r="Q1992" s="166"/>
      <c r="R1992" s="169"/>
      <c r="S1992" s="169"/>
      <c r="T1992" s="169"/>
      <c r="U1992" s="169"/>
      <c r="V1992" s="166">
        <f t="shared" si="85"/>
        <v>0</v>
      </c>
      <c r="W1992" s="205"/>
      <c r="X1992" s="167"/>
    </row>
    <row r="1993" spans="8:24" s="221" customFormat="1" ht="12.75" hidden="1" customHeight="1">
      <c r="H1993" s="217" t="s">
        <v>5590</v>
      </c>
      <c r="I1993" s="217" t="s">
        <v>5536</v>
      </c>
      <c r="J1993" s="217" t="s">
        <v>5537</v>
      </c>
      <c r="K1993" s="217" t="s">
        <v>5591</v>
      </c>
      <c r="L1993" s="217" t="s">
        <v>744</v>
      </c>
      <c r="M1993" s="217"/>
      <c r="N1993" s="218">
        <v>16100</v>
      </c>
      <c r="O1993" s="169">
        <f t="shared" si="84"/>
        <v>0</v>
      </c>
      <c r="P1993" s="195"/>
      <c r="Q1993" s="166"/>
      <c r="R1993" s="169"/>
      <c r="S1993" s="169"/>
      <c r="T1993" s="169"/>
      <c r="U1993" s="169"/>
      <c r="V1993" s="166">
        <f t="shared" si="85"/>
        <v>0</v>
      </c>
      <c r="W1993" s="205"/>
      <c r="X1993" s="167"/>
    </row>
    <row r="1994" spans="8:24" s="221" customFormat="1" ht="12.75" hidden="1" customHeight="1">
      <c r="H1994" s="217" t="s">
        <v>5592</v>
      </c>
      <c r="I1994" s="217" t="s">
        <v>5536</v>
      </c>
      <c r="J1994" s="217" t="s">
        <v>5537</v>
      </c>
      <c r="K1994" s="217" t="s">
        <v>5593</v>
      </c>
      <c r="L1994" s="217" t="s">
        <v>744</v>
      </c>
      <c r="M1994" s="217"/>
      <c r="N1994" s="218">
        <v>16400</v>
      </c>
      <c r="O1994" s="169">
        <f t="shared" si="84"/>
        <v>0</v>
      </c>
      <c r="P1994" s="195"/>
      <c r="Q1994" s="166"/>
      <c r="R1994" s="169"/>
      <c r="S1994" s="169"/>
      <c r="T1994" s="169"/>
      <c r="U1994" s="169"/>
      <c r="V1994" s="166">
        <f t="shared" si="85"/>
        <v>0</v>
      </c>
      <c r="W1994" s="205"/>
      <c r="X1994" s="167"/>
    </row>
    <row r="1995" spans="8:24" s="221" customFormat="1" ht="12.75" hidden="1" customHeight="1">
      <c r="H1995" s="217" t="s">
        <v>5594</v>
      </c>
      <c r="I1995" s="217" t="s">
        <v>5536</v>
      </c>
      <c r="J1995" s="217" t="s">
        <v>5537</v>
      </c>
      <c r="K1995" s="217" t="s">
        <v>5595</v>
      </c>
      <c r="L1995" s="217" t="s">
        <v>744</v>
      </c>
      <c r="M1995" s="217"/>
      <c r="N1995" s="218">
        <v>16500</v>
      </c>
      <c r="O1995" s="169">
        <f t="shared" si="84"/>
        <v>0</v>
      </c>
      <c r="P1995" s="195"/>
      <c r="Q1995" s="166"/>
      <c r="R1995" s="169"/>
      <c r="S1995" s="169"/>
      <c r="T1995" s="169"/>
      <c r="U1995" s="169"/>
      <c r="V1995" s="166">
        <f t="shared" si="85"/>
        <v>0</v>
      </c>
      <c r="W1995" s="205"/>
      <c r="X1995" s="167"/>
    </row>
    <row r="1996" spans="8:24" s="221" customFormat="1" ht="12.75" hidden="1" customHeight="1">
      <c r="H1996" s="217" t="s">
        <v>5596</v>
      </c>
      <c r="I1996" s="217" t="s">
        <v>5536</v>
      </c>
      <c r="J1996" s="217" t="s">
        <v>5537</v>
      </c>
      <c r="K1996" s="217" t="s">
        <v>5597</v>
      </c>
      <c r="L1996" s="217" t="s">
        <v>744</v>
      </c>
      <c r="M1996" s="217"/>
      <c r="N1996" s="218">
        <v>27000</v>
      </c>
      <c r="O1996" s="169">
        <f t="shared" si="84"/>
        <v>0</v>
      </c>
      <c r="P1996" s="195"/>
      <c r="Q1996" s="166"/>
      <c r="R1996" s="169"/>
      <c r="S1996" s="169"/>
      <c r="T1996" s="169"/>
      <c r="U1996" s="169"/>
      <c r="V1996" s="166">
        <f t="shared" si="85"/>
        <v>0</v>
      </c>
      <c r="W1996" s="205"/>
      <c r="X1996" s="167"/>
    </row>
    <row r="1997" spans="8:24" s="221" customFormat="1" ht="12.75" hidden="1" customHeight="1">
      <c r="H1997" s="217" t="s">
        <v>5598</v>
      </c>
      <c r="I1997" s="217" t="s">
        <v>5536</v>
      </c>
      <c r="J1997" s="217" t="s">
        <v>5537</v>
      </c>
      <c r="K1997" s="217" t="s">
        <v>5599</v>
      </c>
      <c r="L1997" s="217" t="s">
        <v>744</v>
      </c>
      <c r="M1997" s="217"/>
      <c r="N1997" s="218">
        <v>30500</v>
      </c>
      <c r="O1997" s="169">
        <f t="shared" si="84"/>
        <v>0</v>
      </c>
      <c r="P1997" s="195"/>
      <c r="Q1997" s="166"/>
      <c r="R1997" s="169"/>
      <c r="S1997" s="169"/>
      <c r="T1997" s="169"/>
      <c r="U1997" s="169"/>
      <c r="V1997" s="166">
        <f t="shared" si="85"/>
        <v>0</v>
      </c>
      <c r="W1997" s="205"/>
      <c r="X1997" s="167"/>
    </row>
    <row r="1998" spans="8:24" s="221" customFormat="1" ht="12.75" hidden="1" customHeight="1">
      <c r="H1998" s="217" t="s">
        <v>5600</v>
      </c>
      <c r="I1998" s="217" t="s">
        <v>5536</v>
      </c>
      <c r="J1998" s="217" t="s">
        <v>5537</v>
      </c>
      <c r="K1998" s="217" t="s">
        <v>5601</v>
      </c>
      <c r="L1998" s="217" t="s">
        <v>744</v>
      </c>
      <c r="M1998" s="217"/>
      <c r="N1998" s="218">
        <v>31000</v>
      </c>
      <c r="O1998" s="169">
        <f t="shared" si="84"/>
        <v>0</v>
      </c>
      <c r="P1998" s="195"/>
      <c r="Q1998" s="166"/>
      <c r="R1998" s="169"/>
      <c r="S1998" s="169"/>
      <c r="T1998" s="169"/>
      <c r="U1998" s="169"/>
      <c r="V1998" s="166">
        <f t="shared" si="85"/>
        <v>0</v>
      </c>
      <c r="W1998" s="205"/>
      <c r="X1998" s="167"/>
    </row>
    <row r="1999" spans="8:24" s="221" customFormat="1" ht="12.75" hidden="1" customHeight="1">
      <c r="H1999" s="217" t="s">
        <v>5602</v>
      </c>
      <c r="I1999" s="217" t="s">
        <v>5536</v>
      </c>
      <c r="J1999" s="217" t="s">
        <v>5537</v>
      </c>
      <c r="K1999" s="217" t="s">
        <v>5603</v>
      </c>
      <c r="L1999" s="217" t="s">
        <v>744</v>
      </c>
      <c r="M1999" s="217"/>
      <c r="N1999" s="218">
        <v>35500</v>
      </c>
      <c r="O1999" s="169">
        <f t="shared" si="84"/>
        <v>0</v>
      </c>
      <c r="P1999" s="195"/>
      <c r="Q1999" s="166"/>
      <c r="R1999" s="169"/>
      <c r="S1999" s="169"/>
      <c r="T1999" s="169"/>
      <c r="U1999" s="169"/>
      <c r="V1999" s="166">
        <f t="shared" si="85"/>
        <v>0</v>
      </c>
      <c r="W1999" s="205"/>
      <c r="X1999" s="167"/>
    </row>
    <row r="2000" spans="8:24" s="221" customFormat="1" ht="12.75" hidden="1" customHeight="1">
      <c r="H2000" s="217" t="s">
        <v>5604</v>
      </c>
      <c r="I2000" s="217" t="s">
        <v>5536</v>
      </c>
      <c r="J2000" s="217" t="s">
        <v>5537</v>
      </c>
      <c r="K2000" s="217" t="s">
        <v>5605</v>
      </c>
      <c r="L2000" s="217" t="s">
        <v>744</v>
      </c>
      <c r="M2000" s="217"/>
      <c r="N2000" s="218">
        <v>38900</v>
      </c>
      <c r="O2000" s="169">
        <f t="shared" si="84"/>
        <v>0</v>
      </c>
      <c r="P2000" s="195"/>
      <c r="Q2000" s="166"/>
      <c r="R2000" s="169"/>
      <c r="S2000" s="169"/>
      <c r="T2000" s="169"/>
      <c r="U2000" s="169"/>
      <c r="V2000" s="166">
        <f t="shared" si="85"/>
        <v>0</v>
      </c>
      <c r="W2000" s="205"/>
      <c r="X2000" s="167"/>
    </row>
    <row r="2001" spans="8:24" s="221" customFormat="1" ht="12.75" hidden="1" customHeight="1">
      <c r="H2001" s="217" t="s">
        <v>5535</v>
      </c>
      <c r="I2001" s="217" t="s">
        <v>5536</v>
      </c>
      <c r="J2001" s="217" t="s">
        <v>5537</v>
      </c>
      <c r="K2001" s="217" t="s">
        <v>5538</v>
      </c>
      <c r="L2001" s="217" t="s">
        <v>744</v>
      </c>
      <c r="M2001" s="217"/>
      <c r="N2001" s="218">
        <v>40600</v>
      </c>
      <c r="O2001" s="169">
        <f t="shared" si="84"/>
        <v>0</v>
      </c>
      <c r="P2001" s="195"/>
      <c r="Q2001" s="166"/>
      <c r="R2001" s="169"/>
      <c r="S2001" s="169"/>
      <c r="T2001" s="169"/>
      <c r="U2001" s="169"/>
      <c r="V2001" s="166">
        <f t="shared" si="85"/>
        <v>0</v>
      </c>
      <c r="W2001" s="205"/>
      <c r="X2001" s="167"/>
    </row>
    <row r="2002" spans="8:24" s="221" customFormat="1" ht="12.75" hidden="1" customHeight="1">
      <c r="H2002" s="217" t="s">
        <v>5545</v>
      </c>
      <c r="I2002" s="217" t="s">
        <v>5536</v>
      </c>
      <c r="J2002" s="217" t="s">
        <v>5546</v>
      </c>
      <c r="K2002" s="217" t="s">
        <v>5547</v>
      </c>
      <c r="L2002" s="217" t="s">
        <v>744</v>
      </c>
      <c r="M2002" s="217"/>
      <c r="N2002" s="218">
        <v>72700</v>
      </c>
      <c r="O2002" s="169">
        <f t="shared" si="84"/>
        <v>0</v>
      </c>
      <c r="P2002" s="195"/>
      <c r="Q2002" s="166"/>
      <c r="R2002" s="169"/>
      <c r="S2002" s="169"/>
      <c r="T2002" s="169"/>
      <c r="U2002" s="169"/>
      <c r="V2002" s="166">
        <f t="shared" si="85"/>
        <v>0</v>
      </c>
      <c r="W2002" s="205"/>
      <c r="X2002" s="167"/>
    </row>
    <row r="2003" spans="8:24" s="221" customFormat="1" ht="12.75" hidden="1" customHeight="1">
      <c r="H2003" s="217" t="s">
        <v>5604</v>
      </c>
      <c r="I2003" s="217" t="s">
        <v>5536</v>
      </c>
      <c r="J2003" s="217" t="s">
        <v>5537</v>
      </c>
      <c r="K2003" s="217" t="s">
        <v>5605</v>
      </c>
      <c r="L2003" s="217" t="s">
        <v>744</v>
      </c>
      <c r="M2003" s="217"/>
      <c r="N2003" s="218">
        <v>38900</v>
      </c>
      <c r="O2003" s="169">
        <f t="shared" si="84"/>
        <v>0</v>
      </c>
      <c r="P2003" s="195"/>
      <c r="Q2003" s="166"/>
      <c r="R2003" s="169"/>
      <c r="S2003" s="169"/>
      <c r="T2003" s="169"/>
      <c r="U2003" s="169"/>
      <c r="V2003" s="166">
        <f t="shared" si="85"/>
        <v>0</v>
      </c>
      <c r="W2003" s="205"/>
      <c r="X2003" s="167"/>
    </row>
    <row r="2004" spans="8:24" s="221" customFormat="1" ht="12.75" hidden="1" customHeight="1">
      <c r="H2004" s="217" t="s">
        <v>5606</v>
      </c>
      <c r="I2004" s="217" t="s">
        <v>5536</v>
      </c>
      <c r="J2004" s="217" t="s">
        <v>5537</v>
      </c>
      <c r="K2004" s="217" t="s">
        <v>5607</v>
      </c>
      <c r="L2004" s="217" t="s">
        <v>744</v>
      </c>
      <c r="M2004" s="217"/>
      <c r="N2004" s="218">
        <v>42200</v>
      </c>
      <c r="O2004" s="169">
        <f t="shared" si="84"/>
        <v>0</v>
      </c>
      <c r="P2004" s="195"/>
      <c r="Q2004" s="166"/>
      <c r="R2004" s="169"/>
      <c r="S2004" s="169"/>
      <c r="T2004" s="169"/>
      <c r="U2004" s="169"/>
      <c r="V2004" s="166">
        <f t="shared" si="85"/>
        <v>0</v>
      </c>
      <c r="W2004" s="205"/>
      <c r="X2004" s="167"/>
    </row>
    <row r="2005" spans="8:24" s="221" customFormat="1" ht="12.75" hidden="1" customHeight="1">
      <c r="H2005" s="217" t="s">
        <v>5608</v>
      </c>
      <c r="I2005" s="217" t="s">
        <v>5536</v>
      </c>
      <c r="J2005" s="217" t="s">
        <v>5537</v>
      </c>
      <c r="K2005" s="217" t="s">
        <v>5609</v>
      </c>
      <c r="L2005" s="217" t="s">
        <v>744</v>
      </c>
      <c r="M2005" s="217"/>
      <c r="N2005" s="218">
        <v>47000</v>
      </c>
      <c r="O2005" s="169">
        <f t="shared" si="84"/>
        <v>0</v>
      </c>
      <c r="P2005" s="195"/>
      <c r="Q2005" s="166"/>
      <c r="R2005" s="169"/>
      <c r="S2005" s="169"/>
      <c r="T2005" s="169"/>
      <c r="U2005" s="169"/>
      <c r="V2005" s="166">
        <f t="shared" si="85"/>
        <v>0</v>
      </c>
      <c r="W2005" s="205"/>
      <c r="X2005" s="167"/>
    </row>
    <row r="2006" spans="8:24" s="221" customFormat="1" ht="12.75" hidden="1" customHeight="1">
      <c r="H2006" s="217" t="s">
        <v>5610</v>
      </c>
      <c r="I2006" s="217" t="s">
        <v>5536</v>
      </c>
      <c r="J2006" s="217" t="s">
        <v>5537</v>
      </c>
      <c r="K2006" s="217" t="s">
        <v>5611</v>
      </c>
      <c r="L2006" s="217" t="s">
        <v>744</v>
      </c>
      <c r="M2006" s="217"/>
      <c r="N2006" s="218">
        <v>51900</v>
      </c>
      <c r="O2006" s="169">
        <f t="shared" si="84"/>
        <v>0</v>
      </c>
      <c r="P2006" s="195"/>
      <c r="Q2006" s="166"/>
      <c r="R2006" s="169"/>
      <c r="S2006" s="169"/>
      <c r="T2006" s="169"/>
      <c r="U2006" s="169"/>
      <c r="V2006" s="166">
        <f t="shared" si="85"/>
        <v>0</v>
      </c>
      <c r="W2006" s="205"/>
      <c r="X2006" s="167"/>
    </row>
    <row r="2007" spans="8:24" s="221" customFormat="1" ht="12.75" hidden="1" customHeight="1">
      <c r="H2007" s="217" t="s">
        <v>5612</v>
      </c>
      <c r="I2007" s="217" t="s">
        <v>5536</v>
      </c>
      <c r="J2007" s="217" t="s">
        <v>5537</v>
      </c>
      <c r="K2007" s="217" t="s">
        <v>5613</v>
      </c>
      <c r="L2007" s="217" t="s">
        <v>744</v>
      </c>
      <c r="M2007" s="217"/>
      <c r="N2007" s="218">
        <v>83300</v>
      </c>
      <c r="O2007" s="169">
        <f t="shared" si="84"/>
        <v>0</v>
      </c>
      <c r="P2007" s="195"/>
      <c r="Q2007" s="166"/>
      <c r="R2007" s="169"/>
      <c r="S2007" s="169"/>
      <c r="T2007" s="169"/>
      <c r="U2007" s="169"/>
      <c r="V2007" s="166">
        <f t="shared" si="85"/>
        <v>0</v>
      </c>
      <c r="W2007" s="205"/>
      <c r="X2007" s="167"/>
    </row>
    <row r="2008" spans="8:24" s="221" customFormat="1" ht="12.75" hidden="1" customHeight="1">
      <c r="H2008" s="217" t="s">
        <v>5614</v>
      </c>
      <c r="I2008" s="217" t="s">
        <v>5536</v>
      </c>
      <c r="J2008" s="217" t="s">
        <v>5537</v>
      </c>
      <c r="K2008" s="217" t="s">
        <v>5615</v>
      </c>
      <c r="L2008" s="217" t="s">
        <v>744</v>
      </c>
      <c r="M2008" s="217"/>
      <c r="N2008" s="218">
        <v>95500</v>
      </c>
      <c r="O2008" s="169">
        <f t="shared" si="84"/>
        <v>0</v>
      </c>
      <c r="P2008" s="195"/>
      <c r="Q2008" s="166"/>
      <c r="R2008" s="169"/>
      <c r="S2008" s="169"/>
      <c r="T2008" s="169"/>
      <c r="U2008" s="169"/>
      <c r="V2008" s="166">
        <f t="shared" si="85"/>
        <v>0</v>
      </c>
      <c r="W2008" s="205"/>
      <c r="X2008" s="167"/>
    </row>
    <row r="2009" spans="8:24" s="221" customFormat="1" ht="12.75" hidden="1" customHeight="1">
      <c r="H2009" s="217" t="s">
        <v>5616</v>
      </c>
      <c r="I2009" s="217" t="s">
        <v>5617</v>
      </c>
      <c r="J2009" s="217" t="s">
        <v>5618</v>
      </c>
      <c r="K2009" s="217" t="s">
        <v>5619</v>
      </c>
      <c r="L2009" s="217" t="s">
        <v>5</v>
      </c>
      <c r="M2009" s="217"/>
      <c r="N2009" s="218">
        <v>15000</v>
      </c>
      <c r="O2009" s="169">
        <f t="shared" si="84"/>
        <v>0</v>
      </c>
      <c r="P2009" s="195"/>
      <c r="Q2009" s="166"/>
      <c r="R2009" s="169"/>
      <c r="S2009" s="169"/>
      <c r="T2009" s="169"/>
      <c r="U2009" s="169"/>
      <c r="V2009" s="166">
        <f t="shared" si="85"/>
        <v>0</v>
      </c>
      <c r="W2009" s="205"/>
      <c r="X2009" s="167"/>
    </row>
    <row r="2010" spans="8:24" s="221" customFormat="1" ht="12.75" hidden="1" customHeight="1">
      <c r="H2010" s="217" t="s">
        <v>5620</v>
      </c>
      <c r="I2010" s="217" t="s">
        <v>5617</v>
      </c>
      <c r="J2010" s="217" t="s">
        <v>5618</v>
      </c>
      <c r="K2010" s="217" t="s">
        <v>5622</v>
      </c>
      <c r="L2010" s="217" t="s">
        <v>5</v>
      </c>
      <c r="M2010" s="217"/>
      <c r="N2010" s="218">
        <v>20000</v>
      </c>
      <c r="O2010" s="169">
        <f t="shared" si="84"/>
        <v>0</v>
      </c>
      <c r="P2010" s="195"/>
      <c r="Q2010" s="166"/>
      <c r="R2010" s="169"/>
      <c r="S2010" s="169"/>
      <c r="T2010" s="169"/>
      <c r="U2010" s="169"/>
      <c r="V2010" s="166">
        <f t="shared" si="85"/>
        <v>0</v>
      </c>
      <c r="W2010" s="205"/>
      <c r="X2010" s="167"/>
    </row>
    <row r="2011" spans="8:24" s="221" customFormat="1" ht="12.75" hidden="1" customHeight="1">
      <c r="H2011" s="217" t="s">
        <v>5621</v>
      </c>
      <c r="I2011" s="217" t="s">
        <v>5617</v>
      </c>
      <c r="J2011" s="217" t="s">
        <v>5618</v>
      </c>
      <c r="K2011" s="217" t="s">
        <v>5623</v>
      </c>
      <c r="L2011" s="217" t="s">
        <v>5</v>
      </c>
      <c r="M2011" s="217"/>
      <c r="N2011" s="218">
        <v>20000</v>
      </c>
      <c r="O2011" s="169">
        <f t="shared" si="84"/>
        <v>0</v>
      </c>
      <c r="P2011" s="195"/>
      <c r="Q2011" s="166"/>
      <c r="R2011" s="169"/>
      <c r="S2011" s="169"/>
      <c r="T2011" s="169"/>
      <c r="U2011" s="169"/>
      <c r="V2011" s="166">
        <f t="shared" si="85"/>
        <v>0</v>
      </c>
      <c r="W2011" s="205"/>
      <c r="X2011" s="167"/>
    </row>
    <row r="2012" spans="8:24" s="221" customFormat="1" ht="12.75" hidden="1" customHeight="1">
      <c r="H2012" s="217" t="s">
        <v>5624</v>
      </c>
      <c r="I2012" s="217" t="s">
        <v>5617</v>
      </c>
      <c r="J2012" s="217" t="s">
        <v>5618</v>
      </c>
      <c r="K2012" s="217" t="s">
        <v>5625</v>
      </c>
      <c r="L2012" s="217" t="s">
        <v>5</v>
      </c>
      <c r="M2012" s="217"/>
      <c r="N2012" s="218">
        <v>25000</v>
      </c>
      <c r="O2012" s="169">
        <f t="shared" si="84"/>
        <v>0</v>
      </c>
      <c r="P2012" s="195"/>
      <c r="Q2012" s="166"/>
      <c r="R2012" s="169"/>
      <c r="S2012" s="169"/>
      <c r="T2012" s="169"/>
      <c r="U2012" s="169"/>
      <c r="V2012" s="166">
        <f t="shared" si="85"/>
        <v>0</v>
      </c>
      <c r="W2012" s="205"/>
      <c r="X2012" s="167"/>
    </row>
    <row r="2013" spans="8:24" s="221" customFormat="1" ht="12.75" hidden="1" customHeight="1">
      <c r="H2013" s="217" t="s">
        <v>5626</v>
      </c>
      <c r="I2013" s="217" t="s">
        <v>5617</v>
      </c>
      <c r="J2013" s="217" t="s">
        <v>5618</v>
      </c>
      <c r="K2013" s="217" t="s">
        <v>5627</v>
      </c>
      <c r="L2013" s="217" t="s">
        <v>5</v>
      </c>
      <c r="M2013" s="217"/>
      <c r="N2013" s="218">
        <v>35000</v>
      </c>
      <c r="O2013" s="169">
        <f t="shared" si="84"/>
        <v>0</v>
      </c>
      <c r="P2013" s="195"/>
      <c r="Q2013" s="166"/>
      <c r="R2013" s="169"/>
      <c r="S2013" s="169"/>
      <c r="T2013" s="169"/>
      <c r="U2013" s="169"/>
      <c r="V2013" s="166">
        <f t="shared" si="85"/>
        <v>0</v>
      </c>
      <c r="W2013" s="205"/>
      <c r="X2013" s="167"/>
    </row>
    <row r="2014" spans="8:24" s="221" customFormat="1" ht="12.75" hidden="1" customHeight="1">
      <c r="H2014" s="217" t="s">
        <v>5628</v>
      </c>
      <c r="I2014" s="217" t="s">
        <v>5617</v>
      </c>
      <c r="J2014" s="217" t="s">
        <v>5618</v>
      </c>
      <c r="K2014" s="217" t="s">
        <v>5629</v>
      </c>
      <c r="L2014" s="217" t="s">
        <v>5</v>
      </c>
      <c r="M2014" s="217"/>
      <c r="N2014" s="218">
        <v>50000</v>
      </c>
      <c r="O2014" s="169">
        <f t="shared" si="84"/>
        <v>0</v>
      </c>
      <c r="P2014" s="195"/>
      <c r="Q2014" s="166"/>
      <c r="R2014" s="169"/>
      <c r="S2014" s="169"/>
      <c r="T2014" s="169"/>
      <c r="U2014" s="169"/>
      <c r="V2014" s="166">
        <f t="shared" si="85"/>
        <v>0</v>
      </c>
      <c r="W2014" s="205"/>
      <c r="X2014" s="167"/>
    </row>
    <row r="2015" spans="8:24" s="221" customFormat="1" ht="12.75" hidden="1" customHeight="1">
      <c r="H2015" s="217" t="s">
        <v>5630</v>
      </c>
      <c r="I2015" s="217" t="s">
        <v>5631</v>
      </c>
      <c r="J2015" s="217" t="s">
        <v>5632</v>
      </c>
      <c r="K2015" s="217" t="s">
        <v>5633</v>
      </c>
      <c r="L2015" s="217" t="s">
        <v>5</v>
      </c>
      <c r="M2015" s="217"/>
      <c r="N2015" s="218">
        <v>3210</v>
      </c>
      <c r="O2015" s="169">
        <f t="shared" si="84"/>
        <v>0</v>
      </c>
      <c r="P2015" s="195"/>
      <c r="Q2015" s="166"/>
      <c r="R2015" s="169"/>
      <c r="S2015" s="169"/>
      <c r="T2015" s="169"/>
      <c r="U2015" s="169"/>
      <c r="V2015" s="166">
        <f t="shared" si="85"/>
        <v>0</v>
      </c>
      <c r="W2015" s="205"/>
      <c r="X2015" s="167"/>
    </row>
    <row r="2016" spans="8:24" s="221" customFormat="1" ht="12.75" hidden="1" customHeight="1">
      <c r="H2016" s="217" t="s">
        <v>5634</v>
      </c>
      <c r="I2016" s="217" t="s">
        <v>5631</v>
      </c>
      <c r="J2016" s="217" t="s">
        <v>5632</v>
      </c>
      <c r="K2016" s="217" t="s">
        <v>5635</v>
      </c>
      <c r="L2016" s="217" t="s">
        <v>5</v>
      </c>
      <c r="M2016" s="217"/>
      <c r="N2016" s="218">
        <v>4370</v>
      </c>
      <c r="O2016" s="169">
        <f t="shared" si="84"/>
        <v>0</v>
      </c>
      <c r="P2016" s="195"/>
      <c r="Q2016" s="166"/>
      <c r="R2016" s="169"/>
      <c r="S2016" s="169"/>
      <c r="T2016" s="169"/>
      <c r="U2016" s="169"/>
      <c r="V2016" s="166">
        <f t="shared" si="85"/>
        <v>0</v>
      </c>
      <c r="W2016" s="205"/>
      <c r="X2016" s="167"/>
    </row>
    <row r="2017" spans="8:24" s="221" customFormat="1" ht="12.75" hidden="1" customHeight="1">
      <c r="H2017" s="217" t="s">
        <v>5636</v>
      </c>
      <c r="I2017" s="217" t="s">
        <v>5631</v>
      </c>
      <c r="J2017" s="217" t="s">
        <v>5632</v>
      </c>
      <c r="K2017" s="217" t="s">
        <v>5637</v>
      </c>
      <c r="L2017" s="217" t="s">
        <v>5</v>
      </c>
      <c r="M2017" s="217"/>
      <c r="N2017" s="218">
        <v>5710</v>
      </c>
      <c r="O2017" s="169">
        <f t="shared" si="84"/>
        <v>0</v>
      </c>
      <c r="P2017" s="195"/>
      <c r="Q2017" s="166"/>
      <c r="R2017" s="169"/>
      <c r="S2017" s="169"/>
      <c r="T2017" s="169"/>
      <c r="U2017" s="169"/>
      <c r="V2017" s="166">
        <f t="shared" si="85"/>
        <v>0</v>
      </c>
      <c r="W2017" s="205"/>
      <c r="X2017" s="167"/>
    </row>
    <row r="2018" spans="8:24" s="221" customFormat="1" ht="12.75" hidden="1" customHeight="1">
      <c r="H2018" s="217" t="s">
        <v>5638</v>
      </c>
      <c r="I2018" s="217" t="s">
        <v>5631</v>
      </c>
      <c r="J2018" s="217" t="s">
        <v>5632</v>
      </c>
      <c r="K2018" s="217" t="s">
        <v>5639</v>
      </c>
      <c r="L2018" s="217" t="s">
        <v>5</v>
      </c>
      <c r="M2018" s="217"/>
      <c r="N2018" s="218">
        <v>7310</v>
      </c>
      <c r="O2018" s="169">
        <f t="shared" si="84"/>
        <v>0</v>
      </c>
      <c r="P2018" s="195"/>
      <c r="Q2018" s="166"/>
      <c r="R2018" s="169"/>
      <c r="S2018" s="169"/>
      <c r="T2018" s="169"/>
      <c r="U2018" s="169"/>
      <c r="V2018" s="166">
        <f t="shared" si="85"/>
        <v>0</v>
      </c>
      <c r="W2018" s="205"/>
      <c r="X2018" s="167"/>
    </row>
    <row r="2019" spans="8:24" s="221" customFormat="1" ht="12.75" hidden="1" customHeight="1">
      <c r="H2019" s="217" t="s">
        <v>5640</v>
      </c>
      <c r="I2019" s="217" t="s">
        <v>5631</v>
      </c>
      <c r="J2019" s="217" t="s">
        <v>5632</v>
      </c>
      <c r="K2019" s="217" t="s">
        <v>5641</v>
      </c>
      <c r="L2019" s="217" t="s">
        <v>5</v>
      </c>
      <c r="M2019" s="217"/>
      <c r="N2019" s="218">
        <v>8400</v>
      </c>
      <c r="O2019" s="169">
        <f t="shared" si="84"/>
        <v>0</v>
      </c>
      <c r="P2019" s="195"/>
      <c r="Q2019" s="166"/>
      <c r="R2019" s="169"/>
      <c r="S2019" s="169"/>
      <c r="T2019" s="169"/>
      <c r="U2019" s="169"/>
      <c r="V2019" s="166">
        <f t="shared" si="85"/>
        <v>0</v>
      </c>
      <c r="W2019" s="205"/>
      <c r="X2019" s="167"/>
    </row>
    <row r="2020" spans="8:24" s="221" customFormat="1" ht="12.75" hidden="1" customHeight="1">
      <c r="H2020" s="217" t="s">
        <v>5642</v>
      </c>
      <c r="I2020" s="217" t="s">
        <v>5631</v>
      </c>
      <c r="J2020" s="217" t="s">
        <v>5632</v>
      </c>
      <c r="K2020" s="217" t="s">
        <v>5643</v>
      </c>
      <c r="L2020" s="217" t="s">
        <v>5</v>
      </c>
      <c r="M2020" s="217"/>
      <c r="N2020" s="218">
        <v>11800</v>
      </c>
      <c r="O2020" s="169">
        <f t="shared" si="84"/>
        <v>0</v>
      </c>
      <c r="P2020" s="195"/>
      <c r="Q2020" s="166"/>
      <c r="R2020" s="169"/>
      <c r="S2020" s="169"/>
      <c r="T2020" s="169"/>
      <c r="U2020" s="169"/>
      <c r="V2020" s="166">
        <f t="shared" si="85"/>
        <v>0</v>
      </c>
      <c r="W2020" s="205"/>
      <c r="X2020" s="167"/>
    </row>
    <row r="2021" spans="8:24" s="221" customFormat="1" ht="12.75" hidden="1" customHeight="1">
      <c r="H2021" s="217" t="s">
        <v>5644</v>
      </c>
      <c r="I2021" s="217" t="s">
        <v>5631</v>
      </c>
      <c r="J2021" s="217" t="s">
        <v>5632</v>
      </c>
      <c r="K2021" s="217" t="s">
        <v>5645</v>
      </c>
      <c r="L2021" s="217" t="s">
        <v>5</v>
      </c>
      <c r="M2021" s="217"/>
      <c r="N2021" s="218">
        <v>15000</v>
      </c>
      <c r="O2021" s="169">
        <f t="shared" si="84"/>
        <v>0</v>
      </c>
      <c r="P2021" s="195"/>
      <c r="Q2021" s="166"/>
      <c r="R2021" s="169"/>
      <c r="S2021" s="169"/>
      <c r="T2021" s="169"/>
      <c r="U2021" s="169"/>
      <c r="V2021" s="166">
        <f t="shared" si="85"/>
        <v>0</v>
      </c>
      <c r="W2021" s="205"/>
      <c r="X2021" s="167"/>
    </row>
    <row r="2022" spans="8:24" s="221" customFormat="1" ht="12.75" hidden="1" customHeight="1">
      <c r="H2022" s="217" t="s">
        <v>5646</v>
      </c>
      <c r="I2022" s="217" t="s">
        <v>5631</v>
      </c>
      <c r="J2022" s="217" t="s">
        <v>5632</v>
      </c>
      <c r="K2022" s="217" t="s">
        <v>5647</v>
      </c>
      <c r="L2022" s="217" t="s">
        <v>5</v>
      </c>
      <c r="M2022" s="217"/>
      <c r="N2022" s="218">
        <v>17300</v>
      </c>
      <c r="O2022" s="169">
        <f t="shared" si="84"/>
        <v>0</v>
      </c>
      <c r="P2022" s="195"/>
      <c r="Q2022" s="166"/>
      <c r="R2022" s="169"/>
      <c r="S2022" s="169"/>
      <c r="T2022" s="169"/>
      <c r="U2022" s="169"/>
      <c r="V2022" s="166">
        <f t="shared" si="85"/>
        <v>0</v>
      </c>
      <c r="W2022" s="205"/>
      <c r="X2022" s="167"/>
    </row>
    <row r="2023" spans="8:24" s="221" customFormat="1" ht="12.75" hidden="1" customHeight="1">
      <c r="H2023" s="217" t="s">
        <v>5648</v>
      </c>
      <c r="I2023" s="217" t="s">
        <v>5631</v>
      </c>
      <c r="J2023" s="217" t="s">
        <v>5632</v>
      </c>
      <c r="K2023" s="217" t="s">
        <v>5649</v>
      </c>
      <c r="L2023" s="217" t="s">
        <v>5</v>
      </c>
      <c r="M2023" s="217"/>
      <c r="N2023" s="218">
        <v>28000</v>
      </c>
      <c r="O2023" s="169">
        <f t="shared" si="84"/>
        <v>0</v>
      </c>
      <c r="P2023" s="195"/>
      <c r="Q2023" s="166"/>
      <c r="R2023" s="169"/>
      <c r="S2023" s="169"/>
      <c r="T2023" s="169"/>
      <c r="U2023" s="169"/>
      <c r="V2023" s="166">
        <f t="shared" si="85"/>
        <v>0</v>
      </c>
      <c r="W2023" s="205"/>
      <c r="X2023" s="167"/>
    </row>
    <row r="2024" spans="8:24" s="221" customFormat="1" ht="12.75" hidden="1" customHeight="1">
      <c r="H2024" s="217" t="s">
        <v>5650</v>
      </c>
      <c r="I2024" s="217" t="s">
        <v>5651</v>
      </c>
      <c r="J2024" s="217" t="s">
        <v>5652</v>
      </c>
      <c r="K2024" s="217" t="s">
        <v>5653</v>
      </c>
      <c r="L2024" s="217" t="s">
        <v>92</v>
      </c>
      <c r="M2024" s="217"/>
      <c r="N2024" s="218">
        <v>1800</v>
      </c>
      <c r="O2024" s="169">
        <f t="shared" si="84"/>
        <v>0</v>
      </c>
      <c r="P2024" s="195"/>
      <c r="Q2024" s="166"/>
      <c r="R2024" s="169"/>
      <c r="S2024" s="169"/>
      <c r="T2024" s="169"/>
      <c r="U2024" s="169"/>
      <c r="V2024" s="166">
        <f t="shared" si="85"/>
        <v>0</v>
      </c>
      <c r="W2024" s="205"/>
      <c r="X2024" s="167"/>
    </row>
    <row r="2025" spans="8:24" s="221" customFormat="1" ht="12.75" hidden="1" customHeight="1">
      <c r="H2025" s="217" t="s">
        <v>5654</v>
      </c>
      <c r="I2025" s="217" t="s">
        <v>5651</v>
      </c>
      <c r="J2025" s="217" t="s">
        <v>5652</v>
      </c>
      <c r="K2025" s="217" t="s">
        <v>5655</v>
      </c>
      <c r="L2025" s="217" t="s">
        <v>92</v>
      </c>
      <c r="M2025" s="217"/>
      <c r="N2025" s="218">
        <v>2000</v>
      </c>
      <c r="O2025" s="169">
        <f t="shared" si="84"/>
        <v>0</v>
      </c>
      <c r="P2025" s="195"/>
      <c r="Q2025" s="166"/>
      <c r="R2025" s="169"/>
      <c r="S2025" s="169"/>
      <c r="T2025" s="169"/>
      <c r="U2025" s="169"/>
      <c r="V2025" s="166">
        <f t="shared" si="85"/>
        <v>0</v>
      </c>
      <c r="W2025" s="205"/>
      <c r="X2025" s="167"/>
    </row>
    <row r="2026" spans="8:24" s="221" customFormat="1" ht="12.75" hidden="1" customHeight="1">
      <c r="H2026" s="217" t="s">
        <v>5656</v>
      </c>
      <c r="I2026" s="217" t="s">
        <v>5651</v>
      </c>
      <c r="J2026" s="217" t="s">
        <v>5652</v>
      </c>
      <c r="K2026" s="217" t="s">
        <v>5657</v>
      </c>
      <c r="L2026" s="217" t="s">
        <v>92</v>
      </c>
      <c r="M2026" s="217"/>
      <c r="N2026" s="218">
        <v>2100</v>
      </c>
      <c r="O2026" s="169">
        <f t="shared" si="84"/>
        <v>0</v>
      </c>
      <c r="P2026" s="195"/>
      <c r="Q2026" s="166"/>
      <c r="R2026" s="169"/>
      <c r="S2026" s="169"/>
      <c r="T2026" s="169"/>
      <c r="U2026" s="169"/>
      <c r="V2026" s="166">
        <f t="shared" si="85"/>
        <v>0</v>
      </c>
      <c r="W2026" s="205"/>
      <c r="X2026" s="167"/>
    </row>
    <row r="2027" spans="8:24" s="221" customFormat="1" ht="12.75" hidden="1" customHeight="1">
      <c r="H2027" s="217" t="s">
        <v>5658</v>
      </c>
      <c r="I2027" s="217" t="s">
        <v>5651</v>
      </c>
      <c r="J2027" s="217" t="s">
        <v>5652</v>
      </c>
      <c r="K2027" s="217" t="s">
        <v>5661</v>
      </c>
      <c r="L2027" s="217" t="s">
        <v>92</v>
      </c>
      <c r="M2027" s="217"/>
      <c r="N2027" s="218">
        <v>2300</v>
      </c>
      <c r="O2027" s="169">
        <f t="shared" si="84"/>
        <v>0</v>
      </c>
      <c r="P2027" s="195"/>
      <c r="Q2027" s="166"/>
      <c r="R2027" s="169"/>
      <c r="S2027" s="169"/>
      <c r="T2027" s="169"/>
      <c r="U2027" s="169"/>
      <c r="V2027" s="166">
        <f t="shared" si="85"/>
        <v>0</v>
      </c>
      <c r="W2027" s="205"/>
      <c r="X2027" s="167"/>
    </row>
    <row r="2028" spans="8:24" s="221" customFormat="1" ht="12.75" hidden="1" customHeight="1">
      <c r="H2028" s="217" t="s">
        <v>5659</v>
      </c>
      <c r="I2028" s="217" t="s">
        <v>5651</v>
      </c>
      <c r="J2028" s="217" t="s">
        <v>5652</v>
      </c>
      <c r="K2028" s="217" t="s">
        <v>5662</v>
      </c>
      <c r="L2028" s="217" t="s">
        <v>92</v>
      </c>
      <c r="M2028" s="217"/>
      <c r="N2028" s="218">
        <v>2300</v>
      </c>
      <c r="O2028" s="169">
        <f t="shared" si="84"/>
        <v>0</v>
      </c>
      <c r="P2028" s="195"/>
      <c r="Q2028" s="166"/>
      <c r="R2028" s="169"/>
      <c r="S2028" s="169"/>
      <c r="T2028" s="169"/>
      <c r="U2028" s="169"/>
      <c r="V2028" s="166">
        <f t="shared" si="85"/>
        <v>0</v>
      </c>
      <c r="W2028" s="205"/>
      <c r="X2028" s="167"/>
    </row>
    <row r="2029" spans="8:24" s="221" customFormat="1" ht="12.75" hidden="1" customHeight="1">
      <c r="H2029" s="217" t="s">
        <v>5660</v>
      </c>
      <c r="I2029" s="217" t="s">
        <v>5651</v>
      </c>
      <c r="J2029" s="217" t="s">
        <v>5652</v>
      </c>
      <c r="K2029" s="217" t="s">
        <v>5663</v>
      </c>
      <c r="L2029" s="217" t="s">
        <v>92</v>
      </c>
      <c r="M2029" s="217"/>
      <c r="N2029" s="218">
        <v>2300</v>
      </c>
      <c r="O2029" s="169">
        <f t="shared" si="84"/>
        <v>0</v>
      </c>
      <c r="P2029" s="195"/>
      <c r="Q2029" s="166"/>
      <c r="R2029" s="169"/>
      <c r="S2029" s="169"/>
      <c r="T2029" s="169"/>
      <c r="U2029" s="169"/>
      <c r="V2029" s="166">
        <f t="shared" si="85"/>
        <v>0</v>
      </c>
      <c r="W2029" s="205"/>
      <c r="X2029" s="167"/>
    </row>
    <row r="2030" spans="8:24" s="221" customFormat="1" ht="12.75" hidden="1" customHeight="1">
      <c r="H2030" s="217" t="s">
        <v>5664</v>
      </c>
      <c r="I2030" s="217" t="s">
        <v>5651</v>
      </c>
      <c r="J2030" s="217" t="s">
        <v>5652</v>
      </c>
      <c r="K2030" s="217" t="s">
        <v>5665</v>
      </c>
      <c r="L2030" s="217" t="s">
        <v>92</v>
      </c>
      <c r="M2030" s="217"/>
      <c r="N2030" s="218">
        <v>2500</v>
      </c>
      <c r="O2030" s="169">
        <f t="shared" si="84"/>
        <v>0</v>
      </c>
      <c r="P2030" s="195"/>
      <c r="Q2030" s="166"/>
      <c r="R2030" s="169"/>
      <c r="S2030" s="169"/>
      <c r="T2030" s="169"/>
      <c r="U2030" s="169"/>
      <c r="V2030" s="166">
        <f t="shared" si="85"/>
        <v>0</v>
      </c>
      <c r="W2030" s="205"/>
      <c r="X2030" s="167"/>
    </row>
    <row r="2031" spans="8:24" s="221" customFormat="1" ht="12.75" hidden="1" customHeight="1">
      <c r="H2031" s="217" t="s">
        <v>5666</v>
      </c>
      <c r="I2031" s="217" t="s">
        <v>5651</v>
      </c>
      <c r="J2031" s="217" t="s">
        <v>5652</v>
      </c>
      <c r="K2031" s="217" t="s">
        <v>5667</v>
      </c>
      <c r="L2031" s="217" t="s">
        <v>92</v>
      </c>
      <c r="M2031" s="217"/>
      <c r="N2031" s="218">
        <v>2700</v>
      </c>
      <c r="O2031" s="169">
        <f t="shared" si="84"/>
        <v>0</v>
      </c>
      <c r="P2031" s="195"/>
      <c r="Q2031" s="166"/>
      <c r="R2031" s="169"/>
      <c r="S2031" s="169"/>
      <c r="T2031" s="169"/>
      <c r="U2031" s="169"/>
      <c r="V2031" s="166">
        <f t="shared" si="85"/>
        <v>0</v>
      </c>
      <c r="W2031" s="205"/>
      <c r="X2031" s="167"/>
    </row>
    <row r="2032" spans="8:24" s="221" customFormat="1" ht="12.75" hidden="1" customHeight="1">
      <c r="H2032" s="217" t="s">
        <v>5668</v>
      </c>
      <c r="I2032" s="217" t="s">
        <v>5651</v>
      </c>
      <c r="J2032" s="217" t="s">
        <v>5669</v>
      </c>
      <c r="K2032" s="217" t="s">
        <v>5653</v>
      </c>
      <c r="L2032" s="217" t="s">
        <v>92</v>
      </c>
      <c r="M2032" s="217"/>
      <c r="N2032" s="218">
        <v>3000</v>
      </c>
      <c r="O2032" s="169">
        <f t="shared" si="84"/>
        <v>0</v>
      </c>
      <c r="P2032" s="195"/>
      <c r="Q2032" s="166"/>
      <c r="R2032" s="169"/>
      <c r="S2032" s="169"/>
      <c r="T2032" s="169"/>
      <c r="U2032" s="169"/>
      <c r="V2032" s="166">
        <f t="shared" si="85"/>
        <v>0</v>
      </c>
      <c r="W2032" s="205"/>
      <c r="X2032" s="167"/>
    </row>
    <row r="2033" spans="8:24" s="221" customFormat="1" ht="12.75" hidden="1" customHeight="1">
      <c r="H2033" s="217" t="s">
        <v>5670</v>
      </c>
      <c r="I2033" s="217" t="s">
        <v>5651</v>
      </c>
      <c r="J2033" s="217" t="s">
        <v>5669</v>
      </c>
      <c r="K2033" s="217" t="s">
        <v>5655</v>
      </c>
      <c r="L2033" s="217" t="s">
        <v>92</v>
      </c>
      <c r="M2033" s="217"/>
      <c r="N2033" s="218">
        <v>3200</v>
      </c>
      <c r="O2033" s="169">
        <f t="shared" si="84"/>
        <v>0</v>
      </c>
      <c r="P2033" s="195"/>
      <c r="Q2033" s="166"/>
      <c r="R2033" s="169"/>
      <c r="S2033" s="169"/>
      <c r="T2033" s="169"/>
      <c r="U2033" s="169"/>
      <c r="V2033" s="166">
        <f t="shared" si="85"/>
        <v>0</v>
      </c>
      <c r="W2033" s="205"/>
      <c r="X2033" s="167"/>
    </row>
    <row r="2034" spans="8:24" s="221" customFormat="1" ht="12.75" hidden="1" customHeight="1">
      <c r="H2034" s="217" t="s">
        <v>5671</v>
      </c>
      <c r="I2034" s="217" t="s">
        <v>5651</v>
      </c>
      <c r="J2034" s="217" t="s">
        <v>5669</v>
      </c>
      <c r="K2034" s="217" t="s">
        <v>5661</v>
      </c>
      <c r="L2034" s="217" t="s">
        <v>92</v>
      </c>
      <c r="M2034" s="217"/>
      <c r="N2034" s="218">
        <v>3300</v>
      </c>
      <c r="O2034" s="169">
        <f t="shared" si="84"/>
        <v>0</v>
      </c>
      <c r="P2034" s="195"/>
      <c r="Q2034" s="166"/>
      <c r="R2034" s="169"/>
      <c r="S2034" s="169"/>
      <c r="T2034" s="169"/>
      <c r="U2034" s="169"/>
      <c r="V2034" s="166">
        <f t="shared" si="85"/>
        <v>0</v>
      </c>
      <c r="W2034" s="205"/>
      <c r="X2034" s="167"/>
    </row>
    <row r="2035" spans="8:24" s="221" customFormat="1" ht="12.75" hidden="1" customHeight="1">
      <c r="H2035" s="217" t="s">
        <v>5672</v>
      </c>
      <c r="I2035" s="217" t="s">
        <v>5651</v>
      </c>
      <c r="J2035" s="217" t="s">
        <v>5669</v>
      </c>
      <c r="K2035" s="217" t="s">
        <v>5657</v>
      </c>
      <c r="L2035" s="217" t="s">
        <v>92</v>
      </c>
      <c r="M2035" s="217"/>
      <c r="N2035" s="218">
        <v>3400</v>
      </c>
      <c r="O2035" s="169">
        <f t="shared" si="84"/>
        <v>0</v>
      </c>
      <c r="P2035" s="195"/>
      <c r="Q2035" s="166"/>
      <c r="R2035" s="169"/>
      <c r="S2035" s="169"/>
      <c r="T2035" s="169"/>
      <c r="U2035" s="169"/>
      <c r="V2035" s="166">
        <f t="shared" si="85"/>
        <v>0</v>
      </c>
      <c r="W2035" s="205"/>
      <c r="X2035" s="167"/>
    </row>
    <row r="2036" spans="8:24" s="221" customFormat="1" ht="12.75" hidden="1" customHeight="1">
      <c r="H2036" s="217" t="s">
        <v>5673</v>
      </c>
      <c r="I2036" s="217" t="s">
        <v>5651</v>
      </c>
      <c r="J2036" s="217" t="s">
        <v>5669</v>
      </c>
      <c r="K2036" s="217" t="s">
        <v>5662</v>
      </c>
      <c r="L2036" s="217" t="s">
        <v>92</v>
      </c>
      <c r="M2036" s="217"/>
      <c r="N2036" s="218">
        <v>3500</v>
      </c>
      <c r="O2036" s="169">
        <f t="shared" si="84"/>
        <v>0</v>
      </c>
      <c r="P2036" s="195"/>
      <c r="Q2036" s="166"/>
      <c r="R2036" s="169"/>
      <c r="S2036" s="169"/>
      <c r="T2036" s="169"/>
      <c r="U2036" s="169"/>
      <c r="V2036" s="166">
        <f t="shared" si="85"/>
        <v>0</v>
      </c>
      <c r="W2036" s="205"/>
      <c r="X2036" s="167"/>
    </row>
    <row r="2037" spans="8:24" s="221" customFormat="1" ht="12.75" hidden="1" customHeight="1">
      <c r="H2037" s="217" t="s">
        <v>5674</v>
      </c>
      <c r="I2037" s="217" t="s">
        <v>5651</v>
      </c>
      <c r="J2037" s="217" t="s">
        <v>5669</v>
      </c>
      <c r="K2037" s="217" t="s">
        <v>5663</v>
      </c>
      <c r="L2037" s="217" t="s">
        <v>92</v>
      </c>
      <c r="M2037" s="217"/>
      <c r="N2037" s="218">
        <v>3600</v>
      </c>
      <c r="O2037" s="169">
        <f t="shared" si="84"/>
        <v>0</v>
      </c>
      <c r="P2037" s="195"/>
      <c r="Q2037" s="166"/>
      <c r="R2037" s="169"/>
      <c r="S2037" s="169"/>
      <c r="T2037" s="169"/>
      <c r="U2037" s="169"/>
      <c r="V2037" s="166">
        <f t="shared" si="85"/>
        <v>0</v>
      </c>
      <c r="W2037" s="205"/>
      <c r="X2037" s="167"/>
    </row>
    <row r="2038" spans="8:24" s="221" customFormat="1" ht="12.75" hidden="1" customHeight="1">
      <c r="H2038" s="217" t="s">
        <v>5675</v>
      </c>
      <c r="I2038" s="217" t="s">
        <v>5651</v>
      </c>
      <c r="J2038" s="217" t="s">
        <v>5669</v>
      </c>
      <c r="K2038" s="217" t="s">
        <v>5665</v>
      </c>
      <c r="L2038" s="217" t="s">
        <v>92</v>
      </c>
      <c r="M2038" s="217"/>
      <c r="N2038" s="218">
        <v>4000</v>
      </c>
      <c r="O2038" s="169">
        <f t="shared" si="84"/>
        <v>0</v>
      </c>
      <c r="P2038" s="195"/>
      <c r="Q2038" s="166"/>
      <c r="R2038" s="169"/>
      <c r="S2038" s="169"/>
      <c r="T2038" s="169"/>
      <c r="U2038" s="169"/>
      <c r="V2038" s="166">
        <f t="shared" si="85"/>
        <v>0</v>
      </c>
      <c r="W2038" s="205"/>
      <c r="X2038" s="167"/>
    </row>
    <row r="2039" spans="8:24" s="221" customFormat="1" ht="12.75" hidden="1" customHeight="1">
      <c r="H2039" s="217" t="s">
        <v>5676</v>
      </c>
      <c r="I2039" s="217" t="s">
        <v>5651</v>
      </c>
      <c r="J2039" s="217" t="s">
        <v>5669</v>
      </c>
      <c r="K2039" s="217" t="s">
        <v>5667</v>
      </c>
      <c r="L2039" s="217" t="s">
        <v>92</v>
      </c>
      <c r="M2039" s="217"/>
      <c r="N2039" s="218">
        <v>4200</v>
      </c>
      <c r="O2039" s="169">
        <f t="shared" si="84"/>
        <v>0</v>
      </c>
      <c r="P2039" s="195"/>
      <c r="Q2039" s="166"/>
      <c r="R2039" s="169"/>
      <c r="S2039" s="169"/>
      <c r="T2039" s="169"/>
      <c r="U2039" s="169"/>
      <c r="V2039" s="166">
        <f t="shared" si="85"/>
        <v>0</v>
      </c>
      <c r="W2039" s="205"/>
      <c r="X2039" s="167"/>
    </row>
    <row r="2040" spans="8:24" s="221" customFormat="1" ht="12.75" hidden="1" customHeight="1">
      <c r="H2040" s="217" t="s">
        <v>5677</v>
      </c>
      <c r="I2040" s="217" t="s">
        <v>5680</v>
      </c>
      <c r="J2040" s="217" t="s">
        <v>5681</v>
      </c>
      <c r="K2040" s="217" t="s">
        <v>5682</v>
      </c>
      <c r="L2040" s="217" t="s">
        <v>92</v>
      </c>
      <c r="M2040" s="217"/>
      <c r="N2040" s="218">
        <v>98</v>
      </c>
      <c r="O2040" s="169">
        <f t="shared" si="84"/>
        <v>0</v>
      </c>
      <c r="P2040" s="195"/>
      <c r="Q2040" s="166"/>
      <c r="R2040" s="169"/>
      <c r="S2040" s="169"/>
      <c r="T2040" s="169"/>
      <c r="U2040" s="169"/>
      <c r="V2040" s="166">
        <f t="shared" si="85"/>
        <v>0</v>
      </c>
      <c r="W2040" s="205"/>
      <c r="X2040" s="167"/>
    </row>
    <row r="2041" spans="8:24" s="221" customFormat="1" ht="12.75" hidden="1" customHeight="1">
      <c r="H2041" s="217" t="s">
        <v>5678</v>
      </c>
      <c r="I2041" s="217" t="s">
        <v>5680</v>
      </c>
      <c r="J2041" s="217" t="s">
        <v>5683</v>
      </c>
      <c r="K2041" s="217" t="s">
        <v>5682</v>
      </c>
      <c r="L2041" s="217" t="s">
        <v>92</v>
      </c>
      <c r="M2041" s="217"/>
      <c r="N2041" s="218">
        <v>98</v>
      </c>
      <c r="O2041" s="169">
        <f t="shared" si="84"/>
        <v>0</v>
      </c>
      <c r="P2041" s="195"/>
      <c r="Q2041" s="166"/>
      <c r="R2041" s="169"/>
      <c r="S2041" s="169"/>
      <c r="T2041" s="169"/>
      <c r="U2041" s="169"/>
      <c r="V2041" s="166">
        <f t="shared" si="85"/>
        <v>0</v>
      </c>
      <c r="W2041" s="205"/>
      <c r="X2041" s="167"/>
    </row>
    <row r="2042" spans="8:24" s="221" customFormat="1" ht="12.75" hidden="1" customHeight="1">
      <c r="H2042" s="217" t="s">
        <v>5679</v>
      </c>
      <c r="I2042" s="217" t="s">
        <v>5680</v>
      </c>
      <c r="J2042" s="217" t="s">
        <v>5681</v>
      </c>
      <c r="K2042" s="217" t="s">
        <v>5684</v>
      </c>
      <c r="L2042" s="217" t="s">
        <v>92</v>
      </c>
      <c r="M2042" s="217"/>
      <c r="N2042" s="218">
        <v>98</v>
      </c>
      <c r="O2042" s="169">
        <f t="shared" si="84"/>
        <v>0</v>
      </c>
      <c r="P2042" s="195"/>
      <c r="Q2042" s="166"/>
      <c r="R2042" s="169"/>
      <c r="S2042" s="169"/>
      <c r="T2042" s="169"/>
      <c r="U2042" s="169"/>
      <c r="V2042" s="166">
        <f t="shared" si="85"/>
        <v>0</v>
      </c>
      <c r="W2042" s="205"/>
      <c r="X2042" s="167"/>
    </row>
    <row r="2043" spans="8:24" s="221" customFormat="1" ht="12.75" hidden="1" customHeight="1">
      <c r="H2043" s="217" t="s">
        <v>5685</v>
      </c>
      <c r="I2043" s="217" t="s">
        <v>5680</v>
      </c>
      <c r="J2043" s="217" t="s">
        <v>5683</v>
      </c>
      <c r="K2043" s="217" t="s">
        <v>5684</v>
      </c>
      <c r="L2043" s="217" t="s">
        <v>92</v>
      </c>
      <c r="M2043" s="217"/>
      <c r="N2043" s="218">
        <v>98</v>
      </c>
      <c r="O2043" s="169">
        <f t="shared" si="84"/>
        <v>0</v>
      </c>
      <c r="P2043" s="195"/>
      <c r="Q2043" s="166"/>
      <c r="R2043" s="169"/>
      <c r="S2043" s="169"/>
      <c r="T2043" s="169"/>
      <c r="U2043" s="169"/>
      <c r="V2043" s="166">
        <f t="shared" si="85"/>
        <v>0</v>
      </c>
      <c r="W2043" s="205"/>
      <c r="X2043" s="167"/>
    </row>
    <row r="2044" spans="8:24" s="221" customFormat="1" ht="12.75" hidden="1" customHeight="1">
      <c r="H2044" s="217" t="s">
        <v>5686</v>
      </c>
      <c r="I2044" s="217" t="s">
        <v>5680</v>
      </c>
      <c r="J2044" s="217" t="s">
        <v>5681</v>
      </c>
      <c r="K2044" s="217" t="s">
        <v>5687</v>
      </c>
      <c r="L2044" s="217" t="s">
        <v>92</v>
      </c>
      <c r="M2044" s="217"/>
      <c r="N2044" s="218">
        <v>120</v>
      </c>
      <c r="O2044" s="169">
        <f t="shared" si="84"/>
        <v>0</v>
      </c>
      <c r="P2044" s="195"/>
      <c r="Q2044" s="166"/>
      <c r="R2044" s="169"/>
      <c r="S2044" s="169"/>
      <c r="T2044" s="169"/>
      <c r="U2044" s="169"/>
      <c r="V2044" s="166">
        <f t="shared" si="85"/>
        <v>0</v>
      </c>
      <c r="W2044" s="205"/>
      <c r="X2044" s="167"/>
    </row>
    <row r="2045" spans="8:24" s="221" customFormat="1" ht="12.75" hidden="1" customHeight="1">
      <c r="H2045" s="217" t="s">
        <v>5688</v>
      </c>
      <c r="I2045" s="217" t="s">
        <v>5680</v>
      </c>
      <c r="J2045" s="217" t="s">
        <v>5689</v>
      </c>
      <c r="K2045" s="217" t="s">
        <v>5682</v>
      </c>
      <c r="L2045" s="217" t="s">
        <v>92</v>
      </c>
      <c r="M2045" s="217"/>
      <c r="N2045" s="218">
        <v>130</v>
      </c>
      <c r="O2045" s="169">
        <f t="shared" si="84"/>
        <v>0</v>
      </c>
      <c r="P2045" s="195"/>
      <c r="Q2045" s="166"/>
      <c r="R2045" s="169"/>
      <c r="S2045" s="169"/>
      <c r="T2045" s="169"/>
      <c r="U2045" s="169"/>
      <c r="V2045" s="166">
        <f t="shared" si="85"/>
        <v>0</v>
      </c>
      <c r="W2045" s="205"/>
      <c r="X2045" s="167"/>
    </row>
    <row r="2046" spans="8:24" s="221" customFormat="1" ht="12.75" hidden="1" customHeight="1">
      <c r="H2046" s="217" t="s">
        <v>5690</v>
      </c>
      <c r="I2046" s="217" t="s">
        <v>5680</v>
      </c>
      <c r="J2046" s="217" t="s">
        <v>5681</v>
      </c>
      <c r="K2046" s="217" t="s">
        <v>5691</v>
      </c>
      <c r="L2046" s="217" t="s">
        <v>92</v>
      </c>
      <c r="M2046" s="217"/>
      <c r="N2046" s="218">
        <v>140</v>
      </c>
      <c r="O2046" s="169">
        <f t="shared" si="84"/>
        <v>0</v>
      </c>
      <c r="P2046" s="195"/>
      <c r="Q2046" s="166"/>
      <c r="R2046" s="169"/>
      <c r="S2046" s="169"/>
      <c r="T2046" s="169"/>
      <c r="U2046" s="169"/>
      <c r="V2046" s="166">
        <f t="shared" si="85"/>
        <v>0</v>
      </c>
      <c r="W2046" s="205"/>
      <c r="X2046" s="167"/>
    </row>
    <row r="2047" spans="8:24" s="221" customFormat="1" ht="12.75" hidden="1" customHeight="1">
      <c r="H2047" s="217" t="s">
        <v>5692</v>
      </c>
      <c r="I2047" s="217" t="s">
        <v>5680</v>
      </c>
      <c r="J2047" s="217" t="s">
        <v>5693</v>
      </c>
      <c r="K2047" s="217" t="s">
        <v>5682</v>
      </c>
      <c r="L2047" s="217" t="s">
        <v>92</v>
      </c>
      <c r="M2047" s="217"/>
      <c r="N2047" s="218">
        <v>140</v>
      </c>
      <c r="O2047" s="169">
        <f t="shared" si="84"/>
        <v>0</v>
      </c>
      <c r="P2047" s="195"/>
      <c r="Q2047" s="166"/>
      <c r="R2047" s="169"/>
      <c r="S2047" s="169"/>
      <c r="T2047" s="169"/>
      <c r="U2047" s="169"/>
      <c r="V2047" s="166">
        <f t="shared" si="85"/>
        <v>0</v>
      </c>
      <c r="W2047" s="205"/>
      <c r="X2047" s="167"/>
    </row>
    <row r="2048" spans="8:24" s="221" customFormat="1" ht="12.75" hidden="1" customHeight="1">
      <c r="H2048" s="217" t="s">
        <v>5694</v>
      </c>
      <c r="I2048" s="217" t="s">
        <v>5680</v>
      </c>
      <c r="J2048" s="217" t="s">
        <v>5695</v>
      </c>
      <c r="K2048" s="217" t="s">
        <v>5696</v>
      </c>
      <c r="L2048" s="217" t="s">
        <v>92</v>
      </c>
      <c r="M2048" s="217"/>
      <c r="N2048" s="218">
        <v>150</v>
      </c>
      <c r="O2048" s="169">
        <f t="shared" si="84"/>
        <v>0</v>
      </c>
      <c r="P2048" s="195"/>
      <c r="Q2048" s="166"/>
      <c r="R2048" s="169"/>
      <c r="S2048" s="169"/>
      <c r="T2048" s="169"/>
      <c r="U2048" s="169"/>
      <c r="V2048" s="166">
        <f t="shared" si="85"/>
        <v>0</v>
      </c>
      <c r="W2048" s="205"/>
      <c r="X2048" s="167"/>
    </row>
    <row r="2049" spans="8:24" s="221" customFormat="1" ht="12.75" hidden="1" customHeight="1">
      <c r="H2049" s="217" t="s">
        <v>5697</v>
      </c>
      <c r="I2049" s="217" t="s">
        <v>5680</v>
      </c>
      <c r="J2049" s="217" t="s">
        <v>5699</v>
      </c>
      <c r="K2049" s="217" t="s">
        <v>5700</v>
      </c>
      <c r="L2049" s="217" t="s">
        <v>92</v>
      </c>
      <c r="M2049" s="217"/>
      <c r="N2049" s="218">
        <v>160</v>
      </c>
      <c r="O2049" s="169">
        <f t="shared" si="84"/>
        <v>0</v>
      </c>
      <c r="P2049" s="195"/>
      <c r="Q2049" s="166"/>
      <c r="R2049" s="169"/>
      <c r="S2049" s="169"/>
      <c r="T2049" s="169"/>
      <c r="U2049" s="169"/>
      <c r="V2049" s="166">
        <f t="shared" si="85"/>
        <v>0</v>
      </c>
      <c r="W2049" s="205"/>
      <c r="X2049" s="167"/>
    </row>
    <row r="2050" spans="8:24" s="221" customFormat="1" ht="12.75" hidden="1" customHeight="1">
      <c r="H2050" s="217" t="s">
        <v>5698</v>
      </c>
      <c r="I2050" s="217" t="s">
        <v>5680</v>
      </c>
      <c r="J2050" s="217" t="s">
        <v>5699</v>
      </c>
      <c r="K2050" s="217" t="s">
        <v>5701</v>
      </c>
      <c r="L2050" s="217" t="s">
        <v>92</v>
      </c>
      <c r="M2050" s="217"/>
      <c r="N2050" s="218">
        <v>160</v>
      </c>
      <c r="O2050" s="169">
        <f t="shared" si="84"/>
        <v>0</v>
      </c>
      <c r="P2050" s="195"/>
      <c r="Q2050" s="166"/>
      <c r="R2050" s="169"/>
      <c r="S2050" s="169"/>
      <c r="T2050" s="169"/>
      <c r="U2050" s="169"/>
      <c r="V2050" s="166">
        <f t="shared" si="85"/>
        <v>0</v>
      </c>
      <c r="W2050" s="205"/>
      <c r="X2050" s="167"/>
    </row>
    <row r="2051" spans="8:24" s="221" customFormat="1" ht="12.75" hidden="1" customHeight="1">
      <c r="H2051" s="217" t="s">
        <v>5702</v>
      </c>
      <c r="I2051" s="217" t="s">
        <v>5680</v>
      </c>
      <c r="J2051" s="217" t="s">
        <v>5695</v>
      </c>
      <c r="K2051" s="217" t="s">
        <v>5703</v>
      </c>
      <c r="L2051" s="217" t="s">
        <v>92</v>
      </c>
      <c r="M2051" s="217"/>
      <c r="N2051" s="218">
        <v>160</v>
      </c>
      <c r="O2051" s="169">
        <f t="shared" ref="O2051:O2114" si="86">M2051*N2051*$O$3</f>
        <v>0</v>
      </c>
      <c r="P2051" s="195"/>
      <c r="Q2051" s="166"/>
      <c r="R2051" s="169"/>
      <c r="S2051" s="169"/>
      <c r="T2051" s="169"/>
      <c r="U2051" s="169"/>
      <c r="V2051" s="166">
        <f t="shared" si="85"/>
        <v>0</v>
      </c>
      <c r="W2051" s="205"/>
      <c r="X2051" s="167"/>
    </row>
    <row r="2052" spans="8:24" s="221" customFormat="1" ht="12.75" hidden="1" customHeight="1">
      <c r="H2052" s="217" t="s">
        <v>5704</v>
      </c>
      <c r="I2052" s="217" t="s">
        <v>5680</v>
      </c>
      <c r="J2052" s="217" t="s">
        <v>5693</v>
      </c>
      <c r="K2052" s="217" t="s">
        <v>5684</v>
      </c>
      <c r="L2052" s="217" t="s">
        <v>92</v>
      </c>
      <c r="M2052" s="217"/>
      <c r="N2052" s="218">
        <v>160</v>
      </c>
      <c r="O2052" s="169">
        <f t="shared" si="86"/>
        <v>0</v>
      </c>
      <c r="P2052" s="169"/>
      <c r="Q2052" s="166"/>
      <c r="R2052" s="169"/>
      <c r="S2052" s="169"/>
      <c r="T2052" s="169"/>
      <c r="U2052" s="169"/>
      <c r="V2052" s="166">
        <f t="shared" si="85"/>
        <v>0</v>
      </c>
      <c r="W2052" s="205"/>
      <c r="X2052" s="167"/>
    </row>
    <row r="2053" spans="8:24" s="221" customFormat="1" ht="12.75" hidden="1" customHeight="1">
      <c r="H2053" s="217" t="s">
        <v>5705</v>
      </c>
      <c r="I2053" s="217" t="s">
        <v>5680</v>
      </c>
      <c r="J2053" s="217" t="s">
        <v>5681</v>
      </c>
      <c r="K2053" s="217" t="s">
        <v>5706</v>
      </c>
      <c r="L2053" s="217" t="s">
        <v>92</v>
      </c>
      <c r="M2053" s="217"/>
      <c r="N2053" s="218">
        <v>170</v>
      </c>
      <c r="O2053" s="169">
        <f t="shared" si="86"/>
        <v>0</v>
      </c>
      <c r="P2053" s="195"/>
      <c r="Q2053" s="166"/>
      <c r="R2053" s="169"/>
      <c r="S2053" s="169"/>
      <c r="T2053" s="169"/>
      <c r="U2053" s="169"/>
      <c r="V2053" s="166">
        <f t="shared" si="85"/>
        <v>0</v>
      </c>
      <c r="W2053" s="205"/>
      <c r="X2053" s="167"/>
    </row>
    <row r="2054" spans="8:24" s="221" customFormat="1" ht="12.75" hidden="1" customHeight="1">
      <c r="H2054" s="217" t="s">
        <v>5707</v>
      </c>
      <c r="I2054" s="217" t="s">
        <v>5680</v>
      </c>
      <c r="J2054" s="217" t="s">
        <v>5689</v>
      </c>
      <c r="K2054" s="217" t="s">
        <v>5684</v>
      </c>
      <c r="L2054" s="217" t="s">
        <v>92</v>
      </c>
      <c r="M2054" s="217"/>
      <c r="N2054" s="218">
        <v>180</v>
      </c>
      <c r="O2054" s="169">
        <f t="shared" si="86"/>
        <v>0</v>
      </c>
      <c r="P2054" s="195"/>
      <c r="Q2054" s="166"/>
      <c r="R2054" s="169"/>
      <c r="S2054" s="169"/>
      <c r="T2054" s="169"/>
      <c r="U2054" s="169"/>
      <c r="V2054" s="166">
        <f t="shared" ref="V2054:V2117" si="87">SUM(O2054+Q2054)+S2054+U2054</f>
        <v>0</v>
      </c>
      <c r="W2054" s="205"/>
      <c r="X2054" s="167"/>
    </row>
    <row r="2055" spans="8:24" s="221" customFormat="1" ht="12.75" hidden="1" customHeight="1">
      <c r="H2055" s="217" t="s">
        <v>5708</v>
      </c>
      <c r="I2055" s="217" t="s">
        <v>5680</v>
      </c>
      <c r="J2055" s="217" t="s">
        <v>5695</v>
      </c>
      <c r="K2055" s="217" t="s">
        <v>5709</v>
      </c>
      <c r="L2055" s="217" t="s">
        <v>92</v>
      </c>
      <c r="M2055" s="217"/>
      <c r="N2055" s="218">
        <v>190</v>
      </c>
      <c r="O2055" s="169">
        <f t="shared" si="86"/>
        <v>0</v>
      </c>
      <c r="P2055" s="195"/>
      <c r="Q2055" s="166"/>
      <c r="R2055" s="169"/>
      <c r="S2055" s="169"/>
      <c r="T2055" s="169"/>
      <c r="U2055" s="169"/>
      <c r="V2055" s="166">
        <f t="shared" si="87"/>
        <v>0</v>
      </c>
      <c r="W2055" s="205"/>
      <c r="X2055" s="167"/>
    </row>
    <row r="2056" spans="8:24" s="221" customFormat="1" ht="12.75" hidden="1" customHeight="1">
      <c r="H2056" s="217" t="s">
        <v>5710</v>
      </c>
      <c r="I2056" s="217" t="s">
        <v>5680</v>
      </c>
      <c r="J2056" s="217" t="s">
        <v>5683</v>
      </c>
      <c r="K2056" s="217" t="s">
        <v>5687</v>
      </c>
      <c r="L2056" s="217" t="s">
        <v>92</v>
      </c>
      <c r="M2056" s="217"/>
      <c r="N2056" s="218">
        <v>210</v>
      </c>
      <c r="O2056" s="169">
        <f t="shared" si="86"/>
        <v>0</v>
      </c>
      <c r="P2056" s="195"/>
      <c r="Q2056" s="166"/>
      <c r="R2056" s="169"/>
      <c r="S2056" s="169"/>
      <c r="T2056" s="169"/>
      <c r="U2056" s="169"/>
      <c r="V2056" s="166">
        <f t="shared" si="87"/>
        <v>0</v>
      </c>
      <c r="W2056" s="205"/>
      <c r="X2056" s="167"/>
    </row>
    <row r="2057" spans="8:24" s="221" customFormat="1" ht="12.75" hidden="1" customHeight="1">
      <c r="H2057" s="217" t="s">
        <v>5711</v>
      </c>
      <c r="I2057" s="217" t="s">
        <v>5680</v>
      </c>
      <c r="J2057" s="217" t="s">
        <v>5714</v>
      </c>
      <c r="K2057" s="217" t="s">
        <v>5715</v>
      </c>
      <c r="L2057" s="217" t="s">
        <v>92</v>
      </c>
      <c r="M2057" s="217"/>
      <c r="N2057" s="218">
        <v>210</v>
      </c>
      <c r="O2057" s="169">
        <f t="shared" si="86"/>
        <v>0</v>
      </c>
      <c r="P2057" s="195"/>
      <c r="Q2057" s="166"/>
      <c r="R2057" s="169"/>
      <c r="S2057" s="169"/>
      <c r="T2057" s="169"/>
      <c r="U2057" s="169"/>
      <c r="V2057" s="166">
        <f t="shared" si="87"/>
        <v>0</v>
      </c>
      <c r="W2057" s="205"/>
      <c r="X2057" s="167"/>
    </row>
    <row r="2058" spans="8:24" s="221" customFormat="1" ht="12.75" hidden="1" customHeight="1">
      <c r="H2058" s="217" t="s">
        <v>5712</v>
      </c>
      <c r="I2058" s="217" t="s">
        <v>5680</v>
      </c>
      <c r="J2058" s="217" t="s">
        <v>5714</v>
      </c>
      <c r="K2058" s="217" t="s">
        <v>5716</v>
      </c>
      <c r="L2058" s="217" t="s">
        <v>92</v>
      </c>
      <c r="M2058" s="217"/>
      <c r="N2058" s="218">
        <v>210</v>
      </c>
      <c r="O2058" s="169">
        <f t="shared" si="86"/>
        <v>0</v>
      </c>
      <c r="P2058" s="195"/>
      <c r="Q2058" s="166"/>
      <c r="R2058" s="169"/>
      <c r="S2058" s="169"/>
      <c r="T2058" s="169"/>
      <c r="U2058" s="169"/>
      <c r="V2058" s="166">
        <f t="shared" si="87"/>
        <v>0</v>
      </c>
      <c r="W2058" s="205"/>
      <c r="X2058" s="167"/>
    </row>
    <row r="2059" spans="8:24" s="221" customFormat="1" ht="12.75" hidden="1" customHeight="1">
      <c r="H2059" s="217" t="s">
        <v>5713</v>
      </c>
      <c r="I2059" s="217" t="s">
        <v>5680</v>
      </c>
      <c r="J2059" s="217" t="s">
        <v>5714</v>
      </c>
      <c r="K2059" s="217" t="s">
        <v>5717</v>
      </c>
      <c r="L2059" s="217" t="s">
        <v>92</v>
      </c>
      <c r="M2059" s="217"/>
      <c r="N2059" s="218">
        <v>210</v>
      </c>
      <c r="O2059" s="169">
        <f t="shared" si="86"/>
        <v>0</v>
      </c>
      <c r="P2059" s="195"/>
      <c r="Q2059" s="166"/>
      <c r="R2059" s="169"/>
      <c r="S2059" s="169"/>
      <c r="T2059" s="169"/>
      <c r="U2059" s="169"/>
      <c r="V2059" s="166">
        <f t="shared" si="87"/>
        <v>0</v>
      </c>
      <c r="W2059" s="205"/>
      <c r="X2059" s="167"/>
    </row>
    <row r="2060" spans="8:24" s="221" customFormat="1" ht="12.75" hidden="1" customHeight="1">
      <c r="H2060" s="217" t="s">
        <v>5718</v>
      </c>
      <c r="I2060" s="217" t="s">
        <v>5680</v>
      </c>
      <c r="J2060" s="217" t="s">
        <v>5695</v>
      </c>
      <c r="K2060" s="217" t="s">
        <v>5719</v>
      </c>
      <c r="L2060" s="217" t="s">
        <v>92</v>
      </c>
      <c r="M2060" s="217"/>
      <c r="N2060" s="218">
        <v>240</v>
      </c>
      <c r="O2060" s="169">
        <f t="shared" si="86"/>
        <v>0</v>
      </c>
      <c r="P2060" s="195"/>
      <c r="Q2060" s="166"/>
      <c r="R2060" s="169"/>
      <c r="S2060" s="169"/>
      <c r="T2060" s="169"/>
      <c r="U2060" s="169"/>
      <c r="V2060" s="166">
        <f t="shared" si="87"/>
        <v>0</v>
      </c>
      <c r="W2060" s="205"/>
      <c r="X2060" s="167"/>
    </row>
    <row r="2061" spans="8:24" s="221" customFormat="1" ht="12.75" hidden="1" customHeight="1">
      <c r="H2061" s="217" t="s">
        <v>5720</v>
      </c>
      <c r="I2061" s="217" t="s">
        <v>5680</v>
      </c>
      <c r="J2061" s="217" t="s">
        <v>5689</v>
      </c>
      <c r="K2061" s="217" t="s">
        <v>5687</v>
      </c>
      <c r="L2061" s="217" t="s">
        <v>92</v>
      </c>
      <c r="M2061" s="217"/>
      <c r="N2061" s="218">
        <v>260</v>
      </c>
      <c r="O2061" s="169">
        <f t="shared" si="86"/>
        <v>0</v>
      </c>
      <c r="P2061" s="195"/>
      <c r="Q2061" s="166"/>
      <c r="R2061" s="169"/>
      <c r="S2061" s="169"/>
      <c r="T2061" s="169"/>
      <c r="U2061" s="169"/>
      <c r="V2061" s="166">
        <f t="shared" si="87"/>
        <v>0</v>
      </c>
      <c r="W2061" s="205"/>
      <c r="X2061" s="167"/>
    </row>
    <row r="2062" spans="8:24" s="221" customFormat="1" ht="12.75" hidden="1" customHeight="1">
      <c r="H2062" s="217" t="s">
        <v>5721</v>
      </c>
      <c r="I2062" s="217" t="s">
        <v>5680</v>
      </c>
      <c r="J2062" s="217" t="s">
        <v>5699</v>
      </c>
      <c r="K2062" s="217" t="s">
        <v>5722</v>
      </c>
      <c r="L2062" s="217" t="s">
        <v>92</v>
      </c>
      <c r="M2062" s="217"/>
      <c r="N2062" s="218">
        <v>260</v>
      </c>
      <c r="O2062" s="169">
        <f t="shared" si="86"/>
        <v>0</v>
      </c>
      <c r="P2062" s="195"/>
      <c r="Q2062" s="166"/>
      <c r="R2062" s="169"/>
      <c r="S2062" s="169"/>
      <c r="T2062" s="169"/>
      <c r="U2062" s="169"/>
      <c r="V2062" s="166">
        <f t="shared" si="87"/>
        <v>0</v>
      </c>
      <c r="W2062" s="205"/>
      <c r="X2062" s="167"/>
    </row>
    <row r="2063" spans="8:24" s="221" customFormat="1" ht="12.75" hidden="1" customHeight="1">
      <c r="H2063" s="217" t="s">
        <v>5723</v>
      </c>
      <c r="I2063" s="217" t="s">
        <v>5680</v>
      </c>
      <c r="J2063" s="217" t="s">
        <v>5683</v>
      </c>
      <c r="K2063" s="217" t="s">
        <v>5691</v>
      </c>
      <c r="L2063" s="217" t="s">
        <v>92</v>
      </c>
      <c r="M2063" s="217"/>
      <c r="N2063" s="218">
        <v>280</v>
      </c>
      <c r="O2063" s="169">
        <f t="shared" si="86"/>
        <v>0</v>
      </c>
      <c r="P2063" s="195"/>
      <c r="Q2063" s="166"/>
      <c r="R2063" s="169"/>
      <c r="S2063" s="169"/>
      <c r="T2063" s="169"/>
      <c r="U2063" s="169"/>
      <c r="V2063" s="166">
        <f t="shared" si="87"/>
        <v>0</v>
      </c>
      <c r="W2063" s="205"/>
      <c r="X2063" s="167"/>
    </row>
    <row r="2064" spans="8:24" s="221" customFormat="1" ht="12.75" hidden="1" customHeight="1">
      <c r="H2064" s="217" t="s">
        <v>5724</v>
      </c>
      <c r="I2064" s="217" t="s">
        <v>5680</v>
      </c>
      <c r="J2064" s="217" t="s">
        <v>5695</v>
      </c>
      <c r="K2064" s="217" t="s">
        <v>5726</v>
      </c>
      <c r="L2064" s="217" t="s">
        <v>92</v>
      </c>
      <c r="M2064" s="217"/>
      <c r="N2064" s="218">
        <v>280</v>
      </c>
      <c r="O2064" s="169">
        <f t="shared" si="86"/>
        <v>0</v>
      </c>
      <c r="P2064" s="195"/>
      <c r="Q2064" s="166"/>
      <c r="R2064" s="169"/>
      <c r="S2064" s="169"/>
      <c r="T2064" s="169"/>
      <c r="U2064" s="169"/>
      <c r="V2064" s="166">
        <f t="shared" si="87"/>
        <v>0</v>
      </c>
      <c r="W2064" s="205"/>
      <c r="X2064" s="167"/>
    </row>
    <row r="2065" spans="8:24" s="221" customFormat="1" ht="12.75" hidden="1" customHeight="1">
      <c r="H2065" s="217" t="s">
        <v>5725</v>
      </c>
      <c r="I2065" s="217" t="s">
        <v>5680</v>
      </c>
      <c r="J2065" s="217" t="s">
        <v>5681</v>
      </c>
      <c r="K2065" s="217" t="s">
        <v>5727</v>
      </c>
      <c r="L2065" s="217" t="s">
        <v>92</v>
      </c>
      <c r="M2065" s="217"/>
      <c r="N2065" s="218">
        <v>280</v>
      </c>
      <c r="O2065" s="169">
        <f t="shared" si="86"/>
        <v>0</v>
      </c>
      <c r="P2065" s="195"/>
      <c r="Q2065" s="166"/>
      <c r="R2065" s="169"/>
      <c r="S2065" s="169"/>
      <c r="T2065" s="169"/>
      <c r="U2065" s="169"/>
      <c r="V2065" s="166">
        <f t="shared" si="87"/>
        <v>0</v>
      </c>
      <c r="W2065" s="205"/>
      <c r="X2065" s="167"/>
    </row>
    <row r="2066" spans="8:24" s="221" customFormat="1" ht="12.75" hidden="1" customHeight="1">
      <c r="H2066" s="217" t="s">
        <v>5728</v>
      </c>
      <c r="I2066" s="217" t="s">
        <v>5680</v>
      </c>
      <c r="J2066" s="217" t="s">
        <v>5695</v>
      </c>
      <c r="K2066" s="217" t="s">
        <v>5729</v>
      </c>
      <c r="L2066" s="217" t="s">
        <v>92</v>
      </c>
      <c r="M2066" s="217"/>
      <c r="N2066" s="218">
        <v>310</v>
      </c>
      <c r="O2066" s="169">
        <f t="shared" si="86"/>
        <v>0</v>
      </c>
      <c r="P2066" s="195"/>
      <c r="Q2066" s="166"/>
      <c r="R2066" s="169"/>
      <c r="S2066" s="169"/>
      <c r="T2066" s="169"/>
      <c r="U2066" s="169"/>
      <c r="V2066" s="166">
        <f t="shared" si="87"/>
        <v>0</v>
      </c>
      <c r="W2066" s="205"/>
      <c r="X2066" s="167"/>
    </row>
    <row r="2067" spans="8:24" s="221" customFormat="1" ht="12.75" hidden="1" customHeight="1">
      <c r="H2067" s="217" t="s">
        <v>5730</v>
      </c>
      <c r="I2067" s="217" t="s">
        <v>5680</v>
      </c>
      <c r="J2067" s="217" t="s">
        <v>5695</v>
      </c>
      <c r="K2067" s="217" t="s">
        <v>5731</v>
      </c>
      <c r="L2067" s="217" t="s">
        <v>92</v>
      </c>
      <c r="M2067" s="217"/>
      <c r="N2067" s="218">
        <v>340</v>
      </c>
      <c r="O2067" s="169">
        <f t="shared" si="86"/>
        <v>0</v>
      </c>
      <c r="P2067" s="195"/>
      <c r="Q2067" s="166"/>
      <c r="R2067" s="169"/>
      <c r="S2067" s="169"/>
      <c r="T2067" s="169"/>
      <c r="U2067" s="169"/>
      <c r="V2067" s="166">
        <f t="shared" si="87"/>
        <v>0</v>
      </c>
      <c r="W2067" s="205"/>
      <c r="X2067" s="167"/>
    </row>
    <row r="2068" spans="8:24" s="221" customFormat="1" ht="12.75" hidden="1" customHeight="1">
      <c r="H2068" s="217" t="s">
        <v>5732</v>
      </c>
      <c r="I2068" s="217" t="s">
        <v>5680</v>
      </c>
      <c r="J2068" s="217" t="s">
        <v>5693</v>
      </c>
      <c r="K2068" s="217" t="s">
        <v>5687</v>
      </c>
      <c r="L2068" s="217" t="s">
        <v>92</v>
      </c>
      <c r="M2068" s="217"/>
      <c r="N2068" s="218">
        <v>340</v>
      </c>
      <c r="O2068" s="169">
        <f t="shared" si="86"/>
        <v>0</v>
      </c>
      <c r="P2068" s="195"/>
      <c r="Q2068" s="166"/>
      <c r="R2068" s="169"/>
      <c r="S2068" s="169"/>
      <c r="T2068" s="169"/>
      <c r="U2068" s="169"/>
      <c r="V2068" s="166">
        <f t="shared" si="87"/>
        <v>0</v>
      </c>
      <c r="W2068" s="205"/>
      <c r="X2068" s="167"/>
    </row>
    <row r="2069" spans="8:24" s="221" customFormat="1" ht="12.75" hidden="1" customHeight="1">
      <c r="H2069" s="217" t="s">
        <v>5733</v>
      </c>
      <c r="I2069" s="217" t="s">
        <v>5680</v>
      </c>
      <c r="J2069" s="217" t="s">
        <v>5714</v>
      </c>
      <c r="K2069" s="217" t="s">
        <v>5734</v>
      </c>
      <c r="L2069" s="217" t="s">
        <v>92</v>
      </c>
      <c r="M2069" s="217"/>
      <c r="N2069" s="218">
        <v>350</v>
      </c>
      <c r="O2069" s="169">
        <f t="shared" si="86"/>
        <v>0</v>
      </c>
      <c r="P2069" s="195"/>
      <c r="Q2069" s="166"/>
      <c r="R2069" s="169"/>
      <c r="S2069" s="169"/>
      <c r="T2069" s="169"/>
      <c r="U2069" s="169"/>
      <c r="V2069" s="166">
        <f t="shared" si="87"/>
        <v>0</v>
      </c>
      <c r="W2069" s="205"/>
      <c r="X2069" s="167"/>
    </row>
    <row r="2070" spans="8:24" s="221" customFormat="1" ht="12.75" hidden="1" customHeight="1">
      <c r="H2070" s="217" t="s">
        <v>5735</v>
      </c>
      <c r="I2070" s="217" t="s">
        <v>5680</v>
      </c>
      <c r="J2070" s="217" t="s">
        <v>5714</v>
      </c>
      <c r="K2070" s="217" t="s">
        <v>5736</v>
      </c>
      <c r="L2070" s="217" t="s">
        <v>92</v>
      </c>
      <c r="M2070" s="217"/>
      <c r="N2070" s="218">
        <v>360</v>
      </c>
      <c r="O2070" s="169">
        <f t="shared" si="86"/>
        <v>0</v>
      </c>
      <c r="P2070" s="195"/>
      <c r="Q2070" s="166"/>
      <c r="R2070" s="169"/>
      <c r="S2070" s="169"/>
      <c r="T2070" s="169"/>
      <c r="U2070" s="169"/>
      <c r="V2070" s="166">
        <f t="shared" si="87"/>
        <v>0</v>
      </c>
      <c r="W2070" s="205"/>
      <c r="X2070" s="167"/>
    </row>
    <row r="2071" spans="8:24" s="221" customFormat="1" ht="12.75" hidden="1" customHeight="1">
      <c r="H2071" s="217" t="s">
        <v>5737</v>
      </c>
      <c r="I2071" s="217" t="s">
        <v>5680</v>
      </c>
      <c r="J2071" s="217" t="s">
        <v>5738</v>
      </c>
      <c r="K2071" s="217" t="s">
        <v>5682</v>
      </c>
      <c r="L2071" s="217" t="s">
        <v>92</v>
      </c>
      <c r="M2071" s="217"/>
      <c r="N2071" s="218">
        <v>370</v>
      </c>
      <c r="O2071" s="169">
        <f t="shared" si="86"/>
        <v>0</v>
      </c>
      <c r="P2071" s="195"/>
      <c r="Q2071" s="166"/>
      <c r="R2071" s="169"/>
      <c r="S2071" s="169"/>
      <c r="T2071" s="169"/>
      <c r="U2071" s="169"/>
      <c r="V2071" s="166">
        <f t="shared" si="87"/>
        <v>0</v>
      </c>
      <c r="W2071" s="205"/>
      <c r="X2071" s="167"/>
    </row>
    <row r="2072" spans="8:24" s="221" customFormat="1" ht="12.75" hidden="1" customHeight="1">
      <c r="H2072" s="217" t="s">
        <v>5739</v>
      </c>
      <c r="I2072" s="217" t="s">
        <v>5680</v>
      </c>
      <c r="J2072" s="217" t="s">
        <v>5695</v>
      </c>
      <c r="K2072" s="217" t="s">
        <v>5740</v>
      </c>
      <c r="L2072" s="217" t="s">
        <v>92</v>
      </c>
      <c r="M2072" s="217"/>
      <c r="N2072" s="218">
        <v>390</v>
      </c>
      <c r="O2072" s="169">
        <f t="shared" si="86"/>
        <v>0</v>
      </c>
      <c r="P2072" s="195"/>
      <c r="Q2072" s="166"/>
      <c r="R2072" s="169"/>
      <c r="S2072" s="169"/>
      <c r="T2072" s="169"/>
      <c r="U2072" s="169"/>
      <c r="V2072" s="166">
        <f t="shared" si="87"/>
        <v>0</v>
      </c>
      <c r="W2072" s="205"/>
      <c r="X2072" s="167"/>
    </row>
    <row r="2073" spans="8:24" s="221" customFormat="1" ht="12.75" hidden="1" customHeight="1">
      <c r="H2073" s="217" t="s">
        <v>5741</v>
      </c>
      <c r="I2073" s="217" t="s">
        <v>5680</v>
      </c>
      <c r="J2073" s="217" t="s">
        <v>5683</v>
      </c>
      <c r="K2073" s="217" t="s">
        <v>5706</v>
      </c>
      <c r="L2073" s="217" t="s">
        <v>92</v>
      </c>
      <c r="M2073" s="217"/>
      <c r="N2073" s="218">
        <v>390</v>
      </c>
      <c r="O2073" s="169">
        <f t="shared" si="86"/>
        <v>0</v>
      </c>
      <c r="P2073" s="195"/>
      <c r="Q2073" s="166"/>
      <c r="R2073" s="169"/>
      <c r="S2073" s="169"/>
      <c r="T2073" s="169"/>
      <c r="U2073" s="169"/>
      <c r="V2073" s="166">
        <f t="shared" si="87"/>
        <v>0</v>
      </c>
      <c r="W2073" s="205"/>
      <c r="X2073" s="167"/>
    </row>
    <row r="2074" spans="8:24" s="221" customFormat="1" ht="12.75" hidden="1" customHeight="1">
      <c r="H2074" s="217" t="s">
        <v>5742</v>
      </c>
      <c r="I2074" s="217" t="s">
        <v>5680</v>
      </c>
      <c r="J2074" s="217" t="s">
        <v>5689</v>
      </c>
      <c r="K2074" s="217" t="s">
        <v>5691</v>
      </c>
      <c r="L2074" s="217" t="s">
        <v>92</v>
      </c>
      <c r="M2074" s="217"/>
      <c r="N2074" s="218">
        <v>410</v>
      </c>
      <c r="O2074" s="169">
        <f t="shared" si="86"/>
        <v>0</v>
      </c>
      <c r="P2074" s="165"/>
      <c r="Q2074" s="166"/>
      <c r="R2074" s="169"/>
      <c r="S2074" s="169"/>
      <c r="T2074" s="169"/>
      <c r="U2074" s="169"/>
      <c r="V2074" s="166">
        <f t="shared" si="87"/>
        <v>0</v>
      </c>
      <c r="W2074" s="205"/>
      <c r="X2074" s="155"/>
    </row>
    <row r="2075" spans="8:24" s="221" customFormat="1" ht="12.75" hidden="1" customHeight="1">
      <c r="H2075" s="217" t="s">
        <v>5743</v>
      </c>
      <c r="I2075" s="217" t="s">
        <v>5680</v>
      </c>
      <c r="J2075" s="217" t="s">
        <v>5695</v>
      </c>
      <c r="K2075" s="217" t="s">
        <v>5744</v>
      </c>
      <c r="L2075" s="217" t="s">
        <v>92</v>
      </c>
      <c r="M2075" s="217"/>
      <c r="N2075" s="218">
        <v>410</v>
      </c>
      <c r="O2075" s="169">
        <f t="shared" si="86"/>
        <v>0</v>
      </c>
      <c r="P2075" s="195"/>
      <c r="Q2075" s="166"/>
      <c r="R2075" s="169"/>
      <c r="S2075" s="169"/>
      <c r="T2075" s="169"/>
      <c r="U2075" s="169"/>
      <c r="V2075" s="166">
        <f t="shared" si="87"/>
        <v>0</v>
      </c>
      <c r="W2075" s="205"/>
      <c r="X2075" s="167"/>
    </row>
    <row r="2076" spans="8:24" s="221" customFormat="1" ht="12.75" hidden="1" customHeight="1">
      <c r="H2076" s="217" t="s">
        <v>5745</v>
      </c>
      <c r="I2076" s="217" t="s">
        <v>5680</v>
      </c>
      <c r="J2076" s="217" t="s">
        <v>5738</v>
      </c>
      <c r="K2076" s="217" t="s">
        <v>5684</v>
      </c>
      <c r="L2076" s="217" t="s">
        <v>92</v>
      </c>
      <c r="M2076" s="217"/>
      <c r="N2076" s="218">
        <v>420</v>
      </c>
      <c r="O2076" s="169">
        <f t="shared" si="86"/>
        <v>0</v>
      </c>
      <c r="P2076" s="165"/>
      <c r="Q2076" s="166"/>
      <c r="R2076" s="169"/>
      <c r="S2076" s="169"/>
      <c r="T2076" s="169"/>
      <c r="U2076" s="169"/>
      <c r="V2076" s="166">
        <f t="shared" si="87"/>
        <v>0</v>
      </c>
      <c r="W2076" s="205"/>
      <c r="X2076" s="155"/>
    </row>
    <row r="2077" spans="8:24" s="221" customFormat="1" ht="12.75" hidden="1" customHeight="1">
      <c r="H2077" s="217" t="s">
        <v>5746</v>
      </c>
      <c r="I2077" s="217" t="s">
        <v>5680</v>
      </c>
      <c r="J2077" s="217" t="s">
        <v>5751</v>
      </c>
      <c r="K2077" s="217" t="s">
        <v>5682</v>
      </c>
      <c r="L2077" s="217" t="s">
        <v>92</v>
      </c>
      <c r="M2077" s="217"/>
      <c r="N2077" s="218">
        <v>460</v>
      </c>
      <c r="O2077" s="169">
        <f t="shared" si="86"/>
        <v>0</v>
      </c>
      <c r="P2077" s="195"/>
      <c r="Q2077" s="166"/>
      <c r="R2077" s="169"/>
      <c r="S2077" s="169"/>
      <c r="T2077" s="169"/>
      <c r="U2077" s="169"/>
      <c r="V2077" s="166">
        <f t="shared" si="87"/>
        <v>0</v>
      </c>
      <c r="W2077" s="205"/>
      <c r="X2077" s="167"/>
    </row>
    <row r="2078" spans="8:24" s="221" customFormat="1" ht="12.75" hidden="1" customHeight="1">
      <c r="H2078" s="217" t="s">
        <v>5747</v>
      </c>
      <c r="I2078" s="217" t="s">
        <v>5680</v>
      </c>
      <c r="J2078" s="217" t="s">
        <v>5738</v>
      </c>
      <c r="K2078" s="217" t="s">
        <v>5687</v>
      </c>
      <c r="L2078" s="217" t="s">
        <v>92</v>
      </c>
      <c r="M2078" s="217"/>
      <c r="N2078" s="218">
        <v>470</v>
      </c>
      <c r="O2078" s="169">
        <f t="shared" si="86"/>
        <v>0</v>
      </c>
      <c r="P2078" s="195"/>
      <c r="Q2078" s="166"/>
      <c r="R2078" s="169"/>
      <c r="S2078" s="169"/>
      <c r="T2078" s="169"/>
      <c r="U2078" s="169"/>
      <c r="V2078" s="166">
        <f t="shared" si="87"/>
        <v>0</v>
      </c>
      <c r="W2078" s="205"/>
      <c r="X2078" s="167"/>
    </row>
    <row r="2079" spans="8:24" s="221" customFormat="1" ht="12.75" hidden="1" customHeight="1">
      <c r="H2079" s="217" t="s">
        <v>5748</v>
      </c>
      <c r="I2079" s="217" t="s">
        <v>5680</v>
      </c>
      <c r="J2079" s="217" t="s">
        <v>5752</v>
      </c>
      <c r="K2079" s="217" t="s">
        <v>5682</v>
      </c>
      <c r="L2079" s="217" t="s">
        <v>92</v>
      </c>
      <c r="M2079" s="217"/>
      <c r="N2079" s="218">
        <v>470</v>
      </c>
      <c r="O2079" s="169">
        <f t="shared" si="86"/>
        <v>0</v>
      </c>
      <c r="P2079" s="195"/>
      <c r="Q2079" s="166"/>
      <c r="R2079" s="169"/>
      <c r="S2079" s="169"/>
      <c r="T2079" s="169"/>
      <c r="U2079" s="169"/>
      <c r="V2079" s="166">
        <f t="shared" si="87"/>
        <v>0</v>
      </c>
      <c r="W2079" s="205"/>
      <c r="X2079" s="167"/>
    </row>
    <row r="2080" spans="8:24" s="221" customFormat="1" ht="12.75" hidden="1" customHeight="1">
      <c r="H2080" s="217" t="s">
        <v>5749</v>
      </c>
      <c r="I2080" s="217" t="s">
        <v>5680</v>
      </c>
      <c r="J2080" s="217" t="s">
        <v>5714</v>
      </c>
      <c r="K2080" s="217" t="s">
        <v>5753</v>
      </c>
      <c r="L2080" s="217" t="s">
        <v>92</v>
      </c>
      <c r="M2080" s="217"/>
      <c r="N2080" s="218">
        <v>470</v>
      </c>
      <c r="O2080" s="169">
        <f t="shared" si="86"/>
        <v>0</v>
      </c>
      <c r="P2080" s="195"/>
      <c r="Q2080" s="166"/>
      <c r="R2080" s="169"/>
      <c r="S2080" s="169"/>
      <c r="T2080" s="169"/>
      <c r="U2080" s="169"/>
      <c r="V2080" s="166">
        <f t="shared" si="87"/>
        <v>0</v>
      </c>
      <c r="W2080" s="205"/>
      <c r="X2080" s="167"/>
    </row>
    <row r="2081" spans="8:24" s="221" customFormat="1" ht="12.75" hidden="1" customHeight="1">
      <c r="H2081" s="217" t="s">
        <v>5750</v>
      </c>
      <c r="I2081" s="217" t="s">
        <v>5680</v>
      </c>
      <c r="J2081" s="217" t="s">
        <v>5752</v>
      </c>
      <c r="K2081" s="217" t="s">
        <v>5684</v>
      </c>
      <c r="L2081" s="217" t="s">
        <v>92</v>
      </c>
      <c r="M2081" s="217"/>
      <c r="N2081" s="218">
        <v>470</v>
      </c>
      <c r="O2081" s="169">
        <f t="shared" si="86"/>
        <v>0</v>
      </c>
      <c r="P2081" s="195"/>
      <c r="Q2081" s="166"/>
      <c r="R2081" s="169"/>
      <c r="S2081" s="169"/>
      <c r="T2081" s="169"/>
      <c r="U2081" s="169"/>
      <c r="V2081" s="166">
        <f t="shared" si="87"/>
        <v>0</v>
      </c>
      <c r="W2081" s="205"/>
      <c r="X2081" s="167"/>
    </row>
    <row r="2082" spans="8:24" s="221" customFormat="1" ht="12.75" hidden="1" customHeight="1">
      <c r="H2082" s="217" t="s">
        <v>5754</v>
      </c>
      <c r="I2082" s="217" t="s">
        <v>5680</v>
      </c>
      <c r="J2082" s="217" t="s">
        <v>5699</v>
      </c>
      <c r="K2082" s="217" t="s">
        <v>5755</v>
      </c>
      <c r="L2082" s="217" t="s">
        <v>92</v>
      </c>
      <c r="M2082" s="217"/>
      <c r="N2082" s="218">
        <v>470</v>
      </c>
      <c r="O2082" s="169">
        <f t="shared" si="86"/>
        <v>0</v>
      </c>
      <c r="P2082" s="195"/>
      <c r="Q2082" s="166"/>
      <c r="R2082" s="169"/>
      <c r="S2082" s="169"/>
      <c r="T2082" s="169"/>
      <c r="U2082" s="169"/>
      <c r="V2082" s="166">
        <f t="shared" si="87"/>
        <v>0</v>
      </c>
      <c r="W2082" s="205"/>
      <c r="X2082" s="167"/>
    </row>
    <row r="2083" spans="8:24" s="221" customFormat="1" ht="12.75" hidden="1" customHeight="1">
      <c r="H2083" s="217" t="s">
        <v>5756</v>
      </c>
      <c r="I2083" s="217" t="s">
        <v>5680</v>
      </c>
      <c r="J2083" s="217" t="s">
        <v>5695</v>
      </c>
      <c r="K2083" s="217" t="s">
        <v>5757</v>
      </c>
      <c r="L2083" s="217" t="s">
        <v>92</v>
      </c>
      <c r="M2083" s="217"/>
      <c r="N2083" s="218">
        <v>490</v>
      </c>
      <c r="O2083" s="169">
        <f t="shared" si="86"/>
        <v>0</v>
      </c>
      <c r="P2083" s="195"/>
      <c r="Q2083" s="166"/>
      <c r="R2083" s="169"/>
      <c r="S2083" s="169"/>
      <c r="T2083" s="169"/>
      <c r="U2083" s="169"/>
      <c r="V2083" s="166">
        <f t="shared" si="87"/>
        <v>0</v>
      </c>
      <c r="W2083" s="205"/>
      <c r="X2083" s="167"/>
    </row>
    <row r="2084" spans="8:24" s="221" customFormat="1" ht="12.75" hidden="1" customHeight="1">
      <c r="H2084" s="217" t="s">
        <v>5758</v>
      </c>
      <c r="I2084" s="217" t="s">
        <v>5680</v>
      </c>
      <c r="J2084" s="217" t="s">
        <v>5695</v>
      </c>
      <c r="K2084" s="217" t="s">
        <v>5759</v>
      </c>
      <c r="L2084" s="217" t="s">
        <v>92</v>
      </c>
      <c r="M2084" s="217"/>
      <c r="N2084" s="218">
        <v>500</v>
      </c>
      <c r="O2084" s="169">
        <f t="shared" si="86"/>
        <v>0</v>
      </c>
      <c r="P2084" s="169"/>
      <c r="Q2084" s="166"/>
      <c r="R2084" s="169"/>
      <c r="S2084" s="169"/>
      <c r="T2084" s="169"/>
      <c r="U2084" s="169"/>
      <c r="V2084" s="166">
        <f t="shared" si="87"/>
        <v>0</v>
      </c>
      <c r="W2084" s="205"/>
      <c r="X2084" s="167"/>
    </row>
    <row r="2085" spans="8:24" s="221" customFormat="1" ht="12.75" hidden="1" customHeight="1">
      <c r="H2085" s="217" t="s">
        <v>5760</v>
      </c>
      <c r="I2085" s="217" t="s">
        <v>5680</v>
      </c>
      <c r="J2085" s="217" t="s">
        <v>5751</v>
      </c>
      <c r="K2085" s="217" t="s">
        <v>5684</v>
      </c>
      <c r="L2085" s="217" t="s">
        <v>92</v>
      </c>
      <c r="M2085" s="217"/>
      <c r="N2085" s="218">
        <v>530</v>
      </c>
      <c r="O2085" s="169">
        <f t="shared" si="86"/>
        <v>0</v>
      </c>
      <c r="P2085" s="195"/>
      <c r="Q2085" s="166"/>
      <c r="R2085" s="169"/>
      <c r="S2085" s="169"/>
      <c r="T2085" s="169"/>
      <c r="U2085" s="169"/>
      <c r="V2085" s="166">
        <f t="shared" si="87"/>
        <v>0</v>
      </c>
      <c r="W2085" s="205"/>
      <c r="X2085" s="167"/>
    </row>
    <row r="2086" spans="8:24" s="220" customFormat="1" ht="12.75" hidden="1" customHeight="1">
      <c r="H2086" s="217" t="s">
        <v>5761</v>
      </c>
      <c r="I2086" s="217" t="s">
        <v>5680</v>
      </c>
      <c r="J2086" s="217" t="s">
        <v>5689</v>
      </c>
      <c r="K2086" s="217" t="s">
        <v>5706</v>
      </c>
      <c r="L2086" s="217" t="s">
        <v>92</v>
      </c>
      <c r="M2086" s="217"/>
      <c r="N2086" s="218">
        <v>530</v>
      </c>
      <c r="O2086" s="169">
        <f t="shared" si="86"/>
        <v>0</v>
      </c>
      <c r="P2086" s="195"/>
      <c r="Q2086" s="166"/>
      <c r="R2086" s="169"/>
      <c r="S2086" s="169"/>
      <c r="T2086" s="169"/>
      <c r="U2086" s="169"/>
      <c r="V2086" s="166">
        <f t="shared" si="87"/>
        <v>0</v>
      </c>
      <c r="W2086" s="205"/>
      <c r="X2086" s="155"/>
    </row>
    <row r="2087" spans="8:24" s="220" customFormat="1" ht="12.75" hidden="1" customHeight="1">
      <c r="H2087" s="217" t="s">
        <v>5762</v>
      </c>
      <c r="I2087" s="217" t="s">
        <v>5680</v>
      </c>
      <c r="J2087" s="217" t="s">
        <v>5763</v>
      </c>
      <c r="K2087" s="217" t="s">
        <v>5764</v>
      </c>
      <c r="L2087" s="217" t="s">
        <v>5</v>
      </c>
      <c r="M2087" s="217"/>
      <c r="N2087" s="218">
        <v>560</v>
      </c>
      <c r="O2087" s="169">
        <f t="shared" si="86"/>
        <v>0</v>
      </c>
      <c r="P2087" s="195"/>
      <c r="Q2087" s="166"/>
      <c r="R2087" s="169"/>
      <c r="S2087" s="169"/>
      <c r="T2087" s="169"/>
      <c r="U2087" s="169"/>
      <c r="V2087" s="166">
        <f t="shared" si="87"/>
        <v>0</v>
      </c>
      <c r="W2087" s="205"/>
      <c r="X2087" s="155"/>
    </row>
    <row r="2088" spans="8:24" s="220" customFormat="1" ht="12.75" hidden="1" customHeight="1">
      <c r="H2088" s="217" t="s">
        <v>5765</v>
      </c>
      <c r="I2088" s="217" t="s">
        <v>5680</v>
      </c>
      <c r="J2088" s="217" t="s">
        <v>5695</v>
      </c>
      <c r="K2088" s="217" t="s">
        <v>5766</v>
      </c>
      <c r="L2088" s="217" t="s">
        <v>92</v>
      </c>
      <c r="M2088" s="217"/>
      <c r="N2088" s="218">
        <v>570</v>
      </c>
      <c r="O2088" s="169">
        <f t="shared" si="86"/>
        <v>0</v>
      </c>
      <c r="P2088" s="195"/>
      <c r="Q2088" s="166"/>
      <c r="R2088" s="169"/>
      <c r="S2088" s="169"/>
      <c r="T2088" s="169"/>
      <c r="U2088" s="169"/>
      <c r="V2088" s="166">
        <f t="shared" si="87"/>
        <v>0</v>
      </c>
      <c r="W2088" s="205"/>
      <c r="X2088" s="155"/>
    </row>
    <row r="2089" spans="8:24" s="220" customFormat="1" ht="12.75" hidden="1" customHeight="1">
      <c r="H2089" s="217" t="s">
        <v>5767</v>
      </c>
      <c r="I2089" s="217" t="s">
        <v>5680</v>
      </c>
      <c r="J2089" s="217" t="s">
        <v>5695</v>
      </c>
      <c r="K2089" s="217" t="s">
        <v>5768</v>
      </c>
      <c r="L2089" s="217" t="s">
        <v>92</v>
      </c>
      <c r="M2089" s="217"/>
      <c r="N2089" s="218">
        <v>580</v>
      </c>
      <c r="O2089" s="169">
        <f t="shared" si="86"/>
        <v>0</v>
      </c>
      <c r="P2089" s="195"/>
      <c r="Q2089" s="166"/>
      <c r="R2089" s="169"/>
      <c r="S2089" s="169"/>
      <c r="T2089" s="169"/>
      <c r="U2089" s="169"/>
      <c r="V2089" s="166">
        <f t="shared" si="87"/>
        <v>0</v>
      </c>
      <c r="W2089" s="205"/>
      <c r="X2089" s="155"/>
    </row>
    <row r="2090" spans="8:24" s="220" customFormat="1" ht="12.75" hidden="1" customHeight="1">
      <c r="H2090" s="217" t="s">
        <v>5769</v>
      </c>
      <c r="I2090" s="217" t="s">
        <v>5680</v>
      </c>
      <c r="J2090" s="217" t="s">
        <v>5681</v>
      </c>
      <c r="K2090" s="217" t="s">
        <v>5770</v>
      </c>
      <c r="L2090" s="217" t="s">
        <v>92</v>
      </c>
      <c r="M2090" s="217"/>
      <c r="N2090" s="218">
        <v>590</v>
      </c>
      <c r="O2090" s="169">
        <f t="shared" si="86"/>
        <v>0</v>
      </c>
      <c r="P2090" s="195"/>
      <c r="Q2090" s="166"/>
      <c r="R2090" s="169"/>
      <c r="S2090" s="169"/>
      <c r="T2090" s="169"/>
      <c r="U2090" s="169"/>
      <c r="V2090" s="166">
        <f t="shared" si="87"/>
        <v>0</v>
      </c>
      <c r="W2090" s="205"/>
      <c r="X2090" s="155"/>
    </row>
    <row r="2091" spans="8:24" s="220" customFormat="1" ht="12.75" hidden="1" customHeight="1">
      <c r="H2091" s="217" t="s">
        <v>5771</v>
      </c>
      <c r="I2091" s="217" t="s">
        <v>5680</v>
      </c>
      <c r="J2091" s="217" t="s">
        <v>5695</v>
      </c>
      <c r="K2091" s="217" t="s">
        <v>5772</v>
      </c>
      <c r="L2091" s="217" t="s">
        <v>92</v>
      </c>
      <c r="M2091" s="217"/>
      <c r="N2091" s="218">
        <v>590</v>
      </c>
      <c r="O2091" s="169">
        <f t="shared" si="86"/>
        <v>0</v>
      </c>
      <c r="P2091" s="195"/>
      <c r="Q2091" s="166"/>
      <c r="R2091" s="169"/>
      <c r="S2091" s="169"/>
      <c r="T2091" s="169"/>
      <c r="U2091" s="169"/>
      <c r="V2091" s="166">
        <f t="shared" si="87"/>
        <v>0</v>
      </c>
      <c r="W2091" s="205"/>
      <c r="X2091" s="155"/>
    </row>
    <row r="2092" spans="8:24" s="220" customFormat="1" ht="12.75" hidden="1" customHeight="1">
      <c r="H2092" s="217" t="s">
        <v>5773</v>
      </c>
      <c r="I2092" s="217" t="s">
        <v>5680</v>
      </c>
      <c r="J2092" s="217" t="s">
        <v>5774</v>
      </c>
      <c r="K2092" s="217" t="s">
        <v>5764</v>
      </c>
      <c r="L2092" s="217" t="s">
        <v>5</v>
      </c>
      <c r="M2092" s="217"/>
      <c r="N2092" s="218">
        <v>590</v>
      </c>
      <c r="O2092" s="169">
        <f t="shared" si="86"/>
        <v>0</v>
      </c>
      <c r="P2092" s="195"/>
      <c r="Q2092" s="166"/>
      <c r="R2092" s="169"/>
      <c r="S2092" s="169"/>
      <c r="T2092" s="169"/>
      <c r="U2092" s="169"/>
      <c r="V2092" s="166">
        <f t="shared" si="87"/>
        <v>0</v>
      </c>
      <c r="W2092" s="205"/>
      <c r="X2092" s="155"/>
    </row>
    <row r="2093" spans="8:24" s="220" customFormat="1" ht="12.75" hidden="1" customHeight="1">
      <c r="H2093" s="217" t="s">
        <v>5775</v>
      </c>
      <c r="I2093" s="217" t="s">
        <v>5680</v>
      </c>
      <c r="J2093" s="217" t="s">
        <v>5752</v>
      </c>
      <c r="K2093" s="217" t="s">
        <v>5687</v>
      </c>
      <c r="L2093" s="217" t="s">
        <v>92</v>
      </c>
      <c r="M2093" s="217"/>
      <c r="N2093" s="218">
        <v>610</v>
      </c>
      <c r="O2093" s="169">
        <f t="shared" si="86"/>
        <v>0</v>
      </c>
      <c r="P2093" s="195"/>
      <c r="Q2093" s="166"/>
      <c r="R2093" s="169"/>
      <c r="S2093" s="169"/>
      <c r="T2093" s="169"/>
      <c r="U2093" s="169"/>
      <c r="V2093" s="166">
        <f t="shared" si="87"/>
        <v>0</v>
      </c>
      <c r="W2093" s="205"/>
      <c r="X2093" s="155"/>
    </row>
    <row r="2094" spans="8:24" s="220" customFormat="1" ht="12.75" hidden="1" customHeight="1">
      <c r="H2094" s="217" t="s">
        <v>5776</v>
      </c>
      <c r="I2094" s="217" t="s">
        <v>5680</v>
      </c>
      <c r="J2094" s="217" t="s">
        <v>5695</v>
      </c>
      <c r="K2094" s="217" t="s">
        <v>5777</v>
      </c>
      <c r="L2094" s="217" t="s">
        <v>92</v>
      </c>
      <c r="M2094" s="217"/>
      <c r="N2094" s="218">
        <v>620</v>
      </c>
      <c r="O2094" s="169">
        <f t="shared" si="86"/>
        <v>0</v>
      </c>
      <c r="P2094" s="195"/>
      <c r="Q2094" s="166"/>
      <c r="R2094" s="169"/>
      <c r="S2094" s="169"/>
      <c r="T2094" s="169"/>
      <c r="U2094" s="169"/>
      <c r="V2094" s="166">
        <f t="shared" si="87"/>
        <v>0</v>
      </c>
      <c r="W2094" s="205"/>
      <c r="X2094" s="155"/>
    </row>
    <row r="2095" spans="8:24" s="220" customFormat="1" ht="12.75" hidden="1" customHeight="1">
      <c r="H2095" s="217" t="s">
        <v>5778</v>
      </c>
      <c r="I2095" s="217" t="s">
        <v>5680</v>
      </c>
      <c r="J2095" s="217" t="s">
        <v>5781</v>
      </c>
      <c r="K2095" s="217" t="s">
        <v>5682</v>
      </c>
      <c r="L2095" s="217" t="s">
        <v>92</v>
      </c>
      <c r="M2095" s="217"/>
      <c r="N2095" s="218">
        <v>650</v>
      </c>
      <c r="O2095" s="169">
        <f t="shared" si="86"/>
        <v>0</v>
      </c>
      <c r="P2095" s="195"/>
      <c r="Q2095" s="166"/>
      <c r="R2095" s="169"/>
      <c r="S2095" s="169"/>
      <c r="T2095" s="169"/>
      <c r="U2095" s="169"/>
      <c r="V2095" s="166">
        <f t="shared" si="87"/>
        <v>0</v>
      </c>
      <c r="W2095" s="205"/>
      <c r="X2095" s="155"/>
    </row>
    <row r="2096" spans="8:24" s="220" customFormat="1" ht="12.75" hidden="1" customHeight="1">
      <c r="H2096" s="217" t="s">
        <v>5779</v>
      </c>
      <c r="I2096" s="217" t="s">
        <v>5680</v>
      </c>
      <c r="J2096" s="217" t="s">
        <v>5738</v>
      </c>
      <c r="K2096" s="217" t="s">
        <v>5691</v>
      </c>
      <c r="L2096" s="217" t="s">
        <v>92</v>
      </c>
      <c r="M2096" s="217"/>
      <c r="N2096" s="218">
        <v>650</v>
      </c>
      <c r="O2096" s="169">
        <f t="shared" si="86"/>
        <v>0</v>
      </c>
      <c r="P2096" s="195"/>
      <c r="Q2096" s="166"/>
      <c r="R2096" s="169"/>
      <c r="S2096" s="169"/>
      <c r="T2096" s="169"/>
      <c r="U2096" s="169"/>
      <c r="V2096" s="166">
        <f t="shared" si="87"/>
        <v>0</v>
      </c>
      <c r="W2096" s="205"/>
      <c r="X2096" s="155"/>
    </row>
    <row r="2097" spans="8:24" s="220" customFormat="1" ht="12.75" hidden="1" customHeight="1">
      <c r="H2097" s="217" t="s">
        <v>5780</v>
      </c>
      <c r="I2097" s="217" t="s">
        <v>5680</v>
      </c>
      <c r="J2097" s="217" t="s">
        <v>5683</v>
      </c>
      <c r="K2097" s="217" t="s">
        <v>5727</v>
      </c>
      <c r="L2097" s="217" t="s">
        <v>92</v>
      </c>
      <c r="M2097" s="217"/>
      <c r="N2097" s="218">
        <v>650</v>
      </c>
      <c r="O2097" s="169">
        <f t="shared" si="86"/>
        <v>0</v>
      </c>
      <c r="P2097" s="165"/>
      <c r="Q2097" s="166"/>
      <c r="R2097" s="169"/>
      <c r="S2097" s="169"/>
      <c r="T2097" s="169"/>
      <c r="U2097" s="169"/>
      <c r="V2097" s="166">
        <f t="shared" si="87"/>
        <v>0</v>
      </c>
      <c r="W2097" s="205"/>
      <c r="X2097" s="155"/>
    </row>
    <row r="2098" spans="8:24" s="220" customFormat="1" ht="12.75" hidden="1" customHeight="1">
      <c r="H2098" s="217" t="s">
        <v>5782</v>
      </c>
      <c r="I2098" s="217" t="s">
        <v>5680</v>
      </c>
      <c r="J2098" s="217" t="s">
        <v>5781</v>
      </c>
      <c r="K2098" s="217" t="s">
        <v>5684</v>
      </c>
      <c r="L2098" s="217" t="s">
        <v>92</v>
      </c>
      <c r="M2098" s="217"/>
      <c r="N2098" s="218">
        <v>660</v>
      </c>
      <c r="O2098" s="169">
        <f t="shared" si="86"/>
        <v>0</v>
      </c>
      <c r="P2098" s="165"/>
      <c r="Q2098" s="166"/>
      <c r="R2098" s="169"/>
      <c r="S2098" s="169"/>
      <c r="T2098" s="169"/>
      <c r="U2098" s="169"/>
      <c r="V2098" s="166">
        <f t="shared" si="87"/>
        <v>0</v>
      </c>
      <c r="W2098" s="205"/>
      <c r="X2098" s="155"/>
    </row>
    <row r="2099" spans="8:24" s="220" customFormat="1" ht="12.75" hidden="1" customHeight="1">
      <c r="H2099" s="217" t="s">
        <v>5783</v>
      </c>
      <c r="I2099" s="217" t="s">
        <v>5680</v>
      </c>
      <c r="J2099" s="217" t="s">
        <v>5681</v>
      </c>
      <c r="K2099" s="217" t="s">
        <v>5784</v>
      </c>
      <c r="L2099" s="217" t="s">
        <v>92</v>
      </c>
      <c r="M2099" s="217"/>
      <c r="N2099" s="218">
        <v>660</v>
      </c>
      <c r="O2099" s="169">
        <f t="shared" si="86"/>
        <v>0</v>
      </c>
      <c r="P2099" s="165"/>
      <c r="Q2099" s="166"/>
      <c r="R2099" s="169"/>
      <c r="S2099" s="169"/>
      <c r="T2099" s="169"/>
      <c r="U2099" s="169"/>
      <c r="V2099" s="166">
        <f t="shared" si="87"/>
        <v>0</v>
      </c>
      <c r="W2099" s="205"/>
      <c r="X2099" s="155"/>
    </row>
    <row r="2100" spans="8:24" s="220" customFormat="1" ht="12.75" hidden="1" customHeight="1">
      <c r="H2100" s="217" t="s">
        <v>5785</v>
      </c>
      <c r="I2100" s="217" t="s">
        <v>5680</v>
      </c>
      <c r="J2100" s="217" t="s">
        <v>5751</v>
      </c>
      <c r="K2100" s="217" t="s">
        <v>5687</v>
      </c>
      <c r="L2100" s="217" t="s">
        <v>92</v>
      </c>
      <c r="M2100" s="217"/>
      <c r="N2100" s="218">
        <v>700</v>
      </c>
      <c r="O2100" s="169">
        <f t="shared" si="86"/>
        <v>0</v>
      </c>
      <c r="P2100" s="165"/>
      <c r="Q2100" s="166"/>
      <c r="R2100" s="169"/>
      <c r="S2100" s="169"/>
      <c r="T2100" s="169"/>
      <c r="U2100" s="169"/>
      <c r="V2100" s="166">
        <f t="shared" si="87"/>
        <v>0</v>
      </c>
      <c r="W2100" s="205"/>
      <c r="X2100" s="155"/>
    </row>
    <row r="2101" spans="8:24" s="220" customFormat="1" ht="12.75" hidden="1" customHeight="1">
      <c r="H2101" s="217" t="s">
        <v>5786</v>
      </c>
      <c r="I2101" s="217" t="s">
        <v>5680</v>
      </c>
      <c r="J2101" s="217" t="s">
        <v>5695</v>
      </c>
      <c r="K2101" s="217" t="s">
        <v>5787</v>
      </c>
      <c r="L2101" s="217" t="s">
        <v>92</v>
      </c>
      <c r="M2101" s="217"/>
      <c r="N2101" s="218">
        <v>720</v>
      </c>
      <c r="O2101" s="169">
        <f t="shared" si="86"/>
        <v>0</v>
      </c>
      <c r="P2101" s="165"/>
      <c r="Q2101" s="166"/>
      <c r="R2101" s="169"/>
      <c r="S2101" s="169"/>
      <c r="T2101" s="169"/>
      <c r="U2101" s="169"/>
      <c r="V2101" s="166">
        <f t="shared" si="87"/>
        <v>0</v>
      </c>
      <c r="W2101" s="205"/>
      <c r="X2101" s="155"/>
    </row>
    <row r="2102" spans="8:24" s="220" customFormat="1" ht="12.75" hidden="1" customHeight="1">
      <c r="H2102" s="217" t="s">
        <v>5788</v>
      </c>
      <c r="I2102" s="217" t="s">
        <v>5680</v>
      </c>
      <c r="J2102" s="217" t="s">
        <v>5693</v>
      </c>
      <c r="K2102" s="217" t="s">
        <v>5691</v>
      </c>
      <c r="L2102" s="217" t="s">
        <v>92</v>
      </c>
      <c r="M2102" s="217"/>
      <c r="N2102" s="218">
        <v>720</v>
      </c>
      <c r="O2102" s="169">
        <f t="shared" si="86"/>
        <v>0</v>
      </c>
      <c r="P2102" s="165"/>
      <c r="Q2102" s="166"/>
      <c r="R2102" s="169"/>
      <c r="S2102" s="169"/>
      <c r="T2102" s="169"/>
      <c r="U2102" s="169"/>
      <c r="V2102" s="166">
        <f t="shared" si="87"/>
        <v>0</v>
      </c>
      <c r="W2102" s="205"/>
      <c r="X2102" s="155"/>
    </row>
    <row r="2103" spans="8:24" s="220" customFormat="1" ht="12.75" hidden="1" customHeight="1">
      <c r="H2103" s="217" t="s">
        <v>5789</v>
      </c>
      <c r="I2103" s="217" t="s">
        <v>5680</v>
      </c>
      <c r="J2103" s="217" t="s">
        <v>5781</v>
      </c>
      <c r="K2103" s="217" t="s">
        <v>5687</v>
      </c>
      <c r="L2103" s="217" t="s">
        <v>92</v>
      </c>
      <c r="M2103" s="217"/>
      <c r="N2103" s="218">
        <v>730</v>
      </c>
      <c r="O2103" s="169">
        <f t="shared" si="86"/>
        <v>0</v>
      </c>
      <c r="P2103" s="165"/>
      <c r="Q2103" s="166"/>
      <c r="R2103" s="169"/>
      <c r="S2103" s="169"/>
      <c r="T2103" s="169"/>
      <c r="U2103" s="169"/>
      <c r="V2103" s="166">
        <f t="shared" si="87"/>
        <v>0</v>
      </c>
      <c r="W2103" s="205"/>
      <c r="X2103" s="155"/>
    </row>
    <row r="2104" spans="8:24" s="220" customFormat="1" ht="12.75" hidden="1" customHeight="1">
      <c r="H2104" s="217" t="s">
        <v>5790</v>
      </c>
      <c r="I2104" s="217" t="s">
        <v>5680</v>
      </c>
      <c r="J2104" s="217" t="s">
        <v>5781</v>
      </c>
      <c r="K2104" s="217" t="s">
        <v>5691</v>
      </c>
      <c r="L2104" s="217" t="s">
        <v>92</v>
      </c>
      <c r="M2104" s="217"/>
      <c r="N2104" s="218">
        <v>730</v>
      </c>
      <c r="O2104" s="169">
        <f t="shared" si="86"/>
        <v>0</v>
      </c>
      <c r="P2104" s="195"/>
      <c r="Q2104" s="166"/>
      <c r="R2104" s="169"/>
      <c r="S2104" s="169"/>
      <c r="T2104" s="169"/>
      <c r="U2104" s="169"/>
      <c r="V2104" s="166">
        <f t="shared" si="87"/>
        <v>0</v>
      </c>
      <c r="W2104" s="205"/>
      <c r="X2104" s="167"/>
    </row>
    <row r="2105" spans="8:24" s="220" customFormat="1" ht="12.75" hidden="1" customHeight="1">
      <c r="H2105" s="217" t="s">
        <v>5791</v>
      </c>
      <c r="I2105" s="217" t="s">
        <v>5680</v>
      </c>
      <c r="J2105" s="217" t="s">
        <v>5781</v>
      </c>
      <c r="K2105" s="217" t="s">
        <v>5706</v>
      </c>
      <c r="L2105" s="217" t="s">
        <v>92</v>
      </c>
      <c r="M2105" s="217"/>
      <c r="N2105" s="218">
        <v>730</v>
      </c>
      <c r="O2105" s="169">
        <f t="shared" si="86"/>
        <v>0</v>
      </c>
      <c r="P2105" s="165"/>
      <c r="Q2105" s="166"/>
      <c r="R2105" s="169"/>
      <c r="S2105" s="169"/>
      <c r="T2105" s="169"/>
      <c r="U2105" s="169"/>
      <c r="V2105" s="166">
        <f t="shared" si="87"/>
        <v>0</v>
      </c>
      <c r="W2105" s="205"/>
      <c r="X2105" s="155"/>
    </row>
    <row r="2106" spans="8:24" s="220" customFormat="1" ht="12.75" hidden="1" customHeight="1">
      <c r="H2106" s="217" t="s">
        <v>5792</v>
      </c>
      <c r="I2106" s="217" t="s">
        <v>5680</v>
      </c>
      <c r="J2106" s="217" t="s">
        <v>5714</v>
      </c>
      <c r="K2106" s="217" t="s">
        <v>5793</v>
      </c>
      <c r="L2106" s="217" t="s">
        <v>92</v>
      </c>
      <c r="M2106" s="217"/>
      <c r="N2106" s="218">
        <v>730</v>
      </c>
      <c r="O2106" s="169">
        <f t="shared" si="86"/>
        <v>0</v>
      </c>
      <c r="P2106" s="195"/>
      <c r="Q2106" s="166"/>
      <c r="R2106" s="169"/>
      <c r="S2106" s="169"/>
      <c r="T2106" s="169"/>
      <c r="U2106" s="169"/>
      <c r="V2106" s="166">
        <f t="shared" si="87"/>
        <v>0</v>
      </c>
      <c r="W2106" s="205"/>
      <c r="X2106" s="167"/>
    </row>
    <row r="2107" spans="8:24" s="220" customFormat="1" ht="12.75" hidden="1" customHeight="1">
      <c r="H2107" s="217" t="s">
        <v>5794</v>
      </c>
      <c r="I2107" s="217" t="s">
        <v>5680</v>
      </c>
      <c r="J2107" s="217" t="s">
        <v>5689</v>
      </c>
      <c r="K2107" s="217" t="s">
        <v>5727</v>
      </c>
      <c r="L2107" s="217" t="s">
        <v>92</v>
      </c>
      <c r="M2107" s="217"/>
      <c r="N2107" s="218">
        <v>750</v>
      </c>
      <c r="O2107" s="169">
        <f t="shared" si="86"/>
        <v>0</v>
      </c>
      <c r="P2107" s="165"/>
      <c r="Q2107" s="166"/>
      <c r="R2107" s="169"/>
      <c r="S2107" s="169"/>
      <c r="T2107" s="169"/>
      <c r="U2107" s="169"/>
      <c r="V2107" s="166">
        <f t="shared" si="87"/>
        <v>0</v>
      </c>
      <c r="W2107" s="205"/>
      <c r="X2107" s="155"/>
    </row>
    <row r="2108" spans="8:24" s="220" customFormat="1" ht="12.75" hidden="1" customHeight="1">
      <c r="H2108" s="217" t="s">
        <v>5795</v>
      </c>
      <c r="I2108" s="217" t="s">
        <v>5680</v>
      </c>
      <c r="J2108" s="217" t="s">
        <v>5751</v>
      </c>
      <c r="K2108" s="217" t="s">
        <v>5691</v>
      </c>
      <c r="L2108" s="217" t="s">
        <v>92</v>
      </c>
      <c r="M2108" s="217"/>
      <c r="N2108" s="218">
        <v>800</v>
      </c>
      <c r="O2108" s="169">
        <f t="shared" si="86"/>
        <v>0</v>
      </c>
      <c r="P2108" s="165"/>
      <c r="Q2108" s="166"/>
      <c r="R2108" s="169"/>
      <c r="S2108" s="169"/>
      <c r="T2108" s="169"/>
      <c r="U2108" s="169"/>
      <c r="V2108" s="166">
        <f t="shared" si="87"/>
        <v>0</v>
      </c>
      <c r="W2108" s="205"/>
      <c r="X2108" s="155"/>
    </row>
    <row r="2109" spans="8:24" s="220" customFormat="1" ht="12.75" hidden="1" customHeight="1">
      <c r="H2109" s="217" t="s">
        <v>5796</v>
      </c>
      <c r="I2109" s="217" t="s">
        <v>5680</v>
      </c>
      <c r="J2109" s="217" t="s">
        <v>5695</v>
      </c>
      <c r="K2109" s="217" t="s">
        <v>5797</v>
      </c>
      <c r="L2109" s="217" t="s">
        <v>92</v>
      </c>
      <c r="M2109" s="217"/>
      <c r="N2109" s="218">
        <v>810</v>
      </c>
      <c r="O2109" s="169">
        <f t="shared" si="86"/>
        <v>0</v>
      </c>
      <c r="P2109" s="165"/>
      <c r="Q2109" s="166"/>
      <c r="R2109" s="169"/>
      <c r="S2109" s="169"/>
      <c r="T2109" s="169"/>
      <c r="U2109" s="169"/>
      <c r="V2109" s="166">
        <f t="shared" si="87"/>
        <v>0</v>
      </c>
      <c r="W2109" s="205"/>
      <c r="X2109" s="155"/>
    </row>
    <row r="2110" spans="8:24" s="220" customFormat="1" ht="12.75" hidden="1" customHeight="1">
      <c r="H2110" s="217" t="s">
        <v>5798</v>
      </c>
      <c r="I2110" s="217" t="s">
        <v>5680</v>
      </c>
      <c r="J2110" s="217" t="s">
        <v>5695</v>
      </c>
      <c r="K2110" s="217" t="s">
        <v>5800</v>
      </c>
      <c r="L2110" s="217" t="s">
        <v>92</v>
      </c>
      <c r="M2110" s="217"/>
      <c r="N2110" s="218">
        <v>820</v>
      </c>
      <c r="O2110" s="169">
        <f t="shared" si="86"/>
        <v>0</v>
      </c>
      <c r="P2110" s="165"/>
      <c r="Q2110" s="166"/>
      <c r="R2110" s="169"/>
      <c r="S2110" s="169"/>
      <c r="T2110" s="169"/>
      <c r="U2110" s="169"/>
      <c r="V2110" s="166">
        <f t="shared" si="87"/>
        <v>0</v>
      </c>
      <c r="W2110" s="205"/>
      <c r="X2110" s="155"/>
    </row>
    <row r="2111" spans="8:24" s="220" customFormat="1" ht="12.75" hidden="1" customHeight="1">
      <c r="H2111" s="217" t="s">
        <v>5799</v>
      </c>
      <c r="I2111" s="217" t="s">
        <v>5680</v>
      </c>
      <c r="J2111" s="217" t="s">
        <v>5801</v>
      </c>
      <c r="K2111" s="217" t="s">
        <v>5764</v>
      </c>
      <c r="L2111" s="217" t="s">
        <v>92</v>
      </c>
      <c r="M2111" s="217"/>
      <c r="N2111" s="218">
        <v>830</v>
      </c>
      <c r="O2111" s="169">
        <f t="shared" si="86"/>
        <v>0</v>
      </c>
      <c r="P2111" s="169"/>
      <c r="Q2111" s="166"/>
      <c r="R2111" s="169"/>
      <c r="S2111" s="169"/>
      <c r="T2111" s="169"/>
      <c r="U2111" s="169"/>
      <c r="V2111" s="166">
        <f t="shared" si="87"/>
        <v>0</v>
      </c>
      <c r="W2111" s="205"/>
      <c r="X2111" s="155"/>
    </row>
    <row r="2112" spans="8:24" s="220" customFormat="1" ht="12.75" hidden="1" customHeight="1">
      <c r="H2112" s="217" t="s">
        <v>5802</v>
      </c>
      <c r="I2112" s="217" t="s">
        <v>5680</v>
      </c>
      <c r="J2112" s="217" t="s">
        <v>5714</v>
      </c>
      <c r="K2112" s="217" t="s">
        <v>5803</v>
      </c>
      <c r="L2112" s="217" t="s">
        <v>92</v>
      </c>
      <c r="M2112" s="217"/>
      <c r="N2112" s="218">
        <v>830</v>
      </c>
      <c r="O2112" s="169">
        <f t="shared" si="86"/>
        <v>0</v>
      </c>
      <c r="P2112" s="169"/>
      <c r="Q2112" s="166"/>
      <c r="R2112" s="169"/>
      <c r="S2112" s="169"/>
      <c r="T2112" s="169"/>
      <c r="U2112" s="169"/>
      <c r="V2112" s="166">
        <f t="shared" si="87"/>
        <v>0</v>
      </c>
      <c r="W2112" s="205"/>
      <c r="X2112" s="155"/>
    </row>
    <row r="2113" spans="8:24" s="220" customFormat="1" ht="12.75" hidden="1" customHeight="1">
      <c r="H2113" s="217" t="s">
        <v>5804</v>
      </c>
      <c r="I2113" s="217" t="s">
        <v>5680</v>
      </c>
      <c r="J2113" s="217" t="s">
        <v>5681</v>
      </c>
      <c r="K2113" s="217" t="s">
        <v>5806</v>
      </c>
      <c r="L2113" s="217" t="s">
        <v>92</v>
      </c>
      <c r="M2113" s="217"/>
      <c r="N2113" s="218">
        <v>930</v>
      </c>
      <c r="O2113" s="169">
        <f t="shared" si="86"/>
        <v>0</v>
      </c>
      <c r="P2113" s="169"/>
      <c r="Q2113" s="166"/>
      <c r="R2113" s="169"/>
      <c r="S2113" s="169"/>
      <c r="T2113" s="169"/>
      <c r="U2113" s="169"/>
      <c r="V2113" s="166">
        <f t="shared" si="87"/>
        <v>0</v>
      </c>
      <c r="W2113" s="205"/>
      <c r="X2113" s="155"/>
    </row>
    <row r="2114" spans="8:24" s="220" customFormat="1" ht="12.75" hidden="1" customHeight="1">
      <c r="H2114" s="217" t="s">
        <v>5805</v>
      </c>
      <c r="I2114" s="217" t="s">
        <v>5680</v>
      </c>
      <c r="J2114" s="217" t="s">
        <v>5763</v>
      </c>
      <c r="K2114" s="217" t="s">
        <v>5807</v>
      </c>
      <c r="L2114" s="217" t="s">
        <v>5</v>
      </c>
      <c r="M2114" s="217"/>
      <c r="N2114" s="218">
        <v>930</v>
      </c>
      <c r="O2114" s="169">
        <f t="shared" si="86"/>
        <v>0</v>
      </c>
      <c r="P2114" s="169"/>
      <c r="Q2114" s="166"/>
      <c r="R2114" s="169"/>
      <c r="S2114" s="169"/>
      <c r="T2114" s="169"/>
      <c r="U2114" s="169"/>
      <c r="V2114" s="166">
        <f t="shared" si="87"/>
        <v>0</v>
      </c>
      <c r="W2114" s="205"/>
      <c r="X2114" s="155"/>
    </row>
    <row r="2115" spans="8:24" s="220" customFormat="1" ht="12.75" hidden="1" customHeight="1">
      <c r="H2115" s="217" t="s">
        <v>5808</v>
      </c>
      <c r="I2115" s="217" t="s">
        <v>5680</v>
      </c>
      <c r="J2115" s="217" t="s">
        <v>5695</v>
      </c>
      <c r="K2115" s="217" t="s">
        <v>5809</v>
      </c>
      <c r="L2115" s="217" t="s">
        <v>92</v>
      </c>
      <c r="M2115" s="217"/>
      <c r="N2115" s="218">
        <v>960</v>
      </c>
      <c r="O2115" s="169">
        <f t="shared" ref="O2115:O2178" si="88">M2115*N2115*$O$3</f>
        <v>0</v>
      </c>
      <c r="P2115" s="169"/>
      <c r="Q2115" s="166"/>
      <c r="R2115" s="169"/>
      <c r="S2115" s="169"/>
      <c r="T2115" s="169"/>
      <c r="U2115" s="169"/>
      <c r="V2115" s="166">
        <f t="shared" si="87"/>
        <v>0</v>
      </c>
      <c r="W2115" s="205"/>
      <c r="X2115" s="155"/>
    </row>
    <row r="2116" spans="8:24" s="220" customFormat="1" ht="12.75" hidden="1" customHeight="1">
      <c r="H2116" s="217" t="s">
        <v>5810</v>
      </c>
      <c r="I2116" s="217" t="s">
        <v>5680</v>
      </c>
      <c r="J2116" s="217" t="s">
        <v>5695</v>
      </c>
      <c r="K2116" s="217" t="s">
        <v>5811</v>
      </c>
      <c r="L2116" s="217" t="s">
        <v>92</v>
      </c>
      <c r="M2116" s="217"/>
      <c r="N2116" s="218">
        <v>970</v>
      </c>
      <c r="O2116" s="169">
        <f t="shared" si="88"/>
        <v>0</v>
      </c>
      <c r="P2116" s="169"/>
      <c r="Q2116" s="166"/>
      <c r="R2116" s="169"/>
      <c r="S2116" s="169"/>
      <c r="T2116" s="169"/>
      <c r="U2116" s="169"/>
      <c r="V2116" s="166">
        <f t="shared" si="87"/>
        <v>0</v>
      </c>
      <c r="W2116" s="205"/>
      <c r="X2116" s="155"/>
    </row>
    <row r="2117" spans="8:24" s="220" customFormat="1" ht="12.75" hidden="1" customHeight="1">
      <c r="H2117" s="217" t="s">
        <v>5812</v>
      </c>
      <c r="I2117" s="217" t="s">
        <v>5680</v>
      </c>
      <c r="J2117" s="217" t="s">
        <v>5683</v>
      </c>
      <c r="K2117" s="217" t="s">
        <v>5770</v>
      </c>
      <c r="L2117" s="217" t="s">
        <v>92</v>
      </c>
      <c r="M2117" s="217"/>
      <c r="N2117" s="218">
        <v>990</v>
      </c>
      <c r="O2117" s="169">
        <f t="shared" si="88"/>
        <v>0</v>
      </c>
      <c r="P2117" s="169"/>
      <c r="Q2117" s="166"/>
      <c r="R2117" s="169"/>
      <c r="S2117" s="169"/>
      <c r="T2117" s="169"/>
      <c r="U2117" s="169"/>
      <c r="V2117" s="166">
        <f t="shared" si="87"/>
        <v>0</v>
      </c>
      <c r="W2117" s="205"/>
      <c r="X2117" s="155"/>
    </row>
    <row r="2118" spans="8:24" s="220" customFormat="1" ht="12.75" hidden="1" customHeight="1">
      <c r="H2118" s="217" t="s">
        <v>5813</v>
      </c>
      <c r="I2118" s="217" t="s">
        <v>5680</v>
      </c>
      <c r="J2118" s="217" t="s">
        <v>5774</v>
      </c>
      <c r="K2118" s="217" t="s">
        <v>5807</v>
      </c>
      <c r="L2118" s="217" t="s">
        <v>5</v>
      </c>
      <c r="M2118" s="217"/>
      <c r="N2118" s="218">
        <v>1000</v>
      </c>
      <c r="O2118" s="169">
        <f t="shared" si="88"/>
        <v>0</v>
      </c>
      <c r="P2118" s="169"/>
      <c r="Q2118" s="166"/>
      <c r="R2118" s="169"/>
      <c r="S2118" s="169"/>
      <c r="T2118" s="169"/>
      <c r="U2118" s="169"/>
      <c r="V2118" s="166">
        <f t="shared" ref="V2118:V2181" si="89">SUM(O2118+Q2118)+S2118+U2118</f>
        <v>0</v>
      </c>
      <c r="W2118" s="205"/>
      <c r="X2118" s="155"/>
    </row>
    <row r="2119" spans="8:24" s="220" customFormat="1" ht="12.75" hidden="1" customHeight="1">
      <c r="H2119" s="217" t="s">
        <v>5814</v>
      </c>
      <c r="I2119" s="217" t="s">
        <v>5680</v>
      </c>
      <c r="J2119" s="217" t="s">
        <v>5714</v>
      </c>
      <c r="K2119" s="217" t="s">
        <v>5815</v>
      </c>
      <c r="L2119" s="217" t="s">
        <v>92</v>
      </c>
      <c r="M2119" s="217"/>
      <c r="N2119" s="218">
        <v>1040</v>
      </c>
      <c r="O2119" s="169">
        <f t="shared" si="88"/>
        <v>0</v>
      </c>
      <c r="P2119" s="169"/>
      <c r="Q2119" s="166"/>
      <c r="R2119" s="169"/>
      <c r="S2119" s="169"/>
      <c r="T2119" s="169"/>
      <c r="U2119" s="169"/>
      <c r="V2119" s="166">
        <f t="shared" si="89"/>
        <v>0</v>
      </c>
      <c r="W2119" s="205"/>
      <c r="X2119" s="155"/>
    </row>
    <row r="2120" spans="8:24" s="220" customFormat="1" ht="12.75" hidden="1" customHeight="1">
      <c r="H2120" s="217" t="s">
        <v>5816</v>
      </c>
      <c r="I2120" s="217" t="s">
        <v>5680</v>
      </c>
      <c r="J2120" s="217" t="s">
        <v>5817</v>
      </c>
      <c r="K2120" s="217" t="s">
        <v>5764</v>
      </c>
      <c r="L2120" s="217" t="s">
        <v>5</v>
      </c>
      <c r="M2120" s="217"/>
      <c r="N2120" s="218">
        <v>1060</v>
      </c>
      <c r="O2120" s="169">
        <f t="shared" si="88"/>
        <v>0</v>
      </c>
      <c r="P2120" s="169"/>
      <c r="Q2120" s="166"/>
      <c r="R2120" s="169"/>
      <c r="S2120" s="169"/>
      <c r="T2120" s="169"/>
      <c r="U2120" s="169"/>
      <c r="V2120" s="166">
        <f t="shared" si="89"/>
        <v>0</v>
      </c>
      <c r="W2120" s="205"/>
      <c r="X2120" s="155"/>
    </row>
    <row r="2121" spans="8:24" s="220" customFormat="1" ht="12.75" hidden="1" customHeight="1">
      <c r="H2121" s="217" t="s">
        <v>5818</v>
      </c>
      <c r="I2121" s="217" t="s">
        <v>5680</v>
      </c>
      <c r="J2121" s="217" t="s">
        <v>5738</v>
      </c>
      <c r="K2121" s="217" t="s">
        <v>5706</v>
      </c>
      <c r="L2121" s="217" t="s">
        <v>92</v>
      </c>
      <c r="M2121" s="217"/>
      <c r="N2121" s="218">
        <v>1070</v>
      </c>
      <c r="O2121" s="169">
        <f t="shared" si="88"/>
        <v>0</v>
      </c>
      <c r="P2121" s="169"/>
      <c r="Q2121" s="166"/>
      <c r="R2121" s="169"/>
      <c r="S2121" s="169"/>
      <c r="T2121" s="169"/>
      <c r="U2121" s="169"/>
      <c r="V2121" s="166">
        <f t="shared" si="89"/>
        <v>0</v>
      </c>
      <c r="W2121" s="205"/>
      <c r="X2121" s="155"/>
    </row>
    <row r="2122" spans="8:24" s="220" customFormat="1" ht="12.75" hidden="1" customHeight="1">
      <c r="H2122" s="217" t="s">
        <v>5819</v>
      </c>
      <c r="I2122" s="217" t="s">
        <v>5680</v>
      </c>
      <c r="J2122" s="217" t="s">
        <v>5801</v>
      </c>
      <c r="K2122" s="217" t="s">
        <v>5807</v>
      </c>
      <c r="L2122" s="217" t="s">
        <v>92</v>
      </c>
      <c r="M2122" s="217"/>
      <c r="N2122" s="218">
        <v>1100</v>
      </c>
      <c r="O2122" s="169">
        <f t="shared" si="88"/>
        <v>0</v>
      </c>
      <c r="P2122" s="169"/>
      <c r="Q2122" s="166"/>
      <c r="R2122" s="169"/>
      <c r="S2122" s="169"/>
      <c r="T2122" s="169"/>
      <c r="U2122" s="169"/>
      <c r="V2122" s="166">
        <f t="shared" si="89"/>
        <v>0</v>
      </c>
      <c r="W2122" s="205"/>
      <c r="X2122" s="155"/>
    </row>
    <row r="2123" spans="8:24" s="220" customFormat="1" ht="12.75" hidden="1" customHeight="1">
      <c r="H2123" s="217" t="s">
        <v>5820</v>
      </c>
      <c r="I2123" s="217" t="s">
        <v>5680</v>
      </c>
      <c r="J2123" s="217" t="s">
        <v>5763</v>
      </c>
      <c r="K2123" s="217" t="s">
        <v>5821</v>
      </c>
      <c r="L2123" s="217" t="s">
        <v>5</v>
      </c>
      <c r="M2123" s="217"/>
      <c r="N2123" s="218">
        <v>1110</v>
      </c>
      <c r="O2123" s="169">
        <f t="shared" si="88"/>
        <v>0</v>
      </c>
      <c r="P2123" s="169"/>
      <c r="Q2123" s="166"/>
      <c r="R2123" s="169"/>
      <c r="S2123" s="169"/>
      <c r="T2123" s="169"/>
      <c r="U2123" s="169"/>
      <c r="V2123" s="166">
        <f t="shared" si="89"/>
        <v>0</v>
      </c>
      <c r="W2123" s="205"/>
      <c r="X2123" s="155"/>
    </row>
    <row r="2124" spans="8:24" s="220" customFormat="1" ht="12.75" hidden="1" customHeight="1">
      <c r="H2124" s="217" t="s">
        <v>5822</v>
      </c>
      <c r="I2124" s="217" t="s">
        <v>5680</v>
      </c>
      <c r="J2124" s="217" t="s">
        <v>5695</v>
      </c>
      <c r="K2124" s="217" t="s">
        <v>5823</v>
      </c>
      <c r="L2124" s="217" t="s">
        <v>92</v>
      </c>
      <c r="M2124" s="217"/>
      <c r="N2124" s="218">
        <v>1120</v>
      </c>
      <c r="O2124" s="169">
        <f t="shared" si="88"/>
        <v>0</v>
      </c>
      <c r="P2124" s="169"/>
      <c r="Q2124" s="166"/>
      <c r="R2124" s="169"/>
      <c r="S2124" s="169"/>
      <c r="T2124" s="169"/>
      <c r="U2124" s="169"/>
      <c r="V2124" s="166">
        <f t="shared" si="89"/>
        <v>0</v>
      </c>
      <c r="W2124" s="205"/>
      <c r="X2124" s="155"/>
    </row>
    <row r="2125" spans="8:24" s="220" customFormat="1" ht="12.75" hidden="1" customHeight="1">
      <c r="H2125" s="217" t="s">
        <v>5824</v>
      </c>
      <c r="I2125" s="217" t="s">
        <v>5680</v>
      </c>
      <c r="J2125" s="217" t="s">
        <v>5693</v>
      </c>
      <c r="K2125" s="217" t="s">
        <v>5706</v>
      </c>
      <c r="L2125" s="217" t="s">
        <v>92</v>
      </c>
      <c r="M2125" s="217"/>
      <c r="N2125" s="218">
        <v>1130</v>
      </c>
      <c r="O2125" s="169">
        <f t="shared" si="88"/>
        <v>0</v>
      </c>
      <c r="P2125" s="169"/>
      <c r="Q2125" s="166"/>
      <c r="R2125" s="169"/>
      <c r="S2125" s="169"/>
      <c r="T2125" s="169"/>
      <c r="U2125" s="169"/>
      <c r="V2125" s="166">
        <f t="shared" si="89"/>
        <v>0</v>
      </c>
      <c r="W2125" s="205"/>
      <c r="X2125" s="155"/>
    </row>
    <row r="2126" spans="8:24" s="220" customFormat="1" ht="12.75" hidden="1" customHeight="1">
      <c r="H2126" s="217" t="s">
        <v>5825</v>
      </c>
      <c r="I2126" s="217" t="s">
        <v>5680</v>
      </c>
      <c r="J2126" s="217" t="s">
        <v>5781</v>
      </c>
      <c r="K2126" s="217" t="s">
        <v>5727</v>
      </c>
      <c r="L2126" s="217" t="s">
        <v>92</v>
      </c>
      <c r="M2126" s="217"/>
      <c r="N2126" s="218">
        <v>1130</v>
      </c>
      <c r="O2126" s="169">
        <f t="shared" si="88"/>
        <v>0</v>
      </c>
      <c r="P2126" s="169"/>
      <c r="Q2126" s="166"/>
      <c r="R2126" s="169"/>
      <c r="S2126" s="169"/>
      <c r="T2126" s="169"/>
      <c r="U2126" s="169"/>
      <c r="V2126" s="166">
        <f t="shared" si="89"/>
        <v>0</v>
      </c>
      <c r="W2126" s="205"/>
      <c r="X2126" s="155"/>
    </row>
    <row r="2127" spans="8:24" s="220" customFormat="1" ht="12.75" hidden="1" customHeight="1">
      <c r="H2127" s="217" t="s">
        <v>5826</v>
      </c>
      <c r="I2127" s="217" t="s">
        <v>5680</v>
      </c>
      <c r="J2127" s="217" t="s">
        <v>5752</v>
      </c>
      <c r="K2127" s="217" t="s">
        <v>5691</v>
      </c>
      <c r="L2127" s="217" t="s">
        <v>92</v>
      </c>
      <c r="M2127" s="217"/>
      <c r="N2127" s="218">
        <v>1140</v>
      </c>
      <c r="O2127" s="169">
        <f t="shared" si="88"/>
        <v>0</v>
      </c>
      <c r="P2127" s="169"/>
      <c r="Q2127" s="166"/>
      <c r="R2127" s="169"/>
      <c r="S2127" s="169"/>
      <c r="T2127" s="169"/>
      <c r="U2127" s="169"/>
      <c r="V2127" s="166">
        <f t="shared" si="89"/>
        <v>0</v>
      </c>
      <c r="W2127" s="205"/>
      <c r="X2127" s="155"/>
    </row>
    <row r="2128" spans="8:24" s="220" customFormat="1" ht="12.75" hidden="1" customHeight="1">
      <c r="H2128" s="217" t="s">
        <v>5827</v>
      </c>
      <c r="I2128" s="217" t="s">
        <v>5680</v>
      </c>
      <c r="J2128" s="217" t="s">
        <v>5774</v>
      </c>
      <c r="K2128" s="217" t="s">
        <v>5821</v>
      </c>
      <c r="L2128" s="217" t="s">
        <v>5</v>
      </c>
      <c r="M2128" s="217"/>
      <c r="N2128" s="218">
        <v>1170</v>
      </c>
      <c r="O2128" s="169">
        <f t="shared" si="88"/>
        <v>0</v>
      </c>
      <c r="P2128" s="169"/>
      <c r="Q2128" s="166"/>
      <c r="R2128" s="169"/>
      <c r="S2128" s="169"/>
      <c r="T2128" s="169"/>
      <c r="U2128" s="169"/>
      <c r="V2128" s="166">
        <f t="shared" si="89"/>
        <v>0</v>
      </c>
      <c r="W2128" s="205"/>
      <c r="X2128" s="155"/>
    </row>
    <row r="2129" spans="8:24" s="220" customFormat="1" ht="12.75" hidden="1" customHeight="1">
      <c r="H2129" s="217" t="s">
        <v>5828</v>
      </c>
      <c r="I2129" s="217" t="s">
        <v>5680</v>
      </c>
      <c r="J2129" s="217" t="s">
        <v>5695</v>
      </c>
      <c r="K2129" s="217" t="s">
        <v>5829</v>
      </c>
      <c r="L2129" s="217" t="s">
        <v>92</v>
      </c>
      <c r="M2129" s="217"/>
      <c r="N2129" s="218">
        <v>1230</v>
      </c>
      <c r="O2129" s="169">
        <f t="shared" si="88"/>
        <v>0</v>
      </c>
      <c r="P2129" s="169"/>
      <c r="Q2129" s="166"/>
      <c r="R2129" s="169"/>
      <c r="S2129" s="169"/>
      <c r="T2129" s="169"/>
      <c r="U2129" s="169"/>
      <c r="V2129" s="166">
        <f t="shared" si="89"/>
        <v>0</v>
      </c>
      <c r="W2129" s="205"/>
      <c r="X2129" s="155"/>
    </row>
    <row r="2130" spans="8:24" s="220" customFormat="1" ht="12.75" hidden="1" customHeight="1">
      <c r="H2130" s="217" t="s">
        <v>5830</v>
      </c>
      <c r="I2130" s="217" t="s">
        <v>5680</v>
      </c>
      <c r="J2130" s="217" t="s">
        <v>5781</v>
      </c>
      <c r="K2130" s="217" t="s">
        <v>5770</v>
      </c>
      <c r="L2130" s="217" t="s">
        <v>92</v>
      </c>
      <c r="M2130" s="217"/>
      <c r="N2130" s="218">
        <v>1260</v>
      </c>
      <c r="O2130" s="169">
        <f t="shared" si="88"/>
        <v>0</v>
      </c>
      <c r="P2130" s="169"/>
      <c r="Q2130" s="166"/>
      <c r="R2130" s="169"/>
      <c r="S2130" s="169"/>
      <c r="T2130" s="169"/>
      <c r="U2130" s="169"/>
      <c r="V2130" s="166">
        <f t="shared" si="89"/>
        <v>0</v>
      </c>
      <c r="W2130" s="205"/>
      <c r="X2130" s="155"/>
    </row>
    <row r="2131" spans="8:24" s="220" customFormat="1" ht="12.75" hidden="1" customHeight="1">
      <c r="H2131" s="217" t="s">
        <v>5831</v>
      </c>
      <c r="I2131" s="217" t="s">
        <v>5680</v>
      </c>
      <c r="J2131" s="217" t="s">
        <v>5751</v>
      </c>
      <c r="K2131" s="217" t="s">
        <v>5706</v>
      </c>
      <c r="L2131" s="217" t="s">
        <v>92</v>
      </c>
      <c r="M2131" s="217"/>
      <c r="N2131" s="218">
        <v>1260</v>
      </c>
      <c r="O2131" s="169">
        <f t="shared" si="88"/>
        <v>0</v>
      </c>
      <c r="P2131" s="169"/>
      <c r="Q2131" s="166"/>
      <c r="R2131" s="169"/>
      <c r="S2131" s="169"/>
      <c r="T2131" s="169"/>
      <c r="U2131" s="169"/>
      <c r="V2131" s="166">
        <f t="shared" si="89"/>
        <v>0</v>
      </c>
      <c r="W2131" s="205"/>
      <c r="X2131" s="155"/>
    </row>
    <row r="2132" spans="8:24" s="220" customFormat="1" ht="12.75" hidden="1" customHeight="1">
      <c r="H2132" s="217" t="s">
        <v>5832</v>
      </c>
      <c r="I2132" s="217" t="s">
        <v>5680</v>
      </c>
      <c r="J2132" s="217" t="s">
        <v>5695</v>
      </c>
      <c r="K2132" s="217" t="s">
        <v>5833</v>
      </c>
      <c r="L2132" s="217" t="s">
        <v>92</v>
      </c>
      <c r="M2132" s="217"/>
      <c r="N2132" s="218">
        <v>1270</v>
      </c>
      <c r="O2132" s="169">
        <f t="shared" si="88"/>
        <v>0</v>
      </c>
      <c r="P2132" s="169"/>
      <c r="Q2132" s="166"/>
      <c r="R2132" s="169"/>
      <c r="S2132" s="169"/>
      <c r="T2132" s="169"/>
      <c r="U2132" s="169"/>
      <c r="V2132" s="166">
        <f t="shared" si="89"/>
        <v>0</v>
      </c>
      <c r="W2132" s="205"/>
      <c r="X2132" s="155"/>
    </row>
    <row r="2133" spans="8:24" s="220" customFormat="1" ht="12.75" hidden="1" customHeight="1">
      <c r="H2133" s="217" t="s">
        <v>5834</v>
      </c>
      <c r="I2133" s="217" t="s">
        <v>5680</v>
      </c>
      <c r="J2133" s="217" t="s">
        <v>5689</v>
      </c>
      <c r="K2133" s="217" t="s">
        <v>5770</v>
      </c>
      <c r="L2133" s="217" t="s">
        <v>92</v>
      </c>
      <c r="M2133" s="217"/>
      <c r="N2133" s="218">
        <v>1290</v>
      </c>
      <c r="O2133" s="169">
        <f t="shared" si="88"/>
        <v>0</v>
      </c>
      <c r="P2133" s="169"/>
      <c r="Q2133" s="166"/>
      <c r="R2133" s="169"/>
      <c r="S2133" s="169"/>
      <c r="T2133" s="169"/>
      <c r="U2133" s="169"/>
      <c r="V2133" s="166">
        <f t="shared" si="89"/>
        <v>0</v>
      </c>
      <c r="W2133" s="205"/>
      <c r="X2133" s="155"/>
    </row>
    <row r="2134" spans="8:24" s="220" customFormat="1" ht="12.75" hidden="1" customHeight="1">
      <c r="H2134" s="217" t="s">
        <v>5835</v>
      </c>
      <c r="I2134" s="217" t="s">
        <v>5680</v>
      </c>
      <c r="J2134" s="217" t="s">
        <v>5817</v>
      </c>
      <c r="K2134" s="217" t="s">
        <v>5807</v>
      </c>
      <c r="L2134" s="217" t="s">
        <v>5</v>
      </c>
      <c r="M2134" s="217"/>
      <c r="N2134" s="218">
        <v>1340</v>
      </c>
      <c r="O2134" s="169">
        <f t="shared" si="88"/>
        <v>0</v>
      </c>
      <c r="P2134" s="169"/>
      <c r="Q2134" s="166"/>
      <c r="R2134" s="169"/>
      <c r="S2134" s="169"/>
      <c r="T2134" s="169"/>
      <c r="U2134" s="169"/>
      <c r="V2134" s="166">
        <f t="shared" si="89"/>
        <v>0</v>
      </c>
      <c r="W2134" s="205"/>
      <c r="X2134" s="155"/>
    </row>
    <row r="2135" spans="8:24" s="220" customFormat="1" ht="12.75" hidden="1" customHeight="1">
      <c r="H2135" s="217" t="s">
        <v>5836</v>
      </c>
      <c r="I2135" s="217" t="s">
        <v>5680</v>
      </c>
      <c r="J2135" s="217" t="s">
        <v>5752</v>
      </c>
      <c r="K2135" s="217" t="s">
        <v>5706</v>
      </c>
      <c r="L2135" s="217" t="s">
        <v>92</v>
      </c>
      <c r="M2135" s="217"/>
      <c r="N2135" s="218">
        <v>1350</v>
      </c>
      <c r="O2135" s="169">
        <f t="shared" si="88"/>
        <v>0</v>
      </c>
      <c r="P2135" s="169"/>
      <c r="Q2135" s="166"/>
      <c r="R2135" s="169"/>
      <c r="S2135" s="169"/>
      <c r="T2135" s="169"/>
      <c r="U2135" s="169"/>
      <c r="V2135" s="166">
        <f t="shared" si="89"/>
        <v>0</v>
      </c>
      <c r="W2135" s="205"/>
      <c r="X2135" s="155"/>
    </row>
    <row r="2136" spans="8:24" s="220" customFormat="1" ht="12.75" hidden="1" customHeight="1">
      <c r="H2136" s="217" t="s">
        <v>5837</v>
      </c>
      <c r="I2136" s="217" t="s">
        <v>5680</v>
      </c>
      <c r="J2136" s="217" t="s">
        <v>5774</v>
      </c>
      <c r="K2136" s="217" t="s">
        <v>5838</v>
      </c>
      <c r="L2136" s="217" t="s">
        <v>5</v>
      </c>
      <c r="M2136" s="217"/>
      <c r="N2136" s="218">
        <v>1520</v>
      </c>
      <c r="O2136" s="169">
        <f t="shared" si="88"/>
        <v>0</v>
      </c>
      <c r="P2136" s="169"/>
      <c r="Q2136" s="166"/>
      <c r="R2136" s="169"/>
      <c r="S2136" s="169"/>
      <c r="T2136" s="169"/>
      <c r="U2136" s="169"/>
      <c r="V2136" s="166">
        <f t="shared" si="89"/>
        <v>0</v>
      </c>
      <c r="W2136" s="205"/>
      <c r="X2136" s="155"/>
    </row>
    <row r="2137" spans="8:24" s="220" customFormat="1" ht="12.75" hidden="1" customHeight="1">
      <c r="H2137" s="217" t="s">
        <v>5839</v>
      </c>
      <c r="I2137" s="217" t="s">
        <v>5680</v>
      </c>
      <c r="J2137" s="217" t="s">
        <v>5683</v>
      </c>
      <c r="K2137" s="217" t="s">
        <v>5784</v>
      </c>
      <c r="L2137" s="217" t="s">
        <v>92</v>
      </c>
      <c r="M2137" s="217"/>
      <c r="N2137" s="218">
        <v>1580</v>
      </c>
      <c r="O2137" s="169">
        <f t="shared" si="88"/>
        <v>0</v>
      </c>
      <c r="P2137" s="169"/>
      <c r="Q2137" s="166"/>
      <c r="R2137" s="169"/>
      <c r="S2137" s="169"/>
      <c r="T2137" s="169"/>
      <c r="U2137" s="169"/>
      <c r="V2137" s="166">
        <f t="shared" si="89"/>
        <v>0</v>
      </c>
      <c r="W2137" s="205"/>
      <c r="X2137" s="155"/>
    </row>
    <row r="2138" spans="8:24" s="220" customFormat="1" ht="12.75" hidden="1" customHeight="1">
      <c r="H2138" s="217" t="s">
        <v>5840</v>
      </c>
      <c r="I2138" s="217" t="s">
        <v>5680</v>
      </c>
      <c r="J2138" s="217" t="s">
        <v>5695</v>
      </c>
      <c r="K2138" s="217" t="s">
        <v>5841</v>
      </c>
      <c r="L2138" s="217" t="s">
        <v>92</v>
      </c>
      <c r="M2138" s="217"/>
      <c r="N2138" s="218">
        <v>1590</v>
      </c>
      <c r="O2138" s="169">
        <f t="shared" si="88"/>
        <v>0</v>
      </c>
      <c r="P2138" s="169"/>
      <c r="Q2138" s="166"/>
      <c r="R2138" s="169"/>
      <c r="S2138" s="169"/>
      <c r="T2138" s="169"/>
      <c r="U2138" s="169"/>
      <c r="V2138" s="166">
        <f t="shared" si="89"/>
        <v>0</v>
      </c>
      <c r="W2138" s="205"/>
      <c r="X2138" s="155"/>
    </row>
    <row r="2139" spans="8:24" s="220" customFormat="1" ht="12.75" hidden="1" customHeight="1">
      <c r="H2139" s="217" t="s">
        <v>5842</v>
      </c>
      <c r="I2139" s="217" t="s">
        <v>5680</v>
      </c>
      <c r="J2139" s="217" t="s">
        <v>5693</v>
      </c>
      <c r="K2139" s="217" t="s">
        <v>5727</v>
      </c>
      <c r="L2139" s="217" t="s">
        <v>92</v>
      </c>
      <c r="M2139" s="217"/>
      <c r="N2139" s="218">
        <v>1620</v>
      </c>
      <c r="O2139" s="169">
        <f t="shared" si="88"/>
        <v>0</v>
      </c>
      <c r="P2139" s="169"/>
      <c r="Q2139" s="166"/>
      <c r="R2139" s="169"/>
      <c r="S2139" s="169"/>
      <c r="T2139" s="169"/>
      <c r="U2139" s="169"/>
      <c r="V2139" s="166">
        <f t="shared" si="89"/>
        <v>0</v>
      </c>
      <c r="W2139" s="205"/>
      <c r="X2139" s="155"/>
    </row>
    <row r="2140" spans="8:24" s="220" customFormat="1" ht="12.75" hidden="1" customHeight="1">
      <c r="H2140" s="217" t="s">
        <v>5843</v>
      </c>
      <c r="I2140" s="217" t="s">
        <v>5680</v>
      </c>
      <c r="J2140" s="217" t="s">
        <v>5738</v>
      </c>
      <c r="K2140" s="217" t="s">
        <v>5727</v>
      </c>
      <c r="L2140" s="217" t="s">
        <v>92</v>
      </c>
      <c r="M2140" s="217"/>
      <c r="N2140" s="218">
        <v>1650</v>
      </c>
      <c r="O2140" s="169">
        <f t="shared" si="88"/>
        <v>0</v>
      </c>
      <c r="P2140" s="169"/>
      <c r="Q2140" s="166"/>
      <c r="R2140" s="169"/>
      <c r="S2140" s="169"/>
      <c r="T2140" s="169"/>
      <c r="U2140" s="169"/>
      <c r="V2140" s="166">
        <f t="shared" si="89"/>
        <v>0</v>
      </c>
      <c r="W2140" s="205"/>
      <c r="X2140" s="155"/>
    </row>
    <row r="2141" spans="8:24" s="220" customFormat="1" ht="12.75" hidden="1" customHeight="1">
      <c r="H2141" s="217" t="s">
        <v>5844</v>
      </c>
      <c r="I2141" s="217" t="s">
        <v>5680</v>
      </c>
      <c r="J2141" s="217" t="s">
        <v>5695</v>
      </c>
      <c r="K2141" s="217" t="s">
        <v>5845</v>
      </c>
      <c r="L2141" s="217" t="s">
        <v>92</v>
      </c>
      <c r="M2141" s="217"/>
      <c r="N2141" s="218">
        <v>1670</v>
      </c>
      <c r="O2141" s="169">
        <f t="shared" si="88"/>
        <v>0</v>
      </c>
      <c r="P2141" s="169"/>
      <c r="Q2141" s="166"/>
      <c r="R2141" s="169"/>
      <c r="S2141" s="169"/>
      <c r="T2141" s="169"/>
      <c r="U2141" s="169"/>
      <c r="V2141" s="166">
        <f t="shared" si="89"/>
        <v>0</v>
      </c>
      <c r="W2141" s="205"/>
      <c r="X2141" s="155"/>
    </row>
    <row r="2142" spans="8:24" s="220" customFormat="1" ht="12.75" hidden="1" customHeight="1">
      <c r="H2142" s="217" t="s">
        <v>5846</v>
      </c>
      <c r="I2142" s="217" t="s">
        <v>5680</v>
      </c>
      <c r="J2142" s="217" t="s">
        <v>5801</v>
      </c>
      <c r="K2142" s="217" t="s">
        <v>5821</v>
      </c>
      <c r="L2142" s="217" t="s">
        <v>92</v>
      </c>
      <c r="M2142" s="217"/>
      <c r="N2142" s="218">
        <v>1670</v>
      </c>
      <c r="O2142" s="169">
        <f t="shared" si="88"/>
        <v>0</v>
      </c>
      <c r="P2142" s="195"/>
      <c r="Q2142" s="166"/>
      <c r="R2142" s="169"/>
      <c r="S2142" s="169"/>
      <c r="T2142" s="169"/>
      <c r="U2142" s="169"/>
      <c r="V2142" s="166">
        <f t="shared" si="89"/>
        <v>0</v>
      </c>
      <c r="W2142" s="205"/>
      <c r="X2142" s="155"/>
    </row>
    <row r="2143" spans="8:24" s="220" customFormat="1" ht="12.75" hidden="1" customHeight="1">
      <c r="H2143" s="217" t="s">
        <v>5847</v>
      </c>
      <c r="I2143" s="217" t="s">
        <v>5680</v>
      </c>
      <c r="J2143" s="217" t="s">
        <v>5781</v>
      </c>
      <c r="K2143" s="217" t="s">
        <v>5784</v>
      </c>
      <c r="L2143" s="217" t="s">
        <v>92</v>
      </c>
      <c r="M2143" s="217"/>
      <c r="N2143" s="218">
        <v>1710</v>
      </c>
      <c r="O2143" s="169">
        <f t="shared" si="88"/>
        <v>0</v>
      </c>
      <c r="P2143" s="195"/>
      <c r="Q2143" s="166"/>
      <c r="R2143" s="169"/>
      <c r="S2143" s="169"/>
      <c r="T2143" s="169"/>
      <c r="U2143" s="169"/>
      <c r="V2143" s="166">
        <f t="shared" si="89"/>
        <v>0</v>
      </c>
      <c r="W2143" s="205"/>
      <c r="X2143" s="155"/>
    </row>
    <row r="2144" spans="8:24" s="220" customFormat="1" ht="12.75" hidden="1" customHeight="1">
      <c r="H2144" s="217" t="s">
        <v>5848</v>
      </c>
      <c r="I2144" s="217" t="s">
        <v>5680</v>
      </c>
      <c r="J2144" s="217" t="s">
        <v>5683</v>
      </c>
      <c r="K2144" s="217" t="s">
        <v>5806</v>
      </c>
      <c r="L2144" s="217" t="s">
        <v>92</v>
      </c>
      <c r="M2144" s="217"/>
      <c r="N2144" s="218">
        <v>1860</v>
      </c>
      <c r="O2144" s="169">
        <f t="shared" si="88"/>
        <v>0</v>
      </c>
      <c r="P2144" s="195"/>
      <c r="Q2144" s="166"/>
      <c r="R2144" s="169"/>
      <c r="S2144" s="169"/>
      <c r="T2144" s="169"/>
      <c r="U2144" s="169"/>
      <c r="V2144" s="166">
        <f t="shared" si="89"/>
        <v>0</v>
      </c>
      <c r="W2144" s="205"/>
      <c r="X2144" s="155"/>
    </row>
    <row r="2145" spans="8:24" s="220" customFormat="1" ht="12.75" hidden="1" customHeight="1">
      <c r="H2145" s="217" t="s">
        <v>5849</v>
      </c>
      <c r="I2145" s="217" t="s">
        <v>5680</v>
      </c>
      <c r="J2145" s="217" t="s">
        <v>5763</v>
      </c>
      <c r="K2145" s="217" t="s">
        <v>5838</v>
      </c>
      <c r="L2145" s="217" t="s">
        <v>5</v>
      </c>
      <c r="M2145" s="217"/>
      <c r="N2145" s="218">
        <v>1870</v>
      </c>
      <c r="O2145" s="169">
        <f t="shared" si="88"/>
        <v>0</v>
      </c>
      <c r="P2145" s="195"/>
      <c r="Q2145" s="166"/>
      <c r="R2145" s="169"/>
      <c r="S2145" s="169"/>
      <c r="T2145" s="169"/>
      <c r="U2145" s="169"/>
      <c r="V2145" s="166">
        <f t="shared" si="89"/>
        <v>0</v>
      </c>
      <c r="W2145" s="205"/>
      <c r="X2145" s="155"/>
    </row>
    <row r="2146" spans="8:24" s="220" customFormat="1" ht="12.75" hidden="1" customHeight="1">
      <c r="H2146" s="217" t="s">
        <v>5850</v>
      </c>
      <c r="I2146" s="217" t="s">
        <v>5680</v>
      </c>
      <c r="J2146" s="217" t="s">
        <v>5817</v>
      </c>
      <c r="K2146" s="217" t="s">
        <v>5821</v>
      </c>
      <c r="L2146" s="217" t="s">
        <v>5</v>
      </c>
      <c r="M2146" s="217"/>
      <c r="N2146" s="218">
        <v>1940</v>
      </c>
      <c r="O2146" s="169">
        <f t="shared" si="88"/>
        <v>0</v>
      </c>
      <c r="P2146" s="195"/>
      <c r="Q2146" s="166"/>
      <c r="R2146" s="169"/>
      <c r="S2146" s="169"/>
      <c r="T2146" s="169"/>
      <c r="U2146" s="169"/>
      <c r="V2146" s="166">
        <f t="shared" si="89"/>
        <v>0</v>
      </c>
      <c r="W2146" s="205"/>
      <c r="X2146" s="155"/>
    </row>
    <row r="2147" spans="8:24" s="220" customFormat="1" ht="12.75" hidden="1" customHeight="1">
      <c r="H2147" s="217" t="s">
        <v>5851</v>
      </c>
      <c r="I2147" s="217" t="s">
        <v>5680</v>
      </c>
      <c r="J2147" s="217" t="s">
        <v>5751</v>
      </c>
      <c r="K2147" s="217" t="s">
        <v>5727</v>
      </c>
      <c r="L2147" s="217" t="s">
        <v>92</v>
      </c>
      <c r="M2147" s="217"/>
      <c r="N2147" s="218">
        <v>1960</v>
      </c>
      <c r="O2147" s="169">
        <f t="shared" si="88"/>
        <v>0</v>
      </c>
      <c r="P2147" s="169"/>
      <c r="Q2147" s="166"/>
      <c r="R2147" s="169"/>
      <c r="S2147" s="169"/>
      <c r="T2147" s="169"/>
      <c r="U2147" s="169"/>
      <c r="V2147" s="166">
        <f t="shared" si="89"/>
        <v>0</v>
      </c>
      <c r="W2147" s="205"/>
      <c r="X2147" s="155"/>
    </row>
    <row r="2148" spans="8:24" s="220" customFormat="1" ht="12.75" hidden="1" customHeight="1">
      <c r="H2148" s="217" t="s">
        <v>5852</v>
      </c>
      <c r="I2148" s="217" t="s">
        <v>5680</v>
      </c>
      <c r="J2148" s="217" t="s">
        <v>5738</v>
      </c>
      <c r="K2148" s="217" t="s">
        <v>5770</v>
      </c>
      <c r="L2148" s="217" t="s">
        <v>92</v>
      </c>
      <c r="M2148" s="217"/>
      <c r="N2148" s="218">
        <v>2000</v>
      </c>
      <c r="O2148" s="169">
        <f t="shared" si="88"/>
        <v>0</v>
      </c>
      <c r="P2148" s="169"/>
      <c r="Q2148" s="166"/>
      <c r="R2148" s="169"/>
      <c r="S2148" s="169"/>
      <c r="T2148" s="169"/>
      <c r="U2148" s="169"/>
      <c r="V2148" s="166">
        <f t="shared" si="89"/>
        <v>0</v>
      </c>
      <c r="W2148" s="205"/>
      <c r="X2148" s="155"/>
    </row>
    <row r="2149" spans="8:24" s="220" customFormat="1" ht="12.75" hidden="1" customHeight="1">
      <c r="H2149" s="217" t="s">
        <v>5853</v>
      </c>
      <c r="I2149" s="217" t="s">
        <v>5680</v>
      </c>
      <c r="J2149" s="217" t="s">
        <v>5695</v>
      </c>
      <c r="K2149" s="217" t="s">
        <v>5854</v>
      </c>
      <c r="L2149" s="217" t="s">
        <v>92</v>
      </c>
      <c r="M2149" s="217"/>
      <c r="N2149" s="218">
        <v>2070</v>
      </c>
      <c r="O2149" s="169">
        <f t="shared" si="88"/>
        <v>0</v>
      </c>
      <c r="P2149" s="169"/>
      <c r="Q2149" s="166"/>
      <c r="R2149" s="169"/>
      <c r="S2149" s="169"/>
      <c r="T2149" s="169"/>
      <c r="U2149" s="169"/>
      <c r="V2149" s="166">
        <f t="shared" si="89"/>
        <v>0</v>
      </c>
      <c r="W2149" s="205"/>
      <c r="X2149" s="155"/>
    </row>
    <row r="2150" spans="8:24" s="220" customFormat="1" ht="12.75" hidden="1" customHeight="1">
      <c r="H2150" s="217" t="s">
        <v>5855</v>
      </c>
      <c r="I2150" s="217" t="s">
        <v>5680</v>
      </c>
      <c r="J2150" s="217" t="s">
        <v>5695</v>
      </c>
      <c r="K2150" s="217" t="s">
        <v>5856</v>
      </c>
      <c r="L2150" s="217" t="s">
        <v>92</v>
      </c>
      <c r="M2150" s="217"/>
      <c r="N2150" s="218">
        <v>2090</v>
      </c>
      <c r="O2150" s="169">
        <f t="shared" si="88"/>
        <v>0</v>
      </c>
      <c r="P2150" s="169"/>
      <c r="Q2150" s="166"/>
      <c r="R2150" s="169"/>
      <c r="S2150" s="169"/>
      <c r="T2150" s="169"/>
      <c r="U2150" s="169"/>
      <c r="V2150" s="166">
        <f t="shared" si="89"/>
        <v>0</v>
      </c>
      <c r="W2150" s="205"/>
      <c r="X2150" s="155"/>
    </row>
    <row r="2151" spans="8:24" s="220" customFormat="1" ht="12.75" hidden="1" customHeight="1">
      <c r="H2151" s="217" t="s">
        <v>5857</v>
      </c>
      <c r="I2151" s="217" t="s">
        <v>5680</v>
      </c>
      <c r="J2151" s="217" t="s">
        <v>5689</v>
      </c>
      <c r="K2151" s="217" t="s">
        <v>5784</v>
      </c>
      <c r="L2151" s="217" t="s">
        <v>92</v>
      </c>
      <c r="M2151" s="217"/>
      <c r="N2151" s="218">
        <v>2140</v>
      </c>
      <c r="O2151" s="169">
        <f t="shared" si="88"/>
        <v>0</v>
      </c>
      <c r="P2151" s="169"/>
      <c r="Q2151" s="166"/>
      <c r="R2151" s="169"/>
      <c r="S2151" s="169"/>
      <c r="T2151" s="169"/>
      <c r="U2151" s="169"/>
      <c r="V2151" s="166">
        <f t="shared" si="89"/>
        <v>0</v>
      </c>
      <c r="W2151" s="205"/>
      <c r="X2151" s="155"/>
    </row>
    <row r="2152" spans="8:24" s="220" customFormat="1" ht="12.75" hidden="1" customHeight="1">
      <c r="H2152" s="217" t="s">
        <v>5858</v>
      </c>
      <c r="I2152" s="217" t="s">
        <v>5680</v>
      </c>
      <c r="J2152" s="217" t="s">
        <v>5752</v>
      </c>
      <c r="K2152" s="217" t="s">
        <v>5727</v>
      </c>
      <c r="L2152" s="217" t="s">
        <v>92</v>
      </c>
      <c r="M2152" s="217"/>
      <c r="N2152" s="218">
        <v>2170</v>
      </c>
      <c r="O2152" s="169">
        <f t="shared" si="88"/>
        <v>0</v>
      </c>
      <c r="P2152" s="169"/>
      <c r="Q2152" s="166"/>
      <c r="R2152" s="169"/>
      <c r="S2152" s="169"/>
      <c r="T2152" s="169"/>
      <c r="U2152" s="169"/>
      <c r="V2152" s="166">
        <f t="shared" si="89"/>
        <v>0</v>
      </c>
      <c r="W2152" s="205"/>
      <c r="X2152" s="155"/>
    </row>
    <row r="2153" spans="8:24" s="220" customFormat="1" ht="12.75" hidden="1" customHeight="1">
      <c r="H2153" s="217" t="s">
        <v>5859</v>
      </c>
      <c r="I2153" s="217" t="s">
        <v>5680</v>
      </c>
      <c r="J2153" s="217" t="s">
        <v>5781</v>
      </c>
      <c r="K2153" s="217" t="s">
        <v>5806</v>
      </c>
      <c r="L2153" s="217" t="s">
        <v>92</v>
      </c>
      <c r="M2153" s="217"/>
      <c r="N2153" s="218">
        <v>2200</v>
      </c>
      <c r="O2153" s="169">
        <f t="shared" si="88"/>
        <v>0</v>
      </c>
      <c r="P2153" s="169"/>
      <c r="Q2153" s="166"/>
      <c r="R2153" s="169"/>
      <c r="S2153" s="169"/>
      <c r="T2153" s="169"/>
      <c r="U2153" s="169"/>
      <c r="V2153" s="166">
        <f t="shared" si="89"/>
        <v>0</v>
      </c>
      <c r="W2153" s="205"/>
      <c r="X2153" s="155"/>
    </row>
    <row r="2154" spans="8:24" s="220" customFormat="1" ht="12.75" hidden="1" customHeight="1">
      <c r="H2154" s="217" t="s">
        <v>5860</v>
      </c>
      <c r="I2154" s="217" t="s">
        <v>5680</v>
      </c>
      <c r="J2154" s="217" t="s">
        <v>5801</v>
      </c>
      <c r="K2154" s="217" t="s">
        <v>5838</v>
      </c>
      <c r="L2154" s="217" t="s">
        <v>92</v>
      </c>
      <c r="M2154" s="217"/>
      <c r="N2154" s="218">
        <v>2290</v>
      </c>
      <c r="O2154" s="169">
        <f t="shared" si="88"/>
        <v>0</v>
      </c>
      <c r="P2154" s="169"/>
      <c r="Q2154" s="166"/>
      <c r="R2154" s="169"/>
      <c r="S2154" s="169"/>
      <c r="T2154" s="169"/>
      <c r="U2154" s="169"/>
      <c r="V2154" s="166">
        <f t="shared" si="89"/>
        <v>0</v>
      </c>
      <c r="W2154" s="205"/>
      <c r="X2154" s="155"/>
    </row>
    <row r="2155" spans="8:24" s="220" customFormat="1" ht="12.75" hidden="1" customHeight="1">
      <c r="H2155" s="217" t="s">
        <v>5861</v>
      </c>
      <c r="I2155" s="217" t="s">
        <v>5680</v>
      </c>
      <c r="J2155" s="217" t="s">
        <v>5751</v>
      </c>
      <c r="K2155" s="217" t="s">
        <v>5770</v>
      </c>
      <c r="L2155" s="217" t="s">
        <v>92</v>
      </c>
      <c r="M2155" s="217"/>
      <c r="N2155" s="218">
        <v>2370</v>
      </c>
      <c r="O2155" s="169">
        <f t="shared" si="88"/>
        <v>0</v>
      </c>
      <c r="P2155" s="169"/>
      <c r="Q2155" s="166"/>
      <c r="R2155" s="169"/>
      <c r="S2155" s="169"/>
      <c r="T2155" s="169"/>
      <c r="U2155" s="169"/>
      <c r="V2155" s="166">
        <f t="shared" si="89"/>
        <v>0</v>
      </c>
      <c r="W2155" s="205"/>
      <c r="X2155" s="155"/>
    </row>
    <row r="2156" spans="8:24" s="220" customFormat="1" ht="12.75" hidden="1" customHeight="1">
      <c r="H2156" s="217" t="s">
        <v>5862</v>
      </c>
      <c r="I2156" s="217" t="s">
        <v>5680</v>
      </c>
      <c r="J2156" s="217" t="s">
        <v>5864</v>
      </c>
      <c r="K2156" s="217" t="s">
        <v>5682</v>
      </c>
      <c r="L2156" s="217" t="s">
        <v>92</v>
      </c>
      <c r="M2156" s="217"/>
      <c r="N2156" s="218">
        <v>2400</v>
      </c>
      <c r="O2156" s="169">
        <f t="shared" si="88"/>
        <v>0</v>
      </c>
      <c r="P2156" s="169"/>
      <c r="Q2156" s="166"/>
      <c r="R2156" s="169"/>
      <c r="S2156" s="169"/>
      <c r="T2156" s="169"/>
      <c r="U2156" s="169"/>
      <c r="V2156" s="166">
        <f t="shared" si="89"/>
        <v>0</v>
      </c>
      <c r="W2156" s="205"/>
      <c r="X2156" s="155"/>
    </row>
    <row r="2157" spans="8:24" s="220" customFormat="1" ht="12.75" hidden="1" customHeight="1">
      <c r="H2157" s="217" t="s">
        <v>5863</v>
      </c>
      <c r="I2157" s="217" t="s">
        <v>5680</v>
      </c>
      <c r="J2157" s="217" t="s">
        <v>5864</v>
      </c>
      <c r="K2157" s="217" t="s">
        <v>5684</v>
      </c>
      <c r="L2157" s="217" t="s">
        <v>92</v>
      </c>
      <c r="M2157" s="217"/>
      <c r="N2157" s="218">
        <v>2400</v>
      </c>
      <c r="O2157" s="169">
        <f t="shared" si="88"/>
        <v>0</v>
      </c>
      <c r="P2157" s="169"/>
      <c r="Q2157" s="166"/>
      <c r="R2157" s="169"/>
      <c r="S2157" s="169"/>
      <c r="T2157" s="169"/>
      <c r="U2157" s="169"/>
      <c r="V2157" s="166">
        <f t="shared" si="89"/>
        <v>0</v>
      </c>
      <c r="W2157" s="205"/>
      <c r="X2157" s="155"/>
    </row>
    <row r="2158" spans="8:24" s="220" customFormat="1" ht="12.75" hidden="1" customHeight="1">
      <c r="H2158" s="217" t="s">
        <v>5865</v>
      </c>
      <c r="I2158" s="217" t="s">
        <v>5680</v>
      </c>
      <c r="J2158" s="217" t="s">
        <v>5774</v>
      </c>
      <c r="K2158" s="217" t="s">
        <v>5866</v>
      </c>
      <c r="L2158" s="217" t="s">
        <v>5</v>
      </c>
      <c r="M2158" s="217"/>
      <c r="N2158" s="218">
        <v>2450</v>
      </c>
      <c r="O2158" s="169">
        <f t="shared" si="88"/>
        <v>0</v>
      </c>
      <c r="P2158" s="169"/>
      <c r="Q2158" s="166"/>
      <c r="R2158" s="169"/>
      <c r="S2158" s="169"/>
      <c r="T2158" s="169"/>
      <c r="U2158" s="169"/>
      <c r="V2158" s="166">
        <f t="shared" si="89"/>
        <v>0</v>
      </c>
      <c r="W2158" s="205"/>
      <c r="X2158" s="155"/>
    </row>
    <row r="2159" spans="8:24" s="220" customFormat="1" ht="12.75" hidden="1" customHeight="1">
      <c r="H2159" s="217" t="s">
        <v>5867</v>
      </c>
      <c r="I2159" s="217" t="s">
        <v>5680</v>
      </c>
      <c r="J2159" s="217" t="s">
        <v>5763</v>
      </c>
      <c r="K2159" s="217" t="s">
        <v>5866</v>
      </c>
      <c r="L2159" s="217" t="s">
        <v>5</v>
      </c>
      <c r="M2159" s="217"/>
      <c r="N2159" s="218">
        <v>2550</v>
      </c>
      <c r="O2159" s="169">
        <f t="shared" si="88"/>
        <v>0</v>
      </c>
      <c r="P2159" s="169"/>
      <c r="Q2159" s="166"/>
      <c r="R2159" s="169"/>
      <c r="S2159" s="169"/>
      <c r="T2159" s="169"/>
      <c r="U2159" s="169"/>
      <c r="V2159" s="166">
        <f t="shared" si="89"/>
        <v>0</v>
      </c>
      <c r="W2159" s="205"/>
      <c r="X2159" s="155"/>
    </row>
    <row r="2160" spans="8:24" s="220" customFormat="1" ht="12.75" hidden="1" customHeight="1">
      <c r="H2160" s="217" t="s">
        <v>5868</v>
      </c>
      <c r="I2160" s="217" t="s">
        <v>5680</v>
      </c>
      <c r="J2160" s="217" t="s">
        <v>5817</v>
      </c>
      <c r="K2160" s="217" t="s">
        <v>5838</v>
      </c>
      <c r="L2160" s="217" t="s">
        <v>5</v>
      </c>
      <c r="M2160" s="217"/>
      <c r="N2160" s="218">
        <v>2820</v>
      </c>
      <c r="O2160" s="169">
        <f t="shared" si="88"/>
        <v>0</v>
      </c>
      <c r="P2160" s="169"/>
      <c r="Q2160" s="166"/>
      <c r="R2160" s="169"/>
      <c r="S2160" s="169"/>
      <c r="T2160" s="169"/>
      <c r="U2160" s="169"/>
      <c r="V2160" s="166">
        <f t="shared" si="89"/>
        <v>0</v>
      </c>
      <c r="W2160" s="205"/>
      <c r="X2160" s="155"/>
    </row>
    <row r="2161" spans="8:24" s="220" customFormat="1" ht="12.75" hidden="1" customHeight="1">
      <c r="H2161" s="217" t="s">
        <v>5869</v>
      </c>
      <c r="I2161" s="217" t="s">
        <v>5680</v>
      </c>
      <c r="J2161" s="217" t="s">
        <v>5870</v>
      </c>
      <c r="K2161" s="217" t="s">
        <v>5871</v>
      </c>
      <c r="L2161" s="217" t="s">
        <v>92</v>
      </c>
      <c r="M2161" s="217"/>
      <c r="N2161" s="218">
        <v>2830</v>
      </c>
      <c r="O2161" s="169">
        <f t="shared" si="88"/>
        <v>0</v>
      </c>
      <c r="P2161" s="169"/>
      <c r="Q2161" s="166"/>
      <c r="R2161" s="169"/>
      <c r="S2161" s="169"/>
      <c r="T2161" s="169"/>
      <c r="U2161" s="169"/>
      <c r="V2161" s="166">
        <f t="shared" si="89"/>
        <v>0</v>
      </c>
      <c r="W2161" s="205"/>
      <c r="X2161" s="155"/>
    </row>
    <row r="2162" spans="8:24" s="220" customFormat="1" ht="12.75" hidden="1" customHeight="1">
      <c r="H2162" s="217" t="s">
        <v>5872</v>
      </c>
      <c r="I2162" s="217" t="s">
        <v>5680</v>
      </c>
      <c r="J2162" s="217" t="s">
        <v>5870</v>
      </c>
      <c r="K2162" s="217" t="s">
        <v>5874</v>
      </c>
      <c r="L2162" s="217" t="s">
        <v>92</v>
      </c>
      <c r="M2162" s="217"/>
      <c r="N2162" s="218">
        <v>2900</v>
      </c>
      <c r="O2162" s="169">
        <f t="shared" si="88"/>
        <v>0</v>
      </c>
      <c r="P2162" s="169"/>
      <c r="Q2162" s="166"/>
      <c r="R2162" s="169"/>
      <c r="S2162" s="169"/>
      <c r="T2162" s="169"/>
      <c r="U2162" s="169"/>
      <c r="V2162" s="166">
        <f t="shared" si="89"/>
        <v>0</v>
      </c>
      <c r="W2162" s="205"/>
      <c r="X2162" s="155"/>
    </row>
    <row r="2163" spans="8:24" s="220" customFormat="1" ht="12.75" hidden="1" customHeight="1">
      <c r="H2163" s="217" t="s">
        <v>5873</v>
      </c>
      <c r="I2163" s="217" t="s">
        <v>5680</v>
      </c>
      <c r="J2163" s="217" t="s">
        <v>5870</v>
      </c>
      <c r="K2163" s="217" t="s">
        <v>5875</v>
      </c>
      <c r="L2163" s="217" t="s">
        <v>92</v>
      </c>
      <c r="M2163" s="217"/>
      <c r="N2163" s="218">
        <v>2900</v>
      </c>
      <c r="O2163" s="169">
        <f t="shared" si="88"/>
        <v>0</v>
      </c>
      <c r="P2163" s="169"/>
      <c r="Q2163" s="166"/>
      <c r="R2163" s="169"/>
      <c r="S2163" s="169"/>
      <c r="T2163" s="169"/>
      <c r="U2163" s="169"/>
      <c r="V2163" s="166">
        <f t="shared" si="89"/>
        <v>0</v>
      </c>
      <c r="W2163" s="205"/>
      <c r="X2163" s="155"/>
    </row>
    <row r="2164" spans="8:24" s="220" customFormat="1" ht="12.75" hidden="1" customHeight="1">
      <c r="H2164" s="217" t="s">
        <v>5876</v>
      </c>
      <c r="I2164" s="217" t="s">
        <v>5680</v>
      </c>
      <c r="J2164" s="217" t="s">
        <v>5870</v>
      </c>
      <c r="K2164" s="217" t="s">
        <v>5877</v>
      </c>
      <c r="L2164" s="217" t="s">
        <v>92</v>
      </c>
      <c r="M2164" s="217"/>
      <c r="N2164" s="218">
        <v>3000</v>
      </c>
      <c r="O2164" s="169">
        <f t="shared" si="88"/>
        <v>0</v>
      </c>
      <c r="P2164" s="169"/>
      <c r="Q2164" s="166"/>
      <c r="R2164" s="169"/>
      <c r="S2164" s="169"/>
      <c r="T2164" s="169"/>
      <c r="U2164" s="169"/>
      <c r="V2164" s="166">
        <f t="shared" si="89"/>
        <v>0</v>
      </c>
      <c r="W2164" s="205"/>
      <c r="X2164" s="155"/>
    </row>
    <row r="2165" spans="8:24" s="220" customFormat="1" ht="12.75" hidden="1" customHeight="1">
      <c r="H2165" s="217" t="s">
        <v>5878</v>
      </c>
      <c r="I2165" s="217" t="s">
        <v>5680</v>
      </c>
      <c r="J2165" s="217" t="s">
        <v>5751</v>
      </c>
      <c r="K2165" s="217" t="s">
        <v>5784</v>
      </c>
      <c r="L2165" s="217" t="s">
        <v>92</v>
      </c>
      <c r="M2165" s="217"/>
      <c r="N2165" s="218">
        <v>3000</v>
      </c>
      <c r="O2165" s="169">
        <f t="shared" si="88"/>
        <v>0</v>
      </c>
      <c r="P2165" s="169"/>
      <c r="Q2165" s="166"/>
      <c r="R2165" s="169"/>
      <c r="S2165" s="169"/>
      <c r="T2165" s="169"/>
      <c r="U2165" s="169"/>
      <c r="V2165" s="166">
        <f t="shared" si="89"/>
        <v>0</v>
      </c>
      <c r="W2165" s="205"/>
      <c r="X2165" s="155"/>
    </row>
    <row r="2166" spans="8:24" s="220" customFormat="1" ht="12.75" hidden="1" customHeight="1">
      <c r="H2166" s="217" t="s">
        <v>5879</v>
      </c>
      <c r="I2166" s="217" t="s">
        <v>5680</v>
      </c>
      <c r="J2166" s="217" t="s">
        <v>5801</v>
      </c>
      <c r="K2166" s="217" t="s">
        <v>5866</v>
      </c>
      <c r="L2166" s="217" t="s">
        <v>92</v>
      </c>
      <c r="M2166" s="217"/>
      <c r="N2166" s="218">
        <v>3030</v>
      </c>
      <c r="O2166" s="169">
        <f t="shared" si="88"/>
        <v>0</v>
      </c>
      <c r="P2166" s="169"/>
      <c r="Q2166" s="166"/>
      <c r="R2166" s="169"/>
      <c r="S2166" s="169"/>
      <c r="T2166" s="169"/>
      <c r="U2166" s="169"/>
      <c r="V2166" s="166">
        <f t="shared" si="89"/>
        <v>0</v>
      </c>
      <c r="W2166" s="205"/>
      <c r="X2166" s="155"/>
    </row>
    <row r="2167" spans="8:24" s="220" customFormat="1" ht="12.75" hidden="1" customHeight="1">
      <c r="H2167" s="217" t="s">
        <v>5880</v>
      </c>
      <c r="I2167" s="217" t="s">
        <v>5680</v>
      </c>
      <c r="J2167" s="217" t="s">
        <v>5881</v>
      </c>
      <c r="K2167" s="217" t="s">
        <v>5715</v>
      </c>
      <c r="L2167" s="217" t="s">
        <v>92</v>
      </c>
      <c r="M2167" s="217"/>
      <c r="N2167" s="218">
        <v>3120</v>
      </c>
      <c r="O2167" s="169">
        <f t="shared" si="88"/>
        <v>0</v>
      </c>
      <c r="P2167" s="169"/>
      <c r="Q2167" s="166"/>
      <c r="R2167" s="169"/>
      <c r="S2167" s="169"/>
      <c r="T2167" s="169"/>
      <c r="U2167" s="169"/>
      <c r="V2167" s="166">
        <f t="shared" si="89"/>
        <v>0</v>
      </c>
      <c r="W2167" s="205"/>
      <c r="X2167" s="155"/>
    </row>
    <row r="2168" spans="8:24" s="220" customFormat="1" ht="12.75" hidden="1" customHeight="1">
      <c r="H2168" s="217" t="s">
        <v>5882</v>
      </c>
      <c r="I2168" s="217" t="s">
        <v>5680</v>
      </c>
      <c r="J2168" s="217" t="s">
        <v>5774</v>
      </c>
      <c r="K2168" s="217" t="s">
        <v>5883</v>
      </c>
      <c r="L2168" s="217" t="s">
        <v>5</v>
      </c>
      <c r="M2168" s="217"/>
      <c r="N2168" s="218">
        <v>3160</v>
      </c>
      <c r="O2168" s="169">
        <f t="shared" si="88"/>
        <v>0</v>
      </c>
      <c r="P2168" s="169"/>
      <c r="Q2168" s="166"/>
      <c r="R2168" s="169"/>
      <c r="S2168" s="169"/>
      <c r="T2168" s="169"/>
      <c r="U2168" s="169"/>
      <c r="V2168" s="166">
        <f t="shared" si="89"/>
        <v>0</v>
      </c>
      <c r="W2168" s="205"/>
      <c r="X2168" s="155"/>
    </row>
    <row r="2169" spans="8:24" s="220" customFormat="1" ht="12.75" hidden="1" customHeight="1">
      <c r="H2169" s="217" t="s">
        <v>5884</v>
      </c>
      <c r="I2169" s="217" t="s">
        <v>5680</v>
      </c>
      <c r="J2169" s="217" t="s">
        <v>5738</v>
      </c>
      <c r="K2169" s="217" t="s">
        <v>5784</v>
      </c>
      <c r="L2169" s="217" t="s">
        <v>92</v>
      </c>
      <c r="M2169" s="217"/>
      <c r="N2169" s="218">
        <v>3360</v>
      </c>
      <c r="O2169" s="169">
        <f t="shared" si="88"/>
        <v>0</v>
      </c>
      <c r="P2169" s="169"/>
      <c r="Q2169" s="166"/>
      <c r="R2169" s="169"/>
      <c r="S2169" s="169"/>
      <c r="T2169" s="169"/>
      <c r="U2169" s="169"/>
      <c r="V2169" s="166">
        <f t="shared" si="89"/>
        <v>0</v>
      </c>
      <c r="W2169" s="205"/>
      <c r="X2169" s="155"/>
    </row>
    <row r="2170" spans="8:24" s="220" customFormat="1" ht="12.75" hidden="1" customHeight="1">
      <c r="H2170" s="217" t="s">
        <v>5885</v>
      </c>
      <c r="I2170" s="217" t="s">
        <v>5680</v>
      </c>
      <c r="J2170" s="217" t="s">
        <v>5763</v>
      </c>
      <c r="K2170" s="217" t="s">
        <v>5883</v>
      </c>
      <c r="L2170" s="217" t="s">
        <v>5</v>
      </c>
      <c r="M2170" s="217"/>
      <c r="N2170" s="218">
        <v>3390</v>
      </c>
      <c r="O2170" s="169">
        <f t="shared" si="88"/>
        <v>0</v>
      </c>
      <c r="P2170" s="169"/>
      <c r="Q2170" s="166"/>
      <c r="R2170" s="169"/>
      <c r="S2170" s="169"/>
      <c r="T2170" s="169"/>
      <c r="U2170" s="169"/>
      <c r="V2170" s="166">
        <f t="shared" si="89"/>
        <v>0</v>
      </c>
      <c r="W2170" s="205"/>
      <c r="X2170" s="155"/>
    </row>
    <row r="2171" spans="8:24" s="220" customFormat="1" ht="12.75" hidden="1" customHeight="1">
      <c r="H2171" s="217" t="s">
        <v>5886</v>
      </c>
      <c r="I2171" s="217" t="s">
        <v>5680</v>
      </c>
      <c r="J2171" s="217" t="s">
        <v>5881</v>
      </c>
      <c r="K2171" s="217" t="s">
        <v>5716</v>
      </c>
      <c r="L2171" s="217" t="s">
        <v>92</v>
      </c>
      <c r="M2171" s="217"/>
      <c r="N2171" s="218">
        <v>3580</v>
      </c>
      <c r="O2171" s="169">
        <f t="shared" si="88"/>
        <v>0</v>
      </c>
      <c r="P2171" s="169"/>
      <c r="Q2171" s="166"/>
      <c r="R2171" s="169"/>
      <c r="S2171" s="169"/>
      <c r="T2171" s="169"/>
      <c r="U2171" s="169"/>
      <c r="V2171" s="166">
        <f t="shared" si="89"/>
        <v>0</v>
      </c>
      <c r="W2171" s="205"/>
      <c r="X2171" s="155"/>
    </row>
    <row r="2172" spans="8:24" s="220" customFormat="1" ht="12.75" hidden="1" customHeight="1">
      <c r="H2172" s="217" t="s">
        <v>5887</v>
      </c>
      <c r="I2172" s="217" t="s">
        <v>5680</v>
      </c>
      <c r="J2172" s="217" t="s">
        <v>5752</v>
      </c>
      <c r="K2172" s="217" t="s">
        <v>5770</v>
      </c>
      <c r="L2172" s="217" t="s">
        <v>92</v>
      </c>
      <c r="M2172" s="217"/>
      <c r="N2172" s="218">
        <v>3730</v>
      </c>
      <c r="O2172" s="169">
        <f t="shared" si="88"/>
        <v>0</v>
      </c>
      <c r="P2172" s="169"/>
      <c r="Q2172" s="166"/>
      <c r="R2172" s="169"/>
      <c r="S2172" s="169"/>
      <c r="T2172" s="169"/>
      <c r="U2172" s="169"/>
      <c r="V2172" s="166">
        <f t="shared" si="89"/>
        <v>0</v>
      </c>
      <c r="W2172" s="205"/>
      <c r="X2172" s="155"/>
    </row>
    <row r="2173" spans="8:24" s="220" customFormat="1" ht="12.75" hidden="1" customHeight="1">
      <c r="H2173" s="217" t="s">
        <v>5888</v>
      </c>
      <c r="I2173" s="217" t="s">
        <v>5680</v>
      </c>
      <c r="J2173" s="217" t="s">
        <v>5689</v>
      </c>
      <c r="K2173" s="217" t="s">
        <v>5806</v>
      </c>
      <c r="L2173" s="217" t="s">
        <v>92</v>
      </c>
      <c r="M2173" s="217"/>
      <c r="N2173" s="218">
        <v>3850</v>
      </c>
      <c r="O2173" s="169">
        <f t="shared" si="88"/>
        <v>0</v>
      </c>
      <c r="P2173" s="169"/>
      <c r="Q2173" s="166"/>
      <c r="R2173" s="169"/>
      <c r="S2173" s="169"/>
      <c r="T2173" s="169"/>
      <c r="U2173" s="169"/>
      <c r="V2173" s="166">
        <f t="shared" si="89"/>
        <v>0</v>
      </c>
      <c r="W2173" s="205"/>
      <c r="X2173" s="155"/>
    </row>
    <row r="2174" spans="8:24" s="220" customFormat="1" ht="12.75" hidden="1" customHeight="1">
      <c r="H2174" s="217" t="s">
        <v>5889</v>
      </c>
      <c r="I2174" s="217" t="s">
        <v>5680</v>
      </c>
      <c r="J2174" s="217" t="s">
        <v>5881</v>
      </c>
      <c r="K2174" s="217" t="s">
        <v>5717</v>
      </c>
      <c r="L2174" s="217" t="s">
        <v>92</v>
      </c>
      <c r="M2174" s="217"/>
      <c r="N2174" s="218">
        <v>3970</v>
      </c>
      <c r="O2174" s="169">
        <f t="shared" si="88"/>
        <v>0</v>
      </c>
      <c r="P2174" s="169"/>
      <c r="Q2174" s="166"/>
      <c r="R2174" s="169"/>
      <c r="S2174" s="169"/>
      <c r="T2174" s="169"/>
      <c r="U2174" s="169"/>
      <c r="V2174" s="166">
        <f t="shared" si="89"/>
        <v>0</v>
      </c>
      <c r="W2174" s="205"/>
      <c r="X2174" s="155"/>
    </row>
    <row r="2175" spans="8:24" s="220" customFormat="1" ht="12.75" hidden="1" customHeight="1">
      <c r="H2175" s="217" t="s">
        <v>5890</v>
      </c>
      <c r="I2175" s="217" t="s">
        <v>5680</v>
      </c>
      <c r="J2175" s="217" t="s">
        <v>5864</v>
      </c>
      <c r="K2175" s="217" t="s">
        <v>5687</v>
      </c>
      <c r="L2175" s="217" t="s">
        <v>92</v>
      </c>
      <c r="M2175" s="217"/>
      <c r="N2175" s="218">
        <v>4030</v>
      </c>
      <c r="O2175" s="169">
        <f t="shared" si="88"/>
        <v>0</v>
      </c>
      <c r="P2175" s="169"/>
      <c r="Q2175" s="166"/>
      <c r="R2175" s="169"/>
      <c r="S2175" s="169"/>
      <c r="T2175" s="169"/>
      <c r="U2175" s="169"/>
      <c r="V2175" s="166">
        <f t="shared" si="89"/>
        <v>0</v>
      </c>
      <c r="W2175" s="205"/>
      <c r="X2175" s="155"/>
    </row>
    <row r="2176" spans="8:24" s="221" customFormat="1" ht="12.75" hidden="1" customHeight="1">
      <c r="H2176" s="217" t="s">
        <v>5891</v>
      </c>
      <c r="I2176" s="217" t="s">
        <v>5680</v>
      </c>
      <c r="J2176" s="217" t="s">
        <v>5870</v>
      </c>
      <c r="K2176" s="217" t="s">
        <v>5892</v>
      </c>
      <c r="L2176" s="217" t="s">
        <v>92</v>
      </c>
      <c r="M2176" s="217"/>
      <c r="N2176" s="218">
        <v>4050</v>
      </c>
      <c r="O2176" s="169">
        <f t="shared" si="88"/>
        <v>0</v>
      </c>
      <c r="P2176" s="169"/>
      <c r="Q2176" s="166"/>
      <c r="R2176" s="169"/>
      <c r="S2176" s="169"/>
      <c r="T2176" s="169"/>
      <c r="U2176" s="169"/>
      <c r="V2176" s="166">
        <f t="shared" si="89"/>
        <v>0</v>
      </c>
      <c r="W2176" s="205"/>
      <c r="X2176" s="167"/>
    </row>
    <row r="2177" spans="8:24" s="221" customFormat="1" ht="12.75" hidden="1" customHeight="1">
      <c r="H2177" s="217" t="s">
        <v>5893</v>
      </c>
      <c r="I2177" s="217" t="s">
        <v>5680</v>
      </c>
      <c r="J2177" s="217" t="s">
        <v>5817</v>
      </c>
      <c r="K2177" s="217" t="s">
        <v>5866</v>
      </c>
      <c r="L2177" s="217" t="s">
        <v>5</v>
      </c>
      <c r="M2177" s="217"/>
      <c r="N2177" s="218">
        <v>4150</v>
      </c>
      <c r="O2177" s="169">
        <f t="shared" si="88"/>
        <v>0</v>
      </c>
      <c r="P2177" s="169"/>
      <c r="Q2177" s="166"/>
      <c r="R2177" s="169"/>
      <c r="S2177" s="169"/>
      <c r="T2177" s="169"/>
      <c r="U2177" s="169"/>
      <c r="V2177" s="166">
        <f t="shared" si="89"/>
        <v>0</v>
      </c>
      <c r="W2177" s="205"/>
      <c r="X2177" s="167"/>
    </row>
    <row r="2178" spans="8:24" s="221" customFormat="1" ht="12.75" hidden="1" customHeight="1">
      <c r="H2178" s="217" t="s">
        <v>5894</v>
      </c>
      <c r="I2178" s="217" t="s">
        <v>5680</v>
      </c>
      <c r="J2178" s="217" t="s">
        <v>5801</v>
      </c>
      <c r="K2178" s="217" t="s">
        <v>5883</v>
      </c>
      <c r="L2178" s="217" t="s">
        <v>92</v>
      </c>
      <c r="M2178" s="217"/>
      <c r="N2178" s="218">
        <v>4270</v>
      </c>
      <c r="O2178" s="169">
        <f t="shared" si="88"/>
        <v>0</v>
      </c>
      <c r="P2178" s="169"/>
      <c r="Q2178" s="166"/>
      <c r="R2178" s="169"/>
      <c r="S2178" s="169"/>
      <c r="T2178" s="169"/>
      <c r="U2178" s="169"/>
      <c r="V2178" s="166">
        <f t="shared" si="89"/>
        <v>0</v>
      </c>
      <c r="W2178" s="205"/>
      <c r="X2178" s="167"/>
    </row>
    <row r="2179" spans="8:24" s="221" customFormat="1" ht="12.75" hidden="1" customHeight="1">
      <c r="H2179" s="217" t="s">
        <v>5895</v>
      </c>
      <c r="I2179" s="217" t="s">
        <v>5680</v>
      </c>
      <c r="J2179" s="217" t="s">
        <v>5870</v>
      </c>
      <c r="K2179" s="217" t="s">
        <v>5896</v>
      </c>
      <c r="L2179" s="217" t="s">
        <v>92</v>
      </c>
      <c r="M2179" s="217"/>
      <c r="N2179" s="218">
        <v>4280</v>
      </c>
      <c r="O2179" s="169">
        <f t="shared" ref="O2179:O2244" si="90">M2179*N2179*$O$3</f>
        <v>0</v>
      </c>
      <c r="P2179" s="169"/>
      <c r="Q2179" s="166"/>
      <c r="R2179" s="169"/>
      <c r="S2179" s="169"/>
      <c r="T2179" s="169"/>
      <c r="U2179" s="169"/>
      <c r="V2179" s="166">
        <f t="shared" si="89"/>
        <v>0</v>
      </c>
      <c r="W2179" s="205"/>
      <c r="X2179" s="167"/>
    </row>
    <row r="2180" spans="8:24" s="221" customFormat="1" ht="12.75" hidden="1" customHeight="1">
      <c r="H2180" s="217" t="s">
        <v>5897</v>
      </c>
      <c r="I2180" s="217" t="s">
        <v>5680</v>
      </c>
      <c r="J2180" s="217" t="s">
        <v>5898</v>
      </c>
      <c r="K2180" s="217" t="s">
        <v>5764</v>
      </c>
      <c r="L2180" s="217" t="s">
        <v>92</v>
      </c>
      <c r="M2180" s="217"/>
      <c r="N2180" s="218">
        <v>4320</v>
      </c>
      <c r="O2180" s="169">
        <f t="shared" si="90"/>
        <v>0</v>
      </c>
      <c r="P2180" s="169"/>
      <c r="Q2180" s="166"/>
      <c r="R2180" s="169"/>
      <c r="S2180" s="169"/>
      <c r="T2180" s="169"/>
      <c r="U2180" s="169"/>
      <c r="V2180" s="166">
        <f t="shared" si="89"/>
        <v>0</v>
      </c>
      <c r="W2180" s="205"/>
      <c r="X2180" s="167"/>
    </row>
    <row r="2181" spans="8:24" s="221" customFormat="1" ht="12.75" hidden="1" customHeight="1">
      <c r="H2181" s="217" t="s">
        <v>5899</v>
      </c>
      <c r="I2181" s="217" t="s">
        <v>5680</v>
      </c>
      <c r="J2181" s="217" t="s">
        <v>5898</v>
      </c>
      <c r="K2181" s="217" t="s">
        <v>5807</v>
      </c>
      <c r="L2181" s="217" t="s">
        <v>92</v>
      </c>
      <c r="M2181" s="217"/>
      <c r="N2181" s="218">
        <v>4320</v>
      </c>
      <c r="O2181" s="169">
        <f t="shared" si="90"/>
        <v>0</v>
      </c>
      <c r="P2181" s="169"/>
      <c r="Q2181" s="166"/>
      <c r="R2181" s="169"/>
      <c r="S2181" s="169"/>
      <c r="T2181" s="169"/>
      <c r="U2181" s="169"/>
      <c r="V2181" s="166">
        <f t="shared" si="89"/>
        <v>0</v>
      </c>
      <c r="W2181" s="205"/>
      <c r="X2181" s="167"/>
    </row>
    <row r="2182" spans="8:24" s="221" customFormat="1" ht="12.75" hidden="1" customHeight="1">
      <c r="H2182" s="217" t="s">
        <v>5900</v>
      </c>
      <c r="I2182" s="217" t="s">
        <v>5680</v>
      </c>
      <c r="J2182" s="217" t="s">
        <v>5881</v>
      </c>
      <c r="K2182" s="217" t="s">
        <v>5734</v>
      </c>
      <c r="L2182" s="217" t="s">
        <v>92</v>
      </c>
      <c r="M2182" s="217"/>
      <c r="N2182" s="218">
        <v>5260</v>
      </c>
      <c r="O2182" s="169">
        <f t="shared" si="90"/>
        <v>0</v>
      </c>
      <c r="P2182" s="169"/>
      <c r="Q2182" s="166"/>
      <c r="R2182" s="169"/>
      <c r="S2182" s="169"/>
      <c r="T2182" s="169"/>
      <c r="U2182" s="169"/>
      <c r="V2182" s="166">
        <f t="shared" ref="V2182:V2247" si="91">SUM(O2182+Q2182)+S2182+U2182</f>
        <v>0</v>
      </c>
      <c r="W2182" s="205"/>
      <c r="X2182" s="167"/>
    </row>
    <row r="2183" spans="8:24" s="221" customFormat="1" ht="12.75" hidden="1" customHeight="1">
      <c r="H2183" s="217" t="s">
        <v>5901</v>
      </c>
      <c r="I2183" s="217" t="s">
        <v>5680</v>
      </c>
      <c r="J2183" s="217" t="s">
        <v>5738</v>
      </c>
      <c r="K2183" s="217" t="s">
        <v>5806</v>
      </c>
      <c r="L2183" s="217" t="s">
        <v>92</v>
      </c>
      <c r="M2183" s="217"/>
      <c r="N2183" s="218">
        <v>5350</v>
      </c>
      <c r="O2183" s="169">
        <f t="shared" si="90"/>
        <v>0</v>
      </c>
      <c r="P2183" s="169"/>
      <c r="Q2183" s="166"/>
      <c r="R2183" s="169"/>
      <c r="S2183" s="169"/>
      <c r="T2183" s="169"/>
      <c r="U2183" s="169"/>
      <c r="V2183" s="166">
        <f t="shared" si="91"/>
        <v>0</v>
      </c>
      <c r="W2183" s="205"/>
      <c r="X2183" s="167"/>
    </row>
    <row r="2184" spans="8:24" s="221" customFormat="1" ht="12.75" hidden="1" customHeight="1">
      <c r="H2184" s="217" t="s">
        <v>5902</v>
      </c>
      <c r="I2184" s="217" t="s">
        <v>5680</v>
      </c>
      <c r="J2184" s="217" t="s">
        <v>5752</v>
      </c>
      <c r="K2184" s="217" t="s">
        <v>5784</v>
      </c>
      <c r="L2184" s="217" t="s">
        <v>92</v>
      </c>
      <c r="M2184" s="217"/>
      <c r="N2184" s="218">
        <v>5370</v>
      </c>
      <c r="O2184" s="169">
        <f t="shared" si="90"/>
        <v>0</v>
      </c>
      <c r="P2184" s="169"/>
      <c r="Q2184" s="166"/>
      <c r="R2184" s="169"/>
      <c r="S2184" s="169"/>
      <c r="T2184" s="169"/>
      <c r="U2184" s="169"/>
      <c r="V2184" s="166">
        <f t="shared" si="91"/>
        <v>0</v>
      </c>
      <c r="W2184" s="205"/>
      <c r="X2184" s="167"/>
    </row>
    <row r="2185" spans="8:24" s="221" customFormat="1" ht="12.75" hidden="1" customHeight="1">
      <c r="H2185" s="217" t="s">
        <v>5903</v>
      </c>
      <c r="I2185" s="217" t="s">
        <v>5680</v>
      </c>
      <c r="J2185" s="217" t="s">
        <v>5864</v>
      </c>
      <c r="K2185" s="217" t="s">
        <v>5691</v>
      </c>
      <c r="L2185" s="217" t="s">
        <v>92</v>
      </c>
      <c r="M2185" s="217"/>
      <c r="N2185" s="218">
        <v>5410</v>
      </c>
      <c r="O2185" s="169">
        <f t="shared" si="90"/>
        <v>0</v>
      </c>
      <c r="P2185" s="169"/>
      <c r="Q2185" s="166"/>
      <c r="R2185" s="169"/>
      <c r="S2185" s="169"/>
      <c r="T2185" s="169"/>
      <c r="U2185" s="169"/>
      <c r="V2185" s="166">
        <f t="shared" si="91"/>
        <v>0</v>
      </c>
      <c r="W2185" s="205"/>
      <c r="X2185" s="167"/>
    </row>
    <row r="2186" spans="8:24" s="221" customFormat="1" ht="12.75" hidden="1" customHeight="1">
      <c r="H2186" s="217" t="s">
        <v>5904</v>
      </c>
      <c r="I2186" s="217" t="s">
        <v>5680</v>
      </c>
      <c r="J2186" s="217" t="s">
        <v>5817</v>
      </c>
      <c r="K2186" s="217" t="s">
        <v>5883</v>
      </c>
      <c r="L2186" s="217" t="s">
        <v>5</v>
      </c>
      <c r="M2186" s="217"/>
      <c r="N2186" s="218">
        <v>5470</v>
      </c>
      <c r="O2186" s="169">
        <f t="shared" si="90"/>
        <v>0</v>
      </c>
      <c r="P2186" s="169"/>
      <c r="Q2186" s="166"/>
      <c r="R2186" s="169"/>
      <c r="S2186" s="169"/>
      <c r="T2186" s="169"/>
      <c r="U2186" s="169"/>
      <c r="V2186" s="166">
        <f t="shared" si="91"/>
        <v>0</v>
      </c>
      <c r="W2186" s="205"/>
      <c r="X2186" s="167"/>
    </row>
    <row r="2187" spans="8:24" s="221" customFormat="1" ht="12.75" hidden="1" customHeight="1">
      <c r="H2187" s="217" t="s">
        <v>5905</v>
      </c>
      <c r="I2187" s="217" t="s">
        <v>5680</v>
      </c>
      <c r="J2187" s="217" t="s">
        <v>5774</v>
      </c>
      <c r="K2187" s="217" t="s">
        <v>5906</v>
      </c>
      <c r="L2187" s="217" t="s">
        <v>5</v>
      </c>
      <c r="M2187" s="217"/>
      <c r="N2187" s="218">
        <v>5730</v>
      </c>
      <c r="O2187" s="169">
        <f t="shared" si="90"/>
        <v>0</v>
      </c>
      <c r="P2187" s="169"/>
      <c r="Q2187" s="166"/>
      <c r="R2187" s="169"/>
      <c r="S2187" s="169"/>
      <c r="T2187" s="169"/>
      <c r="U2187" s="169"/>
      <c r="V2187" s="166">
        <f t="shared" si="91"/>
        <v>0</v>
      </c>
      <c r="W2187" s="205"/>
      <c r="X2187" s="167"/>
    </row>
    <row r="2188" spans="8:24" s="221" customFormat="1" ht="12.75" hidden="1" customHeight="1">
      <c r="H2188" s="217" t="s">
        <v>5907</v>
      </c>
      <c r="I2188" s="217" t="s">
        <v>5680</v>
      </c>
      <c r="J2188" s="217" t="s">
        <v>5910</v>
      </c>
      <c r="K2188" s="217" t="s">
        <v>5911</v>
      </c>
      <c r="L2188" s="217" t="s">
        <v>92</v>
      </c>
      <c r="M2188" s="217"/>
      <c r="N2188" s="218">
        <v>6010</v>
      </c>
      <c r="O2188" s="169">
        <f t="shared" si="90"/>
        <v>0</v>
      </c>
      <c r="P2188" s="169"/>
      <c r="Q2188" s="166"/>
      <c r="R2188" s="169"/>
      <c r="S2188" s="169"/>
      <c r="T2188" s="169"/>
      <c r="U2188" s="169"/>
      <c r="V2188" s="166">
        <f t="shared" si="91"/>
        <v>0</v>
      </c>
      <c r="W2188" s="205"/>
      <c r="X2188" s="167"/>
    </row>
    <row r="2189" spans="8:24" s="221" customFormat="1" ht="12.75" hidden="1" customHeight="1">
      <c r="H2189" s="217" t="s">
        <v>5908</v>
      </c>
      <c r="I2189" s="217" t="s">
        <v>5680</v>
      </c>
      <c r="J2189" s="217" t="s">
        <v>5910</v>
      </c>
      <c r="K2189" s="217" t="s">
        <v>5912</v>
      </c>
      <c r="L2189" s="217" t="s">
        <v>92</v>
      </c>
      <c r="M2189" s="217"/>
      <c r="N2189" s="218">
        <v>6010</v>
      </c>
      <c r="O2189" s="169">
        <f t="shared" si="90"/>
        <v>0</v>
      </c>
      <c r="P2189" s="169"/>
      <c r="Q2189" s="166"/>
      <c r="R2189" s="169"/>
      <c r="S2189" s="169"/>
      <c r="T2189" s="169"/>
      <c r="U2189" s="169"/>
      <c r="V2189" s="166">
        <f t="shared" si="91"/>
        <v>0</v>
      </c>
      <c r="W2189" s="205"/>
      <c r="X2189" s="167"/>
    </row>
    <row r="2190" spans="8:24" s="221" customFormat="1" ht="12.75" hidden="1" customHeight="1">
      <c r="H2190" s="217" t="s">
        <v>5909</v>
      </c>
      <c r="I2190" s="217" t="s">
        <v>5680</v>
      </c>
      <c r="J2190" s="217" t="s">
        <v>5910</v>
      </c>
      <c r="K2190" s="217" t="s">
        <v>5913</v>
      </c>
      <c r="L2190" s="217" t="s">
        <v>92</v>
      </c>
      <c r="M2190" s="217"/>
      <c r="N2190" s="218">
        <v>6010</v>
      </c>
      <c r="O2190" s="169">
        <f t="shared" si="90"/>
        <v>0</v>
      </c>
      <c r="P2190" s="197"/>
      <c r="Q2190" s="166"/>
      <c r="R2190" s="169"/>
      <c r="S2190" s="169"/>
      <c r="T2190" s="169"/>
      <c r="U2190" s="169"/>
      <c r="V2190" s="166">
        <f t="shared" si="91"/>
        <v>0</v>
      </c>
      <c r="W2190" s="205"/>
      <c r="X2190" s="167"/>
    </row>
    <row r="2191" spans="8:24" s="221" customFormat="1" ht="12.75" hidden="1" customHeight="1">
      <c r="H2191" s="217" t="s">
        <v>5914</v>
      </c>
      <c r="I2191" s="217" t="s">
        <v>5680</v>
      </c>
      <c r="J2191" s="217" t="s">
        <v>5881</v>
      </c>
      <c r="K2191" s="217" t="s">
        <v>5736</v>
      </c>
      <c r="L2191" s="217" t="s">
        <v>92</v>
      </c>
      <c r="M2191" s="217"/>
      <c r="N2191" s="218">
        <v>6200</v>
      </c>
      <c r="O2191" s="169">
        <f t="shared" si="90"/>
        <v>0</v>
      </c>
      <c r="P2191" s="197"/>
      <c r="Q2191" s="166"/>
      <c r="R2191" s="169"/>
      <c r="S2191" s="169"/>
      <c r="T2191" s="169"/>
      <c r="U2191" s="169"/>
      <c r="V2191" s="166">
        <f t="shared" si="91"/>
        <v>0</v>
      </c>
      <c r="W2191" s="205"/>
      <c r="X2191" s="167"/>
    </row>
    <row r="2192" spans="8:24" s="221" customFormat="1" ht="12.75" hidden="1" customHeight="1">
      <c r="H2192" s="217" t="s">
        <v>5915</v>
      </c>
      <c r="I2192" s="217" t="s">
        <v>5680</v>
      </c>
      <c r="J2192" s="217" t="s">
        <v>5751</v>
      </c>
      <c r="K2192" s="217" t="s">
        <v>5806</v>
      </c>
      <c r="L2192" s="217" t="s">
        <v>92</v>
      </c>
      <c r="M2192" s="217"/>
      <c r="N2192" s="218">
        <v>6210</v>
      </c>
      <c r="O2192" s="169">
        <f t="shared" si="90"/>
        <v>0</v>
      </c>
      <c r="P2192" s="197"/>
      <c r="Q2192" s="166"/>
      <c r="R2192" s="169"/>
      <c r="S2192" s="169"/>
      <c r="T2192" s="169"/>
      <c r="U2192" s="169"/>
      <c r="V2192" s="166">
        <f t="shared" si="91"/>
        <v>0</v>
      </c>
      <c r="W2192" s="205"/>
      <c r="X2192" s="167"/>
    </row>
    <row r="2193" spans="8:24" s="221" customFormat="1" ht="12.75" hidden="1" customHeight="1">
      <c r="H2193" s="217" t="s">
        <v>5916</v>
      </c>
      <c r="I2193" s="217" t="s">
        <v>5680</v>
      </c>
      <c r="J2193" s="217" t="s">
        <v>5864</v>
      </c>
      <c r="K2193" s="217" t="s">
        <v>5706</v>
      </c>
      <c r="L2193" s="217" t="s">
        <v>92</v>
      </c>
      <c r="M2193" s="217"/>
      <c r="N2193" s="218">
        <v>6800</v>
      </c>
      <c r="O2193" s="169">
        <f t="shared" si="90"/>
        <v>0</v>
      </c>
      <c r="P2193" s="197"/>
      <c r="Q2193" s="166"/>
      <c r="R2193" s="169"/>
      <c r="S2193" s="169"/>
      <c r="T2193" s="169"/>
      <c r="U2193" s="169"/>
      <c r="V2193" s="166">
        <f t="shared" si="91"/>
        <v>0</v>
      </c>
      <c r="W2193" s="205"/>
      <c r="X2193" s="167"/>
    </row>
    <row r="2194" spans="8:24" s="221" customFormat="1" ht="12.75" hidden="1" customHeight="1">
      <c r="H2194" s="217" t="s">
        <v>5917</v>
      </c>
      <c r="I2194" s="217" t="s">
        <v>5680</v>
      </c>
      <c r="J2194" s="217" t="s">
        <v>5910</v>
      </c>
      <c r="K2194" s="217" t="s">
        <v>5918</v>
      </c>
      <c r="L2194" s="217" t="s">
        <v>92</v>
      </c>
      <c r="M2194" s="217"/>
      <c r="N2194" s="218">
        <v>7020</v>
      </c>
      <c r="O2194" s="169">
        <f t="shared" si="90"/>
        <v>0</v>
      </c>
      <c r="P2194" s="197"/>
      <c r="Q2194" s="166"/>
      <c r="R2194" s="169"/>
      <c r="S2194" s="169"/>
      <c r="T2194" s="169"/>
      <c r="U2194" s="169"/>
      <c r="V2194" s="166">
        <f t="shared" si="91"/>
        <v>0</v>
      </c>
      <c r="W2194" s="205"/>
      <c r="X2194" s="167"/>
    </row>
    <row r="2195" spans="8:24" s="221" customFormat="1" ht="12.75" hidden="1" customHeight="1">
      <c r="H2195" s="217" t="s">
        <v>5919</v>
      </c>
      <c r="I2195" s="217" t="s">
        <v>5680</v>
      </c>
      <c r="J2195" s="217" t="s">
        <v>5898</v>
      </c>
      <c r="K2195" s="217" t="s">
        <v>5821</v>
      </c>
      <c r="L2195" s="217" t="s">
        <v>92</v>
      </c>
      <c r="M2195" s="217"/>
      <c r="N2195" s="218">
        <v>7080</v>
      </c>
      <c r="O2195" s="169">
        <f t="shared" si="90"/>
        <v>0</v>
      </c>
      <c r="P2195" s="197"/>
      <c r="Q2195" s="166"/>
      <c r="R2195" s="169"/>
      <c r="S2195" s="169"/>
      <c r="T2195" s="169"/>
      <c r="U2195" s="169"/>
      <c r="V2195" s="166">
        <f t="shared" si="91"/>
        <v>0</v>
      </c>
      <c r="W2195" s="205"/>
      <c r="X2195" s="167"/>
    </row>
    <row r="2196" spans="8:24" s="221" customFormat="1" ht="12.75" hidden="1" customHeight="1">
      <c r="H2196" s="217" t="s">
        <v>5920</v>
      </c>
      <c r="I2196" s="217" t="s">
        <v>5680</v>
      </c>
      <c r="J2196" s="217" t="s">
        <v>5774</v>
      </c>
      <c r="K2196" s="217" t="s">
        <v>5921</v>
      </c>
      <c r="L2196" s="217" t="s">
        <v>5</v>
      </c>
      <c r="M2196" s="217"/>
      <c r="N2196" s="218">
        <v>7250</v>
      </c>
      <c r="O2196" s="169">
        <f t="shared" si="90"/>
        <v>0</v>
      </c>
      <c r="P2196" s="197"/>
      <c r="Q2196" s="166"/>
      <c r="R2196" s="169"/>
      <c r="S2196" s="169"/>
      <c r="T2196" s="169"/>
      <c r="U2196" s="169"/>
      <c r="V2196" s="166">
        <f t="shared" si="91"/>
        <v>0</v>
      </c>
      <c r="W2196" s="205"/>
      <c r="X2196" s="167"/>
    </row>
    <row r="2197" spans="8:24" s="221" customFormat="1" ht="12.75" hidden="1" customHeight="1">
      <c r="H2197" s="217" t="s">
        <v>5922</v>
      </c>
      <c r="I2197" s="217" t="s">
        <v>5680</v>
      </c>
      <c r="J2197" s="217" t="s">
        <v>5881</v>
      </c>
      <c r="K2197" s="217" t="s">
        <v>5753</v>
      </c>
      <c r="L2197" s="217" t="s">
        <v>92</v>
      </c>
      <c r="M2197" s="217"/>
      <c r="N2197" s="218">
        <v>7300</v>
      </c>
      <c r="O2197" s="169">
        <f t="shared" si="90"/>
        <v>0</v>
      </c>
      <c r="P2197" s="197"/>
      <c r="Q2197" s="166"/>
      <c r="R2197" s="169"/>
      <c r="S2197" s="169"/>
      <c r="T2197" s="169"/>
      <c r="U2197" s="169"/>
      <c r="V2197" s="166">
        <f t="shared" si="91"/>
        <v>0</v>
      </c>
      <c r="W2197" s="205"/>
      <c r="X2197" s="167"/>
    </row>
    <row r="2198" spans="8:24" s="221" customFormat="1" ht="12.75" hidden="1" customHeight="1">
      <c r="H2198" s="217" t="s">
        <v>5923</v>
      </c>
      <c r="I2198" s="217" t="s">
        <v>5680</v>
      </c>
      <c r="J2198" s="217" t="s">
        <v>5763</v>
      </c>
      <c r="K2198" s="217" t="s">
        <v>5906</v>
      </c>
      <c r="L2198" s="217" t="s">
        <v>5</v>
      </c>
      <c r="M2198" s="217"/>
      <c r="N2198" s="218">
        <v>7970</v>
      </c>
      <c r="O2198" s="169">
        <f t="shared" si="90"/>
        <v>0</v>
      </c>
      <c r="P2198" s="197"/>
      <c r="Q2198" s="166"/>
      <c r="R2198" s="169"/>
      <c r="S2198" s="169"/>
      <c r="T2198" s="169"/>
      <c r="U2198" s="169"/>
      <c r="V2198" s="166">
        <f t="shared" si="91"/>
        <v>0</v>
      </c>
      <c r="W2198" s="205"/>
      <c r="X2198" s="167"/>
    </row>
    <row r="2199" spans="8:24" s="221" customFormat="1" ht="12.75" hidden="1" customHeight="1">
      <c r="H2199" s="217" t="s">
        <v>5924</v>
      </c>
      <c r="I2199" s="217" t="s">
        <v>5680</v>
      </c>
      <c r="J2199" s="217" t="s">
        <v>5752</v>
      </c>
      <c r="K2199" s="217" t="s">
        <v>5806</v>
      </c>
      <c r="L2199" s="217" t="s">
        <v>92</v>
      </c>
      <c r="M2199" s="217"/>
      <c r="N2199" s="218">
        <v>8260</v>
      </c>
      <c r="O2199" s="169">
        <f t="shared" si="90"/>
        <v>0</v>
      </c>
      <c r="P2199" s="197"/>
      <c r="Q2199" s="166"/>
      <c r="R2199" s="169"/>
      <c r="S2199" s="169"/>
      <c r="T2199" s="169"/>
      <c r="U2199" s="169"/>
      <c r="V2199" s="166">
        <f t="shared" si="91"/>
        <v>0</v>
      </c>
      <c r="W2199" s="205"/>
      <c r="X2199" s="167"/>
    </row>
    <row r="2200" spans="8:24" s="221" customFormat="1" ht="12.75" hidden="1" customHeight="1">
      <c r="H2200" s="217" t="s">
        <v>5925</v>
      </c>
      <c r="I2200" s="217" t="s">
        <v>5680</v>
      </c>
      <c r="J2200" s="217" t="s">
        <v>5910</v>
      </c>
      <c r="K2200" s="217" t="s">
        <v>5926</v>
      </c>
      <c r="L2200" s="217" t="s">
        <v>92</v>
      </c>
      <c r="M2200" s="217"/>
      <c r="N2200" s="218">
        <v>8610</v>
      </c>
      <c r="O2200" s="169">
        <f t="shared" si="90"/>
        <v>0</v>
      </c>
      <c r="P2200" s="197"/>
      <c r="Q2200" s="166"/>
      <c r="R2200" s="169"/>
      <c r="S2200" s="169"/>
      <c r="T2200" s="169"/>
      <c r="U2200" s="169"/>
      <c r="V2200" s="166">
        <f t="shared" si="91"/>
        <v>0</v>
      </c>
      <c r="W2200" s="205"/>
      <c r="X2200" s="167"/>
    </row>
    <row r="2201" spans="8:24" s="221" customFormat="1" ht="12.75" hidden="1" customHeight="1">
      <c r="H2201" s="217" t="s">
        <v>5927</v>
      </c>
      <c r="I2201" s="217" t="s">
        <v>5680</v>
      </c>
      <c r="J2201" s="217" t="s">
        <v>5801</v>
      </c>
      <c r="K2201" s="217" t="s">
        <v>5906</v>
      </c>
      <c r="L2201" s="217" t="s">
        <v>92</v>
      </c>
      <c r="M2201" s="217"/>
      <c r="N2201" s="218">
        <v>9560</v>
      </c>
      <c r="O2201" s="169">
        <f t="shared" si="90"/>
        <v>0</v>
      </c>
      <c r="P2201" s="197"/>
      <c r="Q2201" s="166"/>
      <c r="R2201" s="169"/>
      <c r="S2201" s="169"/>
      <c r="T2201" s="169"/>
      <c r="U2201" s="169"/>
      <c r="V2201" s="166">
        <f t="shared" si="91"/>
        <v>0</v>
      </c>
      <c r="W2201" s="205"/>
      <c r="X2201" s="167"/>
    </row>
    <row r="2202" spans="8:24" s="221" customFormat="1" ht="12.75" hidden="1" customHeight="1">
      <c r="H2202" s="217" t="s">
        <v>5928</v>
      </c>
      <c r="I2202" s="217" t="s">
        <v>5680</v>
      </c>
      <c r="J2202" s="217" t="s">
        <v>5910</v>
      </c>
      <c r="K2202" s="217" t="s">
        <v>5929</v>
      </c>
      <c r="L2202" s="217" t="s">
        <v>92</v>
      </c>
      <c r="M2202" s="217"/>
      <c r="N2202" s="218">
        <v>9730</v>
      </c>
      <c r="O2202" s="169">
        <f t="shared" si="90"/>
        <v>0</v>
      </c>
      <c r="P2202" s="197"/>
      <c r="Q2202" s="166"/>
      <c r="R2202" s="169"/>
      <c r="S2202" s="169"/>
      <c r="T2202" s="169"/>
      <c r="U2202" s="169"/>
      <c r="V2202" s="166">
        <f t="shared" si="91"/>
        <v>0</v>
      </c>
      <c r="W2202" s="205"/>
      <c r="X2202" s="167"/>
    </row>
    <row r="2203" spans="8:24" s="221" customFormat="1" ht="12.75" hidden="1" customHeight="1">
      <c r="H2203" s="217" t="s">
        <v>5930</v>
      </c>
      <c r="I2203" s="217" t="s">
        <v>5680</v>
      </c>
      <c r="J2203" s="217" t="s">
        <v>5898</v>
      </c>
      <c r="K2203" s="217" t="s">
        <v>5838</v>
      </c>
      <c r="L2203" s="217" t="s">
        <v>92</v>
      </c>
      <c r="M2203" s="217"/>
      <c r="N2203" s="218">
        <v>10500</v>
      </c>
      <c r="O2203" s="169">
        <f t="shared" si="90"/>
        <v>0</v>
      </c>
      <c r="P2203" s="197"/>
      <c r="Q2203" s="166"/>
      <c r="R2203" s="169"/>
      <c r="S2203" s="169"/>
      <c r="T2203" s="169"/>
      <c r="U2203" s="169"/>
      <c r="V2203" s="166">
        <f t="shared" si="91"/>
        <v>0</v>
      </c>
      <c r="W2203" s="205"/>
      <c r="X2203" s="167"/>
    </row>
    <row r="2204" spans="8:24" s="221" customFormat="1" ht="12.75" hidden="1" customHeight="1">
      <c r="H2204" s="217" t="s">
        <v>5931</v>
      </c>
      <c r="I2204" s="217" t="s">
        <v>5680</v>
      </c>
      <c r="J2204" s="217" t="s">
        <v>5864</v>
      </c>
      <c r="K2204" s="217" t="s">
        <v>5727</v>
      </c>
      <c r="L2204" s="217" t="s">
        <v>92</v>
      </c>
      <c r="M2204" s="217"/>
      <c r="N2204" s="218">
        <v>10700</v>
      </c>
      <c r="O2204" s="169">
        <f t="shared" si="90"/>
        <v>0</v>
      </c>
      <c r="P2204" s="197"/>
      <c r="Q2204" s="166"/>
      <c r="R2204" s="169"/>
      <c r="S2204" s="169"/>
      <c r="T2204" s="169"/>
      <c r="U2204" s="169"/>
      <c r="V2204" s="166">
        <f t="shared" si="91"/>
        <v>0</v>
      </c>
      <c r="W2204" s="205"/>
      <c r="X2204" s="167"/>
    </row>
    <row r="2205" spans="8:24" s="221" customFormat="1" ht="12.75" hidden="1" customHeight="1">
      <c r="H2205" s="217" t="s">
        <v>5932</v>
      </c>
      <c r="I2205" s="217" t="s">
        <v>5680</v>
      </c>
      <c r="J2205" s="217" t="s">
        <v>5774</v>
      </c>
      <c r="K2205" s="217" t="s">
        <v>5933</v>
      </c>
      <c r="L2205" s="217" t="s">
        <v>5</v>
      </c>
      <c r="M2205" s="217"/>
      <c r="N2205" s="218">
        <v>11400</v>
      </c>
      <c r="O2205" s="169">
        <f t="shared" si="90"/>
        <v>0</v>
      </c>
      <c r="P2205" s="197"/>
      <c r="Q2205" s="166"/>
      <c r="R2205" s="169"/>
      <c r="S2205" s="169"/>
      <c r="T2205" s="169"/>
      <c r="U2205" s="169"/>
      <c r="V2205" s="166">
        <f t="shared" si="91"/>
        <v>0</v>
      </c>
      <c r="W2205" s="205"/>
      <c r="X2205" s="167"/>
    </row>
    <row r="2206" spans="8:24" s="221" customFormat="1" ht="12.75" hidden="1" customHeight="1">
      <c r="H2206" s="217" t="s">
        <v>5934</v>
      </c>
      <c r="I2206" s="217" t="s">
        <v>5680</v>
      </c>
      <c r="J2206" s="217" t="s">
        <v>5910</v>
      </c>
      <c r="K2206" s="217" t="s">
        <v>5935</v>
      </c>
      <c r="L2206" s="217" t="s">
        <v>92</v>
      </c>
      <c r="M2206" s="217"/>
      <c r="N2206" s="218">
        <v>11400</v>
      </c>
      <c r="O2206" s="169">
        <f t="shared" si="90"/>
        <v>0</v>
      </c>
      <c r="P2206" s="197"/>
      <c r="Q2206" s="166"/>
      <c r="R2206" s="169"/>
      <c r="S2206" s="169"/>
      <c r="T2206" s="169"/>
      <c r="U2206" s="169"/>
      <c r="V2206" s="166">
        <f t="shared" si="91"/>
        <v>0</v>
      </c>
      <c r="W2206" s="205"/>
      <c r="X2206" s="167"/>
    </row>
    <row r="2207" spans="8:24" s="221" customFormat="1" ht="12.75" hidden="1" customHeight="1">
      <c r="H2207" s="217" t="s">
        <v>5936</v>
      </c>
      <c r="I2207" s="217" t="s">
        <v>5680</v>
      </c>
      <c r="J2207" s="217" t="s">
        <v>5763</v>
      </c>
      <c r="K2207" s="217" t="s">
        <v>5921</v>
      </c>
      <c r="L2207" s="217" t="s">
        <v>5</v>
      </c>
      <c r="M2207" s="217"/>
      <c r="N2207" s="218">
        <v>11700</v>
      </c>
      <c r="O2207" s="169">
        <f t="shared" si="90"/>
        <v>0</v>
      </c>
      <c r="P2207" s="197"/>
      <c r="Q2207" s="166"/>
      <c r="R2207" s="169"/>
      <c r="S2207" s="169"/>
      <c r="T2207" s="169"/>
      <c r="U2207" s="169"/>
      <c r="V2207" s="166">
        <f t="shared" si="91"/>
        <v>0</v>
      </c>
      <c r="W2207" s="205"/>
      <c r="X2207" s="167"/>
    </row>
    <row r="2208" spans="8:24" s="221" customFormat="1" ht="12.75" hidden="1" customHeight="1">
      <c r="H2208" s="217" t="s">
        <v>5937</v>
      </c>
      <c r="I2208" s="217" t="s">
        <v>5680</v>
      </c>
      <c r="J2208" s="217" t="s">
        <v>5910</v>
      </c>
      <c r="K2208" s="217" t="s">
        <v>5938</v>
      </c>
      <c r="L2208" s="217" t="s">
        <v>92</v>
      </c>
      <c r="M2208" s="217"/>
      <c r="N2208" s="218">
        <v>12900</v>
      </c>
      <c r="O2208" s="169">
        <f t="shared" si="90"/>
        <v>0</v>
      </c>
      <c r="P2208" s="197"/>
      <c r="Q2208" s="166"/>
      <c r="R2208" s="169"/>
      <c r="S2208" s="169"/>
      <c r="T2208" s="169"/>
      <c r="U2208" s="169"/>
      <c r="V2208" s="166">
        <f t="shared" si="91"/>
        <v>0</v>
      </c>
      <c r="W2208" s="205"/>
      <c r="X2208" s="167"/>
    </row>
    <row r="2209" spans="8:24" s="221" customFormat="1" ht="12.75" hidden="1" customHeight="1">
      <c r="H2209" s="217" t="s">
        <v>5939</v>
      </c>
      <c r="I2209" s="217" t="s">
        <v>5680</v>
      </c>
      <c r="J2209" s="217" t="s">
        <v>5817</v>
      </c>
      <c r="K2209" s="217" t="s">
        <v>5906</v>
      </c>
      <c r="L2209" s="217" t="s">
        <v>5</v>
      </c>
      <c r="M2209" s="217"/>
      <c r="N2209" s="218">
        <v>13300</v>
      </c>
      <c r="O2209" s="169">
        <f t="shared" si="90"/>
        <v>0</v>
      </c>
      <c r="P2209" s="197"/>
      <c r="Q2209" s="166"/>
      <c r="R2209" s="169"/>
      <c r="S2209" s="169"/>
      <c r="T2209" s="169"/>
      <c r="U2209" s="169"/>
      <c r="V2209" s="166">
        <f t="shared" si="91"/>
        <v>0</v>
      </c>
      <c r="W2209" s="205"/>
      <c r="X2209" s="167"/>
    </row>
    <row r="2210" spans="8:24" s="221" customFormat="1" ht="12.75" hidden="1" customHeight="1">
      <c r="H2210" s="217" t="s">
        <v>5940</v>
      </c>
      <c r="I2210" s="217" t="s">
        <v>5680</v>
      </c>
      <c r="J2210" s="217" t="s">
        <v>5898</v>
      </c>
      <c r="K2210" s="217" t="s">
        <v>5866</v>
      </c>
      <c r="L2210" s="217" t="s">
        <v>92</v>
      </c>
      <c r="M2210" s="217"/>
      <c r="N2210" s="218">
        <v>13900</v>
      </c>
      <c r="O2210" s="169">
        <f t="shared" si="90"/>
        <v>0</v>
      </c>
      <c r="P2210" s="197"/>
      <c r="Q2210" s="166"/>
      <c r="R2210" s="169"/>
      <c r="S2210" s="169"/>
      <c r="T2210" s="169"/>
      <c r="U2210" s="169"/>
      <c r="V2210" s="166">
        <f t="shared" si="91"/>
        <v>0</v>
      </c>
      <c r="W2210" s="205"/>
      <c r="X2210" s="167"/>
    </row>
    <row r="2211" spans="8:24" s="221" customFormat="1" ht="12.75" hidden="1" customHeight="1">
      <c r="H2211" s="217" t="s">
        <v>5941</v>
      </c>
      <c r="I2211" s="217" t="s">
        <v>5680</v>
      </c>
      <c r="J2211" s="217" t="s">
        <v>5801</v>
      </c>
      <c r="K2211" s="217" t="s">
        <v>5921</v>
      </c>
      <c r="L2211" s="217" t="s">
        <v>92</v>
      </c>
      <c r="M2211" s="217"/>
      <c r="N2211" s="218">
        <v>14800</v>
      </c>
      <c r="O2211" s="169">
        <f t="shared" si="90"/>
        <v>0</v>
      </c>
      <c r="P2211" s="197"/>
      <c r="Q2211" s="166"/>
      <c r="R2211" s="169"/>
      <c r="S2211" s="169"/>
      <c r="T2211" s="169"/>
      <c r="U2211" s="169"/>
      <c r="V2211" s="166">
        <f t="shared" si="91"/>
        <v>0</v>
      </c>
      <c r="W2211" s="205"/>
      <c r="X2211" s="167"/>
    </row>
    <row r="2212" spans="8:24" s="221" customFormat="1" ht="12.75" hidden="1" customHeight="1">
      <c r="H2212" s="217" t="s">
        <v>5942</v>
      </c>
      <c r="I2212" s="217" t="s">
        <v>5680</v>
      </c>
      <c r="J2212" s="217" t="s">
        <v>5910</v>
      </c>
      <c r="K2212" s="217" t="s">
        <v>5943</v>
      </c>
      <c r="L2212" s="217" t="s">
        <v>92</v>
      </c>
      <c r="M2212" s="217"/>
      <c r="N2212" s="218">
        <v>15000</v>
      </c>
      <c r="O2212" s="169">
        <f t="shared" si="90"/>
        <v>0</v>
      </c>
      <c r="P2212" s="197"/>
      <c r="Q2212" s="166"/>
      <c r="R2212" s="169"/>
      <c r="S2212" s="169"/>
      <c r="T2212" s="169"/>
      <c r="U2212" s="169"/>
      <c r="V2212" s="166">
        <f t="shared" si="91"/>
        <v>0</v>
      </c>
      <c r="W2212" s="205"/>
      <c r="X2212" s="167"/>
    </row>
    <row r="2213" spans="8:24" s="221" customFormat="1" ht="12.75" hidden="1" customHeight="1">
      <c r="H2213" s="217" t="s">
        <v>5944</v>
      </c>
      <c r="I2213" s="217" t="s">
        <v>5680</v>
      </c>
      <c r="J2213" s="217" t="s">
        <v>5898</v>
      </c>
      <c r="K2213" s="217" t="s">
        <v>5883</v>
      </c>
      <c r="L2213" s="217" t="s">
        <v>92</v>
      </c>
      <c r="M2213" s="217"/>
      <c r="N2213" s="218">
        <v>16900</v>
      </c>
      <c r="O2213" s="169">
        <f t="shared" si="90"/>
        <v>0</v>
      </c>
      <c r="P2213" s="197"/>
      <c r="Q2213" s="166"/>
      <c r="R2213" s="169"/>
      <c r="S2213" s="169"/>
      <c r="T2213" s="169"/>
      <c r="U2213" s="169"/>
      <c r="V2213" s="166">
        <f t="shared" si="91"/>
        <v>0</v>
      </c>
      <c r="W2213" s="205"/>
      <c r="X2213" s="167"/>
    </row>
    <row r="2214" spans="8:24" s="221" customFormat="1" ht="12.75" hidden="1" customHeight="1">
      <c r="H2214" s="217" t="s">
        <v>5945</v>
      </c>
      <c r="I2214" s="217" t="s">
        <v>5680</v>
      </c>
      <c r="J2214" s="217" t="s">
        <v>5910</v>
      </c>
      <c r="K2214" s="217" t="s">
        <v>5946</v>
      </c>
      <c r="L2214" s="217" t="s">
        <v>92</v>
      </c>
      <c r="M2214" s="217"/>
      <c r="N2214" s="218">
        <v>16900</v>
      </c>
      <c r="O2214" s="169">
        <f t="shared" si="90"/>
        <v>0</v>
      </c>
      <c r="P2214" s="197"/>
      <c r="Q2214" s="166"/>
      <c r="R2214" s="169"/>
      <c r="S2214" s="169"/>
      <c r="T2214" s="169"/>
      <c r="U2214" s="169"/>
      <c r="V2214" s="166">
        <f t="shared" si="91"/>
        <v>0</v>
      </c>
      <c r="W2214" s="205"/>
      <c r="X2214" s="167"/>
    </row>
    <row r="2215" spans="8:24" s="221" customFormat="1" ht="12.75" hidden="1" customHeight="1">
      <c r="H2215" s="217" t="s">
        <v>5947</v>
      </c>
      <c r="I2215" s="217" t="s">
        <v>5680</v>
      </c>
      <c r="J2215" s="217" t="s">
        <v>5763</v>
      </c>
      <c r="K2215" s="217" t="s">
        <v>5933</v>
      </c>
      <c r="L2215" s="217" t="s">
        <v>5</v>
      </c>
      <c r="M2215" s="217"/>
      <c r="N2215" s="218">
        <v>17000</v>
      </c>
      <c r="O2215" s="169">
        <f t="shared" si="90"/>
        <v>0</v>
      </c>
      <c r="P2215" s="197"/>
      <c r="Q2215" s="166"/>
      <c r="R2215" s="169"/>
      <c r="S2215" s="169"/>
      <c r="T2215" s="169"/>
      <c r="U2215" s="169"/>
      <c r="V2215" s="166">
        <f t="shared" si="91"/>
        <v>0</v>
      </c>
      <c r="W2215" s="205"/>
      <c r="X2215" s="167"/>
    </row>
    <row r="2216" spans="8:24" s="221" customFormat="1" ht="12.75" hidden="1" customHeight="1">
      <c r="H2216" s="217" t="s">
        <v>5948</v>
      </c>
      <c r="I2216" s="217" t="s">
        <v>5680</v>
      </c>
      <c r="J2216" s="217" t="s">
        <v>5864</v>
      </c>
      <c r="K2216" s="217" t="s">
        <v>5770</v>
      </c>
      <c r="L2216" s="217" t="s">
        <v>92</v>
      </c>
      <c r="M2216" s="217"/>
      <c r="N2216" s="218">
        <v>17600</v>
      </c>
      <c r="O2216" s="169">
        <f t="shared" si="90"/>
        <v>0</v>
      </c>
      <c r="P2216" s="197"/>
      <c r="Q2216" s="166"/>
      <c r="R2216" s="169"/>
      <c r="S2216" s="169"/>
      <c r="T2216" s="169"/>
      <c r="U2216" s="169"/>
      <c r="V2216" s="166">
        <f t="shared" si="91"/>
        <v>0</v>
      </c>
      <c r="W2216" s="205"/>
      <c r="X2216" s="167"/>
    </row>
    <row r="2217" spans="8:24" s="221" customFormat="1" ht="12.75" hidden="1" customHeight="1">
      <c r="H2217" s="217" t="s">
        <v>5949</v>
      </c>
      <c r="I2217" s="217" t="s">
        <v>5680</v>
      </c>
      <c r="J2217" s="217" t="s">
        <v>5817</v>
      </c>
      <c r="K2217" s="217" t="s">
        <v>5921</v>
      </c>
      <c r="L2217" s="217" t="s">
        <v>5</v>
      </c>
      <c r="M2217" s="217"/>
      <c r="N2217" s="218">
        <v>18600</v>
      </c>
      <c r="O2217" s="169">
        <f t="shared" si="90"/>
        <v>0</v>
      </c>
      <c r="P2217" s="197"/>
      <c r="Q2217" s="166"/>
      <c r="R2217" s="169"/>
      <c r="S2217" s="169"/>
      <c r="T2217" s="169"/>
      <c r="U2217" s="169"/>
      <c r="V2217" s="166">
        <f t="shared" si="91"/>
        <v>0</v>
      </c>
      <c r="W2217" s="205"/>
      <c r="X2217" s="167"/>
    </row>
    <row r="2218" spans="8:24" s="221" customFormat="1" ht="12.75" hidden="1" customHeight="1">
      <c r="H2218" s="217" t="s">
        <v>5950</v>
      </c>
      <c r="I2218" s="217" t="s">
        <v>5680</v>
      </c>
      <c r="J2218" s="217" t="s">
        <v>5801</v>
      </c>
      <c r="K2218" s="217" t="s">
        <v>5933</v>
      </c>
      <c r="L2218" s="217" t="s">
        <v>92</v>
      </c>
      <c r="M2218" s="217"/>
      <c r="N2218" s="218">
        <v>20100</v>
      </c>
      <c r="O2218" s="169">
        <f t="shared" si="90"/>
        <v>0</v>
      </c>
      <c r="P2218" s="197"/>
      <c r="Q2218" s="166"/>
      <c r="R2218" s="169"/>
      <c r="S2218" s="169"/>
      <c r="T2218" s="169"/>
      <c r="U2218" s="169"/>
      <c r="V2218" s="166">
        <f t="shared" si="91"/>
        <v>0</v>
      </c>
      <c r="W2218" s="205"/>
      <c r="X2218" s="167"/>
    </row>
    <row r="2219" spans="8:24" s="221" customFormat="1" ht="12.75" hidden="1" customHeight="1">
      <c r="H2219" s="217" t="s">
        <v>5951</v>
      </c>
      <c r="I2219" s="217" t="s">
        <v>5680</v>
      </c>
      <c r="J2219" s="217" t="s">
        <v>5881</v>
      </c>
      <c r="K2219" s="217" t="s">
        <v>5793</v>
      </c>
      <c r="L2219" s="217" t="s">
        <v>92</v>
      </c>
      <c r="M2219" s="217"/>
      <c r="N2219" s="218">
        <v>21700</v>
      </c>
      <c r="O2219" s="169">
        <f t="shared" si="90"/>
        <v>0</v>
      </c>
      <c r="P2219" s="197"/>
      <c r="Q2219" s="166"/>
      <c r="R2219" s="169"/>
      <c r="S2219" s="169"/>
      <c r="T2219" s="169"/>
      <c r="U2219" s="169"/>
      <c r="V2219" s="166">
        <f t="shared" si="91"/>
        <v>0</v>
      </c>
      <c r="W2219" s="205"/>
      <c r="X2219" s="167"/>
    </row>
    <row r="2220" spans="8:24" s="221" customFormat="1" ht="12.75" hidden="1" customHeight="1">
      <c r="H2220" s="217" t="s">
        <v>5952</v>
      </c>
      <c r="I2220" s="217" t="s">
        <v>5680</v>
      </c>
      <c r="J2220" s="217" t="s">
        <v>5910</v>
      </c>
      <c r="K2220" s="217" t="s">
        <v>5953</v>
      </c>
      <c r="L2220" s="217" t="s">
        <v>92</v>
      </c>
      <c r="M2220" s="217"/>
      <c r="N2220" s="218">
        <v>22000</v>
      </c>
      <c r="O2220" s="169">
        <f t="shared" si="90"/>
        <v>0</v>
      </c>
      <c r="P2220" s="197"/>
      <c r="Q2220" s="166"/>
      <c r="R2220" s="169"/>
      <c r="S2220" s="169"/>
      <c r="T2220" s="169"/>
      <c r="U2220" s="169"/>
      <c r="V2220" s="166">
        <f t="shared" si="91"/>
        <v>0</v>
      </c>
      <c r="W2220" s="205"/>
      <c r="X2220" s="167"/>
    </row>
    <row r="2221" spans="8:24" s="221" customFormat="1" ht="12.75" hidden="1" customHeight="1">
      <c r="H2221" s="217" t="s">
        <v>5954</v>
      </c>
      <c r="I2221" s="217" t="s">
        <v>5680</v>
      </c>
      <c r="J2221" s="217" t="s">
        <v>5864</v>
      </c>
      <c r="K2221" s="217" t="s">
        <v>5784</v>
      </c>
      <c r="L2221" s="217" t="s">
        <v>92</v>
      </c>
      <c r="M2221" s="217"/>
      <c r="N2221" s="218">
        <v>23900</v>
      </c>
      <c r="O2221" s="169">
        <f t="shared" si="90"/>
        <v>0</v>
      </c>
      <c r="P2221" s="197"/>
      <c r="Q2221" s="166"/>
      <c r="R2221" s="169"/>
      <c r="S2221" s="169"/>
      <c r="T2221" s="169"/>
      <c r="U2221" s="169"/>
      <c r="V2221" s="166">
        <f t="shared" si="91"/>
        <v>0</v>
      </c>
      <c r="W2221" s="205"/>
      <c r="X2221" s="167"/>
    </row>
    <row r="2222" spans="8:24" s="221" customFormat="1" ht="12.75" hidden="1" customHeight="1">
      <c r="H2222" s="217" t="s">
        <v>5955</v>
      </c>
      <c r="I2222" s="217" t="s">
        <v>5680</v>
      </c>
      <c r="J2222" s="217" t="s">
        <v>5910</v>
      </c>
      <c r="K2222" s="217" t="s">
        <v>5956</v>
      </c>
      <c r="L2222" s="217" t="s">
        <v>92</v>
      </c>
      <c r="M2222" s="217"/>
      <c r="N2222" s="218">
        <v>24800</v>
      </c>
      <c r="O2222" s="169">
        <f t="shared" si="90"/>
        <v>0</v>
      </c>
      <c r="P2222" s="197"/>
      <c r="Q2222" s="166"/>
      <c r="R2222" s="169"/>
      <c r="S2222" s="169"/>
      <c r="T2222" s="169"/>
      <c r="U2222" s="169"/>
      <c r="V2222" s="166">
        <f t="shared" si="91"/>
        <v>0</v>
      </c>
      <c r="W2222" s="205"/>
      <c r="X2222" s="167"/>
    </row>
    <row r="2223" spans="8:24" s="221" customFormat="1" ht="12.75" hidden="1" customHeight="1">
      <c r="H2223" s="217" t="s">
        <v>5957</v>
      </c>
      <c r="I2223" s="217" t="s">
        <v>5680</v>
      </c>
      <c r="J2223" s="217" t="s">
        <v>5817</v>
      </c>
      <c r="K2223" s="217" t="s">
        <v>5933</v>
      </c>
      <c r="L2223" s="217" t="s">
        <v>5</v>
      </c>
      <c r="M2223" s="217"/>
      <c r="N2223" s="218">
        <v>25800</v>
      </c>
      <c r="O2223" s="169">
        <f t="shared" si="90"/>
        <v>0</v>
      </c>
      <c r="P2223" s="197"/>
      <c r="Q2223" s="166"/>
      <c r="R2223" s="169"/>
      <c r="S2223" s="169"/>
      <c r="T2223" s="169"/>
      <c r="U2223" s="169"/>
      <c r="V2223" s="166">
        <f t="shared" si="91"/>
        <v>0</v>
      </c>
      <c r="W2223" s="205"/>
      <c r="X2223" s="167"/>
    </row>
    <row r="2224" spans="8:24" s="221" customFormat="1" ht="12.75" hidden="1" customHeight="1">
      <c r="H2224" s="217" t="s">
        <v>5958</v>
      </c>
      <c r="I2224" s="217" t="s">
        <v>5680</v>
      </c>
      <c r="J2224" s="217" t="s">
        <v>5881</v>
      </c>
      <c r="K2224" s="217" t="s">
        <v>5803</v>
      </c>
      <c r="L2224" s="217" t="s">
        <v>92</v>
      </c>
      <c r="M2224" s="217"/>
      <c r="N2224" s="218">
        <v>26200</v>
      </c>
      <c r="O2224" s="169">
        <f t="shared" si="90"/>
        <v>0</v>
      </c>
      <c r="P2224" s="197"/>
      <c r="Q2224" s="166"/>
      <c r="R2224" s="169"/>
      <c r="S2224" s="169"/>
      <c r="T2224" s="169"/>
      <c r="U2224" s="169"/>
      <c r="V2224" s="166">
        <f t="shared" si="91"/>
        <v>0</v>
      </c>
      <c r="W2224" s="205"/>
      <c r="X2224" s="167"/>
    </row>
    <row r="2225" spans="8:24" s="221" customFormat="1" ht="12.75" hidden="1" customHeight="1">
      <c r="H2225" s="217" t="s">
        <v>5959</v>
      </c>
      <c r="I2225" s="217" t="s">
        <v>5680</v>
      </c>
      <c r="J2225" s="217" t="s">
        <v>5898</v>
      </c>
      <c r="K2225" s="217" t="s">
        <v>5906</v>
      </c>
      <c r="L2225" s="217" t="s">
        <v>92</v>
      </c>
      <c r="M2225" s="217"/>
      <c r="N2225" s="218">
        <v>28200</v>
      </c>
      <c r="O2225" s="169">
        <f t="shared" si="90"/>
        <v>0</v>
      </c>
      <c r="P2225" s="197"/>
      <c r="Q2225" s="166"/>
      <c r="R2225" s="169"/>
      <c r="S2225" s="169"/>
      <c r="T2225" s="169"/>
      <c r="U2225" s="169"/>
      <c r="V2225" s="166">
        <f t="shared" si="91"/>
        <v>0</v>
      </c>
      <c r="W2225" s="205"/>
      <c r="X2225" s="167"/>
    </row>
    <row r="2226" spans="8:24" s="221" customFormat="1" ht="12.75" hidden="1" customHeight="1">
      <c r="H2226" s="217" t="s">
        <v>5960</v>
      </c>
      <c r="I2226" s="217" t="s">
        <v>5680</v>
      </c>
      <c r="J2226" s="217" t="s">
        <v>5898</v>
      </c>
      <c r="K2226" s="217" t="s">
        <v>5921</v>
      </c>
      <c r="L2226" s="217" t="s">
        <v>92</v>
      </c>
      <c r="M2226" s="217"/>
      <c r="N2226" s="218">
        <v>38600</v>
      </c>
      <c r="O2226" s="169">
        <f t="shared" si="90"/>
        <v>0</v>
      </c>
      <c r="P2226" s="197"/>
      <c r="Q2226" s="166"/>
      <c r="R2226" s="169"/>
      <c r="S2226" s="169"/>
      <c r="T2226" s="169"/>
      <c r="U2226" s="169"/>
      <c r="V2226" s="166">
        <f t="shared" si="91"/>
        <v>0</v>
      </c>
      <c r="W2226" s="205"/>
      <c r="X2226" s="167"/>
    </row>
    <row r="2227" spans="8:24" s="221" customFormat="1" ht="12.75" hidden="1" customHeight="1">
      <c r="H2227" s="217" t="s">
        <v>5961</v>
      </c>
      <c r="I2227" s="217" t="s">
        <v>5680</v>
      </c>
      <c r="J2227" s="217" t="s">
        <v>5910</v>
      </c>
      <c r="K2227" s="217" t="s">
        <v>5962</v>
      </c>
      <c r="L2227" s="217" t="s">
        <v>92</v>
      </c>
      <c r="M2227" s="217"/>
      <c r="N2227" s="218">
        <v>41800</v>
      </c>
      <c r="O2227" s="169">
        <f t="shared" si="90"/>
        <v>0</v>
      </c>
      <c r="P2227" s="197"/>
      <c r="Q2227" s="166"/>
      <c r="R2227" s="169"/>
      <c r="S2227" s="169"/>
      <c r="T2227" s="169"/>
      <c r="U2227" s="169"/>
      <c r="V2227" s="166">
        <f t="shared" si="91"/>
        <v>0</v>
      </c>
      <c r="W2227" s="205"/>
      <c r="X2227" s="167"/>
    </row>
    <row r="2228" spans="8:24" s="221" customFormat="1" ht="12.75" hidden="1" customHeight="1">
      <c r="H2228" s="217" t="s">
        <v>5963</v>
      </c>
      <c r="I2228" s="217" t="s">
        <v>5680</v>
      </c>
      <c r="J2228" s="217" t="s">
        <v>5864</v>
      </c>
      <c r="K2228" s="217" t="s">
        <v>5806</v>
      </c>
      <c r="L2228" s="217" t="s">
        <v>92</v>
      </c>
      <c r="M2228" s="217"/>
      <c r="N2228" s="218">
        <v>42400</v>
      </c>
      <c r="O2228" s="169">
        <f t="shared" si="90"/>
        <v>0</v>
      </c>
      <c r="P2228" s="197"/>
      <c r="Q2228" s="166"/>
      <c r="R2228" s="169"/>
      <c r="S2228" s="169"/>
      <c r="T2228" s="169"/>
      <c r="U2228" s="169"/>
      <c r="V2228" s="166">
        <f t="shared" si="91"/>
        <v>0</v>
      </c>
      <c r="W2228" s="205"/>
      <c r="X2228" s="167"/>
    </row>
    <row r="2229" spans="8:24" s="221" customFormat="1" ht="12.75" hidden="1" customHeight="1">
      <c r="H2229" s="217" t="s">
        <v>5964</v>
      </c>
      <c r="I2229" s="217" t="s">
        <v>5680</v>
      </c>
      <c r="J2229" s="217" t="s">
        <v>5910</v>
      </c>
      <c r="K2229" s="217" t="s">
        <v>5965</v>
      </c>
      <c r="L2229" s="217" t="s">
        <v>92</v>
      </c>
      <c r="M2229" s="217"/>
      <c r="N2229" s="218">
        <v>49200</v>
      </c>
      <c r="O2229" s="169">
        <f t="shared" si="90"/>
        <v>0</v>
      </c>
      <c r="P2229" s="197"/>
      <c r="Q2229" s="166"/>
      <c r="R2229" s="169"/>
      <c r="S2229" s="169"/>
      <c r="T2229" s="169"/>
      <c r="U2229" s="169"/>
      <c r="V2229" s="166">
        <f t="shared" si="91"/>
        <v>0</v>
      </c>
      <c r="W2229" s="205"/>
      <c r="X2229" s="167"/>
    </row>
    <row r="2230" spans="8:24" s="221" customFormat="1" ht="12.75" hidden="1" customHeight="1">
      <c r="H2230" s="217" t="s">
        <v>5966</v>
      </c>
      <c r="I2230" s="217" t="s">
        <v>5680</v>
      </c>
      <c r="J2230" s="217" t="s">
        <v>5910</v>
      </c>
      <c r="K2230" s="217" t="s">
        <v>5967</v>
      </c>
      <c r="L2230" s="217" t="s">
        <v>92</v>
      </c>
      <c r="M2230" s="217"/>
      <c r="N2230" s="218">
        <v>52200</v>
      </c>
      <c r="O2230" s="169">
        <f t="shared" si="90"/>
        <v>0</v>
      </c>
      <c r="P2230" s="197"/>
      <c r="Q2230" s="166"/>
      <c r="R2230" s="169"/>
      <c r="S2230" s="169"/>
      <c r="T2230" s="169"/>
      <c r="U2230" s="169"/>
      <c r="V2230" s="166">
        <f t="shared" si="91"/>
        <v>0</v>
      </c>
      <c r="W2230" s="205"/>
      <c r="X2230" s="167"/>
    </row>
    <row r="2231" spans="8:24" s="221" customFormat="1" ht="12.75" hidden="1" customHeight="1">
      <c r="H2231" s="217" t="s">
        <v>5968</v>
      </c>
      <c r="I2231" s="217" t="s">
        <v>5680</v>
      </c>
      <c r="J2231" s="217" t="s">
        <v>5881</v>
      </c>
      <c r="K2231" s="217" t="s">
        <v>5815</v>
      </c>
      <c r="L2231" s="217" t="s">
        <v>92</v>
      </c>
      <c r="M2231" s="217"/>
      <c r="N2231" s="218">
        <v>52600</v>
      </c>
      <c r="O2231" s="169">
        <f t="shared" si="90"/>
        <v>0</v>
      </c>
      <c r="P2231" s="197"/>
      <c r="Q2231" s="166"/>
      <c r="R2231" s="169"/>
      <c r="S2231" s="169"/>
      <c r="T2231" s="169"/>
      <c r="U2231" s="169"/>
      <c r="V2231" s="166">
        <f t="shared" si="91"/>
        <v>0</v>
      </c>
      <c r="W2231" s="205"/>
      <c r="X2231" s="167"/>
    </row>
    <row r="2232" spans="8:24" s="221" customFormat="1" ht="12.75" hidden="1" customHeight="1">
      <c r="H2232" s="217" t="s">
        <v>5969</v>
      </c>
      <c r="I2232" s="217" t="s">
        <v>5680</v>
      </c>
      <c r="J2232" s="217" t="s">
        <v>5898</v>
      </c>
      <c r="K2232" s="217" t="s">
        <v>5933</v>
      </c>
      <c r="L2232" s="217" t="s">
        <v>92</v>
      </c>
      <c r="M2232" s="217"/>
      <c r="N2232" s="218">
        <v>52700</v>
      </c>
      <c r="O2232" s="169">
        <f t="shared" si="90"/>
        <v>0</v>
      </c>
      <c r="P2232" s="197"/>
      <c r="Q2232" s="166"/>
      <c r="R2232" s="169"/>
      <c r="S2232" s="169"/>
      <c r="T2232" s="169"/>
      <c r="U2232" s="169"/>
      <c r="V2232" s="166">
        <f t="shared" si="91"/>
        <v>0</v>
      </c>
      <c r="W2232" s="205"/>
      <c r="X2232" s="167"/>
    </row>
    <row r="2233" spans="8:24" s="221" customFormat="1" ht="12.75" hidden="1" customHeight="1">
      <c r="H2233" s="217" t="s">
        <v>5970</v>
      </c>
      <c r="I2233" s="217" t="s">
        <v>5680</v>
      </c>
      <c r="J2233" s="217" t="s">
        <v>5910</v>
      </c>
      <c r="K2233" s="217" t="s">
        <v>5971</v>
      </c>
      <c r="L2233" s="217" t="s">
        <v>92</v>
      </c>
      <c r="M2233" s="217"/>
      <c r="N2233" s="218">
        <v>58100</v>
      </c>
      <c r="O2233" s="169">
        <f t="shared" si="90"/>
        <v>0</v>
      </c>
      <c r="P2233" s="197"/>
      <c r="Q2233" s="166"/>
      <c r="R2233" s="169"/>
      <c r="S2233" s="169"/>
      <c r="T2233" s="169"/>
      <c r="U2233" s="169"/>
      <c r="V2233" s="166">
        <f t="shared" si="91"/>
        <v>0</v>
      </c>
      <c r="W2233" s="205"/>
      <c r="X2233" s="167"/>
    </row>
    <row r="2234" spans="8:24" s="221" customFormat="1" ht="12.75" hidden="1" customHeight="1">
      <c r="H2234" s="217" t="s">
        <v>5972</v>
      </c>
      <c r="I2234" s="217" t="s">
        <v>5680</v>
      </c>
      <c r="J2234" s="217" t="s">
        <v>5910</v>
      </c>
      <c r="K2234" s="217" t="s">
        <v>5973</v>
      </c>
      <c r="L2234" s="217" t="s">
        <v>92</v>
      </c>
      <c r="M2234" s="217"/>
      <c r="N2234" s="218">
        <v>77500</v>
      </c>
      <c r="O2234" s="169">
        <f t="shared" si="90"/>
        <v>0</v>
      </c>
      <c r="P2234" s="197"/>
      <c r="Q2234" s="166"/>
      <c r="R2234" s="169"/>
      <c r="S2234" s="169"/>
      <c r="T2234" s="169"/>
      <c r="U2234" s="169"/>
      <c r="V2234" s="166">
        <f t="shared" si="91"/>
        <v>0</v>
      </c>
      <c r="W2234" s="205"/>
      <c r="X2234" s="167"/>
    </row>
    <row r="2235" spans="8:24" s="221" customFormat="1" ht="12.75" hidden="1" customHeight="1">
      <c r="H2235" s="217" t="s">
        <v>5974</v>
      </c>
      <c r="I2235" s="217" t="s">
        <v>5680</v>
      </c>
      <c r="J2235" s="217" t="s">
        <v>5910</v>
      </c>
      <c r="K2235" s="217" t="s">
        <v>5975</v>
      </c>
      <c r="L2235" s="217" t="s">
        <v>92</v>
      </c>
      <c r="M2235" s="217"/>
      <c r="N2235" s="218">
        <v>87900</v>
      </c>
      <c r="O2235" s="169">
        <f t="shared" si="90"/>
        <v>0</v>
      </c>
      <c r="P2235" s="197"/>
      <c r="Q2235" s="166"/>
      <c r="R2235" s="169"/>
      <c r="S2235" s="169"/>
      <c r="T2235" s="169"/>
      <c r="U2235" s="169"/>
      <c r="V2235" s="166">
        <f t="shared" si="91"/>
        <v>0</v>
      </c>
      <c r="W2235" s="205"/>
      <c r="X2235" s="167"/>
    </row>
    <row r="2236" spans="8:24" s="221" customFormat="1" ht="12.75" hidden="1" customHeight="1">
      <c r="H2236" s="209" t="s">
        <v>6140</v>
      </c>
      <c r="I2236" s="209" t="s">
        <v>6141</v>
      </c>
      <c r="J2236" s="209" t="s">
        <v>6142</v>
      </c>
      <c r="K2236" s="209" t="s">
        <v>3898</v>
      </c>
      <c r="L2236" s="209" t="s">
        <v>92</v>
      </c>
      <c r="M2236" s="209"/>
      <c r="N2236" s="232">
        <v>49400</v>
      </c>
      <c r="O2236" s="169">
        <f t="shared" si="90"/>
        <v>0</v>
      </c>
      <c r="P2236" s="197"/>
      <c r="Q2236" s="166"/>
      <c r="R2236" s="169"/>
      <c r="S2236" s="169"/>
      <c r="T2236" s="169"/>
      <c r="U2236" s="169"/>
      <c r="V2236" s="166">
        <f t="shared" si="91"/>
        <v>0</v>
      </c>
      <c r="W2236" s="205"/>
      <c r="X2236" s="167"/>
    </row>
    <row r="2237" spans="8:24" s="221" customFormat="1" ht="12.75" hidden="1" customHeight="1">
      <c r="H2237" s="217" t="s">
        <v>6143</v>
      </c>
      <c r="I2237" s="217" t="s">
        <v>6144</v>
      </c>
      <c r="J2237" s="217" t="s">
        <v>6145</v>
      </c>
      <c r="K2237" s="217" t="s">
        <v>6146</v>
      </c>
      <c r="L2237" s="217" t="s">
        <v>92</v>
      </c>
      <c r="M2237" s="218"/>
      <c r="N2237" s="218">
        <v>450000</v>
      </c>
      <c r="O2237" s="169">
        <f t="shared" si="90"/>
        <v>0</v>
      </c>
      <c r="P2237" s="197"/>
      <c r="Q2237" s="166"/>
      <c r="R2237" s="169"/>
      <c r="S2237" s="169"/>
      <c r="T2237" s="169"/>
      <c r="U2237" s="169"/>
      <c r="V2237" s="166">
        <f t="shared" si="91"/>
        <v>0</v>
      </c>
      <c r="W2237" s="205"/>
      <c r="X2237" s="167"/>
    </row>
    <row r="2238" spans="8:24" s="221" customFormat="1" ht="12.75" hidden="1" customHeight="1">
      <c r="H2238" s="217" t="s">
        <v>5976</v>
      </c>
      <c r="I2238" s="217" t="s">
        <v>5977</v>
      </c>
      <c r="J2238" s="217" t="s">
        <v>5978</v>
      </c>
      <c r="K2238" s="217" t="s">
        <v>5979</v>
      </c>
      <c r="L2238" s="217" t="s">
        <v>5</v>
      </c>
      <c r="M2238" s="217"/>
      <c r="N2238" s="218">
        <v>44000</v>
      </c>
      <c r="O2238" s="169">
        <f t="shared" si="90"/>
        <v>0</v>
      </c>
      <c r="P2238" s="197"/>
      <c r="Q2238" s="166"/>
      <c r="R2238" s="169"/>
      <c r="S2238" s="169"/>
      <c r="T2238" s="169"/>
      <c r="U2238" s="169"/>
      <c r="V2238" s="166">
        <f t="shared" si="91"/>
        <v>0</v>
      </c>
      <c r="W2238" s="205"/>
      <c r="X2238" s="167"/>
    </row>
    <row r="2239" spans="8:24" s="221" customFormat="1" ht="12.75" hidden="1" customHeight="1">
      <c r="H2239" s="217" t="s">
        <v>5980</v>
      </c>
      <c r="I2239" s="217" t="s">
        <v>5977</v>
      </c>
      <c r="J2239" s="217" t="s">
        <v>5978</v>
      </c>
      <c r="K2239" s="217" t="s">
        <v>5981</v>
      </c>
      <c r="L2239" s="217" t="s">
        <v>5</v>
      </c>
      <c r="M2239" s="217"/>
      <c r="N2239" s="218">
        <v>53100</v>
      </c>
      <c r="O2239" s="169">
        <f t="shared" si="90"/>
        <v>0</v>
      </c>
      <c r="P2239" s="197"/>
      <c r="Q2239" s="166"/>
      <c r="R2239" s="169"/>
      <c r="S2239" s="169"/>
      <c r="T2239" s="169"/>
      <c r="U2239" s="169"/>
      <c r="V2239" s="166">
        <f t="shared" si="91"/>
        <v>0</v>
      </c>
      <c r="W2239" s="205"/>
      <c r="X2239" s="167"/>
    </row>
    <row r="2240" spans="8:24" s="221" customFormat="1" ht="12.75" hidden="1" customHeight="1">
      <c r="H2240" s="217" t="s">
        <v>5982</v>
      </c>
      <c r="I2240" s="217" t="s">
        <v>5977</v>
      </c>
      <c r="J2240" s="217" t="s">
        <v>5978</v>
      </c>
      <c r="K2240" s="217" t="s">
        <v>5983</v>
      </c>
      <c r="L2240" s="217" t="s">
        <v>5</v>
      </c>
      <c r="M2240" s="217"/>
      <c r="N2240" s="218">
        <v>65900</v>
      </c>
      <c r="O2240" s="169">
        <f t="shared" si="90"/>
        <v>0</v>
      </c>
      <c r="P2240" s="197"/>
      <c r="Q2240" s="166"/>
      <c r="R2240" s="169"/>
      <c r="S2240" s="169"/>
      <c r="T2240" s="169"/>
      <c r="U2240" s="169"/>
      <c r="V2240" s="166">
        <f t="shared" si="91"/>
        <v>0</v>
      </c>
      <c r="W2240" s="205"/>
      <c r="X2240" s="167"/>
    </row>
    <row r="2241" spans="8:24" s="221" customFormat="1" ht="12.75" hidden="1" customHeight="1">
      <c r="H2241" s="217" t="s">
        <v>5984</v>
      </c>
      <c r="I2241" s="217" t="s">
        <v>5977</v>
      </c>
      <c r="J2241" s="217" t="s">
        <v>5978</v>
      </c>
      <c r="K2241" s="217" t="s">
        <v>5985</v>
      </c>
      <c r="L2241" s="217" t="s">
        <v>5</v>
      </c>
      <c r="M2241" s="217"/>
      <c r="N2241" s="218">
        <v>70000</v>
      </c>
      <c r="O2241" s="169">
        <f t="shared" si="90"/>
        <v>0</v>
      </c>
      <c r="P2241" s="197"/>
      <c r="Q2241" s="166"/>
      <c r="R2241" s="169"/>
      <c r="S2241" s="169"/>
      <c r="T2241" s="169"/>
      <c r="U2241" s="169"/>
      <c r="V2241" s="166">
        <f t="shared" si="91"/>
        <v>0</v>
      </c>
      <c r="W2241" s="205"/>
      <c r="X2241" s="167"/>
    </row>
    <row r="2242" spans="8:24" s="221" customFormat="1" ht="12.75" hidden="1" customHeight="1">
      <c r="H2242" s="217" t="s">
        <v>5986</v>
      </c>
      <c r="I2242" s="217" t="s">
        <v>5977</v>
      </c>
      <c r="J2242" s="217" t="s">
        <v>5978</v>
      </c>
      <c r="K2242" s="217" t="s">
        <v>5987</v>
      </c>
      <c r="L2242" s="217" t="s">
        <v>5</v>
      </c>
      <c r="M2242" s="217"/>
      <c r="N2242" s="218">
        <v>92600</v>
      </c>
      <c r="O2242" s="169">
        <f t="shared" si="90"/>
        <v>0</v>
      </c>
      <c r="P2242" s="197"/>
      <c r="Q2242" s="166"/>
      <c r="R2242" s="169"/>
      <c r="S2242" s="169"/>
      <c r="T2242" s="169"/>
      <c r="U2242" s="169"/>
      <c r="V2242" s="166">
        <f t="shared" si="91"/>
        <v>0</v>
      </c>
      <c r="W2242" s="205"/>
      <c r="X2242" s="167"/>
    </row>
    <row r="2243" spans="8:24" s="221" customFormat="1" ht="12.75" hidden="1" customHeight="1">
      <c r="H2243" s="217" t="s">
        <v>5988</v>
      </c>
      <c r="I2243" s="217" t="s">
        <v>5977</v>
      </c>
      <c r="J2243" s="217" t="s">
        <v>5978</v>
      </c>
      <c r="K2243" s="217" t="s">
        <v>5989</v>
      </c>
      <c r="L2243" s="217" t="s">
        <v>5</v>
      </c>
      <c r="M2243" s="217"/>
      <c r="N2243" s="218">
        <v>99000</v>
      </c>
      <c r="O2243" s="169">
        <f t="shared" si="90"/>
        <v>0</v>
      </c>
      <c r="P2243" s="197"/>
      <c r="Q2243" s="166"/>
      <c r="R2243" s="169"/>
      <c r="S2243" s="169"/>
      <c r="T2243" s="169"/>
      <c r="U2243" s="169"/>
      <c r="V2243" s="166">
        <f t="shared" si="91"/>
        <v>0</v>
      </c>
      <c r="W2243" s="205"/>
      <c r="X2243" s="167"/>
    </row>
    <row r="2244" spans="8:24" s="221" customFormat="1" ht="12.75" hidden="1" customHeight="1">
      <c r="H2244" s="217" t="s">
        <v>5990</v>
      </c>
      <c r="I2244" s="217" t="s">
        <v>5977</v>
      </c>
      <c r="J2244" s="217" t="s">
        <v>5978</v>
      </c>
      <c r="K2244" s="217" t="s">
        <v>5991</v>
      </c>
      <c r="L2244" s="217" t="s">
        <v>5</v>
      </c>
      <c r="M2244" s="217"/>
      <c r="N2244" s="218">
        <v>108000</v>
      </c>
      <c r="O2244" s="169">
        <f t="shared" si="90"/>
        <v>0</v>
      </c>
      <c r="P2244" s="197"/>
      <c r="Q2244" s="166"/>
      <c r="R2244" s="169"/>
      <c r="S2244" s="169"/>
      <c r="T2244" s="169"/>
      <c r="U2244" s="169"/>
      <c r="V2244" s="166">
        <f t="shared" si="91"/>
        <v>0</v>
      </c>
      <c r="W2244" s="205"/>
      <c r="X2244" s="167"/>
    </row>
    <row r="2245" spans="8:24" s="221" customFormat="1" ht="12.75" hidden="1" customHeight="1">
      <c r="H2245" s="217" t="s">
        <v>5992</v>
      </c>
      <c r="I2245" s="217" t="s">
        <v>5977</v>
      </c>
      <c r="J2245" s="217" t="s">
        <v>5978</v>
      </c>
      <c r="K2245" s="217" t="s">
        <v>5993</v>
      </c>
      <c r="L2245" s="217" t="s">
        <v>5</v>
      </c>
      <c r="M2245" s="217"/>
      <c r="N2245" s="218">
        <v>119000</v>
      </c>
      <c r="O2245" s="169">
        <f t="shared" ref="O2245:O2308" si="92">M2245*N2245*$O$3</f>
        <v>0</v>
      </c>
      <c r="P2245" s="197"/>
      <c r="Q2245" s="166"/>
      <c r="R2245" s="169"/>
      <c r="S2245" s="169"/>
      <c r="T2245" s="169"/>
      <c r="U2245" s="169"/>
      <c r="V2245" s="166">
        <f t="shared" si="91"/>
        <v>0</v>
      </c>
      <c r="W2245" s="205"/>
      <c r="X2245" s="167"/>
    </row>
    <row r="2246" spans="8:24" s="221" customFormat="1" ht="12.75" hidden="1" customHeight="1">
      <c r="H2246" s="217" t="s">
        <v>5994</v>
      </c>
      <c r="I2246" s="217" t="s">
        <v>5977</v>
      </c>
      <c r="J2246" s="217" t="s">
        <v>5978</v>
      </c>
      <c r="K2246" s="217" t="s">
        <v>5995</v>
      </c>
      <c r="L2246" s="217" t="s">
        <v>5</v>
      </c>
      <c r="M2246" s="217"/>
      <c r="N2246" s="218">
        <v>124000</v>
      </c>
      <c r="O2246" s="169">
        <f t="shared" si="92"/>
        <v>0</v>
      </c>
      <c r="P2246" s="197"/>
      <c r="Q2246" s="166"/>
      <c r="R2246" s="169"/>
      <c r="S2246" s="169"/>
      <c r="T2246" s="169"/>
      <c r="U2246" s="169"/>
      <c r="V2246" s="166">
        <f t="shared" si="91"/>
        <v>0</v>
      </c>
      <c r="W2246" s="205"/>
      <c r="X2246" s="167"/>
    </row>
    <row r="2247" spans="8:24" s="221" customFormat="1" ht="12.75" hidden="1" customHeight="1">
      <c r="H2247" s="217" t="s">
        <v>5996</v>
      </c>
      <c r="I2247" s="217" t="s">
        <v>5997</v>
      </c>
      <c r="J2247" s="217" t="s">
        <v>5998</v>
      </c>
      <c r="K2247" s="217" t="s">
        <v>5999</v>
      </c>
      <c r="L2247" s="217" t="s">
        <v>5</v>
      </c>
      <c r="M2247" s="217"/>
      <c r="N2247" s="218">
        <v>720</v>
      </c>
      <c r="O2247" s="169">
        <f t="shared" si="92"/>
        <v>0</v>
      </c>
      <c r="P2247" s="197"/>
      <c r="Q2247" s="166"/>
      <c r="R2247" s="169"/>
      <c r="S2247" s="169"/>
      <c r="T2247" s="169"/>
      <c r="U2247" s="169"/>
      <c r="V2247" s="166">
        <f t="shared" si="91"/>
        <v>0</v>
      </c>
      <c r="W2247" s="205"/>
      <c r="X2247" s="167"/>
    </row>
    <row r="2248" spans="8:24" s="221" customFormat="1" ht="12.75" hidden="1" customHeight="1">
      <c r="H2248" s="217" t="s">
        <v>6000</v>
      </c>
      <c r="I2248" s="217" t="s">
        <v>5997</v>
      </c>
      <c r="J2248" s="217" t="s">
        <v>5998</v>
      </c>
      <c r="K2248" s="217" t="s">
        <v>6001</v>
      </c>
      <c r="L2248" s="217" t="s">
        <v>5</v>
      </c>
      <c r="M2248" s="217"/>
      <c r="N2248" s="218">
        <v>940</v>
      </c>
      <c r="O2248" s="169">
        <f t="shared" si="92"/>
        <v>0</v>
      </c>
      <c r="P2248" s="197"/>
      <c r="Q2248" s="166"/>
      <c r="R2248" s="169"/>
      <c r="S2248" s="169"/>
      <c r="T2248" s="169"/>
      <c r="U2248" s="169"/>
      <c r="V2248" s="166">
        <f t="shared" ref="V2248:V2311" si="93">SUM(O2248+Q2248)+S2248+U2248</f>
        <v>0</v>
      </c>
      <c r="W2248" s="205"/>
      <c r="X2248" s="167"/>
    </row>
    <row r="2249" spans="8:24" s="221" customFormat="1" ht="12.75" hidden="1" customHeight="1">
      <c r="H2249" s="217" t="s">
        <v>6002</v>
      </c>
      <c r="I2249" s="217" t="s">
        <v>5997</v>
      </c>
      <c r="J2249" s="217" t="s">
        <v>5998</v>
      </c>
      <c r="K2249" s="217" t="s">
        <v>6003</v>
      </c>
      <c r="L2249" s="217" t="s">
        <v>5</v>
      </c>
      <c r="M2249" s="217"/>
      <c r="N2249" s="218">
        <v>1150</v>
      </c>
      <c r="O2249" s="169">
        <f t="shared" si="92"/>
        <v>0</v>
      </c>
      <c r="P2249" s="197"/>
      <c r="Q2249" s="166"/>
      <c r="R2249" s="169"/>
      <c r="S2249" s="169"/>
      <c r="T2249" s="169"/>
      <c r="U2249" s="169"/>
      <c r="V2249" s="166">
        <f t="shared" si="93"/>
        <v>0</v>
      </c>
      <c r="W2249" s="205"/>
      <c r="X2249" s="167"/>
    </row>
    <row r="2250" spans="8:24" s="221" customFormat="1" ht="12.75" hidden="1" customHeight="1">
      <c r="H2250" s="217" t="s">
        <v>6004</v>
      </c>
      <c r="I2250" s="217" t="s">
        <v>5997</v>
      </c>
      <c r="J2250" s="217" t="s">
        <v>5998</v>
      </c>
      <c r="K2250" s="217" t="s">
        <v>6005</v>
      </c>
      <c r="L2250" s="217" t="s">
        <v>5</v>
      </c>
      <c r="M2250" s="217"/>
      <c r="N2250" s="218">
        <v>1270</v>
      </c>
      <c r="O2250" s="169">
        <f t="shared" si="92"/>
        <v>0</v>
      </c>
      <c r="P2250" s="197"/>
      <c r="Q2250" s="166"/>
      <c r="R2250" s="169"/>
      <c r="S2250" s="169"/>
      <c r="T2250" s="169"/>
      <c r="U2250" s="169"/>
      <c r="V2250" s="166">
        <f t="shared" si="93"/>
        <v>0</v>
      </c>
      <c r="W2250" s="205"/>
      <c r="X2250" s="167"/>
    </row>
    <row r="2251" spans="8:24" s="221" customFormat="1" ht="12.75" hidden="1" customHeight="1">
      <c r="H2251" s="217" t="s">
        <v>6006</v>
      </c>
      <c r="I2251" s="217" t="s">
        <v>5997</v>
      </c>
      <c r="J2251" s="217" t="s">
        <v>5998</v>
      </c>
      <c r="K2251" s="217" t="s">
        <v>6007</v>
      </c>
      <c r="L2251" s="217" t="s">
        <v>5</v>
      </c>
      <c r="M2251" s="217"/>
      <c r="N2251" s="218">
        <v>1370</v>
      </c>
      <c r="O2251" s="169">
        <f t="shared" si="92"/>
        <v>0</v>
      </c>
      <c r="P2251" s="197"/>
      <c r="Q2251" s="166"/>
      <c r="R2251" s="169"/>
      <c r="S2251" s="169"/>
      <c r="T2251" s="169"/>
      <c r="U2251" s="169"/>
      <c r="V2251" s="166">
        <f t="shared" si="93"/>
        <v>0</v>
      </c>
      <c r="W2251" s="205"/>
      <c r="X2251" s="167"/>
    </row>
    <row r="2252" spans="8:24" s="221" customFormat="1" ht="12.75" hidden="1" customHeight="1">
      <c r="H2252" s="217" t="s">
        <v>6008</v>
      </c>
      <c r="I2252" s="217" t="s">
        <v>5997</v>
      </c>
      <c r="J2252" s="217" t="s">
        <v>5998</v>
      </c>
      <c r="K2252" s="217" t="s">
        <v>6009</v>
      </c>
      <c r="L2252" s="217" t="s">
        <v>5</v>
      </c>
      <c r="M2252" s="217"/>
      <c r="N2252" s="218">
        <v>2040</v>
      </c>
      <c r="O2252" s="169">
        <f t="shared" si="92"/>
        <v>0</v>
      </c>
      <c r="P2252" s="197"/>
      <c r="Q2252" s="166"/>
      <c r="R2252" s="169"/>
      <c r="S2252" s="169"/>
      <c r="T2252" s="169"/>
      <c r="U2252" s="169"/>
      <c r="V2252" s="166">
        <f t="shared" si="93"/>
        <v>0</v>
      </c>
      <c r="W2252" s="205"/>
      <c r="X2252" s="167"/>
    </row>
    <row r="2253" spans="8:24" s="221" customFormat="1" ht="12.75" hidden="1" customHeight="1">
      <c r="H2253" s="217" t="s">
        <v>6010</v>
      </c>
      <c r="I2253" s="217" t="s">
        <v>5997</v>
      </c>
      <c r="J2253" s="217" t="s">
        <v>5998</v>
      </c>
      <c r="K2253" s="217" t="s">
        <v>6011</v>
      </c>
      <c r="L2253" s="217" t="s">
        <v>5</v>
      </c>
      <c r="M2253" s="217"/>
      <c r="N2253" s="218">
        <v>2700</v>
      </c>
      <c r="O2253" s="169">
        <f t="shared" si="92"/>
        <v>0</v>
      </c>
      <c r="P2253" s="197"/>
      <c r="Q2253" s="166"/>
      <c r="R2253" s="169"/>
      <c r="S2253" s="169"/>
      <c r="T2253" s="169"/>
      <c r="U2253" s="169"/>
      <c r="V2253" s="166">
        <f t="shared" si="93"/>
        <v>0</v>
      </c>
      <c r="W2253" s="205"/>
      <c r="X2253" s="167"/>
    </row>
    <row r="2254" spans="8:24" s="221" customFormat="1" ht="12.75" hidden="1" customHeight="1">
      <c r="H2254" s="217" t="s">
        <v>6012</v>
      </c>
      <c r="I2254" s="217" t="s">
        <v>5997</v>
      </c>
      <c r="J2254" s="217" t="s">
        <v>5998</v>
      </c>
      <c r="K2254" s="217" t="s">
        <v>6013</v>
      </c>
      <c r="L2254" s="217" t="s">
        <v>5</v>
      </c>
      <c r="M2254" s="217"/>
      <c r="N2254" s="218">
        <v>3730</v>
      </c>
      <c r="O2254" s="169">
        <f t="shared" si="92"/>
        <v>0</v>
      </c>
      <c r="P2254" s="197"/>
      <c r="Q2254" s="166"/>
      <c r="R2254" s="169"/>
      <c r="S2254" s="169"/>
      <c r="T2254" s="169"/>
      <c r="U2254" s="169"/>
      <c r="V2254" s="166">
        <f t="shared" si="93"/>
        <v>0</v>
      </c>
      <c r="W2254" s="205"/>
      <c r="X2254" s="167"/>
    </row>
    <row r="2255" spans="8:24" s="221" customFormat="1" ht="12.75" hidden="1" customHeight="1">
      <c r="H2255" s="217" t="s">
        <v>6014</v>
      </c>
      <c r="I2255" s="217" t="s">
        <v>5997</v>
      </c>
      <c r="J2255" s="217" t="s">
        <v>5998</v>
      </c>
      <c r="K2255" s="217" t="s">
        <v>6015</v>
      </c>
      <c r="L2255" s="217" t="s">
        <v>5</v>
      </c>
      <c r="M2255" s="217"/>
      <c r="N2255" s="218">
        <v>7980</v>
      </c>
      <c r="O2255" s="169">
        <f t="shared" si="92"/>
        <v>0</v>
      </c>
      <c r="P2255" s="197"/>
      <c r="Q2255" s="166"/>
      <c r="R2255" s="169"/>
      <c r="S2255" s="169"/>
      <c r="T2255" s="169"/>
      <c r="U2255" s="169"/>
      <c r="V2255" s="166">
        <f t="shared" si="93"/>
        <v>0</v>
      </c>
      <c r="W2255" s="205"/>
      <c r="X2255" s="167"/>
    </row>
    <row r="2256" spans="8:24" s="221" customFormat="1" ht="12.75" hidden="1" customHeight="1">
      <c r="H2256" s="217" t="s">
        <v>6016</v>
      </c>
      <c r="I2256" s="217" t="s">
        <v>5997</v>
      </c>
      <c r="J2256" s="217" t="s">
        <v>5998</v>
      </c>
      <c r="K2256" s="217" t="s">
        <v>6017</v>
      </c>
      <c r="L2256" s="217" t="s">
        <v>5</v>
      </c>
      <c r="M2256" s="217"/>
      <c r="N2256" s="218">
        <v>9630</v>
      </c>
      <c r="O2256" s="169">
        <f t="shared" si="92"/>
        <v>0</v>
      </c>
      <c r="P2256" s="197"/>
      <c r="Q2256" s="166"/>
      <c r="R2256" s="169"/>
      <c r="S2256" s="169"/>
      <c r="T2256" s="169"/>
      <c r="U2256" s="169"/>
      <c r="V2256" s="166">
        <f t="shared" si="93"/>
        <v>0</v>
      </c>
      <c r="W2256" s="205"/>
      <c r="X2256" s="167"/>
    </row>
    <row r="2257" spans="8:24" s="221" customFormat="1" ht="12.75" hidden="1" customHeight="1">
      <c r="H2257" s="217" t="s">
        <v>6018</v>
      </c>
      <c r="I2257" s="217" t="s">
        <v>5997</v>
      </c>
      <c r="J2257" s="217" t="s">
        <v>6019</v>
      </c>
      <c r="K2257" s="217" t="s">
        <v>6020</v>
      </c>
      <c r="L2257" s="217" t="s">
        <v>5</v>
      </c>
      <c r="M2257" s="217"/>
      <c r="N2257" s="218">
        <v>780</v>
      </c>
      <c r="O2257" s="169">
        <f t="shared" si="92"/>
        <v>0</v>
      </c>
      <c r="P2257" s="197"/>
      <c r="Q2257" s="166"/>
      <c r="R2257" s="169"/>
      <c r="S2257" s="169"/>
      <c r="T2257" s="169"/>
      <c r="U2257" s="169"/>
      <c r="V2257" s="166">
        <f t="shared" si="93"/>
        <v>0</v>
      </c>
      <c r="W2257" s="205"/>
      <c r="X2257" s="167"/>
    </row>
    <row r="2258" spans="8:24" s="221" customFormat="1" ht="12.75" hidden="1" customHeight="1">
      <c r="H2258" s="217" t="s">
        <v>6021</v>
      </c>
      <c r="I2258" s="217" t="s">
        <v>5997</v>
      </c>
      <c r="J2258" s="217" t="s">
        <v>6019</v>
      </c>
      <c r="K2258" s="217" t="s">
        <v>6022</v>
      </c>
      <c r="L2258" s="217" t="s">
        <v>5</v>
      </c>
      <c r="M2258" s="217"/>
      <c r="N2258" s="218">
        <v>1040</v>
      </c>
      <c r="O2258" s="169">
        <f t="shared" si="92"/>
        <v>0</v>
      </c>
      <c r="P2258" s="197"/>
      <c r="Q2258" s="166"/>
      <c r="R2258" s="169"/>
      <c r="S2258" s="169"/>
      <c r="T2258" s="169"/>
      <c r="U2258" s="169"/>
      <c r="V2258" s="166">
        <f t="shared" si="93"/>
        <v>0</v>
      </c>
      <c r="W2258" s="205"/>
      <c r="X2258" s="167"/>
    </row>
    <row r="2259" spans="8:24" s="221" customFormat="1" ht="12.75" hidden="1" customHeight="1">
      <c r="H2259" s="217" t="s">
        <v>6023</v>
      </c>
      <c r="I2259" s="217" t="s">
        <v>5997</v>
      </c>
      <c r="J2259" s="217" t="s">
        <v>6019</v>
      </c>
      <c r="K2259" s="217" t="s">
        <v>6024</v>
      </c>
      <c r="L2259" s="217" t="s">
        <v>5</v>
      </c>
      <c r="M2259" s="217"/>
      <c r="N2259" s="218">
        <v>1600</v>
      </c>
      <c r="O2259" s="169">
        <f t="shared" si="92"/>
        <v>0</v>
      </c>
      <c r="P2259" s="197"/>
      <c r="Q2259" s="166"/>
      <c r="R2259" s="169"/>
      <c r="S2259" s="169"/>
      <c r="T2259" s="169"/>
      <c r="U2259" s="169"/>
      <c r="V2259" s="166">
        <f t="shared" si="93"/>
        <v>0</v>
      </c>
      <c r="W2259" s="205"/>
      <c r="X2259" s="167"/>
    </row>
    <row r="2260" spans="8:24" s="221" customFormat="1" ht="12.75" hidden="1" customHeight="1">
      <c r="H2260" s="217" t="s">
        <v>6025</v>
      </c>
      <c r="I2260" s="217" t="s">
        <v>5997</v>
      </c>
      <c r="J2260" s="217" t="s">
        <v>6019</v>
      </c>
      <c r="K2260" s="217" t="s">
        <v>6026</v>
      </c>
      <c r="L2260" s="217" t="s">
        <v>5</v>
      </c>
      <c r="M2260" s="217"/>
      <c r="N2260" s="218">
        <v>2420</v>
      </c>
      <c r="O2260" s="169">
        <f t="shared" si="92"/>
        <v>0</v>
      </c>
      <c r="P2260" s="197"/>
      <c r="Q2260" s="166"/>
      <c r="R2260" s="169"/>
      <c r="S2260" s="169"/>
      <c r="T2260" s="169"/>
      <c r="U2260" s="169"/>
      <c r="V2260" s="166">
        <f t="shared" si="93"/>
        <v>0</v>
      </c>
      <c r="W2260" s="205"/>
      <c r="X2260" s="167"/>
    </row>
    <row r="2261" spans="8:24" s="221" customFormat="1" ht="12.75" hidden="1" customHeight="1">
      <c r="H2261" s="217" t="s">
        <v>6027</v>
      </c>
      <c r="I2261" s="217" t="s">
        <v>5997</v>
      </c>
      <c r="J2261" s="217" t="s">
        <v>6019</v>
      </c>
      <c r="K2261" s="217" t="s">
        <v>6028</v>
      </c>
      <c r="L2261" s="217" t="s">
        <v>5</v>
      </c>
      <c r="M2261" s="217"/>
      <c r="N2261" s="218">
        <v>2920</v>
      </c>
      <c r="O2261" s="169">
        <f t="shared" si="92"/>
        <v>0</v>
      </c>
      <c r="P2261" s="197"/>
      <c r="Q2261" s="166"/>
      <c r="R2261" s="169"/>
      <c r="S2261" s="169"/>
      <c r="T2261" s="169"/>
      <c r="U2261" s="169"/>
      <c r="V2261" s="166">
        <f t="shared" si="93"/>
        <v>0</v>
      </c>
      <c r="W2261" s="205"/>
      <c r="X2261" s="167"/>
    </row>
    <row r="2262" spans="8:24" s="221" customFormat="1" ht="12.75" hidden="1" customHeight="1">
      <c r="H2262" s="217" t="s">
        <v>6029</v>
      </c>
      <c r="I2262" s="217" t="s">
        <v>5997</v>
      </c>
      <c r="J2262" s="217" t="s">
        <v>6019</v>
      </c>
      <c r="K2262" s="217" t="s">
        <v>6030</v>
      </c>
      <c r="L2262" s="217" t="s">
        <v>5</v>
      </c>
      <c r="M2262" s="217"/>
      <c r="N2262" s="218">
        <v>4130</v>
      </c>
      <c r="O2262" s="169">
        <f t="shared" si="92"/>
        <v>0</v>
      </c>
      <c r="P2262" s="197"/>
      <c r="Q2262" s="166"/>
      <c r="R2262" s="169"/>
      <c r="S2262" s="169"/>
      <c r="T2262" s="169"/>
      <c r="U2262" s="169"/>
      <c r="V2262" s="166">
        <f t="shared" si="93"/>
        <v>0</v>
      </c>
      <c r="W2262" s="205"/>
      <c r="X2262" s="167"/>
    </row>
    <row r="2263" spans="8:24" s="221" customFormat="1" ht="12.75" hidden="1" customHeight="1">
      <c r="H2263" s="217" t="s">
        <v>6031</v>
      </c>
      <c r="I2263" s="217" t="s">
        <v>5997</v>
      </c>
      <c r="J2263" s="217" t="s">
        <v>6019</v>
      </c>
      <c r="K2263" s="217" t="s">
        <v>6032</v>
      </c>
      <c r="L2263" s="217" t="s">
        <v>5</v>
      </c>
      <c r="M2263" s="217"/>
      <c r="N2263" s="218">
        <v>6580</v>
      </c>
      <c r="O2263" s="169">
        <f t="shared" si="92"/>
        <v>0</v>
      </c>
      <c r="P2263" s="197"/>
      <c r="Q2263" s="166"/>
      <c r="R2263" s="169"/>
      <c r="S2263" s="169"/>
      <c r="T2263" s="169"/>
      <c r="U2263" s="169"/>
      <c r="V2263" s="166">
        <f t="shared" si="93"/>
        <v>0</v>
      </c>
      <c r="W2263" s="205"/>
      <c r="X2263" s="167"/>
    </row>
    <row r="2264" spans="8:24" s="221" customFormat="1" ht="12.75" hidden="1" customHeight="1">
      <c r="H2264" s="217" t="s">
        <v>6033</v>
      </c>
      <c r="I2264" s="217" t="s">
        <v>5997</v>
      </c>
      <c r="J2264" s="217" t="s">
        <v>6019</v>
      </c>
      <c r="K2264" s="217" t="s">
        <v>6034</v>
      </c>
      <c r="L2264" s="217" t="s">
        <v>5</v>
      </c>
      <c r="M2264" s="217"/>
      <c r="N2264" s="218">
        <v>7100</v>
      </c>
      <c r="O2264" s="169">
        <f t="shared" si="92"/>
        <v>0</v>
      </c>
      <c r="P2264" s="197"/>
      <c r="Q2264" s="166"/>
      <c r="R2264" s="169"/>
      <c r="S2264" s="169"/>
      <c r="T2264" s="169"/>
      <c r="U2264" s="169"/>
      <c r="V2264" s="166">
        <f t="shared" si="93"/>
        <v>0</v>
      </c>
      <c r="W2264" s="205"/>
      <c r="X2264" s="167"/>
    </row>
    <row r="2265" spans="8:24" s="221" customFormat="1" ht="12.75" hidden="1" customHeight="1">
      <c r="H2265" s="217" t="s">
        <v>6035</v>
      </c>
      <c r="I2265" s="217" t="s">
        <v>6036</v>
      </c>
      <c r="J2265" s="217" t="s">
        <v>6037</v>
      </c>
      <c r="K2265" s="217" t="s">
        <v>6038</v>
      </c>
      <c r="L2265" s="217" t="s">
        <v>92</v>
      </c>
      <c r="M2265" s="217"/>
      <c r="N2265" s="218">
        <v>690</v>
      </c>
      <c r="O2265" s="169">
        <f t="shared" si="92"/>
        <v>0</v>
      </c>
      <c r="P2265" s="197"/>
      <c r="Q2265" s="166"/>
      <c r="R2265" s="169"/>
      <c r="S2265" s="169"/>
      <c r="T2265" s="169"/>
      <c r="U2265" s="169"/>
      <c r="V2265" s="166">
        <f t="shared" si="93"/>
        <v>0</v>
      </c>
      <c r="W2265" s="205"/>
      <c r="X2265" s="167"/>
    </row>
    <row r="2266" spans="8:24" s="221" customFormat="1" ht="12.75" hidden="1" customHeight="1">
      <c r="H2266" s="217" t="s">
        <v>6039</v>
      </c>
      <c r="I2266" s="217" t="s">
        <v>6040</v>
      </c>
      <c r="J2266" s="217" t="s">
        <v>6041</v>
      </c>
      <c r="K2266" s="217" t="s">
        <v>6042</v>
      </c>
      <c r="L2266" s="217" t="s">
        <v>92</v>
      </c>
      <c r="M2266" s="217"/>
      <c r="N2266" s="218">
        <v>2130</v>
      </c>
      <c r="O2266" s="169">
        <f t="shared" si="92"/>
        <v>0</v>
      </c>
      <c r="P2266" s="197"/>
      <c r="Q2266" s="166"/>
      <c r="R2266" s="169"/>
      <c r="S2266" s="169"/>
      <c r="T2266" s="169"/>
      <c r="U2266" s="169"/>
      <c r="V2266" s="166">
        <f t="shared" si="93"/>
        <v>0</v>
      </c>
      <c r="W2266" s="205"/>
      <c r="X2266" s="167"/>
    </row>
    <row r="2267" spans="8:24" s="221" customFormat="1" ht="12.75" hidden="1" customHeight="1">
      <c r="H2267" s="217" t="s">
        <v>6043</v>
      </c>
      <c r="I2267" s="217" t="s">
        <v>6044</v>
      </c>
      <c r="J2267" s="217" t="s">
        <v>6045</v>
      </c>
      <c r="K2267" s="217" t="s">
        <v>6046</v>
      </c>
      <c r="L2267" s="217" t="s">
        <v>92</v>
      </c>
      <c r="M2267" s="217"/>
      <c r="N2267" s="218">
        <v>1200</v>
      </c>
      <c r="O2267" s="169">
        <f t="shared" si="92"/>
        <v>0</v>
      </c>
      <c r="P2267" s="195"/>
      <c r="Q2267" s="166"/>
      <c r="R2267" s="195"/>
      <c r="S2267" s="208"/>
      <c r="T2267" s="169"/>
      <c r="U2267" s="169"/>
      <c r="V2267" s="166">
        <f t="shared" si="93"/>
        <v>0</v>
      </c>
      <c r="W2267" s="205"/>
      <c r="X2267" s="167"/>
    </row>
    <row r="2268" spans="8:24" s="221" customFormat="1" ht="12.75" hidden="1" customHeight="1">
      <c r="H2268" s="217" t="s">
        <v>6047</v>
      </c>
      <c r="I2268" s="217" t="s">
        <v>6040</v>
      </c>
      <c r="J2268" s="217" t="s">
        <v>6048</v>
      </c>
      <c r="K2268" s="217" t="s">
        <v>6049</v>
      </c>
      <c r="L2268" s="217" t="s">
        <v>92</v>
      </c>
      <c r="M2268" s="217"/>
      <c r="N2268" s="218">
        <v>1980</v>
      </c>
      <c r="O2268" s="169">
        <f t="shared" si="92"/>
        <v>0</v>
      </c>
      <c r="P2268" s="195"/>
      <c r="Q2268" s="166"/>
      <c r="R2268" s="195"/>
      <c r="S2268" s="208"/>
      <c r="T2268" s="169"/>
      <c r="U2268" s="169"/>
      <c r="V2268" s="166">
        <f t="shared" si="93"/>
        <v>0</v>
      </c>
      <c r="W2268" s="205"/>
      <c r="X2268" s="167"/>
    </row>
    <row r="2269" spans="8:24" s="221" customFormat="1" ht="12.75" hidden="1" customHeight="1">
      <c r="H2269" s="217" t="s">
        <v>6050</v>
      </c>
      <c r="I2269" s="217" t="s">
        <v>6051</v>
      </c>
      <c r="J2269" s="217" t="s">
        <v>6052</v>
      </c>
      <c r="K2269" s="217" t="s">
        <v>6053</v>
      </c>
      <c r="L2269" s="217" t="s">
        <v>92</v>
      </c>
      <c r="M2269" s="217"/>
      <c r="N2269" s="218">
        <v>6600</v>
      </c>
      <c r="O2269" s="169">
        <f t="shared" si="92"/>
        <v>0</v>
      </c>
      <c r="P2269" s="195"/>
      <c r="Q2269" s="166"/>
      <c r="R2269" s="195"/>
      <c r="S2269" s="208"/>
      <c r="T2269" s="169"/>
      <c r="U2269" s="169"/>
      <c r="V2269" s="166">
        <f t="shared" si="93"/>
        <v>0</v>
      </c>
      <c r="W2269" s="205"/>
      <c r="X2269" s="167"/>
    </row>
    <row r="2270" spans="8:24" s="221" customFormat="1" ht="12.75" hidden="1" customHeight="1">
      <c r="H2270" s="217" t="s">
        <v>6054</v>
      </c>
      <c r="I2270" s="217" t="s">
        <v>6051</v>
      </c>
      <c r="J2270" s="217" t="s">
        <v>6052</v>
      </c>
      <c r="K2270" s="217" t="s">
        <v>6055</v>
      </c>
      <c r="L2270" s="217" t="s">
        <v>92</v>
      </c>
      <c r="M2270" s="217"/>
      <c r="N2270" s="218">
        <v>6840</v>
      </c>
      <c r="O2270" s="169">
        <f t="shared" si="92"/>
        <v>0</v>
      </c>
      <c r="P2270" s="195"/>
      <c r="Q2270" s="166"/>
      <c r="R2270" s="195"/>
      <c r="S2270" s="208"/>
      <c r="T2270" s="169"/>
      <c r="U2270" s="169"/>
      <c r="V2270" s="166">
        <f t="shared" si="93"/>
        <v>0</v>
      </c>
      <c r="W2270" s="205"/>
      <c r="X2270" s="167"/>
    </row>
    <row r="2271" spans="8:24" s="221" customFormat="1" ht="12.75" hidden="1" customHeight="1">
      <c r="H2271" s="217" t="s">
        <v>6056</v>
      </c>
      <c r="I2271" s="217" t="s">
        <v>6051</v>
      </c>
      <c r="J2271" s="217" t="s">
        <v>6052</v>
      </c>
      <c r="K2271" s="217" t="s">
        <v>6057</v>
      </c>
      <c r="L2271" s="217" t="s">
        <v>92</v>
      </c>
      <c r="M2271" s="217"/>
      <c r="N2271" s="218">
        <v>7430</v>
      </c>
      <c r="O2271" s="169">
        <f t="shared" si="92"/>
        <v>0</v>
      </c>
      <c r="P2271" s="195"/>
      <c r="Q2271" s="166"/>
      <c r="R2271" s="195"/>
      <c r="S2271" s="208"/>
      <c r="T2271" s="169"/>
      <c r="U2271" s="169"/>
      <c r="V2271" s="166">
        <f t="shared" si="93"/>
        <v>0</v>
      </c>
      <c r="W2271" s="205"/>
      <c r="X2271" s="167"/>
    </row>
    <row r="2272" spans="8:24" s="221" customFormat="1" ht="12.75" hidden="1" customHeight="1">
      <c r="H2272" s="217" t="s">
        <v>6058</v>
      </c>
      <c r="I2272" s="217" t="s">
        <v>6051</v>
      </c>
      <c r="J2272" s="217" t="s">
        <v>6052</v>
      </c>
      <c r="K2272" s="217" t="s">
        <v>6059</v>
      </c>
      <c r="L2272" s="217" t="s">
        <v>92</v>
      </c>
      <c r="M2272" s="217"/>
      <c r="N2272" s="218">
        <v>9100</v>
      </c>
      <c r="O2272" s="169">
        <f t="shared" si="92"/>
        <v>0</v>
      </c>
      <c r="P2272" s="195"/>
      <c r="Q2272" s="166"/>
      <c r="R2272" s="195"/>
      <c r="S2272" s="208"/>
      <c r="T2272" s="169"/>
      <c r="U2272" s="169"/>
      <c r="V2272" s="166">
        <f t="shared" si="93"/>
        <v>0</v>
      </c>
      <c r="W2272" s="205"/>
      <c r="X2272" s="167"/>
    </row>
    <row r="2273" spans="8:24" s="221" customFormat="1" ht="12.75" hidden="1" customHeight="1">
      <c r="H2273" s="217" t="s">
        <v>6060</v>
      </c>
      <c r="I2273" s="217" t="s">
        <v>6051</v>
      </c>
      <c r="J2273" s="217" t="s">
        <v>6052</v>
      </c>
      <c r="K2273" s="217" t="s">
        <v>6061</v>
      </c>
      <c r="L2273" s="217" t="s">
        <v>92</v>
      </c>
      <c r="M2273" s="217"/>
      <c r="N2273" s="218">
        <v>9670</v>
      </c>
      <c r="O2273" s="169">
        <f t="shared" si="92"/>
        <v>0</v>
      </c>
      <c r="P2273" s="195"/>
      <c r="Q2273" s="166"/>
      <c r="R2273" s="195"/>
      <c r="S2273" s="208"/>
      <c r="T2273" s="169"/>
      <c r="U2273" s="169"/>
      <c r="V2273" s="166">
        <f t="shared" si="93"/>
        <v>0</v>
      </c>
      <c r="W2273" s="205"/>
      <c r="X2273" s="167"/>
    </row>
    <row r="2274" spans="8:24" s="221" customFormat="1" ht="12.75" hidden="1" customHeight="1">
      <c r="H2274" s="217" t="s">
        <v>6062</v>
      </c>
      <c r="I2274" s="217" t="s">
        <v>6051</v>
      </c>
      <c r="J2274" s="217" t="s">
        <v>6052</v>
      </c>
      <c r="K2274" s="217" t="s">
        <v>6063</v>
      </c>
      <c r="L2274" s="217" t="s">
        <v>92</v>
      </c>
      <c r="M2274" s="217"/>
      <c r="N2274" s="218">
        <v>10700</v>
      </c>
      <c r="O2274" s="169">
        <f t="shared" si="92"/>
        <v>0</v>
      </c>
      <c r="P2274" s="195"/>
      <c r="Q2274" s="166"/>
      <c r="R2274" s="195"/>
      <c r="S2274" s="208"/>
      <c r="T2274" s="169"/>
      <c r="U2274" s="169"/>
      <c r="V2274" s="166">
        <f t="shared" si="93"/>
        <v>0</v>
      </c>
      <c r="W2274" s="205"/>
      <c r="X2274" s="167"/>
    </row>
    <row r="2275" spans="8:24" s="221" customFormat="1" ht="12.75" hidden="1" customHeight="1">
      <c r="H2275" s="217" t="s">
        <v>6064</v>
      </c>
      <c r="I2275" s="217" t="s">
        <v>6051</v>
      </c>
      <c r="J2275" s="217" t="s">
        <v>6052</v>
      </c>
      <c r="K2275" s="217" t="s">
        <v>6065</v>
      </c>
      <c r="L2275" s="217" t="s">
        <v>92</v>
      </c>
      <c r="M2275" s="217"/>
      <c r="N2275" s="218">
        <v>12800</v>
      </c>
      <c r="O2275" s="169">
        <f t="shared" si="92"/>
        <v>0</v>
      </c>
      <c r="P2275" s="195"/>
      <c r="Q2275" s="166"/>
      <c r="R2275" s="195"/>
      <c r="S2275" s="208"/>
      <c r="T2275" s="169"/>
      <c r="U2275" s="169"/>
      <c r="V2275" s="166">
        <f t="shared" si="93"/>
        <v>0</v>
      </c>
      <c r="W2275" s="205"/>
      <c r="X2275" s="167"/>
    </row>
    <row r="2276" spans="8:24" s="221" customFormat="1" ht="12.75" hidden="1" customHeight="1">
      <c r="H2276" s="217" t="s">
        <v>6066</v>
      </c>
      <c r="I2276" s="217" t="s">
        <v>6051</v>
      </c>
      <c r="J2276" s="217" t="s">
        <v>6052</v>
      </c>
      <c r="K2276" s="217" t="s">
        <v>6067</v>
      </c>
      <c r="L2276" s="217" t="s">
        <v>92</v>
      </c>
      <c r="M2276" s="217"/>
      <c r="N2276" s="218">
        <v>14100</v>
      </c>
      <c r="O2276" s="169">
        <f t="shared" si="92"/>
        <v>0</v>
      </c>
      <c r="P2276" s="195"/>
      <c r="Q2276" s="166"/>
      <c r="R2276" s="195"/>
      <c r="S2276" s="208"/>
      <c r="T2276" s="169"/>
      <c r="U2276" s="169"/>
      <c r="V2276" s="166">
        <f t="shared" si="93"/>
        <v>0</v>
      </c>
      <c r="W2276" s="205"/>
      <c r="X2276" s="167"/>
    </row>
    <row r="2277" spans="8:24" s="221" customFormat="1" ht="12.75" hidden="1" customHeight="1">
      <c r="H2277" s="217" t="s">
        <v>6068</v>
      </c>
      <c r="I2277" s="217" t="s">
        <v>6051</v>
      </c>
      <c r="J2277" s="217" t="s">
        <v>6052</v>
      </c>
      <c r="K2277" s="217" t="s">
        <v>6069</v>
      </c>
      <c r="L2277" s="217" t="s">
        <v>92</v>
      </c>
      <c r="M2277" s="217"/>
      <c r="N2277" s="218">
        <v>15100</v>
      </c>
      <c r="O2277" s="169">
        <f t="shared" si="92"/>
        <v>0</v>
      </c>
      <c r="P2277" s="195"/>
      <c r="Q2277" s="166"/>
      <c r="R2277" s="195"/>
      <c r="S2277" s="208"/>
      <c r="T2277" s="169"/>
      <c r="U2277" s="169"/>
      <c r="V2277" s="166">
        <f t="shared" si="93"/>
        <v>0</v>
      </c>
      <c r="W2277" s="205"/>
      <c r="X2277" s="167"/>
    </row>
    <row r="2278" spans="8:24" s="221" customFormat="1" ht="12.75" hidden="1" customHeight="1">
      <c r="H2278" s="217" t="s">
        <v>6070</v>
      </c>
      <c r="I2278" s="217" t="s">
        <v>6051</v>
      </c>
      <c r="J2278" s="217" t="s">
        <v>6052</v>
      </c>
      <c r="K2278" s="217" t="s">
        <v>6071</v>
      </c>
      <c r="L2278" s="217" t="s">
        <v>92</v>
      </c>
      <c r="M2278" s="217"/>
      <c r="N2278" s="218">
        <v>16200</v>
      </c>
      <c r="O2278" s="169">
        <f t="shared" si="92"/>
        <v>0</v>
      </c>
      <c r="P2278" s="195"/>
      <c r="Q2278" s="166"/>
      <c r="R2278" s="195"/>
      <c r="S2278" s="208"/>
      <c r="T2278" s="169"/>
      <c r="U2278" s="169"/>
      <c r="V2278" s="166">
        <f t="shared" si="93"/>
        <v>0</v>
      </c>
      <c r="W2278" s="205"/>
      <c r="X2278" s="167"/>
    </row>
    <row r="2279" spans="8:24" s="221" customFormat="1" ht="12.75" hidden="1" customHeight="1">
      <c r="H2279" s="217" t="s">
        <v>6072</v>
      </c>
      <c r="I2279" s="217" t="s">
        <v>6051</v>
      </c>
      <c r="J2279" s="217" t="s">
        <v>6052</v>
      </c>
      <c r="K2279" s="217" t="s">
        <v>6073</v>
      </c>
      <c r="L2279" s="217" t="s">
        <v>92</v>
      </c>
      <c r="M2279" s="217"/>
      <c r="N2279" s="218">
        <v>18400</v>
      </c>
      <c r="O2279" s="169">
        <f t="shared" si="92"/>
        <v>0</v>
      </c>
      <c r="P2279" s="195"/>
      <c r="Q2279" s="166"/>
      <c r="R2279" s="195"/>
      <c r="S2279" s="208"/>
      <c r="T2279" s="169"/>
      <c r="U2279" s="169"/>
      <c r="V2279" s="166">
        <f t="shared" si="93"/>
        <v>0</v>
      </c>
      <c r="W2279" s="205"/>
      <c r="X2279" s="167"/>
    </row>
    <row r="2280" spans="8:24" s="221" customFormat="1" ht="12.75" hidden="1" customHeight="1">
      <c r="H2280" s="217" t="s">
        <v>6074</v>
      </c>
      <c r="I2280" s="217" t="s">
        <v>6075</v>
      </c>
      <c r="J2280" s="217" t="s">
        <v>6076</v>
      </c>
      <c r="K2280" s="217" t="s">
        <v>6077</v>
      </c>
      <c r="L2280" s="217" t="s">
        <v>92</v>
      </c>
      <c r="M2280" s="217"/>
      <c r="N2280" s="218">
        <v>2870</v>
      </c>
      <c r="O2280" s="169">
        <f t="shared" ref="O2280:O2291" si="94">M2280*N2280*$O$3</f>
        <v>0</v>
      </c>
      <c r="P2280" s="195"/>
      <c r="Q2280" s="166"/>
      <c r="R2280" s="195"/>
      <c r="S2280" s="208"/>
      <c r="T2280" s="169"/>
      <c r="U2280" s="169"/>
      <c r="V2280" s="166">
        <f t="shared" si="93"/>
        <v>0</v>
      </c>
      <c r="W2280" s="205"/>
      <c r="X2280" s="167"/>
    </row>
    <row r="2281" spans="8:24" s="221" customFormat="1" ht="12.75" hidden="1" customHeight="1">
      <c r="H2281" s="217" t="s">
        <v>6078</v>
      </c>
      <c r="I2281" s="217" t="s">
        <v>6075</v>
      </c>
      <c r="J2281" s="217" t="s">
        <v>6076</v>
      </c>
      <c r="K2281" s="217" t="s">
        <v>6079</v>
      </c>
      <c r="L2281" s="217" t="s">
        <v>92</v>
      </c>
      <c r="M2281" s="217"/>
      <c r="N2281" s="218">
        <v>3330</v>
      </c>
      <c r="O2281" s="169">
        <f t="shared" si="94"/>
        <v>0</v>
      </c>
      <c r="P2281" s="195"/>
      <c r="Q2281" s="166"/>
      <c r="R2281" s="195"/>
      <c r="S2281" s="208"/>
      <c r="T2281" s="169"/>
      <c r="U2281" s="169"/>
      <c r="V2281" s="166">
        <f t="shared" si="93"/>
        <v>0</v>
      </c>
      <c r="W2281" s="205"/>
      <c r="X2281" s="167"/>
    </row>
    <row r="2282" spans="8:24" s="221" customFormat="1" ht="12.75" hidden="1" customHeight="1">
      <c r="H2282" s="217" t="s">
        <v>6080</v>
      </c>
      <c r="I2282" s="217" t="s">
        <v>6075</v>
      </c>
      <c r="J2282" s="217" t="s">
        <v>6076</v>
      </c>
      <c r="K2282" s="217" t="s">
        <v>6081</v>
      </c>
      <c r="L2282" s="217" t="s">
        <v>92</v>
      </c>
      <c r="M2282" s="217"/>
      <c r="N2282" s="218">
        <v>4310</v>
      </c>
      <c r="O2282" s="169">
        <f t="shared" si="94"/>
        <v>0</v>
      </c>
      <c r="P2282" s="195"/>
      <c r="Q2282" s="166"/>
      <c r="R2282" s="195"/>
      <c r="S2282" s="208"/>
      <c r="T2282" s="169"/>
      <c r="U2282" s="169"/>
      <c r="V2282" s="166">
        <f t="shared" si="93"/>
        <v>0</v>
      </c>
      <c r="W2282" s="205"/>
      <c r="X2282" s="167"/>
    </row>
    <row r="2283" spans="8:24" s="221" customFormat="1" ht="12.75" hidden="1" customHeight="1">
      <c r="H2283" s="217" t="s">
        <v>6082</v>
      </c>
      <c r="I2283" s="217" t="s">
        <v>6075</v>
      </c>
      <c r="J2283" s="217" t="s">
        <v>6076</v>
      </c>
      <c r="K2283" s="217" t="s">
        <v>6083</v>
      </c>
      <c r="L2283" s="217" t="s">
        <v>92</v>
      </c>
      <c r="M2283" s="217"/>
      <c r="N2283" s="218">
        <v>5250</v>
      </c>
      <c r="O2283" s="169">
        <f t="shared" si="94"/>
        <v>0</v>
      </c>
      <c r="P2283" s="195"/>
      <c r="Q2283" s="166"/>
      <c r="R2283" s="195"/>
      <c r="S2283" s="208"/>
      <c r="T2283" s="169"/>
      <c r="U2283" s="169"/>
      <c r="V2283" s="166">
        <f t="shared" si="93"/>
        <v>0</v>
      </c>
      <c r="W2283" s="205"/>
      <c r="X2283" s="167"/>
    </row>
    <row r="2284" spans="8:24" s="221" customFormat="1" ht="12.75" hidden="1" customHeight="1">
      <c r="H2284" s="217" t="s">
        <v>6084</v>
      </c>
      <c r="I2284" s="217" t="s">
        <v>6075</v>
      </c>
      <c r="J2284" s="217" t="s">
        <v>6076</v>
      </c>
      <c r="K2284" s="217" t="s">
        <v>6085</v>
      </c>
      <c r="L2284" s="217" t="s">
        <v>92</v>
      </c>
      <c r="M2284" s="217"/>
      <c r="N2284" s="218">
        <v>6300</v>
      </c>
      <c r="O2284" s="169">
        <f t="shared" si="94"/>
        <v>0</v>
      </c>
      <c r="P2284" s="195"/>
      <c r="Q2284" s="166"/>
      <c r="R2284" s="195"/>
      <c r="S2284" s="208"/>
      <c r="T2284" s="169"/>
      <c r="U2284" s="169"/>
      <c r="V2284" s="166">
        <f t="shared" si="93"/>
        <v>0</v>
      </c>
      <c r="W2284" s="205"/>
      <c r="X2284" s="167"/>
    </row>
    <row r="2285" spans="8:24" s="221" customFormat="1" ht="12.75" hidden="1" customHeight="1">
      <c r="H2285" s="217" t="s">
        <v>6086</v>
      </c>
      <c r="I2285" s="217" t="s">
        <v>6075</v>
      </c>
      <c r="J2285" s="217" t="s">
        <v>6076</v>
      </c>
      <c r="K2285" s="217" t="s">
        <v>6087</v>
      </c>
      <c r="L2285" s="217" t="s">
        <v>92</v>
      </c>
      <c r="M2285" s="217"/>
      <c r="N2285" s="218">
        <v>7350</v>
      </c>
      <c r="O2285" s="169">
        <f t="shared" si="94"/>
        <v>0</v>
      </c>
      <c r="P2285" s="195"/>
      <c r="Q2285" s="166"/>
      <c r="R2285" s="195"/>
      <c r="S2285" s="208"/>
      <c r="T2285" s="169"/>
      <c r="U2285" s="169"/>
      <c r="V2285" s="166">
        <f t="shared" si="93"/>
        <v>0</v>
      </c>
      <c r="W2285" s="205"/>
      <c r="X2285" s="167"/>
    </row>
    <row r="2286" spans="8:24" s="221" customFormat="1" ht="12.75" hidden="1" customHeight="1">
      <c r="H2286" s="217" t="s">
        <v>6088</v>
      </c>
      <c r="I2286" s="217" t="s">
        <v>6075</v>
      </c>
      <c r="J2286" s="217" t="s">
        <v>6076</v>
      </c>
      <c r="K2286" s="217" t="s">
        <v>6089</v>
      </c>
      <c r="L2286" s="217" t="s">
        <v>92</v>
      </c>
      <c r="M2286" s="217"/>
      <c r="N2286" s="218">
        <v>7560</v>
      </c>
      <c r="O2286" s="169">
        <f t="shared" si="94"/>
        <v>0</v>
      </c>
      <c r="P2286" s="195"/>
      <c r="Q2286" s="166"/>
      <c r="R2286" s="195"/>
      <c r="S2286" s="208"/>
      <c r="T2286" s="169"/>
      <c r="U2286" s="169"/>
      <c r="V2286" s="166">
        <f t="shared" si="93"/>
        <v>0</v>
      </c>
      <c r="W2286" s="205"/>
      <c r="X2286" s="167"/>
    </row>
    <row r="2287" spans="8:24" s="221" customFormat="1" ht="12.75" hidden="1" customHeight="1">
      <c r="H2287" s="217" t="s">
        <v>6090</v>
      </c>
      <c r="I2287" s="217" t="s">
        <v>6075</v>
      </c>
      <c r="J2287" s="217" t="s">
        <v>6076</v>
      </c>
      <c r="K2287" s="217" t="s">
        <v>6091</v>
      </c>
      <c r="L2287" s="217" t="s">
        <v>92</v>
      </c>
      <c r="M2287" s="217"/>
      <c r="N2287" s="218">
        <v>8330</v>
      </c>
      <c r="O2287" s="169">
        <f t="shared" si="94"/>
        <v>0</v>
      </c>
      <c r="P2287" s="195"/>
      <c r="Q2287" s="166"/>
      <c r="R2287" s="195"/>
      <c r="S2287" s="208"/>
      <c r="T2287" s="169"/>
      <c r="U2287" s="169"/>
      <c r="V2287" s="166">
        <f t="shared" si="93"/>
        <v>0</v>
      </c>
      <c r="W2287" s="205"/>
      <c r="X2287" s="167"/>
    </row>
    <row r="2288" spans="8:24" s="221" customFormat="1" ht="12.75" hidden="1" customHeight="1">
      <c r="H2288" s="217" t="s">
        <v>6092</v>
      </c>
      <c r="I2288" s="217" t="s">
        <v>6075</v>
      </c>
      <c r="J2288" s="217" t="s">
        <v>6076</v>
      </c>
      <c r="K2288" s="217" t="s">
        <v>6093</v>
      </c>
      <c r="L2288" s="217" t="s">
        <v>92</v>
      </c>
      <c r="M2288" s="217"/>
      <c r="N2288" s="218">
        <v>8400</v>
      </c>
      <c r="O2288" s="169">
        <f t="shared" si="94"/>
        <v>0</v>
      </c>
      <c r="P2288" s="195"/>
      <c r="Q2288" s="166"/>
      <c r="R2288" s="195"/>
      <c r="S2288" s="208"/>
      <c r="T2288" s="169"/>
      <c r="U2288" s="169"/>
      <c r="V2288" s="166">
        <f t="shared" si="93"/>
        <v>0</v>
      </c>
      <c r="W2288" s="205"/>
      <c r="X2288" s="167"/>
    </row>
    <row r="2289" spans="8:24" s="221" customFormat="1" ht="12.75" hidden="1" customHeight="1">
      <c r="H2289" s="217" t="s">
        <v>6094</v>
      </c>
      <c r="I2289" s="217" t="s">
        <v>6075</v>
      </c>
      <c r="J2289" s="217" t="s">
        <v>6076</v>
      </c>
      <c r="K2289" s="217" t="s">
        <v>6095</v>
      </c>
      <c r="L2289" s="217" t="s">
        <v>92</v>
      </c>
      <c r="M2289" s="217"/>
      <c r="N2289" s="218">
        <v>11000</v>
      </c>
      <c r="O2289" s="169">
        <f t="shared" si="94"/>
        <v>0</v>
      </c>
      <c r="P2289" s="195"/>
      <c r="Q2289" s="166"/>
      <c r="R2289" s="195"/>
      <c r="S2289" s="208"/>
      <c r="T2289" s="169"/>
      <c r="U2289" s="169"/>
      <c r="V2289" s="166">
        <f t="shared" si="93"/>
        <v>0</v>
      </c>
      <c r="W2289" s="205"/>
      <c r="X2289" s="167"/>
    </row>
    <row r="2290" spans="8:24" s="221" customFormat="1" ht="12.75" hidden="1" customHeight="1">
      <c r="H2290" s="217" t="s">
        <v>6096</v>
      </c>
      <c r="I2290" s="217" t="s">
        <v>6075</v>
      </c>
      <c r="J2290" s="217" t="s">
        <v>6076</v>
      </c>
      <c r="K2290" s="217" t="s">
        <v>6097</v>
      </c>
      <c r="L2290" s="217" t="s">
        <v>92</v>
      </c>
      <c r="M2290" s="217"/>
      <c r="N2290" s="218">
        <v>11600</v>
      </c>
      <c r="O2290" s="169">
        <f t="shared" si="94"/>
        <v>0</v>
      </c>
      <c r="P2290" s="195"/>
      <c r="Q2290" s="166"/>
      <c r="R2290" s="195"/>
      <c r="S2290" s="208"/>
      <c r="T2290" s="169"/>
      <c r="U2290" s="169"/>
      <c r="V2290" s="166">
        <f t="shared" si="93"/>
        <v>0</v>
      </c>
      <c r="W2290" s="205"/>
      <c r="X2290" s="167"/>
    </row>
    <row r="2291" spans="8:24" s="221" customFormat="1" ht="12.75" hidden="1" customHeight="1">
      <c r="H2291" s="217" t="s">
        <v>6098</v>
      </c>
      <c r="I2291" s="217" t="s">
        <v>6075</v>
      </c>
      <c r="J2291" s="217" t="s">
        <v>6076</v>
      </c>
      <c r="K2291" s="217" t="s">
        <v>6099</v>
      </c>
      <c r="L2291" s="217" t="s">
        <v>92</v>
      </c>
      <c r="M2291" s="217"/>
      <c r="N2291" s="218">
        <v>5520</v>
      </c>
      <c r="O2291" s="169">
        <f t="shared" si="94"/>
        <v>0</v>
      </c>
      <c r="P2291" s="195"/>
      <c r="Q2291" s="166"/>
      <c r="R2291" s="195"/>
      <c r="S2291" s="208"/>
      <c r="T2291" s="169"/>
      <c r="U2291" s="169"/>
      <c r="V2291" s="166">
        <f t="shared" si="93"/>
        <v>0</v>
      </c>
      <c r="W2291" s="205"/>
      <c r="X2291" s="167"/>
    </row>
    <row r="2292" spans="8:24" s="221" customFormat="1" ht="12.75" hidden="1" customHeight="1">
      <c r="H2292" s="217" t="s">
        <v>6100</v>
      </c>
      <c r="I2292" s="217" t="s">
        <v>6075</v>
      </c>
      <c r="J2292" s="217" t="s">
        <v>6076</v>
      </c>
      <c r="K2292" s="217" t="s">
        <v>6101</v>
      </c>
      <c r="L2292" s="217" t="s">
        <v>92</v>
      </c>
      <c r="M2292" s="217"/>
      <c r="N2292" s="218">
        <v>6050</v>
      </c>
      <c r="O2292" s="169">
        <f t="shared" si="92"/>
        <v>0</v>
      </c>
      <c r="P2292" s="195"/>
      <c r="Q2292" s="166"/>
      <c r="R2292" s="195"/>
      <c r="S2292" s="208"/>
      <c r="T2292" s="169"/>
      <c r="U2292" s="169"/>
      <c r="V2292" s="166">
        <f t="shared" si="93"/>
        <v>0</v>
      </c>
      <c r="W2292" s="205"/>
      <c r="X2292" s="167"/>
    </row>
    <row r="2293" spans="8:24" s="221" customFormat="1" ht="12.75" hidden="1" customHeight="1">
      <c r="H2293" s="217" t="s">
        <v>6102</v>
      </c>
      <c r="I2293" s="217" t="s">
        <v>6075</v>
      </c>
      <c r="J2293" s="217" t="s">
        <v>6076</v>
      </c>
      <c r="K2293" s="217" t="s">
        <v>6103</v>
      </c>
      <c r="L2293" s="217" t="s">
        <v>92</v>
      </c>
      <c r="M2293" s="217"/>
      <c r="N2293" s="218">
        <v>7100</v>
      </c>
      <c r="O2293" s="169">
        <f t="shared" si="92"/>
        <v>0</v>
      </c>
      <c r="P2293" s="195"/>
      <c r="Q2293" s="166"/>
      <c r="R2293" s="195"/>
      <c r="S2293" s="208"/>
      <c r="T2293" s="169"/>
      <c r="U2293" s="169"/>
      <c r="V2293" s="166">
        <f t="shared" si="93"/>
        <v>0</v>
      </c>
      <c r="W2293" s="205"/>
      <c r="X2293" s="167"/>
    </row>
    <row r="2294" spans="8:24" s="221" customFormat="1" ht="12.75" hidden="1" customHeight="1">
      <c r="H2294" s="217" t="s">
        <v>6104</v>
      </c>
      <c r="I2294" s="217" t="s">
        <v>6075</v>
      </c>
      <c r="J2294" s="217" t="s">
        <v>6076</v>
      </c>
      <c r="K2294" s="217" t="s">
        <v>6105</v>
      </c>
      <c r="L2294" s="217" t="s">
        <v>92</v>
      </c>
      <c r="M2294" s="217"/>
      <c r="N2294" s="218">
        <v>8150</v>
      </c>
      <c r="O2294" s="169">
        <f t="shared" si="92"/>
        <v>0</v>
      </c>
      <c r="P2294" s="195"/>
      <c r="Q2294" s="166"/>
      <c r="R2294" s="195"/>
      <c r="S2294" s="169"/>
      <c r="T2294" s="169"/>
      <c r="U2294" s="169"/>
      <c r="V2294" s="166">
        <f t="shared" si="93"/>
        <v>0</v>
      </c>
      <c r="W2294" s="205"/>
      <c r="X2294" s="167"/>
    </row>
    <row r="2295" spans="8:24" s="221" customFormat="1" ht="12.75" hidden="1" customHeight="1">
      <c r="H2295" s="217" t="s">
        <v>6106</v>
      </c>
      <c r="I2295" s="217" t="s">
        <v>6075</v>
      </c>
      <c r="J2295" s="217" t="s">
        <v>6076</v>
      </c>
      <c r="K2295" s="217" t="s">
        <v>6107</v>
      </c>
      <c r="L2295" s="217" t="s">
        <v>92</v>
      </c>
      <c r="M2295" s="217"/>
      <c r="N2295" s="218">
        <v>8930</v>
      </c>
      <c r="O2295" s="169">
        <f t="shared" si="92"/>
        <v>0</v>
      </c>
      <c r="P2295" s="195"/>
      <c r="Q2295" s="166"/>
      <c r="R2295" s="195"/>
      <c r="S2295" s="169"/>
      <c r="T2295" s="169"/>
      <c r="U2295" s="169"/>
      <c r="V2295" s="166">
        <f t="shared" si="93"/>
        <v>0</v>
      </c>
      <c r="W2295" s="205"/>
      <c r="X2295" s="167"/>
    </row>
    <row r="2296" spans="8:24" s="221" customFormat="1" ht="12.75" hidden="1" customHeight="1">
      <c r="H2296" s="217" t="s">
        <v>6108</v>
      </c>
      <c r="I2296" s="217" t="s">
        <v>6075</v>
      </c>
      <c r="J2296" s="217" t="s">
        <v>6076</v>
      </c>
      <c r="K2296" s="217" t="s">
        <v>6109</v>
      </c>
      <c r="L2296" s="217" t="s">
        <v>92</v>
      </c>
      <c r="M2296" s="217"/>
      <c r="N2296" s="218">
        <v>9680</v>
      </c>
      <c r="O2296" s="169">
        <f t="shared" si="92"/>
        <v>0</v>
      </c>
      <c r="P2296" s="195"/>
      <c r="Q2296" s="166"/>
      <c r="R2296" s="195"/>
      <c r="S2296" s="169"/>
      <c r="T2296" s="169"/>
      <c r="U2296" s="169"/>
      <c r="V2296" s="166">
        <f t="shared" si="93"/>
        <v>0</v>
      </c>
      <c r="W2296" s="205"/>
      <c r="X2296" s="167"/>
    </row>
    <row r="2297" spans="8:24" s="221" customFormat="1" ht="12" hidden="1" customHeight="1">
      <c r="H2297" s="217" t="s">
        <v>6110</v>
      </c>
      <c r="I2297" s="217" t="s">
        <v>6075</v>
      </c>
      <c r="J2297" s="217" t="s">
        <v>6076</v>
      </c>
      <c r="K2297" s="217" t="s">
        <v>6111</v>
      </c>
      <c r="L2297" s="217" t="s">
        <v>92</v>
      </c>
      <c r="M2297" s="217"/>
      <c r="N2297" s="218">
        <v>9980</v>
      </c>
      <c r="O2297" s="169">
        <f t="shared" si="92"/>
        <v>0</v>
      </c>
      <c r="P2297" s="202"/>
      <c r="Q2297" s="166"/>
      <c r="R2297" s="169"/>
      <c r="S2297" s="169"/>
      <c r="T2297" s="169"/>
      <c r="U2297" s="169"/>
      <c r="V2297" s="166">
        <f t="shared" si="93"/>
        <v>0</v>
      </c>
      <c r="W2297" s="205"/>
      <c r="X2297" s="167"/>
    </row>
    <row r="2298" spans="8:24" s="221" customFormat="1" ht="12" hidden="1" customHeight="1">
      <c r="H2298" s="217" t="s">
        <v>6112</v>
      </c>
      <c r="I2298" s="217" t="s">
        <v>6075</v>
      </c>
      <c r="J2298" s="217" t="s">
        <v>6076</v>
      </c>
      <c r="K2298" s="217" t="s">
        <v>6113</v>
      </c>
      <c r="L2298" s="217" t="s">
        <v>92</v>
      </c>
      <c r="M2298" s="217"/>
      <c r="N2298" s="218">
        <v>10500</v>
      </c>
      <c r="O2298" s="169">
        <f t="shared" si="92"/>
        <v>0</v>
      </c>
      <c r="P2298" s="203"/>
      <c r="Q2298" s="166"/>
      <c r="R2298" s="169"/>
      <c r="S2298" s="169"/>
      <c r="T2298" s="169"/>
      <c r="U2298" s="169"/>
      <c r="V2298" s="166">
        <f t="shared" si="93"/>
        <v>0</v>
      </c>
      <c r="W2298" s="205"/>
      <c r="X2298" s="167"/>
    </row>
    <row r="2299" spans="8:24" s="221" customFormat="1" ht="12" hidden="1" customHeight="1">
      <c r="H2299" s="217" t="s">
        <v>6114</v>
      </c>
      <c r="I2299" s="217" t="s">
        <v>6075</v>
      </c>
      <c r="J2299" s="217" t="s">
        <v>6076</v>
      </c>
      <c r="K2299" s="217" t="s">
        <v>6115</v>
      </c>
      <c r="L2299" s="217" t="s">
        <v>92</v>
      </c>
      <c r="M2299" s="217"/>
      <c r="N2299" s="218">
        <v>11000</v>
      </c>
      <c r="O2299" s="169">
        <f t="shared" si="92"/>
        <v>0</v>
      </c>
      <c r="P2299" s="203"/>
      <c r="Q2299" s="166"/>
      <c r="R2299" s="169"/>
      <c r="S2299" s="169"/>
      <c r="T2299" s="169"/>
      <c r="U2299" s="169"/>
      <c r="V2299" s="166">
        <f t="shared" si="93"/>
        <v>0</v>
      </c>
      <c r="W2299" s="205"/>
      <c r="X2299" s="167"/>
    </row>
    <row r="2300" spans="8:24" s="221" customFormat="1" ht="12" hidden="1" customHeight="1">
      <c r="H2300" s="217" t="s">
        <v>6116</v>
      </c>
      <c r="I2300" s="217" t="s">
        <v>6075</v>
      </c>
      <c r="J2300" s="217" t="s">
        <v>6076</v>
      </c>
      <c r="K2300" s="217" t="s">
        <v>6117</v>
      </c>
      <c r="L2300" s="217" t="s">
        <v>92</v>
      </c>
      <c r="M2300" s="217"/>
      <c r="N2300" s="218">
        <v>11600</v>
      </c>
      <c r="O2300" s="169">
        <f t="shared" si="92"/>
        <v>0</v>
      </c>
      <c r="P2300" s="202"/>
      <c r="Q2300" s="166"/>
      <c r="R2300" s="169"/>
      <c r="S2300" s="169"/>
      <c r="T2300" s="169"/>
      <c r="U2300" s="169"/>
      <c r="V2300" s="166">
        <f t="shared" si="93"/>
        <v>0</v>
      </c>
      <c r="W2300" s="205"/>
      <c r="X2300" s="167"/>
    </row>
    <row r="2301" spans="8:24" s="221" customFormat="1" ht="12" hidden="1" customHeight="1">
      <c r="H2301" s="217" t="s">
        <v>6118</v>
      </c>
      <c r="I2301" s="217" t="s">
        <v>6075</v>
      </c>
      <c r="J2301" s="217" t="s">
        <v>6076</v>
      </c>
      <c r="K2301" s="217" t="s">
        <v>6119</v>
      </c>
      <c r="L2301" s="217" t="s">
        <v>92</v>
      </c>
      <c r="M2301" s="217"/>
      <c r="N2301" s="218">
        <v>16600</v>
      </c>
      <c r="O2301" s="169">
        <f t="shared" si="92"/>
        <v>0</v>
      </c>
      <c r="P2301" s="203"/>
      <c r="Q2301" s="166"/>
      <c r="R2301" s="169"/>
      <c r="S2301" s="169"/>
      <c r="T2301" s="169"/>
      <c r="U2301" s="169"/>
      <c r="V2301" s="166">
        <f t="shared" si="93"/>
        <v>0</v>
      </c>
      <c r="W2301" s="205"/>
      <c r="X2301" s="167"/>
    </row>
    <row r="2302" spans="8:24" s="221" customFormat="1" ht="12" hidden="1" customHeight="1">
      <c r="H2302" s="217" t="s">
        <v>6120</v>
      </c>
      <c r="I2302" s="217" t="s">
        <v>6121</v>
      </c>
      <c r="J2302" s="217" t="s">
        <v>6122</v>
      </c>
      <c r="K2302" s="217" t="s">
        <v>6123</v>
      </c>
      <c r="L2302" s="217" t="s">
        <v>5</v>
      </c>
      <c r="M2302" s="217"/>
      <c r="N2302" s="218">
        <v>15000</v>
      </c>
      <c r="O2302" s="169">
        <f t="shared" si="92"/>
        <v>0</v>
      </c>
      <c r="P2302" s="202"/>
      <c r="Q2302" s="166"/>
      <c r="R2302" s="169"/>
      <c r="S2302" s="169"/>
      <c r="T2302" s="169"/>
      <c r="U2302" s="169"/>
      <c r="V2302" s="166">
        <f t="shared" si="93"/>
        <v>0</v>
      </c>
      <c r="W2302" s="205"/>
      <c r="X2302" s="167"/>
    </row>
    <row r="2303" spans="8:24" s="221" customFormat="1" ht="12" hidden="1" customHeight="1">
      <c r="H2303" s="217" t="s">
        <v>6124</v>
      </c>
      <c r="I2303" s="217" t="s">
        <v>6121</v>
      </c>
      <c r="J2303" s="217" t="s">
        <v>6122</v>
      </c>
      <c r="K2303" s="217" t="s">
        <v>6125</v>
      </c>
      <c r="L2303" s="217" t="s">
        <v>5</v>
      </c>
      <c r="M2303" s="217"/>
      <c r="N2303" s="218">
        <v>18900</v>
      </c>
      <c r="O2303" s="169">
        <f t="shared" si="92"/>
        <v>0</v>
      </c>
      <c r="P2303" s="203"/>
      <c r="Q2303" s="166"/>
      <c r="R2303" s="169"/>
      <c r="S2303" s="169"/>
      <c r="T2303" s="169"/>
      <c r="U2303" s="169"/>
      <c r="V2303" s="166">
        <f t="shared" si="93"/>
        <v>0</v>
      </c>
      <c r="W2303" s="205"/>
      <c r="X2303" s="167"/>
    </row>
    <row r="2304" spans="8:24" s="221" customFormat="1" ht="12" hidden="1" customHeight="1">
      <c r="H2304" s="217" t="s">
        <v>6126</v>
      </c>
      <c r="I2304" s="217" t="s">
        <v>6121</v>
      </c>
      <c r="J2304" s="217" t="s">
        <v>6122</v>
      </c>
      <c r="K2304" s="217" t="s">
        <v>6127</v>
      </c>
      <c r="L2304" s="217" t="s">
        <v>5</v>
      </c>
      <c r="M2304" s="217"/>
      <c r="N2304" s="218">
        <v>25900</v>
      </c>
      <c r="O2304" s="169">
        <f t="shared" si="92"/>
        <v>0</v>
      </c>
      <c r="P2304" s="202"/>
      <c r="Q2304" s="166"/>
      <c r="R2304" s="169"/>
      <c r="S2304" s="169"/>
      <c r="T2304" s="169"/>
      <c r="U2304" s="169"/>
      <c r="V2304" s="166">
        <f t="shared" si="93"/>
        <v>0</v>
      </c>
      <c r="W2304" s="205"/>
      <c r="X2304" s="167"/>
    </row>
    <row r="2305" spans="8:24" s="221" customFormat="1" ht="12" hidden="1" customHeight="1">
      <c r="H2305" s="217" t="s">
        <v>6128</v>
      </c>
      <c r="I2305" s="217" t="s">
        <v>6121</v>
      </c>
      <c r="J2305" s="217" t="s">
        <v>6122</v>
      </c>
      <c r="K2305" s="217" t="s">
        <v>6129</v>
      </c>
      <c r="L2305" s="217" t="s">
        <v>5</v>
      </c>
      <c r="M2305" s="217"/>
      <c r="N2305" s="218">
        <v>28100</v>
      </c>
      <c r="O2305" s="169">
        <f t="shared" si="92"/>
        <v>0</v>
      </c>
      <c r="P2305" s="203"/>
      <c r="Q2305" s="166"/>
      <c r="R2305" s="169"/>
      <c r="S2305" s="169"/>
      <c r="T2305" s="169"/>
      <c r="U2305" s="169"/>
      <c r="V2305" s="166">
        <f t="shared" si="93"/>
        <v>0</v>
      </c>
      <c r="W2305" s="205"/>
      <c r="X2305" s="167"/>
    </row>
    <row r="2306" spans="8:24" s="221" customFormat="1" ht="12" hidden="1" customHeight="1">
      <c r="H2306" s="217" t="s">
        <v>6130</v>
      </c>
      <c r="I2306" s="217" t="s">
        <v>6121</v>
      </c>
      <c r="J2306" s="217" t="s">
        <v>6122</v>
      </c>
      <c r="K2306" s="217" t="s">
        <v>6131</v>
      </c>
      <c r="L2306" s="217" t="s">
        <v>5</v>
      </c>
      <c r="M2306" s="217"/>
      <c r="N2306" s="218">
        <v>32500</v>
      </c>
      <c r="O2306" s="169">
        <f t="shared" si="92"/>
        <v>0</v>
      </c>
      <c r="P2306" s="202"/>
      <c r="Q2306" s="166"/>
      <c r="R2306" s="169"/>
      <c r="S2306" s="169"/>
      <c r="T2306" s="169"/>
      <c r="U2306" s="169"/>
      <c r="V2306" s="166">
        <f t="shared" si="93"/>
        <v>0</v>
      </c>
      <c r="W2306" s="205"/>
      <c r="X2306" s="167"/>
    </row>
    <row r="2307" spans="8:24" s="221" customFormat="1" ht="12" hidden="1" customHeight="1">
      <c r="H2307" s="217" t="s">
        <v>6132</v>
      </c>
      <c r="I2307" s="217" t="s">
        <v>6121</v>
      </c>
      <c r="J2307" s="217" t="s">
        <v>6122</v>
      </c>
      <c r="K2307" s="217" t="s">
        <v>6133</v>
      </c>
      <c r="L2307" s="217" t="s">
        <v>5</v>
      </c>
      <c r="M2307" s="217"/>
      <c r="N2307" s="218">
        <v>33500</v>
      </c>
      <c r="O2307" s="169">
        <f t="shared" si="92"/>
        <v>0</v>
      </c>
      <c r="P2307" s="203"/>
      <c r="Q2307" s="166"/>
      <c r="R2307" s="169"/>
      <c r="S2307" s="169"/>
      <c r="T2307" s="169"/>
      <c r="U2307" s="169"/>
      <c r="V2307" s="166">
        <f t="shared" si="93"/>
        <v>0</v>
      </c>
      <c r="W2307" s="205"/>
      <c r="X2307" s="167"/>
    </row>
    <row r="2308" spans="8:24" s="221" customFormat="1" ht="12" hidden="1" customHeight="1">
      <c r="H2308" s="217" t="s">
        <v>6134</v>
      </c>
      <c r="I2308" s="217" t="s">
        <v>6121</v>
      </c>
      <c r="J2308" s="217" t="s">
        <v>6122</v>
      </c>
      <c r="K2308" s="217" t="s">
        <v>6135</v>
      </c>
      <c r="L2308" s="217" t="s">
        <v>5</v>
      </c>
      <c r="M2308" s="217"/>
      <c r="N2308" s="218">
        <v>36900</v>
      </c>
      <c r="O2308" s="169">
        <f t="shared" si="92"/>
        <v>0</v>
      </c>
      <c r="P2308" s="202"/>
      <c r="Q2308" s="166"/>
      <c r="R2308" s="169"/>
      <c r="S2308" s="169"/>
      <c r="T2308" s="169"/>
      <c r="U2308" s="169"/>
      <c r="V2308" s="166">
        <f t="shared" si="93"/>
        <v>0</v>
      </c>
      <c r="W2308" s="205"/>
      <c r="X2308" s="167"/>
    </row>
    <row r="2309" spans="8:24" s="221" customFormat="1" ht="12" hidden="1" customHeight="1">
      <c r="H2309" s="217" t="s">
        <v>6136</v>
      </c>
      <c r="I2309" s="217" t="s">
        <v>6121</v>
      </c>
      <c r="J2309" s="217" t="s">
        <v>6122</v>
      </c>
      <c r="K2309" s="217" t="s">
        <v>6137</v>
      </c>
      <c r="L2309" s="217" t="s">
        <v>5</v>
      </c>
      <c r="M2309" s="217"/>
      <c r="N2309" s="218">
        <v>41100</v>
      </c>
      <c r="O2309" s="169">
        <f t="shared" ref="O2309:O2370" si="95">M2309*N2309*$O$3</f>
        <v>0</v>
      </c>
      <c r="P2309" s="203"/>
      <c r="Q2309" s="166"/>
      <c r="R2309" s="169"/>
      <c r="S2309" s="169"/>
      <c r="T2309" s="169"/>
      <c r="U2309" s="169"/>
      <c r="V2309" s="166">
        <f t="shared" si="93"/>
        <v>0</v>
      </c>
      <c r="W2309" s="205"/>
      <c r="X2309" s="167"/>
    </row>
    <row r="2310" spans="8:24" s="221" customFormat="1" ht="12" hidden="1" customHeight="1">
      <c r="H2310" s="217" t="s">
        <v>6138</v>
      </c>
      <c r="I2310" s="217" t="s">
        <v>6121</v>
      </c>
      <c r="J2310" s="217" t="s">
        <v>6122</v>
      </c>
      <c r="K2310" s="217" t="s">
        <v>6139</v>
      </c>
      <c r="L2310" s="217" t="s">
        <v>5</v>
      </c>
      <c r="M2310" s="217"/>
      <c r="N2310" s="218">
        <v>71600</v>
      </c>
      <c r="O2310" s="169">
        <f t="shared" si="95"/>
        <v>0</v>
      </c>
      <c r="P2310" s="169"/>
      <c r="Q2310" s="166"/>
      <c r="R2310" s="169"/>
      <c r="S2310" s="169"/>
      <c r="T2310" s="169"/>
      <c r="U2310" s="169"/>
      <c r="V2310" s="166">
        <f t="shared" si="93"/>
        <v>0</v>
      </c>
      <c r="W2310" s="205"/>
      <c r="X2310" s="167"/>
    </row>
    <row r="2311" spans="8:24" s="221" customFormat="1" ht="12" hidden="1" customHeight="1">
      <c r="H2311" s="198" t="s">
        <v>5616</v>
      </c>
      <c r="I2311" s="199" t="s">
        <v>936</v>
      </c>
      <c r="J2311" s="199" t="s">
        <v>1773</v>
      </c>
      <c r="K2311" s="198" t="s">
        <v>1774</v>
      </c>
      <c r="L2311" s="200" t="s">
        <v>5</v>
      </c>
      <c r="M2311" s="169"/>
      <c r="N2311" s="201">
        <v>15000</v>
      </c>
      <c r="O2311" s="169">
        <f t="shared" si="95"/>
        <v>0</v>
      </c>
      <c r="P2311" s="169"/>
      <c r="Q2311" s="166"/>
      <c r="R2311" s="169"/>
      <c r="S2311" s="169"/>
      <c r="T2311" s="169"/>
      <c r="U2311" s="169"/>
      <c r="V2311" s="166">
        <f t="shared" si="93"/>
        <v>0</v>
      </c>
      <c r="W2311" s="205"/>
      <c r="X2311" s="167"/>
    </row>
    <row r="2312" spans="8:24" s="221" customFormat="1" ht="12" hidden="1" customHeight="1">
      <c r="H2312" s="158" t="s">
        <v>5620</v>
      </c>
      <c r="I2312" s="159" t="s">
        <v>937</v>
      </c>
      <c r="J2312" s="159" t="s">
        <v>1775</v>
      </c>
      <c r="K2312" s="158" t="s">
        <v>1776</v>
      </c>
      <c r="L2312" s="160" t="s">
        <v>5</v>
      </c>
      <c r="M2312" s="169"/>
      <c r="N2312" s="161">
        <v>20000</v>
      </c>
      <c r="O2312" s="169">
        <f t="shared" si="95"/>
        <v>0</v>
      </c>
      <c r="P2312" s="169"/>
      <c r="Q2312" s="166"/>
      <c r="R2312" s="169"/>
      <c r="S2312" s="169"/>
      <c r="T2312" s="169"/>
      <c r="U2312" s="169"/>
      <c r="V2312" s="166">
        <f t="shared" ref="V2312:V2373" si="96">SUM(O2312+Q2312)+S2312+U2312</f>
        <v>0</v>
      </c>
      <c r="W2312" s="205"/>
      <c r="X2312" s="167"/>
    </row>
    <row r="2313" spans="8:24" s="221" customFormat="1" ht="12" hidden="1" customHeight="1">
      <c r="H2313" s="198" t="s">
        <v>5621</v>
      </c>
      <c r="I2313" s="199" t="s">
        <v>937</v>
      </c>
      <c r="J2313" s="199" t="s">
        <v>1775</v>
      </c>
      <c r="K2313" s="198" t="s">
        <v>1777</v>
      </c>
      <c r="L2313" s="200" t="s">
        <v>5</v>
      </c>
      <c r="M2313" s="169"/>
      <c r="N2313" s="201">
        <v>20000</v>
      </c>
      <c r="O2313" s="169">
        <f t="shared" si="95"/>
        <v>0</v>
      </c>
      <c r="P2313" s="169"/>
      <c r="Q2313" s="166"/>
      <c r="R2313" s="169"/>
      <c r="S2313" s="169"/>
      <c r="T2313" s="169"/>
      <c r="U2313" s="169"/>
      <c r="V2313" s="166">
        <f t="shared" si="96"/>
        <v>0</v>
      </c>
      <c r="W2313" s="205"/>
      <c r="X2313" s="167"/>
    </row>
    <row r="2314" spans="8:24" s="221" customFormat="1" ht="12" hidden="1" customHeight="1">
      <c r="H2314" s="158" t="s">
        <v>5624</v>
      </c>
      <c r="I2314" s="159" t="s">
        <v>937</v>
      </c>
      <c r="J2314" s="159" t="s">
        <v>1775</v>
      </c>
      <c r="K2314" s="158" t="s">
        <v>1778</v>
      </c>
      <c r="L2314" s="160" t="s">
        <v>5</v>
      </c>
      <c r="M2314" s="169"/>
      <c r="N2314" s="161">
        <v>25000</v>
      </c>
      <c r="O2314" s="169">
        <f t="shared" si="95"/>
        <v>0</v>
      </c>
      <c r="P2314" s="169"/>
      <c r="Q2314" s="166"/>
      <c r="R2314" s="169"/>
      <c r="S2314" s="169"/>
      <c r="T2314" s="169"/>
      <c r="U2314" s="169"/>
      <c r="V2314" s="166">
        <f t="shared" si="96"/>
        <v>0</v>
      </c>
      <c r="W2314" s="205"/>
      <c r="X2314" s="167"/>
    </row>
    <row r="2315" spans="8:24" s="221" customFormat="1" ht="12" hidden="1" customHeight="1">
      <c r="H2315" s="217" t="s">
        <v>6140</v>
      </c>
      <c r="I2315" s="217" t="s">
        <v>6141</v>
      </c>
      <c r="J2315" s="217" t="s">
        <v>6142</v>
      </c>
      <c r="K2315" s="217" t="s">
        <v>3898</v>
      </c>
      <c r="L2315" s="217" t="s">
        <v>92</v>
      </c>
      <c r="M2315" s="217"/>
      <c r="N2315" s="218">
        <v>49400</v>
      </c>
      <c r="O2315" s="169">
        <f t="shared" si="95"/>
        <v>0</v>
      </c>
      <c r="P2315" s="169"/>
      <c r="Q2315" s="166"/>
      <c r="R2315" s="211"/>
      <c r="S2315" s="211"/>
      <c r="T2315" s="211"/>
      <c r="U2315" s="211"/>
      <c r="V2315" s="166">
        <f t="shared" si="96"/>
        <v>0</v>
      </c>
      <c r="W2315" s="205"/>
      <c r="X2315" s="167"/>
    </row>
    <row r="2316" spans="8:24" s="221" customFormat="1" ht="12" hidden="1" customHeight="1">
      <c r="H2316" s="217" t="s">
        <v>6143</v>
      </c>
      <c r="I2316" s="217" t="s">
        <v>6144</v>
      </c>
      <c r="J2316" s="217" t="s">
        <v>6145</v>
      </c>
      <c r="K2316" s="217" t="s">
        <v>6146</v>
      </c>
      <c r="L2316" s="217" t="s">
        <v>92</v>
      </c>
      <c r="M2316" s="217"/>
      <c r="N2316" s="218">
        <v>450000</v>
      </c>
      <c r="O2316" s="169">
        <f t="shared" si="95"/>
        <v>0</v>
      </c>
      <c r="P2316" s="166"/>
      <c r="Q2316" s="166"/>
      <c r="R2316" s="166"/>
      <c r="S2316" s="166"/>
      <c r="T2316" s="207"/>
      <c r="U2316" s="207"/>
      <c r="V2316" s="166">
        <f t="shared" si="96"/>
        <v>0</v>
      </c>
      <c r="W2316" s="205"/>
      <c r="X2316" s="167"/>
    </row>
    <row r="2317" spans="8:24" s="221" customFormat="1" ht="12" hidden="1" customHeight="1">
      <c r="H2317" s="217" t="s">
        <v>6147</v>
      </c>
      <c r="I2317" s="217" t="s">
        <v>6148</v>
      </c>
      <c r="J2317" s="217" t="s">
        <v>6149</v>
      </c>
      <c r="K2317" s="217" t="s">
        <v>6150</v>
      </c>
      <c r="L2317" s="217" t="s">
        <v>92</v>
      </c>
      <c r="M2317" s="217"/>
      <c r="N2317" s="218">
        <v>18800</v>
      </c>
      <c r="O2317" s="169">
        <f t="shared" si="95"/>
        <v>0</v>
      </c>
      <c r="P2317" s="169"/>
      <c r="Q2317" s="166"/>
      <c r="R2317" s="207"/>
      <c r="S2317" s="169"/>
      <c r="T2317" s="207"/>
      <c r="U2317" s="207"/>
      <c r="V2317" s="166">
        <f t="shared" si="96"/>
        <v>0</v>
      </c>
      <c r="W2317" s="205"/>
      <c r="X2317" s="167"/>
    </row>
    <row r="2318" spans="8:24" s="221" customFormat="1" ht="12" hidden="1" customHeight="1">
      <c r="H2318" s="217" t="s">
        <v>6151</v>
      </c>
      <c r="I2318" s="217" t="s">
        <v>6148</v>
      </c>
      <c r="J2318" s="217" t="s">
        <v>6149</v>
      </c>
      <c r="K2318" s="217" t="s">
        <v>6152</v>
      </c>
      <c r="L2318" s="217" t="s">
        <v>92</v>
      </c>
      <c r="M2318" s="217"/>
      <c r="N2318" s="218">
        <v>28000</v>
      </c>
      <c r="O2318" s="169">
        <f t="shared" si="95"/>
        <v>0</v>
      </c>
      <c r="P2318" s="169"/>
      <c r="Q2318" s="166"/>
      <c r="R2318" s="207"/>
      <c r="S2318" s="207"/>
      <c r="T2318" s="207"/>
      <c r="U2318" s="207"/>
      <c r="V2318" s="166">
        <f t="shared" si="96"/>
        <v>0</v>
      </c>
      <c r="W2318" s="205"/>
      <c r="X2318" s="167"/>
    </row>
    <row r="2319" spans="8:24" s="221" customFormat="1" ht="12" hidden="1" customHeight="1">
      <c r="H2319" s="217" t="s">
        <v>6153</v>
      </c>
      <c r="I2319" s="217" t="s">
        <v>6154</v>
      </c>
      <c r="J2319" s="217" t="s">
        <v>6155</v>
      </c>
      <c r="K2319" s="217" t="s">
        <v>6156</v>
      </c>
      <c r="L2319" s="217" t="s">
        <v>92</v>
      </c>
      <c r="M2319" s="217"/>
      <c r="N2319" s="218">
        <v>37200</v>
      </c>
      <c r="O2319" s="169">
        <f t="shared" si="95"/>
        <v>0</v>
      </c>
      <c r="P2319" s="169"/>
      <c r="Q2319" s="166"/>
      <c r="R2319" s="207"/>
      <c r="S2319" s="207"/>
      <c r="T2319" s="207"/>
      <c r="U2319" s="207"/>
      <c r="V2319" s="166">
        <f t="shared" si="96"/>
        <v>0</v>
      </c>
      <c r="W2319" s="205"/>
      <c r="X2319" s="167"/>
    </row>
    <row r="2320" spans="8:24" s="221" customFormat="1" ht="12" hidden="1" customHeight="1">
      <c r="H2320" s="217" t="s">
        <v>6157</v>
      </c>
      <c r="I2320" s="217" t="s">
        <v>6148</v>
      </c>
      <c r="J2320" s="217" t="s">
        <v>6149</v>
      </c>
      <c r="K2320" s="217" t="s">
        <v>6158</v>
      </c>
      <c r="L2320" s="217" t="s">
        <v>92</v>
      </c>
      <c r="M2320" s="217"/>
      <c r="N2320" s="218">
        <v>51900</v>
      </c>
      <c r="O2320" s="169">
        <f t="shared" si="95"/>
        <v>0</v>
      </c>
      <c r="P2320" s="169"/>
      <c r="Q2320" s="166"/>
      <c r="R2320" s="207"/>
      <c r="S2320" s="207"/>
      <c r="T2320" s="207"/>
      <c r="U2320" s="207"/>
      <c r="V2320" s="166">
        <f t="shared" si="96"/>
        <v>0</v>
      </c>
      <c r="W2320" s="205"/>
      <c r="X2320" s="167"/>
    </row>
    <row r="2321" spans="8:24" s="221" customFormat="1" ht="12" hidden="1" customHeight="1">
      <c r="H2321" s="217" t="s">
        <v>6159</v>
      </c>
      <c r="I2321" s="217" t="s">
        <v>6160</v>
      </c>
      <c r="J2321" s="217" t="s">
        <v>6161</v>
      </c>
      <c r="K2321" s="217" t="s">
        <v>6162</v>
      </c>
      <c r="L2321" s="217" t="s">
        <v>92</v>
      </c>
      <c r="M2321" s="217"/>
      <c r="N2321" s="218">
        <v>53100</v>
      </c>
      <c r="O2321" s="169">
        <f t="shared" si="95"/>
        <v>0</v>
      </c>
      <c r="P2321" s="169"/>
      <c r="Q2321" s="166"/>
      <c r="R2321" s="207"/>
      <c r="S2321" s="207"/>
      <c r="T2321" s="207"/>
      <c r="U2321" s="207"/>
      <c r="V2321" s="166">
        <f t="shared" si="96"/>
        <v>0</v>
      </c>
      <c r="W2321" s="205"/>
      <c r="X2321" s="167"/>
    </row>
    <row r="2322" spans="8:24" s="221" customFormat="1" ht="12" hidden="1" customHeight="1">
      <c r="H2322" s="217" t="s">
        <v>6163</v>
      </c>
      <c r="I2322" s="217" t="s">
        <v>6148</v>
      </c>
      <c r="J2322" s="217" t="s">
        <v>6149</v>
      </c>
      <c r="K2322" s="217" t="s">
        <v>6164</v>
      </c>
      <c r="L2322" s="217" t="s">
        <v>92</v>
      </c>
      <c r="M2322" s="217"/>
      <c r="N2322" s="218">
        <v>57300</v>
      </c>
      <c r="O2322" s="169">
        <f t="shared" si="95"/>
        <v>0</v>
      </c>
      <c r="P2322" s="169"/>
      <c r="Q2322" s="166"/>
      <c r="R2322" s="207"/>
      <c r="S2322" s="207"/>
      <c r="T2322" s="207"/>
      <c r="U2322" s="207"/>
      <c r="V2322" s="166">
        <f t="shared" si="96"/>
        <v>0</v>
      </c>
      <c r="W2322" s="205"/>
      <c r="X2322" s="167"/>
    </row>
    <row r="2323" spans="8:24" s="221" customFormat="1" ht="12" hidden="1" customHeight="1">
      <c r="H2323" s="217" t="s">
        <v>6165</v>
      </c>
      <c r="I2323" s="217" t="s">
        <v>6148</v>
      </c>
      <c r="J2323" s="217" t="s">
        <v>6149</v>
      </c>
      <c r="K2323" s="217" t="s">
        <v>6169</v>
      </c>
      <c r="L2323" s="217" t="s">
        <v>92</v>
      </c>
      <c r="M2323" s="217"/>
      <c r="N2323" s="218">
        <v>64800</v>
      </c>
      <c r="O2323" s="169">
        <f t="shared" si="95"/>
        <v>0</v>
      </c>
      <c r="P2323" s="169"/>
      <c r="Q2323" s="166"/>
      <c r="R2323" s="207"/>
      <c r="S2323" s="207"/>
      <c r="T2323" s="207"/>
      <c r="U2323" s="207"/>
      <c r="V2323" s="166">
        <f t="shared" si="96"/>
        <v>0</v>
      </c>
      <c r="W2323" s="205"/>
      <c r="X2323" s="167"/>
    </row>
    <row r="2324" spans="8:24" s="221" customFormat="1" ht="12" hidden="1" customHeight="1">
      <c r="H2324" s="217" t="s">
        <v>6166</v>
      </c>
      <c r="I2324" s="217" t="s">
        <v>6148</v>
      </c>
      <c r="J2324" s="217" t="s">
        <v>6149</v>
      </c>
      <c r="K2324" s="217" t="s">
        <v>6170</v>
      </c>
      <c r="L2324" s="217" t="s">
        <v>92</v>
      </c>
      <c r="M2324" s="217"/>
      <c r="N2324" s="218">
        <v>64800</v>
      </c>
      <c r="O2324" s="169">
        <f t="shared" si="95"/>
        <v>0</v>
      </c>
      <c r="P2324" s="169"/>
      <c r="Q2324" s="166"/>
      <c r="R2324" s="207"/>
      <c r="S2324" s="207"/>
      <c r="T2324" s="207"/>
      <c r="U2324" s="207"/>
      <c r="V2324" s="166">
        <f t="shared" si="96"/>
        <v>0</v>
      </c>
      <c r="W2324" s="205"/>
      <c r="X2324" s="167"/>
    </row>
    <row r="2325" spans="8:24" s="221" customFormat="1" ht="12" hidden="1" customHeight="1">
      <c r="H2325" s="217" t="s">
        <v>6167</v>
      </c>
      <c r="I2325" s="217" t="s">
        <v>6148</v>
      </c>
      <c r="J2325" s="217" t="s">
        <v>6149</v>
      </c>
      <c r="K2325" s="217" t="s">
        <v>6171</v>
      </c>
      <c r="L2325" s="217" t="s">
        <v>92</v>
      </c>
      <c r="M2325" s="217"/>
      <c r="N2325" s="218">
        <v>64800</v>
      </c>
      <c r="O2325" s="169">
        <f t="shared" si="95"/>
        <v>0</v>
      </c>
      <c r="P2325" s="169"/>
      <c r="Q2325" s="166"/>
      <c r="R2325" s="207"/>
      <c r="S2325" s="207"/>
      <c r="T2325" s="207"/>
      <c r="U2325" s="207"/>
      <c r="V2325" s="166">
        <f t="shared" si="96"/>
        <v>0</v>
      </c>
      <c r="W2325" s="205"/>
      <c r="X2325" s="167"/>
    </row>
    <row r="2326" spans="8:24" s="221" customFormat="1" ht="12" hidden="1" customHeight="1">
      <c r="H2326" s="217" t="s">
        <v>6168</v>
      </c>
      <c r="I2326" s="217" t="s">
        <v>6148</v>
      </c>
      <c r="J2326" s="217" t="s">
        <v>6149</v>
      </c>
      <c r="K2326" s="217" t="s">
        <v>6172</v>
      </c>
      <c r="L2326" s="217" t="s">
        <v>92</v>
      </c>
      <c r="M2326" s="217"/>
      <c r="N2326" s="218">
        <v>64800</v>
      </c>
      <c r="O2326" s="169">
        <f t="shared" si="95"/>
        <v>0</v>
      </c>
      <c r="P2326" s="169"/>
      <c r="Q2326" s="166"/>
      <c r="R2326" s="207"/>
      <c r="S2326" s="207"/>
      <c r="T2326" s="207"/>
      <c r="U2326" s="207"/>
      <c r="V2326" s="166">
        <f t="shared" si="96"/>
        <v>0</v>
      </c>
      <c r="W2326" s="205"/>
      <c r="X2326" s="167"/>
    </row>
    <row r="2327" spans="8:24" s="221" customFormat="1" ht="12" hidden="1" customHeight="1">
      <c r="H2327" s="217" t="s">
        <v>6173</v>
      </c>
      <c r="I2327" s="217" t="s">
        <v>6148</v>
      </c>
      <c r="J2327" s="217" t="s">
        <v>6149</v>
      </c>
      <c r="K2327" s="217" t="s">
        <v>6174</v>
      </c>
      <c r="L2327" s="217" t="s">
        <v>92</v>
      </c>
      <c r="M2327" s="217"/>
      <c r="N2327" s="218">
        <v>68100</v>
      </c>
      <c r="O2327" s="169">
        <f t="shared" si="95"/>
        <v>0</v>
      </c>
      <c r="P2327" s="169"/>
      <c r="Q2327" s="166"/>
      <c r="R2327" s="207"/>
      <c r="S2327" s="207"/>
      <c r="T2327" s="207"/>
      <c r="U2327" s="207"/>
      <c r="V2327" s="166">
        <f t="shared" si="96"/>
        <v>0</v>
      </c>
      <c r="W2327" s="205"/>
      <c r="X2327" s="167"/>
    </row>
    <row r="2328" spans="8:24" s="221" customFormat="1" ht="12" hidden="1" customHeight="1">
      <c r="H2328" s="217" t="s">
        <v>6175</v>
      </c>
      <c r="I2328" s="217" t="s">
        <v>6148</v>
      </c>
      <c r="J2328" s="217" t="s">
        <v>6149</v>
      </c>
      <c r="K2328" s="217" t="s">
        <v>6176</v>
      </c>
      <c r="L2328" s="217" t="s">
        <v>92</v>
      </c>
      <c r="M2328" s="217"/>
      <c r="N2328" s="218">
        <v>83500</v>
      </c>
      <c r="O2328" s="169">
        <f t="shared" si="95"/>
        <v>0</v>
      </c>
      <c r="P2328" s="169"/>
      <c r="Q2328" s="166"/>
      <c r="R2328" s="207"/>
      <c r="S2328" s="207"/>
      <c r="T2328" s="207"/>
      <c r="U2328" s="207"/>
      <c r="V2328" s="166">
        <f t="shared" si="96"/>
        <v>0</v>
      </c>
      <c r="W2328" s="205"/>
      <c r="X2328" s="167"/>
    </row>
    <row r="2329" spans="8:24" s="221" customFormat="1" ht="12" hidden="1" customHeight="1">
      <c r="H2329" s="217" t="s">
        <v>6177</v>
      </c>
      <c r="I2329" s="217" t="s">
        <v>6154</v>
      </c>
      <c r="J2329" s="217" t="s">
        <v>6178</v>
      </c>
      <c r="K2329" s="217" t="s">
        <v>6179</v>
      </c>
      <c r="L2329" s="217" t="s">
        <v>92</v>
      </c>
      <c r="M2329" s="217"/>
      <c r="N2329" s="218">
        <v>106000</v>
      </c>
      <c r="O2329" s="169">
        <f t="shared" si="95"/>
        <v>0</v>
      </c>
      <c r="P2329" s="169"/>
      <c r="Q2329" s="166"/>
      <c r="R2329" s="207"/>
      <c r="S2329" s="207"/>
      <c r="T2329" s="207"/>
      <c r="U2329" s="207"/>
      <c r="V2329" s="166">
        <f t="shared" si="96"/>
        <v>0</v>
      </c>
      <c r="W2329" s="205"/>
      <c r="X2329" s="167"/>
    </row>
    <row r="2330" spans="8:24" s="221" customFormat="1" ht="12" hidden="1" customHeight="1">
      <c r="H2330" s="217" t="s">
        <v>6180</v>
      </c>
      <c r="I2330" s="217" t="s">
        <v>6148</v>
      </c>
      <c r="J2330" s="217" t="s">
        <v>6149</v>
      </c>
      <c r="K2330" s="217" t="s">
        <v>6181</v>
      </c>
      <c r="L2330" s="217" t="s">
        <v>92</v>
      </c>
      <c r="M2330" s="217"/>
      <c r="N2330" s="218">
        <v>135000</v>
      </c>
      <c r="O2330" s="169">
        <f t="shared" si="95"/>
        <v>0</v>
      </c>
      <c r="P2330" s="169"/>
      <c r="Q2330" s="166"/>
      <c r="R2330" s="207"/>
      <c r="S2330" s="207"/>
      <c r="T2330" s="207"/>
      <c r="U2330" s="207"/>
      <c r="V2330" s="166">
        <f t="shared" si="96"/>
        <v>0</v>
      </c>
      <c r="W2330" s="205"/>
      <c r="X2330" s="167"/>
    </row>
    <row r="2331" spans="8:24" s="221" customFormat="1" ht="12" hidden="1" customHeight="1">
      <c r="H2331" s="217" t="s">
        <v>6182</v>
      </c>
      <c r="I2331" s="217" t="s">
        <v>6148</v>
      </c>
      <c r="J2331" s="217" t="s">
        <v>6149</v>
      </c>
      <c r="K2331" s="217" t="s">
        <v>6183</v>
      </c>
      <c r="L2331" s="217" t="s">
        <v>92</v>
      </c>
      <c r="M2331" s="217"/>
      <c r="N2331" s="218">
        <v>153000</v>
      </c>
      <c r="O2331" s="169">
        <f t="shared" si="95"/>
        <v>0</v>
      </c>
      <c r="P2331" s="169"/>
      <c r="Q2331" s="166"/>
      <c r="R2331" s="207"/>
      <c r="S2331" s="207"/>
      <c r="T2331" s="207"/>
      <c r="U2331" s="207"/>
      <c r="V2331" s="166">
        <f t="shared" si="96"/>
        <v>0</v>
      </c>
      <c r="W2331" s="205"/>
      <c r="X2331" s="167"/>
    </row>
    <row r="2332" spans="8:24" s="221" customFormat="1" ht="12" hidden="1" customHeight="1">
      <c r="H2332" s="217" t="s">
        <v>6184</v>
      </c>
      <c r="I2332" s="217" t="s">
        <v>6148</v>
      </c>
      <c r="J2332" s="217" t="s">
        <v>6149</v>
      </c>
      <c r="K2332" s="217" t="s">
        <v>6185</v>
      </c>
      <c r="L2332" s="217" t="s">
        <v>92</v>
      </c>
      <c r="M2332" s="217"/>
      <c r="N2332" s="218">
        <v>196000</v>
      </c>
      <c r="O2332" s="169">
        <f t="shared" si="95"/>
        <v>0</v>
      </c>
      <c r="P2332" s="169"/>
      <c r="Q2332" s="166"/>
      <c r="R2332" s="207"/>
      <c r="S2332" s="207"/>
      <c r="T2332" s="207"/>
      <c r="U2332" s="207"/>
      <c r="V2332" s="166">
        <f t="shared" si="96"/>
        <v>0</v>
      </c>
      <c r="W2332" s="205"/>
      <c r="X2332" s="167"/>
    </row>
    <row r="2333" spans="8:24" s="221" customFormat="1" ht="12" hidden="1" customHeight="1">
      <c r="H2333" s="217" t="s">
        <v>6186</v>
      </c>
      <c r="I2333" s="217" t="s">
        <v>6148</v>
      </c>
      <c r="J2333" s="217" t="s">
        <v>6149</v>
      </c>
      <c r="K2333" s="217" t="s">
        <v>6188</v>
      </c>
      <c r="L2333" s="217" t="s">
        <v>92</v>
      </c>
      <c r="M2333" s="217"/>
      <c r="N2333" s="218">
        <v>216000</v>
      </c>
      <c r="O2333" s="169">
        <f t="shared" si="95"/>
        <v>0</v>
      </c>
      <c r="P2333" s="169"/>
      <c r="Q2333" s="166"/>
      <c r="R2333" s="207"/>
      <c r="S2333" s="207"/>
      <c r="T2333" s="207"/>
      <c r="U2333" s="207"/>
      <c r="V2333" s="166">
        <f t="shared" si="96"/>
        <v>0</v>
      </c>
      <c r="W2333" s="205"/>
      <c r="X2333" s="167"/>
    </row>
    <row r="2334" spans="8:24" s="221" customFormat="1" ht="12" hidden="1" customHeight="1">
      <c r="H2334" s="217" t="s">
        <v>6187</v>
      </c>
      <c r="I2334" s="217" t="s">
        <v>6189</v>
      </c>
      <c r="J2334" s="217" t="s">
        <v>6190</v>
      </c>
      <c r="K2334" s="217" t="s">
        <v>6191</v>
      </c>
      <c r="L2334" s="217" t="s">
        <v>92</v>
      </c>
      <c r="M2334" s="217"/>
      <c r="N2334" s="218">
        <v>216000</v>
      </c>
      <c r="O2334" s="169">
        <f t="shared" si="95"/>
        <v>0</v>
      </c>
      <c r="P2334" s="169"/>
      <c r="Q2334" s="166"/>
      <c r="R2334" s="207"/>
      <c r="S2334" s="207"/>
      <c r="T2334" s="207"/>
      <c r="U2334" s="207"/>
      <c r="V2334" s="166">
        <f t="shared" si="96"/>
        <v>0</v>
      </c>
      <c r="W2334" s="205"/>
      <c r="X2334" s="167"/>
    </row>
    <row r="2335" spans="8:24" s="221" customFormat="1" ht="12" hidden="1" customHeight="1">
      <c r="H2335" s="217" t="s">
        <v>6192</v>
      </c>
      <c r="I2335" s="217" t="s">
        <v>6148</v>
      </c>
      <c r="J2335" s="217" t="s">
        <v>6149</v>
      </c>
      <c r="K2335" s="217" t="s">
        <v>6193</v>
      </c>
      <c r="L2335" s="217" t="s">
        <v>92</v>
      </c>
      <c r="M2335" s="217"/>
      <c r="N2335" s="218">
        <v>305000</v>
      </c>
      <c r="O2335" s="169">
        <f t="shared" si="95"/>
        <v>0</v>
      </c>
      <c r="P2335" s="169"/>
      <c r="Q2335" s="166"/>
      <c r="R2335" s="207"/>
      <c r="S2335" s="207"/>
      <c r="T2335" s="207"/>
      <c r="U2335" s="207"/>
      <c r="V2335" s="166">
        <f t="shared" si="96"/>
        <v>0</v>
      </c>
      <c r="W2335" s="205"/>
      <c r="X2335" s="167"/>
    </row>
    <row r="2336" spans="8:24" s="221" customFormat="1" ht="12" hidden="1" customHeight="1">
      <c r="H2336" s="217" t="s">
        <v>6194</v>
      </c>
      <c r="I2336" s="217" t="s">
        <v>6195</v>
      </c>
      <c r="J2336" s="217" t="s">
        <v>6195</v>
      </c>
      <c r="K2336" s="217" t="s">
        <v>6196</v>
      </c>
      <c r="L2336" s="217" t="s">
        <v>5</v>
      </c>
      <c r="M2336" s="217"/>
      <c r="N2336" s="218">
        <v>1360</v>
      </c>
      <c r="O2336" s="169">
        <f t="shared" si="95"/>
        <v>0</v>
      </c>
      <c r="P2336" s="169"/>
      <c r="Q2336" s="166"/>
      <c r="R2336" s="207"/>
      <c r="S2336" s="207"/>
      <c r="T2336" s="207"/>
      <c r="U2336" s="207"/>
      <c r="V2336" s="166">
        <f t="shared" si="96"/>
        <v>0</v>
      </c>
      <c r="W2336" s="205"/>
      <c r="X2336" s="167"/>
    </row>
    <row r="2337" spans="8:24" s="221" customFormat="1" ht="12" hidden="1" customHeight="1">
      <c r="H2337" s="217" t="s">
        <v>6197</v>
      </c>
      <c r="I2337" s="217" t="s">
        <v>6195</v>
      </c>
      <c r="J2337" s="217" t="s">
        <v>6195</v>
      </c>
      <c r="K2337" s="217" t="s">
        <v>6198</v>
      </c>
      <c r="L2337" s="217" t="s">
        <v>5</v>
      </c>
      <c r="M2337" s="217"/>
      <c r="N2337" s="218">
        <v>1540</v>
      </c>
      <c r="O2337" s="169">
        <f t="shared" si="95"/>
        <v>0</v>
      </c>
      <c r="P2337" s="169"/>
      <c r="Q2337" s="166"/>
      <c r="R2337" s="207"/>
      <c r="S2337" s="207"/>
      <c r="T2337" s="207"/>
      <c r="U2337" s="207"/>
      <c r="V2337" s="166">
        <f t="shared" si="96"/>
        <v>0</v>
      </c>
      <c r="W2337" s="205"/>
      <c r="X2337" s="167"/>
    </row>
    <row r="2338" spans="8:24" s="221" customFormat="1" ht="12" hidden="1" customHeight="1">
      <c r="H2338" s="217" t="s">
        <v>6199</v>
      </c>
      <c r="I2338" s="217" t="s">
        <v>6195</v>
      </c>
      <c r="J2338" s="217" t="s">
        <v>6195</v>
      </c>
      <c r="K2338" s="217" t="s">
        <v>6200</v>
      </c>
      <c r="L2338" s="217" t="s">
        <v>5</v>
      </c>
      <c r="M2338" s="217"/>
      <c r="N2338" s="218">
        <v>1960</v>
      </c>
      <c r="O2338" s="169">
        <f t="shared" si="95"/>
        <v>0</v>
      </c>
      <c r="P2338" s="169"/>
      <c r="Q2338" s="166"/>
      <c r="R2338" s="207"/>
      <c r="S2338" s="207"/>
      <c r="T2338" s="207"/>
      <c r="U2338" s="207"/>
      <c r="V2338" s="166">
        <f t="shared" si="96"/>
        <v>0</v>
      </c>
      <c r="W2338" s="205"/>
      <c r="X2338" s="167"/>
    </row>
    <row r="2339" spans="8:24" s="221" customFormat="1" ht="12" hidden="1" customHeight="1">
      <c r="H2339" s="217" t="s">
        <v>6201</v>
      </c>
      <c r="I2339" s="217" t="s">
        <v>6195</v>
      </c>
      <c r="J2339" s="217" t="s">
        <v>6195</v>
      </c>
      <c r="K2339" s="217" t="s">
        <v>6202</v>
      </c>
      <c r="L2339" s="217" t="s">
        <v>5</v>
      </c>
      <c r="M2339" s="217"/>
      <c r="N2339" s="218">
        <v>2050</v>
      </c>
      <c r="O2339" s="169">
        <f t="shared" si="95"/>
        <v>0</v>
      </c>
      <c r="P2339" s="169"/>
      <c r="Q2339" s="166"/>
      <c r="R2339" s="207"/>
      <c r="S2339" s="207"/>
      <c r="T2339" s="207"/>
      <c r="U2339" s="207"/>
      <c r="V2339" s="166">
        <f t="shared" si="96"/>
        <v>0</v>
      </c>
      <c r="W2339" s="205"/>
      <c r="X2339" s="167"/>
    </row>
    <row r="2340" spans="8:24" s="221" customFormat="1" ht="12" hidden="1" customHeight="1">
      <c r="H2340" s="217" t="s">
        <v>6203</v>
      </c>
      <c r="I2340" s="217" t="s">
        <v>6195</v>
      </c>
      <c r="J2340" s="217" t="s">
        <v>6195</v>
      </c>
      <c r="K2340" s="217" t="s">
        <v>6204</v>
      </c>
      <c r="L2340" s="217" t="s">
        <v>5</v>
      </c>
      <c r="M2340" s="217"/>
      <c r="N2340" s="218">
        <v>2450</v>
      </c>
      <c r="O2340" s="169">
        <f t="shared" si="95"/>
        <v>0</v>
      </c>
      <c r="P2340" s="169"/>
      <c r="Q2340" s="166"/>
      <c r="R2340" s="207"/>
      <c r="S2340" s="207"/>
      <c r="T2340" s="207"/>
      <c r="U2340" s="207"/>
      <c r="V2340" s="166">
        <f t="shared" si="96"/>
        <v>0</v>
      </c>
      <c r="W2340" s="205"/>
      <c r="X2340" s="167"/>
    </row>
    <row r="2341" spans="8:24" s="221" customFormat="1" ht="12" hidden="1" customHeight="1">
      <c r="H2341" s="217" t="s">
        <v>6205</v>
      </c>
      <c r="I2341" s="217" t="s">
        <v>6195</v>
      </c>
      <c r="J2341" s="217" t="s">
        <v>6195</v>
      </c>
      <c r="K2341" s="217" t="s">
        <v>6206</v>
      </c>
      <c r="L2341" s="217" t="s">
        <v>5</v>
      </c>
      <c r="M2341" s="217"/>
      <c r="N2341" s="218">
        <v>2930</v>
      </c>
      <c r="O2341" s="169">
        <f t="shared" si="95"/>
        <v>0</v>
      </c>
      <c r="P2341" s="169"/>
      <c r="Q2341" s="166"/>
      <c r="R2341" s="207"/>
      <c r="S2341" s="207"/>
      <c r="T2341" s="207"/>
      <c r="U2341" s="207"/>
      <c r="V2341" s="166">
        <f t="shared" si="96"/>
        <v>0</v>
      </c>
      <c r="W2341" s="205"/>
      <c r="X2341" s="167"/>
    </row>
    <row r="2342" spans="8:24" s="221" customFormat="1" ht="12" hidden="1" customHeight="1">
      <c r="H2342" s="217" t="s">
        <v>6207</v>
      </c>
      <c r="I2342" s="217" t="s">
        <v>6195</v>
      </c>
      <c r="J2342" s="217" t="s">
        <v>6195</v>
      </c>
      <c r="K2342" s="217" t="s">
        <v>6208</v>
      </c>
      <c r="L2342" s="217" t="s">
        <v>5</v>
      </c>
      <c r="M2342" s="217"/>
      <c r="N2342" s="218">
        <v>4090</v>
      </c>
      <c r="O2342" s="169">
        <f t="shared" si="95"/>
        <v>0</v>
      </c>
      <c r="P2342" s="169"/>
      <c r="Q2342" s="166"/>
      <c r="R2342" s="207"/>
      <c r="S2342" s="207"/>
      <c r="T2342" s="207"/>
      <c r="U2342" s="207"/>
      <c r="V2342" s="166">
        <f t="shared" si="96"/>
        <v>0</v>
      </c>
      <c r="W2342" s="205"/>
      <c r="X2342" s="167"/>
    </row>
    <row r="2343" spans="8:24" s="221" customFormat="1" ht="12" hidden="1" customHeight="1">
      <c r="H2343" s="217" t="s">
        <v>6209</v>
      </c>
      <c r="I2343" s="217" t="s">
        <v>6210</v>
      </c>
      <c r="J2343" s="217" t="s">
        <v>6211</v>
      </c>
      <c r="K2343" s="217" t="s">
        <v>6212</v>
      </c>
      <c r="L2343" s="217" t="s">
        <v>5</v>
      </c>
      <c r="M2343" s="217"/>
      <c r="N2343" s="218">
        <v>780</v>
      </c>
      <c r="O2343" s="169">
        <f t="shared" si="95"/>
        <v>0</v>
      </c>
      <c r="P2343" s="169"/>
      <c r="Q2343" s="166"/>
      <c r="R2343" s="207"/>
      <c r="S2343" s="207"/>
      <c r="T2343" s="207"/>
      <c r="U2343" s="207"/>
      <c r="V2343" s="166">
        <f t="shared" si="96"/>
        <v>0</v>
      </c>
      <c r="W2343" s="205"/>
      <c r="X2343" s="167"/>
    </row>
    <row r="2344" spans="8:24" s="221" customFormat="1" ht="12" hidden="1" customHeight="1">
      <c r="H2344" s="217" t="s">
        <v>6213</v>
      </c>
      <c r="I2344" s="217" t="s">
        <v>6210</v>
      </c>
      <c r="J2344" s="217" t="s">
        <v>6214</v>
      </c>
      <c r="K2344" s="217" t="s">
        <v>6215</v>
      </c>
      <c r="L2344" s="217" t="s">
        <v>5</v>
      </c>
      <c r="M2344" s="217"/>
      <c r="N2344" s="218">
        <v>1000</v>
      </c>
      <c r="O2344" s="169">
        <f t="shared" si="95"/>
        <v>0</v>
      </c>
      <c r="P2344" s="169"/>
      <c r="Q2344" s="166"/>
      <c r="R2344" s="207"/>
      <c r="S2344" s="207"/>
      <c r="T2344" s="207"/>
      <c r="U2344" s="207"/>
      <c r="V2344" s="166">
        <f t="shared" si="96"/>
        <v>0</v>
      </c>
      <c r="W2344" s="205"/>
      <c r="X2344" s="167"/>
    </row>
    <row r="2345" spans="8:24" s="221" customFormat="1" ht="12" hidden="1" customHeight="1">
      <c r="H2345" s="217" t="s">
        <v>6216</v>
      </c>
      <c r="I2345" s="217" t="s">
        <v>6217</v>
      </c>
      <c r="J2345" s="217" t="s">
        <v>6218</v>
      </c>
      <c r="K2345" s="217" t="s">
        <v>6219</v>
      </c>
      <c r="L2345" s="217" t="s">
        <v>6220</v>
      </c>
      <c r="M2345" s="217"/>
      <c r="N2345" s="218">
        <v>325000</v>
      </c>
      <c r="O2345" s="169">
        <f t="shared" si="95"/>
        <v>0</v>
      </c>
      <c r="P2345" s="169"/>
      <c r="Q2345" s="166"/>
      <c r="R2345" s="207"/>
      <c r="S2345" s="207"/>
      <c r="T2345" s="207"/>
      <c r="U2345" s="207"/>
      <c r="V2345" s="166">
        <f t="shared" si="96"/>
        <v>0</v>
      </c>
      <c r="W2345" s="205"/>
      <c r="X2345" s="167"/>
    </row>
    <row r="2346" spans="8:24" s="221" customFormat="1" ht="12" hidden="1" customHeight="1">
      <c r="H2346" s="217" t="s">
        <v>6221</v>
      </c>
      <c r="I2346" s="217" t="s">
        <v>6217</v>
      </c>
      <c r="J2346" s="217" t="s">
        <v>6222</v>
      </c>
      <c r="K2346" s="217" t="s">
        <v>6223</v>
      </c>
      <c r="L2346" s="217" t="s">
        <v>6220</v>
      </c>
      <c r="M2346" s="217"/>
      <c r="N2346" s="218">
        <v>409000</v>
      </c>
      <c r="O2346" s="169">
        <f t="shared" si="95"/>
        <v>0</v>
      </c>
      <c r="P2346" s="169"/>
      <c r="Q2346" s="166"/>
      <c r="R2346" s="207"/>
      <c r="S2346" s="207"/>
      <c r="T2346" s="207"/>
      <c r="U2346" s="207"/>
      <c r="V2346" s="166">
        <f t="shared" si="96"/>
        <v>0</v>
      </c>
      <c r="W2346" s="205"/>
      <c r="X2346" s="167"/>
    </row>
    <row r="2347" spans="8:24" s="221" customFormat="1" ht="12" hidden="1" customHeight="1">
      <c r="H2347" s="217" t="s">
        <v>6224</v>
      </c>
      <c r="I2347" s="217" t="s">
        <v>6217</v>
      </c>
      <c r="J2347" s="217" t="s">
        <v>6225</v>
      </c>
      <c r="K2347" s="217" t="s">
        <v>6226</v>
      </c>
      <c r="L2347" s="217" t="s">
        <v>6220</v>
      </c>
      <c r="M2347" s="217"/>
      <c r="N2347" s="218">
        <v>613000</v>
      </c>
      <c r="O2347" s="169">
        <f t="shared" si="95"/>
        <v>0</v>
      </c>
      <c r="P2347" s="169"/>
      <c r="Q2347" s="166"/>
      <c r="R2347" s="207"/>
      <c r="S2347" s="207"/>
      <c r="T2347" s="207"/>
      <c r="U2347" s="207"/>
      <c r="V2347" s="166">
        <f t="shared" si="96"/>
        <v>0</v>
      </c>
      <c r="W2347" s="205"/>
      <c r="X2347" s="167"/>
    </row>
    <row r="2348" spans="8:24" s="221" customFormat="1" ht="12" hidden="1" customHeight="1">
      <c r="H2348" s="217" t="s">
        <v>6227</v>
      </c>
      <c r="I2348" s="217" t="s">
        <v>6228</v>
      </c>
      <c r="J2348" s="217" t="s">
        <v>6229</v>
      </c>
      <c r="K2348" s="217" t="s">
        <v>6230</v>
      </c>
      <c r="L2348" s="217" t="s">
        <v>5</v>
      </c>
      <c r="M2348" s="217"/>
      <c r="N2348" s="218">
        <v>380</v>
      </c>
      <c r="O2348" s="169">
        <f t="shared" si="95"/>
        <v>0</v>
      </c>
      <c r="P2348" s="169"/>
      <c r="Q2348" s="166"/>
      <c r="R2348" s="207"/>
      <c r="S2348" s="207"/>
      <c r="T2348" s="207"/>
      <c r="U2348" s="207"/>
      <c r="V2348" s="166">
        <f t="shared" si="96"/>
        <v>0</v>
      </c>
      <c r="W2348" s="205"/>
      <c r="X2348" s="167"/>
    </row>
    <row r="2349" spans="8:24" s="221" customFormat="1" ht="12" hidden="1" customHeight="1">
      <c r="H2349" s="217" t="s">
        <v>6231</v>
      </c>
      <c r="I2349" s="217" t="s">
        <v>6228</v>
      </c>
      <c r="J2349" s="217" t="s">
        <v>6229</v>
      </c>
      <c r="K2349" s="217" t="s">
        <v>6232</v>
      </c>
      <c r="L2349" s="217" t="s">
        <v>5</v>
      </c>
      <c r="M2349" s="217"/>
      <c r="N2349" s="218">
        <v>640</v>
      </c>
      <c r="O2349" s="169">
        <f t="shared" si="95"/>
        <v>0</v>
      </c>
      <c r="P2349" s="169"/>
      <c r="Q2349" s="166"/>
      <c r="R2349" s="207"/>
      <c r="S2349" s="207"/>
      <c r="T2349" s="207"/>
      <c r="U2349" s="207"/>
      <c r="V2349" s="166">
        <f t="shared" si="96"/>
        <v>0</v>
      </c>
      <c r="W2349" s="205"/>
      <c r="X2349" s="167"/>
    </row>
    <row r="2350" spans="8:24" s="221" customFormat="1" ht="12" hidden="1" customHeight="1">
      <c r="H2350" s="217" t="s">
        <v>6233</v>
      </c>
      <c r="I2350" s="217" t="s">
        <v>6228</v>
      </c>
      <c r="J2350" s="217" t="s">
        <v>6229</v>
      </c>
      <c r="K2350" s="217" t="s">
        <v>6234</v>
      </c>
      <c r="L2350" s="217" t="s">
        <v>5</v>
      </c>
      <c r="M2350" s="217"/>
      <c r="N2350" s="218">
        <v>1050</v>
      </c>
      <c r="O2350" s="169">
        <f t="shared" si="95"/>
        <v>0</v>
      </c>
      <c r="P2350" s="169"/>
      <c r="Q2350" s="166"/>
      <c r="R2350" s="207"/>
      <c r="S2350" s="207"/>
      <c r="T2350" s="207"/>
      <c r="U2350" s="207"/>
      <c r="V2350" s="166">
        <f t="shared" si="96"/>
        <v>0</v>
      </c>
      <c r="W2350" s="205"/>
      <c r="X2350" s="167"/>
    </row>
    <row r="2351" spans="8:24" s="221" customFormat="1" ht="12" hidden="1" customHeight="1">
      <c r="H2351" s="217" t="s">
        <v>6235</v>
      </c>
      <c r="I2351" s="217" t="s">
        <v>6236</v>
      </c>
      <c r="J2351" s="217" t="s">
        <v>6237</v>
      </c>
      <c r="K2351" s="217" t="s">
        <v>6238</v>
      </c>
      <c r="L2351" s="217" t="s">
        <v>5</v>
      </c>
      <c r="M2351" s="217"/>
      <c r="N2351" s="218">
        <v>310</v>
      </c>
      <c r="O2351" s="169">
        <f t="shared" si="95"/>
        <v>0</v>
      </c>
      <c r="P2351" s="169"/>
      <c r="Q2351" s="166"/>
      <c r="R2351" s="207"/>
      <c r="S2351" s="207"/>
      <c r="T2351" s="207"/>
      <c r="U2351" s="207"/>
      <c r="V2351" s="166">
        <f t="shared" si="96"/>
        <v>0</v>
      </c>
      <c r="W2351" s="205"/>
      <c r="X2351" s="167"/>
    </row>
    <row r="2352" spans="8:24" s="221" customFormat="1" ht="12" hidden="1" customHeight="1">
      <c r="H2352" s="217" t="s">
        <v>6239</v>
      </c>
      <c r="I2352" s="217" t="s">
        <v>6236</v>
      </c>
      <c r="J2352" s="217" t="s">
        <v>6237</v>
      </c>
      <c r="K2352" s="217" t="s">
        <v>6240</v>
      </c>
      <c r="L2352" s="217" t="s">
        <v>5</v>
      </c>
      <c r="M2352" s="217"/>
      <c r="N2352" s="218">
        <v>500</v>
      </c>
      <c r="O2352" s="169">
        <f t="shared" si="95"/>
        <v>0</v>
      </c>
      <c r="P2352" s="169"/>
      <c r="Q2352" s="166"/>
      <c r="R2352" s="207"/>
      <c r="S2352" s="207"/>
      <c r="T2352" s="207"/>
      <c r="U2352" s="207"/>
      <c r="V2352" s="166">
        <f t="shared" si="96"/>
        <v>0</v>
      </c>
      <c r="W2352" s="205"/>
      <c r="X2352" s="167"/>
    </row>
    <row r="2353" spans="8:24" s="221" customFormat="1" ht="12" hidden="1" customHeight="1">
      <c r="H2353" s="217" t="s">
        <v>6241</v>
      </c>
      <c r="I2353" s="217" t="s">
        <v>6236</v>
      </c>
      <c r="J2353" s="217" t="s">
        <v>6237</v>
      </c>
      <c r="K2353" s="217" t="s">
        <v>6242</v>
      </c>
      <c r="L2353" s="217" t="s">
        <v>5</v>
      </c>
      <c r="M2353" s="217"/>
      <c r="N2353" s="218">
        <v>770</v>
      </c>
      <c r="O2353" s="169">
        <f t="shared" si="95"/>
        <v>0</v>
      </c>
      <c r="P2353" s="169"/>
      <c r="Q2353" s="166"/>
      <c r="R2353" s="207"/>
      <c r="S2353" s="207"/>
      <c r="T2353" s="207"/>
      <c r="U2353" s="207"/>
      <c r="V2353" s="166">
        <f t="shared" si="96"/>
        <v>0</v>
      </c>
      <c r="W2353" s="205"/>
      <c r="X2353" s="167"/>
    </row>
    <row r="2354" spans="8:24" s="221" customFormat="1" ht="12" hidden="1" customHeight="1">
      <c r="H2354" s="217" t="s">
        <v>6243</v>
      </c>
      <c r="I2354" s="217" t="s">
        <v>6236</v>
      </c>
      <c r="J2354" s="217" t="s">
        <v>6237</v>
      </c>
      <c r="K2354" s="217" t="s">
        <v>6244</v>
      </c>
      <c r="L2354" s="217" t="s">
        <v>5</v>
      </c>
      <c r="M2354" s="217"/>
      <c r="N2354" s="218">
        <v>1150</v>
      </c>
      <c r="O2354" s="169">
        <f t="shared" si="95"/>
        <v>0</v>
      </c>
      <c r="P2354" s="169"/>
      <c r="Q2354" s="166"/>
      <c r="R2354" s="207"/>
      <c r="S2354" s="207"/>
      <c r="T2354" s="207"/>
      <c r="U2354" s="207"/>
      <c r="V2354" s="166">
        <f t="shared" si="96"/>
        <v>0</v>
      </c>
      <c r="W2354" s="205"/>
      <c r="X2354" s="167"/>
    </row>
    <row r="2355" spans="8:24" s="221" customFormat="1" ht="12" hidden="1" customHeight="1">
      <c r="H2355" s="217" t="s">
        <v>6245</v>
      </c>
      <c r="I2355" s="217" t="s">
        <v>6236</v>
      </c>
      <c r="J2355" s="217" t="s">
        <v>6237</v>
      </c>
      <c r="K2355" s="217" t="s">
        <v>6246</v>
      </c>
      <c r="L2355" s="217" t="s">
        <v>5</v>
      </c>
      <c r="M2355" s="217"/>
      <c r="N2355" s="218">
        <v>1940</v>
      </c>
      <c r="O2355" s="169">
        <f t="shared" si="95"/>
        <v>0</v>
      </c>
      <c r="P2355" s="169"/>
      <c r="Q2355" s="166"/>
      <c r="R2355" s="207"/>
      <c r="S2355" s="207"/>
      <c r="T2355" s="207"/>
      <c r="U2355" s="207"/>
      <c r="V2355" s="166">
        <f t="shared" si="96"/>
        <v>0</v>
      </c>
      <c r="W2355" s="205"/>
      <c r="X2355" s="167"/>
    </row>
    <row r="2356" spans="8:24" s="221" customFormat="1" ht="12" hidden="1" customHeight="1">
      <c r="H2356" s="217" t="s">
        <v>6247</v>
      </c>
      <c r="I2356" s="217" t="s">
        <v>6236</v>
      </c>
      <c r="J2356" s="217" t="s">
        <v>6237</v>
      </c>
      <c r="K2356" s="217" t="s">
        <v>6248</v>
      </c>
      <c r="L2356" s="217" t="s">
        <v>5</v>
      </c>
      <c r="M2356" s="217"/>
      <c r="N2356" s="218">
        <v>3020</v>
      </c>
      <c r="O2356" s="169">
        <f t="shared" si="95"/>
        <v>0</v>
      </c>
      <c r="P2356" s="169"/>
      <c r="Q2356" s="166"/>
      <c r="R2356" s="207"/>
      <c r="S2356" s="207"/>
      <c r="T2356" s="207"/>
      <c r="U2356" s="207"/>
      <c r="V2356" s="166">
        <f t="shared" si="96"/>
        <v>0</v>
      </c>
      <c r="W2356" s="205"/>
      <c r="X2356" s="167"/>
    </row>
    <row r="2357" spans="8:24" s="221" customFormat="1" ht="12" hidden="1" customHeight="1">
      <c r="H2357" s="217" t="s">
        <v>6249</v>
      </c>
      <c r="I2357" s="217" t="s">
        <v>6236</v>
      </c>
      <c r="J2357" s="217" t="s">
        <v>6237</v>
      </c>
      <c r="K2357" s="217" t="s">
        <v>6250</v>
      </c>
      <c r="L2357" s="217" t="s">
        <v>5</v>
      </c>
      <c r="M2357" s="217"/>
      <c r="N2357" s="218">
        <v>4690</v>
      </c>
      <c r="O2357" s="169">
        <f t="shared" si="95"/>
        <v>0</v>
      </c>
      <c r="P2357" s="169"/>
      <c r="Q2357" s="166"/>
      <c r="R2357" s="207"/>
      <c r="S2357" s="207"/>
      <c r="T2357" s="207"/>
      <c r="U2357" s="207"/>
      <c r="V2357" s="166">
        <f t="shared" si="96"/>
        <v>0</v>
      </c>
      <c r="W2357" s="205"/>
      <c r="X2357" s="167"/>
    </row>
    <row r="2358" spans="8:24" s="221" customFormat="1" ht="12" hidden="1" customHeight="1">
      <c r="H2358" s="217" t="s">
        <v>6251</v>
      </c>
      <c r="I2358" s="217" t="s">
        <v>6236</v>
      </c>
      <c r="J2358" s="217" t="s">
        <v>6237</v>
      </c>
      <c r="K2358" s="217" t="s">
        <v>6252</v>
      </c>
      <c r="L2358" s="217" t="s">
        <v>5</v>
      </c>
      <c r="M2358" s="217"/>
      <c r="N2358" s="218">
        <v>6570</v>
      </c>
      <c r="O2358" s="169">
        <f t="shared" si="95"/>
        <v>0</v>
      </c>
      <c r="P2358" s="169"/>
      <c r="Q2358" s="166"/>
      <c r="R2358" s="207"/>
      <c r="S2358" s="207"/>
      <c r="T2358" s="207"/>
      <c r="U2358" s="207"/>
      <c r="V2358" s="166">
        <f t="shared" si="96"/>
        <v>0</v>
      </c>
      <c r="W2358" s="205"/>
      <c r="X2358" s="167"/>
    </row>
    <row r="2359" spans="8:24" s="221" customFormat="1" ht="12" hidden="1" customHeight="1">
      <c r="H2359" s="217" t="s">
        <v>6253</v>
      </c>
      <c r="I2359" s="217" t="s">
        <v>6236</v>
      </c>
      <c r="J2359" s="217" t="s">
        <v>6237</v>
      </c>
      <c r="K2359" s="217" t="s">
        <v>6254</v>
      </c>
      <c r="L2359" s="217" t="s">
        <v>5</v>
      </c>
      <c r="M2359" s="217"/>
      <c r="N2359" s="218">
        <v>9340</v>
      </c>
      <c r="O2359" s="169">
        <f t="shared" si="95"/>
        <v>0</v>
      </c>
      <c r="P2359" s="169"/>
      <c r="Q2359" s="166"/>
      <c r="R2359" s="207"/>
      <c r="S2359" s="207"/>
      <c r="T2359" s="207"/>
      <c r="U2359" s="207"/>
      <c r="V2359" s="166">
        <f t="shared" si="96"/>
        <v>0</v>
      </c>
      <c r="W2359" s="205"/>
      <c r="X2359" s="167"/>
    </row>
    <row r="2360" spans="8:24" s="221" customFormat="1" ht="12" hidden="1" customHeight="1">
      <c r="H2360" s="217" t="s">
        <v>6255</v>
      </c>
      <c r="I2360" s="217" t="s">
        <v>6236</v>
      </c>
      <c r="J2360" s="217" t="s">
        <v>6237</v>
      </c>
      <c r="K2360" s="217" t="s">
        <v>6256</v>
      </c>
      <c r="L2360" s="217" t="s">
        <v>5</v>
      </c>
      <c r="M2360" s="217"/>
      <c r="N2360" s="218">
        <v>13000</v>
      </c>
      <c r="O2360" s="169">
        <f t="shared" si="95"/>
        <v>0</v>
      </c>
      <c r="P2360" s="169"/>
      <c r="Q2360" s="166"/>
      <c r="R2360" s="207"/>
      <c r="S2360" s="207"/>
      <c r="T2360" s="207"/>
      <c r="U2360" s="207"/>
      <c r="V2360" s="166">
        <f t="shared" si="96"/>
        <v>0</v>
      </c>
      <c r="W2360" s="205"/>
      <c r="X2360" s="167"/>
    </row>
    <row r="2361" spans="8:24" s="221" customFormat="1" ht="12" hidden="1" customHeight="1">
      <c r="H2361" s="217" t="s">
        <v>6257</v>
      </c>
      <c r="I2361" s="217" t="s">
        <v>6236</v>
      </c>
      <c r="J2361" s="217" t="s">
        <v>6237</v>
      </c>
      <c r="K2361" s="217" t="s">
        <v>6258</v>
      </c>
      <c r="L2361" s="217" t="s">
        <v>5</v>
      </c>
      <c r="M2361" s="217"/>
      <c r="N2361" s="218">
        <v>18800</v>
      </c>
      <c r="O2361" s="169">
        <f t="shared" si="95"/>
        <v>0</v>
      </c>
      <c r="P2361" s="169"/>
      <c r="Q2361" s="166"/>
      <c r="R2361" s="207"/>
      <c r="S2361" s="207"/>
      <c r="T2361" s="207"/>
      <c r="U2361" s="207"/>
      <c r="V2361" s="166">
        <f t="shared" si="96"/>
        <v>0</v>
      </c>
      <c r="W2361" s="205"/>
      <c r="X2361" s="167"/>
    </row>
    <row r="2362" spans="8:24" s="221" customFormat="1" ht="12" hidden="1" customHeight="1">
      <c r="H2362" s="217" t="s">
        <v>6259</v>
      </c>
      <c r="I2362" s="217" t="s">
        <v>6236</v>
      </c>
      <c r="J2362" s="217" t="s">
        <v>6237</v>
      </c>
      <c r="K2362" s="217" t="s">
        <v>6260</v>
      </c>
      <c r="L2362" s="217" t="s">
        <v>5</v>
      </c>
      <c r="M2362" s="217"/>
      <c r="N2362" s="218">
        <v>23900</v>
      </c>
      <c r="O2362" s="169">
        <f t="shared" si="95"/>
        <v>0</v>
      </c>
      <c r="P2362" s="169"/>
      <c r="Q2362" s="166"/>
      <c r="R2362" s="207"/>
      <c r="S2362" s="207"/>
      <c r="T2362" s="207"/>
      <c r="U2362" s="207"/>
      <c r="V2362" s="166">
        <f t="shared" si="96"/>
        <v>0</v>
      </c>
      <c r="W2362" s="205"/>
      <c r="X2362" s="167"/>
    </row>
    <row r="2363" spans="8:24" s="221" customFormat="1" ht="12" hidden="1" customHeight="1">
      <c r="H2363" s="217" t="s">
        <v>6261</v>
      </c>
      <c r="I2363" s="217" t="s">
        <v>6236</v>
      </c>
      <c r="J2363" s="217" t="s">
        <v>6237</v>
      </c>
      <c r="K2363" s="217" t="s">
        <v>6262</v>
      </c>
      <c r="L2363" s="217" t="s">
        <v>5</v>
      </c>
      <c r="M2363" s="217"/>
      <c r="N2363" s="218">
        <v>29900</v>
      </c>
      <c r="O2363" s="169">
        <f t="shared" si="95"/>
        <v>0</v>
      </c>
      <c r="P2363" s="169"/>
      <c r="Q2363" s="166"/>
      <c r="R2363" s="207"/>
      <c r="S2363" s="207"/>
      <c r="T2363" s="207"/>
      <c r="U2363" s="207"/>
      <c r="V2363" s="166">
        <f t="shared" si="96"/>
        <v>0</v>
      </c>
      <c r="W2363" s="205"/>
      <c r="X2363" s="167"/>
    </row>
    <row r="2364" spans="8:24" s="221" customFormat="1" ht="12" hidden="1" customHeight="1">
      <c r="H2364" s="217" t="s">
        <v>6263</v>
      </c>
      <c r="I2364" s="217" t="s">
        <v>6236</v>
      </c>
      <c r="J2364" s="217" t="s">
        <v>6237</v>
      </c>
      <c r="K2364" s="217" t="s">
        <v>6264</v>
      </c>
      <c r="L2364" s="217" t="s">
        <v>5</v>
      </c>
      <c r="M2364" s="217"/>
      <c r="N2364" s="218">
        <v>39800</v>
      </c>
      <c r="O2364" s="169">
        <f t="shared" si="95"/>
        <v>0</v>
      </c>
      <c r="P2364" s="169"/>
      <c r="Q2364" s="166"/>
      <c r="R2364" s="207"/>
      <c r="S2364" s="207"/>
      <c r="T2364" s="207"/>
      <c r="U2364" s="207"/>
      <c r="V2364" s="166">
        <f t="shared" si="96"/>
        <v>0</v>
      </c>
      <c r="W2364" s="205"/>
      <c r="X2364" s="167"/>
    </row>
    <row r="2365" spans="8:24" s="221" customFormat="1" ht="12" hidden="1" customHeight="1">
      <c r="H2365" s="217" t="s">
        <v>6265</v>
      </c>
      <c r="I2365" s="217" t="s">
        <v>6236</v>
      </c>
      <c r="J2365" s="217" t="s">
        <v>6237</v>
      </c>
      <c r="K2365" s="217" t="s">
        <v>6266</v>
      </c>
      <c r="L2365" s="217" t="s">
        <v>5</v>
      </c>
      <c r="M2365" s="217"/>
      <c r="N2365" s="218">
        <v>48500</v>
      </c>
      <c r="O2365" s="169">
        <f t="shared" si="95"/>
        <v>0</v>
      </c>
      <c r="P2365" s="169"/>
      <c r="Q2365" s="166"/>
      <c r="R2365" s="207"/>
      <c r="S2365" s="207"/>
      <c r="T2365" s="207"/>
      <c r="U2365" s="207"/>
      <c r="V2365" s="166">
        <f t="shared" si="96"/>
        <v>0</v>
      </c>
      <c r="W2365" s="205"/>
      <c r="X2365" s="167"/>
    </row>
    <row r="2366" spans="8:24" s="221" customFormat="1" ht="12" hidden="1" customHeight="1">
      <c r="H2366" s="217" t="s">
        <v>6267</v>
      </c>
      <c r="I2366" s="217" t="s">
        <v>6268</v>
      </c>
      <c r="J2366" s="217" t="s">
        <v>6269</v>
      </c>
      <c r="K2366" s="217" t="s">
        <v>6270</v>
      </c>
      <c r="L2366" s="217" t="s">
        <v>5</v>
      </c>
      <c r="M2366" s="217"/>
      <c r="N2366" s="218">
        <v>1470</v>
      </c>
      <c r="O2366" s="169">
        <f t="shared" si="95"/>
        <v>0</v>
      </c>
      <c r="P2366" s="169"/>
      <c r="Q2366" s="166"/>
      <c r="R2366" s="207"/>
      <c r="S2366" s="207"/>
      <c r="T2366" s="207"/>
      <c r="U2366" s="207"/>
      <c r="V2366" s="166">
        <f t="shared" si="96"/>
        <v>0</v>
      </c>
      <c r="W2366" s="205"/>
      <c r="X2366" s="167"/>
    </row>
    <row r="2367" spans="8:24" s="221" customFormat="1" ht="12" hidden="1" customHeight="1">
      <c r="H2367" s="217" t="s">
        <v>6271</v>
      </c>
      <c r="I2367" s="217" t="s">
        <v>6268</v>
      </c>
      <c r="J2367" s="217" t="s">
        <v>6269</v>
      </c>
      <c r="K2367" s="217" t="s">
        <v>6272</v>
      </c>
      <c r="L2367" s="217" t="s">
        <v>5</v>
      </c>
      <c r="M2367" s="217"/>
      <c r="N2367" s="218">
        <v>2000</v>
      </c>
      <c r="O2367" s="169">
        <f t="shared" si="95"/>
        <v>0</v>
      </c>
      <c r="P2367" s="169"/>
      <c r="Q2367" s="166"/>
      <c r="R2367" s="207"/>
      <c r="S2367" s="207"/>
      <c r="T2367" s="207"/>
      <c r="U2367" s="207"/>
      <c r="V2367" s="166">
        <f t="shared" si="96"/>
        <v>0</v>
      </c>
      <c r="W2367" s="205"/>
      <c r="X2367" s="167"/>
    </row>
    <row r="2368" spans="8:24" s="221" customFormat="1" ht="12" hidden="1" customHeight="1">
      <c r="H2368" s="217" t="s">
        <v>6273</v>
      </c>
      <c r="I2368" s="217" t="s">
        <v>6268</v>
      </c>
      <c r="J2368" s="217" t="s">
        <v>6269</v>
      </c>
      <c r="K2368" s="217" t="s">
        <v>6274</v>
      </c>
      <c r="L2368" s="217" t="s">
        <v>5</v>
      </c>
      <c r="M2368" s="217"/>
      <c r="N2368" s="218">
        <v>2960</v>
      </c>
      <c r="O2368" s="169">
        <f t="shared" si="95"/>
        <v>0</v>
      </c>
      <c r="P2368" s="169"/>
      <c r="Q2368" s="166"/>
      <c r="R2368" s="207"/>
      <c r="S2368" s="207"/>
      <c r="T2368" s="207"/>
      <c r="U2368" s="207"/>
      <c r="V2368" s="166">
        <f t="shared" si="96"/>
        <v>0</v>
      </c>
      <c r="W2368" s="205"/>
      <c r="X2368" s="167"/>
    </row>
    <row r="2369" spans="8:24" s="221" customFormat="1" ht="12" hidden="1" customHeight="1">
      <c r="H2369" s="217" t="s">
        <v>6275</v>
      </c>
      <c r="I2369" s="217" t="s">
        <v>6277</v>
      </c>
      <c r="J2369" s="217" t="s">
        <v>753</v>
      </c>
      <c r="K2369" s="217" t="s">
        <v>6278</v>
      </c>
      <c r="L2369" s="217" t="s">
        <v>5</v>
      </c>
      <c r="M2369" s="217"/>
      <c r="N2369" s="218">
        <v>7980</v>
      </c>
      <c r="O2369" s="169">
        <f t="shared" si="95"/>
        <v>0</v>
      </c>
      <c r="P2369" s="169"/>
      <c r="Q2369" s="166"/>
      <c r="R2369" s="207"/>
      <c r="S2369" s="207"/>
      <c r="T2369" s="207"/>
      <c r="U2369" s="207"/>
      <c r="V2369" s="166">
        <f t="shared" si="96"/>
        <v>0</v>
      </c>
      <c r="W2369" s="205"/>
      <c r="X2369" s="167"/>
    </row>
    <row r="2370" spans="8:24" s="221" customFormat="1" ht="12" hidden="1" customHeight="1">
      <c r="H2370" s="217" t="s">
        <v>6276</v>
      </c>
      <c r="I2370" s="217" t="s">
        <v>6277</v>
      </c>
      <c r="J2370" s="217" t="s">
        <v>753</v>
      </c>
      <c r="K2370" s="217" t="s">
        <v>6279</v>
      </c>
      <c r="L2370" s="217" t="s">
        <v>5</v>
      </c>
      <c r="M2370" s="217"/>
      <c r="N2370" s="218">
        <v>7980</v>
      </c>
      <c r="O2370" s="169">
        <f t="shared" si="95"/>
        <v>0</v>
      </c>
      <c r="P2370" s="169"/>
      <c r="Q2370" s="166"/>
      <c r="R2370" s="207"/>
      <c r="S2370" s="207"/>
      <c r="T2370" s="207"/>
      <c r="U2370" s="207"/>
      <c r="V2370" s="166">
        <f t="shared" si="96"/>
        <v>0</v>
      </c>
      <c r="W2370" s="205"/>
      <c r="X2370" s="167"/>
    </row>
    <row r="2371" spans="8:24" s="221" customFormat="1" ht="12" hidden="1" customHeight="1">
      <c r="H2371" s="217" t="s">
        <v>6280</v>
      </c>
      <c r="I2371" s="217" t="s">
        <v>6277</v>
      </c>
      <c r="J2371" s="217" t="s">
        <v>753</v>
      </c>
      <c r="K2371" s="217" t="s">
        <v>6282</v>
      </c>
      <c r="L2371" s="217" t="s">
        <v>5</v>
      </c>
      <c r="M2371" s="217"/>
      <c r="N2371" s="218">
        <v>11100</v>
      </c>
      <c r="O2371" s="169">
        <f t="shared" ref="O2371:O2427" si="97">M2371*N2371*$O$3</f>
        <v>0</v>
      </c>
      <c r="P2371" s="169"/>
      <c r="Q2371" s="166"/>
      <c r="R2371" s="207"/>
      <c r="S2371" s="207"/>
      <c r="T2371" s="207"/>
      <c r="U2371" s="207"/>
      <c r="V2371" s="166">
        <f t="shared" si="96"/>
        <v>0</v>
      </c>
      <c r="W2371" s="205"/>
      <c r="X2371" s="167"/>
    </row>
    <row r="2372" spans="8:24" s="221" customFormat="1" ht="12" hidden="1" customHeight="1">
      <c r="H2372" s="217" t="s">
        <v>6281</v>
      </c>
      <c r="I2372" s="217" t="s">
        <v>6277</v>
      </c>
      <c r="J2372" s="217" t="s">
        <v>753</v>
      </c>
      <c r="K2372" s="217" t="s">
        <v>6283</v>
      </c>
      <c r="L2372" s="217" t="s">
        <v>5</v>
      </c>
      <c r="M2372" s="217"/>
      <c r="N2372" s="218">
        <v>11100</v>
      </c>
      <c r="O2372" s="169">
        <f t="shared" si="97"/>
        <v>0</v>
      </c>
      <c r="P2372" s="169"/>
      <c r="Q2372" s="166"/>
      <c r="R2372" s="207"/>
      <c r="S2372" s="207"/>
      <c r="T2372" s="207"/>
      <c r="U2372" s="207"/>
      <c r="V2372" s="166">
        <f t="shared" si="96"/>
        <v>0</v>
      </c>
      <c r="W2372" s="205"/>
      <c r="X2372" s="167"/>
    </row>
    <row r="2373" spans="8:24" s="221" customFormat="1" ht="12" hidden="1" customHeight="1">
      <c r="H2373" s="217" t="s">
        <v>6284</v>
      </c>
      <c r="I2373" s="217" t="s">
        <v>6277</v>
      </c>
      <c r="J2373" s="217" t="s">
        <v>753</v>
      </c>
      <c r="K2373" s="217" t="s">
        <v>6286</v>
      </c>
      <c r="L2373" s="217" t="s">
        <v>5</v>
      </c>
      <c r="M2373" s="217"/>
      <c r="N2373" s="218">
        <v>15400</v>
      </c>
      <c r="O2373" s="169">
        <f t="shared" si="97"/>
        <v>0</v>
      </c>
      <c r="P2373" s="169"/>
      <c r="Q2373" s="166"/>
      <c r="R2373" s="207"/>
      <c r="S2373" s="207"/>
      <c r="T2373" s="207"/>
      <c r="U2373" s="207"/>
      <c r="V2373" s="166">
        <f t="shared" si="96"/>
        <v>0</v>
      </c>
      <c r="W2373" s="205"/>
      <c r="X2373" s="167"/>
    </row>
    <row r="2374" spans="8:24" s="221" customFormat="1" ht="12" hidden="1" customHeight="1">
      <c r="H2374" s="217" t="s">
        <v>6285</v>
      </c>
      <c r="I2374" s="217" t="s">
        <v>6277</v>
      </c>
      <c r="J2374" s="217" t="s">
        <v>753</v>
      </c>
      <c r="K2374" s="217" t="s">
        <v>6287</v>
      </c>
      <c r="L2374" s="217" t="s">
        <v>5</v>
      </c>
      <c r="M2374" s="217"/>
      <c r="N2374" s="218">
        <v>15400</v>
      </c>
      <c r="O2374" s="169">
        <f t="shared" si="97"/>
        <v>0</v>
      </c>
      <c r="P2374" s="169"/>
      <c r="Q2374" s="166"/>
      <c r="R2374" s="207"/>
      <c r="S2374" s="207"/>
      <c r="T2374" s="207"/>
      <c r="U2374" s="207"/>
      <c r="V2374" s="166">
        <f t="shared" ref="V2374:V2430" si="98">SUM(O2374+Q2374)+S2374+U2374</f>
        <v>0</v>
      </c>
      <c r="W2374" s="205"/>
      <c r="X2374" s="167"/>
    </row>
    <row r="2375" spans="8:24" s="221" customFormat="1" ht="12" hidden="1" customHeight="1">
      <c r="H2375" s="217" t="s">
        <v>6288</v>
      </c>
      <c r="I2375" s="217" t="s">
        <v>6277</v>
      </c>
      <c r="J2375" s="217" t="s">
        <v>753</v>
      </c>
      <c r="K2375" s="217" t="s">
        <v>6289</v>
      </c>
      <c r="L2375" s="217" t="s">
        <v>5</v>
      </c>
      <c r="M2375" s="217"/>
      <c r="N2375" s="218">
        <v>20800</v>
      </c>
      <c r="O2375" s="169">
        <f t="shared" si="97"/>
        <v>0</v>
      </c>
      <c r="P2375" s="169"/>
      <c r="Q2375" s="166"/>
      <c r="R2375" s="207"/>
      <c r="S2375" s="207"/>
      <c r="T2375" s="207"/>
      <c r="U2375" s="207"/>
      <c r="V2375" s="166">
        <f t="shared" si="98"/>
        <v>0</v>
      </c>
      <c r="W2375" s="205"/>
      <c r="X2375" s="167"/>
    </row>
    <row r="2376" spans="8:24" s="221" customFormat="1" ht="12" hidden="1" customHeight="1">
      <c r="H2376" s="217" t="s">
        <v>6290</v>
      </c>
      <c r="I2376" s="217" t="s">
        <v>6277</v>
      </c>
      <c r="J2376" s="217" t="s">
        <v>753</v>
      </c>
      <c r="K2376" s="217" t="s">
        <v>6291</v>
      </c>
      <c r="L2376" s="217" t="s">
        <v>5</v>
      </c>
      <c r="M2376" s="217"/>
      <c r="N2376" s="218">
        <v>24200</v>
      </c>
      <c r="O2376" s="169">
        <f t="shared" si="97"/>
        <v>0</v>
      </c>
      <c r="P2376" s="169"/>
      <c r="Q2376" s="166"/>
      <c r="R2376" s="207"/>
      <c r="S2376" s="207"/>
      <c r="T2376" s="207"/>
      <c r="U2376" s="207"/>
      <c r="V2376" s="166">
        <f t="shared" si="98"/>
        <v>0</v>
      </c>
      <c r="W2376" s="205"/>
      <c r="X2376" s="167"/>
    </row>
    <row r="2377" spans="8:24" s="221" customFormat="1" ht="12" hidden="1" customHeight="1">
      <c r="H2377" s="217" t="s">
        <v>6292</v>
      </c>
      <c r="I2377" s="217" t="s">
        <v>6277</v>
      </c>
      <c r="J2377" s="217" t="s">
        <v>753</v>
      </c>
      <c r="K2377" s="217" t="s">
        <v>6293</v>
      </c>
      <c r="L2377" s="217" t="s">
        <v>5</v>
      </c>
      <c r="M2377" s="217"/>
      <c r="N2377" s="218">
        <v>29400</v>
      </c>
      <c r="O2377" s="169">
        <f t="shared" si="97"/>
        <v>0</v>
      </c>
      <c r="P2377" s="169"/>
      <c r="Q2377" s="166"/>
      <c r="R2377" s="207"/>
      <c r="S2377" s="207"/>
      <c r="T2377" s="207"/>
      <c r="U2377" s="207"/>
      <c r="V2377" s="166">
        <f t="shared" si="98"/>
        <v>0</v>
      </c>
      <c r="W2377" s="205"/>
      <c r="X2377" s="167"/>
    </row>
    <row r="2378" spans="8:24" s="221" customFormat="1" ht="12" hidden="1" customHeight="1">
      <c r="H2378" s="217" t="s">
        <v>6294</v>
      </c>
      <c r="I2378" s="217" t="s">
        <v>6277</v>
      </c>
      <c r="J2378" s="217" t="s">
        <v>753</v>
      </c>
      <c r="K2378" s="217" t="s">
        <v>6295</v>
      </c>
      <c r="L2378" s="217" t="s">
        <v>5</v>
      </c>
      <c r="M2378" s="217"/>
      <c r="N2378" s="218">
        <v>37400</v>
      </c>
      <c r="O2378" s="169">
        <f t="shared" si="97"/>
        <v>0</v>
      </c>
      <c r="P2378" s="169"/>
      <c r="Q2378" s="166"/>
      <c r="R2378" s="207"/>
      <c r="S2378" s="207"/>
      <c r="T2378" s="207"/>
      <c r="U2378" s="207"/>
      <c r="V2378" s="166">
        <f t="shared" si="98"/>
        <v>0</v>
      </c>
      <c r="W2378" s="205"/>
      <c r="X2378" s="167"/>
    </row>
    <row r="2379" spans="8:24" s="221" customFormat="1" ht="12" hidden="1" customHeight="1">
      <c r="H2379" s="217" t="s">
        <v>6296</v>
      </c>
      <c r="I2379" s="217" t="s">
        <v>6277</v>
      </c>
      <c r="J2379" s="217" t="s">
        <v>753</v>
      </c>
      <c r="K2379" s="217" t="s">
        <v>6297</v>
      </c>
      <c r="L2379" s="217" t="s">
        <v>5</v>
      </c>
      <c r="M2379" s="217"/>
      <c r="N2379" s="218">
        <v>47700</v>
      </c>
      <c r="O2379" s="169">
        <f t="shared" si="97"/>
        <v>0</v>
      </c>
      <c r="P2379" s="169"/>
      <c r="Q2379" s="166"/>
      <c r="R2379" s="207"/>
      <c r="S2379" s="207"/>
      <c r="T2379" s="207"/>
      <c r="U2379" s="207"/>
      <c r="V2379" s="166">
        <f t="shared" si="98"/>
        <v>0</v>
      </c>
      <c r="W2379" s="205"/>
      <c r="X2379" s="167"/>
    </row>
    <row r="2380" spans="8:24" s="221" customFormat="1" ht="12" hidden="1" customHeight="1">
      <c r="H2380" s="217" t="s">
        <v>1177</v>
      </c>
      <c r="I2380" s="217" t="s">
        <v>6277</v>
      </c>
      <c r="J2380" s="217" t="s">
        <v>753</v>
      </c>
      <c r="K2380" s="217" t="s">
        <v>754</v>
      </c>
      <c r="L2380" s="217" t="s">
        <v>5</v>
      </c>
      <c r="M2380" s="217"/>
      <c r="N2380" s="218">
        <v>2540</v>
      </c>
      <c r="O2380" s="169">
        <f t="shared" si="97"/>
        <v>0</v>
      </c>
      <c r="P2380" s="169"/>
      <c r="Q2380" s="166"/>
      <c r="R2380" s="207"/>
      <c r="S2380" s="207"/>
      <c r="T2380" s="207"/>
      <c r="U2380" s="207"/>
      <c r="V2380" s="166">
        <f t="shared" si="98"/>
        <v>0</v>
      </c>
      <c r="W2380" s="205"/>
      <c r="X2380" s="167"/>
    </row>
    <row r="2381" spans="8:24" s="221" customFormat="1" ht="12" hidden="1" customHeight="1">
      <c r="H2381" s="217" t="s">
        <v>6298</v>
      </c>
      <c r="I2381" s="217" t="s">
        <v>6277</v>
      </c>
      <c r="J2381" s="217" t="s">
        <v>753</v>
      </c>
      <c r="K2381" s="217" t="s">
        <v>6299</v>
      </c>
      <c r="L2381" s="217" t="s">
        <v>5</v>
      </c>
      <c r="M2381" s="217"/>
      <c r="N2381" s="218">
        <v>3500</v>
      </c>
      <c r="O2381" s="169">
        <f t="shared" si="97"/>
        <v>0</v>
      </c>
      <c r="P2381" s="169"/>
      <c r="Q2381" s="166"/>
      <c r="R2381" s="207"/>
      <c r="S2381" s="207"/>
      <c r="T2381" s="207"/>
      <c r="U2381" s="207"/>
      <c r="V2381" s="166">
        <f t="shared" si="98"/>
        <v>0</v>
      </c>
      <c r="W2381" s="205"/>
      <c r="X2381" s="167"/>
    </row>
    <row r="2382" spans="8:24" s="221" customFormat="1" ht="12" hidden="1" customHeight="1">
      <c r="H2382" s="217" t="s">
        <v>6300</v>
      </c>
      <c r="I2382" s="217" t="s">
        <v>6277</v>
      </c>
      <c r="J2382" s="217" t="s">
        <v>753</v>
      </c>
      <c r="K2382" s="217" t="s">
        <v>6301</v>
      </c>
      <c r="L2382" s="217" t="s">
        <v>5</v>
      </c>
      <c r="M2382" s="217"/>
      <c r="N2382" s="218">
        <v>5570</v>
      </c>
      <c r="O2382" s="169">
        <f t="shared" si="97"/>
        <v>0</v>
      </c>
      <c r="P2382" s="169"/>
      <c r="Q2382" s="166"/>
      <c r="R2382" s="207"/>
      <c r="S2382" s="207"/>
      <c r="T2382" s="207"/>
      <c r="U2382" s="207"/>
      <c r="V2382" s="166">
        <f t="shared" si="98"/>
        <v>0</v>
      </c>
      <c r="W2382" s="205"/>
      <c r="X2382" s="167"/>
    </row>
    <row r="2383" spans="8:24" s="221" customFormat="1" ht="12" hidden="1" customHeight="1">
      <c r="H2383" s="217" t="s">
        <v>6302</v>
      </c>
      <c r="I2383" s="217" t="s">
        <v>6277</v>
      </c>
      <c r="J2383" s="217" t="s">
        <v>753</v>
      </c>
      <c r="K2383" s="217" t="s">
        <v>6303</v>
      </c>
      <c r="L2383" s="217" t="s">
        <v>5</v>
      </c>
      <c r="M2383" s="217"/>
      <c r="N2383" s="218">
        <v>8690</v>
      </c>
      <c r="O2383" s="169">
        <f t="shared" si="97"/>
        <v>0</v>
      </c>
      <c r="P2383" s="169"/>
      <c r="Q2383" s="166"/>
      <c r="R2383" s="207"/>
      <c r="S2383" s="207"/>
      <c r="T2383" s="207"/>
      <c r="U2383" s="207"/>
      <c r="V2383" s="166">
        <f t="shared" si="98"/>
        <v>0</v>
      </c>
      <c r="W2383" s="205"/>
      <c r="X2383" s="167"/>
    </row>
    <row r="2384" spans="8:24" s="221" customFormat="1" ht="12" hidden="1" customHeight="1">
      <c r="H2384" s="217" t="s">
        <v>6304</v>
      </c>
      <c r="I2384" s="217" t="s">
        <v>6277</v>
      </c>
      <c r="J2384" s="217" t="s">
        <v>753</v>
      </c>
      <c r="K2384" s="217" t="s">
        <v>6305</v>
      </c>
      <c r="L2384" s="217" t="s">
        <v>5</v>
      </c>
      <c r="M2384" s="217"/>
      <c r="N2384" s="218">
        <v>13500</v>
      </c>
      <c r="O2384" s="169">
        <f t="shared" si="97"/>
        <v>0</v>
      </c>
      <c r="P2384" s="169"/>
      <c r="Q2384" s="166"/>
      <c r="R2384" s="207"/>
      <c r="S2384" s="207"/>
      <c r="T2384" s="207"/>
      <c r="U2384" s="207"/>
      <c r="V2384" s="166">
        <f t="shared" si="98"/>
        <v>0</v>
      </c>
      <c r="W2384" s="205"/>
      <c r="X2384" s="167"/>
    </row>
    <row r="2385" spans="8:24" s="221" customFormat="1" ht="12" hidden="1" customHeight="1">
      <c r="H2385" s="217" t="s">
        <v>6306</v>
      </c>
      <c r="I2385" s="217" t="s">
        <v>6277</v>
      </c>
      <c r="J2385" s="217" t="s">
        <v>753</v>
      </c>
      <c r="K2385" s="217" t="s">
        <v>6307</v>
      </c>
      <c r="L2385" s="217" t="s">
        <v>5</v>
      </c>
      <c r="M2385" s="217"/>
      <c r="N2385" s="218">
        <v>18000</v>
      </c>
      <c r="O2385" s="169">
        <f t="shared" si="97"/>
        <v>0</v>
      </c>
      <c r="P2385" s="169"/>
      <c r="Q2385" s="166"/>
      <c r="R2385" s="207"/>
      <c r="S2385" s="207"/>
      <c r="T2385" s="207"/>
      <c r="U2385" s="207"/>
      <c r="V2385" s="166">
        <f t="shared" si="98"/>
        <v>0</v>
      </c>
      <c r="W2385" s="205"/>
      <c r="X2385" s="167"/>
    </row>
    <row r="2386" spans="8:24" s="221" customFormat="1" ht="12" hidden="1" customHeight="1">
      <c r="H2386" s="217" t="s">
        <v>6308</v>
      </c>
      <c r="I2386" s="217" t="s">
        <v>6277</v>
      </c>
      <c r="J2386" s="217" t="s">
        <v>753</v>
      </c>
      <c r="K2386" s="217" t="s">
        <v>6309</v>
      </c>
      <c r="L2386" s="217" t="s">
        <v>5</v>
      </c>
      <c r="M2386" s="217"/>
      <c r="N2386" s="218">
        <v>2240</v>
      </c>
      <c r="O2386" s="169">
        <f t="shared" si="97"/>
        <v>0</v>
      </c>
      <c r="P2386" s="169"/>
      <c r="Q2386" s="166"/>
      <c r="R2386" s="207"/>
      <c r="S2386" s="207"/>
      <c r="T2386" s="207"/>
      <c r="U2386" s="207"/>
      <c r="V2386" s="166">
        <f t="shared" si="98"/>
        <v>0</v>
      </c>
      <c r="W2386" s="205"/>
      <c r="X2386" s="167"/>
    </row>
    <row r="2387" spans="8:24" s="221" customFormat="1" ht="12" hidden="1" customHeight="1">
      <c r="H2387" s="217" t="s">
        <v>6310</v>
      </c>
      <c r="I2387" s="217" t="s">
        <v>6277</v>
      </c>
      <c r="J2387" s="217" t="s">
        <v>753</v>
      </c>
      <c r="K2387" s="217" t="s">
        <v>6311</v>
      </c>
      <c r="L2387" s="217" t="s">
        <v>5</v>
      </c>
      <c r="M2387" s="217"/>
      <c r="N2387" s="218">
        <v>3210</v>
      </c>
      <c r="O2387" s="169">
        <f t="shared" si="97"/>
        <v>0</v>
      </c>
      <c r="P2387" s="169"/>
      <c r="Q2387" s="166"/>
      <c r="R2387" s="207"/>
      <c r="S2387" s="207"/>
      <c r="T2387" s="207"/>
      <c r="U2387" s="207"/>
      <c r="V2387" s="166">
        <f t="shared" si="98"/>
        <v>0</v>
      </c>
      <c r="W2387" s="205"/>
      <c r="X2387" s="167"/>
    </row>
    <row r="2388" spans="8:24" s="221" customFormat="1" ht="12" hidden="1" customHeight="1">
      <c r="H2388" s="217" t="s">
        <v>6312</v>
      </c>
      <c r="I2388" s="217" t="s">
        <v>6277</v>
      </c>
      <c r="J2388" s="217" t="s">
        <v>753</v>
      </c>
      <c r="K2388" s="217" t="s">
        <v>6313</v>
      </c>
      <c r="L2388" s="217" t="s">
        <v>5</v>
      </c>
      <c r="M2388" s="217"/>
      <c r="N2388" s="218">
        <v>4510</v>
      </c>
      <c r="O2388" s="169">
        <f t="shared" si="97"/>
        <v>0</v>
      </c>
      <c r="P2388" s="169"/>
      <c r="Q2388" s="166"/>
      <c r="R2388" s="207"/>
      <c r="S2388" s="207"/>
      <c r="T2388" s="207"/>
      <c r="U2388" s="207"/>
      <c r="V2388" s="166">
        <f t="shared" si="98"/>
        <v>0</v>
      </c>
      <c r="W2388" s="205"/>
      <c r="X2388" s="167"/>
    </row>
    <row r="2389" spans="8:24" s="221" customFormat="1" ht="12" hidden="1" customHeight="1">
      <c r="H2389" s="217" t="s">
        <v>6314</v>
      </c>
      <c r="I2389" s="217" t="s">
        <v>6277</v>
      </c>
      <c r="J2389" s="217" t="s">
        <v>753</v>
      </c>
      <c r="K2389" s="217" t="s">
        <v>6315</v>
      </c>
      <c r="L2389" s="217" t="s">
        <v>5</v>
      </c>
      <c r="M2389" s="217"/>
      <c r="N2389" s="218">
        <v>7150</v>
      </c>
      <c r="O2389" s="169">
        <f t="shared" si="97"/>
        <v>0</v>
      </c>
      <c r="P2389" s="169"/>
      <c r="Q2389" s="166"/>
      <c r="R2389" s="207"/>
      <c r="S2389" s="207"/>
      <c r="T2389" s="207"/>
      <c r="U2389" s="207"/>
      <c r="V2389" s="166">
        <f t="shared" si="98"/>
        <v>0</v>
      </c>
      <c r="W2389" s="205"/>
      <c r="X2389" s="167"/>
    </row>
    <row r="2390" spans="8:24" s="221" customFormat="1" ht="12" hidden="1" customHeight="1">
      <c r="H2390" s="217" t="s">
        <v>6316</v>
      </c>
      <c r="I2390" s="217" t="s">
        <v>6277</v>
      </c>
      <c r="J2390" s="217" t="s">
        <v>753</v>
      </c>
      <c r="K2390" s="217" t="s">
        <v>6317</v>
      </c>
      <c r="L2390" s="217" t="s">
        <v>5</v>
      </c>
      <c r="M2390" s="217"/>
      <c r="N2390" s="218">
        <v>11500</v>
      </c>
      <c r="O2390" s="169">
        <f t="shared" si="97"/>
        <v>0</v>
      </c>
      <c r="P2390" s="169"/>
      <c r="Q2390" s="166"/>
      <c r="R2390" s="207"/>
      <c r="S2390" s="207"/>
      <c r="T2390" s="207"/>
      <c r="U2390" s="207"/>
      <c r="V2390" s="166">
        <f t="shared" si="98"/>
        <v>0</v>
      </c>
      <c r="W2390" s="205"/>
      <c r="X2390" s="167"/>
    </row>
    <row r="2391" spans="8:24" s="221" customFormat="1" ht="12" hidden="1" customHeight="1">
      <c r="H2391" s="217" t="s">
        <v>6318</v>
      </c>
      <c r="I2391" s="217" t="s">
        <v>6277</v>
      </c>
      <c r="J2391" s="217" t="s">
        <v>753</v>
      </c>
      <c r="K2391" s="217" t="s">
        <v>6319</v>
      </c>
      <c r="L2391" s="217" t="s">
        <v>5</v>
      </c>
      <c r="M2391" s="217"/>
      <c r="N2391" s="218">
        <v>17800</v>
      </c>
      <c r="O2391" s="169">
        <f t="shared" si="97"/>
        <v>0</v>
      </c>
      <c r="P2391" s="169"/>
      <c r="Q2391" s="166"/>
      <c r="R2391" s="207"/>
      <c r="S2391" s="207"/>
      <c r="T2391" s="207"/>
      <c r="U2391" s="207"/>
      <c r="V2391" s="166">
        <f t="shared" si="98"/>
        <v>0</v>
      </c>
      <c r="W2391" s="205"/>
      <c r="X2391" s="167"/>
    </row>
    <row r="2392" spans="8:24" s="221" customFormat="1" ht="12" hidden="1" customHeight="1">
      <c r="H2392" s="217" t="s">
        <v>6320</v>
      </c>
      <c r="I2392" s="217" t="s">
        <v>6277</v>
      </c>
      <c r="J2392" s="217" t="s">
        <v>753</v>
      </c>
      <c r="K2392" s="217" t="s">
        <v>6321</v>
      </c>
      <c r="L2392" s="217" t="s">
        <v>5</v>
      </c>
      <c r="M2392" s="217"/>
      <c r="N2392" s="218">
        <v>23700</v>
      </c>
      <c r="O2392" s="169">
        <f t="shared" si="97"/>
        <v>0</v>
      </c>
      <c r="P2392" s="169"/>
      <c r="Q2392" s="166"/>
      <c r="R2392" s="207"/>
      <c r="S2392" s="207"/>
      <c r="T2392" s="207"/>
      <c r="U2392" s="207"/>
      <c r="V2392" s="166">
        <f t="shared" si="98"/>
        <v>0</v>
      </c>
      <c r="W2392" s="205"/>
      <c r="X2392" s="167"/>
    </row>
    <row r="2393" spans="8:24" s="221" customFormat="1" ht="12" hidden="1" customHeight="1">
      <c r="H2393" s="217" t="s">
        <v>6322</v>
      </c>
      <c r="I2393" s="217" t="s">
        <v>6277</v>
      </c>
      <c r="J2393" s="217" t="s">
        <v>753</v>
      </c>
      <c r="K2393" s="217" t="s">
        <v>6323</v>
      </c>
      <c r="L2393" s="217" t="s">
        <v>5</v>
      </c>
      <c r="M2393" s="217"/>
      <c r="N2393" s="218">
        <v>32700</v>
      </c>
      <c r="O2393" s="169">
        <f t="shared" si="97"/>
        <v>0</v>
      </c>
      <c r="P2393" s="169"/>
      <c r="Q2393" s="166"/>
      <c r="R2393" s="207"/>
      <c r="S2393" s="207"/>
      <c r="T2393" s="207"/>
      <c r="U2393" s="207"/>
      <c r="V2393" s="166">
        <f t="shared" si="98"/>
        <v>0</v>
      </c>
      <c r="W2393" s="205"/>
      <c r="X2393" s="167"/>
    </row>
    <row r="2394" spans="8:24" s="221" customFormat="1" ht="12" hidden="1" customHeight="1">
      <c r="H2394" s="217" t="s">
        <v>6324</v>
      </c>
      <c r="I2394" s="217" t="s">
        <v>6277</v>
      </c>
      <c r="J2394" s="217" t="s">
        <v>753</v>
      </c>
      <c r="K2394" s="217" t="s">
        <v>6325</v>
      </c>
      <c r="L2394" s="217" t="s">
        <v>5</v>
      </c>
      <c r="M2394" s="217"/>
      <c r="N2394" s="218">
        <v>45900</v>
      </c>
      <c r="O2394" s="169">
        <f t="shared" si="97"/>
        <v>0</v>
      </c>
      <c r="P2394" s="169"/>
      <c r="Q2394" s="166"/>
      <c r="R2394" s="207"/>
      <c r="S2394" s="207"/>
      <c r="T2394" s="207"/>
      <c r="U2394" s="207"/>
      <c r="V2394" s="166">
        <f t="shared" si="98"/>
        <v>0</v>
      </c>
      <c r="W2394" s="205"/>
      <c r="X2394" s="167"/>
    </row>
    <row r="2395" spans="8:24" s="221" customFormat="1" ht="12" hidden="1" customHeight="1">
      <c r="H2395" s="217" t="s">
        <v>6326</v>
      </c>
      <c r="I2395" s="217" t="s">
        <v>6327</v>
      </c>
      <c r="J2395" s="217" t="s">
        <v>6328</v>
      </c>
      <c r="K2395" s="217" t="s">
        <v>6329</v>
      </c>
      <c r="L2395" s="217" t="s">
        <v>92</v>
      </c>
      <c r="M2395" s="217"/>
      <c r="N2395" s="218">
        <v>184000</v>
      </c>
      <c r="O2395" s="169">
        <f t="shared" si="97"/>
        <v>0</v>
      </c>
      <c r="P2395" s="169"/>
      <c r="Q2395" s="166"/>
      <c r="R2395" s="207"/>
      <c r="S2395" s="207"/>
      <c r="T2395" s="207"/>
      <c r="U2395" s="207"/>
      <c r="V2395" s="166">
        <f t="shared" si="98"/>
        <v>0</v>
      </c>
      <c r="W2395" s="205"/>
      <c r="X2395" s="167"/>
    </row>
    <row r="2396" spans="8:24" s="221" customFormat="1" ht="12" hidden="1" customHeight="1">
      <c r="H2396" s="217" t="s">
        <v>6330</v>
      </c>
      <c r="I2396" s="217" t="s">
        <v>6327</v>
      </c>
      <c r="J2396" s="217" t="s">
        <v>6328</v>
      </c>
      <c r="K2396" s="217" t="s">
        <v>6331</v>
      </c>
      <c r="L2396" s="217" t="s">
        <v>92</v>
      </c>
      <c r="M2396" s="217"/>
      <c r="N2396" s="218">
        <v>208000</v>
      </c>
      <c r="O2396" s="169">
        <f t="shared" si="97"/>
        <v>0</v>
      </c>
      <c r="P2396" s="169"/>
      <c r="Q2396" s="166"/>
      <c r="R2396" s="207"/>
      <c r="S2396" s="207"/>
      <c r="T2396" s="207"/>
      <c r="U2396" s="207"/>
      <c r="V2396" s="166">
        <f t="shared" si="98"/>
        <v>0</v>
      </c>
      <c r="W2396" s="205"/>
      <c r="X2396" s="167"/>
    </row>
    <row r="2397" spans="8:24" s="221" customFormat="1" ht="12" hidden="1" customHeight="1">
      <c r="H2397" s="217" t="s">
        <v>6332</v>
      </c>
      <c r="I2397" s="217" t="s">
        <v>6327</v>
      </c>
      <c r="J2397" s="217" t="s">
        <v>6328</v>
      </c>
      <c r="K2397" s="217" t="s">
        <v>6333</v>
      </c>
      <c r="L2397" s="217" t="s">
        <v>92</v>
      </c>
      <c r="M2397" s="217"/>
      <c r="N2397" s="218">
        <v>325000</v>
      </c>
      <c r="O2397" s="169">
        <f t="shared" si="97"/>
        <v>0</v>
      </c>
      <c r="P2397" s="169"/>
      <c r="Q2397" s="166"/>
      <c r="R2397" s="207"/>
      <c r="S2397" s="207"/>
      <c r="T2397" s="207"/>
      <c r="U2397" s="207"/>
      <c r="V2397" s="166">
        <f t="shared" si="98"/>
        <v>0</v>
      </c>
      <c r="W2397" s="205"/>
      <c r="X2397" s="167"/>
    </row>
    <row r="2398" spans="8:24" s="221" customFormat="1" ht="12" hidden="1" customHeight="1">
      <c r="H2398" s="217" t="s">
        <v>6334</v>
      </c>
      <c r="I2398" s="217" t="s">
        <v>6327</v>
      </c>
      <c r="J2398" s="217" t="s">
        <v>6328</v>
      </c>
      <c r="K2398" s="217" t="s">
        <v>6335</v>
      </c>
      <c r="L2398" s="217" t="s">
        <v>92</v>
      </c>
      <c r="M2398" s="217"/>
      <c r="N2398" s="218">
        <v>525000</v>
      </c>
      <c r="O2398" s="169">
        <f t="shared" si="97"/>
        <v>0</v>
      </c>
      <c r="P2398" s="169"/>
      <c r="Q2398" s="166"/>
      <c r="R2398" s="207"/>
      <c r="S2398" s="207"/>
      <c r="T2398" s="207"/>
      <c r="U2398" s="207"/>
      <c r="V2398" s="166">
        <f t="shared" si="98"/>
        <v>0</v>
      </c>
      <c r="W2398" s="205"/>
      <c r="X2398" s="167"/>
    </row>
    <row r="2399" spans="8:24" s="221" customFormat="1" ht="12" hidden="1" customHeight="1">
      <c r="H2399" s="217" t="s">
        <v>6336</v>
      </c>
      <c r="I2399" s="217" t="s">
        <v>6327</v>
      </c>
      <c r="J2399" s="217" t="s">
        <v>6328</v>
      </c>
      <c r="K2399" s="217" t="s">
        <v>6337</v>
      </c>
      <c r="L2399" s="217" t="s">
        <v>92</v>
      </c>
      <c r="M2399" s="217"/>
      <c r="N2399" s="218">
        <v>657000</v>
      </c>
      <c r="O2399" s="169">
        <f t="shared" si="97"/>
        <v>0</v>
      </c>
      <c r="P2399" s="169"/>
      <c r="Q2399" s="166"/>
      <c r="R2399" s="207"/>
      <c r="S2399" s="207"/>
      <c r="T2399" s="207"/>
      <c r="U2399" s="207"/>
      <c r="V2399" s="166">
        <f t="shared" si="98"/>
        <v>0</v>
      </c>
      <c r="W2399" s="205"/>
      <c r="X2399" s="167"/>
    </row>
    <row r="2400" spans="8:24" s="221" customFormat="1" ht="12" hidden="1" customHeight="1">
      <c r="H2400" s="217" t="s">
        <v>6338</v>
      </c>
      <c r="I2400" s="217" t="s">
        <v>6327</v>
      </c>
      <c r="J2400" s="217" t="s">
        <v>6328</v>
      </c>
      <c r="K2400" s="217" t="s">
        <v>6339</v>
      </c>
      <c r="L2400" s="217" t="s">
        <v>92</v>
      </c>
      <c r="M2400" s="217"/>
      <c r="N2400" s="218">
        <v>719000</v>
      </c>
      <c r="O2400" s="169">
        <f t="shared" si="97"/>
        <v>0</v>
      </c>
      <c r="P2400" s="169"/>
      <c r="Q2400" s="166"/>
      <c r="R2400" s="207"/>
      <c r="S2400" s="207"/>
      <c r="T2400" s="207"/>
      <c r="U2400" s="207"/>
      <c r="V2400" s="166">
        <f t="shared" si="98"/>
        <v>0</v>
      </c>
      <c r="W2400" s="205"/>
      <c r="X2400" s="167"/>
    </row>
    <row r="2401" spans="8:40" s="221" customFormat="1" ht="12" hidden="1" customHeight="1">
      <c r="H2401" s="217" t="s">
        <v>6340</v>
      </c>
      <c r="I2401" s="217" t="s">
        <v>6327</v>
      </c>
      <c r="J2401" s="217" t="s">
        <v>6328</v>
      </c>
      <c r="K2401" s="217" t="s">
        <v>6341</v>
      </c>
      <c r="L2401" s="217" t="s">
        <v>92</v>
      </c>
      <c r="M2401" s="217"/>
      <c r="N2401" s="218">
        <v>784000</v>
      </c>
      <c r="O2401" s="169">
        <f t="shared" si="97"/>
        <v>0</v>
      </c>
      <c r="P2401" s="169"/>
      <c r="Q2401" s="166"/>
      <c r="R2401" s="207"/>
      <c r="S2401" s="207"/>
      <c r="T2401" s="207"/>
      <c r="U2401" s="207"/>
      <c r="V2401" s="166">
        <f t="shared" si="98"/>
        <v>0</v>
      </c>
      <c r="W2401" s="205"/>
      <c r="X2401" s="167"/>
    </row>
    <row r="2402" spans="8:40" s="221" customFormat="1" ht="12" hidden="1" customHeight="1">
      <c r="H2402" s="217" t="s">
        <v>6342</v>
      </c>
      <c r="I2402" s="217" t="s">
        <v>6327</v>
      </c>
      <c r="J2402" s="217" t="s">
        <v>6328</v>
      </c>
      <c r="K2402" s="217" t="s">
        <v>6343</v>
      </c>
      <c r="L2402" s="217" t="s">
        <v>92</v>
      </c>
      <c r="M2402" s="217"/>
      <c r="N2402" s="218">
        <v>942000</v>
      </c>
      <c r="O2402" s="169">
        <f t="shared" si="97"/>
        <v>0</v>
      </c>
      <c r="P2402" s="169"/>
      <c r="Q2402" s="166"/>
      <c r="R2402" s="207"/>
      <c r="S2402" s="207"/>
      <c r="T2402" s="207"/>
      <c r="U2402" s="207"/>
      <c r="V2402" s="166">
        <f t="shared" si="98"/>
        <v>0</v>
      </c>
      <c r="W2402" s="205"/>
      <c r="X2402" s="167"/>
    </row>
    <row r="2403" spans="8:40" s="221" customFormat="1" ht="12" hidden="1" customHeight="1">
      <c r="H2403" s="217" t="s">
        <v>6344</v>
      </c>
      <c r="I2403" s="217" t="s">
        <v>6210</v>
      </c>
      <c r="J2403" s="217" t="s">
        <v>6345</v>
      </c>
      <c r="K2403" s="217" t="s">
        <v>6346</v>
      </c>
      <c r="L2403" s="217" t="s">
        <v>92</v>
      </c>
      <c r="M2403" s="217"/>
      <c r="N2403" s="218">
        <v>370</v>
      </c>
      <c r="O2403" s="169">
        <f t="shared" si="97"/>
        <v>0</v>
      </c>
      <c r="P2403" s="169"/>
      <c r="Q2403" s="166"/>
      <c r="R2403" s="207"/>
      <c r="S2403" s="207"/>
      <c r="T2403" s="207"/>
      <c r="U2403" s="207"/>
      <c r="V2403" s="166">
        <f t="shared" si="98"/>
        <v>0</v>
      </c>
      <c r="W2403" s="205"/>
      <c r="X2403" s="167"/>
    </row>
    <row r="2404" spans="8:40" s="221" customFormat="1" ht="12" hidden="1" customHeight="1">
      <c r="H2404" s="217" t="s">
        <v>6347</v>
      </c>
      <c r="I2404" s="217" t="s">
        <v>6210</v>
      </c>
      <c r="J2404" s="217" t="s">
        <v>6348</v>
      </c>
      <c r="K2404" s="217" t="s">
        <v>6349</v>
      </c>
      <c r="L2404" s="217" t="s">
        <v>92</v>
      </c>
      <c r="M2404" s="217"/>
      <c r="N2404" s="218">
        <v>870</v>
      </c>
      <c r="O2404" s="169">
        <f t="shared" si="97"/>
        <v>0</v>
      </c>
      <c r="P2404" s="169"/>
      <c r="Q2404" s="166"/>
      <c r="R2404" s="207"/>
      <c r="S2404" s="207"/>
      <c r="T2404" s="207"/>
      <c r="U2404" s="207"/>
      <c r="V2404" s="166">
        <f t="shared" si="98"/>
        <v>0</v>
      </c>
      <c r="W2404" s="205"/>
      <c r="X2404" s="167"/>
    </row>
    <row r="2405" spans="8:40" s="221" customFormat="1" ht="12" hidden="1" customHeight="1">
      <c r="H2405" s="217" t="s">
        <v>6350</v>
      </c>
      <c r="I2405" s="217" t="s">
        <v>6352</v>
      </c>
      <c r="J2405" s="217" t="s">
        <v>6353</v>
      </c>
      <c r="K2405" s="217" t="s">
        <v>6354</v>
      </c>
      <c r="L2405" s="217" t="s">
        <v>92</v>
      </c>
      <c r="M2405" s="217"/>
      <c r="N2405" s="218">
        <v>1240</v>
      </c>
      <c r="O2405" s="169">
        <f t="shared" si="97"/>
        <v>0</v>
      </c>
      <c r="P2405" s="169"/>
      <c r="Q2405" s="166"/>
      <c r="R2405" s="207"/>
      <c r="S2405" s="207"/>
      <c r="T2405" s="207"/>
      <c r="U2405" s="207"/>
      <c r="V2405" s="166">
        <f t="shared" si="98"/>
        <v>0</v>
      </c>
      <c r="W2405" s="205"/>
      <c r="X2405" s="167"/>
    </row>
    <row r="2406" spans="8:40" s="221" customFormat="1" ht="12" hidden="1" customHeight="1">
      <c r="H2406" s="217" t="s">
        <v>6351</v>
      </c>
      <c r="I2406" s="217" t="s">
        <v>6352</v>
      </c>
      <c r="J2406" s="217" t="s">
        <v>6353</v>
      </c>
      <c r="K2406" s="217" t="s">
        <v>6355</v>
      </c>
      <c r="L2406" s="217" t="s">
        <v>92</v>
      </c>
      <c r="M2406" s="217"/>
      <c r="N2406" s="218">
        <v>1240</v>
      </c>
      <c r="O2406" s="169">
        <f t="shared" si="97"/>
        <v>0</v>
      </c>
      <c r="P2406" s="169"/>
      <c r="Q2406" s="166"/>
      <c r="R2406" s="207"/>
      <c r="S2406" s="207"/>
      <c r="T2406" s="207"/>
      <c r="U2406" s="207"/>
      <c r="V2406" s="166">
        <f t="shared" si="98"/>
        <v>0</v>
      </c>
      <c r="W2406" s="205"/>
      <c r="X2406" s="167"/>
    </row>
    <row r="2407" spans="8:40" s="221" customFormat="1" ht="12" hidden="1" customHeight="1">
      <c r="H2407" s="217" t="s">
        <v>6356</v>
      </c>
      <c r="I2407" s="217" t="s">
        <v>6352</v>
      </c>
      <c r="J2407" s="217" t="s">
        <v>6353</v>
      </c>
      <c r="K2407" s="217" t="s">
        <v>6358</v>
      </c>
      <c r="L2407" s="217" t="s">
        <v>92</v>
      </c>
      <c r="M2407" s="217"/>
      <c r="N2407" s="218">
        <v>2200</v>
      </c>
      <c r="O2407" s="169">
        <f t="shared" si="97"/>
        <v>0</v>
      </c>
      <c r="P2407" s="169"/>
      <c r="Q2407" s="166"/>
      <c r="R2407" s="207"/>
      <c r="S2407" s="207"/>
      <c r="T2407" s="207"/>
      <c r="U2407" s="207"/>
      <c r="V2407" s="166">
        <f t="shared" si="98"/>
        <v>0</v>
      </c>
      <c r="W2407" s="205"/>
      <c r="X2407" s="167"/>
    </row>
    <row r="2408" spans="8:40" s="221" customFormat="1" ht="12" hidden="1" customHeight="1">
      <c r="H2408" s="217" t="s">
        <v>6357</v>
      </c>
      <c r="I2408" s="217" t="s">
        <v>6352</v>
      </c>
      <c r="J2408" s="217" t="s">
        <v>6353</v>
      </c>
      <c r="K2408" s="217" t="s">
        <v>6359</v>
      </c>
      <c r="L2408" s="217" t="s">
        <v>92</v>
      </c>
      <c r="M2408" s="217"/>
      <c r="N2408" s="218">
        <v>2200</v>
      </c>
      <c r="O2408" s="169">
        <f t="shared" si="97"/>
        <v>0</v>
      </c>
      <c r="P2408" s="169"/>
      <c r="Q2408" s="166"/>
      <c r="R2408" s="207"/>
      <c r="S2408" s="207"/>
      <c r="T2408" s="207"/>
      <c r="U2408" s="207"/>
      <c r="V2408" s="166">
        <f t="shared" si="98"/>
        <v>0</v>
      </c>
      <c r="W2408" s="205"/>
      <c r="X2408" s="167"/>
    </row>
    <row r="2409" spans="8:40" s="221" customFormat="1" ht="12" hidden="1" customHeight="1">
      <c r="H2409" s="217" t="s">
        <v>6360</v>
      </c>
      <c r="I2409" s="217" t="s">
        <v>6352</v>
      </c>
      <c r="J2409" s="217" t="s">
        <v>6353</v>
      </c>
      <c r="K2409" s="217" t="s">
        <v>6361</v>
      </c>
      <c r="L2409" s="217" t="s">
        <v>92</v>
      </c>
      <c r="M2409" s="217"/>
      <c r="N2409" s="218">
        <v>3700</v>
      </c>
      <c r="O2409" s="169">
        <f t="shared" si="97"/>
        <v>0</v>
      </c>
      <c r="P2409" s="169"/>
      <c r="Q2409" s="166"/>
      <c r="R2409" s="207"/>
      <c r="S2409" s="207"/>
      <c r="T2409" s="207"/>
      <c r="U2409" s="207"/>
      <c r="V2409" s="166">
        <f t="shared" si="98"/>
        <v>0</v>
      </c>
      <c r="W2409" s="205"/>
      <c r="X2409" s="167"/>
    </row>
    <row r="2410" spans="8:40" s="221" customFormat="1" ht="12" hidden="1" customHeight="1">
      <c r="H2410" s="217" t="s">
        <v>6362</v>
      </c>
      <c r="I2410" s="217" t="s">
        <v>6352</v>
      </c>
      <c r="J2410" s="217" t="s">
        <v>6353</v>
      </c>
      <c r="K2410" s="217" t="s">
        <v>6363</v>
      </c>
      <c r="L2410" s="217" t="s">
        <v>92</v>
      </c>
      <c r="M2410" s="217"/>
      <c r="N2410" s="218">
        <v>5400</v>
      </c>
      <c r="O2410" s="169">
        <f t="shared" si="97"/>
        <v>0</v>
      </c>
      <c r="P2410" s="169"/>
      <c r="Q2410" s="166"/>
      <c r="R2410" s="207"/>
      <c r="S2410" s="207"/>
      <c r="T2410" s="207"/>
      <c r="U2410" s="207"/>
      <c r="V2410" s="166">
        <f t="shared" si="98"/>
        <v>0</v>
      </c>
      <c r="W2410" s="205"/>
      <c r="X2410" s="167"/>
    </row>
    <row r="2411" spans="8:40" s="221" customFormat="1" ht="12" hidden="1" customHeight="1">
      <c r="H2411" s="217" t="s">
        <v>6364</v>
      </c>
      <c r="I2411" s="217" t="s">
        <v>6352</v>
      </c>
      <c r="J2411" s="217" t="s">
        <v>6353</v>
      </c>
      <c r="K2411" s="217" t="s">
        <v>6365</v>
      </c>
      <c r="L2411" s="217" t="s">
        <v>92</v>
      </c>
      <c r="M2411" s="217"/>
      <c r="N2411" s="218">
        <v>6100</v>
      </c>
      <c r="O2411" s="169">
        <f t="shared" si="97"/>
        <v>0</v>
      </c>
      <c r="P2411" s="169"/>
      <c r="Q2411" s="166"/>
      <c r="R2411" s="207"/>
      <c r="S2411" s="207"/>
      <c r="T2411" s="207"/>
      <c r="U2411" s="207"/>
      <c r="V2411" s="166">
        <f t="shared" si="98"/>
        <v>0</v>
      </c>
      <c r="W2411" s="205"/>
      <c r="X2411" s="167"/>
    </row>
    <row r="2412" spans="8:40" s="221" customFormat="1" ht="12" hidden="1" customHeight="1">
      <c r="H2412" s="217" t="s">
        <v>6366</v>
      </c>
      <c r="I2412" s="217" t="s">
        <v>6352</v>
      </c>
      <c r="J2412" s="217" t="s">
        <v>6353</v>
      </c>
      <c r="K2412" s="217" t="s">
        <v>6367</v>
      </c>
      <c r="L2412" s="217" t="s">
        <v>92</v>
      </c>
      <c r="M2412" s="217"/>
      <c r="N2412" s="218">
        <v>6700</v>
      </c>
      <c r="O2412" s="169">
        <f t="shared" si="97"/>
        <v>0</v>
      </c>
      <c r="P2412" s="169"/>
      <c r="Q2412" s="166"/>
      <c r="R2412" s="207"/>
      <c r="S2412" s="207"/>
      <c r="T2412" s="207"/>
      <c r="U2412" s="207"/>
      <c r="V2412" s="166">
        <f t="shared" si="98"/>
        <v>0</v>
      </c>
      <c r="W2412" s="205"/>
      <c r="X2412" s="167"/>
    </row>
    <row r="2413" spans="8:40" s="221" customFormat="1" ht="12" hidden="1" customHeight="1">
      <c r="H2413" s="217" t="s">
        <v>6368</v>
      </c>
      <c r="I2413" s="217" t="s">
        <v>6352</v>
      </c>
      <c r="J2413" s="217" t="s">
        <v>6353</v>
      </c>
      <c r="K2413" s="217" t="s">
        <v>6369</v>
      </c>
      <c r="L2413" s="217" t="s">
        <v>92</v>
      </c>
      <c r="M2413" s="217"/>
      <c r="N2413" s="218">
        <v>7800</v>
      </c>
      <c r="O2413" s="169">
        <f t="shared" si="97"/>
        <v>0</v>
      </c>
      <c r="P2413" s="169"/>
      <c r="Q2413" s="166"/>
      <c r="R2413" s="207"/>
      <c r="S2413" s="207"/>
      <c r="T2413" s="207"/>
      <c r="U2413" s="207"/>
      <c r="V2413" s="166">
        <f t="shared" si="98"/>
        <v>0</v>
      </c>
      <c r="W2413" s="205"/>
      <c r="X2413" s="167"/>
    </row>
    <row r="2414" spans="8:40" s="221" customFormat="1" ht="12" hidden="1" customHeight="1">
      <c r="H2414" s="217" t="s">
        <v>6370</v>
      </c>
      <c r="I2414" s="217" t="s">
        <v>6352</v>
      </c>
      <c r="J2414" s="217" t="s">
        <v>6353</v>
      </c>
      <c r="K2414" s="217" t="s">
        <v>6371</v>
      </c>
      <c r="L2414" s="217" t="s">
        <v>92</v>
      </c>
      <c r="M2414" s="217"/>
      <c r="N2414" s="218">
        <v>10400</v>
      </c>
      <c r="O2414" s="169">
        <f t="shared" si="97"/>
        <v>0</v>
      </c>
      <c r="P2414" s="169"/>
      <c r="Q2414" s="166"/>
      <c r="R2414" s="207"/>
      <c r="S2414" s="207"/>
      <c r="T2414" s="207"/>
      <c r="U2414" s="207"/>
      <c r="V2414" s="166">
        <f t="shared" si="98"/>
        <v>0</v>
      </c>
      <c r="W2414" s="205"/>
      <c r="X2414" s="167"/>
    </row>
    <row r="2415" spans="8:40" s="221" customFormat="1" ht="12" hidden="1" customHeight="1">
      <c r="H2415" s="217" t="s">
        <v>6372</v>
      </c>
      <c r="I2415" s="217" t="s">
        <v>6352</v>
      </c>
      <c r="J2415" s="217" t="s">
        <v>6353</v>
      </c>
      <c r="K2415" s="217" t="s">
        <v>6373</v>
      </c>
      <c r="L2415" s="217" t="s">
        <v>92</v>
      </c>
      <c r="M2415" s="217"/>
      <c r="N2415" s="218">
        <v>18900</v>
      </c>
      <c r="O2415" s="169">
        <f t="shared" si="97"/>
        <v>0</v>
      </c>
      <c r="P2415" s="169"/>
      <c r="Q2415" s="166"/>
      <c r="R2415" s="207"/>
      <c r="S2415" s="207"/>
      <c r="T2415" s="207"/>
      <c r="U2415" s="207"/>
      <c r="V2415" s="166">
        <f t="shared" si="98"/>
        <v>0</v>
      </c>
      <c r="W2415" s="205"/>
      <c r="X2415" s="167"/>
    </row>
    <row r="2416" spans="8:40" s="221" customFormat="1" ht="12" hidden="1" customHeight="1">
      <c r="H2416" s="217" t="s">
        <v>6374</v>
      </c>
      <c r="I2416" s="217" t="s">
        <v>6376</v>
      </c>
      <c r="J2416" s="217" t="s">
        <v>752</v>
      </c>
      <c r="K2416" s="217" t="s">
        <v>6377</v>
      </c>
      <c r="L2416" s="217" t="s">
        <v>92</v>
      </c>
      <c r="M2416" s="217"/>
      <c r="N2416" s="218">
        <v>760</v>
      </c>
      <c r="O2416" s="169">
        <f t="shared" si="97"/>
        <v>0</v>
      </c>
      <c r="P2416" s="169"/>
      <c r="Q2416" s="166"/>
      <c r="R2416" s="207"/>
      <c r="S2416" s="207"/>
      <c r="T2416" s="207"/>
      <c r="U2416" s="207"/>
      <c r="V2416" s="166">
        <f t="shared" si="98"/>
        <v>0</v>
      </c>
      <c r="W2416" s="205"/>
      <c r="X2416" s="167"/>
      <c r="Y2416" s="190"/>
      <c r="Z2416" s="190"/>
      <c r="AA2416" s="190"/>
      <c r="AB2416" s="190"/>
      <c r="AC2416" s="190"/>
      <c r="AD2416" s="190"/>
      <c r="AE2416" s="190"/>
      <c r="AF2416" s="190"/>
      <c r="AG2416" s="190"/>
      <c r="AH2416" s="190"/>
      <c r="AI2416" s="190"/>
      <c r="AJ2416" s="190"/>
      <c r="AK2416" s="190"/>
      <c r="AL2416" s="190"/>
      <c r="AM2416" s="190"/>
      <c r="AN2416" s="190"/>
    </row>
    <row r="2417" spans="8:40" s="221" customFormat="1" ht="12" hidden="1" customHeight="1">
      <c r="H2417" s="217" t="s">
        <v>6375</v>
      </c>
      <c r="I2417" s="217" t="s">
        <v>6376</v>
      </c>
      <c r="J2417" s="217" t="s">
        <v>752</v>
      </c>
      <c r="K2417" s="217" t="s">
        <v>6378</v>
      </c>
      <c r="L2417" s="217" t="s">
        <v>92</v>
      </c>
      <c r="M2417" s="217"/>
      <c r="N2417" s="218">
        <v>760</v>
      </c>
      <c r="O2417" s="169">
        <f t="shared" si="97"/>
        <v>0</v>
      </c>
      <c r="P2417" s="169"/>
      <c r="Q2417" s="166"/>
      <c r="R2417" s="207"/>
      <c r="S2417" s="207"/>
      <c r="T2417" s="207"/>
      <c r="U2417" s="207"/>
      <c r="V2417" s="166">
        <f t="shared" si="98"/>
        <v>0</v>
      </c>
      <c r="W2417" s="205"/>
      <c r="X2417" s="167"/>
      <c r="Y2417" s="190"/>
      <c r="Z2417" s="190"/>
      <c r="AA2417" s="190"/>
      <c r="AB2417" s="190"/>
      <c r="AC2417" s="190"/>
      <c r="AD2417" s="190"/>
      <c r="AE2417" s="190"/>
      <c r="AF2417" s="190"/>
      <c r="AG2417" s="190"/>
      <c r="AH2417" s="190"/>
      <c r="AI2417" s="190"/>
      <c r="AJ2417" s="190"/>
      <c r="AK2417" s="190"/>
      <c r="AL2417" s="190"/>
      <c r="AM2417" s="190"/>
      <c r="AN2417" s="190"/>
    </row>
    <row r="2418" spans="8:40" s="221" customFormat="1" ht="12" hidden="1" customHeight="1">
      <c r="H2418" s="217" t="s">
        <v>6379</v>
      </c>
      <c r="I2418" s="217" t="s">
        <v>6380</v>
      </c>
      <c r="J2418" s="217" t="s">
        <v>6381</v>
      </c>
      <c r="K2418" s="217" t="s">
        <v>6382</v>
      </c>
      <c r="L2418" s="217" t="s">
        <v>92</v>
      </c>
      <c r="M2418" s="217"/>
      <c r="N2418" s="218">
        <v>1470</v>
      </c>
      <c r="O2418" s="169">
        <f t="shared" si="97"/>
        <v>0</v>
      </c>
      <c r="P2418" s="169"/>
      <c r="Q2418" s="166"/>
      <c r="R2418" s="207"/>
      <c r="S2418" s="207"/>
      <c r="T2418" s="207"/>
      <c r="U2418" s="207"/>
      <c r="V2418" s="166">
        <f t="shared" si="98"/>
        <v>0</v>
      </c>
      <c r="W2418" s="205"/>
      <c r="X2418" s="167"/>
      <c r="Y2418" s="190"/>
      <c r="Z2418" s="190"/>
      <c r="AA2418" s="190"/>
      <c r="AB2418" s="190"/>
      <c r="AC2418" s="190"/>
      <c r="AD2418" s="190"/>
      <c r="AE2418" s="190"/>
      <c r="AF2418" s="190"/>
      <c r="AG2418" s="190"/>
      <c r="AH2418" s="190"/>
      <c r="AI2418" s="190"/>
      <c r="AJ2418" s="190"/>
      <c r="AK2418" s="190"/>
      <c r="AL2418" s="190"/>
      <c r="AM2418" s="190"/>
      <c r="AN2418" s="190"/>
    </row>
    <row r="2419" spans="8:40" s="221" customFormat="1" ht="12" hidden="1" customHeight="1">
      <c r="H2419" s="217" t="s">
        <v>6383</v>
      </c>
      <c r="I2419" s="217" t="s">
        <v>6376</v>
      </c>
      <c r="J2419" s="217" t="s">
        <v>752</v>
      </c>
      <c r="K2419" s="217" t="s">
        <v>6384</v>
      </c>
      <c r="L2419" s="217" t="s">
        <v>92</v>
      </c>
      <c r="M2419" s="217"/>
      <c r="N2419" s="218">
        <v>1530</v>
      </c>
      <c r="O2419" s="169">
        <f t="shared" si="97"/>
        <v>0</v>
      </c>
      <c r="P2419" s="169"/>
      <c r="Q2419" s="166"/>
      <c r="R2419" s="207"/>
      <c r="S2419" s="207"/>
      <c r="T2419" s="207"/>
      <c r="U2419" s="207"/>
      <c r="V2419" s="166">
        <f t="shared" si="98"/>
        <v>0</v>
      </c>
      <c r="W2419" s="205"/>
      <c r="X2419" s="167"/>
      <c r="Y2419" s="190"/>
      <c r="Z2419" s="190"/>
      <c r="AA2419" s="190"/>
      <c r="AB2419" s="190"/>
      <c r="AC2419" s="190"/>
      <c r="AD2419" s="190"/>
      <c r="AE2419" s="190"/>
      <c r="AF2419" s="190"/>
      <c r="AG2419" s="190"/>
      <c r="AH2419" s="190"/>
      <c r="AI2419" s="190"/>
      <c r="AJ2419" s="190"/>
      <c r="AK2419" s="190"/>
      <c r="AL2419" s="190"/>
      <c r="AM2419" s="190"/>
      <c r="AN2419" s="190"/>
    </row>
    <row r="2420" spans="8:40" s="221" customFormat="1" ht="12" hidden="1" customHeight="1">
      <c r="H2420" s="217" t="s">
        <v>1176</v>
      </c>
      <c r="I2420" s="217" t="s">
        <v>6376</v>
      </c>
      <c r="J2420" s="217" t="s">
        <v>752</v>
      </c>
      <c r="K2420" s="217" t="s">
        <v>751</v>
      </c>
      <c r="L2420" s="217" t="s">
        <v>92</v>
      </c>
      <c r="M2420" s="217"/>
      <c r="N2420" s="218">
        <v>1660</v>
      </c>
      <c r="O2420" s="169">
        <f t="shared" si="97"/>
        <v>0</v>
      </c>
      <c r="P2420" s="169"/>
      <c r="Q2420" s="166"/>
      <c r="R2420" s="207"/>
      <c r="S2420" s="207"/>
      <c r="T2420" s="207"/>
      <c r="U2420" s="207"/>
      <c r="V2420" s="166">
        <f t="shared" si="98"/>
        <v>0</v>
      </c>
      <c r="W2420" s="205"/>
      <c r="X2420" s="167"/>
      <c r="Y2420" s="190"/>
      <c r="Z2420" s="190"/>
      <c r="AA2420" s="190"/>
      <c r="AB2420" s="190"/>
      <c r="AC2420" s="190"/>
      <c r="AD2420" s="190"/>
      <c r="AE2420" s="190"/>
      <c r="AF2420" s="190"/>
      <c r="AG2420" s="190"/>
      <c r="AH2420" s="190"/>
      <c r="AI2420" s="190"/>
      <c r="AJ2420" s="190"/>
      <c r="AK2420" s="190"/>
      <c r="AL2420" s="190"/>
      <c r="AM2420" s="190"/>
      <c r="AN2420" s="190"/>
    </row>
    <row r="2421" spans="8:40" s="221" customFormat="1" ht="12" hidden="1" customHeight="1">
      <c r="H2421" s="217" t="s">
        <v>6385</v>
      </c>
      <c r="I2421" s="217" t="s">
        <v>6380</v>
      </c>
      <c r="J2421" s="217" t="s">
        <v>748</v>
      </c>
      <c r="K2421" s="217" t="s">
        <v>6386</v>
      </c>
      <c r="L2421" s="217" t="s">
        <v>92</v>
      </c>
      <c r="M2421" s="217"/>
      <c r="N2421" s="218">
        <v>1840</v>
      </c>
      <c r="O2421" s="169">
        <f t="shared" si="97"/>
        <v>0</v>
      </c>
      <c r="P2421" s="169"/>
      <c r="Q2421" s="166"/>
      <c r="R2421" s="207"/>
      <c r="S2421" s="207"/>
      <c r="T2421" s="207"/>
      <c r="U2421" s="207"/>
      <c r="V2421" s="166">
        <f t="shared" si="98"/>
        <v>0</v>
      </c>
      <c r="W2421" s="205"/>
      <c r="X2421" s="167"/>
      <c r="Y2421" s="190"/>
      <c r="Z2421" s="190"/>
      <c r="AA2421" s="190"/>
      <c r="AB2421" s="190"/>
      <c r="AC2421" s="190"/>
      <c r="AD2421" s="190"/>
      <c r="AE2421" s="190"/>
      <c r="AF2421" s="190"/>
      <c r="AG2421" s="190"/>
      <c r="AH2421" s="190"/>
      <c r="AI2421" s="190"/>
      <c r="AJ2421" s="190"/>
      <c r="AK2421" s="190"/>
      <c r="AL2421" s="190"/>
      <c r="AM2421" s="190"/>
      <c r="AN2421" s="190"/>
    </row>
    <row r="2422" spans="8:40" s="221" customFormat="1" ht="12" hidden="1" customHeight="1">
      <c r="H2422" s="217" t="s">
        <v>6387</v>
      </c>
      <c r="I2422" s="217" t="s">
        <v>6380</v>
      </c>
      <c r="J2422" s="217" t="s">
        <v>6381</v>
      </c>
      <c r="K2422" s="217" t="s">
        <v>6388</v>
      </c>
      <c r="L2422" s="217" t="s">
        <v>92</v>
      </c>
      <c r="M2422" s="217"/>
      <c r="N2422" s="218">
        <v>2090</v>
      </c>
      <c r="O2422" s="169">
        <f t="shared" si="97"/>
        <v>0</v>
      </c>
      <c r="P2422" s="169"/>
      <c r="Q2422" s="166"/>
      <c r="R2422" s="207"/>
      <c r="S2422" s="207"/>
      <c r="T2422" s="207"/>
      <c r="U2422" s="207"/>
      <c r="V2422" s="166">
        <f t="shared" si="98"/>
        <v>0</v>
      </c>
      <c r="W2422" s="205"/>
      <c r="X2422" s="167"/>
      <c r="Y2422" s="190"/>
      <c r="Z2422" s="190"/>
      <c r="AA2422" s="190"/>
      <c r="AB2422" s="190"/>
      <c r="AC2422" s="190"/>
      <c r="AD2422" s="190"/>
      <c r="AE2422" s="190"/>
      <c r="AF2422" s="190"/>
      <c r="AG2422" s="190"/>
      <c r="AH2422" s="190"/>
      <c r="AI2422" s="190"/>
      <c r="AJ2422" s="190"/>
      <c r="AK2422" s="190"/>
      <c r="AL2422" s="190"/>
      <c r="AM2422" s="190"/>
      <c r="AN2422" s="190"/>
    </row>
    <row r="2423" spans="8:40" s="221" customFormat="1" ht="12" hidden="1" customHeight="1">
      <c r="H2423" s="217" t="s">
        <v>6389</v>
      </c>
      <c r="I2423" s="217" t="s">
        <v>6380</v>
      </c>
      <c r="J2423" s="217" t="s">
        <v>6381</v>
      </c>
      <c r="K2423" s="217" t="s">
        <v>6390</v>
      </c>
      <c r="L2423" s="217" t="s">
        <v>92</v>
      </c>
      <c r="M2423" s="217"/>
      <c r="N2423" s="218">
        <v>2110</v>
      </c>
      <c r="O2423" s="169">
        <f t="shared" si="97"/>
        <v>0</v>
      </c>
      <c r="P2423" s="169"/>
      <c r="Q2423" s="166"/>
      <c r="R2423" s="207"/>
      <c r="S2423" s="207"/>
      <c r="T2423" s="207"/>
      <c r="U2423" s="207"/>
      <c r="V2423" s="166">
        <f t="shared" si="98"/>
        <v>0</v>
      </c>
      <c r="W2423" s="205"/>
      <c r="X2423" s="167"/>
      <c r="Y2423" s="190"/>
      <c r="Z2423" s="190"/>
      <c r="AA2423" s="190"/>
      <c r="AB2423" s="190"/>
      <c r="AC2423" s="190"/>
      <c r="AD2423" s="190"/>
      <c r="AE2423" s="190"/>
      <c r="AF2423" s="190"/>
      <c r="AG2423" s="190"/>
      <c r="AH2423" s="190"/>
      <c r="AI2423" s="190"/>
      <c r="AJ2423" s="190"/>
      <c r="AK2423" s="190"/>
      <c r="AL2423" s="190"/>
      <c r="AM2423" s="190"/>
      <c r="AN2423" s="190"/>
    </row>
    <row r="2424" spans="8:40" s="221" customFormat="1" ht="12" hidden="1" customHeight="1">
      <c r="H2424" s="217" t="s">
        <v>1178</v>
      </c>
      <c r="I2424" s="217" t="s">
        <v>6380</v>
      </c>
      <c r="J2424" s="217" t="s">
        <v>748</v>
      </c>
      <c r="K2424" s="217" t="s">
        <v>749</v>
      </c>
      <c r="L2424" s="217" t="s">
        <v>92</v>
      </c>
      <c r="M2424" s="217"/>
      <c r="N2424" s="218">
        <v>2270</v>
      </c>
      <c r="O2424" s="169">
        <f t="shared" si="97"/>
        <v>0</v>
      </c>
      <c r="P2424" s="169"/>
      <c r="Q2424" s="166"/>
      <c r="R2424" s="207"/>
      <c r="S2424" s="207"/>
      <c r="T2424" s="207"/>
      <c r="U2424" s="207"/>
      <c r="V2424" s="166">
        <f t="shared" si="98"/>
        <v>0</v>
      </c>
      <c r="W2424" s="205"/>
      <c r="X2424" s="167"/>
      <c r="Y2424" s="190"/>
      <c r="Z2424" s="190"/>
      <c r="AA2424" s="190"/>
      <c r="AB2424" s="190"/>
      <c r="AC2424" s="190"/>
      <c r="AD2424" s="190"/>
      <c r="AE2424" s="190"/>
      <c r="AF2424" s="190"/>
      <c r="AG2424" s="190"/>
      <c r="AH2424" s="190"/>
      <c r="AI2424" s="190"/>
      <c r="AJ2424" s="190"/>
      <c r="AK2424" s="190"/>
      <c r="AL2424" s="190"/>
      <c r="AM2424" s="190"/>
      <c r="AN2424" s="190"/>
    </row>
    <row r="2425" spans="8:40" s="221" customFormat="1" ht="12" hidden="1" customHeight="1">
      <c r="H2425" s="217" t="s">
        <v>6391</v>
      </c>
      <c r="I2425" s="217" t="s">
        <v>6380</v>
      </c>
      <c r="J2425" s="217" t="s">
        <v>6381</v>
      </c>
      <c r="K2425" s="217" t="s">
        <v>6392</v>
      </c>
      <c r="L2425" s="217" t="s">
        <v>92</v>
      </c>
      <c r="M2425" s="217"/>
      <c r="N2425" s="218">
        <v>2900</v>
      </c>
      <c r="O2425" s="169">
        <f t="shared" si="97"/>
        <v>0</v>
      </c>
      <c r="P2425" s="169"/>
      <c r="Q2425" s="166"/>
      <c r="R2425" s="207"/>
      <c r="S2425" s="207"/>
      <c r="T2425" s="207"/>
      <c r="U2425" s="207"/>
      <c r="V2425" s="166">
        <f t="shared" si="98"/>
        <v>0</v>
      </c>
      <c r="W2425" s="205"/>
      <c r="X2425" s="167"/>
      <c r="Y2425" s="190"/>
      <c r="Z2425" s="190"/>
      <c r="AA2425" s="190"/>
      <c r="AB2425" s="190"/>
      <c r="AC2425" s="190"/>
      <c r="AD2425" s="190"/>
      <c r="AE2425" s="190"/>
      <c r="AF2425" s="190"/>
      <c r="AG2425" s="190"/>
      <c r="AH2425" s="190"/>
      <c r="AI2425" s="190"/>
      <c r="AJ2425" s="190"/>
      <c r="AK2425" s="190"/>
      <c r="AL2425" s="190"/>
      <c r="AM2425" s="190"/>
      <c r="AN2425" s="190"/>
    </row>
    <row r="2426" spans="8:40" s="221" customFormat="1" ht="12" hidden="1" customHeight="1">
      <c r="H2426" s="217" t="s">
        <v>6393</v>
      </c>
      <c r="I2426" s="217" t="s">
        <v>6380</v>
      </c>
      <c r="J2426" s="217" t="s">
        <v>6381</v>
      </c>
      <c r="K2426" s="217" t="s">
        <v>6394</v>
      </c>
      <c r="L2426" s="217" t="s">
        <v>92</v>
      </c>
      <c r="M2426" s="217"/>
      <c r="N2426" s="218">
        <v>3190</v>
      </c>
      <c r="O2426" s="169">
        <f t="shared" si="97"/>
        <v>0</v>
      </c>
      <c r="P2426" s="169"/>
      <c r="Q2426" s="166"/>
      <c r="R2426" s="207"/>
      <c r="S2426" s="207"/>
      <c r="T2426" s="207"/>
      <c r="U2426" s="207"/>
      <c r="V2426" s="166">
        <f t="shared" si="98"/>
        <v>0</v>
      </c>
      <c r="W2426" s="205"/>
      <c r="X2426" s="167"/>
      <c r="Y2426" s="190"/>
      <c r="Z2426" s="190"/>
      <c r="AA2426" s="190"/>
      <c r="AB2426" s="190"/>
      <c r="AC2426" s="190"/>
      <c r="AD2426" s="190"/>
      <c r="AE2426" s="190"/>
      <c r="AF2426" s="190"/>
      <c r="AG2426" s="190"/>
      <c r="AH2426" s="190"/>
      <c r="AI2426" s="190"/>
      <c r="AJ2426" s="190"/>
      <c r="AK2426" s="190"/>
      <c r="AL2426" s="190"/>
      <c r="AM2426" s="190"/>
      <c r="AN2426" s="190"/>
    </row>
    <row r="2427" spans="8:40" s="221" customFormat="1" ht="12" hidden="1" customHeight="1">
      <c r="H2427" s="217" t="s">
        <v>6395</v>
      </c>
      <c r="I2427" s="217" t="s">
        <v>6380</v>
      </c>
      <c r="J2427" s="217" t="s">
        <v>6396</v>
      </c>
      <c r="K2427" s="217" t="s">
        <v>6397</v>
      </c>
      <c r="L2427" s="217" t="s">
        <v>92</v>
      </c>
      <c r="M2427" s="217"/>
      <c r="N2427" s="218">
        <v>3200</v>
      </c>
      <c r="O2427" s="169">
        <f t="shared" si="97"/>
        <v>0</v>
      </c>
      <c r="P2427" s="169"/>
      <c r="Q2427" s="166"/>
      <c r="R2427" s="207"/>
      <c r="S2427" s="207"/>
      <c r="T2427" s="207"/>
      <c r="U2427" s="207"/>
      <c r="V2427" s="166">
        <f t="shared" si="98"/>
        <v>0</v>
      </c>
      <c r="W2427" s="205"/>
      <c r="X2427" s="167"/>
      <c r="Y2427" s="190"/>
      <c r="Z2427" s="190"/>
      <c r="AA2427" s="190"/>
      <c r="AB2427" s="190"/>
      <c r="AC2427" s="190"/>
      <c r="AD2427" s="190"/>
      <c r="AE2427" s="190"/>
      <c r="AF2427" s="190"/>
      <c r="AG2427" s="190"/>
      <c r="AH2427" s="190"/>
      <c r="AI2427" s="190"/>
      <c r="AJ2427" s="190"/>
      <c r="AK2427" s="190"/>
      <c r="AL2427" s="190"/>
      <c r="AM2427" s="190"/>
      <c r="AN2427" s="190"/>
    </row>
    <row r="2428" spans="8:40" s="221" customFormat="1" ht="12" hidden="1" customHeight="1">
      <c r="H2428" s="217" t="s">
        <v>6398</v>
      </c>
      <c r="I2428" s="217" t="s">
        <v>6380</v>
      </c>
      <c r="J2428" s="217" t="s">
        <v>6381</v>
      </c>
      <c r="K2428" s="217" t="s">
        <v>6399</v>
      </c>
      <c r="L2428" s="217" t="s">
        <v>92</v>
      </c>
      <c r="M2428" s="217"/>
      <c r="N2428" s="218">
        <v>3240</v>
      </c>
      <c r="O2428" s="169">
        <f t="shared" ref="O2428:O2491" si="99">M2428*N2428*$O$3</f>
        <v>0</v>
      </c>
      <c r="P2428" s="169"/>
      <c r="Q2428" s="166"/>
      <c r="R2428" s="207"/>
      <c r="S2428" s="207"/>
      <c r="T2428" s="207"/>
      <c r="U2428" s="207"/>
      <c r="V2428" s="166">
        <f t="shared" si="98"/>
        <v>0</v>
      </c>
      <c r="W2428" s="205"/>
      <c r="X2428" s="167"/>
      <c r="Y2428" s="190"/>
      <c r="Z2428" s="190"/>
      <c r="AA2428" s="190"/>
      <c r="AB2428" s="190"/>
      <c r="AC2428" s="190"/>
      <c r="AD2428" s="190"/>
      <c r="AE2428" s="190"/>
      <c r="AF2428" s="190"/>
      <c r="AG2428" s="190"/>
      <c r="AH2428" s="190"/>
      <c r="AI2428" s="190"/>
      <c r="AJ2428" s="190"/>
      <c r="AK2428" s="190"/>
      <c r="AL2428" s="190"/>
      <c r="AM2428" s="190"/>
      <c r="AN2428" s="190"/>
    </row>
    <row r="2429" spans="8:40" s="221" customFormat="1" ht="12" hidden="1" customHeight="1">
      <c r="H2429" s="217" t="s">
        <v>6400</v>
      </c>
      <c r="I2429" s="217" t="s">
        <v>6380</v>
      </c>
      <c r="J2429" s="217" t="s">
        <v>6396</v>
      </c>
      <c r="K2429" s="217" t="s">
        <v>6401</v>
      </c>
      <c r="L2429" s="217" t="s">
        <v>92</v>
      </c>
      <c r="M2429" s="217"/>
      <c r="N2429" s="218">
        <v>3350</v>
      </c>
      <c r="O2429" s="169">
        <f t="shared" si="99"/>
        <v>0</v>
      </c>
      <c r="P2429" s="169"/>
      <c r="Q2429" s="166"/>
      <c r="R2429" s="207"/>
      <c r="S2429" s="207"/>
      <c r="T2429" s="207"/>
      <c r="U2429" s="207"/>
      <c r="V2429" s="166">
        <f t="shared" si="98"/>
        <v>0</v>
      </c>
      <c r="W2429" s="205"/>
      <c r="X2429" s="167"/>
      <c r="Y2429" s="190"/>
      <c r="Z2429" s="190"/>
      <c r="AA2429" s="190"/>
      <c r="AB2429" s="190"/>
      <c r="AC2429" s="190"/>
      <c r="AD2429" s="190"/>
      <c r="AE2429" s="190"/>
      <c r="AF2429" s="190"/>
      <c r="AG2429" s="190"/>
      <c r="AH2429" s="190"/>
      <c r="AI2429" s="190"/>
      <c r="AJ2429" s="190"/>
      <c r="AK2429" s="190"/>
      <c r="AL2429" s="190"/>
      <c r="AM2429" s="190"/>
      <c r="AN2429" s="190"/>
    </row>
    <row r="2430" spans="8:40" s="221" customFormat="1" ht="12" hidden="1" customHeight="1">
      <c r="H2430" s="217" t="s">
        <v>6402</v>
      </c>
      <c r="I2430" s="217" t="s">
        <v>6380</v>
      </c>
      <c r="J2430" s="217" t="s">
        <v>748</v>
      </c>
      <c r="K2430" s="217" t="s">
        <v>6403</v>
      </c>
      <c r="L2430" s="217" t="s">
        <v>92</v>
      </c>
      <c r="M2430" s="217"/>
      <c r="N2430" s="218">
        <v>3360</v>
      </c>
      <c r="O2430" s="169">
        <f t="shared" si="99"/>
        <v>0</v>
      </c>
      <c r="P2430" s="169"/>
      <c r="Q2430" s="166"/>
      <c r="R2430" s="207"/>
      <c r="S2430" s="207"/>
      <c r="T2430" s="207"/>
      <c r="U2430" s="207"/>
      <c r="V2430" s="166">
        <f t="shared" si="98"/>
        <v>0</v>
      </c>
      <c r="W2430" s="205"/>
      <c r="X2430" s="167"/>
      <c r="Y2430" s="190"/>
      <c r="Z2430" s="190"/>
      <c r="AA2430" s="190"/>
      <c r="AB2430" s="190"/>
      <c r="AC2430" s="190"/>
      <c r="AD2430" s="190"/>
      <c r="AE2430" s="190"/>
      <c r="AF2430" s="190"/>
      <c r="AG2430" s="190"/>
      <c r="AH2430" s="190"/>
      <c r="AI2430" s="190"/>
      <c r="AJ2430" s="190"/>
      <c r="AK2430" s="190"/>
      <c r="AL2430" s="190"/>
      <c r="AM2430" s="190"/>
      <c r="AN2430" s="190"/>
    </row>
    <row r="2431" spans="8:40" s="221" customFormat="1" ht="12" hidden="1" customHeight="1">
      <c r="H2431" s="217" t="s">
        <v>6404</v>
      </c>
      <c r="I2431" s="217" t="s">
        <v>6380</v>
      </c>
      <c r="J2431" s="217" t="s">
        <v>748</v>
      </c>
      <c r="K2431" s="217" t="s">
        <v>6405</v>
      </c>
      <c r="L2431" s="217" t="s">
        <v>92</v>
      </c>
      <c r="M2431" s="217"/>
      <c r="N2431" s="218">
        <v>3740</v>
      </c>
      <c r="O2431" s="169">
        <f t="shared" si="99"/>
        <v>0</v>
      </c>
      <c r="P2431" s="169"/>
      <c r="Q2431" s="166"/>
      <c r="R2431" s="207"/>
      <c r="S2431" s="207"/>
      <c r="T2431" s="207"/>
      <c r="U2431" s="207"/>
      <c r="V2431" s="166">
        <f t="shared" ref="V2431:V2494" si="100">SUM(O2431+Q2431)+S2431+U2431</f>
        <v>0</v>
      </c>
      <c r="W2431" s="205"/>
      <c r="X2431" s="167"/>
      <c r="Y2431" s="190"/>
      <c r="Z2431" s="190"/>
      <c r="AA2431" s="190"/>
      <c r="AB2431" s="190"/>
      <c r="AC2431" s="190"/>
      <c r="AD2431" s="190"/>
      <c r="AE2431" s="190"/>
      <c r="AF2431" s="190"/>
      <c r="AG2431" s="190"/>
      <c r="AH2431" s="190"/>
      <c r="AI2431" s="190"/>
      <c r="AJ2431" s="190"/>
      <c r="AK2431" s="190"/>
      <c r="AL2431" s="190"/>
      <c r="AM2431" s="190"/>
      <c r="AN2431" s="190"/>
    </row>
    <row r="2432" spans="8:40" s="221" customFormat="1" ht="12" hidden="1" customHeight="1">
      <c r="H2432" s="217" t="s">
        <v>6406</v>
      </c>
      <c r="I2432" s="217" t="s">
        <v>6380</v>
      </c>
      <c r="J2432" s="217" t="s">
        <v>6381</v>
      </c>
      <c r="K2432" s="217" t="s">
        <v>6407</v>
      </c>
      <c r="L2432" s="217" t="s">
        <v>92</v>
      </c>
      <c r="M2432" s="217"/>
      <c r="N2432" s="218">
        <v>4180</v>
      </c>
      <c r="O2432" s="169">
        <f t="shared" si="99"/>
        <v>0</v>
      </c>
      <c r="P2432" s="169"/>
      <c r="Q2432" s="166"/>
      <c r="R2432" s="207"/>
      <c r="S2432" s="207"/>
      <c r="T2432" s="207"/>
      <c r="U2432" s="207"/>
      <c r="V2432" s="166">
        <f t="shared" si="100"/>
        <v>0</v>
      </c>
      <c r="W2432" s="205"/>
      <c r="X2432" s="167"/>
      <c r="Y2432" s="190"/>
      <c r="Z2432" s="190"/>
      <c r="AA2432" s="190"/>
      <c r="AB2432" s="190"/>
      <c r="AC2432" s="190"/>
      <c r="AD2432" s="190"/>
      <c r="AE2432" s="190"/>
      <c r="AF2432" s="190"/>
      <c r="AG2432" s="190"/>
      <c r="AH2432" s="190"/>
      <c r="AI2432" s="190"/>
      <c r="AJ2432" s="190"/>
      <c r="AK2432" s="190"/>
      <c r="AL2432" s="190"/>
      <c r="AM2432" s="190"/>
      <c r="AN2432" s="190"/>
    </row>
    <row r="2433" spans="8:40" s="221" customFormat="1" ht="12" hidden="1" customHeight="1">
      <c r="H2433" s="217" t="s">
        <v>6408</v>
      </c>
      <c r="I2433" s="217" t="s">
        <v>6380</v>
      </c>
      <c r="J2433" s="217" t="s">
        <v>6381</v>
      </c>
      <c r="K2433" s="217" t="s">
        <v>6409</v>
      </c>
      <c r="L2433" s="217" t="s">
        <v>92</v>
      </c>
      <c r="M2433" s="217"/>
      <c r="N2433" s="218">
        <v>5380</v>
      </c>
      <c r="O2433" s="169">
        <f t="shared" si="99"/>
        <v>0</v>
      </c>
      <c r="P2433" s="169"/>
      <c r="Q2433" s="166"/>
      <c r="R2433" s="207"/>
      <c r="S2433" s="207"/>
      <c r="T2433" s="207"/>
      <c r="U2433" s="207"/>
      <c r="V2433" s="166">
        <f t="shared" si="100"/>
        <v>0</v>
      </c>
      <c r="W2433" s="205"/>
      <c r="X2433" s="167"/>
      <c r="Y2433" s="190"/>
      <c r="Z2433" s="190"/>
      <c r="AA2433" s="190"/>
      <c r="AB2433" s="190"/>
      <c r="AC2433" s="190"/>
      <c r="AD2433" s="190"/>
      <c r="AE2433" s="190"/>
      <c r="AF2433" s="190"/>
      <c r="AG2433" s="190"/>
      <c r="AH2433" s="190"/>
      <c r="AI2433" s="190"/>
      <c r="AJ2433" s="190"/>
      <c r="AK2433" s="190"/>
      <c r="AL2433" s="190"/>
      <c r="AM2433" s="190"/>
      <c r="AN2433" s="190"/>
    </row>
    <row r="2434" spans="8:40" s="221" customFormat="1" ht="12" hidden="1" customHeight="1">
      <c r="H2434" s="217" t="s">
        <v>6410</v>
      </c>
      <c r="I2434" s="217" t="s">
        <v>6380</v>
      </c>
      <c r="J2434" s="217" t="s">
        <v>748</v>
      </c>
      <c r="K2434" s="217" t="s">
        <v>6411</v>
      </c>
      <c r="L2434" s="217" t="s">
        <v>92</v>
      </c>
      <c r="M2434" s="217"/>
      <c r="N2434" s="218">
        <v>5490</v>
      </c>
      <c r="O2434" s="169">
        <f t="shared" si="99"/>
        <v>0</v>
      </c>
      <c r="P2434" s="169"/>
      <c r="Q2434" s="166"/>
      <c r="R2434" s="207"/>
      <c r="S2434" s="207"/>
      <c r="T2434" s="207"/>
      <c r="U2434" s="207"/>
      <c r="V2434" s="166">
        <f t="shared" si="100"/>
        <v>0</v>
      </c>
      <c r="W2434" s="205"/>
      <c r="X2434" s="167"/>
      <c r="Y2434" s="190"/>
      <c r="Z2434" s="190"/>
      <c r="AA2434" s="190"/>
      <c r="AB2434" s="190"/>
      <c r="AC2434" s="190"/>
      <c r="AD2434" s="190"/>
      <c r="AE2434" s="190"/>
      <c r="AF2434" s="190"/>
      <c r="AG2434" s="190"/>
      <c r="AH2434" s="190"/>
      <c r="AI2434" s="190"/>
      <c r="AJ2434" s="190"/>
      <c r="AK2434" s="190"/>
      <c r="AL2434" s="190"/>
      <c r="AM2434" s="190"/>
      <c r="AN2434" s="190"/>
    </row>
    <row r="2435" spans="8:40" s="221" customFormat="1" ht="12" hidden="1" customHeight="1">
      <c r="H2435" s="217" t="s">
        <v>6412</v>
      </c>
      <c r="I2435" s="217" t="s">
        <v>6380</v>
      </c>
      <c r="J2435" s="217" t="s">
        <v>6381</v>
      </c>
      <c r="K2435" s="217" t="s">
        <v>6413</v>
      </c>
      <c r="L2435" s="217" t="s">
        <v>92</v>
      </c>
      <c r="M2435" s="217"/>
      <c r="N2435" s="218">
        <v>5940</v>
      </c>
      <c r="O2435" s="169">
        <f t="shared" si="99"/>
        <v>0</v>
      </c>
      <c r="P2435" s="169"/>
      <c r="Q2435" s="166"/>
      <c r="R2435" s="207"/>
      <c r="S2435" s="207"/>
      <c r="T2435" s="207"/>
      <c r="U2435" s="207"/>
      <c r="V2435" s="166">
        <f t="shared" si="100"/>
        <v>0</v>
      </c>
      <c r="W2435" s="205"/>
      <c r="X2435" s="167"/>
      <c r="Y2435" s="190"/>
      <c r="Z2435" s="190"/>
      <c r="AA2435" s="190"/>
      <c r="AB2435" s="190"/>
      <c r="AC2435" s="190"/>
      <c r="AD2435" s="190"/>
      <c r="AE2435" s="190"/>
      <c r="AF2435" s="190"/>
      <c r="AG2435" s="190"/>
      <c r="AH2435" s="190"/>
      <c r="AI2435" s="190"/>
      <c r="AJ2435" s="190"/>
      <c r="AK2435" s="190"/>
      <c r="AL2435" s="190"/>
      <c r="AM2435" s="190"/>
      <c r="AN2435" s="190"/>
    </row>
    <row r="2436" spans="8:40" s="221" customFormat="1" ht="12" hidden="1" customHeight="1">
      <c r="H2436" s="217" t="s">
        <v>6414</v>
      </c>
      <c r="I2436" s="217" t="s">
        <v>6380</v>
      </c>
      <c r="J2436" s="217" t="s">
        <v>6381</v>
      </c>
      <c r="K2436" s="217" t="s">
        <v>6415</v>
      </c>
      <c r="L2436" s="217" t="s">
        <v>92</v>
      </c>
      <c r="M2436" s="217"/>
      <c r="N2436" s="218">
        <v>6800</v>
      </c>
      <c r="O2436" s="169">
        <f t="shared" si="99"/>
        <v>0</v>
      </c>
      <c r="P2436" s="169"/>
      <c r="Q2436" s="166"/>
      <c r="R2436" s="207"/>
      <c r="S2436" s="207"/>
      <c r="T2436" s="207"/>
      <c r="U2436" s="207"/>
      <c r="V2436" s="166">
        <f t="shared" si="100"/>
        <v>0</v>
      </c>
      <c r="W2436" s="205"/>
      <c r="X2436" s="167"/>
      <c r="Y2436" s="190"/>
      <c r="Z2436" s="190"/>
      <c r="AA2436" s="190"/>
      <c r="AB2436" s="190"/>
      <c r="AC2436" s="190"/>
      <c r="AD2436" s="190"/>
      <c r="AE2436" s="190"/>
      <c r="AF2436" s="190"/>
      <c r="AG2436" s="190"/>
      <c r="AH2436" s="190"/>
      <c r="AI2436" s="190"/>
      <c r="AJ2436" s="190"/>
      <c r="AK2436" s="190"/>
      <c r="AL2436" s="190"/>
      <c r="AM2436" s="190"/>
      <c r="AN2436" s="190"/>
    </row>
    <row r="2437" spans="8:40" s="221" customFormat="1" ht="12" hidden="1" customHeight="1">
      <c r="H2437" s="217" t="s">
        <v>6416</v>
      </c>
      <c r="I2437" s="217" t="s">
        <v>6380</v>
      </c>
      <c r="J2437" s="217" t="s">
        <v>6396</v>
      </c>
      <c r="K2437" s="217" t="s">
        <v>6417</v>
      </c>
      <c r="L2437" s="217" t="s">
        <v>92</v>
      </c>
      <c r="M2437" s="217"/>
      <c r="N2437" s="218">
        <v>7000</v>
      </c>
      <c r="O2437" s="169">
        <f t="shared" si="99"/>
        <v>0</v>
      </c>
      <c r="P2437" s="169"/>
      <c r="Q2437" s="166"/>
      <c r="R2437" s="207"/>
      <c r="S2437" s="207"/>
      <c r="T2437" s="207"/>
      <c r="U2437" s="207"/>
      <c r="V2437" s="166">
        <f t="shared" si="100"/>
        <v>0</v>
      </c>
      <c r="W2437" s="205"/>
      <c r="X2437" s="167"/>
      <c r="Y2437" s="190"/>
      <c r="Z2437" s="190"/>
      <c r="AA2437" s="190"/>
      <c r="AB2437" s="190"/>
      <c r="AC2437" s="190"/>
      <c r="AD2437" s="190"/>
      <c r="AE2437" s="190"/>
      <c r="AF2437" s="190"/>
      <c r="AG2437" s="190"/>
      <c r="AH2437" s="190"/>
      <c r="AI2437" s="190"/>
      <c r="AJ2437" s="190"/>
      <c r="AK2437" s="190"/>
      <c r="AL2437" s="190"/>
      <c r="AM2437" s="190"/>
      <c r="AN2437" s="190"/>
    </row>
    <row r="2438" spans="8:40" s="221" customFormat="1" ht="12" hidden="1" customHeight="1">
      <c r="H2438" s="217" t="s">
        <v>6418</v>
      </c>
      <c r="I2438" s="217" t="s">
        <v>6380</v>
      </c>
      <c r="J2438" s="217" t="s">
        <v>6396</v>
      </c>
      <c r="K2438" s="217" t="s">
        <v>6419</v>
      </c>
      <c r="L2438" s="217" t="s">
        <v>92</v>
      </c>
      <c r="M2438" s="217"/>
      <c r="N2438" s="218">
        <v>7040</v>
      </c>
      <c r="O2438" s="169">
        <f t="shared" si="99"/>
        <v>0</v>
      </c>
      <c r="P2438" s="169"/>
      <c r="Q2438" s="166"/>
      <c r="R2438" s="207"/>
      <c r="S2438" s="207"/>
      <c r="T2438" s="207"/>
      <c r="U2438" s="207"/>
      <c r="V2438" s="166">
        <f t="shared" si="100"/>
        <v>0</v>
      </c>
      <c r="W2438" s="205"/>
      <c r="X2438" s="167"/>
      <c r="Y2438" s="190"/>
      <c r="Z2438" s="190"/>
      <c r="AA2438" s="190"/>
      <c r="AB2438" s="190"/>
      <c r="AC2438" s="190"/>
      <c r="AD2438" s="190"/>
      <c r="AE2438" s="190"/>
      <c r="AF2438" s="190"/>
      <c r="AG2438" s="190"/>
      <c r="AH2438" s="190"/>
      <c r="AI2438" s="190"/>
      <c r="AJ2438" s="190"/>
      <c r="AK2438" s="190"/>
      <c r="AL2438" s="190"/>
      <c r="AM2438" s="190"/>
      <c r="AN2438" s="190"/>
    </row>
    <row r="2439" spans="8:40" s="221" customFormat="1" ht="12" hidden="1" customHeight="1">
      <c r="H2439" s="217" t="s">
        <v>6420</v>
      </c>
      <c r="I2439" s="217" t="s">
        <v>6380</v>
      </c>
      <c r="J2439" s="217" t="s">
        <v>6396</v>
      </c>
      <c r="K2439" s="217" t="s">
        <v>6421</v>
      </c>
      <c r="L2439" s="217" t="s">
        <v>92</v>
      </c>
      <c r="M2439" s="217"/>
      <c r="N2439" s="218">
        <v>7260</v>
      </c>
      <c r="O2439" s="169">
        <f t="shared" si="99"/>
        <v>0</v>
      </c>
      <c r="P2439" s="169"/>
      <c r="Q2439" s="166"/>
      <c r="R2439" s="207"/>
      <c r="S2439" s="207"/>
      <c r="T2439" s="207"/>
      <c r="U2439" s="207"/>
      <c r="V2439" s="166">
        <f t="shared" si="100"/>
        <v>0</v>
      </c>
      <c r="W2439" s="205"/>
      <c r="X2439" s="167"/>
      <c r="Y2439" s="190"/>
      <c r="Z2439" s="190"/>
      <c r="AA2439" s="190"/>
      <c r="AB2439" s="190"/>
      <c r="AC2439" s="190"/>
      <c r="AD2439" s="190"/>
      <c r="AE2439" s="190"/>
      <c r="AF2439" s="190"/>
      <c r="AG2439" s="190"/>
      <c r="AH2439" s="190"/>
      <c r="AI2439" s="190"/>
      <c r="AJ2439" s="190"/>
      <c r="AK2439" s="190"/>
      <c r="AL2439" s="190"/>
      <c r="AM2439" s="190"/>
      <c r="AN2439" s="190"/>
    </row>
    <row r="2440" spans="8:40" s="221" customFormat="1" ht="12" hidden="1" customHeight="1">
      <c r="H2440" s="217" t="s">
        <v>6422</v>
      </c>
      <c r="I2440" s="217" t="s">
        <v>6380</v>
      </c>
      <c r="J2440" s="217" t="s">
        <v>6381</v>
      </c>
      <c r="K2440" s="217" t="s">
        <v>6423</v>
      </c>
      <c r="L2440" s="217" t="s">
        <v>92</v>
      </c>
      <c r="M2440" s="217"/>
      <c r="N2440" s="218">
        <v>8010</v>
      </c>
      <c r="O2440" s="169">
        <f t="shared" si="99"/>
        <v>0</v>
      </c>
      <c r="P2440" s="169"/>
      <c r="Q2440" s="166"/>
      <c r="R2440" s="207"/>
      <c r="S2440" s="207"/>
      <c r="T2440" s="207"/>
      <c r="U2440" s="207"/>
      <c r="V2440" s="166">
        <f t="shared" si="100"/>
        <v>0</v>
      </c>
      <c r="W2440" s="205"/>
      <c r="X2440" s="167"/>
      <c r="Y2440" s="190"/>
      <c r="Z2440" s="190"/>
      <c r="AA2440" s="190"/>
      <c r="AB2440" s="190"/>
      <c r="AC2440" s="190"/>
      <c r="AD2440" s="190"/>
      <c r="AE2440" s="190"/>
      <c r="AF2440" s="190"/>
      <c r="AG2440" s="190"/>
      <c r="AH2440" s="190"/>
      <c r="AI2440" s="190"/>
      <c r="AJ2440" s="190"/>
      <c r="AK2440" s="190"/>
      <c r="AL2440" s="190"/>
      <c r="AM2440" s="190"/>
      <c r="AN2440" s="190"/>
    </row>
    <row r="2441" spans="8:40" s="221" customFormat="1" ht="12" hidden="1" customHeight="1">
      <c r="H2441" s="217" t="s">
        <v>6424</v>
      </c>
      <c r="I2441" s="217" t="s">
        <v>6380</v>
      </c>
      <c r="J2441" s="217" t="s">
        <v>6396</v>
      </c>
      <c r="K2441" s="217" t="s">
        <v>6425</v>
      </c>
      <c r="L2441" s="217" t="s">
        <v>92</v>
      </c>
      <c r="M2441" s="217"/>
      <c r="N2441" s="218">
        <v>8600</v>
      </c>
      <c r="O2441" s="169">
        <f t="shared" si="99"/>
        <v>0</v>
      </c>
      <c r="P2441" s="169"/>
      <c r="Q2441" s="166"/>
      <c r="R2441" s="207"/>
      <c r="S2441" s="207"/>
      <c r="T2441" s="207"/>
      <c r="U2441" s="207"/>
      <c r="V2441" s="166">
        <f t="shared" si="100"/>
        <v>0</v>
      </c>
      <c r="W2441" s="205"/>
      <c r="X2441" s="167"/>
      <c r="Y2441" s="190"/>
      <c r="Z2441" s="190"/>
      <c r="AA2441" s="190"/>
      <c r="AB2441" s="190"/>
      <c r="AC2441" s="190"/>
      <c r="AD2441" s="190"/>
      <c r="AE2441" s="190"/>
      <c r="AF2441" s="190"/>
      <c r="AG2441" s="190"/>
      <c r="AH2441" s="190"/>
      <c r="AI2441" s="190"/>
      <c r="AJ2441" s="190"/>
      <c r="AK2441" s="190"/>
      <c r="AL2441" s="190"/>
      <c r="AM2441" s="190"/>
      <c r="AN2441" s="190"/>
    </row>
    <row r="2442" spans="8:40" s="221" customFormat="1" ht="12" hidden="1" customHeight="1">
      <c r="H2442" s="217" t="s">
        <v>6426</v>
      </c>
      <c r="I2442" s="217" t="s">
        <v>6380</v>
      </c>
      <c r="J2442" s="217" t="s">
        <v>6381</v>
      </c>
      <c r="K2442" s="217" t="s">
        <v>6427</v>
      </c>
      <c r="L2442" s="217" t="s">
        <v>92</v>
      </c>
      <c r="M2442" s="217"/>
      <c r="N2442" s="218">
        <v>13400</v>
      </c>
      <c r="O2442" s="169">
        <f t="shared" si="99"/>
        <v>0</v>
      </c>
      <c r="P2442" s="169"/>
      <c r="Q2442" s="166"/>
      <c r="R2442" s="207"/>
      <c r="S2442" s="207"/>
      <c r="T2442" s="207"/>
      <c r="U2442" s="207"/>
      <c r="V2442" s="166">
        <f t="shared" si="100"/>
        <v>0</v>
      </c>
      <c r="W2442" s="205"/>
      <c r="X2442" s="167"/>
      <c r="Y2442" s="190"/>
      <c r="Z2442" s="190"/>
      <c r="AA2442" s="190"/>
      <c r="AB2442" s="190"/>
      <c r="AC2442" s="190"/>
      <c r="AD2442" s="190"/>
      <c r="AE2442" s="190"/>
      <c r="AF2442" s="190"/>
      <c r="AG2442" s="190"/>
      <c r="AH2442" s="190"/>
      <c r="AI2442" s="190"/>
      <c r="AJ2442" s="190"/>
      <c r="AK2442" s="190"/>
      <c r="AL2442" s="190"/>
      <c r="AM2442" s="190"/>
      <c r="AN2442" s="190"/>
    </row>
    <row r="2443" spans="8:40" s="221" customFormat="1" ht="12" hidden="1" customHeight="1">
      <c r="H2443" s="217" t="s">
        <v>6428</v>
      </c>
      <c r="I2443" s="217" t="s">
        <v>6376</v>
      </c>
      <c r="J2443" s="217" t="s">
        <v>6430</v>
      </c>
      <c r="K2443" s="217" t="s">
        <v>6431</v>
      </c>
      <c r="L2443" s="217" t="s">
        <v>92</v>
      </c>
      <c r="M2443" s="217"/>
      <c r="N2443" s="218">
        <v>750</v>
      </c>
      <c r="O2443" s="169">
        <f t="shared" si="99"/>
        <v>0</v>
      </c>
      <c r="P2443" s="169"/>
      <c r="Q2443" s="166"/>
      <c r="R2443" s="207"/>
      <c r="S2443" s="207"/>
      <c r="T2443" s="207"/>
      <c r="U2443" s="207"/>
      <c r="V2443" s="166">
        <f t="shared" si="100"/>
        <v>0</v>
      </c>
      <c r="W2443" s="205"/>
      <c r="X2443" s="167"/>
      <c r="Y2443" s="190"/>
      <c r="Z2443" s="190"/>
      <c r="AA2443" s="190"/>
      <c r="AB2443" s="190"/>
      <c r="AC2443" s="190"/>
      <c r="AD2443" s="190"/>
      <c r="AE2443" s="190"/>
      <c r="AF2443" s="190"/>
      <c r="AG2443" s="190"/>
      <c r="AH2443" s="190"/>
      <c r="AI2443" s="190"/>
      <c r="AJ2443" s="190"/>
      <c r="AK2443" s="190"/>
      <c r="AL2443" s="190"/>
      <c r="AM2443" s="190"/>
      <c r="AN2443" s="190"/>
    </row>
    <row r="2444" spans="8:40" s="221" customFormat="1" ht="12" hidden="1" customHeight="1">
      <c r="H2444" s="217" t="s">
        <v>6429</v>
      </c>
      <c r="I2444" s="217" t="s">
        <v>6376</v>
      </c>
      <c r="J2444" s="217" t="s">
        <v>6430</v>
      </c>
      <c r="K2444" s="217" t="s">
        <v>6432</v>
      </c>
      <c r="L2444" s="217" t="s">
        <v>92</v>
      </c>
      <c r="M2444" s="217"/>
      <c r="N2444" s="218">
        <v>750</v>
      </c>
      <c r="O2444" s="169">
        <f t="shared" si="99"/>
        <v>0</v>
      </c>
      <c r="P2444" s="169"/>
      <c r="Q2444" s="166"/>
      <c r="R2444" s="207"/>
      <c r="S2444" s="207"/>
      <c r="T2444" s="207"/>
      <c r="U2444" s="207"/>
      <c r="V2444" s="166">
        <f t="shared" si="100"/>
        <v>0</v>
      </c>
      <c r="W2444" s="205"/>
      <c r="X2444" s="167"/>
      <c r="Y2444" s="190"/>
      <c r="Z2444" s="190"/>
      <c r="AA2444" s="190"/>
      <c r="AB2444" s="190"/>
      <c r="AC2444" s="190"/>
      <c r="AD2444" s="190"/>
      <c r="AE2444" s="190"/>
      <c r="AF2444" s="190"/>
      <c r="AG2444" s="190"/>
      <c r="AH2444" s="190"/>
      <c r="AI2444" s="190"/>
      <c r="AJ2444" s="190"/>
      <c r="AK2444" s="190"/>
      <c r="AL2444" s="190"/>
      <c r="AM2444" s="190"/>
      <c r="AN2444" s="190"/>
    </row>
    <row r="2445" spans="8:40" s="221" customFormat="1" ht="12" hidden="1" customHeight="1">
      <c r="H2445" s="217" t="s">
        <v>6433</v>
      </c>
      <c r="I2445" s="217" t="s">
        <v>6376</v>
      </c>
      <c r="J2445" s="217" t="s">
        <v>6430</v>
      </c>
      <c r="K2445" s="217" t="s">
        <v>6434</v>
      </c>
      <c r="L2445" s="217" t="s">
        <v>92</v>
      </c>
      <c r="M2445" s="217"/>
      <c r="N2445" s="218">
        <v>1530</v>
      </c>
      <c r="O2445" s="169">
        <f t="shared" si="99"/>
        <v>0</v>
      </c>
      <c r="P2445" s="169"/>
      <c r="Q2445" s="166"/>
      <c r="R2445" s="207"/>
      <c r="S2445" s="207"/>
      <c r="T2445" s="207"/>
      <c r="U2445" s="207"/>
      <c r="V2445" s="166">
        <f t="shared" si="100"/>
        <v>0</v>
      </c>
      <c r="W2445" s="205"/>
      <c r="X2445" s="167"/>
      <c r="Y2445" s="190"/>
      <c r="Z2445" s="190"/>
      <c r="AA2445" s="190"/>
      <c r="AB2445" s="190"/>
      <c r="AC2445" s="190"/>
      <c r="AD2445" s="190"/>
      <c r="AE2445" s="190"/>
      <c r="AF2445" s="190"/>
      <c r="AG2445" s="190"/>
      <c r="AH2445" s="190"/>
      <c r="AI2445" s="190"/>
      <c r="AJ2445" s="190"/>
      <c r="AK2445" s="190"/>
      <c r="AL2445" s="190"/>
      <c r="AM2445" s="190"/>
      <c r="AN2445" s="190"/>
    </row>
    <row r="2446" spans="8:40" s="221" customFormat="1" ht="12" hidden="1" customHeight="1">
      <c r="H2446" s="217" t="s">
        <v>6435</v>
      </c>
      <c r="I2446" s="217" t="s">
        <v>6436</v>
      </c>
      <c r="J2446" s="217" t="s">
        <v>6437</v>
      </c>
      <c r="K2446" s="217" t="s">
        <v>6438</v>
      </c>
      <c r="L2446" s="217" t="s">
        <v>92</v>
      </c>
      <c r="M2446" s="217"/>
      <c r="N2446" s="218">
        <v>3190</v>
      </c>
      <c r="O2446" s="169">
        <f t="shared" si="99"/>
        <v>0</v>
      </c>
      <c r="P2446" s="169"/>
      <c r="Q2446" s="166"/>
      <c r="R2446" s="207"/>
      <c r="S2446" s="207"/>
      <c r="T2446" s="207"/>
      <c r="U2446" s="207"/>
      <c r="V2446" s="166">
        <f t="shared" si="100"/>
        <v>0</v>
      </c>
      <c r="W2446" s="205"/>
      <c r="X2446" s="167"/>
      <c r="Y2446" s="190"/>
      <c r="Z2446" s="190"/>
      <c r="AA2446" s="190"/>
      <c r="AB2446" s="190"/>
      <c r="AC2446" s="190"/>
      <c r="AD2446" s="190"/>
      <c r="AE2446" s="190"/>
      <c r="AF2446" s="190"/>
      <c r="AG2446" s="190"/>
      <c r="AH2446" s="190"/>
      <c r="AI2446" s="190"/>
      <c r="AJ2446" s="190"/>
      <c r="AK2446" s="190"/>
      <c r="AL2446" s="190"/>
      <c r="AM2446" s="190"/>
      <c r="AN2446" s="190"/>
    </row>
    <row r="2447" spans="8:40" s="221" customFormat="1" ht="12" hidden="1" customHeight="1">
      <c r="H2447" s="217" t="s">
        <v>6439</v>
      </c>
      <c r="I2447" s="217" t="s">
        <v>6436</v>
      </c>
      <c r="J2447" s="217" t="s">
        <v>6437</v>
      </c>
      <c r="K2447" s="217" t="s">
        <v>6440</v>
      </c>
      <c r="L2447" s="217" t="s">
        <v>92</v>
      </c>
      <c r="M2447" s="217"/>
      <c r="N2447" s="218">
        <v>3190</v>
      </c>
      <c r="O2447" s="169">
        <f t="shared" si="99"/>
        <v>0</v>
      </c>
      <c r="P2447" s="169"/>
      <c r="Q2447" s="166"/>
      <c r="R2447" s="207"/>
      <c r="S2447" s="207"/>
      <c r="T2447" s="207"/>
      <c r="U2447" s="207"/>
      <c r="V2447" s="166">
        <f t="shared" si="100"/>
        <v>0</v>
      </c>
      <c r="W2447" s="205"/>
      <c r="X2447" s="167"/>
      <c r="Y2447" s="190"/>
      <c r="Z2447" s="190"/>
      <c r="AA2447" s="190"/>
      <c r="AB2447" s="190"/>
      <c r="AC2447" s="190"/>
      <c r="AD2447" s="190"/>
      <c r="AE2447" s="190"/>
      <c r="AF2447" s="190"/>
      <c r="AG2447" s="190"/>
      <c r="AH2447" s="190"/>
      <c r="AI2447" s="190"/>
      <c r="AJ2447" s="190"/>
      <c r="AK2447" s="190"/>
      <c r="AL2447" s="190"/>
      <c r="AM2447" s="190"/>
      <c r="AN2447" s="190"/>
    </row>
    <row r="2448" spans="8:40" s="221" customFormat="1" ht="12" hidden="1" customHeight="1">
      <c r="H2448" s="217" t="s">
        <v>6441</v>
      </c>
      <c r="I2448" s="217" t="s">
        <v>6436</v>
      </c>
      <c r="J2448" s="217" t="s">
        <v>6437</v>
      </c>
      <c r="K2448" s="217" t="s">
        <v>6442</v>
      </c>
      <c r="L2448" s="217" t="s">
        <v>92</v>
      </c>
      <c r="M2448" s="217"/>
      <c r="N2448" s="218">
        <v>4830</v>
      </c>
      <c r="O2448" s="169">
        <f t="shared" si="99"/>
        <v>0</v>
      </c>
      <c r="P2448" s="169"/>
      <c r="Q2448" s="166"/>
      <c r="R2448" s="207"/>
      <c r="S2448" s="207"/>
      <c r="T2448" s="207"/>
      <c r="U2448" s="207"/>
      <c r="V2448" s="166">
        <f t="shared" si="100"/>
        <v>0</v>
      </c>
      <c r="W2448" s="205"/>
      <c r="X2448" s="167"/>
      <c r="Y2448" s="190"/>
      <c r="Z2448" s="190"/>
      <c r="AA2448" s="190"/>
      <c r="AB2448" s="190"/>
      <c r="AC2448" s="190"/>
      <c r="AD2448" s="190"/>
      <c r="AE2448" s="190"/>
      <c r="AF2448" s="190"/>
      <c r="AG2448" s="190"/>
      <c r="AH2448" s="190"/>
      <c r="AI2448" s="190"/>
      <c r="AJ2448" s="190"/>
      <c r="AK2448" s="190"/>
      <c r="AL2448" s="190"/>
      <c r="AM2448" s="190"/>
      <c r="AN2448" s="190"/>
    </row>
    <row r="2449" spans="8:40" s="221" customFormat="1" ht="12" hidden="1" customHeight="1">
      <c r="H2449" s="217" t="s">
        <v>6443</v>
      </c>
      <c r="I2449" s="217" t="s">
        <v>6436</v>
      </c>
      <c r="J2449" s="217" t="s">
        <v>6437</v>
      </c>
      <c r="K2449" s="217" t="s">
        <v>6444</v>
      </c>
      <c r="L2449" s="217" t="s">
        <v>92</v>
      </c>
      <c r="M2449" s="217"/>
      <c r="N2449" s="218">
        <v>4960</v>
      </c>
      <c r="O2449" s="169">
        <f t="shared" si="99"/>
        <v>0</v>
      </c>
      <c r="P2449" s="169"/>
      <c r="Q2449" s="166"/>
      <c r="R2449" s="207"/>
      <c r="S2449" s="207"/>
      <c r="T2449" s="207"/>
      <c r="U2449" s="207"/>
      <c r="V2449" s="166">
        <f t="shared" si="100"/>
        <v>0</v>
      </c>
      <c r="W2449" s="205"/>
      <c r="X2449" s="167"/>
      <c r="Y2449" s="190"/>
      <c r="Z2449" s="190"/>
      <c r="AA2449" s="190"/>
      <c r="AB2449" s="190"/>
      <c r="AC2449" s="190"/>
      <c r="AD2449" s="190"/>
      <c r="AE2449" s="190"/>
      <c r="AF2449" s="190"/>
      <c r="AG2449" s="190"/>
      <c r="AH2449" s="190"/>
      <c r="AI2449" s="190"/>
      <c r="AJ2449" s="190"/>
      <c r="AK2449" s="190"/>
      <c r="AL2449" s="190"/>
      <c r="AM2449" s="190"/>
      <c r="AN2449" s="190"/>
    </row>
    <row r="2450" spans="8:40" s="221" customFormat="1" ht="12" hidden="1" customHeight="1">
      <c r="H2450" s="217" t="s">
        <v>6383</v>
      </c>
      <c r="I2450" s="217" t="s">
        <v>6376</v>
      </c>
      <c r="J2450" s="217" t="s">
        <v>752</v>
      </c>
      <c r="K2450" s="217" t="s">
        <v>6384</v>
      </c>
      <c r="L2450" s="217" t="s">
        <v>92</v>
      </c>
      <c r="M2450" s="217"/>
      <c r="N2450" s="218">
        <v>1530</v>
      </c>
      <c r="O2450" s="169">
        <f t="shared" si="99"/>
        <v>0</v>
      </c>
      <c r="P2450" s="169"/>
      <c r="Q2450" s="166"/>
      <c r="R2450" s="207"/>
      <c r="S2450" s="207"/>
      <c r="T2450" s="207"/>
      <c r="U2450" s="207"/>
      <c r="V2450" s="166">
        <f t="shared" si="100"/>
        <v>0</v>
      </c>
      <c r="W2450" s="205"/>
      <c r="X2450" s="167"/>
      <c r="Y2450" s="190"/>
      <c r="Z2450" s="190"/>
      <c r="AA2450" s="190"/>
      <c r="AB2450" s="190"/>
      <c r="AC2450" s="190"/>
      <c r="AD2450" s="190"/>
      <c r="AE2450" s="190"/>
      <c r="AF2450" s="190"/>
      <c r="AG2450" s="190"/>
      <c r="AH2450" s="190"/>
      <c r="AI2450" s="190"/>
      <c r="AJ2450" s="190"/>
      <c r="AK2450" s="190"/>
      <c r="AL2450" s="190"/>
      <c r="AM2450" s="190"/>
      <c r="AN2450" s="190"/>
    </row>
    <row r="2451" spans="8:40" s="221" customFormat="1" ht="12" hidden="1" customHeight="1">
      <c r="H2451" s="217" t="s">
        <v>6445</v>
      </c>
      <c r="I2451" s="217" t="s">
        <v>6376</v>
      </c>
      <c r="J2451" s="217" t="s">
        <v>6446</v>
      </c>
      <c r="K2451" s="217" t="s">
        <v>6447</v>
      </c>
      <c r="L2451" s="217" t="s">
        <v>92</v>
      </c>
      <c r="M2451" s="217"/>
      <c r="N2451" s="218">
        <v>1520</v>
      </c>
      <c r="O2451" s="169">
        <f t="shared" si="99"/>
        <v>0</v>
      </c>
      <c r="P2451" s="169"/>
      <c r="Q2451" s="166"/>
      <c r="R2451" s="207"/>
      <c r="S2451" s="207"/>
      <c r="T2451" s="207"/>
      <c r="U2451" s="207"/>
      <c r="V2451" s="166">
        <f t="shared" si="100"/>
        <v>0</v>
      </c>
      <c r="W2451" s="205"/>
      <c r="X2451" s="167"/>
      <c r="Y2451" s="190"/>
      <c r="Z2451" s="190"/>
      <c r="AA2451" s="190"/>
      <c r="AB2451" s="190"/>
      <c r="AC2451" s="190"/>
      <c r="AD2451" s="190"/>
      <c r="AE2451" s="190"/>
      <c r="AF2451" s="190"/>
      <c r="AG2451" s="190"/>
      <c r="AH2451" s="190"/>
      <c r="AI2451" s="190"/>
      <c r="AJ2451" s="190"/>
      <c r="AK2451" s="190"/>
      <c r="AL2451" s="190"/>
      <c r="AM2451" s="190"/>
      <c r="AN2451" s="190"/>
    </row>
    <row r="2452" spans="8:40" s="221" customFormat="1" ht="12" hidden="1" customHeight="1">
      <c r="H2452" s="217" t="s">
        <v>6449</v>
      </c>
      <c r="I2452" s="217" t="s">
        <v>6450</v>
      </c>
      <c r="J2452" s="217" t="s">
        <v>6451</v>
      </c>
      <c r="K2452" s="217" t="s">
        <v>6240</v>
      </c>
      <c r="L2452" s="217" t="s">
        <v>5</v>
      </c>
      <c r="M2452" s="217"/>
      <c r="N2452" s="218">
        <v>580</v>
      </c>
      <c r="O2452" s="169">
        <f t="shared" si="99"/>
        <v>0</v>
      </c>
      <c r="P2452" s="169"/>
      <c r="Q2452" s="166"/>
      <c r="R2452" s="207"/>
      <c r="S2452" s="207"/>
      <c r="T2452" s="207"/>
      <c r="U2452" s="207"/>
      <c r="V2452" s="166">
        <f t="shared" si="100"/>
        <v>0</v>
      </c>
      <c r="W2452" s="205"/>
      <c r="X2452" s="167"/>
      <c r="Y2452" s="190"/>
      <c r="Z2452" s="190"/>
      <c r="AA2452" s="190"/>
      <c r="AB2452" s="190"/>
      <c r="AC2452" s="190"/>
      <c r="AD2452" s="190"/>
      <c r="AE2452" s="190"/>
      <c r="AF2452" s="190"/>
      <c r="AG2452" s="190"/>
      <c r="AH2452" s="190"/>
      <c r="AI2452" s="190"/>
      <c r="AJ2452" s="190"/>
      <c r="AK2452" s="190"/>
      <c r="AL2452" s="190"/>
      <c r="AM2452" s="190"/>
      <c r="AN2452" s="190"/>
    </row>
    <row r="2453" spans="8:40" s="221" customFormat="1" ht="12" hidden="1" customHeight="1">
      <c r="H2453" s="217" t="s">
        <v>6452</v>
      </c>
      <c r="I2453" s="217" t="s">
        <v>6450</v>
      </c>
      <c r="J2453" s="217" t="s">
        <v>6451</v>
      </c>
      <c r="K2453" s="217" t="s">
        <v>6242</v>
      </c>
      <c r="L2453" s="217" t="s">
        <v>5</v>
      </c>
      <c r="M2453" s="217"/>
      <c r="N2453" s="218">
        <v>830</v>
      </c>
      <c r="O2453" s="169">
        <f t="shared" si="99"/>
        <v>0</v>
      </c>
      <c r="P2453" s="169"/>
      <c r="Q2453" s="166"/>
      <c r="R2453" s="207"/>
      <c r="S2453" s="207"/>
      <c r="T2453" s="207"/>
      <c r="U2453" s="207"/>
      <c r="V2453" s="166">
        <f t="shared" si="100"/>
        <v>0</v>
      </c>
      <c r="W2453" s="205"/>
      <c r="X2453" s="167"/>
      <c r="Y2453" s="190"/>
      <c r="Z2453" s="190"/>
      <c r="AA2453" s="190"/>
      <c r="AB2453" s="190"/>
      <c r="AC2453" s="190"/>
      <c r="AD2453" s="190"/>
      <c r="AE2453" s="190"/>
      <c r="AF2453" s="190"/>
      <c r="AG2453" s="190"/>
      <c r="AH2453" s="190"/>
      <c r="AI2453" s="190"/>
      <c r="AJ2453" s="190"/>
      <c r="AK2453" s="190"/>
      <c r="AL2453" s="190"/>
      <c r="AM2453" s="190"/>
      <c r="AN2453" s="190"/>
    </row>
    <row r="2454" spans="8:40" s="221" customFormat="1" ht="12" hidden="1" customHeight="1">
      <c r="H2454" s="217" t="s">
        <v>6453</v>
      </c>
      <c r="I2454" s="217" t="s">
        <v>6450</v>
      </c>
      <c r="J2454" s="217" t="s">
        <v>6451</v>
      </c>
      <c r="K2454" s="217" t="s">
        <v>6244</v>
      </c>
      <c r="L2454" s="217" t="s">
        <v>5</v>
      </c>
      <c r="M2454" s="217"/>
      <c r="N2454" s="218">
        <v>1210</v>
      </c>
      <c r="O2454" s="169">
        <f t="shared" si="99"/>
        <v>0</v>
      </c>
      <c r="P2454" s="169"/>
      <c r="Q2454" s="166"/>
      <c r="R2454" s="207"/>
      <c r="S2454" s="207"/>
      <c r="T2454" s="207"/>
      <c r="U2454" s="207"/>
      <c r="V2454" s="166">
        <f t="shared" si="100"/>
        <v>0</v>
      </c>
      <c r="W2454" s="205"/>
      <c r="X2454" s="167"/>
      <c r="Y2454" s="190"/>
      <c r="Z2454" s="190"/>
      <c r="AA2454" s="190"/>
      <c r="AB2454" s="190"/>
      <c r="AC2454" s="190"/>
      <c r="AD2454" s="190"/>
      <c r="AE2454" s="190"/>
      <c r="AF2454" s="190"/>
      <c r="AG2454" s="190"/>
      <c r="AH2454" s="190"/>
      <c r="AI2454" s="190"/>
      <c r="AJ2454" s="190"/>
      <c r="AK2454" s="190"/>
      <c r="AL2454" s="190"/>
      <c r="AM2454" s="190"/>
      <c r="AN2454" s="190"/>
    </row>
    <row r="2455" spans="8:40" s="221" customFormat="1" ht="12" hidden="1" customHeight="1">
      <c r="H2455" s="217" t="s">
        <v>6454</v>
      </c>
      <c r="I2455" s="217" t="s">
        <v>6450</v>
      </c>
      <c r="J2455" s="217" t="s">
        <v>6451</v>
      </c>
      <c r="K2455" s="217" t="s">
        <v>6246</v>
      </c>
      <c r="L2455" s="217" t="s">
        <v>5</v>
      </c>
      <c r="M2455" s="217"/>
      <c r="N2455" s="218">
        <v>1830</v>
      </c>
      <c r="O2455" s="169">
        <f t="shared" si="99"/>
        <v>0</v>
      </c>
      <c r="P2455" s="169"/>
      <c r="Q2455" s="166"/>
      <c r="R2455" s="207"/>
      <c r="S2455" s="207"/>
      <c r="T2455" s="207"/>
      <c r="U2455" s="207"/>
      <c r="V2455" s="166">
        <f t="shared" si="100"/>
        <v>0</v>
      </c>
      <c r="W2455" s="205"/>
      <c r="X2455" s="167"/>
      <c r="Y2455" s="190"/>
      <c r="Z2455" s="190"/>
      <c r="AA2455" s="190"/>
      <c r="AB2455" s="190"/>
      <c r="AC2455" s="190"/>
      <c r="AD2455" s="190"/>
      <c r="AE2455" s="190"/>
      <c r="AF2455" s="190"/>
      <c r="AG2455" s="190"/>
      <c r="AH2455" s="190"/>
      <c r="AI2455" s="190"/>
      <c r="AJ2455" s="190"/>
      <c r="AK2455" s="190"/>
      <c r="AL2455" s="190"/>
      <c r="AM2455" s="190"/>
      <c r="AN2455" s="190"/>
    </row>
    <row r="2456" spans="8:40" s="221" customFormat="1" ht="12" hidden="1" customHeight="1">
      <c r="H2456" s="217" t="s">
        <v>6455</v>
      </c>
      <c r="I2456" s="217" t="s">
        <v>6450</v>
      </c>
      <c r="J2456" s="217" t="s">
        <v>6451</v>
      </c>
      <c r="K2456" s="217" t="s">
        <v>6248</v>
      </c>
      <c r="L2456" s="217" t="s">
        <v>5</v>
      </c>
      <c r="M2456" s="217"/>
      <c r="N2456" s="218">
        <v>2500</v>
      </c>
      <c r="O2456" s="169">
        <f t="shared" si="99"/>
        <v>0</v>
      </c>
      <c r="P2456" s="169"/>
      <c r="Q2456" s="166"/>
      <c r="R2456" s="207"/>
      <c r="S2456" s="207"/>
      <c r="T2456" s="207"/>
      <c r="U2456" s="207"/>
      <c r="V2456" s="166">
        <f t="shared" si="100"/>
        <v>0</v>
      </c>
      <c r="W2456" s="205"/>
      <c r="X2456" s="167"/>
      <c r="Y2456" s="190"/>
      <c r="Z2456" s="190"/>
      <c r="AA2456" s="190"/>
      <c r="AB2456" s="190"/>
      <c r="AC2456" s="190"/>
      <c r="AD2456" s="190"/>
      <c r="AE2456" s="190"/>
      <c r="AF2456" s="190"/>
      <c r="AG2456" s="190"/>
      <c r="AH2456" s="190"/>
      <c r="AI2456" s="190"/>
      <c r="AJ2456" s="190"/>
      <c r="AK2456" s="190"/>
      <c r="AL2456" s="190"/>
      <c r="AM2456" s="190"/>
      <c r="AN2456" s="190"/>
    </row>
    <row r="2457" spans="8:40" s="221" customFormat="1" ht="12" hidden="1" customHeight="1">
      <c r="H2457" s="217" t="s">
        <v>6456</v>
      </c>
      <c r="I2457" s="217" t="s">
        <v>6450</v>
      </c>
      <c r="J2457" s="217" t="s">
        <v>6451</v>
      </c>
      <c r="K2457" s="217" t="s">
        <v>6250</v>
      </c>
      <c r="L2457" s="217" t="s">
        <v>5</v>
      </c>
      <c r="M2457" s="217"/>
      <c r="N2457" s="218">
        <v>4550</v>
      </c>
      <c r="O2457" s="169">
        <f t="shared" si="99"/>
        <v>0</v>
      </c>
      <c r="P2457" s="169"/>
      <c r="Q2457" s="166"/>
      <c r="R2457" s="207"/>
      <c r="S2457" s="207"/>
      <c r="T2457" s="207"/>
      <c r="U2457" s="207"/>
      <c r="V2457" s="166">
        <f t="shared" si="100"/>
        <v>0</v>
      </c>
      <c r="W2457" s="205"/>
      <c r="X2457" s="167"/>
      <c r="Y2457" s="190"/>
      <c r="Z2457" s="190"/>
      <c r="AA2457" s="190"/>
      <c r="AB2457" s="190"/>
      <c r="AC2457" s="190"/>
      <c r="AD2457" s="190"/>
      <c r="AE2457" s="190"/>
      <c r="AF2457" s="190"/>
      <c r="AG2457" s="190"/>
      <c r="AH2457" s="190"/>
      <c r="AI2457" s="190"/>
      <c r="AJ2457" s="190"/>
      <c r="AK2457" s="190"/>
      <c r="AL2457" s="190"/>
      <c r="AM2457" s="190"/>
      <c r="AN2457" s="190"/>
    </row>
    <row r="2458" spans="8:40" s="221" customFormat="1" ht="12" hidden="1" customHeight="1">
      <c r="H2458" s="217" t="s">
        <v>6457</v>
      </c>
      <c r="I2458" s="217" t="s">
        <v>6450</v>
      </c>
      <c r="J2458" s="217" t="s">
        <v>6451</v>
      </c>
      <c r="K2458" s="217" t="s">
        <v>6252</v>
      </c>
      <c r="L2458" s="217" t="s">
        <v>5</v>
      </c>
      <c r="M2458" s="217"/>
      <c r="N2458" s="218">
        <v>5430</v>
      </c>
      <c r="O2458" s="169">
        <f t="shared" si="99"/>
        <v>0</v>
      </c>
      <c r="P2458" s="169"/>
      <c r="Q2458" s="166"/>
      <c r="R2458" s="207"/>
      <c r="S2458" s="207"/>
      <c r="T2458" s="207"/>
      <c r="U2458" s="207"/>
      <c r="V2458" s="166">
        <f t="shared" si="100"/>
        <v>0</v>
      </c>
      <c r="W2458" s="205"/>
      <c r="X2458" s="167"/>
      <c r="Y2458" s="190"/>
      <c r="Z2458" s="190"/>
      <c r="AA2458" s="190"/>
      <c r="AB2458" s="190"/>
      <c r="AC2458" s="190"/>
      <c r="AD2458" s="190"/>
      <c r="AE2458" s="190"/>
      <c r="AF2458" s="190"/>
      <c r="AG2458" s="190"/>
      <c r="AH2458" s="190"/>
      <c r="AI2458" s="190"/>
      <c r="AJ2458" s="190"/>
      <c r="AK2458" s="190"/>
      <c r="AL2458" s="190"/>
      <c r="AM2458" s="190"/>
      <c r="AN2458" s="190"/>
    </row>
    <row r="2459" spans="8:40" s="221" customFormat="1" ht="12" hidden="1" customHeight="1">
      <c r="H2459" s="217" t="s">
        <v>6458</v>
      </c>
      <c r="I2459" s="217" t="s">
        <v>6450</v>
      </c>
      <c r="J2459" s="217" t="s">
        <v>6451</v>
      </c>
      <c r="K2459" s="217" t="s">
        <v>6254</v>
      </c>
      <c r="L2459" s="217" t="s">
        <v>5</v>
      </c>
      <c r="M2459" s="217"/>
      <c r="N2459" s="218">
        <v>8290</v>
      </c>
      <c r="O2459" s="169">
        <f t="shared" si="99"/>
        <v>0</v>
      </c>
      <c r="P2459" s="169"/>
      <c r="Q2459" s="166"/>
      <c r="R2459" s="207"/>
      <c r="S2459" s="207"/>
      <c r="T2459" s="207"/>
      <c r="U2459" s="207"/>
      <c r="V2459" s="166">
        <f t="shared" si="100"/>
        <v>0</v>
      </c>
      <c r="W2459" s="205"/>
      <c r="X2459" s="167"/>
      <c r="Y2459" s="190"/>
      <c r="Z2459" s="190"/>
      <c r="AA2459" s="190"/>
      <c r="AB2459" s="190"/>
      <c r="AC2459" s="190"/>
      <c r="AD2459" s="190"/>
      <c r="AE2459" s="190"/>
      <c r="AF2459" s="190"/>
      <c r="AG2459" s="190"/>
      <c r="AH2459" s="190"/>
      <c r="AI2459" s="190"/>
      <c r="AJ2459" s="190"/>
      <c r="AK2459" s="190"/>
      <c r="AL2459" s="190"/>
      <c r="AM2459" s="190"/>
      <c r="AN2459" s="190"/>
    </row>
    <row r="2460" spans="8:40" s="221" customFormat="1" ht="12" hidden="1" customHeight="1">
      <c r="H2460" s="217" t="s">
        <v>6459</v>
      </c>
      <c r="I2460" s="217" t="s">
        <v>6450</v>
      </c>
      <c r="J2460" s="217" t="s">
        <v>6451</v>
      </c>
      <c r="K2460" s="217" t="s">
        <v>6256</v>
      </c>
      <c r="L2460" s="217" t="s">
        <v>5</v>
      </c>
      <c r="M2460" s="217"/>
      <c r="N2460" s="218">
        <v>11800</v>
      </c>
      <c r="O2460" s="169">
        <f t="shared" si="99"/>
        <v>0</v>
      </c>
      <c r="P2460" s="169"/>
      <c r="Q2460" s="166"/>
      <c r="R2460" s="207"/>
      <c r="S2460" s="207"/>
      <c r="T2460" s="207"/>
      <c r="U2460" s="207"/>
      <c r="V2460" s="166">
        <f t="shared" si="100"/>
        <v>0</v>
      </c>
      <c r="W2460" s="205"/>
      <c r="X2460" s="167"/>
      <c r="Y2460" s="190"/>
      <c r="Z2460" s="190"/>
      <c r="AA2460" s="190"/>
      <c r="AB2460" s="190"/>
      <c r="AC2460" s="190"/>
      <c r="AD2460" s="190"/>
      <c r="AE2460" s="190"/>
      <c r="AF2460" s="190"/>
      <c r="AG2460" s="190"/>
      <c r="AH2460" s="190"/>
      <c r="AI2460" s="190"/>
      <c r="AJ2460" s="190"/>
      <c r="AK2460" s="190"/>
      <c r="AL2460" s="190"/>
      <c r="AM2460" s="190"/>
      <c r="AN2460" s="190"/>
    </row>
    <row r="2461" spans="8:40" s="221" customFormat="1" ht="12" hidden="1" customHeight="1">
      <c r="H2461" s="217" t="s">
        <v>6460</v>
      </c>
      <c r="I2461" s="217" t="s">
        <v>6450</v>
      </c>
      <c r="J2461" s="217" t="s">
        <v>6451</v>
      </c>
      <c r="K2461" s="217" t="s">
        <v>6258</v>
      </c>
      <c r="L2461" s="217" t="s">
        <v>5</v>
      </c>
      <c r="M2461" s="217"/>
      <c r="N2461" s="218">
        <v>16000</v>
      </c>
      <c r="O2461" s="169">
        <f t="shared" si="99"/>
        <v>0</v>
      </c>
      <c r="P2461" s="169"/>
      <c r="Q2461" s="166"/>
      <c r="R2461" s="207"/>
      <c r="S2461" s="207"/>
      <c r="T2461" s="207"/>
      <c r="U2461" s="207"/>
      <c r="V2461" s="166">
        <f t="shared" si="100"/>
        <v>0</v>
      </c>
      <c r="W2461" s="205"/>
      <c r="X2461" s="167"/>
      <c r="Y2461" s="190"/>
      <c r="Z2461" s="190"/>
      <c r="AA2461" s="190"/>
      <c r="AB2461" s="190"/>
      <c r="AC2461" s="190"/>
      <c r="AD2461" s="190"/>
      <c r="AE2461" s="190"/>
      <c r="AF2461" s="190"/>
      <c r="AG2461" s="190"/>
      <c r="AH2461" s="190"/>
      <c r="AI2461" s="190"/>
      <c r="AJ2461" s="190"/>
      <c r="AK2461" s="190"/>
      <c r="AL2461" s="190"/>
      <c r="AM2461" s="190"/>
      <c r="AN2461" s="190"/>
    </row>
    <row r="2462" spans="8:40" s="221" customFormat="1" ht="12" hidden="1" customHeight="1">
      <c r="H2462" s="217" t="s">
        <v>6461</v>
      </c>
      <c r="I2462" s="217" t="s">
        <v>6450</v>
      </c>
      <c r="J2462" s="217" t="s">
        <v>6451</v>
      </c>
      <c r="K2462" s="217" t="s">
        <v>6260</v>
      </c>
      <c r="L2462" s="217" t="s">
        <v>5</v>
      </c>
      <c r="M2462" s="217"/>
      <c r="N2462" s="218">
        <v>19800</v>
      </c>
      <c r="O2462" s="169">
        <f t="shared" si="99"/>
        <v>0</v>
      </c>
      <c r="P2462" s="169"/>
      <c r="Q2462" s="166"/>
      <c r="R2462" s="207"/>
      <c r="S2462" s="207"/>
      <c r="T2462" s="207"/>
      <c r="U2462" s="207"/>
      <c r="V2462" s="166">
        <f t="shared" si="100"/>
        <v>0</v>
      </c>
      <c r="W2462" s="205"/>
      <c r="X2462" s="167"/>
      <c r="Y2462" s="190"/>
      <c r="Z2462" s="190"/>
      <c r="AA2462" s="190"/>
      <c r="AB2462" s="190"/>
      <c r="AC2462" s="190"/>
      <c r="AD2462" s="190"/>
      <c r="AE2462" s="190"/>
      <c r="AF2462" s="190"/>
      <c r="AG2462" s="190"/>
      <c r="AH2462" s="190"/>
      <c r="AI2462" s="190"/>
      <c r="AJ2462" s="190"/>
      <c r="AK2462" s="190"/>
      <c r="AL2462" s="190"/>
      <c r="AM2462" s="190"/>
      <c r="AN2462" s="190"/>
    </row>
    <row r="2463" spans="8:40" s="221" customFormat="1" ht="12" hidden="1" customHeight="1">
      <c r="H2463" s="217" t="s">
        <v>6462</v>
      </c>
      <c r="I2463" s="217" t="s">
        <v>6450</v>
      </c>
      <c r="J2463" s="217" t="s">
        <v>6451</v>
      </c>
      <c r="K2463" s="217" t="s">
        <v>6262</v>
      </c>
      <c r="L2463" s="217" t="s">
        <v>5</v>
      </c>
      <c r="M2463" s="217"/>
      <c r="N2463" s="218">
        <v>24700</v>
      </c>
      <c r="O2463" s="169">
        <f t="shared" si="99"/>
        <v>0</v>
      </c>
      <c r="P2463" s="169"/>
      <c r="Q2463" s="166"/>
      <c r="R2463" s="207"/>
      <c r="S2463" s="207"/>
      <c r="T2463" s="207"/>
      <c r="U2463" s="207"/>
      <c r="V2463" s="166">
        <f t="shared" si="100"/>
        <v>0</v>
      </c>
      <c r="W2463" s="205"/>
      <c r="X2463" s="167"/>
      <c r="Y2463" s="190"/>
      <c r="Z2463" s="190"/>
      <c r="AA2463" s="190"/>
      <c r="AB2463" s="190"/>
      <c r="AC2463" s="190"/>
      <c r="AD2463" s="190"/>
      <c r="AE2463" s="190"/>
      <c r="AF2463" s="190"/>
      <c r="AG2463" s="190"/>
      <c r="AH2463" s="190"/>
      <c r="AI2463" s="190"/>
      <c r="AJ2463" s="190"/>
      <c r="AK2463" s="190"/>
      <c r="AL2463" s="190"/>
      <c r="AM2463" s="190"/>
      <c r="AN2463" s="190"/>
    </row>
    <row r="2464" spans="8:40" s="221" customFormat="1" ht="12" hidden="1" customHeight="1">
      <c r="H2464" s="217" t="s">
        <v>6463</v>
      </c>
      <c r="I2464" s="217" t="s">
        <v>6450</v>
      </c>
      <c r="J2464" s="217" t="s">
        <v>6451</v>
      </c>
      <c r="K2464" s="217" t="s">
        <v>6264</v>
      </c>
      <c r="L2464" s="217" t="s">
        <v>5</v>
      </c>
      <c r="M2464" s="217"/>
      <c r="N2464" s="218">
        <v>29700</v>
      </c>
      <c r="O2464" s="169">
        <f t="shared" si="99"/>
        <v>0</v>
      </c>
      <c r="P2464" s="169"/>
      <c r="Q2464" s="166"/>
      <c r="R2464" s="207"/>
      <c r="S2464" s="207"/>
      <c r="T2464" s="207"/>
      <c r="U2464" s="207"/>
      <c r="V2464" s="166">
        <f t="shared" si="100"/>
        <v>0</v>
      </c>
      <c r="W2464" s="205"/>
      <c r="X2464" s="167"/>
      <c r="Y2464" s="190"/>
      <c r="Z2464" s="190"/>
      <c r="AA2464" s="190"/>
      <c r="AB2464" s="190"/>
      <c r="AC2464" s="190"/>
      <c r="AD2464" s="190"/>
      <c r="AE2464" s="190"/>
      <c r="AF2464" s="190"/>
      <c r="AG2464" s="190"/>
      <c r="AH2464" s="190"/>
      <c r="AI2464" s="190"/>
      <c r="AJ2464" s="190"/>
      <c r="AK2464" s="190"/>
      <c r="AL2464" s="190"/>
      <c r="AM2464" s="190"/>
      <c r="AN2464" s="190"/>
    </row>
    <row r="2465" spans="8:40" s="221" customFormat="1" ht="12" hidden="1" customHeight="1">
      <c r="H2465" s="217" t="s">
        <v>6464</v>
      </c>
      <c r="I2465" s="217" t="s">
        <v>6450</v>
      </c>
      <c r="J2465" s="217" t="s">
        <v>6451</v>
      </c>
      <c r="K2465" s="217" t="s">
        <v>6266</v>
      </c>
      <c r="L2465" s="217" t="s">
        <v>5</v>
      </c>
      <c r="M2465" s="217"/>
      <c r="N2465" s="218">
        <v>38700</v>
      </c>
      <c r="O2465" s="169">
        <f t="shared" si="99"/>
        <v>0</v>
      </c>
      <c r="P2465" s="169"/>
      <c r="Q2465" s="166"/>
      <c r="R2465" s="207"/>
      <c r="S2465" s="207"/>
      <c r="T2465" s="207"/>
      <c r="U2465" s="207"/>
      <c r="V2465" s="166">
        <f t="shared" si="100"/>
        <v>0</v>
      </c>
      <c r="W2465" s="205"/>
      <c r="X2465" s="167"/>
      <c r="Y2465" s="190"/>
      <c r="Z2465" s="190"/>
      <c r="AA2465" s="190"/>
      <c r="AB2465" s="190"/>
      <c r="AC2465" s="190"/>
      <c r="AD2465" s="190"/>
      <c r="AE2465" s="190"/>
      <c r="AF2465" s="190"/>
      <c r="AG2465" s="190"/>
      <c r="AH2465" s="190"/>
      <c r="AI2465" s="190"/>
      <c r="AJ2465" s="190"/>
      <c r="AK2465" s="190"/>
      <c r="AL2465" s="190"/>
      <c r="AM2465" s="190"/>
      <c r="AN2465" s="190"/>
    </row>
    <row r="2466" spans="8:40" s="221" customFormat="1" ht="12" hidden="1" customHeight="1">
      <c r="H2466" s="217" t="s">
        <v>6465</v>
      </c>
      <c r="I2466" s="217" t="s">
        <v>6450</v>
      </c>
      <c r="J2466" s="217" t="s">
        <v>6451</v>
      </c>
      <c r="K2466" s="217" t="s">
        <v>6448</v>
      </c>
      <c r="L2466" s="217" t="s">
        <v>5</v>
      </c>
      <c r="M2466" s="217"/>
      <c r="N2466" s="218">
        <v>48600</v>
      </c>
      <c r="O2466" s="169">
        <f t="shared" si="99"/>
        <v>0</v>
      </c>
      <c r="P2466" s="169"/>
      <c r="Q2466" s="166"/>
      <c r="R2466" s="207"/>
      <c r="S2466" s="207"/>
      <c r="T2466" s="207"/>
      <c r="U2466" s="207"/>
      <c r="V2466" s="166">
        <f t="shared" si="100"/>
        <v>0</v>
      </c>
      <c r="W2466" s="205"/>
      <c r="X2466" s="167"/>
      <c r="Y2466" s="190"/>
      <c r="Z2466" s="190"/>
      <c r="AA2466" s="190"/>
      <c r="AB2466" s="190"/>
      <c r="AC2466" s="190"/>
      <c r="AD2466" s="190"/>
      <c r="AE2466" s="190"/>
      <c r="AF2466" s="190"/>
      <c r="AG2466" s="190"/>
      <c r="AH2466" s="190"/>
      <c r="AI2466" s="190"/>
      <c r="AJ2466" s="190"/>
      <c r="AK2466" s="190"/>
      <c r="AL2466" s="190"/>
      <c r="AM2466" s="190"/>
      <c r="AN2466" s="190"/>
    </row>
    <row r="2467" spans="8:40" s="221" customFormat="1" ht="12" hidden="1" customHeight="1">
      <c r="H2467" s="217" t="s">
        <v>6466</v>
      </c>
      <c r="I2467" s="217" t="s">
        <v>6467</v>
      </c>
      <c r="J2467" s="217" t="s">
        <v>6468</v>
      </c>
      <c r="K2467" s="217" t="s">
        <v>6469</v>
      </c>
      <c r="L2467" s="217" t="s">
        <v>92</v>
      </c>
      <c r="M2467" s="217"/>
      <c r="N2467" s="218">
        <v>2020</v>
      </c>
      <c r="O2467" s="169">
        <f t="shared" si="99"/>
        <v>0</v>
      </c>
      <c r="P2467" s="169"/>
      <c r="Q2467" s="166"/>
      <c r="R2467" s="207"/>
      <c r="S2467" s="207"/>
      <c r="T2467" s="207"/>
      <c r="U2467" s="207"/>
      <c r="V2467" s="166">
        <f t="shared" si="100"/>
        <v>0</v>
      </c>
      <c r="W2467" s="205"/>
      <c r="X2467" s="167"/>
      <c r="Y2467" s="190"/>
      <c r="Z2467" s="190"/>
      <c r="AA2467" s="190"/>
      <c r="AB2467" s="190"/>
      <c r="AC2467" s="190"/>
      <c r="AD2467" s="190"/>
      <c r="AE2467" s="190"/>
      <c r="AF2467" s="190"/>
      <c r="AG2467" s="190"/>
      <c r="AH2467" s="190"/>
      <c r="AI2467" s="190"/>
      <c r="AJ2467" s="190"/>
      <c r="AK2467" s="190"/>
      <c r="AL2467" s="190"/>
      <c r="AM2467" s="190"/>
      <c r="AN2467" s="190"/>
    </row>
    <row r="2468" spans="8:40" s="221" customFormat="1" ht="12" hidden="1" customHeight="1">
      <c r="H2468" s="217" t="s">
        <v>6470</v>
      </c>
      <c r="I2468" s="217" t="s">
        <v>6467</v>
      </c>
      <c r="J2468" s="217" t="s">
        <v>6471</v>
      </c>
      <c r="K2468" s="217" t="s">
        <v>6469</v>
      </c>
      <c r="L2468" s="217" t="s">
        <v>92</v>
      </c>
      <c r="M2468" s="217"/>
      <c r="N2468" s="218">
        <v>3030</v>
      </c>
      <c r="O2468" s="169">
        <f t="shared" si="99"/>
        <v>0</v>
      </c>
      <c r="P2468" s="169"/>
      <c r="Q2468" s="166"/>
      <c r="R2468" s="207"/>
      <c r="S2468" s="207"/>
      <c r="T2468" s="207"/>
      <c r="U2468" s="207"/>
      <c r="V2468" s="166">
        <f t="shared" si="100"/>
        <v>0</v>
      </c>
      <c r="W2468" s="205"/>
      <c r="X2468" s="167"/>
      <c r="Y2468" s="190"/>
      <c r="Z2468" s="190"/>
      <c r="AA2468" s="190"/>
      <c r="AB2468" s="190"/>
      <c r="AC2468" s="190"/>
      <c r="AD2468" s="190"/>
      <c r="AE2468" s="190"/>
      <c r="AF2468" s="190"/>
      <c r="AG2468" s="190"/>
      <c r="AH2468" s="190"/>
      <c r="AI2468" s="190"/>
      <c r="AJ2468" s="190"/>
      <c r="AK2468" s="190"/>
      <c r="AL2468" s="190"/>
      <c r="AM2468" s="190"/>
      <c r="AN2468" s="190"/>
    </row>
    <row r="2469" spans="8:40" s="221" customFormat="1" ht="12" hidden="1" customHeight="1">
      <c r="H2469" s="217" t="s">
        <v>6472</v>
      </c>
      <c r="I2469" s="217" t="s">
        <v>6467</v>
      </c>
      <c r="J2469" s="217" t="s">
        <v>6473</v>
      </c>
      <c r="K2469" s="217" t="s">
        <v>6469</v>
      </c>
      <c r="L2469" s="217" t="s">
        <v>92</v>
      </c>
      <c r="M2469" s="217"/>
      <c r="N2469" s="218">
        <v>3050</v>
      </c>
      <c r="O2469" s="169">
        <f t="shared" si="99"/>
        <v>0</v>
      </c>
      <c r="P2469" s="169"/>
      <c r="Q2469" s="166"/>
      <c r="R2469" s="207"/>
      <c r="S2469" s="207"/>
      <c r="T2469" s="207"/>
      <c r="U2469" s="207"/>
      <c r="V2469" s="166">
        <f t="shared" si="100"/>
        <v>0</v>
      </c>
      <c r="W2469" s="205"/>
      <c r="X2469" s="167"/>
      <c r="Y2469" s="190"/>
      <c r="Z2469" s="190"/>
      <c r="AA2469" s="190"/>
      <c r="AB2469" s="190"/>
      <c r="AC2469" s="190"/>
      <c r="AD2469" s="190"/>
      <c r="AE2469" s="190"/>
      <c r="AF2469" s="190"/>
      <c r="AG2469" s="190"/>
      <c r="AH2469" s="190"/>
      <c r="AI2469" s="190"/>
      <c r="AJ2469" s="190"/>
      <c r="AK2469" s="190"/>
      <c r="AL2469" s="190"/>
      <c r="AM2469" s="190"/>
      <c r="AN2469" s="190"/>
    </row>
    <row r="2470" spans="8:40" s="221" customFormat="1" ht="12" hidden="1" customHeight="1">
      <c r="H2470" s="217" t="s">
        <v>6474</v>
      </c>
      <c r="I2470" s="217" t="s">
        <v>6467</v>
      </c>
      <c r="J2470" s="217" t="s">
        <v>6475</v>
      </c>
      <c r="K2470" s="217" t="s">
        <v>6469</v>
      </c>
      <c r="L2470" s="217" t="s">
        <v>92</v>
      </c>
      <c r="M2470" s="217"/>
      <c r="N2470" s="218">
        <v>3950</v>
      </c>
      <c r="O2470" s="169">
        <f t="shared" si="99"/>
        <v>0</v>
      </c>
      <c r="P2470" s="169"/>
      <c r="Q2470" s="166"/>
      <c r="R2470" s="207"/>
      <c r="S2470" s="207"/>
      <c r="T2470" s="207"/>
      <c r="U2470" s="207"/>
      <c r="V2470" s="166">
        <f t="shared" si="100"/>
        <v>0</v>
      </c>
      <c r="W2470" s="205"/>
      <c r="X2470" s="167"/>
      <c r="Y2470" s="190"/>
      <c r="Z2470" s="190"/>
      <c r="AA2470" s="190"/>
      <c r="AB2470" s="190"/>
      <c r="AC2470" s="190"/>
      <c r="AD2470" s="190"/>
      <c r="AE2470" s="190"/>
      <c r="AF2470" s="190"/>
      <c r="AG2470" s="190"/>
      <c r="AH2470" s="190"/>
      <c r="AI2470" s="190"/>
      <c r="AJ2470" s="190"/>
      <c r="AK2470" s="190"/>
      <c r="AL2470" s="190"/>
      <c r="AM2470" s="190"/>
      <c r="AN2470" s="190"/>
    </row>
    <row r="2471" spans="8:40" s="221" customFormat="1" ht="12" hidden="1" customHeight="1">
      <c r="H2471" s="217" t="s">
        <v>6476</v>
      </c>
      <c r="I2471" s="217" t="s">
        <v>6467</v>
      </c>
      <c r="J2471" s="217" t="s">
        <v>6477</v>
      </c>
      <c r="K2471" s="217" t="s">
        <v>6469</v>
      </c>
      <c r="L2471" s="217" t="s">
        <v>92</v>
      </c>
      <c r="M2471" s="217"/>
      <c r="N2471" s="218">
        <v>4130</v>
      </c>
      <c r="O2471" s="169">
        <f t="shared" si="99"/>
        <v>0</v>
      </c>
      <c r="P2471" s="169"/>
      <c r="Q2471" s="166"/>
      <c r="R2471" s="207"/>
      <c r="S2471" s="207"/>
      <c r="T2471" s="207"/>
      <c r="U2471" s="207"/>
      <c r="V2471" s="166">
        <f t="shared" si="100"/>
        <v>0</v>
      </c>
      <c r="W2471" s="205"/>
      <c r="X2471" s="167"/>
      <c r="Y2471" s="190"/>
      <c r="Z2471" s="190"/>
      <c r="AA2471" s="190"/>
      <c r="AB2471" s="190"/>
      <c r="AC2471" s="190"/>
      <c r="AD2471" s="190"/>
      <c r="AE2471" s="190"/>
      <c r="AF2471" s="190"/>
      <c r="AG2471" s="190"/>
      <c r="AH2471" s="190"/>
      <c r="AI2471" s="190"/>
      <c r="AJ2471" s="190"/>
      <c r="AK2471" s="190"/>
      <c r="AL2471" s="190"/>
      <c r="AM2471" s="190"/>
      <c r="AN2471" s="190"/>
    </row>
    <row r="2472" spans="8:40" s="221" customFormat="1" ht="12" hidden="1" customHeight="1">
      <c r="H2472" s="217" t="s">
        <v>6478</v>
      </c>
      <c r="I2472" s="217" t="s">
        <v>6467</v>
      </c>
      <c r="J2472" s="217" t="s">
        <v>6479</v>
      </c>
      <c r="K2472" s="217" t="s">
        <v>6469</v>
      </c>
      <c r="L2472" s="217" t="s">
        <v>92</v>
      </c>
      <c r="M2472" s="217"/>
      <c r="N2472" s="218">
        <v>4890</v>
      </c>
      <c r="O2472" s="169">
        <f t="shared" si="99"/>
        <v>0</v>
      </c>
      <c r="P2472" s="169"/>
      <c r="Q2472" s="166"/>
      <c r="R2472" s="207"/>
      <c r="S2472" s="207"/>
      <c r="T2472" s="207"/>
      <c r="U2472" s="207"/>
      <c r="V2472" s="166">
        <f t="shared" si="100"/>
        <v>0</v>
      </c>
      <c r="W2472" s="205"/>
      <c r="X2472" s="167"/>
      <c r="Y2472" s="190"/>
      <c r="Z2472" s="190"/>
      <c r="AA2472" s="190"/>
      <c r="AB2472" s="190"/>
      <c r="AC2472" s="190"/>
      <c r="AD2472" s="190"/>
      <c r="AE2472" s="190"/>
      <c r="AF2472" s="190"/>
      <c r="AG2472" s="190"/>
      <c r="AH2472" s="190"/>
      <c r="AI2472" s="190"/>
      <c r="AJ2472" s="190"/>
      <c r="AK2472" s="190"/>
      <c r="AL2472" s="190"/>
      <c r="AM2472" s="190"/>
      <c r="AN2472" s="190"/>
    </row>
    <row r="2473" spans="8:40" s="221" customFormat="1" ht="12" hidden="1" customHeight="1">
      <c r="H2473" s="217" t="s">
        <v>6480</v>
      </c>
      <c r="I2473" s="217" t="s">
        <v>6467</v>
      </c>
      <c r="J2473" s="217" t="s">
        <v>6481</v>
      </c>
      <c r="K2473" s="217" t="s">
        <v>6469</v>
      </c>
      <c r="L2473" s="217" t="s">
        <v>92</v>
      </c>
      <c r="M2473" s="217"/>
      <c r="N2473" s="218">
        <v>5150</v>
      </c>
      <c r="O2473" s="169">
        <f t="shared" si="99"/>
        <v>0</v>
      </c>
      <c r="P2473" s="169"/>
      <c r="Q2473" s="166"/>
      <c r="R2473" s="207"/>
      <c r="S2473" s="207"/>
      <c r="T2473" s="207"/>
      <c r="U2473" s="207"/>
      <c r="V2473" s="166">
        <f t="shared" si="100"/>
        <v>0</v>
      </c>
      <c r="W2473" s="205"/>
      <c r="X2473" s="167"/>
      <c r="Y2473" s="190"/>
      <c r="Z2473" s="190"/>
      <c r="AA2473" s="190"/>
      <c r="AB2473" s="190"/>
      <c r="AC2473" s="190"/>
      <c r="AD2473" s="190"/>
      <c r="AE2473" s="190"/>
      <c r="AF2473" s="190"/>
      <c r="AG2473" s="190"/>
      <c r="AH2473" s="190"/>
      <c r="AI2473" s="190"/>
      <c r="AJ2473" s="190"/>
      <c r="AK2473" s="190"/>
      <c r="AL2473" s="190"/>
      <c r="AM2473" s="190"/>
      <c r="AN2473" s="190"/>
    </row>
    <row r="2474" spans="8:40" s="221" customFormat="1" ht="12" hidden="1" customHeight="1">
      <c r="H2474" s="217" t="s">
        <v>6482</v>
      </c>
      <c r="I2474" s="217" t="s">
        <v>6467</v>
      </c>
      <c r="J2474" s="217" t="s">
        <v>6483</v>
      </c>
      <c r="K2474" s="217" t="s">
        <v>6469</v>
      </c>
      <c r="L2474" s="217" t="s">
        <v>92</v>
      </c>
      <c r="M2474" s="217"/>
      <c r="N2474" s="218">
        <v>5910</v>
      </c>
      <c r="O2474" s="169">
        <f t="shared" si="99"/>
        <v>0</v>
      </c>
      <c r="P2474" s="169"/>
      <c r="Q2474" s="166"/>
      <c r="R2474" s="207"/>
      <c r="S2474" s="207"/>
      <c r="T2474" s="207"/>
      <c r="U2474" s="207"/>
      <c r="V2474" s="166">
        <f t="shared" si="100"/>
        <v>0</v>
      </c>
      <c r="W2474" s="205"/>
      <c r="X2474" s="167"/>
      <c r="Y2474" s="190"/>
      <c r="Z2474" s="190"/>
      <c r="AA2474" s="190"/>
      <c r="AB2474" s="190"/>
      <c r="AC2474" s="190"/>
      <c r="AD2474" s="190"/>
      <c r="AE2474" s="190"/>
      <c r="AF2474" s="190"/>
      <c r="AG2474" s="190"/>
      <c r="AH2474" s="190"/>
      <c r="AI2474" s="190"/>
      <c r="AJ2474" s="190"/>
      <c r="AK2474" s="190"/>
      <c r="AL2474" s="190"/>
      <c r="AM2474" s="190"/>
      <c r="AN2474" s="190"/>
    </row>
    <row r="2475" spans="8:40" s="221" customFormat="1" ht="12" hidden="1" customHeight="1">
      <c r="H2475" s="217" t="s">
        <v>6484</v>
      </c>
      <c r="I2475" s="217" t="s">
        <v>6467</v>
      </c>
      <c r="J2475" s="217" t="s">
        <v>6485</v>
      </c>
      <c r="K2475" s="217" t="s">
        <v>6469</v>
      </c>
      <c r="L2475" s="217" t="s">
        <v>92</v>
      </c>
      <c r="M2475" s="217"/>
      <c r="N2475" s="218">
        <v>6870</v>
      </c>
      <c r="O2475" s="169">
        <f t="shared" si="99"/>
        <v>0</v>
      </c>
      <c r="P2475" s="169"/>
      <c r="Q2475" s="166"/>
      <c r="R2475" s="207"/>
      <c r="S2475" s="207"/>
      <c r="T2475" s="207"/>
      <c r="U2475" s="207"/>
      <c r="V2475" s="166">
        <f t="shared" si="100"/>
        <v>0</v>
      </c>
      <c r="W2475" s="205"/>
      <c r="X2475" s="167"/>
      <c r="Y2475" s="190"/>
      <c r="Z2475" s="190"/>
      <c r="AA2475" s="190"/>
      <c r="AB2475" s="190"/>
      <c r="AC2475" s="190"/>
      <c r="AD2475" s="190"/>
      <c r="AE2475" s="190"/>
      <c r="AF2475" s="190"/>
      <c r="AG2475" s="190"/>
      <c r="AH2475" s="190"/>
      <c r="AI2475" s="190"/>
      <c r="AJ2475" s="190"/>
      <c r="AK2475" s="190"/>
      <c r="AL2475" s="190"/>
      <c r="AM2475" s="190"/>
      <c r="AN2475" s="190"/>
    </row>
    <row r="2476" spans="8:40" s="221" customFormat="1" ht="12" hidden="1" customHeight="1">
      <c r="H2476" s="217" t="s">
        <v>6486</v>
      </c>
      <c r="I2476" s="217" t="s">
        <v>6467</v>
      </c>
      <c r="J2476" s="217" t="s">
        <v>6487</v>
      </c>
      <c r="K2476" s="217" t="s">
        <v>6469</v>
      </c>
      <c r="L2476" s="217" t="s">
        <v>92</v>
      </c>
      <c r="M2476" s="217"/>
      <c r="N2476" s="218">
        <v>7110</v>
      </c>
      <c r="O2476" s="169">
        <f t="shared" si="99"/>
        <v>0</v>
      </c>
      <c r="P2476" s="169"/>
      <c r="Q2476" s="166"/>
      <c r="R2476" s="207"/>
      <c r="S2476" s="207"/>
      <c r="T2476" s="207"/>
      <c r="U2476" s="207"/>
      <c r="V2476" s="166">
        <f t="shared" si="100"/>
        <v>0</v>
      </c>
      <c r="W2476" s="205"/>
      <c r="X2476" s="167"/>
      <c r="Y2476" s="190"/>
      <c r="Z2476" s="190"/>
      <c r="AA2476" s="190"/>
      <c r="AB2476" s="190"/>
      <c r="AC2476" s="190"/>
      <c r="AD2476" s="190"/>
      <c r="AE2476" s="190"/>
      <c r="AF2476" s="190"/>
      <c r="AG2476" s="190"/>
      <c r="AH2476" s="190"/>
      <c r="AI2476" s="190"/>
      <c r="AJ2476" s="190"/>
      <c r="AK2476" s="190"/>
      <c r="AL2476" s="190"/>
      <c r="AM2476" s="190"/>
      <c r="AN2476" s="190"/>
    </row>
    <row r="2477" spans="8:40" s="221" customFormat="1" ht="12" hidden="1" customHeight="1">
      <c r="H2477" s="217" t="s">
        <v>6488</v>
      </c>
      <c r="I2477" s="217" t="s">
        <v>6467</v>
      </c>
      <c r="J2477" s="217" t="s">
        <v>6489</v>
      </c>
      <c r="K2477" s="217" t="s">
        <v>6469</v>
      </c>
      <c r="L2477" s="217" t="s">
        <v>92</v>
      </c>
      <c r="M2477" s="217"/>
      <c r="N2477" s="218">
        <v>7830</v>
      </c>
      <c r="O2477" s="169">
        <f t="shared" si="99"/>
        <v>0</v>
      </c>
      <c r="P2477" s="169"/>
      <c r="Q2477" s="166"/>
      <c r="R2477" s="207"/>
      <c r="S2477" s="207"/>
      <c r="T2477" s="207"/>
      <c r="U2477" s="207"/>
      <c r="V2477" s="166">
        <f t="shared" si="100"/>
        <v>0</v>
      </c>
      <c r="W2477" s="205"/>
      <c r="X2477" s="167"/>
      <c r="Y2477" s="190"/>
      <c r="Z2477" s="190"/>
      <c r="AA2477" s="190"/>
      <c r="AB2477" s="190"/>
      <c r="AC2477" s="190"/>
      <c r="AD2477" s="190"/>
      <c r="AE2477" s="190"/>
      <c r="AF2477" s="190"/>
      <c r="AG2477" s="190"/>
      <c r="AH2477" s="190"/>
      <c r="AI2477" s="190"/>
      <c r="AJ2477" s="190"/>
      <c r="AK2477" s="190"/>
      <c r="AL2477" s="190"/>
      <c r="AM2477" s="190"/>
      <c r="AN2477" s="190"/>
    </row>
    <row r="2478" spans="8:40" s="221" customFormat="1" ht="12" hidden="1" customHeight="1">
      <c r="H2478" s="217" t="s">
        <v>6490</v>
      </c>
      <c r="I2478" s="217" t="s">
        <v>6491</v>
      </c>
      <c r="J2478" s="217" t="s">
        <v>6492</v>
      </c>
      <c r="K2478" s="217" t="s">
        <v>6493</v>
      </c>
      <c r="L2478" s="217" t="s">
        <v>92</v>
      </c>
      <c r="M2478" s="217"/>
      <c r="N2478" s="218">
        <v>108000</v>
      </c>
      <c r="O2478" s="169">
        <f t="shared" si="99"/>
        <v>0</v>
      </c>
      <c r="P2478" s="169"/>
      <c r="Q2478" s="166"/>
      <c r="R2478" s="207"/>
      <c r="S2478" s="207"/>
      <c r="T2478" s="207"/>
      <c r="U2478" s="207"/>
      <c r="V2478" s="166">
        <f t="shared" si="100"/>
        <v>0</v>
      </c>
      <c r="W2478" s="205"/>
      <c r="X2478" s="167"/>
      <c r="Y2478" s="190"/>
      <c r="Z2478" s="190"/>
      <c r="AA2478" s="190"/>
      <c r="AB2478" s="190"/>
      <c r="AC2478" s="190"/>
      <c r="AD2478" s="190"/>
      <c r="AE2478" s="190"/>
      <c r="AF2478" s="190"/>
      <c r="AG2478" s="190"/>
      <c r="AH2478" s="190"/>
      <c r="AI2478" s="190"/>
      <c r="AJ2478" s="190"/>
      <c r="AK2478" s="190"/>
      <c r="AL2478" s="190"/>
      <c r="AM2478" s="190"/>
      <c r="AN2478" s="190"/>
    </row>
    <row r="2479" spans="8:40" s="221" customFormat="1" ht="12" hidden="1" customHeight="1">
      <c r="H2479" s="217" t="s">
        <v>6494</v>
      </c>
      <c r="I2479" s="217" t="s">
        <v>6496</v>
      </c>
      <c r="J2479" s="217" t="s">
        <v>6497</v>
      </c>
      <c r="K2479" s="217" t="s">
        <v>6498</v>
      </c>
      <c r="L2479" s="217" t="s">
        <v>92</v>
      </c>
      <c r="M2479" s="217"/>
      <c r="N2479" s="218">
        <v>3930</v>
      </c>
      <c r="O2479" s="169">
        <f t="shared" si="99"/>
        <v>0</v>
      </c>
      <c r="P2479" s="169"/>
      <c r="Q2479" s="166"/>
      <c r="R2479" s="207"/>
      <c r="S2479" s="207"/>
      <c r="T2479" s="207"/>
      <c r="U2479" s="207"/>
      <c r="V2479" s="166">
        <f t="shared" si="100"/>
        <v>0</v>
      </c>
      <c r="W2479" s="205"/>
      <c r="X2479" s="167"/>
      <c r="Y2479" s="190"/>
      <c r="Z2479" s="190"/>
      <c r="AA2479" s="190"/>
      <c r="AB2479" s="190"/>
      <c r="AC2479" s="190"/>
      <c r="AD2479" s="190"/>
      <c r="AE2479" s="190"/>
      <c r="AF2479" s="190"/>
      <c r="AG2479" s="190"/>
      <c r="AH2479" s="190"/>
      <c r="AI2479" s="190"/>
      <c r="AJ2479" s="190"/>
      <c r="AK2479" s="190"/>
      <c r="AL2479" s="190"/>
      <c r="AM2479" s="190"/>
      <c r="AN2479" s="190"/>
    </row>
    <row r="2480" spans="8:40" s="221" customFormat="1" ht="12" hidden="1" customHeight="1">
      <c r="H2480" s="217" t="s">
        <v>6495</v>
      </c>
      <c r="I2480" s="217" t="s">
        <v>6496</v>
      </c>
      <c r="J2480" s="217" t="s">
        <v>6497</v>
      </c>
      <c r="K2480" s="217" t="s">
        <v>6499</v>
      </c>
      <c r="L2480" s="217" t="s">
        <v>92</v>
      </c>
      <c r="M2480" s="217"/>
      <c r="N2480" s="218">
        <v>3930</v>
      </c>
      <c r="O2480" s="169">
        <f t="shared" si="99"/>
        <v>0</v>
      </c>
      <c r="P2480" s="169"/>
      <c r="Q2480" s="166"/>
      <c r="R2480" s="207"/>
      <c r="S2480" s="207"/>
      <c r="T2480" s="207"/>
      <c r="U2480" s="207"/>
      <c r="V2480" s="166">
        <f t="shared" si="100"/>
        <v>0</v>
      </c>
      <c r="W2480" s="205"/>
      <c r="X2480" s="167"/>
      <c r="Y2480" s="190"/>
      <c r="Z2480" s="190"/>
      <c r="AA2480" s="190"/>
      <c r="AB2480" s="190"/>
      <c r="AC2480" s="190"/>
      <c r="AD2480" s="190"/>
      <c r="AE2480" s="190"/>
      <c r="AF2480" s="190"/>
      <c r="AG2480" s="190"/>
      <c r="AH2480" s="190"/>
      <c r="AI2480" s="190"/>
      <c r="AJ2480" s="190"/>
      <c r="AK2480" s="190"/>
      <c r="AL2480" s="190"/>
      <c r="AM2480" s="190"/>
      <c r="AN2480" s="190"/>
    </row>
    <row r="2481" spans="8:40" s="221" customFormat="1" ht="12" hidden="1" customHeight="1">
      <c r="H2481" s="217" t="s">
        <v>6500</v>
      </c>
      <c r="I2481" s="217" t="s">
        <v>6496</v>
      </c>
      <c r="J2481" s="217" t="s">
        <v>6497</v>
      </c>
      <c r="K2481" s="217" t="s">
        <v>6501</v>
      </c>
      <c r="L2481" s="217" t="s">
        <v>92</v>
      </c>
      <c r="M2481" s="217"/>
      <c r="N2481" s="218">
        <v>26100</v>
      </c>
      <c r="O2481" s="169">
        <f t="shared" si="99"/>
        <v>0</v>
      </c>
      <c r="P2481" s="169"/>
      <c r="Q2481" s="166"/>
      <c r="R2481" s="207"/>
      <c r="S2481" s="207"/>
      <c r="T2481" s="207"/>
      <c r="U2481" s="207"/>
      <c r="V2481" s="166">
        <f t="shared" si="100"/>
        <v>0</v>
      </c>
      <c r="W2481" s="205"/>
      <c r="X2481" s="167"/>
      <c r="Y2481" s="190"/>
      <c r="Z2481" s="190"/>
      <c r="AA2481" s="190"/>
      <c r="AB2481" s="190"/>
      <c r="AC2481" s="190"/>
      <c r="AD2481" s="190"/>
      <c r="AE2481" s="190"/>
      <c r="AF2481" s="190"/>
      <c r="AG2481" s="190"/>
      <c r="AH2481" s="190"/>
      <c r="AI2481" s="190"/>
      <c r="AJ2481" s="190"/>
      <c r="AK2481" s="190"/>
      <c r="AL2481" s="190"/>
      <c r="AM2481" s="190"/>
      <c r="AN2481" s="190"/>
    </row>
    <row r="2482" spans="8:40" s="221" customFormat="1" ht="12" hidden="1" customHeight="1">
      <c r="H2482" s="217" t="s">
        <v>6502</v>
      </c>
      <c r="I2482" s="217" t="s">
        <v>6496</v>
      </c>
      <c r="J2482" s="217" t="s">
        <v>6497</v>
      </c>
      <c r="K2482" s="217" t="s">
        <v>6503</v>
      </c>
      <c r="L2482" s="217" t="s">
        <v>92</v>
      </c>
      <c r="M2482" s="217"/>
      <c r="N2482" s="218">
        <v>34700</v>
      </c>
      <c r="O2482" s="169">
        <f t="shared" si="99"/>
        <v>0</v>
      </c>
      <c r="P2482" s="169"/>
      <c r="Q2482" s="166"/>
      <c r="R2482" s="207"/>
      <c r="S2482" s="207"/>
      <c r="T2482" s="207"/>
      <c r="U2482" s="207"/>
      <c r="V2482" s="166">
        <f t="shared" si="100"/>
        <v>0</v>
      </c>
      <c r="W2482" s="205"/>
      <c r="X2482" s="167"/>
      <c r="Y2482" s="190"/>
      <c r="Z2482" s="190"/>
      <c r="AA2482" s="190"/>
      <c r="AB2482" s="190"/>
      <c r="AC2482" s="190"/>
      <c r="AD2482" s="190"/>
      <c r="AE2482" s="190"/>
      <c r="AF2482" s="190"/>
      <c r="AG2482" s="190"/>
      <c r="AH2482" s="190"/>
      <c r="AI2482" s="190"/>
      <c r="AJ2482" s="190"/>
      <c r="AK2482" s="190"/>
      <c r="AL2482" s="190"/>
      <c r="AM2482" s="190"/>
      <c r="AN2482" s="190"/>
    </row>
    <row r="2483" spans="8:40" s="221" customFormat="1" ht="12" hidden="1" customHeight="1">
      <c r="H2483" s="217" t="s">
        <v>6504</v>
      </c>
      <c r="I2483" s="217" t="s">
        <v>6496</v>
      </c>
      <c r="J2483" s="217" t="s">
        <v>6497</v>
      </c>
      <c r="K2483" s="217" t="s">
        <v>6505</v>
      </c>
      <c r="L2483" s="217" t="s">
        <v>92</v>
      </c>
      <c r="M2483" s="217"/>
      <c r="N2483" s="218">
        <v>35100</v>
      </c>
      <c r="O2483" s="169">
        <f t="shared" si="99"/>
        <v>0</v>
      </c>
      <c r="P2483" s="169"/>
      <c r="Q2483" s="166"/>
      <c r="R2483" s="207"/>
      <c r="S2483" s="207"/>
      <c r="T2483" s="207"/>
      <c r="U2483" s="207"/>
      <c r="V2483" s="166">
        <f t="shared" si="100"/>
        <v>0</v>
      </c>
      <c r="W2483" s="205"/>
      <c r="X2483" s="167"/>
      <c r="Y2483" s="190"/>
      <c r="Z2483" s="190"/>
      <c r="AA2483" s="190"/>
      <c r="AB2483" s="190"/>
      <c r="AC2483" s="190"/>
      <c r="AD2483" s="190"/>
      <c r="AE2483" s="190"/>
      <c r="AF2483" s="190"/>
      <c r="AG2483" s="190"/>
      <c r="AH2483" s="190"/>
      <c r="AI2483" s="190"/>
      <c r="AJ2483" s="190"/>
      <c r="AK2483" s="190"/>
      <c r="AL2483" s="190"/>
      <c r="AM2483" s="190"/>
      <c r="AN2483" s="190"/>
    </row>
    <row r="2484" spans="8:40" s="221" customFormat="1" ht="12" hidden="1" customHeight="1">
      <c r="H2484" s="217" t="s">
        <v>6506</v>
      </c>
      <c r="I2484" s="217" t="s">
        <v>6496</v>
      </c>
      <c r="J2484" s="217" t="s">
        <v>6497</v>
      </c>
      <c r="K2484" s="217" t="s">
        <v>6507</v>
      </c>
      <c r="L2484" s="217" t="s">
        <v>92</v>
      </c>
      <c r="M2484" s="217"/>
      <c r="N2484" s="218">
        <v>39200</v>
      </c>
      <c r="O2484" s="169">
        <f t="shared" si="99"/>
        <v>0</v>
      </c>
      <c r="P2484" s="169"/>
      <c r="Q2484" s="166"/>
      <c r="R2484" s="207"/>
      <c r="S2484" s="207"/>
      <c r="T2484" s="207"/>
      <c r="U2484" s="207"/>
      <c r="V2484" s="166">
        <f t="shared" si="100"/>
        <v>0</v>
      </c>
      <c r="W2484" s="205"/>
      <c r="X2484" s="167"/>
      <c r="Y2484" s="190"/>
      <c r="Z2484" s="190"/>
      <c r="AA2484" s="190"/>
      <c r="AB2484" s="190"/>
      <c r="AC2484" s="190"/>
      <c r="AD2484" s="190"/>
      <c r="AE2484" s="190"/>
      <c r="AF2484" s="190"/>
      <c r="AG2484" s="190"/>
      <c r="AH2484" s="190"/>
      <c r="AI2484" s="190"/>
      <c r="AJ2484" s="190"/>
      <c r="AK2484" s="190"/>
      <c r="AL2484" s="190"/>
      <c r="AM2484" s="190"/>
      <c r="AN2484" s="190"/>
    </row>
    <row r="2485" spans="8:40" s="221" customFormat="1" ht="12" hidden="1" customHeight="1">
      <c r="H2485" s="217" t="s">
        <v>6508</v>
      </c>
      <c r="I2485" s="217" t="s">
        <v>6496</v>
      </c>
      <c r="J2485" s="217" t="s">
        <v>6497</v>
      </c>
      <c r="K2485" s="217" t="s">
        <v>6509</v>
      </c>
      <c r="L2485" s="217" t="s">
        <v>92</v>
      </c>
      <c r="M2485" s="217"/>
      <c r="N2485" s="218">
        <v>42500</v>
      </c>
      <c r="O2485" s="169">
        <f t="shared" si="99"/>
        <v>0</v>
      </c>
      <c r="P2485" s="169"/>
      <c r="Q2485" s="166"/>
      <c r="R2485" s="207"/>
      <c r="S2485" s="207"/>
      <c r="T2485" s="207"/>
      <c r="U2485" s="207"/>
      <c r="V2485" s="166">
        <f t="shared" si="100"/>
        <v>0</v>
      </c>
      <c r="W2485" s="205"/>
      <c r="X2485" s="167"/>
      <c r="Y2485" s="190"/>
      <c r="Z2485" s="190"/>
      <c r="AA2485" s="190"/>
      <c r="AB2485" s="190"/>
      <c r="AC2485" s="190"/>
      <c r="AD2485" s="190"/>
      <c r="AE2485" s="190"/>
      <c r="AF2485" s="190"/>
      <c r="AG2485" s="190"/>
      <c r="AH2485" s="190"/>
      <c r="AI2485" s="190"/>
      <c r="AJ2485" s="190"/>
      <c r="AK2485" s="190"/>
      <c r="AL2485" s="190"/>
      <c r="AM2485" s="190"/>
      <c r="AN2485" s="190"/>
    </row>
    <row r="2486" spans="8:40" s="221" customFormat="1" ht="12" hidden="1" customHeight="1">
      <c r="H2486" s="217" t="s">
        <v>6510</v>
      </c>
      <c r="I2486" s="217" t="s">
        <v>6496</v>
      </c>
      <c r="J2486" s="217" t="s">
        <v>6497</v>
      </c>
      <c r="K2486" s="217" t="s">
        <v>6511</v>
      </c>
      <c r="L2486" s="217" t="s">
        <v>92</v>
      </c>
      <c r="M2486" s="217"/>
      <c r="N2486" s="218">
        <v>57700</v>
      </c>
      <c r="O2486" s="169">
        <f t="shared" si="99"/>
        <v>0</v>
      </c>
      <c r="P2486" s="169"/>
      <c r="Q2486" s="166"/>
      <c r="R2486" s="207"/>
      <c r="S2486" s="207"/>
      <c r="T2486" s="207"/>
      <c r="U2486" s="207"/>
      <c r="V2486" s="166">
        <f t="shared" si="100"/>
        <v>0</v>
      </c>
      <c r="W2486" s="205"/>
      <c r="X2486" s="167"/>
      <c r="Y2486" s="190"/>
      <c r="Z2486" s="190"/>
      <c r="AA2486" s="190"/>
      <c r="AB2486" s="190"/>
      <c r="AC2486" s="190"/>
      <c r="AD2486" s="190"/>
      <c r="AE2486" s="190"/>
      <c r="AF2486" s="190"/>
      <c r="AG2486" s="190"/>
      <c r="AH2486" s="190"/>
      <c r="AI2486" s="190"/>
      <c r="AJ2486" s="190"/>
      <c r="AK2486" s="190"/>
      <c r="AL2486" s="190"/>
      <c r="AM2486" s="190"/>
      <c r="AN2486" s="190"/>
    </row>
    <row r="2487" spans="8:40" s="221" customFormat="1" ht="12" hidden="1" customHeight="1">
      <c r="H2487" s="217" t="s">
        <v>6512</v>
      </c>
      <c r="I2487" s="217" t="s">
        <v>6496</v>
      </c>
      <c r="J2487" s="217" t="s">
        <v>6497</v>
      </c>
      <c r="K2487" s="217" t="s">
        <v>6513</v>
      </c>
      <c r="L2487" s="217" t="s">
        <v>92</v>
      </c>
      <c r="M2487" s="217"/>
      <c r="N2487" s="218">
        <v>61800</v>
      </c>
      <c r="O2487" s="169">
        <f t="shared" si="99"/>
        <v>0</v>
      </c>
      <c r="P2487" s="169"/>
      <c r="Q2487" s="166"/>
      <c r="R2487" s="207"/>
      <c r="S2487" s="207"/>
      <c r="T2487" s="207"/>
      <c r="U2487" s="207"/>
      <c r="V2487" s="166">
        <f t="shared" si="100"/>
        <v>0</v>
      </c>
      <c r="W2487" s="205"/>
      <c r="X2487" s="167"/>
      <c r="Y2487" s="190"/>
      <c r="Z2487" s="190"/>
      <c r="AA2487" s="190"/>
      <c r="AB2487" s="190"/>
      <c r="AC2487" s="190"/>
      <c r="AD2487" s="190"/>
      <c r="AE2487" s="190"/>
      <c r="AF2487" s="190"/>
      <c r="AG2487" s="190"/>
      <c r="AH2487" s="190"/>
      <c r="AI2487" s="190"/>
      <c r="AJ2487" s="190"/>
      <c r="AK2487" s="190"/>
      <c r="AL2487" s="190"/>
      <c r="AM2487" s="190"/>
      <c r="AN2487" s="190"/>
    </row>
    <row r="2488" spans="8:40" s="221" customFormat="1" ht="12" hidden="1" customHeight="1">
      <c r="H2488" s="217" t="s">
        <v>6514</v>
      </c>
      <c r="I2488" s="217" t="s">
        <v>6496</v>
      </c>
      <c r="J2488" s="217" t="s">
        <v>6497</v>
      </c>
      <c r="K2488" s="217" t="s">
        <v>6515</v>
      </c>
      <c r="L2488" s="217" t="s">
        <v>92</v>
      </c>
      <c r="M2488" s="217"/>
      <c r="N2488" s="218">
        <v>75400</v>
      </c>
      <c r="O2488" s="169">
        <f t="shared" si="99"/>
        <v>0</v>
      </c>
      <c r="P2488" s="169"/>
      <c r="Q2488" s="166"/>
      <c r="R2488" s="207"/>
      <c r="S2488" s="207"/>
      <c r="T2488" s="207"/>
      <c r="U2488" s="207"/>
      <c r="V2488" s="166">
        <f t="shared" si="100"/>
        <v>0</v>
      </c>
      <c r="W2488" s="205"/>
      <c r="X2488" s="167"/>
      <c r="Y2488" s="190"/>
      <c r="Z2488" s="190"/>
      <c r="AA2488" s="190"/>
      <c r="AB2488" s="190"/>
      <c r="AC2488" s="190"/>
      <c r="AD2488" s="190"/>
      <c r="AE2488" s="190"/>
      <c r="AF2488" s="190"/>
      <c r="AG2488" s="190"/>
      <c r="AH2488" s="190"/>
      <c r="AI2488" s="190"/>
      <c r="AJ2488" s="190"/>
      <c r="AK2488" s="190"/>
      <c r="AL2488" s="190"/>
      <c r="AM2488" s="190"/>
      <c r="AN2488" s="190"/>
    </row>
    <row r="2489" spans="8:40" s="221" customFormat="1" ht="12" hidden="1" customHeight="1">
      <c r="H2489" s="217" t="s">
        <v>6516</v>
      </c>
      <c r="I2489" s="217" t="s">
        <v>6496</v>
      </c>
      <c r="J2489" s="217" t="s">
        <v>6497</v>
      </c>
      <c r="K2489" s="217" t="s">
        <v>6517</v>
      </c>
      <c r="L2489" s="217" t="s">
        <v>92</v>
      </c>
      <c r="M2489" s="217"/>
      <c r="N2489" s="218">
        <v>88500</v>
      </c>
      <c r="O2489" s="169">
        <f t="shared" si="99"/>
        <v>0</v>
      </c>
      <c r="P2489" s="169"/>
      <c r="Q2489" s="166"/>
      <c r="R2489" s="207"/>
      <c r="S2489" s="207"/>
      <c r="T2489" s="207"/>
      <c r="U2489" s="207"/>
      <c r="V2489" s="166">
        <f t="shared" si="100"/>
        <v>0</v>
      </c>
      <c r="W2489" s="205"/>
      <c r="X2489" s="167"/>
      <c r="Y2489" s="190"/>
      <c r="Z2489" s="190"/>
      <c r="AA2489" s="190"/>
      <c r="AB2489" s="190"/>
      <c r="AC2489" s="190"/>
      <c r="AD2489" s="190"/>
      <c r="AE2489" s="190"/>
      <c r="AF2489" s="190"/>
      <c r="AG2489" s="190"/>
      <c r="AH2489" s="190"/>
      <c r="AI2489" s="190"/>
      <c r="AJ2489" s="190"/>
      <c r="AK2489" s="190"/>
      <c r="AL2489" s="190"/>
      <c r="AM2489" s="190"/>
      <c r="AN2489" s="190"/>
    </row>
    <row r="2490" spans="8:40" s="221" customFormat="1" ht="12" hidden="1" customHeight="1">
      <c r="H2490" s="217" t="s">
        <v>6518</v>
      </c>
      <c r="I2490" s="217" t="s">
        <v>6520</v>
      </c>
      <c r="J2490" s="217" t="s">
        <v>6520</v>
      </c>
      <c r="K2490" s="217" t="s">
        <v>6521</v>
      </c>
      <c r="L2490" s="217" t="s">
        <v>747</v>
      </c>
      <c r="M2490" s="217"/>
      <c r="N2490" s="218">
        <v>1900000</v>
      </c>
      <c r="O2490" s="169">
        <f t="shared" si="99"/>
        <v>0</v>
      </c>
      <c r="P2490" s="169"/>
      <c r="Q2490" s="166"/>
      <c r="R2490" s="207"/>
      <c r="S2490" s="207"/>
      <c r="T2490" s="207"/>
      <c r="U2490" s="207"/>
      <c r="V2490" s="166">
        <f t="shared" si="100"/>
        <v>0</v>
      </c>
      <c r="W2490" s="205"/>
      <c r="X2490" s="167"/>
      <c r="Y2490" s="190"/>
      <c r="Z2490" s="190"/>
      <c r="AA2490" s="190"/>
      <c r="AB2490" s="190"/>
      <c r="AC2490" s="190"/>
      <c r="AD2490" s="190"/>
      <c r="AE2490" s="190"/>
      <c r="AF2490" s="190"/>
      <c r="AG2490" s="190"/>
      <c r="AH2490" s="190"/>
      <c r="AI2490" s="190"/>
      <c r="AJ2490" s="190"/>
      <c r="AK2490" s="190"/>
      <c r="AL2490" s="190"/>
      <c r="AM2490" s="190"/>
      <c r="AN2490" s="190"/>
    </row>
    <row r="2491" spans="8:40" s="221" customFormat="1" ht="12" hidden="1" customHeight="1">
      <c r="H2491" s="217" t="s">
        <v>6519</v>
      </c>
      <c r="I2491" s="217" t="s">
        <v>6520</v>
      </c>
      <c r="J2491" s="217" t="s">
        <v>6520</v>
      </c>
      <c r="K2491" s="217" t="s">
        <v>6522</v>
      </c>
      <c r="L2491" s="217" t="s">
        <v>747</v>
      </c>
      <c r="M2491" s="217"/>
      <c r="N2491" s="218">
        <v>1900000</v>
      </c>
      <c r="O2491" s="169">
        <f t="shared" si="99"/>
        <v>0</v>
      </c>
      <c r="P2491" s="169"/>
      <c r="Q2491" s="166"/>
      <c r="R2491" s="207"/>
      <c r="S2491" s="207"/>
      <c r="T2491" s="207"/>
      <c r="U2491" s="207"/>
      <c r="V2491" s="166">
        <f t="shared" si="100"/>
        <v>0</v>
      </c>
      <c r="W2491" s="205"/>
      <c r="X2491" s="167"/>
      <c r="Y2491" s="190"/>
      <c r="Z2491" s="190"/>
      <c r="AA2491" s="190"/>
      <c r="AB2491" s="190"/>
      <c r="AC2491" s="190"/>
      <c r="AD2491" s="190"/>
      <c r="AE2491" s="190"/>
      <c r="AF2491" s="190"/>
      <c r="AG2491" s="190"/>
      <c r="AH2491" s="190"/>
      <c r="AI2491" s="190"/>
      <c r="AJ2491" s="190"/>
      <c r="AK2491" s="190"/>
      <c r="AL2491" s="190"/>
      <c r="AM2491" s="190"/>
      <c r="AN2491" s="190"/>
    </row>
    <row r="2492" spans="8:40" s="221" customFormat="1" ht="12" hidden="1" customHeight="1">
      <c r="H2492" s="217" t="s">
        <v>6523</v>
      </c>
      <c r="I2492" s="217" t="s">
        <v>6520</v>
      </c>
      <c r="J2492" s="217" t="s">
        <v>6520</v>
      </c>
      <c r="K2492" s="217" t="s">
        <v>6524</v>
      </c>
      <c r="L2492" s="217" t="s">
        <v>747</v>
      </c>
      <c r="M2492" s="217"/>
      <c r="N2492" s="218">
        <v>2400000</v>
      </c>
      <c r="O2492" s="169">
        <f t="shared" ref="O2492:O2555" si="101">M2492*N2492*$O$3</f>
        <v>0</v>
      </c>
      <c r="P2492" s="169"/>
      <c r="Q2492" s="166"/>
      <c r="R2492" s="207"/>
      <c r="S2492" s="207"/>
      <c r="T2492" s="207"/>
      <c r="U2492" s="207"/>
      <c r="V2492" s="166">
        <f t="shared" si="100"/>
        <v>0</v>
      </c>
      <c r="W2492" s="205"/>
      <c r="X2492" s="167"/>
      <c r="Y2492" s="190"/>
      <c r="Z2492" s="190"/>
      <c r="AA2492" s="190"/>
      <c r="AB2492" s="190"/>
      <c r="AC2492" s="190"/>
      <c r="AD2492" s="190"/>
      <c r="AE2492" s="190"/>
      <c r="AF2492" s="190"/>
      <c r="AG2492" s="190"/>
      <c r="AH2492" s="190"/>
      <c r="AI2492" s="190"/>
      <c r="AJ2492" s="190"/>
      <c r="AK2492" s="190"/>
      <c r="AL2492" s="190"/>
      <c r="AM2492" s="190"/>
      <c r="AN2492" s="190"/>
    </row>
    <row r="2493" spans="8:40" s="221" customFormat="1" ht="12" hidden="1" customHeight="1">
      <c r="H2493" s="217" t="s">
        <v>6525</v>
      </c>
      <c r="I2493" s="217" t="s">
        <v>6520</v>
      </c>
      <c r="J2493" s="217" t="s">
        <v>6520</v>
      </c>
      <c r="K2493" s="217" t="s">
        <v>6526</v>
      </c>
      <c r="L2493" s="217" t="s">
        <v>747</v>
      </c>
      <c r="M2493" s="217"/>
      <c r="N2493" s="218">
        <v>2700000</v>
      </c>
      <c r="O2493" s="169">
        <f t="shared" si="101"/>
        <v>0</v>
      </c>
      <c r="P2493" s="169"/>
      <c r="Q2493" s="166"/>
      <c r="R2493" s="207"/>
      <c r="S2493" s="207"/>
      <c r="T2493" s="207"/>
      <c r="U2493" s="207"/>
      <c r="V2493" s="166">
        <f t="shared" si="100"/>
        <v>0</v>
      </c>
      <c r="W2493" s="205"/>
      <c r="X2493" s="167"/>
      <c r="Y2493" s="190"/>
      <c r="Z2493" s="190"/>
      <c r="AA2493" s="190"/>
      <c r="AB2493" s="190"/>
      <c r="AC2493" s="190"/>
      <c r="AD2493" s="190"/>
      <c r="AE2493" s="190"/>
      <c r="AF2493" s="190"/>
      <c r="AG2493" s="190"/>
      <c r="AH2493" s="190"/>
      <c r="AI2493" s="190"/>
      <c r="AJ2493" s="190"/>
      <c r="AK2493" s="190"/>
      <c r="AL2493" s="190"/>
      <c r="AM2493" s="190"/>
      <c r="AN2493" s="190"/>
    </row>
    <row r="2494" spans="8:40" s="221" customFormat="1" ht="12" hidden="1" customHeight="1">
      <c r="H2494" s="217" t="s">
        <v>6527</v>
      </c>
      <c r="I2494" s="217" t="s">
        <v>6520</v>
      </c>
      <c r="J2494" s="217" t="s">
        <v>6520</v>
      </c>
      <c r="K2494" s="217" t="s">
        <v>6528</v>
      </c>
      <c r="L2494" s="217" t="s">
        <v>747</v>
      </c>
      <c r="M2494" s="217"/>
      <c r="N2494" s="218">
        <v>3400000</v>
      </c>
      <c r="O2494" s="169">
        <f t="shared" si="101"/>
        <v>0</v>
      </c>
      <c r="P2494" s="169"/>
      <c r="Q2494" s="166"/>
      <c r="R2494" s="207"/>
      <c r="S2494" s="207"/>
      <c r="T2494" s="207"/>
      <c r="U2494" s="207"/>
      <c r="V2494" s="166">
        <f t="shared" si="100"/>
        <v>0</v>
      </c>
      <c r="W2494" s="205"/>
      <c r="X2494" s="167"/>
      <c r="Y2494" s="190"/>
      <c r="Z2494" s="190"/>
      <c r="AA2494" s="190"/>
      <c r="AB2494" s="190"/>
      <c r="AC2494" s="190"/>
      <c r="AD2494" s="190"/>
      <c r="AE2494" s="190"/>
      <c r="AF2494" s="190"/>
      <c r="AG2494" s="190"/>
      <c r="AH2494" s="190"/>
      <c r="AI2494" s="190"/>
      <c r="AJ2494" s="190"/>
      <c r="AK2494" s="190"/>
      <c r="AL2494" s="190"/>
      <c r="AM2494" s="190"/>
      <c r="AN2494" s="190"/>
    </row>
    <row r="2495" spans="8:40" s="221" customFormat="1" ht="12" hidden="1" customHeight="1">
      <c r="H2495" s="217" t="s">
        <v>6529</v>
      </c>
      <c r="I2495" s="217" t="s">
        <v>6520</v>
      </c>
      <c r="J2495" s="217" t="s">
        <v>6520</v>
      </c>
      <c r="K2495" s="217" t="s">
        <v>6530</v>
      </c>
      <c r="L2495" s="217" t="s">
        <v>747</v>
      </c>
      <c r="M2495" s="217"/>
      <c r="N2495" s="218">
        <v>3700000</v>
      </c>
      <c r="O2495" s="169">
        <f t="shared" si="101"/>
        <v>0</v>
      </c>
      <c r="P2495" s="169"/>
      <c r="Q2495" s="166"/>
      <c r="R2495" s="207"/>
      <c r="S2495" s="207"/>
      <c r="T2495" s="207"/>
      <c r="U2495" s="207"/>
      <c r="V2495" s="166">
        <f t="shared" ref="V2495:V2558" si="102">SUM(O2495+Q2495)+S2495+U2495</f>
        <v>0</v>
      </c>
      <c r="W2495" s="205"/>
      <c r="X2495" s="167"/>
      <c r="Y2495" s="190"/>
      <c r="Z2495" s="190"/>
      <c r="AA2495" s="190"/>
      <c r="AB2495" s="190"/>
      <c r="AC2495" s="190"/>
      <c r="AD2495" s="190"/>
      <c r="AE2495" s="190"/>
      <c r="AF2495" s="190"/>
      <c r="AG2495" s="190"/>
      <c r="AH2495" s="190"/>
      <c r="AI2495" s="190"/>
      <c r="AJ2495" s="190"/>
      <c r="AK2495" s="190"/>
      <c r="AL2495" s="190"/>
      <c r="AM2495" s="190"/>
      <c r="AN2495" s="190"/>
    </row>
    <row r="2496" spans="8:40" s="221" customFormat="1" ht="12" hidden="1" customHeight="1">
      <c r="H2496" s="217" t="s">
        <v>6531</v>
      </c>
      <c r="I2496" s="217" t="s">
        <v>6520</v>
      </c>
      <c r="J2496" s="217" t="s">
        <v>6520</v>
      </c>
      <c r="K2496" s="217" t="s">
        <v>6532</v>
      </c>
      <c r="L2496" s="217" t="s">
        <v>747</v>
      </c>
      <c r="M2496" s="217"/>
      <c r="N2496" s="218">
        <v>4500000</v>
      </c>
      <c r="O2496" s="169">
        <f t="shared" si="101"/>
        <v>0</v>
      </c>
      <c r="P2496" s="169"/>
      <c r="Q2496" s="166"/>
      <c r="R2496" s="207"/>
      <c r="S2496" s="207"/>
      <c r="T2496" s="207"/>
      <c r="U2496" s="207"/>
      <c r="V2496" s="166">
        <f t="shared" si="102"/>
        <v>0</v>
      </c>
      <c r="W2496" s="205"/>
      <c r="X2496" s="167"/>
      <c r="Y2496" s="190"/>
      <c r="Z2496" s="190"/>
      <c r="AA2496" s="190"/>
      <c r="AB2496" s="190"/>
      <c r="AC2496" s="190"/>
      <c r="AD2496" s="190"/>
      <c r="AE2496" s="190"/>
      <c r="AF2496" s="190"/>
      <c r="AG2496" s="190"/>
      <c r="AH2496" s="190"/>
      <c r="AI2496" s="190"/>
      <c r="AJ2496" s="190"/>
      <c r="AK2496" s="190"/>
      <c r="AL2496" s="190"/>
      <c r="AM2496" s="190"/>
      <c r="AN2496" s="190"/>
    </row>
    <row r="2497" spans="8:40" s="221" customFormat="1" ht="12" hidden="1" customHeight="1">
      <c r="H2497" s="217" t="s">
        <v>6533</v>
      </c>
      <c r="I2497" s="217" t="s">
        <v>6534</v>
      </c>
      <c r="J2497" s="217" t="s">
        <v>6520</v>
      </c>
      <c r="K2497" s="217" t="s">
        <v>6535</v>
      </c>
      <c r="L2497" s="217" t="s">
        <v>747</v>
      </c>
      <c r="M2497" s="217"/>
      <c r="N2497" s="218">
        <v>4600000</v>
      </c>
      <c r="O2497" s="169">
        <f t="shared" si="101"/>
        <v>0</v>
      </c>
      <c r="P2497" s="169"/>
      <c r="Q2497" s="166"/>
      <c r="R2497" s="207"/>
      <c r="S2497" s="207"/>
      <c r="T2497" s="207"/>
      <c r="U2497" s="207"/>
      <c r="V2497" s="166">
        <f t="shared" si="102"/>
        <v>0</v>
      </c>
      <c r="W2497" s="205"/>
      <c r="X2497" s="167"/>
      <c r="Y2497" s="190"/>
      <c r="Z2497" s="190"/>
      <c r="AA2497" s="190"/>
      <c r="AB2497" s="190"/>
      <c r="AC2497" s="190"/>
      <c r="AD2497" s="190"/>
      <c r="AE2497" s="190"/>
      <c r="AF2497" s="190"/>
      <c r="AG2497" s="190"/>
      <c r="AH2497" s="190"/>
      <c r="AI2497" s="190"/>
      <c r="AJ2497" s="190"/>
      <c r="AK2497" s="190"/>
      <c r="AL2497" s="190"/>
      <c r="AM2497" s="190"/>
      <c r="AN2497" s="190"/>
    </row>
    <row r="2498" spans="8:40" s="221" customFormat="1" ht="12" hidden="1" customHeight="1">
      <c r="H2498" s="217" t="s">
        <v>6536</v>
      </c>
      <c r="I2498" s="217" t="s">
        <v>6520</v>
      </c>
      <c r="J2498" s="217" t="s">
        <v>6520</v>
      </c>
      <c r="K2498" s="217" t="s">
        <v>6537</v>
      </c>
      <c r="L2498" s="217" t="s">
        <v>747</v>
      </c>
      <c r="M2498" s="217"/>
      <c r="N2498" s="218">
        <v>5800000</v>
      </c>
      <c r="O2498" s="169">
        <f t="shared" si="101"/>
        <v>0</v>
      </c>
      <c r="P2498" s="169"/>
      <c r="Q2498" s="166"/>
      <c r="R2498" s="207"/>
      <c r="S2498" s="207"/>
      <c r="T2498" s="207"/>
      <c r="U2498" s="207"/>
      <c r="V2498" s="166">
        <f t="shared" si="102"/>
        <v>0</v>
      </c>
      <c r="W2498" s="205"/>
      <c r="X2498" s="167"/>
      <c r="Y2498" s="190"/>
      <c r="Z2498" s="190"/>
      <c r="AA2498" s="190"/>
      <c r="AB2498" s="190"/>
      <c r="AC2498" s="190"/>
      <c r="AD2498" s="190"/>
      <c r="AE2498" s="190"/>
      <c r="AF2498" s="190"/>
      <c r="AG2498" s="190"/>
      <c r="AH2498" s="190"/>
      <c r="AI2498" s="190"/>
      <c r="AJ2498" s="190"/>
      <c r="AK2498" s="190"/>
      <c r="AL2498" s="190"/>
      <c r="AM2498" s="190"/>
      <c r="AN2498" s="190"/>
    </row>
    <row r="2499" spans="8:40" s="221" customFormat="1" ht="12" hidden="1" customHeight="1">
      <c r="H2499" s="217" t="s">
        <v>6538</v>
      </c>
      <c r="I2499" s="217" t="s">
        <v>6520</v>
      </c>
      <c r="J2499" s="217" t="s">
        <v>6520</v>
      </c>
      <c r="K2499" s="217" t="s">
        <v>6539</v>
      </c>
      <c r="L2499" s="217" t="s">
        <v>747</v>
      </c>
      <c r="M2499" s="217"/>
      <c r="N2499" s="218">
        <v>6000000</v>
      </c>
      <c r="O2499" s="169">
        <f t="shared" si="101"/>
        <v>0</v>
      </c>
      <c r="P2499" s="169"/>
      <c r="Q2499" s="166"/>
      <c r="R2499" s="207"/>
      <c r="S2499" s="207"/>
      <c r="T2499" s="207"/>
      <c r="U2499" s="207"/>
      <c r="V2499" s="166">
        <f t="shared" si="102"/>
        <v>0</v>
      </c>
      <c r="W2499" s="205"/>
      <c r="X2499" s="167"/>
      <c r="Y2499" s="190"/>
      <c r="Z2499" s="190"/>
      <c r="AA2499" s="190"/>
      <c r="AB2499" s="190"/>
      <c r="AC2499" s="190"/>
      <c r="AD2499" s="190"/>
      <c r="AE2499" s="190"/>
      <c r="AF2499" s="190"/>
      <c r="AG2499" s="190"/>
      <c r="AH2499" s="190"/>
      <c r="AI2499" s="190"/>
      <c r="AJ2499" s="190"/>
      <c r="AK2499" s="190"/>
      <c r="AL2499" s="190"/>
      <c r="AM2499" s="190"/>
      <c r="AN2499" s="190"/>
    </row>
    <row r="2500" spans="8:40" s="221" customFormat="1" ht="12" hidden="1" customHeight="1">
      <c r="H2500" s="217" t="s">
        <v>6540</v>
      </c>
      <c r="I2500" s="217" t="s">
        <v>6520</v>
      </c>
      <c r="J2500" s="217" t="s">
        <v>6520</v>
      </c>
      <c r="K2500" s="217" t="s">
        <v>6541</v>
      </c>
      <c r="L2500" s="217" t="s">
        <v>747</v>
      </c>
      <c r="M2500" s="217"/>
      <c r="N2500" s="218">
        <v>7000000</v>
      </c>
      <c r="O2500" s="169">
        <f t="shared" si="101"/>
        <v>0</v>
      </c>
      <c r="P2500" s="169"/>
      <c r="Q2500" s="166"/>
      <c r="R2500" s="207"/>
      <c r="S2500" s="207"/>
      <c r="T2500" s="207"/>
      <c r="U2500" s="207"/>
      <c r="V2500" s="166">
        <f t="shared" si="102"/>
        <v>0</v>
      </c>
      <c r="W2500" s="205"/>
      <c r="X2500" s="167"/>
      <c r="Y2500" s="190"/>
      <c r="Z2500" s="190"/>
      <c r="AA2500" s="190"/>
      <c r="AB2500" s="190"/>
      <c r="AC2500" s="190"/>
      <c r="AD2500" s="190"/>
      <c r="AE2500" s="190"/>
      <c r="AF2500" s="190"/>
      <c r="AG2500" s="190"/>
      <c r="AH2500" s="190"/>
      <c r="AI2500" s="190"/>
      <c r="AJ2500" s="190"/>
      <c r="AK2500" s="190"/>
      <c r="AL2500" s="190"/>
      <c r="AM2500" s="190"/>
      <c r="AN2500" s="190"/>
    </row>
    <row r="2501" spans="8:40" s="221" customFormat="1" ht="12" hidden="1" customHeight="1">
      <c r="H2501" s="217" t="s">
        <v>6542</v>
      </c>
      <c r="I2501" s="217" t="s">
        <v>6520</v>
      </c>
      <c r="J2501" s="217" t="s">
        <v>6520</v>
      </c>
      <c r="K2501" s="217" t="s">
        <v>6543</v>
      </c>
      <c r="L2501" s="217" t="s">
        <v>747</v>
      </c>
      <c r="M2501" s="217"/>
      <c r="N2501" s="218">
        <v>7400000</v>
      </c>
      <c r="O2501" s="169">
        <f t="shared" si="101"/>
        <v>0</v>
      </c>
      <c r="P2501" s="169"/>
      <c r="Q2501" s="166"/>
      <c r="R2501" s="207"/>
      <c r="S2501" s="207"/>
      <c r="T2501" s="207"/>
      <c r="U2501" s="207"/>
      <c r="V2501" s="166">
        <f t="shared" si="102"/>
        <v>0</v>
      </c>
      <c r="W2501" s="205"/>
      <c r="X2501" s="167"/>
      <c r="Y2501" s="190"/>
      <c r="Z2501" s="190"/>
      <c r="AA2501" s="190"/>
      <c r="AB2501" s="190"/>
      <c r="AC2501" s="190"/>
      <c r="AD2501" s="190"/>
      <c r="AE2501" s="190"/>
      <c r="AF2501" s="190"/>
      <c r="AG2501" s="190"/>
      <c r="AH2501" s="190"/>
      <c r="AI2501" s="190"/>
      <c r="AJ2501" s="190"/>
      <c r="AK2501" s="190"/>
      <c r="AL2501" s="190"/>
      <c r="AM2501" s="190"/>
      <c r="AN2501" s="190"/>
    </row>
    <row r="2502" spans="8:40" s="221" customFormat="1" ht="12" hidden="1" customHeight="1">
      <c r="H2502" s="217" t="s">
        <v>6544</v>
      </c>
      <c r="I2502" s="217" t="s">
        <v>6520</v>
      </c>
      <c r="J2502" s="217" t="s">
        <v>6520</v>
      </c>
      <c r="K2502" s="217" t="s">
        <v>6545</v>
      </c>
      <c r="L2502" s="217" t="s">
        <v>747</v>
      </c>
      <c r="M2502" s="217"/>
      <c r="N2502" s="218">
        <v>8000000</v>
      </c>
      <c r="O2502" s="169">
        <f t="shared" si="101"/>
        <v>0</v>
      </c>
      <c r="P2502" s="169"/>
      <c r="Q2502" s="166"/>
      <c r="R2502" s="207"/>
      <c r="S2502" s="207"/>
      <c r="T2502" s="207"/>
      <c r="U2502" s="207"/>
      <c r="V2502" s="166">
        <f t="shared" si="102"/>
        <v>0</v>
      </c>
      <c r="W2502" s="205"/>
      <c r="X2502" s="167"/>
      <c r="Y2502" s="190"/>
      <c r="Z2502" s="190"/>
      <c r="AA2502" s="190"/>
      <c r="AB2502" s="190"/>
      <c r="AC2502" s="190"/>
      <c r="AD2502" s="190"/>
      <c r="AE2502" s="190"/>
      <c r="AF2502" s="190"/>
      <c r="AG2502" s="190"/>
      <c r="AH2502" s="190"/>
      <c r="AI2502" s="190"/>
      <c r="AJ2502" s="190"/>
      <c r="AK2502" s="190"/>
      <c r="AL2502" s="190"/>
      <c r="AM2502" s="190"/>
      <c r="AN2502" s="190"/>
    </row>
    <row r="2503" spans="8:40" s="221" customFormat="1" ht="12" hidden="1" customHeight="1">
      <c r="H2503" s="217" t="s">
        <v>6546</v>
      </c>
      <c r="I2503" s="217" t="s">
        <v>6520</v>
      </c>
      <c r="J2503" s="217" t="s">
        <v>6520</v>
      </c>
      <c r="K2503" s="217" t="s">
        <v>6547</v>
      </c>
      <c r="L2503" s="217" t="s">
        <v>747</v>
      </c>
      <c r="M2503" s="217"/>
      <c r="N2503" s="218">
        <v>9000000</v>
      </c>
      <c r="O2503" s="169">
        <f t="shared" si="101"/>
        <v>0</v>
      </c>
      <c r="P2503" s="169"/>
      <c r="Q2503" s="166"/>
      <c r="R2503" s="207"/>
      <c r="S2503" s="207"/>
      <c r="T2503" s="207"/>
      <c r="U2503" s="207"/>
      <c r="V2503" s="166">
        <f t="shared" si="102"/>
        <v>0</v>
      </c>
      <c r="W2503" s="205"/>
      <c r="X2503" s="167"/>
      <c r="Y2503" s="190"/>
      <c r="Z2503" s="190"/>
      <c r="AA2503" s="190"/>
      <c r="AB2503" s="190"/>
      <c r="AC2503" s="190"/>
      <c r="AD2503" s="190"/>
      <c r="AE2503" s="190"/>
      <c r="AF2503" s="190"/>
      <c r="AG2503" s="190"/>
      <c r="AH2503" s="190"/>
      <c r="AI2503" s="190"/>
      <c r="AJ2503" s="190"/>
      <c r="AK2503" s="190"/>
      <c r="AL2503" s="190"/>
      <c r="AM2503" s="190"/>
      <c r="AN2503" s="190"/>
    </row>
    <row r="2504" spans="8:40" s="221" customFormat="1" ht="12" hidden="1" customHeight="1">
      <c r="H2504" s="217" t="s">
        <v>6548</v>
      </c>
      <c r="I2504" s="217" t="s">
        <v>6549</v>
      </c>
      <c r="J2504" s="217" t="s">
        <v>6549</v>
      </c>
      <c r="K2504" s="217" t="s">
        <v>6550</v>
      </c>
      <c r="L2504" s="217" t="s">
        <v>92</v>
      </c>
      <c r="M2504" s="217"/>
      <c r="N2504" s="218">
        <v>2690</v>
      </c>
      <c r="O2504" s="169">
        <f t="shared" si="101"/>
        <v>0</v>
      </c>
      <c r="P2504" s="169"/>
      <c r="Q2504" s="166"/>
      <c r="R2504" s="207"/>
      <c r="S2504" s="207"/>
      <c r="T2504" s="207"/>
      <c r="U2504" s="207"/>
      <c r="V2504" s="166">
        <f t="shared" si="102"/>
        <v>0</v>
      </c>
      <c r="W2504" s="205"/>
      <c r="X2504" s="167"/>
      <c r="Y2504" s="190"/>
      <c r="Z2504" s="190"/>
      <c r="AA2504" s="190"/>
      <c r="AB2504" s="190"/>
      <c r="AC2504" s="190"/>
      <c r="AD2504" s="190"/>
      <c r="AE2504" s="190"/>
      <c r="AF2504" s="190"/>
      <c r="AG2504" s="190"/>
      <c r="AH2504" s="190"/>
      <c r="AI2504" s="190"/>
      <c r="AJ2504" s="190"/>
      <c r="AK2504" s="190"/>
      <c r="AL2504" s="190"/>
      <c r="AM2504" s="190"/>
      <c r="AN2504" s="190"/>
    </row>
    <row r="2505" spans="8:40" s="221" customFormat="1" ht="12" hidden="1" customHeight="1">
      <c r="H2505" s="217" t="s">
        <v>6551</v>
      </c>
      <c r="I2505" s="217" t="s">
        <v>6549</v>
      </c>
      <c r="J2505" s="217" t="s">
        <v>6549</v>
      </c>
      <c r="K2505" s="217" t="s">
        <v>6552</v>
      </c>
      <c r="L2505" s="217" t="s">
        <v>92</v>
      </c>
      <c r="M2505" s="217"/>
      <c r="N2505" s="218">
        <v>3220</v>
      </c>
      <c r="O2505" s="169">
        <f t="shared" si="101"/>
        <v>0</v>
      </c>
      <c r="P2505" s="169"/>
      <c r="Q2505" s="166"/>
      <c r="R2505" s="207"/>
      <c r="S2505" s="207"/>
      <c r="T2505" s="207"/>
      <c r="U2505" s="207"/>
      <c r="V2505" s="166">
        <f t="shared" si="102"/>
        <v>0</v>
      </c>
      <c r="W2505" s="205"/>
      <c r="X2505" s="167"/>
      <c r="Y2505" s="190"/>
      <c r="Z2505" s="190"/>
      <c r="AA2505" s="190"/>
      <c r="AB2505" s="190"/>
      <c r="AC2505" s="190"/>
      <c r="AD2505" s="190"/>
      <c r="AE2505" s="190"/>
      <c r="AF2505" s="190"/>
      <c r="AG2505" s="190"/>
      <c r="AH2505" s="190"/>
      <c r="AI2505" s="190"/>
      <c r="AJ2505" s="190"/>
      <c r="AK2505" s="190"/>
      <c r="AL2505" s="190"/>
      <c r="AM2505" s="190"/>
      <c r="AN2505" s="190"/>
    </row>
    <row r="2506" spans="8:40" s="221" customFormat="1" ht="12" hidden="1" customHeight="1">
      <c r="H2506" s="217" t="s">
        <v>6553</v>
      </c>
      <c r="I2506" s="217" t="s">
        <v>6549</v>
      </c>
      <c r="J2506" s="217" t="s">
        <v>6549</v>
      </c>
      <c r="K2506" s="217" t="s">
        <v>6554</v>
      </c>
      <c r="L2506" s="217" t="s">
        <v>92</v>
      </c>
      <c r="M2506" s="217"/>
      <c r="N2506" s="218">
        <v>3360</v>
      </c>
      <c r="O2506" s="169">
        <f t="shared" si="101"/>
        <v>0</v>
      </c>
      <c r="P2506" s="169"/>
      <c r="Q2506" s="166"/>
      <c r="R2506" s="207"/>
      <c r="S2506" s="207"/>
      <c r="T2506" s="207"/>
      <c r="U2506" s="207"/>
      <c r="V2506" s="166">
        <f t="shared" si="102"/>
        <v>0</v>
      </c>
      <c r="W2506" s="205"/>
      <c r="X2506" s="167"/>
      <c r="Y2506" s="190"/>
      <c r="Z2506" s="190"/>
      <c r="AA2506" s="190"/>
      <c r="AB2506" s="190"/>
      <c r="AC2506" s="190"/>
      <c r="AD2506" s="190"/>
      <c r="AE2506" s="190"/>
      <c r="AF2506" s="190"/>
      <c r="AG2506" s="190"/>
      <c r="AH2506" s="190"/>
      <c r="AI2506" s="190"/>
      <c r="AJ2506" s="190"/>
      <c r="AK2506" s="190"/>
      <c r="AL2506" s="190"/>
      <c r="AM2506" s="190"/>
      <c r="AN2506" s="190"/>
    </row>
    <row r="2507" spans="8:40" s="221" customFormat="1" ht="12" hidden="1" customHeight="1">
      <c r="H2507" s="217" t="s">
        <v>6555</v>
      </c>
      <c r="I2507" s="217" t="s">
        <v>6549</v>
      </c>
      <c r="J2507" s="217" t="s">
        <v>6549</v>
      </c>
      <c r="K2507" s="217" t="s">
        <v>6556</v>
      </c>
      <c r="L2507" s="217" t="s">
        <v>92</v>
      </c>
      <c r="M2507" s="217"/>
      <c r="N2507" s="218">
        <v>3520</v>
      </c>
      <c r="O2507" s="169">
        <f t="shared" si="101"/>
        <v>0</v>
      </c>
      <c r="P2507" s="169"/>
      <c r="Q2507" s="166"/>
      <c r="R2507" s="207"/>
      <c r="S2507" s="207"/>
      <c r="T2507" s="207"/>
      <c r="U2507" s="207"/>
      <c r="V2507" s="166">
        <f t="shared" si="102"/>
        <v>0</v>
      </c>
      <c r="W2507" s="205"/>
      <c r="X2507" s="167"/>
      <c r="Y2507" s="190"/>
      <c r="Z2507" s="190"/>
      <c r="AA2507" s="190"/>
      <c r="AB2507" s="190"/>
      <c r="AC2507" s="190"/>
      <c r="AD2507" s="190"/>
      <c r="AE2507" s="190"/>
      <c r="AF2507" s="190"/>
      <c r="AG2507" s="190"/>
      <c r="AH2507" s="190"/>
      <c r="AI2507" s="190"/>
      <c r="AJ2507" s="190"/>
      <c r="AK2507" s="190"/>
      <c r="AL2507" s="190"/>
      <c r="AM2507" s="190"/>
      <c r="AN2507" s="190"/>
    </row>
    <row r="2508" spans="8:40" s="221" customFormat="1" ht="12" hidden="1" customHeight="1">
      <c r="H2508" s="217" t="s">
        <v>6557</v>
      </c>
      <c r="I2508" s="217" t="s">
        <v>6549</v>
      </c>
      <c r="J2508" s="217" t="s">
        <v>6549</v>
      </c>
      <c r="K2508" s="217" t="s">
        <v>6558</v>
      </c>
      <c r="L2508" s="217" t="s">
        <v>92</v>
      </c>
      <c r="M2508" s="217"/>
      <c r="N2508" s="218">
        <v>4110</v>
      </c>
      <c r="O2508" s="169">
        <f t="shared" si="101"/>
        <v>0</v>
      </c>
      <c r="P2508" s="169"/>
      <c r="Q2508" s="166"/>
      <c r="R2508" s="207"/>
      <c r="S2508" s="207"/>
      <c r="T2508" s="207"/>
      <c r="U2508" s="207"/>
      <c r="V2508" s="166">
        <f t="shared" si="102"/>
        <v>0</v>
      </c>
      <c r="W2508" s="205"/>
      <c r="X2508" s="167"/>
      <c r="Y2508" s="190"/>
      <c r="Z2508" s="190"/>
      <c r="AA2508" s="190"/>
      <c r="AB2508" s="190"/>
      <c r="AC2508" s="190"/>
      <c r="AD2508" s="190"/>
      <c r="AE2508" s="190"/>
      <c r="AF2508" s="190"/>
      <c r="AG2508" s="190"/>
      <c r="AH2508" s="190"/>
      <c r="AI2508" s="190"/>
      <c r="AJ2508" s="190"/>
      <c r="AK2508" s="190"/>
      <c r="AL2508" s="190"/>
      <c r="AM2508" s="190"/>
      <c r="AN2508" s="190"/>
    </row>
    <row r="2509" spans="8:40" s="221" customFormat="1" ht="12" hidden="1" customHeight="1">
      <c r="H2509" s="217" t="s">
        <v>6559</v>
      </c>
      <c r="I2509" s="217" t="s">
        <v>6549</v>
      </c>
      <c r="J2509" s="217" t="s">
        <v>6549</v>
      </c>
      <c r="K2509" s="217" t="s">
        <v>6560</v>
      </c>
      <c r="L2509" s="217" t="s">
        <v>92</v>
      </c>
      <c r="M2509" s="217"/>
      <c r="N2509" s="218">
        <v>4730</v>
      </c>
      <c r="O2509" s="169">
        <f t="shared" si="101"/>
        <v>0</v>
      </c>
      <c r="P2509" s="169"/>
      <c r="Q2509" s="166"/>
      <c r="R2509" s="207"/>
      <c r="S2509" s="207"/>
      <c r="T2509" s="207"/>
      <c r="U2509" s="207"/>
      <c r="V2509" s="166">
        <f t="shared" si="102"/>
        <v>0</v>
      </c>
      <c r="W2509" s="205"/>
      <c r="X2509" s="167"/>
      <c r="Y2509" s="190"/>
      <c r="Z2509" s="190"/>
      <c r="AA2509" s="190"/>
      <c r="AB2509" s="190"/>
      <c r="AC2509" s="190"/>
      <c r="AD2509" s="190"/>
      <c r="AE2509" s="190"/>
      <c r="AF2509" s="190"/>
      <c r="AG2509" s="190"/>
      <c r="AH2509" s="190"/>
      <c r="AI2509" s="190"/>
      <c r="AJ2509" s="190"/>
      <c r="AK2509" s="190"/>
      <c r="AL2509" s="190"/>
      <c r="AM2509" s="190"/>
      <c r="AN2509" s="190"/>
    </row>
    <row r="2510" spans="8:40" s="221" customFormat="1" ht="12" hidden="1" customHeight="1">
      <c r="H2510" s="217" t="s">
        <v>6561</v>
      </c>
      <c r="I2510" s="217" t="s">
        <v>6549</v>
      </c>
      <c r="J2510" s="217" t="s">
        <v>6549</v>
      </c>
      <c r="K2510" s="217" t="s">
        <v>6562</v>
      </c>
      <c r="L2510" s="217" t="s">
        <v>92</v>
      </c>
      <c r="M2510" s="217"/>
      <c r="N2510" s="218">
        <v>5600</v>
      </c>
      <c r="O2510" s="169">
        <f t="shared" si="101"/>
        <v>0</v>
      </c>
      <c r="P2510" s="169"/>
      <c r="Q2510" s="166"/>
      <c r="R2510" s="207"/>
      <c r="S2510" s="207"/>
      <c r="T2510" s="207"/>
      <c r="U2510" s="207"/>
      <c r="V2510" s="166">
        <f t="shared" si="102"/>
        <v>0</v>
      </c>
      <c r="W2510" s="205"/>
      <c r="X2510" s="167"/>
      <c r="Y2510" s="190"/>
      <c r="Z2510" s="190"/>
      <c r="AA2510" s="190"/>
      <c r="AB2510" s="190"/>
      <c r="AC2510" s="190"/>
      <c r="AD2510" s="190"/>
      <c r="AE2510" s="190"/>
      <c r="AF2510" s="190"/>
      <c r="AG2510" s="190"/>
      <c r="AH2510" s="190"/>
      <c r="AI2510" s="190"/>
      <c r="AJ2510" s="190"/>
      <c r="AK2510" s="190"/>
      <c r="AL2510" s="190"/>
      <c r="AM2510" s="190"/>
      <c r="AN2510" s="190"/>
    </row>
    <row r="2511" spans="8:40" s="221" customFormat="1" ht="12" hidden="1" customHeight="1">
      <c r="H2511" s="217" t="s">
        <v>6563</v>
      </c>
      <c r="I2511" s="217" t="s">
        <v>6549</v>
      </c>
      <c r="J2511" s="217" t="s">
        <v>6549</v>
      </c>
      <c r="K2511" s="217" t="s">
        <v>6564</v>
      </c>
      <c r="L2511" s="217" t="s">
        <v>92</v>
      </c>
      <c r="M2511" s="217"/>
      <c r="N2511" s="218">
        <v>7100</v>
      </c>
      <c r="O2511" s="169">
        <f t="shared" si="101"/>
        <v>0</v>
      </c>
      <c r="P2511" s="169"/>
      <c r="Q2511" s="166"/>
      <c r="R2511" s="207"/>
      <c r="S2511" s="207"/>
      <c r="T2511" s="207"/>
      <c r="U2511" s="207"/>
      <c r="V2511" s="166">
        <f t="shared" si="102"/>
        <v>0</v>
      </c>
      <c r="W2511" s="205"/>
      <c r="X2511" s="167"/>
      <c r="Y2511" s="190"/>
      <c r="Z2511" s="190"/>
      <c r="AA2511" s="190"/>
      <c r="AB2511" s="190"/>
      <c r="AC2511" s="190"/>
      <c r="AD2511" s="190"/>
      <c r="AE2511" s="190"/>
      <c r="AF2511" s="190"/>
      <c r="AG2511" s="190"/>
      <c r="AH2511" s="190"/>
      <c r="AI2511" s="190"/>
      <c r="AJ2511" s="190"/>
      <c r="AK2511" s="190"/>
      <c r="AL2511" s="190"/>
      <c r="AM2511" s="190"/>
      <c r="AN2511" s="190"/>
    </row>
    <row r="2512" spans="8:40" s="221" customFormat="1" ht="12" hidden="1" customHeight="1">
      <c r="H2512" s="217" t="s">
        <v>6565</v>
      </c>
      <c r="I2512" s="217" t="s">
        <v>6549</v>
      </c>
      <c r="J2512" s="217" t="s">
        <v>6549</v>
      </c>
      <c r="K2512" s="217" t="s">
        <v>6566</v>
      </c>
      <c r="L2512" s="217" t="s">
        <v>92</v>
      </c>
      <c r="M2512" s="217"/>
      <c r="N2512" s="218">
        <v>7930</v>
      </c>
      <c r="O2512" s="169">
        <f t="shared" si="101"/>
        <v>0</v>
      </c>
      <c r="P2512" s="169"/>
      <c r="Q2512" s="166"/>
      <c r="R2512" s="207"/>
      <c r="S2512" s="207"/>
      <c r="T2512" s="207"/>
      <c r="U2512" s="207"/>
      <c r="V2512" s="166">
        <f t="shared" si="102"/>
        <v>0</v>
      </c>
      <c r="W2512" s="205"/>
      <c r="X2512" s="167"/>
      <c r="Y2512" s="190"/>
      <c r="Z2512" s="190"/>
      <c r="AA2512" s="190"/>
      <c r="AB2512" s="190"/>
      <c r="AC2512" s="190"/>
      <c r="AD2512" s="190"/>
      <c r="AE2512" s="190"/>
      <c r="AF2512" s="190"/>
      <c r="AG2512" s="190"/>
      <c r="AH2512" s="190"/>
      <c r="AI2512" s="190"/>
      <c r="AJ2512" s="190"/>
      <c r="AK2512" s="190"/>
      <c r="AL2512" s="190"/>
      <c r="AM2512" s="190"/>
      <c r="AN2512" s="190"/>
    </row>
    <row r="2513" spans="8:40" s="221" customFormat="1" ht="12" hidden="1" customHeight="1">
      <c r="H2513" s="217" t="s">
        <v>6567</v>
      </c>
      <c r="I2513" s="217" t="s">
        <v>6549</v>
      </c>
      <c r="J2513" s="217" t="s">
        <v>6549</v>
      </c>
      <c r="K2513" s="217" t="s">
        <v>6568</v>
      </c>
      <c r="L2513" s="217" t="s">
        <v>92</v>
      </c>
      <c r="M2513" s="217"/>
      <c r="N2513" s="218">
        <v>9030</v>
      </c>
      <c r="O2513" s="169">
        <f t="shared" si="101"/>
        <v>0</v>
      </c>
      <c r="P2513" s="169"/>
      <c r="Q2513" s="166"/>
      <c r="R2513" s="207"/>
      <c r="S2513" s="207"/>
      <c r="T2513" s="207"/>
      <c r="U2513" s="207"/>
      <c r="V2513" s="166">
        <f t="shared" si="102"/>
        <v>0</v>
      </c>
      <c r="W2513" s="205"/>
      <c r="X2513" s="167"/>
      <c r="Y2513" s="190"/>
      <c r="Z2513" s="190"/>
      <c r="AA2513" s="190"/>
      <c r="AB2513" s="190"/>
      <c r="AC2513" s="190"/>
      <c r="AD2513" s="190"/>
      <c r="AE2513" s="190"/>
      <c r="AF2513" s="190"/>
      <c r="AG2513" s="190"/>
      <c r="AH2513" s="190"/>
      <c r="AI2513" s="190"/>
      <c r="AJ2513" s="190"/>
      <c r="AK2513" s="190"/>
      <c r="AL2513" s="190"/>
      <c r="AM2513" s="190"/>
      <c r="AN2513" s="190"/>
    </row>
    <row r="2514" spans="8:40" s="221" customFormat="1" ht="12" hidden="1" customHeight="1">
      <c r="H2514" s="217" t="s">
        <v>6569</v>
      </c>
      <c r="I2514" s="217" t="s">
        <v>6549</v>
      </c>
      <c r="J2514" s="217" t="s">
        <v>6549</v>
      </c>
      <c r="K2514" s="217" t="s">
        <v>6570</v>
      </c>
      <c r="L2514" s="217" t="s">
        <v>92</v>
      </c>
      <c r="M2514" s="217"/>
      <c r="N2514" s="218">
        <v>9970</v>
      </c>
      <c r="O2514" s="169">
        <f t="shared" si="101"/>
        <v>0</v>
      </c>
      <c r="P2514" s="169"/>
      <c r="Q2514" s="166"/>
      <c r="R2514" s="207"/>
      <c r="S2514" s="207"/>
      <c r="T2514" s="207"/>
      <c r="U2514" s="207"/>
      <c r="V2514" s="166">
        <f t="shared" si="102"/>
        <v>0</v>
      </c>
      <c r="W2514" s="205"/>
      <c r="X2514" s="167"/>
      <c r="Y2514" s="190"/>
      <c r="Z2514" s="190"/>
      <c r="AA2514" s="190"/>
      <c r="AB2514" s="190"/>
      <c r="AC2514" s="190"/>
      <c r="AD2514" s="190"/>
      <c r="AE2514" s="190"/>
      <c r="AF2514" s="190"/>
      <c r="AG2514" s="190"/>
      <c r="AH2514" s="190"/>
      <c r="AI2514" s="190"/>
      <c r="AJ2514" s="190"/>
      <c r="AK2514" s="190"/>
      <c r="AL2514" s="190"/>
      <c r="AM2514" s="190"/>
      <c r="AN2514" s="190"/>
    </row>
    <row r="2515" spans="8:40" s="221" customFormat="1" ht="12" hidden="1" customHeight="1">
      <c r="H2515" s="217" t="s">
        <v>6571</v>
      </c>
      <c r="I2515" s="217" t="s">
        <v>6549</v>
      </c>
      <c r="J2515" s="217" t="s">
        <v>6549</v>
      </c>
      <c r="K2515" s="217" t="s">
        <v>6572</v>
      </c>
      <c r="L2515" s="217" t="s">
        <v>92</v>
      </c>
      <c r="M2515" s="217"/>
      <c r="N2515" s="218">
        <v>10100</v>
      </c>
      <c r="O2515" s="169">
        <f t="shared" si="101"/>
        <v>0</v>
      </c>
      <c r="P2515" s="169"/>
      <c r="Q2515" s="166"/>
      <c r="R2515" s="207"/>
      <c r="S2515" s="207"/>
      <c r="T2515" s="207"/>
      <c r="U2515" s="207"/>
      <c r="V2515" s="166">
        <f t="shared" si="102"/>
        <v>0</v>
      </c>
      <c r="W2515" s="205"/>
      <c r="X2515" s="167"/>
      <c r="Y2515" s="190"/>
      <c r="Z2515" s="190"/>
      <c r="AA2515" s="190"/>
      <c r="AB2515" s="190"/>
      <c r="AC2515" s="190"/>
      <c r="AD2515" s="190"/>
      <c r="AE2515" s="190"/>
      <c r="AF2515" s="190"/>
      <c r="AG2515" s="190"/>
      <c r="AH2515" s="190"/>
      <c r="AI2515" s="190"/>
      <c r="AJ2515" s="190"/>
      <c r="AK2515" s="190"/>
      <c r="AL2515" s="190"/>
      <c r="AM2515" s="190"/>
      <c r="AN2515" s="190"/>
    </row>
    <row r="2516" spans="8:40" s="221" customFormat="1" ht="12" hidden="1" customHeight="1">
      <c r="H2516" s="217" t="s">
        <v>6573</v>
      </c>
      <c r="I2516" s="217" t="s">
        <v>6549</v>
      </c>
      <c r="J2516" s="217" t="s">
        <v>6549</v>
      </c>
      <c r="K2516" s="217" t="s">
        <v>6574</v>
      </c>
      <c r="L2516" s="217" t="s">
        <v>92</v>
      </c>
      <c r="M2516" s="217"/>
      <c r="N2516" s="218">
        <v>11800</v>
      </c>
      <c r="O2516" s="169">
        <f t="shared" si="101"/>
        <v>0</v>
      </c>
      <c r="P2516" s="169"/>
      <c r="Q2516" s="166"/>
      <c r="R2516" s="207"/>
      <c r="S2516" s="207"/>
      <c r="T2516" s="207"/>
      <c r="U2516" s="207"/>
      <c r="V2516" s="166">
        <f t="shared" si="102"/>
        <v>0</v>
      </c>
      <c r="W2516" s="205"/>
      <c r="X2516" s="167"/>
      <c r="Y2516" s="190"/>
      <c r="Z2516" s="190"/>
      <c r="AA2516" s="190"/>
      <c r="AB2516" s="190"/>
      <c r="AC2516" s="190"/>
      <c r="AD2516" s="190"/>
      <c r="AE2516" s="190"/>
      <c r="AF2516" s="190"/>
      <c r="AG2516" s="190"/>
      <c r="AH2516" s="190"/>
      <c r="AI2516" s="190"/>
      <c r="AJ2516" s="190"/>
      <c r="AK2516" s="190"/>
      <c r="AL2516" s="190"/>
      <c r="AM2516" s="190"/>
      <c r="AN2516" s="190"/>
    </row>
    <row r="2517" spans="8:40" s="221" customFormat="1" ht="12" hidden="1" customHeight="1">
      <c r="H2517" s="217" t="s">
        <v>6575</v>
      </c>
      <c r="I2517" s="217" t="s">
        <v>6549</v>
      </c>
      <c r="J2517" s="217" t="s">
        <v>6549</v>
      </c>
      <c r="K2517" s="217" t="s">
        <v>6576</v>
      </c>
      <c r="L2517" s="217" t="s">
        <v>92</v>
      </c>
      <c r="M2517" s="217"/>
      <c r="N2517" s="218">
        <v>13500</v>
      </c>
      <c r="O2517" s="169">
        <f t="shared" si="101"/>
        <v>0</v>
      </c>
      <c r="P2517" s="169"/>
      <c r="Q2517" s="166"/>
      <c r="R2517" s="207"/>
      <c r="S2517" s="207"/>
      <c r="T2517" s="207"/>
      <c r="U2517" s="207"/>
      <c r="V2517" s="166">
        <f t="shared" si="102"/>
        <v>0</v>
      </c>
      <c r="W2517" s="205"/>
      <c r="X2517" s="167"/>
      <c r="Y2517" s="190"/>
      <c r="Z2517" s="190"/>
      <c r="AA2517" s="190"/>
      <c r="AB2517" s="190"/>
      <c r="AC2517" s="190"/>
      <c r="AD2517" s="190"/>
      <c r="AE2517" s="190"/>
      <c r="AF2517" s="190"/>
      <c r="AG2517" s="190"/>
      <c r="AH2517" s="190"/>
      <c r="AI2517" s="190"/>
      <c r="AJ2517" s="190"/>
      <c r="AK2517" s="190"/>
      <c r="AL2517" s="190"/>
      <c r="AM2517" s="190"/>
      <c r="AN2517" s="190"/>
    </row>
    <row r="2518" spans="8:40" s="221" customFormat="1" ht="12" hidden="1" customHeight="1">
      <c r="H2518" s="217" t="s">
        <v>6577</v>
      </c>
      <c r="I2518" s="217" t="s">
        <v>6549</v>
      </c>
      <c r="J2518" s="217" t="s">
        <v>6549</v>
      </c>
      <c r="K2518" s="217" t="s">
        <v>6578</v>
      </c>
      <c r="L2518" s="217" t="s">
        <v>92</v>
      </c>
      <c r="M2518" s="217"/>
      <c r="N2518" s="218">
        <v>16900</v>
      </c>
      <c r="O2518" s="169">
        <f t="shared" si="101"/>
        <v>0</v>
      </c>
      <c r="P2518" s="169"/>
      <c r="Q2518" s="166"/>
      <c r="R2518" s="207"/>
      <c r="S2518" s="207"/>
      <c r="T2518" s="207"/>
      <c r="U2518" s="207"/>
      <c r="V2518" s="166">
        <f t="shared" si="102"/>
        <v>0</v>
      </c>
      <c r="W2518" s="205"/>
      <c r="X2518" s="167"/>
      <c r="Y2518" s="190"/>
      <c r="Z2518" s="190"/>
      <c r="AA2518" s="190"/>
      <c r="AB2518" s="190"/>
      <c r="AC2518" s="190"/>
      <c r="AD2518" s="190"/>
      <c r="AE2518" s="190"/>
      <c r="AF2518" s="190"/>
      <c r="AG2518" s="190"/>
      <c r="AH2518" s="190"/>
      <c r="AI2518" s="190"/>
      <c r="AJ2518" s="190"/>
      <c r="AK2518" s="190"/>
      <c r="AL2518" s="190"/>
      <c r="AM2518" s="190"/>
      <c r="AN2518" s="190"/>
    </row>
    <row r="2519" spans="8:40" s="221" customFormat="1" ht="12" hidden="1" customHeight="1">
      <c r="H2519" s="217" t="s">
        <v>6579</v>
      </c>
      <c r="I2519" s="217" t="s">
        <v>6549</v>
      </c>
      <c r="J2519" s="217" t="s">
        <v>6549</v>
      </c>
      <c r="K2519" s="217" t="s">
        <v>6580</v>
      </c>
      <c r="L2519" s="217" t="s">
        <v>92</v>
      </c>
      <c r="M2519" s="217"/>
      <c r="N2519" s="218">
        <v>17200</v>
      </c>
      <c r="O2519" s="169">
        <f t="shared" si="101"/>
        <v>0</v>
      </c>
      <c r="P2519" s="169"/>
      <c r="Q2519" s="166"/>
      <c r="R2519" s="207"/>
      <c r="S2519" s="207"/>
      <c r="T2519" s="207"/>
      <c r="U2519" s="207"/>
      <c r="V2519" s="166">
        <f t="shared" si="102"/>
        <v>0</v>
      </c>
      <c r="W2519" s="205"/>
      <c r="X2519" s="167"/>
      <c r="Y2519" s="190"/>
      <c r="Z2519" s="190"/>
      <c r="AA2519" s="190"/>
      <c r="AB2519" s="190"/>
      <c r="AC2519" s="190"/>
      <c r="AD2519" s="190"/>
      <c r="AE2519" s="190"/>
      <c r="AF2519" s="190"/>
      <c r="AG2519" s="190"/>
      <c r="AH2519" s="190"/>
      <c r="AI2519" s="190"/>
      <c r="AJ2519" s="190"/>
      <c r="AK2519" s="190"/>
      <c r="AL2519" s="190"/>
      <c r="AM2519" s="190"/>
      <c r="AN2519" s="190"/>
    </row>
    <row r="2520" spans="8:40" s="221" customFormat="1" ht="12" hidden="1" customHeight="1">
      <c r="H2520" s="217" t="s">
        <v>6581</v>
      </c>
      <c r="I2520" s="217" t="s">
        <v>6549</v>
      </c>
      <c r="J2520" s="217" t="s">
        <v>6549</v>
      </c>
      <c r="K2520" s="217" t="s">
        <v>6582</v>
      </c>
      <c r="L2520" s="217" t="s">
        <v>92</v>
      </c>
      <c r="M2520" s="217"/>
      <c r="N2520" s="218">
        <v>20100</v>
      </c>
      <c r="O2520" s="169">
        <f t="shared" si="101"/>
        <v>0</v>
      </c>
      <c r="P2520" s="169"/>
      <c r="Q2520" s="166"/>
      <c r="R2520" s="207"/>
      <c r="S2520" s="207"/>
      <c r="T2520" s="207"/>
      <c r="U2520" s="207"/>
      <c r="V2520" s="166">
        <f t="shared" si="102"/>
        <v>0</v>
      </c>
      <c r="W2520" s="205"/>
      <c r="X2520" s="167"/>
      <c r="Y2520" s="190"/>
      <c r="Z2520" s="190"/>
      <c r="AA2520" s="190"/>
      <c r="AB2520" s="190"/>
      <c r="AC2520" s="190"/>
      <c r="AD2520" s="190"/>
      <c r="AE2520" s="190"/>
      <c r="AF2520" s="190"/>
      <c r="AG2520" s="190"/>
      <c r="AH2520" s="190"/>
      <c r="AI2520" s="190"/>
      <c r="AJ2520" s="190"/>
      <c r="AK2520" s="190"/>
      <c r="AL2520" s="190"/>
      <c r="AM2520" s="190"/>
      <c r="AN2520" s="190"/>
    </row>
    <row r="2521" spans="8:40" s="221" customFormat="1" ht="12" hidden="1" customHeight="1">
      <c r="H2521" s="217" t="s">
        <v>6583</v>
      </c>
      <c r="I2521" s="217" t="s">
        <v>6549</v>
      </c>
      <c r="J2521" s="217" t="s">
        <v>6549</v>
      </c>
      <c r="K2521" s="217" t="s">
        <v>6584</v>
      </c>
      <c r="L2521" s="217" t="s">
        <v>92</v>
      </c>
      <c r="M2521" s="217"/>
      <c r="N2521" s="218">
        <v>24700</v>
      </c>
      <c r="O2521" s="169">
        <f t="shared" si="101"/>
        <v>0</v>
      </c>
      <c r="P2521" s="169"/>
      <c r="Q2521" s="166"/>
      <c r="R2521" s="207"/>
      <c r="S2521" s="207"/>
      <c r="T2521" s="207"/>
      <c r="U2521" s="207"/>
      <c r="V2521" s="166">
        <f t="shared" si="102"/>
        <v>0</v>
      </c>
      <c r="W2521" s="205"/>
      <c r="X2521" s="167"/>
      <c r="Y2521" s="190"/>
      <c r="Z2521" s="190"/>
      <c r="AA2521" s="190"/>
      <c r="AB2521" s="190"/>
      <c r="AC2521" s="190"/>
      <c r="AD2521" s="190"/>
      <c r="AE2521" s="190"/>
      <c r="AF2521" s="190"/>
      <c r="AG2521" s="190"/>
      <c r="AH2521" s="190"/>
      <c r="AI2521" s="190"/>
      <c r="AJ2521" s="190"/>
      <c r="AK2521" s="190"/>
      <c r="AL2521" s="190"/>
      <c r="AM2521" s="190"/>
      <c r="AN2521" s="190"/>
    </row>
    <row r="2522" spans="8:40" s="221" customFormat="1" ht="12" hidden="1" customHeight="1">
      <c r="H2522" s="217" t="s">
        <v>6585</v>
      </c>
      <c r="I2522" s="217" t="s">
        <v>6549</v>
      </c>
      <c r="J2522" s="217" t="s">
        <v>6549</v>
      </c>
      <c r="K2522" s="217" t="s">
        <v>6586</v>
      </c>
      <c r="L2522" s="217" t="s">
        <v>92</v>
      </c>
      <c r="M2522" s="217"/>
      <c r="N2522" s="218">
        <v>34200</v>
      </c>
      <c r="O2522" s="169">
        <f t="shared" si="101"/>
        <v>0</v>
      </c>
      <c r="P2522" s="169"/>
      <c r="Q2522" s="166"/>
      <c r="R2522" s="207"/>
      <c r="S2522" s="207"/>
      <c r="T2522" s="207"/>
      <c r="U2522" s="207"/>
      <c r="V2522" s="166">
        <f t="shared" si="102"/>
        <v>0</v>
      </c>
      <c r="W2522" s="205"/>
      <c r="X2522" s="167"/>
      <c r="Y2522" s="190"/>
      <c r="Z2522" s="190"/>
      <c r="AA2522" s="190"/>
      <c r="AB2522" s="190"/>
      <c r="AC2522" s="190"/>
      <c r="AD2522" s="190"/>
      <c r="AE2522" s="190"/>
      <c r="AF2522" s="190"/>
      <c r="AG2522" s="190"/>
      <c r="AH2522" s="190"/>
      <c r="AI2522" s="190"/>
      <c r="AJ2522" s="190"/>
      <c r="AK2522" s="190"/>
      <c r="AL2522" s="190"/>
      <c r="AM2522" s="190"/>
      <c r="AN2522" s="190"/>
    </row>
    <row r="2523" spans="8:40" s="221" customFormat="1" ht="12" hidden="1" customHeight="1">
      <c r="H2523" s="217" t="s">
        <v>6587</v>
      </c>
      <c r="I2523" s="217" t="s">
        <v>6549</v>
      </c>
      <c r="J2523" s="217" t="s">
        <v>6549</v>
      </c>
      <c r="K2523" s="217" t="s">
        <v>6588</v>
      </c>
      <c r="L2523" s="217" t="s">
        <v>92</v>
      </c>
      <c r="M2523" s="217"/>
      <c r="N2523" s="218">
        <v>40100</v>
      </c>
      <c r="O2523" s="169">
        <f t="shared" si="101"/>
        <v>0</v>
      </c>
      <c r="P2523" s="169"/>
      <c r="Q2523" s="166"/>
      <c r="R2523" s="207"/>
      <c r="S2523" s="207"/>
      <c r="T2523" s="207"/>
      <c r="U2523" s="207"/>
      <c r="V2523" s="166">
        <f t="shared" si="102"/>
        <v>0</v>
      </c>
      <c r="W2523" s="205"/>
      <c r="X2523" s="167"/>
      <c r="Y2523" s="190"/>
      <c r="Z2523" s="190"/>
      <c r="AA2523" s="190"/>
      <c r="AB2523" s="190"/>
      <c r="AC2523" s="190"/>
      <c r="AD2523" s="190"/>
      <c r="AE2523" s="190"/>
      <c r="AF2523" s="190"/>
      <c r="AG2523" s="190"/>
      <c r="AH2523" s="190"/>
      <c r="AI2523" s="190"/>
      <c r="AJ2523" s="190"/>
      <c r="AK2523" s="190"/>
      <c r="AL2523" s="190"/>
      <c r="AM2523" s="190"/>
      <c r="AN2523" s="190"/>
    </row>
    <row r="2524" spans="8:40" s="221" customFormat="1" ht="12" hidden="1" customHeight="1">
      <c r="H2524" s="217" t="s">
        <v>6589</v>
      </c>
      <c r="I2524" s="217" t="s">
        <v>6549</v>
      </c>
      <c r="J2524" s="217" t="s">
        <v>6549</v>
      </c>
      <c r="K2524" s="217" t="s">
        <v>6590</v>
      </c>
      <c r="L2524" s="217" t="s">
        <v>92</v>
      </c>
      <c r="M2524" s="217"/>
      <c r="N2524" s="218">
        <v>55900</v>
      </c>
      <c r="O2524" s="169">
        <f t="shared" si="101"/>
        <v>0</v>
      </c>
      <c r="P2524" s="169"/>
      <c r="Q2524" s="166"/>
      <c r="R2524" s="207"/>
      <c r="S2524" s="207"/>
      <c r="T2524" s="207"/>
      <c r="U2524" s="207"/>
      <c r="V2524" s="166">
        <f t="shared" si="102"/>
        <v>0</v>
      </c>
      <c r="W2524" s="205"/>
      <c r="X2524" s="167"/>
      <c r="Y2524" s="190"/>
      <c r="Z2524" s="190"/>
      <c r="AA2524" s="190"/>
      <c r="AB2524" s="190"/>
      <c r="AC2524" s="190"/>
      <c r="AD2524" s="190"/>
      <c r="AE2524" s="190"/>
      <c r="AF2524" s="190"/>
      <c r="AG2524" s="190"/>
      <c r="AH2524" s="190"/>
      <c r="AI2524" s="190"/>
      <c r="AJ2524" s="190"/>
      <c r="AK2524" s="190"/>
      <c r="AL2524" s="190"/>
      <c r="AM2524" s="190"/>
      <c r="AN2524" s="190"/>
    </row>
    <row r="2525" spans="8:40" s="221" customFormat="1" ht="12" hidden="1" customHeight="1">
      <c r="H2525" s="217" t="s">
        <v>6591</v>
      </c>
      <c r="I2525" s="217" t="s">
        <v>6549</v>
      </c>
      <c r="J2525" s="217" t="s">
        <v>6549</v>
      </c>
      <c r="K2525" s="217" t="s">
        <v>6592</v>
      </c>
      <c r="L2525" s="217" t="s">
        <v>92</v>
      </c>
      <c r="M2525" s="217"/>
      <c r="N2525" s="218">
        <v>63700</v>
      </c>
      <c r="O2525" s="169">
        <f t="shared" si="101"/>
        <v>0</v>
      </c>
      <c r="P2525" s="169"/>
      <c r="Q2525" s="166"/>
      <c r="R2525" s="207"/>
      <c r="S2525" s="207"/>
      <c r="T2525" s="207"/>
      <c r="U2525" s="207"/>
      <c r="V2525" s="166">
        <f t="shared" si="102"/>
        <v>0</v>
      </c>
      <c r="W2525" s="205"/>
      <c r="X2525" s="167"/>
      <c r="Y2525" s="190"/>
      <c r="Z2525" s="190"/>
      <c r="AA2525" s="190"/>
      <c r="AB2525" s="190"/>
      <c r="AC2525" s="190"/>
      <c r="AD2525" s="190"/>
      <c r="AE2525" s="190"/>
      <c r="AF2525" s="190"/>
      <c r="AG2525" s="190"/>
      <c r="AH2525" s="190"/>
      <c r="AI2525" s="190"/>
      <c r="AJ2525" s="190"/>
      <c r="AK2525" s="190"/>
      <c r="AL2525" s="190"/>
      <c r="AM2525" s="190"/>
      <c r="AN2525" s="190"/>
    </row>
    <row r="2526" spans="8:40" s="221" customFormat="1" ht="12" hidden="1" customHeight="1">
      <c r="H2526" s="217" t="s">
        <v>6593</v>
      </c>
      <c r="I2526" s="217" t="s">
        <v>6594</v>
      </c>
      <c r="J2526" s="217" t="s">
        <v>6595</v>
      </c>
      <c r="K2526" s="217" t="s">
        <v>6596</v>
      </c>
      <c r="L2526" s="217" t="s">
        <v>744</v>
      </c>
      <c r="M2526" s="217"/>
      <c r="N2526" s="218">
        <v>494000</v>
      </c>
      <c r="O2526" s="169">
        <f t="shared" si="101"/>
        <v>0</v>
      </c>
      <c r="P2526" s="169"/>
      <c r="Q2526" s="166"/>
      <c r="R2526" s="207"/>
      <c r="S2526" s="207"/>
      <c r="T2526" s="207"/>
      <c r="U2526" s="207"/>
      <c r="V2526" s="166">
        <f t="shared" si="102"/>
        <v>0</v>
      </c>
      <c r="W2526" s="205"/>
      <c r="X2526" s="167"/>
      <c r="Y2526" s="190"/>
      <c r="Z2526" s="190"/>
      <c r="AA2526" s="190"/>
      <c r="AB2526" s="190"/>
      <c r="AC2526" s="190"/>
      <c r="AD2526" s="190"/>
      <c r="AE2526" s="190"/>
      <c r="AF2526" s="190"/>
      <c r="AG2526" s="190"/>
      <c r="AH2526" s="190"/>
      <c r="AI2526" s="190"/>
      <c r="AJ2526" s="190"/>
      <c r="AK2526" s="190"/>
      <c r="AL2526" s="190"/>
      <c r="AM2526" s="190"/>
      <c r="AN2526" s="190"/>
    </row>
    <row r="2527" spans="8:40" s="221" customFormat="1" ht="12" hidden="1" customHeight="1">
      <c r="H2527" s="217" t="s">
        <v>6597</v>
      </c>
      <c r="I2527" s="217" t="s">
        <v>6594</v>
      </c>
      <c r="J2527" s="217" t="s">
        <v>6595</v>
      </c>
      <c r="K2527" s="217" t="s">
        <v>6598</v>
      </c>
      <c r="L2527" s="217" t="s">
        <v>744</v>
      </c>
      <c r="M2527" s="217"/>
      <c r="N2527" s="218">
        <v>512000</v>
      </c>
      <c r="O2527" s="169">
        <f t="shared" si="101"/>
        <v>0</v>
      </c>
      <c r="P2527" s="169"/>
      <c r="Q2527" s="166"/>
      <c r="R2527" s="207"/>
      <c r="S2527" s="207"/>
      <c r="T2527" s="207"/>
      <c r="U2527" s="207"/>
      <c r="V2527" s="166">
        <f t="shared" si="102"/>
        <v>0</v>
      </c>
      <c r="W2527" s="205"/>
      <c r="X2527" s="167"/>
      <c r="Y2527" s="190"/>
      <c r="Z2527" s="190"/>
      <c r="AA2527" s="190"/>
      <c r="AB2527" s="190"/>
      <c r="AC2527" s="190"/>
      <c r="AD2527" s="190"/>
      <c r="AE2527" s="190"/>
      <c r="AF2527" s="190"/>
      <c r="AG2527" s="190"/>
      <c r="AH2527" s="190"/>
      <c r="AI2527" s="190"/>
      <c r="AJ2527" s="190"/>
      <c r="AK2527" s="190"/>
      <c r="AL2527" s="190"/>
      <c r="AM2527" s="190"/>
      <c r="AN2527" s="190"/>
    </row>
    <row r="2528" spans="8:40" s="221" customFormat="1" ht="12" hidden="1" customHeight="1">
      <c r="H2528" s="217" t="s">
        <v>6599</v>
      </c>
      <c r="I2528" s="217" t="s">
        <v>6594</v>
      </c>
      <c r="J2528" s="217" t="s">
        <v>6595</v>
      </c>
      <c r="K2528" s="217" t="s">
        <v>6600</v>
      </c>
      <c r="L2528" s="217" t="s">
        <v>744</v>
      </c>
      <c r="M2528" s="217"/>
      <c r="N2528" s="218">
        <v>600000</v>
      </c>
      <c r="O2528" s="169">
        <f t="shared" si="101"/>
        <v>0</v>
      </c>
      <c r="P2528" s="169"/>
      <c r="Q2528" s="166"/>
      <c r="R2528" s="207"/>
      <c r="S2528" s="207"/>
      <c r="T2528" s="207"/>
      <c r="U2528" s="207"/>
      <c r="V2528" s="166">
        <f t="shared" si="102"/>
        <v>0</v>
      </c>
      <c r="W2528" s="205"/>
      <c r="X2528" s="167"/>
      <c r="Y2528" s="190"/>
      <c r="Z2528" s="190"/>
      <c r="AA2528" s="190"/>
      <c r="AB2528" s="190"/>
      <c r="AC2528" s="190"/>
      <c r="AD2528" s="190"/>
      <c r="AE2528" s="190"/>
      <c r="AF2528" s="190"/>
      <c r="AG2528" s="190"/>
      <c r="AH2528" s="190"/>
      <c r="AI2528" s="190"/>
      <c r="AJ2528" s="190"/>
      <c r="AK2528" s="190"/>
      <c r="AL2528" s="190"/>
      <c r="AM2528" s="190"/>
      <c r="AN2528" s="190"/>
    </row>
    <row r="2529" spans="8:40" s="221" customFormat="1" ht="12" hidden="1" customHeight="1">
      <c r="H2529" s="217" t="s">
        <v>6601</v>
      </c>
      <c r="I2529" s="217" t="s">
        <v>6594</v>
      </c>
      <c r="J2529" s="217" t="s">
        <v>6595</v>
      </c>
      <c r="K2529" s="217" t="s">
        <v>6602</v>
      </c>
      <c r="L2529" s="217" t="s">
        <v>744</v>
      </c>
      <c r="M2529" s="217"/>
      <c r="N2529" s="218">
        <v>622000</v>
      </c>
      <c r="O2529" s="169">
        <f t="shared" si="101"/>
        <v>0</v>
      </c>
      <c r="P2529" s="169"/>
      <c r="Q2529" s="166"/>
      <c r="R2529" s="207"/>
      <c r="S2529" s="207"/>
      <c r="T2529" s="207"/>
      <c r="U2529" s="207"/>
      <c r="V2529" s="166">
        <f t="shared" si="102"/>
        <v>0</v>
      </c>
      <c r="W2529" s="205"/>
      <c r="X2529" s="167"/>
      <c r="Y2529" s="190"/>
      <c r="Z2529" s="190"/>
      <c r="AA2529" s="190"/>
      <c r="AB2529" s="190"/>
      <c r="AC2529" s="190"/>
      <c r="AD2529" s="190"/>
      <c r="AE2529" s="190"/>
      <c r="AF2529" s="190"/>
      <c r="AG2529" s="190"/>
      <c r="AH2529" s="190"/>
      <c r="AI2529" s="190"/>
      <c r="AJ2529" s="190"/>
      <c r="AK2529" s="190"/>
      <c r="AL2529" s="190"/>
      <c r="AM2529" s="190"/>
      <c r="AN2529" s="190"/>
    </row>
    <row r="2530" spans="8:40" s="221" customFormat="1" ht="12" hidden="1" customHeight="1">
      <c r="H2530" s="217" t="s">
        <v>6603</v>
      </c>
      <c r="I2530" s="217" t="s">
        <v>6594</v>
      </c>
      <c r="J2530" s="217" t="s">
        <v>6595</v>
      </c>
      <c r="K2530" s="217" t="s">
        <v>6604</v>
      </c>
      <c r="L2530" s="217" t="s">
        <v>744</v>
      </c>
      <c r="M2530" s="217"/>
      <c r="N2530" s="218">
        <v>650000</v>
      </c>
      <c r="O2530" s="169">
        <f t="shared" si="101"/>
        <v>0</v>
      </c>
      <c r="P2530" s="169"/>
      <c r="Q2530" s="166"/>
      <c r="R2530" s="207"/>
      <c r="S2530" s="207"/>
      <c r="T2530" s="207"/>
      <c r="U2530" s="207"/>
      <c r="V2530" s="166">
        <f t="shared" si="102"/>
        <v>0</v>
      </c>
      <c r="W2530" s="205"/>
      <c r="X2530" s="167"/>
      <c r="Y2530" s="190"/>
      <c r="Z2530" s="190"/>
      <c r="AA2530" s="190"/>
      <c r="AB2530" s="190"/>
      <c r="AC2530" s="190"/>
      <c r="AD2530" s="190"/>
      <c r="AE2530" s="190"/>
      <c r="AF2530" s="190"/>
      <c r="AG2530" s="190"/>
      <c r="AH2530" s="190"/>
      <c r="AI2530" s="190"/>
      <c r="AJ2530" s="190"/>
      <c r="AK2530" s="190"/>
      <c r="AL2530" s="190"/>
      <c r="AM2530" s="190"/>
      <c r="AN2530" s="190"/>
    </row>
    <row r="2531" spans="8:40" s="221" customFormat="1" ht="12" hidden="1" customHeight="1">
      <c r="H2531" s="217" t="s">
        <v>6605</v>
      </c>
      <c r="I2531" s="217" t="s">
        <v>6594</v>
      </c>
      <c r="J2531" s="217" t="s">
        <v>6595</v>
      </c>
      <c r="K2531" s="217" t="s">
        <v>6606</v>
      </c>
      <c r="L2531" s="217" t="s">
        <v>744</v>
      </c>
      <c r="M2531" s="217"/>
      <c r="N2531" s="218">
        <v>665000</v>
      </c>
      <c r="O2531" s="169">
        <f t="shared" si="101"/>
        <v>0</v>
      </c>
      <c r="P2531" s="169"/>
      <c r="Q2531" s="166"/>
      <c r="R2531" s="207"/>
      <c r="S2531" s="207"/>
      <c r="T2531" s="207"/>
      <c r="U2531" s="207"/>
      <c r="V2531" s="166">
        <f t="shared" si="102"/>
        <v>0</v>
      </c>
      <c r="W2531" s="205"/>
      <c r="X2531" s="167"/>
      <c r="Y2531" s="190"/>
      <c r="Z2531" s="190"/>
      <c r="AA2531" s="190"/>
      <c r="AB2531" s="190"/>
      <c r="AC2531" s="190"/>
      <c r="AD2531" s="190"/>
      <c r="AE2531" s="190"/>
      <c r="AF2531" s="190"/>
      <c r="AG2531" s="190"/>
      <c r="AH2531" s="190"/>
      <c r="AI2531" s="190"/>
      <c r="AJ2531" s="190"/>
      <c r="AK2531" s="190"/>
      <c r="AL2531" s="190"/>
      <c r="AM2531" s="190"/>
      <c r="AN2531" s="190"/>
    </row>
    <row r="2532" spans="8:40" s="221" customFormat="1" ht="12" hidden="1" customHeight="1">
      <c r="H2532" s="217" t="s">
        <v>6607</v>
      </c>
      <c r="I2532" s="217" t="s">
        <v>6594</v>
      </c>
      <c r="J2532" s="217" t="s">
        <v>6595</v>
      </c>
      <c r="K2532" s="217" t="s">
        <v>6608</v>
      </c>
      <c r="L2532" s="217" t="s">
        <v>744</v>
      </c>
      <c r="M2532" s="217"/>
      <c r="N2532" s="218">
        <v>674000</v>
      </c>
      <c r="O2532" s="169">
        <f t="shared" si="101"/>
        <v>0</v>
      </c>
      <c r="P2532" s="169"/>
      <c r="Q2532" s="166"/>
      <c r="R2532" s="207"/>
      <c r="S2532" s="207"/>
      <c r="T2532" s="207"/>
      <c r="U2532" s="207"/>
      <c r="V2532" s="166">
        <f t="shared" si="102"/>
        <v>0</v>
      </c>
      <c r="W2532" s="205"/>
      <c r="X2532" s="167"/>
      <c r="Y2532" s="190"/>
      <c r="Z2532" s="190"/>
      <c r="AA2532" s="190"/>
      <c r="AB2532" s="190"/>
      <c r="AC2532" s="190"/>
      <c r="AD2532" s="190"/>
      <c r="AE2532" s="190"/>
      <c r="AF2532" s="190"/>
      <c r="AG2532" s="190"/>
      <c r="AH2532" s="190"/>
      <c r="AI2532" s="190"/>
      <c r="AJ2532" s="190"/>
      <c r="AK2532" s="190"/>
      <c r="AL2532" s="190"/>
      <c r="AM2532" s="190"/>
      <c r="AN2532" s="190"/>
    </row>
    <row r="2533" spans="8:40" s="221" customFormat="1" ht="12" hidden="1" customHeight="1">
      <c r="H2533" s="217" t="s">
        <v>6609</v>
      </c>
      <c r="I2533" s="217" t="s">
        <v>6594</v>
      </c>
      <c r="J2533" s="217" t="s">
        <v>6595</v>
      </c>
      <c r="K2533" s="217" t="s">
        <v>6610</v>
      </c>
      <c r="L2533" s="217" t="s">
        <v>744</v>
      </c>
      <c r="M2533" s="217"/>
      <c r="N2533" s="218">
        <v>689000</v>
      </c>
      <c r="O2533" s="169">
        <f t="shared" si="101"/>
        <v>0</v>
      </c>
      <c r="P2533" s="169"/>
      <c r="Q2533" s="166"/>
      <c r="R2533" s="207"/>
      <c r="S2533" s="207"/>
      <c r="T2533" s="207"/>
      <c r="U2533" s="207"/>
      <c r="V2533" s="166">
        <f t="shared" si="102"/>
        <v>0</v>
      </c>
      <c r="W2533" s="205"/>
      <c r="X2533" s="167"/>
      <c r="Y2533" s="190"/>
      <c r="Z2533" s="190"/>
      <c r="AA2533" s="190"/>
      <c r="AB2533" s="190"/>
      <c r="AC2533" s="190"/>
      <c r="AD2533" s="190"/>
      <c r="AE2533" s="190"/>
      <c r="AF2533" s="190"/>
      <c r="AG2533" s="190"/>
      <c r="AH2533" s="190"/>
      <c r="AI2533" s="190"/>
      <c r="AJ2533" s="190"/>
      <c r="AK2533" s="190"/>
      <c r="AL2533" s="190"/>
      <c r="AM2533" s="190"/>
      <c r="AN2533" s="190"/>
    </row>
    <row r="2534" spans="8:40" s="221" customFormat="1" ht="12" hidden="1" customHeight="1">
      <c r="H2534" s="217" t="s">
        <v>6611</v>
      </c>
      <c r="I2534" s="217" t="s">
        <v>6594</v>
      </c>
      <c r="J2534" s="217" t="s">
        <v>6595</v>
      </c>
      <c r="K2534" s="217" t="s">
        <v>6612</v>
      </c>
      <c r="L2534" s="217" t="s">
        <v>744</v>
      </c>
      <c r="M2534" s="217"/>
      <c r="N2534" s="218">
        <v>786000</v>
      </c>
      <c r="O2534" s="169">
        <f t="shared" si="101"/>
        <v>0</v>
      </c>
      <c r="P2534" s="169"/>
      <c r="Q2534" s="166"/>
      <c r="R2534" s="207"/>
      <c r="S2534" s="207"/>
      <c r="T2534" s="207"/>
      <c r="U2534" s="207"/>
      <c r="V2534" s="166">
        <f t="shared" si="102"/>
        <v>0</v>
      </c>
      <c r="W2534" s="205"/>
      <c r="X2534" s="167"/>
      <c r="Y2534" s="190"/>
      <c r="Z2534" s="190"/>
      <c r="AA2534" s="190"/>
      <c r="AB2534" s="190"/>
      <c r="AC2534" s="190"/>
      <c r="AD2534" s="190"/>
      <c r="AE2534" s="190"/>
      <c r="AF2534" s="190"/>
      <c r="AG2534" s="190"/>
      <c r="AH2534" s="190"/>
      <c r="AI2534" s="190"/>
      <c r="AJ2534" s="190"/>
      <c r="AK2534" s="190"/>
      <c r="AL2534" s="190"/>
      <c r="AM2534" s="190"/>
      <c r="AN2534" s="190"/>
    </row>
    <row r="2535" spans="8:40" s="221" customFormat="1" ht="12" hidden="1" customHeight="1">
      <c r="H2535" s="217" t="s">
        <v>6613</v>
      </c>
      <c r="I2535" s="217" t="s">
        <v>6594</v>
      </c>
      <c r="J2535" s="217" t="s">
        <v>6595</v>
      </c>
      <c r="K2535" s="217" t="s">
        <v>6614</v>
      </c>
      <c r="L2535" s="217" t="s">
        <v>744</v>
      </c>
      <c r="M2535" s="217"/>
      <c r="N2535" s="218">
        <v>814000</v>
      </c>
      <c r="O2535" s="169">
        <f t="shared" si="101"/>
        <v>0</v>
      </c>
      <c r="P2535" s="169"/>
      <c r="Q2535" s="166"/>
      <c r="R2535" s="207"/>
      <c r="S2535" s="207"/>
      <c r="T2535" s="207"/>
      <c r="U2535" s="207"/>
      <c r="V2535" s="166">
        <f t="shared" si="102"/>
        <v>0</v>
      </c>
      <c r="W2535" s="205"/>
      <c r="X2535" s="167"/>
      <c r="Y2535" s="190"/>
      <c r="Z2535" s="190"/>
      <c r="AA2535" s="190"/>
      <c r="AB2535" s="190"/>
      <c r="AC2535" s="190"/>
      <c r="AD2535" s="190"/>
      <c r="AE2535" s="190"/>
      <c r="AF2535" s="190"/>
      <c r="AG2535" s="190"/>
      <c r="AH2535" s="190"/>
      <c r="AI2535" s="190"/>
      <c r="AJ2535" s="190"/>
      <c r="AK2535" s="190"/>
      <c r="AL2535" s="190"/>
      <c r="AM2535" s="190"/>
      <c r="AN2535" s="190"/>
    </row>
    <row r="2536" spans="8:40" s="221" customFormat="1" ht="12" hidden="1" customHeight="1">
      <c r="H2536" s="217" t="s">
        <v>6615</v>
      </c>
      <c r="I2536" s="217" t="s">
        <v>6594</v>
      </c>
      <c r="J2536" s="217" t="s">
        <v>6595</v>
      </c>
      <c r="K2536" s="217" t="s">
        <v>6616</v>
      </c>
      <c r="L2536" s="217" t="s">
        <v>744</v>
      </c>
      <c r="M2536" s="217"/>
      <c r="N2536" s="218">
        <v>828000</v>
      </c>
      <c r="O2536" s="169">
        <f t="shared" si="101"/>
        <v>0</v>
      </c>
      <c r="P2536" s="169"/>
      <c r="Q2536" s="166"/>
      <c r="R2536" s="207"/>
      <c r="S2536" s="207"/>
      <c r="T2536" s="207"/>
      <c r="U2536" s="207"/>
      <c r="V2536" s="166">
        <f t="shared" si="102"/>
        <v>0</v>
      </c>
      <c r="W2536" s="205"/>
      <c r="X2536" s="167"/>
      <c r="Y2536" s="190"/>
      <c r="Z2536" s="190"/>
      <c r="AA2536" s="190"/>
      <c r="AB2536" s="190"/>
      <c r="AC2536" s="190"/>
      <c r="AD2536" s="190"/>
      <c r="AE2536" s="190"/>
      <c r="AF2536" s="190"/>
      <c r="AG2536" s="190"/>
      <c r="AH2536" s="190"/>
      <c r="AI2536" s="190"/>
      <c r="AJ2536" s="190"/>
      <c r="AK2536" s="190"/>
      <c r="AL2536" s="190"/>
      <c r="AM2536" s="190"/>
      <c r="AN2536" s="190"/>
    </row>
    <row r="2537" spans="8:40" s="221" customFormat="1" ht="12" hidden="1" customHeight="1">
      <c r="H2537" s="217" t="s">
        <v>6617</v>
      </c>
      <c r="I2537" s="217" t="s">
        <v>6594</v>
      </c>
      <c r="J2537" s="217" t="s">
        <v>6595</v>
      </c>
      <c r="K2537" s="217" t="s">
        <v>6618</v>
      </c>
      <c r="L2537" s="217" t="s">
        <v>744</v>
      </c>
      <c r="M2537" s="217"/>
      <c r="N2537" s="218">
        <v>858000</v>
      </c>
      <c r="O2537" s="169">
        <f t="shared" si="101"/>
        <v>0</v>
      </c>
      <c r="P2537" s="169"/>
      <c r="Q2537" s="166"/>
      <c r="R2537" s="207"/>
      <c r="S2537" s="207"/>
      <c r="T2537" s="207"/>
      <c r="U2537" s="207"/>
      <c r="V2537" s="166">
        <f t="shared" si="102"/>
        <v>0</v>
      </c>
      <c r="W2537" s="205"/>
      <c r="X2537" s="167"/>
      <c r="Y2537" s="190"/>
      <c r="Z2537" s="190"/>
      <c r="AA2537" s="190"/>
      <c r="AB2537" s="190"/>
      <c r="AC2537" s="190"/>
      <c r="AD2537" s="190"/>
      <c r="AE2537" s="190"/>
      <c r="AF2537" s="190"/>
      <c r="AG2537" s="190"/>
      <c r="AH2537" s="190"/>
      <c r="AI2537" s="190"/>
      <c r="AJ2537" s="190"/>
      <c r="AK2537" s="190"/>
      <c r="AL2537" s="190"/>
      <c r="AM2537" s="190"/>
      <c r="AN2537" s="190"/>
    </row>
    <row r="2538" spans="8:40" s="221" customFormat="1" ht="12" hidden="1" customHeight="1">
      <c r="H2538" s="217" t="s">
        <v>6619</v>
      </c>
      <c r="I2538" s="217" t="s">
        <v>6594</v>
      </c>
      <c r="J2538" s="217" t="s">
        <v>6595</v>
      </c>
      <c r="K2538" s="217" t="s">
        <v>6620</v>
      </c>
      <c r="L2538" s="217" t="s">
        <v>744</v>
      </c>
      <c r="M2538" s="217"/>
      <c r="N2538" s="218">
        <v>880000</v>
      </c>
      <c r="O2538" s="169">
        <f t="shared" si="101"/>
        <v>0</v>
      </c>
      <c r="P2538" s="169"/>
      <c r="Q2538" s="166"/>
      <c r="R2538" s="207"/>
      <c r="S2538" s="207"/>
      <c r="T2538" s="207"/>
      <c r="U2538" s="207"/>
      <c r="V2538" s="166">
        <f t="shared" si="102"/>
        <v>0</v>
      </c>
      <c r="W2538" s="205"/>
      <c r="X2538" s="167"/>
      <c r="Y2538" s="190"/>
      <c r="Z2538" s="190"/>
      <c r="AA2538" s="190"/>
      <c r="AB2538" s="190"/>
      <c r="AC2538" s="190"/>
      <c r="AD2538" s="190"/>
      <c r="AE2538" s="190"/>
      <c r="AF2538" s="190"/>
      <c r="AG2538" s="190"/>
      <c r="AH2538" s="190"/>
      <c r="AI2538" s="190"/>
      <c r="AJ2538" s="190"/>
      <c r="AK2538" s="190"/>
      <c r="AL2538" s="190"/>
      <c r="AM2538" s="190"/>
      <c r="AN2538" s="190"/>
    </row>
    <row r="2539" spans="8:40" s="221" customFormat="1" ht="12" hidden="1" customHeight="1">
      <c r="H2539" s="217" t="s">
        <v>6621</v>
      </c>
      <c r="I2539" s="217" t="s">
        <v>6594</v>
      </c>
      <c r="J2539" s="217" t="s">
        <v>6595</v>
      </c>
      <c r="K2539" s="217" t="s">
        <v>6622</v>
      </c>
      <c r="L2539" s="217" t="s">
        <v>744</v>
      </c>
      <c r="M2539" s="217"/>
      <c r="N2539" s="218">
        <v>912000</v>
      </c>
      <c r="O2539" s="169">
        <f t="shared" si="101"/>
        <v>0</v>
      </c>
      <c r="P2539" s="169"/>
      <c r="Q2539" s="166"/>
      <c r="R2539" s="207"/>
      <c r="S2539" s="207"/>
      <c r="T2539" s="207"/>
      <c r="U2539" s="207"/>
      <c r="V2539" s="166">
        <f t="shared" si="102"/>
        <v>0</v>
      </c>
      <c r="W2539" s="205"/>
      <c r="X2539" s="167"/>
      <c r="Y2539" s="190"/>
      <c r="Z2539" s="190"/>
      <c r="AA2539" s="190"/>
      <c r="AB2539" s="190"/>
      <c r="AC2539" s="190"/>
      <c r="AD2539" s="190"/>
      <c r="AE2539" s="190"/>
      <c r="AF2539" s="190"/>
      <c r="AG2539" s="190"/>
      <c r="AH2539" s="190"/>
      <c r="AI2539" s="190"/>
      <c r="AJ2539" s="190"/>
      <c r="AK2539" s="190"/>
      <c r="AL2539" s="190"/>
      <c r="AM2539" s="190"/>
      <c r="AN2539" s="190"/>
    </row>
    <row r="2540" spans="8:40" s="221" customFormat="1" ht="12" hidden="1" customHeight="1">
      <c r="H2540" s="217" t="s">
        <v>6623</v>
      </c>
      <c r="I2540" s="217" t="s">
        <v>6594</v>
      </c>
      <c r="J2540" s="217" t="s">
        <v>6595</v>
      </c>
      <c r="K2540" s="217" t="s">
        <v>6624</v>
      </c>
      <c r="L2540" s="217" t="s">
        <v>744</v>
      </c>
      <c r="M2540" s="217"/>
      <c r="N2540" s="218">
        <v>986000</v>
      </c>
      <c r="O2540" s="169">
        <f t="shared" si="101"/>
        <v>0</v>
      </c>
      <c r="P2540" s="169"/>
      <c r="Q2540" s="166"/>
      <c r="R2540" s="207"/>
      <c r="S2540" s="207"/>
      <c r="T2540" s="207"/>
      <c r="U2540" s="207"/>
      <c r="V2540" s="166">
        <f t="shared" si="102"/>
        <v>0</v>
      </c>
      <c r="W2540" s="205"/>
      <c r="X2540" s="167"/>
      <c r="Y2540" s="190"/>
      <c r="Z2540" s="190"/>
      <c r="AA2540" s="190"/>
      <c r="AB2540" s="190"/>
      <c r="AC2540" s="190"/>
      <c r="AD2540" s="190"/>
      <c r="AE2540" s="190"/>
      <c r="AF2540" s="190"/>
      <c r="AG2540" s="190"/>
      <c r="AH2540" s="190"/>
      <c r="AI2540" s="190"/>
      <c r="AJ2540" s="190"/>
      <c r="AK2540" s="190"/>
      <c r="AL2540" s="190"/>
      <c r="AM2540" s="190"/>
      <c r="AN2540" s="190"/>
    </row>
    <row r="2541" spans="8:40" s="221" customFormat="1" ht="12" hidden="1" customHeight="1">
      <c r="H2541" s="217" t="s">
        <v>6625</v>
      </c>
      <c r="I2541" s="217" t="s">
        <v>6594</v>
      </c>
      <c r="J2541" s="217" t="s">
        <v>6595</v>
      </c>
      <c r="K2541" s="217" t="s">
        <v>6626</v>
      </c>
      <c r="L2541" s="217" t="s">
        <v>744</v>
      </c>
      <c r="M2541" s="217"/>
      <c r="N2541" s="218">
        <v>1021000</v>
      </c>
      <c r="O2541" s="169">
        <f t="shared" si="101"/>
        <v>0</v>
      </c>
      <c r="P2541" s="169"/>
      <c r="Q2541" s="166"/>
      <c r="R2541" s="207"/>
      <c r="S2541" s="207"/>
      <c r="T2541" s="207"/>
      <c r="U2541" s="207"/>
      <c r="V2541" s="166">
        <f t="shared" si="102"/>
        <v>0</v>
      </c>
      <c r="W2541" s="205"/>
      <c r="X2541" s="167"/>
      <c r="Y2541" s="190"/>
      <c r="Z2541" s="190"/>
      <c r="AA2541" s="190"/>
      <c r="AB2541" s="190"/>
      <c r="AC2541" s="190"/>
      <c r="AD2541" s="190"/>
      <c r="AE2541" s="190"/>
      <c r="AF2541" s="190"/>
      <c r="AG2541" s="190"/>
      <c r="AH2541" s="190"/>
      <c r="AI2541" s="190"/>
      <c r="AJ2541" s="190"/>
      <c r="AK2541" s="190"/>
      <c r="AL2541" s="190"/>
      <c r="AM2541" s="190"/>
      <c r="AN2541" s="190"/>
    </row>
    <row r="2542" spans="8:40" s="221" customFormat="1" ht="12" hidden="1" customHeight="1">
      <c r="H2542" s="217" t="s">
        <v>6627</v>
      </c>
      <c r="I2542" s="217" t="s">
        <v>6594</v>
      </c>
      <c r="J2542" s="217" t="s">
        <v>6595</v>
      </c>
      <c r="K2542" s="217" t="s">
        <v>6628</v>
      </c>
      <c r="L2542" s="217" t="s">
        <v>744</v>
      </c>
      <c r="M2542" s="217"/>
      <c r="N2542" s="218">
        <v>1147000</v>
      </c>
      <c r="O2542" s="169">
        <f t="shared" si="101"/>
        <v>0</v>
      </c>
      <c r="P2542" s="169"/>
      <c r="Q2542" s="166"/>
      <c r="R2542" s="207"/>
      <c r="S2542" s="207"/>
      <c r="T2542" s="207"/>
      <c r="U2542" s="207"/>
      <c r="V2542" s="166">
        <f t="shared" si="102"/>
        <v>0</v>
      </c>
      <c r="W2542" s="205"/>
      <c r="X2542" s="167"/>
      <c r="Y2542" s="190"/>
      <c r="Z2542" s="190"/>
      <c r="AA2542" s="190"/>
      <c r="AB2542" s="190"/>
      <c r="AC2542" s="190"/>
      <c r="AD2542" s="190"/>
      <c r="AE2542" s="190"/>
      <c r="AF2542" s="190"/>
      <c r="AG2542" s="190"/>
      <c r="AH2542" s="190"/>
      <c r="AI2542" s="190"/>
      <c r="AJ2542" s="190"/>
      <c r="AK2542" s="190"/>
      <c r="AL2542" s="190"/>
      <c r="AM2542" s="190"/>
      <c r="AN2542" s="190"/>
    </row>
    <row r="2543" spans="8:40" s="221" customFormat="1" ht="12" hidden="1" customHeight="1">
      <c r="H2543" s="217" t="s">
        <v>6629</v>
      </c>
      <c r="I2543" s="217" t="s">
        <v>6594</v>
      </c>
      <c r="J2543" s="217" t="s">
        <v>6595</v>
      </c>
      <c r="K2543" s="217" t="s">
        <v>6630</v>
      </c>
      <c r="L2543" s="217" t="s">
        <v>744</v>
      </c>
      <c r="M2543" s="217"/>
      <c r="N2543" s="218">
        <v>1188000</v>
      </c>
      <c r="O2543" s="169">
        <f t="shared" si="101"/>
        <v>0</v>
      </c>
      <c r="P2543" s="169"/>
      <c r="Q2543" s="166"/>
      <c r="R2543" s="207"/>
      <c r="S2543" s="207"/>
      <c r="T2543" s="207"/>
      <c r="U2543" s="207"/>
      <c r="V2543" s="166">
        <f t="shared" si="102"/>
        <v>0</v>
      </c>
      <c r="W2543" s="205"/>
      <c r="X2543" s="167"/>
    </row>
    <row r="2544" spans="8:40" s="221" customFormat="1" ht="12" hidden="1" customHeight="1">
      <c r="H2544" s="217" t="s">
        <v>6631</v>
      </c>
      <c r="I2544" s="217" t="s">
        <v>6594</v>
      </c>
      <c r="J2544" s="217" t="s">
        <v>6595</v>
      </c>
      <c r="K2544" s="217" t="s">
        <v>6632</v>
      </c>
      <c r="L2544" s="217" t="s">
        <v>744</v>
      </c>
      <c r="M2544" s="217"/>
      <c r="N2544" s="218">
        <v>1259000</v>
      </c>
      <c r="O2544" s="169">
        <f t="shared" si="101"/>
        <v>0</v>
      </c>
      <c r="P2544" s="169"/>
      <c r="Q2544" s="166"/>
      <c r="R2544" s="207"/>
      <c r="S2544" s="207"/>
      <c r="T2544" s="207"/>
      <c r="U2544" s="207"/>
      <c r="V2544" s="166">
        <f t="shared" si="102"/>
        <v>0</v>
      </c>
      <c r="W2544" s="205"/>
      <c r="X2544" s="167"/>
    </row>
    <row r="2545" spans="8:24" s="221" customFormat="1" ht="12" hidden="1" customHeight="1">
      <c r="H2545" s="217" t="s">
        <v>6633</v>
      </c>
      <c r="I2545" s="217" t="s">
        <v>6594</v>
      </c>
      <c r="J2545" s="217" t="s">
        <v>6595</v>
      </c>
      <c r="K2545" s="217" t="s">
        <v>6634</v>
      </c>
      <c r="L2545" s="217" t="s">
        <v>744</v>
      </c>
      <c r="M2545" s="217"/>
      <c r="N2545" s="218">
        <v>1326000</v>
      </c>
      <c r="O2545" s="169">
        <f t="shared" si="101"/>
        <v>0</v>
      </c>
      <c r="P2545" s="169"/>
      <c r="Q2545" s="166"/>
      <c r="R2545" s="207"/>
      <c r="S2545" s="207"/>
      <c r="T2545" s="207"/>
      <c r="U2545" s="207"/>
      <c r="V2545" s="166">
        <f t="shared" si="102"/>
        <v>0</v>
      </c>
      <c r="W2545" s="205"/>
      <c r="X2545" s="167"/>
    </row>
    <row r="2546" spans="8:24" s="221" customFormat="1" ht="12" hidden="1" customHeight="1">
      <c r="H2546" s="217" t="s">
        <v>6635</v>
      </c>
      <c r="I2546" s="217" t="s">
        <v>6594</v>
      </c>
      <c r="J2546" s="217" t="s">
        <v>6595</v>
      </c>
      <c r="K2546" s="217" t="s">
        <v>6636</v>
      </c>
      <c r="L2546" s="217" t="s">
        <v>744</v>
      </c>
      <c r="M2546" s="217"/>
      <c r="N2546" s="218">
        <v>1374000</v>
      </c>
      <c r="O2546" s="169">
        <f t="shared" si="101"/>
        <v>0</v>
      </c>
      <c r="P2546" s="169"/>
      <c r="Q2546" s="166"/>
      <c r="R2546" s="207"/>
      <c r="S2546" s="207"/>
      <c r="T2546" s="207"/>
      <c r="U2546" s="207"/>
      <c r="V2546" s="166">
        <f t="shared" si="102"/>
        <v>0</v>
      </c>
      <c r="W2546" s="205"/>
      <c r="X2546" s="167"/>
    </row>
    <row r="2547" spans="8:24" s="221" customFormat="1" ht="12" hidden="1" customHeight="1">
      <c r="H2547" s="217" t="s">
        <v>6637</v>
      </c>
      <c r="I2547" s="217" t="s">
        <v>6594</v>
      </c>
      <c r="J2547" s="217" t="s">
        <v>6595</v>
      </c>
      <c r="K2547" s="217" t="s">
        <v>6638</v>
      </c>
      <c r="L2547" s="217" t="s">
        <v>744</v>
      </c>
      <c r="M2547" s="217"/>
      <c r="N2547" s="218">
        <v>1649000</v>
      </c>
      <c r="O2547" s="169">
        <f t="shared" si="101"/>
        <v>0</v>
      </c>
      <c r="P2547" s="169"/>
      <c r="Q2547" s="166"/>
      <c r="R2547" s="207"/>
      <c r="S2547" s="207"/>
      <c r="T2547" s="207"/>
      <c r="U2547" s="207"/>
      <c r="V2547" s="166">
        <f t="shared" si="102"/>
        <v>0</v>
      </c>
      <c r="W2547" s="205"/>
      <c r="X2547" s="167"/>
    </row>
    <row r="2548" spans="8:24" s="221" customFormat="1" ht="12" hidden="1" customHeight="1">
      <c r="H2548" s="217" t="s">
        <v>6639</v>
      </c>
      <c r="I2548" s="217" t="s">
        <v>6594</v>
      </c>
      <c r="J2548" s="217" t="s">
        <v>6595</v>
      </c>
      <c r="K2548" s="217" t="s">
        <v>6641</v>
      </c>
      <c r="L2548" s="217" t="s">
        <v>744</v>
      </c>
      <c r="M2548" s="217"/>
      <c r="N2548" s="218">
        <v>1709000</v>
      </c>
      <c r="O2548" s="169">
        <f t="shared" si="101"/>
        <v>0</v>
      </c>
      <c r="P2548" s="169"/>
      <c r="Q2548" s="166"/>
      <c r="R2548" s="207"/>
      <c r="S2548" s="207"/>
      <c r="T2548" s="207"/>
      <c r="U2548" s="207"/>
      <c r="V2548" s="166">
        <f t="shared" si="102"/>
        <v>0</v>
      </c>
      <c r="W2548" s="205"/>
      <c r="X2548" s="167"/>
    </row>
    <row r="2549" spans="8:24" s="221" customFormat="1" ht="12" hidden="1" customHeight="1">
      <c r="H2549" s="217" t="s">
        <v>6640</v>
      </c>
      <c r="I2549" s="217" t="s">
        <v>6594</v>
      </c>
      <c r="J2549" s="217" t="s">
        <v>6595</v>
      </c>
      <c r="K2549" s="217" t="s">
        <v>6642</v>
      </c>
      <c r="L2549" s="217" t="s">
        <v>744</v>
      </c>
      <c r="M2549" s="217"/>
      <c r="N2549" s="218">
        <v>1709000</v>
      </c>
      <c r="O2549" s="169">
        <f t="shared" si="101"/>
        <v>0</v>
      </c>
      <c r="P2549" s="169"/>
      <c r="Q2549" s="166"/>
      <c r="R2549" s="207"/>
      <c r="S2549" s="207"/>
      <c r="T2549" s="207"/>
      <c r="U2549" s="207"/>
      <c r="V2549" s="166">
        <f t="shared" si="102"/>
        <v>0</v>
      </c>
      <c r="W2549" s="205"/>
      <c r="X2549" s="167"/>
    </row>
    <row r="2550" spans="8:24" s="221" customFormat="1" ht="12" hidden="1" customHeight="1">
      <c r="H2550" s="217" t="s">
        <v>6643</v>
      </c>
      <c r="I2550" s="217" t="s">
        <v>6594</v>
      </c>
      <c r="J2550" s="217" t="s">
        <v>6595</v>
      </c>
      <c r="K2550" s="217" t="s">
        <v>6644</v>
      </c>
      <c r="L2550" s="217" t="s">
        <v>744</v>
      </c>
      <c r="M2550" s="217"/>
      <c r="N2550" s="218">
        <v>1747000</v>
      </c>
      <c r="O2550" s="169">
        <f t="shared" si="101"/>
        <v>0</v>
      </c>
      <c r="P2550" s="169"/>
      <c r="Q2550" s="166"/>
      <c r="R2550" s="207"/>
      <c r="S2550" s="207"/>
      <c r="T2550" s="207"/>
      <c r="U2550" s="207"/>
      <c r="V2550" s="166">
        <f t="shared" si="102"/>
        <v>0</v>
      </c>
      <c r="W2550" s="205"/>
      <c r="X2550" s="167"/>
    </row>
    <row r="2551" spans="8:24" s="221" customFormat="1" ht="12" hidden="1" customHeight="1">
      <c r="H2551" s="217" t="s">
        <v>6645</v>
      </c>
      <c r="I2551" s="217" t="s">
        <v>6594</v>
      </c>
      <c r="J2551" s="217" t="s">
        <v>6595</v>
      </c>
      <c r="K2551" s="217" t="s">
        <v>6646</v>
      </c>
      <c r="L2551" s="217" t="s">
        <v>744</v>
      </c>
      <c r="M2551" s="217"/>
      <c r="N2551" s="218">
        <v>1810000</v>
      </c>
      <c r="O2551" s="169">
        <f t="shared" si="101"/>
        <v>0</v>
      </c>
      <c r="P2551" s="169"/>
      <c r="Q2551" s="166"/>
      <c r="R2551" s="207"/>
      <c r="S2551" s="207"/>
      <c r="T2551" s="207"/>
      <c r="U2551" s="207"/>
      <c r="V2551" s="166">
        <f t="shared" si="102"/>
        <v>0</v>
      </c>
      <c r="W2551" s="205"/>
      <c r="X2551" s="167"/>
    </row>
    <row r="2552" spans="8:24" s="221" customFormat="1" ht="12" hidden="1" customHeight="1">
      <c r="H2552" s="217" t="s">
        <v>6647</v>
      </c>
      <c r="I2552" s="217" t="s">
        <v>6594</v>
      </c>
      <c r="J2552" s="217" t="s">
        <v>6595</v>
      </c>
      <c r="K2552" s="217" t="s">
        <v>6648</v>
      </c>
      <c r="L2552" s="217" t="s">
        <v>744</v>
      </c>
      <c r="M2552" s="217"/>
      <c r="N2552" s="218">
        <v>2103000</v>
      </c>
      <c r="O2552" s="169">
        <f t="shared" si="101"/>
        <v>0</v>
      </c>
      <c r="P2552" s="169"/>
      <c r="Q2552" s="166"/>
      <c r="R2552" s="207"/>
      <c r="S2552" s="207"/>
      <c r="T2552" s="207"/>
      <c r="U2552" s="207"/>
      <c r="V2552" s="166">
        <f t="shared" si="102"/>
        <v>0</v>
      </c>
      <c r="W2552" s="205"/>
      <c r="X2552" s="167"/>
    </row>
    <row r="2553" spans="8:24" s="221" customFormat="1" ht="12" hidden="1" customHeight="1">
      <c r="H2553" s="217" t="s">
        <v>6649</v>
      </c>
      <c r="I2553" s="217" t="s">
        <v>6594</v>
      </c>
      <c r="J2553" s="217" t="s">
        <v>6595</v>
      </c>
      <c r="K2553" s="217" t="s">
        <v>6651</v>
      </c>
      <c r="L2553" s="217" t="s">
        <v>744</v>
      </c>
      <c r="M2553" s="217"/>
      <c r="N2553" s="218">
        <v>2178000</v>
      </c>
      <c r="O2553" s="169">
        <f t="shared" si="101"/>
        <v>0</v>
      </c>
      <c r="P2553" s="169"/>
      <c r="Q2553" s="166"/>
      <c r="R2553" s="207"/>
      <c r="S2553" s="207"/>
      <c r="T2553" s="207"/>
      <c r="U2553" s="207"/>
      <c r="V2553" s="166">
        <f t="shared" si="102"/>
        <v>0</v>
      </c>
      <c r="W2553" s="205"/>
      <c r="X2553" s="167"/>
    </row>
    <row r="2554" spans="8:24" s="221" customFormat="1" ht="12" hidden="1" customHeight="1">
      <c r="H2554" s="217" t="s">
        <v>6650</v>
      </c>
      <c r="I2554" s="217" t="s">
        <v>6594</v>
      </c>
      <c r="J2554" s="217" t="s">
        <v>6595</v>
      </c>
      <c r="K2554" s="217" t="s">
        <v>6652</v>
      </c>
      <c r="L2554" s="217" t="s">
        <v>744</v>
      </c>
      <c r="M2554" s="217"/>
      <c r="N2554" s="218">
        <v>2180000</v>
      </c>
      <c r="O2554" s="169">
        <f t="shared" si="101"/>
        <v>0</v>
      </c>
      <c r="P2554" s="169"/>
      <c r="Q2554" s="166"/>
      <c r="R2554" s="207"/>
      <c r="S2554" s="207"/>
      <c r="T2554" s="207"/>
      <c r="U2554" s="207"/>
      <c r="V2554" s="166">
        <f t="shared" si="102"/>
        <v>0</v>
      </c>
      <c r="W2554" s="205"/>
      <c r="X2554" s="167"/>
    </row>
    <row r="2555" spans="8:24" s="221" customFormat="1" ht="12" hidden="1" customHeight="1">
      <c r="H2555" s="217" t="s">
        <v>6653</v>
      </c>
      <c r="I2555" s="217" t="s">
        <v>6594</v>
      </c>
      <c r="J2555" s="217" t="s">
        <v>6595</v>
      </c>
      <c r="K2555" s="217" t="s">
        <v>6654</v>
      </c>
      <c r="L2555" s="217" t="s">
        <v>744</v>
      </c>
      <c r="M2555" s="217"/>
      <c r="N2555" s="218">
        <v>2259000</v>
      </c>
      <c r="O2555" s="169">
        <f t="shared" si="101"/>
        <v>0</v>
      </c>
      <c r="P2555" s="169"/>
      <c r="Q2555" s="166"/>
      <c r="R2555" s="207"/>
      <c r="S2555" s="207"/>
      <c r="T2555" s="207"/>
      <c r="U2555" s="207"/>
      <c r="V2555" s="166">
        <f t="shared" si="102"/>
        <v>0</v>
      </c>
      <c r="W2555" s="205"/>
      <c r="X2555" s="167"/>
    </row>
    <row r="2556" spans="8:24" s="221" customFormat="1" ht="12" hidden="1" customHeight="1">
      <c r="H2556" s="217" t="s">
        <v>6655</v>
      </c>
      <c r="I2556" s="217" t="s">
        <v>6594</v>
      </c>
      <c r="J2556" s="217" t="s">
        <v>6595</v>
      </c>
      <c r="K2556" s="217" t="s">
        <v>6656</v>
      </c>
      <c r="L2556" s="217" t="s">
        <v>744</v>
      </c>
      <c r="M2556" s="217"/>
      <c r="N2556" s="218">
        <v>2431000</v>
      </c>
      <c r="O2556" s="169">
        <f t="shared" ref="O2556:O2619" si="103">M2556*N2556*$O$3</f>
        <v>0</v>
      </c>
      <c r="P2556" s="169"/>
      <c r="Q2556" s="166"/>
      <c r="R2556" s="207"/>
      <c r="S2556" s="207"/>
      <c r="T2556" s="207"/>
      <c r="U2556" s="207"/>
      <c r="V2556" s="166">
        <f t="shared" si="102"/>
        <v>0</v>
      </c>
      <c r="W2556" s="205"/>
      <c r="X2556" s="167"/>
    </row>
    <row r="2557" spans="8:24" s="221" customFormat="1" ht="12" hidden="1" customHeight="1">
      <c r="H2557" s="217" t="s">
        <v>6657</v>
      </c>
      <c r="I2557" s="217" t="s">
        <v>6594</v>
      </c>
      <c r="J2557" s="217" t="s">
        <v>6595</v>
      </c>
      <c r="K2557" s="217" t="s">
        <v>6658</v>
      </c>
      <c r="L2557" s="217" t="s">
        <v>744</v>
      </c>
      <c r="M2557" s="217"/>
      <c r="N2557" s="218">
        <v>2518000</v>
      </c>
      <c r="O2557" s="169">
        <f t="shared" si="103"/>
        <v>0</v>
      </c>
      <c r="P2557" s="169"/>
      <c r="Q2557" s="166"/>
      <c r="R2557" s="207"/>
      <c r="S2557" s="207"/>
      <c r="T2557" s="207"/>
      <c r="U2557" s="207"/>
      <c r="V2557" s="166">
        <f t="shared" si="102"/>
        <v>0</v>
      </c>
      <c r="W2557" s="205"/>
      <c r="X2557" s="167"/>
    </row>
    <row r="2558" spans="8:24" s="221" customFormat="1" ht="12" hidden="1" customHeight="1">
      <c r="H2558" s="217" t="s">
        <v>6659</v>
      </c>
      <c r="I2558" s="217" t="s">
        <v>6594</v>
      </c>
      <c r="J2558" s="217" t="s">
        <v>6595</v>
      </c>
      <c r="K2558" s="217" t="s">
        <v>6660</v>
      </c>
      <c r="L2558" s="217" t="s">
        <v>744</v>
      </c>
      <c r="M2558" s="217"/>
      <c r="N2558" s="218">
        <v>2671000</v>
      </c>
      <c r="O2558" s="169">
        <f t="shared" si="103"/>
        <v>0</v>
      </c>
      <c r="P2558" s="169"/>
      <c r="Q2558" s="166"/>
      <c r="R2558" s="207"/>
      <c r="S2558" s="207"/>
      <c r="T2558" s="207"/>
      <c r="U2558" s="207"/>
      <c r="V2558" s="166">
        <f t="shared" si="102"/>
        <v>0</v>
      </c>
      <c r="W2558" s="205"/>
      <c r="X2558" s="167"/>
    </row>
    <row r="2559" spans="8:24" s="221" customFormat="1" ht="12" hidden="1" customHeight="1">
      <c r="H2559" s="217" t="s">
        <v>6661</v>
      </c>
      <c r="I2559" s="217" t="s">
        <v>6594</v>
      </c>
      <c r="J2559" s="217" t="s">
        <v>6595</v>
      </c>
      <c r="K2559" s="217" t="s">
        <v>6662</v>
      </c>
      <c r="L2559" s="217" t="s">
        <v>744</v>
      </c>
      <c r="M2559" s="217"/>
      <c r="N2559" s="218">
        <v>2767000</v>
      </c>
      <c r="O2559" s="169">
        <f t="shared" si="103"/>
        <v>0</v>
      </c>
      <c r="P2559" s="169"/>
      <c r="Q2559" s="166"/>
      <c r="R2559" s="207"/>
      <c r="S2559" s="207"/>
      <c r="T2559" s="207"/>
      <c r="U2559" s="207"/>
      <c r="V2559" s="166">
        <f t="shared" ref="V2559:V2622" si="104">SUM(O2559+Q2559)+S2559+U2559</f>
        <v>0</v>
      </c>
      <c r="W2559" s="205"/>
      <c r="X2559" s="167"/>
    </row>
    <row r="2560" spans="8:24" s="221" customFormat="1" ht="12" hidden="1" customHeight="1">
      <c r="H2560" s="217" t="s">
        <v>6663</v>
      </c>
      <c r="I2560" s="217" t="s">
        <v>6594</v>
      </c>
      <c r="J2560" s="217" t="s">
        <v>6595</v>
      </c>
      <c r="K2560" s="217" t="s">
        <v>6664</v>
      </c>
      <c r="L2560" s="217" t="s">
        <v>744</v>
      </c>
      <c r="M2560" s="217"/>
      <c r="N2560" s="218">
        <v>2873000</v>
      </c>
      <c r="O2560" s="169">
        <f t="shared" si="103"/>
        <v>0</v>
      </c>
      <c r="P2560" s="169"/>
      <c r="Q2560" s="166"/>
      <c r="R2560" s="207"/>
      <c r="S2560" s="207"/>
      <c r="T2560" s="207"/>
      <c r="U2560" s="207"/>
      <c r="V2560" s="166">
        <f t="shared" si="104"/>
        <v>0</v>
      </c>
      <c r="W2560" s="205"/>
      <c r="X2560" s="167"/>
    </row>
    <row r="2561" spans="8:24" s="221" customFormat="1" ht="12" hidden="1" customHeight="1">
      <c r="H2561" s="217" t="s">
        <v>6665</v>
      </c>
      <c r="I2561" s="217" t="s">
        <v>6594</v>
      </c>
      <c r="J2561" s="217" t="s">
        <v>6595</v>
      </c>
      <c r="K2561" s="217" t="s">
        <v>6666</v>
      </c>
      <c r="L2561" s="217" t="s">
        <v>744</v>
      </c>
      <c r="M2561" s="217"/>
      <c r="N2561" s="218">
        <v>2976000</v>
      </c>
      <c r="O2561" s="169">
        <f t="shared" si="103"/>
        <v>0</v>
      </c>
      <c r="P2561" s="169"/>
      <c r="Q2561" s="166"/>
      <c r="R2561" s="207"/>
      <c r="S2561" s="207"/>
      <c r="T2561" s="207"/>
      <c r="U2561" s="207"/>
      <c r="V2561" s="166">
        <f t="shared" si="104"/>
        <v>0</v>
      </c>
      <c r="W2561" s="205"/>
      <c r="X2561" s="167"/>
    </row>
    <row r="2562" spans="8:24" s="221" customFormat="1" ht="12" hidden="1" customHeight="1">
      <c r="H2562" s="217" t="s">
        <v>6667</v>
      </c>
      <c r="I2562" s="217" t="s">
        <v>6594</v>
      </c>
      <c r="J2562" s="217" t="s">
        <v>6595</v>
      </c>
      <c r="K2562" s="217" t="s">
        <v>6668</v>
      </c>
      <c r="L2562" s="217" t="s">
        <v>744</v>
      </c>
      <c r="M2562" s="217"/>
      <c r="N2562" s="218">
        <v>3022000</v>
      </c>
      <c r="O2562" s="169">
        <f t="shared" si="103"/>
        <v>0</v>
      </c>
      <c r="P2562" s="169"/>
      <c r="Q2562" s="166"/>
      <c r="R2562" s="207"/>
      <c r="S2562" s="207"/>
      <c r="T2562" s="207"/>
      <c r="U2562" s="207"/>
      <c r="V2562" s="166">
        <f t="shared" si="104"/>
        <v>0</v>
      </c>
      <c r="W2562" s="205"/>
      <c r="X2562" s="167"/>
    </row>
    <row r="2563" spans="8:24" s="221" customFormat="1" ht="12" hidden="1" customHeight="1">
      <c r="H2563" s="217" t="s">
        <v>6669</v>
      </c>
      <c r="I2563" s="217" t="s">
        <v>6594</v>
      </c>
      <c r="J2563" s="217" t="s">
        <v>6595</v>
      </c>
      <c r="K2563" s="217" t="s">
        <v>6670</v>
      </c>
      <c r="L2563" s="217" t="s">
        <v>744</v>
      </c>
      <c r="M2563" s="217"/>
      <c r="N2563" s="218">
        <v>3131000</v>
      </c>
      <c r="O2563" s="169">
        <f t="shared" si="103"/>
        <v>0</v>
      </c>
      <c r="P2563" s="169"/>
      <c r="Q2563" s="166"/>
      <c r="R2563" s="207"/>
      <c r="S2563" s="207"/>
      <c r="T2563" s="207"/>
      <c r="U2563" s="207"/>
      <c r="V2563" s="166">
        <f t="shared" si="104"/>
        <v>0</v>
      </c>
      <c r="W2563" s="205"/>
      <c r="X2563" s="167"/>
    </row>
    <row r="2564" spans="8:24" s="221" customFormat="1" ht="12" hidden="1" customHeight="1">
      <c r="H2564" s="217" t="s">
        <v>6671</v>
      </c>
      <c r="I2564" s="217" t="s">
        <v>6594</v>
      </c>
      <c r="J2564" s="217" t="s">
        <v>6595</v>
      </c>
      <c r="K2564" s="217" t="s">
        <v>6672</v>
      </c>
      <c r="L2564" s="217" t="s">
        <v>744</v>
      </c>
      <c r="M2564" s="217"/>
      <c r="N2564" s="218">
        <v>3145000</v>
      </c>
      <c r="O2564" s="169">
        <f t="shared" si="103"/>
        <v>0</v>
      </c>
      <c r="P2564" s="169"/>
      <c r="Q2564" s="166"/>
      <c r="R2564" s="207"/>
      <c r="S2564" s="207"/>
      <c r="T2564" s="207"/>
      <c r="U2564" s="207"/>
      <c r="V2564" s="166">
        <f t="shared" si="104"/>
        <v>0</v>
      </c>
      <c r="W2564" s="205"/>
      <c r="X2564" s="167"/>
    </row>
    <row r="2565" spans="8:24" s="221" customFormat="1" ht="12" hidden="1" customHeight="1">
      <c r="H2565" s="217" t="s">
        <v>6673</v>
      </c>
      <c r="I2565" s="217" t="s">
        <v>6594</v>
      </c>
      <c r="J2565" s="217" t="s">
        <v>6595</v>
      </c>
      <c r="K2565" s="217" t="s">
        <v>6674</v>
      </c>
      <c r="L2565" s="217" t="s">
        <v>744</v>
      </c>
      <c r="M2565" s="217"/>
      <c r="N2565" s="218">
        <v>3258000</v>
      </c>
      <c r="O2565" s="169">
        <f t="shared" si="103"/>
        <v>0</v>
      </c>
      <c r="P2565" s="169"/>
      <c r="Q2565" s="166"/>
      <c r="R2565" s="207"/>
      <c r="S2565" s="207"/>
      <c r="T2565" s="207"/>
      <c r="U2565" s="207"/>
      <c r="V2565" s="166">
        <f t="shared" si="104"/>
        <v>0</v>
      </c>
      <c r="W2565" s="205"/>
      <c r="X2565" s="167"/>
    </row>
    <row r="2566" spans="8:24" s="221" customFormat="1" ht="12" hidden="1" customHeight="1">
      <c r="H2566" s="217" t="s">
        <v>6675</v>
      </c>
      <c r="I2566" s="217" t="s">
        <v>6594</v>
      </c>
      <c r="J2566" s="217" t="s">
        <v>6595</v>
      </c>
      <c r="K2566" s="217" t="s">
        <v>6676</v>
      </c>
      <c r="L2566" s="217" t="s">
        <v>744</v>
      </c>
      <c r="M2566" s="217"/>
      <c r="N2566" s="218">
        <v>3651000</v>
      </c>
      <c r="O2566" s="169">
        <f t="shared" si="103"/>
        <v>0</v>
      </c>
      <c r="P2566" s="169"/>
      <c r="Q2566" s="166"/>
      <c r="R2566" s="207"/>
      <c r="S2566" s="207"/>
      <c r="T2566" s="207"/>
      <c r="U2566" s="207"/>
      <c r="V2566" s="166">
        <f t="shared" si="104"/>
        <v>0</v>
      </c>
      <c r="W2566" s="205"/>
      <c r="X2566" s="167"/>
    </row>
    <row r="2567" spans="8:24" s="221" customFormat="1" ht="12" hidden="1" customHeight="1">
      <c r="H2567" s="217" t="s">
        <v>6677</v>
      </c>
      <c r="I2567" s="217" t="s">
        <v>6594</v>
      </c>
      <c r="J2567" s="217" t="s">
        <v>6595</v>
      </c>
      <c r="K2567" s="217" t="s">
        <v>6678</v>
      </c>
      <c r="L2567" s="217" t="s">
        <v>744</v>
      </c>
      <c r="M2567" s="217"/>
      <c r="N2567" s="218">
        <v>3782000</v>
      </c>
      <c r="O2567" s="169">
        <f t="shared" si="103"/>
        <v>0</v>
      </c>
      <c r="P2567" s="169"/>
      <c r="Q2567" s="166"/>
      <c r="R2567" s="207"/>
      <c r="S2567" s="207"/>
      <c r="T2567" s="207"/>
      <c r="U2567" s="207"/>
      <c r="V2567" s="166">
        <f t="shared" si="104"/>
        <v>0</v>
      </c>
      <c r="W2567" s="205"/>
      <c r="X2567" s="167"/>
    </row>
    <row r="2568" spans="8:24" s="221" customFormat="1" ht="12" hidden="1" customHeight="1">
      <c r="H2568" s="217" t="s">
        <v>6679</v>
      </c>
      <c r="I2568" s="217" t="s">
        <v>6594</v>
      </c>
      <c r="J2568" s="217" t="s">
        <v>6595</v>
      </c>
      <c r="K2568" s="217" t="s">
        <v>6680</v>
      </c>
      <c r="L2568" s="217" t="s">
        <v>744</v>
      </c>
      <c r="M2568" s="217"/>
      <c r="N2568" s="218">
        <v>4045000</v>
      </c>
      <c r="O2568" s="169">
        <f t="shared" si="103"/>
        <v>0</v>
      </c>
      <c r="P2568" s="169"/>
      <c r="Q2568" s="166"/>
      <c r="R2568" s="207"/>
      <c r="S2568" s="207"/>
      <c r="T2568" s="207"/>
      <c r="U2568" s="207"/>
      <c r="V2568" s="166">
        <f t="shared" si="104"/>
        <v>0</v>
      </c>
      <c r="W2568" s="205"/>
      <c r="X2568" s="167"/>
    </row>
    <row r="2569" spans="8:24" s="221" customFormat="1" ht="12" hidden="1" customHeight="1">
      <c r="H2569" s="217" t="s">
        <v>6681</v>
      </c>
      <c r="I2569" s="217" t="s">
        <v>6594</v>
      </c>
      <c r="J2569" s="217" t="s">
        <v>6595</v>
      </c>
      <c r="K2569" s="217" t="s">
        <v>6682</v>
      </c>
      <c r="L2569" s="217" t="s">
        <v>744</v>
      </c>
      <c r="M2569" s="217"/>
      <c r="N2569" s="218">
        <v>4563000</v>
      </c>
      <c r="O2569" s="169">
        <f t="shared" si="103"/>
        <v>0</v>
      </c>
      <c r="P2569" s="169"/>
      <c r="Q2569" s="166"/>
      <c r="R2569" s="207"/>
      <c r="S2569" s="207"/>
      <c r="T2569" s="207"/>
      <c r="U2569" s="207"/>
      <c r="V2569" s="166">
        <f t="shared" si="104"/>
        <v>0</v>
      </c>
      <c r="W2569" s="205"/>
      <c r="X2569" s="167"/>
    </row>
    <row r="2570" spans="8:24" s="221" customFormat="1" ht="12" hidden="1" customHeight="1">
      <c r="H2570" s="217" t="s">
        <v>6683</v>
      </c>
      <c r="I2570" s="217" t="s">
        <v>6594</v>
      </c>
      <c r="J2570" s="217" t="s">
        <v>6595</v>
      </c>
      <c r="K2570" s="217" t="s">
        <v>6685</v>
      </c>
      <c r="L2570" s="217" t="s">
        <v>744</v>
      </c>
      <c r="M2570" s="217"/>
      <c r="N2570" s="218">
        <v>4727000</v>
      </c>
      <c r="O2570" s="169">
        <f t="shared" si="103"/>
        <v>0</v>
      </c>
      <c r="P2570" s="169"/>
      <c r="Q2570" s="166"/>
      <c r="R2570" s="207"/>
      <c r="S2570" s="207"/>
      <c r="T2570" s="207"/>
      <c r="U2570" s="207"/>
      <c r="V2570" s="166">
        <f t="shared" si="104"/>
        <v>0</v>
      </c>
      <c r="W2570" s="205"/>
      <c r="X2570" s="167"/>
    </row>
    <row r="2571" spans="8:24" s="221" customFormat="1" ht="12" hidden="1" customHeight="1">
      <c r="H2571" s="217" t="s">
        <v>6684</v>
      </c>
      <c r="I2571" s="217" t="s">
        <v>6594</v>
      </c>
      <c r="J2571" s="217" t="s">
        <v>6595</v>
      </c>
      <c r="K2571" s="217" t="s">
        <v>6686</v>
      </c>
      <c r="L2571" s="217" t="s">
        <v>744</v>
      </c>
      <c r="M2571" s="217"/>
      <c r="N2571" s="218">
        <v>4728000</v>
      </c>
      <c r="O2571" s="169">
        <f t="shared" si="103"/>
        <v>0</v>
      </c>
      <c r="P2571" s="169"/>
      <c r="Q2571" s="166"/>
      <c r="R2571" s="207"/>
      <c r="S2571" s="207"/>
      <c r="T2571" s="207"/>
      <c r="U2571" s="207"/>
      <c r="V2571" s="166">
        <f t="shared" si="104"/>
        <v>0</v>
      </c>
      <c r="W2571" s="205"/>
      <c r="X2571" s="167"/>
    </row>
    <row r="2572" spans="8:24" s="221" customFormat="1" ht="12" hidden="1" customHeight="1">
      <c r="H2572" s="217" t="s">
        <v>6687</v>
      </c>
      <c r="I2572" s="217" t="s">
        <v>6594</v>
      </c>
      <c r="J2572" s="217" t="s">
        <v>6595</v>
      </c>
      <c r="K2572" s="217" t="s">
        <v>6688</v>
      </c>
      <c r="L2572" s="217" t="s">
        <v>744</v>
      </c>
      <c r="M2572" s="217"/>
      <c r="N2572" s="218">
        <v>5078000</v>
      </c>
      <c r="O2572" s="169">
        <f t="shared" si="103"/>
        <v>0</v>
      </c>
      <c r="P2572" s="169"/>
      <c r="Q2572" s="166"/>
      <c r="R2572" s="207"/>
      <c r="S2572" s="207"/>
      <c r="T2572" s="207"/>
      <c r="U2572" s="207"/>
      <c r="V2572" s="166">
        <f t="shared" si="104"/>
        <v>0</v>
      </c>
      <c r="W2572" s="205"/>
      <c r="X2572" s="167"/>
    </row>
    <row r="2573" spans="8:24" s="221" customFormat="1" ht="12" hidden="1" customHeight="1">
      <c r="H2573" s="217" t="s">
        <v>6689</v>
      </c>
      <c r="I2573" s="217" t="s">
        <v>6594</v>
      </c>
      <c r="J2573" s="217" t="s">
        <v>6595</v>
      </c>
      <c r="K2573" s="217" t="s">
        <v>6690</v>
      </c>
      <c r="L2573" s="217" t="s">
        <v>744</v>
      </c>
      <c r="M2573" s="217"/>
      <c r="N2573" s="218">
        <v>5441000</v>
      </c>
      <c r="O2573" s="169">
        <f t="shared" si="103"/>
        <v>0</v>
      </c>
      <c r="P2573" s="169"/>
      <c r="Q2573" s="166"/>
      <c r="R2573" s="207"/>
      <c r="S2573" s="207"/>
      <c r="T2573" s="207"/>
      <c r="U2573" s="207"/>
      <c r="V2573" s="166">
        <f t="shared" si="104"/>
        <v>0</v>
      </c>
      <c r="W2573" s="205"/>
      <c r="X2573" s="167"/>
    </row>
    <row r="2574" spans="8:24" s="221" customFormat="1" ht="12" hidden="1" customHeight="1">
      <c r="H2574" s="217" t="s">
        <v>6691</v>
      </c>
      <c r="I2574" s="217" t="s">
        <v>6594</v>
      </c>
      <c r="J2574" s="217" t="s">
        <v>6595</v>
      </c>
      <c r="K2574" s="217" t="s">
        <v>6692</v>
      </c>
      <c r="L2574" s="217" t="s">
        <v>744</v>
      </c>
      <c r="M2574" s="217"/>
      <c r="N2574" s="218">
        <v>5485000</v>
      </c>
      <c r="O2574" s="169">
        <f t="shared" si="103"/>
        <v>0</v>
      </c>
      <c r="P2574" s="169"/>
      <c r="Q2574" s="166"/>
      <c r="R2574" s="207"/>
      <c r="S2574" s="207"/>
      <c r="T2574" s="207"/>
      <c r="U2574" s="207"/>
      <c r="V2574" s="166">
        <f t="shared" si="104"/>
        <v>0</v>
      </c>
      <c r="W2574" s="205"/>
      <c r="X2574" s="167"/>
    </row>
    <row r="2575" spans="8:24" s="221" customFormat="1" ht="12" hidden="1" customHeight="1">
      <c r="H2575" s="217" t="s">
        <v>6693</v>
      </c>
      <c r="I2575" s="217" t="s">
        <v>6594</v>
      </c>
      <c r="J2575" s="217" t="s">
        <v>6595</v>
      </c>
      <c r="K2575" s="217" t="s">
        <v>6694</v>
      </c>
      <c r="L2575" s="217" t="s">
        <v>744</v>
      </c>
      <c r="M2575" s="217"/>
      <c r="N2575" s="218">
        <v>6060000</v>
      </c>
      <c r="O2575" s="169">
        <f t="shared" si="103"/>
        <v>0</v>
      </c>
      <c r="P2575" s="169"/>
      <c r="Q2575" s="166"/>
      <c r="R2575" s="207"/>
      <c r="S2575" s="207"/>
      <c r="T2575" s="207"/>
      <c r="U2575" s="207"/>
      <c r="V2575" s="166">
        <f t="shared" si="104"/>
        <v>0</v>
      </c>
      <c r="W2575" s="205"/>
      <c r="X2575" s="167"/>
    </row>
    <row r="2576" spans="8:24" s="221" customFormat="1" ht="12" hidden="1" customHeight="1">
      <c r="H2576" s="217" t="s">
        <v>6695</v>
      </c>
      <c r="I2576" s="217" t="s">
        <v>6594</v>
      </c>
      <c r="J2576" s="217" t="s">
        <v>6595</v>
      </c>
      <c r="K2576" s="217" t="s">
        <v>6696</v>
      </c>
      <c r="L2576" s="217" t="s">
        <v>744</v>
      </c>
      <c r="M2576" s="217"/>
      <c r="N2576" s="218">
        <v>7065000</v>
      </c>
      <c r="O2576" s="169">
        <f t="shared" si="103"/>
        <v>0</v>
      </c>
      <c r="P2576" s="169"/>
      <c r="Q2576" s="166"/>
      <c r="R2576" s="207"/>
      <c r="S2576" s="207"/>
      <c r="T2576" s="207"/>
      <c r="U2576" s="207"/>
      <c r="V2576" s="166">
        <f t="shared" si="104"/>
        <v>0</v>
      </c>
      <c r="W2576" s="205"/>
      <c r="X2576" s="167"/>
    </row>
    <row r="2577" spans="8:24" s="221" customFormat="1" ht="12" hidden="1" customHeight="1">
      <c r="H2577" s="217" t="s">
        <v>6697</v>
      </c>
      <c r="I2577" s="217" t="s">
        <v>6594</v>
      </c>
      <c r="J2577" s="217" t="s">
        <v>6595</v>
      </c>
      <c r="K2577" s="217" t="s">
        <v>6698</v>
      </c>
      <c r="L2577" s="217" t="s">
        <v>744</v>
      </c>
      <c r="M2577" s="217"/>
      <c r="N2577" s="218">
        <v>7551000</v>
      </c>
      <c r="O2577" s="169">
        <f t="shared" si="103"/>
        <v>0</v>
      </c>
      <c r="P2577" s="169"/>
      <c r="Q2577" s="166"/>
      <c r="R2577" s="207"/>
      <c r="S2577" s="207"/>
      <c r="T2577" s="207"/>
      <c r="U2577" s="207"/>
      <c r="V2577" s="166">
        <f t="shared" si="104"/>
        <v>0</v>
      </c>
      <c r="W2577" s="205"/>
      <c r="X2577" s="167"/>
    </row>
    <row r="2578" spans="8:24" s="221" customFormat="1" ht="12" hidden="1" customHeight="1">
      <c r="H2578" s="217" t="s">
        <v>6699</v>
      </c>
      <c r="I2578" s="217" t="s">
        <v>6594</v>
      </c>
      <c r="J2578" s="217" t="s">
        <v>6595</v>
      </c>
      <c r="K2578" s="217" t="s">
        <v>6700</v>
      </c>
      <c r="L2578" s="217" t="s">
        <v>744</v>
      </c>
      <c r="M2578" s="217"/>
      <c r="N2578" s="218">
        <v>7878000</v>
      </c>
      <c r="O2578" s="169">
        <f t="shared" si="103"/>
        <v>0</v>
      </c>
      <c r="P2578" s="169"/>
      <c r="Q2578" s="166"/>
      <c r="R2578" s="207"/>
      <c r="S2578" s="207"/>
      <c r="T2578" s="207"/>
      <c r="U2578" s="207"/>
      <c r="V2578" s="166">
        <f t="shared" si="104"/>
        <v>0</v>
      </c>
      <c r="W2578" s="205"/>
      <c r="X2578" s="167"/>
    </row>
    <row r="2579" spans="8:24" s="221" customFormat="1" ht="12" hidden="1" customHeight="1">
      <c r="H2579" s="217" t="s">
        <v>6701</v>
      </c>
      <c r="I2579" s="217" t="s">
        <v>6594</v>
      </c>
      <c r="J2579" s="217" t="s">
        <v>6595</v>
      </c>
      <c r="K2579" s="217" t="s">
        <v>6702</v>
      </c>
      <c r="L2579" s="217" t="s">
        <v>744</v>
      </c>
      <c r="M2579" s="217"/>
      <c r="N2579" s="218">
        <v>8431000</v>
      </c>
      <c r="O2579" s="169">
        <f t="shared" si="103"/>
        <v>0</v>
      </c>
      <c r="P2579" s="169"/>
      <c r="Q2579" s="166"/>
      <c r="R2579" s="207"/>
      <c r="S2579" s="207"/>
      <c r="T2579" s="207"/>
      <c r="U2579" s="207"/>
      <c r="V2579" s="166">
        <f t="shared" si="104"/>
        <v>0</v>
      </c>
      <c r="W2579" s="205"/>
      <c r="X2579" s="167"/>
    </row>
    <row r="2580" spans="8:24" s="221" customFormat="1" ht="12" hidden="1" customHeight="1">
      <c r="H2580" s="217" t="s">
        <v>6703</v>
      </c>
      <c r="I2580" s="217" t="s">
        <v>6594</v>
      </c>
      <c r="J2580" s="217" t="s">
        <v>6595</v>
      </c>
      <c r="K2580" s="217" t="s">
        <v>6704</v>
      </c>
      <c r="L2580" s="217" t="s">
        <v>744</v>
      </c>
      <c r="M2580" s="217"/>
      <c r="N2580" s="218">
        <v>9027000</v>
      </c>
      <c r="O2580" s="169">
        <f t="shared" si="103"/>
        <v>0</v>
      </c>
      <c r="P2580" s="169"/>
      <c r="Q2580" s="166"/>
      <c r="R2580" s="207"/>
      <c r="S2580" s="207"/>
      <c r="T2580" s="207"/>
      <c r="U2580" s="207"/>
      <c r="V2580" s="166">
        <f t="shared" si="104"/>
        <v>0</v>
      </c>
      <c r="W2580" s="205"/>
      <c r="X2580" s="167"/>
    </row>
    <row r="2581" spans="8:24" s="221" customFormat="1" ht="12" hidden="1" customHeight="1">
      <c r="H2581" s="217" t="s">
        <v>6705</v>
      </c>
      <c r="I2581" s="217" t="s">
        <v>6706</v>
      </c>
      <c r="J2581" s="217" t="s">
        <v>6707</v>
      </c>
      <c r="K2581" s="217" t="s">
        <v>6708</v>
      </c>
      <c r="L2581" s="217" t="s">
        <v>5</v>
      </c>
      <c r="M2581" s="217"/>
      <c r="N2581" s="218">
        <v>29700</v>
      </c>
      <c r="O2581" s="169">
        <f t="shared" si="103"/>
        <v>0</v>
      </c>
      <c r="P2581" s="169"/>
      <c r="Q2581" s="166"/>
      <c r="R2581" s="207"/>
      <c r="S2581" s="207"/>
      <c r="T2581" s="207"/>
      <c r="U2581" s="207"/>
      <c r="V2581" s="166">
        <f t="shared" si="104"/>
        <v>0</v>
      </c>
      <c r="W2581" s="205"/>
      <c r="X2581" s="167"/>
    </row>
    <row r="2582" spans="8:24" s="221" customFormat="1" ht="12" hidden="1" customHeight="1">
      <c r="H2582" s="217" t="s">
        <v>6709</v>
      </c>
      <c r="I2582" s="217" t="s">
        <v>6706</v>
      </c>
      <c r="J2582" s="217" t="s">
        <v>6711</v>
      </c>
      <c r="K2582" s="217" t="s">
        <v>6712</v>
      </c>
      <c r="L2582" s="217" t="s">
        <v>5</v>
      </c>
      <c r="M2582" s="217"/>
      <c r="N2582" s="218">
        <v>30800</v>
      </c>
      <c r="O2582" s="169">
        <f t="shared" si="103"/>
        <v>0</v>
      </c>
      <c r="P2582" s="169"/>
      <c r="Q2582" s="166"/>
      <c r="R2582" s="207"/>
      <c r="S2582" s="207"/>
      <c r="T2582" s="207"/>
      <c r="U2582" s="207"/>
      <c r="V2582" s="166">
        <f t="shared" si="104"/>
        <v>0</v>
      </c>
      <c r="W2582" s="205"/>
      <c r="X2582" s="167"/>
    </row>
    <row r="2583" spans="8:24" s="221" customFormat="1" ht="12" hidden="1" customHeight="1">
      <c r="H2583" s="217" t="s">
        <v>6710</v>
      </c>
      <c r="I2583" s="217" t="s">
        <v>6706</v>
      </c>
      <c r="J2583" s="217" t="s">
        <v>6711</v>
      </c>
      <c r="K2583" s="217" t="s">
        <v>6713</v>
      </c>
      <c r="L2583" s="217" t="s">
        <v>5</v>
      </c>
      <c r="M2583" s="217"/>
      <c r="N2583" s="218">
        <v>30800</v>
      </c>
      <c r="O2583" s="169">
        <f t="shared" si="103"/>
        <v>0</v>
      </c>
      <c r="P2583" s="169"/>
      <c r="Q2583" s="166"/>
      <c r="R2583" s="207"/>
      <c r="S2583" s="207"/>
      <c r="T2583" s="207"/>
      <c r="U2583" s="207"/>
      <c r="V2583" s="166">
        <f t="shared" si="104"/>
        <v>0</v>
      </c>
      <c r="W2583" s="205"/>
      <c r="X2583" s="167"/>
    </row>
    <row r="2584" spans="8:24" s="221" customFormat="1" ht="12" hidden="1" customHeight="1">
      <c r="H2584" s="217" t="s">
        <v>6714</v>
      </c>
      <c r="I2584" s="217" t="s">
        <v>6706</v>
      </c>
      <c r="J2584" s="217" t="s">
        <v>6715</v>
      </c>
      <c r="K2584" s="217" t="s">
        <v>6716</v>
      </c>
      <c r="L2584" s="217" t="s">
        <v>5</v>
      </c>
      <c r="M2584" s="217"/>
      <c r="N2584" s="218">
        <v>31900</v>
      </c>
      <c r="O2584" s="169">
        <f t="shared" si="103"/>
        <v>0</v>
      </c>
      <c r="P2584" s="169"/>
      <c r="Q2584" s="166"/>
      <c r="R2584" s="207"/>
      <c r="S2584" s="207"/>
      <c r="T2584" s="207"/>
      <c r="U2584" s="207"/>
      <c r="V2584" s="166">
        <f t="shared" si="104"/>
        <v>0</v>
      </c>
      <c r="W2584" s="205"/>
      <c r="X2584" s="167"/>
    </row>
    <row r="2585" spans="8:24" s="221" customFormat="1" ht="12" hidden="1" customHeight="1">
      <c r="H2585" s="217" t="s">
        <v>6717</v>
      </c>
      <c r="I2585" s="217" t="s">
        <v>6706</v>
      </c>
      <c r="J2585" s="217" t="s">
        <v>6718</v>
      </c>
      <c r="K2585" s="217" t="s">
        <v>6719</v>
      </c>
      <c r="L2585" s="217" t="s">
        <v>5</v>
      </c>
      <c r="M2585" s="217"/>
      <c r="N2585" s="218">
        <v>37200</v>
      </c>
      <c r="O2585" s="169">
        <f t="shared" si="103"/>
        <v>0</v>
      </c>
      <c r="P2585" s="169"/>
      <c r="Q2585" s="166"/>
      <c r="R2585" s="207"/>
      <c r="S2585" s="207"/>
      <c r="T2585" s="207"/>
      <c r="U2585" s="207"/>
      <c r="V2585" s="166">
        <f t="shared" si="104"/>
        <v>0</v>
      </c>
      <c r="W2585" s="205"/>
      <c r="X2585" s="167"/>
    </row>
    <row r="2586" spans="8:24" s="221" customFormat="1" ht="12" hidden="1" customHeight="1">
      <c r="H2586" s="217" t="s">
        <v>6720</v>
      </c>
      <c r="I2586" s="217" t="s">
        <v>6706</v>
      </c>
      <c r="J2586" s="217" t="s">
        <v>6721</v>
      </c>
      <c r="K2586" s="217" t="s">
        <v>6722</v>
      </c>
      <c r="L2586" s="217" t="s">
        <v>5</v>
      </c>
      <c r="M2586" s="217"/>
      <c r="N2586" s="218">
        <v>38200</v>
      </c>
      <c r="O2586" s="169">
        <f t="shared" si="103"/>
        <v>0</v>
      </c>
      <c r="P2586" s="169"/>
      <c r="Q2586" s="166"/>
      <c r="R2586" s="207"/>
      <c r="S2586" s="207"/>
      <c r="T2586" s="207"/>
      <c r="U2586" s="207"/>
      <c r="V2586" s="166">
        <f t="shared" si="104"/>
        <v>0</v>
      </c>
      <c r="W2586" s="205"/>
      <c r="X2586" s="167"/>
    </row>
    <row r="2587" spans="8:24" s="221" customFormat="1" ht="12" hidden="1" customHeight="1">
      <c r="H2587" s="217" t="s">
        <v>6723</v>
      </c>
      <c r="I2587" s="217" t="s">
        <v>6724</v>
      </c>
      <c r="J2587" s="217" t="s">
        <v>6725</v>
      </c>
      <c r="K2587" s="217" t="s">
        <v>6726</v>
      </c>
      <c r="L2587" s="217" t="s">
        <v>6727</v>
      </c>
      <c r="M2587" s="217"/>
      <c r="N2587" s="218">
        <v>50000</v>
      </c>
      <c r="O2587" s="169">
        <f t="shared" si="103"/>
        <v>0</v>
      </c>
      <c r="P2587" s="169"/>
      <c r="Q2587" s="166"/>
      <c r="R2587" s="207"/>
      <c r="S2587" s="207"/>
      <c r="T2587" s="207"/>
      <c r="U2587" s="207"/>
      <c r="V2587" s="166">
        <f t="shared" si="104"/>
        <v>0</v>
      </c>
      <c r="W2587" s="205"/>
      <c r="X2587" s="167"/>
    </row>
    <row r="2588" spans="8:24" s="221" customFormat="1" ht="12" hidden="1" customHeight="1">
      <c r="H2588" s="217" t="s">
        <v>6728</v>
      </c>
      <c r="I2588" s="217" t="s">
        <v>6724</v>
      </c>
      <c r="J2588" s="217" t="s">
        <v>6729</v>
      </c>
      <c r="K2588" s="217" t="s">
        <v>6730</v>
      </c>
      <c r="L2588" s="217" t="s">
        <v>6731</v>
      </c>
      <c r="M2588" s="217"/>
      <c r="N2588" s="218">
        <v>50000</v>
      </c>
      <c r="O2588" s="169">
        <f t="shared" si="103"/>
        <v>0</v>
      </c>
      <c r="P2588" s="169"/>
      <c r="Q2588" s="166"/>
      <c r="R2588" s="207"/>
      <c r="S2588" s="207"/>
      <c r="T2588" s="207"/>
      <c r="U2588" s="207"/>
      <c r="V2588" s="166">
        <f t="shared" si="104"/>
        <v>0</v>
      </c>
      <c r="W2588" s="205"/>
      <c r="X2588" s="167"/>
    </row>
    <row r="2589" spans="8:24" s="221" customFormat="1" ht="12" hidden="1" customHeight="1">
      <c r="H2589" s="217" t="s">
        <v>6732</v>
      </c>
      <c r="I2589" s="217" t="s">
        <v>6724</v>
      </c>
      <c r="J2589" s="217" t="s">
        <v>6733</v>
      </c>
      <c r="K2589" s="217" t="s">
        <v>6734</v>
      </c>
      <c r="L2589" s="217" t="s">
        <v>5</v>
      </c>
      <c r="M2589" s="217"/>
      <c r="N2589" s="218">
        <v>60000</v>
      </c>
      <c r="O2589" s="169">
        <f t="shared" si="103"/>
        <v>0</v>
      </c>
      <c r="P2589" s="169"/>
      <c r="Q2589" s="166"/>
      <c r="R2589" s="207"/>
      <c r="S2589" s="207"/>
      <c r="T2589" s="207"/>
      <c r="U2589" s="207"/>
      <c r="V2589" s="166">
        <f t="shared" si="104"/>
        <v>0</v>
      </c>
      <c r="W2589" s="205"/>
      <c r="X2589" s="167"/>
    </row>
    <row r="2590" spans="8:24" s="221" customFormat="1" ht="12" hidden="1" customHeight="1">
      <c r="H2590" s="217" t="s">
        <v>6735</v>
      </c>
      <c r="I2590" s="217" t="s">
        <v>6724</v>
      </c>
      <c r="J2590" s="217" t="s">
        <v>6736</v>
      </c>
      <c r="K2590" s="217" t="s">
        <v>6737</v>
      </c>
      <c r="L2590" s="217" t="s">
        <v>5</v>
      </c>
      <c r="M2590" s="217"/>
      <c r="N2590" s="218">
        <v>60000</v>
      </c>
      <c r="O2590" s="169">
        <f t="shared" si="103"/>
        <v>0</v>
      </c>
      <c r="P2590" s="169"/>
      <c r="Q2590" s="166"/>
      <c r="R2590" s="207"/>
      <c r="S2590" s="207"/>
      <c r="T2590" s="207"/>
      <c r="U2590" s="207"/>
      <c r="V2590" s="166">
        <f t="shared" si="104"/>
        <v>0</v>
      </c>
      <c r="W2590" s="205"/>
      <c r="X2590" s="167"/>
    </row>
    <row r="2591" spans="8:24" s="221" customFormat="1" ht="12" hidden="1" customHeight="1">
      <c r="H2591" s="217" t="s">
        <v>6738</v>
      </c>
      <c r="I2591" s="217" t="s">
        <v>6706</v>
      </c>
      <c r="J2591" s="217" t="s">
        <v>6741</v>
      </c>
      <c r="K2591" s="217" t="s">
        <v>6742</v>
      </c>
      <c r="L2591" s="217" t="s">
        <v>92</v>
      </c>
      <c r="M2591" s="217"/>
      <c r="N2591" s="218">
        <v>61600</v>
      </c>
      <c r="O2591" s="169">
        <f t="shared" si="103"/>
        <v>0</v>
      </c>
      <c r="P2591" s="169"/>
      <c r="Q2591" s="166"/>
      <c r="R2591" s="207"/>
      <c r="S2591" s="207"/>
      <c r="T2591" s="207"/>
      <c r="U2591" s="207"/>
      <c r="V2591" s="166">
        <f t="shared" si="104"/>
        <v>0</v>
      </c>
      <c r="W2591" s="205"/>
      <c r="X2591" s="167"/>
    </row>
    <row r="2592" spans="8:24" s="221" customFormat="1" ht="12" hidden="1" customHeight="1">
      <c r="H2592" s="217" t="s">
        <v>6739</v>
      </c>
      <c r="I2592" s="217" t="s">
        <v>6706</v>
      </c>
      <c r="J2592" s="217" t="s">
        <v>6741</v>
      </c>
      <c r="K2592" s="217" t="s">
        <v>6743</v>
      </c>
      <c r="L2592" s="217" t="s">
        <v>92</v>
      </c>
      <c r="M2592" s="217"/>
      <c r="N2592" s="218">
        <v>61600</v>
      </c>
      <c r="O2592" s="169">
        <f t="shared" si="103"/>
        <v>0</v>
      </c>
      <c r="P2592" s="169"/>
      <c r="Q2592" s="166"/>
      <c r="R2592" s="207"/>
      <c r="S2592" s="207"/>
      <c r="T2592" s="207"/>
      <c r="U2592" s="207"/>
      <c r="V2592" s="166">
        <f t="shared" si="104"/>
        <v>0</v>
      </c>
      <c r="W2592" s="205"/>
      <c r="X2592" s="167"/>
    </row>
    <row r="2593" spans="8:24" s="221" customFormat="1" ht="12" hidden="1" customHeight="1">
      <c r="H2593" s="217" t="s">
        <v>6740</v>
      </c>
      <c r="I2593" s="217" t="s">
        <v>6706</v>
      </c>
      <c r="J2593" s="217" t="s">
        <v>6741</v>
      </c>
      <c r="K2593" s="217" t="s">
        <v>6744</v>
      </c>
      <c r="L2593" s="217" t="s">
        <v>92</v>
      </c>
      <c r="M2593" s="217"/>
      <c r="N2593" s="218">
        <v>61600</v>
      </c>
      <c r="O2593" s="169">
        <f t="shared" si="103"/>
        <v>0</v>
      </c>
      <c r="P2593" s="169"/>
      <c r="Q2593" s="166"/>
      <c r="R2593" s="207"/>
      <c r="S2593" s="207"/>
      <c r="T2593" s="207"/>
      <c r="U2593" s="207"/>
      <c r="V2593" s="166">
        <f t="shared" si="104"/>
        <v>0</v>
      </c>
      <c r="W2593" s="205"/>
      <c r="X2593" s="167"/>
    </row>
    <row r="2594" spans="8:24" s="221" customFormat="1" ht="12" hidden="1" customHeight="1">
      <c r="H2594" s="217" t="s">
        <v>6745</v>
      </c>
      <c r="I2594" s="217" t="s">
        <v>6706</v>
      </c>
      <c r="J2594" s="217" t="s">
        <v>6746</v>
      </c>
      <c r="K2594" s="217" t="s">
        <v>6747</v>
      </c>
      <c r="L2594" s="217" t="s">
        <v>92</v>
      </c>
      <c r="M2594" s="217"/>
      <c r="N2594" s="218">
        <v>63700</v>
      </c>
      <c r="O2594" s="169">
        <f t="shared" si="103"/>
        <v>0</v>
      </c>
      <c r="P2594" s="169"/>
      <c r="Q2594" s="166"/>
      <c r="R2594" s="207"/>
      <c r="S2594" s="207"/>
      <c r="T2594" s="207"/>
      <c r="U2594" s="207"/>
      <c r="V2594" s="166">
        <f t="shared" si="104"/>
        <v>0</v>
      </c>
      <c r="W2594" s="205"/>
      <c r="X2594" s="167"/>
    </row>
    <row r="2595" spans="8:24" s="221" customFormat="1" ht="12" hidden="1" customHeight="1">
      <c r="H2595" s="217" t="s">
        <v>6748</v>
      </c>
      <c r="I2595" s="217" t="s">
        <v>6706</v>
      </c>
      <c r="J2595" s="217" t="s">
        <v>6749</v>
      </c>
      <c r="K2595" s="217" t="s">
        <v>6750</v>
      </c>
      <c r="L2595" s="217" t="s">
        <v>6751</v>
      </c>
      <c r="M2595" s="217"/>
      <c r="N2595" s="218">
        <v>70100</v>
      </c>
      <c r="O2595" s="169">
        <f t="shared" si="103"/>
        <v>0</v>
      </c>
      <c r="P2595" s="169"/>
      <c r="Q2595" s="166"/>
      <c r="R2595" s="207"/>
      <c r="S2595" s="207"/>
      <c r="T2595" s="207"/>
      <c r="U2595" s="207"/>
      <c r="V2595" s="166">
        <f t="shared" si="104"/>
        <v>0</v>
      </c>
      <c r="W2595" s="205"/>
      <c r="X2595" s="167"/>
    </row>
    <row r="2596" spans="8:24" s="221" customFormat="1" ht="12" hidden="1" customHeight="1">
      <c r="H2596" s="217" t="s">
        <v>6752</v>
      </c>
      <c r="I2596" s="217" t="s">
        <v>6706</v>
      </c>
      <c r="J2596" s="217" t="s">
        <v>6755</v>
      </c>
      <c r="K2596" s="217" t="s">
        <v>6756</v>
      </c>
      <c r="L2596" s="217" t="s">
        <v>92</v>
      </c>
      <c r="M2596" s="217"/>
      <c r="N2596" s="218">
        <v>72200</v>
      </c>
      <c r="O2596" s="169">
        <f t="shared" si="103"/>
        <v>0</v>
      </c>
      <c r="P2596" s="169"/>
      <c r="Q2596" s="166"/>
      <c r="R2596" s="207"/>
      <c r="S2596" s="207"/>
      <c r="T2596" s="207"/>
      <c r="U2596" s="207"/>
      <c r="V2596" s="166">
        <f t="shared" si="104"/>
        <v>0</v>
      </c>
      <c r="W2596" s="205"/>
      <c r="X2596" s="167"/>
    </row>
    <row r="2597" spans="8:24" s="221" customFormat="1" ht="12" hidden="1" customHeight="1">
      <c r="H2597" s="217" t="s">
        <v>6753</v>
      </c>
      <c r="I2597" s="217" t="s">
        <v>6706</v>
      </c>
      <c r="J2597" s="217" t="s">
        <v>6755</v>
      </c>
      <c r="K2597" s="217" t="s">
        <v>6757</v>
      </c>
      <c r="L2597" s="217" t="s">
        <v>92</v>
      </c>
      <c r="M2597" s="217"/>
      <c r="N2597" s="218">
        <v>72200</v>
      </c>
      <c r="O2597" s="169">
        <f t="shared" si="103"/>
        <v>0</v>
      </c>
      <c r="P2597" s="169"/>
      <c r="Q2597" s="166"/>
      <c r="R2597" s="207"/>
      <c r="S2597" s="207"/>
      <c r="T2597" s="207"/>
      <c r="U2597" s="207"/>
      <c r="V2597" s="166">
        <f t="shared" si="104"/>
        <v>0</v>
      </c>
      <c r="W2597" s="205"/>
      <c r="X2597" s="167"/>
    </row>
    <row r="2598" spans="8:24" s="221" customFormat="1" ht="12" hidden="1" customHeight="1">
      <c r="H2598" s="217" t="s">
        <v>6754</v>
      </c>
      <c r="I2598" s="217" t="s">
        <v>6706</v>
      </c>
      <c r="J2598" s="217" t="s">
        <v>6755</v>
      </c>
      <c r="K2598" s="217" t="s">
        <v>6758</v>
      </c>
      <c r="L2598" s="217" t="s">
        <v>92</v>
      </c>
      <c r="M2598" s="217"/>
      <c r="N2598" s="218">
        <v>72200</v>
      </c>
      <c r="O2598" s="169">
        <f t="shared" si="103"/>
        <v>0</v>
      </c>
      <c r="P2598" s="169"/>
      <c r="Q2598" s="166"/>
      <c r="R2598" s="207"/>
      <c r="S2598" s="207"/>
      <c r="T2598" s="207"/>
      <c r="U2598" s="207"/>
      <c r="V2598" s="166">
        <f t="shared" si="104"/>
        <v>0</v>
      </c>
      <c r="W2598" s="205"/>
      <c r="X2598" s="167"/>
    </row>
    <row r="2599" spans="8:24" s="221" customFormat="1" ht="12" hidden="1" customHeight="1">
      <c r="H2599" s="217" t="s">
        <v>6759</v>
      </c>
      <c r="I2599" s="217" t="s">
        <v>6760</v>
      </c>
      <c r="J2599" s="217" t="s">
        <v>6761</v>
      </c>
      <c r="K2599" s="217" t="s">
        <v>6762</v>
      </c>
      <c r="L2599" s="217" t="s">
        <v>92</v>
      </c>
      <c r="M2599" s="217"/>
      <c r="N2599" s="218">
        <v>74300</v>
      </c>
      <c r="O2599" s="169">
        <f t="shared" si="103"/>
        <v>0</v>
      </c>
      <c r="P2599" s="169"/>
      <c r="Q2599" s="166"/>
      <c r="R2599" s="207"/>
      <c r="S2599" s="207"/>
      <c r="T2599" s="207"/>
      <c r="U2599" s="207"/>
      <c r="V2599" s="166">
        <f t="shared" si="104"/>
        <v>0</v>
      </c>
      <c r="W2599" s="205"/>
      <c r="X2599" s="167"/>
    </row>
    <row r="2600" spans="8:24" s="221" customFormat="1" ht="12" hidden="1" customHeight="1">
      <c r="H2600" s="217" t="s">
        <v>6763</v>
      </c>
      <c r="I2600" s="217" t="s">
        <v>6724</v>
      </c>
      <c r="J2600" s="217" t="s">
        <v>6764</v>
      </c>
      <c r="K2600" s="217" t="s">
        <v>6765</v>
      </c>
      <c r="L2600" s="217" t="s">
        <v>5</v>
      </c>
      <c r="M2600" s="217"/>
      <c r="N2600" s="218">
        <v>80000</v>
      </c>
      <c r="O2600" s="169">
        <f t="shared" si="103"/>
        <v>0</v>
      </c>
      <c r="P2600" s="169"/>
      <c r="Q2600" s="166"/>
      <c r="R2600" s="207"/>
      <c r="S2600" s="207"/>
      <c r="T2600" s="207"/>
      <c r="U2600" s="207"/>
      <c r="V2600" s="166">
        <f t="shared" si="104"/>
        <v>0</v>
      </c>
      <c r="W2600" s="205"/>
      <c r="X2600" s="167"/>
    </row>
    <row r="2601" spans="8:24" s="221" customFormat="1" ht="12" hidden="1" customHeight="1">
      <c r="H2601" s="217" t="s">
        <v>6766</v>
      </c>
      <c r="I2601" s="217" t="s">
        <v>6724</v>
      </c>
      <c r="J2601" s="217" t="s">
        <v>6767</v>
      </c>
      <c r="K2601" s="217" t="s">
        <v>6768</v>
      </c>
      <c r="L2601" s="217" t="s">
        <v>5</v>
      </c>
      <c r="M2601" s="217"/>
      <c r="N2601" s="218">
        <v>80000</v>
      </c>
      <c r="O2601" s="169">
        <f t="shared" si="103"/>
        <v>0</v>
      </c>
      <c r="P2601" s="169"/>
      <c r="Q2601" s="166"/>
      <c r="R2601" s="207"/>
      <c r="S2601" s="207"/>
      <c r="T2601" s="207"/>
      <c r="U2601" s="207"/>
      <c r="V2601" s="166">
        <f t="shared" si="104"/>
        <v>0</v>
      </c>
      <c r="W2601" s="205"/>
      <c r="X2601" s="167"/>
    </row>
    <row r="2602" spans="8:24" s="221" customFormat="1" ht="12" hidden="1" customHeight="1">
      <c r="H2602" s="217" t="s">
        <v>6769</v>
      </c>
      <c r="I2602" s="217" t="s">
        <v>6724</v>
      </c>
      <c r="J2602" s="217" t="s">
        <v>6770</v>
      </c>
      <c r="K2602" s="217" t="s">
        <v>6771</v>
      </c>
      <c r="L2602" s="217" t="s">
        <v>6727</v>
      </c>
      <c r="M2602" s="217"/>
      <c r="N2602" s="218">
        <v>90000</v>
      </c>
      <c r="O2602" s="169">
        <f t="shared" si="103"/>
        <v>0</v>
      </c>
      <c r="P2602" s="169"/>
      <c r="Q2602" s="166"/>
      <c r="R2602" s="207"/>
      <c r="S2602" s="207"/>
      <c r="T2602" s="207"/>
      <c r="U2602" s="207"/>
      <c r="V2602" s="166">
        <f t="shared" si="104"/>
        <v>0</v>
      </c>
      <c r="W2602" s="205"/>
      <c r="X2602" s="167"/>
    </row>
    <row r="2603" spans="8:24" s="221" customFormat="1" ht="12" hidden="1" customHeight="1">
      <c r="H2603" s="217" t="s">
        <v>6772</v>
      </c>
      <c r="I2603" s="217" t="s">
        <v>6706</v>
      </c>
      <c r="J2603" s="217" t="s">
        <v>6774</v>
      </c>
      <c r="K2603" s="217" t="s">
        <v>6775</v>
      </c>
      <c r="L2603" s="217" t="s">
        <v>92</v>
      </c>
      <c r="M2603" s="217"/>
      <c r="N2603" s="218">
        <v>117000</v>
      </c>
      <c r="O2603" s="169">
        <f t="shared" si="103"/>
        <v>0</v>
      </c>
      <c r="P2603" s="169"/>
      <c r="Q2603" s="166"/>
      <c r="R2603" s="207"/>
      <c r="S2603" s="207"/>
      <c r="T2603" s="207"/>
      <c r="U2603" s="207"/>
      <c r="V2603" s="166">
        <f t="shared" si="104"/>
        <v>0</v>
      </c>
      <c r="W2603" s="205"/>
      <c r="X2603" s="167"/>
    </row>
    <row r="2604" spans="8:24" s="221" customFormat="1" ht="12" hidden="1" customHeight="1">
      <c r="H2604" s="217" t="s">
        <v>6773</v>
      </c>
      <c r="I2604" s="217" t="s">
        <v>6760</v>
      </c>
      <c r="J2604" s="217" t="s">
        <v>6776</v>
      </c>
      <c r="K2604" s="217" t="s">
        <v>6777</v>
      </c>
      <c r="L2604" s="217" t="s">
        <v>92</v>
      </c>
      <c r="M2604" s="217"/>
      <c r="N2604" s="218">
        <v>117000</v>
      </c>
      <c r="O2604" s="169">
        <f t="shared" si="103"/>
        <v>0</v>
      </c>
      <c r="P2604" s="169"/>
      <c r="Q2604" s="166"/>
      <c r="R2604" s="207"/>
      <c r="S2604" s="207"/>
      <c r="T2604" s="207"/>
      <c r="U2604" s="207"/>
      <c r="V2604" s="166">
        <f t="shared" si="104"/>
        <v>0</v>
      </c>
      <c r="W2604" s="205"/>
      <c r="X2604" s="167"/>
    </row>
    <row r="2605" spans="8:24" s="221" customFormat="1" ht="12" hidden="1" customHeight="1">
      <c r="H2605" s="217" t="s">
        <v>6778</v>
      </c>
      <c r="I2605" s="217" t="s">
        <v>6724</v>
      </c>
      <c r="J2605" s="217" t="s">
        <v>6779</v>
      </c>
      <c r="K2605" s="217" t="s">
        <v>6780</v>
      </c>
      <c r="L2605" s="217" t="s">
        <v>6727</v>
      </c>
      <c r="M2605" s="217"/>
      <c r="N2605" s="218">
        <v>150000</v>
      </c>
      <c r="O2605" s="169">
        <f t="shared" si="103"/>
        <v>0</v>
      </c>
      <c r="P2605" s="169"/>
      <c r="Q2605" s="166"/>
      <c r="R2605" s="207"/>
      <c r="S2605" s="207"/>
      <c r="T2605" s="207"/>
      <c r="U2605" s="207"/>
      <c r="V2605" s="166">
        <f t="shared" si="104"/>
        <v>0</v>
      </c>
      <c r="W2605" s="205"/>
      <c r="X2605" s="167"/>
    </row>
    <row r="2606" spans="8:24" s="221" customFormat="1" ht="12" hidden="1" customHeight="1">
      <c r="H2606" s="217" t="s">
        <v>6781</v>
      </c>
      <c r="I2606" s="217" t="s">
        <v>6760</v>
      </c>
      <c r="J2606" s="217" t="s">
        <v>6782</v>
      </c>
      <c r="K2606" s="217" t="s">
        <v>6783</v>
      </c>
      <c r="L2606" s="217" t="s">
        <v>92</v>
      </c>
      <c r="M2606" s="217"/>
      <c r="N2606" s="218">
        <v>196000</v>
      </c>
      <c r="O2606" s="169">
        <f t="shared" si="103"/>
        <v>0</v>
      </c>
      <c r="P2606" s="169"/>
      <c r="Q2606" s="166"/>
      <c r="R2606" s="207"/>
      <c r="S2606" s="207"/>
      <c r="T2606" s="207"/>
      <c r="U2606" s="207"/>
      <c r="V2606" s="166">
        <f t="shared" si="104"/>
        <v>0</v>
      </c>
      <c r="W2606" s="205"/>
      <c r="X2606" s="167"/>
    </row>
    <row r="2607" spans="8:24" s="221" customFormat="1" ht="12" hidden="1" customHeight="1">
      <c r="H2607" s="217" t="s">
        <v>6784</v>
      </c>
      <c r="I2607" s="217" t="s">
        <v>6706</v>
      </c>
      <c r="J2607" s="217" t="s">
        <v>6785</v>
      </c>
      <c r="K2607" s="217" t="s">
        <v>6786</v>
      </c>
      <c r="L2607" s="217" t="s">
        <v>5</v>
      </c>
      <c r="M2607" s="217"/>
      <c r="N2607" s="218">
        <v>198000</v>
      </c>
      <c r="O2607" s="169">
        <f t="shared" si="103"/>
        <v>0</v>
      </c>
      <c r="P2607" s="169"/>
      <c r="Q2607" s="166"/>
      <c r="R2607" s="207"/>
      <c r="S2607" s="207"/>
      <c r="T2607" s="207"/>
      <c r="U2607" s="207"/>
      <c r="V2607" s="166">
        <f t="shared" si="104"/>
        <v>0</v>
      </c>
      <c r="W2607" s="205"/>
      <c r="X2607" s="167"/>
    </row>
    <row r="2608" spans="8:24" s="221" customFormat="1" ht="12" hidden="1" customHeight="1">
      <c r="H2608" s="217" t="s">
        <v>6787</v>
      </c>
      <c r="I2608" s="217" t="s">
        <v>6724</v>
      </c>
      <c r="J2608" s="217" t="s">
        <v>6788</v>
      </c>
      <c r="K2608" s="217" t="s">
        <v>6789</v>
      </c>
      <c r="L2608" s="217" t="s">
        <v>6727</v>
      </c>
      <c r="M2608" s="217"/>
      <c r="N2608" s="218">
        <v>200000</v>
      </c>
      <c r="O2608" s="169">
        <f t="shared" si="103"/>
        <v>0</v>
      </c>
      <c r="P2608" s="169"/>
      <c r="Q2608" s="166"/>
      <c r="R2608" s="207"/>
      <c r="S2608" s="207"/>
      <c r="T2608" s="207"/>
      <c r="U2608" s="207"/>
      <c r="V2608" s="166">
        <f t="shared" si="104"/>
        <v>0</v>
      </c>
      <c r="W2608" s="205"/>
      <c r="X2608" s="167"/>
    </row>
    <row r="2609" spans="8:24" s="221" customFormat="1" ht="12" hidden="1" customHeight="1">
      <c r="H2609" s="217" t="s">
        <v>6790</v>
      </c>
      <c r="I2609" s="217" t="s">
        <v>6706</v>
      </c>
      <c r="J2609" s="217" t="s">
        <v>6791</v>
      </c>
      <c r="K2609" s="217" t="s">
        <v>6792</v>
      </c>
      <c r="L2609" s="217" t="s">
        <v>5</v>
      </c>
      <c r="M2609" s="217"/>
      <c r="N2609" s="218">
        <v>234000</v>
      </c>
      <c r="O2609" s="169">
        <f t="shared" si="103"/>
        <v>0</v>
      </c>
      <c r="P2609" s="169"/>
      <c r="Q2609" s="166"/>
      <c r="R2609" s="207"/>
      <c r="S2609" s="207"/>
      <c r="T2609" s="207"/>
      <c r="U2609" s="207"/>
      <c r="V2609" s="166">
        <f t="shared" si="104"/>
        <v>0</v>
      </c>
      <c r="W2609" s="205"/>
      <c r="X2609" s="167"/>
    </row>
    <row r="2610" spans="8:24" s="221" customFormat="1" ht="12" hidden="1" customHeight="1">
      <c r="H2610" s="217" t="s">
        <v>6793</v>
      </c>
      <c r="I2610" s="217" t="s">
        <v>6706</v>
      </c>
      <c r="J2610" s="217" t="s">
        <v>6794</v>
      </c>
      <c r="K2610" s="217" t="s">
        <v>6795</v>
      </c>
      <c r="L2610" s="217" t="s">
        <v>5</v>
      </c>
      <c r="M2610" s="217"/>
      <c r="N2610" s="218">
        <v>234000</v>
      </c>
      <c r="O2610" s="169">
        <f t="shared" si="103"/>
        <v>0</v>
      </c>
      <c r="P2610" s="169"/>
      <c r="Q2610" s="166"/>
      <c r="R2610" s="207"/>
      <c r="S2610" s="207"/>
      <c r="T2610" s="207"/>
      <c r="U2610" s="207"/>
      <c r="V2610" s="166">
        <f t="shared" si="104"/>
        <v>0</v>
      </c>
      <c r="W2610" s="205"/>
      <c r="X2610" s="167"/>
    </row>
    <row r="2611" spans="8:24" s="221" customFormat="1" ht="12" hidden="1" customHeight="1">
      <c r="H2611" s="217" t="s">
        <v>6796</v>
      </c>
      <c r="I2611" s="217" t="s">
        <v>6706</v>
      </c>
      <c r="J2611" s="217" t="s">
        <v>6797</v>
      </c>
      <c r="K2611" s="217" t="s">
        <v>6798</v>
      </c>
      <c r="L2611" s="217" t="s">
        <v>92</v>
      </c>
      <c r="M2611" s="217"/>
      <c r="N2611" s="218">
        <v>234000</v>
      </c>
      <c r="O2611" s="169">
        <f t="shared" si="103"/>
        <v>0</v>
      </c>
      <c r="P2611" s="169"/>
      <c r="Q2611" s="166"/>
      <c r="R2611" s="207"/>
      <c r="S2611" s="207"/>
      <c r="T2611" s="207"/>
      <c r="U2611" s="207"/>
      <c r="V2611" s="166">
        <f t="shared" si="104"/>
        <v>0</v>
      </c>
      <c r="W2611" s="205"/>
      <c r="X2611" s="167"/>
    </row>
    <row r="2612" spans="8:24" s="221" customFormat="1" ht="12" hidden="1" customHeight="1">
      <c r="H2612" s="217" t="s">
        <v>6799</v>
      </c>
      <c r="I2612" s="217" t="s">
        <v>6724</v>
      </c>
      <c r="J2612" s="217" t="s">
        <v>6800</v>
      </c>
      <c r="K2612" s="217" t="s">
        <v>6801</v>
      </c>
      <c r="L2612" s="217" t="s">
        <v>5</v>
      </c>
      <c r="M2612" s="217"/>
      <c r="N2612" s="218">
        <v>250000</v>
      </c>
      <c r="O2612" s="169">
        <f t="shared" si="103"/>
        <v>0</v>
      </c>
      <c r="P2612" s="169"/>
      <c r="Q2612" s="166"/>
      <c r="R2612" s="207"/>
      <c r="S2612" s="207"/>
      <c r="T2612" s="207"/>
      <c r="U2612" s="207"/>
      <c r="V2612" s="166">
        <f t="shared" si="104"/>
        <v>0</v>
      </c>
      <c r="W2612" s="205"/>
      <c r="X2612" s="167"/>
    </row>
    <row r="2613" spans="8:24" s="221" customFormat="1" ht="12" hidden="1" customHeight="1">
      <c r="H2613" s="217" t="s">
        <v>6802</v>
      </c>
      <c r="I2613" s="217" t="s">
        <v>6706</v>
      </c>
      <c r="J2613" s="217" t="s">
        <v>6797</v>
      </c>
      <c r="K2613" s="217" t="s">
        <v>6803</v>
      </c>
      <c r="L2613" s="217" t="s">
        <v>92</v>
      </c>
      <c r="M2613" s="217"/>
      <c r="N2613" s="218">
        <v>255000</v>
      </c>
      <c r="O2613" s="169">
        <f t="shared" si="103"/>
        <v>0</v>
      </c>
      <c r="P2613" s="169"/>
      <c r="Q2613" s="166"/>
      <c r="R2613" s="207"/>
      <c r="S2613" s="207"/>
      <c r="T2613" s="207"/>
      <c r="U2613" s="207"/>
      <c r="V2613" s="166">
        <f t="shared" si="104"/>
        <v>0</v>
      </c>
      <c r="W2613" s="205"/>
      <c r="X2613" s="167"/>
    </row>
    <row r="2614" spans="8:24" s="221" customFormat="1" ht="12" hidden="1" customHeight="1">
      <c r="H2614" s="217" t="s">
        <v>6804</v>
      </c>
      <c r="I2614" s="217" t="s">
        <v>6706</v>
      </c>
      <c r="J2614" s="217" t="s">
        <v>6806</v>
      </c>
      <c r="K2614" s="217" t="s">
        <v>6807</v>
      </c>
      <c r="L2614" s="217" t="s">
        <v>5</v>
      </c>
      <c r="M2614" s="217"/>
      <c r="N2614" s="218">
        <v>276000</v>
      </c>
      <c r="O2614" s="169">
        <f t="shared" si="103"/>
        <v>0</v>
      </c>
      <c r="P2614" s="169"/>
      <c r="Q2614" s="166"/>
      <c r="R2614" s="207"/>
      <c r="S2614" s="207"/>
      <c r="T2614" s="207"/>
      <c r="U2614" s="207"/>
      <c r="V2614" s="166">
        <f t="shared" si="104"/>
        <v>0</v>
      </c>
      <c r="W2614" s="205"/>
      <c r="X2614" s="167"/>
    </row>
    <row r="2615" spans="8:24" s="221" customFormat="1" ht="12" hidden="1" customHeight="1">
      <c r="H2615" s="217" t="s">
        <v>6805</v>
      </c>
      <c r="I2615" s="217" t="s">
        <v>6760</v>
      </c>
      <c r="J2615" s="217" t="s">
        <v>6808</v>
      </c>
      <c r="K2615" s="217" t="s">
        <v>6809</v>
      </c>
      <c r="L2615" s="217" t="s">
        <v>92</v>
      </c>
      <c r="M2615" s="217"/>
      <c r="N2615" s="218">
        <v>276000</v>
      </c>
      <c r="O2615" s="169">
        <f t="shared" si="103"/>
        <v>0</v>
      </c>
      <c r="P2615" s="169"/>
      <c r="Q2615" s="166"/>
      <c r="R2615" s="207"/>
      <c r="S2615" s="207"/>
      <c r="T2615" s="207"/>
      <c r="U2615" s="207"/>
      <c r="V2615" s="166">
        <f t="shared" si="104"/>
        <v>0</v>
      </c>
      <c r="W2615" s="205"/>
      <c r="X2615" s="167"/>
    </row>
    <row r="2616" spans="8:24" s="221" customFormat="1" ht="12" hidden="1" customHeight="1">
      <c r="H2616" s="217" t="s">
        <v>6810</v>
      </c>
      <c r="I2616" s="217" t="s">
        <v>6706</v>
      </c>
      <c r="J2616" s="217" t="s">
        <v>6812</v>
      </c>
      <c r="K2616" s="217" t="s">
        <v>6813</v>
      </c>
      <c r="L2616" s="217" t="s">
        <v>5</v>
      </c>
      <c r="M2616" s="217"/>
      <c r="N2616" s="218">
        <v>287000</v>
      </c>
      <c r="O2616" s="169">
        <f t="shared" si="103"/>
        <v>0</v>
      </c>
      <c r="P2616" s="169"/>
      <c r="Q2616" s="166"/>
      <c r="R2616" s="207"/>
      <c r="S2616" s="207"/>
      <c r="T2616" s="207"/>
      <c r="U2616" s="207"/>
      <c r="V2616" s="166">
        <f t="shared" si="104"/>
        <v>0</v>
      </c>
      <c r="W2616" s="205"/>
      <c r="X2616" s="167"/>
    </row>
    <row r="2617" spans="8:24" s="221" customFormat="1" ht="12" hidden="1" customHeight="1">
      <c r="H2617" s="217" t="s">
        <v>6811</v>
      </c>
      <c r="I2617" s="217" t="s">
        <v>6706</v>
      </c>
      <c r="J2617" s="217" t="s">
        <v>6814</v>
      </c>
      <c r="K2617" s="217" t="s">
        <v>6815</v>
      </c>
      <c r="L2617" s="217" t="s">
        <v>5</v>
      </c>
      <c r="M2617" s="217"/>
      <c r="N2617" s="218">
        <v>287000</v>
      </c>
      <c r="O2617" s="169">
        <f t="shared" si="103"/>
        <v>0</v>
      </c>
      <c r="P2617" s="169"/>
      <c r="Q2617" s="166"/>
      <c r="R2617" s="207"/>
      <c r="S2617" s="207"/>
      <c r="T2617" s="207"/>
      <c r="U2617" s="207"/>
      <c r="V2617" s="166">
        <f t="shared" si="104"/>
        <v>0</v>
      </c>
      <c r="W2617" s="205"/>
      <c r="X2617" s="167"/>
    </row>
    <row r="2618" spans="8:24" s="221" customFormat="1" ht="12" hidden="1" customHeight="1">
      <c r="H2618" s="217" t="s">
        <v>6816</v>
      </c>
      <c r="I2618" s="217" t="s">
        <v>6706</v>
      </c>
      <c r="J2618" s="217" t="s">
        <v>6817</v>
      </c>
      <c r="K2618" s="217" t="s">
        <v>6818</v>
      </c>
      <c r="L2618" s="217" t="s">
        <v>5</v>
      </c>
      <c r="M2618" s="217"/>
      <c r="N2618" s="218">
        <v>308000</v>
      </c>
      <c r="O2618" s="169">
        <f t="shared" si="103"/>
        <v>0</v>
      </c>
      <c r="P2618" s="169"/>
      <c r="Q2618" s="166"/>
      <c r="R2618" s="207"/>
      <c r="S2618" s="207"/>
      <c r="T2618" s="207"/>
      <c r="U2618" s="207"/>
      <c r="V2618" s="166">
        <f t="shared" si="104"/>
        <v>0</v>
      </c>
      <c r="W2618" s="205"/>
      <c r="X2618" s="167"/>
    </row>
    <row r="2619" spans="8:24" s="221" customFormat="1" ht="12" hidden="1" customHeight="1">
      <c r="H2619" s="217" t="s">
        <v>6819</v>
      </c>
      <c r="I2619" s="217" t="s">
        <v>6706</v>
      </c>
      <c r="J2619" s="217" t="s">
        <v>6820</v>
      </c>
      <c r="K2619" s="217" t="s">
        <v>6821</v>
      </c>
      <c r="L2619" s="217" t="s">
        <v>92</v>
      </c>
      <c r="M2619" s="217"/>
      <c r="N2619" s="218">
        <v>313000</v>
      </c>
      <c r="O2619" s="169">
        <f t="shared" si="103"/>
        <v>0</v>
      </c>
      <c r="P2619" s="169"/>
      <c r="Q2619" s="166"/>
      <c r="R2619" s="207"/>
      <c r="S2619" s="207"/>
      <c r="T2619" s="207"/>
      <c r="U2619" s="207"/>
      <c r="V2619" s="166">
        <f t="shared" si="104"/>
        <v>0</v>
      </c>
      <c r="W2619" s="205"/>
      <c r="X2619" s="167"/>
    </row>
    <row r="2620" spans="8:24" s="221" customFormat="1" ht="12" hidden="1" customHeight="1">
      <c r="H2620" s="217" t="s">
        <v>6822</v>
      </c>
      <c r="I2620" s="217" t="s">
        <v>6706</v>
      </c>
      <c r="J2620" s="217" t="s">
        <v>6823</v>
      </c>
      <c r="K2620" s="217" t="s">
        <v>6824</v>
      </c>
      <c r="L2620" s="217" t="s">
        <v>5</v>
      </c>
      <c r="M2620" s="217"/>
      <c r="N2620" s="218">
        <v>329000</v>
      </c>
      <c r="O2620" s="169">
        <f t="shared" ref="O2620:O2683" si="105">M2620*N2620*$O$3</f>
        <v>0</v>
      </c>
      <c r="P2620" s="169"/>
      <c r="Q2620" s="166"/>
      <c r="R2620" s="207"/>
      <c r="S2620" s="207"/>
      <c r="T2620" s="207"/>
      <c r="U2620" s="207"/>
      <c r="V2620" s="166">
        <f t="shared" si="104"/>
        <v>0</v>
      </c>
      <c r="W2620" s="205"/>
      <c r="X2620" s="167"/>
    </row>
    <row r="2621" spans="8:24" s="221" customFormat="1" ht="12" hidden="1" customHeight="1">
      <c r="H2621" s="217" t="s">
        <v>6825</v>
      </c>
      <c r="I2621" s="217" t="s">
        <v>6706</v>
      </c>
      <c r="J2621" s="217" t="s">
        <v>6797</v>
      </c>
      <c r="K2621" s="217" t="s">
        <v>6826</v>
      </c>
      <c r="L2621" s="217" t="s">
        <v>92</v>
      </c>
      <c r="M2621" s="217"/>
      <c r="N2621" s="218">
        <v>350000</v>
      </c>
      <c r="O2621" s="169">
        <f t="shared" si="105"/>
        <v>0</v>
      </c>
      <c r="P2621" s="169"/>
      <c r="Q2621" s="166"/>
      <c r="R2621" s="207"/>
      <c r="S2621" s="207"/>
      <c r="T2621" s="207"/>
      <c r="U2621" s="207"/>
      <c r="V2621" s="166">
        <f t="shared" si="104"/>
        <v>0</v>
      </c>
      <c r="W2621" s="205"/>
      <c r="X2621" s="167"/>
    </row>
    <row r="2622" spans="8:24" s="221" customFormat="1" ht="12" hidden="1" customHeight="1">
      <c r="H2622" s="217" t="s">
        <v>6827</v>
      </c>
      <c r="I2622" s="217" t="s">
        <v>6706</v>
      </c>
      <c r="J2622" s="217" t="s">
        <v>6828</v>
      </c>
      <c r="K2622" s="217" t="s">
        <v>6829</v>
      </c>
      <c r="L2622" s="217" t="s">
        <v>92</v>
      </c>
      <c r="M2622" s="217"/>
      <c r="N2622" s="218">
        <v>372000</v>
      </c>
      <c r="O2622" s="169">
        <f t="shared" si="105"/>
        <v>0</v>
      </c>
      <c r="P2622" s="169"/>
      <c r="Q2622" s="166"/>
      <c r="R2622" s="207"/>
      <c r="S2622" s="207"/>
      <c r="T2622" s="207"/>
      <c r="U2622" s="207"/>
      <c r="V2622" s="166">
        <f t="shared" si="104"/>
        <v>0</v>
      </c>
      <c r="W2622" s="205"/>
      <c r="X2622" s="167"/>
    </row>
    <row r="2623" spans="8:24" s="221" customFormat="1" ht="12" hidden="1" customHeight="1">
      <c r="H2623" s="217" t="s">
        <v>6830</v>
      </c>
      <c r="I2623" s="217" t="s">
        <v>6760</v>
      </c>
      <c r="J2623" s="217" t="s">
        <v>6808</v>
      </c>
      <c r="K2623" s="217" t="s">
        <v>6831</v>
      </c>
      <c r="L2623" s="217" t="s">
        <v>92</v>
      </c>
      <c r="M2623" s="217"/>
      <c r="N2623" s="218">
        <v>414000</v>
      </c>
      <c r="O2623" s="169">
        <f t="shared" si="105"/>
        <v>0</v>
      </c>
      <c r="P2623" s="169"/>
      <c r="Q2623" s="166"/>
      <c r="R2623" s="207"/>
      <c r="S2623" s="207"/>
      <c r="T2623" s="207"/>
      <c r="U2623" s="207"/>
      <c r="V2623" s="166">
        <f t="shared" ref="V2623:V2686" si="106">SUM(O2623+Q2623)+S2623+U2623</f>
        <v>0</v>
      </c>
      <c r="W2623" s="205"/>
      <c r="X2623" s="167"/>
    </row>
    <row r="2624" spans="8:24" s="221" customFormat="1" ht="12" hidden="1" customHeight="1">
      <c r="H2624" s="217" t="s">
        <v>6832</v>
      </c>
      <c r="I2624" s="217" t="s">
        <v>6706</v>
      </c>
      <c r="J2624" s="217" t="s">
        <v>6833</v>
      </c>
      <c r="K2624" s="217" t="s">
        <v>6834</v>
      </c>
      <c r="L2624" s="217" t="s">
        <v>92</v>
      </c>
      <c r="M2624" s="217"/>
      <c r="N2624" s="218">
        <v>446000</v>
      </c>
      <c r="O2624" s="169">
        <f t="shared" si="105"/>
        <v>0</v>
      </c>
      <c r="P2624" s="169"/>
      <c r="Q2624" s="166"/>
      <c r="R2624" s="207"/>
      <c r="S2624" s="207"/>
      <c r="T2624" s="207"/>
      <c r="U2624" s="207"/>
      <c r="V2624" s="166">
        <f t="shared" si="106"/>
        <v>0</v>
      </c>
      <c r="W2624" s="205"/>
      <c r="X2624" s="167"/>
    </row>
    <row r="2625" spans="8:24" s="221" customFormat="1" ht="12" hidden="1" customHeight="1">
      <c r="H2625" s="217" t="s">
        <v>6835</v>
      </c>
      <c r="I2625" s="217" t="s">
        <v>6706</v>
      </c>
      <c r="J2625" s="217" t="s">
        <v>6836</v>
      </c>
      <c r="K2625" s="217" t="s">
        <v>6837</v>
      </c>
      <c r="L2625" s="217" t="s">
        <v>92</v>
      </c>
      <c r="M2625" s="217"/>
      <c r="N2625" s="218">
        <v>457000</v>
      </c>
      <c r="O2625" s="169">
        <f t="shared" si="105"/>
        <v>0</v>
      </c>
      <c r="P2625" s="169"/>
      <c r="Q2625" s="166"/>
      <c r="R2625" s="207"/>
      <c r="S2625" s="207"/>
      <c r="T2625" s="207"/>
      <c r="U2625" s="207"/>
      <c r="V2625" s="166">
        <f t="shared" si="106"/>
        <v>0</v>
      </c>
      <c r="W2625" s="205"/>
      <c r="X2625" s="167"/>
    </row>
    <row r="2626" spans="8:24" s="221" customFormat="1" ht="12" hidden="1" customHeight="1">
      <c r="H2626" s="217" t="s">
        <v>6838</v>
      </c>
      <c r="I2626" s="217" t="s">
        <v>6706</v>
      </c>
      <c r="J2626" s="217" t="s">
        <v>6820</v>
      </c>
      <c r="K2626" s="217" t="s">
        <v>6839</v>
      </c>
      <c r="L2626" s="217" t="s">
        <v>92</v>
      </c>
      <c r="M2626" s="217"/>
      <c r="N2626" s="218">
        <v>478000</v>
      </c>
      <c r="O2626" s="169">
        <f t="shared" si="105"/>
        <v>0</v>
      </c>
      <c r="P2626" s="169"/>
      <c r="Q2626" s="166"/>
      <c r="R2626" s="207"/>
      <c r="S2626" s="207"/>
      <c r="T2626" s="207"/>
      <c r="U2626" s="207"/>
      <c r="V2626" s="166">
        <f t="shared" si="106"/>
        <v>0</v>
      </c>
      <c r="W2626" s="205"/>
      <c r="X2626" s="167"/>
    </row>
    <row r="2627" spans="8:24" s="221" customFormat="1" ht="12" hidden="1" customHeight="1">
      <c r="H2627" s="217" t="s">
        <v>6840</v>
      </c>
      <c r="I2627" s="217" t="s">
        <v>6706</v>
      </c>
      <c r="J2627" s="217" t="s">
        <v>6820</v>
      </c>
      <c r="K2627" s="217" t="s">
        <v>6841</v>
      </c>
      <c r="L2627" s="217" t="s">
        <v>92</v>
      </c>
      <c r="M2627" s="217"/>
      <c r="N2627" s="218">
        <v>489000</v>
      </c>
      <c r="O2627" s="169">
        <f t="shared" si="105"/>
        <v>0</v>
      </c>
      <c r="P2627" s="169"/>
      <c r="Q2627" s="166"/>
      <c r="R2627" s="207"/>
      <c r="S2627" s="207"/>
      <c r="T2627" s="207"/>
      <c r="U2627" s="207"/>
      <c r="V2627" s="166">
        <f t="shared" si="106"/>
        <v>0</v>
      </c>
      <c r="W2627" s="205"/>
      <c r="X2627" s="167"/>
    </row>
    <row r="2628" spans="8:24" s="221" customFormat="1" ht="12" hidden="1" customHeight="1">
      <c r="H2628" s="217" t="s">
        <v>6842</v>
      </c>
      <c r="I2628" s="217" t="s">
        <v>6760</v>
      </c>
      <c r="J2628" s="217" t="s">
        <v>6843</v>
      </c>
      <c r="K2628" s="217" t="s">
        <v>6844</v>
      </c>
      <c r="L2628" s="217" t="s">
        <v>6727</v>
      </c>
      <c r="M2628" s="217"/>
      <c r="N2628" s="218">
        <v>494000</v>
      </c>
      <c r="O2628" s="169">
        <f t="shared" si="105"/>
        <v>0</v>
      </c>
      <c r="P2628" s="169"/>
      <c r="Q2628" s="166"/>
      <c r="R2628" s="207"/>
      <c r="S2628" s="207"/>
      <c r="T2628" s="207"/>
      <c r="U2628" s="207"/>
      <c r="V2628" s="166">
        <f t="shared" si="106"/>
        <v>0</v>
      </c>
      <c r="W2628" s="205"/>
      <c r="X2628" s="167"/>
    </row>
    <row r="2629" spans="8:24" s="221" customFormat="1" ht="12" hidden="1" customHeight="1">
      <c r="H2629" s="217" t="s">
        <v>6845</v>
      </c>
      <c r="I2629" s="217" t="s">
        <v>6760</v>
      </c>
      <c r="J2629" s="217" t="s">
        <v>6843</v>
      </c>
      <c r="K2629" s="217" t="s">
        <v>6846</v>
      </c>
      <c r="L2629" s="217" t="s">
        <v>6727</v>
      </c>
      <c r="M2629" s="217"/>
      <c r="N2629" s="218">
        <v>531000</v>
      </c>
      <c r="O2629" s="169">
        <f t="shared" si="105"/>
        <v>0</v>
      </c>
      <c r="P2629" s="169"/>
      <c r="Q2629" s="166"/>
      <c r="R2629" s="207"/>
      <c r="S2629" s="207"/>
      <c r="T2629" s="207"/>
      <c r="U2629" s="207"/>
      <c r="V2629" s="166">
        <f t="shared" si="106"/>
        <v>0</v>
      </c>
      <c r="W2629" s="205"/>
      <c r="X2629" s="167"/>
    </row>
    <row r="2630" spans="8:24" s="221" customFormat="1" ht="12" hidden="1" customHeight="1">
      <c r="H2630" s="217" t="s">
        <v>6847</v>
      </c>
      <c r="I2630" s="217" t="s">
        <v>6706</v>
      </c>
      <c r="J2630" s="217" t="s">
        <v>6833</v>
      </c>
      <c r="K2630" s="217" t="s">
        <v>6848</v>
      </c>
      <c r="L2630" s="217" t="s">
        <v>92</v>
      </c>
      <c r="M2630" s="217"/>
      <c r="N2630" s="218">
        <v>531000</v>
      </c>
      <c r="O2630" s="169">
        <f t="shared" si="105"/>
        <v>0</v>
      </c>
      <c r="P2630" s="169"/>
      <c r="Q2630" s="166"/>
      <c r="R2630" s="207"/>
      <c r="S2630" s="207"/>
      <c r="T2630" s="207"/>
      <c r="U2630" s="207"/>
      <c r="V2630" s="166">
        <f t="shared" si="106"/>
        <v>0</v>
      </c>
      <c r="W2630" s="205"/>
      <c r="X2630" s="167"/>
    </row>
    <row r="2631" spans="8:24" s="221" customFormat="1" ht="12" hidden="1" customHeight="1">
      <c r="H2631" s="217" t="s">
        <v>6849</v>
      </c>
      <c r="I2631" s="217" t="s">
        <v>6760</v>
      </c>
      <c r="J2631" s="217" t="s">
        <v>6850</v>
      </c>
      <c r="K2631" s="217" t="s">
        <v>6851</v>
      </c>
      <c r="L2631" s="217" t="s">
        <v>6727</v>
      </c>
      <c r="M2631" s="217"/>
      <c r="N2631" s="218">
        <v>584000</v>
      </c>
      <c r="O2631" s="169">
        <f t="shared" si="105"/>
        <v>0</v>
      </c>
      <c r="P2631" s="169"/>
      <c r="Q2631" s="166"/>
      <c r="R2631" s="207"/>
      <c r="S2631" s="207"/>
      <c r="T2631" s="207"/>
      <c r="U2631" s="207"/>
      <c r="V2631" s="166">
        <f t="shared" si="106"/>
        <v>0</v>
      </c>
      <c r="W2631" s="205"/>
      <c r="X2631" s="167"/>
    </row>
    <row r="2632" spans="8:24" s="221" customFormat="1" ht="12" hidden="1" customHeight="1">
      <c r="H2632" s="217" t="s">
        <v>6852</v>
      </c>
      <c r="I2632" s="217" t="s">
        <v>6706</v>
      </c>
      <c r="J2632" s="217" t="s">
        <v>6853</v>
      </c>
      <c r="K2632" s="217" t="s">
        <v>6854</v>
      </c>
      <c r="L2632" s="217" t="s">
        <v>92</v>
      </c>
      <c r="M2632" s="217"/>
      <c r="N2632" s="218">
        <v>616000</v>
      </c>
      <c r="O2632" s="169">
        <f t="shared" si="105"/>
        <v>0</v>
      </c>
      <c r="P2632" s="169"/>
      <c r="Q2632" s="166"/>
      <c r="R2632" s="207"/>
      <c r="S2632" s="207"/>
      <c r="T2632" s="207"/>
      <c r="U2632" s="207"/>
      <c r="V2632" s="166">
        <f t="shared" si="106"/>
        <v>0</v>
      </c>
      <c r="W2632" s="205"/>
      <c r="X2632" s="167"/>
    </row>
    <row r="2633" spans="8:24" s="221" customFormat="1" ht="12" hidden="1" customHeight="1">
      <c r="H2633" s="217" t="s">
        <v>6855</v>
      </c>
      <c r="I2633" s="217" t="s">
        <v>6706</v>
      </c>
      <c r="J2633" s="217" t="s">
        <v>6853</v>
      </c>
      <c r="K2633" s="217" t="s">
        <v>6856</v>
      </c>
      <c r="L2633" s="217" t="s">
        <v>92</v>
      </c>
      <c r="M2633" s="217"/>
      <c r="N2633" s="218">
        <v>626000</v>
      </c>
      <c r="O2633" s="169">
        <f t="shared" si="105"/>
        <v>0</v>
      </c>
      <c r="P2633" s="169"/>
      <c r="Q2633" s="166"/>
      <c r="R2633" s="207"/>
      <c r="S2633" s="207"/>
      <c r="T2633" s="207"/>
      <c r="U2633" s="207"/>
      <c r="V2633" s="166">
        <f t="shared" si="106"/>
        <v>0</v>
      </c>
      <c r="W2633" s="205"/>
      <c r="X2633" s="167"/>
    </row>
    <row r="2634" spans="8:24" s="221" customFormat="1" ht="12" hidden="1" customHeight="1">
      <c r="H2634" s="217" t="s">
        <v>6857</v>
      </c>
      <c r="I2634" s="217" t="s">
        <v>6706</v>
      </c>
      <c r="J2634" s="217" t="s">
        <v>6858</v>
      </c>
      <c r="K2634" s="217" t="s">
        <v>6859</v>
      </c>
      <c r="L2634" s="217" t="s">
        <v>92</v>
      </c>
      <c r="M2634" s="217"/>
      <c r="N2634" s="218">
        <v>637000</v>
      </c>
      <c r="O2634" s="169">
        <f t="shared" si="105"/>
        <v>0</v>
      </c>
      <c r="P2634" s="169"/>
      <c r="Q2634" s="166"/>
      <c r="R2634" s="207"/>
      <c r="S2634" s="207"/>
      <c r="T2634" s="207"/>
      <c r="U2634" s="207"/>
      <c r="V2634" s="166">
        <f t="shared" si="106"/>
        <v>0</v>
      </c>
      <c r="W2634" s="205"/>
      <c r="X2634" s="167"/>
    </row>
    <row r="2635" spans="8:24" s="221" customFormat="1" ht="12" hidden="1" customHeight="1">
      <c r="H2635" s="217" t="s">
        <v>6860</v>
      </c>
      <c r="I2635" s="217" t="s">
        <v>6706</v>
      </c>
      <c r="J2635" s="217" t="s">
        <v>6861</v>
      </c>
      <c r="K2635" s="217" t="s">
        <v>6862</v>
      </c>
      <c r="L2635" s="217" t="s">
        <v>92</v>
      </c>
      <c r="M2635" s="217"/>
      <c r="N2635" s="218">
        <v>637000</v>
      </c>
      <c r="O2635" s="169">
        <f t="shared" si="105"/>
        <v>0</v>
      </c>
      <c r="P2635" s="169"/>
      <c r="Q2635" s="166"/>
      <c r="R2635" s="207"/>
      <c r="S2635" s="207"/>
      <c r="T2635" s="207"/>
      <c r="U2635" s="207"/>
      <c r="V2635" s="166">
        <f t="shared" si="106"/>
        <v>0</v>
      </c>
      <c r="W2635" s="205"/>
      <c r="X2635" s="167"/>
    </row>
    <row r="2636" spans="8:24" s="221" customFormat="1" ht="12" hidden="1" customHeight="1">
      <c r="H2636" s="217" t="s">
        <v>6863</v>
      </c>
      <c r="I2636" s="217" t="s">
        <v>6760</v>
      </c>
      <c r="J2636" s="217" t="s">
        <v>6850</v>
      </c>
      <c r="K2636" s="217" t="s">
        <v>6864</v>
      </c>
      <c r="L2636" s="217" t="s">
        <v>6727</v>
      </c>
      <c r="M2636" s="217"/>
      <c r="N2636" s="218">
        <v>650000</v>
      </c>
      <c r="O2636" s="169">
        <f t="shared" si="105"/>
        <v>0</v>
      </c>
      <c r="P2636" s="169"/>
      <c r="Q2636" s="166"/>
      <c r="R2636" s="207"/>
      <c r="S2636" s="207"/>
      <c r="T2636" s="207"/>
      <c r="U2636" s="207"/>
      <c r="V2636" s="166">
        <f t="shared" si="106"/>
        <v>0</v>
      </c>
      <c r="W2636" s="205"/>
      <c r="X2636" s="167"/>
    </row>
    <row r="2637" spans="8:24" s="221" customFormat="1" ht="12" hidden="1" customHeight="1">
      <c r="H2637" s="217" t="s">
        <v>6865</v>
      </c>
      <c r="I2637" s="217" t="s">
        <v>6706</v>
      </c>
      <c r="J2637" s="217" t="s">
        <v>6833</v>
      </c>
      <c r="K2637" s="217" t="s">
        <v>6866</v>
      </c>
      <c r="L2637" s="217" t="s">
        <v>92</v>
      </c>
      <c r="M2637" s="217"/>
      <c r="N2637" s="218">
        <v>658000</v>
      </c>
      <c r="O2637" s="169">
        <f t="shared" si="105"/>
        <v>0</v>
      </c>
      <c r="P2637" s="169"/>
      <c r="Q2637" s="166"/>
      <c r="R2637" s="207"/>
      <c r="S2637" s="207"/>
      <c r="T2637" s="207"/>
      <c r="U2637" s="207"/>
      <c r="V2637" s="166">
        <f t="shared" si="106"/>
        <v>0</v>
      </c>
      <c r="W2637" s="205"/>
      <c r="X2637" s="167"/>
    </row>
    <row r="2638" spans="8:24" s="221" customFormat="1" ht="12" hidden="1" customHeight="1">
      <c r="H2638" s="217" t="s">
        <v>6867</v>
      </c>
      <c r="I2638" s="217" t="s">
        <v>6760</v>
      </c>
      <c r="J2638" s="217" t="s">
        <v>6808</v>
      </c>
      <c r="K2638" s="217" t="s">
        <v>6868</v>
      </c>
      <c r="L2638" s="217" t="s">
        <v>92</v>
      </c>
      <c r="M2638" s="217"/>
      <c r="N2638" s="218">
        <v>690000</v>
      </c>
      <c r="O2638" s="169">
        <f t="shared" si="105"/>
        <v>0</v>
      </c>
      <c r="P2638" s="169"/>
      <c r="Q2638" s="166"/>
      <c r="R2638" s="207"/>
      <c r="S2638" s="207"/>
      <c r="T2638" s="207"/>
      <c r="U2638" s="207"/>
      <c r="V2638" s="166">
        <f t="shared" si="106"/>
        <v>0</v>
      </c>
      <c r="W2638" s="205"/>
      <c r="X2638" s="167"/>
    </row>
    <row r="2639" spans="8:24" s="221" customFormat="1" ht="12" hidden="1" customHeight="1">
      <c r="H2639" s="217" t="s">
        <v>6869</v>
      </c>
      <c r="I2639" s="217" t="s">
        <v>6724</v>
      </c>
      <c r="J2639" s="217" t="s">
        <v>6870</v>
      </c>
      <c r="K2639" s="217" t="s">
        <v>6871</v>
      </c>
      <c r="L2639" s="217" t="s">
        <v>6727</v>
      </c>
      <c r="M2639" s="217"/>
      <c r="N2639" s="218">
        <v>750000</v>
      </c>
      <c r="O2639" s="169">
        <f t="shared" si="105"/>
        <v>0</v>
      </c>
      <c r="P2639" s="169"/>
      <c r="Q2639" s="166"/>
      <c r="R2639" s="207"/>
      <c r="S2639" s="207"/>
      <c r="T2639" s="207"/>
      <c r="U2639" s="207"/>
      <c r="V2639" s="166">
        <f t="shared" si="106"/>
        <v>0</v>
      </c>
      <c r="W2639" s="205"/>
      <c r="X2639" s="167"/>
    </row>
    <row r="2640" spans="8:24" s="221" customFormat="1" ht="12" hidden="1" customHeight="1">
      <c r="H2640" s="217" t="s">
        <v>6872</v>
      </c>
      <c r="I2640" s="217" t="s">
        <v>6724</v>
      </c>
      <c r="J2640" s="217" t="s">
        <v>6873</v>
      </c>
      <c r="K2640" s="217" t="s">
        <v>6874</v>
      </c>
      <c r="L2640" s="217" t="s">
        <v>6727</v>
      </c>
      <c r="M2640" s="217"/>
      <c r="N2640" s="218">
        <v>800000</v>
      </c>
      <c r="O2640" s="169">
        <f t="shared" si="105"/>
        <v>0</v>
      </c>
      <c r="P2640" s="169"/>
      <c r="Q2640" s="166"/>
      <c r="R2640" s="207"/>
      <c r="S2640" s="207"/>
      <c r="T2640" s="207"/>
      <c r="U2640" s="207"/>
      <c r="V2640" s="166">
        <f t="shared" si="106"/>
        <v>0</v>
      </c>
      <c r="W2640" s="205"/>
      <c r="X2640" s="167"/>
    </row>
    <row r="2641" spans="8:24" s="221" customFormat="1" ht="12" hidden="1" customHeight="1">
      <c r="H2641" s="217" t="s">
        <v>6875</v>
      </c>
      <c r="I2641" s="217" t="s">
        <v>6706</v>
      </c>
      <c r="J2641" s="217" t="s">
        <v>6861</v>
      </c>
      <c r="K2641" s="217" t="s">
        <v>6876</v>
      </c>
      <c r="L2641" s="217" t="s">
        <v>92</v>
      </c>
      <c r="M2641" s="217"/>
      <c r="N2641" s="218">
        <v>850000</v>
      </c>
      <c r="O2641" s="169">
        <f t="shared" si="105"/>
        <v>0</v>
      </c>
      <c r="P2641" s="169"/>
      <c r="Q2641" s="166"/>
      <c r="R2641" s="207"/>
      <c r="S2641" s="207"/>
      <c r="T2641" s="207"/>
      <c r="U2641" s="207"/>
      <c r="V2641" s="166">
        <f t="shared" si="106"/>
        <v>0</v>
      </c>
      <c r="W2641" s="205"/>
      <c r="X2641" s="167"/>
    </row>
    <row r="2642" spans="8:24" s="221" customFormat="1" ht="12" hidden="1" customHeight="1">
      <c r="H2642" s="217" t="s">
        <v>6877</v>
      </c>
      <c r="I2642" s="217" t="s">
        <v>6706</v>
      </c>
      <c r="J2642" s="217" t="s">
        <v>6853</v>
      </c>
      <c r="K2642" s="217" t="s">
        <v>6878</v>
      </c>
      <c r="L2642" s="217" t="s">
        <v>92</v>
      </c>
      <c r="M2642" s="217"/>
      <c r="N2642" s="218">
        <v>913000</v>
      </c>
      <c r="O2642" s="169">
        <f t="shared" si="105"/>
        <v>0</v>
      </c>
      <c r="P2642" s="169"/>
      <c r="Q2642" s="166"/>
      <c r="R2642" s="207"/>
      <c r="S2642" s="207"/>
      <c r="T2642" s="207"/>
      <c r="U2642" s="207"/>
      <c r="V2642" s="166">
        <f t="shared" si="106"/>
        <v>0</v>
      </c>
      <c r="W2642" s="205"/>
      <c r="X2642" s="167"/>
    </row>
    <row r="2643" spans="8:24" s="221" customFormat="1" ht="12" hidden="1" customHeight="1">
      <c r="H2643" s="217" t="s">
        <v>6879</v>
      </c>
      <c r="I2643" s="217" t="s">
        <v>6760</v>
      </c>
      <c r="J2643" s="217" t="s">
        <v>6880</v>
      </c>
      <c r="K2643" s="217" t="s">
        <v>6881</v>
      </c>
      <c r="L2643" s="217" t="s">
        <v>92</v>
      </c>
      <c r="M2643" s="217"/>
      <c r="N2643" s="218">
        <v>956000</v>
      </c>
      <c r="O2643" s="169">
        <f t="shared" si="105"/>
        <v>0</v>
      </c>
      <c r="P2643" s="169"/>
      <c r="Q2643" s="166"/>
      <c r="R2643" s="207"/>
      <c r="S2643" s="207"/>
      <c r="T2643" s="207"/>
      <c r="U2643" s="207"/>
      <c r="V2643" s="166">
        <f t="shared" si="106"/>
        <v>0</v>
      </c>
      <c r="W2643" s="205"/>
      <c r="X2643" s="167"/>
    </row>
    <row r="2644" spans="8:24" s="221" customFormat="1" ht="12" hidden="1" customHeight="1">
      <c r="H2644" s="217" t="s">
        <v>6882</v>
      </c>
      <c r="I2644" s="217" t="s">
        <v>6706</v>
      </c>
      <c r="J2644" s="217" t="s">
        <v>6861</v>
      </c>
      <c r="K2644" s="217" t="s">
        <v>6884</v>
      </c>
      <c r="L2644" s="217" t="s">
        <v>92</v>
      </c>
      <c r="M2644" s="217"/>
      <c r="N2644" s="218">
        <v>956000</v>
      </c>
      <c r="O2644" s="169">
        <f t="shared" si="105"/>
        <v>0</v>
      </c>
      <c r="P2644" s="169"/>
      <c r="Q2644" s="166"/>
      <c r="R2644" s="207"/>
      <c r="S2644" s="207"/>
      <c r="T2644" s="207"/>
      <c r="U2644" s="207"/>
      <c r="V2644" s="166">
        <f t="shared" si="106"/>
        <v>0</v>
      </c>
      <c r="W2644" s="205"/>
      <c r="X2644" s="167"/>
    </row>
    <row r="2645" spans="8:24" s="221" customFormat="1" ht="12" hidden="1" customHeight="1">
      <c r="H2645" s="217" t="s">
        <v>6883</v>
      </c>
      <c r="I2645" s="217" t="s">
        <v>6706</v>
      </c>
      <c r="J2645" s="217" t="s">
        <v>6820</v>
      </c>
      <c r="K2645" s="217" t="s">
        <v>6885</v>
      </c>
      <c r="L2645" s="217" t="s">
        <v>92</v>
      </c>
      <c r="M2645" s="217"/>
      <c r="N2645" s="218">
        <v>956000</v>
      </c>
      <c r="O2645" s="169">
        <f t="shared" si="105"/>
        <v>0</v>
      </c>
      <c r="P2645" s="169"/>
      <c r="Q2645" s="166"/>
      <c r="R2645" s="207"/>
      <c r="S2645" s="207"/>
      <c r="T2645" s="207"/>
      <c r="U2645" s="207"/>
      <c r="V2645" s="166">
        <f t="shared" si="106"/>
        <v>0</v>
      </c>
      <c r="W2645" s="205"/>
      <c r="X2645" s="167"/>
    </row>
    <row r="2646" spans="8:24" s="221" customFormat="1" ht="12" hidden="1" customHeight="1">
      <c r="H2646" s="217" t="s">
        <v>6886</v>
      </c>
      <c r="I2646" s="217" t="s">
        <v>6760</v>
      </c>
      <c r="J2646" s="217" t="s">
        <v>6843</v>
      </c>
      <c r="K2646" s="217" t="s">
        <v>6887</v>
      </c>
      <c r="L2646" s="217" t="s">
        <v>6727</v>
      </c>
      <c r="M2646" s="217"/>
      <c r="N2646" s="218">
        <v>988000</v>
      </c>
      <c r="O2646" s="169">
        <f t="shared" si="105"/>
        <v>0</v>
      </c>
      <c r="P2646" s="169"/>
      <c r="Q2646" s="166"/>
      <c r="R2646" s="207"/>
      <c r="S2646" s="207"/>
      <c r="T2646" s="207"/>
      <c r="U2646" s="207"/>
      <c r="V2646" s="166">
        <f t="shared" si="106"/>
        <v>0</v>
      </c>
      <c r="W2646" s="205"/>
      <c r="X2646" s="167"/>
    </row>
    <row r="2647" spans="8:24" s="221" customFormat="1" ht="12" hidden="1" customHeight="1">
      <c r="H2647" s="217" t="s">
        <v>6888</v>
      </c>
      <c r="I2647" s="217" t="s">
        <v>6706</v>
      </c>
      <c r="J2647" s="217" t="s">
        <v>6833</v>
      </c>
      <c r="K2647" s="217" t="s">
        <v>6889</v>
      </c>
      <c r="L2647" s="217" t="s">
        <v>92</v>
      </c>
      <c r="M2647" s="217"/>
      <c r="N2647" s="218">
        <v>998000</v>
      </c>
      <c r="O2647" s="169">
        <f t="shared" si="105"/>
        <v>0</v>
      </c>
      <c r="P2647" s="169"/>
      <c r="Q2647" s="166"/>
      <c r="R2647" s="207"/>
      <c r="S2647" s="207"/>
      <c r="T2647" s="207"/>
      <c r="U2647" s="207"/>
      <c r="V2647" s="166">
        <f t="shared" si="106"/>
        <v>0</v>
      </c>
      <c r="W2647" s="205"/>
      <c r="X2647" s="167"/>
    </row>
    <row r="2648" spans="8:24" s="221" customFormat="1" ht="12" hidden="1" customHeight="1">
      <c r="H2648" s="217" t="s">
        <v>6890</v>
      </c>
      <c r="I2648" s="217" t="s">
        <v>6760</v>
      </c>
      <c r="J2648" s="217" t="s">
        <v>6850</v>
      </c>
      <c r="K2648" s="217" t="s">
        <v>6891</v>
      </c>
      <c r="L2648" s="217" t="s">
        <v>6727</v>
      </c>
      <c r="M2648" s="217"/>
      <c r="N2648" s="218">
        <v>1000000</v>
      </c>
      <c r="O2648" s="169">
        <f t="shared" si="105"/>
        <v>0</v>
      </c>
      <c r="P2648" s="169"/>
      <c r="Q2648" s="166"/>
      <c r="R2648" s="207"/>
      <c r="S2648" s="207"/>
      <c r="T2648" s="207"/>
      <c r="U2648" s="207"/>
      <c r="V2648" s="166">
        <f t="shared" si="106"/>
        <v>0</v>
      </c>
      <c r="W2648" s="205"/>
      <c r="X2648" s="167"/>
    </row>
    <row r="2649" spans="8:24" s="221" customFormat="1" ht="12" hidden="1" customHeight="1">
      <c r="H2649" s="217" t="s">
        <v>6892</v>
      </c>
      <c r="I2649" s="217" t="s">
        <v>6706</v>
      </c>
      <c r="J2649" s="217" t="s">
        <v>6853</v>
      </c>
      <c r="K2649" s="217" t="s">
        <v>6893</v>
      </c>
      <c r="L2649" s="217" t="s">
        <v>92</v>
      </c>
      <c r="M2649" s="217"/>
      <c r="N2649" s="218">
        <v>1529000</v>
      </c>
      <c r="O2649" s="169">
        <f t="shared" si="105"/>
        <v>0</v>
      </c>
      <c r="P2649" s="169"/>
      <c r="Q2649" s="166"/>
      <c r="R2649" s="207"/>
      <c r="S2649" s="207"/>
      <c r="T2649" s="207"/>
      <c r="U2649" s="207"/>
      <c r="V2649" s="166">
        <f t="shared" si="106"/>
        <v>0</v>
      </c>
      <c r="W2649" s="205"/>
      <c r="X2649" s="167"/>
    </row>
    <row r="2650" spans="8:24" s="221" customFormat="1" ht="12" hidden="1" customHeight="1">
      <c r="H2650" s="217" t="s">
        <v>6894</v>
      </c>
      <c r="I2650" s="217" t="s">
        <v>6706</v>
      </c>
      <c r="J2650" s="217" t="s">
        <v>6861</v>
      </c>
      <c r="K2650" s="217" t="s">
        <v>6895</v>
      </c>
      <c r="L2650" s="217" t="s">
        <v>92</v>
      </c>
      <c r="M2650" s="217"/>
      <c r="N2650" s="218">
        <v>1572000</v>
      </c>
      <c r="O2650" s="169">
        <f t="shared" si="105"/>
        <v>0</v>
      </c>
      <c r="P2650" s="169"/>
      <c r="Q2650" s="166"/>
      <c r="R2650" s="207"/>
      <c r="S2650" s="207"/>
      <c r="T2650" s="207"/>
      <c r="U2650" s="207"/>
      <c r="V2650" s="166">
        <f t="shared" si="106"/>
        <v>0</v>
      </c>
      <c r="W2650" s="205"/>
      <c r="X2650" s="167"/>
    </row>
    <row r="2651" spans="8:24" s="221" customFormat="1" ht="12" hidden="1" customHeight="1">
      <c r="H2651" s="217" t="s">
        <v>6896</v>
      </c>
      <c r="I2651" s="217" t="s">
        <v>6760</v>
      </c>
      <c r="J2651" s="217" t="s">
        <v>6880</v>
      </c>
      <c r="K2651" s="217" t="s">
        <v>6897</v>
      </c>
      <c r="L2651" s="217" t="s">
        <v>92</v>
      </c>
      <c r="M2651" s="217"/>
      <c r="N2651" s="218">
        <v>2018000</v>
      </c>
      <c r="O2651" s="169">
        <f t="shared" si="105"/>
        <v>0</v>
      </c>
      <c r="P2651" s="169"/>
      <c r="Q2651" s="166"/>
      <c r="R2651" s="207"/>
      <c r="S2651" s="207"/>
      <c r="T2651" s="207"/>
      <c r="U2651" s="207"/>
      <c r="V2651" s="166">
        <f t="shared" si="106"/>
        <v>0</v>
      </c>
      <c r="W2651" s="205"/>
      <c r="X2651" s="167"/>
    </row>
    <row r="2652" spans="8:24" s="221" customFormat="1" ht="12" hidden="1" customHeight="1">
      <c r="H2652" s="217" t="s">
        <v>6898</v>
      </c>
      <c r="I2652" s="217" t="s">
        <v>6760</v>
      </c>
      <c r="J2652" s="217" t="s">
        <v>6880</v>
      </c>
      <c r="K2652" s="217" t="s">
        <v>6899</v>
      </c>
      <c r="L2652" s="217" t="s">
        <v>92</v>
      </c>
      <c r="M2652" s="217"/>
      <c r="N2652" s="218">
        <v>2867000</v>
      </c>
      <c r="O2652" s="169">
        <f t="shared" si="105"/>
        <v>0</v>
      </c>
      <c r="P2652" s="169"/>
      <c r="Q2652" s="166"/>
      <c r="R2652" s="207"/>
      <c r="S2652" s="207"/>
      <c r="T2652" s="207"/>
      <c r="U2652" s="207"/>
      <c r="V2652" s="166">
        <f t="shared" si="106"/>
        <v>0</v>
      </c>
      <c r="W2652" s="205"/>
      <c r="X2652" s="167"/>
    </row>
    <row r="2653" spans="8:24" s="221" customFormat="1" ht="12" hidden="1" customHeight="1">
      <c r="H2653" s="217" t="s">
        <v>6900</v>
      </c>
      <c r="I2653" s="217" t="s">
        <v>6724</v>
      </c>
      <c r="J2653" s="217" t="s">
        <v>6901</v>
      </c>
      <c r="K2653" s="217" t="s">
        <v>6902</v>
      </c>
      <c r="L2653" s="217" t="s">
        <v>6727</v>
      </c>
      <c r="M2653" s="217"/>
      <c r="N2653" s="218">
        <v>2881000</v>
      </c>
      <c r="O2653" s="169">
        <f t="shared" si="105"/>
        <v>0</v>
      </c>
      <c r="P2653" s="169"/>
      <c r="Q2653" s="166"/>
      <c r="R2653" s="207"/>
      <c r="S2653" s="207"/>
      <c r="T2653" s="207"/>
      <c r="U2653" s="207"/>
      <c r="V2653" s="166">
        <f t="shared" si="106"/>
        <v>0</v>
      </c>
      <c r="W2653" s="205"/>
      <c r="X2653" s="167"/>
    </row>
    <row r="2654" spans="8:24" s="221" customFormat="1" ht="12" hidden="1" customHeight="1">
      <c r="H2654" s="217" t="s">
        <v>6903</v>
      </c>
      <c r="I2654" s="217" t="s">
        <v>6706</v>
      </c>
      <c r="J2654" s="217" t="s">
        <v>6904</v>
      </c>
      <c r="K2654" s="217" t="s">
        <v>6905</v>
      </c>
      <c r="L2654" s="217" t="s">
        <v>92</v>
      </c>
      <c r="M2654" s="217"/>
      <c r="N2654" s="218">
        <v>3186000</v>
      </c>
      <c r="O2654" s="169">
        <f t="shared" si="105"/>
        <v>0</v>
      </c>
      <c r="P2654" s="169"/>
      <c r="Q2654" s="166"/>
      <c r="R2654" s="207"/>
      <c r="S2654" s="207"/>
      <c r="T2654" s="207"/>
      <c r="U2654" s="207"/>
      <c r="V2654" s="166">
        <f t="shared" si="106"/>
        <v>0</v>
      </c>
      <c r="W2654" s="205"/>
      <c r="X2654" s="167"/>
    </row>
    <row r="2655" spans="8:24" s="221" customFormat="1" ht="12" hidden="1" customHeight="1">
      <c r="H2655" s="217" t="s">
        <v>6906</v>
      </c>
      <c r="I2655" s="217" t="s">
        <v>6706</v>
      </c>
      <c r="J2655" s="217" t="s">
        <v>6907</v>
      </c>
      <c r="K2655" s="217" t="s">
        <v>6908</v>
      </c>
      <c r="L2655" s="217" t="s">
        <v>92</v>
      </c>
      <c r="M2655" s="217"/>
      <c r="N2655" s="218">
        <v>5098000</v>
      </c>
      <c r="O2655" s="169">
        <f t="shared" si="105"/>
        <v>0</v>
      </c>
      <c r="P2655" s="169"/>
      <c r="Q2655" s="166"/>
      <c r="R2655" s="207"/>
      <c r="S2655" s="207"/>
      <c r="T2655" s="207"/>
      <c r="U2655" s="207"/>
      <c r="V2655" s="166">
        <f t="shared" si="106"/>
        <v>0</v>
      </c>
      <c r="W2655" s="205"/>
      <c r="X2655" s="167"/>
    </row>
    <row r="2656" spans="8:24" s="221" customFormat="1" ht="12" hidden="1" customHeight="1">
      <c r="H2656" s="217" t="s">
        <v>6909</v>
      </c>
      <c r="I2656" s="217" t="s">
        <v>6724</v>
      </c>
      <c r="J2656" s="217" t="s">
        <v>6910</v>
      </c>
      <c r="K2656" s="217" t="s">
        <v>6911</v>
      </c>
      <c r="L2656" s="217" t="s">
        <v>6727</v>
      </c>
      <c r="M2656" s="217"/>
      <c r="N2656" s="218">
        <v>6000000</v>
      </c>
      <c r="O2656" s="169">
        <f t="shared" si="105"/>
        <v>0</v>
      </c>
      <c r="P2656" s="169"/>
      <c r="Q2656" s="166"/>
      <c r="R2656" s="207"/>
      <c r="S2656" s="207"/>
      <c r="T2656" s="207"/>
      <c r="U2656" s="207"/>
      <c r="V2656" s="166">
        <f t="shared" si="106"/>
        <v>0</v>
      </c>
      <c r="W2656" s="205"/>
      <c r="X2656" s="167"/>
    </row>
    <row r="2657" spans="8:24" s="221" customFormat="1" ht="12" hidden="1" customHeight="1">
      <c r="H2657" s="217" t="s">
        <v>6912</v>
      </c>
      <c r="I2657" s="217" t="s">
        <v>6760</v>
      </c>
      <c r="J2657" s="217" t="s">
        <v>6880</v>
      </c>
      <c r="K2657" s="217" t="s">
        <v>6913</v>
      </c>
      <c r="L2657" s="217" t="s">
        <v>92</v>
      </c>
      <c r="M2657" s="217"/>
      <c r="N2657" s="218">
        <v>6478000</v>
      </c>
      <c r="O2657" s="169">
        <f t="shared" si="105"/>
        <v>0</v>
      </c>
      <c r="P2657" s="169"/>
      <c r="Q2657" s="166"/>
      <c r="R2657" s="207"/>
      <c r="S2657" s="207"/>
      <c r="T2657" s="207"/>
      <c r="U2657" s="207"/>
      <c r="V2657" s="166">
        <f t="shared" si="106"/>
        <v>0</v>
      </c>
      <c r="W2657" s="205"/>
      <c r="X2657" s="167"/>
    </row>
    <row r="2658" spans="8:24" s="221" customFormat="1" ht="12" hidden="1" customHeight="1">
      <c r="H2658" s="217" t="s">
        <v>6914</v>
      </c>
      <c r="I2658" s="217" t="s">
        <v>6724</v>
      </c>
      <c r="J2658" s="217" t="s">
        <v>6915</v>
      </c>
      <c r="K2658" s="217" t="s">
        <v>6916</v>
      </c>
      <c r="L2658" s="217" t="s">
        <v>6727</v>
      </c>
      <c r="M2658" s="217"/>
      <c r="N2658" s="218">
        <v>7409000</v>
      </c>
      <c r="O2658" s="169">
        <f t="shared" si="105"/>
        <v>0</v>
      </c>
      <c r="P2658" s="169"/>
      <c r="Q2658" s="166"/>
      <c r="R2658" s="207"/>
      <c r="S2658" s="207"/>
      <c r="T2658" s="207"/>
      <c r="U2658" s="207"/>
      <c r="V2658" s="166">
        <f t="shared" si="106"/>
        <v>0</v>
      </c>
      <c r="W2658" s="205"/>
      <c r="X2658" s="167"/>
    </row>
    <row r="2659" spans="8:24" s="221" customFormat="1" ht="12" hidden="1" customHeight="1">
      <c r="H2659" s="217" t="s">
        <v>6917</v>
      </c>
      <c r="I2659" s="217" t="s">
        <v>6706</v>
      </c>
      <c r="J2659" s="217" t="s">
        <v>6918</v>
      </c>
      <c r="K2659" s="217" t="s">
        <v>6919</v>
      </c>
      <c r="L2659" s="217" t="s">
        <v>92</v>
      </c>
      <c r="M2659" s="217"/>
      <c r="N2659" s="218">
        <v>9431000</v>
      </c>
      <c r="O2659" s="169">
        <f t="shared" si="105"/>
        <v>0</v>
      </c>
      <c r="P2659" s="169"/>
      <c r="Q2659" s="166"/>
      <c r="R2659" s="207"/>
      <c r="S2659" s="207"/>
      <c r="T2659" s="207"/>
      <c r="U2659" s="207"/>
      <c r="V2659" s="166">
        <f t="shared" si="106"/>
        <v>0</v>
      </c>
      <c r="W2659" s="205"/>
      <c r="X2659" s="167"/>
    </row>
    <row r="2660" spans="8:24" s="221" customFormat="1" ht="12" hidden="1" customHeight="1">
      <c r="H2660" s="217" t="s">
        <v>6920</v>
      </c>
      <c r="I2660" s="217" t="s">
        <v>6724</v>
      </c>
      <c r="J2660" s="217" t="s">
        <v>6921</v>
      </c>
      <c r="K2660" s="217" t="s">
        <v>6922</v>
      </c>
      <c r="L2660" s="217" t="s">
        <v>6727</v>
      </c>
      <c r="M2660" s="217"/>
      <c r="N2660" s="218">
        <v>25000000</v>
      </c>
      <c r="O2660" s="169">
        <f t="shared" si="105"/>
        <v>0</v>
      </c>
      <c r="P2660" s="169"/>
      <c r="Q2660" s="166"/>
      <c r="R2660" s="207"/>
      <c r="S2660" s="207"/>
      <c r="T2660" s="207"/>
      <c r="U2660" s="207"/>
      <c r="V2660" s="166">
        <f t="shared" si="106"/>
        <v>0</v>
      </c>
      <c r="W2660" s="205"/>
      <c r="X2660" s="167"/>
    </row>
    <row r="2661" spans="8:24" s="221" customFormat="1" ht="12" hidden="1" customHeight="1">
      <c r="H2661" s="217" t="s">
        <v>6960</v>
      </c>
      <c r="I2661" s="217" t="s">
        <v>6968</v>
      </c>
      <c r="J2661" s="217" t="s">
        <v>6963</v>
      </c>
      <c r="K2661" s="217" t="s">
        <v>6964</v>
      </c>
      <c r="L2661" s="217" t="s">
        <v>744</v>
      </c>
      <c r="M2661" s="169"/>
      <c r="N2661" s="218">
        <v>1650000</v>
      </c>
      <c r="O2661" s="169">
        <f t="shared" si="105"/>
        <v>0</v>
      </c>
      <c r="P2661" s="169"/>
      <c r="Q2661" s="166"/>
      <c r="R2661" s="207"/>
      <c r="S2661" s="207"/>
      <c r="T2661" s="207"/>
      <c r="U2661" s="207"/>
      <c r="V2661" s="166">
        <f t="shared" si="106"/>
        <v>0</v>
      </c>
      <c r="W2661" s="205"/>
      <c r="X2661" s="167"/>
    </row>
    <row r="2662" spans="8:24" s="221" customFormat="1" ht="12" hidden="1" customHeight="1">
      <c r="H2662" s="209" t="s">
        <v>6961</v>
      </c>
      <c r="I2662" s="209" t="s">
        <v>6969</v>
      </c>
      <c r="J2662" s="209" t="s">
        <v>6965</v>
      </c>
      <c r="K2662" s="209" t="s">
        <v>6966</v>
      </c>
      <c r="L2662" s="209" t="s">
        <v>744</v>
      </c>
      <c r="M2662" s="169"/>
      <c r="N2662" s="232">
        <v>88000</v>
      </c>
      <c r="O2662" s="169">
        <f t="shared" si="105"/>
        <v>0</v>
      </c>
      <c r="P2662" s="169"/>
      <c r="Q2662" s="166"/>
      <c r="R2662" s="207"/>
      <c r="S2662" s="207"/>
      <c r="T2662" s="207"/>
      <c r="U2662" s="207"/>
      <c r="V2662" s="166">
        <f t="shared" si="106"/>
        <v>0</v>
      </c>
      <c r="W2662" s="205"/>
      <c r="X2662" s="167"/>
    </row>
    <row r="2663" spans="8:24" s="221" customFormat="1" ht="12" hidden="1" customHeight="1">
      <c r="H2663" s="209" t="s">
        <v>6962</v>
      </c>
      <c r="I2663" s="209" t="s">
        <v>6969</v>
      </c>
      <c r="J2663" s="209" t="s">
        <v>6965</v>
      </c>
      <c r="K2663" s="209" t="s">
        <v>6967</v>
      </c>
      <c r="L2663" s="209" t="s">
        <v>744</v>
      </c>
      <c r="M2663" s="169"/>
      <c r="N2663" s="165">
        <v>605000</v>
      </c>
      <c r="O2663" s="169">
        <f t="shared" si="105"/>
        <v>0</v>
      </c>
      <c r="P2663" s="169"/>
      <c r="Q2663" s="166"/>
      <c r="R2663" s="207"/>
      <c r="S2663" s="207"/>
      <c r="T2663" s="207"/>
      <c r="U2663" s="207"/>
      <c r="V2663" s="166">
        <f t="shared" si="106"/>
        <v>0</v>
      </c>
      <c r="W2663" s="205"/>
      <c r="X2663" s="167"/>
    </row>
    <row r="2664" spans="8:24" s="221" customFormat="1" ht="12" hidden="1" customHeight="1">
      <c r="H2664" s="217" t="s">
        <v>6147</v>
      </c>
      <c r="I2664" s="217" t="s">
        <v>6148</v>
      </c>
      <c r="J2664" s="217" t="s">
        <v>6149</v>
      </c>
      <c r="K2664" s="217" t="s">
        <v>6150</v>
      </c>
      <c r="L2664" s="217" t="s">
        <v>92</v>
      </c>
      <c r="M2664" s="169"/>
      <c r="N2664" s="218">
        <v>18800</v>
      </c>
      <c r="O2664" s="169">
        <f t="shared" si="105"/>
        <v>0</v>
      </c>
      <c r="P2664" s="169"/>
      <c r="Q2664" s="166">
        <f t="shared" ref="Q2664:Q2670" si="107">IF(W2664="",M2664*P2664*$Q$3*$W$3,M2664*P2664*$Q$3*W2664)</f>
        <v>0</v>
      </c>
      <c r="R2664" s="207"/>
      <c r="S2664" s="207"/>
      <c r="T2664" s="207"/>
      <c r="U2664" s="207"/>
      <c r="V2664" s="166">
        <f t="shared" si="106"/>
        <v>0</v>
      </c>
      <c r="W2664" s="205"/>
      <c r="X2664" s="167"/>
    </row>
    <row r="2665" spans="8:24" s="221" customFormat="1" ht="12" hidden="1" customHeight="1">
      <c r="H2665" s="217" t="s">
        <v>6151</v>
      </c>
      <c r="I2665" s="217" t="s">
        <v>6148</v>
      </c>
      <c r="J2665" s="217" t="s">
        <v>6149</v>
      </c>
      <c r="K2665" s="217" t="s">
        <v>6152</v>
      </c>
      <c r="L2665" s="217" t="s">
        <v>92</v>
      </c>
      <c r="M2665" s="169"/>
      <c r="N2665" s="218">
        <v>28000</v>
      </c>
      <c r="O2665" s="169">
        <f t="shared" si="105"/>
        <v>0</v>
      </c>
      <c r="P2665" s="169"/>
      <c r="Q2665" s="166">
        <f t="shared" si="107"/>
        <v>0</v>
      </c>
      <c r="R2665" s="207"/>
      <c r="S2665" s="207"/>
      <c r="T2665" s="207"/>
      <c r="U2665" s="207"/>
      <c r="V2665" s="166">
        <f t="shared" si="106"/>
        <v>0</v>
      </c>
      <c r="W2665" s="205"/>
      <c r="X2665" s="167"/>
    </row>
    <row r="2666" spans="8:24" s="221" customFormat="1" ht="12" hidden="1" customHeight="1">
      <c r="H2666" s="217" t="s">
        <v>6153</v>
      </c>
      <c r="I2666" s="217" t="s">
        <v>6154</v>
      </c>
      <c r="J2666" s="217" t="s">
        <v>6155</v>
      </c>
      <c r="K2666" s="217" t="s">
        <v>6156</v>
      </c>
      <c r="L2666" s="217" t="s">
        <v>92</v>
      </c>
      <c r="M2666" s="169"/>
      <c r="N2666" s="218">
        <v>37200</v>
      </c>
      <c r="O2666" s="169">
        <f t="shared" si="105"/>
        <v>0</v>
      </c>
      <c r="P2666" s="169"/>
      <c r="Q2666" s="166">
        <f t="shared" si="107"/>
        <v>0</v>
      </c>
      <c r="R2666" s="207"/>
      <c r="S2666" s="207"/>
      <c r="T2666" s="207"/>
      <c r="U2666" s="207"/>
      <c r="V2666" s="166">
        <f t="shared" si="106"/>
        <v>0</v>
      </c>
      <c r="W2666" s="205"/>
      <c r="X2666" s="167"/>
    </row>
    <row r="2667" spans="8:24" s="221" customFormat="1" ht="12" hidden="1" customHeight="1">
      <c r="H2667" s="217" t="s">
        <v>6157</v>
      </c>
      <c r="I2667" s="217" t="s">
        <v>6148</v>
      </c>
      <c r="J2667" s="217" t="s">
        <v>6149</v>
      </c>
      <c r="K2667" s="217" t="s">
        <v>6158</v>
      </c>
      <c r="L2667" s="217" t="s">
        <v>92</v>
      </c>
      <c r="M2667" s="169"/>
      <c r="N2667" s="218">
        <v>51900</v>
      </c>
      <c r="O2667" s="169">
        <f t="shared" si="105"/>
        <v>0</v>
      </c>
      <c r="P2667" s="169"/>
      <c r="Q2667" s="166">
        <f t="shared" si="107"/>
        <v>0</v>
      </c>
      <c r="R2667" s="207"/>
      <c r="S2667" s="207"/>
      <c r="T2667" s="207"/>
      <c r="U2667" s="207"/>
      <c r="V2667" s="166">
        <f t="shared" si="106"/>
        <v>0</v>
      </c>
      <c r="W2667" s="205"/>
      <c r="X2667" s="167"/>
    </row>
    <row r="2668" spans="8:24" s="221" customFormat="1" ht="12" hidden="1" customHeight="1">
      <c r="H2668" s="217" t="s">
        <v>6159</v>
      </c>
      <c r="I2668" s="217" t="s">
        <v>6160</v>
      </c>
      <c r="J2668" s="217" t="s">
        <v>6161</v>
      </c>
      <c r="K2668" s="217" t="s">
        <v>6162</v>
      </c>
      <c r="L2668" s="217" t="s">
        <v>92</v>
      </c>
      <c r="M2668" s="169"/>
      <c r="N2668" s="218">
        <v>53100</v>
      </c>
      <c r="O2668" s="169">
        <f t="shared" si="105"/>
        <v>0</v>
      </c>
      <c r="P2668" s="169"/>
      <c r="Q2668" s="166">
        <f t="shared" si="107"/>
        <v>0</v>
      </c>
      <c r="R2668" s="207"/>
      <c r="S2668" s="207"/>
      <c r="T2668" s="207"/>
      <c r="U2668" s="207"/>
      <c r="V2668" s="166">
        <f t="shared" si="106"/>
        <v>0</v>
      </c>
      <c r="W2668" s="205"/>
      <c r="X2668" s="167"/>
    </row>
    <row r="2669" spans="8:24" s="221" customFormat="1" ht="12" hidden="1" customHeight="1">
      <c r="H2669" s="217" t="s">
        <v>6163</v>
      </c>
      <c r="I2669" s="217" t="s">
        <v>6148</v>
      </c>
      <c r="J2669" s="217" t="s">
        <v>6149</v>
      </c>
      <c r="K2669" s="217" t="s">
        <v>6164</v>
      </c>
      <c r="L2669" s="217" t="s">
        <v>92</v>
      </c>
      <c r="M2669" s="169"/>
      <c r="N2669" s="218">
        <v>57300</v>
      </c>
      <c r="O2669" s="169">
        <f t="shared" si="105"/>
        <v>0</v>
      </c>
      <c r="P2669" s="169"/>
      <c r="Q2669" s="166">
        <f t="shared" si="107"/>
        <v>0</v>
      </c>
      <c r="R2669" s="207"/>
      <c r="S2669" s="207"/>
      <c r="T2669" s="207"/>
      <c r="U2669" s="207"/>
      <c r="V2669" s="166">
        <f t="shared" si="106"/>
        <v>0</v>
      </c>
      <c r="W2669" s="205"/>
      <c r="X2669" s="167"/>
    </row>
    <row r="2670" spans="8:24" s="221" customFormat="1" ht="12" hidden="1" customHeight="1">
      <c r="H2670" s="217" t="s">
        <v>6165</v>
      </c>
      <c r="I2670" s="217" t="s">
        <v>6148</v>
      </c>
      <c r="J2670" s="217" t="s">
        <v>6149</v>
      </c>
      <c r="K2670" s="217" t="s">
        <v>6169</v>
      </c>
      <c r="L2670" s="217" t="s">
        <v>92</v>
      </c>
      <c r="M2670" s="169"/>
      <c r="N2670" s="218">
        <v>64800</v>
      </c>
      <c r="O2670" s="169">
        <f t="shared" si="105"/>
        <v>0</v>
      </c>
      <c r="P2670" s="169"/>
      <c r="Q2670" s="166">
        <f t="shared" si="107"/>
        <v>0</v>
      </c>
      <c r="R2670" s="207"/>
      <c r="S2670" s="207"/>
      <c r="T2670" s="207"/>
      <c r="U2670" s="207"/>
      <c r="V2670" s="166">
        <f t="shared" si="106"/>
        <v>0</v>
      </c>
      <c r="W2670" s="205"/>
      <c r="X2670" s="167"/>
    </row>
    <row r="2671" spans="8:24" s="221" customFormat="1" ht="12" hidden="1" customHeight="1">
      <c r="H2671" s="217" t="s">
        <v>6166</v>
      </c>
      <c r="I2671" s="217" t="s">
        <v>6148</v>
      </c>
      <c r="J2671" s="217" t="s">
        <v>6149</v>
      </c>
      <c r="K2671" s="217" t="s">
        <v>6170</v>
      </c>
      <c r="L2671" s="217" t="s">
        <v>92</v>
      </c>
      <c r="M2671" s="169"/>
      <c r="N2671" s="218">
        <v>64800</v>
      </c>
      <c r="O2671" s="169">
        <f t="shared" si="105"/>
        <v>0</v>
      </c>
      <c r="P2671" s="169"/>
      <c r="Q2671" s="166">
        <f t="shared" ref="Q2671:Q2734" si="108">IF(W2671="",M2671*P2671*$Q$3*$W$3,M2671*P2671*$Q$3*W2671)</f>
        <v>0</v>
      </c>
      <c r="R2671" s="207"/>
      <c r="S2671" s="207"/>
      <c r="T2671" s="207"/>
      <c r="U2671" s="207"/>
      <c r="V2671" s="166">
        <f t="shared" si="106"/>
        <v>0</v>
      </c>
      <c r="W2671" s="205"/>
      <c r="X2671" s="167"/>
    </row>
    <row r="2672" spans="8:24" s="221" customFormat="1" ht="12" hidden="1" customHeight="1">
      <c r="H2672" s="217" t="s">
        <v>6167</v>
      </c>
      <c r="I2672" s="217" t="s">
        <v>6148</v>
      </c>
      <c r="J2672" s="217" t="s">
        <v>6149</v>
      </c>
      <c r="K2672" s="217" t="s">
        <v>6171</v>
      </c>
      <c r="L2672" s="217" t="s">
        <v>92</v>
      </c>
      <c r="M2672" s="169"/>
      <c r="N2672" s="218">
        <v>64800</v>
      </c>
      <c r="O2672" s="169">
        <f t="shared" si="105"/>
        <v>0</v>
      </c>
      <c r="P2672" s="169"/>
      <c r="Q2672" s="166">
        <f t="shared" si="108"/>
        <v>0</v>
      </c>
      <c r="R2672" s="207"/>
      <c r="S2672" s="207"/>
      <c r="T2672" s="207"/>
      <c r="U2672" s="207"/>
      <c r="V2672" s="166">
        <f t="shared" si="106"/>
        <v>0</v>
      </c>
      <c r="W2672" s="205"/>
      <c r="X2672" s="167"/>
    </row>
    <row r="2673" spans="8:24" s="221" customFormat="1" ht="12" hidden="1" customHeight="1">
      <c r="H2673" s="217" t="s">
        <v>6168</v>
      </c>
      <c r="I2673" s="217" t="s">
        <v>6148</v>
      </c>
      <c r="J2673" s="217" t="s">
        <v>6149</v>
      </c>
      <c r="K2673" s="217" t="s">
        <v>6172</v>
      </c>
      <c r="L2673" s="217" t="s">
        <v>92</v>
      </c>
      <c r="M2673" s="169"/>
      <c r="N2673" s="218">
        <v>64800</v>
      </c>
      <c r="O2673" s="169">
        <f t="shared" si="105"/>
        <v>0</v>
      </c>
      <c r="P2673" s="169"/>
      <c r="Q2673" s="166">
        <f t="shared" si="108"/>
        <v>0</v>
      </c>
      <c r="R2673" s="207"/>
      <c r="S2673" s="207"/>
      <c r="T2673" s="207"/>
      <c r="U2673" s="207"/>
      <c r="V2673" s="166">
        <f t="shared" si="106"/>
        <v>0</v>
      </c>
      <c r="W2673" s="205"/>
      <c r="X2673" s="167"/>
    </row>
    <row r="2674" spans="8:24" s="221" customFormat="1" ht="12" hidden="1" customHeight="1">
      <c r="H2674" s="217" t="s">
        <v>6173</v>
      </c>
      <c r="I2674" s="217" t="s">
        <v>6148</v>
      </c>
      <c r="J2674" s="217" t="s">
        <v>6149</v>
      </c>
      <c r="K2674" s="217" t="s">
        <v>6174</v>
      </c>
      <c r="L2674" s="217" t="s">
        <v>92</v>
      </c>
      <c r="M2674" s="169"/>
      <c r="N2674" s="218">
        <v>68100</v>
      </c>
      <c r="O2674" s="169">
        <f t="shared" si="105"/>
        <v>0</v>
      </c>
      <c r="P2674" s="169"/>
      <c r="Q2674" s="166">
        <f t="shared" si="108"/>
        <v>0</v>
      </c>
      <c r="R2674" s="207"/>
      <c r="S2674" s="207"/>
      <c r="T2674" s="207"/>
      <c r="U2674" s="207"/>
      <c r="V2674" s="166">
        <f t="shared" si="106"/>
        <v>0</v>
      </c>
      <c r="W2674" s="205"/>
      <c r="X2674" s="167"/>
    </row>
    <row r="2675" spans="8:24" s="221" customFormat="1" ht="12" hidden="1" customHeight="1">
      <c r="H2675" s="217" t="s">
        <v>6175</v>
      </c>
      <c r="I2675" s="217" t="s">
        <v>6148</v>
      </c>
      <c r="J2675" s="217" t="s">
        <v>6149</v>
      </c>
      <c r="K2675" s="217" t="s">
        <v>6176</v>
      </c>
      <c r="L2675" s="217" t="s">
        <v>92</v>
      </c>
      <c r="M2675" s="169"/>
      <c r="N2675" s="218">
        <v>83500</v>
      </c>
      <c r="O2675" s="169">
        <f t="shared" si="105"/>
        <v>0</v>
      </c>
      <c r="P2675" s="169"/>
      <c r="Q2675" s="166">
        <f t="shared" si="108"/>
        <v>0</v>
      </c>
      <c r="R2675" s="207"/>
      <c r="S2675" s="207"/>
      <c r="T2675" s="207"/>
      <c r="U2675" s="207"/>
      <c r="V2675" s="166">
        <f t="shared" si="106"/>
        <v>0</v>
      </c>
      <c r="W2675" s="205"/>
      <c r="X2675" s="167"/>
    </row>
    <row r="2676" spans="8:24" s="221" customFormat="1" ht="12" hidden="1" customHeight="1">
      <c r="H2676" s="217" t="s">
        <v>6177</v>
      </c>
      <c r="I2676" s="217" t="s">
        <v>6154</v>
      </c>
      <c r="J2676" s="217" t="s">
        <v>6178</v>
      </c>
      <c r="K2676" s="217" t="s">
        <v>6179</v>
      </c>
      <c r="L2676" s="217" t="s">
        <v>92</v>
      </c>
      <c r="M2676" s="169"/>
      <c r="N2676" s="218">
        <v>106000</v>
      </c>
      <c r="O2676" s="169">
        <f t="shared" si="105"/>
        <v>0</v>
      </c>
      <c r="P2676" s="169"/>
      <c r="Q2676" s="166">
        <f t="shared" si="108"/>
        <v>0</v>
      </c>
      <c r="R2676" s="207"/>
      <c r="S2676" s="207"/>
      <c r="T2676" s="207"/>
      <c r="U2676" s="207"/>
      <c r="V2676" s="166">
        <f t="shared" si="106"/>
        <v>0</v>
      </c>
      <c r="W2676" s="205"/>
      <c r="X2676" s="167"/>
    </row>
    <row r="2677" spans="8:24" s="221" customFormat="1" ht="12" hidden="1" customHeight="1">
      <c r="H2677" s="217" t="s">
        <v>6180</v>
      </c>
      <c r="I2677" s="217" t="s">
        <v>6148</v>
      </c>
      <c r="J2677" s="217" t="s">
        <v>6149</v>
      </c>
      <c r="K2677" s="217" t="s">
        <v>6181</v>
      </c>
      <c r="L2677" s="217" t="s">
        <v>92</v>
      </c>
      <c r="M2677" s="169"/>
      <c r="N2677" s="218">
        <v>135000</v>
      </c>
      <c r="O2677" s="169">
        <f t="shared" si="105"/>
        <v>0</v>
      </c>
      <c r="P2677" s="169"/>
      <c r="Q2677" s="166">
        <f t="shared" si="108"/>
        <v>0</v>
      </c>
      <c r="R2677" s="207"/>
      <c r="S2677" s="207"/>
      <c r="T2677" s="207"/>
      <c r="U2677" s="207"/>
      <c r="V2677" s="166">
        <f t="shared" si="106"/>
        <v>0</v>
      </c>
      <c r="W2677" s="205"/>
      <c r="X2677" s="167"/>
    </row>
    <row r="2678" spans="8:24" s="221" customFormat="1" ht="12" hidden="1" customHeight="1">
      <c r="H2678" s="217" t="s">
        <v>6182</v>
      </c>
      <c r="I2678" s="217" t="s">
        <v>6148</v>
      </c>
      <c r="J2678" s="217" t="s">
        <v>6149</v>
      </c>
      <c r="K2678" s="217" t="s">
        <v>6183</v>
      </c>
      <c r="L2678" s="217" t="s">
        <v>92</v>
      </c>
      <c r="M2678" s="169"/>
      <c r="N2678" s="218">
        <v>153000</v>
      </c>
      <c r="O2678" s="169">
        <f t="shared" si="105"/>
        <v>0</v>
      </c>
      <c r="P2678" s="169"/>
      <c r="Q2678" s="166">
        <f t="shared" si="108"/>
        <v>0</v>
      </c>
      <c r="R2678" s="207"/>
      <c r="S2678" s="207"/>
      <c r="T2678" s="207"/>
      <c r="U2678" s="207"/>
      <c r="V2678" s="166">
        <f t="shared" si="106"/>
        <v>0</v>
      </c>
      <c r="W2678" s="205"/>
      <c r="X2678" s="167"/>
    </row>
    <row r="2679" spans="8:24" s="221" customFormat="1" ht="12" hidden="1" customHeight="1">
      <c r="H2679" s="217" t="s">
        <v>6184</v>
      </c>
      <c r="I2679" s="217" t="s">
        <v>6148</v>
      </c>
      <c r="J2679" s="217" t="s">
        <v>6149</v>
      </c>
      <c r="K2679" s="217" t="s">
        <v>6185</v>
      </c>
      <c r="L2679" s="217" t="s">
        <v>92</v>
      </c>
      <c r="M2679" s="169"/>
      <c r="N2679" s="218">
        <v>196000</v>
      </c>
      <c r="O2679" s="169">
        <f t="shared" si="105"/>
        <v>0</v>
      </c>
      <c r="P2679" s="169"/>
      <c r="Q2679" s="166">
        <f t="shared" si="108"/>
        <v>0</v>
      </c>
      <c r="R2679" s="207"/>
      <c r="S2679" s="207"/>
      <c r="T2679" s="207"/>
      <c r="U2679" s="207"/>
      <c r="V2679" s="166">
        <f t="shared" si="106"/>
        <v>0</v>
      </c>
      <c r="W2679" s="205"/>
      <c r="X2679" s="167"/>
    </row>
    <row r="2680" spans="8:24" s="221" customFormat="1" ht="12" hidden="1" customHeight="1">
      <c r="H2680" s="217" t="s">
        <v>6186</v>
      </c>
      <c r="I2680" s="217" t="s">
        <v>6148</v>
      </c>
      <c r="J2680" s="217" t="s">
        <v>6149</v>
      </c>
      <c r="K2680" s="217" t="s">
        <v>6188</v>
      </c>
      <c r="L2680" s="217" t="s">
        <v>92</v>
      </c>
      <c r="M2680" s="169"/>
      <c r="N2680" s="218">
        <v>216000</v>
      </c>
      <c r="O2680" s="169">
        <f t="shared" si="105"/>
        <v>0</v>
      </c>
      <c r="P2680" s="169"/>
      <c r="Q2680" s="166">
        <f t="shared" si="108"/>
        <v>0</v>
      </c>
      <c r="R2680" s="207"/>
      <c r="S2680" s="207"/>
      <c r="T2680" s="207"/>
      <c r="U2680" s="207"/>
      <c r="V2680" s="166">
        <f t="shared" si="106"/>
        <v>0</v>
      </c>
      <c r="W2680" s="205"/>
      <c r="X2680" s="167"/>
    </row>
    <row r="2681" spans="8:24" s="221" customFormat="1" ht="12" hidden="1" customHeight="1">
      <c r="H2681" s="217" t="s">
        <v>6187</v>
      </c>
      <c r="I2681" s="217" t="s">
        <v>6189</v>
      </c>
      <c r="J2681" s="217" t="s">
        <v>6190</v>
      </c>
      <c r="K2681" s="217" t="s">
        <v>6191</v>
      </c>
      <c r="L2681" s="217" t="s">
        <v>92</v>
      </c>
      <c r="M2681" s="169"/>
      <c r="N2681" s="218">
        <v>216000</v>
      </c>
      <c r="O2681" s="169">
        <f t="shared" si="105"/>
        <v>0</v>
      </c>
      <c r="P2681" s="169"/>
      <c r="Q2681" s="166">
        <f t="shared" si="108"/>
        <v>0</v>
      </c>
      <c r="R2681" s="207"/>
      <c r="S2681" s="207"/>
      <c r="T2681" s="207"/>
      <c r="U2681" s="207"/>
      <c r="V2681" s="166">
        <f t="shared" si="106"/>
        <v>0</v>
      </c>
      <c r="W2681" s="205"/>
      <c r="X2681" s="167"/>
    </row>
    <row r="2682" spans="8:24" s="221" customFormat="1" ht="12" hidden="1" customHeight="1">
      <c r="H2682" s="217" t="s">
        <v>6192</v>
      </c>
      <c r="I2682" s="217" t="s">
        <v>6148</v>
      </c>
      <c r="J2682" s="217" t="s">
        <v>6149</v>
      </c>
      <c r="K2682" s="217" t="s">
        <v>6193</v>
      </c>
      <c r="L2682" s="217" t="s">
        <v>92</v>
      </c>
      <c r="M2682" s="169"/>
      <c r="N2682" s="218">
        <v>305000</v>
      </c>
      <c r="O2682" s="169">
        <f t="shared" si="105"/>
        <v>0</v>
      </c>
      <c r="P2682" s="169"/>
      <c r="Q2682" s="166">
        <f t="shared" si="108"/>
        <v>0</v>
      </c>
      <c r="R2682" s="207"/>
      <c r="S2682" s="207"/>
      <c r="T2682" s="207"/>
      <c r="U2682" s="207"/>
      <c r="V2682" s="166">
        <f t="shared" si="106"/>
        <v>0</v>
      </c>
      <c r="W2682" s="205"/>
      <c r="X2682" s="167"/>
    </row>
    <row r="2683" spans="8:24" s="221" customFormat="1" ht="12" hidden="1" customHeight="1">
      <c r="H2683" s="217" t="s">
        <v>6992</v>
      </c>
      <c r="I2683" s="217" t="s">
        <v>6993</v>
      </c>
      <c r="J2683" s="217" t="s">
        <v>6994</v>
      </c>
      <c r="K2683" s="217" t="s">
        <v>6995</v>
      </c>
      <c r="L2683" s="217" t="s">
        <v>744</v>
      </c>
      <c r="M2683" s="169"/>
      <c r="N2683" s="218">
        <v>369000</v>
      </c>
      <c r="O2683" s="169">
        <f t="shared" si="105"/>
        <v>0</v>
      </c>
      <c r="P2683" s="169"/>
      <c r="Q2683" s="166">
        <f t="shared" si="108"/>
        <v>0</v>
      </c>
      <c r="R2683" s="207"/>
      <c r="S2683" s="207"/>
      <c r="T2683" s="207"/>
      <c r="U2683" s="207"/>
      <c r="V2683" s="166">
        <f t="shared" si="106"/>
        <v>0</v>
      </c>
      <c r="W2683" s="205"/>
      <c r="X2683" s="167"/>
    </row>
    <row r="2684" spans="8:24" s="221" customFormat="1" ht="12" hidden="1" customHeight="1">
      <c r="H2684" s="217" t="s">
        <v>6996</v>
      </c>
      <c r="I2684" s="217" t="s">
        <v>7005</v>
      </c>
      <c r="J2684" s="217" t="s">
        <v>7006</v>
      </c>
      <c r="K2684" s="217" t="s">
        <v>7007</v>
      </c>
      <c r="L2684" s="217" t="s">
        <v>92</v>
      </c>
      <c r="M2684" s="169"/>
      <c r="N2684" s="218">
        <v>105000</v>
      </c>
      <c r="O2684" s="169">
        <f t="shared" ref="O2684:O2747" si="109">M2684*N2684*$O$3</f>
        <v>0</v>
      </c>
      <c r="P2684" s="169"/>
      <c r="Q2684" s="166">
        <f t="shared" si="108"/>
        <v>0</v>
      </c>
      <c r="R2684" s="207"/>
      <c r="S2684" s="207"/>
      <c r="T2684" s="207"/>
      <c r="U2684" s="207"/>
      <c r="V2684" s="166">
        <f t="shared" si="106"/>
        <v>0</v>
      </c>
      <c r="W2684" s="205"/>
      <c r="X2684" s="167"/>
    </row>
    <row r="2685" spans="8:24" s="221" customFormat="1" ht="12" hidden="1" customHeight="1">
      <c r="H2685" s="217" t="s">
        <v>6997</v>
      </c>
      <c r="I2685" s="217" t="s">
        <v>7005</v>
      </c>
      <c r="J2685" s="217" t="s">
        <v>7006</v>
      </c>
      <c r="K2685" s="217" t="s">
        <v>7008</v>
      </c>
      <c r="L2685" s="217" t="s">
        <v>92</v>
      </c>
      <c r="M2685" s="169"/>
      <c r="N2685" s="218">
        <v>242000</v>
      </c>
      <c r="O2685" s="169">
        <f t="shared" si="109"/>
        <v>0</v>
      </c>
      <c r="P2685" s="169"/>
      <c r="Q2685" s="166">
        <f t="shared" si="108"/>
        <v>0</v>
      </c>
      <c r="R2685" s="207"/>
      <c r="S2685" s="207"/>
      <c r="T2685" s="207"/>
      <c r="U2685" s="207"/>
      <c r="V2685" s="166">
        <f t="shared" si="106"/>
        <v>0</v>
      </c>
      <c r="W2685" s="205"/>
      <c r="X2685" s="167"/>
    </row>
    <row r="2686" spans="8:24" s="221" customFormat="1" ht="12" hidden="1" customHeight="1">
      <c r="H2686" s="217" t="s">
        <v>6998</v>
      </c>
      <c r="I2686" s="217" t="s">
        <v>7005</v>
      </c>
      <c r="J2686" s="217" t="s">
        <v>7006</v>
      </c>
      <c r="K2686" s="217" t="s">
        <v>7009</v>
      </c>
      <c r="L2686" s="217" t="s">
        <v>92</v>
      </c>
      <c r="M2686" s="169"/>
      <c r="N2686" s="218">
        <v>319000</v>
      </c>
      <c r="O2686" s="169">
        <f t="shared" si="109"/>
        <v>0</v>
      </c>
      <c r="P2686" s="169"/>
      <c r="Q2686" s="166">
        <f t="shared" si="108"/>
        <v>0</v>
      </c>
      <c r="R2686" s="207"/>
      <c r="S2686" s="207"/>
      <c r="T2686" s="207"/>
      <c r="U2686" s="207"/>
      <c r="V2686" s="166">
        <f t="shared" si="106"/>
        <v>0</v>
      </c>
      <c r="W2686" s="205"/>
      <c r="X2686" s="167"/>
    </row>
    <row r="2687" spans="8:24" s="221" customFormat="1" ht="12" hidden="1" customHeight="1">
      <c r="H2687" s="217" t="s">
        <v>6999</v>
      </c>
      <c r="I2687" s="217" t="s">
        <v>7005</v>
      </c>
      <c r="J2687" s="217" t="s">
        <v>7006</v>
      </c>
      <c r="K2687" s="217" t="s">
        <v>7010</v>
      </c>
      <c r="L2687" s="217" t="s">
        <v>92</v>
      </c>
      <c r="M2687" s="169"/>
      <c r="N2687" s="218">
        <v>460000</v>
      </c>
      <c r="O2687" s="169">
        <f t="shared" si="109"/>
        <v>0</v>
      </c>
      <c r="P2687" s="169"/>
      <c r="Q2687" s="166">
        <f t="shared" si="108"/>
        <v>0</v>
      </c>
      <c r="R2687" s="207"/>
      <c r="S2687" s="207"/>
      <c r="T2687" s="207"/>
      <c r="U2687" s="207"/>
      <c r="V2687" s="166">
        <f t="shared" ref="V2687:V2750" si="110">SUM(O2687+Q2687)+S2687+U2687</f>
        <v>0</v>
      </c>
      <c r="W2687" s="205"/>
      <c r="X2687" s="167"/>
    </row>
    <row r="2688" spans="8:24" s="221" customFormat="1" ht="12" hidden="1" customHeight="1">
      <c r="H2688" s="217" t="s">
        <v>7000</v>
      </c>
      <c r="I2688" s="217" t="s">
        <v>7005</v>
      </c>
      <c r="J2688" s="217" t="s">
        <v>7006</v>
      </c>
      <c r="K2688" s="217" t="s">
        <v>7011</v>
      </c>
      <c r="L2688" s="217" t="s">
        <v>92</v>
      </c>
      <c r="M2688" s="169"/>
      <c r="N2688" s="218">
        <v>472000</v>
      </c>
      <c r="O2688" s="169">
        <f t="shared" si="109"/>
        <v>0</v>
      </c>
      <c r="P2688" s="169"/>
      <c r="Q2688" s="166">
        <f t="shared" si="108"/>
        <v>0</v>
      </c>
      <c r="R2688" s="207"/>
      <c r="S2688" s="207"/>
      <c r="T2688" s="207"/>
      <c r="U2688" s="207"/>
      <c r="V2688" s="166">
        <f t="shared" si="110"/>
        <v>0</v>
      </c>
      <c r="W2688" s="205"/>
      <c r="X2688" s="167"/>
    </row>
    <row r="2689" spans="8:24" s="221" customFormat="1" ht="12" hidden="1" customHeight="1">
      <c r="H2689" s="217" t="s">
        <v>7001</v>
      </c>
      <c r="I2689" s="217" t="s">
        <v>7005</v>
      </c>
      <c r="J2689" s="217" t="s">
        <v>7012</v>
      </c>
      <c r="K2689" s="217" t="s">
        <v>7013</v>
      </c>
      <c r="L2689" s="217" t="s">
        <v>92</v>
      </c>
      <c r="M2689" s="169"/>
      <c r="N2689" s="218">
        <v>478000</v>
      </c>
      <c r="O2689" s="169">
        <f t="shared" si="109"/>
        <v>0</v>
      </c>
      <c r="P2689" s="169"/>
      <c r="Q2689" s="166">
        <f t="shared" si="108"/>
        <v>0</v>
      </c>
      <c r="R2689" s="207"/>
      <c r="S2689" s="207"/>
      <c r="T2689" s="207"/>
      <c r="U2689" s="207"/>
      <c r="V2689" s="166">
        <f t="shared" si="110"/>
        <v>0</v>
      </c>
      <c r="W2689" s="205"/>
      <c r="X2689" s="167"/>
    </row>
    <row r="2690" spans="8:24" s="221" customFormat="1" ht="12" hidden="1" customHeight="1">
      <c r="H2690" s="217" t="s">
        <v>7002</v>
      </c>
      <c r="I2690" s="217" t="s">
        <v>7005</v>
      </c>
      <c r="J2690" s="217" t="s">
        <v>7006</v>
      </c>
      <c r="K2690" s="217" t="s">
        <v>7014</v>
      </c>
      <c r="L2690" s="217" t="s">
        <v>92</v>
      </c>
      <c r="M2690" s="169"/>
      <c r="N2690" s="218">
        <v>541000</v>
      </c>
      <c r="O2690" s="169">
        <f t="shared" si="109"/>
        <v>0</v>
      </c>
      <c r="P2690" s="169"/>
      <c r="Q2690" s="166">
        <f t="shared" si="108"/>
        <v>0</v>
      </c>
      <c r="R2690" s="207"/>
      <c r="S2690" s="207"/>
      <c r="T2690" s="207"/>
      <c r="U2690" s="207"/>
      <c r="V2690" s="166">
        <f t="shared" si="110"/>
        <v>0</v>
      </c>
      <c r="W2690" s="205"/>
      <c r="X2690" s="167"/>
    </row>
    <row r="2691" spans="8:24" s="221" customFormat="1" ht="12" hidden="1" customHeight="1">
      <c r="H2691" s="217" t="s">
        <v>7003</v>
      </c>
      <c r="I2691" s="217" t="s">
        <v>7005</v>
      </c>
      <c r="J2691" s="217" t="s">
        <v>7006</v>
      </c>
      <c r="K2691" s="217" t="s">
        <v>7015</v>
      </c>
      <c r="L2691" s="217" t="s">
        <v>92</v>
      </c>
      <c r="M2691" s="169"/>
      <c r="N2691" s="218">
        <v>802000</v>
      </c>
      <c r="O2691" s="169">
        <f t="shared" si="109"/>
        <v>0</v>
      </c>
      <c r="P2691" s="169"/>
      <c r="Q2691" s="166">
        <f t="shared" si="108"/>
        <v>0</v>
      </c>
      <c r="R2691" s="207"/>
      <c r="S2691" s="207"/>
      <c r="T2691" s="207"/>
      <c r="U2691" s="207"/>
      <c r="V2691" s="166">
        <f t="shared" si="110"/>
        <v>0</v>
      </c>
      <c r="W2691" s="205"/>
      <c r="X2691" s="167"/>
    </row>
    <row r="2692" spans="8:24" s="221" customFormat="1" ht="12" hidden="1" customHeight="1">
      <c r="H2692" s="217" t="s">
        <v>7004</v>
      </c>
      <c r="I2692" s="217" t="s">
        <v>7005</v>
      </c>
      <c r="J2692" s="217" t="s">
        <v>7006</v>
      </c>
      <c r="K2692" s="217" t="s">
        <v>7016</v>
      </c>
      <c r="L2692" s="217" t="s">
        <v>92</v>
      </c>
      <c r="M2692" s="169"/>
      <c r="N2692" s="218">
        <v>875000</v>
      </c>
      <c r="O2692" s="169">
        <f t="shared" si="109"/>
        <v>0</v>
      </c>
      <c r="P2692" s="169"/>
      <c r="Q2692" s="166">
        <f t="shared" si="108"/>
        <v>0</v>
      </c>
      <c r="R2692" s="207"/>
      <c r="S2692" s="207"/>
      <c r="T2692" s="207"/>
      <c r="U2692" s="207"/>
      <c r="V2692" s="166">
        <f t="shared" si="110"/>
        <v>0</v>
      </c>
      <c r="W2692" s="205"/>
      <c r="X2692" s="167"/>
    </row>
    <row r="2693" spans="8:24" s="221" customFormat="1" ht="12" hidden="1" customHeight="1">
      <c r="H2693" s="217" t="s">
        <v>7017</v>
      </c>
      <c r="I2693" s="217" t="s">
        <v>7018</v>
      </c>
      <c r="J2693" s="217" t="s">
        <v>7018</v>
      </c>
      <c r="K2693" s="217" t="s">
        <v>7019</v>
      </c>
      <c r="L2693" s="217" t="s">
        <v>92</v>
      </c>
      <c r="M2693" s="169"/>
      <c r="N2693" s="169">
        <v>211000</v>
      </c>
      <c r="O2693" s="169">
        <f t="shared" si="109"/>
        <v>0</v>
      </c>
      <c r="P2693" s="169"/>
      <c r="Q2693" s="166">
        <f t="shared" si="108"/>
        <v>0</v>
      </c>
      <c r="R2693" s="207"/>
      <c r="S2693" s="207"/>
      <c r="T2693" s="207"/>
      <c r="U2693" s="207"/>
      <c r="V2693" s="166">
        <f t="shared" si="110"/>
        <v>0</v>
      </c>
      <c r="W2693" s="205"/>
      <c r="X2693" s="167"/>
    </row>
    <row r="2694" spans="8:24" s="221" customFormat="1" ht="12" hidden="1" customHeight="1">
      <c r="H2694" s="217" t="s">
        <v>6143</v>
      </c>
      <c r="I2694" s="217" t="s">
        <v>6144</v>
      </c>
      <c r="J2694" s="217" t="s">
        <v>6145</v>
      </c>
      <c r="K2694" s="217" t="s">
        <v>6146</v>
      </c>
      <c r="L2694" s="217" t="s">
        <v>92</v>
      </c>
      <c r="M2694" s="218"/>
      <c r="N2694" s="218">
        <v>450000</v>
      </c>
      <c r="O2694" s="169">
        <f t="shared" si="109"/>
        <v>0</v>
      </c>
      <c r="P2694" s="169"/>
      <c r="Q2694" s="166">
        <f t="shared" si="108"/>
        <v>0</v>
      </c>
      <c r="R2694" s="207"/>
      <c r="S2694" s="207"/>
      <c r="T2694" s="207"/>
      <c r="U2694" s="207"/>
      <c r="V2694" s="166">
        <f t="shared" si="110"/>
        <v>0</v>
      </c>
      <c r="W2694" s="205"/>
      <c r="X2694" s="167"/>
    </row>
    <row r="2695" spans="8:24" s="221" customFormat="1" ht="12" hidden="1" customHeight="1">
      <c r="H2695" s="217" t="s">
        <v>7020</v>
      </c>
      <c r="I2695" s="217" t="s">
        <v>7005</v>
      </c>
      <c r="J2695" s="217" t="s">
        <v>7027</v>
      </c>
      <c r="K2695" s="217" t="s">
        <v>7028</v>
      </c>
      <c r="L2695" s="217" t="s">
        <v>7029</v>
      </c>
      <c r="M2695" s="169"/>
      <c r="N2695" s="218">
        <v>63000</v>
      </c>
      <c r="O2695" s="169">
        <f t="shared" si="109"/>
        <v>0</v>
      </c>
      <c r="P2695" s="169"/>
      <c r="Q2695" s="166">
        <f t="shared" si="108"/>
        <v>0</v>
      </c>
      <c r="R2695" s="207"/>
      <c r="S2695" s="207"/>
      <c r="T2695" s="207"/>
      <c r="U2695" s="207"/>
      <c r="V2695" s="166">
        <f t="shared" si="110"/>
        <v>0</v>
      </c>
      <c r="W2695" s="205"/>
      <c r="X2695" s="167"/>
    </row>
    <row r="2696" spans="8:24" s="221" customFormat="1" ht="12" hidden="1" customHeight="1">
      <c r="H2696" s="217" t="s">
        <v>7021</v>
      </c>
      <c r="I2696" s="217" t="s">
        <v>7005</v>
      </c>
      <c r="J2696" s="217" t="s">
        <v>7027</v>
      </c>
      <c r="K2696" s="217" t="s">
        <v>7030</v>
      </c>
      <c r="L2696" s="217" t="s">
        <v>7029</v>
      </c>
      <c r="M2696" s="169"/>
      <c r="N2696" s="218">
        <v>126000</v>
      </c>
      <c r="O2696" s="169">
        <f t="shared" si="109"/>
        <v>0</v>
      </c>
      <c r="P2696" s="169"/>
      <c r="Q2696" s="166">
        <f t="shared" si="108"/>
        <v>0</v>
      </c>
      <c r="R2696" s="207"/>
      <c r="S2696" s="207"/>
      <c r="T2696" s="207"/>
      <c r="U2696" s="207"/>
      <c r="V2696" s="166">
        <f t="shared" si="110"/>
        <v>0</v>
      </c>
      <c r="W2696" s="205"/>
      <c r="X2696" s="167"/>
    </row>
    <row r="2697" spans="8:24" s="221" customFormat="1" ht="12" hidden="1" customHeight="1">
      <c r="H2697" s="217" t="s">
        <v>7022</v>
      </c>
      <c r="I2697" s="217" t="s">
        <v>7005</v>
      </c>
      <c r="J2697" s="217" t="s">
        <v>7027</v>
      </c>
      <c r="K2697" s="217" t="s">
        <v>7031</v>
      </c>
      <c r="L2697" s="217" t="s">
        <v>7029</v>
      </c>
      <c r="M2697" s="169"/>
      <c r="N2697" s="218">
        <v>379000</v>
      </c>
      <c r="O2697" s="169">
        <f t="shared" si="109"/>
        <v>0</v>
      </c>
      <c r="P2697" s="169"/>
      <c r="Q2697" s="166">
        <f t="shared" si="108"/>
        <v>0</v>
      </c>
      <c r="R2697" s="207"/>
      <c r="S2697" s="207"/>
      <c r="T2697" s="207"/>
      <c r="U2697" s="207"/>
      <c r="V2697" s="166">
        <f t="shared" si="110"/>
        <v>0</v>
      </c>
      <c r="W2697" s="205"/>
      <c r="X2697" s="167"/>
    </row>
    <row r="2698" spans="8:24" s="221" customFormat="1" ht="12" hidden="1" customHeight="1">
      <c r="H2698" s="217" t="s">
        <v>7023</v>
      </c>
      <c r="I2698" s="217" t="s">
        <v>7005</v>
      </c>
      <c r="J2698" s="217" t="s">
        <v>7027</v>
      </c>
      <c r="K2698" s="217" t="s">
        <v>7032</v>
      </c>
      <c r="L2698" s="217" t="s">
        <v>7033</v>
      </c>
      <c r="M2698" s="169"/>
      <c r="N2698" s="218">
        <v>1138000</v>
      </c>
      <c r="O2698" s="169">
        <f t="shared" si="109"/>
        <v>0</v>
      </c>
      <c r="P2698" s="169"/>
      <c r="Q2698" s="166">
        <f t="shared" si="108"/>
        <v>0</v>
      </c>
      <c r="R2698" s="207"/>
      <c r="S2698" s="207"/>
      <c r="T2698" s="207"/>
      <c r="U2698" s="207"/>
      <c r="V2698" s="166">
        <f t="shared" si="110"/>
        <v>0</v>
      </c>
      <c r="W2698" s="205"/>
      <c r="X2698" s="167"/>
    </row>
    <row r="2699" spans="8:24" s="221" customFormat="1" ht="12" hidden="1" customHeight="1">
      <c r="H2699" s="217" t="s">
        <v>7024</v>
      </c>
      <c r="I2699" s="217" t="s">
        <v>7005</v>
      </c>
      <c r="J2699" s="217" t="s">
        <v>7027</v>
      </c>
      <c r="K2699" s="217" t="s">
        <v>7034</v>
      </c>
      <c r="L2699" s="217" t="s">
        <v>7033</v>
      </c>
      <c r="M2699" s="169"/>
      <c r="N2699" s="218">
        <v>1168000</v>
      </c>
      <c r="O2699" s="169">
        <f t="shared" si="109"/>
        <v>0</v>
      </c>
      <c r="P2699" s="169"/>
      <c r="Q2699" s="166">
        <f t="shared" si="108"/>
        <v>0</v>
      </c>
      <c r="R2699" s="207"/>
      <c r="S2699" s="207"/>
      <c r="T2699" s="207"/>
      <c r="U2699" s="207"/>
      <c r="V2699" s="166">
        <f t="shared" si="110"/>
        <v>0</v>
      </c>
      <c r="W2699" s="205"/>
      <c r="X2699" s="167"/>
    </row>
    <row r="2700" spans="8:24" s="221" customFormat="1" ht="12" hidden="1" customHeight="1">
      <c r="H2700" s="217" t="s">
        <v>7025</v>
      </c>
      <c r="I2700" s="217" t="s">
        <v>7005</v>
      </c>
      <c r="J2700" s="217" t="s">
        <v>7027</v>
      </c>
      <c r="K2700" s="217" t="s">
        <v>7035</v>
      </c>
      <c r="L2700" s="217" t="s">
        <v>7033</v>
      </c>
      <c r="M2700" s="169"/>
      <c r="N2700" s="218">
        <v>1391000</v>
      </c>
      <c r="O2700" s="169">
        <f t="shared" si="109"/>
        <v>0</v>
      </c>
      <c r="P2700" s="169"/>
      <c r="Q2700" s="166">
        <f t="shared" si="108"/>
        <v>0</v>
      </c>
      <c r="R2700" s="207"/>
      <c r="S2700" s="207"/>
      <c r="T2700" s="207"/>
      <c r="U2700" s="207"/>
      <c r="V2700" s="166">
        <f t="shared" si="110"/>
        <v>0</v>
      </c>
      <c r="W2700" s="205"/>
      <c r="X2700" s="167"/>
    </row>
    <row r="2701" spans="8:24" s="221" customFormat="1" ht="12" hidden="1" customHeight="1">
      <c r="H2701" s="217" t="s">
        <v>7026</v>
      </c>
      <c r="I2701" s="217" t="s">
        <v>7005</v>
      </c>
      <c r="J2701" s="217" t="s">
        <v>7027</v>
      </c>
      <c r="K2701" s="217" t="s">
        <v>7036</v>
      </c>
      <c r="L2701" s="217" t="s">
        <v>7033</v>
      </c>
      <c r="M2701" s="169"/>
      <c r="N2701" s="218">
        <v>1391000</v>
      </c>
      <c r="O2701" s="169">
        <f t="shared" si="109"/>
        <v>0</v>
      </c>
      <c r="P2701" s="169"/>
      <c r="Q2701" s="166">
        <f t="shared" si="108"/>
        <v>0</v>
      </c>
      <c r="R2701" s="207"/>
      <c r="S2701" s="207"/>
      <c r="T2701" s="207"/>
      <c r="U2701" s="207"/>
      <c r="V2701" s="166">
        <f t="shared" si="110"/>
        <v>0</v>
      </c>
      <c r="W2701" s="205"/>
      <c r="X2701" s="167"/>
    </row>
    <row r="2702" spans="8:24" s="221" customFormat="1" ht="12" hidden="1" customHeight="1">
      <c r="H2702" s="207"/>
      <c r="I2702" s="207"/>
      <c r="J2702" s="167"/>
      <c r="K2702" s="167"/>
      <c r="L2702" s="209"/>
      <c r="M2702" s="169"/>
      <c r="N2702" s="169"/>
      <c r="O2702" s="169">
        <f t="shared" si="109"/>
        <v>0</v>
      </c>
      <c r="P2702" s="169"/>
      <c r="Q2702" s="166">
        <f t="shared" si="108"/>
        <v>0</v>
      </c>
      <c r="R2702" s="207"/>
      <c r="S2702" s="207"/>
      <c r="T2702" s="207"/>
      <c r="U2702" s="207"/>
      <c r="V2702" s="166">
        <f t="shared" si="110"/>
        <v>0</v>
      </c>
      <c r="W2702" s="205"/>
      <c r="X2702" s="167"/>
    </row>
    <row r="2703" spans="8:24" s="221" customFormat="1" ht="12" hidden="1" customHeight="1">
      <c r="H2703" s="207"/>
      <c r="I2703" s="207"/>
      <c r="J2703" s="167"/>
      <c r="K2703" s="167"/>
      <c r="L2703" s="209"/>
      <c r="M2703" s="169"/>
      <c r="N2703" s="169"/>
      <c r="O2703" s="169">
        <f t="shared" si="109"/>
        <v>0</v>
      </c>
      <c r="P2703" s="169"/>
      <c r="Q2703" s="166">
        <f t="shared" si="108"/>
        <v>0</v>
      </c>
      <c r="R2703" s="207"/>
      <c r="S2703" s="207"/>
      <c r="T2703" s="207"/>
      <c r="U2703" s="207"/>
      <c r="V2703" s="166">
        <f t="shared" si="110"/>
        <v>0</v>
      </c>
      <c r="W2703" s="205"/>
      <c r="X2703" s="167"/>
    </row>
    <row r="2704" spans="8:24" s="221" customFormat="1" ht="12" hidden="1" customHeight="1">
      <c r="H2704" s="207"/>
      <c r="I2704" s="207"/>
      <c r="J2704" s="167"/>
      <c r="K2704" s="167"/>
      <c r="L2704" s="209"/>
      <c r="M2704" s="169"/>
      <c r="N2704" s="169"/>
      <c r="O2704" s="169">
        <f t="shared" si="109"/>
        <v>0</v>
      </c>
      <c r="P2704" s="169"/>
      <c r="Q2704" s="166">
        <f t="shared" si="108"/>
        <v>0</v>
      </c>
      <c r="R2704" s="207"/>
      <c r="S2704" s="207"/>
      <c r="T2704" s="207"/>
      <c r="U2704" s="207"/>
      <c r="V2704" s="166">
        <f t="shared" si="110"/>
        <v>0</v>
      </c>
      <c r="W2704" s="205"/>
      <c r="X2704" s="167"/>
    </row>
    <row r="2705" spans="8:24" s="221" customFormat="1" ht="12" hidden="1" customHeight="1">
      <c r="H2705" s="207"/>
      <c r="I2705" s="207"/>
      <c r="J2705" s="167"/>
      <c r="K2705" s="167"/>
      <c r="L2705" s="209"/>
      <c r="M2705" s="169"/>
      <c r="N2705" s="169"/>
      <c r="O2705" s="169">
        <f t="shared" si="109"/>
        <v>0</v>
      </c>
      <c r="P2705" s="169"/>
      <c r="Q2705" s="166">
        <f t="shared" si="108"/>
        <v>0</v>
      </c>
      <c r="R2705" s="207"/>
      <c r="S2705" s="207"/>
      <c r="T2705" s="207"/>
      <c r="U2705" s="207"/>
      <c r="V2705" s="166">
        <f t="shared" si="110"/>
        <v>0</v>
      </c>
      <c r="W2705" s="205"/>
      <c r="X2705" s="167"/>
    </row>
    <row r="2706" spans="8:24" s="221" customFormat="1" ht="12" hidden="1" customHeight="1">
      <c r="H2706" s="207"/>
      <c r="I2706" s="207"/>
      <c r="J2706" s="167"/>
      <c r="K2706" s="167"/>
      <c r="L2706" s="209"/>
      <c r="M2706" s="169"/>
      <c r="N2706" s="169"/>
      <c r="O2706" s="169">
        <f t="shared" si="109"/>
        <v>0</v>
      </c>
      <c r="P2706" s="169"/>
      <c r="Q2706" s="166">
        <f t="shared" si="108"/>
        <v>0</v>
      </c>
      <c r="R2706" s="207"/>
      <c r="S2706" s="207"/>
      <c r="T2706" s="207"/>
      <c r="U2706" s="207"/>
      <c r="V2706" s="166">
        <f t="shared" si="110"/>
        <v>0</v>
      </c>
      <c r="W2706" s="205"/>
      <c r="X2706" s="167"/>
    </row>
    <row r="2707" spans="8:24" s="221" customFormat="1" ht="12" hidden="1" customHeight="1">
      <c r="H2707" s="207"/>
      <c r="I2707" s="207"/>
      <c r="J2707" s="167"/>
      <c r="K2707" s="167"/>
      <c r="L2707" s="209"/>
      <c r="M2707" s="169"/>
      <c r="N2707" s="169"/>
      <c r="O2707" s="169">
        <f t="shared" si="109"/>
        <v>0</v>
      </c>
      <c r="P2707" s="169"/>
      <c r="Q2707" s="166">
        <f t="shared" si="108"/>
        <v>0</v>
      </c>
      <c r="R2707" s="207"/>
      <c r="S2707" s="207"/>
      <c r="T2707" s="207"/>
      <c r="U2707" s="207"/>
      <c r="V2707" s="166">
        <f t="shared" si="110"/>
        <v>0</v>
      </c>
      <c r="W2707" s="205"/>
      <c r="X2707" s="167"/>
    </row>
    <row r="2708" spans="8:24" s="221" customFormat="1" ht="12" hidden="1" customHeight="1">
      <c r="H2708" s="207"/>
      <c r="I2708" s="207"/>
      <c r="J2708" s="167"/>
      <c r="K2708" s="167"/>
      <c r="L2708" s="209"/>
      <c r="M2708" s="169"/>
      <c r="N2708" s="169"/>
      <c r="O2708" s="169">
        <f t="shared" si="109"/>
        <v>0</v>
      </c>
      <c r="P2708" s="169"/>
      <c r="Q2708" s="166">
        <f t="shared" si="108"/>
        <v>0</v>
      </c>
      <c r="R2708" s="207"/>
      <c r="S2708" s="207"/>
      <c r="T2708" s="207"/>
      <c r="U2708" s="207"/>
      <c r="V2708" s="166">
        <f t="shared" si="110"/>
        <v>0</v>
      </c>
      <c r="W2708" s="205"/>
      <c r="X2708" s="167"/>
    </row>
    <row r="2709" spans="8:24" s="221" customFormat="1" ht="12" hidden="1" customHeight="1">
      <c r="H2709" s="207"/>
      <c r="I2709" s="207"/>
      <c r="J2709" s="167"/>
      <c r="K2709" s="167"/>
      <c r="L2709" s="209"/>
      <c r="M2709" s="169"/>
      <c r="N2709" s="169"/>
      <c r="O2709" s="169">
        <f t="shared" si="109"/>
        <v>0</v>
      </c>
      <c r="P2709" s="169"/>
      <c r="Q2709" s="166">
        <f t="shared" si="108"/>
        <v>0</v>
      </c>
      <c r="R2709" s="207"/>
      <c r="S2709" s="207"/>
      <c r="T2709" s="207"/>
      <c r="U2709" s="207"/>
      <c r="V2709" s="166">
        <f t="shared" si="110"/>
        <v>0</v>
      </c>
      <c r="W2709" s="205"/>
      <c r="X2709" s="167"/>
    </row>
    <row r="2710" spans="8:24" s="221" customFormat="1" ht="12" hidden="1" customHeight="1">
      <c r="H2710" s="207"/>
      <c r="I2710" s="207"/>
      <c r="J2710" s="167"/>
      <c r="K2710" s="167"/>
      <c r="L2710" s="209"/>
      <c r="M2710" s="169"/>
      <c r="N2710" s="169"/>
      <c r="O2710" s="169">
        <f t="shared" si="109"/>
        <v>0</v>
      </c>
      <c r="P2710" s="169"/>
      <c r="Q2710" s="166">
        <f t="shared" si="108"/>
        <v>0</v>
      </c>
      <c r="R2710" s="207"/>
      <c r="S2710" s="207"/>
      <c r="T2710" s="207"/>
      <c r="U2710" s="207"/>
      <c r="V2710" s="166">
        <f t="shared" si="110"/>
        <v>0</v>
      </c>
      <c r="W2710" s="205"/>
      <c r="X2710" s="167"/>
    </row>
    <row r="2711" spans="8:24" s="221" customFormat="1" ht="12" hidden="1" customHeight="1">
      <c r="H2711" s="207"/>
      <c r="I2711" s="207"/>
      <c r="J2711" s="167"/>
      <c r="K2711" s="167"/>
      <c r="L2711" s="209"/>
      <c r="M2711" s="169"/>
      <c r="N2711" s="169"/>
      <c r="O2711" s="169">
        <f t="shared" si="109"/>
        <v>0</v>
      </c>
      <c r="P2711" s="169"/>
      <c r="Q2711" s="166">
        <f t="shared" si="108"/>
        <v>0</v>
      </c>
      <c r="R2711" s="207"/>
      <c r="S2711" s="207"/>
      <c r="T2711" s="207"/>
      <c r="U2711" s="207"/>
      <c r="V2711" s="166">
        <f t="shared" si="110"/>
        <v>0</v>
      </c>
      <c r="W2711" s="205"/>
      <c r="X2711" s="167"/>
    </row>
    <row r="2712" spans="8:24" s="221" customFormat="1" ht="12" hidden="1" customHeight="1">
      <c r="H2712" s="207"/>
      <c r="I2712" s="207"/>
      <c r="J2712" s="167"/>
      <c r="K2712" s="167"/>
      <c r="L2712" s="209"/>
      <c r="M2712" s="169"/>
      <c r="N2712" s="169"/>
      <c r="O2712" s="169">
        <f t="shared" si="109"/>
        <v>0</v>
      </c>
      <c r="P2712" s="169"/>
      <c r="Q2712" s="166">
        <f t="shared" si="108"/>
        <v>0</v>
      </c>
      <c r="R2712" s="207"/>
      <c r="S2712" s="207"/>
      <c r="T2712" s="207"/>
      <c r="U2712" s="207"/>
      <c r="V2712" s="166">
        <f t="shared" si="110"/>
        <v>0</v>
      </c>
      <c r="W2712" s="205"/>
      <c r="X2712" s="167"/>
    </row>
    <row r="2713" spans="8:24" s="221" customFormat="1" ht="12" hidden="1" customHeight="1">
      <c r="H2713" s="207"/>
      <c r="I2713" s="207"/>
      <c r="J2713" s="167"/>
      <c r="K2713" s="167"/>
      <c r="L2713" s="209"/>
      <c r="M2713" s="169"/>
      <c r="N2713" s="169"/>
      <c r="O2713" s="169">
        <f t="shared" si="109"/>
        <v>0</v>
      </c>
      <c r="P2713" s="169"/>
      <c r="Q2713" s="166">
        <f t="shared" si="108"/>
        <v>0</v>
      </c>
      <c r="R2713" s="207"/>
      <c r="S2713" s="207"/>
      <c r="T2713" s="207"/>
      <c r="U2713" s="207"/>
      <c r="V2713" s="166">
        <f t="shared" si="110"/>
        <v>0</v>
      </c>
      <c r="W2713" s="205"/>
      <c r="X2713" s="167"/>
    </row>
    <row r="2714" spans="8:24" s="221" customFormat="1" ht="12" hidden="1" customHeight="1">
      <c r="H2714" s="207"/>
      <c r="I2714" s="207"/>
      <c r="J2714" s="167"/>
      <c r="K2714" s="167"/>
      <c r="L2714" s="209"/>
      <c r="M2714" s="169"/>
      <c r="N2714" s="169"/>
      <c r="O2714" s="169">
        <f t="shared" si="109"/>
        <v>0</v>
      </c>
      <c r="P2714" s="169"/>
      <c r="Q2714" s="166">
        <f t="shared" si="108"/>
        <v>0</v>
      </c>
      <c r="R2714" s="207"/>
      <c r="S2714" s="207"/>
      <c r="T2714" s="207"/>
      <c r="U2714" s="207"/>
      <c r="V2714" s="166">
        <f t="shared" si="110"/>
        <v>0</v>
      </c>
      <c r="W2714" s="205"/>
      <c r="X2714" s="167"/>
    </row>
    <row r="2715" spans="8:24" s="221" customFormat="1" ht="12" hidden="1" customHeight="1">
      <c r="H2715" s="207"/>
      <c r="I2715" s="207"/>
      <c r="J2715" s="167"/>
      <c r="K2715" s="167"/>
      <c r="L2715" s="209"/>
      <c r="M2715" s="169"/>
      <c r="N2715" s="169"/>
      <c r="O2715" s="169">
        <f t="shared" si="109"/>
        <v>0</v>
      </c>
      <c r="P2715" s="169"/>
      <c r="Q2715" s="166">
        <f t="shared" si="108"/>
        <v>0</v>
      </c>
      <c r="R2715" s="207"/>
      <c r="S2715" s="207"/>
      <c r="T2715" s="207"/>
      <c r="U2715" s="207"/>
      <c r="V2715" s="166">
        <f t="shared" si="110"/>
        <v>0</v>
      </c>
      <c r="W2715" s="205"/>
      <c r="X2715" s="167"/>
    </row>
    <row r="2716" spans="8:24" s="221" customFormat="1" ht="12" hidden="1" customHeight="1">
      <c r="H2716" s="207"/>
      <c r="I2716" s="207"/>
      <c r="J2716" s="167"/>
      <c r="K2716" s="167"/>
      <c r="L2716" s="209"/>
      <c r="M2716" s="169"/>
      <c r="N2716" s="169"/>
      <c r="O2716" s="169">
        <f t="shared" si="109"/>
        <v>0</v>
      </c>
      <c r="P2716" s="169"/>
      <c r="Q2716" s="166">
        <f t="shared" si="108"/>
        <v>0</v>
      </c>
      <c r="R2716" s="207"/>
      <c r="S2716" s="207"/>
      <c r="T2716" s="207"/>
      <c r="U2716" s="207"/>
      <c r="V2716" s="166">
        <f t="shared" si="110"/>
        <v>0</v>
      </c>
      <c r="W2716" s="205"/>
      <c r="X2716" s="167"/>
    </row>
    <row r="2717" spans="8:24" s="221" customFormat="1" ht="12" hidden="1" customHeight="1">
      <c r="H2717" s="207"/>
      <c r="I2717" s="207"/>
      <c r="J2717" s="167"/>
      <c r="K2717" s="167"/>
      <c r="L2717" s="209"/>
      <c r="M2717" s="169"/>
      <c r="N2717" s="169"/>
      <c r="O2717" s="169">
        <f t="shared" si="109"/>
        <v>0</v>
      </c>
      <c r="P2717" s="169"/>
      <c r="Q2717" s="166">
        <f t="shared" si="108"/>
        <v>0</v>
      </c>
      <c r="R2717" s="207"/>
      <c r="S2717" s="207"/>
      <c r="T2717" s="207"/>
      <c r="U2717" s="207"/>
      <c r="V2717" s="166">
        <f t="shared" si="110"/>
        <v>0</v>
      </c>
      <c r="W2717" s="205"/>
      <c r="X2717" s="167"/>
    </row>
    <row r="2718" spans="8:24" s="221" customFormat="1" ht="12" hidden="1" customHeight="1">
      <c r="H2718" s="207"/>
      <c r="I2718" s="207"/>
      <c r="J2718" s="167"/>
      <c r="K2718" s="167"/>
      <c r="L2718" s="209"/>
      <c r="M2718" s="169"/>
      <c r="N2718" s="169"/>
      <c r="O2718" s="169">
        <f t="shared" si="109"/>
        <v>0</v>
      </c>
      <c r="P2718" s="169"/>
      <c r="Q2718" s="166">
        <f t="shared" si="108"/>
        <v>0</v>
      </c>
      <c r="R2718" s="207"/>
      <c r="S2718" s="207"/>
      <c r="T2718" s="207"/>
      <c r="U2718" s="207"/>
      <c r="V2718" s="166">
        <f t="shared" si="110"/>
        <v>0</v>
      </c>
      <c r="W2718" s="205"/>
      <c r="X2718" s="167"/>
    </row>
    <row r="2719" spans="8:24" s="221" customFormat="1" ht="12" hidden="1" customHeight="1">
      <c r="H2719" s="207"/>
      <c r="I2719" s="207"/>
      <c r="J2719" s="167"/>
      <c r="K2719" s="167"/>
      <c r="L2719" s="209"/>
      <c r="M2719" s="169"/>
      <c r="N2719" s="169"/>
      <c r="O2719" s="169">
        <f t="shared" si="109"/>
        <v>0</v>
      </c>
      <c r="P2719" s="169"/>
      <c r="Q2719" s="166">
        <f t="shared" si="108"/>
        <v>0</v>
      </c>
      <c r="R2719" s="207"/>
      <c r="S2719" s="207"/>
      <c r="T2719" s="207"/>
      <c r="U2719" s="207"/>
      <c r="V2719" s="166">
        <f t="shared" si="110"/>
        <v>0</v>
      </c>
      <c r="W2719" s="205"/>
      <c r="X2719" s="167"/>
    </row>
    <row r="2720" spans="8:24" s="221" customFormat="1" ht="12" hidden="1" customHeight="1">
      <c r="H2720" s="207"/>
      <c r="I2720" s="207"/>
      <c r="J2720" s="167"/>
      <c r="K2720" s="167"/>
      <c r="L2720" s="209"/>
      <c r="M2720" s="169"/>
      <c r="N2720" s="169"/>
      <c r="O2720" s="169">
        <f t="shared" si="109"/>
        <v>0</v>
      </c>
      <c r="P2720" s="169"/>
      <c r="Q2720" s="166">
        <f t="shared" si="108"/>
        <v>0</v>
      </c>
      <c r="R2720" s="207"/>
      <c r="S2720" s="207"/>
      <c r="T2720" s="207"/>
      <c r="U2720" s="207"/>
      <c r="V2720" s="166">
        <f t="shared" si="110"/>
        <v>0</v>
      </c>
      <c r="W2720" s="205"/>
      <c r="X2720" s="167"/>
    </row>
    <row r="2721" spans="8:24" s="221" customFormat="1" ht="12" hidden="1" customHeight="1">
      <c r="H2721" s="207"/>
      <c r="I2721" s="207"/>
      <c r="J2721" s="167"/>
      <c r="K2721" s="167"/>
      <c r="L2721" s="209"/>
      <c r="M2721" s="169"/>
      <c r="N2721" s="169"/>
      <c r="O2721" s="169">
        <f t="shared" si="109"/>
        <v>0</v>
      </c>
      <c r="P2721" s="169"/>
      <c r="Q2721" s="166">
        <f t="shared" si="108"/>
        <v>0</v>
      </c>
      <c r="R2721" s="207"/>
      <c r="S2721" s="207"/>
      <c r="T2721" s="207"/>
      <c r="U2721" s="207"/>
      <c r="V2721" s="166">
        <f t="shared" si="110"/>
        <v>0</v>
      </c>
      <c r="W2721" s="205"/>
      <c r="X2721" s="167"/>
    </row>
    <row r="2722" spans="8:24" s="221" customFormat="1" ht="12" hidden="1" customHeight="1">
      <c r="H2722" s="207"/>
      <c r="I2722" s="207"/>
      <c r="J2722" s="167"/>
      <c r="K2722" s="167"/>
      <c r="L2722" s="209"/>
      <c r="M2722" s="169"/>
      <c r="N2722" s="169"/>
      <c r="O2722" s="169">
        <f t="shared" si="109"/>
        <v>0</v>
      </c>
      <c r="P2722" s="169"/>
      <c r="Q2722" s="166">
        <f t="shared" si="108"/>
        <v>0</v>
      </c>
      <c r="R2722" s="207"/>
      <c r="S2722" s="207"/>
      <c r="T2722" s="207"/>
      <c r="U2722" s="207"/>
      <c r="V2722" s="166">
        <f t="shared" si="110"/>
        <v>0</v>
      </c>
      <c r="W2722" s="205"/>
      <c r="X2722" s="167"/>
    </row>
    <row r="2723" spans="8:24" s="221" customFormat="1" ht="12" hidden="1" customHeight="1">
      <c r="H2723" s="207"/>
      <c r="I2723" s="207"/>
      <c r="J2723" s="167"/>
      <c r="K2723" s="167"/>
      <c r="L2723" s="209"/>
      <c r="M2723" s="169"/>
      <c r="N2723" s="169"/>
      <c r="O2723" s="169">
        <f t="shared" si="109"/>
        <v>0</v>
      </c>
      <c r="P2723" s="169"/>
      <c r="Q2723" s="166">
        <f t="shared" si="108"/>
        <v>0</v>
      </c>
      <c r="R2723" s="207"/>
      <c r="S2723" s="207"/>
      <c r="T2723" s="207"/>
      <c r="U2723" s="207"/>
      <c r="V2723" s="166">
        <f t="shared" si="110"/>
        <v>0</v>
      </c>
      <c r="W2723" s="205"/>
      <c r="X2723" s="167"/>
    </row>
    <row r="2724" spans="8:24" s="221" customFormat="1" ht="12" hidden="1" customHeight="1">
      <c r="H2724" s="207"/>
      <c r="I2724" s="207"/>
      <c r="J2724" s="167"/>
      <c r="K2724" s="167"/>
      <c r="L2724" s="209"/>
      <c r="M2724" s="169"/>
      <c r="N2724" s="169"/>
      <c r="O2724" s="169">
        <f t="shared" si="109"/>
        <v>0</v>
      </c>
      <c r="P2724" s="169"/>
      <c r="Q2724" s="166">
        <f t="shared" si="108"/>
        <v>0</v>
      </c>
      <c r="R2724" s="207"/>
      <c r="S2724" s="207"/>
      <c r="T2724" s="207"/>
      <c r="U2724" s="207"/>
      <c r="V2724" s="166">
        <f t="shared" si="110"/>
        <v>0</v>
      </c>
      <c r="W2724" s="205"/>
      <c r="X2724" s="167"/>
    </row>
    <row r="2725" spans="8:24" s="221" customFormat="1" ht="12" hidden="1" customHeight="1">
      <c r="H2725" s="207"/>
      <c r="I2725" s="207"/>
      <c r="J2725" s="167"/>
      <c r="K2725" s="167"/>
      <c r="L2725" s="209"/>
      <c r="M2725" s="169"/>
      <c r="N2725" s="169"/>
      <c r="O2725" s="169">
        <f t="shared" si="109"/>
        <v>0</v>
      </c>
      <c r="P2725" s="169"/>
      <c r="Q2725" s="166">
        <f t="shared" si="108"/>
        <v>0</v>
      </c>
      <c r="R2725" s="207"/>
      <c r="S2725" s="207"/>
      <c r="T2725" s="207"/>
      <c r="U2725" s="207"/>
      <c r="V2725" s="166">
        <f t="shared" si="110"/>
        <v>0</v>
      </c>
      <c r="W2725" s="205"/>
      <c r="X2725" s="167"/>
    </row>
    <row r="2726" spans="8:24" s="221" customFormat="1" ht="12" hidden="1" customHeight="1">
      <c r="H2726" s="207"/>
      <c r="I2726" s="207"/>
      <c r="J2726" s="167"/>
      <c r="K2726" s="167"/>
      <c r="L2726" s="209"/>
      <c r="M2726" s="169"/>
      <c r="N2726" s="169"/>
      <c r="O2726" s="169">
        <f t="shared" si="109"/>
        <v>0</v>
      </c>
      <c r="P2726" s="169"/>
      <c r="Q2726" s="166">
        <f t="shared" si="108"/>
        <v>0</v>
      </c>
      <c r="R2726" s="207"/>
      <c r="S2726" s="207"/>
      <c r="T2726" s="207"/>
      <c r="U2726" s="207"/>
      <c r="V2726" s="166">
        <f t="shared" si="110"/>
        <v>0</v>
      </c>
      <c r="W2726" s="205"/>
      <c r="X2726" s="167"/>
    </row>
    <row r="2727" spans="8:24" s="221" customFormat="1" ht="12" hidden="1" customHeight="1">
      <c r="H2727" s="207"/>
      <c r="I2727" s="207"/>
      <c r="J2727" s="167"/>
      <c r="K2727" s="167"/>
      <c r="L2727" s="209"/>
      <c r="M2727" s="169"/>
      <c r="N2727" s="169"/>
      <c r="O2727" s="169">
        <f t="shared" si="109"/>
        <v>0</v>
      </c>
      <c r="P2727" s="169"/>
      <c r="Q2727" s="166">
        <f t="shared" si="108"/>
        <v>0</v>
      </c>
      <c r="R2727" s="207"/>
      <c r="S2727" s="207"/>
      <c r="T2727" s="207"/>
      <c r="U2727" s="207"/>
      <c r="V2727" s="166">
        <f t="shared" si="110"/>
        <v>0</v>
      </c>
      <c r="W2727" s="205"/>
      <c r="X2727" s="167"/>
    </row>
    <row r="2728" spans="8:24" s="221" customFormat="1" ht="12" hidden="1" customHeight="1">
      <c r="H2728" s="207"/>
      <c r="I2728" s="207"/>
      <c r="J2728" s="167"/>
      <c r="K2728" s="167"/>
      <c r="L2728" s="209"/>
      <c r="M2728" s="169"/>
      <c r="N2728" s="169"/>
      <c r="O2728" s="169">
        <f t="shared" si="109"/>
        <v>0</v>
      </c>
      <c r="P2728" s="169"/>
      <c r="Q2728" s="166">
        <f t="shared" si="108"/>
        <v>0</v>
      </c>
      <c r="R2728" s="207"/>
      <c r="S2728" s="207"/>
      <c r="T2728" s="207"/>
      <c r="U2728" s="207"/>
      <c r="V2728" s="166">
        <f t="shared" si="110"/>
        <v>0</v>
      </c>
      <c r="W2728" s="205"/>
      <c r="X2728" s="167"/>
    </row>
    <row r="2729" spans="8:24" s="221" customFormat="1" ht="12" hidden="1" customHeight="1">
      <c r="H2729" s="207"/>
      <c r="I2729" s="207"/>
      <c r="J2729" s="167"/>
      <c r="K2729" s="167"/>
      <c r="L2729" s="209"/>
      <c r="M2729" s="169"/>
      <c r="N2729" s="169"/>
      <c r="O2729" s="169">
        <f t="shared" si="109"/>
        <v>0</v>
      </c>
      <c r="P2729" s="169"/>
      <c r="Q2729" s="166">
        <f t="shared" si="108"/>
        <v>0</v>
      </c>
      <c r="R2729" s="207"/>
      <c r="S2729" s="207"/>
      <c r="T2729" s="207"/>
      <c r="U2729" s="207"/>
      <c r="V2729" s="166">
        <f t="shared" si="110"/>
        <v>0</v>
      </c>
      <c r="W2729" s="205"/>
      <c r="X2729" s="167"/>
    </row>
    <row r="2730" spans="8:24" s="221" customFormat="1" ht="12" hidden="1" customHeight="1">
      <c r="H2730" s="207"/>
      <c r="I2730" s="207"/>
      <c r="J2730" s="167"/>
      <c r="K2730" s="167"/>
      <c r="L2730" s="209"/>
      <c r="M2730" s="169"/>
      <c r="N2730" s="169"/>
      <c r="O2730" s="169">
        <f t="shared" si="109"/>
        <v>0</v>
      </c>
      <c r="P2730" s="169"/>
      <c r="Q2730" s="166">
        <f t="shared" si="108"/>
        <v>0</v>
      </c>
      <c r="R2730" s="207"/>
      <c r="S2730" s="207"/>
      <c r="T2730" s="207"/>
      <c r="U2730" s="207"/>
      <c r="V2730" s="166">
        <f t="shared" si="110"/>
        <v>0</v>
      </c>
      <c r="W2730" s="205"/>
      <c r="X2730" s="167"/>
    </row>
    <row r="2731" spans="8:24" s="221" customFormat="1" ht="12" hidden="1" customHeight="1">
      <c r="H2731" s="207"/>
      <c r="I2731" s="207"/>
      <c r="J2731" s="167"/>
      <c r="K2731" s="167"/>
      <c r="L2731" s="209"/>
      <c r="M2731" s="169"/>
      <c r="N2731" s="169"/>
      <c r="O2731" s="169">
        <f t="shared" si="109"/>
        <v>0</v>
      </c>
      <c r="P2731" s="169"/>
      <c r="Q2731" s="166">
        <f t="shared" si="108"/>
        <v>0</v>
      </c>
      <c r="R2731" s="207"/>
      <c r="S2731" s="207"/>
      <c r="T2731" s="207"/>
      <c r="U2731" s="207"/>
      <c r="V2731" s="166">
        <f t="shared" si="110"/>
        <v>0</v>
      </c>
      <c r="W2731" s="205"/>
      <c r="X2731" s="167"/>
    </row>
    <row r="2732" spans="8:24" s="221" customFormat="1" ht="12" hidden="1" customHeight="1">
      <c r="H2732" s="207"/>
      <c r="I2732" s="207"/>
      <c r="J2732" s="167"/>
      <c r="K2732" s="167"/>
      <c r="L2732" s="209"/>
      <c r="M2732" s="169"/>
      <c r="N2732" s="169"/>
      <c r="O2732" s="169">
        <f t="shared" si="109"/>
        <v>0</v>
      </c>
      <c r="P2732" s="169"/>
      <c r="Q2732" s="166">
        <f t="shared" si="108"/>
        <v>0</v>
      </c>
      <c r="R2732" s="207"/>
      <c r="S2732" s="207"/>
      <c r="T2732" s="207"/>
      <c r="U2732" s="207"/>
      <c r="V2732" s="166">
        <f t="shared" si="110"/>
        <v>0</v>
      </c>
      <c r="W2732" s="205"/>
      <c r="X2732" s="167"/>
    </row>
    <row r="2733" spans="8:24" s="221" customFormat="1" ht="12" hidden="1" customHeight="1">
      <c r="H2733" s="207"/>
      <c r="I2733" s="207"/>
      <c r="J2733" s="167"/>
      <c r="K2733" s="167"/>
      <c r="L2733" s="209"/>
      <c r="M2733" s="169"/>
      <c r="N2733" s="169"/>
      <c r="O2733" s="169">
        <f t="shared" si="109"/>
        <v>0</v>
      </c>
      <c r="P2733" s="169"/>
      <c r="Q2733" s="166">
        <f t="shared" si="108"/>
        <v>0</v>
      </c>
      <c r="R2733" s="207"/>
      <c r="S2733" s="207"/>
      <c r="T2733" s="207"/>
      <c r="U2733" s="207"/>
      <c r="V2733" s="166">
        <f t="shared" si="110"/>
        <v>0</v>
      </c>
      <c r="W2733" s="205"/>
      <c r="X2733" s="167"/>
    </row>
    <row r="2734" spans="8:24" s="221" customFormat="1" ht="12" hidden="1" customHeight="1">
      <c r="H2734" s="207"/>
      <c r="I2734" s="207"/>
      <c r="J2734" s="167"/>
      <c r="K2734" s="167"/>
      <c r="L2734" s="209"/>
      <c r="M2734" s="169"/>
      <c r="N2734" s="169"/>
      <c r="O2734" s="169">
        <f t="shared" si="109"/>
        <v>0</v>
      </c>
      <c r="P2734" s="169"/>
      <c r="Q2734" s="166">
        <f t="shared" si="108"/>
        <v>0</v>
      </c>
      <c r="R2734" s="207"/>
      <c r="S2734" s="207"/>
      <c r="T2734" s="207"/>
      <c r="U2734" s="207"/>
      <c r="V2734" s="166">
        <f t="shared" si="110"/>
        <v>0</v>
      </c>
      <c r="W2734" s="205"/>
      <c r="X2734" s="167"/>
    </row>
    <row r="2735" spans="8:24" s="221" customFormat="1" ht="12" hidden="1" customHeight="1">
      <c r="H2735" s="207"/>
      <c r="I2735" s="207"/>
      <c r="J2735" s="167"/>
      <c r="K2735" s="167"/>
      <c r="L2735" s="209"/>
      <c r="M2735" s="169"/>
      <c r="N2735" s="169"/>
      <c r="O2735" s="169">
        <f t="shared" si="109"/>
        <v>0</v>
      </c>
      <c r="P2735" s="169"/>
      <c r="Q2735" s="166">
        <f t="shared" ref="Q2735:Q2798" si="111">IF(W2735="",M2735*P2735*$Q$3*$W$3,M2735*P2735*$Q$3*W2735)</f>
        <v>0</v>
      </c>
      <c r="R2735" s="207"/>
      <c r="S2735" s="207"/>
      <c r="T2735" s="207"/>
      <c r="U2735" s="207"/>
      <c r="V2735" s="166">
        <f t="shared" si="110"/>
        <v>0</v>
      </c>
      <c r="W2735" s="205"/>
      <c r="X2735" s="167"/>
    </row>
    <row r="2736" spans="8:24" s="221" customFormat="1" ht="12" hidden="1" customHeight="1">
      <c r="H2736" s="207"/>
      <c r="I2736" s="207"/>
      <c r="J2736" s="167"/>
      <c r="K2736" s="167"/>
      <c r="L2736" s="209"/>
      <c r="M2736" s="169"/>
      <c r="N2736" s="169"/>
      <c r="O2736" s="169">
        <f t="shared" si="109"/>
        <v>0</v>
      </c>
      <c r="P2736" s="169"/>
      <c r="Q2736" s="166">
        <f t="shared" si="111"/>
        <v>0</v>
      </c>
      <c r="R2736" s="207"/>
      <c r="S2736" s="207"/>
      <c r="T2736" s="207"/>
      <c r="U2736" s="207"/>
      <c r="V2736" s="166">
        <f t="shared" si="110"/>
        <v>0</v>
      </c>
      <c r="W2736" s="205"/>
      <c r="X2736" s="167"/>
    </row>
    <row r="2737" spans="8:24" s="221" customFormat="1" ht="12" hidden="1" customHeight="1">
      <c r="H2737" s="207"/>
      <c r="I2737" s="207"/>
      <c r="J2737" s="167"/>
      <c r="K2737" s="167"/>
      <c r="L2737" s="209"/>
      <c r="M2737" s="169"/>
      <c r="N2737" s="169"/>
      <c r="O2737" s="169">
        <f t="shared" si="109"/>
        <v>0</v>
      </c>
      <c r="P2737" s="169"/>
      <c r="Q2737" s="166">
        <f t="shared" si="111"/>
        <v>0</v>
      </c>
      <c r="R2737" s="207"/>
      <c r="S2737" s="207"/>
      <c r="T2737" s="207"/>
      <c r="U2737" s="207"/>
      <c r="V2737" s="166">
        <f t="shared" si="110"/>
        <v>0</v>
      </c>
      <c r="W2737" s="205"/>
      <c r="X2737" s="167"/>
    </row>
    <row r="2738" spans="8:24" s="221" customFormat="1" ht="12" hidden="1" customHeight="1">
      <c r="H2738" s="207"/>
      <c r="I2738" s="207"/>
      <c r="J2738" s="167"/>
      <c r="K2738" s="167"/>
      <c r="L2738" s="209"/>
      <c r="M2738" s="169"/>
      <c r="N2738" s="169"/>
      <c r="O2738" s="169">
        <f t="shared" si="109"/>
        <v>0</v>
      </c>
      <c r="P2738" s="169"/>
      <c r="Q2738" s="166">
        <f t="shared" si="111"/>
        <v>0</v>
      </c>
      <c r="R2738" s="207"/>
      <c r="S2738" s="207"/>
      <c r="T2738" s="207"/>
      <c r="U2738" s="207"/>
      <c r="V2738" s="166">
        <f t="shared" si="110"/>
        <v>0</v>
      </c>
      <c r="W2738" s="205"/>
      <c r="X2738" s="167"/>
    </row>
    <row r="2739" spans="8:24" s="221" customFormat="1" ht="12" hidden="1" customHeight="1">
      <c r="H2739" s="207"/>
      <c r="I2739" s="207"/>
      <c r="J2739" s="167"/>
      <c r="K2739" s="167"/>
      <c r="L2739" s="209"/>
      <c r="M2739" s="169"/>
      <c r="N2739" s="169"/>
      <c r="O2739" s="169">
        <f t="shared" si="109"/>
        <v>0</v>
      </c>
      <c r="P2739" s="169"/>
      <c r="Q2739" s="166">
        <f t="shared" si="111"/>
        <v>0</v>
      </c>
      <c r="R2739" s="207"/>
      <c r="S2739" s="207"/>
      <c r="T2739" s="207"/>
      <c r="U2739" s="207"/>
      <c r="V2739" s="166">
        <f t="shared" si="110"/>
        <v>0</v>
      </c>
      <c r="W2739" s="205"/>
      <c r="X2739" s="167"/>
    </row>
    <row r="2740" spans="8:24" s="221" customFormat="1" ht="12" hidden="1" customHeight="1">
      <c r="H2740" s="207"/>
      <c r="I2740" s="207"/>
      <c r="J2740" s="167"/>
      <c r="K2740" s="167"/>
      <c r="L2740" s="209"/>
      <c r="M2740" s="169"/>
      <c r="N2740" s="169"/>
      <c r="O2740" s="169">
        <f t="shared" si="109"/>
        <v>0</v>
      </c>
      <c r="P2740" s="169"/>
      <c r="Q2740" s="166">
        <f t="shared" si="111"/>
        <v>0</v>
      </c>
      <c r="R2740" s="207"/>
      <c r="S2740" s="207"/>
      <c r="T2740" s="207"/>
      <c r="U2740" s="207"/>
      <c r="V2740" s="166">
        <f t="shared" si="110"/>
        <v>0</v>
      </c>
      <c r="W2740" s="205"/>
      <c r="X2740" s="167"/>
    </row>
    <row r="2741" spans="8:24" s="221" customFormat="1" ht="12" hidden="1" customHeight="1">
      <c r="H2741" s="207"/>
      <c r="I2741" s="207"/>
      <c r="J2741" s="167"/>
      <c r="K2741" s="167"/>
      <c r="L2741" s="209"/>
      <c r="M2741" s="169"/>
      <c r="N2741" s="169"/>
      <c r="O2741" s="169">
        <f t="shared" si="109"/>
        <v>0</v>
      </c>
      <c r="P2741" s="169"/>
      <c r="Q2741" s="166">
        <f t="shared" si="111"/>
        <v>0</v>
      </c>
      <c r="R2741" s="207"/>
      <c r="S2741" s="207"/>
      <c r="T2741" s="207"/>
      <c r="U2741" s="207"/>
      <c r="V2741" s="166">
        <f t="shared" si="110"/>
        <v>0</v>
      </c>
      <c r="W2741" s="205"/>
      <c r="X2741" s="167"/>
    </row>
    <row r="2742" spans="8:24" s="221" customFormat="1" ht="12" hidden="1" customHeight="1">
      <c r="H2742" s="207"/>
      <c r="I2742" s="207"/>
      <c r="J2742" s="167"/>
      <c r="K2742" s="167"/>
      <c r="L2742" s="209"/>
      <c r="M2742" s="169"/>
      <c r="N2742" s="169"/>
      <c r="O2742" s="169">
        <f t="shared" si="109"/>
        <v>0</v>
      </c>
      <c r="P2742" s="169"/>
      <c r="Q2742" s="166">
        <f t="shared" si="111"/>
        <v>0</v>
      </c>
      <c r="R2742" s="207"/>
      <c r="S2742" s="207"/>
      <c r="T2742" s="207"/>
      <c r="U2742" s="207"/>
      <c r="V2742" s="166">
        <f t="shared" si="110"/>
        <v>0</v>
      </c>
      <c r="W2742" s="205"/>
      <c r="X2742" s="167"/>
    </row>
    <row r="2743" spans="8:24" s="221" customFormat="1" ht="12" hidden="1" customHeight="1">
      <c r="H2743" s="207"/>
      <c r="I2743" s="207"/>
      <c r="J2743" s="167"/>
      <c r="K2743" s="167"/>
      <c r="L2743" s="209"/>
      <c r="M2743" s="169"/>
      <c r="N2743" s="169"/>
      <c r="O2743" s="169">
        <f t="shared" si="109"/>
        <v>0</v>
      </c>
      <c r="P2743" s="169"/>
      <c r="Q2743" s="166">
        <f t="shared" si="111"/>
        <v>0</v>
      </c>
      <c r="R2743" s="207"/>
      <c r="S2743" s="207"/>
      <c r="T2743" s="207"/>
      <c r="U2743" s="207"/>
      <c r="V2743" s="166">
        <f t="shared" si="110"/>
        <v>0</v>
      </c>
      <c r="W2743" s="205"/>
      <c r="X2743" s="167"/>
    </row>
    <row r="2744" spans="8:24" s="221" customFormat="1" ht="12" hidden="1" customHeight="1">
      <c r="H2744" s="207"/>
      <c r="I2744" s="207"/>
      <c r="J2744" s="167"/>
      <c r="K2744" s="167"/>
      <c r="L2744" s="209"/>
      <c r="M2744" s="169"/>
      <c r="N2744" s="169"/>
      <c r="O2744" s="169">
        <f t="shared" si="109"/>
        <v>0</v>
      </c>
      <c r="P2744" s="169"/>
      <c r="Q2744" s="166">
        <f t="shared" si="111"/>
        <v>0</v>
      </c>
      <c r="R2744" s="207"/>
      <c r="S2744" s="207"/>
      <c r="T2744" s="207"/>
      <c r="U2744" s="207"/>
      <c r="V2744" s="166">
        <f t="shared" si="110"/>
        <v>0</v>
      </c>
      <c r="W2744" s="205"/>
      <c r="X2744" s="167"/>
    </row>
    <row r="2745" spans="8:24" s="221" customFormat="1" ht="12" hidden="1" customHeight="1">
      <c r="H2745" s="207"/>
      <c r="I2745" s="207"/>
      <c r="J2745" s="167"/>
      <c r="K2745" s="167"/>
      <c r="L2745" s="209"/>
      <c r="M2745" s="169"/>
      <c r="N2745" s="169"/>
      <c r="O2745" s="169">
        <f t="shared" si="109"/>
        <v>0</v>
      </c>
      <c r="P2745" s="169"/>
      <c r="Q2745" s="166">
        <f t="shared" si="111"/>
        <v>0</v>
      </c>
      <c r="R2745" s="207"/>
      <c r="S2745" s="207"/>
      <c r="T2745" s="207"/>
      <c r="U2745" s="207"/>
      <c r="V2745" s="166">
        <f t="shared" si="110"/>
        <v>0</v>
      </c>
      <c r="W2745" s="205"/>
      <c r="X2745" s="167"/>
    </row>
    <row r="2746" spans="8:24" s="221" customFormat="1" ht="12" hidden="1" customHeight="1">
      <c r="H2746" s="207"/>
      <c r="I2746" s="207"/>
      <c r="J2746" s="167"/>
      <c r="K2746" s="167"/>
      <c r="L2746" s="209"/>
      <c r="M2746" s="169"/>
      <c r="N2746" s="169"/>
      <c r="O2746" s="169">
        <f t="shared" si="109"/>
        <v>0</v>
      </c>
      <c r="P2746" s="169"/>
      <c r="Q2746" s="166">
        <f t="shared" si="111"/>
        <v>0</v>
      </c>
      <c r="R2746" s="207"/>
      <c r="S2746" s="207"/>
      <c r="T2746" s="207"/>
      <c r="U2746" s="207"/>
      <c r="V2746" s="166">
        <f t="shared" si="110"/>
        <v>0</v>
      </c>
      <c r="W2746" s="205"/>
      <c r="X2746" s="167"/>
    </row>
    <row r="2747" spans="8:24" s="221" customFormat="1" ht="12" hidden="1" customHeight="1">
      <c r="H2747" s="207"/>
      <c r="I2747" s="207"/>
      <c r="J2747" s="167"/>
      <c r="K2747" s="167"/>
      <c r="L2747" s="209"/>
      <c r="M2747" s="169"/>
      <c r="N2747" s="169"/>
      <c r="O2747" s="169">
        <f t="shared" si="109"/>
        <v>0</v>
      </c>
      <c r="P2747" s="169"/>
      <c r="Q2747" s="166">
        <f t="shared" si="111"/>
        <v>0</v>
      </c>
      <c r="R2747" s="207"/>
      <c r="S2747" s="207"/>
      <c r="T2747" s="207"/>
      <c r="U2747" s="207"/>
      <c r="V2747" s="166">
        <f t="shared" si="110"/>
        <v>0</v>
      </c>
      <c r="W2747" s="205"/>
      <c r="X2747" s="167"/>
    </row>
    <row r="2748" spans="8:24" s="221" customFormat="1" ht="12" hidden="1" customHeight="1">
      <c r="H2748" s="207"/>
      <c r="I2748" s="207"/>
      <c r="J2748" s="167"/>
      <c r="K2748" s="167"/>
      <c r="L2748" s="209"/>
      <c r="M2748" s="169"/>
      <c r="N2748" s="169"/>
      <c r="O2748" s="169">
        <f t="shared" ref="O2748:O2811" si="112">M2748*N2748*$O$3</f>
        <v>0</v>
      </c>
      <c r="P2748" s="169"/>
      <c r="Q2748" s="166">
        <f t="shared" si="111"/>
        <v>0</v>
      </c>
      <c r="R2748" s="207"/>
      <c r="S2748" s="207"/>
      <c r="T2748" s="207"/>
      <c r="U2748" s="207"/>
      <c r="V2748" s="166">
        <f t="shared" si="110"/>
        <v>0</v>
      </c>
      <c r="W2748" s="205"/>
      <c r="X2748" s="167"/>
    </row>
    <row r="2749" spans="8:24" s="221" customFormat="1" ht="12" hidden="1" customHeight="1">
      <c r="H2749" s="207"/>
      <c r="I2749" s="207"/>
      <c r="J2749" s="167"/>
      <c r="K2749" s="167"/>
      <c r="L2749" s="209"/>
      <c r="M2749" s="169"/>
      <c r="N2749" s="169"/>
      <c r="O2749" s="169">
        <f t="shared" si="112"/>
        <v>0</v>
      </c>
      <c r="P2749" s="169"/>
      <c r="Q2749" s="166">
        <f t="shared" si="111"/>
        <v>0</v>
      </c>
      <c r="R2749" s="207"/>
      <c r="S2749" s="207"/>
      <c r="T2749" s="207"/>
      <c r="U2749" s="207"/>
      <c r="V2749" s="166">
        <f t="shared" si="110"/>
        <v>0</v>
      </c>
      <c r="W2749" s="205"/>
      <c r="X2749" s="167"/>
    </row>
    <row r="2750" spans="8:24" s="221" customFormat="1" ht="12" hidden="1" customHeight="1">
      <c r="H2750" s="207"/>
      <c r="I2750" s="207"/>
      <c r="J2750" s="167"/>
      <c r="K2750" s="167"/>
      <c r="L2750" s="209"/>
      <c r="M2750" s="169"/>
      <c r="N2750" s="169"/>
      <c r="O2750" s="169">
        <f t="shared" si="112"/>
        <v>0</v>
      </c>
      <c r="P2750" s="169"/>
      <c r="Q2750" s="166">
        <f t="shared" si="111"/>
        <v>0</v>
      </c>
      <c r="R2750" s="207"/>
      <c r="S2750" s="207"/>
      <c r="T2750" s="207"/>
      <c r="U2750" s="207"/>
      <c r="V2750" s="166">
        <f t="shared" si="110"/>
        <v>0</v>
      </c>
      <c r="W2750" s="205"/>
      <c r="X2750" s="167"/>
    </row>
    <row r="2751" spans="8:24" s="221" customFormat="1" ht="12" hidden="1" customHeight="1">
      <c r="H2751" s="207"/>
      <c r="I2751" s="207"/>
      <c r="J2751" s="167"/>
      <c r="K2751" s="167"/>
      <c r="L2751" s="209"/>
      <c r="M2751" s="169"/>
      <c r="N2751" s="169"/>
      <c r="O2751" s="169">
        <f t="shared" si="112"/>
        <v>0</v>
      </c>
      <c r="P2751" s="169"/>
      <c r="Q2751" s="166">
        <f t="shared" si="111"/>
        <v>0</v>
      </c>
      <c r="R2751" s="207"/>
      <c r="S2751" s="207"/>
      <c r="T2751" s="207"/>
      <c r="U2751" s="207"/>
      <c r="V2751" s="166">
        <f t="shared" ref="V2751:V2814" si="113">SUM(O2751+Q2751)+S2751+U2751</f>
        <v>0</v>
      </c>
      <c r="W2751" s="205"/>
      <c r="X2751" s="167"/>
    </row>
    <row r="2752" spans="8:24" s="221" customFormat="1" ht="12" hidden="1" customHeight="1">
      <c r="H2752" s="207"/>
      <c r="I2752" s="207"/>
      <c r="J2752" s="167"/>
      <c r="K2752" s="167"/>
      <c r="L2752" s="209"/>
      <c r="M2752" s="169"/>
      <c r="N2752" s="169"/>
      <c r="O2752" s="169">
        <f t="shared" si="112"/>
        <v>0</v>
      </c>
      <c r="P2752" s="169"/>
      <c r="Q2752" s="166">
        <f t="shared" si="111"/>
        <v>0</v>
      </c>
      <c r="R2752" s="207"/>
      <c r="S2752" s="207"/>
      <c r="T2752" s="207"/>
      <c r="U2752" s="207"/>
      <c r="V2752" s="166">
        <f t="shared" si="113"/>
        <v>0</v>
      </c>
      <c r="W2752" s="205"/>
      <c r="X2752" s="167"/>
    </row>
    <row r="2753" spans="8:24" s="221" customFormat="1" ht="12" hidden="1" customHeight="1">
      <c r="H2753" s="207"/>
      <c r="I2753" s="207"/>
      <c r="J2753" s="167"/>
      <c r="K2753" s="167"/>
      <c r="L2753" s="209"/>
      <c r="M2753" s="169"/>
      <c r="N2753" s="169"/>
      <c r="O2753" s="169">
        <f t="shared" si="112"/>
        <v>0</v>
      </c>
      <c r="P2753" s="169"/>
      <c r="Q2753" s="166">
        <f t="shared" si="111"/>
        <v>0</v>
      </c>
      <c r="R2753" s="207"/>
      <c r="S2753" s="207"/>
      <c r="T2753" s="207"/>
      <c r="U2753" s="207"/>
      <c r="V2753" s="166">
        <f t="shared" si="113"/>
        <v>0</v>
      </c>
      <c r="W2753" s="205"/>
      <c r="X2753" s="167"/>
    </row>
    <row r="2754" spans="8:24" s="221" customFormat="1" ht="12" hidden="1" customHeight="1">
      <c r="H2754" s="207"/>
      <c r="I2754" s="207"/>
      <c r="J2754" s="167"/>
      <c r="K2754" s="167"/>
      <c r="L2754" s="209"/>
      <c r="M2754" s="169"/>
      <c r="N2754" s="169"/>
      <c r="O2754" s="169">
        <f t="shared" si="112"/>
        <v>0</v>
      </c>
      <c r="P2754" s="169"/>
      <c r="Q2754" s="166">
        <f t="shared" si="111"/>
        <v>0</v>
      </c>
      <c r="R2754" s="207"/>
      <c r="S2754" s="207"/>
      <c r="T2754" s="207"/>
      <c r="U2754" s="207"/>
      <c r="V2754" s="166">
        <f t="shared" si="113"/>
        <v>0</v>
      </c>
      <c r="W2754" s="205"/>
      <c r="X2754" s="167"/>
    </row>
    <row r="2755" spans="8:24" s="221" customFormat="1" ht="12" hidden="1" customHeight="1">
      <c r="H2755" s="207"/>
      <c r="I2755" s="207"/>
      <c r="J2755" s="167"/>
      <c r="K2755" s="167"/>
      <c r="L2755" s="209"/>
      <c r="M2755" s="169"/>
      <c r="N2755" s="169"/>
      <c r="O2755" s="169">
        <f t="shared" si="112"/>
        <v>0</v>
      </c>
      <c r="P2755" s="169"/>
      <c r="Q2755" s="166">
        <f t="shared" si="111"/>
        <v>0</v>
      </c>
      <c r="R2755" s="207"/>
      <c r="S2755" s="207"/>
      <c r="T2755" s="207"/>
      <c r="U2755" s="207"/>
      <c r="V2755" s="166">
        <f t="shared" si="113"/>
        <v>0</v>
      </c>
      <c r="W2755" s="205"/>
      <c r="X2755" s="167"/>
    </row>
    <row r="2756" spans="8:24" s="221" customFormat="1" ht="12" hidden="1" customHeight="1">
      <c r="H2756" s="207"/>
      <c r="I2756" s="207"/>
      <c r="J2756" s="167"/>
      <c r="K2756" s="167"/>
      <c r="L2756" s="209"/>
      <c r="M2756" s="169"/>
      <c r="N2756" s="169"/>
      <c r="O2756" s="169">
        <f t="shared" si="112"/>
        <v>0</v>
      </c>
      <c r="P2756" s="169"/>
      <c r="Q2756" s="166">
        <f t="shared" si="111"/>
        <v>0</v>
      </c>
      <c r="R2756" s="207"/>
      <c r="S2756" s="207"/>
      <c r="T2756" s="207"/>
      <c r="U2756" s="207"/>
      <c r="V2756" s="166">
        <f t="shared" si="113"/>
        <v>0</v>
      </c>
      <c r="W2756" s="205"/>
      <c r="X2756" s="167"/>
    </row>
    <row r="2757" spans="8:24" s="221" customFormat="1" ht="12" hidden="1" customHeight="1">
      <c r="H2757" s="207"/>
      <c r="I2757" s="207"/>
      <c r="J2757" s="167"/>
      <c r="K2757" s="167"/>
      <c r="L2757" s="209"/>
      <c r="M2757" s="169"/>
      <c r="N2757" s="169"/>
      <c r="O2757" s="169">
        <f t="shared" si="112"/>
        <v>0</v>
      </c>
      <c r="P2757" s="169"/>
      <c r="Q2757" s="166">
        <f t="shared" si="111"/>
        <v>0</v>
      </c>
      <c r="R2757" s="207"/>
      <c r="S2757" s="207"/>
      <c r="T2757" s="207"/>
      <c r="U2757" s="207"/>
      <c r="V2757" s="166">
        <f t="shared" si="113"/>
        <v>0</v>
      </c>
      <c r="W2757" s="205"/>
      <c r="X2757" s="167"/>
    </row>
    <row r="2758" spans="8:24" s="221" customFormat="1" ht="12" hidden="1" customHeight="1">
      <c r="H2758" s="207"/>
      <c r="I2758" s="207"/>
      <c r="J2758" s="167"/>
      <c r="K2758" s="167"/>
      <c r="L2758" s="209"/>
      <c r="M2758" s="169"/>
      <c r="N2758" s="169"/>
      <c r="O2758" s="169">
        <f t="shared" si="112"/>
        <v>0</v>
      </c>
      <c r="P2758" s="169"/>
      <c r="Q2758" s="166">
        <f t="shared" si="111"/>
        <v>0</v>
      </c>
      <c r="R2758" s="207"/>
      <c r="S2758" s="207"/>
      <c r="T2758" s="207"/>
      <c r="U2758" s="207"/>
      <c r="V2758" s="166">
        <f t="shared" si="113"/>
        <v>0</v>
      </c>
      <c r="W2758" s="205"/>
      <c r="X2758" s="167"/>
    </row>
    <row r="2759" spans="8:24" s="221" customFormat="1" ht="12" hidden="1" customHeight="1">
      <c r="H2759" s="207"/>
      <c r="I2759" s="207"/>
      <c r="J2759" s="167"/>
      <c r="K2759" s="167"/>
      <c r="L2759" s="209"/>
      <c r="M2759" s="169"/>
      <c r="N2759" s="169"/>
      <c r="O2759" s="169">
        <f t="shared" si="112"/>
        <v>0</v>
      </c>
      <c r="P2759" s="169"/>
      <c r="Q2759" s="166">
        <f t="shared" si="111"/>
        <v>0</v>
      </c>
      <c r="R2759" s="207"/>
      <c r="S2759" s="207"/>
      <c r="T2759" s="207"/>
      <c r="U2759" s="207"/>
      <c r="V2759" s="166">
        <f t="shared" si="113"/>
        <v>0</v>
      </c>
      <c r="W2759" s="205"/>
      <c r="X2759" s="167"/>
    </row>
    <row r="2760" spans="8:24" s="221" customFormat="1" ht="12" hidden="1" customHeight="1">
      <c r="H2760" s="207"/>
      <c r="I2760" s="207"/>
      <c r="J2760" s="167"/>
      <c r="K2760" s="167"/>
      <c r="L2760" s="209"/>
      <c r="M2760" s="169"/>
      <c r="N2760" s="169"/>
      <c r="O2760" s="169">
        <f t="shared" si="112"/>
        <v>0</v>
      </c>
      <c r="P2760" s="169"/>
      <c r="Q2760" s="166">
        <f t="shared" si="111"/>
        <v>0</v>
      </c>
      <c r="R2760" s="207"/>
      <c r="S2760" s="207"/>
      <c r="T2760" s="207"/>
      <c r="U2760" s="207"/>
      <c r="V2760" s="166">
        <f t="shared" si="113"/>
        <v>0</v>
      </c>
      <c r="W2760" s="205"/>
      <c r="X2760" s="167"/>
    </row>
    <row r="2761" spans="8:24" s="221" customFormat="1" ht="12" hidden="1" customHeight="1">
      <c r="H2761" s="207"/>
      <c r="I2761" s="207"/>
      <c r="J2761" s="167"/>
      <c r="K2761" s="167"/>
      <c r="L2761" s="209"/>
      <c r="M2761" s="169"/>
      <c r="N2761" s="169"/>
      <c r="O2761" s="169">
        <f t="shared" si="112"/>
        <v>0</v>
      </c>
      <c r="P2761" s="169"/>
      <c r="Q2761" s="166">
        <f t="shared" si="111"/>
        <v>0</v>
      </c>
      <c r="R2761" s="207"/>
      <c r="S2761" s="207"/>
      <c r="T2761" s="207"/>
      <c r="U2761" s="207"/>
      <c r="V2761" s="166">
        <f t="shared" si="113"/>
        <v>0</v>
      </c>
      <c r="W2761" s="205"/>
      <c r="X2761" s="167"/>
    </row>
    <row r="2762" spans="8:24" s="221" customFormat="1" ht="12" hidden="1" customHeight="1">
      <c r="H2762" s="207"/>
      <c r="I2762" s="207"/>
      <c r="J2762" s="167"/>
      <c r="K2762" s="167"/>
      <c r="L2762" s="209"/>
      <c r="M2762" s="169"/>
      <c r="N2762" s="169"/>
      <c r="O2762" s="169">
        <f t="shared" si="112"/>
        <v>0</v>
      </c>
      <c r="P2762" s="169"/>
      <c r="Q2762" s="166">
        <f t="shared" si="111"/>
        <v>0</v>
      </c>
      <c r="R2762" s="207"/>
      <c r="S2762" s="207"/>
      <c r="T2762" s="207"/>
      <c r="U2762" s="207"/>
      <c r="V2762" s="166">
        <f t="shared" si="113"/>
        <v>0</v>
      </c>
      <c r="W2762" s="205"/>
      <c r="X2762" s="167"/>
    </row>
    <row r="2763" spans="8:24" s="221" customFormat="1" ht="12" hidden="1" customHeight="1">
      <c r="H2763" s="207"/>
      <c r="I2763" s="207"/>
      <c r="J2763" s="167"/>
      <c r="K2763" s="167"/>
      <c r="L2763" s="209"/>
      <c r="M2763" s="169"/>
      <c r="N2763" s="169"/>
      <c r="O2763" s="169">
        <f t="shared" si="112"/>
        <v>0</v>
      </c>
      <c r="P2763" s="169"/>
      <c r="Q2763" s="166">
        <f t="shared" si="111"/>
        <v>0</v>
      </c>
      <c r="R2763" s="207"/>
      <c r="S2763" s="207"/>
      <c r="T2763" s="207"/>
      <c r="U2763" s="207"/>
      <c r="V2763" s="166">
        <f t="shared" si="113"/>
        <v>0</v>
      </c>
      <c r="W2763" s="205"/>
      <c r="X2763" s="167"/>
    </row>
    <row r="2764" spans="8:24" s="221" customFormat="1" ht="12" hidden="1" customHeight="1">
      <c r="H2764" s="207"/>
      <c r="I2764" s="207"/>
      <c r="J2764" s="167"/>
      <c r="K2764" s="167"/>
      <c r="L2764" s="209"/>
      <c r="M2764" s="169"/>
      <c r="N2764" s="169"/>
      <c r="O2764" s="169">
        <f t="shared" si="112"/>
        <v>0</v>
      </c>
      <c r="P2764" s="169"/>
      <c r="Q2764" s="166">
        <f t="shared" si="111"/>
        <v>0</v>
      </c>
      <c r="R2764" s="207"/>
      <c r="S2764" s="207"/>
      <c r="T2764" s="207"/>
      <c r="U2764" s="207"/>
      <c r="V2764" s="166">
        <f t="shared" si="113"/>
        <v>0</v>
      </c>
      <c r="W2764" s="205"/>
      <c r="X2764" s="167"/>
    </row>
    <row r="2765" spans="8:24" s="221" customFormat="1" ht="12" hidden="1" customHeight="1">
      <c r="H2765" s="207"/>
      <c r="I2765" s="207"/>
      <c r="J2765" s="167"/>
      <c r="K2765" s="167"/>
      <c r="L2765" s="209"/>
      <c r="M2765" s="169"/>
      <c r="N2765" s="169"/>
      <c r="O2765" s="169">
        <f t="shared" si="112"/>
        <v>0</v>
      </c>
      <c r="P2765" s="169"/>
      <c r="Q2765" s="166">
        <f t="shared" si="111"/>
        <v>0</v>
      </c>
      <c r="R2765" s="207"/>
      <c r="S2765" s="207"/>
      <c r="T2765" s="207"/>
      <c r="U2765" s="207"/>
      <c r="V2765" s="166">
        <f t="shared" si="113"/>
        <v>0</v>
      </c>
      <c r="W2765" s="205"/>
      <c r="X2765" s="167"/>
    </row>
    <row r="2766" spans="8:24" s="221" customFormat="1" ht="12" hidden="1" customHeight="1">
      <c r="H2766" s="207"/>
      <c r="I2766" s="207"/>
      <c r="J2766" s="167"/>
      <c r="K2766" s="167"/>
      <c r="L2766" s="209"/>
      <c r="M2766" s="169"/>
      <c r="N2766" s="169"/>
      <c r="O2766" s="169">
        <f t="shared" si="112"/>
        <v>0</v>
      </c>
      <c r="P2766" s="169"/>
      <c r="Q2766" s="166">
        <f t="shared" si="111"/>
        <v>0</v>
      </c>
      <c r="R2766" s="207"/>
      <c r="S2766" s="207"/>
      <c r="T2766" s="207"/>
      <c r="U2766" s="207"/>
      <c r="V2766" s="166">
        <f t="shared" si="113"/>
        <v>0</v>
      </c>
      <c r="W2766" s="205"/>
      <c r="X2766" s="167"/>
    </row>
    <row r="2767" spans="8:24" s="221" customFormat="1" ht="12" hidden="1" customHeight="1">
      <c r="H2767" s="207"/>
      <c r="I2767" s="207"/>
      <c r="J2767" s="167"/>
      <c r="K2767" s="167"/>
      <c r="L2767" s="209"/>
      <c r="M2767" s="169"/>
      <c r="N2767" s="169"/>
      <c r="O2767" s="169">
        <f t="shared" si="112"/>
        <v>0</v>
      </c>
      <c r="P2767" s="169"/>
      <c r="Q2767" s="166">
        <f t="shared" si="111"/>
        <v>0</v>
      </c>
      <c r="R2767" s="207"/>
      <c r="S2767" s="207"/>
      <c r="T2767" s="207"/>
      <c r="U2767" s="207"/>
      <c r="V2767" s="166">
        <f t="shared" si="113"/>
        <v>0</v>
      </c>
      <c r="W2767" s="205"/>
      <c r="X2767" s="167"/>
    </row>
    <row r="2768" spans="8:24" s="221" customFormat="1" ht="12" hidden="1" customHeight="1">
      <c r="H2768" s="207"/>
      <c r="I2768" s="207"/>
      <c r="J2768" s="167"/>
      <c r="K2768" s="167"/>
      <c r="L2768" s="209"/>
      <c r="M2768" s="169"/>
      <c r="N2768" s="169"/>
      <c r="O2768" s="169">
        <f t="shared" si="112"/>
        <v>0</v>
      </c>
      <c r="P2768" s="169"/>
      <c r="Q2768" s="166">
        <f t="shared" si="111"/>
        <v>0</v>
      </c>
      <c r="R2768" s="207"/>
      <c r="S2768" s="207"/>
      <c r="T2768" s="207"/>
      <c r="U2768" s="207"/>
      <c r="V2768" s="166">
        <f t="shared" si="113"/>
        <v>0</v>
      </c>
      <c r="W2768" s="205"/>
      <c r="X2768" s="167"/>
    </row>
    <row r="2769" spans="8:24" s="221" customFormat="1" ht="12" hidden="1" customHeight="1">
      <c r="H2769" s="207"/>
      <c r="I2769" s="207"/>
      <c r="J2769" s="167"/>
      <c r="K2769" s="167"/>
      <c r="L2769" s="209"/>
      <c r="M2769" s="169"/>
      <c r="N2769" s="169"/>
      <c r="O2769" s="169">
        <f t="shared" si="112"/>
        <v>0</v>
      </c>
      <c r="P2769" s="169"/>
      <c r="Q2769" s="166">
        <f t="shared" si="111"/>
        <v>0</v>
      </c>
      <c r="R2769" s="207"/>
      <c r="S2769" s="207"/>
      <c r="T2769" s="207"/>
      <c r="U2769" s="207"/>
      <c r="V2769" s="166">
        <f t="shared" si="113"/>
        <v>0</v>
      </c>
      <c r="W2769" s="205"/>
      <c r="X2769" s="167"/>
    </row>
    <row r="2770" spans="8:24" s="221" customFormat="1" ht="12" hidden="1" customHeight="1">
      <c r="H2770" s="207"/>
      <c r="I2770" s="207"/>
      <c r="J2770" s="167"/>
      <c r="K2770" s="167"/>
      <c r="L2770" s="209"/>
      <c r="M2770" s="169"/>
      <c r="N2770" s="169"/>
      <c r="O2770" s="169">
        <f t="shared" si="112"/>
        <v>0</v>
      </c>
      <c r="P2770" s="169"/>
      <c r="Q2770" s="166">
        <f t="shared" si="111"/>
        <v>0</v>
      </c>
      <c r="R2770" s="207"/>
      <c r="S2770" s="207"/>
      <c r="T2770" s="207"/>
      <c r="U2770" s="207"/>
      <c r="V2770" s="166">
        <f t="shared" si="113"/>
        <v>0</v>
      </c>
      <c r="W2770" s="205"/>
      <c r="X2770" s="167"/>
    </row>
    <row r="2771" spans="8:24" s="221" customFormat="1" ht="12" hidden="1" customHeight="1">
      <c r="H2771" s="207"/>
      <c r="I2771" s="207"/>
      <c r="J2771" s="167"/>
      <c r="K2771" s="167"/>
      <c r="L2771" s="209"/>
      <c r="M2771" s="169"/>
      <c r="N2771" s="169"/>
      <c r="O2771" s="169">
        <f t="shared" si="112"/>
        <v>0</v>
      </c>
      <c r="P2771" s="169"/>
      <c r="Q2771" s="166">
        <f t="shared" si="111"/>
        <v>0</v>
      </c>
      <c r="R2771" s="207"/>
      <c r="S2771" s="207"/>
      <c r="T2771" s="207"/>
      <c r="U2771" s="207"/>
      <c r="V2771" s="166">
        <f t="shared" si="113"/>
        <v>0</v>
      </c>
      <c r="W2771" s="205"/>
      <c r="X2771" s="167"/>
    </row>
    <row r="2772" spans="8:24" s="221" customFormat="1" ht="12" hidden="1" customHeight="1">
      <c r="H2772" s="207"/>
      <c r="I2772" s="207"/>
      <c r="J2772" s="167"/>
      <c r="K2772" s="167"/>
      <c r="L2772" s="209"/>
      <c r="M2772" s="169"/>
      <c r="N2772" s="169"/>
      <c r="O2772" s="169">
        <f t="shared" si="112"/>
        <v>0</v>
      </c>
      <c r="P2772" s="169"/>
      <c r="Q2772" s="166">
        <f t="shared" si="111"/>
        <v>0</v>
      </c>
      <c r="R2772" s="207"/>
      <c r="S2772" s="207"/>
      <c r="T2772" s="207"/>
      <c r="U2772" s="207"/>
      <c r="V2772" s="166">
        <f t="shared" si="113"/>
        <v>0</v>
      </c>
      <c r="W2772" s="205"/>
      <c r="X2772" s="167"/>
    </row>
    <row r="2773" spans="8:24" s="221" customFormat="1" ht="12" hidden="1" customHeight="1">
      <c r="H2773" s="207"/>
      <c r="I2773" s="207"/>
      <c r="J2773" s="167"/>
      <c r="K2773" s="167"/>
      <c r="L2773" s="209"/>
      <c r="M2773" s="169"/>
      <c r="N2773" s="169"/>
      <c r="O2773" s="169">
        <f t="shared" si="112"/>
        <v>0</v>
      </c>
      <c r="P2773" s="169"/>
      <c r="Q2773" s="166">
        <f t="shared" si="111"/>
        <v>0</v>
      </c>
      <c r="R2773" s="207"/>
      <c r="S2773" s="207"/>
      <c r="T2773" s="207"/>
      <c r="U2773" s="207"/>
      <c r="V2773" s="166">
        <f t="shared" si="113"/>
        <v>0</v>
      </c>
      <c r="W2773" s="205"/>
      <c r="X2773" s="167"/>
    </row>
    <row r="2774" spans="8:24" s="221" customFormat="1" ht="12" hidden="1" customHeight="1">
      <c r="H2774" s="207"/>
      <c r="I2774" s="207"/>
      <c r="J2774" s="167"/>
      <c r="K2774" s="167"/>
      <c r="L2774" s="209"/>
      <c r="M2774" s="169"/>
      <c r="N2774" s="169"/>
      <c r="O2774" s="169">
        <f t="shared" si="112"/>
        <v>0</v>
      </c>
      <c r="P2774" s="169"/>
      <c r="Q2774" s="166">
        <f t="shared" si="111"/>
        <v>0</v>
      </c>
      <c r="R2774" s="207"/>
      <c r="S2774" s="207"/>
      <c r="T2774" s="207"/>
      <c r="U2774" s="207"/>
      <c r="V2774" s="166">
        <f t="shared" si="113"/>
        <v>0</v>
      </c>
      <c r="W2774" s="205"/>
      <c r="X2774" s="167"/>
    </row>
    <row r="2775" spans="8:24" s="221" customFormat="1" ht="12" hidden="1" customHeight="1">
      <c r="H2775" s="207"/>
      <c r="I2775" s="207"/>
      <c r="J2775" s="167"/>
      <c r="K2775" s="167"/>
      <c r="L2775" s="209"/>
      <c r="M2775" s="169"/>
      <c r="N2775" s="169"/>
      <c r="O2775" s="169">
        <f t="shared" si="112"/>
        <v>0</v>
      </c>
      <c r="P2775" s="169"/>
      <c r="Q2775" s="166">
        <f t="shared" si="111"/>
        <v>0</v>
      </c>
      <c r="R2775" s="207"/>
      <c r="S2775" s="207"/>
      <c r="T2775" s="207"/>
      <c r="U2775" s="207"/>
      <c r="V2775" s="166">
        <f t="shared" si="113"/>
        <v>0</v>
      </c>
      <c r="W2775" s="205"/>
      <c r="X2775" s="167"/>
    </row>
    <row r="2776" spans="8:24" s="221" customFormat="1" ht="12" hidden="1" customHeight="1">
      <c r="H2776" s="207"/>
      <c r="I2776" s="207"/>
      <c r="J2776" s="167"/>
      <c r="K2776" s="167"/>
      <c r="L2776" s="209"/>
      <c r="M2776" s="169"/>
      <c r="N2776" s="169"/>
      <c r="O2776" s="169">
        <f t="shared" si="112"/>
        <v>0</v>
      </c>
      <c r="P2776" s="169"/>
      <c r="Q2776" s="166">
        <f t="shared" si="111"/>
        <v>0</v>
      </c>
      <c r="R2776" s="207"/>
      <c r="S2776" s="207"/>
      <c r="T2776" s="207"/>
      <c r="U2776" s="207"/>
      <c r="V2776" s="166">
        <f t="shared" si="113"/>
        <v>0</v>
      </c>
      <c r="W2776" s="205"/>
      <c r="X2776" s="167"/>
    </row>
    <row r="2777" spans="8:24" s="221" customFormat="1" ht="12" hidden="1" customHeight="1">
      <c r="H2777" s="207"/>
      <c r="I2777" s="207"/>
      <c r="J2777" s="167"/>
      <c r="K2777" s="167"/>
      <c r="L2777" s="209"/>
      <c r="M2777" s="169"/>
      <c r="N2777" s="169"/>
      <c r="O2777" s="169">
        <f t="shared" si="112"/>
        <v>0</v>
      </c>
      <c r="P2777" s="169"/>
      <c r="Q2777" s="166">
        <f t="shared" si="111"/>
        <v>0</v>
      </c>
      <c r="R2777" s="207"/>
      <c r="S2777" s="207"/>
      <c r="T2777" s="207"/>
      <c r="U2777" s="207"/>
      <c r="V2777" s="166">
        <f t="shared" si="113"/>
        <v>0</v>
      </c>
      <c r="W2777" s="205"/>
      <c r="X2777" s="167"/>
    </row>
    <row r="2778" spans="8:24" s="221" customFormat="1" ht="12" hidden="1" customHeight="1">
      <c r="H2778" s="207"/>
      <c r="I2778" s="207"/>
      <c r="J2778" s="167"/>
      <c r="K2778" s="167"/>
      <c r="L2778" s="209"/>
      <c r="M2778" s="169"/>
      <c r="N2778" s="169"/>
      <c r="O2778" s="169">
        <f t="shared" si="112"/>
        <v>0</v>
      </c>
      <c r="P2778" s="169"/>
      <c r="Q2778" s="166">
        <f t="shared" si="111"/>
        <v>0</v>
      </c>
      <c r="R2778" s="207"/>
      <c r="S2778" s="207"/>
      <c r="T2778" s="207"/>
      <c r="U2778" s="207"/>
      <c r="V2778" s="166">
        <f t="shared" si="113"/>
        <v>0</v>
      </c>
      <c r="W2778" s="205"/>
      <c r="X2778" s="167"/>
    </row>
    <row r="2779" spans="8:24" s="221" customFormat="1" ht="12" hidden="1" customHeight="1">
      <c r="H2779" s="207"/>
      <c r="I2779" s="207"/>
      <c r="J2779" s="167"/>
      <c r="K2779" s="167"/>
      <c r="L2779" s="209"/>
      <c r="M2779" s="169"/>
      <c r="N2779" s="169"/>
      <c r="O2779" s="169">
        <f t="shared" si="112"/>
        <v>0</v>
      </c>
      <c r="P2779" s="169"/>
      <c r="Q2779" s="166">
        <f t="shared" si="111"/>
        <v>0</v>
      </c>
      <c r="R2779" s="207"/>
      <c r="S2779" s="207"/>
      <c r="T2779" s="207"/>
      <c r="U2779" s="207"/>
      <c r="V2779" s="166">
        <f t="shared" si="113"/>
        <v>0</v>
      </c>
      <c r="W2779" s="205"/>
      <c r="X2779" s="167"/>
    </row>
    <row r="2780" spans="8:24" s="221" customFormat="1" ht="12" hidden="1" customHeight="1">
      <c r="H2780" s="207"/>
      <c r="I2780" s="207"/>
      <c r="J2780" s="167"/>
      <c r="K2780" s="167"/>
      <c r="L2780" s="209"/>
      <c r="M2780" s="169"/>
      <c r="N2780" s="169"/>
      <c r="O2780" s="169">
        <f t="shared" si="112"/>
        <v>0</v>
      </c>
      <c r="P2780" s="169"/>
      <c r="Q2780" s="166">
        <f t="shared" si="111"/>
        <v>0</v>
      </c>
      <c r="R2780" s="207"/>
      <c r="S2780" s="207"/>
      <c r="T2780" s="207"/>
      <c r="U2780" s="207"/>
      <c r="V2780" s="166">
        <f t="shared" si="113"/>
        <v>0</v>
      </c>
      <c r="W2780" s="205"/>
      <c r="X2780" s="167"/>
    </row>
    <row r="2781" spans="8:24" s="221" customFormat="1" ht="12" hidden="1" customHeight="1">
      <c r="H2781" s="207"/>
      <c r="I2781" s="207"/>
      <c r="J2781" s="167"/>
      <c r="K2781" s="167"/>
      <c r="L2781" s="209"/>
      <c r="M2781" s="169"/>
      <c r="N2781" s="169"/>
      <c r="O2781" s="169">
        <f t="shared" si="112"/>
        <v>0</v>
      </c>
      <c r="P2781" s="169"/>
      <c r="Q2781" s="166">
        <f t="shared" si="111"/>
        <v>0</v>
      </c>
      <c r="R2781" s="207"/>
      <c r="S2781" s="207"/>
      <c r="T2781" s="207"/>
      <c r="U2781" s="207"/>
      <c r="V2781" s="166">
        <f t="shared" si="113"/>
        <v>0</v>
      </c>
      <c r="W2781" s="205"/>
      <c r="X2781" s="167"/>
    </row>
    <row r="2782" spans="8:24" s="221" customFormat="1" ht="12" hidden="1" customHeight="1">
      <c r="H2782" s="207"/>
      <c r="I2782" s="207"/>
      <c r="J2782" s="167"/>
      <c r="K2782" s="167"/>
      <c r="L2782" s="209"/>
      <c r="M2782" s="169"/>
      <c r="N2782" s="169"/>
      <c r="O2782" s="169">
        <f t="shared" si="112"/>
        <v>0</v>
      </c>
      <c r="P2782" s="169"/>
      <c r="Q2782" s="166">
        <f t="shared" si="111"/>
        <v>0</v>
      </c>
      <c r="R2782" s="207"/>
      <c r="S2782" s="207"/>
      <c r="T2782" s="207"/>
      <c r="U2782" s="207"/>
      <c r="V2782" s="166">
        <f t="shared" si="113"/>
        <v>0</v>
      </c>
      <c r="W2782" s="205"/>
      <c r="X2782" s="167"/>
    </row>
    <row r="2783" spans="8:24" s="221" customFormat="1" ht="12" hidden="1" customHeight="1">
      <c r="H2783" s="207"/>
      <c r="I2783" s="207"/>
      <c r="J2783" s="167"/>
      <c r="K2783" s="167"/>
      <c r="L2783" s="209"/>
      <c r="M2783" s="169"/>
      <c r="N2783" s="169"/>
      <c r="O2783" s="169">
        <f t="shared" si="112"/>
        <v>0</v>
      </c>
      <c r="P2783" s="169"/>
      <c r="Q2783" s="166">
        <f t="shared" si="111"/>
        <v>0</v>
      </c>
      <c r="R2783" s="207"/>
      <c r="S2783" s="207"/>
      <c r="T2783" s="207"/>
      <c r="U2783" s="207"/>
      <c r="V2783" s="166">
        <f t="shared" si="113"/>
        <v>0</v>
      </c>
      <c r="W2783" s="205"/>
      <c r="X2783" s="167"/>
    </row>
    <row r="2784" spans="8:24" s="221" customFormat="1" ht="12" hidden="1" customHeight="1">
      <c r="H2784" s="207"/>
      <c r="I2784" s="207"/>
      <c r="J2784" s="167"/>
      <c r="K2784" s="167"/>
      <c r="L2784" s="209"/>
      <c r="M2784" s="169"/>
      <c r="N2784" s="169"/>
      <c r="O2784" s="169">
        <f t="shared" si="112"/>
        <v>0</v>
      </c>
      <c r="P2784" s="169"/>
      <c r="Q2784" s="166">
        <f t="shared" si="111"/>
        <v>0</v>
      </c>
      <c r="R2784" s="207"/>
      <c r="S2784" s="207"/>
      <c r="T2784" s="207"/>
      <c r="U2784" s="207"/>
      <c r="V2784" s="166">
        <f t="shared" si="113"/>
        <v>0</v>
      </c>
      <c r="W2784" s="205"/>
      <c r="X2784" s="167"/>
    </row>
    <row r="2785" spans="8:24" s="221" customFormat="1" ht="12" hidden="1" customHeight="1">
      <c r="H2785" s="207"/>
      <c r="I2785" s="207"/>
      <c r="J2785" s="167"/>
      <c r="K2785" s="167"/>
      <c r="L2785" s="209"/>
      <c r="M2785" s="169"/>
      <c r="N2785" s="169"/>
      <c r="O2785" s="169">
        <f t="shared" si="112"/>
        <v>0</v>
      </c>
      <c r="P2785" s="169"/>
      <c r="Q2785" s="166">
        <f t="shared" si="111"/>
        <v>0</v>
      </c>
      <c r="R2785" s="207"/>
      <c r="S2785" s="207"/>
      <c r="T2785" s="207"/>
      <c r="U2785" s="207"/>
      <c r="V2785" s="166">
        <f t="shared" si="113"/>
        <v>0</v>
      </c>
      <c r="W2785" s="205"/>
      <c r="X2785" s="167"/>
    </row>
    <row r="2786" spans="8:24" s="221" customFormat="1" ht="12" hidden="1" customHeight="1">
      <c r="H2786" s="207"/>
      <c r="I2786" s="207"/>
      <c r="J2786" s="167"/>
      <c r="K2786" s="167"/>
      <c r="L2786" s="209"/>
      <c r="M2786" s="169"/>
      <c r="N2786" s="169"/>
      <c r="O2786" s="169">
        <f t="shared" si="112"/>
        <v>0</v>
      </c>
      <c r="P2786" s="169"/>
      <c r="Q2786" s="166">
        <f t="shared" si="111"/>
        <v>0</v>
      </c>
      <c r="R2786" s="207"/>
      <c r="S2786" s="207"/>
      <c r="T2786" s="207"/>
      <c r="U2786" s="207"/>
      <c r="V2786" s="166">
        <f t="shared" si="113"/>
        <v>0</v>
      </c>
      <c r="W2786" s="205"/>
      <c r="X2786" s="167"/>
    </row>
    <row r="2787" spans="8:24" s="221" customFormat="1" ht="12" hidden="1" customHeight="1">
      <c r="H2787" s="207"/>
      <c r="I2787" s="207"/>
      <c r="J2787" s="167"/>
      <c r="K2787" s="167"/>
      <c r="L2787" s="209"/>
      <c r="M2787" s="169"/>
      <c r="N2787" s="169"/>
      <c r="O2787" s="169">
        <f t="shared" si="112"/>
        <v>0</v>
      </c>
      <c r="P2787" s="169"/>
      <c r="Q2787" s="166">
        <f t="shared" si="111"/>
        <v>0</v>
      </c>
      <c r="R2787" s="207"/>
      <c r="S2787" s="207"/>
      <c r="T2787" s="207"/>
      <c r="U2787" s="207"/>
      <c r="V2787" s="166">
        <f t="shared" si="113"/>
        <v>0</v>
      </c>
      <c r="W2787" s="205"/>
      <c r="X2787" s="167"/>
    </row>
    <row r="2788" spans="8:24" s="221" customFormat="1" ht="12" hidden="1" customHeight="1">
      <c r="H2788" s="207"/>
      <c r="I2788" s="207"/>
      <c r="J2788" s="167"/>
      <c r="K2788" s="167"/>
      <c r="L2788" s="209"/>
      <c r="M2788" s="169"/>
      <c r="N2788" s="169"/>
      <c r="O2788" s="169">
        <f t="shared" si="112"/>
        <v>0</v>
      </c>
      <c r="P2788" s="169"/>
      <c r="Q2788" s="166">
        <f t="shared" si="111"/>
        <v>0</v>
      </c>
      <c r="R2788" s="207"/>
      <c r="S2788" s="207"/>
      <c r="T2788" s="207"/>
      <c r="U2788" s="207"/>
      <c r="V2788" s="166">
        <f t="shared" si="113"/>
        <v>0</v>
      </c>
      <c r="W2788" s="205"/>
      <c r="X2788" s="167"/>
    </row>
    <row r="2789" spans="8:24" s="221" customFormat="1" ht="12" hidden="1" customHeight="1">
      <c r="H2789" s="207"/>
      <c r="I2789" s="207"/>
      <c r="J2789" s="167"/>
      <c r="K2789" s="167"/>
      <c r="L2789" s="209"/>
      <c r="M2789" s="169"/>
      <c r="N2789" s="169"/>
      <c r="O2789" s="169">
        <f t="shared" si="112"/>
        <v>0</v>
      </c>
      <c r="P2789" s="169"/>
      <c r="Q2789" s="166">
        <f t="shared" si="111"/>
        <v>0</v>
      </c>
      <c r="R2789" s="207"/>
      <c r="S2789" s="207"/>
      <c r="T2789" s="207"/>
      <c r="U2789" s="207"/>
      <c r="V2789" s="166">
        <f t="shared" si="113"/>
        <v>0</v>
      </c>
      <c r="W2789" s="205"/>
      <c r="X2789" s="167"/>
    </row>
    <row r="2790" spans="8:24" s="221" customFormat="1" ht="12" hidden="1" customHeight="1">
      <c r="H2790" s="207"/>
      <c r="I2790" s="207"/>
      <c r="J2790" s="167"/>
      <c r="K2790" s="167"/>
      <c r="L2790" s="209"/>
      <c r="M2790" s="169"/>
      <c r="N2790" s="169"/>
      <c r="O2790" s="169">
        <f t="shared" si="112"/>
        <v>0</v>
      </c>
      <c r="P2790" s="169"/>
      <c r="Q2790" s="166">
        <f t="shared" si="111"/>
        <v>0</v>
      </c>
      <c r="R2790" s="207"/>
      <c r="S2790" s="207"/>
      <c r="T2790" s="207"/>
      <c r="U2790" s="207"/>
      <c r="V2790" s="166">
        <f t="shared" si="113"/>
        <v>0</v>
      </c>
      <c r="W2790" s="205"/>
      <c r="X2790" s="167"/>
    </row>
    <row r="2791" spans="8:24" s="221" customFormat="1" ht="12" hidden="1" customHeight="1">
      <c r="H2791" s="207"/>
      <c r="I2791" s="207"/>
      <c r="J2791" s="167"/>
      <c r="K2791" s="167"/>
      <c r="L2791" s="209"/>
      <c r="M2791" s="169"/>
      <c r="N2791" s="169"/>
      <c r="O2791" s="169">
        <f t="shared" si="112"/>
        <v>0</v>
      </c>
      <c r="P2791" s="169"/>
      <c r="Q2791" s="166">
        <f t="shared" si="111"/>
        <v>0</v>
      </c>
      <c r="R2791" s="207"/>
      <c r="S2791" s="207"/>
      <c r="T2791" s="207"/>
      <c r="U2791" s="207"/>
      <c r="V2791" s="166">
        <f t="shared" si="113"/>
        <v>0</v>
      </c>
      <c r="W2791" s="205"/>
      <c r="X2791" s="167"/>
    </row>
    <row r="2792" spans="8:24" s="221" customFormat="1" ht="12" hidden="1" customHeight="1">
      <c r="H2792" s="207"/>
      <c r="I2792" s="207"/>
      <c r="J2792" s="167"/>
      <c r="K2792" s="167"/>
      <c r="L2792" s="209"/>
      <c r="M2792" s="169"/>
      <c r="N2792" s="169"/>
      <c r="O2792" s="169">
        <f t="shared" si="112"/>
        <v>0</v>
      </c>
      <c r="P2792" s="169"/>
      <c r="Q2792" s="166">
        <f t="shared" si="111"/>
        <v>0</v>
      </c>
      <c r="R2792" s="207"/>
      <c r="S2792" s="207"/>
      <c r="T2792" s="207"/>
      <c r="U2792" s="207"/>
      <c r="V2792" s="166">
        <f t="shared" si="113"/>
        <v>0</v>
      </c>
      <c r="W2792" s="205"/>
      <c r="X2792" s="167"/>
    </row>
    <row r="2793" spans="8:24" s="221" customFormat="1" ht="12" hidden="1" customHeight="1">
      <c r="H2793" s="207"/>
      <c r="I2793" s="207"/>
      <c r="J2793" s="167"/>
      <c r="K2793" s="167"/>
      <c r="L2793" s="209"/>
      <c r="M2793" s="169"/>
      <c r="N2793" s="169"/>
      <c r="O2793" s="169">
        <f t="shared" si="112"/>
        <v>0</v>
      </c>
      <c r="P2793" s="169"/>
      <c r="Q2793" s="166">
        <f t="shared" si="111"/>
        <v>0</v>
      </c>
      <c r="R2793" s="207"/>
      <c r="S2793" s="207"/>
      <c r="T2793" s="207"/>
      <c r="U2793" s="207"/>
      <c r="V2793" s="166">
        <f t="shared" si="113"/>
        <v>0</v>
      </c>
      <c r="W2793" s="205"/>
      <c r="X2793" s="167"/>
    </row>
    <row r="2794" spans="8:24" s="221" customFormat="1" ht="12" hidden="1" customHeight="1">
      <c r="H2794" s="207"/>
      <c r="I2794" s="207"/>
      <c r="J2794" s="167"/>
      <c r="K2794" s="167"/>
      <c r="L2794" s="209"/>
      <c r="M2794" s="169"/>
      <c r="N2794" s="169"/>
      <c r="O2794" s="169">
        <f t="shared" si="112"/>
        <v>0</v>
      </c>
      <c r="P2794" s="169"/>
      <c r="Q2794" s="166">
        <f t="shared" si="111"/>
        <v>0</v>
      </c>
      <c r="R2794" s="207"/>
      <c r="S2794" s="207"/>
      <c r="T2794" s="207"/>
      <c r="U2794" s="207"/>
      <c r="V2794" s="166">
        <f t="shared" si="113"/>
        <v>0</v>
      </c>
      <c r="W2794" s="205"/>
      <c r="X2794" s="167"/>
    </row>
    <row r="2795" spans="8:24" s="221" customFormat="1" ht="12" hidden="1" customHeight="1">
      <c r="H2795" s="207"/>
      <c r="I2795" s="207"/>
      <c r="J2795" s="167"/>
      <c r="K2795" s="167"/>
      <c r="L2795" s="209"/>
      <c r="M2795" s="169"/>
      <c r="N2795" s="169"/>
      <c r="O2795" s="169">
        <f t="shared" si="112"/>
        <v>0</v>
      </c>
      <c r="P2795" s="169"/>
      <c r="Q2795" s="166">
        <f t="shared" si="111"/>
        <v>0</v>
      </c>
      <c r="R2795" s="207"/>
      <c r="S2795" s="207"/>
      <c r="T2795" s="207"/>
      <c r="U2795" s="207"/>
      <c r="V2795" s="166">
        <f t="shared" si="113"/>
        <v>0</v>
      </c>
      <c r="W2795" s="205"/>
      <c r="X2795" s="167"/>
    </row>
    <row r="2796" spans="8:24" s="221" customFormat="1" ht="12" hidden="1" customHeight="1">
      <c r="H2796" s="207"/>
      <c r="I2796" s="207"/>
      <c r="J2796" s="167"/>
      <c r="K2796" s="167"/>
      <c r="L2796" s="209"/>
      <c r="M2796" s="169"/>
      <c r="N2796" s="169"/>
      <c r="O2796" s="169">
        <f t="shared" si="112"/>
        <v>0</v>
      </c>
      <c r="P2796" s="169"/>
      <c r="Q2796" s="166">
        <f t="shared" si="111"/>
        <v>0</v>
      </c>
      <c r="R2796" s="207"/>
      <c r="S2796" s="207"/>
      <c r="T2796" s="207"/>
      <c r="U2796" s="207"/>
      <c r="V2796" s="166">
        <f t="shared" si="113"/>
        <v>0</v>
      </c>
      <c r="W2796" s="205"/>
      <c r="X2796" s="167"/>
    </row>
    <row r="2797" spans="8:24" s="221" customFormat="1" ht="12" hidden="1" customHeight="1">
      <c r="H2797" s="207"/>
      <c r="I2797" s="207"/>
      <c r="J2797" s="167"/>
      <c r="K2797" s="167"/>
      <c r="L2797" s="209"/>
      <c r="M2797" s="169"/>
      <c r="N2797" s="169"/>
      <c r="O2797" s="169">
        <f t="shared" si="112"/>
        <v>0</v>
      </c>
      <c r="P2797" s="169"/>
      <c r="Q2797" s="166">
        <f t="shared" si="111"/>
        <v>0</v>
      </c>
      <c r="R2797" s="207"/>
      <c r="S2797" s="207"/>
      <c r="T2797" s="207"/>
      <c r="U2797" s="207"/>
      <c r="V2797" s="166">
        <f t="shared" si="113"/>
        <v>0</v>
      </c>
      <c r="W2797" s="205"/>
      <c r="X2797" s="167"/>
    </row>
    <row r="2798" spans="8:24" s="221" customFormat="1" ht="12" hidden="1" customHeight="1">
      <c r="H2798" s="207"/>
      <c r="I2798" s="207"/>
      <c r="J2798" s="167"/>
      <c r="K2798" s="167"/>
      <c r="L2798" s="209"/>
      <c r="M2798" s="169"/>
      <c r="N2798" s="169"/>
      <c r="O2798" s="169">
        <f t="shared" si="112"/>
        <v>0</v>
      </c>
      <c r="P2798" s="169"/>
      <c r="Q2798" s="166">
        <f t="shared" si="111"/>
        <v>0</v>
      </c>
      <c r="R2798" s="207"/>
      <c r="S2798" s="207"/>
      <c r="T2798" s="207"/>
      <c r="U2798" s="207"/>
      <c r="V2798" s="166">
        <f t="shared" si="113"/>
        <v>0</v>
      </c>
      <c r="W2798" s="205"/>
      <c r="X2798" s="167"/>
    </row>
    <row r="2799" spans="8:24" s="221" customFormat="1" ht="12" hidden="1" customHeight="1">
      <c r="H2799" s="207"/>
      <c r="I2799" s="207"/>
      <c r="J2799" s="167"/>
      <c r="K2799" s="167"/>
      <c r="L2799" s="209"/>
      <c r="M2799" s="169"/>
      <c r="N2799" s="169"/>
      <c r="O2799" s="169">
        <f t="shared" si="112"/>
        <v>0</v>
      </c>
      <c r="P2799" s="169"/>
      <c r="Q2799" s="166">
        <f t="shared" ref="Q2799:Q2862" si="114">IF(W2799="",M2799*P2799*$Q$3*$W$3,M2799*P2799*$Q$3*W2799)</f>
        <v>0</v>
      </c>
      <c r="R2799" s="207"/>
      <c r="S2799" s="207"/>
      <c r="T2799" s="207"/>
      <c r="U2799" s="207"/>
      <c r="V2799" s="166">
        <f t="shared" si="113"/>
        <v>0</v>
      </c>
      <c r="W2799" s="205"/>
      <c r="X2799" s="167"/>
    </row>
    <row r="2800" spans="8:24" s="221" customFormat="1" ht="12" hidden="1" customHeight="1">
      <c r="H2800" s="207"/>
      <c r="I2800" s="207"/>
      <c r="J2800" s="167"/>
      <c r="K2800" s="167"/>
      <c r="L2800" s="209"/>
      <c r="M2800" s="169"/>
      <c r="N2800" s="169"/>
      <c r="O2800" s="169">
        <f t="shared" si="112"/>
        <v>0</v>
      </c>
      <c r="P2800" s="169"/>
      <c r="Q2800" s="166">
        <f t="shared" si="114"/>
        <v>0</v>
      </c>
      <c r="R2800" s="207"/>
      <c r="S2800" s="207"/>
      <c r="T2800" s="207"/>
      <c r="U2800" s="207"/>
      <c r="V2800" s="166">
        <f t="shared" si="113"/>
        <v>0</v>
      </c>
      <c r="W2800" s="205"/>
      <c r="X2800" s="167"/>
    </row>
    <row r="2801" spans="8:24" s="221" customFormat="1" ht="12" hidden="1" customHeight="1">
      <c r="H2801" s="207"/>
      <c r="I2801" s="207"/>
      <c r="J2801" s="167"/>
      <c r="K2801" s="167"/>
      <c r="L2801" s="209"/>
      <c r="M2801" s="169"/>
      <c r="N2801" s="169"/>
      <c r="O2801" s="169">
        <f t="shared" si="112"/>
        <v>0</v>
      </c>
      <c r="P2801" s="169"/>
      <c r="Q2801" s="166">
        <f t="shared" si="114"/>
        <v>0</v>
      </c>
      <c r="R2801" s="207"/>
      <c r="S2801" s="207"/>
      <c r="T2801" s="207"/>
      <c r="U2801" s="207"/>
      <c r="V2801" s="166">
        <f t="shared" si="113"/>
        <v>0</v>
      </c>
      <c r="W2801" s="205"/>
      <c r="X2801" s="167"/>
    </row>
    <row r="2802" spans="8:24" s="221" customFormat="1" ht="12" hidden="1" customHeight="1">
      <c r="H2802" s="207"/>
      <c r="I2802" s="207"/>
      <c r="J2802" s="167"/>
      <c r="K2802" s="167"/>
      <c r="L2802" s="209"/>
      <c r="M2802" s="169"/>
      <c r="N2802" s="169"/>
      <c r="O2802" s="169">
        <f t="shared" si="112"/>
        <v>0</v>
      </c>
      <c r="P2802" s="169"/>
      <c r="Q2802" s="166">
        <f t="shared" si="114"/>
        <v>0</v>
      </c>
      <c r="R2802" s="207"/>
      <c r="S2802" s="207"/>
      <c r="T2802" s="207"/>
      <c r="U2802" s="207"/>
      <c r="V2802" s="166">
        <f t="shared" si="113"/>
        <v>0</v>
      </c>
      <c r="W2802" s="205"/>
      <c r="X2802" s="167"/>
    </row>
    <row r="2803" spans="8:24" s="221" customFormat="1" ht="12" hidden="1" customHeight="1">
      <c r="H2803" s="207"/>
      <c r="I2803" s="207"/>
      <c r="J2803" s="167"/>
      <c r="K2803" s="167"/>
      <c r="L2803" s="209"/>
      <c r="M2803" s="169"/>
      <c r="N2803" s="169"/>
      <c r="O2803" s="169">
        <f t="shared" si="112"/>
        <v>0</v>
      </c>
      <c r="P2803" s="169"/>
      <c r="Q2803" s="166">
        <f t="shared" si="114"/>
        <v>0</v>
      </c>
      <c r="R2803" s="207"/>
      <c r="S2803" s="207"/>
      <c r="T2803" s="207"/>
      <c r="U2803" s="207"/>
      <c r="V2803" s="166">
        <f t="shared" si="113"/>
        <v>0</v>
      </c>
      <c r="W2803" s="205"/>
      <c r="X2803" s="167"/>
    </row>
    <row r="2804" spans="8:24" s="221" customFormat="1" ht="12" hidden="1" customHeight="1">
      <c r="H2804" s="207"/>
      <c r="I2804" s="207"/>
      <c r="J2804" s="167"/>
      <c r="K2804" s="167"/>
      <c r="L2804" s="209"/>
      <c r="M2804" s="169"/>
      <c r="N2804" s="169"/>
      <c r="O2804" s="169">
        <f t="shared" si="112"/>
        <v>0</v>
      </c>
      <c r="P2804" s="169"/>
      <c r="Q2804" s="166">
        <f t="shared" si="114"/>
        <v>0</v>
      </c>
      <c r="R2804" s="207"/>
      <c r="S2804" s="207"/>
      <c r="T2804" s="207"/>
      <c r="U2804" s="207"/>
      <c r="V2804" s="166">
        <f t="shared" si="113"/>
        <v>0</v>
      </c>
      <c r="W2804" s="205"/>
      <c r="X2804" s="167"/>
    </row>
    <row r="2805" spans="8:24" s="221" customFormat="1" ht="12" hidden="1" customHeight="1">
      <c r="H2805" s="207"/>
      <c r="I2805" s="207"/>
      <c r="J2805" s="167"/>
      <c r="K2805" s="167"/>
      <c r="L2805" s="209"/>
      <c r="M2805" s="169"/>
      <c r="N2805" s="169"/>
      <c r="O2805" s="169">
        <f t="shared" si="112"/>
        <v>0</v>
      </c>
      <c r="P2805" s="169"/>
      <c r="Q2805" s="166">
        <f t="shared" si="114"/>
        <v>0</v>
      </c>
      <c r="R2805" s="207"/>
      <c r="S2805" s="207"/>
      <c r="T2805" s="207"/>
      <c r="U2805" s="207"/>
      <c r="V2805" s="166">
        <f t="shared" si="113"/>
        <v>0</v>
      </c>
      <c r="W2805" s="205"/>
      <c r="X2805" s="167"/>
    </row>
    <row r="2806" spans="8:24" s="221" customFormat="1" ht="12" hidden="1" customHeight="1">
      <c r="H2806" s="207"/>
      <c r="I2806" s="207"/>
      <c r="J2806" s="167"/>
      <c r="K2806" s="167"/>
      <c r="L2806" s="209"/>
      <c r="M2806" s="169"/>
      <c r="N2806" s="169"/>
      <c r="O2806" s="169">
        <f t="shared" si="112"/>
        <v>0</v>
      </c>
      <c r="P2806" s="169"/>
      <c r="Q2806" s="166">
        <f t="shared" si="114"/>
        <v>0</v>
      </c>
      <c r="R2806" s="207"/>
      <c r="S2806" s="207"/>
      <c r="T2806" s="207"/>
      <c r="U2806" s="207"/>
      <c r="V2806" s="166">
        <f t="shared" si="113"/>
        <v>0</v>
      </c>
      <c r="W2806" s="205"/>
      <c r="X2806" s="167"/>
    </row>
    <row r="2807" spans="8:24" s="221" customFormat="1" ht="12" hidden="1" customHeight="1">
      <c r="H2807" s="207"/>
      <c r="I2807" s="207"/>
      <c r="J2807" s="167"/>
      <c r="K2807" s="167"/>
      <c r="L2807" s="209"/>
      <c r="M2807" s="169"/>
      <c r="N2807" s="169"/>
      <c r="O2807" s="169">
        <f t="shared" si="112"/>
        <v>0</v>
      </c>
      <c r="P2807" s="169"/>
      <c r="Q2807" s="166">
        <f t="shared" si="114"/>
        <v>0</v>
      </c>
      <c r="R2807" s="207"/>
      <c r="S2807" s="207"/>
      <c r="T2807" s="207"/>
      <c r="U2807" s="207"/>
      <c r="V2807" s="166">
        <f t="shared" si="113"/>
        <v>0</v>
      </c>
      <c r="W2807" s="205"/>
      <c r="X2807" s="167"/>
    </row>
    <row r="2808" spans="8:24" s="221" customFormat="1" ht="12" hidden="1" customHeight="1">
      <c r="H2808" s="207"/>
      <c r="I2808" s="207"/>
      <c r="J2808" s="167"/>
      <c r="K2808" s="167"/>
      <c r="L2808" s="209"/>
      <c r="M2808" s="169"/>
      <c r="N2808" s="169"/>
      <c r="O2808" s="169">
        <f t="shared" si="112"/>
        <v>0</v>
      </c>
      <c r="P2808" s="169"/>
      <c r="Q2808" s="166">
        <f t="shared" si="114"/>
        <v>0</v>
      </c>
      <c r="R2808" s="207"/>
      <c r="S2808" s="207"/>
      <c r="T2808" s="207"/>
      <c r="U2808" s="207"/>
      <c r="V2808" s="166">
        <f t="shared" si="113"/>
        <v>0</v>
      </c>
      <c r="W2808" s="205"/>
      <c r="X2808" s="167"/>
    </row>
    <row r="2809" spans="8:24" s="221" customFormat="1" ht="12" hidden="1" customHeight="1">
      <c r="H2809" s="207"/>
      <c r="I2809" s="207"/>
      <c r="J2809" s="167"/>
      <c r="K2809" s="167"/>
      <c r="L2809" s="209"/>
      <c r="M2809" s="169"/>
      <c r="N2809" s="169"/>
      <c r="O2809" s="169">
        <f t="shared" si="112"/>
        <v>0</v>
      </c>
      <c r="P2809" s="169"/>
      <c r="Q2809" s="166">
        <f t="shared" si="114"/>
        <v>0</v>
      </c>
      <c r="R2809" s="207"/>
      <c r="S2809" s="207"/>
      <c r="T2809" s="207"/>
      <c r="U2809" s="207"/>
      <c r="V2809" s="166">
        <f t="shared" si="113"/>
        <v>0</v>
      </c>
      <c r="W2809" s="205"/>
      <c r="X2809" s="167"/>
    </row>
    <row r="2810" spans="8:24" s="221" customFormat="1" ht="12" hidden="1" customHeight="1">
      <c r="H2810" s="207"/>
      <c r="I2810" s="207"/>
      <c r="J2810" s="167"/>
      <c r="K2810" s="167"/>
      <c r="L2810" s="209"/>
      <c r="M2810" s="169"/>
      <c r="N2810" s="169"/>
      <c r="O2810" s="169">
        <f t="shared" si="112"/>
        <v>0</v>
      </c>
      <c r="P2810" s="169"/>
      <c r="Q2810" s="166">
        <f t="shared" si="114"/>
        <v>0</v>
      </c>
      <c r="R2810" s="207"/>
      <c r="S2810" s="207"/>
      <c r="T2810" s="207"/>
      <c r="U2810" s="207"/>
      <c r="V2810" s="166">
        <f t="shared" si="113"/>
        <v>0</v>
      </c>
      <c r="W2810" s="205"/>
      <c r="X2810" s="167"/>
    </row>
    <row r="2811" spans="8:24" s="221" customFormat="1" ht="12" hidden="1" customHeight="1">
      <c r="H2811" s="207"/>
      <c r="I2811" s="207"/>
      <c r="J2811" s="167"/>
      <c r="K2811" s="167"/>
      <c r="L2811" s="209"/>
      <c r="M2811" s="169"/>
      <c r="N2811" s="169"/>
      <c r="O2811" s="169">
        <f t="shared" si="112"/>
        <v>0</v>
      </c>
      <c r="P2811" s="169"/>
      <c r="Q2811" s="166">
        <f t="shared" si="114"/>
        <v>0</v>
      </c>
      <c r="R2811" s="207"/>
      <c r="S2811" s="207"/>
      <c r="T2811" s="207"/>
      <c r="U2811" s="207"/>
      <c r="V2811" s="166">
        <f t="shared" si="113"/>
        <v>0</v>
      </c>
      <c r="W2811" s="205"/>
      <c r="X2811" s="167"/>
    </row>
    <row r="2812" spans="8:24" s="221" customFormat="1" ht="12" hidden="1" customHeight="1">
      <c r="H2812" s="207"/>
      <c r="I2812" s="207"/>
      <c r="J2812" s="167"/>
      <c r="K2812" s="167"/>
      <c r="L2812" s="209"/>
      <c r="M2812" s="169"/>
      <c r="N2812" s="169"/>
      <c r="O2812" s="169">
        <f t="shared" ref="O2812:O2875" si="115">M2812*N2812*$O$3</f>
        <v>0</v>
      </c>
      <c r="P2812" s="169"/>
      <c r="Q2812" s="166">
        <f t="shared" si="114"/>
        <v>0</v>
      </c>
      <c r="R2812" s="207"/>
      <c r="S2812" s="207"/>
      <c r="T2812" s="207"/>
      <c r="U2812" s="207"/>
      <c r="V2812" s="166">
        <f t="shared" si="113"/>
        <v>0</v>
      </c>
      <c r="W2812" s="205"/>
      <c r="X2812" s="167"/>
    </row>
    <row r="2813" spans="8:24" s="221" customFormat="1" ht="12" hidden="1" customHeight="1">
      <c r="H2813" s="207"/>
      <c r="I2813" s="207"/>
      <c r="J2813" s="167"/>
      <c r="K2813" s="167"/>
      <c r="L2813" s="209"/>
      <c r="M2813" s="169"/>
      <c r="N2813" s="169"/>
      <c r="O2813" s="169">
        <f t="shared" si="115"/>
        <v>0</v>
      </c>
      <c r="P2813" s="169"/>
      <c r="Q2813" s="166">
        <f t="shared" si="114"/>
        <v>0</v>
      </c>
      <c r="R2813" s="207"/>
      <c r="S2813" s="207"/>
      <c r="T2813" s="207"/>
      <c r="U2813" s="207"/>
      <c r="V2813" s="166">
        <f t="shared" si="113"/>
        <v>0</v>
      </c>
      <c r="W2813" s="205"/>
      <c r="X2813" s="167"/>
    </row>
    <row r="2814" spans="8:24" s="221" customFormat="1" ht="12" hidden="1" customHeight="1">
      <c r="H2814" s="207"/>
      <c r="I2814" s="207"/>
      <c r="J2814" s="167"/>
      <c r="K2814" s="167"/>
      <c r="L2814" s="209"/>
      <c r="M2814" s="169"/>
      <c r="N2814" s="169"/>
      <c r="O2814" s="169">
        <f t="shared" si="115"/>
        <v>0</v>
      </c>
      <c r="P2814" s="169"/>
      <c r="Q2814" s="166">
        <f t="shared" si="114"/>
        <v>0</v>
      </c>
      <c r="R2814" s="207"/>
      <c r="S2814" s="207"/>
      <c r="T2814" s="207"/>
      <c r="U2814" s="207"/>
      <c r="V2814" s="166">
        <f t="shared" si="113"/>
        <v>0</v>
      </c>
      <c r="W2814" s="205"/>
      <c r="X2814" s="167"/>
    </row>
    <row r="2815" spans="8:24" s="221" customFormat="1" ht="12" hidden="1" customHeight="1">
      <c r="H2815" s="207"/>
      <c r="I2815" s="207"/>
      <c r="J2815" s="167"/>
      <c r="K2815" s="167"/>
      <c r="L2815" s="209"/>
      <c r="M2815" s="169"/>
      <c r="N2815" s="169"/>
      <c r="O2815" s="169">
        <f t="shared" si="115"/>
        <v>0</v>
      </c>
      <c r="P2815" s="169"/>
      <c r="Q2815" s="166">
        <f t="shared" si="114"/>
        <v>0</v>
      </c>
      <c r="R2815" s="207"/>
      <c r="S2815" s="207"/>
      <c r="T2815" s="207"/>
      <c r="U2815" s="207"/>
      <c r="V2815" s="166">
        <f t="shared" ref="V2815:V2878" si="116">SUM(O2815+Q2815)+S2815+U2815</f>
        <v>0</v>
      </c>
      <c r="W2815" s="205"/>
      <c r="X2815" s="167"/>
    </row>
    <row r="2816" spans="8:24" s="221" customFormat="1" ht="12" hidden="1" customHeight="1">
      <c r="H2816" s="207"/>
      <c r="I2816" s="207"/>
      <c r="J2816" s="167"/>
      <c r="K2816" s="167"/>
      <c r="L2816" s="209"/>
      <c r="M2816" s="169"/>
      <c r="N2816" s="169"/>
      <c r="O2816" s="169">
        <f t="shared" si="115"/>
        <v>0</v>
      </c>
      <c r="P2816" s="169"/>
      <c r="Q2816" s="166">
        <f t="shared" si="114"/>
        <v>0</v>
      </c>
      <c r="R2816" s="207"/>
      <c r="S2816" s="207"/>
      <c r="T2816" s="207"/>
      <c r="U2816" s="207"/>
      <c r="V2816" s="166">
        <f t="shared" si="116"/>
        <v>0</v>
      </c>
      <c r="W2816" s="205"/>
      <c r="X2816" s="167"/>
    </row>
    <row r="2817" spans="8:24" s="221" customFormat="1" ht="12" hidden="1" customHeight="1">
      <c r="H2817" s="207"/>
      <c r="I2817" s="207"/>
      <c r="J2817" s="167"/>
      <c r="K2817" s="167"/>
      <c r="L2817" s="209"/>
      <c r="M2817" s="169"/>
      <c r="N2817" s="169"/>
      <c r="O2817" s="169">
        <f t="shared" si="115"/>
        <v>0</v>
      </c>
      <c r="P2817" s="169"/>
      <c r="Q2817" s="166">
        <f t="shared" si="114"/>
        <v>0</v>
      </c>
      <c r="R2817" s="207"/>
      <c r="S2817" s="207"/>
      <c r="T2817" s="207"/>
      <c r="U2817" s="207"/>
      <c r="V2817" s="166">
        <f t="shared" si="116"/>
        <v>0</v>
      </c>
      <c r="W2817" s="205"/>
      <c r="X2817" s="167"/>
    </row>
    <row r="2818" spans="8:24" s="221" customFormat="1" ht="12" hidden="1" customHeight="1">
      <c r="H2818" s="207"/>
      <c r="I2818" s="207"/>
      <c r="J2818" s="167"/>
      <c r="K2818" s="167"/>
      <c r="L2818" s="209"/>
      <c r="M2818" s="169"/>
      <c r="N2818" s="169"/>
      <c r="O2818" s="169">
        <f t="shared" si="115"/>
        <v>0</v>
      </c>
      <c r="P2818" s="169"/>
      <c r="Q2818" s="166">
        <f t="shared" si="114"/>
        <v>0</v>
      </c>
      <c r="R2818" s="207"/>
      <c r="S2818" s="207"/>
      <c r="T2818" s="207"/>
      <c r="U2818" s="207"/>
      <c r="V2818" s="166">
        <f t="shared" si="116"/>
        <v>0</v>
      </c>
      <c r="W2818" s="205"/>
      <c r="X2818" s="167"/>
    </row>
    <row r="2819" spans="8:24" s="221" customFormat="1" ht="12" hidden="1" customHeight="1">
      <c r="H2819" s="207"/>
      <c r="I2819" s="207"/>
      <c r="J2819" s="167"/>
      <c r="K2819" s="167"/>
      <c r="L2819" s="209"/>
      <c r="M2819" s="169"/>
      <c r="N2819" s="169"/>
      <c r="O2819" s="169">
        <f t="shared" si="115"/>
        <v>0</v>
      </c>
      <c r="P2819" s="169"/>
      <c r="Q2819" s="166">
        <f t="shared" si="114"/>
        <v>0</v>
      </c>
      <c r="R2819" s="207"/>
      <c r="S2819" s="207"/>
      <c r="T2819" s="207"/>
      <c r="U2819" s="207"/>
      <c r="V2819" s="166">
        <f t="shared" si="116"/>
        <v>0</v>
      </c>
      <c r="W2819" s="205"/>
      <c r="X2819" s="167"/>
    </row>
    <row r="2820" spans="8:24" s="221" customFormat="1" ht="12" hidden="1" customHeight="1">
      <c r="H2820" s="207"/>
      <c r="I2820" s="207"/>
      <c r="J2820" s="167"/>
      <c r="K2820" s="167"/>
      <c r="L2820" s="209"/>
      <c r="M2820" s="169"/>
      <c r="N2820" s="169"/>
      <c r="O2820" s="169">
        <f t="shared" si="115"/>
        <v>0</v>
      </c>
      <c r="P2820" s="169"/>
      <c r="Q2820" s="166">
        <f t="shared" si="114"/>
        <v>0</v>
      </c>
      <c r="R2820" s="207"/>
      <c r="S2820" s="207"/>
      <c r="T2820" s="207"/>
      <c r="U2820" s="207"/>
      <c r="V2820" s="166">
        <f t="shared" si="116"/>
        <v>0</v>
      </c>
      <c r="W2820" s="205"/>
      <c r="X2820" s="167"/>
    </row>
    <row r="2821" spans="8:24" s="221" customFormat="1" ht="12" hidden="1" customHeight="1">
      <c r="H2821" s="207"/>
      <c r="I2821" s="207"/>
      <c r="J2821" s="167"/>
      <c r="K2821" s="167"/>
      <c r="L2821" s="209"/>
      <c r="M2821" s="169"/>
      <c r="N2821" s="169"/>
      <c r="O2821" s="169">
        <f t="shared" si="115"/>
        <v>0</v>
      </c>
      <c r="P2821" s="169"/>
      <c r="Q2821" s="166">
        <f t="shared" si="114"/>
        <v>0</v>
      </c>
      <c r="R2821" s="207"/>
      <c r="S2821" s="207"/>
      <c r="T2821" s="207"/>
      <c r="U2821" s="207"/>
      <c r="V2821" s="166">
        <f t="shared" si="116"/>
        <v>0</v>
      </c>
      <c r="W2821" s="205"/>
      <c r="X2821" s="167"/>
    </row>
    <row r="2822" spans="8:24" s="221" customFormat="1" ht="12" hidden="1" customHeight="1">
      <c r="H2822" s="207"/>
      <c r="I2822" s="207"/>
      <c r="J2822" s="167"/>
      <c r="K2822" s="167"/>
      <c r="L2822" s="209"/>
      <c r="M2822" s="169"/>
      <c r="N2822" s="169"/>
      <c r="O2822" s="169">
        <f t="shared" si="115"/>
        <v>0</v>
      </c>
      <c r="P2822" s="169"/>
      <c r="Q2822" s="166">
        <f t="shared" si="114"/>
        <v>0</v>
      </c>
      <c r="R2822" s="207"/>
      <c r="S2822" s="207"/>
      <c r="T2822" s="207"/>
      <c r="U2822" s="207"/>
      <c r="V2822" s="166">
        <f t="shared" si="116"/>
        <v>0</v>
      </c>
      <c r="W2822" s="205"/>
      <c r="X2822" s="167"/>
    </row>
    <row r="2823" spans="8:24" s="221" customFormat="1" ht="12" hidden="1" customHeight="1">
      <c r="H2823" s="207"/>
      <c r="I2823" s="207"/>
      <c r="J2823" s="167"/>
      <c r="K2823" s="167"/>
      <c r="L2823" s="209"/>
      <c r="M2823" s="169"/>
      <c r="N2823" s="169"/>
      <c r="O2823" s="169">
        <f t="shared" si="115"/>
        <v>0</v>
      </c>
      <c r="P2823" s="169"/>
      <c r="Q2823" s="166">
        <f t="shared" si="114"/>
        <v>0</v>
      </c>
      <c r="R2823" s="207"/>
      <c r="S2823" s="207"/>
      <c r="T2823" s="207"/>
      <c r="U2823" s="207"/>
      <c r="V2823" s="166">
        <f t="shared" si="116"/>
        <v>0</v>
      </c>
      <c r="W2823" s="205"/>
      <c r="X2823" s="167"/>
    </row>
    <row r="2824" spans="8:24" s="221" customFormat="1" ht="12" hidden="1" customHeight="1">
      <c r="H2824" s="207"/>
      <c r="I2824" s="207"/>
      <c r="J2824" s="167"/>
      <c r="K2824" s="167"/>
      <c r="L2824" s="209"/>
      <c r="M2824" s="169"/>
      <c r="N2824" s="169"/>
      <c r="O2824" s="169">
        <f t="shared" si="115"/>
        <v>0</v>
      </c>
      <c r="P2824" s="169"/>
      <c r="Q2824" s="166">
        <f t="shared" si="114"/>
        <v>0</v>
      </c>
      <c r="R2824" s="207"/>
      <c r="S2824" s="207"/>
      <c r="T2824" s="207"/>
      <c r="U2824" s="207"/>
      <c r="V2824" s="166">
        <f t="shared" si="116"/>
        <v>0</v>
      </c>
      <c r="W2824" s="205"/>
      <c r="X2824" s="167"/>
    </row>
    <row r="2825" spans="8:24" s="221" customFormat="1" ht="12" hidden="1" customHeight="1">
      <c r="H2825" s="207"/>
      <c r="I2825" s="207"/>
      <c r="J2825" s="167"/>
      <c r="K2825" s="167"/>
      <c r="L2825" s="209"/>
      <c r="M2825" s="169"/>
      <c r="N2825" s="169"/>
      <c r="O2825" s="169">
        <f t="shared" si="115"/>
        <v>0</v>
      </c>
      <c r="P2825" s="169"/>
      <c r="Q2825" s="166">
        <f t="shared" si="114"/>
        <v>0</v>
      </c>
      <c r="R2825" s="207"/>
      <c r="S2825" s="207"/>
      <c r="T2825" s="207"/>
      <c r="U2825" s="207"/>
      <c r="V2825" s="166">
        <f t="shared" si="116"/>
        <v>0</v>
      </c>
      <c r="W2825" s="205"/>
      <c r="X2825" s="167"/>
    </row>
    <row r="2826" spans="8:24" s="221" customFormat="1" ht="12" hidden="1" customHeight="1">
      <c r="H2826" s="207"/>
      <c r="I2826" s="207"/>
      <c r="J2826" s="167"/>
      <c r="K2826" s="167"/>
      <c r="L2826" s="209"/>
      <c r="M2826" s="169"/>
      <c r="N2826" s="169"/>
      <c r="O2826" s="169">
        <f t="shared" si="115"/>
        <v>0</v>
      </c>
      <c r="P2826" s="169"/>
      <c r="Q2826" s="166">
        <f t="shared" si="114"/>
        <v>0</v>
      </c>
      <c r="R2826" s="207"/>
      <c r="S2826" s="207"/>
      <c r="T2826" s="207"/>
      <c r="U2826" s="207"/>
      <c r="V2826" s="166">
        <f t="shared" si="116"/>
        <v>0</v>
      </c>
      <c r="W2826" s="205"/>
      <c r="X2826" s="167"/>
    </row>
    <row r="2827" spans="8:24" s="221" customFormat="1" ht="12" hidden="1" customHeight="1">
      <c r="H2827" s="207"/>
      <c r="I2827" s="207"/>
      <c r="J2827" s="167"/>
      <c r="K2827" s="167"/>
      <c r="L2827" s="209"/>
      <c r="M2827" s="169"/>
      <c r="N2827" s="169"/>
      <c r="O2827" s="169">
        <f t="shared" si="115"/>
        <v>0</v>
      </c>
      <c r="P2827" s="169"/>
      <c r="Q2827" s="166">
        <f t="shared" si="114"/>
        <v>0</v>
      </c>
      <c r="R2827" s="207"/>
      <c r="S2827" s="207"/>
      <c r="T2827" s="207"/>
      <c r="U2827" s="207"/>
      <c r="V2827" s="166">
        <f t="shared" si="116"/>
        <v>0</v>
      </c>
      <c r="W2827" s="205"/>
      <c r="X2827" s="167"/>
    </row>
    <row r="2828" spans="8:24" s="221" customFormat="1" ht="12" hidden="1" customHeight="1">
      <c r="H2828" s="207"/>
      <c r="I2828" s="207"/>
      <c r="J2828" s="167"/>
      <c r="K2828" s="167"/>
      <c r="L2828" s="209"/>
      <c r="M2828" s="169"/>
      <c r="N2828" s="169"/>
      <c r="O2828" s="169">
        <f t="shared" si="115"/>
        <v>0</v>
      </c>
      <c r="P2828" s="169"/>
      <c r="Q2828" s="166">
        <f t="shared" si="114"/>
        <v>0</v>
      </c>
      <c r="R2828" s="207"/>
      <c r="S2828" s="207"/>
      <c r="T2828" s="207"/>
      <c r="U2828" s="207"/>
      <c r="V2828" s="166">
        <f t="shared" si="116"/>
        <v>0</v>
      </c>
      <c r="W2828" s="205"/>
      <c r="X2828" s="167"/>
    </row>
    <row r="2829" spans="8:24" s="221" customFormat="1" ht="12" hidden="1" customHeight="1">
      <c r="H2829" s="207"/>
      <c r="I2829" s="207"/>
      <c r="J2829" s="167"/>
      <c r="K2829" s="167"/>
      <c r="L2829" s="209"/>
      <c r="M2829" s="169"/>
      <c r="N2829" s="169"/>
      <c r="O2829" s="169">
        <f t="shared" si="115"/>
        <v>0</v>
      </c>
      <c r="P2829" s="169"/>
      <c r="Q2829" s="166">
        <f t="shared" si="114"/>
        <v>0</v>
      </c>
      <c r="R2829" s="207"/>
      <c r="S2829" s="207"/>
      <c r="T2829" s="207"/>
      <c r="U2829" s="207"/>
      <c r="V2829" s="166">
        <f t="shared" si="116"/>
        <v>0</v>
      </c>
      <c r="W2829" s="205"/>
      <c r="X2829" s="167"/>
    </row>
    <row r="2830" spans="8:24" s="221" customFormat="1" ht="12" hidden="1" customHeight="1">
      <c r="H2830" s="207"/>
      <c r="I2830" s="207"/>
      <c r="J2830" s="167"/>
      <c r="K2830" s="167"/>
      <c r="L2830" s="209"/>
      <c r="M2830" s="169"/>
      <c r="N2830" s="169"/>
      <c r="O2830" s="169">
        <f t="shared" si="115"/>
        <v>0</v>
      </c>
      <c r="P2830" s="169"/>
      <c r="Q2830" s="166">
        <f t="shared" si="114"/>
        <v>0</v>
      </c>
      <c r="R2830" s="207"/>
      <c r="S2830" s="207"/>
      <c r="T2830" s="207"/>
      <c r="U2830" s="207"/>
      <c r="V2830" s="166">
        <f t="shared" si="116"/>
        <v>0</v>
      </c>
      <c r="W2830" s="205"/>
      <c r="X2830" s="167"/>
    </row>
    <row r="2831" spans="8:24" s="221" customFormat="1" ht="12" hidden="1" customHeight="1">
      <c r="H2831" s="207"/>
      <c r="I2831" s="207"/>
      <c r="J2831" s="167"/>
      <c r="K2831" s="167"/>
      <c r="L2831" s="209"/>
      <c r="M2831" s="169"/>
      <c r="N2831" s="169"/>
      <c r="O2831" s="169">
        <f t="shared" si="115"/>
        <v>0</v>
      </c>
      <c r="P2831" s="169"/>
      <c r="Q2831" s="166">
        <f t="shared" si="114"/>
        <v>0</v>
      </c>
      <c r="R2831" s="207"/>
      <c r="S2831" s="207"/>
      <c r="T2831" s="207"/>
      <c r="U2831" s="207"/>
      <c r="V2831" s="166">
        <f t="shared" si="116"/>
        <v>0</v>
      </c>
      <c r="W2831" s="205"/>
      <c r="X2831" s="167"/>
    </row>
    <row r="2832" spans="8:24" s="221" customFormat="1" ht="12" hidden="1" customHeight="1">
      <c r="H2832" s="207"/>
      <c r="I2832" s="207"/>
      <c r="J2832" s="167"/>
      <c r="K2832" s="167"/>
      <c r="L2832" s="209"/>
      <c r="M2832" s="169"/>
      <c r="N2832" s="169"/>
      <c r="O2832" s="169">
        <f t="shared" si="115"/>
        <v>0</v>
      </c>
      <c r="P2832" s="169"/>
      <c r="Q2832" s="166">
        <f t="shared" si="114"/>
        <v>0</v>
      </c>
      <c r="R2832" s="207"/>
      <c r="S2832" s="207"/>
      <c r="T2832" s="207"/>
      <c r="U2832" s="207"/>
      <c r="V2832" s="166">
        <f t="shared" si="116"/>
        <v>0</v>
      </c>
      <c r="W2832" s="205"/>
      <c r="X2832" s="167"/>
    </row>
    <row r="2833" spans="8:24" s="221" customFormat="1" ht="12" hidden="1" customHeight="1">
      <c r="H2833" s="207"/>
      <c r="I2833" s="207"/>
      <c r="J2833" s="167"/>
      <c r="K2833" s="167"/>
      <c r="L2833" s="209"/>
      <c r="M2833" s="169"/>
      <c r="N2833" s="169"/>
      <c r="O2833" s="169">
        <f t="shared" si="115"/>
        <v>0</v>
      </c>
      <c r="P2833" s="169"/>
      <c r="Q2833" s="166">
        <f t="shared" si="114"/>
        <v>0</v>
      </c>
      <c r="R2833" s="207"/>
      <c r="S2833" s="207"/>
      <c r="T2833" s="207"/>
      <c r="U2833" s="207"/>
      <c r="V2833" s="166">
        <f t="shared" si="116"/>
        <v>0</v>
      </c>
      <c r="W2833" s="205"/>
      <c r="X2833" s="167"/>
    </row>
    <row r="2834" spans="8:24" s="221" customFormat="1" ht="12" hidden="1" customHeight="1">
      <c r="H2834" s="207"/>
      <c r="I2834" s="207"/>
      <c r="J2834" s="167"/>
      <c r="K2834" s="167"/>
      <c r="L2834" s="209"/>
      <c r="M2834" s="169"/>
      <c r="N2834" s="169"/>
      <c r="O2834" s="169">
        <f t="shared" si="115"/>
        <v>0</v>
      </c>
      <c r="P2834" s="169"/>
      <c r="Q2834" s="166">
        <f t="shared" si="114"/>
        <v>0</v>
      </c>
      <c r="R2834" s="207"/>
      <c r="S2834" s="207"/>
      <c r="T2834" s="207"/>
      <c r="U2834" s="207"/>
      <c r="V2834" s="166">
        <f t="shared" si="116"/>
        <v>0</v>
      </c>
      <c r="W2834" s="205"/>
      <c r="X2834" s="167"/>
    </row>
    <row r="2835" spans="8:24" s="221" customFormat="1" ht="12" hidden="1" customHeight="1">
      <c r="H2835" s="207"/>
      <c r="I2835" s="207"/>
      <c r="J2835" s="167"/>
      <c r="K2835" s="167"/>
      <c r="L2835" s="209"/>
      <c r="M2835" s="169"/>
      <c r="N2835" s="169"/>
      <c r="O2835" s="169">
        <f t="shared" si="115"/>
        <v>0</v>
      </c>
      <c r="P2835" s="169"/>
      <c r="Q2835" s="166">
        <f t="shared" si="114"/>
        <v>0</v>
      </c>
      <c r="R2835" s="207"/>
      <c r="S2835" s="207"/>
      <c r="T2835" s="207"/>
      <c r="U2835" s="207"/>
      <c r="V2835" s="166">
        <f t="shared" si="116"/>
        <v>0</v>
      </c>
      <c r="W2835" s="205"/>
      <c r="X2835" s="167"/>
    </row>
    <row r="2836" spans="8:24" s="221" customFormat="1" ht="12" hidden="1" customHeight="1">
      <c r="H2836" s="207"/>
      <c r="I2836" s="207"/>
      <c r="J2836" s="167"/>
      <c r="K2836" s="167"/>
      <c r="L2836" s="209"/>
      <c r="M2836" s="169"/>
      <c r="N2836" s="169"/>
      <c r="O2836" s="169">
        <f t="shared" si="115"/>
        <v>0</v>
      </c>
      <c r="P2836" s="169"/>
      <c r="Q2836" s="166">
        <f t="shared" si="114"/>
        <v>0</v>
      </c>
      <c r="R2836" s="207"/>
      <c r="S2836" s="207"/>
      <c r="T2836" s="207"/>
      <c r="U2836" s="207"/>
      <c r="V2836" s="166">
        <f t="shared" si="116"/>
        <v>0</v>
      </c>
      <c r="W2836" s="205"/>
      <c r="X2836" s="167"/>
    </row>
    <row r="2837" spans="8:24" s="221" customFormat="1" ht="12" hidden="1" customHeight="1">
      <c r="H2837" s="207"/>
      <c r="I2837" s="207"/>
      <c r="J2837" s="167"/>
      <c r="K2837" s="167"/>
      <c r="L2837" s="209"/>
      <c r="M2837" s="169"/>
      <c r="N2837" s="169"/>
      <c r="O2837" s="169">
        <f t="shared" si="115"/>
        <v>0</v>
      </c>
      <c r="P2837" s="169"/>
      <c r="Q2837" s="166">
        <f t="shared" si="114"/>
        <v>0</v>
      </c>
      <c r="R2837" s="207"/>
      <c r="S2837" s="207"/>
      <c r="T2837" s="207"/>
      <c r="U2837" s="207"/>
      <c r="V2837" s="166">
        <f t="shared" si="116"/>
        <v>0</v>
      </c>
      <c r="W2837" s="205"/>
      <c r="X2837" s="167"/>
    </row>
    <row r="2838" spans="8:24" s="221" customFormat="1" ht="12" hidden="1" customHeight="1">
      <c r="H2838" s="207"/>
      <c r="I2838" s="207"/>
      <c r="J2838" s="167"/>
      <c r="K2838" s="167"/>
      <c r="L2838" s="209"/>
      <c r="M2838" s="169"/>
      <c r="N2838" s="169"/>
      <c r="O2838" s="169">
        <f t="shared" si="115"/>
        <v>0</v>
      </c>
      <c r="P2838" s="169"/>
      <c r="Q2838" s="166">
        <f t="shared" si="114"/>
        <v>0</v>
      </c>
      <c r="R2838" s="207"/>
      <c r="S2838" s="207"/>
      <c r="T2838" s="207"/>
      <c r="U2838" s="207"/>
      <c r="V2838" s="166">
        <f t="shared" si="116"/>
        <v>0</v>
      </c>
      <c r="W2838" s="205"/>
      <c r="X2838" s="167"/>
    </row>
    <row r="2839" spans="8:24" s="221" customFormat="1" ht="12" hidden="1" customHeight="1">
      <c r="H2839" s="207"/>
      <c r="I2839" s="207"/>
      <c r="J2839" s="167"/>
      <c r="K2839" s="167"/>
      <c r="L2839" s="209"/>
      <c r="M2839" s="169"/>
      <c r="N2839" s="169"/>
      <c r="O2839" s="169">
        <f t="shared" si="115"/>
        <v>0</v>
      </c>
      <c r="P2839" s="169"/>
      <c r="Q2839" s="166">
        <f t="shared" si="114"/>
        <v>0</v>
      </c>
      <c r="R2839" s="207"/>
      <c r="S2839" s="207"/>
      <c r="T2839" s="207"/>
      <c r="U2839" s="207"/>
      <c r="V2839" s="166">
        <f t="shared" si="116"/>
        <v>0</v>
      </c>
      <c r="W2839" s="205"/>
      <c r="X2839" s="167"/>
    </row>
    <row r="2840" spans="8:24" s="221" customFormat="1" ht="12" hidden="1" customHeight="1">
      <c r="H2840" s="207"/>
      <c r="I2840" s="207"/>
      <c r="J2840" s="167"/>
      <c r="K2840" s="167"/>
      <c r="L2840" s="209"/>
      <c r="M2840" s="169"/>
      <c r="N2840" s="169"/>
      <c r="O2840" s="169">
        <f t="shared" si="115"/>
        <v>0</v>
      </c>
      <c r="P2840" s="169"/>
      <c r="Q2840" s="166">
        <f t="shared" si="114"/>
        <v>0</v>
      </c>
      <c r="R2840" s="207"/>
      <c r="S2840" s="207"/>
      <c r="T2840" s="207"/>
      <c r="U2840" s="207"/>
      <c r="V2840" s="166">
        <f t="shared" si="116"/>
        <v>0</v>
      </c>
      <c r="W2840" s="205"/>
      <c r="X2840" s="167"/>
    </row>
    <row r="2841" spans="8:24" s="221" customFormat="1" ht="12" hidden="1" customHeight="1">
      <c r="H2841" s="207"/>
      <c r="I2841" s="207"/>
      <c r="J2841" s="167"/>
      <c r="K2841" s="167"/>
      <c r="L2841" s="209"/>
      <c r="M2841" s="169"/>
      <c r="N2841" s="169"/>
      <c r="O2841" s="169">
        <f t="shared" si="115"/>
        <v>0</v>
      </c>
      <c r="P2841" s="169"/>
      <c r="Q2841" s="166">
        <f t="shared" si="114"/>
        <v>0</v>
      </c>
      <c r="R2841" s="207"/>
      <c r="S2841" s="207"/>
      <c r="T2841" s="207"/>
      <c r="U2841" s="207"/>
      <c r="V2841" s="166">
        <f t="shared" si="116"/>
        <v>0</v>
      </c>
      <c r="W2841" s="205"/>
      <c r="X2841" s="167"/>
    </row>
    <row r="2842" spans="8:24" s="221" customFormat="1" ht="12" hidden="1" customHeight="1">
      <c r="H2842" s="207"/>
      <c r="I2842" s="207"/>
      <c r="J2842" s="167"/>
      <c r="K2842" s="167"/>
      <c r="L2842" s="209"/>
      <c r="M2842" s="169"/>
      <c r="N2842" s="169"/>
      <c r="O2842" s="169">
        <f t="shared" si="115"/>
        <v>0</v>
      </c>
      <c r="P2842" s="169"/>
      <c r="Q2842" s="166">
        <f t="shared" si="114"/>
        <v>0</v>
      </c>
      <c r="R2842" s="207"/>
      <c r="S2842" s="207"/>
      <c r="T2842" s="207"/>
      <c r="U2842" s="207"/>
      <c r="V2842" s="166">
        <f t="shared" si="116"/>
        <v>0</v>
      </c>
      <c r="W2842" s="205"/>
      <c r="X2842" s="167"/>
    </row>
    <row r="2843" spans="8:24" s="221" customFormat="1" ht="12" hidden="1" customHeight="1">
      <c r="H2843" s="207"/>
      <c r="I2843" s="207"/>
      <c r="J2843" s="167"/>
      <c r="K2843" s="167"/>
      <c r="L2843" s="209"/>
      <c r="M2843" s="169"/>
      <c r="N2843" s="169"/>
      <c r="O2843" s="169">
        <f t="shared" si="115"/>
        <v>0</v>
      </c>
      <c r="P2843" s="169"/>
      <c r="Q2843" s="166">
        <f t="shared" si="114"/>
        <v>0</v>
      </c>
      <c r="R2843" s="207"/>
      <c r="S2843" s="207"/>
      <c r="T2843" s="207"/>
      <c r="U2843" s="207"/>
      <c r="V2843" s="166">
        <f t="shared" si="116"/>
        <v>0</v>
      </c>
      <c r="W2843" s="205"/>
      <c r="X2843" s="167"/>
    </row>
    <row r="2844" spans="8:24" s="221" customFormat="1" ht="12" hidden="1" customHeight="1">
      <c r="H2844" s="207"/>
      <c r="I2844" s="207"/>
      <c r="J2844" s="167"/>
      <c r="K2844" s="167"/>
      <c r="L2844" s="209"/>
      <c r="M2844" s="169"/>
      <c r="N2844" s="169"/>
      <c r="O2844" s="169">
        <f t="shared" si="115"/>
        <v>0</v>
      </c>
      <c r="P2844" s="169"/>
      <c r="Q2844" s="166">
        <f t="shared" si="114"/>
        <v>0</v>
      </c>
      <c r="R2844" s="207"/>
      <c r="S2844" s="207"/>
      <c r="T2844" s="207"/>
      <c r="U2844" s="207"/>
      <c r="V2844" s="166">
        <f t="shared" si="116"/>
        <v>0</v>
      </c>
      <c r="W2844" s="205"/>
      <c r="X2844" s="167"/>
    </row>
    <row r="2845" spans="8:24" s="221" customFormat="1" ht="12" hidden="1" customHeight="1">
      <c r="H2845" s="207"/>
      <c r="I2845" s="207"/>
      <c r="J2845" s="167"/>
      <c r="K2845" s="167"/>
      <c r="L2845" s="209"/>
      <c r="M2845" s="169"/>
      <c r="N2845" s="169"/>
      <c r="O2845" s="169">
        <f t="shared" si="115"/>
        <v>0</v>
      </c>
      <c r="P2845" s="169"/>
      <c r="Q2845" s="166">
        <f t="shared" si="114"/>
        <v>0</v>
      </c>
      <c r="R2845" s="207"/>
      <c r="S2845" s="207"/>
      <c r="T2845" s="207"/>
      <c r="U2845" s="207"/>
      <c r="V2845" s="166">
        <f t="shared" si="116"/>
        <v>0</v>
      </c>
      <c r="W2845" s="205"/>
      <c r="X2845" s="167"/>
    </row>
    <row r="2846" spans="8:24" s="221" customFormat="1" ht="12" hidden="1" customHeight="1">
      <c r="H2846" s="207"/>
      <c r="I2846" s="207"/>
      <c r="J2846" s="167"/>
      <c r="K2846" s="167"/>
      <c r="L2846" s="209"/>
      <c r="M2846" s="169"/>
      <c r="N2846" s="169"/>
      <c r="O2846" s="169">
        <f t="shared" si="115"/>
        <v>0</v>
      </c>
      <c r="P2846" s="169"/>
      <c r="Q2846" s="166">
        <f t="shared" si="114"/>
        <v>0</v>
      </c>
      <c r="R2846" s="207"/>
      <c r="S2846" s="207"/>
      <c r="T2846" s="207"/>
      <c r="U2846" s="207"/>
      <c r="V2846" s="166">
        <f t="shared" si="116"/>
        <v>0</v>
      </c>
      <c r="W2846" s="205"/>
      <c r="X2846" s="167"/>
    </row>
    <row r="2847" spans="8:24" s="221" customFormat="1" ht="12" hidden="1" customHeight="1">
      <c r="H2847" s="207"/>
      <c r="I2847" s="207"/>
      <c r="J2847" s="167"/>
      <c r="K2847" s="167"/>
      <c r="L2847" s="209"/>
      <c r="M2847" s="169"/>
      <c r="N2847" s="169"/>
      <c r="O2847" s="169">
        <f t="shared" si="115"/>
        <v>0</v>
      </c>
      <c r="P2847" s="169"/>
      <c r="Q2847" s="166">
        <f t="shared" si="114"/>
        <v>0</v>
      </c>
      <c r="R2847" s="207"/>
      <c r="S2847" s="207"/>
      <c r="T2847" s="207"/>
      <c r="U2847" s="207"/>
      <c r="V2847" s="166">
        <f t="shared" si="116"/>
        <v>0</v>
      </c>
      <c r="W2847" s="205"/>
      <c r="X2847" s="167"/>
    </row>
    <row r="2848" spans="8:24" s="221" customFormat="1" ht="12" hidden="1" customHeight="1">
      <c r="H2848" s="207"/>
      <c r="I2848" s="207"/>
      <c r="J2848" s="167"/>
      <c r="K2848" s="167"/>
      <c r="L2848" s="209"/>
      <c r="M2848" s="169"/>
      <c r="N2848" s="169"/>
      <c r="O2848" s="169">
        <f t="shared" si="115"/>
        <v>0</v>
      </c>
      <c r="P2848" s="169"/>
      <c r="Q2848" s="166">
        <f t="shared" si="114"/>
        <v>0</v>
      </c>
      <c r="R2848" s="207"/>
      <c r="S2848" s="207"/>
      <c r="T2848" s="207"/>
      <c r="U2848" s="207"/>
      <c r="V2848" s="166">
        <f t="shared" si="116"/>
        <v>0</v>
      </c>
      <c r="W2848" s="205"/>
      <c r="X2848" s="167"/>
    </row>
    <row r="2849" spans="8:24" s="221" customFormat="1" ht="12" hidden="1" customHeight="1">
      <c r="H2849" s="207"/>
      <c r="I2849" s="207"/>
      <c r="J2849" s="167"/>
      <c r="K2849" s="167"/>
      <c r="L2849" s="209"/>
      <c r="M2849" s="169"/>
      <c r="N2849" s="169"/>
      <c r="O2849" s="169">
        <f t="shared" si="115"/>
        <v>0</v>
      </c>
      <c r="P2849" s="169"/>
      <c r="Q2849" s="166">
        <f t="shared" si="114"/>
        <v>0</v>
      </c>
      <c r="R2849" s="207"/>
      <c r="S2849" s="207"/>
      <c r="T2849" s="207"/>
      <c r="U2849" s="207"/>
      <c r="V2849" s="166">
        <f t="shared" si="116"/>
        <v>0</v>
      </c>
      <c r="W2849" s="205"/>
      <c r="X2849" s="167"/>
    </row>
    <row r="2850" spans="8:24" s="221" customFormat="1" ht="12" hidden="1" customHeight="1">
      <c r="H2850" s="207"/>
      <c r="I2850" s="207"/>
      <c r="J2850" s="167"/>
      <c r="K2850" s="167"/>
      <c r="L2850" s="209"/>
      <c r="M2850" s="169"/>
      <c r="N2850" s="169"/>
      <c r="O2850" s="169">
        <f t="shared" si="115"/>
        <v>0</v>
      </c>
      <c r="P2850" s="169"/>
      <c r="Q2850" s="166">
        <f t="shared" si="114"/>
        <v>0</v>
      </c>
      <c r="R2850" s="207"/>
      <c r="S2850" s="207"/>
      <c r="T2850" s="207"/>
      <c r="U2850" s="207"/>
      <c r="V2850" s="166">
        <f t="shared" si="116"/>
        <v>0</v>
      </c>
      <c r="W2850" s="205"/>
      <c r="X2850" s="167"/>
    </row>
    <row r="2851" spans="8:24" s="221" customFormat="1" ht="12" hidden="1" customHeight="1">
      <c r="H2851" s="207"/>
      <c r="I2851" s="207"/>
      <c r="J2851" s="167"/>
      <c r="K2851" s="167"/>
      <c r="L2851" s="209"/>
      <c r="M2851" s="169"/>
      <c r="N2851" s="169"/>
      <c r="O2851" s="169">
        <f t="shared" si="115"/>
        <v>0</v>
      </c>
      <c r="P2851" s="169"/>
      <c r="Q2851" s="166">
        <f t="shared" si="114"/>
        <v>0</v>
      </c>
      <c r="R2851" s="207"/>
      <c r="S2851" s="207"/>
      <c r="T2851" s="207"/>
      <c r="U2851" s="207"/>
      <c r="V2851" s="166">
        <f t="shared" si="116"/>
        <v>0</v>
      </c>
      <c r="W2851" s="205"/>
      <c r="X2851" s="167"/>
    </row>
    <row r="2852" spans="8:24" s="221" customFormat="1" ht="12" hidden="1" customHeight="1">
      <c r="H2852" s="207"/>
      <c r="I2852" s="207"/>
      <c r="J2852" s="167"/>
      <c r="K2852" s="167"/>
      <c r="L2852" s="209"/>
      <c r="M2852" s="169"/>
      <c r="N2852" s="169"/>
      <c r="O2852" s="169">
        <f t="shared" si="115"/>
        <v>0</v>
      </c>
      <c r="P2852" s="169"/>
      <c r="Q2852" s="166">
        <f t="shared" si="114"/>
        <v>0</v>
      </c>
      <c r="R2852" s="207"/>
      <c r="S2852" s="207"/>
      <c r="T2852" s="207"/>
      <c r="U2852" s="207"/>
      <c r="V2852" s="166">
        <f t="shared" si="116"/>
        <v>0</v>
      </c>
      <c r="W2852" s="205"/>
      <c r="X2852" s="167"/>
    </row>
    <row r="2853" spans="8:24" s="221" customFormat="1" ht="12" hidden="1" customHeight="1">
      <c r="H2853" s="207"/>
      <c r="I2853" s="207"/>
      <c r="J2853" s="167"/>
      <c r="K2853" s="167"/>
      <c r="L2853" s="209"/>
      <c r="M2853" s="169"/>
      <c r="N2853" s="169"/>
      <c r="O2853" s="169">
        <f t="shared" si="115"/>
        <v>0</v>
      </c>
      <c r="P2853" s="169"/>
      <c r="Q2853" s="166">
        <f t="shared" si="114"/>
        <v>0</v>
      </c>
      <c r="R2853" s="207"/>
      <c r="S2853" s="207"/>
      <c r="T2853" s="207"/>
      <c r="U2853" s="207"/>
      <c r="V2853" s="166">
        <f t="shared" si="116"/>
        <v>0</v>
      </c>
      <c r="W2853" s="205"/>
      <c r="X2853" s="167"/>
    </row>
    <row r="2854" spans="8:24" s="221" customFormat="1" ht="12" hidden="1" customHeight="1">
      <c r="H2854" s="207"/>
      <c r="I2854" s="207"/>
      <c r="J2854" s="167"/>
      <c r="K2854" s="167"/>
      <c r="L2854" s="209"/>
      <c r="M2854" s="169"/>
      <c r="N2854" s="169"/>
      <c r="O2854" s="169">
        <f t="shared" si="115"/>
        <v>0</v>
      </c>
      <c r="P2854" s="169"/>
      <c r="Q2854" s="166">
        <f t="shared" si="114"/>
        <v>0</v>
      </c>
      <c r="R2854" s="207"/>
      <c r="S2854" s="207"/>
      <c r="T2854" s="207"/>
      <c r="U2854" s="207"/>
      <c r="V2854" s="166">
        <f t="shared" si="116"/>
        <v>0</v>
      </c>
      <c r="W2854" s="205"/>
      <c r="X2854" s="167"/>
    </row>
    <row r="2855" spans="8:24" s="221" customFormat="1" ht="12" hidden="1" customHeight="1">
      <c r="H2855" s="207"/>
      <c r="I2855" s="207"/>
      <c r="J2855" s="167"/>
      <c r="K2855" s="167"/>
      <c r="L2855" s="209"/>
      <c r="M2855" s="169"/>
      <c r="N2855" s="169"/>
      <c r="O2855" s="169">
        <f t="shared" si="115"/>
        <v>0</v>
      </c>
      <c r="P2855" s="169"/>
      <c r="Q2855" s="166">
        <f t="shared" si="114"/>
        <v>0</v>
      </c>
      <c r="R2855" s="207"/>
      <c r="S2855" s="207"/>
      <c r="T2855" s="207"/>
      <c r="U2855" s="207"/>
      <c r="V2855" s="166">
        <f t="shared" si="116"/>
        <v>0</v>
      </c>
      <c r="W2855" s="205"/>
      <c r="X2855" s="167"/>
    </row>
    <row r="2856" spans="8:24" s="221" customFormat="1" ht="12" hidden="1" customHeight="1">
      <c r="H2856" s="207"/>
      <c r="I2856" s="207"/>
      <c r="J2856" s="167"/>
      <c r="K2856" s="167"/>
      <c r="L2856" s="209"/>
      <c r="M2856" s="169"/>
      <c r="N2856" s="169"/>
      <c r="O2856" s="169">
        <f t="shared" si="115"/>
        <v>0</v>
      </c>
      <c r="P2856" s="169"/>
      <c r="Q2856" s="166">
        <f t="shared" si="114"/>
        <v>0</v>
      </c>
      <c r="R2856" s="207"/>
      <c r="S2856" s="207"/>
      <c r="T2856" s="207"/>
      <c r="U2856" s="207"/>
      <c r="V2856" s="166">
        <f t="shared" si="116"/>
        <v>0</v>
      </c>
      <c r="W2856" s="205"/>
      <c r="X2856" s="167"/>
    </row>
    <row r="2857" spans="8:24" s="221" customFormat="1" ht="12" hidden="1" customHeight="1">
      <c r="H2857" s="207"/>
      <c r="I2857" s="207"/>
      <c r="J2857" s="167"/>
      <c r="K2857" s="167"/>
      <c r="L2857" s="209"/>
      <c r="M2857" s="169"/>
      <c r="N2857" s="169"/>
      <c r="O2857" s="169">
        <f t="shared" si="115"/>
        <v>0</v>
      </c>
      <c r="P2857" s="169"/>
      <c r="Q2857" s="166">
        <f t="shared" si="114"/>
        <v>0</v>
      </c>
      <c r="R2857" s="207"/>
      <c r="S2857" s="207"/>
      <c r="T2857" s="207"/>
      <c r="U2857" s="207"/>
      <c r="V2857" s="166">
        <f t="shared" si="116"/>
        <v>0</v>
      </c>
      <c r="W2857" s="205"/>
      <c r="X2857" s="167"/>
    </row>
    <row r="2858" spans="8:24" s="221" customFormat="1" ht="12" hidden="1" customHeight="1">
      <c r="H2858" s="207"/>
      <c r="I2858" s="207"/>
      <c r="J2858" s="167"/>
      <c r="K2858" s="167"/>
      <c r="L2858" s="209"/>
      <c r="M2858" s="169"/>
      <c r="N2858" s="169"/>
      <c r="O2858" s="169">
        <f t="shared" si="115"/>
        <v>0</v>
      </c>
      <c r="P2858" s="169"/>
      <c r="Q2858" s="166">
        <f t="shared" si="114"/>
        <v>0</v>
      </c>
      <c r="R2858" s="207"/>
      <c r="S2858" s="207"/>
      <c r="T2858" s="207"/>
      <c r="U2858" s="207"/>
      <c r="V2858" s="166">
        <f t="shared" si="116"/>
        <v>0</v>
      </c>
      <c r="W2858" s="205"/>
      <c r="X2858" s="167"/>
    </row>
    <row r="2859" spans="8:24" s="221" customFormat="1" ht="12" hidden="1" customHeight="1">
      <c r="H2859" s="207"/>
      <c r="I2859" s="207"/>
      <c r="J2859" s="167"/>
      <c r="K2859" s="167"/>
      <c r="L2859" s="209"/>
      <c r="M2859" s="169"/>
      <c r="N2859" s="169"/>
      <c r="O2859" s="169">
        <f t="shared" si="115"/>
        <v>0</v>
      </c>
      <c r="P2859" s="169"/>
      <c r="Q2859" s="166">
        <f t="shared" si="114"/>
        <v>0</v>
      </c>
      <c r="R2859" s="207"/>
      <c r="S2859" s="207"/>
      <c r="T2859" s="207"/>
      <c r="U2859" s="207"/>
      <c r="V2859" s="166">
        <f t="shared" si="116"/>
        <v>0</v>
      </c>
      <c r="W2859" s="205"/>
      <c r="X2859" s="167"/>
    </row>
    <row r="2860" spans="8:24" s="221" customFormat="1" ht="12" hidden="1" customHeight="1">
      <c r="H2860" s="207"/>
      <c r="I2860" s="207"/>
      <c r="J2860" s="167"/>
      <c r="K2860" s="167"/>
      <c r="L2860" s="209"/>
      <c r="M2860" s="169"/>
      <c r="N2860" s="169"/>
      <c r="O2860" s="169">
        <f t="shared" si="115"/>
        <v>0</v>
      </c>
      <c r="P2860" s="169"/>
      <c r="Q2860" s="166">
        <f t="shared" si="114"/>
        <v>0</v>
      </c>
      <c r="R2860" s="207"/>
      <c r="S2860" s="207"/>
      <c r="T2860" s="207"/>
      <c r="U2860" s="207"/>
      <c r="V2860" s="166">
        <f t="shared" si="116"/>
        <v>0</v>
      </c>
      <c r="W2860" s="205"/>
      <c r="X2860" s="167"/>
    </row>
    <row r="2861" spans="8:24" s="221" customFormat="1" ht="12" hidden="1" customHeight="1">
      <c r="H2861" s="207"/>
      <c r="I2861" s="207"/>
      <c r="J2861" s="167"/>
      <c r="K2861" s="167"/>
      <c r="L2861" s="209"/>
      <c r="M2861" s="169"/>
      <c r="N2861" s="169"/>
      <c r="O2861" s="169">
        <f t="shared" si="115"/>
        <v>0</v>
      </c>
      <c r="P2861" s="169"/>
      <c r="Q2861" s="166">
        <f t="shared" si="114"/>
        <v>0</v>
      </c>
      <c r="R2861" s="207"/>
      <c r="S2861" s="207"/>
      <c r="T2861" s="207"/>
      <c r="U2861" s="207"/>
      <c r="V2861" s="166">
        <f t="shared" si="116"/>
        <v>0</v>
      </c>
      <c r="W2861" s="205"/>
      <c r="X2861" s="167"/>
    </row>
    <row r="2862" spans="8:24" s="221" customFormat="1" ht="12" hidden="1" customHeight="1">
      <c r="H2862" s="207"/>
      <c r="I2862" s="207"/>
      <c r="J2862" s="167"/>
      <c r="K2862" s="167"/>
      <c r="L2862" s="209"/>
      <c r="M2862" s="169"/>
      <c r="N2862" s="169"/>
      <c r="O2862" s="169">
        <f t="shared" si="115"/>
        <v>0</v>
      </c>
      <c r="P2862" s="169"/>
      <c r="Q2862" s="166">
        <f t="shared" si="114"/>
        <v>0</v>
      </c>
      <c r="R2862" s="207"/>
      <c r="S2862" s="207"/>
      <c r="T2862" s="207"/>
      <c r="U2862" s="207"/>
      <c r="V2862" s="166">
        <f t="shared" si="116"/>
        <v>0</v>
      </c>
      <c r="W2862" s="205"/>
      <c r="X2862" s="167"/>
    </row>
    <row r="2863" spans="8:24" s="221" customFormat="1" ht="12" hidden="1" customHeight="1">
      <c r="H2863" s="207"/>
      <c r="I2863" s="207"/>
      <c r="J2863" s="167"/>
      <c r="K2863" s="167"/>
      <c r="L2863" s="209"/>
      <c r="M2863" s="169"/>
      <c r="N2863" s="169"/>
      <c r="O2863" s="169">
        <f t="shared" si="115"/>
        <v>0</v>
      </c>
      <c r="P2863" s="169"/>
      <c r="Q2863" s="166">
        <f t="shared" ref="Q2863:Q2926" si="117">IF(W2863="",M2863*P2863*$Q$3*$W$3,M2863*P2863*$Q$3*W2863)</f>
        <v>0</v>
      </c>
      <c r="R2863" s="207"/>
      <c r="S2863" s="207"/>
      <c r="T2863" s="207"/>
      <c r="U2863" s="207"/>
      <c r="V2863" s="166">
        <f t="shared" si="116"/>
        <v>0</v>
      </c>
      <c r="W2863" s="205"/>
      <c r="X2863" s="167"/>
    </row>
    <row r="2864" spans="8:24" s="221" customFormat="1" ht="12" hidden="1" customHeight="1">
      <c r="H2864" s="207"/>
      <c r="I2864" s="207"/>
      <c r="J2864" s="167"/>
      <c r="K2864" s="167"/>
      <c r="L2864" s="209"/>
      <c r="M2864" s="169"/>
      <c r="N2864" s="169"/>
      <c r="O2864" s="169">
        <f t="shared" si="115"/>
        <v>0</v>
      </c>
      <c r="P2864" s="169"/>
      <c r="Q2864" s="166">
        <f t="shared" si="117"/>
        <v>0</v>
      </c>
      <c r="R2864" s="207"/>
      <c r="S2864" s="207"/>
      <c r="T2864" s="207"/>
      <c r="U2864" s="207"/>
      <c r="V2864" s="166">
        <f t="shared" si="116"/>
        <v>0</v>
      </c>
      <c r="W2864" s="205"/>
      <c r="X2864" s="167"/>
    </row>
    <row r="2865" spans="8:24" s="221" customFormat="1" ht="12" hidden="1" customHeight="1">
      <c r="H2865" s="207"/>
      <c r="I2865" s="207"/>
      <c r="J2865" s="167"/>
      <c r="K2865" s="167"/>
      <c r="L2865" s="209"/>
      <c r="M2865" s="169"/>
      <c r="N2865" s="169"/>
      <c r="O2865" s="169">
        <f t="shared" si="115"/>
        <v>0</v>
      </c>
      <c r="P2865" s="169"/>
      <c r="Q2865" s="166">
        <f t="shared" si="117"/>
        <v>0</v>
      </c>
      <c r="R2865" s="207"/>
      <c r="S2865" s="207"/>
      <c r="T2865" s="207"/>
      <c r="U2865" s="207"/>
      <c r="V2865" s="166">
        <f t="shared" si="116"/>
        <v>0</v>
      </c>
      <c r="W2865" s="205"/>
      <c r="X2865" s="167"/>
    </row>
    <row r="2866" spans="8:24" s="221" customFormat="1" ht="12" hidden="1" customHeight="1">
      <c r="H2866" s="207"/>
      <c r="I2866" s="207"/>
      <c r="J2866" s="167"/>
      <c r="K2866" s="167"/>
      <c r="L2866" s="209"/>
      <c r="M2866" s="169"/>
      <c r="N2866" s="169"/>
      <c r="O2866" s="169">
        <f t="shared" si="115"/>
        <v>0</v>
      </c>
      <c r="P2866" s="169"/>
      <c r="Q2866" s="166">
        <f t="shared" si="117"/>
        <v>0</v>
      </c>
      <c r="R2866" s="207"/>
      <c r="S2866" s="207"/>
      <c r="T2866" s="207"/>
      <c r="U2866" s="207"/>
      <c r="V2866" s="166">
        <f t="shared" si="116"/>
        <v>0</v>
      </c>
      <c r="W2866" s="205"/>
      <c r="X2866" s="167"/>
    </row>
    <row r="2867" spans="8:24" s="221" customFormat="1" ht="12" hidden="1" customHeight="1">
      <c r="H2867" s="207"/>
      <c r="I2867" s="207"/>
      <c r="J2867" s="167"/>
      <c r="K2867" s="167"/>
      <c r="L2867" s="209"/>
      <c r="M2867" s="169"/>
      <c r="N2867" s="169"/>
      <c r="O2867" s="169">
        <f t="shared" si="115"/>
        <v>0</v>
      </c>
      <c r="P2867" s="169"/>
      <c r="Q2867" s="166">
        <f t="shared" si="117"/>
        <v>0</v>
      </c>
      <c r="R2867" s="207"/>
      <c r="S2867" s="207"/>
      <c r="T2867" s="207"/>
      <c r="U2867" s="207"/>
      <c r="V2867" s="166">
        <f t="shared" si="116"/>
        <v>0</v>
      </c>
      <c r="W2867" s="205"/>
      <c r="X2867" s="167"/>
    </row>
    <row r="2868" spans="8:24" s="221" customFormat="1" ht="12" hidden="1" customHeight="1">
      <c r="H2868" s="207"/>
      <c r="I2868" s="207"/>
      <c r="J2868" s="167"/>
      <c r="K2868" s="167"/>
      <c r="L2868" s="209"/>
      <c r="M2868" s="169"/>
      <c r="N2868" s="169"/>
      <c r="O2868" s="169">
        <f t="shared" si="115"/>
        <v>0</v>
      </c>
      <c r="P2868" s="169"/>
      <c r="Q2868" s="166">
        <f t="shared" si="117"/>
        <v>0</v>
      </c>
      <c r="R2868" s="207"/>
      <c r="S2868" s="207"/>
      <c r="T2868" s="207"/>
      <c r="U2868" s="207"/>
      <c r="V2868" s="166">
        <f t="shared" si="116"/>
        <v>0</v>
      </c>
      <c r="W2868" s="205"/>
      <c r="X2868" s="167"/>
    </row>
    <row r="2869" spans="8:24" s="221" customFormat="1" ht="12" hidden="1" customHeight="1">
      <c r="H2869" s="207"/>
      <c r="I2869" s="207"/>
      <c r="J2869" s="167"/>
      <c r="K2869" s="167"/>
      <c r="L2869" s="209"/>
      <c r="M2869" s="169"/>
      <c r="N2869" s="169"/>
      <c r="O2869" s="169">
        <f t="shared" si="115"/>
        <v>0</v>
      </c>
      <c r="P2869" s="169"/>
      <c r="Q2869" s="166">
        <f t="shared" si="117"/>
        <v>0</v>
      </c>
      <c r="R2869" s="207"/>
      <c r="S2869" s="207"/>
      <c r="T2869" s="207"/>
      <c r="U2869" s="207"/>
      <c r="V2869" s="166">
        <f t="shared" si="116"/>
        <v>0</v>
      </c>
      <c r="W2869" s="205"/>
      <c r="X2869" s="167"/>
    </row>
    <row r="2870" spans="8:24" s="221" customFormat="1" ht="12" hidden="1" customHeight="1">
      <c r="H2870" s="207"/>
      <c r="I2870" s="207"/>
      <c r="J2870" s="167"/>
      <c r="K2870" s="167"/>
      <c r="L2870" s="209"/>
      <c r="M2870" s="169"/>
      <c r="N2870" s="169"/>
      <c r="O2870" s="169">
        <f t="shared" si="115"/>
        <v>0</v>
      </c>
      <c r="P2870" s="169"/>
      <c r="Q2870" s="166">
        <f t="shared" si="117"/>
        <v>0</v>
      </c>
      <c r="R2870" s="207"/>
      <c r="S2870" s="207"/>
      <c r="T2870" s="207"/>
      <c r="U2870" s="207"/>
      <c r="V2870" s="166">
        <f t="shared" si="116"/>
        <v>0</v>
      </c>
      <c r="W2870" s="205"/>
      <c r="X2870" s="167"/>
    </row>
    <row r="2871" spans="8:24" s="221" customFormat="1" ht="12" hidden="1" customHeight="1">
      <c r="H2871" s="207"/>
      <c r="I2871" s="207"/>
      <c r="J2871" s="167"/>
      <c r="K2871" s="167"/>
      <c r="L2871" s="209"/>
      <c r="M2871" s="169"/>
      <c r="N2871" s="169"/>
      <c r="O2871" s="169">
        <f t="shared" si="115"/>
        <v>0</v>
      </c>
      <c r="P2871" s="169"/>
      <c r="Q2871" s="166">
        <f t="shared" si="117"/>
        <v>0</v>
      </c>
      <c r="R2871" s="207"/>
      <c r="S2871" s="207"/>
      <c r="T2871" s="207"/>
      <c r="U2871" s="207"/>
      <c r="V2871" s="166">
        <f t="shared" si="116"/>
        <v>0</v>
      </c>
      <c r="W2871" s="205"/>
      <c r="X2871" s="167"/>
    </row>
    <row r="2872" spans="8:24" s="221" customFormat="1" ht="12" hidden="1" customHeight="1">
      <c r="H2872" s="207"/>
      <c r="I2872" s="207"/>
      <c r="J2872" s="167"/>
      <c r="K2872" s="167"/>
      <c r="L2872" s="209"/>
      <c r="M2872" s="169"/>
      <c r="N2872" s="169"/>
      <c r="O2872" s="169">
        <f t="shared" si="115"/>
        <v>0</v>
      </c>
      <c r="P2872" s="169"/>
      <c r="Q2872" s="166">
        <f t="shared" si="117"/>
        <v>0</v>
      </c>
      <c r="R2872" s="207"/>
      <c r="S2872" s="207"/>
      <c r="T2872" s="207"/>
      <c r="U2872" s="207"/>
      <c r="V2872" s="166">
        <f t="shared" si="116"/>
        <v>0</v>
      </c>
      <c r="W2872" s="205"/>
      <c r="X2872" s="167"/>
    </row>
    <row r="2873" spans="8:24" s="221" customFormat="1" ht="12" hidden="1" customHeight="1">
      <c r="H2873" s="207"/>
      <c r="I2873" s="207"/>
      <c r="J2873" s="167"/>
      <c r="K2873" s="167"/>
      <c r="L2873" s="209"/>
      <c r="M2873" s="169"/>
      <c r="N2873" s="169"/>
      <c r="O2873" s="169">
        <f t="shared" si="115"/>
        <v>0</v>
      </c>
      <c r="P2873" s="169"/>
      <c r="Q2873" s="166">
        <f t="shared" si="117"/>
        <v>0</v>
      </c>
      <c r="R2873" s="207"/>
      <c r="S2873" s="207"/>
      <c r="T2873" s="207"/>
      <c r="U2873" s="207"/>
      <c r="V2873" s="166">
        <f t="shared" si="116"/>
        <v>0</v>
      </c>
      <c r="W2873" s="205"/>
      <c r="X2873" s="167"/>
    </row>
    <row r="2874" spans="8:24" s="221" customFormat="1" ht="12" hidden="1" customHeight="1">
      <c r="H2874" s="207"/>
      <c r="I2874" s="207"/>
      <c r="J2874" s="167"/>
      <c r="K2874" s="167"/>
      <c r="L2874" s="209"/>
      <c r="M2874" s="169"/>
      <c r="N2874" s="169"/>
      <c r="O2874" s="169">
        <f t="shared" si="115"/>
        <v>0</v>
      </c>
      <c r="P2874" s="169"/>
      <c r="Q2874" s="166">
        <f t="shared" si="117"/>
        <v>0</v>
      </c>
      <c r="R2874" s="207"/>
      <c r="S2874" s="207"/>
      <c r="T2874" s="207"/>
      <c r="U2874" s="207"/>
      <c r="V2874" s="166">
        <f t="shared" si="116"/>
        <v>0</v>
      </c>
      <c r="W2874" s="205"/>
      <c r="X2874" s="167"/>
    </row>
    <row r="2875" spans="8:24" s="221" customFormat="1" ht="12" hidden="1" customHeight="1">
      <c r="H2875" s="207"/>
      <c r="I2875" s="207"/>
      <c r="J2875" s="167"/>
      <c r="K2875" s="167"/>
      <c r="L2875" s="209"/>
      <c r="M2875" s="169"/>
      <c r="N2875" s="169"/>
      <c r="O2875" s="169">
        <f t="shared" si="115"/>
        <v>0</v>
      </c>
      <c r="P2875" s="169"/>
      <c r="Q2875" s="166">
        <f t="shared" si="117"/>
        <v>0</v>
      </c>
      <c r="R2875" s="207"/>
      <c r="S2875" s="207"/>
      <c r="T2875" s="207"/>
      <c r="U2875" s="207"/>
      <c r="V2875" s="166">
        <f t="shared" si="116"/>
        <v>0</v>
      </c>
      <c r="W2875" s="205"/>
      <c r="X2875" s="167"/>
    </row>
    <row r="2876" spans="8:24" s="221" customFormat="1" ht="12" hidden="1" customHeight="1">
      <c r="H2876" s="207"/>
      <c r="I2876" s="207"/>
      <c r="J2876" s="167"/>
      <c r="K2876" s="167"/>
      <c r="L2876" s="209"/>
      <c r="M2876" s="169"/>
      <c r="N2876" s="169"/>
      <c r="O2876" s="169">
        <f t="shared" ref="O2876:O2939" si="118">M2876*N2876*$O$3</f>
        <v>0</v>
      </c>
      <c r="P2876" s="169"/>
      <c r="Q2876" s="166">
        <f t="shared" si="117"/>
        <v>0</v>
      </c>
      <c r="R2876" s="207"/>
      <c r="S2876" s="207"/>
      <c r="T2876" s="207"/>
      <c r="U2876" s="207"/>
      <c r="V2876" s="166">
        <f t="shared" si="116"/>
        <v>0</v>
      </c>
      <c r="W2876" s="205"/>
      <c r="X2876" s="167"/>
    </row>
    <row r="2877" spans="8:24" s="221" customFormat="1" ht="12" hidden="1" customHeight="1">
      <c r="H2877" s="207"/>
      <c r="I2877" s="207"/>
      <c r="J2877" s="167"/>
      <c r="K2877" s="167"/>
      <c r="L2877" s="209"/>
      <c r="M2877" s="169"/>
      <c r="N2877" s="169"/>
      <c r="O2877" s="169">
        <f t="shared" si="118"/>
        <v>0</v>
      </c>
      <c r="P2877" s="169"/>
      <c r="Q2877" s="166">
        <f t="shared" si="117"/>
        <v>0</v>
      </c>
      <c r="R2877" s="207"/>
      <c r="S2877" s="207"/>
      <c r="T2877" s="207"/>
      <c r="U2877" s="207"/>
      <c r="V2877" s="166">
        <f t="shared" si="116"/>
        <v>0</v>
      </c>
      <c r="W2877" s="205"/>
      <c r="X2877" s="167"/>
    </row>
    <row r="2878" spans="8:24" s="221" customFormat="1" ht="12" hidden="1" customHeight="1">
      <c r="H2878" s="207"/>
      <c r="I2878" s="207"/>
      <c r="J2878" s="167"/>
      <c r="K2878" s="167"/>
      <c r="L2878" s="209"/>
      <c r="M2878" s="169"/>
      <c r="N2878" s="169"/>
      <c r="O2878" s="169">
        <f t="shared" si="118"/>
        <v>0</v>
      </c>
      <c r="P2878" s="169"/>
      <c r="Q2878" s="166">
        <f t="shared" si="117"/>
        <v>0</v>
      </c>
      <c r="R2878" s="207"/>
      <c r="S2878" s="207"/>
      <c r="T2878" s="207"/>
      <c r="U2878" s="207"/>
      <c r="V2878" s="166">
        <f t="shared" si="116"/>
        <v>0</v>
      </c>
      <c r="W2878" s="205"/>
      <c r="X2878" s="167"/>
    </row>
    <row r="2879" spans="8:24" s="221" customFormat="1" ht="12" hidden="1" customHeight="1">
      <c r="H2879" s="207"/>
      <c r="I2879" s="207"/>
      <c r="J2879" s="167"/>
      <c r="K2879" s="167"/>
      <c r="L2879" s="209"/>
      <c r="M2879" s="169"/>
      <c r="N2879" s="169"/>
      <c r="O2879" s="169">
        <f t="shared" si="118"/>
        <v>0</v>
      </c>
      <c r="P2879" s="169"/>
      <c r="Q2879" s="166">
        <f t="shared" si="117"/>
        <v>0</v>
      </c>
      <c r="R2879" s="207"/>
      <c r="S2879" s="207"/>
      <c r="T2879" s="207"/>
      <c r="U2879" s="207"/>
      <c r="V2879" s="166">
        <f t="shared" ref="V2879:V2942" si="119">SUM(O2879+Q2879)+S2879+U2879</f>
        <v>0</v>
      </c>
      <c r="W2879" s="205"/>
      <c r="X2879" s="167"/>
    </row>
    <row r="2880" spans="8:24" s="221" customFormat="1" ht="12" hidden="1" customHeight="1">
      <c r="H2880" s="207"/>
      <c r="I2880" s="207"/>
      <c r="J2880" s="167"/>
      <c r="K2880" s="167"/>
      <c r="L2880" s="209"/>
      <c r="M2880" s="169"/>
      <c r="N2880" s="169"/>
      <c r="O2880" s="169">
        <f t="shared" si="118"/>
        <v>0</v>
      </c>
      <c r="P2880" s="169"/>
      <c r="Q2880" s="166">
        <f t="shared" si="117"/>
        <v>0</v>
      </c>
      <c r="R2880" s="207"/>
      <c r="S2880" s="207"/>
      <c r="T2880" s="207"/>
      <c r="U2880" s="207"/>
      <c r="V2880" s="166">
        <f t="shared" si="119"/>
        <v>0</v>
      </c>
      <c r="W2880" s="205"/>
      <c r="X2880" s="167"/>
    </row>
    <row r="2881" spans="8:24" s="221" customFormat="1" ht="12" hidden="1" customHeight="1">
      <c r="H2881" s="207"/>
      <c r="I2881" s="207"/>
      <c r="J2881" s="167"/>
      <c r="K2881" s="167"/>
      <c r="L2881" s="209"/>
      <c r="M2881" s="169"/>
      <c r="N2881" s="169"/>
      <c r="O2881" s="169">
        <f t="shared" si="118"/>
        <v>0</v>
      </c>
      <c r="P2881" s="169"/>
      <c r="Q2881" s="166">
        <f t="shared" si="117"/>
        <v>0</v>
      </c>
      <c r="R2881" s="207"/>
      <c r="S2881" s="207"/>
      <c r="T2881" s="207"/>
      <c r="U2881" s="207"/>
      <c r="V2881" s="166">
        <f t="shared" si="119"/>
        <v>0</v>
      </c>
      <c r="W2881" s="205"/>
      <c r="X2881" s="167"/>
    </row>
    <row r="2882" spans="8:24" s="221" customFormat="1" ht="12" hidden="1" customHeight="1">
      <c r="H2882" s="207"/>
      <c r="I2882" s="207"/>
      <c r="J2882" s="167"/>
      <c r="K2882" s="167"/>
      <c r="L2882" s="209"/>
      <c r="M2882" s="169"/>
      <c r="N2882" s="169"/>
      <c r="O2882" s="169">
        <f t="shared" si="118"/>
        <v>0</v>
      </c>
      <c r="P2882" s="169"/>
      <c r="Q2882" s="166">
        <f t="shared" si="117"/>
        <v>0</v>
      </c>
      <c r="R2882" s="207"/>
      <c r="S2882" s="207"/>
      <c r="T2882" s="207"/>
      <c r="U2882" s="207"/>
      <c r="V2882" s="166">
        <f t="shared" si="119"/>
        <v>0</v>
      </c>
      <c r="W2882" s="205"/>
      <c r="X2882" s="167"/>
    </row>
    <row r="2883" spans="8:24" s="221" customFormat="1" ht="12" hidden="1" customHeight="1">
      <c r="H2883" s="207"/>
      <c r="I2883" s="207"/>
      <c r="J2883" s="167"/>
      <c r="K2883" s="167"/>
      <c r="L2883" s="209"/>
      <c r="M2883" s="169"/>
      <c r="N2883" s="169"/>
      <c r="O2883" s="169">
        <f t="shared" si="118"/>
        <v>0</v>
      </c>
      <c r="P2883" s="169"/>
      <c r="Q2883" s="166">
        <f t="shared" si="117"/>
        <v>0</v>
      </c>
      <c r="R2883" s="207"/>
      <c r="S2883" s="207"/>
      <c r="T2883" s="207"/>
      <c r="U2883" s="207"/>
      <c r="V2883" s="166">
        <f t="shared" si="119"/>
        <v>0</v>
      </c>
      <c r="W2883" s="205"/>
      <c r="X2883" s="167"/>
    </row>
    <row r="2884" spans="8:24" s="221" customFormat="1" ht="12" hidden="1" customHeight="1">
      <c r="H2884" s="207"/>
      <c r="I2884" s="207"/>
      <c r="J2884" s="167"/>
      <c r="K2884" s="167"/>
      <c r="L2884" s="209"/>
      <c r="M2884" s="169"/>
      <c r="N2884" s="169"/>
      <c r="O2884" s="169">
        <f t="shared" si="118"/>
        <v>0</v>
      </c>
      <c r="P2884" s="169"/>
      <c r="Q2884" s="166">
        <f t="shared" si="117"/>
        <v>0</v>
      </c>
      <c r="R2884" s="207"/>
      <c r="S2884" s="207"/>
      <c r="T2884" s="207"/>
      <c r="U2884" s="207"/>
      <c r="V2884" s="166">
        <f t="shared" si="119"/>
        <v>0</v>
      </c>
      <c r="W2884" s="205"/>
      <c r="X2884" s="167"/>
    </row>
    <row r="2885" spans="8:24" s="221" customFormat="1" ht="12" hidden="1" customHeight="1">
      <c r="H2885" s="207"/>
      <c r="I2885" s="207"/>
      <c r="J2885" s="167"/>
      <c r="K2885" s="167"/>
      <c r="L2885" s="209"/>
      <c r="M2885" s="169"/>
      <c r="N2885" s="169"/>
      <c r="O2885" s="169">
        <f t="shared" si="118"/>
        <v>0</v>
      </c>
      <c r="P2885" s="169"/>
      <c r="Q2885" s="166">
        <f t="shared" si="117"/>
        <v>0</v>
      </c>
      <c r="R2885" s="207"/>
      <c r="S2885" s="207"/>
      <c r="T2885" s="207"/>
      <c r="U2885" s="207"/>
      <c r="V2885" s="166">
        <f t="shared" si="119"/>
        <v>0</v>
      </c>
      <c r="W2885" s="205"/>
      <c r="X2885" s="167"/>
    </row>
    <row r="2886" spans="8:24" s="221" customFormat="1" ht="12" hidden="1" customHeight="1">
      <c r="H2886" s="207"/>
      <c r="I2886" s="207"/>
      <c r="J2886" s="167"/>
      <c r="K2886" s="167"/>
      <c r="L2886" s="209"/>
      <c r="M2886" s="169"/>
      <c r="N2886" s="169"/>
      <c r="O2886" s="169">
        <f t="shared" si="118"/>
        <v>0</v>
      </c>
      <c r="P2886" s="169"/>
      <c r="Q2886" s="166">
        <f t="shared" si="117"/>
        <v>0</v>
      </c>
      <c r="R2886" s="207"/>
      <c r="S2886" s="207"/>
      <c r="T2886" s="207"/>
      <c r="U2886" s="207"/>
      <c r="V2886" s="166">
        <f t="shared" si="119"/>
        <v>0</v>
      </c>
      <c r="W2886" s="205"/>
      <c r="X2886" s="167"/>
    </row>
    <row r="2887" spans="8:24" s="221" customFormat="1" ht="12" hidden="1" customHeight="1">
      <c r="H2887" s="207"/>
      <c r="I2887" s="207"/>
      <c r="J2887" s="167"/>
      <c r="K2887" s="167"/>
      <c r="L2887" s="209"/>
      <c r="M2887" s="169"/>
      <c r="N2887" s="169"/>
      <c r="O2887" s="169">
        <f t="shared" si="118"/>
        <v>0</v>
      </c>
      <c r="P2887" s="169"/>
      <c r="Q2887" s="166">
        <f t="shared" si="117"/>
        <v>0</v>
      </c>
      <c r="R2887" s="207"/>
      <c r="S2887" s="207"/>
      <c r="T2887" s="207"/>
      <c r="U2887" s="207"/>
      <c r="V2887" s="166">
        <f t="shared" si="119"/>
        <v>0</v>
      </c>
      <c r="W2887" s="205"/>
      <c r="X2887" s="167"/>
    </row>
    <row r="2888" spans="8:24" s="221" customFormat="1" ht="12" hidden="1" customHeight="1">
      <c r="H2888" s="207"/>
      <c r="I2888" s="207"/>
      <c r="J2888" s="167"/>
      <c r="K2888" s="167"/>
      <c r="L2888" s="209"/>
      <c r="M2888" s="169"/>
      <c r="N2888" s="169"/>
      <c r="O2888" s="169">
        <f t="shared" si="118"/>
        <v>0</v>
      </c>
      <c r="P2888" s="169"/>
      <c r="Q2888" s="166">
        <f t="shared" si="117"/>
        <v>0</v>
      </c>
      <c r="R2888" s="207"/>
      <c r="S2888" s="207"/>
      <c r="T2888" s="207"/>
      <c r="U2888" s="207"/>
      <c r="V2888" s="166">
        <f t="shared" si="119"/>
        <v>0</v>
      </c>
      <c r="W2888" s="205"/>
      <c r="X2888" s="167"/>
    </row>
    <row r="2889" spans="8:24" s="221" customFormat="1" ht="12" hidden="1" customHeight="1">
      <c r="H2889" s="207"/>
      <c r="I2889" s="207"/>
      <c r="J2889" s="167"/>
      <c r="K2889" s="167"/>
      <c r="L2889" s="209"/>
      <c r="M2889" s="169"/>
      <c r="N2889" s="169"/>
      <c r="O2889" s="169">
        <f t="shared" si="118"/>
        <v>0</v>
      </c>
      <c r="P2889" s="169"/>
      <c r="Q2889" s="166">
        <f t="shared" si="117"/>
        <v>0</v>
      </c>
      <c r="R2889" s="207"/>
      <c r="S2889" s="207"/>
      <c r="T2889" s="207"/>
      <c r="U2889" s="207"/>
      <c r="V2889" s="166">
        <f t="shared" si="119"/>
        <v>0</v>
      </c>
      <c r="W2889" s="205"/>
      <c r="X2889" s="167"/>
    </row>
    <row r="2890" spans="8:24" s="221" customFormat="1" ht="12" hidden="1" customHeight="1">
      <c r="H2890" s="207"/>
      <c r="I2890" s="207"/>
      <c r="J2890" s="167"/>
      <c r="K2890" s="167"/>
      <c r="L2890" s="209"/>
      <c r="M2890" s="169"/>
      <c r="N2890" s="169"/>
      <c r="O2890" s="169">
        <f t="shared" si="118"/>
        <v>0</v>
      </c>
      <c r="P2890" s="169"/>
      <c r="Q2890" s="166">
        <f t="shared" si="117"/>
        <v>0</v>
      </c>
      <c r="R2890" s="207"/>
      <c r="S2890" s="207"/>
      <c r="T2890" s="207"/>
      <c r="U2890" s="207"/>
      <c r="V2890" s="166">
        <f t="shared" si="119"/>
        <v>0</v>
      </c>
      <c r="W2890" s="205"/>
      <c r="X2890" s="167"/>
    </row>
    <row r="2891" spans="8:24" s="221" customFormat="1" ht="12" hidden="1" customHeight="1">
      <c r="H2891" s="207"/>
      <c r="I2891" s="207"/>
      <c r="J2891" s="167"/>
      <c r="K2891" s="167"/>
      <c r="L2891" s="209"/>
      <c r="M2891" s="169"/>
      <c r="N2891" s="169"/>
      <c r="O2891" s="169">
        <f t="shared" si="118"/>
        <v>0</v>
      </c>
      <c r="P2891" s="169"/>
      <c r="Q2891" s="166">
        <f t="shared" si="117"/>
        <v>0</v>
      </c>
      <c r="R2891" s="207"/>
      <c r="S2891" s="207"/>
      <c r="T2891" s="207"/>
      <c r="U2891" s="207"/>
      <c r="V2891" s="166">
        <f t="shared" si="119"/>
        <v>0</v>
      </c>
      <c r="W2891" s="205"/>
      <c r="X2891" s="167"/>
    </row>
    <row r="2892" spans="8:24" s="221" customFormat="1" ht="12" hidden="1" customHeight="1">
      <c r="H2892" s="207"/>
      <c r="I2892" s="207"/>
      <c r="J2892" s="167"/>
      <c r="K2892" s="167"/>
      <c r="L2892" s="209"/>
      <c r="M2892" s="169"/>
      <c r="N2892" s="169"/>
      <c r="O2892" s="169">
        <f t="shared" si="118"/>
        <v>0</v>
      </c>
      <c r="P2892" s="169"/>
      <c r="Q2892" s="166">
        <f t="shared" si="117"/>
        <v>0</v>
      </c>
      <c r="R2892" s="207"/>
      <c r="S2892" s="207"/>
      <c r="T2892" s="207"/>
      <c r="U2892" s="207"/>
      <c r="V2892" s="166">
        <f t="shared" si="119"/>
        <v>0</v>
      </c>
      <c r="W2892" s="205"/>
      <c r="X2892" s="167"/>
    </row>
    <row r="2893" spans="8:24" s="221" customFormat="1" ht="12" hidden="1" customHeight="1">
      <c r="H2893" s="207"/>
      <c r="I2893" s="207"/>
      <c r="J2893" s="167"/>
      <c r="K2893" s="167"/>
      <c r="L2893" s="209"/>
      <c r="M2893" s="169"/>
      <c r="N2893" s="169"/>
      <c r="O2893" s="169">
        <f t="shared" si="118"/>
        <v>0</v>
      </c>
      <c r="P2893" s="169"/>
      <c r="Q2893" s="166">
        <f t="shared" si="117"/>
        <v>0</v>
      </c>
      <c r="R2893" s="207"/>
      <c r="S2893" s="207"/>
      <c r="T2893" s="207"/>
      <c r="U2893" s="207"/>
      <c r="V2893" s="166">
        <f t="shared" si="119"/>
        <v>0</v>
      </c>
      <c r="W2893" s="205"/>
      <c r="X2893" s="167"/>
    </row>
    <row r="2894" spans="8:24" s="221" customFormat="1" ht="12" hidden="1" customHeight="1">
      <c r="H2894" s="207"/>
      <c r="I2894" s="207"/>
      <c r="J2894" s="167"/>
      <c r="K2894" s="167"/>
      <c r="L2894" s="209"/>
      <c r="M2894" s="169"/>
      <c r="N2894" s="169"/>
      <c r="O2894" s="169">
        <f t="shared" si="118"/>
        <v>0</v>
      </c>
      <c r="P2894" s="169"/>
      <c r="Q2894" s="166">
        <f t="shared" si="117"/>
        <v>0</v>
      </c>
      <c r="R2894" s="207"/>
      <c r="S2894" s="207"/>
      <c r="T2894" s="207"/>
      <c r="U2894" s="207"/>
      <c r="V2894" s="166">
        <f t="shared" si="119"/>
        <v>0</v>
      </c>
      <c r="W2894" s="205"/>
      <c r="X2894" s="167"/>
    </row>
    <row r="2895" spans="8:24" s="221" customFormat="1" ht="12" hidden="1" customHeight="1">
      <c r="H2895" s="207"/>
      <c r="I2895" s="207"/>
      <c r="J2895" s="167"/>
      <c r="K2895" s="167"/>
      <c r="L2895" s="209"/>
      <c r="M2895" s="169"/>
      <c r="N2895" s="169"/>
      <c r="O2895" s="169">
        <f t="shared" si="118"/>
        <v>0</v>
      </c>
      <c r="P2895" s="169"/>
      <c r="Q2895" s="166">
        <f t="shared" si="117"/>
        <v>0</v>
      </c>
      <c r="R2895" s="207"/>
      <c r="S2895" s="207"/>
      <c r="T2895" s="207"/>
      <c r="U2895" s="207"/>
      <c r="V2895" s="166">
        <f t="shared" si="119"/>
        <v>0</v>
      </c>
      <c r="W2895" s="205"/>
      <c r="X2895" s="167"/>
    </row>
    <row r="2896" spans="8:24" s="221" customFormat="1" ht="12" hidden="1" customHeight="1">
      <c r="H2896" s="207"/>
      <c r="I2896" s="207"/>
      <c r="J2896" s="167"/>
      <c r="K2896" s="167"/>
      <c r="L2896" s="209"/>
      <c r="M2896" s="169"/>
      <c r="N2896" s="169"/>
      <c r="O2896" s="169">
        <f t="shared" si="118"/>
        <v>0</v>
      </c>
      <c r="P2896" s="169"/>
      <c r="Q2896" s="166">
        <f t="shared" si="117"/>
        <v>0</v>
      </c>
      <c r="R2896" s="207"/>
      <c r="S2896" s="207"/>
      <c r="T2896" s="207"/>
      <c r="U2896" s="207"/>
      <c r="V2896" s="166">
        <f t="shared" si="119"/>
        <v>0</v>
      </c>
      <c r="W2896" s="205"/>
      <c r="X2896" s="167"/>
    </row>
    <row r="2897" spans="8:24" s="221" customFormat="1" ht="12" hidden="1" customHeight="1">
      <c r="H2897" s="207"/>
      <c r="I2897" s="207"/>
      <c r="J2897" s="167"/>
      <c r="K2897" s="167"/>
      <c r="L2897" s="209"/>
      <c r="M2897" s="169"/>
      <c r="N2897" s="169"/>
      <c r="O2897" s="169">
        <f t="shared" si="118"/>
        <v>0</v>
      </c>
      <c r="P2897" s="169"/>
      <c r="Q2897" s="166">
        <f t="shared" si="117"/>
        <v>0</v>
      </c>
      <c r="R2897" s="207"/>
      <c r="S2897" s="207"/>
      <c r="T2897" s="207"/>
      <c r="U2897" s="207"/>
      <c r="V2897" s="166">
        <f t="shared" si="119"/>
        <v>0</v>
      </c>
      <c r="W2897" s="205"/>
      <c r="X2897" s="167"/>
    </row>
    <row r="2898" spans="8:24" s="221" customFormat="1" ht="12" hidden="1" customHeight="1">
      <c r="H2898" s="207"/>
      <c r="I2898" s="207"/>
      <c r="J2898" s="167"/>
      <c r="K2898" s="167"/>
      <c r="L2898" s="209"/>
      <c r="M2898" s="169"/>
      <c r="N2898" s="169"/>
      <c r="O2898" s="169">
        <f t="shared" si="118"/>
        <v>0</v>
      </c>
      <c r="P2898" s="169"/>
      <c r="Q2898" s="166">
        <f t="shared" si="117"/>
        <v>0</v>
      </c>
      <c r="R2898" s="207"/>
      <c r="S2898" s="207"/>
      <c r="T2898" s="207"/>
      <c r="U2898" s="207"/>
      <c r="V2898" s="166">
        <f t="shared" si="119"/>
        <v>0</v>
      </c>
      <c r="W2898" s="205"/>
      <c r="X2898" s="167"/>
    </row>
    <row r="2899" spans="8:24" s="221" customFormat="1" ht="12" hidden="1" customHeight="1">
      <c r="H2899" s="207"/>
      <c r="I2899" s="207"/>
      <c r="J2899" s="167"/>
      <c r="K2899" s="167"/>
      <c r="L2899" s="209"/>
      <c r="M2899" s="169"/>
      <c r="N2899" s="169"/>
      <c r="O2899" s="169">
        <f t="shared" si="118"/>
        <v>0</v>
      </c>
      <c r="P2899" s="169"/>
      <c r="Q2899" s="166">
        <f t="shared" si="117"/>
        <v>0</v>
      </c>
      <c r="R2899" s="207"/>
      <c r="S2899" s="207"/>
      <c r="T2899" s="207"/>
      <c r="U2899" s="207"/>
      <c r="V2899" s="166">
        <f t="shared" si="119"/>
        <v>0</v>
      </c>
      <c r="W2899" s="205"/>
      <c r="X2899" s="167"/>
    </row>
    <row r="2900" spans="8:24" s="221" customFormat="1" ht="12" hidden="1" customHeight="1">
      <c r="H2900" s="207"/>
      <c r="I2900" s="207"/>
      <c r="J2900" s="167"/>
      <c r="K2900" s="167"/>
      <c r="L2900" s="209"/>
      <c r="M2900" s="169"/>
      <c r="N2900" s="169"/>
      <c r="O2900" s="169">
        <f t="shared" si="118"/>
        <v>0</v>
      </c>
      <c r="P2900" s="169"/>
      <c r="Q2900" s="166">
        <f t="shared" si="117"/>
        <v>0</v>
      </c>
      <c r="R2900" s="207"/>
      <c r="S2900" s="207"/>
      <c r="T2900" s="207"/>
      <c r="U2900" s="207"/>
      <c r="V2900" s="166">
        <f t="shared" si="119"/>
        <v>0</v>
      </c>
      <c r="W2900" s="205"/>
      <c r="X2900" s="167"/>
    </row>
    <row r="2901" spans="8:24" s="221" customFormat="1" ht="12" hidden="1" customHeight="1">
      <c r="H2901" s="207"/>
      <c r="I2901" s="207"/>
      <c r="J2901" s="167"/>
      <c r="K2901" s="167"/>
      <c r="L2901" s="209"/>
      <c r="M2901" s="169"/>
      <c r="N2901" s="169"/>
      <c r="O2901" s="169">
        <f t="shared" si="118"/>
        <v>0</v>
      </c>
      <c r="P2901" s="169"/>
      <c r="Q2901" s="166">
        <f t="shared" si="117"/>
        <v>0</v>
      </c>
      <c r="R2901" s="207"/>
      <c r="S2901" s="207"/>
      <c r="T2901" s="207"/>
      <c r="U2901" s="207"/>
      <c r="V2901" s="166">
        <f t="shared" si="119"/>
        <v>0</v>
      </c>
      <c r="W2901" s="205"/>
      <c r="X2901" s="167"/>
    </row>
    <row r="2902" spans="8:24" s="221" customFormat="1" ht="12" hidden="1" customHeight="1">
      <c r="H2902" s="207"/>
      <c r="I2902" s="207"/>
      <c r="J2902" s="167"/>
      <c r="K2902" s="167"/>
      <c r="L2902" s="209"/>
      <c r="M2902" s="169"/>
      <c r="N2902" s="169"/>
      <c r="O2902" s="169">
        <f t="shared" si="118"/>
        <v>0</v>
      </c>
      <c r="P2902" s="169"/>
      <c r="Q2902" s="166">
        <f t="shared" si="117"/>
        <v>0</v>
      </c>
      <c r="R2902" s="207"/>
      <c r="S2902" s="207"/>
      <c r="T2902" s="207"/>
      <c r="U2902" s="207"/>
      <c r="V2902" s="166">
        <f t="shared" si="119"/>
        <v>0</v>
      </c>
      <c r="W2902" s="205"/>
      <c r="X2902" s="167"/>
    </row>
    <row r="2903" spans="8:24" s="221" customFormat="1" ht="12" hidden="1" customHeight="1">
      <c r="H2903" s="207"/>
      <c r="I2903" s="207"/>
      <c r="J2903" s="167"/>
      <c r="K2903" s="167"/>
      <c r="L2903" s="209"/>
      <c r="M2903" s="169"/>
      <c r="N2903" s="169"/>
      <c r="O2903" s="169">
        <f t="shared" si="118"/>
        <v>0</v>
      </c>
      <c r="P2903" s="169"/>
      <c r="Q2903" s="166">
        <f t="shared" si="117"/>
        <v>0</v>
      </c>
      <c r="R2903" s="207"/>
      <c r="S2903" s="207"/>
      <c r="T2903" s="207"/>
      <c r="U2903" s="207"/>
      <c r="V2903" s="166">
        <f t="shared" si="119"/>
        <v>0</v>
      </c>
      <c r="W2903" s="205"/>
      <c r="X2903" s="167"/>
    </row>
    <row r="2904" spans="8:24" s="221" customFormat="1" ht="12" hidden="1" customHeight="1">
      <c r="H2904" s="207"/>
      <c r="I2904" s="207"/>
      <c r="J2904" s="167"/>
      <c r="K2904" s="167"/>
      <c r="L2904" s="209"/>
      <c r="M2904" s="169"/>
      <c r="N2904" s="169"/>
      <c r="O2904" s="169">
        <f t="shared" si="118"/>
        <v>0</v>
      </c>
      <c r="P2904" s="169"/>
      <c r="Q2904" s="166">
        <f t="shared" si="117"/>
        <v>0</v>
      </c>
      <c r="R2904" s="207"/>
      <c r="S2904" s="207"/>
      <c r="T2904" s="207"/>
      <c r="U2904" s="207"/>
      <c r="V2904" s="166">
        <f t="shared" si="119"/>
        <v>0</v>
      </c>
      <c r="W2904" s="205"/>
      <c r="X2904" s="167"/>
    </row>
    <row r="2905" spans="8:24" s="221" customFormat="1" ht="12" hidden="1" customHeight="1">
      <c r="H2905" s="207"/>
      <c r="I2905" s="207"/>
      <c r="J2905" s="167"/>
      <c r="K2905" s="167"/>
      <c r="L2905" s="209"/>
      <c r="M2905" s="169"/>
      <c r="N2905" s="169"/>
      <c r="O2905" s="169">
        <f t="shared" si="118"/>
        <v>0</v>
      </c>
      <c r="P2905" s="169"/>
      <c r="Q2905" s="166">
        <f t="shared" si="117"/>
        <v>0</v>
      </c>
      <c r="R2905" s="207"/>
      <c r="S2905" s="207"/>
      <c r="T2905" s="207"/>
      <c r="U2905" s="207"/>
      <c r="V2905" s="166">
        <f t="shared" si="119"/>
        <v>0</v>
      </c>
      <c r="W2905" s="205"/>
      <c r="X2905" s="167"/>
    </row>
    <row r="2906" spans="8:24" s="221" customFormat="1" ht="12" hidden="1" customHeight="1">
      <c r="H2906" s="207"/>
      <c r="I2906" s="207"/>
      <c r="J2906" s="167"/>
      <c r="K2906" s="167"/>
      <c r="L2906" s="209"/>
      <c r="M2906" s="169"/>
      <c r="N2906" s="169"/>
      <c r="O2906" s="169">
        <f t="shared" si="118"/>
        <v>0</v>
      </c>
      <c r="P2906" s="169"/>
      <c r="Q2906" s="166">
        <f t="shared" si="117"/>
        <v>0</v>
      </c>
      <c r="R2906" s="207"/>
      <c r="S2906" s="207"/>
      <c r="T2906" s="207"/>
      <c r="U2906" s="207"/>
      <c r="V2906" s="166">
        <f t="shared" si="119"/>
        <v>0</v>
      </c>
      <c r="W2906" s="205"/>
      <c r="X2906" s="167"/>
    </row>
    <row r="2907" spans="8:24" s="221" customFormat="1" ht="12" hidden="1" customHeight="1">
      <c r="H2907" s="207"/>
      <c r="I2907" s="207"/>
      <c r="J2907" s="167"/>
      <c r="K2907" s="167"/>
      <c r="L2907" s="209"/>
      <c r="M2907" s="169"/>
      <c r="N2907" s="169"/>
      <c r="O2907" s="169">
        <f t="shared" si="118"/>
        <v>0</v>
      </c>
      <c r="P2907" s="169"/>
      <c r="Q2907" s="166">
        <f t="shared" si="117"/>
        <v>0</v>
      </c>
      <c r="R2907" s="207"/>
      <c r="S2907" s="207"/>
      <c r="T2907" s="207"/>
      <c r="U2907" s="207"/>
      <c r="V2907" s="166">
        <f t="shared" si="119"/>
        <v>0</v>
      </c>
      <c r="W2907" s="205"/>
      <c r="X2907" s="167"/>
    </row>
    <row r="2908" spans="8:24" s="221" customFormat="1" ht="12" hidden="1" customHeight="1">
      <c r="H2908" s="207"/>
      <c r="I2908" s="207"/>
      <c r="J2908" s="167"/>
      <c r="K2908" s="167"/>
      <c r="L2908" s="209"/>
      <c r="M2908" s="169"/>
      <c r="N2908" s="169"/>
      <c r="O2908" s="169">
        <f t="shared" si="118"/>
        <v>0</v>
      </c>
      <c r="P2908" s="169"/>
      <c r="Q2908" s="166">
        <f t="shared" si="117"/>
        <v>0</v>
      </c>
      <c r="R2908" s="207"/>
      <c r="S2908" s="207"/>
      <c r="T2908" s="207"/>
      <c r="U2908" s="207"/>
      <c r="V2908" s="166">
        <f t="shared" si="119"/>
        <v>0</v>
      </c>
      <c r="W2908" s="205"/>
      <c r="X2908" s="167"/>
    </row>
    <row r="2909" spans="8:24" s="221" customFormat="1" ht="12" hidden="1" customHeight="1">
      <c r="H2909" s="207"/>
      <c r="I2909" s="207"/>
      <c r="J2909" s="167"/>
      <c r="K2909" s="167"/>
      <c r="L2909" s="209"/>
      <c r="M2909" s="169"/>
      <c r="N2909" s="169"/>
      <c r="O2909" s="169">
        <f t="shared" si="118"/>
        <v>0</v>
      </c>
      <c r="P2909" s="169"/>
      <c r="Q2909" s="166">
        <f t="shared" si="117"/>
        <v>0</v>
      </c>
      <c r="R2909" s="207"/>
      <c r="S2909" s="207"/>
      <c r="T2909" s="207"/>
      <c r="U2909" s="207"/>
      <c r="V2909" s="166">
        <f t="shared" si="119"/>
        <v>0</v>
      </c>
      <c r="W2909" s="205"/>
      <c r="X2909" s="167"/>
    </row>
    <row r="2910" spans="8:24" s="221" customFormat="1" ht="12" hidden="1" customHeight="1">
      <c r="H2910" s="207"/>
      <c r="I2910" s="207"/>
      <c r="J2910" s="167"/>
      <c r="K2910" s="167"/>
      <c r="L2910" s="209"/>
      <c r="M2910" s="169"/>
      <c r="N2910" s="169"/>
      <c r="O2910" s="169">
        <f t="shared" si="118"/>
        <v>0</v>
      </c>
      <c r="P2910" s="169"/>
      <c r="Q2910" s="166">
        <f t="shared" si="117"/>
        <v>0</v>
      </c>
      <c r="R2910" s="207"/>
      <c r="S2910" s="207"/>
      <c r="T2910" s="207"/>
      <c r="U2910" s="207"/>
      <c r="V2910" s="166">
        <f t="shared" si="119"/>
        <v>0</v>
      </c>
      <c r="W2910" s="205"/>
      <c r="X2910" s="167"/>
    </row>
    <row r="2911" spans="8:24" s="221" customFormat="1" ht="12" hidden="1" customHeight="1">
      <c r="H2911" s="207"/>
      <c r="I2911" s="207"/>
      <c r="J2911" s="167"/>
      <c r="K2911" s="167"/>
      <c r="L2911" s="209"/>
      <c r="M2911" s="169"/>
      <c r="N2911" s="169"/>
      <c r="O2911" s="169">
        <f t="shared" si="118"/>
        <v>0</v>
      </c>
      <c r="P2911" s="169"/>
      <c r="Q2911" s="166">
        <f t="shared" si="117"/>
        <v>0</v>
      </c>
      <c r="R2911" s="207"/>
      <c r="S2911" s="207"/>
      <c r="T2911" s="207"/>
      <c r="U2911" s="207"/>
      <c r="V2911" s="166">
        <f t="shared" si="119"/>
        <v>0</v>
      </c>
      <c r="W2911" s="205"/>
      <c r="X2911" s="167"/>
    </row>
    <row r="2912" spans="8:24" s="221" customFormat="1" ht="12" hidden="1" customHeight="1">
      <c r="H2912" s="207"/>
      <c r="I2912" s="207"/>
      <c r="J2912" s="167"/>
      <c r="K2912" s="167"/>
      <c r="L2912" s="209"/>
      <c r="M2912" s="169"/>
      <c r="N2912" s="169"/>
      <c r="O2912" s="169">
        <f t="shared" si="118"/>
        <v>0</v>
      </c>
      <c r="P2912" s="169"/>
      <c r="Q2912" s="166">
        <f t="shared" si="117"/>
        <v>0</v>
      </c>
      <c r="R2912" s="207"/>
      <c r="S2912" s="207"/>
      <c r="T2912" s="207"/>
      <c r="U2912" s="207"/>
      <c r="V2912" s="166">
        <f t="shared" si="119"/>
        <v>0</v>
      </c>
      <c r="W2912" s="205"/>
      <c r="X2912" s="167"/>
    </row>
    <row r="2913" spans="8:24" s="221" customFormat="1" ht="12" hidden="1" customHeight="1">
      <c r="H2913" s="207"/>
      <c r="I2913" s="207"/>
      <c r="J2913" s="167"/>
      <c r="K2913" s="167"/>
      <c r="L2913" s="209"/>
      <c r="M2913" s="169"/>
      <c r="N2913" s="169"/>
      <c r="O2913" s="169">
        <f t="shared" si="118"/>
        <v>0</v>
      </c>
      <c r="P2913" s="169"/>
      <c r="Q2913" s="166">
        <f t="shared" si="117"/>
        <v>0</v>
      </c>
      <c r="R2913" s="207"/>
      <c r="S2913" s="207"/>
      <c r="T2913" s="207"/>
      <c r="U2913" s="207"/>
      <c r="V2913" s="166">
        <f t="shared" si="119"/>
        <v>0</v>
      </c>
      <c r="W2913" s="205"/>
      <c r="X2913" s="167"/>
    </row>
    <row r="2914" spans="8:24" s="221" customFormat="1" ht="12" hidden="1" customHeight="1">
      <c r="H2914" s="207"/>
      <c r="I2914" s="207"/>
      <c r="J2914" s="167"/>
      <c r="K2914" s="167"/>
      <c r="L2914" s="209"/>
      <c r="M2914" s="169"/>
      <c r="N2914" s="169"/>
      <c r="O2914" s="169">
        <f t="shared" si="118"/>
        <v>0</v>
      </c>
      <c r="P2914" s="169"/>
      <c r="Q2914" s="166">
        <f t="shared" si="117"/>
        <v>0</v>
      </c>
      <c r="R2914" s="207"/>
      <c r="S2914" s="207"/>
      <c r="T2914" s="207"/>
      <c r="U2914" s="207"/>
      <c r="V2914" s="166">
        <f t="shared" si="119"/>
        <v>0</v>
      </c>
      <c r="W2914" s="205"/>
      <c r="X2914" s="167"/>
    </row>
    <row r="2915" spans="8:24" s="221" customFormat="1" ht="12" hidden="1" customHeight="1">
      <c r="H2915" s="207"/>
      <c r="I2915" s="207"/>
      <c r="J2915" s="167"/>
      <c r="K2915" s="167"/>
      <c r="L2915" s="209"/>
      <c r="M2915" s="169"/>
      <c r="N2915" s="169"/>
      <c r="O2915" s="169">
        <f t="shared" si="118"/>
        <v>0</v>
      </c>
      <c r="P2915" s="169"/>
      <c r="Q2915" s="166">
        <f t="shared" si="117"/>
        <v>0</v>
      </c>
      <c r="R2915" s="207"/>
      <c r="S2915" s="207"/>
      <c r="T2915" s="207"/>
      <c r="U2915" s="207"/>
      <c r="V2915" s="166">
        <f t="shared" si="119"/>
        <v>0</v>
      </c>
      <c r="W2915" s="205"/>
      <c r="X2915" s="167"/>
    </row>
    <row r="2916" spans="8:24" s="221" customFormat="1" ht="12" hidden="1" customHeight="1">
      <c r="H2916" s="207"/>
      <c r="I2916" s="207"/>
      <c r="J2916" s="167"/>
      <c r="K2916" s="167"/>
      <c r="L2916" s="209"/>
      <c r="M2916" s="169"/>
      <c r="N2916" s="169"/>
      <c r="O2916" s="169">
        <f t="shared" si="118"/>
        <v>0</v>
      </c>
      <c r="P2916" s="169"/>
      <c r="Q2916" s="166">
        <f t="shared" si="117"/>
        <v>0</v>
      </c>
      <c r="R2916" s="207"/>
      <c r="S2916" s="207"/>
      <c r="T2916" s="207"/>
      <c r="U2916" s="207"/>
      <c r="V2916" s="166">
        <f t="shared" si="119"/>
        <v>0</v>
      </c>
      <c r="W2916" s="205"/>
      <c r="X2916" s="167"/>
    </row>
    <row r="2917" spans="8:24" s="221" customFormat="1" ht="12" hidden="1" customHeight="1">
      <c r="H2917" s="207"/>
      <c r="I2917" s="207"/>
      <c r="J2917" s="167"/>
      <c r="K2917" s="167"/>
      <c r="L2917" s="209"/>
      <c r="M2917" s="169"/>
      <c r="N2917" s="169"/>
      <c r="O2917" s="169">
        <f t="shared" si="118"/>
        <v>0</v>
      </c>
      <c r="P2917" s="169"/>
      <c r="Q2917" s="166">
        <f t="shared" si="117"/>
        <v>0</v>
      </c>
      <c r="R2917" s="207"/>
      <c r="S2917" s="207"/>
      <c r="T2917" s="207"/>
      <c r="U2917" s="207"/>
      <c r="V2917" s="166">
        <f t="shared" si="119"/>
        <v>0</v>
      </c>
      <c r="W2917" s="205"/>
      <c r="X2917" s="167"/>
    </row>
    <row r="2918" spans="8:24" s="221" customFormat="1" ht="12" hidden="1" customHeight="1">
      <c r="H2918" s="207"/>
      <c r="I2918" s="207"/>
      <c r="J2918" s="167"/>
      <c r="K2918" s="167"/>
      <c r="L2918" s="209"/>
      <c r="M2918" s="169"/>
      <c r="N2918" s="169"/>
      <c r="O2918" s="169">
        <f t="shared" si="118"/>
        <v>0</v>
      </c>
      <c r="P2918" s="169"/>
      <c r="Q2918" s="166">
        <f t="shared" si="117"/>
        <v>0</v>
      </c>
      <c r="R2918" s="207"/>
      <c r="S2918" s="207"/>
      <c r="T2918" s="207"/>
      <c r="U2918" s="207"/>
      <c r="V2918" s="166">
        <f t="shared" si="119"/>
        <v>0</v>
      </c>
      <c r="W2918" s="205"/>
      <c r="X2918" s="167"/>
    </row>
    <row r="2919" spans="8:24" s="221" customFormat="1" ht="12" hidden="1" customHeight="1">
      <c r="H2919" s="207"/>
      <c r="I2919" s="207"/>
      <c r="J2919" s="167"/>
      <c r="K2919" s="167"/>
      <c r="L2919" s="209"/>
      <c r="M2919" s="169"/>
      <c r="N2919" s="169"/>
      <c r="O2919" s="169">
        <f t="shared" si="118"/>
        <v>0</v>
      </c>
      <c r="P2919" s="169"/>
      <c r="Q2919" s="166">
        <f t="shared" si="117"/>
        <v>0</v>
      </c>
      <c r="R2919" s="207"/>
      <c r="S2919" s="207"/>
      <c r="T2919" s="207"/>
      <c r="U2919" s="207"/>
      <c r="V2919" s="166">
        <f t="shared" si="119"/>
        <v>0</v>
      </c>
      <c r="W2919" s="205"/>
      <c r="X2919" s="167"/>
    </row>
    <row r="2920" spans="8:24" s="221" customFormat="1" ht="12" hidden="1" customHeight="1">
      <c r="H2920" s="207"/>
      <c r="I2920" s="207"/>
      <c r="J2920" s="167"/>
      <c r="K2920" s="167"/>
      <c r="L2920" s="209"/>
      <c r="M2920" s="169"/>
      <c r="N2920" s="169"/>
      <c r="O2920" s="169">
        <f t="shared" si="118"/>
        <v>0</v>
      </c>
      <c r="P2920" s="169"/>
      <c r="Q2920" s="166">
        <f t="shared" si="117"/>
        <v>0</v>
      </c>
      <c r="R2920" s="207"/>
      <c r="S2920" s="207"/>
      <c r="T2920" s="207"/>
      <c r="U2920" s="207"/>
      <c r="V2920" s="166">
        <f t="shared" si="119"/>
        <v>0</v>
      </c>
      <c r="W2920" s="205"/>
      <c r="X2920" s="167"/>
    </row>
    <row r="2921" spans="8:24" s="221" customFormat="1" ht="12" hidden="1" customHeight="1">
      <c r="H2921" s="207"/>
      <c r="I2921" s="207"/>
      <c r="J2921" s="167"/>
      <c r="K2921" s="167"/>
      <c r="L2921" s="209"/>
      <c r="M2921" s="169"/>
      <c r="N2921" s="169"/>
      <c r="O2921" s="169">
        <f t="shared" si="118"/>
        <v>0</v>
      </c>
      <c r="P2921" s="169"/>
      <c r="Q2921" s="166">
        <f t="shared" si="117"/>
        <v>0</v>
      </c>
      <c r="R2921" s="207"/>
      <c r="S2921" s="207"/>
      <c r="T2921" s="207"/>
      <c r="U2921" s="207"/>
      <c r="V2921" s="166">
        <f t="shared" si="119"/>
        <v>0</v>
      </c>
      <c r="W2921" s="205"/>
      <c r="X2921" s="167"/>
    </row>
    <row r="2922" spans="8:24" s="221" customFormat="1" ht="12" hidden="1" customHeight="1">
      <c r="H2922" s="207"/>
      <c r="I2922" s="207"/>
      <c r="J2922" s="167"/>
      <c r="K2922" s="167"/>
      <c r="L2922" s="209"/>
      <c r="M2922" s="169"/>
      <c r="N2922" s="169"/>
      <c r="O2922" s="169">
        <f t="shared" si="118"/>
        <v>0</v>
      </c>
      <c r="P2922" s="169"/>
      <c r="Q2922" s="166">
        <f t="shared" si="117"/>
        <v>0</v>
      </c>
      <c r="R2922" s="207"/>
      <c r="S2922" s="207"/>
      <c r="T2922" s="207"/>
      <c r="U2922" s="207"/>
      <c r="V2922" s="166">
        <f t="shared" si="119"/>
        <v>0</v>
      </c>
      <c r="W2922" s="205"/>
      <c r="X2922" s="167"/>
    </row>
    <row r="2923" spans="8:24" s="221" customFormat="1" ht="12" hidden="1" customHeight="1">
      <c r="H2923" s="207"/>
      <c r="I2923" s="207"/>
      <c r="J2923" s="167"/>
      <c r="K2923" s="167"/>
      <c r="L2923" s="209"/>
      <c r="M2923" s="169"/>
      <c r="N2923" s="169"/>
      <c r="O2923" s="169">
        <f t="shared" si="118"/>
        <v>0</v>
      </c>
      <c r="P2923" s="169"/>
      <c r="Q2923" s="166">
        <f t="shared" si="117"/>
        <v>0</v>
      </c>
      <c r="R2923" s="207"/>
      <c r="S2923" s="207"/>
      <c r="T2923" s="207"/>
      <c r="U2923" s="207"/>
      <c r="V2923" s="166">
        <f t="shared" si="119"/>
        <v>0</v>
      </c>
      <c r="W2923" s="205"/>
      <c r="X2923" s="167"/>
    </row>
    <row r="2924" spans="8:24" s="221" customFormat="1" ht="12" hidden="1" customHeight="1">
      <c r="H2924" s="207"/>
      <c r="I2924" s="207"/>
      <c r="J2924" s="167"/>
      <c r="K2924" s="167"/>
      <c r="L2924" s="209"/>
      <c r="M2924" s="169"/>
      <c r="N2924" s="169"/>
      <c r="O2924" s="169">
        <f t="shared" si="118"/>
        <v>0</v>
      </c>
      <c r="P2924" s="169"/>
      <c r="Q2924" s="166">
        <f t="shared" si="117"/>
        <v>0</v>
      </c>
      <c r="R2924" s="207"/>
      <c r="S2924" s="207"/>
      <c r="T2924" s="207"/>
      <c r="U2924" s="207"/>
      <c r="V2924" s="166">
        <f t="shared" si="119"/>
        <v>0</v>
      </c>
      <c r="W2924" s="205"/>
      <c r="X2924" s="167"/>
    </row>
    <row r="2925" spans="8:24" s="221" customFormat="1" ht="12" hidden="1" customHeight="1">
      <c r="H2925" s="207"/>
      <c r="I2925" s="207"/>
      <c r="J2925" s="167"/>
      <c r="K2925" s="167"/>
      <c r="L2925" s="209"/>
      <c r="M2925" s="169"/>
      <c r="N2925" s="169"/>
      <c r="O2925" s="169">
        <f t="shared" si="118"/>
        <v>0</v>
      </c>
      <c r="P2925" s="169"/>
      <c r="Q2925" s="166">
        <f t="shared" si="117"/>
        <v>0</v>
      </c>
      <c r="R2925" s="207"/>
      <c r="S2925" s="207"/>
      <c r="T2925" s="207"/>
      <c r="U2925" s="207"/>
      <c r="V2925" s="166">
        <f t="shared" si="119"/>
        <v>0</v>
      </c>
      <c r="W2925" s="205"/>
      <c r="X2925" s="167"/>
    </row>
    <row r="2926" spans="8:24" s="221" customFormat="1" ht="12" hidden="1" customHeight="1">
      <c r="H2926" s="207"/>
      <c r="I2926" s="207"/>
      <c r="J2926" s="167"/>
      <c r="K2926" s="167"/>
      <c r="L2926" s="209"/>
      <c r="M2926" s="169"/>
      <c r="N2926" s="169"/>
      <c r="O2926" s="169">
        <f t="shared" si="118"/>
        <v>0</v>
      </c>
      <c r="P2926" s="169"/>
      <c r="Q2926" s="166">
        <f t="shared" si="117"/>
        <v>0</v>
      </c>
      <c r="R2926" s="207"/>
      <c r="S2926" s="207"/>
      <c r="T2926" s="207"/>
      <c r="U2926" s="207"/>
      <c r="V2926" s="166">
        <f t="shared" si="119"/>
        <v>0</v>
      </c>
      <c r="W2926" s="205"/>
      <c r="X2926" s="167"/>
    </row>
    <row r="2927" spans="8:24" s="221" customFormat="1" ht="12" hidden="1" customHeight="1">
      <c r="H2927" s="207"/>
      <c r="I2927" s="207"/>
      <c r="J2927" s="167"/>
      <c r="K2927" s="167"/>
      <c r="L2927" s="209"/>
      <c r="M2927" s="169"/>
      <c r="N2927" s="169"/>
      <c r="O2927" s="169">
        <f t="shared" si="118"/>
        <v>0</v>
      </c>
      <c r="P2927" s="169"/>
      <c r="Q2927" s="166">
        <f t="shared" ref="Q2927:Q2990" si="120">IF(W2927="",M2927*P2927*$Q$3*$W$3,M2927*P2927*$Q$3*W2927)</f>
        <v>0</v>
      </c>
      <c r="R2927" s="207"/>
      <c r="S2927" s="207"/>
      <c r="T2927" s="207"/>
      <c r="U2927" s="207"/>
      <c r="V2927" s="166">
        <f t="shared" si="119"/>
        <v>0</v>
      </c>
      <c r="W2927" s="205"/>
      <c r="X2927" s="167"/>
    </row>
    <row r="2928" spans="8:24" s="221" customFormat="1" ht="12" hidden="1" customHeight="1">
      <c r="H2928" s="207"/>
      <c r="I2928" s="207"/>
      <c r="J2928" s="167"/>
      <c r="K2928" s="167"/>
      <c r="L2928" s="209"/>
      <c r="M2928" s="169"/>
      <c r="N2928" s="169"/>
      <c r="O2928" s="169">
        <f t="shared" si="118"/>
        <v>0</v>
      </c>
      <c r="P2928" s="169"/>
      <c r="Q2928" s="166">
        <f t="shared" si="120"/>
        <v>0</v>
      </c>
      <c r="R2928" s="207"/>
      <c r="S2928" s="207"/>
      <c r="T2928" s="207"/>
      <c r="U2928" s="207"/>
      <c r="V2928" s="166">
        <f t="shared" si="119"/>
        <v>0</v>
      </c>
      <c r="W2928" s="205"/>
      <c r="X2928" s="167"/>
    </row>
    <row r="2929" spans="8:24" s="221" customFormat="1" ht="12" hidden="1" customHeight="1">
      <c r="H2929" s="207"/>
      <c r="I2929" s="207"/>
      <c r="J2929" s="167"/>
      <c r="K2929" s="167"/>
      <c r="L2929" s="209"/>
      <c r="M2929" s="169"/>
      <c r="N2929" s="169"/>
      <c r="O2929" s="169">
        <f t="shared" si="118"/>
        <v>0</v>
      </c>
      <c r="P2929" s="169"/>
      <c r="Q2929" s="166">
        <f t="shared" si="120"/>
        <v>0</v>
      </c>
      <c r="R2929" s="207"/>
      <c r="S2929" s="207"/>
      <c r="T2929" s="207"/>
      <c r="U2929" s="207"/>
      <c r="V2929" s="166">
        <f t="shared" si="119"/>
        <v>0</v>
      </c>
      <c r="W2929" s="205"/>
      <c r="X2929" s="167"/>
    </row>
    <row r="2930" spans="8:24" s="221" customFormat="1" ht="12" hidden="1" customHeight="1">
      <c r="H2930" s="207"/>
      <c r="I2930" s="207"/>
      <c r="J2930" s="167"/>
      <c r="K2930" s="167"/>
      <c r="L2930" s="209"/>
      <c r="M2930" s="169"/>
      <c r="N2930" s="169"/>
      <c r="O2930" s="169">
        <f t="shared" si="118"/>
        <v>0</v>
      </c>
      <c r="P2930" s="169"/>
      <c r="Q2930" s="166">
        <f t="shared" si="120"/>
        <v>0</v>
      </c>
      <c r="R2930" s="207"/>
      <c r="S2930" s="207"/>
      <c r="T2930" s="207"/>
      <c r="U2930" s="207"/>
      <c r="V2930" s="166">
        <f t="shared" si="119"/>
        <v>0</v>
      </c>
      <c r="W2930" s="205"/>
      <c r="X2930" s="167"/>
    </row>
    <row r="2931" spans="8:24" s="221" customFormat="1" ht="12" hidden="1" customHeight="1">
      <c r="H2931" s="207"/>
      <c r="I2931" s="207"/>
      <c r="J2931" s="167"/>
      <c r="K2931" s="167"/>
      <c r="L2931" s="209"/>
      <c r="M2931" s="169"/>
      <c r="N2931" s="169"/>
      <c r="O2931" s="169">
        <f t="shared" si="118"/>
        <v>0</v>
      </c>
      <c r="P2931" s="169"/>
      <c r="Q2931" s="166">
        <f t="shared" si="120"/>
        <v>0</v>
      </c>
      <c r="R2931" s="207"/>
      <c r="S2931" s="207"/>
      <c r="T2931" s="207"/>
      <c r="U2931" s="207"/>
      <c r="V2931" s="166">
        <f t="shared" si="119"/>
        <v>0</v>
      </c>
      <c r="W2931" s="205"/>
      <c r="X2931" s="167"/>
    </row>
    <row r="2932" spans="8:24" s="221" customFormat="1" ht="12" hidden="1" customHeight="1">
      <c r="H2932" s="207"/>
      <c r="I2932" s="207"/>
      <c r="J2932" s="167"/>
      <c r="K2932" s="167"/>
      <c r="L2932" s="209"/>
      <c r="M2932" s="169"/>
      <c r="N2932" s="169"/>
      <c r="O2932" s="169">
        <f t="shared" si="118"/>
        <v>0</v>
      </c>
      <c r="P2932" s="169"/>
      <c r="Q2932" s="166">
        <f t="shared" si="120"/>
        <v>0</v>
      </c>
      <c r="R2932" s="207"/>
      <c r="S2932" s="207"/>
      <c r="T2932" s="207"/>
      <c r="U2932" s="207"/>
      <c r="V2932" s="166">
        <f t="shared" si="119"/>
        <v>0</v>
      </c>
      <c r="W2932" s="205"/>
      <c r="X2932" s="167"/>
    </row>
    <row r="2933" spans="8:24" s="221" customFormat="1" ht="12" hidden="1" customHeight="1">
      <c r="H2933" s="207"/>
      <c r="I2933" s="207"/>
      <c r="J2933" s="167"/>
      <c r="K2933" s="167"/>
      <c r="L2933" s="209"/>
      <c r="M2933" s="169"/>
      <c r="N2933" s="169"/>
      <c r="O2933" s="169">
        <f t="shared" si="118"/>
        <v>0</v>
      </c>
      <c r="P2933" s="169"/>
      <c r="Q2933" s="166">
        <f t="shared" si="120"/>
        <v>0</v>
      </c>
      <c r="R2933" s="207"/>
      <c r="S2933" s="207"/>
      <c r="T2933" s="207"/>
      <c r="U2933" s="207"/>
      <c r="V2933" s="166">
        <f t="shared" si="119"/>
        <v>0</v>
      </c>
      <c r="W2933" s="205"/>
      <c r="X2933" s="167"/>
    </row>
    <row r="2934" spans="8:24" s="221" customFormat="1" ht="12" hidden="1" customHeight="1">
      <c r="H2934" s="207"/>
      <c r="I2934" s="207"/>
      <c r="J2934" s="167"/>
      <c r="K2934" s="167"/>
      <c r="L2934" s="209"/>
      <c r="M2934" s="169"/>
      <c r="N2934" s="169"/>
      <c r="O2934" s="169">
        <f t="shared" si="118"/>
        <v>0</v>
      </c>
      <c r="P2934" s="169"/>
      <c r="Q2934" s="166">
        <f t="shared" si="120"/>
        <v>0</v>
      </c>
      <c r="R2934" s="207"/>
      <c r="S2934" s="207"/>
      <c r="T2934" s="207"/>
      <c r="U2934" s="207"/>
      <c r="V2934" s="166">
        <f t="shared" si="119"/>
        <v>0</v>
      </c>
      <c r="W2934" s="205"/>
      <c r="X2934" s="167"/>
    </row>
    <row r="2935" spans="8:24" s="221" customFormat="1" ht="12" hidden="1" customHeight="1">
      <c r="H2935" s="207"/>
      <c r="I2935" s="207"/>
      <c r="J2935" s="167"/>
      <c r="K2935" s="167"/>
      <c r="L2935" s="209"/>
      <c r="M2935" s="169"/>
      <c r="N2935" s="169"/>
      <c r="O2935" s="169">
        <f t="shared" si="118"/>
        <v>0</v>
      </c>
      <c r="P2935" s="169"/>
      <c r="Q2935" s="166">
        <f t="shared" si="120"/>
        <v>0</v>
      </c>
      <c r="R2935" s="207"/>
      <c r="S2935" s="207"/>
      <c r="T2935" s="207"/>
      <c r="U2935" s="207"/>
      <c r="V2935" s="166">
        <f t="shared" si="119"/>
        <v>0</v>
      </c>
      <c r="W2935" s="205"/>
      <c r="X2935" s="167"/>
    </row>
    <row r="2936" spans="8:24" s="221" customFormat="1" ht="12" hidden="1" customHeight="1">
      <c r="H2936" s="207"/>
      <c r="I2936" s="207"/>
      <c r="J2936" s="167"/>
      <c r="K2936" s="167"/>
      <c r="L2936" s="209"/>
      <c r="M2936" s="169"/>
      <c r="N2936" s="169"/>
      <c r="O2936" s="169">
        <f t="shared" si="118"/>
        <v>0</v>
      </c>
      <c r="P2936" s="169"/>
      <c r="Q2936" s="166">
        <f t="shared" si="120"/>
        <v>0</v>
      </c>
      <c r="R2936" s="207"/>
      <c r="S2936" s="207"/>
      <c r="T2936" s="207"/>
      <c r="U2936" s="207"/>
      <c r="V2936" s="166">
        <f t="shared" si="119"/>
        <v>0</v>
      </c>
      <c r="W2936" s="205"/>
      <c r="X2936" s="167"/>
    </row>
    <row r="2937" spans="8:24" s="221" customFormat="1" ht="12" hidden="1" customHeight="1">
      <c r="H2937" s="207"/>
      <c r="I2937" s="207"/>
      <c r="J2937" s="167"/>
      <c r="K2937" s="167"/>
      <c r="L2937" s="209"/>
      <c r="M2937" s="169"/>
      <c r="N2937" s="169"/>
      <c r="O2937" s="169">
        <f t="shared" si="118"/>
        <v>0</v>
      </c>
      <c r="P2937" s="169"/>
      <c r="Q2937" s="166">
        <f t="shared" si="120"/>
        <v>0</v>
      </c>
      <c r="R2937" s="207"/>
      <c r="S2937" s="207"/>
      <c r="T2937" s="207"/>
      <c r="U2937" s="207"/>
      <c r="V2937" s="166">
        <f t="shared" si="119"/>
        <v>0</v>
      </c>
      <c r="W2937" s="205"/>
      <c r="X2937" s="167"/>
    </row>
    <row r="2938" spans="8:24" s="221" customFormat="1" ht="12" hidden="1" customHeight="1">
      <c r="H2938" s="207"/>
      <c r="I2938" s="207"/>
      <c r="J2938" s="167"/>
      <c r="K2938" s="167"/>
      <c r="L2938" s="209"/>
      <c r="M2938" s="169"/>
      <c r="N2938" s="169"/>
      <c r="O2938" s="169">
        <f t="shared" si="118"/>
        <v>0</v>
      </c>
      <c r="P2938" s="169"/>
      <c r="Q2938" s="166">
        <f t="shared" si="120"/>
        <v>0</v>
      </c>
      <c r="R2938" s="207"/>
      <c r="S2938" s="207"/>
      <c r="T2938" s="207"/>
      <c r="U2938" s="207"/>
      <c r="V2938" s="166">
        <f t="shared" si="119"/>
        <v>0</v>
      </c>
      <c r="W2938" s="205"/>
      <c r="X2938" s="167"/>
    </row>
    <row r="2939" spans="8:24" s="221" customFormat="1" ht="12" hidden="1" customHeight="1">
      <c r="H2939" s="207"/>
      <c r="I2939" s="207"/>
      <c r="J2939" s="167"/>
      <c r="K2939" s="167"/>
      <c r="L2939" s="209"/>
      <c r="M2939" s="169"/>
      <c r="N2939" s="169"/>
      <c r="O2939" s="169">
        <f t="shared" si="118"/>
        <v>0</v>
      </c>
      <c r="P2939" s="169"/>
      <c r="Q2939" s="166">
        <f t="shared" si="120"/>
        <v>0</v>
      </c>
      <c r="R2939" s="207"/>
      <c r="S2939" s="207"/>
      <c r="T2939" s="207"/>
      <c r="U2939" s="207"/>
      <c r="V2939" s="166">
        <f t="shared" si="119"/>
        <v>0</v>
      </c>
      <c r="W2939" s="205"/>
      <c r="X2939" s="167"/>
    </row>
    <row r="2940" spans="8:24" s="221" customFormat="1" ht="12" hidden="1" customHeight="1">
      <c r="H2940" s="207"/>
      <c r="I2940" s="207"/>
      <c r="J2940" s="167"/>
      <c r="K2940" s="167"/>
      <c r="L2940" s="209"/>
      <c r="M2940" s="169"/>
      <c r="N2940" s="169"/>
      <c r="O2940" s="169">
        <f t="shared" ref="O2940:O3003" si="121">M2940*N2940*$O$3</f>
        <v>0</v>
      </c>
      <c r="P2940" s="169"/>
      <c r="Q2940" s="166">
        <f t="shared" si="120"/>
        <v>0</v>
      </c>
      <c r="R2940" s="207"/>
      <c r="S2940" s="207"/>
      <c r="T2940" s="207"/>
      <c r="U2940" s="207"/>
      <c r="V2940" s="166">
        <f t="shared" si="119"/>
        <v>0</v>
      </c>
      <c r="W2940" s="205"/>
      <c r="X2940" s="167"/>
    </row>
    <row r="2941" spans="8:24" s="221" customFormat="1" ht="12" hidden="1" customHeight="1">
      <c r="H2941" s="207"/>
      <c r="I2941" s="207"/>
      <c r="J2941" s="167"/>
      <c r="K2941" s="167"/>
      <c r="L2941" s="209"/>
      <c r="M2941" s="169"/>
      <c r="N2941" s="169"/>
      <c r="O2941" s="169">
        <f t="shared" si="121"/>
        <v>0</v>
      </c>
      <c r="P2941" s="169"/>
      <c r="Q2941" s="166">
        <f t="shared" si="120"/>
        <v>0</v>
      </c>
      <c r="R2941" s="207"/>
      <c r="S2941" s="207"/>
      <c r="T2941" s="207"/>
      <c r="U2941" s="207"/>
      <c r="V2941" s="166">
        <f t="shared" si="119"/>
        <v>0</v>
      </c>
      <c r="W2941" s="205"/>
      <c r="X2941" s="167"/>
    </row>
    <row r="2942" spans="8:24" s="221" customFormat="1" ht="12" hidden="1" customHeight="1">
      <c r="H2942" s="207"/>
      <c r="I2942" s="207"/>
      <c r="J2942" s="167"/>
      <c r="K2942" s="167"/>
      <c r="L2942" s="209"/>
      <c r="M2942" s="169"/>
      <c r="N2942" s="169"/>
      <c r="O2942" s="169">
        <f t="shared" si="121"/>
        <v>0</v>
      </c>
      <c r="P2942" s="169"/>
      <c r="Q2942" s="166">
        <f t="shared" si="120"/>
        <v>0</v>
      </c>
      <c r="R2942" s="207"/>
      <c r="S2942" s="207"/>
      <c r="T2942" s="207"/>
      <c r="U2942" s="207"/>
      <c r="V2942" s="166">
        <f t="shared" si="119"/>
        <v>0</v>
      </c>
      <c r="W2942" s="205"/>
      <c r="X2942" s="167"/>
    </row>
    <row r="2943" spans="8:24" s="221" customFormat="1" ht="12" hidden="1" customHeight="1">
      <c r="H2943" s="207"/>
      <c r="I2943" s="207"/>
      <c r="J2943" s="167"/>
      <c r="K2943" s="167"/>
      <c r="L2943" s="209"/>
      <c r="M2943" s="169"/>
      <c r="N2943" s="169"/>
      <c r="O2943" s="169">
        <f t="shared" si="121"/>
        <v>0</v>
      </c>
      <c r="P2943" s="169"/>
      <c r="Q2943" s="166">
        <f t="shared" si="120"/>
        <v>0</v>
      </c>
      <c r="R2943" s="207"/>
      <c r="S2943" s="207"/>
      <c r="T2943" s="207"/>
      <c r="U2943" s="207"/>
      <c r="V2943" s="166">
        <f t="shared" ref="V2943:V3006" si="122">SUM(O2943+Q2943)+S2943+U2943</f>
        <v>0</v>
      </c>
      <c r="W2943" s="205"/>
      <c r="X2943" s="167"/>
    </row>
    <row r="2944" spans="8:24" s="221" customFormat="1" ht="12" hidden="1" customHeight="1">
      <c r="H2944" s="207"/>
      <c r="I2944" s="207"/>
      <c r="J2944" s="167"/>
      <c r="K2944" s="167"/>
      <c r="L2944" s="209"/>
      <c r="M2944" s="169"/>
      <c r="N2944" s="169"/>
      <c r="O2944" s="169">
        <f t="shared" si="121"/>
        <v>0</v>
      </c>
      <c r="P2944" s="169"/>
      <c r="Q2944" s="166">
        <f t="shared" si="120"/>
        <v>0</v>
      </c>
      <c r="R2944" s="207"/>
      <c r="S2944" s="207"/>
      <c r="T2944" s="207"/>
      <c r="U2944" s="207"/>
      <c r="V2944" s="166">
        <f t="shared" si="122"/>
        <v>0</v>
      </c>
      <c r="W2944" s="205"/>
      <c r="X2944" s="167"/>
    </row>
    <row r="2945" spans="8:24" s="221" customFormat="1" ht="12" hidden="1" customHeight="1">
      <c r="H2945" s="207"/>
      <c r="I2945" s="207"/>
      <c r="J2945" s="167"/>
      <c r="K2945" s="167"/>
      <c r="L2945" s="209"/>
      <c r="M2945" s="169"/>
      <c r="N2945" s="169"/>
      <c r="O2945" s="169">
        <f t="shared" si="121"/>
        <v>0</v>
      </c>
      <c r="P2945" s="169"/>
      <c r="Q2945" s="166">
        <f t="shared" si="120"/>
        <v>0</v>
      </c>
      <c r="R2945" s="207"/>
      <c r="S2945" s="207"/>
      <c r="T2945" s="207"/>
      <c r="U2945" s="207"/>
      <c r="V2945" s="166">
        <f t="shared" si="122"/>
        <v>0</v>
      </c>
      <c r="W2945" s="205"/>
      <c r="X2945" s="167"/>
    </row>
    <row r="2946" spans="8:24" s="221" customFormat="1" ht="12" hidden="1" customHeight="1">
      <c r="H2946" s="207"/>
      <c r="I2946" s="207"/>
      <c r="J2946" s="167"/>
      <c r="K2946" s="167"/>
      <c r="L2946" s="209"/>
      <c r="M2946" s="169"/>
      <c r="N2946" s="169"/>
      <c r="O2946" s="169">
        <f t="shared" si="121"/>
        <v>0</v>
      </c>
      <c r="P2946" s="169"/>
      <c r="Q2946" s="166">
        <f t="shared" si="120"/>
        <v>0</v>
      </c>
      <c r="R2946" s="207"/>
      <c r="S2946" s="207"/>
      <c r="T2946" s="207"/>
      <c r="U2946" s="207"/>
      <c r="V2946" s="166">
        <f t="shared" si="122"/>
        <v>0</v>
      </c>
      <c r="W2946" s="205"/>
      <c r="X2946" s="167"/>
    </row>
    <row r="2947" spans="8:24" s="221" customFormat="1" ht="12" hidden="1" customHeight="1">
      <c r="H2947" s="207"/>
      <c r="I2947" s="207"/>
      <c r="J2947" s="167"/>
      <c r="K2947" s="167"/>
      <c r="L2947" s="209"/>
      <c r="M2947" s="169"/>
      <c r="N2947" s="169"/>
      <c r="O2947" s="169">
        <f t="shared" si="121"/>
        <v>0</v>
      </c>
      <c r="P2947" s="169"/>
      <c r="Q2947" s="166">
        <f t="shared" si="120"/>
        <v>0</v>
      </c>
      <c r="R2947" s="207"/>
      <c r="S2947" s="207"/>
      <c r="T2947" s="207"/>
      <c r="U2947" s="207"/>
      <c r="V2947" s="166">
        <f t="shared" si="122"/>
        <v>0</v>
      </c>
      <c r="W2947" s="205"/>
      <c r="X2947" s="167"/>
    </row>
    <row r="2948" spans="8:24" s="221" customFormat="1" ht="12" hidden="1" customHeight="1">
      <c r="H2948" s="207"/>
      <c r="I2948" s="207"/>
      <c r="J2948" s="167"/>
      <c r="K2948" s="167"/>
      <c r="L2948" s="209"/>
      <c r="M2948" s="169"/>
      <c r="N2948" s="169"/>
      <c r="O2948" s="169">
        <f t="shared" si="121"/>
        <v>0</v>
      </c>
      <c r="P2948" s="169"/>
      <c r="Q2948" s="166">
        <f t="shared" si="120"/>
        <v>0</v>
      </c>
      <c r="R2948" s="207"/>
      <c r="S2948" s="207"/>
      <c r="T2948" s="207"/>
      <c r="U2948" s="207"/>
      <c r="V2948" s="166">
        <f t="shared" si="122"/>
        <v>0</v>
      </c>
      <c r="W2948" s="205"/>
      <c r="X2948" s="167"/>
    </row>
    <row r="2949" spans="8:24" s="221" customFormat="1" ht="12" hidden="1" customHeight="1">
      <c r="H2949" s="207"/>
      <c r="I2949" s="207"/>
      <c r="J2949" s="167"/>
      <c r="K2949" s="167"/>
      <c r="L2949" s="209"/>
      <c r="M2949" s="169"/>
      <c r="N2949" s="169"/>
      <c r="O2949" s="169">
        <f t="shared" si="121"/>
        <v>0</v>
      </c>
      <c r="P2949" s="169"/>
      <c r="Q2949" s="166">
        <f t="shared" si="120"/>
        <v>0</v>
      </c>
      <c r="R2949" s="207"/>
      <c r="S2949" s="207"/>
      <c r="T2949" s="207"/>
      <c r="U2949" s="207"/>
      <c r="V2949" s="166">
        <f t="shared" si="122"/>
        <v>0</v>
      </c>
      <c r="W2949" s="205"/>
      <c r="X2949" s="167"/>
    </row>
    <row r="2950" spans="8:24" s="221" customFormat="1" ht="12" hidden="1" customHeight="1">
      <c r="H2950" s="207"/>
      <c r="I2950" s="207"/>
      <c r="J2950" s="167"/>
      <c r="K2950" s="167"/>
      <c r="L2950" s="209"/>
      <c r="M2950" s="169"/>
      <c r="N2950" s="169"/>
      <c r="O2950" s="169">
        <f t="shared" si="121"/>
        <v>0</v>
      </c>
      <c r="P2950" s="169"/>
      <c r="Q2950" s="166">
        <f t="shared" si="120"/>
        <v>0</v>
      </c>
      <c r="R2950" s="207"/>
      <c r="S2950" s="207"/>
      <c r="T2950" s="207"/>
      <c r="U2950" s="207"/>
      <c r="V2950" s="166">
        <f t="shared" si="122"/>
        <v>0</v>
      </c>
      <c r="W2950" s="205"/>
      <c r="X2950" s="167"/>
    </row>
    <row r="2951" spans="8:24" s="221" customFormat="1" ht="12" hidden="1" customHeight="1">
      <c r="H2951" s="207"/>
      <c r="I2951" s="207"/>
      <c r="J2951" s="167"/>
      <c r="K2951" s="167"/>
      <c r="L2951" s="209"/>
      <c r="M2951" s="169"/>
      <c r="N2951" s="169"/>
      <c r="O2951" s="169">
        <f t="shared" si="121"/>
        <v>0</v>
      </c>
      <c r="P2951" s="169"/>
      <c r="Q2951" s="166">
        <f t="shared" si="120"/>
        <v>0</v>
      </c>
      <c r="R2951" s="207"/>
      <c r="S2951" s="207"/>
      <c r="T2951" s="207"/>
      <c r="U2951" s="207"/>
      <c r="V2951" s="166">
        <f t="shared" si="122"/>
        <v>0</v>
      </c>
      <c r="W2951" s="205"/>
      <c r="X2951" s="167"/>
    </row>
    <row r="2952" spans="8:24" s="221" customFormat="1" ht="12" hidden="1" customHeight="1">
      <c r="H2952" s="207"/>
      <c r="I2952" s="207"/>
      <c r="J2952" s="167"/>
      <c r="K2952" s="167"/>
      <c r="L2952" s="209"/>
      <c r="M2952" s="169"/>
      <c r="N2952" s="169"/>
      <c r="O2952" s="169">
        <f t="shared" si="121"/>
        <v>0</v>
      </c>
      <c r="P2952" s="169"/>
      <c r="Q2952" s="166">
        <f t="shared" si="120"/>
        <v>0</v>
      </c>
      <c r="R2952" s="207"/>
      <c r="S2952" s="207"/>
      <c r="T2952" s="207"/>
      <c r="U2952" s="207"/>
      <c r="V2952" s="166">
        <f t="shared" si="122"/>
        <v>0</v>
      </c>
      <c r="W2952" s="205"/>
      <c r="X2952" s="167"/>
    </row>
    <row r="2953" spans="8:24" s="221" customFormat="1" ht="12" hidden="1" customHeight="1">
      <c r="H2953" s="207"/>
      <c r="I2953" s="207"/>
      <c r="J2953" s="167"/>
      <c r="K2953" s="167"/>
      <c r="L2953" s="209"/>
      <c r="M2953" s="169"/>
      <c r="N2953" s="169"/>
      <c r="O2953" s="169">
        <f t="shared" si="121"/>
        <v>0</v>
      </c>
      <c r="P2953" s="169"/>
      <c r="Q2953" s="166">
        <f t="shared" si="120"/>
        <v>0</v>
      </c>
      <c r="R2953" s="207"/>
      <c r="S2953" s="207"/>
      <c r="T2953" s="207"/>
      <c r="U2953" s="207"/>
      <c r="V2953" s="166">
        <f t="shared" si="122"/>
        <v>0</v>
      </c>
      <c r="W2953" s="205"/>
      <c r="X2953" s="167"/>
    </row>
    <row r="2954" spans="8:24" s="221" customFormat="1" ht="12" hidden="1" customHeight="1">
      <c r="H2954" s="207"/>
      <c r="I2954" s="207"/>
      <c r="J2954" s="167"/>
      <c r="K2954" s="167"/>
      <c r="L2954" s="209"/>
      <c r="M2954" s="169"/>
      <c r="N2954" s="169"/>
      <c r="O2954" s="169">
        <f t="shared" si="121"/>
        <v>0</v>
      </c>
      <c r="P2954" s="169"/>
      <c r="Q2954" s="166">
        <f t="shared" si="120"/>
        <v>0</v>
      </c>
      <c r="R2954" s="207"/>
      <c r="S2954" s="207"/>
      <c r="T2954" s="207"/>
      <c r="U2954" s="207"/>
      <c r="V2954" s="166">
        <f t="shared" si="122"/>
        <v>0</v>
      </c>
      <c r="W2954" s="205"/>
      <c r="X2954" s="167"/>
    </row>
    <row r="2955" spans="8:24" s="221" customFormat="1" ht="12" hidden="1" customHeight="1">
      <c r="H2955" s="207"/>
      <c r="I2955" s="207"/>
      <c r="J2955" s="167"/>
      <c r="K2955" s="167"/>
      <c r="L2955" s="209"/>
      <c r="M2955" s="169"/>
      <c r="N2955" s="169"/>
      <c r="O2955" s="169">
        <f t="shared" si="121"/>
        <v>0</v>
      </c>
      <c r="P2955" s="169"/>
      <c r="Q2955" s="166">
        <f t="shared" si="120"/>
        <v>0</v>
      </c>
      <c r="R2955" s="207"/>
      <c r="S2955" s="207"/>
      <c r="T2955" s="207"/>
      <c r="U2955" s="207"/>
      <c r="V2955" s="166">
        <f t="shared" si="122"/>
        <v>0</v>
      </c>
      <c r="W2955" s="205"/>
      <c r="X2955" s="167"/>
    </row>
    <row r="2956" spans="8:24" s="221" customFormat="1" ht="12" hidden="1" customHeight="1">
      <c r="H2956" s="207"/>
      <c r="I2956" s="207"/>
      <c r="J2956" s="167"/>
      <c r="K2956" s="167"/>
      <c r="L2956" s="209"/>
      <c r="M2956" s="169"/>
      <c r="N2956" s="169"/>
      <c r="O2956" s="169">
        <f t="shared" si="121"/>
        <v>0</v>
      </c>
      <c r="P2956" s="169"/>
      <c r="Q2956" s="166">
        <f t="shared" si="120"/>
        <v>0</v>
      </c>
      <c r="R2956" s="207"/>
      <c r="S2956" s="207"/>
      <c r="T2956" s="207"/>
      <c r="U2956" s="207"/>
      <c r="V2956" s="166">
        <f t="shared" si="122"/>
        <v>0</v>
      </c>
      <c r="W2956" s="205"/>
      <c r="X2956" s="167"/>
    </row>
    <row r="2957" spans="8:24" s="221" customFormat="1" ht="12" hidden="1" customHeight="1">
      <c r="H2957" s="207"/>
      <c r="I2957" s="207"/>
      <c r="J2957" s="167"/>
      <c r="K2957" s="167"/>
      <c r="L2957" s="209"/>
      <c r="M2957" s="169"/>
      <c r="N2957" s="169"/>
      <c r="O2957" s="169">
        <f t="shared" si="121"/>
        <v>0</v>
      </c>
      <c r="P2957" s="169"/>
      <c r="Q2957" s="166">
        <f t="shared" si="120"/>
        <v>0</v>
      </c>
      <c r="R2957" s="207"/>
      <c r="S2957" s="207"/>
      <c r="T2957" s="207"/>
      <c r="U2957" s="207"/>
      <c r="V2957" s="166">
        <f t="shared" si="122"/>
        <v>0</v>
      </c>
      <c r="W2957" s="205"/>
      <c r="X2957" s="167"/>
    </row>
    <row r="2958" spans="8:24" s="221" customFormat="1" ht="12" hidden="1" customHeight="1">
      <c r="H2958" s="207"/>
      <c r="I2958" s="207"/>
      <c r="J2958" s="167"/>
      <c r="K2958" s="167"/>
      <c r="L2958" s="209"/>
      <c r="M2958" s="169"/>
      <c r="N2958" s="169"/>
      <c r="O2958" s="169">
        <f t="shared" si="121"/>
        <v>0</v>
      </c>
      <c r="P2958" s="169"/>
      <c r="Q2958" s="166">
        <f t="shared" si="120"/>
        <v>0</v>
      </c>
      <c r="R2958" s="207"/>
      <c r="S2958" s="207"/>
      <c r="T2958" s="207"/>
      <c r="U2958" s="207"/>
      <c r="V2958" s="166">
        <f t="shared" si="122"/>
        <v>0</v>
      </c>
      <c r="W2958" s="205"/>
      <c r="X2958" s="167"/>
    </row>
    <row r="2959" spans="8:24" s="221" customFormat="1" ht="12" hidden="1" customHeight="1">
      <c r="H2959" s="207"/>
      <c r="I2959" s="207"/>
      <c r="J2959" s="167"/>
      <c r="K2959" s="167"/>
      <c r="L2959" s="209"/>
      <c r="M2959" s="169"/>
      <c r="N2959" s="169"/>
      <c r="O2959" s="169">
        <f t="shared" si="121"/>
        <v>0</v>
      </c>
      <c r="P2959" s="169"/>
      <c r="Q2959" s="166">
        <f t="shared" si="120"/>
        <v>0</v>
      </c>
      <c r="R2959" s="207"/>
      <c r="S2959" s="207"/>
      <c r="T2959" s="207"/>
      <c r="U2959" s="207"/>
      <c r="V2959" s="166">
        <f t="shared" si="122"/>
        <v>0</v>
      </c>
      <c r="W2959" s="205"/>
      <c r="X2959" s="167"/>
    </row>
    <row r="2960" spans="8:24" s="221" customFormat="1" ht="12" hidden="1" customHeight="1">
      <c r="H2960" s="207"/>
      <c r="I2960" s="207"/>
      <c r="J2960" s="167"/>
      <c r="K2960" s="167"/>
      <c r="L2960" s="209"/>
      <c r="M2960" s="169"/>
      <c r="N2960" s="169"/>
      <c r="O2960" s="169">
        <f t="shared" si="121"/>
        <v>0</v>
      </c>
      <c r="P2960" s="169"/>
      <c r="Q2960" s="166">
        <f t="shared" si="120"/>
        <v>0</v>
      </c>
      <c r="R2960" s="207"/>
      <c r="S2960" s="207"/>
      <c r="T2960" s="207"/>
      <c r="U2960" s="207"/>
      <c r="V2960" s="166">
        <f t="shared" si="122"/>
        <v>0</v>
      </c>
      <c r="W2960" s="205"/>
      <c r="X2960" s="167"/>
    </row>
    <row r="2961" spans="8:24" s="221" customFormat="1" ht="12" hidden="1" customHeight="1">
      <c r="H2961" s="207"/>
      <c r="I2961" s="207"/>
      <c r="J2961" s="167"/>
      <c r="K2961" s="167"/>
      <c r="L2961" s="209"/>
      <c r="M2961" s="169"/>
      <c r="N2961" s="169"/>
      <c r="O2961" s="169">
        <f t="shared" si="121"/>
        <v>0</v>
      </c>
      <c r="P2961" s="169"/>
      <c r="Q2961" s="166">
        <f t="shared" si="120"/>
        <v>0</v>
      </c>
      <c r="R2961" s="207"/>
      <c r="S2961" s="207"/>
      <c r="T2961" s="207"/>
      <c r="U2961" s="207"/>
      <c r="V2961" s="166">
        <f t="shared" si="122"/>
        <v>0</v>
      </c>
      <c r="W2961" s="205"/>
      <c r="X2961" s="167"/>
    </row>
    <row r="2962" spans="8:24" s="221" customFormat="1" ht="12" hidden="1" customHeight="1">
      <c r="H2962" s="207"/>
      <c r="I2962" s="207"/>
      <c r="J2962" s="167"/>
      <c r="K2962" s="167"/>
      <c r="L2962" s="209"/>
      <c r="M2962" s="169"/>
      <c r="N2962" s="169"/>
      <c r="O2962" s="169">
        <f t="shared" si="121"/>
        <v>0</v>
      </c>
      <c r="P2962" s="169"/>
      <c r="Q2962" s="166">
        <f t="shared" si="120"/>
        <v>0</v>
      </c>
      <c r="R2962" s="207"/>
      <c r="S2962" s="207"/>
      <c r="T2962" s="207"/>
      <c r="U2962" s="207"/>
      <c r="V2962" s="166">
        <f t="shared" si="122"/>
        <v>0</v>
      </c>
      <c r="W2962" s="205"/>
      <c r="X2962" s="167"/>
    </row>
    <row r="2963" spans="8:24" s="221" customFormat="1" ht="12" hidden="1" customHeight="1">
      <c r="H2963" s="207"/>
      <c r="I2963" s="207"/>
      <c r="J2963" s="167"/>
      <c r="K2963" s="167"/>
      <c r="L2963" s="209"/>
      <c r="M2963" s="169"/>
      <c r="N2963" s="169"/>
      <c r="O2963" s="169">
        <f t="shared" si="121"/>
        <v>0</v>
      </c>
      <c r="P2963" s="169"/>
      <c r="Q2963" s="166">
        <f t="shared" si="120"/>
        <v>0</v>
      </c>
      <c r="R2963" s="207"/>
      <c r="S2963" s="207"/>
      <c r="T2963" s="207"/>
      <c r="U2963" s="207"/>
      <c r="V2963" s="166">
        <f t="shared" si="122"/>
        <v>0</v>
      </c>
      <c r="W2963" s="205"/>
      <c r="X2963" s="167"/>
    </row>
    <row r="2964" spans="8:24" s="221" customFormat="1" ht="12" hidden="1" customHeight="1">
      <c r="H2964" s="207"/>
      <c r="I2964" s="207"/>
      <c r="J2964" s="167"/>
      <c r="K2964" s="167"/>
      <c r="L2964" s="209"/>
      <c r="M2964" s="169"/>
      <c r="N2964" s="169"/>
      <c r="O2964" s="169">
        <f t="shared" si="121"/>
        <v>0</v>
      </c>
      <c r="P2964" s="169"/>
      <c r="Q2964" s="166">
        <f t="shared" si="120"/>
        <v>0</v>
      </c>
      <c r="R2964" s="207"/>
      <c r="S2964" s="207"/>
      <c r="T2964" s="207"/>
      <c r="U2964" s="207"/>
      <c r="V2964" s="166">
        <f t="shared" si="122"/>
        <v>0</v>
      </c>
      <c r="W2964" s="205"/>
      <c r="X2964" s="167"/>
    </row>
    <row r="2965" spans="8:24" s="221" customFormat="1" ht="12" hidden="1" customHeight="1">
      <c r="H2965" s="207"/>
      <c r="I2965" s="207"/>
      <c r="J2965" s="167"/>
      <c r="K2965" s="167"/>
      <c r="L2965" s="209"/>
      <c r="M2965" s="169"/>
      <c r="N2965" s="169"/>
      <c r="O2965" s="169">
        <f t="shared" si="121"/>
        <v>0</v>
      </c>
      <c r="P2965" s="169"/>
      <c r="Q2965" s="166">
        <f t="shared" si="120"/>
        <v>0</v>
      </c>
      <c r="R2965" s="207"/>
      <c r="S2965" s="207"/>
      <c r="T2965" s="207"/>
      <c r="U2965" s="207"/>
      <c r="V2965" s="166">
        <f t="shared" si="122"/>
        <v>0</v>
      </c>
      <c r="W2965" s="205"/>
      <c r="X2965" s="167"/>
    </row>
    <row r="2966" spans="8:24" s="221" customFormat="1" ht="12" hidden="1" customHeight="1">
      <c r="H2966" s="207"/>
      <c r="I2966" s="207"/>
      <c r="J2966" s="167"/>
      <c r="K2966" s="167"/>
      <c r="L2966" s="209"/>
      <c r="M2966" s="169"/>
      <c r="N2966" s="169"/>
      <c r="O2966" s="169">
        <f t="shared" si="121"/>
        <v>0</v>
      </c>
      <c r="P2966" s="169"/>
      <c r="Q2966" s="166">
        <f t="shared" si="120"/>
        <v>0</v>
      </c>
      <c r="R2966" s="207"/>
      <c r="S2966" s="207"/>
      <c r="T2966" s="207"/>
      <c r="U2966" s="207"/>
      <c r="V2966" s="166">
        <f t="shared" si="122"/>
        <v>0</v>
      </c>
      <c r="W2966" s="205"/>
      <c r="X2966" s="167"/>
    </row>
    <row r="2967" spans="8:24" s="221" customFormat="1" ht="12" hidden="1" customHeight="1">
      <c r="H2967" s="207"/>
      <c r="I2967" s="207"/>
      <c r="J2967" s="167"/>
      <c r="K2967" s="167"/>
      <c r="L2967" s="209"/>
      <c r="M2967" s="169"/>
      <c r="N2967" s="169"/>
      <c r="O2967" s="169">
        <f t="shared" si="121"/>
        <v>0</v>
      </c>
      <c r="P2967" s="169"/>
      <c r="Q2967" s="166">
        <f t="shared" si="120"/>
        <v>0</v>
      </c>
      <c r="R2967" s="207"/>
      <c r="S2967" s="207"/>
      <c r="T2967" s="207"/>
      <c r="U2967" s="207"/>
      <c r="V2967" s="166">
        <f t="shared" si="122"/>
        <v>0</v>
      </c>
      <c r="W2967" s="205"/>
      <c r="X2967" s="167"/>
    </row>
    <row r="2968" spans="8:24" s="221" customFormat="1" ht="12" hidden="1" customHeight="1">
      <c r="H2968" s="207"/>
      <c r="I2968" s="207"/>
      <c r="J2968" s="167"/>
      <c r="K2968" s="167"/>
      <c r="L2968" s="209"/>
      <c r="M2968" s="169"/>
      <c r="N2968" s="169"/>
      <c r="O2968" s="169">
        <f t="shared" si="121"/>
        <v>0</v>
      </c>
      <c r="P2968" s="169"/>
      <c r="Q2968" s="166">
        <f t="shared" si="120"/>
        <v>0</v>
      </c>
      <c r="R2968" s="207"/>
      <c r="S2968" s="207"/>
      <c r="T2968" s="207"/>
      <c r="U2968" s="207"/>
      <c r="V2968" s="166">
        <f t="shared" si="122"/>
        <v>0</v>
      </c>
      <c r="W2968" s="205"/>
      <c r="X2968" s="167"/>
    </row>
    <row r="2969" spans="8:24" s="221" customFormat="1" ht="12" hidden="1" customHeight="1">
      <c r="H2969" s="207"/>
      <c r="I2969" s="207"/>
      <c r="J2969" s="167"/>
      <c r="K2969" s="167"/>
      <c r="L2969" s="209"/>
      <c r="M2969" s="169"/>
      <c r="N2969" s="169"/>
      <c r="O2969" s="169">
        <f t="shared" si="121"/>
        <v>0</v>
      </c>
      <c r="P2969" s="169"/>
      <c r="Q2969" s="166">
        <f t="shared" si="120"/>
        <v>0</v>
      </c>
      <c r="R2969" s="207"/>
      <c r="S2969" s="207"/>
      <c r="T2969" s="207"/>
      <c r="U2969" s="207"/>
      <c r="V2969" s="166">
        <f t="shared" si="122"/>
        <v>0</v>
      </c>
      <c r="W2969" s="205"/>
      <c r="X2969" s="167"/>
    </row>
    <row r="2970" spans="8:24" s="221" customFormat="1" ht="12" hidden="1" customHeight="1">
      <c r="H2970" s="207"/>
      <c r="I2970" s="207"/>
      <c r="J2970" s="167"/>
      <c r="K2970" s="167"/>
      <c r="L2970" s="209"/>
      <c r="M2970" s="169"/>
      <c r="N2970" s="169"/>
      <c r="O2970" s="169">
        <f t="shared" si="121"/>
        <v>0</v>
      </c>
      <c r="P2970" s="169"/>
      <c r="Q2970" s="166">
        <f t="shared" si="120"/>
        <v>0</v>
      </c>
      <c r="R2970" s="207"/>
      <c r="S2970" s="207"/>
      <c r="T2970" s="207"/>
      <c r="U2970" s="207"/>
      <c r="V2970" s="166">
        <f t="shared" si="122"/>
        <v>0</v>
      </c>
      <c r="W2970" s="205"/>
      <c r="X2970" s="167"/>
    </row>
    <row r="2971" spans="8:24" s="221" customFormat="1" ht="12" hidden="1" customHeight="1">
      <c r="H2971" s="207"/>
      <c r="I2971" s="207"/>
      <c r="J2971" s="167"/>
      <c r="K2971" s="167"/>
      <c r="L2971" s="209"/>
      <c r="M2971" s="169"/>
      <c r="N2971" s="169"/>
      <c r="O2971" s="169">
        <f t="shared" si="121"/>
        <v>0</v>
      </c>
      <c r="P2971" s="169"/>
      <c r="Q2971" s="166">
        <f t="shared" si="120"/>
        <v>0</v>
      </c>
      <c r="R2971" s="207"/>
      <c r="S2971" s="207"/>
      <c r="T2971" s="207"/>
      <c r="U2971" s="207"/>
      <c r="V2971" s="166">
        <f t="shared" si="122"/>
        <v>0</v>
      </c>
      <c r="W2971" s="205"/>
      <c r="X2971" s="167"/>
    </row>
    <row r="2972" spans="8:24" s="221" customFormat="1" ht="12" hidden="1" customHeight="1">
      <c r="H2972" s="207"/>
      <c r="I2972" s="207"/>
      <c r="J2972" s="167"/>
      <c r="K2972" s="167"/>
      <c r="L2972" s="209"/>
      <c r="M2972" s="169"/>
      <c r="N2972" s="169"/>
      <c r="O2972" s="169">
        <f t="shared" si="121"/>
        <v>0</v>
      </c>
      <c r="P2972" s="169"/>
      <c r="Q2972" s="166">
        <f t="shared" si="120"/>
        <v>0</v>
      </c>
      <c r="R2972" s="207"/>
      <c r="S2972" s="207"/>
      <c r="T2972" s="207"/>
      <c r="U2972" s="207"/>
      <c r="V2972" s="166">
        <f t="shared" si="122"/>
        <v>0</v>
      </c>
      <c r="W2972" s="205"/>
      <c r="X2972" s="167"/>
    </row>
    <row r="2973" spans="8:24" s="221" customFormat="1" ht="12" hidden="1" customHeight="1">
      <c r="H2973" s="207"/>
      <c r="I2973" s="207"/>
      <c r="J2973" s="167"/>
      <c r="K2973" s="167"/>
      <c r="L2973" s="209"/>
      <c r="M2973" s="169"/>
      <c r="N2973" s="169"/>
      <c r="O2973" s="169">
        <f t="shared" si="121"/>
        <v>0</v>
      </c>
      <c r="P2973" s="169"/>
      <c r="Q2973" s="166">
        <f t="shared" si="120"/>
        <v>0</v>
      </c>
      <c r="R2973" s="207"/>
      <c r="S2973" s="207"/>
      <c r="T2973" s="207"/>
      <c r="U2973" s="207"/>
      <c r="V2973" s="166">
        <f t="shared" si="122"/>
        <v>0</v>
      </c>
      <c r="W2973" s="205"/>
      <c r="X2973" s="167"/>
    </row>
    <row r="2974" spans="8:24" s="221" customFormat="1" ht="12" hidden="1" customHeight="1">
      <c r="H2974" s="207"/>
      <c r="I2974" s="207"/>
      <c r="J2974" s="167"/>
      <c r="K2974" s="167"/>
      <c r="L2974" s="209"/>
      <c r="M2974" s="169"/>
      <c r="N2974" s="169"/>
      <c r="O2974" s="169">
        <f t="shared" si="121"/>
        <v>0</v>
      </c>
      <c r="P2974" s="169"/>
      <c r="Q2974" s="166">
        <f t="shared" si="120"/>
        <v>0</v>
      </c>
      <c r="R2974" s="207"/>
      <c r="S2974" s="207"/>
      <c r="T2974" s="207"/>
      <c r="U2974" s="207"/>
      <c r="V2974" s="166">
        <f t="shared" si="122"/>
        <v>0</v>
      </c>
      <c r="W2974" s="205"/>
      <c r="X2974" s="167"/>
    </row>
    <row r="2975" spans="8:24" s="221" customFormat="1" ht="12" hidden="1" customHeight="1">
      <c r="H2975" s="207"/>
      <c r="I2975" s="207"/>
      <c r="J2975" s="167"/>
      <c r="K2975" s="167"/>
      <c r="L2975" s="209"/>
      <c r="M2975" s="169"/>
      <c r="N2975" s="169"/>
      <c r="O2975" s="169">
        <f t="shared" si="121"/>
        <v>0</v>
      </c>
      <c r="P2975" s="169"/>
      <c r="Q2975" s="166">
        <f t="shared" si="120"/>
        <v>0</v>
      </c>
      <c r="R2975" s="207"/>
      <c r="S2975" s="207"/>
      <c r="T2975" s="207"/>
      <c r="U2975" s="207"/>
      <c r="V2975" s="166">
        <f t="shared" si="122"/>
        <v>0</v>
      </c>
      <c r="W2975" s="205"/>
      <c r="X2975" s="167"/>
    </row>
    <row r="2976" spans="8:24" s="221" customFormat="1" ht="12" hidden="1" customHeight="1">
      <c r="H2976" s="207"/>
      <c r="I2976" s="207"/>
      <c r="J2976" s="167"/>
      <c r="K2976" s="167"/>
      <c r="L2976" s="209"/>
      <c r="M2976" s="169"/>
      <c r="N2976" s="169"/>
      <c r="O2976" s="169">
        <f t="shared" si="121"/>
        <v>0</v>
      </c>
      <c r="P2976" s="169"/>
      <c r="Q2976" s="166">
        <f t="shared" si="120"/>
        <v>0</v>
      </c>
      <c r="R2976" s="207"/>
      <c r="S2976" s="207"/>
      <c r="T2976" s="207"/>
      <c r="U2976" s="207"/>
      <c r="V2976" s="166">
        <f t="shared" si="122"/>
        <v>0</v>
      </c>
      <c r="W2976" s="205"/>
      <c r="X2976" s="167"/>
    </row>
    <row r="2977" spans="8:24" s="221" customFormat="1" ht="12" hidden="1" customHeight="1">
      <c r="H2977" s="207"/>
      <c r="I2977" s="207"/>
      <c r="J2977" s="167"/>
      <c r="K2977" s="167"/>
      <c r="L2977" s="209"/>
      <c r="M2977" s="169"/>
      <c r="N2977" s="169"/>
      <c r="O2977" s="169">
        <f t="shared" si="121"/>
        <v>0</v>
      </c>
      <c r="P2977" s="169"/>
      <c r="Q2977" s="166">
        <f t="shared" si="120"/>
        <v>0</v>
      </c>
      <c r="R2977" s="207"/>
      <c r="S2977" s="207"/>
      <c r="T2977" s="207"/>
      <c r="U2977" s="207"/>
      <c r="V2977" s="166">
        <f t="shared" si="122"/>
        <v>0</v>
      </c>
      <c r="W2977" s="205"/>
      <c r="X2977" s="167"/>
    </row>
    <row r="2978" spans="8:24" s="221" customFormat="1" ht="12" hidden="1" customHeight="1">
      <c r="H2978" s="207"/>
      <c r="I2978" s="207"/>
      <c r="J2978" s="167"/>
      <c r="K2978" s="167"/>
      <c r="L2978" s="209"/>
      <c r="M2978" s="169"/>
      <c r="N2978" s="169"/>
      <c r="O2978" s="169">
        <f t="shared" si="121"/>
        <v>0</v>
      </c>
      <c r="P2978" s="169"/>
      <c r="Q2978" s="166">
        <f t="shared" si="120"/>
        <v>0</v>
      </c>
      <c r="R2978" s="207"/>
      <c r="S2978" s="207"/>
      <c r="T2978" s="207"/>
      <c r="U2978" s="207"/>
      <c r="V2978" s="166">
        <f t="shared" si="122"/>
        <v>0</v>
      </c>
      <c r="W2978" s="205"/>
      <c r="X2978" s="167"/>
    </row>
    <row r="2979" spans="8:24" s="221" customFormat="1" ht="12" hidden="1" customHeight="1">
      <c r="H2979" s="207"/>
      <c r="I2979" s="207"/>
      <c r="J2979" s="167"/>
      <c r="K2979" s="167"/>
      <c r="L2979" s="209"/>
      <c r="M2979" s="169"/>
      <c r="N2979" s="169"/>
      <c r="O2979" s="169">
        <f t="shared" si="121"/>
        <v>0</v>
      </c>
      <c r="P2979" s="169"/>
      <c r="Q2979" s="166">
        <f t="shared" si="120"/>
        <v>0</v>
      </c>
      <c r="R2979" s="207"/>
      <c r="S2979" s="207"/>
      <c r="T2979" s="207"/>
      <c r="U2979" s="207"/>
      <c r="V2979" s="166">
        <f t="shared" si="122"/>
        <v>0</v>
      </c>
      <c r="W2979" s="205"/>
      <c r="X2979" s="167"/>
    </row>
    <row r="2980" spans="8:24" s="221" customFormat="1" ht="12" hidden="1" customHeight="1">
      <c r="H2980" s="207"/>
      <c r="I2980" s="207"/>
      <c r="J2980" s="167"/>
      <c r="K2980" s="167"/>
      <c r="L2980" s="209"/>
      <c r="M2980" s="169"/>
      <c r="N2980" s="169"/>
      <c r="O2980" s="169">
        <f t="shared" si="121"/>
        <v>0</v>
      </c>
      <c r="P2980" s="169"/>
      <c r="Q2980" s="166">
        <f t="shared" si="120"/>
        <v>0</v>
      </c>
      <c r="R2980" s="207"/>
      <c r="S2980" s="207"/>
      <c r="T2980" s="207"/>
      <c r="U2980" s="207"/>
      <c r="V2980" s="166">
        <f t="shared" si="122"/>
        <v>0</v>
      </c>
      <c r="W2980" s="205"/>
      <c r="X2980" s="167"/>
    </row>
    <row r="2981" spans="8:24" s="221" customFormat="1" ht="12" hidden="1" customHeight="1">
      <c r="H2981" s="207"/>
      <c r="I2981" s="207"/>
      <c r="J2981" s="167"/>
      <c r="K2981" s="167"/>
      <c r="L2981" s="209"/>
      <c r="M2981" s="169"/>
      <c r="N2981" s="169"/>
      <c r="O2981" s="169">
        <f t="shared" si="121"/>
        <v>0</v>
      </c>
      <c r="P2981" s="169"/>
      <c r="Q2981" s="166">
        <f t="shared" si="120"/>
        <v>0</v>
      </c>
      <c r="R2981" s="207"/>
      <c r="S2981" s="207"/>
      <c r="T2981" s="207"/>
      <c r="U2981" s="207"/>
      <c r="V2981" s="166">
        <f t="shared" si="122"/>
        <v>0</v>
      </c>
      <c r="W2981" s="205"/>
      <c r="X2981" s="167"/>
    </row>
    <row r="2982" spans="8:24" s="221" customFormat="1" ht="12" hidden="1" customHeight="1">
      <c r="H2982" s="207"/>
      <c r="I2982" s="207"/>
      <c r="J2982" s="167"/>
      <c r="K2982" s="167"/>
      <c r="L2982" s="209"/>
      <c r="M2982" s="169"/>
      <c r="N2982" s="169"/>
      <c r="O2982" s="169">
        <f t="shared" si="121"/>
        <v>0</v>
      </c>
      <c r="P2982" s="169"/>
      <c r="Q2982" s="166">
        <f t="shared" si="120"/>
        <v>0</v>
      </c>
      <c r="R2982" s="207"/>
      <c r="S2982" s="207"/>
      <c r="T2982" s="207"/>
      <c r="U2982" s="207"/>
      <c r="V2982" s="166">
        <f t="shared" si="122"/>
        <v>0</v>
      </c>
      <c r="W2982" s="205"/>
      <c r="X2982" s="167"/>
    </row>
    <row r="2983" spans="8:24" s="221" customFormat="1" ht="12" hidden="1" customHeight="1">
      <c r="H2983" s="207"/>
      <c r="I2983" s="207"/>
      <c r="J2983" s="167"/>
      <c r="K2983" s="167"/>
      <c r="L2983" s="209"/>
      <c r="M2983" s="169"/>
      <c r="N2983" s="169"/>
      <c r="O2983" s="169">
        <f t="shared" si="121"/>
        <v>0</v>
      </c>
      <c r="P2983" s="169"/>
      <c r="Q2983" s="166">
        <f t="shared" si="120"/>
        <v>0</v>
      </c>
      <c r="R2983" s="207"/>
      <c r="S2983" s="207"/>
      <c r="T2983" s="207"/>
      <c r="U2983" s="207"/>
      <c r="V2983" s="166">
        <f t="shared" si="122"/>
        <v>0</v>
      </c>
      <c r="W2983" s="205"/>
      <c r="X2983" s="167"/>
    </row>
    <row r="2984" spans="8:24" s="221" customFormat="1" ht="12" hidden="1" customHeight="1">
      <c r="H2984" s="207"/>
      <c r="I2984" s="207"/>
      <c r="J2984" s="167"/>
      <c r="K2984" s="167"/>
      <c r="L2984" s="209"/>
      <c r="M2984" s="169"/>
      <c r="N2984" s="169"/>
      <c r="O2984" s="169">
        <f t="shared" si="121"/>
        <v>0</v>
      </c>
      <c r="P2984" s="169"/>
      <c r="Q2984" s="166">
        <f t="shared" si="120"/>
        <v>0</v>
      </c>
      <c r="R2984" s="207"/>
      <c r="S2984" s="207"/>
      <c r="T2984" s="207"/>
      <c r="U2984" s="207"/>
      <c r="V2984" s="166">
        <f t="shared" si="122"/>
        <v>0</v>
      </c>
      <c r="W2984" s="205"/>
      <c r="X2984" s="167"/>
    </row>
    <row r="2985" spans="8:24" s="221" customFormat="1" ht="12" hidden="1" customHeight="1">
      <c r="H2985" s="207"/>
      <c r="I2985" s="207"/>
      <c r="J2985" s="167"/>
      <c r="K2985" s="167"/>
      <c r="L2985" s="209"/>
      <c r="M2985" s="169"/>
      <c r="N2985" s="169"/>
      <c r="O2985" s="169">
        <f t="shared" si="121"/>
        <v>0</v>
      </c>
      <c r="P2985" s="169"/>
      <c r="Q2985" s="166">
        <f t="shared" si="120"/>
        <v>0</v>
      </c>
      <c r="R2985" s="207"/>
      <c r="S2985" s="207"/>
      <c r="T2985" s="207"/>
      <c r="U2985" s="207"/>
      <c r="V2985" s="166">
        <f t="shared" si="122"/>
        <v>0</v>
      </c>
      <c r="W2985" s="205"/>
      <c r="X2985" s="167"/>
    </row>
    <row r="2986" spans="8:24" s="221" customFormat="1" ht="12" hidden="1" customHeight="1">
      <c r="H2986" s="207"/>
      <c r="I2986" s="207"/>
      <c r="J2986" s="167"/>
      <c r="K2986" s="167"/>
      <c r="L2986" s="209"/>
      <c r="M2986" s="169"/>
      <c r="N2986" s="169"/>
      <c r="O2986" s="169">
        <f t="shared" si="121"/>
        <v>0</v>
      </c>
      <c r="P2986" s="169"/>
      <c r="Q2986" s="166">
        <f t="shared" si="120"/>
        <v>0</v>
      </c>
      <c r="R2986" s="207"/>
      <c r="S2986" s="207"/>
      <c r="T2986" s="207"/>
      <c r="U2986" s="207"/>
      <c r="V2986" s="166">
        <f t="shared" si="122"/>
        <v>0</v>
      </c>
      <c r="W2986" s="205"/>
      <c r="X2986" s="167"/>
    </row>
    <row r="2987" spans="8:24" s="221" customFormat="1" ht="12" hidden="1" customHeight="1">
      <c r="H2987" s="207"/>
      <c r="I2987" s="207"/>
      <c r="J2987" s="167"/>
      <c r="K2987" s="167"/>
      <c r="L2987" s="209"/>
      <c r="M2987" s="169"/>
      <c r="N2987" s="169"/>
      <c r="O2987" s="169">
        <f t="shared" si="121"/>
        <v>0</v>
      </c>
      <c r="P2987" s="169"/>
      <c r="Q2987" s="166">
        <f t="shared" si="120"/>
        <v>0</v>
      </c>
      <c r="R2987" s="207"/>
      <c r="S2987" s="207"/>
      <c r="T2987" s="207"/>
      <c r="U2987" s="207"/>
      <c r="V2987" s="166">
        <f t="shared" si="122"/>
        <v>0</v>
      </c>
      <c r="W2987" s="205"/>
      <c r="X2987" s="167"/>
    </row>
    <row r="2988" spans="8:24" s="221" customFormat="1" ht="12" hidden="1" customHeight="1">
      <c r="H2988" s="207"/>
      <c r="I2988" s="207"/>
      <c r="J2988" s="167"/>
      <c r="K2988" s="167"/>
      <c r="L2988" s="209"/>
      <c r="M2988" s="169"/>
      <c r="N2988" s="169"/>
      <c r="O2988" s="169">
        <f t="shared" si="121"/>
        <v>0</v>
      </c>
      <c r="P2988" s="169"/>
      <c r="Q2988" s="166">
        <f t="shared" si="120"/>
        <v>0</v>
      </c>
      <c r="R2988" s="207"/>
      <c r="S2988" s="207"/>
      <c r="T2988" s="207"/>
      <c r="U2988" s="207"/>
      <c r="V2988" s="166">
        <f t="shared" si="122"/>
        <v>0</v>
      </c>
      <c r="W2988" s="205"/>
      <c r="X2988" s="167"/>
    </row>
    <row r="2989" spans="8:24" s="221" customFormat="1" ht="12" hidden="1" customHeight="1">
      <c r="H2989" s="207"/>
      <c r="I2989" s="207"/>
      <c r="J2989" s="167"/>
      <c r="K2989" s="167"/>
      <c r="L2989" s="209"/>
      <c r="M2989" s="169"/>
      <c r="N2989" s="169"/>
      <c r="O2989" s="169">
        <f t="shared" si="121"/>
        <v>0</v>
      </c>
      <c r="P2989" s="169"/>
      <c r="Q2989" s="166">
        <f t="shared" si="120"/>
        <v>0</v>
      </c>
      <c r="R2989" s="207"/>
      <c r="S2989" s="207"/>
      <c r="T2989" s="207"/>
      <c r="U2989" s="207"/>
      <c r="V2989" s="166">
        <f t="shared" si="122"/>
        <v>0</v>
      </c>
      <c r="W2989" s="205"/>
      <c r="X2989" s="167"/>
    </row>
    <row r="2990" spans="8:24" s="221" customFormat="1" ht="12" hidden="1" customHeight="1">
      <c r="H2990" s="207"/>
      <c r="I2990" s="207"/>
      <c r="J2990" s="167"/>
      <c r="K2990" s="167"/>
      <c r="L2990" s="209"/>
      <c r="M2990" s="169"/>
      <c r="N2990" s="169"/>
      <c r="O2990" s="169">
        <f t="shared" si="121"/>
        <v>0</v>
      </c>
      <c r="P2990" s="169"/>
      <c r="Q2990" s="166">
        <f t="shared" si="120"/>
        <v>0</v>
      </c>
      <c r="R2990" s="207"/>
      <c r="S2990" s="207"/>
      <c r="T2990" s="207"/>
      <c r="U2990" s="207"/>
      <c r="V2990" s="166">
        <f t="shared" si="122"/>
        <v>0</v>
      </c>
      <c r="W2990" s="205"/>
      <c r="X2990" s="167"/>
    </row>
    <row r="2991" spans="8:24" s="221" customFormat="1" ht="12" hidden="1" customHeight="1">
      <c r="H2991" s="207"/>
      <c r="I2991" s="207"/>
      <c r="J2991" s="167"/>
      <c r="K2991" s="167"/>
      <c r="L2991" s="209"/>
      <c r="M2991" s="169"/>
      <c r="N2991" s="169"/>
      <c r="O2991" s="169">
        <f t="shared" si="121"/>
        <v>0</v>
      </c>
      <c r="P2991" s="169"/>
      <c r="Q2991" s="166">
        <f t="shared" ref="Q2991:Q3054" si="123">IF(W2991="",M2991*P2991*$Q$3*$W$3,M2991*P2991*$Q$3*W2991)</f>
        <v>0</v>
      </c>
      <c r="R2991" s="207"/>
      <c r="S2991" s="207"/>
      <c r="T2991" s="207"/>
      <c r="U2991" s="207"/>
      <c r="V2991" s="166">
        <f t="shared" si="122"/>
        <v>0</v>
      </c>
      <c r="W2991" s="205"/>
      <c r="X2991" s="167"/>
    </row>
    <row r="2992" spans="8:24" s="221" customFormat="1" ht="12" hidden="1" customHeight="1">
      <c r="H2992" s="207"/>
      <c r="I2992" s="207"/>
      <c r="J2992" s="167"/>
      <c r="K2992" s="167"/>
      <c r="L2992" s="209"/>
      <c r="M2992" s="169"/>
      <c r="N2992" s="169"/>
      <c r="O2992" s="169">
        <f t="shared" si="121"/>
        <v>0</v>
      </c>
      <c r="P2992" s="169"/>
      <c r="Q2992" s="166">
        <f t="shared" si="123"/>
        <v>0</v>
      </c>
      <c r="R2992" s="207"/>
      <c r="S2992" s="207"/>
      <c r="T2992" s="207"/>
      <c r="U2992" s="207"/>
      <c r="V2992" s="166">
        <f t="shared" si="122"/>
        <v>0</v>
      </c>
      <c r="W2992" s="205"/>
      <c r="X2992" s="167"/>
    </row>
    <row r="2993" spans="8:24" s="221" customFormat="1" ht="12" hidden="1" customHeight="1">
      <c r="H2993" s="207"/>
      <c r="I2993" s="207"/>
      <c r="J2993" s="167"/>
      <c r="K2993" s="167"/>
      <c r="L2993" s="209"/>
      <c r="M2993" s="169"/>
      <c r="N2993" s="169"/>
      <c r="O2993" s="169">
        <f t="shared" si="121"/>
        <v>0</v>
      </c>
      <c r="P2993" s="169"/>
      <c r="Q2993" s="166">
        <f t="shared" si="123"/>
        <v>0</v>
      </c>
      <c r="R2993" s="207"/>
      <c r="S2993" s="207"/>
      <c r="T2993" s="207"/>
      <c r="U2993" s="207"/>
      <c r="V2993" s="166">
        <f t="shared" si="122"/>
        <v>0</v>
      </c>
      <c r="W2993" s="205"/>
      <c r="X2993" s="167"/>
    </row>
    <row r="2994" spans="8:24" s="221" customFormat="1" ht="12" hidden="1" customHeight="1">
      <c r="H2994" s="207"/>
      <c r="I2994" s="207"/>
      <c r="J2994" s="167"/>
      <c r="K2994" s="167"/>
      <c r="L2994" s="209"/>
      <c r="M2994" s="169"/>
      <c r="N2994" s="169"/>
      <c r="O2994" s="169">
        <f t="shared" si="121"/>
        <v>0</v>
      </c>
      <c r="P2994" s="169"/>
      <c r="Q2994" s="166">
        <f t="shared" si="123"/>
        <v>0</v>
      </c>
      <c r="R2994" s="207"/>
      <c r="S2994" s="207"/>
      <c r="T2994" s="207"/>
      <c r="U2994" s="207"/>
      <c r="V2994" s="166">
        <f t="shared" si="122"/>
        <v>0</v>
      </c>
      <c r="W2994" s="205"/>
      <c r="X2994" s="167"/>
    </row>
    <row r="2995" spans="8:24" s="221" customFormat="1" ht="12" hidden="1" customHeight="1">
      <c r="H2995" s="207"/>
      <c r="I2995" s="207"/>
      <c r="J2995" s="167"/>
      <c r="K2995" s="167"/>
      <c r="L2995" s="209"/>
      <c r="M2995" s="169"/>
      <c r="N2995" s="169"/>
      <c r="O2995" s="169">
        <f t="shared" si="121"/>
        <v>0</v>
      </c>
      <c r="P2995" s="169"/>
      <c r="Q2995" s="166">
        <f t="shared" si="123"/>
        <v>0</v>
      </c>
      <c r="R2995" s="207"/>
      <c r="S2995" s="207"/>
      <c r="T2995" s="207"/>
      <c r="U2995" s="207"/>
      <c r="V2995" s="166">
        <f t="shared" si="122"/>
        <v>0</v>
      </c>
      <c r="W2995" s="205"/>
      <c r="X2995" s="167"/>
    </row>
    <row r="2996" spans="8:24" s="221" customFormat="1" ht="12" hidden="1" customHeight="1">
      <c r="H2996" s="207"/>
      <c r="I2996" s="207"/>
      <c r="J2996" s="167"/>
      <c r="K2996" s="167"/>
      <c r="L2996" s="209"/>
      <c r="M2996" s="169"/>
      <c r="N2996" s="169"/>
      <c r="O2996" s="169">
        <f t="shared" si="121"/>
        <v>0</v>
      </c>
      <c r="P2996" s="169"/>
      <c r="Q2996" s="166">
        <f t="shared" si="123"/>
        <v>0</v>
      </c>
      <c r="R2996" s="207"/>
      <c r="S2996" s="207"/>
      <c r="T2996" s="207"/>
      <c r="U2996" s="207"/>
      <c r="V2996" s="166">
        <f t="shared" si="122"/>
        <v>0</v>
      </c>
      <c r="W2996" s="205"/>
      <c r="X2996" s="167"/>
    </row>
    <row r="2997" spans="8:24" s="221" customFormat="1" ht="12" hidden="1" customHeight="1">
      <c r="H2997" s="207"/>
      <c r="I2997" s="207"/>
      <c r="J2997" s="167"/>
      <c r="K2997" s="167"/>
      <c r="L2997" s="209"/>
      <c r="M2997" s="169"/>
      <c r="N2997" s="169"/>
      <c r="O2997" s="169">
        <f t="shared" si="121"/>
        <v>0</v>
      </c>
      <c r="P2997" s="169"/>
      <c r="Q2997" s="166">
        <f t="shared" si="123"/>
        <v>0</v>
      </c>
      <c r="R2997" s="207"/>
      <c r="S2997" s="207"/>
      <c r="T2997" s="207"/>
      <c r="U2997" s="207"/>
      <c r="V2997" s="166">
        <f t="shared" si="122"/>
        <v>0</v>
      </c>
      <c r="W2997" s="205"/>
      <c r="X2997" s="167"/>
    </row>
    <row r="2998" spans="8:24" s="221" customFormat="1" ht="12" hidden="1" customHeight="1">
      <c r="H2998" s="207"/>
      <c r="I2998" s="207"/>
      <c r="J2998" s="167"/>
      <c r="K2998" s="167"/>
      <c r="L2998" s="209"/>
      <c r="M2998" s="169"/>
      <c r="N2998" s="169"/>
      <c r="O2998" s="169">
        <f t="shared" si="121"/>
        <v>0</v>
      </c>
      <c r="P2998" s="169"/>
      <c r="Q2998" s="166">
        <f t="shared" si="123"/>
        <v>0</v>
      </c>
      <c r="R2998" s="207"/>
      <c r="S2998" s="207"/>
      <c r="T2998" s="207"/>
      <c r="U2998" s="207"/>
      <c r="V2998" s="166">
        <f t="shared" si="122"/>
        <v>0</v>
      </c>
      <c r="W2998" s="205"/>
      <c r="X2998" s="167"/>
    </row>
    <row r="2999" spans="8:24" s="221" customFormat="1" ht="12" hidden="1" customHeight="1">
      <c r="H2999" s="207"/>
      <c r="I2999" s="207"/>
      <c r="J2999" s="167"/>
      <c r="K2999" s="167"/>
      <c r="L2999" s="209"/>
      <c r="M2999" s="169"/>
      <c r="N2999" s="169"/>
      <c r="O2999" s="169">
        <f t="shared" si="121"/>
        <v>0</v>
      </c>
      <c r="P2999" s="169"/>
      <c r="Q2999" s="166">
        <f t="shared" si="123"/>
        <v>0</v>
      </c>
      <c r="R2999" s="207"/>
      <c r="S2999" s="207"/>
      <c r="T2999" s="207"/>
      <c r="U2999" s="207"/>
      <c r="V2999" s="166">
        <f t="shared" si="122"/>
        <v>0</v>
      </c>
      <c r="W2999" s="205"/>
      <c r="X2999" s="167"/>
    </row>
    <row r="3000" spans="8:24" s="221" customFormat="1" ht="12" hidden="1" customHeight="1">
      <c r="H3000" s="207"/>
      <c r="I3000" s="207"/>
      <c r="J3000" s="167"/>
      <c r="K3000" s="167"/>
      <c r="L3000" s="209"/>
      <c r="M3000" s="169"/>
      <c r="N3000" s="169"/>
      <c r="O3000" s="169">
        <f t="shared" si="121"/>
        <v>0</v>
      </c>
      <c r="P3000" s="169"/>
      <c r="Q3000" s="166">
        <f t="shared" si="123"/>
        <v>0</v>
      </c>
      <c r="R3000" s="207"/>
      <c r="S3000" s="207"/>
      <c r="T3000" s="207"/>
      <c r="U3000" s="207"/>
      <c r="V3000" s="166">
        <f t="shared" si="122"/>
        <v>0</v>
      </c>
      <c r="W3000" s="205"/>
      <c r="X3000" s="167"/>
    </row>
    <row r="3001" spans="8:24" s="221" customFormat="1" ht="12" hidden="1" customHeight="1">
      <c r="H3001" s="207"/>
      <c r="I3001" s="207"/>
      <c r="J3001" s="167"/>
      <c r="K3001" s="167"/>
      <c r="L3001" s="209"/>
      <c r="M3001" s="169"/>
      <c r="N3001" s="169"/>
      <c r="O3001" s="169">
        <f t="shared" si="121"/>
        <v>0</v>
      </c>
      <c r="P3001" s="169"/>
      <c r="Q3001" s="166">
        <f t="shared" si="123"/>
        <v>0</v>
      </c>
      <c r="R3001" s="207"/>
      <c r="S3001" s="207"/>
      <c r="T3001" s="207"/>
      <c r="U3001" s="207"/>
      <c r="V3001" s="166">
        <f t="shared" si="122"/>
        <v>0</v>
      </c>
      <c r="W3001" s="205"/>
      <c r="X3001" s="167"/>
    </row>
    <row r="3002" spans="8:24" s="221" customFormat="1" ht="12" hidden="1" customHeight="1">
      <c r="H3002" s="207"/>
      <c r="I3002" s="207"/>
      <c r="J3002" s="167"/>
      <c r="K3002" s="167"/>
      <c r="L3002" s="209"/>
      <c r="M3002" s="169"/>
      <c r="N3002" s="169"/>
      <c r="O3002" s="169">
        <f t="shared" si="121"/>
        <v>0</v>
      </c>
      <c r="P3002" s="169"/>
      <c r="Q3002" s="166">
        <f t="shared" si="123"/>
        <v>0</v>
      </c>
      <c r="R3002" s="207"/>
      <c r="S3002" s="207"/>
      <c r="T3002" s="207"/>
      <c r="U3002" s="207"/>
      <c r="V3002" s="166">
        <f t="shared" si="122"/>
        <v>0</v>
      </c>
      <c r="W3002" s="205"/>
      <c r="X3002" s="167"/>
    </row>
    <row r="3003" spans="8:24" s="221" customFormat="1" ht="12" hidden="1" customHeight="1">
      <c r="H3003" s="207"/>
      <c r="I3003" s="207"/>
      <c r="J3003" s="167"/>
      <c r="K3003" s="167"/>
      <c r="L3003" s="209"/>
      <c r="M3003" s="169"/>
      <c r="N3003" s="169"/>
      <c r="O3003" s="169">
        <f t="shared" si="121"/>
        <v>0</v>
      </c>
      <c r="P3003" s="169"/>
      <c r="Q3003" s="166">
        <f t="shared" si="123"/>
        <v>0</v>
      </c>
      <c r="R3003" s="207"/>
      <c r="S3003" s="207"/>
      <c r="T3003" s="207"/>
      <c r="U3003" s="207"/>
      <c r="V3003" s="166">
        <f t="shared" si="122"/>
        <v>0</v>
      </c>
      <c r="W3003" s="205"/>
      <c r="X3003" s="167"/>
    </row>
    <row r="3004" spans="8:24" s="221" customFormat="1" ht="12" hidden="1" customHeight="1">
      <c r="H3004" s="207"/>
      <c r="I3004" s="207"/>
      <c r="J3004" s="167"/>
      <c r="K3004" s="167"/>
      <c r="L3004" s="209"/>
      <c r="M3004" s="169"/>
      <c r="N3004" s="169"/>
      <c r="O3004" s="169">
        <f t="shared" ref="O3004:O3067" si="124">M3004*N3004*$O$3</f>
        <v>0</v>
      </c>
      <c r="P3004" s="169"/>
      <c r="Q3004" s="166">
        <f t="shared" si="123"/>
        <v>0</v>
      </c>
      <c r="R3004" s="207"/>
      <c r="S3004" s="207"/>
      <c r="T3004" s="207"/>
      <c r="U3004" s="207"/>
      <c r="V3004" s="166">
        <f t="shared" si="122"/>
        <v>0</v>
      </c>
      <c r="W3004" s="205"/>
      <c r="X3004" s="167"/>
    </row>
    <row r="3005" spans="8:24" s="221" customFormat="1" ht="12" hidden="1" customHeight="1">
      <c r="H3005" s="207"/>
      <c r="I3005" s="207"/>
      <c r="J3005" s="167"/>
      <c r="K3005" s="167"/>
      <c r="L3005" s="209"/>
      <c r="M3005" s="169"/>
      <c r="N3005" s="169"/>
      <c r="O3005" s="169">
        <f t="shared" si="124"/>
        <v>0</v>
      </c>
      <c r="P3005" s="169"/>
      <c r="Q3005" s="166">
        <f t="shared" si="123"/>
        <v>0</v>
      </c>
      <c r="R3005" s="207"/>
      <c r="S3005" s="207"/>
      <c r="T3005" s="207"/>
      <c r="U3005" s="207"/>
      <c r="V3005" s="166">
        <f t="shared" si="122"/>
        <v>0</v>
      </c>
      <c r="W3005" s="205"/>
      <c r="X3005" s="167"/>
    </row>
    <row r="3006" spans="8:24" s="221" customFormat="1" ht="12" hidden="1" customHeight="1">
      <c r="H3006" s="207"/>
      <c r="I3006" s="207"/>
      <c r="J3006" s="167"/>
      <c r="K3006" s="167"/>
      <c r="L3006" s="209"/>
      <c r="M3006" s="169"/>
      <c r="N3006" s="169"/>
      <c r="O3006" s="169">
        <f t="shared" si="124"/>
        <v>0</v>
      </c>
      <c r="P3006" s="169"/>
      <c r="Q3006" s="166">
        <f t="shared" si="123"/>
        <v>0</v>
      </c>
      <c r="R3006" s="207"/>
      <c r="S3006" s="207"/>
      <c r="T3006" s="207"/>
      <c r="U3006" s="207"/>
      <c r="V3006" s="166">
        <f t="shared" si="122"/>
        <v>0</v>
      </c>
      <c r="W3006" s="205"/>
      <c r="X3006" s="167"/>
    </row>
    <row r="3007" spans="8:24" s="221" customFormat="1" ht="12" hidden="1" customHeight="1">
      <c r="H3007" s="207"/>
      <c r="I3007" s="207"/>
      <c r="J3007" s="167"/>
      <c r="K3007" s="167"/>
      <c r="L3007" s="209"/>
      <c r="M3007" s="169"/>
      <c r="N3007" s="169"/>
      <c r="O3007" s="169">
        <f t="shared" si="124"/>
        <v>0</v>
      </c>
      <c r="P3007" s="169"/>
      <c r="Q3007" s="166">
        <f t="shared" si="123"/>
        <v>0</v>
      </c>
      <c r="R3007" s="207"/>
      <c r="S3007" s="207"/>
      <c r="T3007" s="207"/>
      <c r="U3007" s="207"/>
      <c r="V3007" s="166">
        <f t="shared" ref="V3007:V3070" si="125">SUM(O3007+Q3007)+S3007+U3007</f>
        <v>0</v>
      </c>
      <c r="W3007" s="205"/>
      <c r="X3007" s="167"/>
    </row>
    <row r="3008" spans="8:24" s="221" customFormat="1" ht="12" hidden="1" customHeight="1">
      <c r="H3008" s="207"/>
      <c r="I3008" s="207"/>
      <c r="J3008" s="167"/>
      <c r="K3008" s="167"/>
      <c r="L3008" s="209"/>
      <c r="M3008" s="169"/>
      <c r="N3008" s="169"/>
      <c r="O3008" s="169">
        <f t="shared" si="124"/>
        <v>0</v>
      </c>
      <c r="P3008" s="169"/>
      <c r="Q3008" s="166">
        <f t="shared" si="123"/>
        <v>0</v>
      </c>
      <c r="R3008" s="207"/>
      <c r="S3008" s="207"/>
      <c r="T3008" s="207"/>
      <c r="U3008" s="207"/>
      <c r="V3008" s="166">
        <f t="shared" si="125"/>
        <v>0</v>
      </c>
      <c r="W3008" s="205"/>
      <c r="X3008" s="167"/>
    </row>
    <row r="3009" spans="8:24" s="221" customFormat="1" ht="12" hidden="1" customHeight="1">
      <c r="H3009" s="207"/>
      <c r="I3009" s="207"/>
      <c r="J3009" s="167"/>
      <c r="K3009" s="167"/>
      <c r="L3009" s="209"/>
      <c r="M3009" s="169"/>
      <c r="N3009" s="169"/>
      <c r="O3009" s="169">
        <f t="shared" si="124"/>
        <v>0</v>
      </c>
      <c r="P3009" s="169"/>
      <c r="Q3009" s="166">
        <f t="shared" si="123"/>
        <v>0</v>
      </c>
      <c r="R3009" s="207"/>
      <c r="S3009" s="207"/>
      <c r="T3009" s="207"/>
      <c r="U3009" s="207"/>
      <c r="V3009" s="166">
        <f t="shared" si="125"/>
        <v>0</v>
      </c>
      <c r="W3009" s="205"/>
      <c r="X3009" s="167"/>
    </row>
    <row r="3010" spans="8:24" s="221" customFormat="1" ht="12" hidden="1" customHeight="1">
      <c r="H3010" s="207"/>
      <c r="I3010" s="207"/>
      <c r="J3010" s="167"/>
      <c r="K3010" s="167"/>
      <c r="L3010" s="209"/>
      <c r="M3010" s="169"/>
      <c r="N3010" s="169"/>
      <c r="O3010" s="169">
        <f t="shared" si="124"/>
        <v>0</v>
      </c>
      <c r="P3010" s="169"/>
      <c r="Q3010" s="166">
        <f t="shared" si="123"/>
        <v>0</v>
      </c>
      <c r="R3010" s="207"/>
      <c r="S3010" s="207"/>
      <c r="T3010" s="207"/>
      <c r="U3010" s="207"/>
      <c r="V3010" s="166">
        <f t="shared" si="125"/>
        <v>0</v>
      </c>
      <c r="W3010" s="205"/>
      <c r="X3010" s="167"/>
    </row>
    <row r="3011" spans="8:24" s="221" customFormat="1" ht="12" hidden="1" customHeight="1">
      <c r="H3011" s="207"/>
      <c r="I3011" s="207"/>
      <c r="J3011" s="167"/>
      <c r="K3011" s="167"/>
      <c r="L3011" s="209"/>
      <c r="M3011" s="169"/>
      <c r="N3011" s="169"/>
      <c r="O3011" s="169">
        <f t="shared" si="124"/>
        <v>0</v>
      </c>
      <c r="P3011" s="169"/>
      <c r="Q3011" s="166">
        <f t="shared" si="123"/>
        <v>0</v>
      </c>
      <c r="R3011" s="207"/>
      <c r="S3011" s="207"/>
      <c r="T3011" s="207"/>
      <c r="U3011" s="207"/>
      <c r="V3011" s="166">
        <f t="shared" si="125"/>
        <v>0</v>
      </c>
      <c r="W3011" s="205"/>
      <c r="X3011" s="167"/>
    </row>
    <row r="3012" spans="8:24" s="221" customFormat="1" ht="12" hidden="1" customHeight="1">
      <c r="H3012" s="207"/>
      <c r="I3012" s="207"/>
      <c r="J3012" s="167"/>
      <c r="K3012" s="167"/>
      <c r="L3012" s="209"/>
      <c r="M3012" s="169"/>
      <c r="N3012" s="169"/>
      <c r="O3012" s="169">
        <f t="shared" si="124"/>
        <v>0</v>
      </c>
      <c r="P3012" s="169"/>
      <c r="Q3012" s="166">
        <f t="shared" si="123"/>
        <v>0</v>
      </c>
      <c r="R3012" s="207"/>
      <c r="S3012" s="207"/>
      <c r="T3012" s="207"/>
      <c r="U3012" s="207"/>
      <c r="V3012" s="166">
        <f t="shared" si="125"/>
        <v>0</v>
      </c>
      <c r="W3012" s="205"/>
      <c r="X3012" s="167"/>
    </row>
    <row r="3013" spans="8:24" s="221" customFormat="1" ht="12" hidden="1" customHeight="1">
      <c r="H3013" s="207"/>
      <c r="I3013" s="207"/>
      <c r="J3013" s="167"/>
      <c r="K3013" s="167"/>
      <c r="L3013" s="209"/>
      <c r="M3013" s="169"/>
      <c r="N3013" s="169"/>
      <c r="O3013" s="169">
        <f t="shared" si="124"/>
        <v>0</v>
      </c>
      <c r="P3013" s="169"/>
      <c r="Q3013" s="166">
        <f t="shared" si="123"/>
        <v>0</v>
      </c>
      <c r="R3013" s="207"/>
      <c r="S3013" s="207"/>
      <c r="T3013" s="207"/>
      <c r="U3013" s="207"/>
      <c r="V3013" s="166">
        <f t="shared" si="125"/>
        <v>0</v>
      </c>
      <c r="W3013" s="205"/>
      <c r="X3013" s="167"/>
    </row>
    <row r="3014" spans="8:24" s="221" customFormat="1" ht="12" hidden="1" customHeight="1">
      <c r="H3014" s="207"/>
      <c r="I3014" s="207"/>
      <c r="J3014" s="167"/>
      <c r="K3014" s="167"/>
      <c r="L3014" s="209"/>
      <c r="M3014" s="169"/>
      <c r="N3014" s="169"/>
      <c r="O3014" s="169">
        <f t="shared" si="124"/>
        <v>0</v>
      </c>
      <c r="P3014" s="169"/>
      <c r="Q3014" s="166">
        <f t="shared" si="123"/>
        <v>0</v>
      </c>
      <c r="R3014" s="207"/>
      <c r="S3014" s="207"/>
      <c r="T3014" s="207"/>
      <c r="U3014" s="207"/>
      <c r="V3014" s="166">
        <f t="shared" si="125"/>
        <v>0</v>
      </c>
      <c r="W3014" s="205"/>
      <c r="X3014" s="167"/>
    </row>
    <row r="3015" spans="8:24" s="221" customFormat="1" ht="12" hidden="1" customHeight="1">
      <c r="H3015" s="207"/>
      <c r="I3015" s="207"/>
      <c r="J3015" s="167"/>
      <c r="K3015" s="167"/>
      <c r="L3015" s="209"/>
      <c r="M3015" s="169"/>
      <c r="N3015" s="169"/>
      <c r="O3015" s="169">
        <f t="shared" si="124"/>
        <v>0</v>
      </c>
      <c r="P3015" s="169"/>
      <c r="Q3015" s="166">
        <f t="shared" si="123"/>
        <v>0</v>
      </c>
      <c r="R3015" s="207"/>
      <c r="S3015" s="207"/>
      <c r="T3015" s="207"/>
      <c r="U3015" s="207"/>
      <c r="V3015" s="166">
        <f t="shared" si="125"/>
        <v>0</v>
      </c>
      <c r="W3015" s="205"/>
      <c r="X3015" s="167"/>
    </row>
    <row r="3016" spans="8:24" s="221" customFormat="1" ht="12" hidden="1" customHeight="1">
      <c r="H3016" s="207"/>
      <c r="I3016" s="207"/>
      <c r="J3016" s="167"/>
      <c r="K3016" s="167"/>
      <c r="L3016" s="209"/>
      <c r="M3016" s="169"/>
      <c r="N3016" s="169"/>
      <c r="O3016" s="169">
        <f t="shared" si="124"/>
        <v>0</v>
      </c>
      <c r="P3016" s="169"/>
      <c r="Q3016" s="166">
        <f t="shared" si="123"/>
        <v>0</v>
      </c>
      <c r="R3016" s="207"/>
      <c r="S3016" s="207"/>
      <c r="T3016" s="207"/>
      <c r="U3016" s="207"/>
      <c r="V3016" s="166">
        <f t="shared" si="125"/>
        <v>0</v>
      </c>
      <c r="W3016" s="205"/>
      <c r="X3016" s="167"/>
    </row>
    <row r="3017" spans="8:24" s="221" customFormat="1" ht="12" hidden="1" customHeight="1">
      <c r="H3017" s="207"/>
      <c r="I3017" s="207"/>
      <c r="J3017" s="167"/>
      <c r="K3017" s="167"/>
      <c r="L3017" s="209"/>
      <c r="M3017" s="169"/>
      <c r="N3017" s="169"/>
      <c r="O3017" s="169">
        <f t="shared" si="124"/>
        <v>0</v>
      </c>
      <c r="P3017" s="169"/>
      <c r="Q3017" s="166">
        <f t="shared" si="123"/>
        <v>0</v>
      </c>
      <c r="R3017" s="207"/>
      <c r="S3017" s="207"/>
      <c r="T3017" s="207"/>
      <c r="U3017" s="207"/>
      <c r="V3017" s="166">
        <f t="shared" si="125"/>
        <v>0</v>
      </c>
      <c r="W3017" s="205"/>
      <c r="X3017" s="167"/>
    </row>
    <row r="3018" spans="8:24" s="221" customFormat="1" ht="12" hidden="1" customHeight="1">
      <c r="H3018" s="207"/>
      <c r="I3018" s="207"/>
      <c r="J3018" s="167"/>
      <c r="K3018" s="167"/>
      <c r="L3018" s="209"/>
      <c r="M3018" s="169"/>
      <c r="N3018" s="169"/>
      <c r="O3018" s="169">
        <f t="shared" si="124"/>
        <v>0</v>
      </c>
      <c r="P3018" s="169"/>
      <c r="Q3018" s="166">
        <f t="shared" si="123"/>
        <v>0</v>
      </c>
      <c r="R3018" s="207"/>
      <c r="S3018" s="207"/>
      <c r="T3018" s="207"/>
      <c r="U3018" s="207"/>
      <c r="V3018" s="166">
        <f t="shared" si="125"/>
        <v>0</v>
      </c>
      <c r="W3018" s="205"/>
      <c r="X3018" s="167"/>
    </row>
    <row r="3019" spans="8:24" s="221" customFormat="1" ht="12" hidden="1" customHeight="1">
      <c r="H3019" s="207"/>
      <c r="I3019" s="207"/>
      <c r="J3019" s="167"/>
      <c r="K3019" s="167"/>
      <c r="L3019" s="209"/>
      <c r="M3019" s="169"/>
      <c r="N3019" s="169"/>
      <c r="O3019" s="169">
        <f t="shared" si="124"/>
        <v>0</v>
      </c>
      <c r="P3019" s="169"/>
      <c r="Q3019" s="166">
        <f t="shared" si="123"/>
        <v>0</v>
      </c>
      <c r="R3019" s="207"/>
      <c r="S3019" s="207"/>
      <c r="T3019" s="207"/>
      <c r="U3019" s="207"/>
      <c r="V3019" s="166">
        <f t="shared" si="125"/>
        <v>0</v>
      </c>
      <c r="W3019" s="205"/>
      <c r="X3019" s="167"/>
    </row>
    <row r="3020" spans="8:24" s="221" customFormat="1" ht="12" hidden="1" customHeight="1">
      <c r="H3020" s="207"/>
      <c r="I3020" s="207"/>
      <c r="J3020" s="167"/>
      <c r="K3020" s="167"/>
      <c r="L3020" s="209"/>
      <c r="M3020" s="169"/>
      <c r="N3020" s="169"/>
      <c r="O3020" s="169">
        <f t="shared" si="124"/>
        <v>0</v>
      </c>
      <c r="P3020" s="169"/>
      <c r="Q3020" s="166">
        <f t="shared" si="123"/>
        <v>0</v>
      </c>
      <c r="R3020" s="207"/>
      <c r="S3020" s="207"/>
      <c r="T3020" s="207"/>
      <c r="U3020" s="207"/>
      <c r="V3020" s="166">
        <f t="shared" si="125"/>
        <v>0</v>
      </c>
      <c r="W3020" s="205"/>
      <c r="X3020" s="167"/>
    </row>
    <row r="3021" spans="8:24" s="221" customFormat="1" ht="12" hidden="1" customHeight="1">
      <c r="H3021" s="207"/>
      <c r="I3021" s="207"/>
      <c r="J3021" s="167"/>
      <c r="K3021" s="167"/>
      <c r="L3021" s="209"/>
      <c r="M3021" s="169"/>
      <c r="N3021" s="169"/>
      <c r="O3021" s="169">
        <f t="shared" si="124"/>
        <v>0</v>
      </c>
      <c r="P3021" s="169"/>
      <c r="Q3021" s="166">
        <f t="shared" si="123"/>
        <v>0</v>
      </c>
      <c r="R3021" s="207"/>
      <c r="S3021" s="207"/>
      <c r="T3021" s="207"/>
      <c r="U3021" s="207"/>
      <c r="V3021" s="166">
        <f t="shared" si="125"/>
        <v>0</v>
      </c>
      <c r="W3021" s="205"/>
      <c r="X3021" s="167"/>
    </row>
    <row r="3022" spans="8:24" s="221" customFormat="1" ht="12" hidden="1" customHeight="1">
      <c r="H3022" s="207"/>
      <c r="I3022" s="207"/>
      <c r="J3022" s="167"/>
      <c r="K3022" s="167"/>
      <c r="L3022" s="209"/>
      <c r="M3022" s="169"/>
      <c r="N3022" s="169"/>
      <c r="O3022" s="169">
        <f t="shared" si="124"/>
        <v>0</v>
      </c>
      <c r="P3022" s="169"/>
      <c r="Q3022" s="166">
        <f t="shared" si="123"/>
        <v>0</v>
      </c>
      <c r="R3022" s="207"/>
      <c r="S3022" s="207"/>
      <c r="T3022" s="207"/>
      <c r="U3022" s="207"/>
      <c r="V3022" s="166">
        <f t="shared" si="125"/>
        <v>0</v>
      </c>
      <c r="W3022" s="205"/>
      <c r="X3022" s="167"/>
    </row>
    <row r="3023" spans="8:24" s="221" customFormat="1" ht="12" hidden="1" customHeight="1">
      <c r="H3023" s="207"/>
      <c r="I3023" s="207"/>
      <c r="J3023" s="167"/>
      <c r="K3023" s="167"/>
      <c r="L3023" s="209"/>
      <c r="M3023" s="169"/>
      <c r="N3023" s="169"/>
      <c r="O3023" s="169">
        <f t="shared" si="124"/>
        <v>0</v>
      </c>
      <c r="P3023" s="169"/>
      <c r="Q3023" s="166">
        <f t="shared" si="123"/>
        <v>0</v>
      </c>
      <c r="R3023" s="207"/>
      <c r="S3023" s="207"/>
      <c r="T3023" s="207"/>
      <c r="U3023" s="207"/>
      <c r="V3023" s="166">
        <f t="shared" si="125"/>
        <v>0</v>
      </c>
      <c r="W3023" s="205"/>
      <c r="X3023" s="167"/>
    </row>
    <row r="3024" spans="8:24" s="221" customFormat="1" ht="12" hidden="1" customHeight="1">
      <c r="H3024" s="207"/>
      <c r="I3024" s="207"/>
      <c r="J3024" s="167"/>
      <c r="K3024" s="167"/>
      <c r="L3024" s="209"/>
      <c r="M3024" s="169"/>
      <c r="N3024" s="169"/>
      <c r="O3024" s="169">
        <f t="shared" si="124"/>
        <v>0</v>
      </c>
      <c r="P3024" s="169"/>
      <c r="Q3024" s="166">
        <f t="shared" si="123"/>
        <v>0</v>
      </c>
      <c r="R3024" s="207"/>
      <c r="S3024" s="207"/>
      <c r="T3024" s="207"/>
      <c r="U3024" s="207"/>
      <c r="V3024" s="166">
        <f t="shared" si="125"/>
        <v>0</v>
      </c>
      <c r="W3024" s="205"/>
      <c r="X3024" s="167"/>
    </row>
    <row r="3025" spans="8:24" s="221" customFormat="1" ht="12" hidden="1" customHeight="1">
      <c r="H3025" s="207"/>
      <c r="I3025" s="207"/>
      <c r="J3025" s="167"/>
      <c r="K3025" s="167"/>
      <c r="L3025" s="209"/>
      <c r="M3025" s="169"/>
      <c r="N3025" s="169"/>
      <c r="O3025" s="169">
        <f t="shared" si="124"/>
        <v>0</v>
      </c>
      <c r="P3025" s="169"/>
      <c r="Q3025" s="166">
        <f t="shared" si="123"/>
        <v>0</v>
      </c>
      <c r="R3025" s="207"/>
      <c r="S3025" s="207"/>
      <c r="T3025" s="207"/>
      <c r="U3025" s="207"/>
      <c r="V3025" s="166">
        <f t="shared" si="125"/>
        <v>0</v>
      </c>
      <c r="W3025" s="205"/>
      <c r="X3025" s="167"/>
    </row>
    <row r="3026" spans="8:24" s="221" customFormat="1" ht="12" hidden="1" customHeight="1">
      <c r="H3026" s="207"/>
      <c r="I3026" s="207"/>
      <c r="J3026" s="167"/>
      <c r="K3026" s="167"/>
      <c r="L3026" s="209"/>
      <c r="M3026" s="169"/>
      <c r="N3026" s="169"/>
      <c r="O3026" s="169">
        <f t="shared" si="124"/>
        <v>0</v>
      </c>
      <c r="P3026" s="169"/>
      <c r="Q3026" s="166">
        <f t="shared" si="123"/>
        <v>0</v>
      </c>
      <c r="R3026" s="207"/>
      <c r="S3026" s="207"/>
      <c r="T3026" s="207"/>
      <c r="U3026" s="207"/>
      <c r="V3026" s="166">
        <f t="shared" si="125"/>
        <v>0</v>
      </c>
      <c r="W3026" s="205"/>
      <c r="X3026" s="167"/>
    </row>
    <row r="3027" spans="8:24" s="221" customFormat="1" ht="12" hidden="1" customHeight="1">
      <c r="H3027" s="207"/>
      <c r="I3027" s="207"/>
      <c r="J3027" s="167"/>
      <c r="K3027" s="167"/>
      <c r="L3027" s="209"/>
      <c r="M3027" s="169"/>
      <c r="N3027" s="169"/>
      <c r="O3027" s="169">
        <f t="shared" si="124"/>
        <v>0</v>
      </c>
      <c r="P3027" s="169"/>
      <c r="Q3027" s="166">
        <f t="shared" si="123"/>
        <v>0</v>
      </c>
      <c r="R3027" s="207"/>
      <c r="S3027" s="207"/>
      <c r="T3027" s="207"/>
      <c r="U3027" s="207"/>
      <c r="V3027" s="166">
        <f t="shared" si="125"/>
        <v>0</v>
      </c>
      <c r="W3027" s="205"/>
      <c r="X3027" s="167"/>
    </row>
    <row r="3028" spans="8:24" s="221" customFormat="1" ht="12" hidden="1" customHeight="1">
      <c r="H3028" s="207"/>
      <c r="I3028" s="207"/>
      <c r="J3028" s="167"/>
      <c r="K3028" s="167"/>
      <c r="L3028" s="209"/>
      <c r="M3028" s="169"/>
      <c r="N3028" s="169"/>
      <c r="O3028" s="169">
        <f t="shared" si="124"/>
        <v>0</v>
      </c>
      <c r="P3028" s="169"/>
      <c r="Q3028" s="166">
        <f t="shared" si="123"/>
        <v>0</v>
      </c>
      <c r="R3028" s="207"/>
      <c r="S3028" s="207"/>
      <c r="T3028" s="207"/>
      <c r="U3028" s="207"/>
      <c r="V3028" s="166">
        <f t="shared" si="125"/>
        <v>0</v>
      </c>
      <c r="W3028" s="205"/>
      <c r="X3028" s="167"/>
    </row>
    <row r="3029" spans="8:24" s="221" customFormat="1" ht="12" hidden="1" customHeight="1">
      <c r="H3029" s="207"/>
      <c r="I3029" s="207"/>
      <c r="J3029" s="167"/>
      <c r="K3029" s="167"/>
      <c r="L3029" s="209"/>
      <c r="M3029" s="169"/>
      <c r="N3029" s="169"/>
      <c r="O3029" s="169">
        <f t="shared" si="124"/>
        <v>0</v>
      </c>
      <c r="P3029" s="169"/>
      <c r="Q3029" s="166">
        <f t="shared" si="123"/>
        <v>0</v>
      </c>
      <c r="R3029" s="207"/>
      <c r="S3029" s="207"/>
      <c r="T3029" s="207"/>
      <c r="U3029" s="207"/>
      <c r="V3029" s="166">
        <f t="shared" si="125"/>
        <v>0</v>
      </c>
      <c r="W3029" s="205"/>
      <c r="X3029" s="167"/>
    </row>
    <row r="3030" spans="8:24" s="221" customFormat="1" ht="12" hidden="1" customHeight="1">
      <c r="H3030" s="207"/>
      <c r="I3030" s="207"/>
      <c r="J3030" s="167"/>
      <c r="K3030" s="167"/>
      <c r="L3030" s="209"/>
      <c r="M3030" s="169"/>
      <c r="N3030" s="169"/>
      <c r="O3030" s="169">
        <f t="shared" si="124"/>
        <v>0</v>
      </c>
      <c r="P3030" s="169"/>
      <c r="Q3030" s="166">
        <f t="shared" si="123"/>
        <v>0</v>
      </c>
      <c r="R3030" s="207"/>
      <c r="S3030" s="207"/>
      <c r="T3030" s="207"/>
      <c r="U3030" s="207"/>
      <c r="V3030" s="166">
        <f t="shared" si="125"/>
        <v>0</v>
      </c>
      <c r="W3030" s="205"/>
      <c r="X3030" s="167"/>
    </row>
    <row r="3031" spans="8:24" s="221" customFormat="1" ht="12" hidden="1" customHeight="1">
      <c r="H3031" s="207"/>
      <c r="I3031" s="207"/>
      <c r="J3031" s="167"/>
      <c r="K3031" s="167"/>
      <c r="L3031" s="209"/>
      <c r="M3031" s="169"/>
      <c r="N3031" s="169"/>
      <c r="O3031" s="169">
        <f t="shared" si="124"/>
        <v>0</v>
      </c>
      <c r="P3031" s="169"/>
      <c r="Q3031" s="166">
        <f t="shared" si="123"/>
        <v>0</v>
      </c>
      <c r="R3031" s="207"/>
      <c r="S3031" s="207"/>
      <c r="T3031" s="207"/>
      <c r="U3031" s="207"/>
      <c r="V3031" s="166">
        <f t="shared" si="125"/>
        <v>0</v>
      </c>
      <c r="W3031" s="205"/>
      <c r="X3031" s="167"/>
    </row>
    <row r="3032" spans="8:24" s="221" customFormat="1" ht="12" hidden="1" customHeight="1">
      <c r="H3032" s="207"/>
      <c r="I3032" s="207"/>
      <c r="J3032" s="167"/>
      <c r="K3032" s="167"/>
      <c r="L3032" s="209"/>
      <c r="M3032" s="169"/>
      <c r="N3032" s="169"/>
      <c r="O3032" s="169">
        <f t="shared" si="124"/>
        <v>0</v>
      </c>
      <c r="P3032" s="169"/>
      <c r="Q3032" s="166">
        <f t="shared" si="123"/>
        <v>0</v>
      </c>
      <c r="R3032" s="207"/>
      <c r="S3032" s="207"/>
      <c r="T3032" s="207"/>
      <c r="U3032" s="207"/>
      <c r="V3032" s="166">
        <f t="shared" si="125"/>
        <v>0</v>
      </c>
      <c r="W3032" s="205"/>
      <c r="X3032" s="167"/>
    </row>
    <row r="3033" spans="8:24" s="221" customFormat="1" ht="12" hidden="1" customHeight="1">
      <c r="H3033" s="207"/>
      <c r="I3033" s="207"/>
      <c r="J3033" s="167"/>
      <c r="K3033" s="167"/>
      <c r="L3033" s="209"/>
      <c r="M3033" s="169"/>
      <c r="N3033" s="169"/>
      <c r="O3033" s="169">
        <f t="shared" si="124"/>
        <v>0</v>
      </c>
      <c r="P3033" s="169"/>
      <c r="Q3033" s="166">
        <f t="shared" si="123"/>
        <v>0</v>
      </c>
      <c r="R3033" s="207"/>
      <c r="S3033" s="207"/>
      <c r="T3033" s="207"/>
      <c r="U3033" s="207"/>
      <c r="V3033" s="166">
        <f t="shared" si="125"/>
        <v>0</v>
      </c>
      <c r="W3033" s="205"/>
      <c r="X3033" s="167"/>
    </row>
    <row r="3034" spans="8:24" s="221" customFormat="1" ht="12" hidden="1" customHeight="1">
      <c r="H3034" s="207"/>
      <c r="I3034" s="207"/>
      <c r="J3034" s="167"/>
      <c r="K3034" s="167"/>
      <c r="L3034" s="209"/>
      <c r="M3034" s="169"/>
      <c r="N3034" s="169"/>
      <c r="O3034" s="169">
        <f t="shared" si="124"/>
        <v>0</v>
      </c>
      <c r="P3034" s="169"/>
      <c r="Q3034" s="166">
        <f t="shared" si="123"/>
        <v>0</v>
      </c>
      <c r="R3034" s="207"/>
      <c r="S3034" s="207"/>
      <c r="T3034" s="207"/>
      <c r="U3034" s="207"/>
      <c r="V3034" s="166">
        <f t="shared" si="125"/>
        <v>0</v>
      </c>
      <c r="W3034" s="205"/>
      <c r="X3034" s="167"/>
    </row>
    <row r="3035" spans="8:24" s="221" customFormat="1" ht="12" hidden="1" customHeight="1">
      <c r="H3035" s="207"/>
      <c r="I3035" s="207"/>
      <c r="J3035" s="167"/>
      <c r="K3035" s="167"/>
      <c r="L3035" s="209"/>
      <c r="M3035" s="169"/>
      <c r="N3035" s="169"/>
      <c r="O3035" s="169">
        <f t="shared" si="124"/>
        <v>0</v>
      </c>
      <c r="P3035" s="169"/>
      <c r="Q3035" s="166">
        <f t="shared" si="123"/>
        <v>0</v>
      </c>
      <c r="R3035" s="207"/>
      <c r="S3035" s="207"/>
      <c r="T3035" s="207"/>
      <c r="U3035" s="207"/>
      <c r="V3035" s="166">
        <f t="shared" si="125"/>
        <v>0</v>
      </c>
      <c r="W3035" s="205"/>
      <c r="X3035" s="167"/>
    </row>
    <row r="3036" spans="8:24" s="221" customFormat="1" ht="12" hidden="1" customHeight="1">
      <c r="H3036" s="207"/>
      <c r="I3036" s="207"/>
      <c r="J3036" s="167"/>
      <c r="K3036" s="167"/>
      <c r="L3036" s="209"/>
      <c r="M3036" s="169"/>
      <c r="N3036" s="169"/>
      <c r="O3036" s="169">
        <f t="shared" si="124"/>
        <v>0</v>
      </c>
      <c r="P3036" s="169"/>
      <c r="Q3036" s="166">
        <f t="shared" si="123"/>
        <v>0</v>
      </c>
      <c r="R3036" s="207"/>
      <c r="S3036" s="207"/>
      <c r="T3036" s="207"/>
      <c r="U3036" s="207"/>
      <c r="V3036" s="166">
        <f t="shared" si="125"/>
        <v>0</v>
      </c>
      <c r="W3036" s="205"/>
      <c r="X3036" s="167"/>
    </row>
    <row r="3037" spans="8:24" s="221" customFormat="1" ht="12" hidden="1" customHeight="1">
      <c r="H3037" s="207"/>
      <c r="I3037" s="207"/>
      <c r="J3037" s="167"/>
      <c r="K3037" s="167"/>
      <c r="L3037" s="209"/>
      <c r="M3037" s="169"/>
      <c r="N3037" s="169"/>
      <c r="O3037" s="169">
        <f t="shared" si="124"/>
        <v>0</v>
      </c>
      <c r="P3037" s="169"/>
      <c r="Q3037" s="166">
        <f t="shared" si="123"/>
        <v>0</v>
      </c>
      <c r="R3037" s="207"/>
      <c r="S3037" s="207"/>
      <c r="T3037" s="207"/>
      <c r="U3037" s="207"/>
      <c r="V3037" s="166">
        <f t="shared" si="125"/>
        <v>0</v>
      </c>
      <c r="W3037" s="205"/>
      <c r="X3037" s="167"/>
    </row>
    <row r="3038" spans="8:24" s="221" customFormat="1" ht="12" hidden="1" customHeight="1">
      <c r="H3038" s="207"/>
      <c r="I3038" s="207"/>
      <c r="J3038" s="167"/>
      <c r="K3038" s="167"/>
      <c r="L3038" s="209"/>
      <c r="M3038" s="169"/>
      <c r="N3038" s="169"/>
      <c r="O3038" s="169">
        <f t="shared" si="124"/>
        <v>0</v>
      </c>
      <c r="P3038" s="169"/>
      <c r="Q3038" s="166">
        <f t="shared" si="123"/>
        <v>0</v>
      </c>
      <c r="R3038" s="207"/>
      <c r="S3038" s="207"/>
      <c r="T3038" s="207"/>
      <c r="U3038" s="207"/>
      <c r="V3038" s="166">
        <f t="shared" si="125"/>
        <v>0</v>
      </c>
      <c r="W3038" s="205"/>
      <c r="X3038" s="167"/>
    </row>
    <row r="3039" spans="8:24" s="221" customFormat="1" ht="12" hidden="1" customHeight="1">
      <c r="H3039" s="207"/>
      <c r="I3039" s="207"/>
      <c r="J3039" s="167"/>
      <c r="K3039" s="167"/>
      <c r="L3039" s="209"/>
      <c r="M3039" s="169"/>
      <c r="N3039" s="169"/>
      <c r="O3039" s="169">
        <f t="shared" si="124"/>
        <v>0</v>
      </c>
      <c r="P3039" s="169"/>
      <c r="Q3039" s="166">
        <f t="shared" si="123"/>
        <v>0</v>
      </c>
      <c r="R3039" s="207"/>
      <c r="S3039" s="207"/>
      <c r="T3039" s="207"/>
      <c r="U3039" s="207"/>
      <c r="V3039" s="166">
        <f t="shared" si="125"/>
        <v>0</v>
      </c>
      <c r="W3039" s="205"/>
      <c r="X3039" s="167"/>
    </row>
    <row r="3040" spans="8:24" s="221" customFormat="1" ht="12" hidden="1" customHeight="1">
      <c r="H3040" s="207"/>
      <c r="I3040" s="207"/>
      <c r="J3040" s="167"/>
      <c r="K3040" s="167"/>
      <c r="L3040" s="209"/>
      <c r="M3040" s="169"/>
      <c r="N3040" s="169"/>
      <c r="O3040" s="169">
        <f t="shared" si="124"/>
        <v>0</v>
      </c>
      <c r="P3040" s="169"/>
      <c r="Q3040" s="166">
        <f t="shared" si="123"/>
        <v>0</v>
      </c>
      <c r="R3040" s="207"/>
      <c r="S3040" s="207"/>
      <c r="T3040" s="207"/>
      <c r="U3040" s="207"/>
      <c r="V3040" s="166">
        <f t="shared" si="125"/>
        <v>0</v>
      </c>
      <c r="W3040" s="205"/>
      <c r="X3040" s="167"/>
    </row>
    <row r="3041" spans="8:24" s="221" customFormat="1" ht="12" hidden="1" customHeight="1">
      <c r="H3041" s="207"/>
      <c r="I3041" s="207"/>
      <c r="J3041" s="167"/>
      <c r="K3041" s="167"/>
      <c r="L3041" s="209"/>
      <c r="M3041" s="169"/>
      <c r="N3041" s="169"/>
      <c r="O3041" s="169">
        <f t="shared" si="124"/>
        <v>0</v>
      </c>
      <c r="P3041" s="169"/>
      <c r="Q3041" s="166">
        <f t="shared" si="123"/>
        <v>0</v>
      </c>
      <c r="R3041" s="207"/>
      <c r="S3041" s="207"/>
      <c r="T3041" s="207"/>
      <c r="U3041" s="207"/>
      <c r="V3041" s="166">
        <f t="shared" si="125"/>
        <v>0</v>
      </c>
      <c r="W3041" s="205"/>
      <c r="X3041" s="167"/>
    </row>
    <row r="3042" spans="8:24" s="221" customFormat="1" ht="12" hidden="1" customHeight="1">
      <c r="H3042" s="207"/>
      <c r="I3042" s="207"/>
      <c r="J3042" s="167"/>
      <c r="K3042" s="167"/>
      <c r="L3042" s="209"/>
      <c r="M3042" s="169"/>
      <c r="N3042" s="169"/>
      <c r="O3042" s="169">
        <f t="shared" si="124"/>
        <v>0</v>
      </c>
      <c r="P3042" s="169"/>
      <c r="Q3042" s="166">
        <f t="shared" si="123"/>
        <v>0</v>
      </c>
      <c r="R3042" s="207"/>
      <c r="S3042" s="207"/>
      <c r="T3042" s="207"/>
      <c r="U3042" s="207"/>
      <c r="V3042" s="166">
        <f t="shared" si="125"/>
        <v>0</v>
      </c>
      <c r="W3042" s="205"/>
      <c r="X3042" s="167"/>
    </row>
    <row r="3043" spans="8:24" s="221" customFormat="1" ht="12" hidden="1" customHeight="1">
      <c r="H3043" s="207"/>
      <c r="I3043" s="207"/>
      <c r="J3043" s="167"/>
      <c r="K3043" s="167"/>
      <c r="L3043" s="209"/>
      <c r="M3043" s="169"/>
      <c r="N3043" s="169"/>
      <c r="O3043" s="169">
        <f t="shared" si="124"/>
        <v>0</v>
      </c>
      <c r="P3043" s="169"/>
      <c r="Q3043" s="166">
        <f t="shared" si="123"/>
        <v>0</v>
      </c>
      <c r="R3043" s="207"/>
      <c r="S3043" s="207"/>
      <c r="T3043" s="207"/>
      <c r="U3043" s="207"/>
      <c r="V3043" s="166">
        <f t="shared" si="125"/>
        <v>0</v>
      </c>
      <c r="W3043" s="205"/>
      <c r="X3043" s="167"/>
    </row>
    <row r="3044" spans="8:24" s="221" customFormat="1" ht="12" hidden="1" customHeight="1">
      <c r="H3044" s="207"/>
      <c r="I3044" s="207"/>
      <c r="J3044" s="167"/>
      <c r="K3044" s="167"/>
      <c r="L3044" s="209"/>
      <c r="M3044" s="169"/>
      <c r="N3044" s="169"/>
      <c r="O3044" s="169">
        <f t="shared" si="124"/>
        <v>0</v>
      </c>
      <c r="P3044" s="169"/>
      <c r="Q3044" s="166">
        <f t="shared" si="123"/>
        <v>0</v>
      </c>
      <c r="R3044" s="207"/>
      <c r="S3044" s="207"/>
      <c r="T3044" s="207"/>
      <c r="U3044" s="207"/>
      <c r="V3044" s="166">
        <f t="shared" si="125"/>
        <v>0</v>
      </c>
      <c r="W3044" s="205"/>
      <c r="X3044" s="167"/>
    </row>
    <row r="3045" spans="8:24" s="221" customFormat="1" ht="12" hidden="1" customHeight="1">
      <c r="H3045" s="207"/>
      <c r="I3045" s="207"/>
      <c r="J3045" s="167"/>
      <c r="K3045" s="167"/>
      <c r="L3045" s="209"/>
      <c r="M3045" s="169"/>
      <c r="N3045" s="169"/>
      <c r="O3045" s="169">
        <f t="shared" si="124"/>
        <v>0</v>
      </c>
      <c r="P3045" s="169"/>
      <c r="Q3045" s="166">
        <f t="shared" si="123"/>
        <v>0</v>
      </c>
      <c r="R3045" s="207"/>
      <c r="S3045" s="207"/>
      <c r="T3045" s="207"/>
      <c r="U3045" s="207"/>
      <c r="V3045" s="166">
        <f t="shared" si="125"/>
        <v>0</v>
      </c>
      <c r="W3045" s="205"/>
      <c r="X3045" s="167"/>
    </row>
    <row r="3046" spans="8:24" s="221" customFormat="1" ht="12" hidden="1" customHeight="1">
      <c r="H3046" s="207"/>
      <c r="I3046" s="207"/>
      <c r="J3046" s="167"/>
      <c r="K3046" s="167"/>
      <c r="L3046" s="209"/>
      <c r="M3046" s="169"/>
      <c r="N3046" s="169"/>
      <c r="O3046" s="169">
        <f t="shared" si="124"/>
        <v>0</v>
      </c>
      <c r="P3046" s="169"/>
      <c r="Q3046" s="166">
        <f t="shared" si="123"/>
        <v>0</v>
      </c>
      <c r="R3046" s="207"/>
      <c r="S3046" s="207"/>
      <c r="T3046" s="207"/>
      <c r="U3046" s="207"/>
      <c r="V3046" s="166">
        <f t="shared" si="125"/>
        <v>0</v>
      </c>
      <c r="W3046" s="205"/>
      <c r="X3046" s="167"/>
    </row>
    <row r="3047" spans="8:24" s="221" customFormat="1" ht="12" hidden="1" customHeight="1">
      <c r="H3047" s="207"/>
      <c r="I3047" s="207"/>
      <c r="J3047" s="167"/>
      <c r="K3047" s="167"/>
      <c r="L3047" s="209"/>
      <c r="M3047" s="169"/>
      <c r="N3047" s="169"/>
      <c r="O3047" s="169">
        <f t="shared" si="124"/>
        <v>0</v>
      </c>
      <c r="P3047" s="169"/>
      <c r="Q3047" s="166">
        <f t="shared" si="123"/>
        <v>0</v>
      </c>
      <c r="R3047" s="207"/>
      <c r="S3047" s="207"/>
      <c r="T3047" s="207"/>
      <c r="U3047" s="207"/>
      <c r="V3047" s="166">
        <f t="shared" si="125"/>
        <v>0</v>
      </c>
      <c r="W3047" s="205"/>
      <c r="X3047" s="167"/>
    </row>
    <row r="3048" spans="8:24" s="221" customFormat="1" ht="12" hidden="1" customHeight="1">
      <c r="H3048" s="207"/>
      <c r="I3048" s="207"/>
      <c r="J3048" s="167"/>
      <c r="K3048" s="167"/>
      <c r="L3048" s="209"/>
      <c r="M3048" s="169"/>
      <c r="N3048" s="169"/>
      <c r="O3048" s="169">
        <f t="shared" si="124"/>
        <v>0</v>
      </c>
      <c r="P3048" s="169"/>
      <c r="Q3048" s="166">
        <f t="shared" si="123"/>
        <v>0</v>
      </c>
      <c r="R3048" s="207"/>
      <c r="S3048" s="207"/>
      <c r="T3048" s="207"/>
      <c r="U3048" s="207"/>
      <c r="V3048" s="166">
        <f t="shared" si="125"/>
        <v>0</v>
      </c>
      <c r="W3048" s="205"/>
      <c r="X3048" s="167"/>
    </row>
    <row r="3049" spans="8:24" s="221" customFormat="1" ht="12" hidden="1" customHeight="1">
      <c r="H3049" s="207"/>
      <c r="I3049" s="207"/>
      <c r="J3049" s="167"/>
      <c r="K3049" s="167"/>
      <c r="L3049" s="209"/>
      <c r="M3049" s="169"/>
      <c r="N3049" s="169"/>
      <c r="O3049" s="169">
        <f t="shared" si="124"/>
        <v>0</v>
      </c>
      <c r="P3049" s="169"/>
      <c r="Q3049" s="166">
        <f t="shared" si="123"/>
        <v>0</v>
      </c>
      <c r="R3049" s="207"/>
      <c r="S3049" s="207"/>
      <c r="T3049" s="207"/>
      <c r="U3049" s="207"/>
      <c r="V3049" s="166">
        <f t="shared" si="125"/>
        <v>0</v>
      </c>
      <c r="W3049" s="205"/>
      <c r="X3049" s="167"/>
    </row>
    <row r="3050" spans="8:24" s="221" customFormat="1" ht="12" hidden="1" customHeight="1">
      <c r="H3050" s="207"/>
      <c r="I3050" s="207"/>
      <c r="J3050" s="167"/>
      <c r="K3050" s="167"/>
      <c r="L3050" s="209"/>
      <c r="M3050" s="169"/>
      <c r="N3050" s="169"/>
      <c r="O3050" s="169">
        <f t="shared" si="124"/>
        <v>0</v>
      </c>
      <c r="P3050" s="169"/>
      <c r="Q3050" s="166">
        <f t="shared" si="123"/>
        <v>0</v>
      </c>
      <c r="R3050" s="207"/>
      <c r="S3050" s="207"/>
      <c r="T3050" s="207"/>
      <c r="U3050" s="207"/>
      <c r="V3050" s="166">
        <f t="shared" si="125"/>
        <v>0</v>
      </c>
      <c r="W3050" s="205"/>
      <c r="X3050" s="167"/>
    </row>
    <row r="3051" spans="8:24" s="221" customFormat="1" ht="12" hidden="1" customHeight="1">
      <c r="H3051" s="207"/>
      <c r="I3051" s="207"/>
      <c r="J3051" s="167"/>
      <c r="K3051" s="167"/>
      <c r="L3051" s="209"/>
      <c r="M3051" s="169"/>
      <c r="N3051" s="169"/>
      <c r="O3051" s="169">
        <f t="shared" si="124"/>
        <v>0</v>
      </c>
      <c r="P3051" s="169"/>
      <c r="Q3051" s="166">
        <f t="shared" si="123"/>
        <v>0</v>
      </c>
      <c r="R3051" s="207"/>
      <c r="S3051" s="207"/>
      <c r="T3051" s="207"/>
      <c r="U3051" s="207"/>
      <c r="V3051" s="166">
        <f t="shared" si="125"/>
        <v>0</v>
      </c>
      <c r="W3051" s="205"/>
      <c r="X3051" s="167"/>
    </row>
    <row r="3052" spans="8:24" s="221" customFormat="1" ht="12" hidden="1" customHeight="1">
      <c r="H3052" s="207"/>
      <c r="I3052" s="207"/>
      <c r="J3052" s="167"/>
      <c r="K3052" s="167"/>
      <c r="L3052" s="209"/>
      <c r="M3052" s="169"/>
      <c r="N3052" s="169"/>
      <c r="O3052" s="169">
        <f t="shared" si="124"/>
        <v>0</v>
      </c>
      <c r="P3052" s="169"/>
      <c r="Q3052" s="166">
        <f t="shared" si="123"/>
        <v>0</v>
      </c>
      <c r="R3052" s="207"/>
      <c r="S3052" s="207"/>
      <c r="T3052" s="207"/>
      <c r="U3052" s="207"/>
      <c r="V3052" s="166">
        <f t="shared" si="125"/>
        <v>0</v>
      </c>
      <c r="W3052" s="205"/>
      <c r="X3052" s="167"/>
    </row>
    <row r="3053" spans="8:24" s="221" customFormat="1" ht="12" hidden="1" customHeight="1">
      <c r="H3053" s="207"/>
      <c r="I3053" s="207"/>
      <c r="J3053" s="167"/>
      <c r="K3053" s="167"/>
      <c r="L3053" s="209"/>
      <c r="M3053" s="169"/>
      <c r="N3053" s="169"/>
      <c r="O3053" s="169">
        <f t="shared" si="124"/>
        <v>0</v>
      </c>
      <c r="P3053" s="169"/>
      <c r="Q3053" s="166">
        <f t="shared" si="123"/>
        <v>0</v>
      </c>
      <c r="R3053" s="207"/>
      <c r="S3053" s="207"/>
      <c r="T3053" s="207"/>
      <c r="U3053" s="207"/>
      <c r="V3053" s="166">
        <f t="shared" si="125"/>
        <v>0</v>
      </c>
      <c r="W3053" s="205"/>
      <c r="X3053" s="167"/>
    </row>
    <row r="3054" spans="8:24" s="221" customFormat="1" ht="12" hidden="1" customHeight="1">
      <c r="H3054" s="207"/>
      <c r="I3054" s="207"/>
      <c r="J3054" s="167"/>
      <c r="K3054" s="167"/>
      <c r="L3054" s="209"/>
      <c r="M3054" s="169"/>
      <c r="N3054" s="169"/>
      <c r="O3054" s="169">
        <f t="shared" si="124"/>
        <v>0</v>
      </c>
      <c r="P3054" s="169"/>
      <c r="Q3054" s="166">
        <f t="shared" si="123"/>
        <v>0</v>
      </c>
      <c r="R3054" s="207"/>
      <c r="S3054" s="207"/>
      <c r="T3054" s="207"/>
      <c r="U3054" s="207"/>
      <c r="V3054" s="166">
        <f t="shared" si="125"/>
        <v>0</v>
      </c>
      <c r="W3054" s="205"/>
      <c r="X3054" s="167"/>
    </row>
    <row r="3055" spans="8:24" s="221" customFormat="1" ht="12" hidden="1" customHeight="1">
      <c r="H3055" s="207"/>
      <c r="I3055" s="207"/>
      <c r="J3055" s="167"/>
      <c r="K3055" s="167"/>
      <c r="L3055" s="209"/>
      <c r="M3055" s="169"/>
      <c r="N3055" s="169"/>
      <c r="O3055" s="169">
        <f t="shared" si="124"/>
        <v>0</v>
      </c>
      <c r="P3055" s="169"/>
      <c r="Q3055" s="166">
        <f t="shared" ref="Q3055:Q3118" si="126">IF(W3055="",M3055*P3055*$Q$3*$W$3,M3055*P3055*$Q$3*W3055)</f>
        <v>0</v>
      </c>
      <c r="R3055" s="207"/>
      <c r="S3055" s="207"/>
      <c r="T3055" s="207"/>
      <c r="U3055" s="207"/>
      <c r="V3055" s="166">
        <f t="shared" si="125"/>
        <v>0</v>
      </c>
      <c r="W3055" s="205"/>
      <c r="X3055" s="167"/>
    </row>
    <row r="3056" spans="8:24" s="221" customFormat="1" ht="12" hidden="1" customHeight="1">
      <c r="H3056" s="207"/>
      <c r="I3056" s="207"/>
      <c r="J3056" s="167"/>
      <c r="K3056" s="167"/>
      <c r="L3056" s="209"/>
      <c r="M3056" s="169"/>
      <c r="N3056" s="169"/>
      <c r="O3056" s="169">
        <f t="shared" si="124"/>
        <v>0</v>
      </c>
      <c r="P3056" s="169"/>
      <c r="Q3056" s="166">
        <f t="shared" si="126"/>
        <v>0</v>
      </c>
      <c r="R3056" s="207"/>
      <c r="S3056" s="207"/>
      <c r="T3056" s="207"/>
      <c r="U3056" s="207"/>
      <c r="V3056" s="166">
        <f t="shared" si="125"/>
        <v>0</v>
      </c>
      <c r="W3056" s="205"/>
      <c r="X3056" s="167"/>
    </row>
    <row r="3057" spans="8:24" s="221" customFormat="1" ht="12" hidden="1" customHeight="1">
      <c r="H3057" s="207"/>
      <c r="I3057" s="207"/>
      <c r="J3057" s="167"/>
      <c r="K3057" s="167"/>
      <c r="L3057" s="209"/>
      <c r="M3057" s="169"/>
      <c r="N3057" s="169"/>
      <c r="O3057" s="169">
        <f t="shared" si="124"/>
        <v>0</v>
      </c>
      <c r="P3057" s="169"/>
      <c r="Q3057" s="166">
        <f t="shared" si="126"/>
        <v>0</v>
      </c>
      <c r="R3057" s="207"/>
      <c r="S3057" s="207"/>
      <c r="T3057" s="207"/>
      <c r="U3057" s="207"/>
      <c r="V3057" s="166">
        <f t="shared" si="125"/>
        <v>0</v>
      </c>
      <c r="W3057" s="205"/>
      <c r="X3057" s="167"/>
    </row>
    <row r="3058" spans="8:24" s="221" customFormat="1" ht="12" hidden="1" customHeight="1">
      <c r="H3058" s="207"/>
      <c r="I3058" s="207"/>
      <c r="J3058" s="167"/>
      <c r="K3058" s="167"/>
      <c r="L3058" s="209"/>
      <c r="M3058" s="169"/>
      <c r="N3058" s="169"/>
      <c r="O3058" s="169">
        <f t="shared" si="124"/>
        <v>0</v>
      </c>
      <c r="P3058" s="169"/>
      <c r="Q3058" s="166">
        <f t="shared" si="126"/>
        <v>0</v>
      </c>
      <c r="R3058" s="207"/>
      <c r="S3058" s="207"/>
      <c r="T3058" s="207"/>
      <c r="U3058" s="207"/>
      <c r="V3058" s="166">
        <f t="shared" si="125"/>
        <v>0</v>
      </c>
      <c r="W3058" s="205"/>
      <c r="X3058" s="167"/>
    </row>
    <row r="3059" spans="8:24" s="221" customFormat="1" ht="12" hidden="1" customHeight="1">
      <c r="H3059" s="207"/>
      <c r="I3059" s="207"/>
      <c r="J3059" s="167"/>
      <c r="K3059" s="167"/>
      <c r="L3059" s="209"/>
      <c r="M3059" s="169"/>
      <c r="N3059" s="169"/>
      <c r="O3059" s="169">
        <f t="shared" si="124"/>
        <v>0</v>
      </c>
      <c r="P3059" s="169"/>
      <c r="Q3059" s="166">
        <f t="shared" si="126"/>
        <v>0</v>
      </c>
      <c r="R3059" s="207"/>
      <c r="S3059" s="207"/>
      <c r="T3059" s="207"/>
      <c r="U3059" s="207"/>
      <c r="V3059" s="166">
        <f t="shared" si="125"/>
        <v>0</v>
      </c>
      <c r="W3059" s="205"/>
      <c r="X3059" s="167"/>
    </row>
    <row r="3060" spans="8:24" s="221" customFormat="1" ht="12" hidden="1" customHeight="1">
      <c r="H3060" s="207"/>
      <c r="I3060" s="207"/>
      <c r="J3060" s="167"/>
      <c r="K3060" s="167"/>
      <c r="L3060" s="209"/>
      <c r="M3060" s="169"/>
      <c r="N3060" s="169"/>
      <c r="O3060" s="169">
        <f t="shared" si="124"/>
        <v>0</v>
      </c>
      <c r="P3060" s="169"/>
      <c r="Q3060" s="166">
        <f t="shared" si="126"/>
        <v>0</v>
      </c>
      <c r="R3060" s="207"/>
      <c r="S3060" s="207"/>
      <c r="T3060" s="207"/>
      <c r="U3060" s="207"/>
      <c r="V3060" s="166">
        <f t="shared" si="125"/>
        <v>0</v>
      </c>
      <c r="W3060" s="205"/>
      <c r="X3060" s="167"/>
    </row>
    <row r="3061" spans="8:24" s="221" customFormat="1" ht="12" hidden="1" customHeight="1">
      <c r="H3061" s="207"/>
      <c r="I3061" s="207"/>
      <c r="J3061" s="167"/>
      <c r="K3061" s="167"/>
      <c r="L3061" s="209"/>
      <c r="M3061" s="169"/>
      <c r="N3061" s="169"/>
      <c r="O3061" s="169">
        <f t="shared" si="124"/>
        <v>0</v>
      </c>
      <c r="P3061" s="169"/>
      <c r="Q3061" s="166">
        <f t="shared" si="126"/>
        <v>0</v>
      </c>
      <c r="R3061" s="207"/>
      <c r="S3061" s="207"/>
      <c r="T3061" s="207"/>
      <c r="U3061" s="207"/>
      <c r="V3061" s="166">
        <f t="shared" si="125"/>
        <v>0</v>
      </c>
      <c r="W3061" s="205"/>
      <c r="X3061" s="167"/>
    </row>
    <row r="3062" spans="8:24" s="221" customFormat="1" ht="12" hidden="1" customHeight="1">
      <c r="H3062" s="207"/>
      <c r="I3062" s="207"/>
      <c r="J3062" s="167"/>
      <c r="K3062" s="167"/>
      <c r="L3062" s="209"/>
      <c r="M3062" s="169"/>
      <c r="N3062" s="169"/>
      <c r="O3062" s="169">
        <f t="shared" si="124"/>
        <v>0</v>
      </c>
      <c r="P3062" s="169"/>
      <c r="Q3062" s="166">
        <f t="shared" si="126"/>
        <v>0</v>
      </c>
      <c r="R3062" s="207"/>
      <c r="S3062" s="207"/>
      <c r="T3062" s="207"/>
      <c r="U3062" s="207"/>
      <c r="V3062" s="166">
        <f t="shared" si="125"/>
        <v>0</v>
      </c>
      <c r="W3062" s="205"/>
      <c r="X3062" s="167"/>
    </row>
    <row r="3063" spans="8:24" s="221" customFormat="1" ht="12" hidden="1" customHeight="1">
      <c r="H3063" s="207"/>
      <c r="I3063" s="207"/>
      <c r="J3063" s="167"/>
      <c r="K3063" s="167"/>
      <c r="L3063" s="209"/>
      <c r="M3063" s="169"/>
      <c r="N3063" s="169"/>
      <c r="O3063" s="169">
        <f t="shared" si="124"/>
        <v>0</v>
      </c>
      <c r="P3063" s="169"/>
      <c r="Q3063" s="166">
        <f t="shared" si="126"/>
        <v>0</v>
      </c>
      <c r="R3063" s="207"/>
      <c r="S3063" s="207"/>
      <c r="T3063" s="207"/>
      <c r="U3063" s="207"/>
      <c r="V3063" s="166">
        <f t="shared" si="125"/>
        <v>0</v>
      </c>
      <c r="W3063" s="205"/>
      <c r="X3063" s="167"/>
    </row>
    <row r="3064" spans="8:24" s="221" customFormat="1" ht="12" hidden="1" customHeight="1">
      <c r="H3064" s="207"/>
      <c r="I3064" s="207"/>
      <c r="J3064" s="167"/>
      <c r="K3064" s="167"/>
      <c r="L3064" s="209"/>
      <c r="M3064" s="169"/>
      <c r="N3064" s="169"/>
      <c r="O3064" s="169">
        <f t="shared" si="124"/>
        <v>0</v>
      </c>
      <c r="P3064" s="169"/>
      <c r="Q3064" s="166">
        <f t="shared" si="126"/>
        <v>0</v>
      </c>
      <c r="R3064" s="207"/>
      <c r="S3064" s="207"/>
      <c r="T3064" s="207"/>
      <c r="U3064" s="207"/>
      <c r="V3064" s="166">
        <f t="shared" si="125"/>
        <v>0</v>
      </c>
      <c r="W3064" s="205"/>
      <c r="X3064" s="167"/>
    </row>
    <row r="3065" spans="8:24" s="221" customFormat="1" ht="12" hidden="1" customHeight="1">
      <c r="H3065" s="207"/>
      <c r="I3065" s="207"/>
      <c r="J3065" s="167"/>
      <c r="K3065" s="167"/>
      <c r="L3065" s="209"/>
      <c r="M3065" s="169"/>
      <c r="N3065" s="169"/>
      <c r="O3065" s="169">
        <f t="shared" si="124"/>
        <v>0</v>
      </c>
      <c r="P3065" s="169"/>
      <c r="Q3065" s="166">
        <f t="shared" si="126"/>
        <v>0</v>
      </c>
      <c r="R3065" s="207"/>
      <c r="S3065" s="207"/>
      <c r="T3065" s="207"/>
      <c r="U3065" s="207"/>
      <c r="V3065" s="166">
        <f t="shared" si="125"/>
        <v>0</v>
      </c>
      <c r="W3065" s="205"/>
      <c r="X3065" s="167"/>
    </row>
    <row r="3066" spans="8:24" s="221" customFormat="1" ht="12" hidden="1" customHeight="1">
      <c r="H3066" s="207"/>
      <c r="I3066" s="207"/>
      <c r="J3066" s="167"/>
      <c r="K3066" s="167"/>
      <c r="L3066" s="209"/>
      <c r="M3066" s="169"/>
      <c r="N3066" s="169"/>
      <c r="O3066" s="169">
        <f t="shared" si="124"/>
        <v>0</v>
      </c>
      <c r="P3066" s="169"/>
      <c r="Q3066" s="166">
        <f t="shared" si="126"/>
        <v>0</v>
      </c>
      <c r="R3066" s="207"/>
      <c r="S3066" s="207"/>
      <c r="T3066" s="207"/>
      <c r="U3066" s="207"/>
      <c r="V3066" s="166">
        <f t="shared" si="125"/>
        <v>0</v>
      </c>
      <c r="W3066" s="205"/>
      <c r="X3066" s="167"/>
    </row>
    <row r="3067" spans="8:24" s="221" customFormat="1" ht="12" hidden="1" customHeight="1">
      <c r="H3067" s="207"/>
      <c r="I3067" s="207"/>
      <c r="J3067" s="167"/>
      <c r="K3067" s="167"/>
      <c r="L3067" s="209"/>
      <c r="M3067" s="169"/>
      <c r="N3067" s="169"/>
      <c r="O3067" s="169">
        <f t="shared" si="124"/>
        <v>0</v>
      </c>
      <c r="P3067" s="169"/>
      <c r="Q3067" s="166">
        <f t="shared" si="126"/>
        <v>0</v>
      </c>
      <c r="R3067" s="207"/>
      <c r="S3067" s="207"/>
      <c r="T3067" s="207"/>
      <c r="U3067" s="207"/>
      <c r="V3067" s="166">
        <f t="shared" si="125"/>
        <v>0</v>
      </c>
      <c r="W3067" s="205"/>
      <c r="X3067" s="167"/>
    </row>
    <row r="3068" spans="8:24" s="221" customFormat="1" ht="12" hidden="1" customHeight="1">
      <c r="H3068" s="207"/>
      <c r="I3068" s="207"/>
      <c r="J3068" s="167"/>
      <c r="K3068" s="167"/>
      <c r="L3068" s="209"/>
      <c r="M3068" s="169"/>
      <c r="N3068" s="169"/>
      <c r="O3068" s="169">
        <f t="shared" ref="O3068:O3131" si="127">M3068*N3068*$O$3</f>
        <v>0</v>
      </c>
      <c r="P3068" s="169"/>
      <c r="Q3068" s="166">
        <f t="shared" si="126"/>
        <v>0</v>
      </c>
      <c r="R3068" s="207"/>
      <c r="S3068" s="207"/>
      <c r="T3068" s="207"/>
      <c r="U3068" s="207"/>
      <c r="V3068" s="166">
        <f t="shared" si="125"/>
        <v>0</v>
      </c>
      <c r="W3068" s="205"/>
      <c r="X3068" s="167"/>
    </row>
    <row r="3069" spans="8:24" s="221" customFormat="1" ht="12" hidden="1" customHeight="1">
      <c r="H3069" s="207"/>
      <c r="I3069" s="207"/>
      <c r="J3069" s="167"/>
      <c r="K3069" s="167"/>
      <c r="L3069" s="209"/>
      <c r="M3069" s="169"/>
      <c r="N3069" s="169"/>
      <c r="O3069" s="169">
        <f t="shared" si="127"/>
        <v>0</v>
      </c>
      <c r="P3069" s="169"/>
      <c r="Q3069" s="166">
        <f t="shared" si="126"/>
        <v>0</v>
      </c>
      <c r="R3069" s="207"/>
      <c r="S3069" s="207"/>
      <c r="T3069" s="207"/>
      <c r="U3069" s="207"/>
      <c r="V3069" s="166">
        <f t="shared" si="125"/>
        <v>0</v>
      </c>
      <c r="W3069" s="205"/>
      <c r="X3069" s="167"/>
    </row>
    <row r="3070" spans="8:24" s="221" customFormat="1" ht="12" hidden="1" customHeight="1">
      <c r="H3070" s="207"/>
      <c r="I3070" s="207"/>
      <c r="J3070" s="167"/>
      <c r="K3070" s="167"/>
      <c r="L3070" s="209"/>
      <c r="M3070" s="169"/>
      <c r="N3070" s="169"/>
      <c r="O3070" s="169">
        <f t="shared" si="127"/>
        <v>0</v>
      </c>
      <c r="P3070" s="169"/>
      <c r="Q3070" s="166">
        <f t="shared" si="126"/>
        <v>0</v>
      </c>
      <c r="R3070" s="207"/>
      <c r="S3070" s="207"/>
      <c r="T3070" s="207"/>
      <c r="U3070" s="207"/>
      <c r="V3070" s="166">
        <f t="shared" si="125"/>
        <v>0</v>
      </c>
      <c r="W3070" s="205"/>
      <c r="X3070" s="167"/>
    </row>
    <row r="3071" spans="8:24" s="221" customFormat="1" ht="12" hidden="1" customHeight="1">
      <c r="H3071" s="207"/>
      <c r="I3071" s="207"/>
      <c r="J3071" s="167"/>
      <c r="K3071" s="167"/>
      <c r="L3071" s="209"/>
      <c r="M3071" s="169"/>
      <c r="N3071" s="169"/>
      <c r="O3071" s="169">
        <f t="shared" si="127"/>
        <v>0</v>
      </c>
      <c r="P3071" s="169"/>
      <c r="Q3071" s="166">
        <f t="shared" si="126"/>
        <v>0</v>
      </c>
      <c r="R3071" s="207"/>
      <c r="S3071" s="207"/>
      <c r="T3071" s="207"/>
      <c r="U3071" s="207"/>
      <c r="V3071" s="166">
        <f t="shared" ref="V3071:V3134" si="128">SUM(O3071+Q3071)+S3071+U3071</f>
        <v>0</v>
      </c>
      <c r="W3071" s="205"/>
      <c r="X3071" s="167"/>
    </row>
    <row r="3072" spans="8:24" s="221" customFormat="1" ht="12" hidden="1" customHeight="1">
      <c r="H3072" s="207"/>
      <c r="I3072" s="207"/>
      <c r="J3072" s="167"/>
      <c r="K3072" s="167"/>
      <c r="L3072" s="209"/>
      <c r="M3072" s="169"/>
      <c r="N3072" s="169"/>
      <c r="O3072" s="169">
        <f t="shared" si="127"/>
        <v>0</v>
      </c>
      <c r="P3072" s="169"/>
      <c r="Q3072" s="166">
        <f t="shared" si="126"/>
        <v>0</v>
      </c>
      <c r="R3072" s="207"/>
      <c r="S3072" s="207"/>
      <c r="T3072" s="207"/>
      <c r="U3072" s="207"/>
      <c r="V3072" s="166">
        <f t="shared" si="128"/>
        <v>0</v>
      </c>
      <c r="W3072" s="205"/>
      <c r="X3072" s="167"/>
    </row>
    <row r="3073" spans="8:24" s="221" customFormat="1" ht="12" hidden="1" customHeight="1">
      <c r="H3073" s="207"/>
      <c r="I3073" s="207"/>
      <c r="J3073" s="167"/>
      <c r="K3073" s="167"/>
      <c r="L3073" s="209"/>
      <c r="M3073" s="169"/>
      <c r="N3073" s="169"/>
      <c r="O3073" s="169">
        <f t="shared" si="127"/>
        <v>0</v>
      </c>
      <c r="P3073" s="169"/>
      <c r="Q3073" s="166">
        <f t="shared" si="126"/>
        <v>0</v>
      </c>
      <c r="R3073" s="207"/>
      <c r="S3073" s="207"/>
      <c r="T3073" s="207"/>
      <c r="U3073" s="207"/>
      <c r="V3073" s="166">
        <f t="shared" si="128"/>
        <v>0</v>
      </c>
      <c r="W3073" s="205"/>
      <c r="X3073" s="167"/>
    </row>
    <row r="3074" spans="8:24" s="221" customFormat="1" ht="12" hidden="1" customHeight="1">
      <c r="H3074" s="207"/>
      <c r="I3074" s="207"/>
      <c r="J3074" s="167"/>
      <c r="K3074" s="167"/>
      <c r="L3074" s="209"/>
      <c r="M3074" s="169"/>
      <c r="N3074" s="169"/>
      <c r="O3074" s="169">
        <f t="shared" si="127"/>
        <v>0</v>
      </c>
      <c r="P3074" s="169"/>
      <c r="Q3074" s="166">
        <f t="shared" si="126"/>
        <v>0</v>
      </c>
      <c r="R3074" s="207"/>
      <c r="S3074" s="207"/>
      <c r="T3074" s="207"/>
      <c r="U3074" s="207"/>
      <c r="V3074" s="166">
        <f t="shared" si="128"/>
        <v>0</v>
      </c>
      <c r="W3074" s="205"/>
      <c r="X3074" s="167"/>
    </row>
    <row r="3075" spans="8:24" s="221" customFormat="1" ht="12" hidden="1" customHeight="1">
      <c r="H3075" s="207"/>
      <c r="I3075" s="207"/>
      <c r="J3075" s="167"/>
      <c r="K3075" s="167"/>
      <c r="L3075" s="209"/>
      <c r="M3075" s="169"/>
      <c r="N3075" s="169"/>
      <c r="O3075" s="169">
        <f t="shared" si="127"/>
        <v>0</v>
      </c>
      <c r="P3075" s="169"/>
      <c r="Q3075" s="166">
        <f t="shared" si="126"/>
        <v>0</v>
      </c>
      <c r="R3075" s="207"/>
      <c r="S3075" s="207"/>
      <c r="T3075" s="207"/>
      <c r="U3075" s="207"/>
      <c r="V3075" s="166">
        <f t="shared" si="128"/>
        <v>0</v>
      </c>
      <c r="W3075" s="205"/>
      <c r="X3075" s="167"/>
    </row>
    <row r="3076" spans="8:24" s="221" customFormat="1" ht="12" hidden="1" customHeight="1">
      <c r="H3076" s="207"/>
      <c r="I3076" s="207"/>
      <c r="J3076" s="167"/>
      <c r="K3076" s="167"/>
      <c r="L3076" s="209"/>
      <c r="M3076" s="169"/>
      <c r="N3076" s="169"/>
      <c r="O3076" s="169">
        <f t="shared" si="127"/>
        <v>0</v>
      </c>
      <c r="P3076" s="169"/>
      <c r="Q3076" s="166">
        <f t="shared" si="126"/>
        <v>0</v>
      </c>
      <c r="R3076" s="207"/>
      <c r="S3076" s="207"/>
      <c r="T3076" s="207"/>
      <c r="U3076" s="207"/>
      <c r="V3076" s="166">
        <f t="shared" si="128"/>
        <v>0</v>
      </c>
      <c r="W3076" s="205"/>
      <c r="X3076" s="167"/>
    </row>
    <row r="3077" spans="8:24" s="221" customFormat="1" ht="12" hidden="1" customHeight="1">
      <c r="H3077" s="207"/>
      <c r="I3077" s="207"/>
      <c r="J3077" s="167"/>
      <c r="K3077" s="167"/>
      <c r="L3077" s="209"/>
      <c r="M3077" s="169"/>
      <c r="N3077" s="169"/>
      <c r="O3077" s="169">
        <f t="shared" si="127"/>
        <v>0</v>
      </c>
      <c r="P3077" s="169"/>
      <c r="Q3077" s="166">
        <f t="shared" si="126"/>
        <v>0</v>
      </c>
      <c r="R3077" s="207"/>
      <c r="S3077" s="207"/>
      <c r="T3077" s="207"/>
      <c r="U3077" s="207"/>
      <c r="V3077" s="166">
        <f t="shared" si="128"/>
        <v>0</v>
      </c>
      <c r="W3077" s="205"/>
      <c r="X3077" s="167"/>
    </row>
    <row r="3078" spans="8:24" s="221" customFormat="1" ht="12" hidden="1" customHeight="1">
      <c r="H3078" s="207"/>
      <c r="I3078" s="207"/>
      <c r="J3078" s="167"/>
      <c r="K3078" s="167"/>
      <c r="L3078" s="209"/>
      <c r="M3078" s="169"/>
      <c r="N3078" s="169"/>
      <c r="O3078" s="169">
        <f t="shared" si="127"/>
        <v>0</v>
      </c>
      <c r="P3078" s="169"/>
      <c r="Q3078" s="166">
        <f t="shared" si="126"/>
        <v>0</v>
      </c>
      <c r="R3078" s="207"/>
      <c r="S3078" s="207"/>
      <c r="T3078" s="207"/>
      <c r="U3078" s="207"/>
      <c r="V3078" s="166">
        <f t="shared" si="128"/>
        <v>0</v>
      </c>
      <c r="W3078" s="205"/>
      <c r="X3078" s="167"/>
    </row>
    <row r="3079" spans="8:24" s="221" customFormat="1" ht="12" hidden="1" customHeight="1">
      <c r="H3079" s="207"/>
      <c r="I3079" s="207"/>
      <c r="J3079" s="167"/>
      <c r="K3079" s="167"/>
      <c r="L3079" s="209"/>
      <c r="M3079" s="169"/>
      <c r="N3079" s="169"/>
      <c r="O3079" s="169">
        <f t="shared" si="127"/>
        <v>0</v>
      </c>
      <c r="P3079" s="169"/>
      <c r="Q3079" s="166">
        <f t="shared" si="126"/>
        <v>0</v>
      </c>
      <c r="R3079" s="207"/>
      <c r="S3079" s="207"/>
      <c r="T3079" s="207"/>
      <c r="U3079" s="207"/>
      <c r="V3079" s="166">
        <f t="shared" si="128"/>
        <v>0</v>
      </c>
      <c r="W3079" s="205"/>
      <c r="X3079" s="167"/>
    </row>
    <row r="3080" spans="8:24" s="221" customFormat="1" ht="12" hidden="1" customHeight="1">
      <c r="H3080" s="207"/>
      <c r="I3080" s="207"/>
      <c r="J3080" s="167"/>
      <c r="K3080" s="167"/>
      <c r="L3080" s="209"/>
      <c r="M3080" s="169"/>
      <c r="N3080" s="169"/>
      <c r="O3080" s="169">
        <f t="shared" si="127"/>
        <v>0</v>
      </c>
      <c r="P3080" s="169"/>
      <c r="Q3080" s="166">
        <f t="shared" si="126"/>
        <v>0</v>
      </c>
      <c r="R3080" s="207"/>
      <c r="S3080" s="207"/>
      <c r="T3080" s="207"/>
      <c r="U3080" s="207"/>
      <c r="V3080" s="166">
        <f t="shared" si="128"/>
        <v>0</v>
      </c>
      <c r="W3080" s="205"/>
      <c r="X3080" s="167"/>
    </row>
    <row r="3081" spans="8:24" s="221" customFormat="1" ht="12" hidden="1" customHeight="1">
      <c r="H3081" s="207"/>
      <c r="I3081" s="207"/>
      <c r="J3081" s="167"/>
      <c r="K3081" s="167"/>
      <c r="L3081" s="209"/>
      <c r="M3081" s="169"/>
      <c r="N3081" s="169"/>
      <c r="O3081" s="169">
        <f t="shared" si="127"/>
        <v>0</v>
      </c>
      <c r="P3081" s="169"/>
      <c r="Q3081" s="166">
        <f t="shared" si="126"/>
        <v>0</v>
      </c>
      <c r="R3081" s="207"/>
      <c r="S3081" s="207"/>
      <c r="T3081" s="207"/>
      <c r="U3081" s="207"/>
      <c r="V3081" s="166">
        <f t="shared" si="128"/>
        <v>0</v>
      </c>
      <c r="W3081" s="205"/>
      <c r="X3081" s="167"/>
    </row>
    <row r="3082" spans="8:24" s="221" customFormat="1" ht="12" hidden="1" customHeight="1">
      <c r="H3082" s="207"/>
      <c r="I3082" s="207"/>
      <c r="J3082" s="167"/>
      <c r="K3082" s="167"/>
      <c r="L3082" s="209"/>
      <c r="M3082" s="169"/>
      <c r="N3082" s="169"/>
      <c r="O3082" s="169">
        <f t="shared" si="127"/>
        <v>0</v>
      </c>
      <c r="P3082" s="169"/>
      <c r="Q3082" s="166">
        <f t="shared" si="126"/>
        <v>0</v>
      </c>
      <c r="R3082" s="207"/>
      <c r="S3082" s="207"/>
      <c r="T3082" s="207"/>
      <c r="U3082" s="207"/>
      <c r="V3082" s="166">
        <f t="shared" si="128"/>
        <v>0</v>
      </c>
      <c r="W3082" s="205"/>
      <c r="X3082" s="167"/>
    </row>
    <row r="3083" spans="8:24" s="221" customFormat="1" ht="12" hidden="1" customHeight="1">
      <c r="H3083" s="207"/>
      <c r="I3083" s="207"/>
      <c r="J3083" s="167"/>
      <c r="K3083" s="167"/>
      <c r="L3083" s="209"/>
      <c r="M3083" s="169"/>
      <c r="N3083" s="169"/>
      <c r="O3083" s="169">
        <f t="shared" si="127"/>
        <v>0</v>
      </c>
      <c r="P3083" s="169"/>
      <c r="Q3083" s="166">
        <f t="shared" si="126"/>
        <v>0</v>
      </c>
      <c r="R3083" s="207"/>
      <c r="S3083" s="207"/>
      <c r="T3083" s="207"/>
      <c r="U3083" s="207"/>
      <c r="V3083" s="166">
        <f t="shared" si="128"/>
        <v>0</v>
      </c>
      <c r="W3083" s="205"/>
      <c r="X3083" s="167"/>
    </row>
    <row r="3084" spans="8:24" s="221" customFormat="1" ht="12" hidden="1" customHeight="1">
      <c r="H3084" s="207"/>
      <c r="I3084" s="207"/>
      <c r="J3084" s="167"/>
      <c r="K3084" s="167"/>
      <c r="L3084" s="209"/>
      <c r="M3084" s="169"/>
      <c r="N3084" s="169"/>
      <c r="O3084" s="169">
        <f t="shared" si="127"/>
        <v>0</v>
      </c>
      <c r="P3084" s="169"/>
      <c r="Q3084" s="166">
        <f t="shared" si="126"/>
        <v>0</v>
      </c>
      <c r="R3084" s="207"/>
      <c r="S3084" s="207"/>
      <c r="T3084" s="207"/>
      <c r="U3084" s="207"/>
      <c r="V3084" s="166">
        <f t="shared" si="128"/>
        <v>0</v>
      </c>
      <c r="W3084" s="205"/>
      <c r="X3084" s="167"/>
    </row>
    <row r="3085" spans="8:24" s="221" customFormat="1" ht="12" hidden="1" customHeight="1">
      <c r="H3085" s="207"/>
      <c r="I3085" s="207"/>
      <c r="J3085" s="167"/>
      <c r="K3085" s="167"/>
      <c r="L3085" s="209"/>
      <c r="M3085" s="169"/>
      <c r="N3085" s="169"/>
      <c r="O3085" s="169">
        <f t="shared" si="127"/>
        <v>0</v>
      </c>
      <c r="P3085" s="169"/>
      <c r="Q3085" s="166">
        <f t="shared" si="126"/>
        <v>0</v>
      </c>
      <c r="R3085" s="207"/>
      <c r="S3085" s="207"/>
      <c r="T3085" s="207"/>
      <c r="U3085" s="207"/>
      <c r="V3085" s="166">
        <f t="shared" si="128"/>
        <v>0</v>
      </c>
      <c r="W3085" s="205"/>
      <c r="X3085" s="167"/>
    </row>
    <row r="3086" spans="8:24" s="221" customFormat="1" ht="12" hidden="1" customHeight="1">
      <c r="H3086" s="207"/>
      <c r="I3086" s="207"/>
      <c r="J3086" s="167"/>
      <c r="K3086" s="167"/>
      <c r="L3086" s="209"/>
      <c r="M3086" s="169"/>
      <c r="N3086" s="169"/>
      <c r="O3086" s="169">
        <f t="shared" si="127"/>
        <v>0</v>
      </c>
      <c r="P3086" s="169"/>
      <c r="Q3086" s="166">
        <f t="shared" si="126"/>
        <v>0</v>
      </c>
      <c r="R3086" s="207"/>
      <c r="S3086" s="207"/>
      <c r="T3086" s="207"/>
      <c r="U3086" s="207"/>
      <c r="V3086" s="166">
        <f t="shared" si="128"/>
        <v>0</v>
      </c>
      <c r="W3086" s="205"/>
      <c r="X3086" s="167"/>
    </row>
    <row r="3087" spans="8:24" s="221" customFormat="1" ht="12" hidden="1" customHeight="1">
      <c r="H3087" s="207"/>
      <c r="I3087" s="207"/>
      <c r="J3087" s="167"/>
      <c r="K3087" s="167"/>
      <c r="L3087" s="209"/>
      <c r="M3087" s="169"/>
      <c r="N3087" s="169"/>
      <c r="O3087" s="169">
        <f t="shared" si="127"/>
        <v>0</v>
      </c>
      <c r="P3087" s="169"/>
      <c r="Q3087" s="166">
        <f t="shared" si="126"/>
        <v>0</v>
      </c>
      <c r="R3087" s="207"/>
      <c r="S3087" s="207"/>
      <c r="T3087" s="207"/>
      <c r="U3087" s="207"/>
      <c r="V3087" s="166">
        <f t="shared" si="128"/>
        <v>0</v>
      </c>
      <c r="W3087" s="205"/>
      <c r="X3087" s="167"/>
    </row>
    <row r="3088" spans="8:24" s="221" customFormat="1" ht="12" hidden="1" customHeight="1">
      <c r="H3088" s="207"/>
      <c r="I3088" s="207"/>
      <c r="J3088" s="167"/>
      <c r="K3088" s="167"/>
      <c r="L3088" s="209"/>
      <c r="M3088" s="169"/>
      <c r="N3088" s="169"/>
      <c r="O3088" s="169">
        <f t="shared" si="127"/>
        <v>0</v>
      </c>
      <c r="P3088" s="169"/>
      <c r="Q3088" s="166">
        <f t="shared" si="126"/>
        <v>0</v>
      </c>
      <c r="R3088" s="207"/>
      <c r="S3088" s="207"/>
      <c r="T3088" s="207"/>
      <c r="U3088" s="207"/>
      <c r="V3088" s="166">
        <f t="shared" si="128"/>
        <v>0</v>
      </c>
      <c r="W3088" s="205"/>
      <c r="X3088" s="167"/>
    </row>
    <row r="3089" spans="8:24" s="221" customFormat="1" ht="12" hidden="1" customHeight="1">
      <c r="H3089" s="207"/>
      <c r="I3089" s="207"/>
      <c r="J3089" s="167"/>
      <c r="K3089" s="167"/>
      <c r="L3089" s="209"/>
      <c r="M3089" s="169"/>
      <c r="N3089" s="169"/>
      <c r="O3089" s="169">
        <f t="shared" si="127"/>
        <v>0</v>
      </c>
      <c r="P3089" s="169"/>
      <c r="Q3089" s="166">
        <f t="shared" si="126"/>
        <v>0</v>
      </c>
      <c r="R3089" s="207"/>
      <c r="S3089" s="207"/>
      <c r="T3089" s="207"/>
      <c r="U3089" s="207"/>
      <c r="V3089" s="166">
        <f t="shared" si="128"/>
        <v>0</v>
      </c>
      <c r="W3089" s="205"/>
      <c r="X3089" s="167"/>
    </row>
    <row r="3090" spans="8:24" s="221" customFormat="1" ht="12" hidden="1" customHeight="1">
      <c r="H3090" s="207"/>
      <c r="I3090" s="207"/>
      <c r="J3090" s="167"/>
      <c r="K3090" s="167"/>
      <c r="L3090" s="209"/>
      <c r="M3090" s="169"/>
      <c r="N3090" s="169"/>
      <c r="O3090" s="169">
        <f t="shared" si="127"/>
        <v>0</v>
      </c>
      <c r="P3090" s="169"/>
      <c r="Q3090" s="166">
        <f t="shared" si="126"/>
        <v>0</v>
      </c>
      <c r="R3090" s="207"/>
      <c r="S3090" s="207"/>
      <c r="T3090" s="207"/>
      <c r="U3090" s="207"/>
      <c r="V3090" s="166">
        <f t="shared" si="128"/>
        <v>0</v>
      </c>
      <c r="W3090" s="205"/>
      <c r="X3090" s="167"/>
    </row>
    <row r="3091" spans="8:24" s="221" customFormat="1" ht="12" hidden="1" customHeight="1">
      <c r="H3091" s="207"/>
      <c r="I3091" s="207"/>
      <c r="J3091" s="167"/>
      <c r="K3091" s="167"/>
      <c r="L3091" s="209"/>
      <c r="M3091" s="169"/>
      <c r="N3091" s="169"/>
      <c r="O3091" s="169">
        <f t="shared" si="127"/>
        <v>0</v>
      </c>
      <c r="P3091" s="169"/>
      <c r="Q3091" s="166">
        <f t="shared" si="126"/>
        <v>0</v>
      </c>
      <c r="R3091" s="207"/>
      <c r="S3091" s="207"/>
      <c r="T3091" s="207"/>
      <c r="U3091" s="207"/>
      <c r="V3091" s="166">
        <f t="shared" si="128"/>
        <v>0</v>
      </c>
      <c r="W3091" s="205"/>
      <c r="X3091" s="167"/>
    </row>
    <row r="3092" spans="8:24" s="221" customFormat="1" ht="12" hidden="1" customHeight="1">
      <c r="H3092" s="207"/>
      <c r="I3092" s="207"/>
      <c r="J3092" s="167"/>
      <c r="K3092" s="167"/>
      <c r="L3092" s="209"/>
      <c r="M3092" s="169"/>
      <c r="N3092" s="169"/>
      <c r="O3092" s="169">
        <f t="shared" si="127"/>
        <v>0</v>
      </c>
      <c r="P3092" s="169"/>
      <c r="Q3092" s="166">
        <f t="shared" si="126"/>
        <v>0</v>
      </c>
      <c r="R3092" s="207"/>
      <c r="S3092" s="207"/>
      <c r="T3092" s="207"/>
      <c r="U3092" s="207"/>
      <c r="V3092" s="166">
        <f t="shared" si="128"/>
        <v>0</v>
      </c>
      <c r="W3092" s="205"/>
      <c r="X3092" s="167"/>
    </row>
    <row r="3093" spans="8:24" s="221" customFormat="1" ht="12" hidden="1" customHeight="1">
      <c r="H3093" s="207"/>
      <c r="I3093" s="207"/>
      <c r="J3093" s="167"/>
      <c r="K3093" s="167"/>
      <c r="L3093" s="209"/>
      <c r="M3093" s="169"/>
      <c r="N3093" s="169"/>
      <c r="O3093" s="169">
        <f t="shared" si="127"/>
        <v>0</v>
      </c>
      <c r="P3093" s="169"/>
      <c r="Q3093" s="166">
        <f t="shared" si="126"/>
        <v>0</v>
      </c>
      <c r="R3093" s="207"/>
      <c r="S3093" s="207"/>
      <c r="T3093" s="207"/>
      <c r="U3093" s="207"/>
      <c r="V3093" s="166">
        <f t="shared" si="128"/>
        <v>0</v>
      </c>
      <c r="W3093" s="205"/>
      <c r="X3093" s="167"/>
    </row>
    <row r="3094" spans="8:24" s="221" customFormat="1" ht="12" hidden="1" customHeight="1">
      <c r="H3094" s="207"/>
      <c r="I3094" s="207"/>
      <c r="J3094" s="167"/>
      <c r="K3094" s="167"/>
      <c r="L3094" s="209"/>
      <c r="M3094" s="169"/>
      <c r="N3094" s="169"/>
      <c r="O3094" s="169">
        <f t="shared" si="127"/>
        <v>0</v>
      </c>
      <c r="P3094" s="169"/>
      <c r="Q3094" s="166">
        <f t="shared" si="126"/>
        <v>0</v>
      </c>
      <c r="R3094" s="207"/>
      <c r="S3094" s="207"/>
      <c r="T3094" s="207"/>
      <c r="U3094" s="207"/>
      <c r="V3094" s="166">
        <f t="shared" si="128"/>
        <v>0</v>
      </c>
      <c r="W3094" s="205"/>
      <c r="X3094" s="167"/>
    </row>
    <row r="3095" spans="8:24" s="221" customFormat="1" ht="12" hidden="1" customHeight="1">
      <c r="H3095" s="207"/>
      <c r="I3095" s="207"/>
      <c r="J3095" s="167"/>
      <c r="K3095" s="167"/>
      <c r="L3095" s="209"/>
      <c r="M3095" s="169"/>
      <c r="N3095" s="169"/>
      <c r="O3095" s="169">
        <f t="shared" si="127"/>
        <v>0</v>
      </c>
      <c r="P3095" s="169"/>
      <c r="Q3095" s="166">
        <f t="shared" si="126"/>
        <v>0</v>
      </c>
      <c r="R3095" s="207"/>
      <c r="S3095" s="207"/>
      <c r="T3095" s="207"/>
      <c r="U3095" s="207"/>
      <c r="V3095" s="166">
        <f t="shared" si="128"/>
        <v>0</v>
      </c>
      <c r="W3095" s="205"/>
      <c r="X3095" s="167"/>
    </row>
    <row r="3096" spans="8:24" s="221" customFormat="1" ht="12" hidden="1" customHeight="1">
      <c r="H3096" s="207"/>
      <c r="I3096" s="207"/>
      <c r="J3096" s="167"/>
      <c r="K3096" s="167"/>
      <c r="L3096" s="209"/>
      <c r="M3096" s="169"/>
      <c r="N3096" s="169"/>
      <c r="O3096" s="169">
        <f t="shared" si="127"/>
        <v>0</v>
      </c>
      <c r="P3096" s="169"/>
      <c r="Q3096" s="166">
        <f t="shared" si="126"/>
        <v>0</v>
      </c>
      <c r="R3096" s="207"/>
      <c r="S3096" s="207"/>
      <c r="T3096" s="207"/>
      <c r="U3096" s="207"/>
      <c r="V3096" s="166">
        <f t="shared" si="128"/>
        <v>0</v>
      </c>
      <c r="W3096" s="205"/>
      <c r="X3096" s="167"/>
    </row>
    <row r="3097" spans="8:24" s="221" customFormat="1" ht="12" hidden="1" customHeight="1">
      <c r="H3097" s="207"/>
      <c r="I3097" s="207"/>
      <c r="J3097" s="167"/>
      <c r="K3097" s="167"/>
      <c r="L3097" s="209"/>
      <c r="M3097" s="169"/>
      <c r="N3097" s="169"/>
      <c r="O3097" s="169">
        <f t="shared" si="127"/>
        <v>0</v>
      </c>
      <c r="P3097" s="169"/>
      <c r="Q3097" s="166">
        <f t="shared" si="126"/>
        <v>0</v>
      </c>
      <c r="R3097" s="207"/>
      <c r="S3097" s="207"/>
      <c r="T3097" s="207"/>
      <c r="U3097" s="207"/>
      <c r="V3097" s="166">
        <f t="shared" si="128"/>
        <v>0</v>
      </c>
      <c r="W3097" s="205"/>
      <c r="X3097" s="167"/>
    </row>
    <row r="3098" spans="8:24" s="221" customFormat="1" ht="12" hidden="1" customHeight="1">
      <c r="H3098" s="207"/>
      <c r="I3098" s="207"/>
      <c r="J3098" s="167"/>
      <c r="K3098" s="167"/>
      <c r="L3098" s="209"/>
      <c r="M3098" s="169"/>
      <c r="N3098" s="169"/>
      <c r="O3098" s="169">
        <f t="shared" si="127"/>
        <v>0</v>
      </c>
      <c r="P3098" s="169"/>
      <c r="Q3098" s="166">
        <f t="shared" si="126"/>
        <v>0</v>
      </c>
      <c r="R3098" s="207"/>
      <c r="S3098" s="207"/>
      <c r="T3098" s="207"/>
      <c r="U3098" s="207"/>
      <c r="V3098" s="166">
        <f t="shared" si="128"/>
        <v>0</v>
      </c>
      <c r="W3098" s="205"/>
      <c r="X3098" s="167"/>
    </row>
    <row r="3099" spans="8:24" s="221" customFormat="1" ht="12" hidden="1" customHeight="1">
      <c r="H3099" s="207"/>
      <c r="I3099" s="207"/>
      <c r="J3099" s="167"/>
      <c r="K3099" s="167"/>
      <c r="L3099" s="209"/>
      <c r="M3099" s="169"/>
      <c r="N3099" s="169"/>
      <c r="O3099" s="169">
        <f t="shared" si="127"/>
        <v>0</v>
      </c>
      <c r="P3099" s="169"/>
      <c r="Q3099" s="166">
        <f t="shared" si="126"/>
        <v>0</v>
      </c>
      <c r="R3099" s="207"/>
      <c r="S3099" s="207"/>
      <c r="T3099" s="207"/>
      <c r="U3099" s="207"/>
      <c r="V3099" s="166">
        <f t="shared" si="128"/>
        <v>0</v>
      </c>
      <c r="W3099" s="205"/>
      <c r="X3099" s="167"/>
    </row>
    <row r="3100" spans="8:24" s="221" customFormat="1" ht="12" hidden="1" customHeight="1">
      <c r="H3100" s="207"/>
      <c r="I3100" s="207"/>
      <c r="J3100" s="167"/>
      <c r="K3100" s="167"/>
      <c r="L3100" s="209"/>
      <c r="M3100" s="169"/>
      <c r="N3100" s="169"/>
      <c r="O3100" s="169">
        <f t="shared" si="127"/>
        <v>0</v>
      </c>
      <c r="P3100" s="169"/>
      <c r="Q3100" s="166">
        <f t="shared" si="126"/>
        <v>0</v>
      </c>
      <c r="R3100" s="207"/>
      <c r="S3100" s="207"/>
      <c r="T3100" s="207"/>
      <c r="U3100" s="207"/>
      <c r="V3100" s="166">
        <f t="shared" si="128"/>
        <v>0</v>
      </c>
      <c r="W3100" s="205"/>
      <c r="X3100" s="167"/>
    </row>
    <row r="3101" spans="8:24" s="221" customFormat="1" ht="12" hidden="1" customHeight="1">
      <c r="H3101" s="207"/>
      <c r="I3101" s="207"/>
      <c r="J3101" s="167"/>
      <c r="K3101" s="167"/>
      <c r="L3101" s="209"/>
      <c r="M3101" s="169"/>
      <c r="N3101" s="169"/>
      <c r="O3101" s="169">
        <f t="shared" si="127"/>
        <v>0</v>
      </c>
      <c r="P3101" s="169"/>
      <c r="Q3101" s="166">
        <f t="shared" si="126"/>
        <v>0</v>
      </c>
      <c r="R3101" s="207"/>
      <c r="S3101" s="207"/>
      <c r="T3101" s="207"/>
      <c r="U3101" s="207"/>
      <c r="V3101" s="166">
        <f t="shared" si="128"/>
        <v>0</v>
      </c>
      <c r="W3101" s="205"/>
      <c r="X3101" s="167"/>
    </row>
    <row r="3102" spans="8:24" s="221" customFormat="1" ht="12" hidden="1" customHeight="1">
      <c r="H3102" s="207"/>
      <c r="I3102" s="207"/>
      <c r="J3102" s="167"/>
      <c r="K3102" s="167"/>
      <c r="L3102" s="209"/>
      <c r="M3102" s="169"/>
      <c r="N3102" s="169"/>
      <c r="O3102" s="169">
        <f t="shared" si="127"/>
        <v>0</v>
      </c>
      <c r="P3102" s="169"/>
      <c r="Q3102" s="166">
        <f t="shared" si="126"/>
        <v>0</v>
      </c>
      <c r="R3102" s="207"/>
      <c r="S3102" s="207"/>
      <c r="T3102" s="207"/>
      <c r="U3102" s="207"/>
      <c r="V3102" s="166">
        <f t="shared" si="128"/>
        <v>0</v>
      </c>
      <c r="W3102" s="205"/>
      <c r="X3102" s="167"/>
    </row>
    <row r="3103" spans="8:24" s="221" customFormat="1" ht="12" hidden="1" customHeight="1">
      <c r="H3103" s="207"/>
      <c r="I3103" s="207"/>
      <c r="J3103" s="167"/>
      <c r="K3103" s="167"/>
      <c r="L3103" s="209"/>
      <c r="M3103" s="169"/>
      <c r="N3103" s="169"/>
      <c r="O3103" s="169">
        <f t="shared" si="127"/>
        <v>0</v>
      </c>
      <c r="P3103" s="169"/>
      <c r="Q3103" s="166">
        <f t="shared" si="126"/>
        <v>0</v>
      </c>
      <c r="R3103" s="207"/>
      <c r="S3103" s="207"/>
      <c r="T3103" s="207"/>
      <c r="U3103" s="207"/>
      <c r="V3103" s="166">
        <f t="shared" si="128"/>
        <v>0</v>
      </c>
      <c r="W3103" s="205"/>
      <c r="X3103" s="167"/>
    </row>
    <row r="3104" spans="8:24" s="221" customFormat="1" ht="12" hidden="1" customHeight="1">
      <c r="H3104" s="207"/>
      <c r="I3104" s="207"/>
      <c r="J3104" s="167"/>
      <c r="K3104" s="167"/>
      <c r="L3104" s="209"/>
      <c r="M3104" s="169"/>
      <c r="N3104" s="169"/>
      <c r="O3104" s="169">
        <f t="shared" si="127"/>
        <v>0</v>
      </c>
      <c r="P3104" s="169"/>
      <c r="Q3104" s="166">
        <f t="shared" si="126"/>
        <v>0</v>
      </c>
      <c r="R3104" s="207"/>
      <c r="S3104" s="207"/>
      <c r="T3104" s="207"/>
      <c r="U3104" s="207"/>
      <c r="V3104" s="166">
        <f t="shared" si="128"/>
        <v>0</v>
      </c>
      <c r="W3104" s="205"/>
      <c r="X3104" s="167"/>
    </row>
    <row r="3105" spans="8:24" s="221" customFormat="1" ht="12" hidden="1" customHeight="1">
      <c r="H3105" s="207"/>
      <c r="I3105" s="207"/>
      <c r="J3105" s="167"/>
      <c r="K3105" s="167"/>
      <c r="L3105" s="209"/>
      <c r="M3105" s="169"/>
      <c r="N3105" s="169"/>
      <c r="O3105" s="169">
        <f t="shared" si="127"/>
        <v>0</v>
      </c>
      <c r="P3105" s="169"/>
      <c r="Q3105" s="166">
        <f t="shared" si="126"/>
        <v>0</v>
      </c>
      <c r="R3105" s="207"/>
      <c r="S3105" s="207"/>
      <c r="T3105" s="207"/>
      <c r="U3105" s="207"/>
      <c r="V3105" s="166">
        <f t="shared" si="128"/>
        <v>0</v>
      </c>
      <c r="W3105" s="205"/>
      <c r="X3105" s="167"/>
    </row>
    <row r="3106" spans="8:24" s="221" customFormat="1" ht="12" hidden="1" customHeight="1">
      <c r="H3106" s="207"/>
      <c r="I3106" s="207"/>
      <c r="J3106" s="167"/>
      <c r="K3106" s="167"/>
      <c r="L3106" s="209"/>
      <c r="M3106" s="169"/>
      <c r="N3106" s="169"/>
      <c r="O3106" s="169">
        <f t="shared" si="127"/>
        <v>0</v>
      </c>
      <c r="P3106" s="169"/>
      <c r="Q3106" s="166">
        <f t="shared" si="126"/>
        <v>0</v>
      </c>
      <c r="R3106" s="207"/>
      <c r="S3106" s="207"/>
      <c r="T3106" s="207"/>
      <c r="U3106" s="207"/>
      <c r="V3106" s="166">
        <f t="shared" si="128"/>
        <v>0</v>
      </c>
      <c r="W3106" s="205"/>
      <c r="X3106" s="167"/>
    </row>
    <row r="3107" spans="8:24" s="221" customFormat="1" ht="12" hidden="1" customHeight="1">
      <c r="H3107" s="207"/>
      <c r="I3107" s="207"/>
      <c r="J3107" s="167"/>
      <c r="K3107" s="167"/>
      <c r="L3107" s="209"/>
      <c r="M3107" s="169"/>
      <c r="N3107" s="169"/>
      <c r="O3107" s="169">
        <f t="shared" si="127"/>
        <v>0</v>
      </c>
      <c r="P3107" s="169"/>
      <c r="Q3107" s="166">
        <f t="shared" si="126"/>
        <v>0</v>
      </c>
      <c r="R3107" s="207"/>
      <c r="S3107" s="207"/>
      <c r="T3107" s="207"/>
      <c r="U3107" s="207"/>
      <c r="V3107" s="166">
        <f t="shared" si="128"/>
        <v>0</v>
      </c>
      <c r="W3107" s="205"/>
      <c r="X3107" s="167"/>
    </row>
    <row r="3108" spans="8:24" s="221" customFormat="1" ht="12" hidden="1" customHeight="1">
      <c r="H3108" s="207"/>
      <c r="I3108" s="207"/>
      <c r="J3108" s="167"/>
      <c r="K3108" s="167"/>
      <c r="L3108" s="209"/>
      <c r="M3108" s="169"/>
      <c r="N3108" s="169"/>
      <c r="O3108" s="169">
        <f t="shared" si="127"/>
        <v>0</v>
      </c>
      <c r="P3108" s="169"/>
      <c r="Q3108" s="166">
        <f t="shared" si="126"/>
        <v>0</v>
      </c>
      <c r="R3108" s="207"/>
      <c r="S3108" s="207"/>
      <c r="T3108" s="207"/>
      <c r="U3108" s="207"/>
      <c r="V3108" s="166">
        <f t="shared" si="128"/>
        <v>0</v>
      </c>
      <c r="W3108" s="205"/>
      <c r="X3108" s="167"/>
    </row>
    <row r="3109" spans="8:24" s="221" customFormat="1" ht="12" hidden="1" customHeight="1">
      <c r="H3109" s="207"/>
      <c r="I3109" s="207"/>
      <c r="J3109" s="167"/>
      <c r="K3109" s="167"/>
      <c r="L3109" s="209"/>
      <c r="M3109" s="169"/>
      <c r="N3109" s="169"/>
      <c r="O3109" s="169">
        <f t="shared" si="127"/>
        <v>0</v>
      </c>
      <c r="P3109" s="169"/>
      <c r="Q3109" s="166">
        <f t="shared" si="126"/>
        <v>0</v>
      </c>
      <c r="R3109" s="207"/>
      <c r="S3109" s="207"/>
      <c r="T3109" s="207"/>
      <c r="U3109" s="207"/>
      <c r="V3109" s="166">
        <f t="shared" si="128"/>
        <v>0</v>
      </c>
      <c r="W3109" s="205"/>
      <c r="X3109" s="167"/>
    </row>
    <row r="3110" spans="8:24" s="221" customFormat="1" ht="12" hidden="1" customHeight="1">
      <c r="H3110" s="207"/>
      <c r="I3110" s="207"/>
      <c r="J3110" s="167"/>
      <c r="K3110" s="167"/>
      <c r="L3110" s="209"/>
      <c r="M3110" s="169"/>
      <c r="N3110" s="169"/>
      <c r="O3110" s="169">
        <f t="shared" si="127"/>
        <v>0</v>
      </c>
      <c r="P3110" s="169"/>
      <c r="Q3110" s="166">
        <f t="shared" si="126"/>
        <v>0</v>
      </c>
      <c r="R3110" s="207"/>
      <c r="S3110" s="207"/>
      <c r="T3110" s="207"/>
      <c r="U3110" s="207"/>
      <c r="V3110" s="166">
        <f t="shared" si="128"/>
        <v>0</v>
      </c>
      <c r="W3110" s="205"/>
      <c r="X3110" s="167"/>
    </row>
    <row r="3111" spans="8:24" s="221" customFormat="1" ht="12" hidden="1" customHeight="1">
      <c r="H3111" s="207"/>
      <c r="I3111" s="207"/>
      <c r="J3111" s="167"/>
      <c r="K3111" s="167"/>
      <c r="L3111" s="209"/>
      <c r="M3111" s="169"/>
      <c r="N3111" s="169"/>
      <c r="O3111" s="169">
        <f t="shared" si="127"/>
        <v>0</v>
      </c>
      <c r="P3111" s="169"/>
      <c r="Q3111" s="166">
        <f t="shared" si="126"/>
        <v>0</v>
      </c>
      <c r="R3111" s="207"/>
      <c r="S3111" s="207"/>
      <c r="T3111" s="207"/>
      <c r="U3111" s="207"/>
      <c r="V3111" s="166">
        <f t="shared" si="128"/>
        <v>0</v>
      </c>
      <c r="W3111" s="205"/>
      <c r="X3111" s="167"/>
    </row>
    <row r="3112" spans="8:24" s="221" customFormat="1" ht="12" hidden="1" customHeight="1">
      <c r="H3112" s="207"/>
      <c r="I3112" s="207"/>
      <c r="J3112" s="167"/>
      <c r="K3112" s="167"/>
      <c r="L3112" s="209"/>
      <c r="M3112" s="169"/>
      <c r="N3112" s="169"/>
      <c r="O3112" s="169">
        <f t="shared" si="127"/>
        <v>0</v>
      </c>
      <c r="P3112" s="169"/>
      <c r="Q3112" s="166">
        <f t="shared" si="126"/>
        <v>0</v>
      </c>
      <c r="R3112" s="207"/>
      <c r="S3112" s="207"/>
      <c r="T3112" s="207"/>
      <c r="U3112" s="207"/>
      <c r="V3112" s="166">
        <f t="shared" si="128"/>
        <v>0</v>
      </c>
      <c r="W3112" s="205"/>
      <c r="X3112" s="167"/>
    </row>
    <row r="3113" spans="8:24" s="221" customFormat="1" ht="12" hidden="1" customHeight="1">
      <c r="H3113" s="207"/>
      <c r="I3113" s="207"/>
      <c r="J3113" s="167"/>
      <c r="K3113" s="167"/>
      <c r="L3113" s="209"/>
      <c r="M3113" s="169"/>
      <c r="N3113" s="169"/>
      <c r="O3113" s="169">
        <f t="shared" si="127"/>
        <v>0</v>
      </c>
      <c r="P3113" s="169"/>
      <c r="Q3113" s="166">
        <f t="shared" si="126"/>
        <v>0</v>
      </c>
      <c r="R3113" s="207"/>
      <c r="S3113" s="207"/>
      <c r="T3113" s="207"/>
      <c r="U3113" s="207"/>
      <c r="V3113" s="166">
        <f t="shared" si="128"/>
        <v>0</v>
      </c>
      <c r="W3113" s="205"/>
      <c r="X3113" s="167"/>
    </row>
    <row r="3114" spans="8:24" s="221" customFormat="1" ht="12" hidden="1" customHeight="1">
      <c r="H3114" s="207"/>
      <c r="I3114" s="207"/>
      <c r="J3114" s="167"/>
      <c r="K3114" s="167"/>
      <c r="L3114" s="209"/>
      <c r="M3114" s="169"/>
      <c r="N3114" s="169"/>
      <c r="O3114" s="169">
        <f t="shared" si="127"/>
        <v>0</v>
      </c>
      <c r="P3114" s="169"/>
      <c r="Q3114" s="166">
        <f t="shared" si="126"/>
        <v>0</v>
      </c>
      <c r="R3114" s="207"/>
      <c r="S3114" s="207"/>
      <c r="T3114" s="207"/>
      <c r="U3114" s="207"/>
      <c r="V3114" s="166">
        <f t="shared" si="128"/>
        <v>0</v>
      </c>
      <c r="W3114" s="205"/>
      <c r="X3114" s="167"/>
    </row>
    <row r="3115" spans="8:24" s="221" customFormat="1" ht="12" hidden="1" customHeight="1">
      <c r="H3115" s="207"/>
      <c r="I3115" s="207"/>
      <c r="J3115" s="167"/>
      <c r="K3115" s="167"/>
      <c r="L3115" s="209"/>
      <c r="M3115" s="169"/>
      <c r="N3115" s="169"/>
      <c r="O3115" s="169">
        <f t="shared" si="127"/>
        <v>0</v>
      </c>
      <c r="P3115" s="169"/>
      <c r="Q3115" s="166">
        <f t="shared" si="126"/>
        <v>0</v>
      </c>
      <c r="R3115" s="207"/>
      <c r="S3115" s="207"/>
      <c r="T3115" s="207"/>
      <c r="U3115" s="207"/>
      <c r="V3115" s="166">
        <f t="shared" si="128"/>
        <v>0</v>
      </c>
      <c r="W3115" s="205"/>
      <c r="X3115" s="167"/>
    </row>
    <row r="3116" spans="8:24" s="221" customFormat="1" ht="12" hidden="1" customHeight="1">
      <c r="H3116" s="207"/>
      <c r="I3116" s="207"/>
      <c r="J3116" s="167"/>
      <c r="K3116" s="167"/>
      <c r="L3116" s="209"/>
      <c r="M3116" s="169"/>
      <c r="N3116" s="169"/>
      <c r="O3116" s="169">
        <f t="shared" si="127"/>
        <v>0</v>
      </c>
      <c r="P3116" s="169"/>
      <c r="Q3116" s="166">
        <f t="shared" si="126"/>
        <v>0</v>
      </c>
      <c r="R3116" s="207"/>
      <c r="S3116" s="207"/>
      <c r="T3116" s="207"/>
      <c r="U3116" s="207"/>
      <c r="V3116" s="166">
        <f t="shared" si="128"/>
        <v>0</v>
      </c>
      <c r="W3116" s="205"/>
      <c r="X3116" s="167"/>
    </row>
    <row r="3117" spans="8:24" s="221" customFormat="1" ht="12" hidden="1" customHeight="1">
      <c r="H3117" s="207"/>
      <c r="I3117" s="207"/>
      <c r="J3117" s="167"/>
      <c r="K3117" s="167"/>
      <c r="L3117" s="209"/>
      <c r="M3117" s="169"/>
      <c r="N3117" s="169"/>
      <c r="O3117" s="169">
        <f t="shared" si="127"/>
        <v>0</v>
      </c>
      <c r="P3117" s="169"/>
      <c r="Q3117" s="166">
        <f t="shared" si="126"/>
        <v>0</v>
      </c>
      <c r="R3117" s="207"/>
      <c r="S3117" s="207"/>
      <c r="T3117" s="207"/>
      <c r="U3117" s="207"/>
      <c r="V3117" s="166">
        <f t="shared" si="128"/>
        <v>0</v>
      </c>
      <c r="W3117" s="205"/>
      <c r="X3117" s="167"/>
    </row>
    <row r="3118" spans="8:24" s="221" customFormat="1" ht="12" hidden="1" customHeight="1">
      <c r="H3118" s="207"/>
      <c r="I3118" s="207"/>
      <c r="J3118" s="167"/>
      <c r="K3118" s="167"/>
      <c r="L3118" s="209"/>
      <c r="M3118" s="169"/>
      <c r="N3118" s="169"/>
      <c r="O3118" s="169">
        <f t="shared" si="127"/>
        <v>0</v>
      </c>
      <c r="P3118" s="169"/>
      <c r="Q3118" s="166">
        <f t="shared" si="126"/>
        <v>0</v>
      </c>
      <c r="R3118" s="207"/>
      <c r="S3118" s="207"/>
      <c r="T3118" s="207"/>
      <c r="U3118" s="207"/>
      <c r="V3118" s="166">
        <f t="shared" si="128"/>
        <v>0</v>
      </c>
      <c r="W3118" s="205"/>
      <c r="X3118" s="167"/>
    </row>
    <row r="3119" spans="8:24" s="221" customFormat="1" ht="12" hidden="1" customHeight="1">
      <c r="H3119" s="207"/>
      <c r="I3119" s="207"/>
      <c r="J3119" s="167"/>
      <c r="K3119" s="167"/>
      <c r="L3119" s="209"/>
      <c r="M3119" s="169"/>
      <c r="N3119" s="169"/>
      <c r="O3119" s="169">
        <f t="shared" si="127"/>
        <v>0</v>
      </c>
      <c r="P3119" s="169"/>
      <c r="Q3119" s="166">
        <f t="shared" ref="Q3119:Q3182" si="129">IF(W3119="",M3119*P3119*$Q$3*$W$3,M3119*P3119*$Q$3*W3119)</f>
        <v>0</v>
      </c>
      <c r="R3119" s="207"/>
      <c r="S3119" s="207"/>
      <c r="T3119" s="207"/>
      <c r="U3119" s="207"/>
      <c r="V3119" s="166">
        <f t="shared" si="128"/>
        <v>0</v>
      </c>
      <c r="W3119" s="205"/>
      <c r="X3119" s="167"/>
    </row>
    <row r="3120" spans="8:24" s="221" customFormat="1" ht="12" hidden="1" customHeight="1">
      <c r="H3120" s="207"/>
      <c r="I3120" s="207"/>
      <c r="J3120" s="167"/>
      <c r="K3120" s="167"/>
      <c r="L3120" s="209"/>
      <c r="M3120" s="169"/>
      <c r="N3120" s="169"/>
      <c r="O3120" s="169">
        <f t="shared" si="127"/>
        <v>0</v>
      </c>
      <c r="P3120" s="169"/>
      <c r="Q3120" s="166">
        <f t="shared" si="129"/>
        <v>0</v>
      </c>
      <c r="R3120" s="207"/>
      <c r="S3120" s="207"/>
      <c r="T3120" s="207"/>
      <c r="U3120" s="207"/>
      <c r="V3120" s="166">
        <f t="shared" si="128"/>
        <v>0</v>
      </c>
      <c r="W3120" s="205"/>
      <c r="X3120" s="167"/>
    </row>
    <row r="3121" spans="8:24" s="221" customFormat="1" ht="12" hidden="1" customHeight="1">
      <c r="H3121" s="207"/>
      <c r="I3121" s="207"/>
      <c r="J3121" s="167"/>
      <c r="K3121" s="167"/>
      <c r="L3121" s="209"/>
      <c r="M3121" s="169"/>
      <c r="N3121" s="169"/>
      <c r="O3121" s="169">
        <f t="shared" si="127"/>
        <v>0</v>
      </c>
      <c r="P3121" s="169"/>
      <c r="Q3121" s="166">
        <f t="shared" si="129"/>
        <v>0</v>
      </c>
      <c r="R3121" s="207"/>
      <c r="S3121" s="207"/>
      <c r="T3121" s="207"/>
      <c r="U3121" s="207"/>
      <c r="V3121" s="166">
        <f t="shared" si="128"/>
        <v>0</v>
      </c>
      <c r="W3121" s="205"/>
      <c r="X3121" s="167"/>
    </row>
    <row r="3122" spans="8:24" s="221" customFormat="1" ht="12" hidden="1" customHeight="1">
      <c r="H3122" s="207"/>
      <c r="I3122" s="207"/>
      <c r="J3122" s="167"/>
      <c r="K3122" s="167"/>
      <c r="L3122" s="209"/>
      <c r="M3122" s="169"/>
      <c r="N3122" s="169"/>
      <c r="O3122" s="169">
        <f t="shared" si="127"/>
        <v>0</v>
      </c>
      <c r="P3122" s="169"/>
      <c r="Q3122" s="166">
        <f t="shared" si="129"/>
        <v>0</v>
      </c>
      <c r="R3122" s="207"/>
      <c r="S3122" s="207"/>
      <c r="T3122" s="207"/>
      <c r="U3122" s="207"/>
      <c r="V3122" s="166">
        <f t="shared" si="128"/>
        <v>0</v>
      </c>
      <c r="W3122" s="205"/>
      <c r="X3122" s="167"/>
    </row>
    <row r="3123" spans="8:24" s="221" customFormat="1" ht="12" hidden="1" customHeight="1">
      <c r="H3123" s="207"/>
      <c r="I3123" s="207"/>
      <c r="J3123" s="167"/>
      <c r="K3123" s="167"/>
      <c r="L3123" s="209"/>
      <c r="M3123" s="169"/>
      <c r="N3123" s="169"/>
      <c r="O3123" s="169">
        <f t="shared" si="127"/>
        <v>0</v>
      </c>
      <c r="P3123" s="169"/>
      <c r="Q3123" s="166">
        <f t="shared" si="129"/>
        <v>0</v>
      </c>
      <c r="R3123" s="207"/>
      <c r="S3123" s="207"/>
      <c r="T3123" s="207"/>
      <c r="U3123" s="207"/>
      <c r="V3123" s="166">
        <f t="shared" si="128"/>
        <v>0</v>
      </c>
      <c r="W3123" s="205"/>
      <c r="X3123" s="167"/>
    </row>
    <row r="3124" spans="8:24" s="221" customFormat="1" ht="12" hidden="1" customHeight="1">
      <c r="H3124" s="207"/>
      <c r="I3124" s="207"/>
      <c r="J3124" s="167"/>
      <c r="K3124" s="167"/>
      <c r="L3124" s="209"/>
      <c r="M3124" s="169"/>
      <c r="N3124" s="169"/>
      <c r="O3124" s="169">
        <f t="shared" si="127"/>
        <v>0</v>
      </c>
      <c r="P3124" s="169"/>
      <c r="Q3124" s="166">
        <f t="shared" si="129"/>
        <v>0</v>
      </c>
      <c r="R3124" s="207"/>
      <c r="S3124" s="207"/>
      <c r="T3124" s="207"/>
      <c r="U3124" s="207"/>
      <c r="V3124" s="166">
        <f t="shared" si="128"/>
        <v>0</v>
      </c>
      <c r="W3124" s="205"/>
      <c r="X3124" s="167"/>
    </row>
    <row r="3125" spans="8:24" s="221" customFormat="1" ht="12" hidden="1" customHeight="1">
      <c r="H3125" s="207"/>
      <c r="I3125" s="207"/>
      <c r="J3125" s="167"/>
      <c r="K3125" s="167"/>
      <c r="L3125" s="209"/>
      <c r="M3125" s="169"/>
      <c r="N3125" s="169"/>
      <c r="O3125" s="169">
        <f t="shared" si="127"/>
        <v>0</v>
      </c>
      <c r="P3125" s="169"/>
      <c r="Q3125" s="166">
        <f t="shared" si="129"/>
        <v>0</v>
      </c>
      <c r="R3125" s="207"/>
      <c r="S3125" s="207"/>
      <c r="T3125" s="207"/>
      <c r="U3125" s="207"/>
      <c r="V3125" s="166">
        <f t="shared" si="128"/>
        <v>0</v>
      </c>
      <c r="W3125" s="205"/>
      <c r="X3125" s="167"/>
    </row>
    <row r="3126" spans="8:24" s="221" customFormat="1" ht="12" hidden="1" customHeight="1">
      <c r="H3126" s="207"/>
      <c r="I3126" s="207"/>
      <c r="J3126" s="167"/>
      <c r="K3126" s="167"/>
      <c r="L3126" s="209"/>
      <c r="M3126" s="169"/>
      <c r="N3126" s="169"/>
      <c r="O3126" s="169">
        <f t="shared" si="127"/>
        <v>0</v>
      </c>
      <c r="P3126" s="169"/>
      <c r="Q3126" s="166">
        <f t="shared" si="129"/>
        <v>0</v>
      </c>
      <c r="R3126" s="207"/>
      <c r="S3126" s="207"/>
      <c r="T3126" s="207"/>
      <c r="U3126" s="207"/>
      <c r="V3126" s="166">
        <f t="shared" si="128"/>
        <v>0</v>
      </c>
      <c r="W3126" s="205"/>
      <c r="X3126" s="167"/>
    </row>
    <row r="3127" spans="8:24" s="221" customFormat="1" ht="12" hidden="1" customHeight="1">
      <c r="H3127" s="207"/>
      <c r="I3127" s="207"/>
      <c r="J3127" s="167"/>
      <c r="K3127" s="167"/>
      <c r="L3127" s="209"/>
      <c r="M3127" s="169"/>
      <c r="N3127" s="169"/>
      <c r="O3127" s="169">
        <f t="shared" si="127"/>
        <v>0</v>
      </c>
      <c r="P3127" s="169"/>
      <c r="Q3127" s="166">
        <f t="shared" si="129"/>
        <v>0</v>
      </c>
      <c r="R3127" s="207"/>
      <c r="S3127" s="207"/>
      <c r="T3127" s="207"/>
      <c r="U3127" s="207"/>
      <c r="V3127" s="166">
        <f t="shared" si="128"/>
        <v>0</v>
      </c>
      <c r="W3127" s="205"/>
      <c r="X3127" s="167"/>
    </row>
    <row r="3128" spans="8:24" s="221" customFormat="1" ht="12" hidden="1" customHeight="1">
      <c r="H3128" s="207"/>
      <c r="I3128" s="207"/>
      <c r="J3128" s="167"/>
      <c r="K3128" s="167"/>
      <c r="L3128" s="209"/>
      <c r="M3128" s="169"/>
      <c r="N3128" s="169"/>
      <c r="O3128" s="169">
        <f t="shared" si="127"/>
        <v>0</v>
      </c>
      <c r="P3128" s="169"/>
      <c r="Q3128" s="166">
        <f t="shared" si="129"/>
        <v>0</v>
      </c>
      <c r="R3128" s="207"/>
      <c r="S3128" s="207"/>
      <c r="T3128" s="207"/>
      <c r="U3128" s="207"/>
      <c r="V3128" s="166">
        <f t="shared" si="128"/>
        <v>0</v>
      </c>
      <c r="W3128" s="205"/>
      <c r="X3128" s="167"/>
    </row>
    <row r="3129" spans="8:24" s="221" customFormat="1" ht="12" hidden="1" customHeight="1">
      <c r="H3129" s="207"/>
      <c r="I3129" s="207"/>
      <c r="J3129" s="167"/>
      <c r="K3129" s="167"/>
      <c r="L3129" s="209"/>
      <c r="M3129" s="169"/>
      <c r="N3129" s="169"/>
      <c r="O3129" s="169">
        <f t="shared" si="127"/>
        <v>0</v>
      </c>
      <c r="P3129" s="169"/>
      <c r="Q3129" s="166">
        <f t="shared" si="129"/>
        <v>0</v>
      </c>
      <c r="R3129" s="207"/>
      <c r="S3129" s="207"/>
      <c r="T3129" s="207"/>
      <c r="U3129" s="207"/>
      <c r="V3129" s="166">
        <f t="shared" si="128"/>
        <v>0</v>
      </c>
      <c r="W3129" s="205"/>
      <c r="X3129" s="167"/>
    </row>
    <row r="3130" spans="8:24" s="221" customFormat="1" ht="12" hidden="1" customHeight="1">
      <c r="H3130" s="207"/>
      <c r="I3130" s="207"/>
      <c r="J3130" s="167"/>
      <c r="K3130" s="167"/>
      <c r="L3130" s="209"/>
      <c r="M3130" s="169"/>
      <c r="N3130" s="169"/>
      <c r="O3130" s="169">
        <f t="shared" si="127"/>
        <v>0</v>
      </c>
      <c r="P3130" s="169"/>
      <c r="Q3130" s="166">
        <f t="shared" si="129"/>
        <v>0</v>
      </c>
      <c r="R3130" s="207"/>
      <c r="S3130" s="207"/>
      <c r="T3130" s="207"/>
      <c r="U3130" s="207"/>
      <c r="V3130" s="166">
        <f t="shared" si="128"/>
        <v>0</v>
      </c>
      <c r="W3130" s="205"/>
      <c r="X3130" s="167"/>
    </row>
    <row r="3131" spans="8:24" s="221" customFormat="1" ht="12" hidden="1" customHeight="1">
      <c r="H3131" s="207"/>
      <c r="I3131" s="207"/>
      <c r="J3131" s="167"/>
      <c r="K3131" s="167"/>
      <c r="L3131" s="209"/>
      <c r="M3131" s="169"/>
      <c r="N3131" s="169"/>
      <c r="O3131" s="169">
        <f t="shared" si="127"/>
        <v>0</v>
      </c>
      <c r="P3131" s="169"/>
      <c r="Q3131" s="166">
        <f t="shared" si="129"/>
        <v>0</v>
      </c>
      <c r="R3131" s="207"/>
      <c r="S3131" s="207"/>
      <c r="T3131" s="207"/>
      <c r="U3131" s="207"/>
      <c r="V3131" s="166">
        <f t="shared" si="128"/>
        <v>0</v>
      </c>
      <c r="W3131" s="205"/>
      <c r="X3131" s="167"/>
    </row>
    <row r="3132" spans="8:24" s="221" customFormat="1" ht="12" hidden="1" customHeight="1">
      <c r="H3132" s="207"/>
      <c r="I3132" s="207"/>
      <c r="J3132" s="167"/>
      <c r="K3132" s="167"/>
      <c r="L3132" s="209"/>
      <c r="M3132" s="169"/>
      <c r="N3132" s="169"/>
      <c r="O3132" s="169">
        <f t="shared" ref="O3132:O3195" si="130">M3132*N3132*$O$3</f>
        <v>0</v>
      </c>
      <c r="P3132" s="169"/>
      <c r="Q3132" s="166">
        <f t="shared" si="129"/>
        <v>0</v>
      </c>
      <c r="R3132" s="207"/>
      <c r="S3132" s="207"/>
      <c r="T3132" s="207"/>
      <c r="U3132" s="207"/>
      <c r="V3132" s="166">
        <f t="shared" si="128"/>
        <v>0</v>
      </c>
      <c r="W3132" s="205"/>
      <c r="X3132" s="167"/>
    </row>
    <row r="3133" spans="8:24" s="221" customFormat="1" ht="12" hidden="1" customHeight="1">
      <c r="H3133" s="207"/>
      <c r="I3133" s="207"/>
      <c r="J3133" s="167"/>
      <c r="K3133" s="167"/>
      <c r="L3133" s="209"/>
      <c r="M3133" s="169"/>
      <c r="N3133" s="169"/>
      <c r="O3133" s="169">
        <f t="shared" si="130"/>
        <v>0</v>
      </c>
      <c r="P3133" s="169"/>
      <c r="Q3133" s="166">
        <f t="shared" si="129"/>
        <v>0</v>
      </c>
      <c r="R3133" s="207"/>
      <c r="S3133" s="207"/>
      <c r="T3133" s="207"/>
      <c r="U3133" s="207"/>
      <c r="V3133" s="166">
        <f t="shared" si="128"/>
        <v>0</v>
      </c>
      <c r="W3133" s="205"/>
      <c r="X3133" s="167"/>
    </row>
    <row r="3134" spans="8:24" s="221" customFormat="1" ht="12" hidden="1" customHeight="1">
      <c r="H3134" s="207"/>
      <c r="I3134" s="207"/>
      <c r="J3134" s="167"/>
      <c r="K3134" s="167"/>
      <c r="L3134" s="209"/>
      <c r="M3134" s="169"/>
      <c r="N3134" s="169"/>
      <c r="O3134" s="169">
        <f t="shared" si="130"/>
        <v>0</v>
      </c>
      <c r="P3134" s="169"/>
      <c r="Q3134" s="166">
        <f t="shared" si="129"/>
        <v>0</v>
      </c>
      <c r="R3134" s="207"/>
      <c r="S3134" s="207"/>
      <c r="T3134" s="207"/>
      <c r="U3134" s="207"/>
      <c r="V3134" s="166">
        <f t="shared" si="128"/>
        <v>0</v>
      </c>
      <c r="W3134" s="205"/>
      <c r="X3134" s="167"/>
    </row>
    <row r="3135" spans="8:24" s="221" customFormat="1" ht="12" hidden="1" customHeight="1">
      <c r="H3135" s="207"/>
      <c r="I3135" s="207"/>
      <c r="J3135" s="167"/>
      <c r="K3135" s="167"/>
      <c r="L3135" s="209"/>
      <c r="M3135" s="169"/>
      <c r="N3135" s="169"/>
      <c r="O3135" s="169">
        <f t="shared" si="130"/>
        <v>0</v>
      </c>
      <c r="P3135" s="169"/>
      <c r="Q3135" s="166">
        <f t="shared" si="129"/>
        <v>0</v>
      </c>
      <c r="R3135" s="207"/>
      <c r="S3135" s="207"/>
      <c r="T3135" s="207"/>
      <c r="U3135" s="207"/>
      <c r="V3135" s="166">
        <f t="shared" ref="V3135:V3198" si="131">SUM(O3135+Q3135)+S3135+U3135</f>
        <v>0</v>
      </c>
      <c r="W3135" s="205"/>
      <c r="X3135" s="167"/>
    </row>
    <row r="3136" spans="8:24" s="221" customFormat="1" ht="12" hidden="1" customHeight="1">
      <c r="H3136" s="207"/>
      <c r="I3136" s="207"/>
      <c r="J3136" s="167"/>
      <c r="K3136" s="167"/>
      <c r="L3136" s="209"/>
      <c r="M3136" s="169"/>
      <c r="N3136" s="169"/>
      <c r="O3136" s="169">
        <f t="shared" si="130"/>
        <v>0</v>
      </c>
      <c r="P3136" s="169"/>
      <c r="Q3136" s="166">
        <f t="shared" si="129"/>
        <v>0</v>
      </c>
      <c r="R3136" s="207"/>
      <c r="S3136" s="207"/>
      <c r="T3136" s="207"/>
      <c r="U3136" s="207"/>
      <c r="V3136" s="166">
        <f t="shared" si="131"/>
        <v>0</v>
      </c>
      <c r="W3136" s="205"/>
      <c r="X3136" s="167"/>
    </row>
    <row r="3137" spans="8:24" s="221" customFormat="1" ht="12" hidden="1" customHeight="1">
      <c r="H3137" s="207"/>
      <c r="I3137" s="207"/>
      <c r="J3137" s="167"/>
      <c r="K3137" s="167"/>
      <c r="L3137" s="209"/>
      <c r="M3137" s="169"/>
      <c r="N3137" s="169"/>
      <c r="O3137" s="169">
        <f t="shared" si="130"/>
        <v>0</v>
      </c>
      <c r="P3137" s="169"/>
      <c r="Q3137" s="166">
        <f t="shared" si="129"/>
        <v>0</v>
      </c>
      <c r="R3137" s="207"/>
      <c r="S3137" s="207"/>
      <c r="T3137" s="207"/>
      <c r="U3137" s="207"/>
      <c r="V3137" s="166">
        <f t="shared" si="131"/>
        <v>0</v>
      </c>
      <c r="W3137" s="205"/>
      <c r="X3137" s="167"/>
    </row>
    <row r="3138" spans="8:24" s="221" customFormat="1" ht="12" hidden="1" customHeight="1">
      <c r="H3138" s="207"/>
      <c r="I3138" s="207"/>
      <c r="J3138" s="167"/>
      <c r="K3138" s="167"/>
      <c r="L3138" s="209"/>
      <c r="M3138" s="169"/>
      <c r="N3138" s="169"/>
      <c r="O3138" s="169">
        <f t="shared" si="130"/>
        <v>0</v>
      </c>
      <c r="P3138" s="169"/>
      <c r="Q3138" s="166">
        <f t="shared" si="129"/>
        <v>0</v>
      </c>
      <c r="R3138" s="207"/>
      <c r="S3138" s="207"/>
      <c r="T3138" s="207"/>
      <c r="U3138" s="207"/>
      <c r="V3138" s="166">
        <f t="shared" si="131"/>
        <v>0</v>
      </c>
      <c r="W3138" s="205"/>
      <c r="X3138" s="167"/>
    </row>
    <row r="3139" spans="8:24" s="221" customFormat="1" ht="12" hidden="1" customHeight="1">
      <c r="H3139" s="207"/>
      <c r="I3139" s="207"/>
      <c r="J3139" s="167"/>
      <c r="K3139" s="167"/>
      <c r="L3139" s="209"/>
      <c r="M3139" s="169"/>
      <c r="N3139" s="169"/>
      <c r="O3139" s="169">
        <f t="shared" si="130"/>
        <v>0</v>
      </c>
      <c r="P3139" s="169"/>
      <c r="Q3139" s="166">
        <f t="shared" si="129"/>
        <v>0</v>
      </c>
      <c r="R3139" s="207"/>
      <c r="S3139" s="207"/>
      <c r="T3139" s="207"/>
      <c r="U3139" s="207"/>
      <c r="V3139" s="166">
        <f t="shared" si="131"/>
        <v>0</v>
      </c>
      <c r="W3139" s="205"/>
      <c r="X3139" s="167"/>
    </row>
    <row r="3140" spans="8:24" s="221" customFormat="1" ht="12" hidden="1" customHeight="1">
      <c r="H3140" s="207"/>
      <c r="I3140" s="207"/>
      <c r="J3140" s="167"/>
      <c r="K3140" s="167"/>
      <c r="L3140" s="209"/>
      <c r="M3140" s="169"/>
      <c r="N3140" s="169"/>
      <c r="O3140" s="169">
        <f t="shared" si="130"/>
        <v>0</v>
      </c>
      <c r="P3140" s="169"/>
      <c r="Q3140" s="166">
        <f t="shared" si="129"/>
        <v>0</v>
      </c>
      <c r="R3140" s="207"/>
      <c r="S3140" s="207"/>
      <c r="T3140" s="207"/>
      <c r="U3140" s="207"/>
      <c r="V3140" s="166">
        <f t="shared" si="131"/>
        <v>0</v>
      </c>
      <c r="W3140" s="205"/>
      <c r="X3140" s="167"/>
    </row>
    <row r="3141" spans="8:24" s="221" customFormat="1" ht="12" hidden="1" customHeight="1">
      <c r="H3141" s="207"/>
      <c r="I3141" s="207"/>
      <c r="J3141" s="167"/>
      <c r="K3141" s="167"/>
      <c r="L3141" s="209"/>
      <c r="M3141" s="169"/>
      <c r="N3141" s="169"/>
      <c r="O3141" s="169">
        <f t="shared" si="130"/>
        <v>0</v>
      </c>
      <c r="P3141" s="169"/>
      <c r="Q3141" s="166">
        <f t="shared" si="129"/>
        <v>0</v>
      </c>
      <c r="R3141" s="207"/>
      <c r="S3141" s="207"/>
      <c r="T3141" s="207"/>
      <c r="U3141" s="207"/>
      <c r="V3141" s="166">
        <f t="shared" si="131"/>
        <v>0</v>
      </c>
      <c r="W3141" s="205"/>
      <c r="X3141" s="167"/>
    </row>
    <row r="3142" spans="8:24" s="221" customFormat="1" ht="12" hidden="1" customHeight="1">
      <c r="H3142" s="207"/>
      <c r="I3142" s="207"/>
      <c r="J3142" s="167"/>
      <c r="K3142" s="167"/>
      <c r="L3142" s="209"/>
      <c r="M3142" s="169"/>
      <c r="N3142" s="169"/>
      <c r="O3142" s="169">
        <f t="shared" si="130"/>
        <v>0</v>
      </c>
      <c r="P3142" s="169"/>
      <c r="Q3142" s="166">
        <f t="shared" si="129"/>
        <v>0</v>
      </c>
      <c r="R3142" s="207"/>
      <c r="S3142" s="207"/>
      <c r="T3142" s="207"/>
      <c r="U3142" s="207"/>
      <c r="V3142" s="166">
        <f t="shared" si="131"/>
        <v>0</v>
      </c>
      <c r="W3142" s="205"/>
      <c r="X3142" s="167"/>
    </row>
    <row r="3143" spans="8:24" s="221" customFormat="1" ht="12" hidden="1" customHeight="1">
      <c r="H3143" s="207"/>
      <c r="I3143" s="207"/>
      <c r="J3143" s="167"/>
      <c r="K3143" s="167"/>
      <c r="L3143" s="209"/>
      <c r="M3143" s="169"/>
      <c r="N3143" s="169"/>
      <c r="O3143" s="169">
        <f t="shared" si="130"/>
        <v>0</v>
      </c>
      <c r="P3143" s="169"/>
      <c r="Q3143" s="166">
        <f t="shared" si="129"/>
        <v>0</v>
      </c>
      <c r="R3143" s="207"/>
      <c r="S3143" s="207"/>
      <c r="T3143" s="207"/>
      <c r="U3143" s="207"/>
      <c r="V3143" s="166">
        <f t="shared" si="131"/>
        <v>0</v>
      </c>
      <c r="W3143" s="205"/>
      <c r="X3143" s="167"/>
    </row>
    <row r="3144" spans="8:24" s="221" customFormat="1" ht="12" hidden="1" customHeight="1">
      <c r="H3144" s="207"/>
      <c r="I3144" s="207"/>
      <c r="J3144" s="167"/>
      <c r="K3144" s="167"/>
      <c r="L3144" s="209"/>
      <c r="M3144" s="169"/>
      <c r="N3144" s="169"/>
      <c r="O3144" s="169">
        <f t="shared" si="130"/>
        <v>0</v>
      </c>
      <c r="P3144" s="169"/>
      <c r="Q3144" s="166">
        <f t="shared" si="129"/>
        <v>0</v>
      </c>
      <c r="R3144" s="207"/>
      <c r="S3144" s="207"/>
      <c r="T3144" s="207"/>
      <c r="U3144" s="207"/>
      <c r="V3144" s="166">
        <f t="shared" si="131"/>
        <v>0</v>
      </c>
      <c r="W3144" s="205"/>
      <c r="X3144" s="167"/>
    </row>
    <row r="3145" spans="8:24" s="221" customFormat="1" ht="12" hidden="1" customHeight="1">
      <c r="H3145" s="207"/>
      <c r="I3145" s="207"/>
      <c r="J3145" s="167"/>
      <c r="K3145" s="167"/>
      <c r="L3145" s="209"/>
      <c r="M3145" s="169"/>
      <c r="N3145" s="169"/>
      <c r="O3145" s="169">
        <f t="shared" si="130"/>
        <v>0</v>
      </c>
      <c r="P3145" s="169"/>
      <c r="Q3145" s="166">
        <f t="shared" si="129"/>
        <v>0</v>
      </c>
      <c r="R3145" s="207"/>
      <c r="S3145" s="207"/>
      <c r="T3145" s="207"/>
      <c r="U3145" s="207"/>
      <c r="V3145" s="166">
        <f t="shared" si="131"/>
        <v>0</v>
      </c>
      <c r="W3145" s="205"/>
      <c r="X3145" s="167"/>
    </row>
    <row r="3146" spans="8:24" s="221" customFormat="1" ht="12" hidden="1" customHeight="1">
      <c r="H3146" s="207"/>
      <c r="I3146" s="207"/>
      <c r="J3146" s="167"/>
      <c r="K3146" s="167"/>
      <c r="L3146" s="209"/>
      <c r="M3146" s="169"/>
      <c r="N3146" s="169"/>
      <c r="O3146" s="169">
        <f t="shared" si="130"/>
        <v>0</v>
      </c>
      <c r="P3146" s="169"/>
      <c r="Q3146" s="166">
        <f t="shared" si="129"/>
        <v>0</v>
      </c>
      <c r="R3146" s="207"/>
      <c r="S3146" s="207"/>
      <c r="T3146" s="207"/>
      <c r="U3146" s="207"/>
      <c r="V3146" s="166">
        <f t="shared" si="131"/>
        <v>0</v>
      </c>
      <c r="W3146" s="205"/>
      <c r="X3146" s="167"/>
    </row>
    <row r="3147" spans="8:24" s="221" customFormat="1" ht="12" hidden="1" customHeight="1">
      <c r="H3147" s="207"/>
      <c r="I3147" s="207"/>
      <c r="J3147" s="167"/>
      <c r="K3147" s="167"/>
      <c r="L3147" s="209"/>
      <c r="M3147" s="169"/>
      <c r="N3147" s="169"/>
      <c r="O3147" s="169">
        <f t="shared" si="130"/>
        <v>0</v>
      </c>
      <c r="P3147" s="169"/>
      <c r="Q3147" s="166">
        <f t="shared" si="129"/>
        <v>0</v>
      </c>
      <c r="R3147" s="207"/>
      <c r="S3147" s="207"/>
      <c r="T3147" s="207"/>
      <c r="U3147" s="207"/>
      <c r="V3147" s="166">
        <f t="shared" si="131"/>
        <v>0</v>
      </c>
      <c r="W3147" s="205"/>
      <c r="X3147" s="167"/>
    </row>
    <row r="3148" spans="8:24" s="221" customFormat="1" ht="12" hidden="1" customHeight="1">
      <c r="H3148" s="207"/>
      <c r="I3148" s="207"/>
      <c r="J3148" s="167"/>
      <c r="K3148" s="167"/>
      <c r="L3148" s="209"/>
      <c r="M3148" s="169"/>
      <c r="N3148" s="169"/>
      <c r="O3148" s="169">
        <f t="shared" si="130"/>
        <v>0</v>
      </c>
      <c r="P3148" s="169"/>
      <c r="Q3148" s="166">
        <f t="shared" si="129"/>
        <v>0</v>
      </c>
      <c r="R3148" s="207"/>
      <c r="S3148" s="207"/>
      <c r="T3148" s="207"/>
      <c r="U3148" s="207"/>
      <c r="V3148" s="166">
        <f t="shared" si="131"/>
        <v>0</v>
      </c>
      <c r="W3148" s="205"/>
      <c r="X3148" s="167"/>
    </row>
    <row r="3149" spans="8:24" s="221" customFormat="1" ht="12" hidden="1" customHeight="1">
      <c r="H3149" s="207"/>
      <c r="I3149" s="207"/>
      <c r="J3149" s="167"/>
      <c r="K3149" s="167"/>
      <c r="L3149" s="209"/>
      <c r="M3149" s="169"/>
      <c r="N3149" s="169"/>
      <c r="O3149" s="169">
        <f t="shared" si="130"/>
        <v>0</v>
      </c>
      <c r="P3149" s="169"/>
      <c r="Q3149" s="166">
        <f t="shared" si="129"/>
        <v>0</v>
      </c>
      <c r="R3149" s="207"/>
      <c r="S3149" s="207"/>
      <c r="T3149" s="207"/>
      <c r="U3149" s="207"/>
      <c r="V3149" s="166">
        <f t="shared" si="131"/>
        <v>0</v>
      </c>
      <c r="W3149" s="205"/>
      <c r="X3149" s="167"/>
    </row>
    <row r="3150" spans="8:24" s="221" customFormat="1" ht="12" hidden="1" customHeight="1">
      <c r="H3150" s="207"/>
      <c r="I3150" s="207"/>
      <c r="J3150" s="167"/>
      <c r="K3150" s="167"/>
      <c r="L3150" s="209"/>
      <c r="M3150" s="169"/>
      <c r="N3150" s="169"/>
      <c r="O3150" s="169">
        <f t="shared" si="130"/>
        <v>0</v>
      </c>
      <c r="P3150" s="169"/>
      <c r="Q3150" s="166">
        <f t="shared" si="129"/>
        <v>0</v>
      </c>
      <c r="R3150" s="207"/>
      <c r="S3150" s="207"/>
      <c r="T3150" s="207"/>
      <c r="U3150" s="207"/>
      <c r="V3150" s="166">
        <f t="shared" si="131"/>
        <v>0</v>
      </c>
      <c r="W3150" s="205"/>
      <c r="X3150" s="167"/>
    </row>
    <row r="3151" spans="8:24" s="221" customFormat="1" ht="12" hidden="1" customHeight="1">
      <c r="H3151" s="207"/>
      <c r="I3151" s="207"/>
      <c r="J3151" s="167"/>
      <c r="K3151" s="167"/>
      <c r="L3151" s="209"/>
      <c r="M3151" s="169"/>
      <c r="N3151" s="169"/>
      <c r="O3151" s="169">
        <f t="shared" si="130"/>
        <v>0</v>
      </c>
      <c r="P3151" s="169"/>
      <c r="Q3151" s="166">
        <f t="shared" si="129"/>
        <v>0</v>
      </c>
      <c r="R3151" s="207"/>
      <c r="S3151" s="207"/>
      <c r="T3151" s="207"/>
      <c r="U3151" s="207"/>
      <c r="V3151" s="166">
        <f t="shared" si="131"/>
        <v>0</v>
      </c>
      <c r="W3151" s="205"/>
      <c r="X3151" s="167"/>
    </row>
    <row r="3152" spans="8:24" s="221" customFormat="1" ht="12" hidden="1" customHeight="1">
      <c r="H3152" s="207"/>
      <c r="I3152" s="207"/>
      <c r="J3152" s="167"/>
      <c r="K3152" s="167"/>
      <c r="L3152" s="209"/>
      <c r="M3152" s="169"/>
      <c r="N3152" s="169"/>
      <c r="O3152" s="169">
        <f t="shared" si="130"/>
        <v>0</v>
      </c>
      <c r="P3152" s="169"/>
      <c r="Q3152" s="166">
        <f t="shared" si="129"/>
        <v>0</v>
      </c>
      <c r="R3152" s="207"/>
      <c r="S3152" s="207"/>
      <c r="T3152" s="207"/>
      <c r="U3152" s="207"/>
      <c r="V3152" s="166">
        <f t="shared" si="131"/>
        <v>0</v>
      </c>
      <c r="W3152" s="205"/>
      <c r="X3152" s="167"/>
    </row>
    <row r="3153" spans="8:24" s="221" customFormat="1" ht="12" hidden="1" customHeight="1">
      <c r="H3153" s="207"/>
      <c r="I3153" s="207"/>
      <c r="J3153" s="167"/>
      <c r="K3153" s="167"/>
      <c r="L3153" s="209"/>
      <c r="M3153" s="169"/>
      <c r="N3153" s="169"/>
      <c r="O3153" s="169">
        <f t="shared" si="130"/>
        <v>0</v>
      </c>
      <c r="P3153" s="169"/>
      <c r="Q3153" s="166">
        <f t="shared" si="129"/>
        <v>0</v>
      </c>
      <c r="R3153" s="207"/>
      <c r="S3153" s="207"/>
      <c r="T3153" s="207"/>
      <c r="U3153" s="207"/>
      <c r="V3153" s="166">
        <f t="shared" si="131"/>
        <v>0</v>
      </c>
      <c r="W3153" s="205"/>
      <c r="X3153" s="167"/>
    </row>
    <row r="3154" spans="8:24" s="221" customFormat="1" ht="12" hidden="1" customHeight="1">
      <c r="H3154" s="207"/>
      <c r="I3154" s="207"/>
      <c r="J3154" s="167"/>
      <c r="K3154" s="167"/>
      <c r="L3154" s="209"/>
      <c r="M3154" s="169"/>
      <c r="N3154" s="169"/>
      <c r="O3154" s="169">
        <f t="shared" si="130"/>
        <v>0</v>
      </c>
      <c r="P3154" s="169"/>
      <c r="Q3154" s="166">
        <f t="shared" si="129"/>
        <v>0</v>
      </c>
      <c r="R3154" s="207"/>
      <c r="S3154" s="207"/>
      <c r="T3154" s="207"/>
      <c r="U3154" s="207"/>
      <c r="V3154" s="166">
        <f t="shared" si="131"/>
        <v>0</v>
      </c>
      <c r="W3154" s="205"/>
      <c r="X3154" s="167"/>
    </row>
    <row r="3155" spans="8:24" s="221" customFormat="1" ht="12" hidden="1" customHeight="1">
      <c r="H3155" s="207"/>
      <c r="I3155" s="207"/>
      <c r="J3155" s="167"/>
      <c r="K3155" s="167"/>
      <c r="L3155" s="209"/>
      <c r="M3155" s="169"/>
      <c r="N3155" s="169"/>
      <c r="O3155" s="169">
        <f t="shared" si="130"/>
        <v>0</v>
      </c>
      <c r="P3155" s="169"/>
      <c r="Q3155" s="166">
        <f t="shared" si="129"/>
        <v>0</v>
      </c>
      <c r="R3155" s="207"/>
      <c r="S3155" s="207"/>
      <c r="T3155" s="207"/>
      <c r="U3155" s="207"/>
      <c r="V3155" s="166">
        <f t="shared" si="131"/>
        <v>0</v>
      </c>
      <c r="W3155" s="205"/>
      <c r="X3155" s="167"/>
    </row>
    <row r="3156" spans="8:24" s="221" customFormat="1" ht="12" hidden="1" customHeight="1">
      <c r="H3156" s="207"/>
      <c r="I3156" s="207"/>
      <c r="J3156" s="167"/>
      <c r="K3156" s="167"/>
      <c r="L3156" s="209"/>
      <c r="M3156" s="169"/>
      <c r="N3156" s="169"/>
      <c r="O3156" s="169">
        <f t="shared" si="130"/>
        <v>0</v>
      </c>
      <c r="P3156" s="169"/>
      <c r="Q3156" s="166">
        <f t="shared" si="129"/>
        <v>0</v>
      </c>
      <c r="R3156" s="207"/>
      <c r="S3156" s="207"/>
      <c r="T3156" s="207"/>
      <c r="U3156" s="207"/>
      <c r="V3156" s="166">
        <f t="shared" si="131"/>
        <v>0</v>
      </c>
      <c r="W3156" s="205"/>
      <c r="X3156" s="167"/>
    </row>
    <row r="3157" spans="8:24" s="221" customFormat="1" ht="12" hidden="1" customHeight="1">
      <c r="H3157" s="207"/>
      <c r="I3157" s="207"/>
      <c r="J3157" s="167"/>
      <c r="K3157" s="167"/>
      <c r="L3157" s="209"/>
      <c r="M3157" s="169"/>
      <c r="N3157" s="169"/>
      <c r="O3157" s="169">
        <f t="shared" si="130"/>
        <v>0</v>
      </c>
      <c r="P3157" s="169"/>
      <c r="Q3157" s="166">
        <f t="shared" si="129"/>
        <v>0</v>
      </c>
      <c r="R3157" s="207"/>
      <c r="S3157" s="207"/>
      <c r="T3157" s="207"/>
      <c r="U3157" s="207"/>
      <c r="V3157" s="166">
        <f t="shared" si="131"/>
        <v>0</v>
      </c>
      <c r="W3157" s="205"/>
      <c r="X3157" s="167"/>
    </row>
    <row r="3158" spans="8:24" s="221" customFormat="1" ht="12" hidden="1" customHeight="1">
      <c r="H3158" s="207"/>
      <c r="I3158" s="207"/>
      <c r="J3158" s="167"/>
      <c r="K3158" s="167"/>
      <c r="L3158" s="209"/>
      <c r="M3158" s="169"/>
      <c r="N3158" s="169"/>
      <c r="O3158" s="169">
        <f t="shared" si="130"/>
        <v>0</v>
      </c>
      <c r="P3158" s="169"/>
      <c r="Q3158" s="166">
        <f t="shared" si="129"/>
        <v>0</v>
      </c>
      <c r="R3158" s="207"/>
      <c r="S3158" s="207"/>
      <c r="T3158" s="207"/>
      <c r="U3158" s="207"/>
      <c r="V3158" s="166">
        <f t="shared" si="131"/>
        <v>0</v>
      </c>
      <c r="W3158" s="205"/>
      <c r="X3158" s="167"/>
    </row>
    <row r="3159" spans="8:24" s="221" customFormat="1" ht="12" hidden="1" customHeight="1">
      <c r="H3159" s="207"/>
      <c r="I3159" s="207"/>
      <c r="J3159" s="167"/>
      <c r="K3159" s="167"/>
      <c r="L3159" s="209"/>
      <c r="M3159" s="169"/>
      <c r="N3159" s="169"/>
      <c r="O3159" s="169">
        <f t="shared" si="130"/>
        <v>0</v>
      </c>
      <c r="P3159" s="169"/>
      <c r="Q3159" s="166">
        <f t="shared" si="129"/>
        <v>0</v>
      </c>
      <c r="R3159" s="207"/>
      <c r="S3159" s="207"/>
      <c r="T3159" s="207"/>
      <c r="U3159" s="207"/>
      <c r="V3159" s="166">
        <f t="shared" si="131"/>
        <v>0</v>
      </c>
      <c r="W3159" s="205"/>
      <c r="X3159" s="167"/>
    </row>
    <row r="3160" spans="8:24" s="221" customFormat="1" ht="12" hidden="1" customHeight="1">
      <c r="H3160" s="207"/>
      <c r="I3160" s="207"/>
      <c r="J3160" s="167"/>
      <c r="K3160" s="167"/>
      <c r="L3160" s="209"/>
      <c r="M3160" s="169"/>
      <c r="N3160" s="169"/>
      <c r="O3160" s="169">
        <f t="shared" si="130"/>
        <v>0</v>
      </c>
      <c r="P3160" s="169"/>
      <c r="Q3160" s="166">
        <f t="shared" si="129"/>
        <v>0</v>
      </c>
      <c r="R3160" s="207"/>
      <c r="S3160" s="207"/>
      <c r="T3160" s="207"/>
      <c r="U3160" s="207"/>
      <c r="V3160" s="166">
        <f t="shared" si="131"/>
        <v>0</v>
      </c>
      <c r="W3160" s="205"/>
      <c r="X3160" s="167"/>
    </row>
    <row r="3161" spans="8:24" s="221" customFormat="1" ht="12" hidden="1" customHeight="1">
      <c r="H3161" s="207"/>
      <c r="I3161" s="207"/>
      <c r="J3161" s="167"/>
      <c r="K3161" s="167"/>
      <c r="L3161" s="209"/>
      <c r="M3161" s="169"/>
      <c r="N3161" s="169"/>
      <c r="O3161" s="169">
        <f t="shared" si="130"/>
        <v>0</v>
      </c>
      <c r="P3161" s="169"/>
      <c r="Q3161" s="166">
        <f t="shared" si="129"/>
        <v>0</v>
      </c>
      <c r="R3161" s="207"/>
      <c r="S3161" s="207"/>
      <c r="T3161" s="207"/>
      <c r="U3161" s="207"/>
      <c r="V3161" s="166">
        <f t="shared" si="131"/>
        <v>0</v>
      </c>
      <c r="W3161" s="205"/>
      <c r="X3161" s="167"/>
    </row>
    <row r="3162" spans="8:24" s="221" customFormat="1" ht="12" hidden="1" customHeight="1">
      <c r="H3162" s="207"/>
      <c r="I3162" s="207"/>
      <c r="J3162" s="167"/>
      <c r="K3162" s="167"/>
      <c r="L3162" s="209"/>
      <c r="M3162" s="169"/>
      <c r="N3162" s="169"/>
      <c r="O3162" s="169">
        <f t="shared" si="130"/>
        <v>0</v>
      </c>
      <c r="P3162" s="169"/>
      <c r="Q3162" s="166">
        <f t="shared" si="129"/>
        <v>0</v>
      </c>
      <c r="R3162" s="207"/>
      <c r="S3162" s="207"/>
      <c r="T3162" s="207"/>
      <c r="U3162" s="207"/>
      <c r="V3162" s="166">
        <f t="shared" si="131"/>
        <v>0</v>
      </c>
      <c r="W3162" s="205"/>
      <c r="X3162" s="167"/>
    </row>
    <row r="3163" spans="8:24" s="221" customFormat="1" ht="12" hidden="1" customHeight="1">
      <c r="H3163" s="207"/>
      <c r="I3163" s="207"/>
      <c r="J3163" s="167"/>
      <c r="K3163" s="167"/>
      <c r="L3163" s="209"/>
      <c r="M3163" s="169"/>
      <c r="N3163" s="169"/>
      <c r="O3163" s="169">
        <f t="shared" si="130"/>
        <v>0</v>
      </c>
      <c r="P3163" s="169"/>
      <c r="Q3163" s="166">
        <f t="shared" si="129"/>
        <v>0</v>
      </c>
      <c r="R3163" s="207"/>
      <c r="S3163" s="207"/>
      <c r="T3163" s="207"/>
      <c r="U3163" s="207"/>
      <c r="V3163" s="166">
        <f t="shared" si="131"/>
        <v>0</v>
      </c>
      <c r="W3163" s="205"/>
      <c r="X3163" s="167"/>
    </row>
    <row r="3164" spans="8:24" s="221" customFormat="1" ht="12" hidden="1" customHeight="1">
      <c r="H3164" s="207"/>
      <c r="I3164" s="207"/>
      <c r="J3164" s="167"/>
      <c r="K3164" s="167"/>
      <c r="L3164" s="209"/>
      <c r="M3164" s="169"/>
      <c r="N3164" s="169"/>
      <c r="O3164" s="169">
        <f t="shared" si="130"/>
        <v>0</v>
      </c>
      <c r="P3164" s="169"/>
      <c r="Q3164" s="166">
        <f t="shared" si="129"/>
        <v>0</v>
      </c>
      <c r="R3164" s="207"/>
      <c r="S3164" s="207"/>
      <c r="T3164" s="207"/>
      <c r="U3164" s="207"/>
      <c r="V3164" s="166">
        <f t="shared" si="131"/>
        <v>0</v>
      </c>
      <c r="W3164" s="205"/>
      <c r="X3164" s="167"/>
    </row>
    <row r="3165" spans="8:24" s="221" customFormat="1" ht="12" hidden="1" customHeight="1">
      <c r="H3165" s="207"/>
      <c r="I3165" s="207"/>
      <c r="J3165" s="167"/>
      <c r="K3165" s="167"/>
      <c r="L3165" s="209"/>
      <c r="M3165" s="169"/>
      <c r="N3165" s="169"/>
      <c r="O3165" s="169">
        <f t="shared" si="130"/>
        <v>0</v>
      </c>
      <c r="P3165" s="169"/>
      <c r="Q3165" s="166">
        <f t="shared" si="129"/>
        <v>0</v>
      </c>
      <c r="R3165" s="207"/>
      <c r="S3165" s="207"/>
      <c r="T3165" s="207"/>
      <c r="U3165" s="207"/>
      <c r="V3165" s="166">
        <f t="shared" si="131"/>
        <v>0</v>
      </c>
      <c r="W3165" s="205"/>
      <c r="X3165" s="167"/>
    </row>
    <row r="3166" spans="8:24" s="221" customFormat="1" ht="12" hidden="1" customHeight="1">
      <c r="H3166" s="207"/>
      <c r="I3166" s="207"/>
      <c r="J3166" s="167"/>
      <c r="K3166" s="167"/>
      <c r="L3166" s="209"/>
      <c r="M3166" s="169"/>
      <c r="N3166" s="169"/>
      <c r="O3166" s="169">
        <f t="shared" si="130"/>
        <v>0</v>
      </c>
      <c r="P3166" s="169"/>
      <c r="Q3166" s="166">
        <f t="shared" si="129"/>
        <v>0</v>
      </c>
      <c r="R3166" s="207"/>
      <c r="S3166" s="207"/>
      <c r="T3166" s="207"/>
      <c r="U3166" s="207"/>
      <c r="V3166" s="166">
        <f t="shared" si="131"/>
        <v>0</v>
      </c>
      <c r="W3166" s="205"/>
      <c r="X3166" s="167"/>
    </row>
    <row r="3167" spans="8:24" s="221" customFormat="1" ht="12" hidden="1" customHeight="1">
      <c r="H3167" s="207"/>
      <c r="I3167" s="207"/>
      <c r="J3167" s="167"/>
      <c r="K3167" s="167"/>
      <c r="L3167" s="209"/>
      <c r="M3167" s="169"/>
      <c r="N3167" s="169"/>
      <c r="O3167" s="169">
        <f t="shared" si="130"/>
        <v>0</v>
      </c>
      <c r="P3167" s="169"/>
      <c r="Q3167" s="166">
        <f t="shared" si="129"/>
        <v>0</v>
      </c>
      <c r="R3167" s="207"/>
      <c r="S3167" s="207"/>
      <c r="T3167" s="207"/>
      <c r="U3167" s="207"/>
      <c r="V3167" s="166">
        <f t="shared" si="131"/>
        <v>0</v>
      </c>
      <c r="W3167" s="205"/>
      <c r="X3167" s="167"/>
    </row>
    <row r="3168" spans="8:24" s="221" customFormat="1" ht="12" hidden="1" customHeight="1">
      <c r="H3168" s="207"/>
      <c r="I3168" s="207"/>
      <c r="J3168" s="167"/>
      <c r="K3168" s="167"/>
      <c r="L3168" s="209"/>
      <c r="M3168" s="169"/>
      <c r="N3168" s="169"/>
      <c r="O3168" s="169">
        <f t="shared" si="130"/>
        <v>0</v>
      </c>
      <c r="P3168" s="169"/>
      <c r="Q3168" s="166">
        <f t="shared" si="129"/>
        <v>0</v>
      </c>
      <c r="R3168" s="207"/>
      <c r="S3168" s="207"/>
      <c r="T3168" s="207"/>
      <c r="U3168" s="207"/>
      <c r="V3168" s="166">
        <f t="shared" si="131"/>
        <v>0</v>
      </c>
      <c r="W3168" s="205"/>
      <c r="X3168" s="167"/>
    </row>
    <row r="3169" spans="8:24" s="221" customFormat="1" ht="12" hidden="1" customHeight="1">
      <c r="H3169" s="207"/>
      <c r="I3169" s="207"/>
      <c r="J3169" s="167"/>
      <c r="K3169" s="167"/>
      <c r="L3169" s="209"/>
      <c r="M3169" s="169"/>
      <c r="N3169" s="169"/>
      <c r="O3169" s="169">
        <f t="shared" si="130"/>
        <v>0</v>
      </c>
      <c r="P3169" s="169"/>
      <c r="Q3169" s="166">
        <f t="shared" si="129"/>
        <v>0</v>
      </c>
      <c r="R3169" s="207"/>
      <c r="S3169" s="207"/>
      <c r="T3169" s="207"/>
      <c r="U3169" s="207"/>
      <c r="V3169" s="166">
        <f t="shared" si="131"/>
        <v>0</v>
      </c>
      <c r="W3169" s="205"/>
      <c r="X3169" s="167"/>
    </row>
    <row r="3170" spans="8:24" s="221" customFormat="1" ht="12" hidden="1" customHeight="1">
      <c r="H3170" s="207"/>
      <c r="I3170" s="207"/>
      <c r="J3170" s="167"/>
      <c r="K3170" s="167"/>
      <c r="L3170" s="209"/>
      <c r="M3170" s="169"/>
      <c r="N3170" s="169"/>
      <c r="O3170" s="169">
        <f t="shared" si="130"/>
        <v>0</v>
      </c>
      <c r="P3170" s="169"/>
      <c r="Q3170" s="166">
        <f t="shared" si="129"/>
        <v>0</v>
      </c>
      <c r="R3170" s="207"/>
      <c r="S3170" s="207"/>
      <c r="T3170" s="207"/>
      <c r="U3170" s="207"/>
      <c r="V3170" s="166">
        <f t="shared" si="131"/>
        <v>0</v>
      </c>
      <c r="W3170" s="205"/>
      <c r="X3170" s="167"/>
    </row>
    <row r="3171" spans="8:24" s="221" customFormat="1" ht="12" hidden="1" customHeight="1">
      <c r="H3171" s="207"/>
      <c r="I3171" s="207"/>
      <c r="J3171" s="167"/>
      <c r="K3171" s="167"/>
      <c r="L3171" s="209"/>
      <c r="M3171" s="169"/>
      <c r="N3171" s="169"/>
      <c r="O3171" s="169">
        <f t="shared" si="130"/>
        <v>0</v>
      </c>
      <c r="P3171" s="169"/>
      <c r="Q3171" s="166">
        <f t="shared" si="129"/>
        <v>0</v>
      </c>
      <c r="R3171" s="207"/>
      <c r="S3171" s="207"/>
      <c r="T3171" s="207"/>
      <c r="U3171" s="207"/>
      <c r="V3171" s="166">
        <f t="shared" si="131"/>
        <v>0</v>
      </c>
      <c r="W3171" s="205"/>
      <c r="X3171" s="167"/>
    </row>
    <row r="3172" spans="8:24" s="221" customFormat="1" ht="12" hidden="1" customHeight="1">
      <c r="H3172" s="207"/>
      <c r="I3172" s="207"/>
      <c r="J3172" s="167"/>
      <c r="K3172" s="167"/>
      <c r="L3172" s="209"/>
      <c r="M3172" s="169"/>
      <c r="N3172" s="169"/>
      <c r="O3172" s="169">
        <f t="shared" si="130"/>
        <v>0</v>
      </c>
      <c r="P3172" s="169"/>
      <c r="Q3172" s="166">
        <f t="shared" si="129"/>
        <v>0</v>
      </c>
      <c r="R3172" s="207"/>
      <c r="S3172" s="207"/>
      <c r="T3172" s="207"/>
      <c r="U3172" s="207"/>
      <c r="V3172" s="166">
        <f t="shared" si="131"/>
        <v>0</v>
      </c>
      <c r="W3172" s="205"/>
      <c r="X3172" s="167"/>
    </row>
    <row r="3173" spans="8:24" s="221" customFormat="1" ht="12" hidden="1" customHeight="1">
      <c r="H3173" s="207"/>
      <c r="I3173" s="207"/>
      <c r="J3173" s="167"/>
      <c r="K3173" s="167"/>
      <c r="L3173" s="209"/>
      <c r="M3173" s="169"/>
      <c r="N3173" s="169"/>
      <c r="O3173" s="169">
        <f t="shared" si="130"/>
        <v>0</v>
      </c>
      <c r="P3173" s="169"/>
      <c r="Q3173" s="166">
        <f t="shared" si="129"/>
        <v>0</v>
      </c>
      <c r="R3173" s="207"/>
      <c r="S3173" s="207"/>
      <c r="T3173" s="207"/>
      <c r="U3173" s="207"/>
      <c r="V3173" s="166">
        <f t="shared" si="131"/>
        <v>0</v>
      </c>
      <c r="W3173" s="205"/>
      <c r="X3173" s="167"/>
    </row>
    <row r="3174" spans="8:24" s="221" customFormat="1" ht="12" hidden="1" customHeight="1">
      <c r="H3174" s="207"/>
      <c r="I3174" s="207"/>
      <c r="J3174" s="167"/>
      <c r="K3174" s="167"/>
      <c r="L3174" s="209"/>
      <c r="M3174" s="169"/>
      <c r="N3174" s="169"/>
      <c r="O3174" s="169">
        <f t="shared" si="130"/>
        <v>0</v>
      </c>
      <c r="P3174" s="169"/>
      <c r="Q3174" s="166">
        <f t="shared" si="129"/>
        <v>0</v>
      </c>
      <c r="R3174" s="207"/>
      <c r="S3174" s="207"/>
      <c r="T3174" s="207"/>
      <c r="U3174" s="207"/>
      <c r="V3174" s="166">
        <f t="shared" si="131"/>
        <v>0</v>
      </c>
      <c r="W3174" s="205"/>
      <c r="X3174" s="167"/>
    </row>
    <row r="3175" spans="8:24" s="221" customFormat="1" ht="12" hidden="1" customHeight="1">
      <c r="H3175" s="207"/>
      <c r="I3175" s="207"/>
      <c r="J3175" s="167"/>
      <c r="K3175" s="167"/>
      <c r="L3175" s="209"/>
      <c r="M3175" s="169"/>
      <c r="N3175" s="169"/>
      <c r="O3175" s="169">
        <f t="shared" si="130"/>
        <v>0</v>
      </c>
      <c r="P3175" s="169"/>
      <c r="Q3175" s="166">
        <f t="shared" si="129"/>
        <v>0</v>
      </c>
      <c r="R3175" s="207"/>
      <c r="S3175" s="207"/>
      <c r="T3175" s="207"/>
      <c r="U3175" s="207"/>
      <c r="V3175" s="166">
        <f t="shared" si="131"/>
        <v>0</v>
      </c>
      <c r="W3175" s="205"/>
      <c r="X3175" s="167"/>
    </row>
    <row r="3176" spans="8:24" s="221" customFormat="1" ht="12" hidden="1" customHeight="1">
      <c r="H3176" s="207"/>
      <c r="I3176" s="207"/>
      <c r="J3176" s="167"/>
      <c r="K3176" s="167"/>
      <c r="L3176" s="209"/>
      <c r="M3176" s="169"/>
      <c r="N3176" s="169"/>
      <c r="O3176" s="169">
        <f t="shared" si="130"/>
        <v>0</v>
      </c>
      <c r="P3176" s="169"/>
      <c r="Q3176" s="166">
        <f t="shared" si="129"/>
        <v>0</v>
      </c>
      <c r="R3176" s="207"/>
      <c r="S3176" s="207"/>
      <c r="T3176" s="207"/>
      <c r="U3176" s="207"/>
      <c r="V3176" s="166">
        <f t="shared" si="131"/>
        <v>0</v>
      </c>
      <c r="W3176" s="205"/>
      <c r="X3176" s="167"/>
    </row>
    <row r="3177" spans="8:24" s="221" customFormat="1" ht="12" hidden="1" customHeight="1">
      <c r="H3177" s="207"/>
      <c r="I3177" s="207"/>
      <c r="J3177" s="167"/>
      <c r="K3177" s="167"/>
      <c r="L3177" s="209"/>
      <c r="M3177" s="169"/>
      <c r="N3177" s="169"/>
      <c r="O3177" s="169">
        <f t="shared" si="130"/>
        <v>0</v>
      </c>
      <c r="P3177" s="169"/>
      <c r="Q3177" s="166">
        <f t="shared" si="129"/>
        <v>0</v>
      </c>
      <c r="R3177" s="207"/>
      <c r="S3177" s="207"/>
      <c r="T3177" s="207"/>
      <c r="U3177" s="207"/>
      <c r="V3177" s="166">
        <f t="shared" si="131"/>
        <v>0</v>
      </c>
      <c r="W3177" s="205"/>
      <c r="X3177" s="167"/>
    </row>
    <row r="3178" spans="8:24" s="221" customFormat="1" ht="12" hidden="1" customHeight="1">
      <c r="H3178" s="207"/>
      <c r="I3178" s="207"/>
      <c r="J3178" s="167"/>
      <c r="K3178" s="167"/>
      <c r="L3178" s="209"/>
      <c r="M3178" s="169"/>
      <c r="N3178" s="169"/>
      <c r="O3178" s="169">
        <f t="shared" si="130"/>
        <v>0</v>
      </c>
      <c r="P3178" s="169"/>
      <c r="Q3178" s="166">
        <f t="shared" si="129"/>
        <v>0</v>
      </c>
      <c r="R3178" s="207"/>
      <c r="S3178" s="207"/>
      <c r="T3178" s="207"/>
      <c r="U3178" s="207"/>
      <c r="V3178" s="166">
        <f t="shared" si="131"/>
        <v>0</v>
      </c>
      <c r="W3178" s="205"/>
      <c r="X3178" s="167"/>
    </row>
    <row r="3179" spans="8:24" s="221" customFormat="1" ht="12" hidden="1" customHeight="1">
      <c r="H3179" s="207"/>
      <c r="I3179" s="207"/>
      <c r="J3179" s="167"/>
      <c r="K3179" s="167"/>
      <c r="L3179" s="209"/>
      <c r="M3179" s="169"/>
      <c r="N3179" s="169"/>
      <c r="O3179" s="169">
        <f t="shared" si="130"/>
        <v>0</v>
      </c>
      <c r="P3179" s="169"/>
      <c r="Q3179" s="166">
        <f t="shared" si="129"/>
        <v>0</v>
      </c>
      <c r="R3179" s="207"/>
      <c r="S3179" s="207"/>
      <c r="T3179" s="207"/>
      <c r="U3179" s="207"/>
      <c r="V3179" s="166">
        <f t="shared" si="131"/>
        <v>0</v>
      </c>
      <c r="W3179" s="205"/>
      <c r="X3179" s="167"/>
    </row>
    <row r="3180" spans="8:24" s="221" customFormat="1" ht="12" hidden="1" customHeight="1">
      <c r="H3180" s="207"/>
      <c r="I3180" s="207"/>
      <c r="J3180" s="167"/>
      <c r="K3180" s="167"/>
      <c r="L3180" s="209"/>
      <c r="M3180" s="169"/>
      <c r="N3180" s="169"/>
      <c r="O3180" s="169">
        <f t="shared" si="130"/>
        <v>0</v>
      </c>
      <c r="P3180" s="169"/>
      <c r="Q3180" s="166">
        <f t="shared" si="129"/>
        <v>0</v>
      </c>
      <c r="R3180" s="207"/>
      <c r="S3180" s="207"/>
      <c r="T3180" s="207"/>
      <c r="U3180" s="207"/>
      <c r="V3180" s="166">
        <f t="shared" si="131"/>
        <v>0</v>
      </c>
      <c r="W3180" s="205"/>
      <c r="X3180" s="167"/>
    </row>
    <row r="3181" spans="8:24" s="221" customFormat="1" ht="12" hidden="1" customHeight="1">
      <c r="H3181" s="207"/>
      <c r="I3181" s="207"/>
      <c r="J3181" s="167"/>
      <c r="K3181" s="167"/>
      <c r="L3181" s="209"/>
      <c r="M3181" s="169"/>
      <c r="N3181" s="169"/>
      <c r="O3181" s="169">
        <f t="shared" si="130"/>
        <v>0</v>
      </c>
      <c r="P3181" s="169"/>
      <c r="Q3181" s="166">
        <f t="shared" si="129"/>
        <v>0</v>
      </c>
      <c r="R3181" s="207"/>
      <c r="S3181" s="207"/>
      <c r="T3181" s="207"/>
      <c r="U3181" s="207"/>
      <c r="V3181" s="166">
        <f t="shared" si="131"/>
        <v>0</v>
      </c>
      <c r="W3181" s="205"/>
      <c r="X3181" s="167"/>
    </row>
    <row r="3182" spans="8:24" s="221" customFormat="1" ht="12" hidden="1" customHeight="1">
      <c r="H3182" s="207"/>
      <c r="I3182" s="207"/>
      <c r="J3182" s="167"/>
      <c r="K3182" s="167"/>
      <c r="L3182" s="209"/>
      <c r="M3182" s="169"/>
      <c r="N3182" s="169"/>
      <c r="O3182" s="169">
        <f t="shared" si="130"/>
        <v>0</v>
      </c>
      <c r="P3182" s="169"/>
      <c r="Q3182" s="166">
        <f t="shared" si="129"/>
        <v>0</v>
      </c>
      <c r="R3182" s="207"/>
      <c r="S3182" s="207"/>
      <c r="T3182" s="207"/>
      <c r="U3182" s="207"/>
      <c r="V3182" s="166">
        <f t="shared" si="131"/>
        <v>0</v>
      </c>
      <c r="W3182" s="205"/>
      <c r="X3182" s="167"/>
    </row>
    <row r="3183" spans="8:24" s="221" customFormat="1" ht="12" hidden="1" customHeight="1">
      <c r="H3183" s="207"/>
      <c r="I3183" s="207"/>
      <c r="J3183" s="167"/>
      <c r="K3183" s="167"/>
      <c r="L3183" s="209"/>
      <c r="M3183" s="169"/>
      <c r="N3183" s="169"/>
      <c r="O3183" s="169">
        <f t="shared" si="130"/>
        <v>0</v>
      </c>
      <c r="P3183" s="169"/>
      <c r="Q3183" s="166">
        <f t="shared" ref="Q3183:Q3246" si="132">IF(W3183="",M3183*P3183*$Q$3*$W$3,M3183*P3183*$Q$3*W3183)</f>
        <v>0</v>
      </c>
      <c r="R3183" s="207"/>
      <c r="S3183" s="207"/>
      <c r="T3183" s="207"/>
      <c r="U3183" s="207"/>
      <c r="V3183" s="166">
        <f t="shared" si="131"/>
        <v>0</v>
      </c>
      <c r="W3183" s="205"/>
      <c r="X3183" s="167"/>
    </row>
    <row r="3184" spans="8:24" s="221" customFormat="1" ht="12" hidden="1" customHeight="1">
      <c r="H3184" s="207"/>
      <c r="I3184" s="207"/>
      <c r="J3184" s="167"/>
      <c r="K3184" s="167"/>
      <c r="L3184" s="209"/>
      <c r="M3184" s="169"/>
      <c r="N3184" s="169"/>
      <c r="O3184" s="169">
        <f t="shared" si="130"/>
        <v>0</v>
      </c>
      <c r="P3184" s="169"/>
      <c r="Q3184" s="166">
        <f t="shared" si="132"/>
        <v>0</v>
      </c>
      <c r="R3184" s="207"/>
      <c r="S3184" s="207"/>
      <c r="T3184" s="207"/>
      <c r="U3184" s="207"/>
      <c r="V3184" s="166">
        <f t="shared" si="131"/>
        <v>0</v>
      </c>
      <c r="W3184" s="205"/>
      <c r="X3184" s="167"/>
    </row>
    <row r="3185" spans="8:24" s="221" customFormat="1" ht="12" hidden="1" customHeight="1">
      <c r="H3185" s="207"/>
      <c r="I3185" s="207"/>
      <c r="J3185" s="167"/>
      <c r="K3185" s="167"/>
      <c r="L3185" s="209"/>
      <c r="M3185" s="169"/>
      <c r="N3185" s="169"/>
      <c r="O3185" s="169">
        <f t="shared" si="130"/>
        <v>0</v>
      </c>
      <c r="P3185" s="169"/>
      <c r="Q3185" s="166">
        <f t="shared" si="132"/>
        <v>0</v>
      </c>
      <c r="R3185" s="207"/>
      <c r="S3185" s="207"/>
      <c r="T3185" s="207"/>
      <c r="U3185" s="207"/>
      <c r="V3185" s="166">
        <f t="shared" si="131"/>
        <v>0</v>
      </c>
      <c r="W3185" s="205"/>
      <c r="X3185" s="167"/>
    </row>
    <row r="3186" spans="8:24" s="221" customFormat="1" ht="12" hidden="1" customHeight="1">
      <c r="H3186" s="207"/>
      <c r="I3186" s="207"/>
      <c r="J3186" s="167"/>
      <c r="K3186" s="167"/>
      <c r="L3186" s="209"/>
      <c r="M3186" s="169"/>
      <c r="N3186" s="169"/>
      <c r="O3186" s="169">
        <f t="shared" si="130"/>
        <v>0</v>
      </c>
      <c r="P3186" s="169"/>
      <c r="Q3186" s="166">
        <f t="shared" si="132"/>
        <v>0</v>
      </c>
      <c r="R3186" s="207"/>
      <c r="S3186" s="207"/>
      <c r="T3186" s="207"/>
      <c r="U3186" s="207"/>
      <c r="V3186" s="166">
        <f t="shared" si="131"/>
        <v>0</v>
      </c>
      <c r="W3186" s="205"/>
      <c r="X3186" s="167"/>
    </row>
    <row r="3187" spans="8:24" s="221" customFormat="1" ht="12" hidden="1" customHeight="1">
      <c r="H3187" s="207"/>
      <c r="I3187" s="207"/>
      <c r="J3187" s="167"/>
      <c r="K3187" s="167"/>
      <c r="L3187" s="209"/>
      <c r="M3187" s="169"/>
      <c r="N3187" s="169"/>
      <c r="O3187" s="169">
        <f t="shared" si="130"/>
        <v>0</v>
      </c>
      <c r="P3187" s="169"/>
      <c r="Q3187" s="166">
        <f t="shared" si="132"/>
        <v>0</v>
      </c>
      <c r="R3187" s="207"/>
      <c r="S3187" s="207"/>
      <c r="T3187" s="207"/>
      <c r="U3187" s="207"/>
      <c r="V3187" s="166">
        <f t="shared" si="131"/>
        <v>0</v>
      </c>
      <c r="W3187" s="205"/>
      <c r="X3187" s="167"/>
    </row>
    <row r="3188" spans="8:24" s="221" customFormat="1" ht="12" hidden="1" customHeight="1">
      <c r="H3188" s="207"/>
      <c r="I3188" s="207"/>
      <c r="J3188" s="167"/>
      <c r="K3188" s="167"/>
      <c r="L3188" s="209"/>
      <c r="M3188" s="169"/>
      <c r="N3188" s="169"/>
      <c r="O3188" s="169">
        <f t="shared" si="130"/>
        <v>0</v>
      </c>
      <c r="P3188" s="169"/>
      <c r="Q3188" s="166">
        <f t="shared" si="132"/>
        <v>0</v>
      </c>
      <c r="R3188" s="207"/>
      <c r="S3188" s="207"/>
      <c r="T3188" s="207"/>
      <c r="U3188" s="207"/>
      <c r="V3188" s="166">
        <f t="shared" si="131"/>
        <v>0</v>
      </c>
      <c r="W3188" s="205"/>
      <c r="X3188" s="167"/>
    </row>
    <row r="3189" spans="8:24" s="221" customFormat="1" ht="12" hidden="1" customHeight="1">
      <c r="H3189" s="207"/>
      <c r="I3189" s="207"/>
      <c r="J3189" s="167"/>
      <c r="K3189" s="167"/>
      <c r="L3189" s="209"/>
      <c r="M3189" s="169"/>
      <c r="N3189" s="169"/>
      <c r="O3189" s="169">
        <f t="shared" si="130"/>
        <v>0</v>
      </c>
      <c r="P3189" s="169"/>
      <c r="Q3189" s="166">
        <f t="shared" si="132"/>
        <v>0</v>
      </c>
      <c r="R3189" s="207"/>
      <c r="S3189" s="207"/>
      <c r="T3189" s="207"/>
      <c r="U3189" s="207"/>
      <c r="V3189" s="166">
        <f t="shared" si="131"/>
        <v>0</v>
      </c>
      <c r="W3189" s="205"/>
      <c r="X3189" s="167"/>
    </row>
    <row r="3190" spans="8:24" s="221" customFormat="1" ht="12" hidden="1" customHeight="1">
      <c r="H3190" s="207"/>
      <c r="I3190" s="207"/>
      <c r="J3190" s="167"/>
      <c r="K3190" s="167"/>
      <c r="L3190" s="209"/>
      <c r="M3190" s="169"/>
      <c r="N3190" s="169"/>
      <c r="O3190" s="169">
        <f t="shared" si="130"/>
        <v>0</v>
      </c>
      <c r="P3190" s="169"/>
      <c r="Q3190" s="166">
        <f t="shared" si="132"/>
        <v>0</v>
      </c>
      <c r="R3190" s="207"/>
      <c r="S3190" s="207"/>
      <c r="T3190" s="207"/>
      <c r="U3190" s="207"/>
      <c r="V3190" s="166">
        <f t="shared" si="131"/>
        <v>0</v>
      </c>
      <c r="W3190" s="205"/>
      <c r="X3190" s="167"/>
    </row>
    <row r="3191" spans="8:24" s="221" customFormat="1" ht="12" hidden="1" customHeight="1">
      <c r="H3191" s="207"/>
      <c r="I3191" s="207"/>
      <c r="J3191" s="167"/>
      <c r="K3191" s="167"/>
      <c r="L3191" s="209"/>
      <c r="M3191" s="169"/>
      <c r="N3191" s="169"/>
      <c r="O3191" s="169">
        <f t="shared" si="130"/>
        <v>0</v>
      </c>
      <c r="P3191" s="169"/>
      <c r="Q3191" s="166">
        <f t="shared" si="132"/>
        <v>0</v>
      </c>
      <c r="R3191" s="207"/>
      <c r="S3191" s="207"/>
      <c r="T3191" s="207"/>
      <c r="U3191" s="207"/>
      <c r="V3191" s="166">
        <f t="shared" si="131"/>
        <v>0</v>
      </c>
      <c r="W3191" s="205"/>
      <c r="X3191" s="167"/>
    </row>
    <row r="3192" spans="8:24" s="221" customFormat="1" ht="12" hidden="1" customHeight="1">
      <c r="H3192" s="207"/>
      <c r="I3192" s="207"/>
      <c r="J3192" s="167"/>
      <c r="K3192" s="167"/>
      <c r="L3192" s="209"/>
      <c r="M3192" s="169"/>
      <c r="N3192" s="169"/>
      <c r="O3192" s="169">
        <f t="shared" si="130"/>
        <v>0</v>
      </c>
      <c r="P3192" s="169"/>
      <c r="Q3192" s="166">
        <f t="shared" si="132"/>
        <v>0</v>
      </c>
      <c r="R3192" s="207"/>
      <c r="S3192" s="207"/>
      <c r="T3192" s="207"/>
      <c r="U3192" s="207"/>
      <c r="V3192" s="166">
        <f t="shared" si="131"/>
        <v>0</v>
      </c>
      <c r="W3192" s="205"/>
      <c r="X3192" s="167"/>
    </row>
    <row r="3193" spans="8:24" s="221" customFormat="1" ht="12" hidden="1" customHeight="1">
      <c r="H3193" s="207"/>
      <c r="I3193" s="207"/>
      <c r="J3193" s="167"/>
      <c r="K3193" s="167"/>
      <c r="L3193" s="209"/>
      <c r="M3193" s="169"/>
      <c r="N3193" s="169"/>
      <c r="O3193" s="169">
        <f t="shared" si="130"/>
        <v>0</v>
      </c>
      <c r="P3193" s="169"/>
      <c r="Q3193" s="166">
        <f t="shared" si="132"/>
        <v>0</v>
      </c>
      <c r="R3193" s="207"/>
      <c r="S3193" s="207"/>
      <c r="T3193" s="207"/>
      <c r="U3193" s="207"/>
      <c r="V3193" s="166">
        <f t="shared" si="131"/>
        <v>0</v>
      </c>
      <c r="W3193" s="205"/>
      <c r="X3193" s="167"/>
    </row>
    <row r="3194" spans="8:24" s="221" customFormat="1" ht="12" hidden="1" customHeight="1">
      <c r="H3194" s="207"/>
      <c r="I3194" s="207"/>
      <c r="J3194" s="167"/>
      <c r="K3194" s="167"/>
      <c r="L3194" s="209"/>
      <c r="M3194" s="169"/>
      <c r="N3194" s="169"/>
      <c r="O3194" s="169">
        <f t="shared" si="130"/>
        <v>0</v>
      </c>
      <c r="P3194" s="169"/>
      <c r="Q3194" s="166">
        <f t="shared" si="132"/>
        <v>0</v>
      </c>
      <c r="R3194" s="207"/>
      <c r="S3194" s="207"/>
      <c r="T3194" s="207"/>
      <c r="U3194" s="207"/>
      <c r="V3194" s="166">
        <f t="shared" si="131"/>
        <v>0</v>
      </c>
      <c r="W3194" s="205"/>
      <c r="X3194" s="167"/>
    </row>
    <row r="3195" spans="8:24" s="221" customFormat="1" ht="12" hidden="1" customHeight="1">
      <c r="H3195" s="207"/>
      <c r="I3195" s="207"/>
      <c r="J3195" s="167"/>
      <c r="K3195" s="167"/>
      <c r="L3195" s="209"/>
      <c r="M3195" s="169"/>
      <c r="N3195" s="169"/>
      <c r="O3195" s="169">
        <f t="shared" si="130"/>
        <v>0</v>
      </c>
      <c r="P3195" s="169"/>
      <c r="Q3195" s="166">
        <f t="shared" si="132"/>
        <v>0</v>
      </c>
      <c r="R3195" s="207"/>
      <c r="S3195" s="207"/>
      <c r="T3195" s="207"/>
      <c r="U3195" s="207"/>
      <c r="V3195" s="166">
        <f t="shared" si="131"/>
        <v>0</v>
      </c>
      <c r="W3195" s="205"/>
      <c r="X3195" s="167"/>
    </row>
    <row r="3196" spans="8:24" s="221" customFormat="1" ht="12" hidden="1" customHeight="1">
      <c r="H3196" s="207"/>
      <c r="I3196" s="207"/>
      <c r="J3196" s="167"/>
      <c r="K3196" s="167"/>
      <c r="L3196" s="209"/>
      <c r="M3196" s="169"/>
      <c r="N3196" s="169"/>
      <c r="O3196" s="169">
        <f t="shared" ref="O3196:O3259" si="133">M3196*N3196*$O$3</f>
        <v>0</v>
      </c>
      <c r="P3196" s="169"/>
      <c r="Q3196" s="166">
        <f t="shared" si="132"/>
        <v>0</v>
      </c>
      <c r="R3196" s="207"/>
      <c r="S3196" s="207"/>
      <c r="T3196" s="207"/>
      <c r="U3196" s="207"/>
      <c r="V3196" s="166">
        <f t="shared" si="131"/>
        <v>0</v>
      </c>
      <c r="W3196" s="205"/>
      <c r="X3196" s="167"/>
    </row>
    <row r="3197" spans="8:24" s="221" customFormat="1" ht="12" hidden="1" customHeight="1">
      <c r="H3197" s="207"/>
      <c r="I3197" s="207"/>
      <c r="J3197" s="167"/>
      <c r="K3197" s="167"/>
      <c r="L3197" s="209"/>
      <c r="M3197" s="169"/>
      <c r="N3197" s="169"/>
      <c r="O3197" s="169">
        <f t="shared" si="133"/>
        <v>0</v>
      </c>
      <c r="P3197" s="169"/>
      <c r="Q3197" s="166">
        <f t="shared" si="132"/>
        <v>0</v>
      </c>
      <c r="R3197" s="207"/>
      <c r="S3197" s="207"/>
      <c r="T3197" s="207"/>
      <c r="U3197" s="207"/>
      <c r="V3197" s="166">
        <f t="shared" si="131"/>
        <v>0</v>
      </c>
      <c r="W3197" s="205"/>
      <c r="X3197" s="167"/>
    </row>
    <row r="3198" spans="8:24" s="221" customFormat="1" ht="12" hidden="1" customHeight="1">
      <c r="H3198" s="207"/>
      <c r="I3198" s="207"/>
      <c r="J3198" s="167"/>
      <c r="K3198" s="167"/>
      <c r="L3198" s="209"/>
      <c r="M3198" s="169"/>
      <c r="N3198" s="169"/>
      <c r="O3198" s="169">
        <f t="shared" si="133"/>
        <v>0</v>
      </c>
      <c r="P3198" s="169"/>
      <c r="Q3198" s="166">
        <f t="shared" si="132"/>
        <v>0</v>
      </c>
      <c r="R3198" s="207"/>
      <c r="S3198" s="207"/>
      <c r="T3198" s="207"/>
      <c r="U3198" s="207"/>
      <c r="V3198" s="166">
        <f t="shared" si="131"/>
        <v>0</v>
      </c>
      <c r="W3198" s="205"/>
      <c r="X3198" s="167"/>
    </row>
    <row r="3199" spans="8:24" s="221" customFormat="1" ht="12" hidden="1" customHeight="1">
      <c r="H3199" s="207"/>
      <c r="I3199" s="207"/>
      <c r="J3199" s="167"/>
      <c r="K3199" s="167"/>
      <c r="L3199" s="209"/>
      <c r="M3199" s="169"/>
      <c r="N3199" s="169"/>
      <c r="O3199" s="169">
        <f t="shared" si="133"/>
        <v>0</v>
      </c>
      <c r="P3199" s="169"/>
      <c r="Q3199" s="166">
        <f t="shared" si="132"/>
        <v>0</v>
      </c>
      <c r="R3199" s="207"/>
      <c r="S3199" s="207"/>
      <c r="T3199" s="207"/>
      <c r="U3199" s="207"/>
      <c r="V3199" s="166">
        <f t="shared" ref="V3199:V3262" si="134">SUM(O3199+Q3199)+S3199+U3199</f>
        <v>0</v>
      </c>
      <c r="W3199" s="205"/>
      <c r="X3199" s="167"/>
    </row>
    <row r="3200" spans="8:24" s="221" customFormat="1" ht="12" hidden="1" customHeight="1">
      <c r="H3200" s="207"/>
      <c r="I3200" s="207"/>
      <c r="J3200" s="167"/>
      <c r="K3200" s="167"/>
      <c r="L3200" s="209"/>
      <c r="M3200" s="169"/>
      <c r="N3200" s="169"/>
      <c r="O3200" s="169">
        <f t="shared" si="133"/>
        <v>0</v>
      </c>
      <c r="P3200" s="169"/>
      <c r="Q3200" s="166">
        <f t="shared" si="132"/>
        <v>0</v>
      </c>
      <c r="R3200" s="207"/>
      <c r="S3200" s="207"/>
      <c r="T3200" s="207"/>
      <c r="U3200" s="207"/>
      <c r="V3200" s="166">
        <f t="shared" si="134"/>
        <v>0</v>
      </c>
      <c r="W3200" s="205"/>
      <c r="X3200" s="167"/>
    </row>
    <row r="3201" spans="8:24" s="221" customFormat="1" ht="12" hidden="1" customHeight="1">
      <c r="H3201" s="207"/>
      <c r="I3201" s="207"/>
      <c r="J3201" s="167"/>
      <c r="K3201" s="167"/>
      <c r="L3201" s="209"/>
      <c r="M3201" s="169"/>
      <c r="N3201" s="169"/>
      <c r="O3201" s="169">
        <f t="shared" si="133"/>
        <v>0</v>
      </c>
      <c r="P3201" s="169"/>
      <c r="Q3201" s="166">
        <f t="shared" si="132"/>
        <v>0</v>
      </c>
      <c r="R3201" s="207"/>
      <c r="S3201" s="207"/>
      <c r="T3201" s="207"/>
      <c r="U3201" s="207"/>
      <c r="V3201" s="166">
        <f t="shared" si="134"/>
        <v>0</v>
      </c>
      <c r="W3201" s="205"/>
      <c r="X3201" s="167"/>
    </row>
    <row r="3202" spans="8:24" s="221" customFormat="1" ht="12" hidden="1" customHeight="1">
      <c r="H3202" s="207"/>
      <c r="I3202" s="207"/>
      <c r="J3202" s="167"/>
      <c r="K3202" s="167"/>
      <c r="L3202" s="209"/>
      <c r="M3202" s="169"/>
      <c r="N3202" s="169"/>
      <c r="O3202" s="169">
        <f t="shared" si="133"/>
        <v>0</v>
      </c>
      <c r="P3202" s="169"/>
      <c r="Q3202" s="166">
        <f t="shared" si="132"/>
        <v>0</v>
      </c>
      <c r="R3202" s="207"/>
      <c r="S3202" s="207"/>
      <c r="T3202" s="207"/>
      <c r="U3202" s="207"/>
      <c r="V3202" s="166">
        <f t="shared" si="134"/>
        <v>0</v>
      </c>
      <c r="W3202" s="205"/>
      <c r="X3202" s="167"/>
    </row>
    <row r="3203" spans="8:24" s="221" customFormat="1" ht="12" hidden="1" customHeight="1">
      <c r="H3203" s="207"/>
      <c r="I3203" s="207"/>
      <c r="J3203" s="167"/>
      <c r="K3203" s="167"/>
      <c r="L3203" s="209"/>
      <c r="M3203" s="169"/>
      <c r="N3203" s="169"/>
      <c r="O3203" s="169">
        <f t="shared" si="133"/>
        <v>0</v>
      </c>
      <c r="P3203" s="169"/>
      <c r="Q3203" s="166">
        <f t="shared" si="132"/>
        <v>0</v>
      </c>
      <c r="R3203" s="207"/>
      <c r="S3203" s="207"/>
      <c r="T3203" s="207"/>
      <c r="U3203" s="207"/>
      <c r="V3203" s="166">
        <f t="shared" si="134"/>
        <v>0</v>
      </c>
      <c r="W3203" s="205"/>
      <c r="X3203" s="167"/>
    </row>
    <row r="3204" spans="8:24" s="221" customFormat="1" ht="12" hidden="1" customHeight="1">
      <c r="H3204" s="207"/>
      <c r="I3204" s="207"/>
      <c r="J3204" s="167"/>
      <c r="K3204" s="167"/>
      <c r="L3204" s="209"/>
      <c r="M3204" s="169"/>
      <c r="N3204" s="169"/>
      <c r="O3204" s="169">
        <f t="shared" si="133"/>
        <v>0</v>
      </c>
      <c r="P3204" s="169"/>
      <c r="Q3204" s="166">
        <f t="shared" si="132"/>
        <v>0</v>
      </c>
      <c r="R3204" s="207"/>
      <c r="S3204" s="207"/>
      <c r="T3204" s="207"/>
      <c r="U3204" s="207"/>
      <c r="V3204" s="166">
        <f t="shared" si="134"/>
        <v>0</v>
      </c>
      <c r="W3204" s="205"/>
      <c r="X3204" s="167"/>
    </row>
    <row r="3205" spans="8:24" s="221" customFormat="1" ht="12" hidden="1" customHeight="1">
      <c r="H3205" s="207"/>
      <c r="I3205" s="207"/>
      <c r="J3205" s="167"/>
      <c r="K3205" s="167"/>
      <c r="L3205" s="209"/>
      <c r="M3205" s="169"/>
      <c r="N3205" s="169"/>
      <c r="O3205" s="169">
        <f t="shared" si="133"/>
        <v>0</v>
      </c>
      <c r="P3205" s="169"/>
      <c r="Q3205" s="166">
        <f t="shared" si="132"/>
        <v>0</v>
      </c>
      <c r="R3205" s="207"/>
      <c r="S3205" s="207"/>
      <c r="T3205" s="207"/>
      <c r="U3205" s="207"/>
      <c r="V3205" s="166">
        <f t="shared" si="134"/>
        <v>0</v>
      </c>
      <c r="W3205" s="205"/>
      <c r="X3205" s="167"/>
    </row>
    <row r="3206" spans="8:24" s="221" customFormat="1" ht="12" hidden="1" customHeight="1">
      <c r="H3206" s="207"/>
      <c r="I3206" s="207"/>
      <c r="J3206" s="167"/>
      <c r="K3206" s="167"/>
      <c r="L3206" s="209"/>
      <c r="M3206" s="169"/>
      <c r="N3206" s="169"/>
      <c r="O3206" s="169">
        <f t="shared" si="133"/>
        <v>0</v>
      </c>
      <c r="P3206" s="169"/>
      <c r="Q3206" s="166">
        <f t="shared" si="132"/>
        <v>0</v>
      </c>
      <c r="R3206" s="207"/>
      <c r="S3206" s="207"/>
      <c r="T3206" s="207"/>
      <c r="U3206" s="207"/>
      <c r="V3206" s="166">
        <f t="shared" si="134"/>
        <v>0</v>
      </c>
      <c r="W3206" s="205"/>
      <c r="X3206" s="167"/>
    </row>
    <row r="3207" spans="8:24" s="221" customFormat="1" ht="12" hidden="1" customHeight="1">
      <c r="H3207" s="207"/>
      <c r="I3207" s="207"/>
      <c r="J3207" s="167"/>
      <c r="K3207" s="167"/>
      <c r="L3207" s="209"/>
      <c r="M3207" s="169"/>
      <c r="N3207" s="169"/>
      <c r="O3207" s="169">
        <f t="shared" si="133"/>
        <v>0</v>
      </c>
      <c r="P3207" s="169"/>
      <c r="Q3207" s="166">
        <f t="shared" si="132"/>
        <v>0</v>
      </c>
      <c r="R3207" s="207"/>
      <c r="S3207" s="207"/>
      <c r="T3207" s="207"/>
      <c r="U3207" s="207"/>
      <c r="V3207" s="166">
        <f t="shared" si="134"/>
        <v>0</v>
      </c>
      <c r="W3207" s="205"/>
      <c r="X3207" s="167"/>
    </row>
    <row r="3208" spans="8:24" s="221" customFormat="1" ht="12" hidden="1" customHeight="1">
      <c r="H3208" s="207"/>
      <c r="I3208" s="207"/>
      <c r="J3208" s="167"/>
      <c r="K3208" s="167"/>
      <c r="L3208" s="209"/>
      <c r="M3208" s="169"/>
      <c r="N3208" s="169"/>
      <c r="O3208" s="169">
        <f t="shared" si="133"/>
        <v>0</v>
      </c>
      <c r="P3208" s="169"/>
      <c r="Q3208" s="166">
        <f t="shared" si="132"/>
        <v>0</v>
      </c>
      <c r="R3208" s="207"/>
      <c r="S3208" s="207"/>
      <c r="T3208" s="207"/>
      <c r="U3208" s="207"/>
      <c r="V3208" s="166">
        <f t="shared" si="134"/>
        <v>0</v>
      </c>
      <c r="W3208" s="205"/>
      <c r="X3208" s="167"/>
    </row>
    <row r="3209" spans="8:24" s="221" customFormat="1" ht="12" hidden="1" customHeight="1">
      <c r="H3209" s="207"/>
      <c r="I3209" s="207"/>
      <c r="J3209" s="167"/>
      <c r="K3209" s="167"/>
      <c r="L3209" s="209"/>
      <c r="M3209" s="169"/>
      <c r="N3209" s="169"/>
      <c r="O3209" s="169">
        <f t="shared" si="133"/>
        <v>0</v>
      </c>
      <c r="P3209" s="169"/>
      <c r="Q3209" s="166">
        <f t="shared" si="132"/>
        <v>0</v>
      </c>
      <c r="R3209" s="207"/>
      <c r="S3209" s="207"/>
      <c r="T3209" s="207"/>
      <c r="U3209" s="207"/>
      <c r="V3209" s="166">
        <f t="shared" si="134"/>
        <v>0</v>
      </c>
      <c r="W3209" s="205"/>
      <c r="X3209" s="167"/>
    </row>
    <row r="3210" spans="8:24" s="221" customFormat="1" ht="12" hidden="1" customHeight="1">
      <c r="H3210" s="207"/>
      <c r="I3210" s="207"/>
      <c r="J3210" s="167"/>
      <c r="K3210" s="167"/>
      <c r="L3210" s="209"/>
      <c r="M3210" s="169"/>
      <c r="N3210" s="169"/>
      <c r="O3210" s="169">
        <f t="shared" si="133"/>
        <v>0</v>
      </c>
      <c r="P3210" s="169"/>
      <c r="Q3210" s="166">
        <f t="shared" si="132"/>
        <v>0</v>
      </c>
      <c r="R3210" s="207"/>
      <c r="S3210" s="207"/>
      <c r="T3210" s="207"/>
      <c r="U3210" s="207"/>
      <c r="V3210" s="166">
        <f t="shared" si="134"/>
        <v>0</v>
      </c>
      <c r="W3210" s="205"/>
      <c r="X3210" s="167"/>
    </row>
    <row r="3211" spans="8:24" s="221" customFormat="1" ht="12" hidden="1" customHeight="1">
      <c r="H3211" s="207"/>
      <c r="I3211" s="207"/>
      <c r="J3211" s="167"/>
      <c r="K3211" s="167"/>
      <c r="L3211" s="209"/>
      <c r="M3211" s="169"/>
      <c r="N3211" s="169"/>
      <c r="O3211" s="169">
        <f t="shared" si="133"/>
        <v>0</v>
      </c>
      <c r="P3211" s="169"/>
      <c r="Q3211" s="166">
        <f t="shared" si="132"/>
        <v>0</v>
      </c>
      <c r="R3211" s="207"/>
      <c r="S3211" s="207"/>
      <c r="T3211" s="207"/>
      <c r="U3211" s="207"/>
      <c r="V3211" s="166">
        <f t="shared" si="134"/>
        <v>0</v>
      </c>
      <c r="W3211" s="205"/>
      <c r="X3211" s="167"/>
    </row>
    <row r="3212" spans="8:24" s="221" customFormat="1" ht="12" hidden="1" customHeight="1">
      <c r="H3212" s="207"/>
      <c r="I3212" s="207"/>
      <c r="J3212" s="167"/>
      <c r="K3212" s="167"/>
      <c r="L3212" s="209"/>
      <c r="M3212" s="169"/>
      <c r="N3212" s="169"/>
      <c r="O3212" s="169">
        <f t="shared" si="133"/>
        <v>0</v>
      </c>
      <c r="P3212" s="169"/>
      <c r="Q3212" s="166">
        <f t="shared" si="132"/>
        <v>0</v>
      </c>
      <c r="R3212" s="207"/>
      <c r="S3212" s="207"/>
      <c r="T3212" s="207"/>
      <c r="U3212" s="207"/>
      <c r="V3212" s="166">
        <f t="shared" si="134"/>
        <v>0</v>
      </c>
      <c r="W3212" s="205"/>
      <c r="X3212" s="167"/>
    </row>
    <row r="3213" spans="8:24" s="221" customFormat="1" ht="12" hidden="1" customHeight="1">
      <c r="H3213" s="207"/>
      <c r="I3213" s="207"/>
      <c r="J3213" s="167"/>
      <c r="K3213" s="167"/>
      <c r="L3213" s="209"/>
      <c r="M3213" s="169"/>
      <c r="N3213" s="169"/>
      <c r="O3213" s="169">
        <f t="shared" si="133"/>
        <v>0</v>
      </c>
      <c r="P3213" s="169"/>
      <c r="Q3213" s="166">
        <f t="shared" si="132"/>
        <v>0</v>
      </c>
      <c r="R3213" s="207"/>
      <c r="S3213" s="207"/>
      <c r="T3213" s="207"/>
      <c r="U3213" s="207"/>
      <c r="V3213" s="166">
        <f t="shared" si="134"/>
        <v>0</v>
      </c>
      <c r="W3213" s="205"/>
      <c r="X3213" s="167"/>
    </row>
    <row r="3214" spans="8:24" s="221" customFormat="1" ht="12" hidden="1" customHeight="1">
      <c r="H3214" s="207"/>
      <c r="I3214" s="207"/>
      <c r="J3214" s="167"/>
      <c r="K3214" s="167"/>
      <c r="L3214" s="209"/>
      <c r="M3214" s="169"/>
      <c r="N3214" s="169"/>
      <c r="O3214" s="169">
        <f t="shared" si="133"/>
        <v>0</v>
      </c>
      <c r="P3214" s="169"/>
      <c r="Q3214" s="166">
        <f t="shared" si="132"/>
        <v>0</v>
      </c>
      <c r="R3214" s="207"/>
      <c r="S3214" s="207"/>
      <c r="T3214" s="207"/>
      <c r="U3214" s="207"/>
      <c r="V3214" s="166">
        <f t="shared" si="134"/>
        <v>0</v>
      </c>
      <c r="W3214" s="205"/>
      <c r="X3214" s="167"/>
    </row>
    <row r="3215" spans="8:24" s="221" customFormat="1" ht="12" hidden="1" customHeight="1">
      <c r="H3215" s="207"/>
      <c r="I3215" s="207"/>
      <c r="J3215" s="167"/>
      <c r="K3215" s="167"/>
      <c r="L3215" s="209"/>
      <c r="M3215" s="169"/>
      <c r="N3215" s="169"/>
      <c r="O3215" s="169">
        <f t="shared" si="133"/>
        <v>0</v>
      </c>
      <c r="P3215" s="169"/>
      <c r="Q3215" s="166">
        <f t="shared" si="132"/>
        <v>0</v>
      </c>
      <c r="R3215" s="207"/>
      <c r="S3215" s="207"/>
      <c r="T3215" s="207"/>
      <c r="U3215" s="207"/>
      <c r="V3215" s="166">
        <f t="shared" si="134"/>
        <v>0</v>
      </c>
      <c r="W3215" s="205"/>
      <c r="X3215" s="167"/>
    </row>
    <row r="3216" spans="8:24" s="221" customFormat="1" ht="12" hidden="1" customHeight="1">
      <c r="H3216" s="207"/>
      <c r="I3216" s="207"/>
      <c r="J3216" s="167"/>
      <c r="K3216" s="167"/>
      <c r="L3216" s="209"/>
      <c r="M3216" s="169"/>
      <c r="N3216" s="169"/>
      <c r="O3216" s="169">
        <f t="shared" si="133"/>
        <v>0</v>
      </c>
      <c r="P3216" s="169"/>
      <c r="Q3216" s="166">
        <f t="shared" si="132"/>
        <v>0</v>
      </c>
      <c r="R3216" s="207"/>
      <c r="S3216" s="207"/>
      <c r="T3216" s="207"/>
      <c r="U3216" s="207"/>
      <c r="V3216" s="166">
        <f t="shared" si="134"/>
        <v>0</v>
      </c>
      <c r="W3216" s="205"/>
      <c r="X3216" s="167"/>
    </row>
    <row r="3217" spans="8:24" s="221" customFormat="1" ht="12" hidden="1" customHeight="1">
      <c r="H3217" s="207"/>
      <c r="I3217" s="207"/>
      <c r="J3217" s="167"/>
      <c r="K3217" s="167"/>
      <c r="L3217" s="209"/>
      <c r="M3217" s="169"/>
      <c r="N3217" s="169"/>
      <c r="O3217" s="169">
        <f t="shared" si="133"/>
        <v>0</v>
      </c>
      <c r="P3217" s="169"/>
      <c r="Q3217" s="166">
        <f t="shared" si="132"/>
        <v>0</v>
      </c>
      <c r="R3217" s="207"/>
      <c r="S3217" s="207"/>
      <c r="T3217" s="207"/>
      <c r="U3217" s="207"/>
      <c r="V3217" s="166">
        <f t="shared" si="134"/>
        <v>0</v>
      </c>
      <c r="W3217" s="205"/>
      <c r="X3217" s="167"/>
    </row>
    <row r="3218" spans="8:24" s="221" customFormat="1" ht="12" hidden="1" customHeight="1">
      <c r="H3218" s="207"/>
      <c r="I3218" s="207"/>
      <c r="J3218" s="167"/>
      <c r="K3218" s="167"/>
      <c r="L3218" s="209"/>
      <c r="M3218" s="169"/>
      <c r="N3218" s="169"/>
      <c r="O3218" s="169">
        <f t="shared" si="133"/>
        <v>0</v>
      </c>
      <c r="P3218" s="169"/>
      <c r="Q3218" s="166">
        <f t="shared" si="132"/>
        <v>0</v>
      </c>
      <c r="R3218" s="207"/>
      <c r="S3218" s="207"/>
      <c r="T3218" s="207"/>
      <c r="U3218" s="207"/>
      <c r="V3218" s="166">
        <f t="shared" si="134"/>
        <v>0</v>
      </c>
      <c r="W3218" s="205"/>
      <c r="X3218" s="167"/>
    </row>
    <row r="3219" spans="8:24" s="221" customFormat="1" ht="12" hidden="1" customHeight="1">
      <c r="H3219" s="207"/>
      <c r="I3219" s="207"/>
      <c r="J3219" s="167"/>
      <c r="K3219" s="167"/>
      <c r="L3219" s="209"/>
      <c r="M3219" s="169"/>
      <c r="N3219" s="169"/>
      <c r="O3219" s="169">
        <f t="shared" si="133"/>
        <v>0</v>
      </c>
      <c r="P3219" s="169"/>
      <c r="Q3219" s="166">
        <f t="shared" si="132"/>
        <v>0</v>
      </c>
      <c r="R3219" s="207"/>
      <c r="S3219" s="207"/>
      <c r="T3219" s="207"/>
      <c r="U3219" s="207"/>
      <c r="V3219" s="166">
        <f t="shared" si="134"/>
        <v>0</v>
      </c>
      <c r="W3219" s="205"/>
      <c r="X3219" s="167"/>
    </row>
    <row r="3220" spans="8:24" s="221" customFormat="1" ht="12" hidden="1" customHeight="1">
      <c r="H3220" s="207"/>
      <c r="I3220" s="207"/>
      <c r="J3220" s="167"/>
      <c r="K3220" s="167"/>
      <c r="L3220" s="209"/>
      <c r="M3220" s="169"/>
      <c r="N3220" s="169"/>
      <c r="O3220" s="169">
        <f t="shared" si="133"/>
        <v>0</v>
      </c>
      <c r="P3220" s="169"/>
      <c r="Q3220" s="166">
        <f t="shared" si="132"/>
        <v>0</v>
      </c>
      <c r="R3220" s="207"/>
      <c r="S3220" s="207"/>
      <c r="T3220" s="207"/>
      <c r="U3220" s="207"/>
      <c r="V3220" s="166">
        <f t="shared" si="134"/>
        <v>0</v>
      </c>
      <c r="W3220" s="205"/>
      <c r="X3220" s="167"/>
    </row>
    <row r="3221" spans="8:24" s="221" customFormat="1" ht="12" hidden="1" customHeight="1">
      <c r="H3221" s="207"/>
      <c r="I3221" s="207"/>
      <c r="J3221" s="167"/>
      <c r="K3221" s="167"/>
      <c r="L3221" s="209"/>
      <c r="M3221" s="169"/>
      <c r="N3221" s="169"/>
      <c r="O3221" s="169">
        <f t="shared" si="133"/>
        <v>0</v>
      </c>
      <c r="P3221" s="169"/>
      <c r="Q3221" s="166">
        <f t="shared" si="132"/>
        <v>0</v>
      </c>
      <c r="R3221" s="207"/>
      <c r="S3221" s="207"/>
      <c r="T3221" s="207"/>
      <c r="U3221" s="207"/>
      <c r="V3221" s="166">
        <f t="shared" si="134"/>
        <v>0</v>
      </c>
      <c r="W3221" s="205"/>
      <c r="X3221" s="167"/>
    </row>
    <row r="3222" spans="8:24" s="221" customFormat="1" ht="12" hidden="1" customHeight="1">
      <c r="H3222" s="207"/>
      <c r="I3222" s="207"/>
      <c r="J3222" s="167"/>
      <c r="K3222" s="167"/>
      <c r="L3222" s="209"/>
      <c r="M3222" s="169"/>
      <c r="N3222" s="169"/>
      <c r="O3222" s="169">
        <f t="shared" si="133"/>
        <v>0</v>
      </c>
      <c r="P3222" s="169"/>
      <c r="Q3222" s="166">
        <f t="shared" si="132"/>
        <v>0</v>
      </c>
      <c r="R3222" s="207"/>
      <c r="S3222" s="207"/>
      <c r="T3222" s="207"/>
      <c r="U3222" s="207"/>
      <c r="V3222" s="166">
        <f t="shared" si="134"/>
        <v>0</v>
      </c>
      <c r="W3222" s="205"/>
      <c r="X3222" s="167"/>
    </row>
    <row r="3223" spans="8:24" s="221" customFormat="1" ht="12" hidden="1" customHeight="1">
      <c r="H3223" s="207"/>
      <c r="I3223" s="207"/>
      <c r="J3223" s="167"/>
      <c r="K3223" s="167"/>
      <c r="L3223" s="209"/>
      <c r="M3223" s="169"/>
      <c r="N3223" s="169"/>
      <c r="O3223" s="169">
        <f t="shared" si="133"/>
        <v>0</v>
      </c>
      <c r="P3223" s="169"/>
      <c r="Q3223" s="166">
        <f t="shared" si="132"/>
        <v>0</v>
      </c>
      <c r="R3223" s="207"/>
      <c r="S3223" s="207"/>
      <c r="T3223" s="207"/>
      <c r="U3223" s="207"/>
      <c r="V3223" s="166">
        <f t="shared" si="134"/>
        <v>0</v>
      </c>
      <c r="W3223" s="205"/>
      <c r="X3223" s="167"/>
    </row>
    <row r="3224" spans="8:24" s="221" customFormat="1" ht="12" hidden="1" customHeight="1">
      <c r="H3224" s="207"/>
      <c r="I3224" s="207"/>
      <c r="J3224" s="167"/>
      <c r="K3224" s="167"/>
      <c r="L3224" s="209"/>
      <c r="M3224" s="169"/>
      <c r="N3224" s="169"/>
      <c r="O3224" s="169">
        <f t="shared" si="133"/>
        <v>0</v>
      </c>
      <c r="P3224" s="169"/>
      <c r="Q3224" s="166">
        <f t="shared" si="132"/>
        <v>0</v>
      </c>
      <c r="R3224" s="207"/>
      <c r="S3224" s="207"/>
      <c r="T3224" s="207"/>
      <c r="U3224" s="207"/>
      <c r="V3224" s="166">
        <f t="shared" si="134"/>
        <v>0</v>
      </c>
      <c r="W3224" s="205"/>
      <c r="X3224" s="167"/>
    </row>
    <row r="3225" spans="8:24" s="221" customFormat="1" ht="12" hidden="1" customHeight="1">
      <c r="H3225" s="207"/>
      <c r="I3225" s="207"/>
      <c r="J3225" s="167"/>
      <c r="K3225" s="167"/>
      <c r="L3225" s="209"/>
      <c r="M3225" s="169"/>
      <c r="N3225" s="169"/>
      <c r="O3225" s="169">
        <f t="shared" si="133"/>
        <v>0</v>
      </c>
      <c r="P3225" s="169"/>
      <c r="Q3225" s="166">
        <f t="shared" si="132"/>
        <v>0</v>
      </c>
      <c r="R3225" s="207"/>
      <c r="S3225" s="207"/>
      <c r="T3225" s="207"/>
      <c r="U3225" s="207"/>
      <c r="V3225" s="166">
        <f t="shared" si="134"/>
        <v>0</v>
      </c>
      <c r="W3225" s="205"/>
      <c r="X3225" s="167"/>
    </row>
    <row r="3226" spans="8:24" s="221" customFormat="1" ht="12" hidden="1" customHeight="1">
      <c r="H3226" s="207"/>
      <c r="I3226" s="207"/>
      <c r="J3226" s="167"/>
      <c r="K3226" s="167"/>
      <c r="L3226" s="209"/>
      <c r="M3226" s="169"/>
      <c r="N3226" s="169"/>
      <c r="O3226" s="169">
        <f t="shared" si="133"/>
        <v>0</v>
      </c>
      <c r="P3226" s="169"/>
      <c r="Q3226" s="166">
        <f t="shared" si="132"/>
        <v>0</v>
      </c>
      <c r="R3226" s="207"/>
      <c r="S3226" s="207"/>
      <c r="T3226" s="207"/>
      <c r="U3226" s="207"/>
      <c r="V3226" s="166">
        <f t="shared" si="134"/>
        <v>0</v>
      </c>
      <c r="W3226" s="205"/>
      <c r="X3226" s="167"/>
    </row>
    <row r="3227" spans="8:24" s="221" customFormat="1" ht="12" hidden="1" customHeight="1">
      <c r="H3227" s="207"/>
      <c r="I3227" s="207"/>
      <c r="J3227" s="167"/>
      <c r="K3227" s="167"/>
      <c r="L3227" s="209"/>
      <c r="M3227" s="169"/>
      <c r="N3227" s="169"/>
      <c r="O3227" s="169">
        <f t="shared" si="133"/>
        <v>0</v>
      </c>
      <c r="P3227" s="169"/>
      <c r="Q3227" s="166">
        <f t="shared" si="132"/>
        <v>0</v>
      </c>
      <c r="R3227" s="207"/>
      <c r="S3227" s="207"/>
      <c r="T3227" s="207"/>
      <c r="U3227" s="207"/>
      <c r="V3227" s="166">
        <f t="shared" si="134"/>
        <v>0</v>
      </c>
      <c r="W3227" s="205"/>
      <c r="X3227" s="167"/>
    </row>
    <row r="3228" spans="8:24" s="221" customFormat="1" ht="12" hidden="1" customHeight="1">
      <c r="H3228" s="207"/>
      <c r="I3228" s="207"/>
      <c r="J3228" s="167"/>
      <c r="K3228" s="167"/>
      <c r="L3228" s="209"/>
      <c r="M3228" s="169"/>
      <c r="N3228" s="169"/>
      <c r="O3228" s="169">
        <f t="shared" si="133"/>
        <v>0</v>
      </c>
      <c r="P3228" s="169"/>
      <c r="Q3228" s="166">
        <f t="shared" si="132"/>
        <v>0</v>
      </c>
      <c r="R3228" s="207"/>
      <c r="S3228" s="207"/>
      <c r="T3228" s="207"/>
      <c r="U3228" s="207"/>
      <c r="V3228" s="166">
        <f t="shared" si="134"/>
        <v>0</v>
      </c>
      <c r="W3228" s="205"/>
      <c r="X3228" s="167"/>
    </row>
    <row r="3229" spans="8:24" s="221" customFormat="1" ht="12" hidden="1" customHeight="1">
      <c r="H3229" s="207"/>
      <c r="I3229" s="207"/>
      <c r="J3229" s="167"/>
      <c r="K3229" s="167"/>
      <c r="L3229" s="209"/>
      <c r="M3229" s="169"/>
      <c r="N3229" s="169"/>
      <c r="O3229" s="169">
        <f t="shared" si="133"/>
        <v>0</v>
      </c>
      <c r="P3229" s="169"/>
      <c r="Q3229" s="166">
        <f t="shared" si="132"/>
        <v>0</v>
      </c>
      <c r="R3229" s="207"/>
      <c r="S3229" s="207"/>
      <c r="T3229" s="207"/>
      <c r="U3229" s="207"/>
      <c r="V3229" s="166">
        <f t="shared" si="134"/>
        <v>0</v>
      </c>
      <c r="W3229" s="205"/>
      <c r="X3229" s="167"/>
    </row>
    <row r="3230" spans="8:24" s="221" customFormat="1" ht="12" hidden="1" customHeight="1">
      <c r="H3230" s="207"/>
      <c r="I3230" s="207"/>
      <c r="J3230" s="167"/>
      <c r="K3230" s="167"/>
      <c r="L3230" s="209"/>
      <c r="M3230" s="169"/>
      <c r="N3230" s="169"/>
      <c r="O3230" s="169">
        <f t="shared" si="133"/>
        <v>0</v>
      </c>
      <c r="P3230" s="169"/>
      <c r="Q3230" s="166">
        <f t="shared" si="132"/>
        <v>0</v>
      </c>
      <c r="R3230" s="207"/>
      <c r="S3230" s="207"/>
      <c r="T3230" s="207"/>
      <c r="U3230" s="207"/>
      <c r="V3230" s="166">
        <f t="shared" si="134"/>
        <v>0</v>
      </c>
      <c r="W3230" s="205"/>
      <c r="X3230" s="167"/>
    </row>
    <row r="3231" spans="8:24" s="221" customFormat="1" ht="12" hidden="1" customHeight="1">
      <c r="H3231" s="207"/>
      <c r="I3231" s="207"/>
      <c r="J3231" s="167"/>
      <c r="K3231" s="167"/>
      <c r="L3231" s="209"/>
      <c r="M3231" s="169"/>
      <c r="N3231" s="169"/>
      <c r="O3231" s="169">
        <f t="shared" si="133"/>
        <v>0</v>
      </c>
      <c r="P3231" s="169"/>
      <c r="Q3231" s="166">
        <f t="shared" si="132"/>
        <v>0</v>
      </c>
      <c r="R3231" s="207"/>
      <c r="S3231" s="207"/>
      <c r="T3231" s="207"/>
      <c r="U3231" s="207"/>
      <c r="V3231" s="166">
        <f t="shared" si="134"/>
        <v>0</v>
      </c>
      <c r="W3231" s="205"/>
      <c r="X3231" s="167"/>
    </row>
    <row r="3232" spans="8:24" s="221" customFormat="1" ht="12" hidden="1" customHeight="1">
      <c r="H3232" s="207"/>
      <c r="I3232" s="207"/>
      <c r="J3232" s="167"/>
      <c r="K3232" s="167"/>
      <c r="L3232" s="209"/>
      <c r="M3232" s="169"/>
      <c r="N3232" s="169"/>
      <c r="O3232" s="169">
        <f t="shared" si="133"/>
        <v>0</v>
      </c>
      <c r="P3232" s="169"/>
      <c r="Q3232" s="166">
        <f t="shared" si="132"/>
        <v>0</v>
      </c>
      <c r="R3232" s="207"/>
      <c r="S3232" s="207"/>
      <c r="T3232" s="207"/>
      <c r="U3232" s="207"/>
      <c r="V3232" s="166">
        <f t="shared" si="134"/>
        <v>0</v>
      </c>
      <c r="W3232" s="205"/>
      <c r="X3232" s="167"/>
    </row>
    <row r="3233" spans="8:24" s="221" customFormat="1" ht="12" hidden="1" customHeight="1">
      <c r="H3233" s="207"/>
      <c r="I3233" s="207"/>
      <c r="J3233" s="167"/>
      <c r="K3233" s="167"/>
      <c r="L3233" s="209"/>
      <c r="M3233" s="169"/>
      <c r="N3233" s="169"/>
      <c r="O3233" s="169">
        <f t="shared" si="133"/>
        <v>0</v>
      </c>
      <c r="P3233" s="169"/>
      <c r="Q3233" s="166">
        <f t="shared" si="132"/>
        <v>0</v>
      </c>
      <c r="R3233" s="207"/>
      <c r="S3233" s="207"/>
      <c r="T3233" s="207"/>
      <c r="U3233" s="207"/>
      <c r="V3233" s="166">
        <f t="shared" si="134"/>
        <v>0</v>
      </c>
      <c r="W3233" s="205"/>
      <c r="X3233" s="167"/>
    </row>
    <row r="3234" spans="8:24" s="221" customFormat="1" ht="12" hidden="1" customHeight="1">
      <c r="H3234" s="207"/>
      <c r="I3234" s="207"/>
      <c r="J3234" s="167"/>
      <c r="K3234" s="167"/>
      <c r="L3234" s="209"/>
      <c r="M3234" s="169"/>
      <c r="N3234" s="169"/>
      <c r="O3234" s="169">
        <f t="shared" si="133"/>
        <v>0</v>
      </c>
      <c r="P3234" s="169"/>
      <c r="Q3234" s="166">
        <f t="shared" si="132"/>
        <v>0</v>
      </c>
      <c r="R3234" s="207"/>
      <c r="S3234" s="207"/>
      <c r="T3234" s="207"/>
      <c r="U3234" s="207"/>
      <c r="V3234" s="166">
        <f t="shared" si="134"/>
        <v>0</v>
      </c>
      <c r="W3234" s="205"/>
      <c r="X3234" s="167"/>
    </row>
    <row r="3235" spans="8:24" s="221" customFormat="1" ht="12" hidden="1" customHeight="1">
      <c r="H3235" s="207"/>
      <c r="I3235" s="207"/>
      <c r="J3235" s="167"/>
      <c r="K3235" s="167"/>
      <c r="L3235" s="209"/>
      <c r="M3235" s="169"/>
      <c r="N3235" s="169"/>
      <c r="O3235" s="169">
        <f t="shared" si="133"/>
        <v>0</v>
      </c>
      <c r="P3235" s="169"/>
      <c r="Q3235" s="166">
        <f t="shared" si="132"/>
        <v>0</v>
      </c>
      <c r="R3235" s="207"/>
      <c r="S3235" s="207"/>
      <c r="T3235" s="207"/>
      <c r="U3235" s="207"/>
      <c r="V3235" s="166">
        <f t="shared" si="134"/>
        <v>0</v>
      </c>
      <c r="W3235" s="205"/>
      <c r="X3235" s="167"/>
    </row>
    <row r="3236" spans="8:24" s="221" customFormat="1" ht="12" hidden="1" customHeight="1">
      <c r="H3236" s="207"/>
      <c r="I3236" s="207"/>
      <c r="J3236" s="167"/>
      <c r="K3236" s="167"/>
      <c r="L3236" s="209"/>
      <c r="M3236" s="169"/>
      <c r="N3236" s="169"/>
      <c r="O3236" s="169">
        <f t="shared" si="133"/>
        <v>0</v>
      </c>
      <c r="P3236" s="169"/>
      <c r="Q3236" s="166">
        <f t="shared" si="132"/>
        <v>0</v>
      </c>
      <c r="R3236" s="207"/>
      <c r="S3236" s="207"/>
      <c r="T3236" s="207"/>
      <c r="U3236" s="207"/>
      <c r="V3236" s="166">
        <f t="shared" si="134"/>
        <v>0</v>
      </c>
      <c r="W3236" s="205"/>
      <c r="X3236" s="167"/>
    </row>
    <row r="3237" spans="8:24" s="221" customFormat="1" ht="12" hidden="1" customHeight="1">
      <c r="H3237" s="207"/>
      <c r="I3237" s="207"/>
      <c r="J3237" s="167"/>
      <c r="K3237" s="167"/>
      <c r="L3237" s="209"/>
      <c r="M3237" s="169"/>
      <c r="N3237" s="169"/>
      <c r="O3237" s="169">
        <f t="shared" si="133"/>
        <v>0</v>
      </c>
      <c r="P3237" s="169"/>
      <c r="Q3237" s="166">
        <f t="shared" si="132"/>
        <v>0</v>
      </c>
      <c r="R3237" s="207"/>
      <c r="S3237" s="207"/>
      <c r="T3237" s="207"/>
      <c r="U3237" s="207"/>
      <c r="V3237" s="166">
        <f t="shared" si="134"/>
        <v>0</v>
      </c>
      <c r="W3237" s="205"/>
      <c r="X3237" s="167"/>
    </row>
    <row r="3238" spans="8:24" s="221" customFormat="1" ht="12" hidden="1" customHeight="1">
      <c r="H3238" s="207"/>
      <c r="I3238" s="207"/>
      <c r="J3238" s="167"/>
      <c r="K3238" s="167"/>
      <c r="L3238" s="209"/>
      <c r="M3238" s="169"/>
      <c r="N3238" s="169"/>
      <c r="O3238" s="169">
        <f t="shared" si="133"/>
        <v>0</v>
      </c>
      <c r="P3238" s="169"/>
      <c r="Q3238" s="166">
        <f t="shared" si="132"/>
        <v>0</v>
      </c>
      <c r="R3238" s="207"/>
      <c r="S3238" s="207"/>
      <c r="T3238" s="207"/>
      <c r="U3238" s="207"/>
      <c r="V3238" s="166">
        <f t="shared" si="134"/>
        <v>0</v>
      </c>
      <c r="W3238" s="205"/>
      <c r="X3238" s="167"/>
    </row>
    <row r="3239" spans="8:24" s="221" customFormat="1" ht="12" hidden="1" customHeight="1">
      <c r="H3239" s="207"/>
      <c r="I3239" s="207"/>
      <c r="J3239" s="167"/>
      <c r="K3239" s="167"/>
      <c r="L3239" s="209"/>
      <c r="M3239" s="169"/>
      <c r="N3239" s="169"/>
      <c r="O3239" s="169">
        <f t="shared" si="133"/>
        <v>0</v>
      </c>
      <c r="P3239" s="169"/>
      <c r="Q3239" s="166">
        <f t="shared" si="132"/>
        <v>0</v>
      </c>
      <c r="R3239" s="207"/>
      <c r="S3239" s="207"/>
      <c r="T3239" s="207"/>
      <c r="U3239" s="207"/>
      <c r="V3239" s="166">
        <f t="shared" si="134"/>
        <v>0</v>
      </c>
      <c r="W3239" s="205"/>
      <c r="X3239" s="167"/>
    </row>
    <row r="3240" spans="8:24" s="221" customFormat="1" ht="12" hidden="1" customHeight="1">
      <c r="H3240" s="207"/>
      <c r="I3240" s="207"/>
      <c r="J3240" s="167"/>
      <c r="K3240" s="167"/>
      <c r="L3240" s="209"/>
      <c r="M3240" s="169"/>
      <c r="N3240" s="169"/>
      <c r="O3240" s="169">
        <f t="shared" si="133"/>
        <v>0</v>
      </c>
      <c r="P3240" s="169"/>
      <c r="Q3240" s="166">
        <f t="shared" si="132"/>
        <v>0</v>
      </c>
      <c r="R3240" s="207"/>
      <c r="S3240" s="207"/>
      <c r="T3240" s="207"/>
      <c r="U3240" s="207"/>
      <c r="V3240" s="166">
        <f t="shared" si="134"/>
        <v>0</v>
      </c>
      <c r="W3240" s="205"/>
      <c r="X3240" s="167"/>
    </row>
    <row r="3241" spans="8:24" s="221" customFormat="1" ht="12" hidden="1" customHeight="1">
      <c r="H3241" s="207"/>
      <c r="I3241" s="207"/>
      <c r="J3241" s="167"/>
      <c r="K3241" s="167"/>
      <c r="L3241" s="209"/>
      <c r="M3241" s="169"/>
      <c r="N3241" s="169"/>
      <c r="O3241" s="169">
        <f t="shared" si="133"/>
        <v>0</v>
      </c>
      <c r="P3241" s="169"/>
      <c r="Q3241" s="166">
        <f t="shared" si="132"/>
        <v>0</v>
      </c>
      <c r="R3241" s="207"/>
      <c r="S3241" s="207"/>
      <c r="T3241" s="207"/>
      <c r="U3241" s="207"/>
      <c r="V3241" s="166">
        <f t="shared" si="134"/>
        <v>0</v>
      </c>
      <c r="W3241" s="205"/>
      <c r="X3241" s="167"/>
    </row>
    <row r="3242" spans="8:24" s="221" customFormat="1" ht="12" hidden="1" customHeight="1">
      <c r="H3242" s="207"/>
      <c r="I3242" s="207"/>
      <c r="J3242" s="167"/>
      <c r="K3242" s="167"/>
      <c r="L3242" s="209"/>
      <c r="M3242" s="169"/>
      <c r="N3242" s="169"/>
      <c r="O3242" s="169">
        <f t="shared" si="133"/>
        <v>0</v>
      </c>
      <c r="P3242" s="169"/>
      <c r="Q3242" s="166">
        <f t="shared" si="132"/>
        <v>0</v>
      </c>
      <c r="R3242" s="207"/>
      <c r="S3242" s="207"/>
      <c r="T3242" s="207"/>
      <c r="U3242" s="207"/>
      <c r="V3242" s="166">
        <f t="shared" si="134"/>
        <v>0</v>
      </c>
      <c r="W3242" s="205"/>
      <c r="X3242" s="167"/>
    </row>
    <row r="3243" spans="8:24" s="221" customFormat="1" ht="12" hidden="1" customHeight="1">
      <c r="H3243" s="207"/>
      <c r="I3243" s="207"/>
      <c r="J3243" s="167"/>
      <c r="K3243" s="167"/>
      <c r="L3243" s="209"/>
      <c r="M3243" s="169"/>
      <c r="N3243" s="169"/>
      <c r="O3243" s="169">
        <f t="shared" si="133"/>
        <v>0</v>
      </c>
      <c r="P3243" s="169"/>
      <c r="Q3243" s="166">
        <f t="shared" si="132"/>
        <v>0</v>
      </c>
      <c r="R3243" s="207"/>
      <c r="S3243" s="207"/>
      <c r="T3243" s="207"/>
      <c r="U3243" s="207"/>
      <c r="V3243" s="166">
        <f t="shared" si="134"/>
        <v>0</v>
      </c>
      <c r="W3243" s="205"/>
      <c r="X3243" s="167"/>
    </row>
    <row r="3244" spans="8:24" s="221" customFormat="1" ht="12" hidden="1" customHeight="1">
      <c r="H3244" s="207"/>
      <c r="I3244" s="207"/>
      <c r="J3244" s="167"/>
      <c r="K3244" s="167"/>
      <c r="L3244" s="209"/>
      <c r="M3244" s="169"/>
      <c r="N3244" s="169"/>
      <c r="O3244" s="169">
        <f t="shared" si="133"/>
        <v>0</v>
      </c>
      <c r="P3244" s="169"/>
      <c r="Q3244" s="166">
        <f t="shared" si="132"/>
        <v>0</v>
      </c>
      <c r="R3244" s="207"/>
      <c r="S3244" s="207"/>
      <c r="T3244" s="207"/>
      <c r="U3244" s="207"/>
      <c r="V3244" s="166">
        <f t="shared" si="134"/>
        <v>0</v>
      </c>
      <c r="W3244" s="205"/>
      <c r="X3244" s="167"/>
    </row>
    <row r="3245" spans="8:24" s="221" customFormat="1" ht="12" hidden="1" customHeight="1">
      <c r="H3245" s="207"/>
      <c r="I3245" s="207"/>
      <c r="J3245" s="167"/>
      <c r="K3245" s="167"/>
      <c r="L3245" s="209"/>
      <c r="M3245" s="169"/>
      <c r="N3245" s="169"/>
      <c r="O3245" s="169">
        <f t="shared" si="133"/>
        <v>0</v>
      </c>
      <c r="P3245" s="169"/>
      <c r="Q3245" s="166">
        <f t="shared" si="132"/>
        <v>0</v>
      </c>
      <c r="R3245" s="207"/>
      <c r="S3245" s="207"/>
      <c r="T3245" s="207"/>
      <c r="U3245" s="207"/>
      <c r="V3245" s="166">
        <f t="shared" si="134"/>
        <v>0</v>
      </c>
      <c r="W3245" s="205"/>
      <c r="X3245" s="167"/>
    </row>
    <row r="3246" spans="8:24" s="221" customFormat="1" ht="12" hidden="1" customHeight="1">
      <c r="H3246" s="207"/>
      <c r="I3246" s="207"/>
      <c r="J3246" s="167"/>
      <c r="K3246" s="167"/>
      <c r="L3246" s="209"/>
      <c r="M3246" s="169"/>
      <c r="N3246" s="169"/>
      <c r="O3246" s="169">
        <f t="shared" si="133"/>
        <v>0</v>
      </c>
      <c r="P3246" s="169"/>
      <c r="Q3246" s="166">
        <f t="shared" si="132"/>
        <v>0</v>
      </c>
      <c r="R3246" s="207"/>
      <c r="S3246" s="207"/>
      <c r="T3246" s="207"/>
      <c r="U3246" s="207"/>
      <c r="V3246" s="166">
        <f t="shared" si="134"/>
        <v>0</v>
      </c>
      <c r="W3246" s="205"/>
      <c r="X3246" s="167"/>
    </row>
    <row r="3247" spans="8:24" s="221" customFormat="1" ht="12" hidden="1" customHeight="1">
      <c r="H3247" s="207"/>
      <c r="I3247" s="207"/>
      <c r="J3247" s="167"/>
      <c r="K3247" s="167"/>
      <c r="L3247" s="209"/>
      <c r="M3247" s="169"/>
      <c r="N3247" s="169"/>
      <c r="O3247" s="169">
        <f t="shared" si="133"/>
        <v>0</v>
      </c>
      <c r="P3247" s="169"/>
      <c r="Q3247" s="166">
        <f t="shared" ref="Q3247:Q3310" si="135">IF(W3247="",M3247*P3247*$Q$3*$W$3,M3247*P3247*$Q$3*W3247)</f>
        <v>0</v>
      </c>
      <c r="R3247" s="207"/>
      <c r="S3247" s="207"/>
      <c r="T3247" s="207"/>
      <c r="U3247" s="207"/>
      <c r="V3247" s="166">
        <f t="shared" si="134"/>
        <v>0</v>
      </c>
      <c r="W3247" s="205"/>
      <c r="X3247" s="167"/>
    </row>
    <row r="3248" spans="8:24" s="221" customFormat="1" ht="12" hidden="1" customHeight="1">
      <c r="H3248" s="207"/>
      <c r="I3248" s="207"/>
      <c r="J3248" s="167"/>
      <c r="K3248" s="167"/>
      <c r="L3248" s="209"/>
      <c r="M3248" s="169"/>
      <c r="N3248" s="169"/>
      <c r="O3248" s="169">
        <f t="shared" si="133"/>
        <v>0</v>
      </c>
      <c r="P3248" s="169"/>
      <c r="Q3248" s="166">
        <f t="shared" si="135"/>
        <v>0</v>
      </c>
      <c r="R3248" s="207"/>
      <c r="S3248" s="207"/>
      <c r="T3248" s="207"/>
      <c r="U3248" s="207"/>
      <c r="V3248" s="166">
        <f t="shared" si="134"/>
        <v>0</v>
      </c>
      <c r="W3248" s="205"/>
      <c r="X3248" s="167"/>
    </row>
    <row r="3249" spans="8:24" s="221" customFormat="1" ht="12" hidden="1" customHeight="1">
      <c r="H3249" s="207"/>
      <c r="I3249" s="207"/>
      <c r="J3249" s="167"/>
      <c r="K3249" s="167"/>
      <c r="L3249" s="209"/>
      <c r="M3249" s="169"/>
      <c r="N3249" s="169"/>
      <c r="O3249" s="169">
        <f t="shared" si="133"/>
        <v>0</v>
      </c>
      <c r="P3249" s="169"/>
      <c r="Q3249" s="166">
        <f t="shared" si="135"/>
        <v>0</v>
      </c>
      <c r="R3249" s="207"/>
      <c r="S3249" s="207"/>
      <c r="T3249" s="207"/>
      <c r="U3249" s="207"/>
      <c r="V3249" s="166">
        <f t="shared" si="134"/>
        <v>0</v>
      </c>
      <c r="W3249" s="205"/>
      <c r="X3249" s="167"/>
    </row>
    <row r="3250" spans="8:24" s="221" customFormat="1" ht="12" hidden="1" customHeight="1">
      <c r="H3250" s="207"/>
      <c r="I3250" s="207"/>
      <c r="J3250" s="167"/>
      <c r="K3250" s="167"/>
      <c r="L3250" s="209"/>
      <c r="M3250" s="169"/>
      <c r="N3250" s="169"/>
      <c r="O3250" s="169">
        <f t="shared" si="133"/>
        <v>0</v>
      </c>
      <c r="P3250" s="169"/>
      <c r="Q3250" s="166">
        <f t="shared" si="135"/>
        <v>0</v>
      </c>
      <c r="R3250" s="207"/>
      <c r="S3250" s="207"/>
      <c r="T3250" s="207"/>
      <c r="U3250" s="207"/>
      <c r="V3250" s="166">
        <f t="shared" si="134"/>
        <v>0</v>
      </c>
      <c r="W3250" s="205"/>
      <c r="X3250" s="167"/>
    </row>
    <row r="3251" spans="8:24" s="221" customFormat="1" ht="12" hidden="1" customHeight="1">
      <c r="H3251" s="207"/>
      <c r="I3251" s="207"/>
      <c r="J3251" s="167"/>
      <c r="K3251" s="167"/>
      <c r="L3251" s="209"/>
      <c r="M3251" s="169"/>
      <c r="N3251" s="169"/>
      <c r="O3251" s="169">
        <f t="shared" si="133"/>
        <v>0</v>
      </c>
      <c r="P3251" s="169"/>
      <c r="Q3251" s="166">
        <f t="shared" si="135"/>
        <v>0</v>
      </c>
      <c r="R3251" s="207"/>
      <c r="S3251" s="207"/>
      <c r="T3251" s="207"/>
      <c r="U3251" s="207"/>
      <c r="V3251" s="166">
        <f t="shared" si="134"/>
        <v>0</v>
      </c>
      <c r="W3251" s="205"/>
      <c r="X3251" s="167"/>
    </row>
    <row r="3252" spans="8:24" s="221" customFormat="1" ht="12" hidden="1" customHeight="1">
      <c r="H3252" s="207"/>
      <c r="I3252" s="207"/>
      <c r="J3252" s="167"/>
      <c r="K3252" s="167"/>
      <c r="L3252" s="209"/>
      <c r="M3252" s="169"/>
      <c r="N3252" s="169"/>
      <c r="O3252" s="169">
        <f t="shared" si="133"/>
        <v>0</v>
      </c>
      <c r="P3252" s="169"/>
      <c r="Q3252" s="166">
        <f t="shared" si="135"/>
        <v>0</v>
      </c>
      <c r="R3252" s="207"/>
      <c r="S3252" s="207"/>
      <c r="T3252" s="207"/>
      <c r="U3252" s="207"/>
      <c r="V3252" s="166">
        <f t="shared" si="134"/>
        <v>0</v>
      </c>
      <c r="W3252" s="205"/>
      <c r="X3252" s="167"/>
    </row>
    <row r="3253" spans="8:24" s="221" customFormat="1" ht="12" hidden="1" customHeight="1">
      <c r="H3253" s="207"/>
      <c r="I3253" s="207"/>
      <c r="J3253" s="167"/>
      <c r="K3253" s="167"/>
      <c r="L3253" s="209"/>
      <c r="M3253" s="169"/>
      <c r="N3253" s="169"/>
      <c r="O3253" s="169">
        <f t="shared" si="133"/>
        <v>0</v>
      </c>
      <c r="P3253" s="169"/>
      <c r="Q3253" s="166">
        <f t="shared" si="135"/>
        <v>0</v>
      </c>
      <c r="R3253" s="207"/>
      <c r="S3253" s="207"/>
      <c r="T3253" s="207"/>
      <c r="U3253" s="207"/>
      <c r="V3253" s="166">
        <f t="shared" si="134"/>
        <v>0</v>
      </c>
      <c r="W3253" s="205"/>
      <c r="X3253" s="167"/>
    </row>
    <row r="3254" spans="8:24" s="221" customFormat="1" ht="12" hidden="1" customHeight="1">
      <c r="H3254" s="207"/>
      <c r="I3254" s="207"/>
      <c r="J3254" s="167"/>
      <c r="K3254" s="167"/>
      <c r="L3254" s="209"/>
      <c r="M3254" s="169"/>
      <c r="N3254" s="169"/>
      <c r="O3254" s="169">
        <f t="shared" si="133"/>
        <v>0</v>
      </c>
      <c r="P3254" s="169"/>
      <c r="Q3254" s="166">
        <f t="shared" si="135"/>
        <v>0</v>
      </c>
      <c r="R3254" s="207"/>
      <c r="S3254" s="207"/>
      <c r="T3254" s="207"/>
      <c r="U3254" s="207"/>
      <c r="V3254" s="166">
        <f t="shared" si="134"/>
        <v>0</v>
      </c>
      <c r="W3254" s="205"/>
      <c r="X3254" s="167"/>
    </row>
    <row r="3255" spans="8:24" s="221" customFormat="1" ht="12" hidden="1" customHeight="1">
      <c r="H3255" s="207"/>
      <c r="I3255" s="207"/>
      <c r="J3255" s="167"/>
      <c r="K3255" s="167"/>
      <c r="L3255" s="209"/>
      <c r="M3255" s="169"/>
      <c r="N3255" s="169"/>
      <c r="O3255" s="169">
        <f t="shared" si="133"/>
        <v>0</v>
      </c>
      <c r="P3255" s="169"/>
      <c r="Q3255" s="166">
        <f t="shared" si="135"/>
        <v>0</v>
      </c>
      <c r="R3255" s="207"/>
      <c r="S3255" s="207"/>
      <c r="T3255" s="207"/>
      <c r="U3255" s="207"/>
      <c r="V3255" s="166">
        <f t="shared" si="134"/>
        <v>0</v>
      </c>
      <c r="W3255" s="205"/>
      <c r="X3255" s="167"/>
    </row>
    <row r="3256" spans="8:24" s="221" customFormat="1" ht="12" hidden="1" customHeight="1">
      <c r="H3256" s="207"/>
      <c r="I3256" s="207"/>
      <c r="J3256" s="167"/>
      <c r="K3256" s="167"/>
      <c r="L3256" s="209"/>
      <c r="M3256" s="169"/>
      <c r="N3256" s="169"/>
      <c r="O3256" s="169">
        <f t="shared" si="133"/>
        <v>0</v>
      </c>
      <c r="P3256" s="169"/>
      <c r="Q3256" s="166">
        <f t="shared" si="135"/>
        <v>0</v>
      </c>
      <c r="R3256" s="207"/>
      <c r="S3256" s="207"/>
      <c r="T3256" s="207"/>
      <c r="U3256" s="207"/>
      <c r="V3256" s="166">
        <f t="shared" si="134"/>
        <v>0</v>
      </c>
      <c r="W3256" s="205"/>
      <c r="X3256" s="167"/>
    </row>
    <row r="3257" spans="8:24" s="221" customFormat="1" ht="12" hidden="1" customHeight="1">
      <c r="H3257" s="207"/>
      <c r="I3257" s="207"/>
      <c r="J3257" s="167"/>
      <c r="K3257" s="167"/>
      <c r="L3257" s="209"/>
      <c r="M3257" s="169"/>
      <c r="N3257" s="169"/>
      <c r="O3257" s="169">
        <f t="shared" si="133"/>
        <v>0</v>
      </c>
      <c r="P3257" s="169"/>
      <c r="Q3257" s="166">
        <f t="shared" si="135"/>
        <v>0</v>
      </c>
      <c r="R3257" s="207"/>
      <c r="S3257" s="207"/>
      <c r="T3257" s="207"/>
      <c r="U3257" s="207"/>
      <c r="V3257" s="166">
        <f t="shared" si="134"/>
        <v>0</v>
      </c>
      <c r="W3257" s="205"/>
      <c r="X3257" s="167"/>
    </row>
    <row r="3258" spans="8:24" s="221" customFormat="1" ht="12" hidden="1" customHeight="1">
      <c r="H3258" s="207"/>
      <c r="I3258" s="207"/>
      <c r="J3258" s="167"/>
      <c r="K3258" s="167"/>
      <c r="L3258" s="209"/>
      <c r="M3258" s="169"/>
      <c r="N3258" s="169"/>
      <c r="O3258" s="169">
        <f t="shared" si="133"/>
        <v>0</v>
      </c>
      <c r="P3258" s="169"/>
      <c r="Q3258" s="166">
        <f t="shared" si="135"/>
        <v>0</v>
      </c>
      <c r="R3258" s="207"/>
      <c r="S3258" s="207"/>
      <c r="T3258" s="207"/>
      <c r="U3258" s="207"/>
      <c r="V3258" s="166">
        <f t="shared" si="134"/>
        <v>0</v>
      </c>
      <c r="W3258" s="205"/>
      <c r="X3258" s="167"/>
    </row>
    <row r="3259" spans="8:24" s="221" customFormat="1" ht="12" hidden="1" customHeight="1">
      <c r="H3259" s="207"/>
      <c r="I3259" s="207"/>
      <c r="J3259" s="167"/>
      <c r="K3259" s="167"/>
      <c r="L3259" s="209"/>
      <c r="M3259" s="169"/>
      <c r="N3259" s="169"/>
      <c r="O3259" s="169">
        <f t="shared" si="133"/>
        <v>0</v>
      </c>
      <c r="P3259" s="169"/>
      <c r="Q3259" s="166">
        <f t="shared" si="135"/>
        <v>0</v>
      </c>
      <c r="R3259" s="207"/>
      <c r="S3259" s="207"/>
      <c r="T3259" s="207"/>
      <c r="U3259" s="207"/>
      <c r="V3259" s="166">
        <f t="shared" si="134"/>
        <v>0</v>
      </c>
      <c r="W3259" s="205"/>
      <c r="X3259" s="167"/>
    </row>
    <row r="3260" spans="8:24" s="221" customFormat="1" ht="12" hidden="1" customHeight="1">
      <c r="H3260" s="207"/>
      <c r="I3260" s="207"/>
      <c r="J3260" s="167"/>
      <c r="K3260" s="167"/>
      <c r="L3260" s="209"/>
      <c r="M3260" s="169"/>
      <c r="N3260" s="169"/>
      <c r="O3260" s="169">
        <f t="shared" ref="O3260:O3323" si="136">M3260*N3260*$O$3</f>
        <v>0</v>
      </c>
      <c r="P3260" s="169"/>
      <c r="Q3260" s="166">
        <f t="shared" si="135"/>
        <v>0</v>
      </c>
      <c r="R3260" s="207"/>
      <c r="S3260" s="207"/>
      <c r="T3260" s="207"/>
      <c r="U3260" s="207"/>
      <c r="V3260" s="166">
        <f t="shared" si="134"/>
        <v>0</v>
      </c>
      <c r="W3260" s="205"/>
      <c r="X3260" s="167"/>
    </row>
    <row r="3261" spans="8:24" s="221" customFormat="1" ht="12" hidden="1" customHeight="1">
      <c r="H3261" s="207"/>
      <c r="I3261" s="207"/>
      <c r="J3261" s="167"/>
      <c r="K3261" s="167"/>
      <c r="L3261" s="209"/>
      <c r="M3261" s="169"/>
      <c r="N3261" s="169"/>
      <c r="O3261" s="169">
        <f t="shared" si="136"/>
        <v>0</v>
      </c>
      <c r="P3261" s="169"/>
      <c r="Q3261" s="166">
        <f t="shared" si="135"/>
        <v>0</v>
      </c>
      <c r="R3261" s="207"/>
      <c r="S3261" s="207"/>
      <c r="T3261" s="207"/>
      <c r="U3261" s="207"/>
      <c r="V3261" s="166">
        <f t="shared" si="134"/>
        <v>0</v>
      </c>
      <c r="W3261" s="205"/>
      <c r="X3261" s="167"/>
    </row>
    <row r="3262" spans="8:24" s="221" customFormat="1" ht="12" hidden="1" customHeight="1">
      <c r="H3262" s="207"/>
      <c r="I3262" s="207"/>
      <c r="J3262" s="167"/>
      <c r="K3262" s="167"/>
      <c r="L3262" s="209"/>
      <c r="M3262" s="169"/>
      <c r="N3262" s="169"/>
      <c r="O3262" s="169">
        <f t="shared" si="136"/>
        <v>0</v>
      </c>
      <c r="P3262" s="169"/>
      <c r="Q3262" s="166">
        <f t="shared" si="135"/>
        <v>0</v>
      </c>
      <c r="R3262" s="207"/>
      <c r="S3262" s="207"/>
      <c r="T3262" s="207"/>
      <c r="U3262" s="207"/>
      <c r="V3262" s="166">
        <f t="shared" si="134"/>
        <v>0</v>
      </c>
      <c r="W3262" s="205"/>
      <c r="X3262" s="167"/>
    </row>
    <row r="3263" spans="8:24" s="221" customFormat="1" ht="12" hidden="1" customHeight="1">
      <c r="H3263" s="207"/>
      <c r="I3263" s="207"/>
      <c r="J3263" s="167"/>
      <c r="K3263" s="167"/>
      <c r="L3263" s="209"/>
      <c r="M3263" s="169"/>
      <c r="N3263" s="169"/>
      <c r="O3263" s="169">
        <f t="shared" si="136"/>
        <v>0</v>
      </c>
      <c r="P3263" s="169"/>
      <c r="Q3263" s="166">
        <f t="shared" si="135"/>
        <v>0</v>
      </c>
      <c r="R3263" s="207"/>
      <c r="S3263" s="207"/>
      <c r="T3263" s="207"/>
      <c r="U3263" s="207"/>
      <c r="V3263" s="166">
        <f t="shared" ref="V3263:V3326" si="137">SUM(O3263+Q3263)+S3263+U3263</f>
        <v>0</v>
      </c>
      <c r="W3263" s="205"/>
      <c r="X3263" s="167"/>
    </row>
    <row r="3264" spans="8:24" s="221" customFormat="1" ht="12" hidden="1" customHeight="1">
      <c r="H3264" s="207"/>
      <c r="I3264" s="207"/>
      <c r="J3264" s="167"/>
      <c r="K3264" s="167"/>
      <c r="L3264" s="209"/>
      <c r="M3264" s="169"/>
      <c r="N3264" s="169"/>
      <c r="O3264" s="169">
        <f t="shared" si="136"/>
        <v>0</v>
      </c>
      <c r="P3264" s="169"/>
      <c r="Q3264" s="166">
        <f t="shared" si="135"/>
        <v>0</v>
      </c>
      <c r="R3264" s="207"/>
      <c r="S3264" s="207"/>
      <c r="T3264" s="207"/>
      <c r="U3264" s="207"/>
      <c r="V3264" s="166">
        <f t="shared" si="137"/>
        <v>0</v>
      </c>
      <c r="W3264" s="205"/>
      <c r="X3264" s="167"/>
    </row>
    <row r="3265" spans="8:24" s="221" customFormat="1" ht="12" hidden="1" customHeight="1">
      <c r="H3265" s="207"/>
      <c r="I3265" s="207"/>
      <c r="J3265" s="167"/>
      <c r="K3265" s="167"/>
      <c r="L3265" s="209"/>
      <c r="M3265" s="169"/>
      <c r="N3265" s="169"/>
      <c r="O3265" s="169">
        <f t="shared" si="136"/>
        <v>0</v>
      </c>
      <c r="P3265" s="169"/>
      <c r="Q3265" s="166">
        <f t="shared" si="135"/>
        <v>0</v>
      </c>
      <c r="R3265" s="207"/>
      <c r="S3265" s="207"/>
      <c r="T3265" s="207"/>
      <c r="U3265" s="207"/>
      <c r="V3265" s="166">
        <f t="shared" si="137"/>
        <v>0</v>
      </c>
      <c r="W3265" s="205"/>
      <c r="X3265" s="167"/>
    </row>
    <row r="3266" spans="8:24" s="221" customFormat="1" ht="12" hidden="1" customHeight="1">
      <c r="H3266" s="207"/>
      <c r="I3266" s="207"/>
      <c r="J3266" s="167"/>
      <c r="K3266" s="167"/>
      <c r="L3266" s="209"/>
      <c r="M3266" s="169"/>
      <c r="N3266" s="169"/>
      <c r="O3266" s="169">
        <f t="shared" si="136"/>
        <v>0</v>
      </c>
      <c r="P3266" s="169"/>
      <c r="Q3266" s="166">
        <f t="shared" si="135"/>
        <v>0</v>
      </c>
      <c r="R3266" s="207"/>
      <c r="S3266" s="207"/>
      <c r="T3266" s="207"/>
      <c r="U3266" s="207"/>
      <c r="V3266" s="166">
        <f t="shared" si="137"/>
        <v>0</v>
      </c>
      <c r="W3266" s="205"/>
      <c r="X3266" s="167"/>
    </row>
    <row r="3267" spans="8:24" s="221" customFormat="1" ht="12" hidden="1" customHeight="1">
      <c r="H3267" s="207"/>
      <c r="I3267" s="207"/>
      <c r="J3267" s="167"/>
      <c r="K3267" s="167"/>
      <c r="L3267" s="209"/>
      <c r="M3267" s="169"/>
      <c r="N3267" s="169"/>
      <c r="O3267" s="169">
        <f t="shared" si="136"/>
        <v>0</v>
      </c>
      <c r="P3267" s="169"/>
      <c r="Q3267" s="166">
        <f t="shared" si="135"/>
        <v>0</v>
      </c>
      <c r="R3267" s="207"/>
      <c r="S3267" s="207"/>
      <c r="T3267" s="207"/>
      <c r="U3267" s="207"/>
      <c r="V3267" s="166">
        <f t="shared" si="137"/>
        <v>0</v>
      </c>
      <c r="W3267" s="205"/>
      <c r="X3267" s="167"/>
    </row>
    <row r="3268" spans="8:24" s="221" customFormat="1" ht="12" hidden="1" customHeight="1">
      <c r="H3268" s="207"/>
      <c r="I3268" s="207"/>
      <c r="J3268" s="167"/>
      <c r="K3268" s="167"/>
      <c r="L3268" s="209"/>
      <c r="M3268" s="169"/>
      <c r="N3268" s="169"/>
      <c r="O3268" s="169">
        <f t="shared" si="136"/>
        <v>0</v>
      </c>
      <c r="P3268" s="169"/>
      <c r="Q3268" s="166">
        <f t="shared" si="135"/>
        <v>0</v>
      </c>
      <c r="R3268" s="207"/>
      <c r="S3268" s="207"/>
      <c r="T3268" s="207"/>
      <c r="U3268" s="207"/>
      <c r="V3268" s="166">
        <f t="shared" si="137"/>
        <v>0</v>
      </c>
      <c r="W3268" s="205"/>
      <c r="X3268" s="167"/>
    </row>
    <row r="3269" spans="8:24" s="221" customFormat="1" ht="12" hidden="1" customHeight="1">
      <c r="H3269" s="207"/>
      <c r="I3269" s="207"/>
      <c r="J3269" s="167"/>
      <c r="K3269" s="167"/>
      <c r="L3269" s="209"/>
      <c r="M3269" s="169"/>
      <c r="N3269" s="169"/>
      <c r="O3269" s="169">
        <f t="shared" si="136"/>
        <v>0</v>
      </c>
      <c r="P3269" s="169"/>
      <c r="Q3269" s="166">
        <f t="shared" si="135"/>
        <v>0</v>
      </c>
      <c r="R3269" s="207"/>
      <c r="S3269" s="207"/>
      <c r="T3269" s="207"/>
      <c r="U3269" s="207"/>
      <c r="V3269" s="166">
        <f t="shared" si="137"/>
        <v>0</v>
      </c>
      <c r="W3269" s="205"/>
      <c r="X3269" s="167"/>
    </row>
    <row r="3270" spans="8:24" s="221" customFormat="1" ht="12" hidden="1" customHeight="1">
      <c r="H3270" s="207"/>
      <c r="I3270" s="207"/>
      <c r="J3270" s="167"/>
      <c r="K3270" s="167"/>
      <c r="L3270" s="209"/>
      <c r="M3270" s="169"/>
      <c r="N3270" s="169"/>
      <c r="O3270" s="169">
        <f t="shared" si="136"/>
        <v>0</v>
      </c>
      <c r="P3270" s="169"/>
      <c r="Q3270" s="166">
        <f t="shared" si="135"/>
        <v>0</v>
      </c>
      <c r="R3270" s="207"/>
      <c r="S3270" s="207"/>
      <c r="T3270" s="207"/>
      <c r="U3270" s="207"/>
      <c r="V3270" s="166">
        <f t="shared" si="137"/>
        <v>0</v>
      </c>
      <c r="W3270" s="205"/>
      <c r="X3270" s="167"/>
    </row>
    <row r="3271" spans="8:24" s="221" customFormat="1" ht="12" hidden="1" customHeight="1">
      <c r="H3271" s="207"/>
      <c r="I3271" s="207"/>
      <c r="J3271" s="167"/>
      <c r="K3271" s="167"/>
      <c r="L3271" s="209"/>
      <c r="M3271" s="169"/>
      <c r="N3271" s="169"/>
      <c r="O3271" s="169">
        <f t="shared" si="136"/>
        <v>0</v>
      </c>
      <c r="P3271" s="169"/>
      <c r="Q3271" s="166">
        <f t="shared" si="135"/>
        <v>0</v>
      </c>
      <c r="R3271" s="207"/>
      <c r="S3271" s="207"/>
      <c r="T3271" s="207"/>
      <c r="U3271" s="207"/>
      <c r="V3271" s="166">
        <f t="shared" si="137"/>
        <v>0</v>
      </c>
      <c r="W3271" s="205"/>
      <c r="X3271" s="167"/>
    </row>
    <row r="3272" spans="8:24" s="221" customFormat="1" ht="12" hidden="1" customHeight="1">
      <c r="H3272" s="207"/>
      <c r="I3272" s="207"/>
      <c r="J3272" s="167"/>
      <c r="K3272" s="167"/>
      <c r="L3272" s="209"/>
      <c r="M3272" s="169"/>
      <c r="N3272" s="169"/>
      <c r="O3272" s="169">
        <f t="shared" si="136"/>
        <v>0</v>
      </c>
      <c r="P3272" s="169"/>
      <c r="Q3272" s="166">
        <f t="shared" si="135"/>
        <v>0</v>
      </c>
      <c r="R3272" s="207"/>
      <c r="S3272" s="207"/>
      <c r="T3272" s="207"/>
      <c r="U3272" s="207"/>
      <c r="V3272" s="166">
        <f t="shared" si="137"/>
        <v>0</v>
      </c>
      <c r="W3272" s="205"/>
      <c r="X3272" s="167"/>
    </row>
    <row r="3273" spans="8:24" s="221" customFormat="1" ht="12" hidden="1" customHeight="1">
      <c r="H3273" s="207"/>
      <c r="I3273" s="207"/>
      <c r="J3273" s="167"/>
      <c r="K3273" s="167"/>
      <c r="L3273" s="209"/>
      <c r="M3273" s="169"/>
      <c r="N3273" s="169"/>
      <c r="O3273" s="169">
        <f t="shared" si="136"/>
        <v>0</v>
      </c>
      <c r="P3273" s="169"/>
      <c r="Q3273" s="166">
        <f t="shared" si="135"/>
        <v>0</v>
      </c>
      <c r="R3273" s="207"/>
      <c r="S3273" s="207"/>
      <c r="T3273" s="207"/>
      <c r="U3273" s="207"/>
      <c r="V3273" s="166">
        <f t="shared" si="137"/>
        <v>0</v>
      </c>
      <c r="W3273" s="205"/>
      <c r="X3273" s="167"/>
    </row>
    <row r="3274" spans="8:24" s="221" customFormat="1" ht="12" hidden="1" customHeight="1">
      <c r="H3274" s="207"/>
      <c r="I3274" s="207"/>
      <c r="J3274" s="167"/>
      <c r="K3274" s="167"/>
      <c r="L3274" s="209"/>
      <c r="M3274" s="169"/>
      <c r="N3274" s="169"/>
      <c r="O3274" s="169">
        <f t="shared" si="136"/>
        <v>0</v>
      </c>
      <c r="P3274" s="169"/>
      <c r="Q3274" s="166">
        <f t="shared" si="135"/>
        <v>0</v>
      </c>
      <c r="R3274" s="207"/>
      <c r="S3274" s="207"/>
      <c r="T3274" s="207"/>
      <c r="U3274" s="207"/>
      <c r="V3274" s="166">
        <f t="shared" si="137"/>
        <v>0</v>
      </c>
      <c r="W3274" s="205"/>
      <c r="X3274" s="167"/>
    </row>
    <row r="3275" spans="8:24" s="221" customFormat="1" ht="12" hidden="1" customHeight="1">
      <c r="H3275" s="207"/>
      <c r="I3275" s="207"/>
      <c r="J3275" s="167"/>
      <c r="K3275" s="167"/>
      <c r="L3275" s="209"/>
      <c r="M3275" s="169"/>
      <c r="N3275" s="169"/>
      <c r="O3275" s="169">
        <f t="shared" si="136"/>
        <v>0</v>
      </c>
      <c r="P3275" s="169"/>
      <c r="Q3275" s="166">
        <f t="shared" si="135"/>
        <v>0</v>
      </c>
      <c r="R3275" s="207"/>
      <c r="S3275" s="207"/>
      <c r="T3275" s="207"/>
      <c r="U3275" s="207"/>
      <c r="V3275" s="166">
        <f t="shared" si="137"/>
        <v>0</v>
      </c>
      <c r="W3275" s="205"/>
      <c r="X3275" s="167"/>
    </row>
    <row r="3276" spans="8:24" s="221" customFormat="1" ht="12" hidden="1" customHeight="1">
      <c r="H3276" s="207"/>
      <c r="I3276" s="207"/>
      <c r="J3276" s="167"/>
      <c r="K3276" s="167"/>
      <c r="L3276" s="209"/>
      <c r="M3276" s="169"/>
      <c r="N3276" s="169"/>
      <c r="O3276" s="169">
        <f t="shared" si="136"/>
        <v>0</v>
      </c>
      <c r="P3276" s="169"/>
      <c r="Q3276" s="166">
        <f t="shared" si="135"/>
        <v>0</v>
      </c>
      <c r="R3276" s="207"/>
      <c r="S3276" s="207"/>
      <c r="T3276" s="207"/>
      <c r="U3276" s="207"/>
      <c r="V3276" s="166">
        <f t="shared" si="137"/>
        <v>0</v>
      </c>
      <c r="W3276" s="205"/>
      <c r="X3276" s="167"/>
    </row>
    <row r="3277" spans="8:24" s="221" customFormat="1" ht="12" hidden="1" customHeight="1">
      <c r="H3277" s="207"/>
      <c r="I3277" s="207"/>
      <c r="J3277" s="167"/>
      <c r="K3277" s="167"/>
      <c r="L3277" s="209"/>
      <c r="M3277" s="169"/>
      <c r="N3277" s="169"/>
      <c r="O3277" s="169">
        <f t="shared" si="136"/>
        <v>0</v>
      </c>
      <c r="P3277" s="169"/>
      <c r="Q3277" s="166">
        <f t="shared" si="135"/>
        <v>0</v>
      </c>
      <c r="R3277" s="207"/>
      <c r="S3277" s="207"/>
      <c r="T3277" s="207"/>
      <c r="U3277" s="207"/>
      <c r="V3277" s="166">
        <f t="shared" si="137"/>
        <v>0</v>
      </c>
      <c r="W3277" s="205"/>
      <c r="X3277" s="167"/>
    </row>
    <row r="3278" spans="8:24" s="221" customFormat="1" ht="12" hidden="1" customHeight="1">
      <c r="H3278" s="207"/>
      <c r="I3278" s="207"/>
      <c r="J3278" s="167"/>
      <c r="K3278" s="167"/>
      <c r="L3278" s="209"/>
      <c r="M3278" s="169"/>
      <c r="N3278" s="169"/>
      <c r="O3278" s="169">
        <f t="shared" si="136"/>
        <v>0</v>
      </c>
      <c r="P3278" s="169"/>
      <c r="Q3278" s="166">
        <f t="shared" si="135"/>
        <v>0</v>
      </c>
      <c r="R3278" s="207"/>
      <c r="S3278" s="207"/>
      <c r="T3278" s="207"/>
      <c r="U3278" s="207"/>
      <c r="V3278" s="166">
        <f t="shared" si="137"/>
        <v>0</v>
      </c>
      <c r="W3278" s="205"/>
      <c r="X3278" s="167"/>
    </row>
    <row r="3279" spans="8:24" s="221" customFormat="1" ht="12" hidden="1" customHeight="1">
      <c r="H3279" s="207"/>
      <c r="I3279" s="207"/>
      <c r="J3279" s="167"/>
      <c r="K3279" s="167"/>
      <c r="L3279" s="209"/>
      <c r="M3279" s="169"/>
      <c r="N3279" s="169"/>
      <c r="O3279" s="169">
        <f t="shared" si="136"/>
        <v>0</v>
      </c>
      <c r="P3279" s="169"/>
      <c r="Q3279" s="166">
        <f t="shared" si="135"/>
        <v>0</v>
      </c>
      <c r="R3279" s="207"/>
      <c r="S3279" s="207"/>
      <c r="T3279" s="207"/>
      <c r="U3279" s="207"/>
      <c r="V3279" s="166">
        <f t="shared" si="137"/>
        <v>0</v>
      </c>
      <c r="W3279" s="205"/>
      <c r="X3279" s="167"/>
    </row>
    <row r="3280" spans="8:24" s="221" customFormat="1" ht="12" hidden="1" customHeight="1">
      <c r="H3280" s="207"/>
      <c r="I3280" s="207"/>
      <c r="J3280" s="167"/>
      <c r="K3280" s="167"/>
      <c r="L3280" s="209"/>
      <c r="M3280" s="169"/>
      <c r="N3280" s="169"/>
      <c r="O3280" s="169">
        <f t="shared" si="136"/>
        <v>0</v>
      </c>
      <c r="P3280" s="169"/>
      <c r="Q3280" s="166">
        <f t="shared" si="135"/>
        <v>0</v>
      </c>
      <c r="R3280" s="207"/>
      <c r="S3280" s="207"/>
      <c r="T3280" s="207"/>
      <c r="U3280" s="207"/>
      <c r="V3280" s="166">
        <f t="shared" si="137"/>
        <v>0</v>
      </c>
      <c r="W3280" s="205"/>
      <c r="X3280" s="167"/>
    </row>
    <row r="3281" spans="8:24" s="221" customFormat="1" ht="12" hidden="1" customHeight="1">
      <c r="H3281" s="207"/>
      <c r="I3281" s="207"/>
      <c r="J3281" s="167"/>
      <c r="K3281" s="167"/>
      <c r="L3281" s="209"/>
      <c r="M3281" s="169"/>
      <c r="N3281" s="169"/>
      <c r="O3281" s="169">
        <f t="shared" si="136"/>
        <v>0</v>
      </c>
      <c r="P3281" s="169"/>
      <c r="Q3281" s="166">
        <f t="shared" si="135"/>
        <v>0</v>
      </c>
      <c r="R3281" s="207"/>
      <c r="S3281" s="207"/>
      <c r="T3281" s="207"/>
      <c r="U3281" s="207"/>
      <c r="V3281" s="166">
        <f t="shared" si="137"/>
        <v>0</v>
      </c>
      <c r="W3281" s="205"/>
      <c r="X3281" s="167"/>
    </row>
    <row r="3282" spans="8:24" s="221" customFormat="1" ht="12" hidden="1" customHeight="1">
      <c r="H3282" s="207"/>
      <c r="I3282" s="207"/>
      <c r="J3282" s="167"/>
      <c r="K3282" s="167"/>
      <c r="L3282" s="209"/>
      <c r="M3282" s="169"/>
      <c r="N3282" s="169"/>
      <c r="O3282" s="169">
        <f t="shared" si="136"/>
        <v>0</v>
      </c>
      <c r="P3282" s="169"/>
      <c r="Q3282" s="166">
        <f t="shared" si="135"/>
        <v>0</v>
      </c>
      <c r="R3282" s="207"/>
      <c r="S3282" s="207"/>
      <c r="T3282" s="207"/>
      <c r="U3282" s="207"/>
      <c r="V3282" s="166">
        <f t="shared" si="137"/>
        <v>0</v>
      </c>
      <c r="W3282" s="205"/>
      <c r="X3282" s="167"/>
    </row>
    <row r="3283" spans="8:24" s="221" customFormat="1" ht="12" hidden="1" customHeight="1">
      <c r="H3283" s="207"/>
      <c r="I3283" s="207"/>
      <c r="J3283" s="167"/>
      <c r="K3283" s="167"/>
      <c r="L3283" s="209"/>
      <c r="M3283" s="169"/>
      <c r="N3283" s="169"/>
      <c r="O3283" s="169">
        <f t="shared" si="136"/>
        <v>0</v>
      </c>
      <c r="P3283" s="169"/>
      <c r="Q3283" s="166">
        <f t="shared" si="135"/>
        <v>0</v>
      </c>
      <c r="R3283" s="207"/>
      <c r="S3283" s="207"/>
      <c r="T3283" s="207"/>
      <c r="U3283" s="207"/>
      <c r="V3283" s="166">
        <f t="shared" si="137"/>
        <v>0</v>
      </c>
      <c r="W3283" s="205"/>
      <c r="X3283" s="167"/>
    </row>
    <row r="3284" spans="8:24" s="221" customFormat="1" ht="12" hidden="1" customHeight="1">
      <c r="H3284" s="207"/>
      <c r="I3284" s="207"/>
      <c r="J3284" s="167"/>
      <c r="K3284" s="167"/>
      <c r="L3284" s="209"/>
      <c r="M3284" s="169"/>
      <c r="N3284" s="169"/>
      <c r="O3284" s="169">
        <f t="shared" si="136"/>
        <v>0</v>
      </c>
      <c r="P3284" s="169"/>
      <c r="Q3284" s="166">
        <f t="shared" si="135"/>
        <v>0</v>
      </c>
      <c r="R3284" s="207"/>
      <c r="S3284" s="207"/>
      <c r="T3284" s="207"/>
      <c r="U3284" s="207"/>
      <c r="V3284" s="166">
        <f t="shared" si="137"/>
        <v>0</v>
      </c>
      <c r="W3284" s="205"/>
      <c r="X3284" s="167"/>
    </row>
    <row r="3285" spans="8:24" s="221" customFormat="1" ht="12" hidden="1" customHeight="1">
      <c r="H3285" s="207"/>
      <c r="I3285" s="207"/>
      <c r="J3285" s="167"/>
      <c r="K3285" s="167"/>
      <c r="L3285" s="209"/>
      <c r="M3285" s="169"/>
      <c r="N3285" s="169"/>
      <c r="O3285" s="169">
        <f t="shared" si="136"/>
        <v>0</v>
      </c>
      <c r="P3285" s="169"/>
      <c r="Q3285" s="166">
        <f t="shared" si="135"/>
        <v>0</v>
      </c>
      <c r="R3285" s="207"/>
      <c r="S3285" s="207"/>
      <c r="T3285" s="207"/>
      <c r="U3285" s="207"/>
      <c r="V3285" s="166">
        <f t="shared" si="137"/>
        <v>0</v>
      </c>
      <c r="W3285" s="205"/>
      <c r="X3285" s="167"/>
    </row>
    <row r="3286" spans="8:24" s="221" customFormat="1" ht="12" hidden="1" customHeight="1">
      <c r="H3286" s="207"/>
      <c r="I3286" s="207"/>
      <c r="J3286" s="167"/>
      <c r="K3286" s="167"/>
      <c r="L3286" s="209"/>
      <c r="M3286" s="169"/>
      <c r="N3286" s="169"/>
      <c r="O3286" s="169">
        <f t="shared" si="136"/>
        <v>0</v>
      </c>
      <c r="P3286" s="169"/>
      <c r="Q3286" s="166">
        <f t="shared" si="135"/>
        <v>0</v>
      </c>
      <c r="R3286" s="207"/>
      <c r="S3286" s="207"/>
      <c r="T3286" s="207"/>
      <c r="U3286" s="207"/>
      <c r="V3286" s="166">
        <f t="shared" si="137"/>
        <v>0</v>
      </c>
      <c r="W3286" s="205"/>
      <c r="X3286" s="167"/>
    </row>
    <row r="3287" spans="8:24" s="221" customFormat="1" ht="12" hidden="1" customHeight="1">
      <c r="H3287" s="207"/>
      <c r="I3287" s="207"/>
      <c r="J3287" s="167"/>
      <c r="K3287" s="167"/>
      <c r="L3287" s="209"/>
      <c r="M3287" s="169"/>
      <c r="N3287" s="169"/>
      <c r="O3287" s="169">
        <f t="shared" si="136"/>
        <v>0</v>
      </c>
      <c r="P3287" s="169"/>
      <c r="Q3287" s="166">
        <f t="shared" si="135"/>
        <v>0</v>
      </c>
      <c r="R3287" s="207"/>
      <c r="S3287" s="207"/>
      <c r="T3287" s="207"/>
      <c r="U3287" s="207"/>
      <c r="V3287" s="166">
        <f t="shared" si="137"/>
        <v>0</v>
      </c>
      <c r="W3287" s="205"/>
      <c r="X3287" s="167"/>
    </row>
    <row r="3288" spans="8:24" s="221" customFormat="1" ht="12" hidden="1" customHeight="1">
      <c r="H3288" s="207"/>
      <c r="I3288" s="207"/>
      <c r="J3288" s="167"/>
      <c r="K3288" s="167"/>
      <c r="L3288" s="209"/>
      <c r="M3288" s="169"/>
      <c r="N3288" s="169"/>
      <c r="O3288" s="169">
        <f t="shared" si="136"/>
        <v>0</v>
      </c>
      <c r="P3288" s="169"/>
      <c r="Q3288" s="166">
        <f t="shared" si="135"/>
        <v>0</v>
      </c>
      <c r="R3288" s="207"/>
      <c r="S3288" s="207"/>
      <c r="T3288" s="207"/>
      <c r="U3288" s="207"/>
      <c r="V3288" s="166">
        <f t="shared" si="137"/>
        <v>0</v>
      </c>
      <c r="W3288" s="205"/>
      <c r="X3288" s="167"/>
    </row>
    <row r="3289" spans="8:24" s="221" customFormat="1" ht="12" hidden="1" customHeight="1">
      <c r="H3289" s="207"/>
      <c r="I3289" s="207"/>
      <c r="J3289" s="167"/>
      <c r="K3289" s="167"/>
      <c r="L3289" s="209"/>
      <c r="M3289" s="169"/>
      <c r="N3289" s="169"/>
      <c r="O3289" s="169">
        <f t="shared" si="136"/>
        <v>0</v>
      </c>
      <c r="P3289" s="169"/>
      <c r="Q3289" s="166">
        <f t="shared" si="135"/>
        <v>0</v>
      </c>
      <c r="R3289" s="207"/>
      <c r="S3289" s="207"/>
      <c r="T3289" s="207"/>
      <c r="U3289" s="207"/>
      <c r="V3289" s="166">
        <f t="shared" si="137"/>
        <v>0</v>
      </c>
      <c r="W3289" s="205"/>
      <c r="X3289" s="167"/>
    </row>
    <row r="3290" spans="8:24" s="221" customFormat="1" ht="12" hidden="1" customHeight="1">
      <c r="H3290" s="207"/>
      <c r="I3290" s="207"/>
      <c r="J3290" s="167"/>
      <c r="K3290" s="167"/>
      <c r="L3290" s="209"/>
      <c r="M3290" s="169"/>
      <c r="N3290" s="169"/>
      <c r="O3290" s="169">
        <f t="shared" si="136"/>
        <v>0</v>
      </c>
      <c r="P3290" s="169"/>
      <c r="Q3290" s="166">
        <f t="shared" si="135"/>
        <v>0</v>
      </c>
      <c r="R3290" s="207"/>
      <c r="S3290" s="207"/>
      <c r="T3290" s="207"/>
      <c r="U3290" s="207"/>
      <c r="V3290" s="166">
        <f t="shared" si="137"/>
        <v>0</v>
      </c>
      <c r="W3290" s="205"/>
      <c r="X3290" s="167"/>
    </row>
    <row r="3291" spans="8:24" s="221" customFormat="1" ht="12" hidden="1" customHeight="1">
      <c r="H3291" s="207"/>
      <c r="I3291" s="207"/>
      <c r="J3291" s="167"/>
      <c r="K3291" s="167"/>
      <c r="L3291" s="209"/>
      <c r="M3291" s="169"/>
      <c r="N3291" s="169"/>
      <c r="O3291" s="169">
        <f t="shared" si="136"/>
        <v>0</v>
      </c>
      <c r="P3291" s="169"/>
      <c r="Q3291" s="166">
        <f t="shared" si="135"/>
        <v>0</v>
      </c>
      <c r="R3291" s="207"/>
      <c r="S3291" s="207"/>
      <c r="T3291" s="207"/>
      <c r="U3291" s="207"/>
      <c r="V3291" s="166">
        <f t="shared" si="137"/>
        <v>0</v>
      </c>
      <c r="W3291" s="205"/>
      <c r="X3291" s="167"/>
    </row>
    <row r="3292" spans="8:24" s="221" customFormat="1" ht="12" hidden="1" customHeight="1">
      <c r="H3292" s="207"/>
      <c r="I3292" s="207"/>
      <c r="J3292" s="167"/>
      <c r="K3292" s="167"/>
      <c r="L3292" s="209"/>
      <c r="M3292" s="169"/>
      <c r="N3292" s="169"/>
      <c r="O3292" s="169">
        <f t="shared" si="136"/>
        <v>0</v>
      </c>
      <c r="P3292" s="169"/>
      <c r="Q3292" s="166">
        <f t="shared" si="135"/>
        <v>0</v>
      </c>
      <c r="R3292" s="207"/>
      <c r="S3292" s="207"/>
      <c r="T3292" s="207"/>
      <c r="U3292" s="207"/>
      <c r="V3292" s="166">
        <f t="shared" si="137"/>
        <v>0</v>
      </c>
      <c r="W3292" s="205"/>
      <c r="X3292" s="167"/>
    </row>
    <row r="3293" spans="8:24" s="221" customFormat="1" ht="12" hidden="1" customHeight="1">
      <c r="H3293" s="207"/>
      <c r="I3293" s="207"/>
      <c r="J3293" s="167"/>
      <c r="K3293" s="167"/>
      <c r="L3293" s="209"/>
      <c r="M3293" s="169"/>
      <c r="N3293" s="169"/>
      <c r="O3293" s="169">
        <f t="shared" si="136"/>
        <v>0</v>
      </c>
      <c r="P3293" s="169"/>
      <c r="Q3293" s="166">
        <f t="shared" si="135"/>
        <v>0</v>
      </c>
      <c r="R3293" s="207"/>
      <c r="S3293" s="207"/>
      <c r="T3293" s="207"/>
      <c r="U3293" s="207"/>
      <c r="V3293" s="166">
        <f t="shared" si="137"/>
        <v>0</v>
      </c>
      <c r="W3293" s="205"/>
      <c r="X3293" s="167"/>
    </row>
    <row r="3294" spans="8:24" s="221" customFormat="1" ht="12" hidden="1" customHeight="1">
      <c r="H3294" s="207"/>
      <c r="I3294" s="207"/>
      <c r="J3294" s="167"/>
      <c r="K3294" s="167"/>
      <c r="L3294" s="209"/>
      <c r="M3294" s="169"/>
      <c r="N3294" s="169"/>
      <c r="O3294" s="169">
        <f t="shared" si="136"/>
        <v>0</v>
      </c>
      <c r="P3294" s="169"/>
      <c r="Q3294" s="166">
        <f t="shared" si="135"/>
        <v>0</v>
      </c>
      <c r="R3294" s="207"/>
      <c r="S3294" s="207"/>
      <c r="T3294" s="207"/>
      <c r="U3294" s="207"/>
      <c r="V3294" s="166">
        <f t="shared" si="137"/>
        <v>0</v>
      </c>
      <c r="W3294" s="205"/>
      <c r="X3294" s="167"/>
    </row>
    <row r="3295" spans="8:24" s="221" customFormat="1" ht="12" hidden="1" customHeight="1">
      <c r="H3295" s="207"/>
      <c r="I3295" s="207"/>
      <c r="J3295" s="167"/>
      <c r="K3295" s="167"/>
      <c r="L3295" s="209"/>
      <c r="M3295" s="169"/>
      <c r="N3295" s="169"/>
      <c r="O3295" s="169">
        <f t="shared" si="136"/>
        <v>0</v>
      </c>
      <c r="P3295" s="169"/>
      <c r="Q3295" s="166">
        <f t="shared" si="135"/>
        <v>0</v>
      </c>
      <c r="R3295" s="207"/>
      <c r="S3295" s="207"/>
      <c r="T3295" s="207"/>
      <c r="U3295" s="207"/>
      <c r="V3295" s="166">
        <f t="shared" si="137"/>
        <v>0</v>
      </c>
      <c r="W3295" s="205"/>
      <c r="X3295" s="167"/>
    </row>
    <row r="3296" spans="8:24" s="221" customFormat="1" ht="12" hidden="1" customHeight="1">
      <c r="H3296" s="207"/>
      <c r="I3296" s="207"/>
      <c r="J3296" s="167"/>
      <c r="K3296" s="167"/>
      <c r="L3296" s="209"/>
      <c r="M3296" s="169"/>
      <c r="N3296" s="169"/>
      <c r="O3296" s="169">
        <f t="shared" si="136"/>
        <v>0</v>
      </c>
      <c r="P3296" s="169"/>
      <c r="Q3296" s="166">
        <f t="shared" si="135"/>
        <v>0</v>
      </c>
      <c r="R3296" s="207"/>
      <c r="S3296" s="207"/>
      <c r="T3296" s="207"/>
      <c r="U3296" s="207"/>
      <c r="V3296" s="166">
        <f t="shared" si="137"/>
        <v>0</v>
      </c>
      <c r="W3296" s="205"/>
      <c r="X3296" s="167"/>
    </row>
    <row r="3297" spans="8:24" s="221" customFormat="1" ht="12" hidden="1" customHeight="1">
      <c r="H3297" s="207"/>
      <c r="I3297" s="207"/>
      <c r="J3297" s="167"/>
      <c r="K3297" s="167"/>
      <c r="L3297" s="209"/>
      <c r="M3297" s="169"/>
      <c r="N3297" s="169"/>
      <c r="O3297" s="169">
        <f t="shared" si="136"/>
        <v>0</v>
      </c>
      <c r="P3297" s="169"/>
      <c r="Q3297" s="166">
        <f t="shared" si="135"/>
        <v>0</v>
      </c>
      <c r="R3297" s="207"/>
      <c r="S3297" s="207"/>
      <c r="T3297" s="207"/>
      <c r="U3297" s="207"/>
      <c r="V3297" s="166">
        <f t="shared" si="137"/>
        <v>0</v>
      </c>
      <c r="W3297" s="205"/>
      <c r="X3297" s="167"/>
    </row>
    <row r="3298" spans="8:24" s="221" customFormat="1" ht="12" hidden="1" customHeight="1">
      <c r="H3298" s="207"/>
      <c r="I3298" s="207"/>
      <c r="J3298" s="167"/>
      <c r="K3298" s="167"/>
      <c r="L3298" s="209"/>
      <c r="M3298" s="169"/>
      <c r="N3298" s="169"/>
      <c r="O3298" s="169">
        <f t="shared" si="136"/>
        <v>0</v>
      </c>
      <c r="P3298" s="169"/>
      <c r="Q3298" s="166">
        <f t="shared" si="135"/>
        <v>0</v>
      </c>
      <c r="R3298" s="207"/>
      <c r="S3298" s="207"/>
      <c r="T3298" s="207"/>
      <c r="U3298" s="207"/>
      <c r="V3298" s="166">
        <f t="shared" si="137"/>
        <v>0</v>
      </c>
      <c r="W3298" s="205"/>
      <c r="X3298" s="167"/>
    </row>
    <row r="3299" spans="8:24" s="221" customFormat="1" ht="12" hidden="1" customHeight="1">
      <c r="H3299" s="207"/>
      <c r="I3299" s="207"/>
      <c r="J3299" s="167"/>
      <c r="K3299" s="167"/>
      <c r="L3299" s="209"/>
      <c r="M3299" s="169"/>
      <c r="N3299" s="169"/>
      <c r="O3299" s="169">
        <f t="shared" si="136"/>
        <v>0</v>
      </c>
      <c r="P3299" s="169"/>
      <c r="Q3299" s="166">
        <f t="shared" si="135"/>
        <v>0</v>
      </c>
      <c r="R3299" s="207"/>
      <c r="S3299" s="207"/>
      <c r="T3299" s="207"/>
      <c r="U3299" s="207"/>
      <c r="V3299" s="166">
        <f t="shared" si="137"/>
        <v>0</v>
      </c>
      <c r="W3299" s="205"/>
      <c r="X3299" s="167"/>
    </row>
    <row r="3300" spans="8:24" s="221" customFormat="1" ht="12" hidden="1" customHeight="1">
      <c r="H3300" s="207"/>
      <c r="I3300" s="207"/>
      <c r="J3300" s="167"/>
      <c r="K3300" s="167"/>
      <c r="L3300" s="209"/>
      <c r="M3300" s="169"/>
      <c r="N3300" s="169"/>
      <c r="O3300" s="169">
        <f t="shared" si="136"/>
        <v>0</v>
      </c>
      <c r="P3300" s="169"/>
      <c r="Q3300" s="166">
        <f t="shared" si="135"/>
        <v>0</v>
      </c>
      <c r="R3300" s="207"/>
      <c r="S3300" s="207"/>
      <c r="T3300" s="207"/>
      <c r="U3300" s="207"/>
      <c r="V3300" s="166">
        <f t="shared" si="137"/>
        <v>0</v>
      </c>
      <c r="W3300" s="205"/>
      <c r="X3300" s="167"/>
    </row>
    <row r="3301" spans="8:24" s="221" customFormat="1" ht="12" hidden="1" customHeight="1">
      <c r="H3301" s="207"/>
      <c r="I3301" s="207"/>
      <c r="J3301" s="167"/>
      <c r="K3301" s="167"/>
      <c r="L3301" s="209"/>
      <c r="M3301" s="169"/>
      <c r="N3301" s="169"/>
      <c r="O3301" s="169">
        <f t="shared" si="136"/>
        <v>0</v>
      </c>
      <c r="P3301" s="169"/>
      <c r="Q3301" s="166">
        <f t="shared" si="135"/>
        <v>0</v>
      </c>
      <c r="R3301" s="207"/>
      <c r="S3301" s="207"/>
      <c r="T3301" s="207"/>
      <c r="U3301" s="207"/>
      <c r="V3301" s="166">
        <f t="shared" si="137"/>
        <v>0</v>
      </c>
      <c r="W3301" s="205"/>
      <c r="X3301" s="167"/>
    </row>
    <row r="3302" spans="8:24" s="221" customFormat="1" ht="12" hidden="1" customHeight="1">
      <c r="H3302" s="207"/>
      <c r="I3302" s="207"/>
      <c r="J3302" s="167"/>
      <c r="K3302" s="167"/>
      <c r="L3302" s="209"/>
      <c r="M3302" s="169"/>
      <c r="N3302" s="169"/>
      <c r="O3302" s="169">
        <f t="shared" si="136"/>
        <v>0</v>
      </c>
      <c r="P3302" s="169"/>
      <c r="Q3302" s="166">
        <f t="shared" si="135"/>
        <v>0</v>
      </c>
      <c r="R3302" s="207"/>
      <c r="S3302" s="207"/>
      <c r="T3302" s="207"/>
      <c r="U3302" s="207"/>
      <c r="V3302" s="166">
        <f t="shared" si="137"/>
        <v>0</v>
      </c>
      <c r="W3302" s="205"/>
      <c r="X3302" s="167"/>
    </row>
    <row r="3303" spans="8:24" s="221" customFormat="1" ht="12" hidden="1" customHeight="1">
      <c r="H3303" s="207"/>
      <c r="I3303" s="207"/>
      <c r="J3303" s="167"/>
      <c r="K3303" s="167"/>
      <c r="L3303" s="209"/>
      <c r="M3303" s="169"/>
      <c r="N3303" s="169"/>
      <c r="O3303" s="169">
        <f t="shared" si="136"/>
        <v>0</v>
      </c>
      <c r="P3303" s="169"/>
      <c r="Q3303" s="166">
        <f t="shared" si="135"/>
        <v>0</v>
      </c>
      <c r="R3303" s="207"/>
      <c r="S3303" s="207"/>
      <c r="T3303" s="207"/>
      <c r="U3303" s="207"/>
      <c r="V3303" s="166">
        <f t="shared" si="137"/>
        <v>0</v>
      </c>
      <c r="W3303" s="205"/>
      <c r="X3303" s="167"/>
    </row>
    <row r="3304" spans="8:24" s="221" customFormat="1" ht="12" hidden="1" customHeight="1">
      <c r="H3304" s="207"/>
      <c r="I3304" s="207"/>
      <c r="J3304" s="167"/>
      <c r="K3304" s="167"/>
      <c r="L3304" s="209"/>
      <c r="M3304" s="169"/>
      <c r="N3304" s="169"/>
      <c r="O3304" s="169">
        <f t="shared" si="136"/>
        <v>0</v>
      </c>
      <c r="P3304" s="169"/>
      <c r="Q3304" s="166">
        <f t="shared" si="135"/>
        <v>0</v>
      </c>
      <c r="R3304" s="207"/>
      <c r="S3304" s="207"/>
      <c r="T3304" s="207"/>
      <c r="U3304" s="207"/>
      <c r="V3304" s="166">
        <f t="shared" si="137"/>
        <v>0</v>
      </c>
      <c r="W3304" s="205"/>
      <c r="X3304" s="167"/>
    </row>
    <row r="3305" spans="8:24" s="221" customFormat="1" ht="12" hidden="1" customHeight="1">
      <c r="H3305" s="207"/>
      <c r="I3305" s="207"/>
      <c r="J3305" s="167"/>
      <c r="K3305" s="167"/>
      <c r="L3305" s="209"/>
      <c r="M3305" s="169"/>
      <c r="N3305" s="169"/>
      <c r="O3305" s="169">
        <f t="shared" si="136"/>
        <v>0</v>
      </c>
      <c r="P3305" s="169"/>
      <c r="Q3305" s="166">
        <f t="shared" si="135"/>
        <v>0</v>
      </c>
      <c r="R3305" s="207"/>
      <c r="S3305" s="207"/>
      <c r="T3305" s="207"/>
      <c r="U3305" s="207"/>
      <c r="V3305" s="166">
        <f t="shared" si="137"/>
        <v>0</v>
      </c>
      <c r="W3305" s="205"/>
      <c r="X3305" s="167"/>
    </row>
    <row r="3306" spans="8:24" s="221" customFormat="1" ht="12" hidden="1" customHeight="1">
      <c r="H3306" s="207"/>
      <c r="I3306" s="207"/>
      <c r="J3306" s="167"/>
      <c r="K3306" s="167"/>
      <c r="L3306" s="209"/>
      <c r="M3306" s="169"/>
      <c r="N3306" s="169"/>
      <c r="O3306" s="169">
        <f t="shared" si="136"/>
        <v>0</v>
      </c>
      <c r="P3306" s="169"/>
      <c r="Q3306" s="166">
        <f t="shared" si="135"/>
        <v>0</v>
      </c>
      <c r="R3306" s="207"/>
      <c r="S3306" s="207"/>
      <c r="T3306" s="207"/>
      <c r="U3306" s="207"/>
      <c r="V3306" s="166">
        <f t="shared" si="137"/>
        <v>0</v>
      </c>
      <c r="W3306" s="205"/>
      <c r="X3306" s="167"/>
    </row>
    <row r="3307" spans="8:24" s="221" customFormat="1" ht="12" hidden="1" customHeight="1">
      <c r="H3307" s="207"/>
      <c r="I3307" s="207"/>
      <c r="J3307" s="167"/>
      <c r="K3307" s="167"/>
      <c r="L3307" s="209"/>
      <c r="M3307" s="169"/>
      <c r="N3307" s="169"/>
      <c r="O3307" s="169">
        <f t="shared" si="136"/>
        <v>0</v>
      </c>
      <c r="P3307" s="169"/>
      <c r="Q3307" s="166">
        <f t="shared" si="135"/>
        <v>0</v>
      </c>
      <c r="R3307" s="207"/>
      <c r="S3307" s="207"/>
      <c r="T3307" s="207"/>
      <c r="U3307" s="207"/>
      <c r="V3307" s="166">
        <f t="shared" si="137"/>
        <v>0</v>
      </c>
      <c r="W3307" s="205"/>
      <c r="X3307" s="167"/>
    </row>
    <row r="3308" spans="8:24" s="221" customFormat="1" ht="12" hidden="1" customHeight="1">
      <c r="H3308" s="207"/>
      <c r="I3308" s="207"/>
      <c r="J3308" s="167"/>
      <c r="K3308" s="167"/>
      <c r="L3308" s="209"/>
      <c r="M3308" s="169"/>
      <c r="N3308" s="169"/>
      <c r="O3308" s="169">
        <f t="shared" si="136"/>
        <v>0</v>
      </c>
      <c r="P3308" s="169"/>
      <c r="Q3308" s="166">
        <f t="shared" si="135"/>
        <v>0</v>
      </c>
      <c r="R3308" s="207"/>
      <c r="S3308" s="207"/>
      <c r="T3308" s="207"/>
      <c r="U3308" s="207"/>
      <c r="V3308" s="166">
        <f t="shared" si="137"/>
        <v>0</v>
      </c>
      <c r="W3308" s="205"/>
      <c r="X3308" s="167"/>
    </row>
    <row r="3309" spans="8:24" s="221" customFormat="1" ht="12" hidden="1" customHeight="1">
      <c r="H3309" s="207"/>
      <c r="I3309" s="207"/>
      <c r="J3309" s="167"/>
      <c r="K3309" s="167"/>
      <c r="L3309" s="209"/>
      <c r="M3309" s="169"/>
      <c r="N3309" s="169"/>
      <c r="O3309" s="169">
        <f t="shared" si="136"/>
        <v>0</v>
      </c>
      <c r="P3309" s="169"/>
      <c r="Q3309" s="166">
        <f t="shared" si="135"/>
        <v>0</v>
      </c>
      <c r="R3309" s="207"/>
      <c r="S3309" s="207"/>
      <c r="T3309" s="207"/>
      <c r="U3309" s="207"/>
      <c r="V3309" s="166">
        <f t="shared" si="137"/>
        <v>0</v>
      </c>
      <c r="W3309" s="205"/>
      <c r="X3309" s="167"/>
    </row>
    <row r="3310" spans="8:24" s="221" customFormat="1" ht="12" hidden="1" customHeight="1">
      <c r="H3310" s="207"/>
      <c r="I3310" s="207"/>
      <c r="J3310" s="167"/>
      <c r="K3310" s="167"/>
      <c r="L3310" s="209"/>
      <c r="M3310" s="169"/>
      <c r="N3310" s="169"/>
      <c r="O3310" s="169">
        <f t="shared" si="136"/>
        <v>0</v>
      </c>
      <c r="P3310" s="169"/>
      <c r="Q3310" s="166">
        <f t="shared" si="135"/>
        <v>0</v>
      </c>
      <c r="R3310" s="207"/>
      <c r="S3310" s="207"/>
      <c r="T3310" s="207"/>
      <c r="U3310" s="207"/>
      <c r="V3310" s="166">
        <f t="shared" si="137"/>
        <v>0</v>
      </c>
      <c r="W3310" s="205"/>
      <c r="X3310" s="167"/>
    </row>
    <row r="3311" spans="8:24" s="221" customFormat="1" ht="12" hidden="1" customHeight="1">
      <c r="H3311" s="207"/>
      <c r="I3311" s="207"/>
      <c r="J3311" s="167"/>
      <c r="K3311" s="167"/>
      <c r="L3311" s="209"/>
      <c r="M3311" s="169"/>
      <c r="N3311" s="169"/>
      <c r="O3311" s="169">
        <f t="shared" si="136"/>
        <v>0</v>
      </c>
      <c r="P3311" s="169"/>
      <c r="Q3311" s="166">
        <f t="shared" ref="Q3311:Q3374" si="138">IF(W3311="",M3311*P3311*$Q$3*$W$3,M3311*P3311*$Q$3*W3311)</f>
        <v>0</v>
      </c>
      <c r="R3311" s="207"/>
      <c r="S3311" s="207"/>
      <c r="T3311" s="207"/>
      <c r="U3311" s="207"/>
      <c r="V3311" s="166">
        <f t="shared" si="137"/>
        <v>0</v>
      </c>
      <c r="W3311" s="205"/>
      <c r="X3311" s="167"/>
    </row>
    <row r="3312" spans="8:24" s="221" customFormat="1" ht="12" hidden="1" customHeight="1">
      <c r="H3312" s="207"/>
      <c r="I3312" s="207"/>
      <c r="J3312" s="167"/>
      <c r="K3312" s="167"/>
      <c r="L3312" s="209"/>
      <c r="M3312" s="169"/>
      <c r="N3312" s="169"/>
      <c r="O3312" s="169">
        <f t="shared" si="136"/>
        <v>0</v>
      </c>
      <c r="P3312" s="169"/>
      <c r="Q3312" s="166">
        <f t="shared" si="138"/>
        <v>0</v>
      </c>
      <c r="R3312" s="207"/>
      <c r="S3312" s="207"/>
      <c r="T3312" s="207"/>
      <c r="U3312" s="207"/>
      <c r="V3312" s="166">
        <f t="shared" si="137"/>
        <v>0</v>
      </c>
      <c r="W3312" s="205"/>
      <c r="X3312" s="167"/>
    </row>
    <row r="3313" spans="8:24" s="221" customFormat="1" ht="12" hidden="1" customHeight="1">
      <c r="H3313" s="207"/>
      <c r="I3313" s="207"/>
      <c r="J3313" s="167"/>
      <c r="K3313" s="167"/>
      <c r="L3313" s="209"/>
      <c r="M3313" s="169"/>
      <c r="N3313" s="169"/>
      <c r="O3313" s="169">
        <f t="shared" si="136"/>
        <v>0</v>
      </c>
      <c r="P3313" s="169"/>
      <c r="Q3313" s="166">
        <f t="shared" si="138"/>
        <v>0</v>
      </c>
      <c r="R3313" s="207"/>
      <c r="S3313" s="207"/>
      <c r="T3313" s="207"/>
      <c r="U3313" s="207"/>
      <c r="V3313" s="166">
        <f t="shared" si="137"/>
        <v>0</v>
      </c>
      <c r="W3313" s="205"/>
      <c r="X3313" s="167"/>
    </row>
    <row r="3314" spans="8:24" s="221" customFormat="1" ht="12" hidden="1" customHeight="1">
      <c r="H3314" s="207"/>
      <c r="I3314" s="207"/>
      <c r="J3314" s="167"/>
      <c r="K3314" s="167"/>
      <c r="L3314" s="209"/>
      <c r="M3314" s="169"/>
      <c r="N3314" s="169"/>
      <c r="O3314" s="169">
        <f t="shared" si="136"/>
        <v>0</v>
      </c>
      <c r="P3314" s="169"/>
      <c r="Q3314" s="166">
        <f t="shared" si="138"/>
        <v>0</v>
      </c>
      <c r="R3314" s="207"/>
      <c r="S3314" s="207"/>
      <c r="T3314" s="207"/>
      <c r="U3314" s="207"/>
      <c r="V3314" s="166">
        <f t="shared" si="137"/>
        <v>0</v>
      </c>
      <c r="W3314" s="205"/>
      <c r="X3314" s="167"/>
    </row>
    <row r="3315" spans="8:24" s="221" customFormat="1" ht="12" hidden="1" customHeight="1">
      <c r="H3315" s="207"/>
      <c r="I3315" s="207"/>
      <c r="J3315" s="167"/>
      <c r="K3315" s="167"/>
      <c r="L3315" s="209"/>
      <c r="M3315" s="169"/>
      <c r="N3315" s="169"/>
      <c r="O3315" s="169">
        <f t="shared" si="136"/>
        <v>0</v>
      </c>
      <c r="P3315" s="169"/>
      <c r="Q3315" s="166">
        <f t="shared" si="138"/>
        <v>0</v>
      </c>
      <c r="R3315" s="207"/>
      <c r="S3315" s="207"/>
      <c r="T3315" s="207"/>
      <c r="U3315" s="207"/>
      <c r="V3315" s="166">
        <f t="shared" si="137"/>
        <v>0</v>
      </c>
      <c r="W3315" s="205"/>
      <c r="X3315" s="167"/>
    </row>
    <row r="3316" spans="8:24" s="221" customFormat="1" ht="12" hidden="1" customHeight="1">
      <c r="H3316" s="207"/>
      <c r="I3316" s="207"/>
      <c r="J3316" s="167"/>
      <c r="K3316" s="167"/>
      <c r="L3316" s="209"/>
      <c r="M3316" s="169"/>
      <c r="N3316" s="169"/>
      <c r="O3316" s="169">
        <f t="shared" si="136"/>
        <v>0</v>
      </c>
      <c r="P3316" s="169"/>
      <c r="Q3316" s="166">
        <f t="shared" si="138"/>
        <v>0</v>
      </c>
      <c r="R3316" s="207"/>
      <c r="S3316" s="207"/>
      <c r="T3316" s="207"/>
      <c r="U3316" s="207"/>
      <c r="V3316" s="166">
        <f t="shared" si="137"/>
        <v>0</v>
      </c>
      <c r="W3316" s="205"/>
      <c r="X3316" s="167"/>
    </row>
    <row r="3317" spans="8:24" s="221" customFormat="1" ht="12" hidden="1" customHeight="1">
      <c r="H3317" s="207"/>
      <c r="I3317" s="207"/>
      <c r="J3317" s="167"/>
      <c r="K3317" s="167"/>
      <c r="L3317" s="209"/>
      <c r="M3317" s="169"/>
      <c r="N3317" s="169"/>
      <c r="O3317" s="169">
        <f t="shared" si="136"/>
        <v>0</v>
      </c>
      <c r="P3317" s="169"/>
      <c r="Q3317" s="166">
        <f t="shared" si="138"/>
        <v>0</v>
      </c>
      <c r="R3317" s="207"/>
      <c r="S3317" s="207"/>
      <c r="T3317" s="207"/>
      <c r="U3317" s="207"/>
      <c r="V3317" s="166">
        <f t="shared" si="137"/>
        <v>0</v>
      </c>
      <c r="W3317" s="205"/>
      <c r="X3317" s="167"/>
    </row>
    <row r="3318" spans="8:24" s="221" customFormat="1" ht="12" hidden="1" customHeight="1">
      <c r="H3318" s="207"/>
      <c r="I3318" s="207"/>
      <c r="J3318" s="167"/>
      <c r="K3318" s="167"/>
      <c r="L3318" s="209"/>
      <c r="M3318" s="169"/>
      <c r="N3318" s="169"/>
      <c r="O3318" s="169">
        <f t="shared" si="136"/>
        <v>0</v>
      </c>
      <c r="P3318" s="169"/>
      <c r="Q3318" s="166">
        <f t="shared" si="138"/>
        <v>0</v>
      </c>
      <c r="R3318" s="207"/>
      <c r="S3318" s="207"/>
      <c r="T3318" s="207"/>
      <c r="U3318" s="207"/>
      <c r="V3318" s="166">
        <f t="shared" si="137"/>
        <v>0</v>
      </c>
      <c r="W3318" s="205"/>
      <c r="X3318" s="167"/>
    </row>
    <row r="3319" spans="8:24" s="221" customFormat="1" ht="12" hidden="1" customHeight="1">
      <c r="H3319" s="207"/>
      <c r="I3319" s="207"/>
      <c r="J3319" s="167"/>
      <c r="K3319" s="167"/>
      <c r="L3319" s="209"/>
      <c r="M3319" s="169"/>
      <c r="N3319" s="169"/>
      <c r="O3319" s="169">
        <f t="shared" si="136"/>
        <v>0</v>
      </c>
      <c r="P3319" s="169"/>
      <c r="Q3319" s="166">
        <f t="shared" si="138"/>
        <v>0</v>
      </c>
      <c r="R3319" s="207"/>
      <c r="S3319" s="207"/>
      <c r="T3319" s="207"/>
      <c r="U3319" s="207"/>
      <c r="V3319" s="166">
        <f t="shared" si="137"/>
        <v>0</v>
      </c>
      <c r="W3319" s="205"/>
      <c r="X3319" s="167"/>
    </row>
    <row r="3320" spans="8:24" s="221" customFormat="1" ht="12" hidden="1" customHeight="1">
      <c r="H3320" s="207"/>
      <c r="I3320" s="207"/>
      <c r="J3320" s="167"/>
      <c r="K3320" s="167"/>
      <c r="L3320" s="209"/>
      <c r="M3320" s="169"/>
      <c r="N3320" s="169"/>
      <c r="O3320" s="169">
        <f t="shared" si="136"/>
        <v>0</v>
      </c>
      <c r="P3320" s="169"/>
      <c r="Q3320" s="166">
        <f t="shared" si="138"/>
        <v>0</v>
      </c>
      <c r="R3320" s="207"/>
      <c r="S3320" s="207"/>
      <c r="T3320" s="207"/>
      <c r="U3320" s="207"/>
      <c r="V3320" s="166">
        <f t="shared" si="137"/>
        <v>0</v>
      </c>
      <c r="W3320" s="205"/>
      <c r="X3320" s="167"/>
    </row>
    <row r="3321" spans="8:24" s="221" customFormat="1" ht="12" hidden="1" customHeight="1">
      <c r="H3321" s="207"/>
      <c r="I3321" s="207"/>
      <c r="J3321" s="167"/>
      <c r="K3321" s="167"/>
      <c r="L3321" s="209"/>
      <c r="M3321" s="169"/>
      <c r="N3321" s="169"/>
      <c r="O3321" s="169">
        <f t="shared" si="136"/>
        <v>0</v>
      </c>
      <c r="P3321" s="169"/>
      <c r="Q3321" s="166">
        <f t="shared" si="138"/>
        <v>0</v>
      </c>
      <c r="R3321" s="207"/>
      <c r="S3321" s="207"/>
      <c r="T3321" s="207"/>
      <c r="U3321" s="207"/>
      <c r="V3321" s="166">
        <f t="shared" si="137"/>
        <v>0</v>
      </c>
      <c r="W3321" s="205"/>
      <c r="X3321" s="167"/>
    </row>
    <row r="3322" spans="8:24" s="221" customFormat="1" ht="12" hidden="1" customHeight="1">
      <c r="H3322" s="207"/>
      <c r="I3322" s="207"/>
      <c r="J3322" s="167"/>
      <c r="K3322" s="167"/>
      <c r="L3322" s="209"/>
      <c r="M3322" s="169"/>
      <c r="N3322" s="169"/>
      <c r="O3322" s="169">
        <f t="shared" si="136"/>
        <v>0</v>
      </c>
      <c r="P3322" s="169"/>
      <c r="Q3322" s="166">
        <f t="shared" si="138"/>
        <v>0</v>
      </c>
      <c r="R3322" s="207"/>
      <c r="S3322" s="207"/>
      <c r="T3322" s="207"/>
      <c r="U3322" s="207"/>
      <c r="V3322" s="166">
        <f t="shared" si="137"/>
        <v>0</v>
      </c>
      <c r="W3322" s="205"/>
      <c r="X3322" s="167"/>
    </row>
    <row r="3323" spans="8:24" s="221" customFormat="1" ht="12" hidden="1" customHeight="1">
      <c r="H3323" s="207"/>
      <c r="I3323" s="207"/>
      <c r="J3323" s="167"/>
      <c r="K3323" s="167"/>
      <c r="L3323" s="209"/>
      <c r="M3323" s="169"/>
      <c r="N3323" s="169"/>
      <c r="O3323" s="169">
        <f t="shared" si="136"/>
        <v>0</v>
      </c>
      <c r="P3323" s="169"/>
      <c r="Q3323" s="166">
        <f t="shared" si="138"/>
        <v>0</v>
      </c>
      <c r="R3323" s="207"/>
      <c r="S3323" s="207"/>
      <c r="T3323" s="207"/>
      <c r="U3323" s="207"/>
      <c r="V3323" s="166">
        <f t="shared" si="137"/>
        <v>0</v>
      </c>
      <c r="W3323" s="205"/>
      <c r="X3323" s="167"/>
    </row>
    <row r="3324" spans="8:24" s="221" customFormat="1" ht="12" hidden="1" customHeight="1">
      <c r="H3324" s="207"/>
      <c r="I3324" s="207"/>
      <c r="J3324" s="167"/>
      <c r="K3324" s="167"/>
      <c r="L3324" s="209"/>
      <c r="M3324" s="169"/>
      <c r="N3324" s="169"/>
      <c r="O3324" s="169">
        <f t="shared" ref="O3324:O3387" si="139">M3324*N3324*$O$3</f>
        <v>0</v>
      </c>
      <c r="P3324" s="169"/>
      <c r="Q3324" s="166">
        <f t="shared" si="138"/>
        <v>0</v>
      </c>
      <c r="R3324" s="207"/>
      <c r="S3324" s="207"/>
      <c r="T3324" s="207"/>
      <c r="U3324" s="207"/>
      <c r="V3324" s="166">
        <f t="shared" si="137"/>
        <v>0</v>
      </c>
      <c r="W3324" s="205"/>
      <c r="X3324" s="167"/>
    </row>
    <row r="3325" spans="8:24" s="221" customFormat="1" ht="12" hidden="1" customHeight="1">
      <c r="H3325" s="207"/>
      <c r="I3325" s="207"/>
      <c r="J3325" s="167"/>
      <c r="K3325" s="167"/>
      <c r="L3325" s="209"/>
      <c r="M3325" s="169"/>
      <c r="N3325" s="169"/>
      <c r="O3325" s="169">
        <f t="shared" si="139"/>
        <v>0</v>
      </c>
      <c r="P3325" s="169"/>
      <c r="Q3325" s="166">
        <f t="shared" si="138"/>
        <v>0</v>
      </c>
      <c r="R3325" s="207"/>
      <c r="S3325" s="207"/>
      <c r="T3325" s="207"/>
      <c r="U3325" s="207"/>
      <c r="V3325" s="166">
        <f t="shared" si="137"/>
        <v>0</v>
      </c>
      <c r="W3325" s="205"/>
      <c r="X3325" s="167"/>
    </row>
    <row r="3326" spans="8:24" s="221" customFormat="1" ht="12" hidden="1" customHeight="1">
      <c r="H3326" s="207"/>
      <c r="I3326" s="207"/>
      <c r="J3326" s="167"/>
      <c r="K3326" s="167"/>
      <c r="L3326" s="209"/>
      <c r="M3326" s="169"/>
      <c r="N3326" s="169"/>
      <c r="O3326" s="169">
        <f t="shared" si="139"/>
        <v>0</v>
      </c>
      <c r="P3326" s="169"/>
      <c r="Q3326" s="166">
        <f t="shared" si="138"/>
        <v>0</v>
      </c>
      <c r="R3326" s="207"/>
      <c r="S3326" s="207"/>
      <c r="T3326" s="207"/>
      <c r="U3326" s="207"/>
      <c r="V3326" s="166">
        <f t="shared" si="137"/>
        <v>0</v>
      </c>
      <c r="W3326" s="205"/>
      <c r="X3326" s="167"/>
    </row>
    <row r="3327" spans="8:24" s="221" customFormat="1" ht="12" hidden="1" customHeight="1">
      <c r="H3327" s="207"/>
      <c r="I3327" s="207"/>
      <c r="J3327" s="167"/>
      <c r="K3327" s="167"/>
      <c r="L3327" s="209"/>
      <c r="M3327" s="169"/>
      <c r="N3327" s="169"/>
      <c r="O3327" s="169">
        <f t="shared" si="139"/>
        <v>0</v>
      </c>
      <c r="P3327" s="169"/>
      <c r="Q3327" s="166">
        <f t="shared" si="138"/>
        <v>0</v>
      </c>
      <c r="R3327" s="207"/>
      <c r="S3327" s="207"/>
      <c r="T3327" s="207"/>
      <c r="U3327" s="207"/>
      <c r="V3327" s="166">
        <f t="shared" ref="V3327:V3390" si="140">SUM(O3327+Q3327)+S3327+U3327</f>
        <v>0</v>
      </c>
      <c r="W3327" s="205"/>
      <c r="X3327" s="167"/>
    </row>
    <row r="3328" spans="8:24" s="221" customFormat="1" ht="12" hidden="1" customHeight="1">
      <c r="H3328" s="207"/>
      <c r="I3328" s="207"/>
      <c r="J3328" s="167"/>
      <c r="K3328" s="167"/>
      <c r="L3328" s="209"/>
      <c r="M3328" s="169"/>
      <c r="N3328" s="169"/>
      <c r="O3328" s="169">
        <f t="shared" si="139"/>
        <v>0</v>
      </c>
      <c r="P3328" s="169"/>
      <c r="Q3328" s="166">
        <f t="shared" si="138"/>
        <v>0</v>
      </c>
      <c r="R3328" s="207"/>
      <c r="S3328" s="207"/>
      <c r="T3328" s="207"/>
      <c r="U3328" s="207"/>
      <c r="V3328" s="166">
        <f t="shared" si="140"/>
        <v>0</v>
      </c>
      <c r="W3328" s="205"/>
      <c r="X3328" s="167"/>
    </row>
    <row r="3329" spans="8:24" s="221" customFormat="1" ht="12" hidden="1" customHeight="1">
      <c r="H3329" s="207"/>
      <c r="I3329" s="207"/>
      <c r="J3329" s="167"/>
      <c r="K3329" s="167"/>
      <c r="L3329" s="209"/>
      <c r="M3329" s="169"/>
      <c r="N3329" s="169"/>
      <c r="O3329" s="169">
        <f t="shared" si="139"/>
        <v>0</v>
      </c>
      <c r="P3329" s="169"/>
      <c r="Q3329" s="166">
        <f t="shared" si="138"/>
        <v>0</v>
      </c>
      <c r="R3329" s="207"/>
      <c r="S3329" s="207"/>
      <c r="T3329" s="207"/>
      <c r="U3329" s="207"/>
      <c r="V3329" s="166">
        <f t="shared" si="140"/>
        <v>0</v>
      </c>
      <c r="W3329" s="205"/>
      <c r="X3329" s="167"/>
    </row>
    <row r="3330" spans="8:24" s="221" customFormat="1" ht="12" hidden="1" customHeight="1">
      <c r="H3330" s="207"/>
      <c r="I3330" s="207"/>
      <c r="J3330" s="167"/>
      <c r="K3330" s="167"/>
      <c r="L3330" s="209"/>
      <c r="M3330" s="169"/>
      <c r="N3330" s="169"/>
      <c r="O3330" s="169">
        <f t="shared" si="139"/>
        <v>0</v>
      </c>
      <c r="P3330" s="169"/>
      <c r="Q3330" s="166">
        <f t="shared" si="138"/>
        <v>0</v>
      </c>
      <c r="R3330" s="207"/>
      <c r="S3330" s="207"/>
      <c r="T3330" s="207"/>
      <c r="U3330" s="207"/>
      <c r="V3330" s="166">
        <f t="shared" si="140"/>
        <v>0</v>
      </c>
      <c r="W3330" s="205"/>
      <c r="X3330" s="167"/>
    </row>
    <row r="3331" spans="8:24" s="221" customFormat="1" ht="12" hidden="1" customHeight="1">
      <c r="H3331" s="207"/>
      <c r="I3331" s="207"/>
      <c r="J3331" s="167"/>
      <c r="K3331" s="167"/>
      <c r="L3331" s="209"/>
      <c r="M3331" s="169"/>
      <c r="N3331" s="169"/>
      <c r="O3331" s="169">
        <f t="shared" si="139"/>
        <v>0</v>
      </c>
      <c r="P3331" s="169"/>
      <c r="Q3331" s="166">
        <f t="shared" si="138"/>
        <v>0</v>
      </c>
      <c r="R3331" s="207"/>
      <c r="S3331" s="207"/>
      <c r="T3331" s="207"/>
      <c r="U3331" s="207"/>
      <c r="V3331" s="166">
        <f t="shared" si="140"/>
        <v>0</v>
      </c>
      <c r="W3331" s="205"/>
      <c r="X3331" s="167"/>
    </row>
    <row r="3332" spans="8:24" s="221" customFormat="1" ht="12" hidden="1" customHeight="1">
      <c r="H3332" s="207"/>
      <c r="I3332" s="207"/>
      <c r="J3332" s="167"/>
      <c r="K3332" s="167"/>
      <c r="L3332" s="209"/>
      <c r="M3332" s="169"/>
      <c r="N3332" s="169"/>
      <c r="O3332" s="169">
        <f t="shared" si="139"/>
        <v>0</v>
      </c>
      <c r="P3332" s="169"/>
      <c r="Q3332" s="166">
        <f t="shared" si="138"/>
        <v>0</v>
      </c>
      <c r="R3332" s="207"/>
      <c r="S3332" s="207"/>
      <c r="T3332" s="207"/>
      <c r="U3332" s="207"/>
      <c r="V3332" s="166">
        <f t="shared" si="140"/>
        <v>0</v>
      </c>
      <c r="W3332" s="205"/>
      <c r="X3332" s="167"/>
    </row>
    <row r="3333" spans="8:24" s="221" customFormat="1" ht="12" hidden="1" customHeight="1">
      <c r="H3333" s="207"/>
      <c r="I3333" s="207"/>
      <c r="J3333" s="167"/>
      <c r="K3333" s="167"/>
      <c r="L3333" s="209"/>
      <c r="M3333" s="169"/>
      <c r="N3333" s="169"/>
      <c r="O3333" s="169">
        <f t="shared" si="139"/>
        <v>0</v>
      </c>
      <c r="P3333" s="169"/>
      <c r="Q3333" s="166">
        <f t="shared" si="138"/>
        <v>0</v>
      </c>
      <c r="R3333" s="207"/>
      <c r="S3333" s="207"/>
      <c r="T3333" s="207"/>
      <c r="U3333" s="207"/>
      <c r="V3333" s="166">
        <f t="shared" si="140"/>
        <v>0</v>
      </c>
      <c r="W3333" s="205"/>
      <c r="X3333" s="167"/>
    </row>
    <row r="3334" spans="8:24" s="221" customFormat="1" ht="12" hidden="1" customHeight="1">
      <c r="H3334" s="207"/>
      <c r="I3334" s="207"/>
      <c r="J3334" s="167"/>
      <c r="K3334" s="167"/>
      <c r="L3334" s="209"/>
      <c r="M3334" s="169"/>
      <c r="N3334" s="169"/>
      <c r="O3334" s="169">
        <f t="shared" si="139"/>
        <v>0</v>
      </c>
      <c r="P3334" s="169"/>
      <c r="Q3334" s="166">
        <f t="shared" si="138"/>
        <v>0</v>
      </c>
      <c r="R3334" s="207"/>
      <c r="S3334" s="207"/>
      <c r="T3334" s="207"/>
      <c r="U3334" s="207"/>
      <c r="V3334" s="166">
        <f t="shared" si="140"/>
        <v>0</v>
      </c>
      <c r="W3334" s="205"/>
      <c r="X3334" s="167"/>
    </row>
    <row r="3335" spans="8:24" s="221" customFormat="1" ht="12" hidden="1" customHeight="1">
      <c r="H3335" s="207"/>
      <c r="I3335" s="207"/>
      <c r="J3335" s="167"/>
      <c r="K3335" s="167"/>
      <c r="L3335" s="209"/>
      <c r="M3335" s="169"/>
      <c r="N3335" s="169"/>
      <c r="O3335" s="169">
        <f t="shared" si="139"/>
        <v>0</v>
      </c>
      <c r="P3335" s="169"/>
      <c r="Q3335" s="166">
        <f t="shared" si="138"/>
        <v>0</v>
      </c>
      <c r="R3335" s="207"/>
      <c r="S3335" s="207"/>
      <c r="T3335" s="207"/>
      <c r="U3335" s="207"/>
      <c r="V3335" s="166">
        <f t="shared" si="140"/>
        <v>0</v>
      </c>
      <c r="W3335" s="205"/>
      <c r="X3335" s="167"/>
    </row>
    <row r="3336" spans="8:24" s="221" customFormat="1" ht="12" hidden="1" customHeight="1">
      <c r="H3336" s="207"/>
      <c r="I3336" s="207"/>
      <c r="J3336" s="167"/>
      <c r="K3336" s="167"/>
      <c r="L3336" s="209"/>
      <c r="M3336" s="169"/>
      <c r="N3336" s="169"/>
      <c r="O3336" s="169">
        <f t="shared" si="139"/>
        <v>0</v>
      </c>
      <c r="P3336" s="169"/>
      <c r="Q3336" s="166">
        <f t="shared" si="138"/>
        <v>0</v>
      </c>
      <c r="R3336" s="207"/>
      <c r="S3336" s="207"/>
      <c r="T3336" s="207"/>
      <c r="U3336" s="207"/>
      <c r="V3336" s="166">
        <f t="shared" si="140"/>
        <v>0</v>
      </c>
      <c r="W3336" s="205"/>
      <c r="X3336" s="167"/>
    </row>
    <row r="3337" spans="8:24" s="221" customFormat="1" ht="12" hidden="1" customHeight="1">
      <c r="H3337" s="207"/>
      <c r="I3337" s="207"/>
      <c r="J3337" s="167"/>
      <c r="K3337" s="167"/>
      <c r="L3337" s="209"/>
      <c r="M3337" s="169"/>
      <c r="N3337" s="169"/>
      <c r="O3337" s="169">
        <f t="shared" si="139"/>
        <v>0</v>
      </c>
      <c r="P3337" s="169"/>
      <c r="Q3337" s="166">
        <f t="shared" si="138"/>
        <v>0</v>
      </c>
      <c r="R3337" s="207"/>
      <c r="S3337" s="207"/>
      <c r="T3337" s="207"/>
      <c r="U3337" s="207"/>
      <c r="V3337" s="166">
        <f t="shared" si="140"/>
        <v>0</v>
      </c>
      <c r="W3337" s="205"/>
      <c r="X3337" s="167"/>
    </row>
    <row r="3338" spans="8:24" s="221" customFormat="1" ht="12" hidden="1" customHeight="1">
      <c r="H3338" s="207"/>
      <c r="I3338" s="207"/>
      <c r="J3338" s="167"/>
      <c r="K3338" s="167"/>
      <c r="L3338" s="209"/>
      <c r="M3338" s="169"/>
      <c r="N3338" s="169"/>
      <c r="O3338" s="169">
        <f t="shared" si="139"/>
        <v>0</v>
      </c>
      <c r="P3338" s="169"/>
      <c r="Q3338" s="166">
        <f t="shared" si="138"/>
        <v>0</v>
      </c>
      <c r="R3338" s="207"/>
      <c r="S3338" s="207"/>
      <c r="T3338" s="207"/>
      <c r="U3338" s="207"/>
      <c r="V3338" s="166">
        <f t="shared" si="140"/>
        <v>0</v>
      </c>
      <c r="W3338" s="205"/>
      <c r="X3338" s="167"/>
    </row>
    <row r="3339" spans="8:24" s="221" customFormat="1" ht="12" hidden="1" customHeight="1">
      <c r="H3339" s="207"/>
      <c r="I3339" s="207"/>
      <c r="J3339" s="167"/>
      <c r="K3339" s="167"/>
      <c r="L3339" s="209"/>
      <c r="M3339" s="169"/>
      <c r="N3339" s="169"/>
      <c r="O3339" s="169">
        <f t="shared" si="139"/>
        <v>0</v>
      </c>
      <c r="P3339" s="169"/>
      <c r="Q3339" s="166">
        <f t="shared" si="138"/>
        <v>0</v>
      </c>
      <c r="R3339" s="207"/>
      <c r="S3339" s="207"/>
      <c r="T3339" s="207"/>
      <c r="U3339" s="207"/>
      <c r="V3339" s="166">
        <f t="shared" si="140"/>
        <v>0</v>
      </c>
      <c r="W3339" s="205"/>
      <c r="X3339" s="167"/>
    </row>
    <row r="3340" spans="8:24" s="221" customFormat="1" ht="12" hidden="1" customHeight="1">
      <c r="H3340" s="207"/>
      <c r="I3340" s="207"/>
      <c r="J3340" s="167"/>
      <c r="K3340" s="167"/>
      <c r="L3340" s="209"/>
      <c r="M3340" s="169"/>
      <c r="N3340" s="169"/>
      <c r="O3340" s="169">
        <f t="shared" si="139"/>
        <v>0</v>
      </c>
      <c r="P3340" s="169"/>
      <c r="Q3340" s="166">
        <f t="shared" si="138"/>
        <v>0</v>
      </c>
      <c r="R3340" s="207"/>
      <c r="S3340" s="207"/>
      <c r="T3340" s="207"/>
      <c r="U3340" s="207"/>
      <c r="V3340" s="166">
        <f t="shared" si="140"/>
        <v>0</v>
      </c>
      <c r="W3340" s="205"/>
      <c r="X3340" s="167"/>
    </row>
    <row r="3341" spans="8:24" s="221" customFormat="1" ht="12" hidden="1" customHeight="1">
      <c r="H3341" s="207"/>
      <c r="I3341" s="207"/>
      <c r="J3341" s="167"/>
      <c r="K3341" s="167"/>
      <c r="L3341" s="209"/>
      <c r="M3341" s="169"/>
      <c r="N3341" s="169"/>
      <c r="O3341" s="169">
        <f t="shared" si="139"/>
        <v>0</v>
      </c>
      <c r="P3341" s="169"/>
      <c r="Q3341" s="166">
        <f t="shared" si="138"/>
        <v>0</v>
      </c>
      <c r="R3341" s="207"/>
      <c r="S3341" s="207"/>
      <c r="T3341" s="207"/>
      <c r="U3341" s="207"/>
      <c r="V3341" s="166">
        <f t="shared" si="140"/>
        <v>0</v>
      </c>
      <c r="W3341" s="205"/>
      <c r="X3341" s="167"/>
    </row>
    <row r="3342" spans="8:24" s="221" customFormat="1" ht="12" hidden="1" customHeight="1">
      <c r="H3342" s="207"/>
      <c r="I3342" s="207"/>
      <c r="J3342" s="167"/>
      <c r="K3342" s="167"/>
      <c r="L3342" s="209"/>
      <c r="M3342" s="169"/>
      <c r="N3342" s="169"/>
      <c r="O3342" s="169">
        <f t="shared" si="139"/>
        <v>0</v>
      </c>
      <c r="P3342" s="169"/>
      <c r="Q3342" s="166">
        <f t="shared" si="138"/>
        <v>0</v>
      </c>
      <c r="R3342" s="207"/>
      <c r="S3342" s="207"/>
      <c r="T3342" s="207"/>
      <c r="U3342" s="207"/>
      <c r="V3342" s="166">
        <f t="shared" si="140"/>
        <v>0</v>
      </c>
      <c r="W3342" s="205"/>
      <c r="X3342" s="167"/>
    </row>
    <row r="3343" spans="8:24" s="221" customFormat="1" ht="12" hidden="1" customHeight="1">
      <c r="H3343" s="207"/>
      <c r="I3343" s="207"/>
      <c r="J3343" s="167"/>
      <c r="K3343" s="167"/>
      <c r="L3343" s="209"/>
      <c r="M3343" s="169"/>
      <c r="N3343" s="169"/>
      <c r="O3343" s="169">
        <f t="shared" si="139"/>
        <v>0</v>
      </c>
      <c r="P3343" s="169"/>
      <c r="Q3343" s="166">
        <f t="shared" si="138"/>
        <v>0</v>
      </c>
      <c r="R3343" s="207"/>
      <c r="S3343" s="207"/>
      <c r="T3343" s="207"/>
      <c r="U3343" s="207"/>
      <c r="V3343" s="166">
        <f t="shared" si="140"/>
        <v>0</v>
      </c>
      <c r="W3343" s="205"/>
      <c r="X3343" s="167"/>
    </row>
    <row r="3344" spans="8:24" s="221" customFormat="1" ht="12" hidden="1" customHeight="1">
      <c r="H3344" s="207"/>
      <c r="I3344" s="207"/>
      <c r="J3344" s="167"/>
      <c r="K3344" s="167"/>
      <c r="L3344" s="209"/>
      <c r="M3344" s="169"/>
      <c r="N3344" s="169"/>
      <c r="O3344" s="169">
        <f t="shared" si="139"/>
        <v>0</v>
      </c>
      <c r="P3344" s="169"/>
      <c r="Q3344" s="166">
        <f t="shared" si="138"/>
        <v>0</v>
      </c>
      <c r="R3344" s="207"/>
      <c r="S3344" s="207"/>
      <c r="T3344" s="207"/>
      <c r="U3344" s="207"/>
      <c r="V3344" s="166">
        <f t="shared" si="140"/>
        <v>0</v>
      </c>
      <c r="W3344" s="205"/>
      <c r="X3344" s="167"/>
    </row>
    <row r="3345" spans="8:24" s="221" customFormat="1" ht="12" hidden="1" customHeight="1">
      <c r="H3345" s="207"/>
      <c r="I3345" s="207"/>
      <c r="J3345" s="167"/>
      <c r="K3345" s="167"/>
      <c r="L3345" s="209"/>
      <c r="M3345" s="169"/>
      <c r="N3345" s="169"/>
      <c r="O3345" s="169">
        <f t="shared" si="139"/>
        <v>0</v>
      </c>
      <c r="P3345" s="169"/>
      <c r="Q3345" s="166">
        <f t="shared" si="138"/>
        <v>0</v>
      </c>
      <c r="R3345" s="207"/>
      <c r="S3345" s="207"/>
      <c r="T3345" s="207"/>
      <c r="U3345" s="207"/>
      <c r="V3345" s="166">
        <f t="shared" si="140"/>
        <v>0</v>
      </c>
      <c r="W3345" s="205"/>
      <c r="X3345" s="167"/>
    </row>
    <row r="3346" spans="8:24" s="221" customFormat="1" ht="12" hidden="1" customHeight="1">
      <c r="H3346" s="207"/>
      <c r="I3346" s="207"/>
      <c r="J3346" s="167"/>
      <c r="K3346" s="167"/>
      <c r="L3346" s="209"/>
      <c r="M3346" s="169"/>
      <c r="N3346" s="169"/>
      <c r="O3346" s="169">
        <f t="shared" si="139"/>
        <v>0</v>
      </c>
      <c r="P3346" s="169"/>
      <c r="Q3346" s="166">
        <f t="shared" si="138"/>
        <v>0</v>
      </c>
      <c r="R3346" s="207"/>
      <c r="S3346" s="207"/>
      <c r="T3346" s="207"/>
      <c r="U3346" s="207"/>
      <c r="V3346" s="166">
        <f t="shared" si="140"/>
        <v>0</v>
      </c>
      <c r="W3346" s="205"/>
      <c r="X3346" s="167"/>
    </row>
    <row r="3347" spans="8:24" s="221" customFormat="1" ht="12" hidden="1" customHeight="1">
      <c r="H3347" s="207"/>
      <c r="I3347" s="207"/>
      <c r="J3347" s="167"/>
      <c r="K3347" s="167"/>
      <c r="L3347" s="209"/>
      <c r="M3347" s="169"/>
      <c r="N3347" s="169"/>
      <c r="O3347" s="169">
        <f t="shared" si="139"/>
        <v>0</v>
      </c>
      <c r="P3347" s="169"/>
      <c r="Q3347" s="166">
        <f t="shared" si="138"/>
        <v>0</v>
      </c>
      <c r="R3347" s="207"/>
      <c r="S3347" s="207"/>
      <c r="T3347" s="207"/>
      <c r="U3347" s="207"/>
      <c r="V3347" s="166">
        <f t="shared" si="140"/>
        <v>0</v>
      </c>
      <c r="W3347" s="205"/>
      <c r="X3347" s="167"/>
    </row>
    <row r="3348" spans="8:24" s="221" customFormat="1" ht="12" hidden="1" customHeight="1">
      <c r="H3348" s="207"/>
      <c r="I3348" s="207"/>
      <c r="J3348" s="167"/>
      <c r="K3348" s="167"/>
      <c r="L3348" s="209"/>
      <c r="M3348" s="169"/>
      <c r="N3348" s="169"/>
      <c r="O3348" s="169">
        <f t="shared" si="139"/>
        <v>0</v>
      </c>
      <c r="P3348" s="169"/>
      <c r="Q3348" s="166">
        <f t="shared" si="138"/>
        <v>0</v>
      </c>
      <c r="R3348" s="207"/>
      <c r="S3348" s="207"/>
      <c r="T3348" s="207"/>
      <c r="U3348" s="207"/>
      <c r="V3348" s="166">
        <f t="shared" si="140"/>
        <v>0</v>
      </c>
      <c r="W3348" s="205"/>
      <c r="X3348" s="167"/>
    </row>
    <row r="3349" spans="8:24" s="221" customFormat="1" ht="12" hidden="1" customHeight="1">
      <c r="H3349" s="207"/>
      <c r="I3349" s="207"/>
      <c r="J3349" s="167"/>
      <c r="K3349" s="167"/>
      <c r="L3349" s="209"/>
      <c r="M3349" s="169"/>
      <c r="N3349" s="169"/>
      <c r="O3349" s="169">
        <f t="shared" si="139"/>
        <v>0</v>
      </c>
      <c r="P3349" s="169"/>
      <c r="Q3349" s="166">
        <f t="shared" si="138"/>
        <v>0</v>
      </c>
      <c r="R3349" s="207"/>
      <c r="S3349" s="207"/>
      <c r="T3349" s="207"/>
      <c r="U3349" s="207"/>
      <c r="V3349" s="166">
        <f t="shared" si="140"/>
        <v>0</v>
      </c>
      <c r="W3349" s="205"/>
      <c r="X3349" s="167"/>
    </row>
    <row r="3350" spans="8:24" s="221" customFormat="1" ht="12" hidden="1" customHeight="1">
      <c r="H3350" s="207"/>
      <c r="I3350" s="207"/>
      <c r="J3350" s="167"/>
      <c r="K3350" s="167"/>
      <c r="L3350" s="209"/>
      <c r="M3350" s="169"/>
      <c r="N3350" s="169"/>
      <c r="O3350" s="169">
        <f t="shared" si="139"/>
        <v>0</v>
      </c>
      <c r="P3350" s="169"/>
      <c r="Q3350" s="166">
        <f t="shared" si="138"/>
        <v>0</v>
      </c>
      <c r="R3350" s="207"/>
      <c r="S3350" s="207"/>
      <c r="T3350" s="207"/>
      <c r="U3350" s="207"/>
      <c r="V3350" s="166">
        <f t="shared" si="140"/>
        <v>0</v>
      </c>
      <c r="W3350" s="205"/>
      <c r="X3350" s="167"/>
    </row>
    <row r="3351" spans="8:24" s="221" customFormat="1" ht="12" hidden="1" customHeight="1">
      <c r="H3351" s="207"/>
      <c r="I3351" s="207"/>
      <c r="J3351" s="167"/>
      <c r="K3351" s="167"/>
      <c r="L3351" s="209"/>
      <c r="M3351" s="169"/>
      <c r="N3351" s="169"/>
      <c r="O3351" s="169">
        <f t="shared" si="139"/>
        <v>0</v>
      </c>
      <c r="P3351" s="169"/>
      <c r="Q3351" s="166">
        <f t="shared" si="138"/>
        <v>0</v>
      </c>
      <c r="R3351" s="207"/>
      <c r="S3351" s="207"/>
      <c r="T3351" s="207"/>
      <c r="U3351" s="207"/>
      <c r="V3351" s="166">
        <f t="shared" si="140"/>
        <v>0</v>
      </c>
      <c r="W3351" s="205"/>
      <c r="X3351" s="167"/>
    </row>
    <row r="3352" spans="8:24" s="221" customFormat="1" ht="12" hidden="1" customHeight="1">
      <c r="H3352" s="207"/>
      <c r="I3352" s="207"/>
      <c r="J3352" s="167"/>
      <c r="K3352" s="167"/>
      <c r="L3352" s="209"/>
      <c r="M3352" s="169"/>
      <c r="N3352" s="169"/>
      <c r="O3352" s="169">
        <f t="shared" si="139"/>
        <v>0</v>
      </c>
      <c r="P3352" s="169"/>
      <c r="Q3352" s="166">
        <f t="shared" si="138"/>
        <v>0</v>
      </c>
      <c r="R3352" s="207"/>
      <c r="S3352" s="207"/>
      <c r="T3352" s="207"/>
      <c r="U3352" s="207"/>
      <c r="V3352" s="166">
        <f t="shared" si="140"/>
        <v>0</v>
      </c>
      <c r="W3352" s="205"/>
      <c r="X3352" s="167"/>
    </row>
    <row r="3353" spans="8:24" s="221" customFormat="1" ht="12" hidden="1" customHeight="1">
      <c r="H3353" s="207"/>
      <c r="I3353" s="207"/>
      <c r="J3353" s="167"/>
      <c r="K3353" s="167"/>
      <c r="L3353" s="209"/>
      <c r="M3353" s="169"/>
      <c r="N3353" s="169"/>
      <c r="O3353" s="169">
        <f t="shared" si="139"/>
        <v>0</v>
      </c>
      <c r="P3353" s="169"/>
      <c r="Q3353" s="166">
        <f t="shared" si="138"/>
        <v>0</v>
      </c>
      <c r="R3353" s="207"/>
      <c r="S3353" s="207"/>
      <c r="T3353" s="207"/>
      <c r="U3353" s="207"/>
      <c r="V3353" s="166">
        <f t="shared" si="140"/>
        <v>0</v>
      </c>
      <c r="W3353" s="205"/>
      <c r="X3353" s="167"/>
    </row>
    <row r="3354" spans="8:24" s="221" customFormat="1" ht="12" hidden="1" customHeight="1">
      <c r="H3354" s="207"/>
      <c r="I3354" s="207"/>
      <c r="J3354" s="167"/>
      <c r="K3354" s="167"/>
      <c r="L3354" s="209"/>
      <c r="M3354" s="169"/>
      <c r="N3354" s="169"/>
      <c r="O3354" s="169">
        <f t="shared" si="139"/>
        <v>0</v>
      </c>
      <c r="P3354" s="169"/>
      <c r="Q3354" s="166">
        <f t="shared" si="138"/>
        <v>0</v>
      </c>
      <c r="R3354" s="207"/>
      <c r="S3354" s="207"/>
      <c r="T3354" s="207"/>
      <c r="U3354" s="207"/>
      <c r="V3354" s="166">
        <f t="shared" si="140"/>
        <v>0</v>
      </c>
      <c r="W3354" s="205"/>
      <c r="X3354" s="167"/>
    </row>
    <row r="3355" spans="8:24" s="221" customFormat="1" ht="12" hidden="1" customHeight="1">
      <c r="H3355" s="207"/>
      <c r="I3355" s="207"/>
      <c r="J3355" s="167"/>
      <c r="K3355" s="167"/>
      <c r="L3355" s="209"/>
      <c r="M3355" s="169"/>
      <c r="N3355" s="169"/>
      <c r="O3355" s="169">
        <f t="shared" si="139"/>
        <v>0</v>
      </c>
      <c r="P3355" s="169"/>
      <c r="Q3355" s="166">
        <f t="shared" si="138"/>
        <v>0</v>
      </c>
      <c r="R3355" s="207"/>
      <c r="S3355" s="207"/>
      <c r="T3355" s="207"/>
      <c r="U3355" s="207"/>
      <c r="V3355" s="166">
        <f t="shared" si="140"/>
        <v>0</v>
      </c>
      <c r="W3355" s="205"/>
      <c r="X3355" s="167"/>
    </row>
    <row r="3356" spans="8:24" s="221" customFormat="1" ht="12" hidden="1" customHeight="1">
      <c r="H3356" s="207"/>
      <c r="I3356" s="207"/>
      <c r="J3356" s="167"/>
      <c r="K3356" s="167"/>
      <c r="L3356" s="209"/>
      <c r="M3356" s="169"/>
      <c r="N3356" s="169"/>
      <c r="O3356" s="169">
        <f t="shared" si="139"/>
        <v>0</v>
      </c>
      <c r="P3356" s="169"/>
      <c r="Q3356" s="166">
        <f t="shared" si="138"/>
        <v>0</v>
      </c>
      <c r="R3356" s="207"/>
      <c r="S3356" s="207"/>
      <c r="T3356" s="207"/>
      <c r="U3356" s="207"/>
      <c r="V3356" s="166">
        <f t="shared" si="140"/>
        <v>0</v>
      </c>
      <c r="W3356" s="205"/>
      <c r="X3356" s="167"/>
    </row>
    <row r="3357" spans="8:24" s="221" customFormat="1" ht="12" hidden="1" customHeight="1">
      <c r="H3357" s="207"/>
      <c r="I3357" s="207"/>
      <c r="J3357" s="167"/>
      <c r="K3357" s="167"/>
      <c r="L3357" s="209"/>
      <c r="M3357" s="169"/>
      <c r="N3357" s="169"/>
      <c r="O3357" s="169">
        <f t="shared" si="139"/>
        <v>0</v>
      </c>
      <c r="P3357" s="169"/>
      <c r="Q3357" s="166">
        <f t="shared" si="138"/>
        <v>0</v>
      </c>
      <c r="R3357" s="207"/>
      <c r="S3357" s="207"/>
      <c r="T3357" s="207"/>
      <c r="U3357" s="207"/>
      <c r="V3357" s="166">
        <f t="shared" si="140"/>
        <v>0</v>
      </c>
      <c r="W3357" s="205"/>
      <c r="X3357" s="167"/>
    </row>
    <row r="3358" spans="8:24" s="221" customFormat="1" ht="12" hidden="1" customHeight="1">
      <c r="H3358" s="207"/>
      <c r="I3358" s="207"/>
      <c r="J3358" s="167"/>
      <c r="K3358" s="167"/>
      <c r="L3358" s="209"/>
      <c r="M3358" s="169"/>
      <c r="N3358" s="169"/>
      <c r="O3358" s="169">
        <f t="shared" si="139"/>
        <v>0</v>
      </c>
      <c r="P3358" s="169"/>
      <c r="Q3358" s="166">
        <f t="shared" si="138"/>
        <v>0</v>
      </c>
      <c r="R3358" s="207"/>
      <c r="S3358" s="207"/>
      <c r="T3358" s="207"/>
      <c r="U3358" s="207"/>
      <c r="V3358" s="166">
        <f t="shared" si="140"/>
        <v>0</v>
      </c>
      <c r="W3358" s="205"/>
      <c r="X3358" s="167"/>
    </row>
    <row r="3359" spans="8:24" s="221" customFormat="1" ht="12" hidden="1" customHeight="1">
      <c r="H3359" s="207"/>
      <c r="I3359" s="207"/>
      <c r="J3359" s="167"/>
      <c r="K3359" s="167"/>
      <c r="L3359" s="209"/>
      <c r="M3359" s="169"/>
      <c r="N3359" s="169"/>
      <c r="O3359" s="169">
        <f t="shared" si="139"/>
        <v>0</v>
      </c>
      <c r="P3359" s="169"/>
      <c r="Q3359" s="166">
        <f t="shared" si="138"/>
        <v>0</v>
      </c>
      <c r="R3359" s="207"/>
      <c r="S3359" s="207"/>
      <c r="T3359" s="207"/>
      <c r="U3359" s="207"/>
      <c r="V3359" s="166">
        <f t="shared" si="140"/>
        <v>0</v>
      </c>
      <c r="W3359" s="205"/>
      <c r="X3359" s="167"/>
    </row>
    <row r="3360" spans="8:24" s="221" customFormat="1" ht="12" hidden="1" customHeight="1">
      <c r="H3360" s="207"/>
      <c r="I3360" s="207"/>
      <c r="J3360" s="167"/>
      <c r="K3360" s="167"/>
      <c r="L3360" s="209"/>
      <c r="M3360" s="169"/>
      <c r="N3360" s="169"/>
      <c r="O3360" s="169">
        <f t="shared" si="139"/>
        <v>0</v>
      </c>
      <c r="P3360" s="169"/>
      <c r="Q3360" s="166">
        <f t="shared" si="138"/>
        <v>0</v>
      </c>
      <c r="R3360" s="207"/>
      <c r="S3360" s="207"/>
      <c r="T3360" s="207"/>
      <c r="U3360" s="207"/>
      <c r="V3360" s="166">
        <f t="shared" si="140"/>
        <v>0</v>
      </c>
      <c r="W3360" s="205"/>
      <c r="X3360" s="167"/>
    </row>
    <row r="3361" spans="8:24" s="221" customFormat="1" ht="12" hidden="1" customHeight="1">
      <c r="H3361" s="207"/>
      <c r="I3361" s="207"/>
      <c r="J3361" s="167"/>
      <c r="K3361" s="167"/>
      <c r="L3361" s="209"/>
      <c r="M3361" s="169"/>
      <c r="N3361" s="169"/>
      <c r="O3361" s="169">
        <f t="shared" si="139"/>
        <v>0</v>
      </c>
      <c r="P3361" s="169"/>
      <c r="Q3361" s="166">
        <f t="shared" si="138"/>
        <v>0</v>
      </c>
      <c r="R3361" s="207"/>
      <c r="S3361" s="207"/>
      <c r="T3361" s="207"/>
      <c r="U3361" s="207"/>
      <c r="V3361" s="166">
        <f t="shared" si="140"/>
        <v>0</v>
      </c>
      <c r="W3361" s="205"/>
      <c r="X3361" s="167"/>
    </row>
    <row r="3362" spans="8:24" s="221" customFormat="1" ht="12" hidden="1" customHeight="1">
      <c r="H3362" s="207"/>
      <c r="I3362" s="207"/>
      <c r="J3362" s="167"/>
      <c r="K3362" s="167"/>
      <c r="L3362" s="209"/>
      <c r="M3362" s="169"/>
      <c r="N3362" s="169"/>
      <c r="O3362" s="169">
        <f t="shared" si="139"/>
        <v>0</v>
      </c>
      <c r="P3362" s="169"/>
      <c r="Q3362" s="166">
        <f t="shared" si="138"/>
        <v>0</v>
      </c>
      <c r="R3362" s="207"/>
      <c r="S3362" s="207"/>
      <c r="T3362" s="207"/>
      <c r="U3362" s="207"/>
      <c r="V3362" s="166">
        <f t="shared" si="140"/>
        <v>0</v>
      </c>
      <c r="W3362" s="205"/>
      <c r="X3362" s="167"/>
    </row>
    <row r="3363" spans="8:24" s="221" customFormat="1" ht="12" hidden="1" customHeight="1">
      <c r="H3363" s="207"/>
      <c r="I3363" s="207"/>
      <c r="J3363" s="167"/>
      <c r="K3363" s="167"/>
      <c r="L3363" s="209"/>
      <c r="M3363" s="169"/>
      <c r="N3363" s="169"/>
      <c r="O3363" s="169">
        <f t="shared" si="139"/>
        <v>0</v>
      </c>
      <c r="P3363" s="169"/>
      <c r="Q3363" s="166">
        <f t="shared" si="138"/>
        <v>0</v>
      </c>
      <c r="R3363" s="207"/>
      <c r="S3363" s="207"/>
      <c r="T3363" s="207"/>
      <c r="U3363" s="207"/>
      <c r="V3363" s="166">
        <f t="shared" si="140"/>
        <v>0</v>
      </c>
      <c r="W3363" s="205"/>
      <c r="X3363" s="167"/>
    </row>
    <row r="3364" spans="8:24" s="221" customFormat="1" ht="12" hidden="1" customHeight="1">
      <c r="H3364" s="207"/>
      <c r="I3364" s="207"/>
      <c r="J3364" s="167"/>
      <c r="K3364" s="167"/>
      <c r="L3364" s="209"/>
      <c r="M3364" s="169"/>
      <c r="N3364" s="169"/>
      <c r="O3364" s="169">
        <f t="shared" si="139"/>
        <v>0</v>
      </c>
      <c r="P3364" s="169"/>
      <c r="Q3364" s="166">
        <f t="shared" si="138"/>
        <v>0</v>
      </c>
      <c r="R3364" s="207"/>
      <c r="S3364" s="207"/>
      <c r="T3364" s="207"/>
      <c r="U3364" s="207"/>
      <c r="V3364" s="166">
        <f t="shared" si="140"/>
        <v>0</v>
      </c>
      <c r="W3364" s="205"/>
      <c r="X3364" s="167"/>
    </row>
    <row r="3365" spans="8:24" s="221" customFormat="1" ht="12" hidden="1" customHeight="1">
      <c r="H3365" s="207"/>
      <c r="I3365" s="207"/>
      <c r="J3365" s="167"/>
      <c r="K3365" s="167"/>
      <c r="L3365" s="209"/>
      <c r="M3365" s="169"/>
      <c r="N3365" s="169"/>
      <c r="O3365" s="169">
        <f t="shared" si="139"/>
        <v>0</v>
      </c>
      <c r="P3365" s="169"/>
      <c r="Q3365" s="166">
        <f t="shared" si="138"/>
        <v>0</v>
      </c>
      <c r="R3365" s="207"/>
      <c r="S3365" s="207"/>
      <c r="T3365" s="207"/>
      <c r="U3365" s="207"/>
      <c r="V3365" s="166">
        <f t="shared" si="140"/>
        <v>0</v>
      </c>
      <c r="W3365" s="205"/>
      <c r="X3365" s="167"/>
    </row>
    <row r="3366" spans="8:24" s="221" customFormat="1" ht="12" hidden="1" customHeight="1">
      <c r="H3366" s="207"/>
      <c r="I3366" s="207"/>
      <c r="J3366" s="167"/>
      <c r="K3366" s="167"/>
      <c r="L3366" s="209"/>
      <c r="M3366" s="169"/>
      <c r="N3366" s="169"/>
      <c r="O3366" s="169">
        <f t="shared" si="139"/>
        <v>0</v>
      </c>
      <c r="P3366" s="169"/>
      <c r="Q3366" s="166">
        <f t="shared" si="138"/>
        <v>0</v>
      </c>
      <c r="R3366" s="207"/>
      <c r="S3366" s="207"/>
      <c r="T3366" s="207"/>
      <c r="U3366" s="207"/>
      <c r="V3366" s="166">
        <f t="shared" si="140"/>
        <v>0</v>
      </c>
      <c r="W3366" s="205"/>
      <c r="X3366" s="167"/>
    </row>
    <row r="3367" spans="8:24" s="221" customFormat="1" ht="12" hidden="1" customHeight="1">
      <c r="H3367" s="207"/>
      <c r="I3367" s="207"/>
      <c r="J3367" s="167"/>
      <c r="K3367" s="167"/>
      <c r="L3367" s="209"/>
      <c r="M3367" s="169"/>
      <c r="N3367" s="169"/>
      <c r="O3367" s="169">
        <f t="shared" si="139"/>
        <v>0</v>
      </c>
      <c r="P3367" s="169"/>
      <c r="Q3367" s="166">
        <f t="shared" si="138"/>
        <v>0</v>
      </c>
      <c r="R3367" s="207"/>
      <c r="S3367" s="207"/>
      <c r="T3367" s="207"/>
      <c r="U3367" s="207"/>
      <c r="V3367" s="166">
        <f t="shared" si="140"/>
        <v>0</v>
      </c>
      <c r="W3367" s="205"/>
      <c r="X3367" s="167"/>
    </row>
    <row r="3368" spans="8:24" s="221" customFormat="1" ht="12" hidden="1" customHeight="1">
      <c r="H3368" s="207"/>
      <c r="I3368" s="207"/>
      <c r="J3368" s="167"/>
      <c r="K3368" s="167"/>
      <c r="L3368" s="209"/>
      <c r="M3368" s="169"/>
      <c r="N3368" s="169"/>
      <c r="O3368" s="169">
        <f t="shared" si="139"/>
        <v>0</v>
      </c>
      <c r="P3368" s="169"/>
      <c r="Q3368" s="166">
        <f t="shared" si="138"/>
        <v>0</v>
      </c>
      <c r="R3368" s="207"/>
      <c r="S3368" s="207"/>
      <c r="T3368" s="207"/>
      <c r="U3368" s="207"/>
      <c r="V3368" s="166">
        <f t="shared" si="140"/>
        <v>0</v>
      </c>
      <c r="W3368" s="205"/>
      <c r="X3368" s="167"/>
    </row>
    <row r="3369" spans="8:24" s="221" customFormat="1" ht="12" hidden="1" customHeight="1">
      <c r="H3369" s="207"/>
      <c r="I3369" s="207"/>
      <c r="J3369" s="167"/>
      <c r="K3369" s="167"/>
      <c r="L3369" s="209"/>
      <c r="M3369" s="169"/>
      <c r="N3369" s="169"/>
      <c r="O3369" s="169">
        <f t="shared" si="139"/>
        <v>0</v>
      </c>
      <c r="P3369" s="169"/>
      <c r="Q3369" s="166">
        <f t="shared" si="138"/>
        <v>0</v>
      </c>
      <c r="R3369" s="207"/>
      <c r="S3369" s="207"/>
      <c r="T3369" s="207"/>
      <c r="U3369" s="207"/>
      <c r="V3369" s="166">
        <f t="shared" si="140"/>
        <v>0</v>
      </c>
      <c r="W3369" s="205"/>
      <c r="X3369" s="167"/>
    </row>
    <row r="3370" spans="8:24" s="221" customFormat="1" ht="12" hidden="1" customHeight="1">
      <c r="H3370" s="207"/>
      <c r="I3370" s="207"/>
      <c r="J3370" s="167"/>
      <c r="K3370" s="167"/>
      <c r="L3370" s="209"/>
      <c r="M3370" s="169"/>
      <c r="N3370" s="169"/>
      <c r="O3370" s="169">
        <f t="shared" si="139"/>
        <v>0</v>
      </c>
      <c r="P3370" s="169"/>
      <c r="Q3370" s="166">
        <f t="shared" si="138"/>
        <v>0</v>
      </c>
      <c r="R3370" s="207"/>
      <c r="S3370" s="207"/>
      <c r="T3370" s="207"/>
      <c r="U3370" s="207"/>
      <c r="V3370" s="166">
        <f t="shared" si="140"/>
        <v>0</v>
      </c>
      <c r="W3370" s="205"/>
      <c r="X3370" s="167"/>
    </row>
    <row r="3371" spans="8:24" s="221" customFormat="1" ht="12" hidden="1" customHeight="1">
      <c r="H3371" s="207"/>
      <c r="I3371" s="207"/>
      <c r="J3371" s="167"/>
      <c r="K3371" s="167"/>
      <c r="L3371" s="209"/>
      <c r="M3371" s="169"/>
      <c r="N3371" s="169"/>
      <c r="O3371" s="169">
        <f t="shared" si="139"/>
        <v>0</v>
      </c>
      <c r="P3371" s="169"/>
      <c r="Q3371" s="166">
        <f t="shared" si="138"/>
        <v>0</v>
      </c>
      <c r="R3371" s="207"/>
      <c r="S3371" s="207"/>
      <c r="T3371" s="207"/>
      <c r="U3371" s="207"/>
      <c r="V3371" s="166">
        <f t="shared" si="140"/>
        <v>0</v>
      </c>
      <c r="W3371" s="205"/>
      <c r="X3371" s="167"/>
    </row>
    <row r="3372" spans="8:24" s="221" customFormat="1" ht="12" hidden="1" customHeight="1">
      <c r="H3372" s="207"/>
      <c r="I3372" s="207"/>
      <c r="J3372" s="167"/>
      <c r="K3372" s="167"/>
      <c r="L3372" s="209"/>
      <c r="M3372" s="169"/>
      <c r="N3372" s="169"/>
      <c r="O3372" s="169">
        <f t="shared" si="139"/>
        <v>0</v>
      </c>
      <c r="P3372" s="169"/>
      <c r="Q3372" s="166">
        <f t="shared" si="138"/>
        <v>0</v>
      </c>
      <c r="R3372" s="207"/>
      <c r="S3372" s="207"/>
      <c r="T3372" s="207"/>
      <c r="U3372" s="207"/>
      <c r="V3372" s="166">
        <f t="shared" si="140"/>
        <v>0</v>
      </c>
      <c r="W3372" s="205"/>
      <c r="X3372" s="167"/>
    </row>
    <row r="3373" spans="8:24" s="221" customFormat="1" ht="12" hidden="1" customHeight="1">
      <c r="H3373" s="207"/>
      <c r="I3373" s="207"/>
      <c r="J3373" s="167"/>
      <c r="K3373" s="167"/>
      <c r="L3373" s="209"/>
      <c r="M3373" s="169"/>
      <c r="N3373" s="169"/>
      <c r="O3373" s="169">
        <f t="shared" si="139"/>
        <v>0</v>
      </c>
      <c r="P3373" s="169"/>
      <c r="Q3373" s="166">
        <f t="shared" si="138"/>
        <v>0</v>
      </c>
      <c r="R3373" s="207"/>
      <c r="S3373" s="207"/>
      <c r="T3373" s="207"/>
      <c r="U3373" s="207"/>
      <c r="V3373" s="166">
        <f t="shared" si="140"/>
        <v>0</v>
      </c>
      <c r="W3373" s="205"/>
      <c r="X3373" s="167"/>
    </row>
    <row r="3374" spans="8:24" s="221" customFormat="1" ht="12" hidden="1" customHeight="1">
      <c r="H3374" s="207"/>
      <c r="I3374" s="207"/>
      <c r="J3374" s="167"/>
      <c r="K3374" s="167"/>
      <c r="L3374" s="209"/>
      <c r="M3374" s="169"/>
      <c r="N3374" s="169"/>
      <c r="O3374" s="169">
        <f t="shared" si="139"/>
        <v>0</v>
      </c>
      <c r="P3374" s="169"/>
      <c r="Q3374" s="166">
        <f t="shared" si="138"/>
        <v>0</v>
      </c>
      <c r="R3374" s="207"/>
      <c r="S3374" s="207"/>
      <c r="T3374" s="207"/>
      <c r="U3374" s="207"/>
      <c r="V3374" s="166">
        <f t="shared" si="140"/>
        <v>0</v>
      </c>
      <c r="W3374" s="205"/>
      <c r="X3374" s="167"/>
    </row>
    <row r="3375" spans="8:24" s="221" customFormat="1" ht="12" hidden="1" customHeight="1">
      <c r="H3375" s="207"/>
      <c r="I3375" s="207"/>
      <c r="J3375" s="167"/>
      <c r="K3375" s="167"/>
      <c r="L3375" s="209"/>
      <c r="M3375" s="169"/>
      <c r="N3375" s="169"/>
      <c r="O3375" s="169">
        <f t="shared" si="139"/>
        <v>0</v>
      </c>
      <c r="P3375" s="169"/>
      <c r="Q3375" s="166">
        <f t="shared" ref="Q3375:Q3438" si="141">IF(W3375="",M3375*P3375*$Q$3*$W$3,M3375*P3375*$Q$3*W3375)</f>
        <v>0</v>
      </c>
      <c r="R3375" s="207"/>
      <c r="S3375" s="207"/>
      <c r="T3375" s="207"/>
      <c r="U3375" s="207"/>
      <c r="V3375" s="166">
        <f t="shared" si="140"/>
        <v>0</v>
      </c>
      <c r="W3375" s="205"/>
      <c r="X3375" s="167"/>
    </row>
    <row r="3376" spans="8:24" s="221" customFormat="1" ht="12" hidden="1" customHeight="1">
      <c r="H3376" s="207"/>
      <c r="I3376" s="207"/>
      <c r="J3376" s="167"/>
      <c r="K3376" s="167"/>
      <c r="L3376" s="209"/>
      <c r="M3376" s="169"/>
      <c r="N3376" s="169"/>
      <c r="O3376" s="169">
        <f t="shared" si="139"/>
        <v>0</v>
      </c>
      <c r="P3376" s="169"/>
      <c r="Q3376" s="166">
        <f t="shared" si="141"/>
        <v>0</v>
      </c>
      <c r="R3376" s="207"/>
      <c r="S3376" s="207"/>
      <c r="T3376" s="207"/>
      <c r="U3376" s="207"/>
      <c r="V3376" s="166">
        <f t="shared" si="140"/>
        <v>0</v>
      </c>
      <c r="W3376" s="205"/>
      <c r="X3376" s="167"/>
    </row>
    <row r="3377" spans="8:24" s="221" customFormat="1" ht="12" hidden="1" customHeight="1">
      <c r="H3377" s="207"/>
      <c r="I3377" s="207"/>
      <c r="J3377" s="167"/>
      <c r="K3377" s="167"/>
      <c r="L3377" s="209"/>
      <c r="M3377" s="169"/>
      <c r="N3377" s="169"/>
      <c r="O3377" s="169">
        <f t="shared" si="139"/>
        <v>0</v>
      </c>
      <c r="P3377" s="169"/>
      <c r="Q3377" s="166">
        <f t="shared" si="141"/>
        <v>0</v>
      </c>
      <c r="R3377" s="207"/>
      <c r="S3377" s="207"/>
      <c r="T3377" s="207"/>
      <c r="U3377" s="207"/>
      <c r="V3377" s="166">
        <f t="shared" si="140"/>
        <v>0</v>
      </c>
      <c r="W3377" s="205"/>
      <c r="X3377" s="167"/>
    </row>
    <row r="3378" spans="8:24" s="221" customFormat="1" ht="12" hidden="1" customHeight="1">
      <c r="H3378" s="207"/>
      <c r="I3378" s="207"/>
      <c r="J3378" s="167"/>
      <c r="K3378" s="167"/>
      <c r="L3378" s="209"/>
      <c r="M3378" s="169"/>
      <c r="N3378" s="169"/>
      <c r="O3378" s="169">
        <f t="shared" si="139"/>
        <v>0</v>
      </c>
      <c r="P3378" s="169"/>
      <c r="Q3378" s="166">
        <f t="shared" si="141"/>
        <v>0</v>
      </c>
      <c r="R3378" s="207"/>
      <c r="S3378" s="207"/>
      <c r="T3378" s="207"/>
      <c r="U3378" s="207"/>
      <c r="V3378" s="166">
        <f t="shared" si="140"/>
        <v>0</v>
      </c>
      <c r="W3378" s="205"/>
      <c r="X3378" s="167"/>
    </row>
    <row r="3379" spans="8:24" s="221" customFormat="1" ht="12" hidden="1" customHeight="1">
      <c r="H3379" s="207"/>
      <c r="I3379" s="207"/>
      <c r="J3379" s="167"/>
      <c r="K3379" s="167"/>
      <c r="L3379" s="209"/>
      <c r="M3379" s="169"/>
      <c r="N3379" s="169"/>
      <c r="O3379" s="169">
        <f t="shared" si="139"/>
        <v>0</v>
      </c>
      <c r="P3379" s="169"/>
      <c r="Q3379" s="166">
        <f t="shared" si="141"/>
        <v>0</v>
      </c>
      <c r="R3379" s="207"/>
      <c r="S3379" s="207"/>
      <c r="T3379" s="207"/>
      <c r="U3379" s="207"/>
      <c r="V3379" s="166">
        <f t="shared" si="140"/>
        <v>0</v>
      </c>
      <c r="W3379" s="205"/>
      <c r="X3379" s="167"/>
    </row>
    <row r="3380" spans="8:24" s="221" customFormat="1" ht="12" hidden="1" customHeight="1">
      <c r="H3380" s="207"/>
      <c r="I3380" s="207"/>
      <c r="J3380" s="167"/>
      <c r="K3380" s="167"/>
      <c r="L3380" s="209"/>
      <c r="M3380" s="169"/>
      <c r="N3380" s="169"/>
      <c r="O3380" s="169">
        <f t="shared" si="139"/>
        <v>0</v>
      </c>
      <c r="P3380" s="169"/>
      <c r="Q3380" s="166">
        <f t="shared" si="141"/>
        <v>0</v>
      </c>
      <c r="R3380" s="207"/>
      <c r="S3380" s="207"/>
      <c r="T3380" s="207"/>
      <c r="U3380" s="207"/>
      <c r="V3380" s="166">
        <f t="shared" si="140"/>
        <v>0</v>
      </c>
      <c r="W3380" s="205"/>
      <c r="X3380" s="167"/>
    </row>
    <row r="3381" spans="8:24" s="221" customFormat="1" ht="12" hidden="1" customHeight="1">
      <c r="H3381" s="207"/>
      <c r="I3381" s="207"/>
      <c r="J3381" s="167"/>
      <c r="K3381" s="167"/>
      <c r="L3381" s="209"/>
      <c r="M3381" s="169"/>
      <c r="N3381" s="169"/>
      <c r="O3381" s="169">
        <f t="shared" si="139"/>
        <v>0</v>
      </c>
      <c r="P3381" s="169"/>
      <c r="Q3381" s="166">
        <f t="shared" si="141"/>
        <v>0</v>
      </c>
      <c r="R3381" s="207"/>
      <c r="S3381" s="207"/>
      <c r="T3381" s="207"/>
      <c r="U3381" s="207"/>
      <c r="V3381" s="166">
        <f t="shared" si="140"/>
        <v>0</v>
      </c>
      <c r="W3381" s="205"/>
      <c r="X3381" s="167"/>
    </row>
    <row r="3382" spans="8:24" s="221" customFormat="1" ht="12" hidden="1" customHeight="1">
      <c r="H3382" s="207"/>
      <c r="I3382" s="207"/>
      <c r="J3382" s="167"/>
      <c r="K3382" s="167"/>
      <c r="L3382" s="209"/>
      <c r="M3382" s="169"/>
      <c r="N3382" s="169"/>
      <c r="O3382" s="169">
        <f t="shared" si="139"/>
        <v>0</v>
      </c>
      <c r="P3382" s="169"/>
      <c r="Q3382" s="166">
        <f t="shared" si="141"/>
        <v>0</v>
      </c>
      <c r="R3382" s="207"/>
      <c r="S3382" s="207"/>
      <c r="T3382" s="207"/>
      <c r="U3382" s="207"/>
      <c r="V3382" s="166">
        <f t="shared" si="140"/>
        <v>0</v>
      </c>
      <c r="W3382" s="205"/>
      <c r="X3382" s="167"/>
    </row>
    <row r="3383" spans="8:24" s="221" customFormat="1" ht="12" hidden="1" customHeight="1">
      <c r="H3383" s="207"/>
      <c r="I3383" s="207"/>
      <c r="J3383" s="167"/>
      <c r="K3383" s="167"/>
      <c r="L3383" s="209"/>
      <c r="M3383" s="169"/>
      <c r="N3383" s="169"/>
      <c r="O3383" s="169">
        <f t="shared" si="139"/>
        <v>0</v>
      </c>
      <c r="P3383" s="169"/>
      <c r="Q3383" s="166">
        <f t="shared" si="141"/>
        <v>0</v>
      </c>
      <c r="R3383" s="207"/>
      <c r="S3383" s="207"/>
      <c r="T3383" s="207"/>
      <c r="U3383" s="207"/>
      <c r="V3383" s="166">
        <f t="shared" si="140"/>
        <v>0</v>
      </c>
      <c r="W3383" s="205"/>
      <c r="X3383" s="167"/>
    </row>
    <row r="3384" spans="8:24" s="221" customFormat="1" ht="12" hidden="1" customHeight="1">
      <c r="H3384" s="207"/>
      <c r="I3384" s="207"/>
      <c r="J3384" s="167"/>
      <c r="K3384" s="167"/>
      <c r="L3384" s="209"/>
      <c r="M3384" s="169"/>
      <c r="N3384" s="169"/>
      <c r="O3384" s="169">
        <f t="shared" si="139"/>
        <v>0</v>
      </c>
      <c r="P3384" s="169"/>
      <c r="Q3384" s="166">
        <f t="shared" si="141"/>
        <v>0</v>
      </c>
      <c r="R3384" s="207"/>
      <c r="S3384" s="207"/>
      <c r="T3384" s="207"/>
      <c r="U3384" s="207"/>
      <c r="V3384" s="166">
        <f t="shared" si="140"/>
        <v>0</v>
      </c>
      <c r="W3384" s="205"/>
      <c r="X3384" s="167"/>
    </row>
    <row r="3385" spans="8:24" s="221" customFormat="1" ht="12" hidden="1" customHeight="1">
      <c r="H3385" s="207"/>
      <c r="I3385" s="207"/>
      <c r="J3385" s="167"/>
      <c r="K3385" s="167"/>
      <c r="L3385" s="209"/>
      <c r="M3385" s="169"/>
      <c r="N3385" s="169"/>
      <c r="O3385" s="169">
        <f t="shared" si="139"/>
        <v>0</v>
      </c>
      <c r="P3385" s="169"/>
      <c r="Q3385" s="166">
        <f t="shared" si="141"/>
        <v>0</v>
      </c>
      <c r="R3385" s="207"/>
      <c r="S3385" s="207"/>
      <c r="T3385" s="207"/>
      <c r="U3385" s="207"/>
      <c r="V3385" s="166">
        <f t="shared" si="140"/>
        <v>0</v>
      </c>
      <c r="W3385" s="205"/>
      <c r="X3385" s="167"/>
    </row>
    <row r="3386" spans="8:24" s="221" customFormat="1" ht="12" hidden="1" customHeight="1">
      <c r="H3386" s="207"/>
      <c r="I3386" s="207"/>
      <c r="J3386" s="167"/>
      <c r="K3386" s="167"/>
      <c r="L3386" s="209"/>
      <c r="M3386" s="169"/>
      <c r="N3386" s="169"/>
      <c r="O3386" s="169">
        <f t="shared" si="139"/>
        <v>0</v>
      </c>
      <c r="P3386" s="169"/>
      <c r="Q3386" s="166">
        <f t="shared" si="141"/>
        <v>0</v>
      </c>
      <c r="R3386" s="207"/>
      <c r="S3386" s="207"/>
      <c r="T3386" s="207"/>
      <c r="U3386" s="207"/>
      <c r="V3386" s="166">
        <f t="shared" si="140"/>
        <v>0</v>
      </c>
      <c r="W3386" s="205"/>
      <c r="X3386" s="167"/>
    </row>
    <row r="3387" spans="8:24" s="221" customFormat="1" ht="12" hidden="1" customHeight="1">
      <c r="H3387" s="207"/>
      <c r="I3387" s="207"/>
      <c r="J3387" s="167"/>
      <c r="K3387" s="167"/>
      <c r="L3387" s="209"/>
      <c r="M3387" s="169"/>
      <c r="N3387" s="169"/>
      <c r="O3387" s="169">
        <f t="shared" si="139"/>
        <v>0</v>
      </c>
      <c r="P3387" s="169"/>
      <c r="Q3387" s="166">
        <f t="shared" si="141"/>
        <v>0</v>
      </c>
      <c r="R3387" s="207"/>
      <c r="S3387" s="207"/>
      <c r="T3387" s="207"/>
      <c r="U3387" s="207"/>
      <c r="V3387" s="166">
        <f t="shared" si="140"/>
        <v>0</v>
      </c>
      <c r="W3387" s="205"/>
      <c r="X3387" s="167"/>
    </row>
    <row r="3388" spans="8:24" s="221" customFormat="1" ht="12" hidden="1" customHeight="1">
      <c r="H3388" s="207"/>
      <c r="I3388" s="207"/>
      <c r="J3388" s="167"/>
      <c r="K3388" s="167"/>
      <c r="L3388" s="209"/>
      <c r="M3388" s="169"/>
      <c r="N3388" s="169"/>
      <c r="O3388" s="169">
        <f t="shared" ref="O3388:O3451" si="142">M3388*N3388*$O$3</f>
        <v>0</v>
      </c>
      <c r="P3388" s="169"/>
      <c r="Q3388" s="166">
        <f t="shared" si="141"/>
        <v>0</v>
      </c>
      <c r="R3388" s="207"/>
      <c r="S3388" s="207"/>
      <c r="T3388" s="207"/>
      <c r="U3388" s="207"/>
      <c r="V3388" s="166">
        <f t="shared" si="140"/>
        <v>0</v>
      </c>
      <c r="W3388" s="205"/>
      <c r="X3388" s="167"/>
    </row>
    <row r="3389" spans="8:24" s="221" customFormat="1" ht="12" hidden="1" customHeight="1">
      <c r="H3389" s="207"/>
      <c r="I3389" s="207"/>
      <c r="J3389" s="167"/>
      <c r="K3389" s="167"/>
      <c r="L3389" s="209"/>
      <c r="M3389" s="169"/>
      <c r="N3389" s="169"/>
      <c r="O3389" s="169">
        <f t="shared" si="142"/>
        <v>0</v>
      </c>
      <c r="P3389" s="169"/>
      <c r="Q3389" s="166">
        <f t="shared" si="141"/>
        <v>0</v>
      </c>
      <c r="R3389" s="207"/>
      <c r="S3389" s="207"/>
      <c r="T3389" s="207"/>
      <c r="U3389" s="207"/>
      <c r="V3389" s="166">
        <f t="shared" si="140"/>
        <v>0</v>
      </c>
      <c r="W3389" s="205"/>
      <c r="X3389" s="167"/>
    </row>
    <row r="3390" spans="8:24" s="221" customFormat="1" ht="12" hidden="1" customHeight="1">
      <c r="H3390" s="207"/>
      <c r="I3390" s="207"/>
      <c r="J3390" s="167"/>
      <c r="K3390" s="167"/>
      <c r="L3390" s="209"/>
      <c r="M3390" s="169"/>
      <c r="N3390" s="169"/>
      <c r="O3390" s="169">
        <f t="shared" si="142"/>
        <v>0</v>
      </c>
      <c r="P3390" s="169"/>
      <c r="Q3390" s="166">
        <f t="shared" si="141"/>
        <v>0</v>
      </c>
      <c r="R3390" s="207"/>
      <c r="S3390" s="207"/>
      <c r="T3390" s="207"/>
      <c r="U3390" s="207"/>
      <c r="V3390" s="166">
        <f t="shared" si="140"/>
        <v>0</v>
      </c>
      <c r="W3390" s="205"/>
      <c r="X3390" s="167"/>
    </row>
    <row r="3391" spans="8:24" s="221" customFormat="1" ht="12" hidden="1" customHeight="1">
      <c r="H3391" s="207"/>
      <c r="I3391" s="207"/>
      <c r="J3391" s="167"/>
      <c r="K3391" s="167"/>
      <c r="L3391" s="209"/>
      <c r="M3391" s="169"/>
      <c r="N3391" s="169"/>
      <c r="O3391" s="169">
        <f t="shared" si="142"/>
        <v>0</v>
      </c>
      <c r="P3391" s="169"/>
      <c r="Q3391" s="166">
        <f t="shared" si="141"/>
        <v>0</v>
      </c>
      <c r="R3391" s="207"/>
      <c r="S3391" s="207"/>
      <c r="T3391" s="207"/>
      <c r="U3391" s="207"/>
      <c r="V3391" s="166">
        <f t="shared" ref="V3391:V3454" si="143">SUM(O3391+Q3391)+S3391+U3391</f>
        <v>0</v>
      </c>
      <c r="W3391" s="205"/>
      <c r="X3391" s="167"/>
    </row>
    <row r="3392" spans="8:24" s="221" customFormat="1" ht="12" hidden="1" customHeight="1">
      <c r="H3392" s="207"/>
      <c r="I3392" s="207"/>
      <c r="J3392" s="167"/>
      <c r="K3392" s="167"/>
      <c r="L3392" s="209"/>
      <c r="M3392" s="169"/>
      <c r="N3392" s="169"/>
      <c r="O3392" s="169">
        <f t="shared" si="142"/>
        <v>0</v>
      </c>
      <c r="P3392" s="169"/>
      <c r="Q3392" s="166">
        <f t="shared" si="141"/>
        <v>0</v>
      </c>
      <c r="R3392" s="207"/>
      <c r="S3392" s="207"/>
      <c r="T3392" s="207"/>
      <c r="U3392" s="207"/>
      <c r="V3392" s="166">
        <f t="shared" si="143"/>
        <v>0</v>
      </c>
      <c r="W3392" s="205"/>
      <c r="X3392" s="167"/>
    </row>
    <row r="3393" spans="8:24" s="221" customFormat="1" ht="12" hidden="1" customHeight="1">
      <c r="H3393" s="207"/>
      <c r="I3393" s="207"/>
      <c r="J3393" s="167"/>
      <c r="K3393" s="167"/>
      <c r="L3393" s="209"/>
      <c r="M3393" s="169"/>
      <c r="N3393" s="169"/>
      <c r="O3393" s="169">
        <f t="shared" si="142"/>
        <v>0</v>
      </c>
      <c r="P3393" s="169"/>
      <c r="Q3393" s="166">
        <f t="shared" si="141"/>
        <v>0</v>
      </c>
      <c r="R3393" s="207"/>
      <c r="S3393" s="207"/>
      <c r="T3393" s="207"/>
      <c r="U3393" s="207"/>
      <c r="V3393" s="166">
        <f t="shared" si="143"/>
        <v>0</v>
      </c>
      <c r="W3393" s="205"/>
      <c r="X3393" s="167"/>
    </row>
    <row r="3394" spans="8:24" s="221" customFormat="1" ht="12" hidden="1" customHeight="1">
      <c r="H3394" s="207"/>
      <c r="I3394" s="207"/>
      <c r="J3394" s="167"/>
      <c r="K3394" s="167"/>
      <c r="L3394" s="209"/>
      <c r="M3394" s="169"/>
      <c r="N3394" s="169"/>
      <c r="O3394" s="169">
        <f t="shared" si="142"/>
        <v>0</v>
      </c>
      <c r="P3394" s="169"/>
      <c r="Q3394" s="166">
        <f t="shared" si="141"/>
        <v>0</v>
      </c>
      <c r="R3394" s="207"/>
      <c r="S3394" s="207"/>
      <c r="T3394" s="207"/>
      <c r="U3394" s="207"/>
      <c r="V3394" s="166">
        <f t="shared" si="143"/>
        <v>0</v>
      </c>
      <c r="W3394" s="205"/>
      <c r="X3394" s="167"/>
    </row>
    <row r="3395" spans="8:24" s="221" customFormat="1" ht="12" hidden="1" customHeight="1">
      <c r="H3395" s="207"/>
      <c r="I3395" s="207"/>
      <c r="J3395" s="167"/>
      <c r="K3395" s="167"/>
      <c r="L3395" s="209"/>
      <c r="M3395" s="169"/>
      <c r="N3395" s="169"/>
      <c r="O3395" s="169">
        <f t="shared" si="142"/>
        <v>0</v>
      </c>
      <c r="P3395" s="169"/>
      <c r="Q3395" s="166">
        <f t="shared" si="141"/>
        <v>0</v>
      </c>
      <c r="R3395" s="207"/>
      <c r="S3395" s="207"/>
      <c r="T3395" s="207"/>
      <c r="U3395" s="207"/>
      <c r="V3395" s="166">
        <f t="shared" si="143"/>
        <v>0</v>
      </c>
      <c r="W3395" s="205"/>
      <c r="X3395" s="167"/>
    </row>
    <row r="3396" spans="8:24" s="221" customFormat="1" ht="12" hidden="1" customHeight="1">
      <c r="H3396" s="207"/>
      <c r="I3396" s="207"/>
      <c r="J3396" s="167"/>
      <c r="K3396" s="167"/>
      <c r="L3396" s="209"/>
      <c r="M3396" s="169"/>
      <c r="N3396" s="169"/>
      <c r="O3396" s="169">
        <f t="shared" si="142"/>
        <v>0</v>
      </c>
      <c r="P3396" s="169"/>
      <c r="Q3396" s="166">
        <f t="shared" si="141"/>
        <v>0</v>
      </c>
      <c r="R3396" s="207"/>
      <c r="S3396" s="207"/>
      <c r="T3396" s="207"/>
      <c r="U3396" s="207"/>
      <c r="V3396" s="166">
        <f t="shared" si="143"/>
        <v>0</v>
      </c>
      <c r="W3396" s="205"/>
      <c r="X3396" s="167"/>
    </row>
    <row r="3397" spans="8:24" s="221" customFormat="1" ht="12" hidden="1" customHeight="1">
      <c r="H3397" s="207"/>
      <c r="I3397" s="207"/>
      <c r="J3397" s="167"/>
      <c r="K3397" s="167"/>
      <c r="L3397" s="209"/>
      <c r="M3397" s="169"/>
      <c r="N3397" s="169"/>
      <c r="O3397" s="169">
        <f t="shared" si="142"/>
        <v>0</v>
      </c>
      <c r="P3397" s="169"/>
      <c r="Q3397" s="166">
        <f t="shared" si="141"/>
        <v>0</v>
      </c>
      <c r="R3397" s="207"/>
      <c r="S3397" s="207"/>
      <c r="T3397" s="207"/>
      <c r="U3397" s="207"/>
      <c r="V3397" s="166">
        <f t="shared" si="143"/>
        <v>0</v>
      </c>
      <c r="W3397" s="205"/>
      <c r="X3397" s="167"/>
    </row>
    <row r="3398" spans="8:24" s="221" customFormat="1" ht="12" hidden="1" customHeight="1">
      <c r="H3398" s="207"/>
      <c r="I3398" s="207"/>
      <c r="J3398" s="167"/>
      <c r="K3398" s="167"/>
      <c r="L3398" s="209"/>
      <c r="M3398" s="169"/>
      <c r="N3398" s="169"/>
      <c r="O3398" s="169">
        <f t="shared" si="142"/>
        <v>0</v>
      </c>
      <c r="P3398" s="169"/>
      <c r="Q3398" s="166">
        <f t="shared" si="141"/>
        <v>0</v>
      </c>
      <c r="R3398" s="207"/>
      <c r="S3398" s="207"/>
      <c r="T3398" s="207"/>
      <c r="U3398" s="207"/>
      <c r="V3398" s="166">
        <f t="shared" si="143"/>
        <v>0</v>
      </c>
      <c r="W3398" s="205"/>
      <c r="X3398" s="167"/>
    </row>
    <row r="3399" spans="8:24" s="221" customFormat="1" ht="12" hidden="1" customHeight="1">
      <c r="H3399" s="207"/>
      <c r="I3399" s="207"/>
      <c r="J3399" s="167"/>
      <c r="K3399" s="167"/>
      <c r="L3399" s="209"/>
      <c r="M3399" s="169"/>
      <c r="N3399" s="169"/>
      <c r="O3399" s="169">
        <f t="shared" si="142"/>
        <v>0</v>
      </c>
      <c r="P3399" s="169"/>
      <c r="Q3399" s="166">
        <f t="shared" si="141"/>
        <v>0</v>
      </c>
      <c r="R3399" s="207"/>
      <c r="S3399" s="207"/>
      <c r="T3399" s="207"/>
      <c r="U3399" s="207"/>
      <c r="V3399" s="166">
        <f t="shared" si="143"/>
        <v>0</v>
      </c>
      <c r="W3399" s="205"/>
      <c r="X3399" s="167"/>
    </row>
    <row r="3400" spans="8:24" s="221" customFormat="1" ht="12" hidden="1" customHeight="1">
      <c r="H3400" s="207"/>
      <c r="I3400" s="207"/>
      <c r="J3400" s="167"/>
      <c r="K3400" s="167"/>
      <c r="L3400" s="209"/>
      <c r="M3400" s="169"/>
      <c r="N3400" s="169"/>
      <c r="O3400" s="169">
        <f t="shared" si="142"/>
        <v>0</v>
      </c>
      <c r="P3400" s="169"/>
      <c r="Q3400" s="166">
        <f t="shared" si="141"/>
        <v>0</v>
      </c>
      <c r="R3400" s="207"/>
      <c r="S3400" s="207"/>
      <c r="T3400" s="207"/>
      <c r="U3400" s="207"/>
      <c r="V3400" s="166">
        <f t="shared" si="143"/>
        <v>0</v>
      </c>
      <c r="W3400" s="205"/>
      <c r="X3400" s="167"/>
    </row>
    <row r="3401" spans="8:24" s="221" customFormat="1" ht="12" hidden="1" customHeight="1">
      <c r="H3401" s="207"/>
      <c r="I3401" s="207"/>
      <c r="J3401" s="167"/>
      <c r="K3401" s="167"/>
      <c r="L3401" s="209"/>
      <c r="M3401" s="169"/>
      <c r="N3401" s="169"/>
      <c r="O3401" s="169">
        <f t="shared" si="142"/>
        <v>0</v>
      </c>
      <c r="P3401" s="169"/>
      <c r="Q3401" s="166">
        <f t="shared" si="141"/>
        <v>0</v>
      </c>
      <c r="R3401" s="207"/>
      <c r="S3401" s="207"/>
      <c r="T3401" s="207"/>
      <c r="U3401" s="207"/>
      <c r="V3401" s="166">
        <f t="shared" si="143"/>
        <v>0</v>
      </c>
      <c r="W3401" s="205"/>
      <c r="X3401" s="167"/>
    </row>
    <row r="3402" spans="8:24" s="221" customFormat="1" ht="12" hidden="1" customHeight="1">
      <c r="H3402" s="207"/>
      <c r="I3402" s="207"/>
      <c r="J3402" s="167"/>
      <c r="K3402" s="167"/>
      <c r="L3402" s="209"/>
      <c r="M3402" s="169"/>
      <c r="N3402" s="169"/>
      <c r="O3402" s="169">
        <f t="shared" si="142"/>
        <v>0</v>
      </c>
      <c r="P3402" s="169"/>
      <c r="Q3402" s="166">
        <f t="shared" si="141"/>
        <v>0</v>
      </c>
      <c r="R3402" s="207"/>
      <c r="S3402" s="207"/>
      <c r="T3402" s="207"/>
      <c r="U3402" s="207"/>
      <c r="V3402" s="166">
        <f t="shared" si="143"/>
        <v>0</v>
      </c>
      <c r="W3402" s="205"/>
      <c r="X3402" s="167"/>
    </row>
    <row r="3403" spans="8:24" s="221" customFormat="1" ht="12" hidden="1" customHeight="1">
      <c r="H3403" s="207"/>
      <c r="I3403" s="207"/>
      <c r="J3403" s="167"/>
      <c r="K3403" s="167"/>
      <c r="L3403" s="209"/>
      <c r="M3403" s="169"/>
      <c r="N3403" s="169"/>
      <c r="O3403" s="169">
        <f t="shared" si="142"/>
        <v>0</v>
      </c>
      <c r="P3403" s="169"/>
      <c r="Q3403" s="166">
        <f t="shared" si="141"/>
        <v>0</v>
      </c>
      <c r="R3403" s="207"/>
      <c r="S3403" s="207"/>
      <c r="T3403" s="207"/>
      <c r="U3403" s="207"/>
      <c r="V3403" s="166">
        <f t="shared" si="143"/>
        <v>0</v>
      </c>
      <c r="W3403" s="205"/>
      <c r="X3403" s="167"/>
    </row>
    <row r="3404" spans="8:24" s="221" customFormat="1" ht="12" hidden="1" customHeight="1">
      <c r="H3404" s="207"/>
      <c r="I3404" s="207"/>
      <c r="J3404" s="167"/>
      <c r="K3404" s="167"/>
      <c r="L3404" s="209"/>
      <c r="M3404" s="169"/>
      <c r="N3404" s="169"/>
      <c r="O3404" s="169">
        <f t="shared" si="142"/>
        <v>0</v>
      </c>
      <c r="P3404" s="169"/>
      <c r="Q3404" s="166">
        <f t="shared" si="141"/>
        <v>0</v>
      </c>
      <c r="R3404" s="207"/>
      <c r="S3404" s="207"/>
      <c r="T3404" s="207"/>
      <c r="U3404" s="207"/>
      <c r="V3404" s="166">
        <f t="shared" si="143"/>
        <v>0</v>
      </c>
      <c r="W3404" s="205"/>
      <c r="X3404" s="167"/>
    </row>
    <row r="3405" spans="8:24" s="221" customFormat="1" ht="12" hidden="1" customHeight="1">
      <c r="H3405" s="207"/>
      <c r="I3405" s="207"/>
      <c r="J3405" s="167"/>
      <c r="K3405" s="167"/>
      <c r="L3405" s="209"/>
      <c r="M3405" s="169"/>
      <c r="N3405" s="169"/>
      <c r="O3405" s="169">
        <f t="shared" si="142"/>
        <v>0</v>
      </c>
      <c r="P3405" s="169"/>
      <c r="Q3405" s="166">
        <f t="shared" si="141"/>
        <v>0</v>
      </c>
      <c r="R3405" s="207"/>
      <c r="S3405" s="207"/>
      <c r="T3405" s="207"/>
      <c r="U3405" s="207"/>
      <c r="V3405" s="166">
        <f t="shared" si="143"/>
        <v>0</v>
      </c>
      <c r="W3405" s="205"/>
      <c r="X3405" s="167"/>
    </row>
    <row r="3406" spans="8:24" s="221" customFormat="1" ht="12" hidden="1" customHeight="1">
      <c r="H3406" s="207"/>
      <c r="I3406" s="207"/>
      <c r="J3406" s="167"/>
      <c r="K3406" s="167"/>
      <c r="L3406" s="209"/>
      <c r="M3406" s="169"/>
      <c r="N3406" s="169"/>
      <c r="O3406" s="169">
        <f t="shared" si="142"/>
        <v>0</v>
      </c>
      <c r="P3406" s="169"/>
      <c r="Q3406" s="166">
        <f t="shared" si="141"/>
        <v>0</v>
      </c>
      <c r="R3406" s="207"/>
      <c r="S3406" s="207"/>
      <c r="T3406" s="207"/>
      <c r="U3406" s="207"/>
      <c r="V3406" s="166">
        <f t="shared" si="143"/>
        <v>0</v>
      </c>
      <c r="W3406" s="205"/>
      <c r="X3406" s="167"/>
    </row>
    <row r="3407" spans="8:24" s="221" customFormat="1" ht="12" hidden="1" customHeight="1">
      <c r="H3407" s="207"/>
      <c r="I3407" s="207"/>
      <c r="J3407" s="167"/>
      <c r="K3407" s="167"/>
      <c r="L3407" s="209"/>
      <c r="M3407" s="169"/>
      <c r="N3407" s="169"/>
      <c r="O3407" s="169">
        <f t="shared" si="142"/>
        <v>0</v>
      </c>
      <c r="P3407" s="169"/>
      <c r="Q3407" s="166">
        <f t="shared" si="141"/>
        <v>0</v>
      </c>
      <c r="R3407" s="207"/>
      <c r="S3407" s="207"/>
      <c r="T3407" s="207"/>
      <c r="U3407" s="207"/>
      <c r="V3407" s="166">
        <f t="shared" si="143"/>
        <v>0</v>
      </c>
      <c r="W3407" s="205"/>
      <c r="X3407" s="167"/>
    </row>
    <row r="3408" spans="8:24" s="221" customFormat="1" ht="12" hidden="1" customHeight="1">
      <c r="H3408" s="207"/>
      <c r="I3408" s="207"/>
      <c r="J3408" s="167"/>
      <c r="K3408" s="167"/>
      <c r="L3408" s="209"/>
      <c r="M3408" s="169"/>
      <c r="N3408" s="169"/>
      <c r="O3408" s="169">
        <f t="shared" si="142"/>
        <v>0</v>
      </c>
      <c r="P3408" s="169"/>
      <c r="Q3408" s="166">
        <f t="shared" si="141"/>
        <v>0</v>
      </c>
      <c r="R3408" s="207"/>
      <c r="S3408" s="207"/>
      <c r="T3408" s="207"/>
      <c r="U3408" s="207"/>
      <c r="V3408" s="166">
        <f t="shared" si="143"/>
        <v>0</v>
      </c>
      <c r="W3408" s="205"/>
      <c r="X3408" s="167"/>
    </row>
    <row r="3409" spans="8:24" s="221" customFormat="1" ht="12" hidden="1" customHeight="1">
      <c r="H3409" s="207"/>
      <c r="I3409" s="207"/>
      <c r="J3409" s="167"/>
      <c r="K3409" s="167"/>
      <c r="L3409" s="209"/>
      <c r="M3409" s="169"/>
      <c r="N3409" s="169"/>
      <c r="O3409" s="169">
        <f t="shared" si="142"/>
        <v>0</v>
      </c>
      <c r="P3409" s="169"/>
      <c r="Q3409" s="166">
        <f t="shared" si="141"/>
        <v>0</v>
      </c>
      <c r="R3409" s="207"/>
      <c r="S3409" s="207"/>
      <c r="T3409" s="207"/>
      <c r="U3409" s="207"/>
      <c r="V3409" s="166">
        <f t="shared" si="143"/>
        <v>0</v>
      </c>
      <c r="W3409" s="205"/>
      <c r="X3409" s="167"/>
    </row>
    <row r="3410" spans="8:24" s="221" customFormat="1" ht="12" hidden="1" customHeight="1">
      <c r="H3410" s="207"/>
      <c r="I3410" s="207"/>
      <c r="J3410" s="167"/>
      <c r="K3410" s="167"/>
      <c r="L3410" s="209"/>
      <c r="M3410" s="169"/>
      <c r="N3410" s="169"/>
      <c r="O3410" s="169">
        <f t="shared" si="142"/>
        <v>0</v>
      </c>
      <c r="P3410" s="169"/>
      <c r="Q3410" s="166">
        <f t="shared" si="141"/>
        <v>0</v>
      </c>
      <c r="R3410" s="207"/>
      <c r="S3410" s="207"/>
      <c r="T3410" s="207"/>
      <c r="U3410" s="207"/>
      <c r="V3410" s="166">
        <f t="shared" si="143"/>
        <v>0</v>
      </c>
      <c r="W3410" s="205"/>
      <c r="X3410" s="167"/>
    </row>
    <row r="3411" spans="8:24" s="221" customFormat="1" ht="12" hidden="1" customHeight="1">
      <c r="H3411" s="207"/>
      <c r="I3411" s="207"/>
      <c r="J3411" s="167"/>
      <c r="K3411" s="167"/>
      <c r="L3411" s="209"/>
      <c r="M3411" s="169"/>
      <c r="N3411" s="169"/>
      <c r="O3411" s="169">
        <f t="shared" si="142"/>
        <v>0</v>
      </c>
      <c r="P3411" s="169"/>
      <c r="Q3411" s="166">
        <f t="shared" si="141"/>
        <v>0</v>
      </c>
      <c r="R3411" s="207"/>
      <c r="S3411" s="207"/>
      <c r="T3411" s="207"/>
      <c r="U3411" s="207"/>
      <c r="V3411" s="166">
        <f t="shared" si="143"/>
        <v>0</v>
      </c>
      <c r="W3411" s="205"/>
      <c r="X3411" s="167"/>
    </row>
    <row r="3412" spans="8:24" s="221" customFormat="1" ht="12" hidden="1" customHeight="1">
      <c r="H3412" s="207"/>
      <c r="I3412" s="207"/>
      <c r="J3412" s="167"/>
      <c r="K3412" s="167"/>
      <c r="L3412" s="209"/>
      <c r="M3412" s="169"/>
      <c r="N3412" s="169"/>
      <c r="O3412" s="169">
        <f t="shared" si="142"/>
        <v>0</v>
      </c>
      <c r="P3412" s="169"/>
      <c r="Q3412" s="166">
        <f t="shared" si="141"/>
        <v>0</v>
      </c>
      <c r="R3412" s="207"/>
      <c r="S3412" s="207"/>
      <c r="T3412" s="207"/>
      <c r="U3412" s="207"/>
      <c r="V3412" s="166">
        <f t="shared" si="143"/>
        <v>0</v>
      </c>
      <c r="W3412" s="205"/>
      <c r="X3412" s="167"/>
    </row>
    <row r="3413" spans="8:24" s="221" customFormat="1" ht="12" hidden="1" customHeight="1">
      <c r="H3413" s="207"/>
      <c r="I3413" s="207"/>
      <c r="J3413" s="167"/>
      <c r="K3413" s="167"/>
      <c r="L3413" s="209"/>
      <c r="M3413" s="169"/>
      <c r="N3413" s="169"/>
      <c r="O3413" s="169">
        <f t="shared" si="142"/>
        <v>0</v>
      </c>
      <c r="P3413" s="169"/>
      <c r="Q3413" s="166">
        <f t="shared" si="141"/>
        <v>0</v>
      </c>
      <c r="R3413" s="207"/>
      <c r="S3413" s="207"/>
      <c r="T3413" s="207"/>
      <c r="U3413" s="207"/>
      <c r="V3413" s="166">
        <f t="shared" si="143"/>
        <v>0</v>
      </c>
      <c r="W3413" s="205"/>
      <c r="X3413" s="167"/>
    </row>
    <row r="3414" spans="8:24" s="221" customFormat="1" ht="12" hidden="1" customHeight="1">
      <c r="H3414" s="207"/>
      <c r="I3414" s="207"/>
      <c r="J3414" s="167"/>
      <c r="K3414" s="167"/>
      <c r="L3414" s="209"/>
      <c r="M3414" s="169"/>
      <c r="N3414" s="169"/>
      <c r="O3414" s="169">
        <f t="shared" si="142"/>
        <v>0</v>
      </c>
      <c r="P3414" s="169"/>
      <c r="Q3414" s="166">
        <f t="shared" si="141"/>
        <v>0</v>
      </c>
      <c r="R3414" s="207"/>
      <c r="S3414" s="207"/>
      <c r="T3414" s="207"/>
      <c r="U3414" s="207"/>
      <c r="V3414" s="166">
        <f t="shared" si="143"/>
        <v>0</v>
      </c>
      <c r="W3414" s="205"/>
      <c r="X3414" s="167"/>
    </row>
    <row r="3415" spans="8:24" s="221" customFormat="1" ht="12" hidden="1" customHeight="1">
      <c r="H3415" s="207"/>
      <c r="I3415" s="207"/>
      <c r="J3415" s="167"/>
      <c r="K3415" s="167"/>
      <c r="L3415" s="209"/>
      <c r="M3415" s="169"/>
      <c r="N3415" s="169"/>
      <c r="O3415" s="169">
        <f t="shared" si="142"/>
        <v>0</v>
      </c>
      <c r="P3415" s="169"/>
      <c r="Q3415" s="166">
        <f t="shared" si="141"/>
        <v>0</v>
      </c>
      <c r="R3415" s="207"/>
      <c r="S3415" s="207"/>
      <c r="T3415" s="207"/>
      <c r="U3415" s="207"/>
      <c r="V3415" s="166">
        <f t="shared" si="143"/>
        <v>0</v>
      </c>
      <c r="W3415" s="205"/>
      <c r="X3415" s="167"/>
    </row>
    <row r="3416" spans="8:24" s="221" customFormat="1" ht="12" hidden="1" customHeight="1">
      <c r="H3416" s="207"/>
      <c r="I3416" s="207"/>
      <c r="J3416" s="167"/>
      <c r="K3416" s="167"/>
      <c r="L3416" s="209"/>
      <c r="M3416" s="169"/>
      <c r="N3416" s="169"/>
      <c r="O3416" s="169">
        <f t="shared" si="142"/>
        <v>0</v>
      </c>
      <c r="P3416" s="169"/>
      <c r="Q3416" s="166">
        <f t="shared" si="141"/>
        <v>0</v>
      </c>
      <c r="R3416" s="207"/>
      <c r="S3416" s="207"/>
      <c r="T3416" s="207"/>
      <c r="U3416" s="207"/>
      <c r="V3416" s="166">
        <f t="shared" si="143"/>
        <v>0</v>
      </c>
      <c r="W3416" s="205"/>
      <c r="X3416" s="167"/>
    </row>
    <row r="3417" spans="8:24" s="221" customFormat="1" ht="12" hidden="1" customHeight="1">
      <c r="H3417" s="207"/>
      <c r="I3417" s="207"/>
      <c r="J3417" s="167"/>
      <c r="K3417" s="167"/>
      <c r="L3417" s="209"/>
      <c r="M3417" s="169"/>
      <c r="N3417" s="169"/>
      <c r="O3417" s="169">
        <f t="shared" si="142"/>
        <v>0</v>
      </c>
      <c r="P3417" s="169"/>
      <c r="Q3417" s="166">
        <f t="shared" si="141"/>
        <v>0</v>
      </c>
      <c r="R3417" s="207"/>
      <c r="S3417" s="207"/>
      <c r="T3417" s="207"/>
      <c r="U3417" s="207"/>
      <c r="V3417" s="166">
        <f t="shared" si="143"/>
        <v>0</v>
      </c>
      <c r="W3417" s="205"/>
      <c r="X3417" s="167"/>
    </row>
    <row r="3418" spans="8:24" s="221" customFormat="1" ht="12" hidden="1" customHeight="1">
      <c r="H3418" s="207"/>
      <c r="I3418" s="207"/>
      <c r="J3418" s="167"/>
      <c r="K3418" s="167"/>
      <c r="L3418" s="209"/>
      <c r="M3418" s="169"/>
      <c r="N3418" s="169"/>
      <c r="O3418" s="169">
        <f t="shared" si="142"/>
        <v>0</v>
      </c>
      <c r="P3418" s="169"/>
      <c r="Q3418" s="166">
        <f t="shared" si="141"/>
        <v>0</v>
      </c>
      <c r="R3418" s="207"/>
      <c r="S3418" s="207"/>
      <c r="T3418" s="207"/>
      <c r="U3418" s="207"/>
      <c r="V3418" s="166">
        <f t="shared" si="143"/>
        <v>0</v>
      </c>
      <c r="W3418" s="205"/>
      <c r="X3418" s="167"/>
    </row>
    <row r="3419" spans="8:24" s="221" customFormat="1" ht="12" hidden="1" customHeight="1">
      <c r="H3419" s="207"/>
      <c r="I3419" s="207"/>
      <c r="J3419" s="167"/>
      <c r="K3419" s="167"/>
      <c r="L3419" s="209"/>
      <c r="M3419" s="169"/>
      <c r="N3419" s="169"/>
      <c r="O3419" s="169">
        <f t="shared" si="142"/>
        <v>0</v>
      </c>
      <c r="P3419" s="169"/>
      <c r="Q3419" s="166">
        <f t="shared" si="141"/>
        <v>0</v>
      </c>
      <c r="R3419" s="207"/>
      <c r="S3419" s="207"/>
      <c r="T3419" s="207"/>
      <c r="U3419" s="207"/>
      <c r="V3419" s="166">
        <f t="shared" si="143"/>
        <v>0</v>
      </c>
      <c r="W3419" s="205"/>
      <c r="X3419" s="167"/>
    </row>
    <row r="3420" spans="8:24" s="221" customFormat="1" ht="12" hidden="1" customHeight="1">
      <c r="H3420" s="207"/>
      <c r="I3420" s="207"/>
      <c r="J3420" s="167"/>
      <c r="K3420" s="167"/>
      <c r="L3420" s="209"/>
      <c r="M3420" s="169"/>
      <c r="N3420" s="169"/>
      <c r="O3420" s="169">
        <f t="shared" si="142"/>
        <v>0</v>
      </c>
      <c r="P3420" s="169"/>
      <c r="Q3420" s="166">
        <f t="shared" si="141"/>
        <v>0</v>
      </c>
      <c r="R3420" s="207"/>
      <c r="S3420" s="207"/>
      <c r="T3420" s="207"/>
      <c r="U3420" s="207"/>
      <c r="V3420" s="166">
        <f t="shared" si="143"/>
        <v>0</v>
      </c>
      <c r="W3420" s="205"/>
      <c r="X3420" s="167"/>
    </row>
    <row r="3421" spans="8:24" s="221" customFormat="1" ht="12" hidden="1" customHeight="1">
      <c r="H3421" s="207"/>
      <c r="I3421" s="207"/>
      <c r="J3421" s="167"/>
      <c r="K3421" s="167"/>
      <c r="L3421" s="209"/>
      <c r="M3421" s="169"/>
      <c r="N3421" s="169"/>
      <c r="O3421" s="169">
        <f t="shared" si="142"/>
        <v>0</v>
      </c>
      <c r="P3421" s="169"/>
      <c r="Q3421" s="166">
        <f t="shared" si="141"/>
        <v>0</v>
      </c>
      <c r="R3421" s="207"/>
      <c r="S3421" s="207"/>
      <c r="T3421" s="207"/>
      <c r="U3421" s="207"/>
      <c r="V3421" s="166">
        <f t="shared" si="143"/>
        <v>0</v>
      </c>
      <c r="W3421" s="205"/>
      <c r="X3421" s="167"/>
    </row>
    <row r="3422" spans="8:24" s="221" customFormat="1" ht="12" hidden="1" customHeight="1">
      <c r="H3422" s="207"/>
      <c r="I3422" s="207"/>
      <c r="J3422" s="167"/>
      <c r="K3422" s="167"/>
      <c r="L3422" s="209"/>
      <c r="M3422" s="169"/>
      <c r="N3422" s="169"/>
      <c r="O3422" s="169">
        <f t="shared" si="142"/>
        <v>0</v>
      </c>
      <c r="P3422" s="169"/>
      <c r="Q3422" s="166">
        <f t="shared" si="141"/>
        <v>0</v>
      </c>
      <c r="R3422" s="207"/>
      <c r="S3422" s="207"/>
      <c r="T3422" s="207"/>
      <c r="U3422" s="207"/>
      <c r="V3422" s="166">
        <f t="shared" si="143"/>
        <v>0</v>
      </c>
      <c r="W3422" s="205"/>
      <c r="X3422" s="167"/>
    </row>
    <row r="3423" spans="8:24" s="221" customFormat="1" ht="12" hidden="1" customHeight="1">
      <c r="H3423" s="207"/>
      <c r="I3423" s="207"/>
      <c r="J3423" s="167"/>
      <c r="K3423" s="167"/>
      <c r="L3423" s="209"/>
      <c r="M3423" s="169"/>
      <c r="N3423" s="169"/>
      <c r="O3423" s="169">
        <f t="shared" si="142"/>
        <v>0</v>
      </c>
      <c r="P3423" s="169"/>
      <c r="Q3423" s="166">
        <f t="shared" si="141"/>
        <v>0</v>
      </c>
      <c r="R3423" s="207"/>
      <c r="S3423" s="207"/>
      <c r="T3423" s="207"/>
      <c r="U3423" s="207"/>
      <c r="V3423" s="166">
        <f t="shared" si="143"/>
        <v>0</v>
      </c>
      <c r="W3423" s="205"/>
      <c r="X3423" s="167"/>
    </row>
    <row r="3424" spans="8:24" s="221" customFormat="1" ht="12" hidden="1" customHeight="1">
      <c r="H3424" s="207"/>
      <c r="I3424" s="207"/>
      <c r="J3424" s="167"/>
      <c r="K3424" s="167"/>
      <c r="L3424" s="209"/>
      <c r="M3424" s="169"/>
      <c r="N3424" s="169"/>
      <c r="O3424" s="169">
        <f t="shared" si="142"/>
        <v>0</v>
      </c>
      <c r="P3424" s="169"/>
      <c r="Q3424" s="166">
        <f t="shared" si="141"/>
        <v>0</v>
      </c>
      <c r="R3424" s="207"/>
      <c r="S3424" s="207"/>
      <c r="T3424" s="207"/>
      <c r="U3424" s="207"/>
      <c r="V3424" s="166">
        <f t="shared" si="143"/>
        <v>0</v>
      </c>
      <c r="W3424" s="205"/>
      <c r="X3424" s="167"/>
    </row>
    <row r="3425" spans="8:24" s="221" customFormat="1" ht="12" hidden="1" customHeight="1">
      <c r="H3425" s="207"/>
      <c r="I3425" s="207"/>
      <c r="J3425" s="167"/>
      <c r="K3425" s="167"/>
      <c r="L3425" s="209"/>
      <c r="M3425" s="169"/>
      <c r="N3425" s="169"/>
      <c r="O3425" s="169">
        <f t="shared" si="142"/>
        <v>0</v>
      </c>
      <c r="P3425" s="169"/>
      <c r="Q3425" s="166">
        <f t="shared" si="141"/>
        <v>0</v>
      </c>
      <c r="R3425" s="207"/>
      <c r="S3425" s="207"/>
      <c r="T3425" s="207"/>
      <c r="U3425" s="207"/>
      <c r="V3425" s="166">
        <f t="shared" si="143"/>
        <v>0</v>
      </c>
      <c r="W3425" s="205"/>
      <c r="X3425" s="167"/>
    </row>
    <row r="3426" spans="8:24" s="221" customFormat="1" ht="12" hidden="1" customHeight="1">
      <c r="H3426" s="207"/>
      <c r="I3426" s="207"/>
      <c r="J3426" s="167"/>
      <c r="K3426" s="167"/>
      <c r="L3426" s="209"/>
      <c r="M3426" s="169"/>
      <c r="N3426" s="169"/>
      <c r="O3426" s="169">
        <f t="shared" si="142"/>
        <v>0</v>
      </c>
      <c r="P3426" s="169"/>
      <c r="Q3426" s="166">
        <f t="shared" si="141"/>
        <v>0</v>
      </c>
      <c r="R3426" s="207"/>
      <c r="S3426" s="207"/>
      <c r="T3426" s="207"/>
      <c r="U3426" s="207"/>
      <c r="V3426" s="166">
        <f t="shared" si="143"/>
        <v>0</v>
      </c>
      <c r="W3426" s="205"/>
      <c r="X3426" s="167"/>
    </row>
    <row r="3427" spans="8:24" s="221" customFormat="1" ht="12" hidden="1" customHeight="1">
      <c r="H3427" s="207" t="s">
        <v>5354</v>
      </c>
      <c r="I3427" s="207" t="s">
        <v>5372</v>
      </c>
      <c r="J3427" s="167" t="s">
        <v>5373</v>
      </c>
      <c r="K3427" s="167" t="s">
        <v>5401</v>
      </c>
      <c r="L3427" s="209" t="s">
        <v>5319</v>
      </c>
      <c r="M3427" s="169"/>
      <c r="N3427" s="169">
        <v>6935.2</v>
      </c>
      <c r="O3427" s="169">
        <f t="shared" si="142"/>
        <v>0</v>
      </c>
      <c r="P3427" s="169">
        <v>53291.438990000002</v>
      </c>
      <c r="Q3427" s="166">
        <f t="shared" si="141"/>
        <v>0</v>
      </c>
      <c r="R3427" s="169">
        <v>26197.200000000001</v>
      </c>
      <c r="S3427" s="214">
        <f>M3427*R3427*S3</f>
        <v>0</v>
      </c>
      <c r="T3427" s="207"/>
      <c r="U3427" s="207"/>
      <c r="V3427" s="166">
        <f t="shared" si="143"/>
        <v>0</v>
      </c>
      <c r="W3427" s="205"/>
      <c r="X3427" s="167"/>
    </row>
    <row r="3428" spans="8:24" s="221" customFormat="1" ht="12" hidden="1" customHeight="1">
      <c r="H3428" s="207" t="s">
        <v>5355</v>
      </c>
      <c r="I3428" s="207" t="s">
        <v>5374</v>
      </c>
      <c r="J3428" s="167" t="s">
        <v>5375</v>
      </c>
      <c r="K3428" s="167" t="s">
        <v>5402</v>
      </c>
      <c r="L3428" s="209" t="s">
        <v>5319</v>
      </c>
      <c r="M3428" s="169"/>
      <c r="N3428" s="169">
        <v>8577.7999999999993</v>
      </c>
      <c r="O3428" s="169">
        <f t="shared" si="142"/>
        <v>0</v>
      </c>
      <c r="P3428" s="169">
        <v>53291.438990000002</v>
      </c>
      <c r="Q3428" s="166">
        <f t="shared" si="141"/>
        <v>0</v>
      </c>
      <c r="R3428" s="169">
        <v>37684.400000000001</v>
      </c>
      <c r="S3428" s="213">
        <f>M3428*R3428*S3</f>
        <v>0</v>
      </c>
      <c r="T3428" s="207"/>
      <c r="U3428" s="207"/>
      <c r="V3428" s="166">
        <f t="shared" si="143"/>
        <v>0</v>
      </c>
      <c r="W3428" s="205"/>
      <c r="X3428" s="167"/>
    </row>
    <row r="3429" spans="8:24" s="221" customFormat="1" ht="12" hidden="1" customHeight="1">
      <c r="H3429" s="207" t="s">
        <v>5356</v>
      </c>
      <c r="I3429" s="207" t="s">
        <v>5376</v>
      </c>
      <c r="J3429" s="167" t="s">
        <v>5377</v>
      </c>
      <c r="K3429" s="167" t="s">
        <v>5403</v>
      </c>
      <c r="L3429" s="209" t="s">
        <v>5319</v>
      </c>
      <c r="M3429" s="169"/>
      <c r="N3429" s="169">
        <v>9855.2999999999993</v>
      </c>
      <c r="O3429" s="169">
        <f t="shared" si="142"/>
        <v>0</v>
      </c>
      <c r="P3429" s="169">
        <v>53291.438990000002</v>
      </c>
      <c r="Q3429" s="166">
        <f t="shared" si="141"/>
        <v>0</v>
      </c>
      <c r="R3429" s="169">
        <v>47811</v>
      </c>
      <c r="S3429" s="213">
        <f>M3429*R3429*S3</f>
        <v>0</v>
      </c>
      <c r="T3429" s="207"/>
      <c r="U3429" s="207"/>
      <c r="V3429" s="166">
        <f t="shared" si="143"/>
        <v>0</v>
      </c>
      <c r="W3429" s="205"/>
      <c r="X3429" s="167"/>
    </row>
    <row r="3430" spans="8:24" s="221" customFormat="1" ht="12" hidden="1" customHeight="1">
      <c r="H3430" s="207" t="s">
        <v>5357</v>
      </c>
      <c r="I3430" s="207" t="s">
        <v>5378</v>
      </c>
      <c r="J3430" s="167" t="s">
        <v>5379</v>
      </c>
      <c r="K3430" s="167" t="s">
        <v>5404</v>
      </c>
      <c r="L3430" s="209" t="s">
        <v>5319</v>
      </c>
      <c r="M3430" s="169"/>
      <c r="N3430" s="169">
        <v>11132.9</v>
      </c>
      <c r="O3430" s="169">
        <f t="shared" si="142"/>
        <v>0</v>
      </c>
      <c r="P3430" s="169">
        <v>53291.438990000002</v>
      </c>
      <c r="Q3430" s="166">
        <f t="shared" si="141"/>
        <v>0</v>
      </c>
      <c r="R3430" s="169">
        <v>53791.7</v>
      </c>
      <c r="S3430" s="213">
        <f>M3430*R3430*S3</f>
        <v>0</v>
      </c>
      <c r="T3430" s="207"/>
      <c r="U3430" s="207"/>
      <c r="V3430" s="166">
        <f t="shared" si="143"/>
        <v>0</v>
      </c>
      <c r="W3430" s="205"/>
      <c r="X3430" s="167"/>
    </row>
    <row r="3431" spans="8:24" s="221" customFormat="1" ht="12" hidden="1" customHeight="1">
      <c r="H3431" s="207" t="s">
        <v>5358</v>
      </c>
      <c r="I3431" s="207" t="s">
        <v>5380</v>
      </c>
      <c r="J3431" s="167" t="s">
        <v>5373</v>
      </c>
      <c r="K3431" s="167" t="s">
        <v>5405</v>
      </c>
      <c r="L3431" s="209" t="s">
        <v>5319</v>
      </c>
      <c r="M3431" s="169"/>
      <c r="N3431" s="169">
        <v>14053</v>
      </c>
      <c r="O3431" s="169">
        <f t="shared" si="142"/>
        <v>0</v>
      </c>
      <c r="P3431" s="169">
        <v>53291.438990000002</v>
      </c>
      <c r="Q3431" s="166">
        <f t="shared" si="141"/>
        <v>0</v>
      </c>
      <c r="R3431" s="169">
        <v>50537.4</v>
      </c>
      <c r="S3431" s="213">
        <f>M3431*R3431*S3</f>
        <v>0</v>
      </c>
      <c r="T3431" s="207"/>
      <c r="U3431" s="207"/>
      <c r="V3431" s="166">
        <f t="shared" si="143"/>
        <v>0</v>
      </c>
      <c r="W3431" s="205"/>
      <c r="X3431" s="167"/>
    </row>
    <row r="3432" spans="8:24" s="221" customFormat="1" ht="12" hidden="1" customHeight="1">
      <c r="H3432" s="207" t="s">
        <v>5359</v>
      </c>
      <c r="I3432" s="207" t="s">
        <v>5381</v>
      </c>
      <c r="J3432" s="167" t="s">
        <v>5375</v>
      </c>
      <c r="K3432" s="167" t="s">
        <v>5406</v>
      </c>
      <c r="L3432" s="209" t="s">
        <v>5319</v>
      </c>
      <c r="M3432" s="169"/>
      <c r="N3432" s="169">
        <v>14053</v>
      </c>
      <c r="O3432" s="169">
        <f t="shared" si="142"/>
        <v>0</v>
      </c>
      <c r="P3432" s="169">
        <v>53291.438990000002</v>
      </c>
      <c r="Q3432" s="166">
        <f t="shared" si="141"/>
        <v>0</v>
      </c>
      <c r="R3432" s="169">
        <v>52734.1</v>
      </c>
      <c r="S3432" s="213">
        <f>M3432*R3432*S3</f>
        <v>0</v>
      </c>
      <c r="T3432" s="207"/>
      <c r="U3432" s="207"/>
      <c r="V3432" s="166">
        <f t="shared" si="143"/>
        <v>0</v>
      </c>
      <c r="W3432" s="205"/>
      <c r="X3432" s="167"/>
    </row>
    <row r="3433" spans="8:24" s="221" customFormat="1" ht="12" hidden="1" customHeight="1">
      <c r="H3433" s="207" t="s">
        <v>5360</v>
      </c>
      <c r="I3433" s="207" t="s">
        <v>5382</v>
      </c>
      <c r="J3433" s="167" t="s">
        <v>5377</v>
      </c>
      <c r="K3433" s="167" t="s">
        <v>5407</v>
      </c>
      <c r="L3433" s="209" t="s">
        <v>5319</v>
      </c>
      <c r="M3433" s="169"/>
      <c r="N3433" s="169">
        <v>17521.900000000001</v>
      </c>
      <c r="O3433" s="169">
        <f t="shared" si="142"/>
        <v>0</v>
      </c>
      <c r="P3433" s="169">
        <v>53291.438990000002</v>
      </c>
      <c r="Q3433" s="166">
        <f t="shared" si="141"/>
        <v>0</v>
      </c>
      <c r="R3433" s="169">
        <v>60374.2</v>
      </c>
      <c r="S3433" s="213">
        <f>M3433*R3433*S3</f>
        <v>0</v>
      </c>
      <c r="T3433" s="207"/>
      <c r="U3433" s="207"/>
      <c r="V3433" s="166">
        <f t="shared" si="143"/>
        <v>0</v>
      </c>
      <c r="W3433" s="205"/>
      <c r="X3433" s="167"/>
    </row>
    <row r="3434" spans="8:24" s="221" customFormat="1" ht="12" hidden="1" customHeight="1">
      <c r="H3434" s="207" t="s">
        <v>5361</v>
      </c>
      <c r="I3434" s="207" t="s">
        <v>5383</v>
      </c>
      <c r="J3434" s="167" t="s">
        <v>5379</v>
      </c>
      <c r="K3434" s="167" t="s">
        <v>5408</v>
      </c>
      <c r="L3434" s="209" t="s">
        <v>5319</v>
      </c>
      <c r="M3434" s="169"/>
      <c r="N3434" s="169">
        <v>20614.099999999999</v>
      </c>
      <c r="O3434" s="169">
        <f t="shared" si="142"/>
        <v>0</v>
      </c>
      <c r="P3434" s="169">
        <v>53291.438990000002</v>
      </c>
      <c r="Q3434" s="166">
        <f t="shared" si="141"/>
        <v>0</v>
      </c>
      <c r="R3434" s="169">
        <v>63864.4</v>
      </c>
      <c r="S3434" s="213">
        <f>M3434*R3434*S3</f>
        <v>0</v>
      </c>
      <c r="T3434" s="207"/>
      <c r="U3434" s="207"/>
      <c r="V3434" s="166">
        <f t="shared" si="143"/>
        <v>0</v>
      </c>
      <c r="W3434" s="205"/>
      <c r="X3434" s="167"/>
    </row>
    <row r="3435" spans="8:24" s="221" customFormat="1" ht="12" hidden="1" customHeight="1">
      <c r="H3435" s="207" t="s">
        <v>5362</v>
      </c>
      <c r="I3435" s="207" t="s">
        <v>5384</v>
      </c>
      <c r="J3435" s="167" t="s">
        <v>5373</v>
      </c>
      <c r="K3435" s="167" t="s">
        <v>5409</v>
      </c>
      <c r="L3435" s="209" t="s">
        <v>5319</v>
      </c>
      <c r="M3435" s="169"/>
      <c r="N3435" s="169">
        <v>20614.099999999999</v>
      </c>
      <c r="O3435" s="169">
        <f t="shared" si="142"/>
        <v>0</v>
      </c>
      <c r="P3435" s="169">
        <v>53291.438990000002</v>
      </c>
      <c r="Q3435" s="166">
        <f t="shared" si="141"/>
        <v>0</v>
      </c>
      <c r="R3435" s="169">
        <v>82887.3</v>
      </c>
      <c r="S3435" s="213">
        <f>M3435*R3435*S3</f>
        <v>0</v>
      </c>
      <c r="T3435" s="207"/>
      <c r="U3435" s="207"/>
      <c r="V3435" s="166">
        <f t="shared" si="143"/>
        <v>0</v>
      </c>
      <c r="W3435" s="205"/>
      <c r="X3435" s="167"/>
    </row>
    <row r="3436" spans="8:24" s="221" customFormat="1" ht="12" hidden="1" customHeight="1">
      <c r="H3436" s="207" t="s">
        <v>5363</v>
      </c>
      <c r="I3436" s="207" t="s">
        <v>5385</v>
      </c>
      <c r="J3436" s="167" t="s">
        <v>5375</v>
      </c>
      <c r="K3436" s="167" t="s">
        <v>5410</v>
      </c>
      <c r="L3436" s="209" t="s">
        <v>5319</v>
      </c>
      <c r="M3436" s="169"/>
      <c r="N3436" s="169">
        <v>21850.9</v>
      </c>
      <c r="O3436" s="169">
        <f t="shared" si="142"/>
        <v>0</v>
      </c>
      <c r="P3436" s="169">
        <v>53291.438990000002</v>
      </c>
      <c r="Q3436" s="166">
        <f t="shared" si="141"/>
        <v>0</v>
      </c>
      <c r="R3436" s="169">
        <v>82973.100000000006</v>
      </c>
      <c r="S3436" s="213">
        <f>M3436*R3436*S3</f>
        <v>0</v>
      </c>
      <c r="T3436" s="207"/>
      <c r="U3436" s="207"/>
      <c r="V3436" s="166">
        <f t="shared" si="143"/>
        <v>0</v>
      </c>
      <c r="W3436" s="205"/>
      <c r="X3436" s="167"/>
    </row>
    <row r="3437" spans="8:24" s="221" customFormat="1" ht="12" hidden="1" customHeight="1">
      <c r="H3437" s="207" t="s">
        <v>5364</v>
      </c>
      <c r="I3437" s="207" t="s">
        <v>5386</v>
      </c>
      <c r="J3437" s="167" t="s">
        <v>5377</v>
      </c>
      <c r="K3437" s="167" t="s">
        <v>5411</v>
      </c>
      <c r="L3437" s="209" t="s">
        <v>5319</v>
      </c>
      <c r="M3437" s="169"/>
      <c r="N3437" s="169">
        <v>25355.3</v>
      </c>
      <c r="O3437" s="169">
        <f t="shared" si="142"/>
        <v>0</v>
      </c>
      <c r="P3437" s="169">
        <v>53291.438990000002</v>
      </c>
      <c r="Q3437" s="166">
        <f t="shared" si="141"/>
        <v>0</v>
      </c>
      <c r="R3437" s="169">
        <v>96286.2</v>
      </c>
      <c r="S3437" s="213">
        <f>M3437*R3437*S3</f>
        <v>0</v>
      </c>
      <c r="T3437" s="207"/>
      <c r="U3437" s="207"/>
      <c r="V3437" s="166">
        <f t="shared" si="143"/>
        <v>0</v>
      </c>
      <c r="W3437" s="205"/>
      <c r="X3437" s="167"/>
    </row>
    <row r="3438" spans="8:24" s="221" customFormat="1" ht="12" hidden="1" customHeight="1">
      <c r="H3438" s="207" t="s">
        <v>5365</v>
      </c>
      <c r="I3438" s="207" t="s">
        <v>5387</v>
      </c>
      <c r="J3438" s="167" t="s">
        <v>5379</v>
      </c>
      <c r="K3438" s="167" t="s">
        <v>5412</v>
      </c>
      <c r="L3438" s="209" t="s">
        <v>5319</v>
      </c>
      <c r="M3438" s="169"/>
      <c r="N3438" s="169">
        <v>25355.3</v>
      </c>
      <c r="O3438" s="169">
        <f t="shared" si="142"/>
        <v>0</v>
      </c>
      <c r="P3438" s="169">
        <v>53291.438990000002</v>
      </c>
      <c r="Q3438" s="166">
        <f t="shared" si="141"/>
        <v>0</v>
      </c>
      <c r="R3438" s="169">
        <v>120346</v>
      </c>
      <c r="S3438" s="213">
        <f>M3438*R3438*S3</f>
        <v>0</v>
      </c>
      <c r="T3438" s="207"/>
      <c r="U3438" s="207"/>
      <c r="V3438" s="166">
        <f t="shared" si="143"/>
        <v>0</v>
      </c>
      <c r="W3438" s="205"/>
      <c r="X3438" s="167"/>
    </row>
    <row r="3439" spans="8:24" s="221" customFormat="1" ht="12" hidden="1" customHeight="1">
      <c r="H3439" s="207" t="s">
        <v>5366</v>
      </c>
      <c r="I3439" s="207" t="s">
        <v>5388</v>
      </c>
      <c r="J3439" s="167" t="s">
        <v>5389</v>
      </c>
      <c r="K3439" s="167" t="s">
        <v>5413</v>
      </c>
      <c r="L3439" s="209" t="s">
        <v>5319</v>
      </c>
      <c r="M3439" s="169"/>
      <c r="N3439" s="169">
        <v>32776.400000000001</v>
      </c>
      <c r="O3439" s="169">
        <f t="shared" si="142"/>
        <v>0</v>
      </c>
      <c r="P3439" s="169">
        <v>53291.438990000002</v>
      </c>
      <c r="Q3439" s="166">
        <f t="shared" ref="Q3439:Q3456" si="144">IF(W3439="",M3439*P3439*$Q$3*$W$3,M3439*P3439*$Q$3*W3439)</f>
        <v>0</v>
      </c>
      <c r="R3439" s="169">
        <v>145561</v>
      </c>
      <c r="S3439" s="213">
        <f>M3439*R3439*S3</f>
        <v>0</v>
      </c>
      <c r="T3439" s="207"/>
      <c r="U3439" s="207"/>
      <c r="V3439" s="166">
        <f t="shared" si="143"/>
        <v>0</v>
      </c>
      <c r="W3439" s="205"/>
      <c r="X3439" s="167"/>
    </row>
    <row r="3440" spans="8:24" s="221" customFormat="1" ht="12" hidden="1" customHeight="1">
      <c r="H3440" s="207" t="s">
        <v>5367</v>
      </c>
      <c r="I3440" s="207" t="s">
        <v>5390</v>
      </c>
      <c r="J3440" s="167" t="s">
        <v>5391</v>
      </c>
      <c r="K3440" s="167" t="s">
        <v>5414</v>
      </c>
      <c r="L3440" s="209" t="s">
        <v>5319</v>
      </c>
      <c r="M3440" s="169"/>
      <c r="N3440" s="169">
        <v>37881.300000000003</v>
      </c>
      <c r="O3440" s="169">
        <f t="shared" si="142"/>
        <v>0</v>
      </c>
      <c r="P3440" s="169">
        <v>53291.438990000002</v>
      </c>
      <c r="Q3440" s="166">
        <f t="shared" si="144"/>
        <v>0</v>
      </c>
      <c r="R3440" s="169">
        <v>197297</v>
      </c>
      <c r="S3440" s="213">
        <f>M3440*R3440*S3</f>
        <v>0</v>
      </c>
      <c r="T3440" s="207"/>
      <c r="U3440" s="207"/>
      <c r="V3440" s="166">
        <f t="shared" si="143"/>
        <v>0</v>
      </c>
      <c r="W3440" s="205"/>
      <c r="X3440" s="167"/>
    </row>
    <row r="3441" spans="8:24" s="221" customFormat="1" ht="12" hidden="1" customHeight="1">
      <c r="H3441" s="207" t="s">
        <v>5368</v>
      </c>
      <c r="I3441" s="207" t="s">
        <v>5392</v>
      </c>
      <c r="J3441" s="167" t="s">
        <v>5393</v>
      </c>
      <c r="K3441" s="167" t="s">
        <v>5415</v>
      </c>
      <c r="L3441" s="209" t="s">
        <v>5319</v>
      </c>
      <c r="M3441" s="169"/>
      <c r="N3441" s="169">
        <v>41947.7</v>
      </c>
      <c r="O3441" s="169">
        <f t="shared" si="142"/>
        <v>0</v>
      </c>
      <c r="P3441" s="169">
        <v>53291.438990000002</v>
      </c>
      <c r="Q3441" s="166">
        <f t="shared" si="144"/>
        <v>0</v>
      </c>
      <c r="R3441" s="169">
        <v>265569.40000000002</v>
      </c>
      <c r="S3441" s="213">
        <f>M3441*R3441*S3</f>
        <v>0</v>
      </c>
      <c r="T3441" s="207"/>
      <c r="U3441" s="207"/>
      <c r="V3441" s="166">
        <f t="shared" si="143"/>
        <v>0</v>
      </c>
      <c r="W3441" s="205"/>
      <c r="X3441" s="167"/>
    </row>
    <row r="3442" spans="8:24" s="221" customFormat="1" ht="12" hidden="1" customHeight="1">
      <c r="H3442" s="207" t="s">
        <v>5369</v>
      </c>
      <c r="I3442" s="207" t="s">
        <v>5394</v>
      </c>
      <c r="J3442" s="167" t="s">
        <v>5395</v>
      </c>
      <c r="K3442" s="167" t="s">
        <v>5416</v>
      </c>
      <c r="L3442" s="209" t="s">
        <v>5319</v>
      </c>
      <c r="M3442" s="169"/>
      <c r="N3442" s="169">
        <v>47084.1</v>
      </c>
      <c r="O3442" s="169">
        <f t="shared" si="142"/>
        <v>0</v>
      </c>
      <c r="P3442" s="169">
        <v>53291.438990000002</v>
      </c>
      <c r="Q3442" s="166">
        <f t="shared" si="144"/>
        <v>0</v>
      </c>
      <c r="R3442" s="169">
        <v>277260.90000000002</v>
      </c>
      <c r="S3442" s="213">
        <f>M3442*R3442*S3</f>
        <v>0</v>
      </c>
      <c r="T3442" s="207"/>
      <c r="U3442" s="207"/>
      <c r="V3442" s="166">
        <f t="shared" si="143"/>
        <v>0</v>
      </c>
      <c r="W3442" s="205"/>
      <c r="X3442" s="167"/>
    </row>
    <row r="3443" spans="8:24" s="221" customFormat="1" ht="12" hidden="1" customHeight="1">
      <c r="H3443" s="207" t="s">
        <v>5370</v>
      </c>
      <c r="I3443" s="207" t="s">
        <v>5396</v>
      </c>
      <c r="J3443" s="167" t="s">
        <v>5397</v>
      </c>
      <c r="K3443" s="167" t="s">
        <v>5417</v>
      </c>
      <c r="L3443" s="209" t="s">
        <v>5319</v>
      </c>
      <c r="M3443" s="169"/>
      <c r="N3443" s="169">
        <v>47084.1</v>
      </c>
      <c r="O3443" s="169">
        <f t="shared" si="142"/>
        <v>0</v>
      </c>
      <c r="P3443" s="169">
        <v>53291.438990000002</v>
      </c>
      <c r="Q3443" s="166">
        <f t="shared" si="144"/>
        <v>0</v>
      </c>
      <c r="R3443" s="169">
        <v>341475.6</v>
      </c>
      <c r="S3443" s="213">
        <f>M3443*R3443*S3</f>
        <v>0</v>
      </c>
      <c r="T3443" s="207"/>
      <c r="U3443" s="207"/>
      <c r="V3443" s="166">
        <f t="shared" si="143"/>
        <v>0</v>
      </c>
      <c r="W3443" s="205"/>
      <c r="X3443" s="167"/>
    </row>
    <row r="3444" spans="8:24" s="221" customFormat="1" ht="12" hidden="1" customHeight="1">
      <c r="H3444" s="207" t="s">
        <v>5371</v>
      </c>
      <c r="I3444" s="207" t="s">
        <v>5398</v>
      </c>
      <c r="J3444" s="167" t="s">
        <v>5399</v>
      </c>
      <c r="K3444" s="167" t="s">
        <v>5418</v>
      </c>
      <c r="L3444" s="209" t="s">
        <v>5319</v>
      </c>
      <c r="M3444" s="169"/>
      <c r="N3444" s="169">
        <v>51364.5</v>
      </c>
      <c r="O3444" s="169">
        <f t="shared" si="142"/>
        <v>0</v>
      </c>
      <c r="P3444" s="169">
        <v>53291.438990000002</v>
      </c>
      <c r="Q3444" s="166">
        <f t="shared" si="144"/>
        <v>0</v>
      </c>
      <c r="R3444" s="169">
        <v>398388.3</v>
      </c>
      <c r="S3444" s="213">
        <f>M3444*R3444*S3</f>
        <v>0</v>
      </c>
      <c r="T3444" s="207"/>
      <c r="U3444" s="207"/>
      <c r="V3444" s="166">
        <f t="shared" si="143"/>
        <v>0</v>
      </c>
      <c r="W3444" s="205"/>
      <c r="X3444" s="167"/>
    </row>
    <row r="3445" spans="8:24" s="221" customFormat="1" ht="12" hidden="1" customHeight="1">
      <c r="H3445" s="207" t="s">
        <v>5324</v>
      </c>
      <c r="I3445" s="207" t="s">
        <v>5333</v>
      </c>
      <c r="J3445" s="167" t="s">
        <v>5334</v>
      </c>
      <c r="K3445" s="167" t="s">
        <v>5419</v>
      </c>
      <c r="L3445" s="209" t="s">
        <v>5319</v>
      </c>
      <c r="M3445" s="169"/>
      <c r="N3445" s="169">
        <v>5083.8999999999996</v>
      </c>
      <c r="O3445" s="169">
        <f t="shared" si="142"/>
        <v>0</v>
      </c>
      <c r="P3445" s="169">
        <v>53291.438990000002</v>
      </c>
      <c r="Q3445" s="166">
        <f t="shared" si="144"/>
        <v>0</v>
      </c>
      <c r="R3445" s="169">
        <v>8227.4</v>
      </c>
      <c r="S3445" s="213">
        <f>M3445*R3445*S3</f>
        <v>0</v>
      </c>
      <c r="T3445" s="207"/>
      <c r="U3445" s="207"/>
      <c r="V3445" s="166">
        <f t="shared" si="143"/>
        <v>0</v>
      </c>
      <c r="W3445" s="205"/>
      <c r="X3445" s="167"/>
    </row>
    <row r="3446" spans="8:24" s="221" customFormat="1" ht="12" hidden="1" customHeight="1">
      <c r="H3446" s="207" t="s">
        <v>5325</v>
      </c>
      <c r="I3446" s="207" t="s">
        <v>5335</v>
      </c>
      <c r="J3446" s="167" t="s">
        <v>5336</v>
      </c>
      <c r="K3446" s="167" t="s">
        <v>5420</v>
      </c>
      <c r="L3446" s="209" t="s">
        <v>5319</v>
      </c>
      <c r="M3446" s="169"/>
      <c r="N3446" s="169">
        <v>7943.6</v>
      </c>
      <c r="O3446" s="169">
        <f t="shared" si="142"/>
        <v>0</v>
      </c>
      <c r="P3446" s="169">
        <v>53291.438990000002</v>
      </c>
      <c r="Q3446" s="166">
        <f t="shared" si="144"/>
        <v>0</v>
      </c>
      <c r="R3446" s="169">
        <v>12301.5</v>
      </c>
      <c r="S3446" s="213">
        <f>M3446*R3446*S3</f>
        <v>0</v>
      </c>
      <c r="T3446" s="207"/>
      <c r="U3446" s="207"/>
      <c r="V3446" s="166">
        <f t="shared" si="143"/>
        <v>0</v>
      </c>
      <c r="W3446" s="205"/>
      <c r="X3446" s="167"/>
    </row>
    <row r="3447" spans="8:24" s="221" customFormat="1" ht="12" hidden="1" customHeight="1">
      <c r="H3447" s="207" t="s">
        <v>5326</v>
      </c>
      <c r="I3447" s="207" t="s">
        <v>5337</v>
      </c>
      <c r="J3447" s="167" t="s">
        <v>5338</v>
      </c>
      <c r="K3447" s="167" t="s">
        <v>5421</v>
      </c>
      <c r="L3447" s="209" t="s">
        <v>5319</v>
      </c>
      <c r="M3447" s="169"/>
      <c r="N3447" s="169">
        <v>15858.4</v>
      </c>
      <c r="O3447" s="169">
        <f t="shared" si="142"/>
        <v>0</v>
      </c>
      <c r="P3447" s="169">
        <v>53291.438990000002</v>
      </c>
      <c r="Q3447" s="166">
        <f t="shared" si="144"/>
        <v>0</v>
      </c>
      <c r="R3447" s="169">
        <v>14872.9</v>
      </c>
      <c r="S3447" s="213">
        <f>M3447*R3447*S3</f>
        <v>0</v>
      </c>
      <c r="T3447" s="207"/>
      <c r="U3447" s="207"/>
      <c r="V3447" s="166">
        <f t="shared" si="143"/>
        <v>0</v>
      </c>
      <c r="W3447" s="205"/>
      <c r="X3447" s="167"/>
    </row>
    <row r="3448" spans="8:24" s="221" customFormat="1" ht="12" hidden="1" customHeight="1">
      <c r="H3448" s="207" t="s">
        <v>5327</v>
      </c>
      <c r="I3448" s="207" t="s">
        <v>5339</v>
      </c>
      <c r="J3448" s="167" t="s">
        <v>5340</v>
      </c>
      <c r="K3448" s="167" t="s">
        <v>5422</v>
      </c>
      <c r="L3448" s="209" t="s">
        <v>5319</v>
      </c>
      <c r="M3448" s="169"/>
      <c r="N3448" s="169">
        <v>16338.9</v>
      </c>
      <c r="O3448" s="169">
        <f t="shared" si="142"/>
        <v>0</v>
      </c>
      <c r="P3448" s="169">
        <v>53291.438990000002</v>
      </c>
      <c r="Q3448" s="166">
        <f t="shared" si="144"/>
        <v>0</v>
      </c>
      <c r="R3448" s="169">
        <v>20354.8</v>
      </c>
      <c r="S3448" s="213">
        <f>M3448*R3448*S3</f>
        <v>0</v>
      </c>
      <c r="T3448" s="207"/>
      <c r="U3448" s="207"/>
      <c r="V3448" s="166">
        <f t="shared" si="143"/>
        <v>0</v>
      </c>
      <c r="W3448" s="205"/>
      <c r="X3448" s="167"/>
    </row>
    <row r="3449" spans="8:24" s="221" customFormat="1" ht="12" hidden="1" customHeight="1">
      <c r="H3449" s="207" t="s">
        <v>5328</v>
      </c>
      <c r="I3449" s="207" t="s">
        <v>5341</v>
      </c>
      <c r="J3449" s="167" t="s">
        <v>5342</v>
      </c>
      <c r="K3449" s="167" t="s">
        <v>5423</v>
      </c>
      <c r="L3449" s="209" t="s">
        <v>5319</v>
      </c>
      <c r="M3449" s="169"/>
      <c r="N3449" s="169">
        <v>18581.5</v>
      </c>
      <c r="O3449" s="169">
        <f t="shared" si="142"/>
        <v>0</v>
      </c>
      <c r="P3449" s="169">
        <v>53291.438990000002</v>
      </c>
      <c r="Q3449" s="166">
        <f t="shared" si="144"/>
        <v>0</v>
      </c>
      <c r="R3449" s="169">
        <v>21332.2</v>
      </c>
      <c r="S3449" s="213">
        <f>M3449*R3449*S3</f>
        <v>0</v>
      </c>
      <c r="T3449" s="207"/>
      <c r="U3449" s="207"/>
      <c r="V3449" s="166">
        <f t="shared" si="143"/>
        <v>0</v>
      </c>
      <c r="W3449" s="205"/>
      <c r="X3449" s="167"/>
    </row>
    <row r="3450" spans="8:24" s="221" customFormat="1" hidden="1">
      <c r="H3450" s="207" t="s">
        <v>5329</v>
      </c>
      <c r="I3450" s="207" t="s">
        <v>5343</v>
      </c>
      <c r="J3450" s="167" t="s">
        <v>5344</v>
      </c>
      <c r="K3450" s="167" t="s">
        <v>5424</v>
      </c>
      <c r="L3450" s="209" t="s">
        <v>5319</v>
      </c>
      <c r="M3450" s="169"/>
      <c r="N3450" s="169">
        <v>24508.400000000001</v>
      </c>
      <c r="O3450" s="169">
        <f t="shared" si="142"/>
        <v>0</v>
      </c>
      <c r="P3450" s="169">
        <v>53291.438990000002</v>
      </c>
      <c r="Q3450" s="166">
        <f t="shared" si="144"/>
        <v>0</v>
      </c>
      <c r="R3450" s="169">
        <v>23064.2</v>
      </c>
      <c r="S3450" s="213">
        <f>M3450*R3450*S3</f>
        <v>0</v>
      </c>
      <c r="T3450" s="207"/>
      <c r="U3450" s="207"/>
      <c r="V3450" s="166">
        <f t="shared" si="143"/>
        <v>0</v>
      </c>
      <c r="W3450" s="205"/>
      <c r="X3450" s="167"/>
    </row>
    <row r="3451" spans="8:24" s="221" customFormat="1" hidden="1">
      <c r="H3451" s="207" t="s">
        <v>5330</v>
      </c>
      <c r="I3451" s="207" t="s">
        <v>5345</v>
      </c>
      <c r="J3451" s="167" t="s">
        <v>5346</v>
      </c>
      <c r="K3451" s="167" t="s">
        <v>5347</v>
      </c>
      <c r="L3451" s="209" t="s">
        <v>5319</v>
      </c>
      <c r="M3451" s="169"/>
      <c r="N3451" s="169">
        <v>31236.2</v>
      </c>
      <c r="O3451" s="169">
        <f t="shared" si="142"/>
        <v>0</v>
      </c>
      <c r="P3451" s="169">
        <v>53291.438990000002</v>
      </c>
      <c r="Q3451" s="166">
        <f t="shared" si="144"/>
        <v>0</v>
      </c>
      <c r="R3451" s="169">
        <v>25825.200000000001</v>
      </c>
      <c r="S3451" s="213">
        <f>M3451*R3451*S3</f>
        <v>0</v>
      </c>
      <c r="T3451" s="207"/>
      <c r="U3451" s="207"/>
      <c r="V3451" s="166">
        <f t="shared" si="143"/>
        <v>0</v>
      </c>
      <c r="W3451" s="205"/>
      <c r="X3451" s="167"/>
    </row>
    <row r="3452" spans="8:24" s="221" customFormat="1" hidden="1">
      <c r="H3452" s="207" t="s">
        <v>5331</v>
      </c>
      <c r="I3452" s="207" t="s">
        <v>5348</v>
      </c>
      <c r="J3452" s="167" t="s">
        <v>5349</v>
      </c>
      <c r="K3452" s="167" t="s">
        <v>5350</v>
      </c>
      <c r="L3452" s="209" t="s">
        <v>5319</v>
      </c>
      <c r="M3452" s="169"/>
      <c r="N3452" s="169">
        <v>32357.5</v>
      </c>
      <c r="O3452" s="169">
        <f t="shared" ref="O3452:O3468" si="145">M3452*N3452*$O$3</f>
        <v>0</v>
      </c>
      <c r="P3452" s="169">
        <v>53291.438990000002</v>
      </c>
      <c r="Q3452" s="166">
        <f t="shared" si="144"/>
        <v>0</v>
      </c>
      <c r="R3452" s="169">
        <v>32888.699999999997</v>
      </c>
      <c r="S3452" s="213">
        <f>M3452*R3452*S3</f>
        <v>0</v>
      </c>
      <c r="T3452" s="207"/>
      <c r="U3452" s="207"/>
      <c r="V3452" s="166">
        <f t="shared" si="143"/>
        <v>0</v>
      </c>
      <c r="W3452" s="205"/>
      <c r="X3452" s="167"/>
    </row>
    <row r="3453" spans="8:24" s="221" customFormat="1" hidden="1">
      <c r="H3453" s="207" t="s">
        <v>5332</v>
      </c>
      <c r="I3453" s="207" t="s">
        <v>5351</v>
      </c>
      <c r="J3453" s="167" t="s">
        <v>5352</v>
      </c>
      <c r="K3453" s="167" t="s">
        <v>5353</v>
      </c>
      <c r="L3453" s="209" t="s">
        <v>5319</v>
      </c>
      <c r="M3453" s="169"/>
      <c r="N3453" s="169">
        <v>52541</v>
      </c>
      <c r="O3453" s="169">
        <f t="shared" si="145"/>
        <v>0</v>
      </c>
      <c r="P3453" s="169">
        <v>53291.438990000002</v>
      </c>
      <c r="Q3453" s="166">
        <f t="shared" si="144"/>
        <v>0</v>
      </c>
      <c r="R3453" s="169">
        <v>56475.7</v>
      </c>
      <c r="S3453" s="213">
        <f>M3453*R3453*S3</f>
        <v>0</v>
      </c>
      <c r="T3453" s="207"/>
      <c r="U3453" s="207"/>
      <c r="V3453" s="166">
        <f t="shared" si="143"/>
        <v>0</v>
      </c>
      <c r="W3453" s="205"/>
      <c r="X3453" s="167"/>
    </row>
    <row r="3454" spans="8:24" s="221" customFormat="1" hidden="1">
      <c r="H3454" s="207" t="s">
        <v>5314</v>
      </c>
      <c r="I3454" s="207" t="s">
        <v>5317</v>
      </c>
      <c r="J3454" s="167" t="s">
        <v>5318</v>
      </c>
      <c r="K3454" s="167" t="s">
        <v>5425</v>
      </c>
      <c r="L3454" s="209" t="s">
        <v>5319</v>
      </c>
      <c r="M3454" s="169"/>
      <c r="N3454" s="169">
        <v>4569.2</v>
      </c>
      <c r="O3454" s="169">
        <f t="shared" si="145"/>
        <v>0</v>
      </c>
      <c r="P3454" s="169">
        <v>53291.438990000002</v>
      </c>
      <c r="Q3454" s="166">
        <f t="shared" si="144"/>
        <v>0</v>
      </c>
      <c r="R3454" s="169">
        <v>8852.9</v>
      </c>
      <c r="S3454" s="213">
        <f>M3454*R3454*S3</f>
        <v>0</v>
      </c>
      <c r="T3454" s="207"/>
      <c r="U3454" s="207"/>
      <c r="V3454" s="166">
        <f t="shared" si="143"/>
        <v>0</v>
      </c>
      <c r="W3454" s="205"/>
      <c r="X3454" s="167"/>
    </row>
    <row r="3455" spans="8:24" s="221" customFormat="1" hidden="1">
      <c r="H3455" s="207" t="s">
        <v>5315</v>
      </c>
      <c r="I3455" s="207" t="s">
        <v>5320</v>
      </c>
      <c r="J3455" s="167" t="s">
        <v>5321</v>
      </c>
      <c r="K3455" s="167" t="s">
        <v>5426</v>
      </c>
      <c r="L3455" s="209" t="s">
        <v>5319</v>
      </c>
      <c r="M3455" s="169"/>
      <c r="N3455" s="169">
        <v>4884.3</v>
      </c>
      <c r="O3455" s="169">
        <f t="shared" si="145"/>
        <v>0</v>
      </c>
      <c r="P3455" s="169">
        <v>53291.438990000002</v>
      </c>
      <c r="Q3455" s="166">
        <f t="shared" si="144"/>
        <v>0</v>
      </c>
      <c r="R3455" s="169">
        <v>13298.3</v>
      </c>
      <c r="S3455" s="213">
        <f>M3455*R3455*S3</f>
        <v>0</v>
      </c>
      <c r="T3455" s="207"/>
      <c r="U3455" s="207"/>
      <c r="V3455" s="166">
        <f t="shared" ref="V3455:V3468" si="146">SUM(O3455+Q3455)+S3455+U3455</f>
        <v>0</v>
      </c>
      <c r="W3455" s="205"/>
      <c r="X3455" s="167"/>
    </row>
    <row r="3456" spans="8:24" s="221" customFormat="1" hidden="1">
      <c r="H3456" s="207" t="s">
        <v>5316</v>
      </c>
      <c r="I3456" s="207" t="s">
        <v>5322</v>
      </c>
      <c r="J3456" s="167" t="s">
        <v>5323</v>
      </c>
      <c r="K3456" s="167" t="s">
        <v>5427</v>
      </c>
      <c r="L3456" s="209" t="s">
        <v>5319</v>
      </c>
      <c r="M3456" s="169"/>
      <c r="N3456" s="169">
        <v>8035.5</v>
      </c>
      <c r="O3456" s="169">
        <f t="shared" si="145"/>
        <v>0</v>
      </c>
      <c r="P3456" s="169">
        <v>53291.438990000002</v>
      </c>
      <c r="Q3456" s="166">
        <f t="shared" si="144"/>
        <v>0</v>
      </c>
      <c r="R3456" s="169">
        <v>31471.9</v>
      </c>
      <c r="S3456" s="213">
        <f>M3456*R3456*S3</f>
        <v>0</v>
      </c>
      <c r="T3456" s="207"/>
      <c r="U3456" s="207"/>
      <c r="V3456" s="166">
        <f t="shared" si="146"/>
        <v>0</v>
      </c>
      <c r="W3456" s="205"/>
      <c r="X3456" s="167"/>
    </row>
    <row r="3457" spans="8:36" s="221" customFormat="1" hidden="1">
      <c r="H3457" s="207" t="s">
        <v>5429</v>
      </c>
      <c r="I3457" s="207"/>
      <c r="J3457" s="167" t="s">
        <v>2744</v>
      </c>
      <c r="K3457" s="167" t="s">
        <v>6983</v>
      </c>
      <c r="L3457" s="209" t="s">
        <v>5428</v>
      </c>
      <c r="M3457" s="166"/>
      <c r="N3457" s="169"/>
      <c r="O3457" s="169">
        <f t="shared" si="145"/>
        <v>0</v>
      </c>
      <c r="P3457" s="169">
        <v>219321</v>
      </c>
      <c r="Q3457" s="169">
        <f t="shared" ref="Q3457:Q3468" si="147">IF(W3457="",M3457*P3457*$W$3,M3457*P3457*W3457)</f>
        <v>0</v>
      </c>
      <c r="R3457" s="207"/>
      <c r="S3457" s="207"/>
      <c r="T3457" s="207"/>
      <c r="U3457" s="207"/>
      <c r="V3457" s="166">
        <f t="shared" si="146"/>
        <v>0</v>
      </c>
      <c r="W3457" s="205"/>
      <c r="X3457" s="167"/>
      <c r="Y3457" s="190"/>
      <c r="Z3457" s="190"/>
      <c r="AA3457" s="190"/>
      <c r="AB3457" s="190"/>
      <c r="AC3457" s="190"/>
      <c r="AD3457" s="190"/>
      <c r="AE3457" s="190"/>
      <c r="AF3457" s="190"/>
      <c r="AG3457" s="190"/>
      <c r="AH3457" s="190"/>
      <c r="AI3457" s="190"/>
      <c r="AJ3457" s="190"/>
    </row>
    <row r="3458" spans="8:36" s="221" customFormat="1" hidden="1">
      <c r="H3458" s="207" t="s">
        <v>2724</v>
      </c>
      <c r="I3458" s="207"/>
      <c r="J3458" s="167" t="s">
        <v>2725</v>
      </c>
      <c r="K3458" s="167" t="s">
        <v>6982</v>
      </c>
      <c r="L3458" s="209" t="s">
        <v>5428</v>
      </c>
      <c r="M3458" s="169"/>
      <c r="N3458" s="169"/>
      <c r="O3458" s="169">
        <f t="shared" si="145"/>
        <v>0</v>
      </c>
      <c r="P3458" s="169">
        <v>275107</v>
      </c>
      <c r="Q3458" s="169">
        <f t="shared" si="147"/>
        <v>0</v>
      </c>
      <c r="R3458" s="207"/>
      <c r="S3458" s="207"/>
      <c r="T3458" s="207"/>
      <c r="U3458" s="207"/>
      <c r="V3458" s="166">
        <f t="shared" si="146"/>
        <v>0</v>
      </c>
      <c r="W3458" s="205"/>
      <c r="X3458" s="167"/>
      <c r="Y3458" s="190"/>
      <c r="Z3458" s="190"/>
      <c r="AA3458" s="190"/>
      <c r="AB3458" s="190"/>
      <c r="AC3458" s="190"/>
      <c r="AD3458" s="190"/>
      <c r="AE3458" s="190"/>
      <c r="AF3458" s="190"/>
      <c r="AG3458" s="190"/>
      <c r="AH3458" s="190"/>
      <c r="AI3458" s="190"/>
      <c r="AJ3458" s="190"/>
    </row>
    <row r="3459" spans="8:36" s="221" customFormat="1" ht="12" hidden="1" customHeight="1">
      <c r="H3459" s="207" t="s">
        <v>2726</v>
      </c>
      <c r="I3459" s="207"/>
      <c r="J3459" s="167" t="s">
        <v>2735</v>
      </c>
      <c r="K3459" s="167"/>
      <c r="L3459" s="209" t="s">
        <v>5428</v>
      </c>
      <c r="M3459" s="169"/>
      <c r="N3459" s="169"/>
      <c r="O3459" s="169">
        <f t="shared" si="145"/>
        <v>0</v>
      </c>
      <c r="P3459" s="169">
        <v>421236</v>
      </c>
      <c r="Q3459" s="169">
        <f t="shared" si="147"/>
        <v>0</v>
      </c>
      <c r="R3459" s="207"/>
      <c r="S3459" s="207"/>
      <c r="T3459" s="207"/>
      <c r="U3459" s="207"/>
      <c r="V3459" s="166">
        <f t="shared" si="146"/>
        <v>0</v>
      </c>
      <c r="W3459" s="205"/>
      <c r="X3459" s="167"/>
      <c r="Y3459" s="190"/>
      <c r="Z3459" s="190"/>
      <c r="AA3459" s="190"/>
      <c r="AB3459" s="190"/>
      <c r="AC3459" s="190"/>
      <c r="AD3459" s="190"/>
      <c r="AE3459" s="190"/>
      <c r="AF3459" s="190"/>
      <c r="AG3459" s="190"/>
      <c r="AH3459" s="190"/>
      <c r="AI3459" s="190"/>
      <c r="AJ3459" s="190"/>
    </row>
    <row r="3460" spans="8:36" s="221" customFormat="1" ht="12" hidden="1" customHeight="1">
      <c r="H3460" s="207" t="s">
        <v>2727</v>
      </c>
      <c r="I3460" s="207"/>
      <c r="J3460" s="167" t="s">
        <v>2736</v>
      </c>
      <c r="K3460" s="167"/>
      <c r="L3460" s="209" t="s">
        <v>5428</v>
      </c>
      <c r="M3460" s="169"/>
      <c r="N3460" s="169"/>
      <c r="O3460" s="169">
        <f t="shared" si="145"/>
        <v>0</v>
      </c>
      <c r="P3460" s="169">
        <v>354087</v>
      </c>
      <c r="Q3460" s="169">
        <f t="shared" si="147"/>
        <v>0</v>
      </c>
      <c r="R3460" s="207"/>
      <c r="S3460" s="207"/>
      <c r="T3460" s="207"/>
      <c r="U3460" s="207"/>
      <c r="V3460" s="166">
        <f t="shared" si="146"/>
        <v>0</v>
      </c>
      <c r="W3460" s="205"/>
      <c r="X3460" s="167"/>
      <c r="Y3460" s="190"/>
      <c r="Z3460" s="190"/>
      <c r="AA3460" s="190"/>
      <c r="AB3460" s="190"/>
      <c r="AC3460" s="190"/>
      <c r="AD3460" s="190"/>
      <c r="AE3460" s="190"/>
      <c r="AF3460" s="190"/>
      <c r="AG3460" s="190"/>
      <c r="AH3460" s="190"/>
      <c r="AI3460" s="190"/>
      <c r="AJ3460" s="190"/>
    </row>
    <row r="3461" spans="8:36" s="221" customFormat="1" ht="12" hidden="1" customHeight="1">
      <c r="H3461" s="207" t="s">
        <v>2728</v>
      </c>
      <c r="I3461" s="207"/>
      <c r="J3461" s="167" t="s">
        <v>2737</v>
      </c>
      <c r="K3461" s="167"/>
      <c r="L3461" s="209" t="s">
        <v>5428</v>
      </c>
      <c r="M3461" s="169"/>
      <c r="N3461" s="169"/>
      <c r="O3461" s="169">
        <f t="shared" si="145"/>
        <v>0</v>
      </c>
      <c r="P3461" s="169">
        <v>290333</v>
      </c>
      <c r="Q3461" s="169">
        <f t="shared" si="147"/>
        <v>0</v>
      </c>
      <c r="R3461" s="207"/>
      <c r="S3461" s="207"/>
      <c r="T3461" s="207"/>
      <c r="U3461" s="207"/>
      <c r="V3461" s="166">
        <f t="shared" si="146"/>
        <v>0</v>
      </c>
      <c r="W3461" s="205"/>
      <c r="X3461" s="167"/>
      <c r="Y3461" s="190"/>
      <c r="Z3461" s="190"/>
      <c r="AA3461" s="190"/>
      <c r="AB3461" s="190"/>
      <c r="AC3461" s="190"/>
      <c r="AD3461" s="190"/>
      <c r="AE3461" s="190"/>
      <c r="AF3461" s="190"/>
      <c r="AG3461" s="190"/>
      <c r="AH3461" s="190"/>
      <c r="AI3461" s="190"/>
      <c r="AJ3461" s="190"/>
    </row>
    <row r="3462" spans="8:36" s="221" customFormat="1" ht="12" hidden="1" customHeight="1">
      <c r="H3462" s="207" t="s">
        <v>2729</v>
      </c>
      <c r="I3462" s="207"/>
      <c r="J3462" s="167" t="s">
        <v>2738</v>
      </c>
      <c r="K3462" s="167"/>
      <c r="L3462" s="209" t="s">
        <v>5428</v>
      </c>
      <c r="M3462" s="169"/>
      <c r="N3462" s="169"/>
      <c r="O3462" s="169">
        <f t="shared" si="145"/>
        <v>0</v>
      </c>
      <c r="P3462" s="169">
        <v>592622</v>
      </c>
      <c r="Q3462" s="169">
        <f t="shared" si="147"/>
        <v>0</v>
      </c>
      <c r="R3462" s="207"/>
      <c r="S3462" s="207"/>
      <c r="T3462" s="207"/>
      <c r="U3462" s="207"/>
      <c r="V3462" s="166">
        <f t="shared" si="146"/>
        <v>0</v>
      </c>
      <c r="W3462" s="205"/>
      <c r="X3462" s="167"/>
      <c r="Y3462" s="190"/>
      <c r="Z3462" s="190"/>
      <c r="AA3462" s="190"/>
      <c r="AB3462" s="190"/>
      <c r="AC3462" s="190"/>
      <c r="AD3462" s="190"/>
      <c r="AE3462" s="190"/>
      <c r="AF3462" s="190"/>
      <c r="AG3462" s="190"/>
      <c r="AH3462" s="190"/>
      <c r="AI3462" s="190"/>
      <c r="AJ3462" s="190"/>
    </row>
    <row r="3463" spans="8:36" s="221" customFormat="1" ht="12" hidden="1" customHeight="1">
      <c r="H3463" s="207" t="s">
        <v>2730</v>
      </c>
      <c r="I3463" s="207"/>
      <c r="J3463" s="167" t="s">
        <v>2739</v>
      </c>
      <c r="K3463" s="167"/>
      <c r="L3463" s="209" t="s">
        <v>5428</v>
      </c>
      <c r="M3463" s="169"/>
      <c r="N3463" s="169"/>
      <c r="O3463" s="169">
        <f t="shared" si="145"/>
        <v>0</v>
      </c>
      <c r="P3463" s="169">
        <v>618655</v>
      </c>
      <c r="Q3463" s="169">
        <f t="shared" si="147"/>
        <v>0</v>
      </c>
      <c r="R3463" s="207"/>
      <c r="S3463" s="207"/>
      <c r="T3463" s="207"/>
      <c r="U3463" s="207"/>
      <c r="V3463" s="166">
        <f t="shared" si="146"/>
        <v>0</v>
      </c>
      <c r="W3463" s="205"/>
      <c r="X3463" s="167"/>
      <c r="Y3463" s="190"/>
      <c r="Z3463" s="190"/>
      <c r="AA3463" s="190"/>
      <c r="AB3463" s="190"/>
      <c r="AC3463" s="190"/>
      <c r="AD3463" s="190"/>
      <c r="AE3463" s="190"/>
      <c r="AF3463" s="190"/>
      <c r="AG3463" s="190"/>
      <c r="AH3463" s="190"/>
      <c r="AI3463" s="190"/>
      <c r="AJ3463" s="190"/>
    </row>
    <row r="3464" spans="8:36" s="221" customFormat="1" ht="12" hidden="1" customHeight="1">
      <c r="H3464" s="207" t="s">
        <v>2731</v>
      </c>
      <c r="I3464" s="207"/>
      <c r="J3464" s="167" t="s">
        <v>2740</v>
      </c>
      <c r="K3464" s="167"/>
      <c r="L3464" s="209" t="s">
        <v>5428</v>
      </c>
      <c r="M3464" s="169"/>
      <c r="N3464" s="169"/>
      <c r="O3464" s="169">
        <f t="shared" si="145"/>
        <v>0</v>
      </c>
      <c r="P3464" s="169">
        <v>397884</v>
      </c>
      <c r="Q3464" s="169">
        <f t="shared" si="147"/>
        <v>0</v>
      </c>
      <c r="R3464" s="207"/>
      <c r="S3464" s="207"/>
      <c r="T3464" s="207"/>
      <c r="U3464" s="207"/>
      <c r="V3464" s="166">
        <f t="shared" si="146"/>
        <v>0</v>
      </c>
      <c r="W3464" s="205"/>
      <c r="X3464" s="167"/>
      <c r="Y3464" s="190"/>
      <c r="Z3464" s="190"/>
      <c r="AA3464" s="190"/>
      <c r="AB3464" s="190"/>
      <c r="AC3464" s="190"/>
      <c r="AD3464" s="190"/>
      <c r="AE3464" s="190"/>
      <c r="AF3464" s="190"/>
      <c r="AG3464" s="190"/>
      <c r="AH3464" s="190"/>
      <c r="AI3464" s="190"/>
      <c r="AJ3464" s="190"/>
    </row>
    <row r="3465" spans="8:36" s="221" customFormat="1" ht="12" hidden="1" customHeight="1">
      <c r="H3465" s="207" t="s">
        <v>2732</v>
      </c>
      <c r="I3465" s="207"/>
      <c r="J3465" s="167" t="s">
        <v>2741</v>
      </c>
      <c r="K3465" s="167"/>
      <c r="L3465" s="209" t="s">
        <v>5428</v>
      </c>
      <c r="M3465" s="169"/>
      <c r="N3465" s="169"/>
      <c r="O3465" s="169">
        <f t="shared" si="145"/>
        <v>0</v>
      </c>
      <c r="P3465" s="169">
        <v>528123</v>
      </c>
      <c r="Q3465" s="169">
        <f t="shared" si="147"/>
        <v>0</v>
      </c>
      <c r="R3465" s="207"/>
      <c r="S3465" s="207"/>
      <c r="T3465" s="207"/>
      <c r="U3465" s="207"/>
      <c r="V3465" s="166">
        <f t="shared" si="146"/>
        <v>0</v>
      </c>
      <c r="W3465" s="205"/>
      <c r="X3465" s="167"/>
      <c r="Y3465" s="190"/>
      <c r="Z3465" s="190"/>
      <c r="AA3465" s="190"/>
      <c r="AB3465" s="190"/>
      <c r="AC3465" s="190"/>
      <c r="AD3465" s="190"/>
      <c r="AE3465" s="190"/>
      <c r="AF3465" s="190"/>
      <c r="AG3465" s="190"/>
      <c r="AH3465" s="190"/>
      <c r="AI3465" s="190"/>
      <c r="AJ3465" s="190"/>
    </row>
    <row r="3466" spans="8:36" s="221" customFormat="1" ht="12" hidden="1" customHeight="1">
      <c r="H3466" s="207" t="s">
        <v>2733</v>
      </c>
      <c r="I3466" s="207"/>
      <c r="J3466" s="167" t="s">
        <v>2742</v>
      </c>
      <c r="K3466" s="167"/>
      <c r="L3466" s="209" t="s">
        <v>5428</v>
      </c>
      <c r="M3466" s="169"/>
      <c r="N3466" s="169"/>
      <c r="O3466" s="169">
        <f t="shared" si="145"/>
        <v>0</v>
      </c>
      <c r="P3466" s="169">
        <v>259896</v>
      </c>
      <c r="Q3466" s="169">
        <f t="shared" si="147"/>
        <v>0</v>
      </c>
      <c r="R3466" s="207"/>
      <c r="S3466" s="207"/>
      <c r="T3466" s="207"/>
      <c r="U3466" s="207"/>
      <c r="V3466" s="166">
        <f t="shared" si="146"/>
        <v>0</v>
      </c>
      <c r="W3466" s="205"/>
      <c r="X3466" s="167"/>
      <c r="Y3466" s="190"/>
      <c r="Z3466" s="190"/>
      <c r="AA3466" s="190"/>
      <c r="AB3466" s="190"/>
      <c r="AC3466" s="190"/>
      <c r="AD3466" s="190"/>
      <c r="AE3466" s="190"/>
      <c r="AF3466" s="190"/>
      <c r="AG3466" s="190"/>
      <c r="AH3466" s="190"/>
      <c r="AI3466" s="190"/>
      <c r="AJ3466" s="190"/>
    </row>
    <row r="3467" spans="8:36" s="221" customFormat="1" ht="12" hidden="1" customHeight="1">
      <c r="H3467" s="207" t="s">
        <v>2734</v>
      </c>
      <c r="I3467" s="207"/>
      <c r="J3467" s="167" t="s">
        <v>2743</v>
      </c>
      <c r="K3467" s="167"/>
      <c r="L3467" s="209" t="s">
        <v>5428</v>
      </c>
      <c r="M3467" s="169"/>
      <c r="N3467" s="169"/>
      <c r="O3467" s="169">
        <f t="shared" si="145"/>
        <v>0</v>
      </c>
      <c r="P3467" s="169">
        <v>304711</v>
      </c>
      <c r="Q3467" s="169">
        <f t="shared" si="147"/>
        <v>0</v>
      </c>
      <c r="R3467" s="207"/>
      <c r="S3467" s="207"/>
      <c r="T3467" s="207"/>
      <c r="U3467" s="207"/>
      <c r="V3467" s="166">
        <f t="shared" si="146"/>
        <v>0</v>
      </c>
      <c r="W3467" s="205"/>
      <c r="X3467" s="167"/>
    </row>
    <row r="3468" spans="8:36" s="221" customFormat="1" ht="12" hidden="1" customHeight="1">
      <c r="H3468" s="207" t="s">
        <v>5430</v>
      </c>
      <c r="I3468" s="207"/>
      <c r="J3468" s="167" t="s">
        <v>5431</v>
      </c>
      <c r="K3468" s="167"/>
      <c r="L3468" s="209" t="s">
        <v>5428</v>
      </c>
      <c r="M3468" s="169"/>
      <c r="N3468" s="169"/>
      <c r="O3468" s="169">
        <f t="shared" si="145"/>
        <v>0</v>
      </c>
      <c r="P3468" s="169">
        <v>166401</v>
      </c>
      <c r="Q3468" s="169">
        <f t="shared" si="147"/>
        <v>0</v>
      </c>
      <c r="R3468" s="207"/>
      <c r="S3468" s="207"/>
      <c r="T3468" s="207"/>
      <c r="U3468" s="207"/>
      <c r="V3468" s="166">
        <f t="shared" si="146"/>
        <v>0</v>
      </c>
      <c r="W3468" s="205"/>
      <c r="X3468" s="167"/>
    </row>
    <row r="3469" spans="8:36" s="221" customFormat="1" ht="12" customHeight="1">
      <c r="H3469" s="207"/>
      <c r="I3469" s="207"/>
      <c r="J3469" s="167"/>
      <c r="K3469" s="167"/>
      <c r="L3469" s="209"/>
      <c r="M3469" s="169" t="s">
        <v>5311</v>
      </c>
      <c r="N3469" s="169"/>
      <c r="O3469" s="169"/>
      <c r="P3469" s="169"/>
      <c r="Q3469" s="169"/>
      <c r="R3469" s="207"/>
      <c r="S3469" s="207"/>
      <c r="T3469" s="207"/>
      <c r="U3469" s="207"/>
      <c r="V3469" s="207"/>
      <c r="W3469" s="205"/>
      <c r="X3469" s="167"/>
      <c r="Y3469" s="190"/>
      <c r="Z3469" s="190"/>
      <c r="AA3469" s="190"/>
      <c r="AB3469" s="190"/>
      <c r="AC3469" s="190"/>
      <c r="AD3469" s="190"/>
      <c r="AE3469" s="190"/>
      <c r="AF3469" s="190"/>
      <c r="AG3469" s="190"/>
      <c r="AH3469" s="190"/>
      <c r="AI3469" s="190"/>
      <c r="AJ3469" s="190"/>
    </row>
    <row r="3470" spans="8:36" s="221" customFormat="1" ht="12" customHeight="1">
      <c r="H3470" s="207"/>
      <c r="I3470" s="207"/>
      <c r="J3470" s="167"/>
      <c r="K3470" s="167"/>
      <c r="L3470" s="209"/>
      <c r="M3470" s="169" t="s">
        <v>5311</v>
      </c>
      <c r="N3470" s="169"/>
      <c r="O3470" s="169"/>
      <c r="P3470" s="169"/>
      <c r="Q3470" s="169"/>
      <c r="R3470" s="207"/>
      <c r="S3470" s="207"/>
      <c r="T3470" s="207"/>
      <c r="U3470" s="207"/>
      <c r="V3470" s="207"/>
      <c r="W3470" s="205"/>
      <c r="X3470" s="167"/>
      <c r="Y3470" s="190"/>
      <c r="Z3470" s="190"/>
      <c r="AA3470" s="190"/>
      <c r="AB3470" s="190"/>
      <c r="AC3470" s="190"/>
      <c r="AD3470" s="190"/>
      <c r="AE3470" s="190"/>
      <c r="AF3470" s="190"/>
      <c r="AG3470" s="190"/>
      <c r="AH3470" s="190"/>
      <c r="AI3470" s="190"/>
      <c r="AJ3470" s="190"/>
    </row>
    <row r="3471" spans="8:36" s="221" customFormat="1" ht="12" customHeight="1">
      <c r="H3471" s="207"/>
      <c r="I3471" s="207"/>
      <c r="J3471" s="167"/>
      <c r="K3471" s="209" t="s">
        <v>5432</v>
      </c>
      <c r="L3471" s="209"/>
      <c r="M3471" s="169" t="s">
        <v>5311</v>
      </c>
      <c r="N3471" s="210" t="s">
        <v>5433</v>
      </c>
      <c r="O3471" s="212">
        <f>SUM(O7:O3469)</f>
        <v>897230</v>
      </c>
      <c r="P3471" s="210" t="s">
        <v>5434</v>
      </c>
      <c r="Q3471" s="212">
        <f>SUM(Q7:Q3469)</f>
        <v>544820.4</v>
      </c>
      <c r="R3471" s="219" t="s">
        <v>5313</v>
      </c>
      <c r="S3471" s="212">
        <f>SUM(S71:S3469)</f>
        <v>0</v>
      </c>
      <c r="T3471" s="212"/>
      <c r="U3471" s="212"/>
      <c r="V3471" s="212">
        <f>SUM(V7:V3469)</f>
        <v>938415.8</v>
      </c>
      <c r="W3471" s="205"/>
      <c r="X3471" s="167"/>
      <c r="Y3471" s="190"/>
      <c r="Z3471" s="190"/>
      <c r="AA3471" s="190"/>
      <c r="AB3471" s="190"/>
      <c r="AC3471" s="190"/>
      <c r="AD3471" s="190"/>
      <c r="AE3471" s="190"/>
      <c r="AF3471" s="190"/>
      <c r="AG3471" s="190"/>
      <c r="AH3471" s="190"/>
      <c r="AI3471" s="190"/>
      <c r="AJ3471" s="190"/>
    </row>
    <row r="3472" spans="8:36" s="221" customFormat="1" ht="12" customHeight="1">
      <c r="H3472" s="207"/>
      <c r="I3472" s="207"/>
      <c r="J3472" s="167"/>
      <c r="K3472" s="167"/>
      <c r="L3472" s="209"/>
      <c r="M3472" s="169" t="s">
        <v>5311</v>
      </c>
      <c r="N3472" s="169"/>
      <c r="O3472" s="169"/>
      <c r="P3472" s="169"/>
      <c r="Q3472" s="169"/>
      <c r="R3472" s="207"/>
      <c r="S3472" s="215" t="s">
        <v>5435</v>
      </c>
      <c r="T3472" s="215"/>
      <c r="U3472" s="215"/>
      <c r="V3472" s="212">
        <f>갑지!F31</f>
        <v>1591000</v>
      </c>
      <c r="W3472" s="205"/>
      <c r="X3472" s="167"/>
      <c r="Y3472" s="190"/>
      <c r="Z3472" s="190"/>
      <c r="AA3472" s="190"/>
      <c r="AB3472" s="190"/>
      <c r="AC3472" s="190"/>
      <c r="AD3472" s="190"/>
      <c r="AE3472" s="190"/>
      <c r="AF3472" s="190"/>
      <c r="AG3472" s="190"/>
      <c r="AH3472" s="190"/>
      <c r="AI3472" s="190"/>
      <c r="AJ3472" s="190"/>
    </row>
    <row r="3473" spans="14:14" ht="12" customHeight="1">
      <c r="N3473" s="192"/>
    </row>
    <row r="3474" spans="14:14" ht="12" customHeight="1">
      <c r="N3474" s="192"/>
    </row>
    <row r="3475" spans="14:14" ht="12" customHeight="1">
      <c r="N3475" s="192"/>
    </row>
    <row r="3476" spans="14:14" ht="12" customHeight="1">
      <c r="N3476" s="192"/>
    </row>
    <row r="3477" spans="14:14" ht="12" customHeight="1">
      <c r="N3477" s="192"/>
    </row>
    <row r="3478" spans="14:14" ht="12" customHeight="1">
      <c r="N3478" s="192"/>
    </row>
    <row r="3479" spans="14:14" ht="12" customHeight="1">
      <c r="N3479" s="192"/>
    </row>
    <row r="3480" spans="14:14" ht="12" customHeight="1">
      <c r="N3480" s="192"/>
    </row>
    <row r="3481" spans="14:14" ht="12" customHeight="1">
      <c r="N3481" s="192"/>
    </row>
    <row r="3482" spans="14:14" ht="12" customHeight="1">
      <c r="N3482" s="192"/>
    </row>
    <row r="3483" spans="14:14" ht="12" customHeight="1">
      <c r="N3483" s="192"/>
    </row>
    <row r="3484" spans="14:14" ht="12" customHeight="1">
      <c r="N3484" s="192"/>
    </row>
    <row r="3485" spans="14:14" ht="12" customHeight="1">
      <c r="N3485" s="192"/>
    </row>
    <row r="3486" spans="14:14" ht="12" customHeight="1">
      <c r="N3486" s="192"/>
    </row>
    <row r="3487" spans="14:14" ht="12" customHeight="1">
      <c r="N3487" s="192"/>
    </row>
    <row r="3488" spans="14:14" ht="12" customHeight="1">
      <c r="N3488" s="192"/>
    </row>
    <row r="3489" spans="14:14" ht="12" customHeight="1">
      <c r="N3489" s="192"/>
    </row>
    <row r="3490" spans="14:14" ht="12" customHeight="1">
      <c r="N3490" s="192"/>
    </row>
    <row r="3491" spans="14:14" ht="12" customHeight="1">
      <c r="N3491" s="216"/>
    </row>
    <row r="3492" spans="14:14" ht="12" customHeight="1">
      <c r="N3492" s="216"/>
    </row>
    <row r="3493" spans="14:14" ht="12" customHeight="1">
      <c r="N3493" s="216"/>
    </row>
    <row r="3494" spans="14:14" ht="12" customHeight="1">
      <c r="N3494" s="216"/>
    </row>
    <row r="3495" spans="14:14" ht="12" customHeight="1">
      <c r="N3495" s="216"/>
    </row>
    <row r="3496" spans="14:14" ht="12" customHeight="1">
      <c r="N3496" s="216"/>
    </row>
    <row r="3497" spans="14:14" ht="12" customHeight="1">
      <c r="N3497" s="216"/>
    </row>
    <row r="3498" spans="14:14" ht="12" customHeight="1">
      <c r="N3498" s="216"/>
    </row>
    <row r="3499" spans="14:14" ht="12" customHeight="1">
      <c r="N3499" s="216"/>
    </row>
    <row r="3500" spans="14:14" ht="12" customHeight="1">
      <c r="N3500" s="216"/>
    </row>
    <row r="3501" spans="14:14" ht="12" customHeight="1">
      <c r="N3501" s="216"/>
    </row>
    <row r="3502" spans="14:14" ht="12" customHeight="1">
      <c r="N3502" s="216"/>
    </row>
    <row r="3503" spans="14:14" ht="12" customHeight="1">
      <c r="N3503" s="216"/>
    </row>
    <row r="3504" spans="14:14" ht="12" customHeight="1">
      <c r="N3504" s="216"/>
    </row>
    <row r="3505" spans="14:14" ht="12" customHeight="1">
      <c r="N3505" s="216"/>
    </row>
    <row r="3506" spans="14:14" ht="12" customHeight="1">
      <c r="N3506" s="216"/>
    </row>
    <row r="3507" spans="14:14" ht="12" customHeight="1">
      <c r="N3507" s="216"/>
    </row>
    <row r="3508" spans="14:14" ht="12" customHeight="1">
      <c r="N3508" s="216"/>
    </row>
    <row r="3509" spans="14:14" ht="12" customHeight="1">
      <c r="N3509" s="216"/>
    </row>
    <row r="3510" spans="14:14" ht="12" customHeight="1">
      <c r="N3510" s="216"/>
    </row>
    <row r="3511" spans="14:14" ht="12" customHeight="1">
      <c r="N3511" s="216"/>
    </row>
    <row r="3512" spans="14:14" ht="12" customHeight="1">
      <c r="N3512" s="216"/>
    </row>
    <row r="3513" spans="14:14" ht="12" customHeight="1">
      <c r="N3513" s="216"/>
    </row>
    <row r="3514" spans="14:14" ht="12" customHeight="1">
      <c r="N3514" s="216"/>
    </row>
    <row r="3515" spans="14:14" ht="12" customHeight="1">
      <c r="N3515" s="216"/>
    </row>
    <row r="3516" spans="14:14" ht="12" customHeight="1">
      <c r="N3516" s="216"/>
    </row>
    <row r="3517" spans="14:14" ht="12" customHeight="1">
      <c r="N3517" s="216"/>
    </row>
    <row r="3518" spans="14:14" ht="12" customHeight="1">
      <c r="N3518" s="216"/>
    </row>
    <row r="3519" spans="14:14" ht="12" customHeight="1">
      <c r="N3519" s="216"/>
    </row>
    <row r="3520" spans="14:14" ht="12" customHeight="1">
      <c r="N3520" s="216"/>
    </row>
    <row r="3521" spans="14:14" ht="12" customHeight="1">
      <c r="N3521" s="216"/>
    </row>
    <row r="3522" spans="14:14" ht="12" customHeight="1">
      <c r="N3522" s="216"/>
    </row>
    <row r="3523" spans="14:14" ht="12" customHeight="1">
      <c r="N3523" s="216"/>
    </row>
    <row r="3524" spans="14:14" ht="12" customHeight="1">
      <c r="N3524" s="216"/>
    </row>
    <row r="3525" spans="14:14" ht="12" customHeight="1">
      <c r="N3525" s="216"/>
    </row>
    <row r="3526" spans="14:14" ht="12" customHeight="1">
      <c r="N3526" s="216"/>
    </row>
    <row r="3527" spans="14:14" ht="12" customHeight="1">
      <c r="N3527" s="216"/>
    </row>
    <row r="3528" spans="14:14" ht="12" customHeight="1">
      <c r="N3528" s="216"/>
    </row>
    <row r="3529" spans="14:14" ht="12" customHeight="1">
      <c r="N3529" s="216"/>
    </row>
    <row r="3530" spans="14:14" ht="12" customHeight="1">
      <c r="N3530" s="216"/>
    </row>
    <row r="3531" spans="14:14" ht="12" customHeight="1">
      <c r="N3531" s="216"/>
    </row>
    <row r="3532" spans="14:14" ht="12" customHeight="1">
      <c r="N3532" s="216"/>
    </row>
    <row r="3533" spans="14:14" ht="12" customHeight="1">
      <c r="N3533" s="216"/>
    </row>
    <row r="3534" spans="14:14" ht="12" customHeight="1">
      <c r="N3534" s="216"/>
    </row>
    <row r="3535" spans="14:14" ht="12" customHeight="1">
      <c r="N3535" s="216"/>
    </row>
    <row r="3536" spans="14:14" ht="12" customHeight="1">
      <c r="N3536" s="216"/>
    </row>
    <row r="3537" spans="14:14" ht="12" customHeight="1">
      <c r="N3537" s="216"/>
    </row>
    <row r="3538" spans="14:14" ht="12" customHeight="1">
      <c r="N3538" s="216"/>
    </row>
    <row r="3539" spans="14:14" ht="12" customHeight="1">
      <c r="N3539" s="216"/>
    </row>
    <row r="3540" spans="14:14" ht="12" customHeight="1">
      <c r="N3540" s="216"/>
    </row>
    <row r="3541" spans="14:14" ht="12" customHeight="1">
      <c r="N3541" s="216"/>
    </row>
    <row r="3542" spans="14:14" ht="12" customHeight="1">
      <c r="N3542" s="216"/>
    </row>
    <row r="3543" spans="14:14" ht="12" customHeight="1">
      <c r="N3543" s="216"/>
    </row>
    <row r="3544" spans="14:14" ht="12" customHeight="1">
      <c r="N3544" s="216"/>
    </row>
    <row r="3545" spans="14:14" ht="12" customHeight="1">
      <c r="N3545" s="216"/>
    </row>
    <row r="3546" spans="14:14" ht="12" customHeight="1">
      <c r="N3546" s="216"/>
    </row>
    <row r="3547" spans="14:14" ht="12" customHeight="1">
      <c r="N3547" s="216"/>
    </row>
    <row r="3548" spans="14:14" ht="12" customHeight="1">
      <c r="N3548" s="216"/>
    </row>
    <row r="3549" spans="14:14" ht="12" customHeight="1">
      <c r="N3549" s="216"/>
    </row>
    <row r="3550" spans="14:14" ht="12" customHeight="1">
      <c r="N3550" s="216"/>
    </row>
    <row r="3551" spans="14:14" ht="12" customHeight="1">
      <c r="N3551" s="216"/>
    </row>
    <row r="3552" spans="14:14" ht="12" customHeight="1">
      <c r="N3552" s="216"/>
    </row>
    <row r="3553" spans="14:14" ht="12" customHeight="1">
      <c r="N3553" s="216"/>
    </row>
    <row r="3554" spans="14:14" ht="12" customHeight="1">
      <c r="N3554" s="216"/>
    </row>
    <row r="3555" spans="14:14" ht="12" customHeight="1">
      <c r="N3555" s="216"/>
    </row>
    <row r="3556" spans="14:14" ht="12" customHeight="1">
      <c r="N3556" s="216"/>
    </row>
    <row r="3557" spans="14:14" ht="12" customHeight="1">
      <c r="N3557" s="216"/>
    </row>
    <row r="3558" spans="14:14" ht="12" customHeight="1">
      <c r="N3558" s="216"/>
    </row>
    <row r="3559" spans="14:14" ht="12" customHeight="1">
      <c r="N3559" s="216"/>
    </row>
    <row r="3560" spans="14:14" ht="12" customHeight="1">
      <c r="N3560" s="216"/>
    </row>
    <row r="3561" spans="14:14" ht="12" customHeight="1">
      <c r="N3561" s="216"/>
    </row>
    <row r="3562" spans="14:14" ht="12" customHeight="1">
      <c r="N3562" s="216"/>
    </row>
    <row r="3563" spans="14:14" ht="12" customHeight="1">
      <c r="N3563" s="216"/>
    </row>
    <row r="3564" spans="14:14" ht="12" customHeight="1">
      <c r="N3564" s="216"/>
    </row>
    <row r="3565" spans="14:14" ht="12" customHeight="1">
      <c r="N3565" s="216"/>
    </row>
    <row r="3566" spans="14:14" ht="12" customHeight="1">
      <c r="N3566" s="216"/>
    </row>
    <row r="3567" spans="14:14" ht="12" customHeight="1">
      <c r="N3567" s="216"/>
    </row>
    <row r="3568" spans="14:14" ht="12" customHeight="1">
      <c r="N3568" s="216"/>
    </row>
    <row r="3569" spans="14:14" ht="12" customHeight="1">
      <c r="N3569" s="216"/>
    </row>
    <row r="3570" spans="14:14" ht="12" customHeight="1">
      <c r="N3570" s="216"/>
    </row>
    <row r="3571" spans="14:14" ht="12" customHeight="1">
      <c r="N3571" s="216"/>
    </row>
    <row r="3572" spans="14:14" ht="12" customHeight="1">
      <c r="N3572" s="216"/>
    </row>
    <row r="3573" spans="14:14" ht="12" customHeight="1">
      <c r="N3573" s="216"/>
    </row>
    <row r="3574" spans="14:14" ht="12" customHeight="1">
      <c r="N3574" s="216"/>
    </row>
    <row r="3575" spans="14:14" ht="12" customHeight="1">
      <c r="N3575" s="216"/>
    </row>
    <row r="3576" spans="14:14" ht="12" customHeight="1">
      <c r="N3576" s="216"/>
    </row>
    <row r="3577" spans="14:14" ht="12" customHeight="1">
      <c r="N3577" s="216"/>
    </row>
    <row r="3578" spans="14:14" ht="12" customHeight="1">
      <c r="N3578" s="216"/>
    </row>
    <row r="3579" spans="14:14" ht="12" customHeight="1">
      <c r="N3579" s="216"/>
    </row>
    <row r="3580" spans="14:14" ht="12" customHeight="1">
      <c r="N3580" s="216"/>
    </row>
    <row r="3581" spans="14:14" ht="12" customHeight="1">
      <c r="N3581" s="216"/>
    </row>
    <row r="3582" spans="14:14" ht="12" customHeight="1">
      <c r="N3582" s="216"/>
    </row>
    <row r="3583" spans="14:14" ht="12" customHeight="1">
      <c r="N3583" s="216"/>
    </row>
    <row r="3584" spans="14:14" ht="12" customHeight="1">
      <c r="N3584" s="216"/>
    </row>
    <row r="3585" spans="14:14" ht="12" customHeight="1">
      <c r="N3585" s="216"/>
    </row>
    <row r="3586" spans="14:14" ht="12" customHeight="1">
      <c r="N3586" s="216"/>
    </row>
    <row r="3587" spans="14:14" ht="12" customHeight="1">
      <c r="N3587" s="216"/>
    </row>
    <row r="3588" spans="14:14" ht="12" customHeight="1">
      <c r="N3588" s="216"/>
    </row>
    <row r="3589" spans="14:14" ht="12" customHeight="1">
      <c r="N3589" s="216"/>
    </row>
    <row r="3590" spans="14:14" ht="12" customHeight="1">
      <c r="N3590" s="216"/>
    </row>
    <row r="3591" spans="14:14" ht="12" customHeight="1">
      <c r="N3591" s="216"/>
    </row>
    <row r="3592" spans="14:14" ht="12" customHeight="1">
      <c r="N3592" s="216"/>
    </row>
    <row r="3593" spans="14:14" ht="12" customHeight="1">
      <c r="N3593" s="216"/>
    </row>
    <row r="3594" spans="14:14" ht="12" customHeight="1">
      <c r="N3594" s="216"/>
    </row>
    <row r="3595" spans="14:14" ht="12" customHeight="1">
      <c r="N3595" s="216"/>
    </row>
    <row r="3596" spans="14:14" ht="12" customHeight="1">
      <c r="N3596" s="216"/>
    </row>
    <row r="3597" spans="14:14" ht="12" customHeight="1">
      <c r="N3597" s="216"/>
    </row>
    <row r="3598" spans="14:14" ht="12" customHeight="1">
      <c r="N3598" s="216"/>
    </row>
    <row r="3599" spans="14:14" ht="12" customHeight="1">
      <c r="N3599" s="216"/>
    </row>
    <row r="3600" spans="14:14" ht="12" customHeight="1">
      <c r="N3600" s="216"/>
    </row>
    <row r="3601" spans="14:14" ht="12" customHeight="1">
      <c r="N3601" s="216"/>
    </row>
    <row r="3602" spans="14:14" ht="12" customHeight="1">
      <c r="N3602" s="216"/>
    </row>
    <row r="3603" spans="14:14" ht="12" customHeight="1">
      <c r="N3603" s="216"/>
    </row>
    <row r="3604" spans="14:14" ht="12" customHeight="1">
      <c r="N3604" s="216"/>
    </row>
    <row r="3605" spans="14:14" ht="12" customHeight="1">
      <c r="N3605" s="216"/>
    </row>
    <row r="3606" spans="14:14" ht="12" customHeight="1">
      <c r="N3606" s="216"/>
    </row>
    <row r="3607" spans="14:14" ht="12" customHeight="1">
      <c r="N3607" s="216"/>
    </row>
    <row r="3608" spans="14:14" ht="12" customHeight="1">
      <c r="N3608" s="216"/>
    </row>
    <row r="3609" spans="14:14" ht="12" customHeight="1">
      <c r="N3609" s="216"/>
    </row>
    <row r="3610" spans="14:14" ht="12" customHeight="1">
      <c r="N3610" s="216"/>
    </row>
    <row r="3611" spans="14:14" ht="12" customHeight="1">
      <c r="N3611" s="216"/>
    </row>
    <row r="3612" spans="14:14" ht="12" customHeight="1">
      <c r="N3612" s="216"/>
    </row>
    <row r="3613" spans="14:14" ht="12" customHeight="1">
      <c r="N3613" s="216"/>
    </row>
    <row r="3614" spans="14:14" ht="12" customHeight="1">
      <c r="N3614" s="216"/>
    </row>
    <row r="3615" spans="14:14" ht="12" customHeight="1">
      <c r="N3615" s="216"/>
    </row>
    <row r="3616" spans="14:14" ht="12" customHeight="1">
      <c r="N3616" s="216"/>
    </row>
    <row r="3617" spans="14:14" ht="12" customHeight="1">
      <c r="N3617" s="216"/>
    </row>
    <row r="3618" spans="14:14" ht="12" customHeight="1">
      <c r="N3618" s="216"/>
    </row>
    <row r="3619" spans="14:14" ht="12" customHeight="1">
      <c r="N3619" s="216"/>
    </row>
    <row r="3620" spans="14:14" ht="12" customHeight="1">
      <c r="N3620" s="216"/>
    </row>
    <row r="3621" spans="14:14" ht="12" customHeight="1">
      <c r="N3621" s="216"/>
    </row>
    <row r="3622" spans="14:14" ht="12" customHeight="1">
      <c r="N3622" s="216"/>
    </row>
    <row r="3623" spans="14:14" ht="12" customHeight="1">
      <c r="N3623" s="216"/>
    </row>
    <row r="3624" spans="14:14" ht="12" customHeight="1">
      <c r="N3624" s="216"/>
    </row>
    <row r="3625" spans="14:14" ht="12" customHeight="1">
      <c r="N3625" s="216"/>
    </row>
    <row r="3626" spans="14:14" ht="12" customHeight="1">
      <c r="N3626" s="216"/>
    </row>
    <row r="3627" spans="14:14" ht="12" customHeight="1">
      <c r="N3627" s="216"/>
    </row>
    <row r="3628" spans="14:14" ht="12" customHeight="1">
      <c r="N3628" s="216"/>
    </row>
    <row r="3629" spans="14:14" ht="12" customHeight="1">
      <c r="N3629" s="216"/>
    </row>
    <row r="3630" spans="14:14" ht="12" customHeight="1">
      <c r="N3630" s="216"/>
    </row>
    <row r="3631" spans="14:14" ht="12" customHeight="1">
      <c r="N3631" s="216"/>
    </row>
    <row r="3632" spans="14:14" ht="12" customHeight="1">
      <c r="N3632" s="216"/>
    </row>
    <row r="3633" spans="14:14" ht="12" customHeight="1">
      <c r="N3633" s="216"/>
    </row>
    <row r="3634" spans="14:14" ht="12" customHeight="1">
      <c r="N3634" s="216"/>
    </row>
    <row r="3635" spans="14:14" ht="12" customHeight="1">
      <c r="N3635" s="216"/>
    </row>
    <row r="3636" spans="14:14" ht="12" customHeight="1">
      <c r="N3636" s="216"/>
    </row>
    <row r="3637" spans="14:14" ht="12" customHeight="1">
      <c r="N3637" s="216"/>
    </row>
    <row r="3638" spans="14:14" ht="12" customHeight="1">
      <c r="N3638" s="216"/>
    </row>
    <row r="3639" spans="14:14" ht="12" customHeight="1">
      <c r="N3639" s="216"/>
    </row>
    <row r="3640" spans="14:14" ht="12" customHeight="1">
      <c r="N3640" s="216"/>
    </row>
    <row r="3641" spans="14:14" ht="12" customHeight="1">
      <c r="N3641" s="216"/>
    </row>
    <row r="3642" spans="14:14" ht="12" customHeight="1">
      <c r="N3642" s="216"/>
    </row>
    <row r="3643" spans="14:14" ht="12" customHeight="1">
      <c r="N3643" s="216"/>
    </row>
    <row r="3644" spans="14:14" ht="12" customHeight="1">
      <c r="N3644" s="216"/>
    </row>
    <row r="3645" spans="14:14" ht="12" customHeight="1">
      <c r="N3645" s="216"/>
    </row>
    <row r="3646" spans="14:14" ht="12" customHeight="1">
      <c r="N3646" s="216"/>
    </row>
    <row r="3647" spans="14:14" ht="12" customHeight="1">
      <c r="N3647" s="216"/>
    </row>
    <row r="3648" spans="14:14" ht="12" customHeight="1">
      <c r="N3648" s="216"/>
    </row>
    <row r="3649" spans="14:14" ht="12" customHeight="1">
      <c r="N3649" s="216"/>
    </row>
    <row r="3650" spans="14:14" ht="12" customHeight="1">
      <c r="N3650" s="216"/>
    </row>
    <row r="3651" spans="14:14" ht="12" customHeight="1">
      <c r="N3651" s="216"/>
    </row>
    <row r="3652" spans="14:14" ht="12" customHeight="1">
      <c r="N3652" s="216"/>
    </row>
    <row r="3653" spans="14:14" ht="12" customHeight="1">
      <c r="N3653" s="216"/>
    </row>
    <row r="3654" spans="14:14" ht="12" customHeight="1">
      <c r="N3654" s="216"/>
    </row>
    <row r="3655" spans="14:14" ht="12" customHeight="1">
      <c r="N3655" s="216"/>
    </row>
    <row r="3656" spans="14:14" ht="12" customHeight="1">
      <c r="N3656" s="216"/>
    </row>
    <row r="3657" spans="14:14" ht="12" customHeight="1">
      <c r="N3657" s="216"/>
    </row>
    <row r="3658" spans="14:14" ht="12" customHeight="1">
      <c r="N3658" s="216"/>
    </row>
    <row r="3659" spans="14:14" ht="12" customHeight="1">
      <c r="N3659" s="216"/>
    </row>
    <row r="3660" spans="14:14" ht="12" customHeight="1">
      <c r="N3660" s="216"/>
    </row>
    <row r="3661" spans="14:14" ht="12" customHeight="1">
      <c r="N3661" s="216"/>
    </row>
    <row r="3662" spans="14:14" ht="12" customHeight="1">
      <c r="N3662" s="216"/>
    </row>
    <row r="3663" spans="14:14" ht="12" customHeight="1">
      <c r="N3663" s="216"/>
    </row>
    <row r="3664" spans="14:14" ht="12" customHeight="1">
      <c r="N3664" s="216"/>
    </row>
    <row r="3665" spans="14:14" ht="12" customHeight="1">
      <c r="N3665" s="216"/>
    </row>
    <row r="3666" spans="14:14" ht="12" customHeight="1">
      <c r="N3666" s="216"/>
    </row>
    <row r="3667" spans="14:14" ht="12" customHeight="1">
      <c r="N3667" s="216"/>
    </row>
    <row r="3668" spans="14:14" ht="12" customHeight="1">
      <c r="N3668" s="216"/>
    </row>
    <row r="3669" spans="14:14" ht="12" customHeight="1">
      <c r="N3669" s="216"/>
    </row>
    <row r="3670" spans="14:14" ht="12" customHeight="1">
      <c r="N3670" s="216"/>
    </row>
    <row r="3671" spans="14:14" ht="12" customHeight="1">
      <c r="N3671" s="216"/>
    </row>
    <row r="3672" spans="14:14" ht="12" customHeight="1">
      <c r="N3672" s="216"/>
    </row>
    <row r="3673" spans="14:14" ht="12" customHeight="1">
      <c r="N3673" s="216"/>
    </row>
    <row r="3674" spans="14:14" ht="12" customHeight="1">
      <c r="N3674" s="216"/>
    </row>
    <row r="3675" spans="14:14" ht="12" customHeight="1">
      <c r="N3675" s="216"/>
    </row>
    <row r="3676" spans="14:14" ht="12" customHeight="1">
      <c r="N3676" s="216"/>
    </row>
    <row r="3677" spans="14:14" ht="12" customHeight="1">
      <c r="N3677" s="216"/>
    </row>
    <row r="3678" spans="14:14" ht="12" customHeight="1">
      <c r="N3678" s="216"/>
    </row>
    <row r="3679" spans="14:14" ht="12" customHeight="1">
      <c r="N3679" s="216"/>
    </row>
    <row r="3680" spans="14:14" ht="12" customHeight="1">
      <c r="N3680" s="216"/>
    </row>
    <row r="3681" spans="14:14" ht="12" customHeight="1">
      <c r="N3681" s="216"/>
    </row>
    <row r="3682" spans="14:14" ht="12" customHeight="1">
      <c r="N3682" s="216"/>
    </row>
    <row r="3683" spans="14:14" ht="12" customHeight="1">
      <c r="N3683" s="216"/>
    </row>
    <row r="3684" spans="14:14" ht="12" customHeight="1">
      <c r="N3684" s="216"/>
    </row>
    <row r="3685" spans="14:14" ht="12" customHeight="1">
      <c r="N3685" s="216"/>
    </row>
    <row r="3686" spans="14:14" ht="12" customHeight="1">
      <c r="N3686" s="216"/>
    </row>
    <row r="3687" spans="14:14" ht="12" customHeight="1">
      <c r="N3687" s="216"/>
    </row>
    <row r="3688" spans="14:14" ht="12" customHeight="1">
      <c r="N3688" s="216"/>
    </row>
    <row r="3689" spans="14:14" ht="12" customHeight="1">
      <c r="N3689" s="216"/>
    </row>
    <row r="3690" spans="14:14" ht="12" customHeight="1">
      <c r="N3690" s="216"/>
    </row>
    <row r="3691" spans="14:14" ht="12" customHeight="1">
      <c r="N3691" s="216"/>
    </row>
    <row r="3692" spans="14:14" ht="12" customHeight="1">
      <c r="N3692" s="216"/>
    </row>
    <row r="3693" spans="14:14" ht="12" customHeight="1">
      <c r="N3693" s="216"/>
    </row>
    <row r="3694" spans="14:14" ht="12" customHeight="1">
      <c r="N3694" s="216"/>
    </row>
    <row r="3695" spans="14:14" ht="12" customHeight="1">
      <c r="N3695" s="216"/>
    </row>
    <row r="3696" spans="14:14" ht="12" customHeight="1">
      <c r="N3696" s="216"/>
    </row>
    <row r="3697" spans="14:14" ht="12" customHeight="1">
      <c r="N3697" s="216"/>
    </row>
    <row r="3698" spans="14:14" ht="12" customHeight="1">
      <c r="N3698" s="216"/>
    </row>
    <row r="3699" spans="14:14" ht="12" customHeight="1">
      <c r="N3699" s="216"/>
    </row>
    <row r="3700" spans="14:14" ht="12" customHeight="1">
      <c r="N3700" s="216"/>
    </row>
    <row r="3701" spans="14:14" ht="12" customHeight="1">
      <c r="N3701" s="216"/>
    </row>
    <row r="3702" spans="14:14" ht="12" customHeight="1">
      <c r="N3702" s="216"/>
    </row>
    <row r="3703" spans="14:14" ht="12" customHeight="1">
      <c r="N3703" s="216"/>
    </row>
    <row r="3704" spans="14:14" ht="12" customHeight="1">
      <c r="N3704" s="216"/>
    </row>
    <row r="3705" spans="14:14" ht="12" customHeight="1">
      <c r="N3705" s="216"/>
    </row>
    <row r="3706" spans="14:14" ht="12" customHeight="1">
      <c r="N3706" s="216"/>
    </row>
    <row r="3707" spans="14:14" ht="12" customHeight="1">
      <c r="N3707" s="216"/>
    </row>
    <row r="3708" spans="14:14" ht="12" customHeight="1">
      <c r="N3708" s="216"/>
    </row>
    <row r="3709" spans="14:14" ht="12" customHeight="1">
      <c r="N3709" s="216"/>
    </row>
    <row r="3710" spans="14:14" ht="12" customHeight="1">
      <c r="N3710" s="216"/>
    </row>
    <row r="3711" spans="14:14" ht="12" customHeight="1">
      <c r="N3711" s="216"/>
    </row>
    <row r="3712" spans="14:14" ht="12" customHeight="1">
      <c r="N3712" s="216"/>
    </row>
    <row r="3713" spans="14:14" ht="12" customHeight="1">
      <c r="N3713" s="216"/>
    </row>
    <row r="3714" spans="14:14" ht="12" customHeight="1">
      <c r="N3714" s="216"/>
    </row>
    <row r="3715" spans="14:14" ht="12" customHeight="1">
      <c r="N3715" s="216"/>
    </row>
    <row r="3716" spans="14:14" ht="12" customHeight="1">
      <c r="N3716" s="216"/>
    </row>
    <row r="3717" spans="14:14" ht="12" customHeight="1">
      <c r="N3717" s="216"/>
    </row>
    <row r="3718" spans="14:14" ht="12" customHeight="1">
      <c r="N3718" s="216"/>
    </row>
    <row r="3719" spans="14:14" ht="12" customHeight="1">
      <c r="N3719" s="216"/>
    </row>
    <row r="3720" spans="14:14" ht="12" customHeight="1">
      <c r="N3720" s="216"/>
    </row>
    <row r="3721" spans="14:14" ht="12" customHeight="1">
      <c r="N3721" s="216"/>
    </row>
    <row r="3722" spans="14:14" ht="12" customHeight="1">
      <c r="N3722" s="216"/>
    </row>
    <row r="3723" spans="14:14" ht="12" customHeight="1">
      <c r="N3723" s="216"/>
    </row>
    <row r="3724" spans="14:14" ht="12" customHeight="1">
      <c r="N3724" s="216"/>
    </row>
    <row r="3725" spans="14:14" ht="12" customHeight="1">
      <c r="N3725" s="216"/>
    </row>
    <row r="3726" spans="14:14" ht="12" customHeight="1">
      <c r="N3726" s="216"/>
    </row>
    <row r="3727" spans="14:14" ht="12" customHeight="1">
      <c r="N3727" s="216"/>
    </row>
    <row r="3728" spans="14:14" ht="12" customHeight="1">
      <c r="N3728" s="216"/>
    </row>
    <row r="3729" spans="14:14" ht="12" customHeight="1">
      <c r="N3729" s="216"/>
    </row>
    <row r="3730" spans="14:14" ht="12" customHeight="1">
      <c r="N3730" s="216"/>
    </row>
    <row r="3731" spans="14:14" ht="12" customHeight="1">
      <c r="N3731" s="216"/>
    </row>
    <row r="3732" spans="14:14" ht="12" customHeight="1">
      <c r="N3732" s="216"/>
    </row>
    <row r="3733" spans="14:14" ht="12" customHeight="1">
      <c r="N3733" s="216"/>
    </row>
    <row r="3734" spans="14:14" ht="12" customHeight="1">
      <c r="N3734" s="216"/>
    </row>
    <row r="3735" spans="14:14" ht="12" customHeight="1">
      <c r="N3735" s="216"/>
    </row>
    <row r="3736" spans="14:14" ht="12" customHeight="1">
      <c r="N3736" s="216"/>
    </row>
    <row r="3737" spans="14:14" ht="12" customHeight="1">
      <c r="N3737" s="216"/>
    </row>
    <row r="3738" spans="14:14" ht="12" customHeight="1">
      <c r="N3738" s="216"/>
    </row>
    <row r="3739" spans="14:14" ht="12" customHeight="1">
      <c r="N3739" s="216"/>
    </row>
    <row r="3740" spans="14:14" ht="12" customHeight="1">
      <c r="N3740" s="216"/>
    </row>
    <row r="3741" spans="14:14" ht="12" customHeight="1">
      <c r="N3741" s="216"/>
    </row>
    <row r="3742" spans="14:14" ht="12" customHeight="1">
      <c r="N3742" s="216"/>
    </row>
    <row r="3743" spans="14:14" ht="12" customHeight="1">
      <c r="N3743" s="216"/>
    </row>
    <row r="3744" spans="14:14" ht="12" customHeight="1">
      <c r="N3744" s="216"/>
    </row>
    <row r="3745" spans="14:14" ht="12" customHeight="1">
      <c r="N3745" s="216"/>
    </row>
    <row r="3746" spans="14:14" ht="12" customHeight="1">
      <c r="N3746" s="216"/>
    </row>
    <row r="3747" spans="14:14" ht="12" customHeight="1">
      <c r="N3747" s="216"/>
    </row>
    <row r="3748" spans="14:14" ht="12" customHeight="1">
      <c r="N3748" s="216"/>
    </row>
    <row r="3749" spans="14:14" ht="12" customHeight="1">
      <c r="N3749" s="216"/>
    </row>
    <row r="3750" spans="14:14" ht="12" customHeight="1">
      <c r="N3750" s="216"/>
    </row>
    <row r="3751" spans="14:14" ht="12" customHeight="1">
      <c r="N3751" s="216"/>
    </row>
    <row r="3752" spans="14:14" ht="12" customHeight="1">
      <c r="N3752" s="216"/>
    </row>
    <row r="3753" spans="14:14" ht="12" customHeight="1">
      <c r="N3753" s="216"/>
    </row>
    <row r="3754" spans="14:14" ht="12" customHeight="1">
      <c r="N3754" s="216"/>
    </row>
    <row r="3755" spans="14:14" ht="12" customHeight="1">
      <c r="N3755" s="216"/>
    </row>
    <row r="3756" spans="14:14" ht="12" customHeight="1">
      <c r="N3756" s="216"/>
    </row>
    <row r="3757" spans="14:14" ht="12" customHeight="1">
      <c r="N3757" s="216"/>
    </row>
    <row r="3758" spans="14:14" ht="12" customHeight="1">
      <c r="N3758" s="216"/>
    </row>
    <row r="3759" spans="14:14" ht="12" customHeight="1">
      <c r="N3759" s="216"/>
    </row>
    <row r="3760" spans="14:14" ht="12" customHeight="1">
      <c r="N3760" s="216"/>
    </row>
    <row r="3761" spans="14:14" ht="12" customHeight="1">
      <c r="N3761" s="216"/>
    </row>
    <row r="3762" spans="14:14" ht="12" customHeight="1">
      <c r="N3762" s="216"/>
    </row>
    <row r="3763" spans="14:14" ht="12" customHeight="1">
      <c r="N3763" s="216"/>
    </row>
    <row r="3764" spans="14:14" ht="12" customHeight="1">
      <c r="N3764" s="216"/>
    </row>
    <row r="3765" spans="14:14" ht="12" customHeight="1">
      <c r="N3765" s="216"/>
    </row>
    <row r="3766" spans="14:14" ht="12" customHeight="1">
      <c r="N3766" s="216"/>
    </row>
    <row r="3767" spans="14:14" ht="12" customHeight="1">
      <c r="N3767" s="216"/>
    </row>
    <row r="3768" spans="14:14" ht="12" customHeight="1">
      <c r="N3768" s="216"/>
    </row>
    <row r="3769" spans="14:14" ht="12" customHeight="1">
      <c r="N3769" s="216"/>
    </row>
    <row r="3770" spans="14:14" ht="12" customHeight="1">
      <c r="N3770" s="216"/>
    </row>
    <row r="3771" spans="14:14" ht="12" customHeight="1">
      <c r="N3771" s="216"/>
    </row>
    <row r="3772" spans="14:14" ht="12" customHeight="1">
      <c r="N3772" s="216"/>
    </row>
    <row r="3773" spans="14:14" ht="12" customHeight="1">
      <c r="N3773" s="216"/>
    </row>
    <row r="3774" spans="14:14" ht="12" customHeight="1">
      <c r="N3774" s="216"/>
    </row>
    <row r="3775" spans="14:14" ht="12" customHeight="1">
      <c r="N3775" s="216"/>
    </row>
    <row r="3776" spans="14:14" ht="12" customHeight="1">
      <c r="N3776" s="216"/>
    </row>
    <row r="3777" spans="14:14" ht="12" customHeight="1">
      <c r="N3777" s="216"/>
    </row>
    <row r="3778" spans="14:14" ht="12" customHeight="1">
      <c r="N3778" s="216"/>
    </row>
    <row r="3779" spans="14:14" ht="12" customHeight="1">
      <c r="N3779" s="216"/>
    </row>
    <row r="3780" spans="14:14" ht="12" customHeight="1">
      <c r="N3780" s="216"/>
    </row>
    <row r="3781" spans="14:14" ht="12" customHeight="1">
      <c r="N3781" s="216"/>
    </row>
    <row r="3782" spans="14:14" ht="12" customHeight="1">
      <c r="N3782" s="216"/>
    </row>
    <row r="3783" spans="14:14" ht="12" customHeight="1">
      <c r="N3783" s="216"/>
    </row>
    <row r="3784" spans="14:14" ht="12" customHeight="1">
      <c r="N3784" s="216"/>
    </row>
    <row r="3785" spans="14:14" ht="12" customHeight="1">
      <c r="N3785" s="216"/>
    </row>
    <row r="3786" spans="14:14" ht="12" customHeight="1">
      <c r="N3786" s="216"/>
    </row>
    <row r="3787" spans="14:14" ht="12" customHeight="1">
      <c r="N3787" s="216"/>
    </row>
    <row r="3788" spans="14:14" ht="12" customHeight="1">
      <c r="N3788" s="216"/>
    </row>
    <row r="3789" spans="14:14" ht="12" customHeight="1">
      <c r="N3789" s="216"/>
    </row>
    <row r="3790" spans="14:14" ht="12" customHeight="1">
      <c r="N3790" s="216"/>
    </row>
    <row r="3791" spans="14:14" ht="12" customHeight="1">
      <c r="N3791" s="216"/>
    </row>
    <row r="3792" spans="14:14" ht="12" customHeight="1">
      <c r="N3792" s="216"/>
    </row>
    <row r="3793" spans="14:14" ht="12" customHeight="1">
      <c r="N3793" s="216"/>
    </row>
    <row r="3794" spans="14:14" ht="12" customHeight="1">
      <c r="N3794" s="216"/>
    </row>
    <row r="3795" spans="14:14" ht="12" customHeight="1">
      <c r="N3795" s="216"/>
    </row>
    <row r="3796" spans="14:14" ht="12" customHeight="1">
      <c r="N3796" s="216"/>
    </row>
    <row r="3797" spans="14:14" ht="12" customHeight="1">
      <c r="N3797" s="216"/>
    </row>
    <row r="3798" spans="14:14" ht="12" customHeight="1">
      <c r="N3798" s="216"/>
    </row>
    <row r="3799" spans="14:14" ht="12" customHeight="1">
      <c r="N3799" s="216"/>
    </row>
    <row r="3800" spans="14:14" ht="12" customHeight="1">
      <c r="N3800" s="216"/>
    </row>
    <row r="3801" spans="14:14" ht="12" customHeight="1">
      <c r="N3801" s="216"/>
    </row>
    <row r="3802" spans="14:14" ht="12" customHeight="1">
      <c r="N3802" s="216"/>
    </row>
    <row r="3803" spans="14:14" ht="12" customHeight="1">
      <c r="N3803" s="216"/>
    </row>
    <row r="3804" spans="14:14" ht="12" customHeight="1">
      <c r="N3804" s="216"/>
    </row>
    <row r="3805" spans="14:14" ht="12" customHeight="1">
      <c r="N3805" s="216"/>
    </row>
    <row r="3806" spans="14:14" ht="12" customHeight="1">
      <c r="N3806" s="216"/>
    </row>
    <row r="3807" spans="14:14" ht="12" customHeight="1">
      <c r="N3807" s="216"/>
    </row>
    <row r="3808" spans="14:14" ht="12" customHeight="1">
      <c r="N3808" s="216"/>
    </row>
    <row r="3809" spans="14:14" ht="12" customHeight="1">
      <c r="N3809" s="216"/>
    </row>
    <row r="3810" spans="14:14" ht="12" customHeight="1">
      <c r="N3810" s="216"/>
    </row>
    <row r="3811" spans="14:14" ht="12" customHeight="1">
      <c r="N3811" s="216"/>
    </row>
    <row r="3812" spans="14:14" ht="12" customHeight="1">
      <c r="N3812" s="216"/>
    </row>
    <row r="3813" spans="14:14" ht="12" customHeight="1">
      <c r="N3813" s="216"/>
    </row>
    <row r="3814" spans="14:14" ht="12" customHeight="1">
      <c r="N3814" s="216"/>
    </row>
    <row r="3815" spans="14:14" ht="12" customHeight="1">
      <c r="N3815" s="216"/>
    </row>
    <row r="3816" spans="14:14" ht="12" customHeight="1">
      <c r="N3816" s="216"/>
    </row>
    <row r="3817" spans="14:14" ht="12" customHeight="1">
      <c r="N3817" s="216"/>
    </row>
    <row r="3818" spans="14:14" ht="12" customHeight="1">
      <c r="N3818" s="216"/>
    </row>
    <row r="3819" spans="14:14" ht="12" customHeight="1">
      <c r="N3819" s="216"/>
    </row>
    <row r="3820" spans="14:14" ht="12" customHeight="1">
      <c r="N3820" s="216"/>
    </row>
    <row r="3821" spans="14:14" ht="12" customHeight="1">
      <c r="N3821" s="216"/>
    </row>
    <row r="3822" spans="14:14" ht="12" customHeight="1">
      <c r="N3822" s="216"/>
    </row>
    <row r="3823" spans="14:14" ht="12" customHeight="1">
      <c r="N3823" s="216"/>
    </row>
    <row r="3824" spans="14:14" ht="12" customHeight="1">
      <c r="N3824" s="216"/>
    </row>
    <row r="3825" spans="14:14" ht="12" customHeight="1">
      <c r="N3825" s="216"/>
    </row>
    <row r="3826" spans="14:14" ht="12" customHeight="1">
      <c r="N3826" s="216"/>
    </row>
    <row r="3827" spans="14:14" ht="12" customHeight="1">
      <c r="N3827" s="216"/>
    </row>
    <row r="3828" spans="14:14" ht="12" customHeight="1">
      <c r="N3828" s="216"/>
    </row>
    <row r="3829" spans="14:14" ht="12" customHeight="1">
      <c r="N3829" s="216"/>
    </row>
    <row r="3830" spans="14:14" ht="12" customHeight="1">
      <c r="N3830" s="216"/>
    </row>
    <row r="3831" spans="14:14" ht="12" customHeight="1">
      <c r="N3831" s="216"/>
    </row>
    <row r="3832" spans="14:14" ht="12" customHeight="1">
      <c r="N3832" s="216"/>
    </row>
    <row r="3833" spans="14:14" ht="12" customHeight="1">
      <c r="N3833" s="216"/>
    </row>
    <row r="3834" spans="14:14" ht="12" customHeight="1">
      <c r="N3834" s="216"/>
    </row>
    <row r="3835" spans="14:14" ht="12" customHeight="1">
      <c r="N3835" s="216"/>
    </row>
    <row r="3836" spans="14:14" ht="12" customHeight="1">
      <c r="N3836" s="216"/>
    </row>
    <row r="3837" spans="14:14" ht="12" customHeight="1">
      <c r="N3837" s="216"/>
    </row>
    <row r="3838" spans="14:14" ht="12" customHeight="1">
      <c r="N3838" s="216"/>
    </row>
    <row r="3839" spans="14:14" ht="12" customHeight="1">
      <c r="N3839" s="216"/>
    </row>
    <row r="3840" spans="14:14" ht="12" customHeight="1">
      <c r="N3840" s="216"/>
    </row>
    <row r="3841" spans="14:14" ht="12" customHeight="1">
      <c r="N3841" s="216"/>
    </row>
    <row r="3842" spans="14:14" ht="12" customHeight="1">
      <c r="N3842" s="216"/>
    </row>
    <row r="3843" spans="14:14" ht="12" customHeight="1">
      <c r="N3843" s="216"/>
    </row>
    <row r="3844" spans="14:14" ht="12" customHeight="1">
      <c r="N3844" s="216"/>
    </row>
    <row r="3845" spans="14:14" ht="12" customHeight="1">
      <c r="N3845" s="216"/>
    </row>
    <row r="3846" spans="14:14" ht="12" customHeight="1">
      <c r="N3846" s="216"/>
    </row>
    <row r="3847" spans="14:14" ht="12" customHeight="1">
      <c r="N3847" s="216"/>
    </row>
    <row r="3848" spans="14:14" ht="12" customHeight="1">
      <c r="N3848" s="216"/>
    </row>
    <row r="3849" spans="14:14" ht="12" customHeight="1">
      <c r="N3849" s="216"/>
    </row>
    <row r="3850" spans="14:14" ht="12" customHeight="1">
      <c r="N3850" s="216"/>
    </row>
    <row r="3851" spans="14:14" ht="12" customHeight="1">
      <c r="N3851" s="216"/>
    </row>
    <row r="3852" spans="14:14" ht="12" customHeight="1">
      <c r="N3852" s="216"/>
    </row>
    <row r="3853" spans="14:14" ht="12" customHeight="1">
      <c r="N3853" s="216"/>
    </row>
    <row r="3854" spans="14:14" ht="12" customHeight="1">
      <c r="N3854" s="216"/>
    </row>
    <row r="3855" spans="14:14" ht="12" customHeight="1">
      <c r="N3855" s="216"/>
    </row>
    <row r="3856" spans="14:14" ht="12" customHeight="1">
      <c r="N3856" s="216"/>
    </row>
    <row r="3857" spans="14:14" ht="12" customHeight="1">
      <c r="N3857" s="216"/>
    </row>
    <row r="3858" spans="14:14" ht="12" customHeight="1">
      <c r="N3858" s="216"/>
    </row>
    <row r="3859" spans="14:14" ht="12" customHeight="1">
      <c r="N3859" s="216"/>
    </row>
    <row r="3860" spans="14:14" ht="12" customHeight="1">
      <c r="N3860" s="216"/>
    </row>
    <row r="3861" spans="14:14" ht="12" customHeight="1">
      <c r="N3861" s="216"/>
    </row>
    <row r="3862" spans="14:14" ht="12" customHeight="1">
      <c r="N3862" s="216"/>
    </row>
    <row r="3863" spans="14:14" ht="12" customHeight="1">
      <c r="N3863" s="216"/>
    </row>
    <row r="3864" spans="14:14" ht="12" customHeight="1">
      <c r="N3864" s="216"/>
    </row>
    <row r="3865" spans="14:14" ht="12" customHeight="1">
      <c r="N3865" s="216"/>
    </row>
    <row r="3866" spans="14:14" ht="12" customHeight="1">
      <c r="N3866" s="216"/>
    </row>
    <row r="3867" spans="14:14" ht="12" customHeight="1">
      <c r="N3867" s="216"/>
    </row>
    <row r="3868" spans="14:14" ht="12" customHeight="1">
      <c r="N3868" s="216"/>
    </row>
    <row r="3869" spans="14:14" ht="12" customHeight="1">
      <c r="N3869" s="216"/>
    </row>
    <row r="3870" spans="14:14" ht="12" customHeight="1">
      <c r="N3870" s="216"/>
    </row>
    <row r="3871" spans="14:14" ht="12" customHeight="1">
      <c r="N3871" s="216"/>
    </row>
    <row r="3872" spans="14:14" ht="12" customHeight="1">
      <c r="N3872" s="216"/>
    </row>
    <row r="3873" spans="14:14" ht="12" customHeight="1">
      <c r="N3873" s="216"/>
    </row>
    <row r="3874" spans="14:14" ht="12" customHeight="1">
      <c r="N3874" s="216"/>
    </row>
    <row r="3875" spans="14:14" ht="12" customHeight="1">
      <c r="N3875" s="216"/>
    </row>
    <row r="3876" spans="14:14" ht="12" customHeight="1">
      <c r="N3876" s="216"/>
    </row>
    <row r="3877" spans="14:14" ht="12" customHeight="1">
      <c r="N3877" s="216"/>
    </row>
    <row r="3878" spans="14:14" ht="12" customHeight="1">
      <c r="N3878" s="216"/>
    </row>
    <row r="3879" spans="14:14" ht="12" customHeight="1">
      <c r="N3879" s="216"/>
    </row>
    <row r="3880" spans="14:14" ht="12" customHeight="1">
      <c r="N3880" s="216"/>
    </row>
    <row r="3881" spans="14:14" ht="12" customHeight="1">
      <c r="N3881" s="216"/>
    </row>
    <row r="3882" spans="14:14" ht="12" customHeight="1">
      <c r="N3882" s="216"/>
    </row>
    <row r="3883" spans="14:14" ht="12" customHeight="1">
      <c r="N3883" s="216"/>
    </row>
    <row r="3884" spans="14:14" ht="12" customHeight="1">
      <c r="N3884" s="216"/>
    </row>
    <row r="3885" spans="14:14" ht="12" customHeight="1">
      <c r="N3885" s="216"/>
    </row>
    <row r="3886" spans="14:14" ht="12" customHeight="1">
      <c r="N3886" s="216"/>
    </row>
    <row r="3887" spans="14:14" ht="12" customHeight="1">
      <c r="N3887" s="216"/>
    </row>
    <row r="3888" spans="14:14" ht="12" customHeight="1">
      <c r="N3888" s="216"/>
    </row>
    <row r="3889" spans="14:14" ht="12" customHeight="1">
      <c r="N3889" s="216"/>
    </row>
    <row r="3890" spans="14:14" ht="12" customHeight="1">
      <c r="N3890" s="216"/>
    </row>
    <row r="3891" spans="14:14" ht="12" customHeight="1">
      <c r="N3891" s="216"/>
    </row>
    <row r="3892" spans="14:14" ht="12" customHeight="1">
      <c r="N3892" s="216"/>
    </row>
    <row r="3893" spans="14:14" ht="12" customHeight="1">
      <c r="N3893" s="216"/>
    </row>
    <row r="3894" spans="14:14" ht="12" customHeight="1">
      <c r="N3894" s="216"/>
    </row>
    <row r="3895" spans="14:14" ht="12" customHeight="1">
      <c r="N3895" s="216"/>
    </row>
    <row r="3896" spans="14:14" ht="12" customHeight="1">
      <c r="N3896" s="216"/>
    </row>
    <row r="3897" spans="14:14" ht="12" customHeight="1">
      <c r="N3897" s="216"/>
    </row>
    <row r="3898" spans="14:14" ht="12" customHeight="1">
      <c r="N3898" s="216"/>
    </row>
    <row r="3899" spans="14:14" ht="12" customHeight="1">
      <c r="N3899" s="216"/>
    </row>
    <row r="3900" spans="14:14" ht="12" customHeight="1">
      <c r="N3900" s="216"/>
    </row>
    <row r="3901" spans="14:14" ht="12" customHeight="1">
      <c r="N3901" s="216"/>
    </row>
    <row r="3902" spans="14:14" ht="12" customHeight="1">
      <c r="N3902" s="216"/>
    </row>
    <row r="3903" spans="14:14" ht="12" customHeight="1">
      <c r="N3903" s="216"/>
    </row>
    <row r="3904" spans="14:14" ht="12" customHeight="1">
      <c r="N3904" s="216"/>
    </row>
    <row r="3905" spans="14:14" ht="12" customHeight="1">
      <c r="N3905" s="216"/>
    </row>
    <row r="3906" spans="14:14" ht="12" customHeight="1">
      <c r="N3906" s="216"/>
    </row>
    <row r="3907" spans="14:14" ht="12" customHeight="1">
      <c r="N3907" s="216"/>
    </row>
    <row r="3908" spans="14:14" ht="12" customHeight="1">
      <c r="N3908" s="216"/>
    </row>
    <row r="3909" spans="14:14" ht="12" customHeight="1">
      <c r="N3909" s="216"/>
    </row>
    <row r="3910" spans="14:14" ht="12" customHeight="1">
      <c r="N3910" s="216"/>
    </row>
    <row r="3911" spans="14:14" ht="12" customHeight="1">
      <c r="N3911" s="216"/>
    </row>
    <row r="3912" spans="14:14" ht="12" customHeight="1">
      <c r="N3912" s="216"/>
    </row>
    <row r="3913" spans="14:14" ht="12" customHeight="1">
      <c r="N3913" s="216"/>
    </row>
    <row r="3914" spans="14:14" ht="12" customHeight="1">
      <c r="N3914" s="216"/>
    </row>
    <row r="3915" spans="14:14" ht="12" customHeight="1">
      <c r="N3915" s="216"/>
    </row>
    <row r="3916" spans="14:14" ht="12" customHeight="1">
      <c r="N3916" s="216"/>
    </row>
    <row r="3917" spans="14:14" ht="12" customHeight="1">
      <c r="N3917" s="216"/>
    </row>
    <row r="3918" spans="14:14" ht="12" customHeight="1">
      <c r="N3918" s="216"/>
    </row>
    <row r="3919" spans="14:14" ht="12" customHeight="1">
      <c r="N3919" s="216"/>
    </row>
    <row r="3920" spans="14:14" ht="12" customHeight="1">
      <c r="N3920" s="216"/>
    </row>
    <row r="3921" spans="14:14" ht="12" customHeight="1">
      <c r="N3921" s="216"/>
    </row>
    <row r="3922" spans="14:14" ht="12" customHeight="1">
      <c r="N3922" s="216"/>
    </row>
    <row r="3923" spans="14:14" ht="12" customHeight="1">
      <c r="N3923" s="216"/>
    </row>
    <row r="3924" spans="14:14" ht="12" customHeight="1">
      <c r="N3924" s="216"/>
    </row>
    <row r="3925" spans="14:14" ht="12" customHeight="1">
      <c r="N3925" s="216"/>
    </row>
    <row r="3926" spans="14:14" ht="12" customHeight="1">
      <c r="N3926" s="216"/>
    </row>
    <row r="3927" spans="14:14" ht="12" customHeight="1">
      <c r="N3927" s="216"/>
    </row>
    <row r="3928" spans="14:14" ht="12" customHeight="1">
      <c r="N3928" s="216"/>
    </row>
    <row r="3929" spans="14:14" ht="12" customHeight="1">
      <c r="N3929" s="216"/>
    </row>
    <row r="3930" spans="14:14" ht="12" customHeight="1">
      <c r="N3930" s="216"/>
    </row>
    <row r="3931" spans="14:14" ht="12" customHeight="1">
      <c r="N3931" s="216"/>
    </row>
    <row r="3932" spans="14:14" ht="12" customHeight="1">
      <c r="N3932" s="216"/>
    </row>
    <row r="3933" spans="14:14" ht="12" customHeight="1">
      <c r="N3933" s="216"/>
    </row>
    <row r="3934" spans="14:14" ht="12" customHeight="1">
      <c r="N3934" s="216"/>
    </row>
    <row r="3935" spans="14:14" ht="12" customHeight="1">
      <c r="N3935" s="216"/>
    </row>
    <row r="3936" spans="14:14" ht="12" customHeight="1">
      <c r="N3936" s="216"/>
    </row>
    <row r="3937" spans="14:14" ht="12" customHeight="1">
      <c r="N3937" s="216"/>
    </row>
    <row r="3938" spans="14:14" ht="12" customHeight="1">
      <c r="N3938" s="216"/>
    </row>
    <row r="3939" spans="14:14" ht="12" customHeight="1">
      <c r="N3939" s="216"/>
    </row>
    <row r="3940" spans="14:14" ht="12" customHeight="1">
      <c r="N3940" s="216"/>
    </row>
    <row r="3941" spans="14:14" ht="12" customHeight="1">
      <c r="N3941" s="216"/>
    </row>
    <row r="3942" spans="14:14" ht="12" customHeight="1">
      <c r="N3942" s="216"/>
    </row>
    <row r="3943" spans="14:14" ht="12" customHeight="1">
      <c r="N3943" s="216"/>
    </row>
    <row r="3944" spans="14:14" ht="12" customHeight="1">
      <c r="N3944" s="216"/>
    </row>
    <row r="3945" spans="14:14" ht="12" customHeight="1">
      <c r="N3945" s="216"/>
    </row>
    <row r="3946" spans="14:14" ht="12" customHeight="1">
      <c r="N3946" s="216"/>
    </row>
    <row r="3947" spans="14:14" ht="12" customHeight="1">
      <c r="N3947" s="216"/>
    </row>
    <row r="3948" spans="14:14" ht="12" customHeight="1">
      <c r="N3948" s="216"/>
    </row>
    <row r="3949" spans="14:14" ht="12" customHeight="1">
      <c r="N3949" s="216"/>
    </row>
    <row r="3950" spans="14:14" ht="12" customHeight="1">
      <c r="N3950" s="216"/>
    </row>
    <row r="3951" spans="14:14" ht="12" customHeight="1">
      <c r="N3951" s="216"/>
    </row>
    <row r="3952" spans="14:14" ht="12" customHeight="1">
      <c r="N3952" s="216"/>
    </row>
    <row r="3953" spans="14:14" ht="12" customHeight="1">
      <c r="N3953" s="216"/>
    </row>
    <row r="3954" spans="14:14" ht="12" customHeight="1">
      <c r="N3954" s="216"/>
    </row>
    <row r="3955" spans="14:14" ht="12" customHeight="1">
      <c r="N3955" s="216"/>
    </row>
    <row r="3956" spans="14:14" ht="12" customHeight="1">
      <c r="N3956" s="216"/>
    </row>
    <row r="3957" spans="14:14" ht="12" customHeight="1">
      <c r="N3957" s="216"/>
    </row>
    <row r="3958" spans="14:14" ht="12" customHeight="1">
      <c r="N3958" s="216"/>
    </row>
    <row r="3959" spans="14:14" ht="12" customHeight="1">
      <c r="N3959" s="216"/>
    </row>
    <row r="3960" spans="14:14" ht="12" customHeight="1">
      <c r="N3960" s="216"/>
    </row>
    <row r="3961" spans="14:14" ht="12" customHeight="1">
      <c r="N3961" s="216"/>
    </row>
    <row r="3962" spans="14:14" ht="12" customHeight="1">
      <c r="N3962" s="216"/>
    </row>
    <row r="3963" spans="14:14" ht="12" customHeight="1">
      <c r="N3963" s="216"/>
    </row>
    <row r="3964" spans="14:14" ht="12" customHeight="1">
      <c r="N3964" s="216"/>
    </row>
    <row r="3965" spans="14:14" ht="12" customHeight="1">
      <c r="N3965" s="216"/>
    </row>
    <row r="3966" spans="14:14" ht="12" customHeight="1">
      <c r="N3966" s="216"/>
    </row>
    <row r="3967" spans="14:14" ht="12" customHeight="1">
      <c r="N3967" s="216"/>
    </row>
    <row r="3968" spans="14:14" ht="12" customHeight="1">
      <c r="N3968" s="216"/>
    </row>
    <row r="3969" spans="14:14" ht="12" customHeight="1">
      <c r="N3969" s="216"/>
    </row>
    <row r="3970" spans="14:14" ht="12" customHeight="1">
      <c r="N3970" s="216"/>
    </row>
    <row r="3971" spans="14:14" ht="12" customHeight="1">
      <c r="N3971" s="216"/>
    </row>
    <row r="3972" spans="14:14" ht="12" customHeight="1">
      <c r="N3972" s="216"/>
    </row>
    <row r="3973" spans="14:14" ht="12" customHeight="1">
      <c r="N3973" s="216"/>
    </row>
    <row r="3974" spans="14:14" ht="12" customHeight="1">
      <c r="N3974" s="216"/>
    </row>
    <row r="3975" spans="14:14" ht="12" customHeight="1">
      <c r="N3975" s="216"/>
    </row>
    <row r="3976" spans="14:14" ht="12" customHeight="1">
      <c r="N3976" s="216"/>
    </row>
    <row r="3977" spans="14:14" ht="12" customHeight="1">
      <c r="N3977" s="216"/>
    </row>
    <row r="3978" spans="14:14" ht="12" customHeight="1">
      <c r="N3978" s="216"/>
    </row>
    <row r="3979" spans="14:14" ht="12" customHeight="1">
      <c r="N3979" s="216"/>
    </row>
    <row r="3980" spans="14:14" ht="12" customHeight="1">
      <c r="N3980" s="216"/>
    </row>
    <row r="3981" spans="14:14" ht="12" customHeight="1">
      <c r="N3981" s="216"/>
    </row>
    <row r="3982" spans="14:14" ht="12" customHeight="1">
      <c r="N3982" s="216"/>
    </row>
    <row r="3983" spans="14:14" ht="12" customHeight="1">
      <c r="N3983" s="216"/>
    </row>
    <row r="3984" spans="14:14" ht="12" customHeight="1">
      <c r="N3984" s="216"/>
    </row>
    <row r="3985" spans="14:14" ht="12" customHeight="1">
      <c r="N3985" s="216"/>
    </row>
    <row r="3986" spans="14:14" ht="12" customHeight="1">
      <c r="N3986" s="216"/>
    </row>
    <row r="3987" spans="14:14" ht="12" customHeight="1">
      <c r="N3987" s="216"/>
    </row>
    <row r="3988" spans="14:14" ht="12" customHeight="1">
      <c r="N3988" s="216"/>
    </row>
    <row r="3989" spans="14:14" ht="12" customHeight="1">
      <c r="N3989" s="216"/>
    </row>
    <row r="3990" spans="14:14" ht="12" customHeight="1">
      <c r="N3990" s="216"/>
    </row>
    <row r="3991" spans="14:14" ht="12" customHeight="1">
      <c r="N3991" s="216"/>
    </row>
    <row r="3992" spans="14:14" ht="12" customHeight="1">
      <c r="N3992" s="216"/>
    </row>
    <row r="3993" spans="14:14" ht="12" customHeight="1">
      <c r="N3993" s="216"/>
    </row>
    <row r="3994" spans="14:14" ht="12" customHeight="1">
      <c r="N3994" s="216"/>
    </row>
    <row r="3995" spans="14:14" ht="12" customHeight="1">
      <c r="N3995" s="216"/>
    </row>
    <row r="3996" spans="14:14" ht="12" customHeight="1">
      <c r="N3996" s="216"/>
    </row>
    <row r="3997" spans="14:14" ht="12" customHeight="1">
      <c r="N3997" s="216"/>
    </row>
    <row r="3998" spans="14:14" ht="12" customHeight="1">
      <c r="N3998" s="216"/>
    </row>
    <row r="3999" spans="14:14" ht="12" customHeight="1">
      <c r="N3999" s="216"/>
    </row>
    <row r="4000" spans="14:14" ht="12" customHeight="1">
      <c r="N4000" s="216"/>
    </row>
    <row r="4001" spans="14:14" ht="12" customHeight="1">
      <c r="N4001" s="216"/>
    </row>
    <row r="4002" spans="14:14" ht="12" customHeight="1">
      <c r="N4002" s="216"/>
    </row>
    <row r="4003" spans="14:14" ht="12" customHeight="1">
      <c r="N4003" s="216"/>
    </row>
    <row r="4004" spans="14:14" ht="12" customHeight="1">
      <c r="N4004" s="216"/>
    </row>
    <row r="4005" spans="14:14" ht="12" customHeight="1">
      <c r="N4005" s="216"/>
    </row>
    <row r="4006" spans="14:14" ht="12" customHeight="1">
      <c r="N4006" s="216"/>
    </row>
    <row r="4007" spans="14:14" ht="12" customHeight="1">
      <c r="N4007" s="216"/>
    </row>
    <row r="4008" spans="14:14" ht="12" customHeight="1">
      <c r="N4008" s="216"/>
    </row>
    <row r="4009" spans="14:14" ht="12" customHeight="1">
      <c r="N4009" s="216"/>
    </row>
    <row r="4010" spans="14:14" ht="12" customHeight="1">
      <c r="N4010" s="216"/>
    </row>
    <row r="4011" spans="14:14" ht="12" customHeight="1">
      <c r="N4011" s="216"/>
    </row>
    <row r="4012" spans="14:14" ht="12" customHeight="1">
      <c r="N4012" s="216"/>
    </row>
    <row r="4013" spans="14:14" ht="12" customHeight="1">
      <c r="N4013" s="216"/>
    </row>
    <row r="4014" spans="14:14" ht="12" customHeight="1">
      <c r="N4014" s="216"/>
    </row>
    <row r="4015" spans="14:14" ht="12" customHeight="1">
      <c r="N4015" s="216"/>
    </row>
    <row r="4016" spans="14:14" ht="12" customHeight="1">
      <c r="N4016" s="216"/>
    </row>
    <row r="4017" spans="14:14" ht="12" customHeight="1">
      <c r="N4017" s="216"/>
    </row>
    <row r="4018" spans="14:14" ht="12" customHeight="1">
      <c r="N4018" s="216"/>
    </row>
    <row r="4019" spans="14:14" ht="12" customHeight="1">
      <c r="N4019" s="216"/>
    </row>
    <row r="4020" spans="14:14" ht="12" customHeight="1">
      <c r="N4020" s="216"/>
    </row>
    <row r="4021" spans="14:14" ht="12" customHeight="1">
      <c r="N4021" s="216"/>
    </row>
    <row r="4022" spans="14:14" ht="12" customHeight="1">
      <c r="N4022" s="216"/>
    </row>
    <row r="4023" spans="14:14" ht="12" customHeight="1">
      <c r="N4023" s="216"/>
    </row>
    <row r="4024" spans="14:14" ht="12" customHeight="1">
      <c r="N4024" s="216"/>
    </row>
    <row r="4025" spans="14:14" ht="12" customHeight="1">
      <c r="N4025" s="216"/>
    </row>
    <row r="4026" spans="14:14" ht="12" customHeight="1">
      <c r="N4026" s="216"/>
    </row>
    <row r="4027" spans="14:14" ht="12" customHeight="1">
      <c r="N4027" s="216"/>
    </row>
    <row r="4028" spans="14:14" ht="12" customHeight="1">
      <c r="N4028" s="216"/>
    </row>
    <row r="4029" spans="14:14" ht="12" customHeight="1">
      <c r="N4029" s="216"/>
    </row>
    <row r="4030" spans="14:14" ht="12" customHeight="1">
      <c r="N4030" s="216"/>
    </row>
    <row r="4031" spans="14:14" ht="12" customHeight="1">
      <c r="N4031" s="216"/>
    </row>
    <row r="4032" spans="14:14" ht="12" customHeight="1">
      <c r="N4032" s="216"/>
    </row>
    <row r="4033" spans="14:14" ht="12" customHeight="1">
      <c r="N4033" s="216"/>
    </row>
    <row r="4034" spans="14:14" ht="12" customHeight="1">
      <c r="N4034" s="216"/>
    </row>
    <row r="4035" spans="14:14" ht="12" customHeight="1">
      <c r="N4035" s="216"/>
    </row>
    <row r="4036" spans="14:14" ht="12" customHeight="1">
      <c r="N4036" s="216"/>
    </row>
    <row r="4037" spans="14:14" ht="12" customHeight="1">
      <c r="N4037" s="216"/>
    </row>
    <row r="4038" spans="14:14" ht="12" customHeight="1">
      <c r="N4038" s="216"/>
    </row>
    <row r="4039" spans="14:14" ht="12" customHeight="1">
      <c r="N4039" s="216"/>
    </row>
    <row r="4040" spans="14:14" ht="12" customHeight="1">
      <c r="N4040" s="216"/>
    </row>
    <row r="4041" spans="14:14" ht="12" customHeight="1">
      <c r="N4041" s="216"/>
    </row>
    <row r="4042" spans="14:14" ht="12" customHeight="1">
      <c r="N4042" s="216"/>
    </row>
    <row r="4043" spans="14:14" ht="12" customHeight="1">
      <c r="N4043" s="216"/>
    </row>
    <row r="4044" spans="14:14" ht="12" customHeight="1">
      <c r="N4044" s="216"/>
    </row>
    <row r="4045" spans="14:14" ht="12" customHeight="1">
      <c r="N4045" s="216"/>
    </row>
    <row r="4046" spans="14:14" ht="12" customHeight="1">
      <c r="N4046" s="216"/>
    </row>
    <row r="4047" spans="14:14" ht="12" customHeight="1">
      <c r="N4047" s="216"/>
    </row>
    <row r="4048" spans="14:14" ht="12" customHeight="1">
      <c r="N4048" s="216"/>
    </row>
    <row r="4049" spans="14:14" ht="12" customHeight="1">
      <c r="N4049" s="216"/>
    </row>
    <row r="4050" spans="14:14" ht="12" customHeight="1">
      <c r="N4050" s="216"/>
    </row>
    <row r="4051" spans="14:14" ht="12" customHeight="1">
      <c r="N4051" s="216"/>
    </row>
    <row r="4052" spans="14:14" ht="12" customHeight="1">
      <c r="N4052" s="216"/>
    </row>
    <row r="4053" spans="14:14" ht="12" customHeight="1">
      <c r="N4053" s="216"/>
    </row>
    <row r="4054" spans="14:14" ht="12" customHeight="1">
      <c r="N4054" s="216"/>
    </row>
    <row r="4055" spans="14:14" ht="12" customHeight="1">
      <c r="N4055" s="216"/>
    </row>
    <row r="4056" spans="14:14" ht="12" customHeight="1">
      <c r="N4056" s="216"/>
    </row>
    <row r="4057" spans="14:14" ht="12" customHeight="1">
      <c r="N4057" s="216"/>
    </row>
    <row r="4058" spans="14:14" ht="12" customHeight="1">
      <c r="N4058" s="216"/>
    </row>
    <row r="4059" spans="14:14" ht="12" customHeight="1">
      <c r="N4059" s="216"/>
    </row>
    <row r="4060" spans="14:14" ht="12" customHeight="1">
      <c r="N4060" s="216"/>
    </row>
    <row r="4061" spans="14:14" ht="12" customHeight="1">
      <c r="N4061" s="216"/>
    </row>
    <row r="4062" spans="14:14" ht="12" customHeight="1">
      <c r="N4062" s="216"/>
    </row>
    <row r="4063" spans="14:14" ht="12" customHeight="1">
      <c r="N4063" s="216"/>
    </row>
    <row r="4064" spans="14:14" ht="12" customHeight="1">
      <c r="N4064" s="216"/>
    </row>
    <row r="4065" spans="14:14" ht="12" customHeight="1">
      <c r="N4065" s="216"/>
    </row>
    <row r="4066" spans="14:14" ht="12" customHeight="1">
      <c r="N4066" s="216"/>
    </row>
    <row r="4067" spans="14:14" ht="12" customHeight="1">
      <c r="N4067" s="216"/>
    </row>
    <row r="4068" spans="14:14" ht="12" customHeight="1">
      <c r="N4068" s="216"/>
    </row>
    <row r="4069" spans="14:14" ht="12" customHeight="1">
      <c r="N4069" s="216"/>
    </row>
    <row r="4070" spans="14:14" ht="12" customHeight="1">
      <c r="N4070" s="216"/>
    </row>
    <row r="4071" spans="14:14" ht="12" customHeight="1">
      <c r="N4071" s="216"/>
    </row>
    <row r="4072" spans="14:14" ht="12" customHeight="1">
      <c r="N4072" s="216"/>
    </row>
    <row r="4073" spans="14:14" ht="12" customHeight="1">
      <c r="N4073" s="216"/>
    </row>
    <row r="4074" spans="14:14" ht="12" customHeight="1">
      <c r="N4074" s="216"/>
    </row>
    <row r="4075" spans="14:14" ht="12" customHeight="1">
      <c r="N4075" s="216"/>
    </row>
    <row r="4076" spans="14:14" ht="12" customHeight="1">
      <c r="N4076" s="216"/>
    </row>
    <row r="4077" spans="14:14" ht="12" customHeight="1">
      <c r="N4077" s="216"/>
    </row>
    <row r="4078" spans="14:14" ht="12" customHeight="1">
      <c r="N4078" s="216"/>
    </row>
    <row r="4079" spans="14:14" ht="12" customHeight="1">
      <c r="N4079" s="216"/>
    </row>
    <row r="4080" spans="14:14" ht="12" customHeight="1">
      <c r="N4080" s="216"/>
    </row>
    <row r="4081" spans="14:14" ht="12" customHeight="1">
      <c r="N4081" s="216"/>
    </row>
    <row r="4082" spans="14:14" ht="12" customHeight="1">
      <c r="N4082" s="216"/>
    </row>
    <row r="4083" spans="14:14" ht="12" customHeight="1">
      <c r="N4083" s="216"/>
    </row>
    <row r="4084" spans="14:14" ht="12" customHeight="1">
      <c r="N4084" s="216"/>
    </row>
    <row r="4085" spans="14:14" ht="12" customHeight="1">
      <c r="N4085" s="216"/>
    </row>
    <row r="4086" spans="14:14" ht="12" customHeight="1">
      <c r="N4086" s="216"/>
    </row>
    <row r="4087" spans="14:14" ht="12" customHeight="1">
      <c r="N4087" s="216"/>
    </row>
    <row r="4088" spans="14:14" ht="12" customHeight="1">
      <c r="N4088" s="216"/>
    </row>
    <row r="4089" spans="14:14" ht="12" customHeight="1">
      <c r="N4089" s="216"/>
    </row>
    <row r="4090" spans="14:14" ht="12" customHeight="1">
      <c r="N4090" s="216"/>
    </row>
    <row r="4091" spans="14:14" ht="12" customHeight="1">
      <c r="N4091" s="216"/>
    </row>
    <row r="4092" spans="14:14" ht="12" customHeight="1">
      <c r="N4092" s="216"/>
    </row>
    <row r="4093" spans="14:14" ht="12" customHeight="1">
      <c r="N4093" s="216"/>
    </row>
    <row r="4094" spans="14:14" ht="12" customHeight="1">
      <c r="N4094" s="216"/>
    </row>
    <row r="4095" spans="14:14" ht="12" customHeight="1">
      <c r="N4095" s="216"/>
    </row>
    <row r="4096" spans="14:14" ht="12" customHeight="1">
      <c r="N4096" s="216"/>
    </row>
    <row r="4097" spans="14:14" ht="12" customHeight="1">
      <c r="N4097" s="216"/>
    </row>
    <row r="4098" spans="14:14" ht="12" customHeight="1">
      <c r="N4098" s="216"/>
    </row>
    <row r="4099" spans="14:14" ht="12" customHeight="1">
      <c r="N4099" s="216"/>
    </row>
    <row r="4100" spans="14:14" ht="12" customHeight="1">
      <c r="N4100" s="216"/>
    </row>
    <row r="4101" spans="14:14" ht="12" customHeight="1">
      <c r="N4101" s="216"/>
    </row>
    <row r="4102" spans="14:14" ht="12" customHeight="1">
      <c r="N4102" s="216"/>
    </row>
    <row r="4103" spans="14:14" ht="12" customHeight="1">
      <c r="N4103" s="216"/>
    </row>
    <row r="4104" spans="14:14" ht="12" customHeight="1">
      <c r="N4104" s="216"/>
    </row>
    <row r="4105" spans="14:14" ht="12" customHeight="1">
      <c r="N4105" s="216"/>
    </row>
    <row r="4106" spans="14:14" ht="12" customHeight="1">
      <c r="N4106" s="216"/>
    </row>
    <row r="4107" spans="14:14" ht="12" customHeight="1">
      <c r="N4107" s="216"/>
    </row>
    <row r="4108" spans="14:14" ht="12" customHeight="1">
      <c r="N4108" s="216"/>
    </row>
    <row r="4109" spans="14:14" ht="12" customHeight="1">
      <c r="N4109" s="216"/>
    </row>
    <row r="4110" spans="14:14" ht="12" customHeight="1">
      <c r="N4110" s="216"/>
    </row>
    <row r="4111" spans="14:14" ht="12" customHeight="1">
      <c r="N4111" s="216"/>
    </row>
    <row r="4112" spans="14:14" ht="12" customHeight="1">
      <c r="N4112" s="216"/>
    </row>
    <row r="4113" spans="14:14" ht="12" customHeight="1">
      <c r="N4113" s="216"/>
    </row>
    <row r="4114" spans="14:14" ht="12" customHeight="1">
      <c r="N4114" s="216"/>
    </row>
    <row r="4115" spans="14:14" ht="12" customHeight="1">
      <c r="N4115" s="216"/>
    </row>
    <row r="4116" spans="14:14" ht="12" customHeight="1">
      <c r="N4116" s="216"/>
    </row>
    <row r="4117" spans="14:14" ht="12" customHeight="1">
      <c r="N4117" s="216"/>
    </row>
    <row r="4118" spans="14:14" ht="12" customHeight="1">
      <c r="N4118" s="216"/>
    </row>
    <row r="4119" spans="14:14" ht="12" customHeight="1">
      <c r="N4119" s="216"/>
    </row>
    <row r="4120" spans="14:14" ht="12" customHeight="1">
      <c r="N4120" s="216"/>
    </row>
    <row r="4121" spans="14:14" ht="12" customHeight="1">
      <c r="N4121" s="216"/>
    </row>
    <row r="4122" spans="14:14" ht="12" customHeight="1">
      <c r="N4122" s="216"/>
    </row>
    <row r="4123" spans="14:14" ht="12" customHeight="1">
      <c r="N4123" s="216"/>
    </row>
    <row r="4124" spans="14:14" ht="12" customHeight="1">
      <c r="N4124" s="216"/>
    </row>
    <row r="4125" spans="14:14" ht="12" customHeight="1">
      <c r="N4125" s="216"/>
    </row>
    <row r="4126" spans="14:14" ht="12" customHeight="1">
      <c r="N4126" s="216"/>
    </row>
    <row r="4127" spans="14:14" ht="12" customHeight="1">
      <c r="N4127" s="216"/>
    </row>
    <row r="4128" spans="14:14" ht="12" customHeight="1">
      <c r="N4128" s="216"/>
    </row>
    <row r="4129" spans="14:14" ht="12" customHeight="1">
      <c r="N4129" s="216"/>
    </row>
    <row r="4130" spans="14:14" ht="12" customHeight="1">
      <c r="N4130" s="216"/>
    </row>
    <row r="4131" spans="14:14" ht="12" customHeight="1">
      <c r="N4131" s="216"/>
    </row>
    <row r="4132" spans="14:14" ht="12" customHeight="1">
      <c r="N4132" s="216"/>
    </row>
    <row r="4133" spans="14:14" ht="12" customHeight="1">
      <c r="N4133" s="216"/>
    </row>
    <row r="4134" spans="14:14" ht="12" customHeight="1">
      <c r="N4134" s="216"/>
    </row>
    <row r="4135" spans="14:14" ht="12" customHeight="1">
      <c r="N4135" s="216"/>
    </row>
    <row r="4136" spans="14:14" ht="12" customHeight="1">
      <c r="N4136" s="216"/>
    </row>
    <row r="4137" spans="14:14" ht="12" customHeight="1">
      <c r="N4137" s="216"/>
    </row>
    <row r="4138" spans="14:14" ht="12" customHeight="1">
      <c r="N4138" s="216"/>
    </row>
    <row r="4139" spans="14:14" ht="12" customHeight="1">
      <c r="N4139" s="216"/>
    </row>
    <row r="4140" spans="14:14" ht="12" customHeight="1">
      <c r="N4140" s="216"/>
    </row>
    <row r="4141" spans="14:14" ht="12" customHeight="1">
      <c r="N4141" s="216"/>
    </row>
    <row r="4142" spans="14:14" ht="12" customHeight="1">
      <c r="N4142" s="216"/>
    </row>
    <row r="4143" spans="14:14" ht="12" customHeight="1">
      <c r="N4143" s="216"/>
    </row>
    <row r="4144" spans="14:14" ht="12" customHeight="1">
      <c r="N4144" s="216"/>
    </row>
    <row r="4145" spans="14:14" ht="12" customHeight="1">
      <c r="N4145" s="216"/>
    </row>
    <row r="4146" spans="14:14" ht="12" customHeight="1">
      <c r="N4146" s="216"/>
    </row>
    <row r="4147" spans="14:14" ht="12" customHeight="1">
      <c r="N4147" s="216"/>
    </row>
    <row r="4148" spans="14:14" ht="12" customHeight="1">
      <c r="N4148" s="216"/>
    </row>
    <row r="4149" spans="14:14" ht="12" customHeight="1">
      <c r="N4149" s="216"/>
    </row>
    <row r="4150" spans="14:14" ht="12" customHeight="1">
      <c r="N4150" s="216"/>
    </row>
    <row r="4151" spans="14:14" ht="12" customHeight="1">
      <c r="N4151" s="216"/>
    </row>
    <row r="4152" spans="14:14" ht="12" customHeight="1">
      <c r="N4152" s="216"/>
    </row>
    <row r="4153" spans="14:14" ht="12" customHeight="1">
      <c r="N4153" s="216"/>
    </row>
    <row r="4154" spans="14:14" ht="12" customHeight="1">
      <c r="N4154" s="216"/>
    </row>
    <row r="4155" spans="14:14" ht="12" customHeight="1">
      <c r="N4155" s="216"/>
    </row>
    <row r="4156" spans="14:14" ht="12" customHeight="1">
      <c r="N4156" s="216"/>
    </row>
    <row r="4157" spans="14:14" ht="12" customHeight="1">
      <c r="N4157" s="216"/>
    </row>
    <row r="4158" spans="14:14" ht="12" customHeight="1">
      <c r="N4158" s="216"/>
    </row>
    <row r="4159" spans="14:14" ht="12" customHeight="1">
      <c r="N4159" s="216"/>
    </row>
    <row r="4160" spans="14:14" ht="12" customHeight="1">
      <c r="N4160" s="216"/>
    </row>
    <row r="4161" spans="14:14" ht="12" customHeight="1">
      <c r="N4161" s="216"/>
    </row>
    <row r="4162" spans="14:14" ht="12" customHeight="1">
      <c r="N4162" s="216"/>
    </row>
    <row r="4163" spans="14:14" ht="12" customHeight="1">
      <c r="N4163" s="216"/>
    </row>
    <row r="4164" spans="14:14" ht="12" customHeight="1">
      <c r="N4164" s="216"/>
    </row>
    <row r="4165" spans="14:14" ht="12" customHeight="1">
      <c r="N4165" s="216"/>
    </row>
    <row r="4166" spans="14:14" ht="12" customHeight="1">
      <c r="N4166" s="216"/>
    </row>
    <row r="4167" spans="14:14" ht="12" customHeight="1">
      <c r="N4167" s="216"/>
    </row>
    <row r="4168" spans="14:14" ht="12" customHeight="1">
      <c r="N4168" s="216"/>
    </row>
    <row r="4169" spans="14:14" ht="12" customHeight="1">
      <c r="N4169" s="216"/>
    </row>
    <row r="4170" spans="14:14" ht="12" customHeight="1">
      <c r="N4170" s="216"/>
    </row>
    <row r="4171" spans="14:14" ht="12" customHeight="1">
      <c r="N4171" s="216"/>
    </row>
    <row r="4172" spans="14:14" ht="12" customHeight="1">
      <c r="N4172" s="216"/>
    </row>
    <row r="4173" spans="14:14" ht="12" customHeight="1">
      <c r="N4173" s="216"/>
    </row>
    <row r="4174" spans="14:14" ht="12" customHeight="1">
      <c r="N4174" s="216"/>
    </row>
    <row r="4175" spans="14:14" ht="12" customHeight="1">
      <c r="N4175" s="216"/>
    </row>
    <row r="4176" spans="14:14" ht="12" customHeight="1">
      <c r="N4176" s="216"/>
    </row>
    <row r="4177" spans="14:14" ht="12" customHeight="1">
      <c r="N4177" s="216"/>
    </row>
    <row r="4178" spans="14:14" ht="12" customHeight="1">
      <c r="N4178" s="216"/>
    </row>
    <row r="4179" spans="14:14" ht="12" customHeight="1">
      <c r="N4179" s="216"/>
    </row>
    <row r="4180" spans="14:14" ht="12" customHeight="1">
      <c r="N4180" s="216"/>
    </row>
    <row r="4181" spans="14:14" ht="12" customHeight="1">
      <c r="N4181" s="216"/>
    </row>
    <row r="4182" spans="14:14" ht="12" customHeight="1">
      <c r="N4182" s="216"/>
    </row>
    <row r="4183" spans="14:14" ht="12" customHeight="1">
      <c r="N4183" s="216"/>
    </row>
    <row r="4184" spans="14:14" ht="12" customHeight="1">
      <c r="N4184" s="216"/>
    </row>
    <row r="4185" spans="14:14" ht="12" customHeight="1">
      <c r="N4185" s="216"/>
    </row>
    <row r="4186" spans="14:14" ht="12" customHeight="1">
      <c r="N4186" s="216"/>
    </row>
    <row r="4187" spans="14:14" ht="12" customHeight="1">
      <c r="N4187" s="216"/>
    </row>
    <row r="4188" spans="14:14" ht="12" customHeight="1">
      <c r="N4188" s="216"/>
    </row>
    <row r="4189" spans="14:14" ht="12" customHeight="1">
      <c r="N4189" s="216"/>
    </row>
    <row r="4190" spans="14:14" ht="12" customHeight="1">
      <c r="N4190" s="216"/>
    </row>
    <row r="4191" spans="14:14" ht="12" customHeight="1">
      <c r="N4191" s="216"/>
    </row>
    <row r="4192" spans="14:14" ht="12" customHeight="1">
      <c r="N4192" s="216"/>
    </row>
    <row r="4193" spans="14:14" ht="12" customHeight="1">
      <c r="N4193" s="216"/>
    </row>
    <row r="4194" spans="14:14" ht="12" customHeight="1">
      <c r="N4194" s="216"/>
    </row>
    <row r="4195" spans="14:14" ht="12" customHeight="1">
      <c r="N4195" s="216"/>
    </row>
    <row r="4196" spans="14:14" ht="12" customHeight="1">
      <c r="N4196" s="216"/>
    </row>
    <row r="4197" spans="14:14" ht="12" customHeight="1">
      <c r="N4197" s="216"/>
    </row>
    <row r="4198" spans="14:14" ht="12" customHeight="1">
      <c r="N4198" s="216"/>
    </row>
    <row r="4199" spans="14:14" ht="12" customHeight="1">
      <c r="N4199" s="216"/>
    </row>
    <row r="4200" spans="14:14" ht="12" customHeight="1">
      <c r="N4200" s="216"/>
    </row>
    <row r="4201" spans="14:14" ht="12" customHeight="1">
      <c r="N4201" s="216"/>
    </row>
    <row r="4202" spans="14:14" ht="12" customHeight="1">
      <c r="N4202" s="216"/>
    </row>
    <row r="4203" spans="14:14" ht="12" customHeight="1">
      <c r="N4203" s="216"/>
    </row>
    <row r="4204" spans="14:14" ht="12" customHeight="1">
      <c r="N4204" s="216"/>
    </row>
    <row r="4205" spans="14:14" ht="12" customHeight="1">
      <c r="N4205" s="216"/>
    </row>
    <row r="4206" spans="14:14" ht="12" customHeight="1">
      <c r="N4206" s="216"/>
    </row>
    <row r="4207" spans="14:14" ht="12" customHeight="1">
      <c r="N4207" s="216"/>
    </row>
    <row r="4208" spans="14:14" ht="12" customHeight="1">
      <c r="N4208" s="216"/>
    </row>
    <row r="4209" spans="14:14" ht="12" customHeight="1">
      <c r="N4209" s="216"/>
    </row>
    <row r="4210" spans="14:14" ht="12" customHeight="1">
      <c r="N4210" s="216"/>
    </row>
    <row r="4211" spans="14:14" ht="12" customHeight="1">
      <c r="N4211" s="216"/>
    </row>
    <row r="4212" spans="14:14" ht="12" customHeight="1">
      <c r="N4212" s="216"/>
    </row>
    <row r="4213" spans="14:14" ht="12" customHeight="1">
      <c r="N4213" s="216"/>
    </row>
    <row r="4214" spans="14:14" ht="12" customHeight="1">
      <c r="N4214" s="216"/>
    </row>
    <row r="4215" spans="14:14" ht="12" customHeight="1">
      <c r="N4215" s="216"/>
    </row>
    <row r="4216" spans="14:14" ht="12" customHeight="1">
      <c r="N4216" s="216"/>
    </row>
    <row r="4217" spans="14:14" ht="12" customHeight="1">
      <c r="N4217" s="216"/>
    </row>
    <row r="4218" spans="14:14" ht="12" customHeight="1">
      <c r="N4218" s="216"/>
    </row>
    <row r="4219" spans="14:14" ht="12" customHeight="1">
      <c r="N4219" s="216"/>
    </row>
    <row r="4220" spans="14:14" ht="12" customHeight="1">
      <c r="N4220" s="216"/>
    </row>
    <row r="4221" spans="14:14" ht="12" customHeight="1">
      <c r="N4221" s="216"/>
    </row>
    <row r="4222" spans="14:14" ht="12" customHeight="1">
      <c r="N4222" s="216"/>
    </row>
    <row r="4223" spans="14:14" ht="12" customHeight="1">
      <c r="N4223" s="216"/>
    </row>
    <row r="4224" spans="14:14" ht="12" customHeight="1">
      <c r="N4224" s="216"/>
    </row>
    <row r="4225" spans="14:14" ht="12" customHeight="1">
      <c r="N4225" s="216"/>
    </row>
    <row r="4226" spans="14:14" ht="12" customHeight="1">
      <c r="N4226" s="216"/>
    </row>
    <row r="4227" spans="14:14" ht="12" customHeight="1">
      <c r="N4227" s="216"/>
    </row>
    <row r="4228" spans="14:14" ht="12" customHeight="1">
      <c r="N4228" s="216"/>
    </row>
    <row r="4229" spans="14:14" ht="12" customHeight="1">
      <c r="N4229" s="216"/>
    </row>
    <row r="4230" spans="14:14" ht="12" customHeight="1">
      <c r="N4230" s="216"/>
    </row>
    <row r="4231" spans="14:14" ht="12" customHeight="1">
      <c r="N4231" s="216"/>
    </row>
    <row r="4232" spans="14:14" ht="12" customHeight="1">
      <c r="N4232" s="216"/>
    </row>
    <row r="4233" spans="14:14" ht="12" customHeight="1">
      <c r="N4233" s="216"/>
    </row>
    <row r="4234" spans="14:14" ht="12" customHeight="1">
      <c r="N4234" s="216"/>
    </row>
    <row r="4235" spans="14:14" ht="12" customHeight="1">
      <c r="N4235" s="216"/>
    </row>
    <row r="4236" spans="14:14" ht="12" customHeight="1">
      <c r="N4236" s="216"/>
    </row>
    <row r="4237" spans="14:14" ht="12" customHeight="1">
      <c r="N4237" s="216"/>
    </row>
    <row r="4238" spans="14:14" ht="12" customHeight="1">
      <c r="N4238" s="216"/>
    </row>
    <row r="4239" spans="14:14" ht="12" customHeight="1">
      <c r="N4239" s="216"/>
    </row>
    <row r="4240" spans="14:14" ht="12" customHeight="1">
      <c r="N4240" s="216"/>
    </row>
    <row r="4241" spans="14:14" ht="12" customHeight="1">
      <c r="N4241" s="216"/>
    </row>
    <row r="4242" spans="14:14" ht="12" customHeight="1">
      <c r="N4242" s="216"/>
    </row>
    <row r="4243" spans="14:14" ht="12" customHeight="1">
      <c r="N4243" s="216"/>
    </row>
    <row r="4244" spans="14:14" ht="12" customHeight="1">
      <c r="N4244" s="216"/>
    </row>
    <row r="4245" spans="14:14" ht="12" customHeight="1">
      <c r="N4245" s="216"/>
    </row>
    <row r="4246" spans="14:14" ht="12" customHeight="1">
      <c r="N4246" s="216"/>
    </row>
    <row r="4247" spans="14:14" ht="12" customHeight="1">
      <c r="N4247" s="216"/>
    </row>
    <row r="4248" spans="14:14" ht="12" customHeight="1">
      <c r="N4248" s="216"/>
    </row>
    <row r="4249" spans="14:14" ht="12" customHeight="1">
      <c r="N4249" s="216"/>
    </row>
    <row r="4250" spans="14:14" ht="12" customHeight="1">
      <c r="N4250" s="216"/>
    </row>
    <row r="4251" spans="14:14" ht="12" customHeight="1">
      <c r="N4251" s="216"/>
    </row>
    <row r="4252" spans="14:14" ht="12" customHeight="1">
      <c r="N4252" s="216"/>
    </row>
    <row r="4253" spans="14:14" ht="12" customHeight="1">
      <c r="N4253" s="216"/>
    </row>
    <row r="4254" spans="14:14" ht="12" customHeight="1">
      <c r="N4254" s="216"/>
    </row>
    <row r="4255" spans="14:14" ht="12" customHeight="1">
      <c r="N4255" s="216"/>
    </row>
    <row r="4256" spans="14:14" ht="12" customHeight="1">
      <c r="N4256" s="216"/>
    </row>
    <row r="4257" spans="14:14" ht="12" customHeight="1">
      <c r="N4257" s="216"/>
    </row>
    <row r="4258" spans="14:14" ht="12" customHeight="1">
      <c r="N4258" s="216"/>
    </row>
    <row r="4259" spans="14:14" ht="12" customHeight="1">
      <c r="N4259" s="216"/>
    </row>
    <row r="4260" spans="14:14" ht="12" customHeight="1">
      <c r="N4260" s="216"/>
    </row>
    <row r="4261" spans="14:14" ht="12" customHeight="1">
      <c r="N4261" s="216"/>
    </row>
    <row r="4262" spans="14:14" ht="12" customHeight="1">
      <c r="N4262" s="216"/>
    </row>
    <row r="4263" spans="14:14" ht="12" customHeight="1">
      <c r="N4263" s="216"/>
    </row>
    <row r="4264" spans="14:14" ht="12" customHeight="1">
      <c r="N4264" s="216"/>
    </row>
    <row r="4265" spans="14:14" ht="12" customHeight="1">
      <c r="N4265" s="216"/>
    </row>
    <row r="4266" spans="14:14" ht="12" customHeight="1">
      <c r="N4266" s="216"/>
    </row>
    <row r="4267" spans="14:14" ht="12" customHeight="1">
      <c r="N4267" s="216"/>
    </row>
    <row r="4268" spans="14:14" ht="12" customHeight="1">
      <c r="N4268" s="216"/>
    </row>
    <row r="4269" spans="14:14" ht="12" customHeight="1">
      <c r="N4269" s="216"/>
    </row>
    <row r="4270" spans="14:14" ht="12" customHeight="1">
      <c r="N4270" s="216"/>
    </row>
    <row r="4271" spans="14:14" ht="12" customHeight="1">
      <c r="N4271" s="216"/>
    </row>
    <row r="4272" spans="14:14" ht="12" customHeight="1">
      <c r="N4272" s="216"/>
    </row>
    <row r="4273" spans="14:14" ht="12" customHeight="1">
      <c r="N4273" s="216"/>
    </row>
    <row r="4274" spans="14:14" ht="12" customHeight="1">
      <c r="N4274" s="216"/>
    </row>
    <row r="4275" spans="14:14" ht="12" customHeight="1">
      <c r="N4275" s="216"/>
    </row>
    <row r="4276" spans="14:14" ht="12" customHeight="1">
      <c r="N4276" s="216"/>
    </row>
    <row r="4277" spans="14:14" ht="12" customHeight="1">
      <c r="N4277" s="216"/>
    </row>
    <row r="4278" spans="14:14" ht="12" customHeight="1">
      <c r="N4278" s="216"/>
    </row>
    <row r="4279" spans="14:14" ht="12" customHeight="1">
      <c r="N4279" s="216"/>
    </row>
    <row r="4280" spans="14:14" ht="12" customHeight="1">
      <c r="N4280" s="216"/>
    </row>
    <row r="4281" spans="14:14" ht="12" customHeight="1">
      <c r="N4281" s="216"/>
    </row>
    <row r="4282" spans="14:14" ht="12" customHeight="1">
      <c r="N4282" s="216"/>
    </row>
    <row r="4283" spans="14:14" ht="12" customHeight="1">
      <c r="N4283" s="216"/>
    </row>
    <row r="4284" spans="14:14" ht="12" customHeight="1">
      <c r="N4284" s="216"/>
    </row>
    <row r="4285" spans="14:14" ht="12" customHeight="1">
      <c r="N4285" s="216"/>
    </row>
    <row r="4286" spans="14:14" ht="12" customHeight="1">
      <c r="N4286" s="216"/>
    </row>
    <row r="4287" spans="14:14" ht="12" customHeight="1">
      <c r="N4287" s="216"/>
    </row>
    <row r="4288" spans="14:14" ht="12" customHeight="1">
      <c r="N4288" s="216"/>
    </row>
    <row r="4289" spans="14:14" ht="12" customHeight="1">
      <c r="N4289" s="216"/>
    </row>
    <row r="4290" spans="14:14" ht="12" customHeight="1">
      <c r="N4290" s="216"/>
    </row>
    <row r="4291" spans="14:14" ht="12" customHeight="1">
      <c r="N4291" s="216"/>
    </row>
    <row r="4292" spans="14:14" ht="12" customHeight="1">
      <c r="N4292" s="216"/>
    </row>
    <row r="4293" spans="14:14" ht="12" customHeight="1">
      <c r="N4293" s="216"/>
    </row>
    <row r="4294" spans="14:14" ht="12" customHeight="1">
      <c r="N4294" s="216"/>
    </row>
    <row r="4295" spans="14:14" ht="12" customHeight="1">
      <c r="N4295" s="216"/>
    </row>
    <row r="4296" spans="14:14" ht="12" customHeight="1">
      <c r="N4296" s="216"/>
    </row>
    <row r="4297" spans="14:14" ht="12" customHeight="1">
      <c r="N4297" s="216"/>
    </row>
    <row r="4298" spans="14:14" ht="12" customHeight="1">
      <c r="N4298" s="216"/>
    </row>
    <row r="4299" spans="14:14" ht="12" customHeight="1">
      <c r="N4299" s="216"/>
    </row>
    <row r="4300" spans="14:14" ht="12" customHeight="1">
      <c r="N4300" s="216"/>
    </row>
    <row r="4301" spans="14:14" ht="12" customHeight="1">
      <c r="N4301" s="216"/>
    </row>
    <row r="4302" spans="14:14" ht="12" customHeight="1">
      <c r="N4302" s="216"/>
    </row>
    <row r="4303" spans="14:14" ht="12" customHeight="1">
      <c r="N4303" s="216"/>
    </row>
    <row r="4304" spans="14:14" ht="12" customHeight="1">
      <c r="N4304" s="216"/>
    </row>
    <row r="4305" spans="14:14" ht="12" customHeight="1">
      <c r="N4305" s="216"/>
    </row>
    <row r="4306" spans="14:14" ht="12" customHeight="1">
      <c r="N4306" s="216"/>
    </row>
    <row r="4307" spans="14:14" ht="12" customHeight="1">
      <c r="N4307" s="216"/>
    </row>
    <row r="4308" spans="14:14" ht="12" customHeight="1">
      <c r="N4308" s="216"/>
    </row>
    <row r="4309" spans="14:14" ht="12" customHeight="1">
      <c r="N4309" s="216"/>
    </row>
    <row r="4310" spans="14:14" ht="12" customHeight="1">
      <c r="N4310" s="216"/>
    </row>
    <row r="4311" spans="14:14" ht="12" customHeight="1">
      <c r="N4311" s="216"/>
    </row>
    <row r="4312" spans="14:14" ht="12" customHeight="1">
      <c r="N4312" s="216"/>
    </row>
    <row r="4313" spans="14:14" ht="12" customHeight="1">
      <c r="N4313" s="216"/>
    </row>
    <row r="4314" spans="14:14" ht="12" customHeight="1">
      <c r="N4314" s="216"/>
    </row>
    <row r="4315" spans="14:14" ht="12" customHeight="1">
      <c r="N4315" s="216"/>
    </row>
    <row r="4316" spans="14:14" ht="12" customHeight="1">
      <c r="N4316" s="216"/>
    </row>
    <row r="4317" spans="14:14" ht="12" customHeight="1">
      <c r="N4317" s="216"/>
    </row>
    <row r="4318" spans="14:14" ht="12" customHeight="1">
      <c r="N4318" s="216"/>
    </row>
    <row r="4319" spans="14:14" ht="12" customHeight="1">
      <c r="N4319" s="216"/>
    </row>
    <row r="4320" spans="14:14" ht="12" customHeight="1">
      <c r="N4320" s="216"/>
    </row>
    <row r="4321" spans="14:14" ht="12" customHeight="1">
      <c r="N4321" s="216"/>
    </row>
    <row r="4322" spans="14:14" ht="12" customHeight="1">
      <c r="N4322" s="216"/>
    </row>
    <row r="4323" spans="14:14" ht="12" customHeight="1">
      <c r="N4323" s="216"/>
    </row>
    <row r="4324" spans="14:14" ht="12" customHeight="1">
      <c r="N4324" s="216"/>
    </row>
    <row r="4325" spans="14:14" ht="12" customHeight="1">
      <c r="N4325" s="216"/>
    </row>
    <row r="4326" spans="14:14" ht="12" customHeight="1">
      <c r="N4326" s="216"/>
    </row>
    <row r="4327" spans="14:14" ht="12" customHeight="1">
      <c r="N4327" s="216"/>
    </row>
    <row r="4328" spans="14:14" ht="12" customHeight="1">
      <c r="N4328" s="216"/>
    </row>
    <row r="4329" spans="14:14" ht="12" customHeight="1">
      <c r="N4329" s="216"/>
    </row>
    <row r="4330" spans="14:14" ht="12" customHeight="1">
      <c r="N4330" s="216"/>
    </row>
    <row r="4331" spans="14:14" ht="12" customHeight="1">
      <c r="N4331" s="216"/>
    </row>
    <row r="4332" spans="14:14" ht="12" customHeight="1">
      <c r="N4332" s="216"/>
    </row>
    <row r="4333" spans="14:14" ht="12" customHeight="1">
      <c r="N4333" s="216"/>
    </row>
    <row r="4334" spans="14:14" ht="12" customHeight="1">
      <c r="N4334" s="216"/>
    </row>
    <row r="4335" spans="14:14" ht="12" customHeight="1">
      <c r="N4335" s="216"/>
    </row>
    <row r="4336" spans="14:14" ht="12" customHeight="1">
      <c r="N4336" s="216"/>
    </row>
    <row r="4337" spans="14:14" ht="12" customHeight="1">
      <c r="N4337" s="216"/>
    </row>
    <row r="4338" spans="14:14" ht="12" customHeight="1">
      <c r="N4338" s="216"/>
    </row>
    <row r="4339" spans="14:14" ht="12" customHeight="1">
      <c r="N4339" s="216"/>
    </row>
    <row r="4340" spans="14:14" ht="12" customHeight="1">
      <c r="N4340" s="216"/>
    </row>
    <row r="4341" spans="14:14" ht="12" customHeight="1">
      <c r="N4341" s="216"/>
    </row>
    <row r="4342" spans="14:14" ht="12" customHeight="1">
      <c r="N4342" s="216"/>
    </row>
    <row r="4343" spans="14:14" ht="12" customHeight="1">
      <c r="N4343" s="216"/>
    </row>
    <row r="4344" spans="14:14" ht="12" customHeight="1">
      <c r="N4344" s="216"/>
    </row>
    <row r="4345" spans="14:14" ht="12" customHeight="1">
      <c r="N4345" s="216"/>
    </row>
    <row r="4346" spans="14:14" ht="12" customHeight="1">
      <c r="N4346" s="216"/>
    </row>
    <row r="4347" spans="14:14" ht="12" customHeight="1">
      <c r="N4347" s="216"/>
    </row>
    <row r="4348" spans="14:14" ht="12" customHeight="1">
      <c r="N4348" s="216"/>
    </row>
    <row r="4349" spans="14:14" ht="12" customHeight="1">
      <c r="N4349" s="216"/>
    </row>
    <row r="4350" spans="14:14" ht="12" customHeight="1">
      <c r="N4350" s="216"/>
    </row>
    <row r="4351" spans="14:14" ht="12" customHeight="1">
      <c r="N4351" s="216"/>
    </row>
    <row r="4352" spans="14:14" ht="12" customHeight="1">
      <c r="N4352" s="216"/>
    </row>
    <row r="4353" spans="14:14" ht="12" customHeight="1">
      <c r="N4353" s="216"/>
    </row>
    <row r="4354" spans="14:14" ht="12" customHeight="1">
      <c r="N4354" s="216"/>
    </row>
    <row r="4355" spans="14:14" ht="12" customHeight="1">
      <c r="N4355" s="216"/>
    </row>
    <row r="4356" spans="14:14" ht="12" customHeight="1">
      <c r="N4356" s="216"/>
    </row>
    <row r="4357" spans="14:14" ht="12" customHeight="1">
      <c r="N4357" s="216"/>
    </row>
    <row r="4358" spans="14:14" ht="12" customHeight="1">
      <c r="N4358" s="216"/>
    </row>
    <row r="4359" spans="14:14" ht="12" customHeight="1">
      <c r="N4359" s="216"/>
    </row>
    <row r="4360" spans="14:14" ht="12" customHeight="1">
      <c r="N4360" s="216"/>
    </row>
    <row r="4361" spans="14:14" ht="12" customHeight="1">
      <c r="N4361" s="216"/>
    </row>
    <row r="4362" spans="14:14" ht="12" customHeight="1">
      <c r="N4362" s="216"/>
    </row>
    <row r="4363" spans="14:14" ht="12" customHeight="1">
      <c r="N4363" s="216"/>
    </row>
    <row r="4364" spans="14:14" ht="12" customHeight="1">
      <c r="N4364" s="216"/>
    </row>
    <row r="4365" spans="14:14" ht="12" customHeight="1">
      <c r="N4365" s="216"/>
    </row>
    <row r="4366" spans="14:14" ht="12" customHeight="1">
      <c r="N4366" s="216"/>
    </row>
    <row r="4367" spans="14:14" ht="12" customHeight="1">
      <c r="N4367" s="216"/>
    </row>
    <row r="4368" spans="14:14" ht="12" customHeight="1">
      <c r="N4368" s="216"/>
    </row>
    <row r="4369" spans="14:14" ht="12" customHeight="1">
      <c r="N4369" s="216"/>
    </row>
    <row r="4370" spans="14:14" ht="12" customHeight="1">
      <c r="N4370" s="216"/>
    </row>
    <row r="4371" spans="14:14" ht="12" customHeight="1">
      <c r="N4371" s="216"/>
    </row>
    <row r="4372" spans="14:14" ht="12" customHeight="1">
      <c r="N4372" s="216"/>
    </row>
    <row r="4373" spans="14:14" ht="12" customHeight="1">
      <c r="N4373" s="216"/>
    </row>
    <row r="4374" spans="14:14" ht="12" customHeight="1">
      <c r="N4374" s="216"/>
    </row>
    <row r="4375" spans="14:14" ht="12" customHeight="1">
      <c r="N4375" s="216"/>
    </row>
    <row r="4376" spans="14:14" ht="12" customHeight="1">
      <c r="N4376" s="216"/>
    </row>
    <row r="4377" spans="14:14" ht="12" customHeight="1">
      <c r="N4377" s="216"/>
    </row>
    <row r="4378" spans="14:14" ht="12" customHeight="1">
      <c r="N4378" s="216"/>
    </row>
    <row r="4379" spans="14:14" ht="12" customHeight="1">
      <c r="N4379" s="216"/>
    </row>
    <row r="4380" spans="14:14" ht="12" customHeight="1">
      <c r="N4380" s="216"/>
    </row>
    <row r="4381" spans="14:14" ht="12" customHeight="1">
      <c r="N4381" s="216"/>
    </row>
    <row r="4382" spans="14:14" ht="12" customHeight="1">
      <c r="N4382" s="216"/>
    </row>
    <row r="4383" spans="14:14" ht="12" customHeight="1">
      <c r="N4383" s="216"/>
    </row>
    <row r="4384" spans="14:14" ht="12" customHeight="1">
      <c r="N4384" s="216"/>
    </row>
    <row r="4385" spans="14:14" ht="12" customHeight="1">
      <c r="N4385" s="216"/>
    </row>
    <row r="4386" spans="14:14" ht="12" customHeight="1">
      <c r="N4386" s="216"/>
    </row>
    <row r="4387" spans="14:14" ht="12" customHeight="1">
      <c r="N4387" s="216"/>
    </row>
    <row r="4388" spans="14:14" ht="12" customHeight="1">
      <c r="N4388" s="216"/>
    </row>
    <row r="4389" spans="14:14" ht="12" customHeight="1">
      <c r="N4389" s="216"/>
    </row>
    <row r="4390" spans="14:14" ht="12" customHeight="1">
      <c r="N4390" s="216"/>
    </row>
    <row r="4391" spans="14:14" ht="12" customHeight="1">
      <c r="N4391" s="216"/>
    </row>
    <row r="4392" spans="14:14" ht="12" customHeight="1">
      <c r="N4392" s="216"/>
    </row>
    <row r="4393" spans="14:14" ht="12" customHeight="1">
      <c r="N4393" s="216"/>
    </row>
    <row r="4394" spans="14:14" ht="12" customHeight="1">
      <c r="N4394" s="216"/>
    </row>
    <row r="4395" spans="14:14" ht="12" customHeight="1">
      <c r="N4395" s="216"/>
    </row>
    <row r="4396" spans="14:14" ht="12" customHeight="1">
      <c r="N4396" s="216"/>
    </row>
    <row r="4397" spans="14:14" ht="12" customHeight="1">
      <c r="N4397" s="216"/>
    </row>
    <row r="4398" spans="14:14" ht="12" customHeight="1">
      <c r="N4398" s="216"/>
    </row>
    <row r="4399" spans="14:14" ht="12" customHeight="1">
      <c r="N4399" s="216"/>
    </row>
    <row r="4400" spans="14:14" ht="12" customHeight="1">
      <c r="N4400" s="216"/>
    </row>
    <row r="4401" spans="14:14" ht="12" customHeight="1">
      <c r="N4401" s="216"/>
    </row>
    <row r="4402" spans="14:14" ht="12" customHeight="1">
      <c r="N4402" s="216"/>
    </row>
    <row r="4403" spans="14:14" ht="12" customHeight="1">
      <c r="N4403" s="216"/>
    </row>
    <row r="4404" spans="14:14" ht="12" customHeight="1">
      <c r="N4404" s="216"/>
    </row>
    <row r="4405" spans="14:14" ht="12" customHeight="1">
      <c r="N4405" s="216"/>
    </row>
    <row r="4406" spans="14:14" ht="12" customHeight="1">
      <c r="N4406" s="216"/>
    </row>
    <row r="4407" spans="14:14" ht="12" customHeight="1">
      <c r="N4407" s="216"/>
    </row>
    <row r="4408" spans="14:14" ht="12" customHeight="1">
      <c r="N4408" s="216"/>
    </row>
    <row r="4409" spans="14:14" ht="12" customHeight="1">
      <c r="N4409" s="216"/>
    </row>
    <row r="4410" spans="14:14" ht="12" customHeight="1">
      <c r="N4410" s="216"/>
    </row>
    <row r="4411" spans="14:14" ht="12" customHeight="1">
      <c r="N4411" s="216"/>
    </row>
    <row r="4412" spans="14:14" ht="12" customHeight="1">
      <c r="N4412" s="216"/>
    </row>
    <row r="4413" spans="14:14" ht="12" customHeight="1">
      <c r="N4413" s="216"/>
    </row>
    <row r="4414" spans="14:14" ht="12" customHeight="1">
      <c r="N4414" s="216"/>
    </row>
    <row r="4415" spans="14:14" ht="12" customHeight="1">
      <c r="N4415" s="216"/>
    </row>
    <row r="4416" spans="14:14" ht="12" customHeight="1">
      <c r="N4416" s="216"/>
    </row>
    <row r="4417" spans="14:14" ht="12" customHeight="1">
      <c r="N4417" s="216"/>
    </row>
    <row r="4418" spans="14:14" ht="12" customHeight="1">
      <c r="N4418" s="216"/>
    </row>
    <row r="4419" spans="14:14" ht="12" customHeight="1">
      <c r="N4419" s="216"/>
    </row>
    <row r="4420" spans="14:14" ht="12" customHeight="1">
      <c r="N4420" s="216"/>
    </row>
    <row r="4421" spans="14:14" ht="12" customHeight="1">
      <c r="N4421" s="216"/>
    </row>
    <row r="4422" spans="14:14" ht="12" customHeight="1">
      <c r="N4422" s="216"/>
    </row>
    <row r="4423" spans="14:14" ht="12" customHeight="1">
      <c r="N4423" s="216"/>
    </row>
    <row r="4424" spans="14:14" ht="12" customHeight="1">
      <c r="N4424" s="216"/>
    </row>
    <row r="4425" spans="14:14" ht="12" customHeight="1">
      <c r="N4425" s="216"/>
    </row>
    <row r="4426" spans="14:14" ht="12" customHeight="1">
      <c r="N4426" s="216"/>
    </row>
    <row r="4427" spans="14:14" ht="12" customHeight="1">
      <c r="N4427" s="216"/>
    </row>
    <row r="4428" spans="14:14" ht="12" customHeight="1">
      <c r="N4428" s="216"/>
    </row>
    <row r="4429" spans="14:14" ht="12" customHeight="1">
      <c r="N4429" s="216"/>
    </row>
    <row r="4430" spans="14:14" ht="12" customHeight="1">
      <c r="N4430" s="216"/>
    </row>
    <row r="4431" spans="14:14" ht="12" customHeight="1">
      <c r="N4431" s="216"/>
    </row>
    <row r="4432" spans="14:14" ht="12" customHeight="1">
      <c r="N4432" s="216"/>
    </row>
    <row r="4433" spans="14:14" ht="12" customHeight="1">
      <c r="N4433" s="216"/>
    </row>
    <row r="4434" spans="14:14" ht="12" customHeight="1">
      <c r="N4434" s="216"/>
    </row>
    <row r="4435" spans="14:14" ht="12" customHeight="1">
      <c r="N4435" s="216"/>
    </row>
    <row r="4436" spans="14:14" ht="12" customHeight="1">
      <c r="N4436" s="216"/>
    </row>
    <row r="4437" spans="14:14" ht="12" customHeight="1">
      <c r="N4437" s="216"/>
    </row>
    <row r="4438" spans="14:14" ht="12" customHeight="1">
      <c r="N4438" s="216"/>
    </row>
    <row r="4439" spans="14:14" ht="12" customHeight="1">
      <c r="N4439" s="216"/>
    </row>
    <row r="4440" spans="14:14" ht="12" customHeight="1">
      <c r="N4440" s="216"/>
    </row>
    <row r="4441" spans="14:14" ht="12" customHeight="1">
      <c r="N4441" s="216"/>
    </row>
    <row r="4442" spans="14:14" ht="12" customHeight="1">
      <c r="N4442" s="216"/>
    </row>
    <row r="4443" spans="14:14" ht="12" customHeight="1">
      <c r="N4443" s="216"/>
    </row>
    <row r="4444" spans="14:14" ht="12" customHeight="1">
      <c r="N4444" s="216"/>
    </row>
    <row r="4445" spans="14:14" ht="12" customHeight="1">
      <c r="N4445" s="216"/>
    </row>
    <row r="4446" spans="14:14" ht="12" customHeight="1">
      <c r="N4446" s="216"/>
    </row>
    <row r="4447" spans="14:14" ht="12" customHeight="1">
      <c r="N4447" s="216"/>
    </row>
    <row r="4448" spans="14:14" ht="12" customHeight="1">
      <c r="N4448" s="216"/>
    </row>
    <row r="4449" spans="14:14" ht="12" customHeight="1">
      <c r="N4449" s="216"/>
    </row>
    <row r="4450" spans="14:14" ht="12" customHeight="1">
      <c r="N4450" s="216"/>
    </row>
    <row r="4451" spans="14:14" ht="12" customHeight="1">
      <c r="N4451" s="216"/>
    </row>
    <row r="4452" spans="14:14" ht="12" customHeight="1">
      <c r="N4452" s="216"/>
    </row>
    <row r="4453" spans="14:14" ht="12" customHeight="1">
      <c r="N4453" s="216"/>
    </row>
    <row r="4454" spans="14:14" ht="12" customHeight="1">
      <c r="N4454" s="216"/>
    </row>
    <row r="4455" spans="14:14" ht="12" customHeight="1">
      <c r="N4455" s="216"/>
    </row>
    <row r="4456" spans="14:14" ht="12" customHeight="1">
      <c r="N4456" s="216"/>
    </row>
    <row r="4457" spans="14:14" ht="12" customHeight="1">
      <c r="N4457" s="216"/>
    </row>
    <row r="4458" spans="14:14" ht="12" customHeight="1">
      <c r="N4458" s="216"/>
    </row>
    <row r="4459" spans="14:14" ht="12" customHeight="1">
      <c r="N4459" s="216"/>
    </row>
    <row r="4460" spans="14:14" ht="12" customHeight="1">
      <c r="N4460" s="216"/>
    </row>
    <row r="4461" spans="14:14" ht="12" customHeight="1">
      <c r="N4461" s="216"/>
    </row>
    <row r="4462" spans="14:14" ht="12" customHeight="1">
      <c r="N4462" s="216"/>
    </row>
    <row r="4463" spans="14:14" ht="12" customHeight="1">
      <c r="N4463" s="216"/>
    </row>
    <row r="4464" spans="14:14" ht="12" customHeight="1">
      <c r="N4464" s="216"/>
    </row>
    <row r="4465" spans="14:14" ht="12" customHeight="1">
      <c r="N4465" s="216"/>
    </row>
    <row r="4466" spans="14:14" ht="12" customHeight="1">
      <c r="N4466" s="216"/>
    </row>
    <row r="4467" spans="14:14" ht="12" customHeight="1">
      <c r="N4467" s="216"/>
    </row>
    <row r="4468" spans="14:14" ht="12" customHeight="1">
      <c r="N4468" s="216"/>
    </row>
    <row r="4469" spans="14:14" ht="12" customHeight="1">
      <c r="N4469" s="216"/>
    </row>
    <row r="4470" spans="14:14" ht="12" customHeight="1">
      <c r="N4470" s="216"/>
    </row>
    <row r="4471" spans="14:14" ht="12" customHeight="1">
      <c r="N4471" s="216"/>
    </row>
    <row r="4472" spans="14:14" ht="12" customHeight="1">
      <c r="N4472" s="216"/>
    </row>
    <row r="4473" spans="14:14" ht="12" customHeight="1">
      <c r="N4473" s="216"/>
    </row>
    <row r="4474" spans="14:14" ht="12" customHeight="1">
      <c r="N4474" s="216"/>
    </row>
    <row r="4475" spans="14:14" ht="12" customHeight="1">
      <c r="N4475" s="216"/>
    </row>
    <row r="4476" spans="14:14" ht="12" customHeight="1">
      <c r="N4476" s="216"/>
    </row>
    <row r="4477" spans="14:14" ht="12" customHeight="1">
      <c r="N4477" s="216"/>
    </row>
    <row r="4478" spans="14:14" ht="12" customHeight="1">
      <c r="N4478" s="216"/>
    </row>
    <row r="4479" spans="14:14" ht="12" customHeight="1">
      <c r="N4479" s="216"/>
    </row>
    <row r="4480" spans="14:14" ht="12" customHeight="1">
      <c r="N4480" s="216"/>
    </row>
    <row r="4481" spans="14:14" ht="12" customHeight="1">
      <c r="N4481" s="216"/>
    </row>
    <row r="4482" spans="14:14" ht="12" customHeight="1">
      <c r="N4482" s="216"/>
    </row>
    <row r="4483" spans="14:14" ht="12" customHeight="1">
      <c r="N4483" s="216"/>
    </row>
    <row r="4484" spans="14:14" ht="12" customHeight="1">
      <c r="N4484" s="216"/>
    </row>
    <row r="4485" spans="14:14" ht="12" customHeight="1">
      <c r="N4485" s="216"/>
    </row>
    <row r="4486" spans="14:14" ht="12" customHeight="1">
      <c r="N4486" s="216"/>
    </row>
    <row r="4487" spans="14:14" ht="12" customHeight="1">
      <c r="N4487" s="216"/>
    </row>
    <row r="4488" spans="14:14" ht="12" customHeight="1">
      <c r="N4488" s="216"/>
    </row>
    <row r="4489" spans="14:14" ht="12" customHeight="1">
      <c r="N4489" s="216"/>
    </row>
    <row r="4490" spans="14:14" ht="12" customHeight="1">
      <c r="N4490" s="216"/>
    </row>
    <row r="4491" spans="14:14" ht="12" customHeight="1">
      <c r="N4491" s="216"/>
    </row>
    <row r="4492" spans="14:14" ht="12" customHeight="1">
      <c r="N4492" s="216"/>
    </row>
    <row r="4493" spans="14:14" ht="12" customHeight="1">
      <c r="N4493" s="216"/>
    </row>
    <row r="4494" spans="14:14" ht="12" customHeight="1">
      <c r="N4494" s="216"/>
    </row>
    <row r="4495" spans="14:14" ht="12" customHeight="1">
      <c r="N4495" s="216"/>
    </row>
    <row r="4496" spans="14:14" ht="12" customHeight="1">
      <c r="N4496" s="216"/>
    </row>
    <row r="4497" spans="14:14" ht="12" customHeight="1">
      <c r="N4497" s="216"/>
    </row>
    <row r="4498" spans="14:14" ht="12" customHeight="1">
      <c r="N4498" s="216"/>
    </row>
    <row r="4499" spans="14:14" ht="12" customHeight="1">
      <c r="N4499" s="216"/>
    </row>
    <row r="4500" spans="14:14" ht="12" customHeight="1">
      <c r="N4500" s="216"/>
    </row>
    <row r="4501" spans="14:14" ht="12" customHeight="1">
      <c r="N4501" s="216"/>
    </row>
    <row r="4502" spans="14:14" ht="12" customHeight="1">
      <c r="N4502" s="216"/>
    </row>
    <row r="4503" spans="14:14" ht="12" customHeight="1">
      <c r="N4503" s="216"/>
    </row>
    <row r="4504" spans="14:14" ht="12" customHeight="1">
      <c r="N4504" s="216"/>
    </row>
    <row r="4505" spans="14:14" ht="12" customHeight="1">
      <c r="N4505" s="216"/>
    </row>
    <row r="4506" spans="14:14" ht="12" customHeight="1">
      <c r="N4506" s="216"/>
    </row>
    <row r="4507" spans="14:14" ht="12" customHeight="1">
      <c r="N4507" s="216"/>
    </row>
    <row r="4508" spans="14:14" ht="12" customHeight="1">
      <c r="N4508" s="216"/>
    </row>
    <row r="4509" spans="14:14" ht="12" customHeight="1">
      <c r="N4509" s="216"/>
    </row>
    <row r="4510" spans="14:14" ht="12" customHeight="1">
      <c r="N4510" s="216"/>
    </row>
    <row r="4511" spans="14:14" ht="12" customHeight="1">
      <c r="N4511" s="216"/>
    </row>
    <row r="4512" spans="14:14" ht="12" customHeight="1">
      <c r="N4512" s="216"/>
    </row>
    <row r="4513" spans="14:14" ht="12" customHeight="1">
      <c r="N4513" s="216"/>
    </row>
    <row r="4514" spans="14:14" ht="12" customHeight="1">
      <c r="N4514" s="216"/>
    </row>
    <row r="4515" spans="14:14" ht="12" customHeight="1">
      <c r="N4515" s="216"/>
    </row>
    <row r="4516" spans="14:14" ht="12" customHeight="1">
      <c r="N4516" s="216"/>
    </row>
    <row r="4517" spans="14:14" ht="12" customHeight="1">
      <c r="N4517" s="216"/>
    </row>
    <row r="4518" spans="14:14" ht="12" customHeight="1">
      <c r="N4518" s="216"/>
    </row>
    <row r="4519" spans="14:14" ht="12" customHeight="1">
      <c r="N4519" s="216"/>
    </row>
    <row r="4520" spans="14:14" ht="12" customHeight="1">
      <c r="N4520" s="216"/>
    </row>
    <row r="4521" spans="14:14" ht="12" customHeight="1">
      <c r="N4521" s="216"/>
    </row>
    <row r="4522" spans="14:14" ht="12" customHeight="1">
      <c r="N4522" s="216"/>
    </row>
    <row r="4523" spans="14:14" ht="12" customHeight="1">
      <c r="N4523" s="216"/>
    </row>
    <row r="4524" spans="14:14" ht="12" customHeight="1">
      <c r="N4524" s="216"/>
    </row>
    <row r="4525" spans="14:14" ht="12" customHeight="1">
      <c r="N4525" s="216"/>
    </row>
    <row r="4526" spans="14:14" ht="12" customHeight="1">
      <c r="N4526" s="216"/>
    </row>
    <row r="4527" spans="14:14" ht="12" customHeight="1">
      <c r="N4527" s="216"/>
    </row>
    <row r="4528" spans="14:14" ht="12" customHeight="1">
      <c r="N4528" s="216"/>
    </row>
    <row r="4529" spans="14:14" ht="12" customHeight="1">
      <c r="N4529" s="216"/>
    </row>
    <row r="4530" spans="14:14" ht="12" customHeight="1">
      <c r="N4530" s="216"/>
    </row>
    <row r="4531" spans="14:14" ht="12" customHeight="1">
      <c r="N4531" s="216"/>
    </row>
    <row r="4532" spans="14:14" ht="12" customHeight="1">
      <c r="N4532" s="216"/>
    </row>
    <row r="4533" spans="14:14" ht="12" customHeight="1">
      <c r="N4533" s="216"/>
    </row>
    <row r="4534" spans="14:14" ht="12" customHeight="1">
      <c r="N4534" s="216"/>
    </row>
    <row r="4535" spans="14:14" ht="12" customHeight="1">
      <c r="N4535" s="216"/>
    </row>
    <row r="4536" spans="14:14" ht="12" customHeight="1">
      <c r="N4536" s="216"/>
    </row>
    <row r="4537" spans="14:14" ht="12" customHeight="1">
      <c r="N4537" s="216"/>
    </row>
    <row r="4538" spans="14:14" ht="12" customHeight="1">
      <c r="N4538" s="216"/>
    </row>
    <row r="4539" spans="14:14" ht="12" customHeight="1">
      <c r="N4539" s="216"/>
    </row>
    <row r="4540" spans="14:14" ht="12" customHeight="1">
      <c r="N4540" s="216"/>
    </row>
    <row r="4541" spans="14:14" ht="12" customHeight="1">
      <c r="N4541" s="216"/>
    </row>
    <row r="4542" spans="14:14" ht="12" customHeight="1">
      <c r="N4542" s="216"/>
    </row>
    <row r="4543" spans="14:14" ht="12" customHeight="1">
      <c r="N4543" s="216"/>
    </row>
    <row r="4544" spans="14:14" ht="12" customHeight="1">
      <c r="N4544" s="216"/>
    </row>
    <row r="4545" spans="14:14" ht="12" customHeight="1">
      <c r="N4545" s="216"/>
    </row>
    <row r="4546" spans="14:14" ht="12" customHeight="1">
      <c r="N4546" s="216"/>
    </row>
    <row r="4547" spans="14:14" ht="12" customHeight="1">
      <c r="N4547" s="216"/>
    </row>
    <row r="4548" spans="14:14" ht="12" customHeight="1">
      <c r="N4548" s="216"/>
    </row>
    <row r="4549" spans="14:14" ht="12" customHeight="1">
      <c r="N4549" s="216"/>
    </row>
    <row r="4550" spans="14:14" ht="12" customHeight="1">
      <c r="N4550" s="216"/>
    </row>
    <row r="4551" spans="14:14" ht="12" customHeight="1">
      <c r="N4551" s="216"/>
    </row>
    <row r="4552" spans="14:14" ht="12" customHeight="1">
      <c r="N4552" s="216"/>
    </row>
    <row r="4553" spans="14:14" ht="12" customHeight="1">
      <c r="N4553" s="216"/>
    </row>
    <row r="4554" spans="14:14" ht="12" customHeight="1">
      <c r="N4554" s="216"/>
    </row>
    <row r="4555" spans="14:14" ht="12" customHeight="1">
      <c r="N4555" s="216"/>
    </row>
    <row r="4556" spans="14:14" ht="12" customHeight="1">
      <c r="N4556" s="216"/>
    </row>
    <row r="4557" spans="14:14" ht="12" customHeight="1">
      <c r="N4557" s="216"/>
    </row>
    <row r="4558" spans="14:14" ht="12" customHeight="1">
      <c r="N4558" s="216"/>
    </row>
    <row r="4559" spans="14:14" ht="12" customHeight="1">
      <c r="N4559" s="216"/>
    </row>
    <row r="4560" spans="14:14" ht="12" customHeight="1">
      <c r="N4560" s="216"/>
    </row>
    <row r="4561" spans="14:14" ht="12" customHeight="1">
      <c r="N4561" s="216"/>
    </row>
    <row r="4562" spans="14:14" ht="12" customHeight="1">
      <c r="N4562" s="216"/>
    </row>
    <row r="4563" spans="14:14" ht="12" customHeight="1">
      <c r="N4563" s="216"/>
    </row>
    <row r="4564" spans="14:14" ht="12" customHeight="1">
      <c r="N4564" s="216"/>
    </row>
    <row r="4565" spans="14:14" ht="12" customHeight="1">
      <c r="N4565" s="216"/>
    </row>
    <row r="4566" spans="14:14" ht="12" customHeight="1">
      <c r="N4566" s="216"/>
    </row>
    <row r="4567" spans="14:14" ht="12" customHeight="1">
      <c r="N4567" s="216"/>
    </row>
    <row r="4568" spans="14:14" ht="12" customHeight="1">
      <c r="N4568" s="216"/>
    </row>
    <row r="4569" spans="14:14" ht="12" customHeight="1">
      <c r="N4569" s="216"/>
    </row>
    <row r="4570" spans="14:14" ht="12" customHeight="1">
      <c r="N4570" s="216"/>
    </row>
    <row r="4571" spans="14:14" ht="12" customHeight="1">
      <c r="N4571" s="216"/>
    </row>
    <row r="4572" spans="14:14" ht="12" customHeight="1">
      <c r="N4572" s="216"/>
    </row>
    <row r="4573" spans="14:14" ht="12" customHeight="1">
      <c r="N4573" s="216"/>
    </row>
    <row r="4574" spans="14:14" ht="12" customHeight="1">
      <c r="N4574" s="216"/>
    </row>
    <row r="4575" spans="14:14" ht="12" customHeight="1">
      <c r="N4575" s="216"/>
    </row>
    <row r="4576" spans="14:14" ht="12" customHeight="1">
      <c r="N4576" s="216"/>
    </row>
    <row r="4577" spans="14:14" ht="12" customHeight="1">
      <c r="N4577" s="216"/>
    </row>
    <row r="4578" spans="14:14" ht="12" customHeight="1">
      <c r="N4578" s="216"/>
    </row>
    <row r="4579" spans="14:14" ht="12" customHeight="1">
      <c r="N4579" s="216"/>
    </row>
    <row r="4580" spans="14:14" ht="12" customHeight="1">
      <c r="N4580" s="216"/>
    </row>
    <row r="4581" spans="14:14" ht="12" customHeight="1">
      <c r="N4581" s="216"/>
    </row>
    <row r="4582" spans="14:14" ht="12" customHeight="1">
      <c r="N4582" s="216"/>
    </row>
    <row r="4583" spans="14:14" ht="12" customHeight="1">
      <c r="N4583" s="216"/>
    </row>
    <row r="4584" spans="14:14" ht="12" customHeight="1">
      <c r="N4584" s="216"/>
    </row>
    <row r="4585" spans="14:14" ht="12" customHeight="1">
      <c r="N4585" s="216"/>
    </row>
    <row r="4586" spans="14:14" ht="12" customHeight="1">
      <c r="N4586" s="216"/>
    </row>
    <row r="4587" spans="14:14" ht="12" customHeight="1">
      <c r="N4587" s="216"/>
    </row>
    <row r="4588" spans="14:14" ht="12" customHeight="1">
      <c r="N4588" s="216"/>
    </row>
    <row r="4589" spans="14:14" ht="12" customHeight="1">
      <c r="N4589" s="216"/>
    </row>
    <row r="4590" spans="14:14" ht="12" customHeight="1">
      <c r="N4590" s="216"/>
    </row>
    <row r="4591" spans="14:14" ht="12" customHeight="1">
      <c r="N4591" s="216"/>
    </row>
    <row r="4592" spans="14:14" ht="12" customHeight="1">
      <c r="N4592" s="216"/>
    </row>
    <row r="4593" spans="14:14" ht="12" customHeight="1">
      <c r="N4593" s="216"/>
    </row>
    <row r="4594" spans="14:14" ht="12" customHeight="1">
      <c r="N4594" s="216"/>
    </row>
    <row r="4595" spans="14:14" ht="12" customHeight="1">
      <c r="N4595" s="216"/>
    </row>
    <row r="4596" spans="14:14" ht="12" customHeight="1">
      <c r="N4596" s="216"/>
    </row>
    <row r="4597" spans="14:14" ht="12" customHeight="1">
      <c r="N4597" s="216"/>
    </row>
    <row r="4598" spans="14:14" ht="12" customHeight="1">
      <c r="N4598" s="216"/>
    </row>
    <row r="4599" spans="14:14" ht="12" customHeight="1">
      <c r="N4599" s="216"/>
    </row>
    <row r="4600" spans="14:14" ht="12" customHeight="1">
      <c r="N4600" s="216"/>
    </row>
    <row r="4601" spans="14:14" ht="12" customHeight="1">
      <c r="N4601" s="216"/>
    </row>
    <row r="4602" spans="14:14" ht="12" customHeight="1">
      <c r="N4602" s="216"/>
    </row>
    <row r="4603" spans="14:14" ht="12" customHeight="1">
      <c r="N4603" s="216"/>
    </row>
    <row r="4604" spans="14:14" ht="12" customHeight="1">
      <c r="N4604" s="216"/>
    </row>
    <row r="4605" spans="14:14" ht="12" customHeight="1">
      <c r="N4605" s="216"/>
    </row>
    <row r="4606" spans="14:14" ht="12" customHeight="1">
      <c r="N4606" s="216"/>
    </row>
    <row r="4607" spans="14:14" ht="12" customHeight="1">
      <c r="N4607" s="216"/>
    </row>
    <row r="4608" spans="14:14" ht="12" customHeight="1">
      <c r="N4608" s="216"/>
    </row>
    <row r="4609" spans="14:14" ht="12" customHeight="1">
      <c r="N4609" s="216"/>
    </row>
    <row r="4610" spans="14:14" ht="12" customHeight="1">
      <c r="N4610" s="216"/>
    </row>
    <row r="4611" spans="14:14" ht="12" customHeight="1">
      <c r="N4611" s="216"/>
    </row>
    <row r="4612" spans="14:14" ht="12" customHeight="1">
      <c r="N4612" s="216"/>
    </row>
    <row r="4613" spans="14:14" ht="12" customHeight="1">
      <c r="N4613" s="216"/>
    </row>
    <row r="4614" spans="14:14" ht="12" customHeight="1">
      <c r="N4614" s="216"/>
    </row>
    <row r="4615" spans="14:14" ht="12" customHeight="1">
      <c r="N4615" s="216"/>
    </row>
    <row r="4616" spans="14:14" ht="12" customHeight="1">
      <c r="N4616" s="216"/>
    </row>
    <row r="4617" spans="14:14" ht="12" customHeight="1">
      <c r="N4617" s="216"/>
    </row>
    <row r="4618" spans="14:14" ht="12" customHeight="1">
      <c r="N4618" s="216"/>
    </row>
    <row r="4619" spans="14:14" ht="12" customHeight="1">
      <c r="N4619" s="216"/>
    </row>
    <row r="4620" spans="14:14" ht="12" customHeight="1">
      <c r="N4620" s="216"/>
    </row>
    <row r="4621" spans="14:14" ht="12" customHeight="1">
      <c r="N4621" s="216"/>
    </row>
    <row r="4622" spans="14:14" ht="12" customHeight="1">
      <c r="N4622" s="216"/>
    </row>
    <row r="4623" spans="14:14" ht="12" customHeight="1">
      <c r="N4623" s="216"/>
    </row>
    <row r="4624" spans="14:14" ht="12" customHeight="1">
      <c r="N4624" s="216"/>
    </row>
    <row r="4625" spans="14:14" ht="12" customHeight="1">
      <c r="N4625" s="216"/>
    </row>
    <row r="4626" spans="14:14" ht="12" customHeight="1">
      <c r="N4626" s="216"/>
    </row>
    <row r="4627" spans="14:14" ht="12" customHeight="1">
      <c r="N4627" s="216"/>
    </row>
    <row r="4628" spans="14:14" ht="12" customHeight="1">
      <c r="N4628" s="216"/>
    </row>
    <row r="4629" spans="14:14" ht="12" customHeight="1">
      <c r="N4629" s="216"/>
    </row>
    <row r="4630" spans="14:14" ht="12" customHeight="1">
      <c r="N4630" s="216"/>
    </row>
    <row r="4631" spans="14:14" ht="12" customHeight="1">
      <c r="N4631" s="216"/>
    </row>
    <row r="4632" spans="14:14" ht="12" customHeight="1">
      <c r="N4632" s="216"/>
    </row>
    <row r="4633" spans="14:14" ht="12" customHeight="1">
      <c r="N4633" s="216"/>
    </row>
    <row r="4634" spans="14:14" ht="12" customHeight="1">
      <c r="N4634" s="216"/>
    </row>
    <row r="4635" spans="14:14" ht="12" customHeight="1">
      <c r="N4635" s="216"/>
    </row>
    <row r="4636" spans="14:14" ht="12" customHeight="1">
      <c r="N4636" s="216"/>
    </row>
    <row r="4637" spans="14:14" ht="12" customHeight="1">
      <c r="N4637" s="216"/>
    </row>
    <row r="4638" spans="14:14" ht="12" customHeight="1">
      <c r="N4638" s="216"/>
    </row>
    <row r="4639" spans="14:14" ht="12" customHeight="1">
      <c r="N4639" s="216"/>
    </row>
    <row r="4640" spans="14:14" ht="12" customHeight="1">
      <c r="N4640" s="216"/>
    </row>
    <row r="4641" spans="14:14" ht="12" customHeight="1">
      <c r="N4641" s="216"/>
    </row>
    <row r="4642" spans="14:14" ht="12" customHeight="1">
      <c r="N4642" s="216"/>
    </row>
    <row r="4643" spans="14:14" ht="12" customHeight="1">
      <c r="N4643" s="216"/>
    </row>
    <row r="4644" spans="14:14" ht="12" customHeight="1">
      <c r="N4644" s="216"/>
    </row>
    <row r="4645" spans="14:14" ht="12" customHeight="1">
      <c r="N4645" s="216"/>
    </row>
    <row r="4646" spans="14:14" ht="12" customHeight="1">
      <c r="N4646" s="216"/>
    </row>
    <row r="4647" spans="14:14" ht="12" customHeight="1">
      <c r="N4647" s="216"/>
    </row>
    <row r="4648" spans="14:14" ht="12" customHeight="1">
      <c r="N4648" s="216"/>
    </row>
    <row r="4649" spans="14:14" ht="12" customHeight="1">
      <c r="N4649" s="216"/>
    </row>
    <row r="4650" spans="14:14" ht="12" customHeight="1">
      <c r="N4650" s="216"/>
    </row>
    <row r="4651" spans="14:14" ht="12" customHeight="1">
      <c r="N4651" s="216"/>
    </row>
    <row r="4652" spans="14:14" ht="12" customHeight="1">
      <c r="N4652" s="216"/>
    </row>
    <row r="4653" spans="14:14" ht="12" customHeight="1">
      <c r="N4653" s="216"/>
    </row>
    <row r="4654" spans="14:14" ht="12" customHeight="1">
      <c r="N4654" s="216"/>
    </row>
    <row r="4655" spans="14:14" ht="12" customHeight="1">
      <c r="N4655" s="216"/>
    </row>
    <row r="4656" spans="14:14" ht="12" customHeight="1">
      <c r="N4656" s="216"/>
    </row>
    <row r="4657" spans="14:14" ht="12" customHeight="1">
      <c r="N4657" s="216"/>
    </row>
    <row r="4658" spans="14:14" ht="12" customHeight="1">
      <c r="N4658" s="216"/>
    </row>
    <row r="4659" spans="14:14" ht="12" customHeight="1">
      <c r="N4659" s="216"/>
    </row>
    <row r="4660" spans="14:14" ht="12" customHeight="1">
      <c r="N4660" s="216"/>
    </row>
    <row r="4661" spans="14:14" ht="12" customHeight="1">
      <c r="N4661" s="216"/>
    </row>
    <row r="4662" spans="14:14" ht="12" customHeight="1">
      <c r="N4662" s="216"/>
    </row>
    <row r="4663" spans="14:14" ht="12" customHeight="1">
      <c r="N4663" s="216"/>
    </row>
    <row r="4664" spans="14:14" ht="12" customHeight="1">
      <c r="N4664" s="216"/>
    </row>
    <row r="4665" spans="14:14" ht="12" customHeight="1">
      <c r="N4665" s="216"/>
    </row>
    <row r="4666" spans="14:14" ht="12" customHeight="1">
      <c r="N4666" s="216"/>
    </row>
    <row r="4667" spans="14:14" ht="12" customHeight="1">
      <c r="N4667" s="216"/>
    </row>
    <row r="4668" spans="14:14" ht="12" customHeight="1">
      <c r="N4668" s="216"/>
    </row>
    <row r="4669" spans="14:14" ht="12" customHeight="1">
      <c r="N4669" s="216"/>
    </row>
    <row r="4670" spans="14:14" ht="12" customHeight="1">
      <c r="N4670" s="216"/>
    </row>
    <row r="4671" spans="14:14" ht="12" customHeight="1">
      <c r="N4671" s="216"/>
    </row>
    <row r="4672" spans="14:14" ht="12" customHeight="1">
      <c r="N4672" s="216"/>
    </row>
    <row r="4673" spans="14:14" ht="12" customHeight="1">
      <c r="N4673" s="216"/>
    </row>
    <row r="4674" spans="14:14" ht="12" customHeight="1">
      <c r="N4674" s="216"/>
    </row>
    <row r="4675" spans="14:14" ht="12" customHeight="1">
      <c r="N4675" s="216"/>
    </row>
    <row r="4676" spans="14:14" ht="12" customHeight="1">
      <c r="N4676" s="216"/>
    </row>
    <row r="4677" spans="14:14" ht="12" customHeight="1">
      <c r="N4677" s="216"/>
    </row>
    <row r="4678" spans="14:14" ht="12" customHeight="1">
      <c r="N4678" s="216"/>
    </row>
    <row r="4679" spans="14:14" ht="12" customHeight="1">
      <c r="N4679" s="216"/>
    </row>
    <row r="4680" spans="14:14" ht="12" customHeight="1">
      <c r="N4680" s="216"/>
    </row>
    <row r="4681" spans="14:14" ht="12" customHeight="1">
      <c r="N4681" s="216"/>
    </row>
    <row r="4682" spans="14:14" ht="12" customHeight="1">
      <c r="N4682" s="216"/>
    </row>
    <row r="4683" spans="14:14" ht="12" customHeight="1">
      <c r="N4683" s="216"/>
    </row>
    <row r="4684" spans="14:14" ht="12" customHeight="1">
      <c r="N4684" s="216"/>
    </row>
    <row r="4685" spans="14:14" ht="12" customHeight="1">
      <c r="N4685" s="216"/>
    </row>
    <row r="4686" spans="14:14" ht="12" customHeight="1">
      <c r="N4686" s="216"/>
    </row>
    <row r="4687" spans="14:14" ht="12" customHeight="1">
      <c r="N4687" s="216"/>
    </row>
    <row r="4688" spans="14:14" ht="12" customHeight="1">
      <c r="N4688" s="216"/>
    </row>
    <row r="4689" spans="14:14" ht="12" customHeight="1">
      <c r="N4689" s="216"/>
    </row>
    <row r="4690" spans="14:14" ht="12" customHeight="1">
      <c r="N4690" s="216"/>
    </row>
    <row r="4691" spans="14:14" ht="12" customHeight="1">
      <c r="N4691" s="216"/>
    </row>
    <row r="4692" spans="14:14" ht="12" customHeight="1">
      <c r="N4692" s="216"/>
    </row>
    <row r="4693" spans="14:14" ht="12" customHeight="1">
      <c r="N4693" s="216"/>
    </row>
    <row r="4694" spans="14:14" ht="12" customHeight="1">
      <c r="N4694" s="216"/>
    </row>
    <row r="4695" spans="14:14" ht="12" customHeight="1">
      <c r="N4695" s="216"/>
    </row>
    <row r="4696" spans="14:14" ht="12" customHeight="1">
      <c r="N4696" s="216"/>
    </row>
    <row r="4697" spans="14:14" ht="12" customHeight="1">
      <c r="N4697" s="216"/>
    </row>
    <row r="4698" spans="14:14" ht="12" customHeight="1">
      <c r="N4698" s="216"/>
    </row>
    <row r="4699" spans="14:14" ht="12" customHeight="1">
      <c r="N4699" s="216"/>
    </row>
    <row r="4700" spans="14:14" ht="12" customHeight="1">
      <c r="N4700" s="216"/>
    </row>
    <row r="4701" spans="14:14" ht="12" customHeight="1">
      <c r="N4701" s="216"/>
    </row>
    <row r="4702" spans="14:14" ht="12" customHeight="1">
      <c r="N4702" s="216"/>
    </row>
    <row r="4703" spans="14:14" ht="12" customHeight="1">
      <c r="N4703" s="216"/>
    </row>
    <row r="4704" spans="14:14" ht="12" customHeight="1">
      <c r="N4704" s="216"/>
    </row>
    <row r="4705" spans="14:14" ht="12" customHeight="1">
      <c r="N4705" s="216"/>
    </row>
    <row r="4706" spans="14:14" ht="12" customHeight="1">
      <c r="N4706" s="216"/>
    </row>
    <row r="4707" spans="14:14" ht="12" customHeight="1">
      <c r="N4707" s="216"/>
    </row>
    <row r="4708" spans="14:14" ht="12" customHeight="1">
      <c r="N4708" s="216"/>
    </row>
    <row r="4709" spans="14:14" ht="12" customHeight="1">
      <c r="N4709" s="216"/>
    </row>
    <row r="4710" spans="14:14" ht="12" customHeight="1">
      <c r="N4710" s="216"/>
    </row>
    <row r="4711" spans="14:14" ht="12" customHeight="1">
      <c r="N4711" s="216"/>
    </row>
    <row r="4712" spans="14:14" ht="12" customHeight="1">
      <c r="N4712" s="216"/>
    </row>
    <row r="4713" spans="14:14" ht="12" customHeight="1">
      <c r="N4713" s="216"/>
    </row>
    <row r="4714" spans="14:14" ht="12" customHeight="1">
      <c r="N4714" s="216"/>
    </row>
    <row r="4715" spans="14:14" ht="12" customHeight="1">
      <c r="N4715" s="216"/>
    </row>
    <row r="4716" spans="14:14" ht="12" customHeight="1">
      <c r="N4716" s="216"/>
    </row>
    <row r="4717" spans="14:14" ht="12" customHeight="1">
      <c r="N4717" s="216"/>
    </row>
    <row r="4718" spans="14:14" ht="12" customHeight="1">
      <c r="N4718" s="216"/>
    </row>
    <row r="4719" spans="14:14" ht="12" customHeight="1">
      <c r="N4719" s="216"/>
    </row>
    <row r="4720" spans="14:14" ht="12" customHeight="1">
      <c r="N4720" s="216"/>
    </row>
    <row r="4721" spans="14:14" ht="12" customHeight="1">
      <c r="N4721" s="216"/>
    </row>
    <row r="4722" spans="14:14" ht="12" customHeight="1">
      <c r="N4722" s="216"/>
    </row>
    <row r="4723" spans="14:14" ht="12" customHeight="1">
      <c r="N4723" s="216"/>
    </row>
    <row r="4724" spans="14:14" ht="12" customHeight="1">
      <c r="N4724" s="216"/>
    </row>
    <row r="4725" spans="14:14" ht="12" customHeight="1">
      <c r="N4725" s="216"/>
    </row>
    <row r="4726" spans="14:14" ht="12" customHeight="1">
      <c r="N4726" s="216"/>
    </row>
    <row r="4727" spans="14:14" ht="12" customHeight="1">
      <c r="N4727" s="216"/>
    </row>
    <row r="4728" spans="14:14" ht="12" customHeight="1">
      <c r="N4728" s="216"/>
    </row>
    <row r="4729" spans="14:14" ht="12" customHeight="1">
      <c r="N4729" s="216"/>
    </row>
    <row r="4730" spans="14:14" ht="12" customHeight="1">
      <c r="N4730" s="216"/>
    </row>
    <row r="4731" spans="14:14" ht="12" customHeight="1">
      <c r="N4731" s="216"/>
    </row>
    <row r="4732" spans="14:14" ht="12" customHeight="1">
      <c r="N4732" s="216"/>
    </row>
    <row r="4733" spans="14:14" ht="12" customHeight="1">
      <c r="N4733" s="216"/>
    </row>
    <row r="4734" spans="14:14" ht="12" customHeight="1">
      <c r="N4734" s="216"/>
    </row>
    <row r="4735" spans="14:14" ht="12" customHeight="1">
      <c r="N4735" s="216"/>
    </row>
    <row r="4736" spans="14:14" ht="12" customHeight="1">
      <c r="N4736" s="216"/>
    </row>
    <row r="4737" spans="14:14" ht="12" customHeight="1">
      <c r="N4737" s="216"/>
    </row>
    <row r="4738" spans="14:14" ht="12" customHeight="1">
      <c r="N4738" s="216"/>
    </row>
    <row r="4739" spans="14:14" ht="12" customHeight="1">
      <c r="N4739" s="216"/>
    </row>
    <row r="4740" spans="14:14" ht="12" customHeight="1">
      <c r="N4740" s="216"/>
    </row>
    <row r="4741" spans="14:14" ht="12" customHeight="1">
      <c r="N4741" s="216"/>
    </row>
    <row r="4742" spans="14:14" ht="12" customHeight="1">
      <c r="N4742" s="216"/>
    </row>
    <row r="4743" spans="14:14" ht="12" customHeight="1">
      <c r="N4743" s="216"/>
    </row>
    <row r="4744" spans="14:14" ht="12" customHeight="1">
      <c r="N4744" s="216"/>
    </row>
    <row r="4745" spans="14:14" ht="12" customHeight="1">
      <c r="N4745" s="216"/>
    </row>
    <row r="4746" spans="14:14" ht="12" customHeight="1">
      <c r="N4746" s="216"/>
    </row>
    <row r="4747" spans="14:14" ht="12" customHeight="1">
      <c r="N4747" s="216"/>
    </row>
    <row r="4748" spans="14:14" ht="12" customHeight="1">
      <c r="N4748" s="216"/>
    </row>
    <row r="4749" spans="14:14" ht="12" customHeight="1">
      <c r="N4749" s="216"/>
    </row>
    <row r="4750" spans="14:14" ht="12" customHeight="1">
      <c r="N4750" s="216"/>
    </row>
    <row r="4751" spans="14:14" ht="12" customHeight="1">
      <c r="N4751" s="216"/>
    </row>
    <row r="4752" spans="14:14" ht="12" customHeight="1">
      <c r="N4752" s="216"/>
    </row>
    <row r="4753" spans="14:14" ht="12" customHeight="1">
      <c r="N4753" s="216"/>
    </row>
    <row r="4754" spans="14:14" ht="12" customHeight="1">
      <c r="N4754" s="216"/>
    </row>
    <row r="4755" spans="14:14" ht="12" customHeight="1">
      <c r="N4755" s="216"/>
    </row>
    <row r="4756" spans="14:14" ht="12" customHeight="1">
      <c r="N4756" s="216"/>
    </row>
    <row r="4757" spans="14:14" ht="12" customHeight="1">
      <c r="N4757" s="216"/>
    </row>
    <row r="4758" spans="14:14" ht="12" customHeight="1">
      <c r="N4758" s="216"/>
    </row>
    <row r="4759" spans="14:14" ht="12" customHeight="1">
      <c r="N4759" s="216"/>
    </row>
    <row r="4760" spans="14:14" ht="12" customHeight="1">
      <c r="N4760" s="216"/>
    </row>
    <row r="4761" spans="14:14" ht="12" customHeight="1">
      <c r="N4761" s="216"/>
    </row>
    <row r="4762" spans="14:14" ht="12" customHeight="1">
      <c r="N4762" s="216"/>
    </row>
    <row r="4763" spans="14:14" ht="12" customHeight="1">
      <c r="N4763" s="216"/>
    </row>
    <row r="4764" spans="14:14" ht="12" customHeight="1">
      <c r="N4764" s="216"/>
    </row>
    <row r="4765" spans="14:14" ht="12" customHeight="1">
      <c r="N4765" s="216"/>
    </row>
    <row r="4766" spans="14:14" ht="12" customHeight="1">
      <c r="N4766" s="216"/>
    </row>
    <row r="4767" spans="14:14" ht="12" customHeight="1">
      <c r="N4767" s="216"/>
    </row>
    <row r="4768" spans="14:14" ht="12" customHeight="1">
      <c r="N4768" s="216"/>
    </row>
    <row r="4769" spans="14:14" ht="12" customHeight="1">
      <c r="N4769" s="216"/>
    </row>
    <row r="4770" spans="14:14" ht="12" customHeight="1">
      <c r="N4770" s="216"/>
    </row>
    <row r="4771" spans="14:14" ht="12" customHeight="1">
      <c r="N4771" s="216"/>
    </row>
    <row r="4772" spans="14:14" ht="12" customHeight="1">
      <c r="N4772" s="216"/>
    </row>
    <row r="4773" spans="14:14" ht="12" customHeight="1">
      <c r="N4773" s="216"/>
    </row>
    <row r="4774" spans="14:14" ht="12" customHeight="1">
      <c r="N4774" s="216"/>
    </row>
    <row r="4775" spans="14:14" ht="12" customHeight="1">
      <c r="N4775" s="216"/>
    </row>
    <row r="4776" spans="14:14" ht="12" customHeight="1">
      <c r="N4776" s="216"/>
    </row>
    <row r="4777" spans="14:14" ht="12" customHeight="1">
      <c r="N4777" s="216"/>
    </row>
    <row r="4778" spans="14:14" ht="12" customHeight="1">
      <c r="N4778" s="216"/>
    </row>
    <row r="4779" spans="14:14" ht="12" customHeight="1">
      <c r="N4779" s="216"/>
    </row>
    <row r="4780" spans="14:14" ht="12" customHeight="1">
      <c r="N4780" s="216"/>
    </row>
    <row r="4781" spans="14:14" ht="12" customHeight="1">
      <c r="N4781" s="216"/>
    </row>
    <row r="4782" spans="14:14" ht="12" customHeight="1">
      <c r="N4782" s="216"/>
    </row>
    <row r="4783" spans="14:14" ht="12" customHeight="1">
      <c r="N4783" s="216"/>
    </row>
    <row r="4784" spans="14:14" ht="12" customHeight="1">
      <c r="N4784" s="216"/>
    </row>
    <row r="4785" spans="14:14" ht="12" customHeight="1">
      <c r="N4785" s="216"/>
    </row>
    <row r="4786" spans="14:14" ht="12" customHeight="1">
      <c r="N4786" s="216"/>
    </row>
    <row r="4787" spans="14:14" ht="12" customHeight="1">
      <c r="N4787" s="216"/>
    </row>
    <row r="4788" spans="14:14" ht="12" customHeight="1">
      <c r="N4788" s="216"/>
    </row>
    <row r="4789" spans="14:14" ht="12" customHeight="1">
      <c r="N4789" s="216"/>
    </row>
    <row r="4790" spans="14:14" ht="12" customHeight="1">
      <c r="N4790" s="216"/>
    </row>
    <row r="4791" spans="14:14" ht="12" customHeight="1">
      <c r="N4791" s="216"/>
    </row>
    <row r="4792" spans="14:14" ht="12" customHeight="1">
      <c r="N4792" s="216"/>
    </row>
    <row r="4793" spans="14:14" ht="12" customHeight="1">
      <c r="N4793" s="216"/>
    </row>
    <row r="4794" spans="14:14" ht="12" customHeight="1">
      <c r="N4794" s="216"/>
    </row>
    <row r="4795" spans="14:14" ht="12" customHeight="1">
      <c r="N4795" s="216"/>
    </row>
    <row r="4796" spans="14:14" ht="12" customHeight="1">
      <c r="N4796" s="216"/>
    </row>
    <row r="4797" spans="14:14" ht="12" customHeight="1">
      <c r="N4797" s="216"/>
    </row>
    <row r="4798" spans="14:14" ht="12" customHeight="1">
      <c r="N4798" s="216"/>
    </row>
    <row r="4799" spans="14:14" ht="12" customHeight="1">
      <c r="N4799" s="216"/>
    </row>
    <row r="4800" spans="14:14" ht="12" customHeight="1">
      <c r="N4800" s="216"/>
    </row>
    <row r="4801" spans="14:14" ht="12" customHeight="1">
      <c r="N4801" s="216"/>
    </row>
    <row r="4802" spans="14:14" ht="12" customHeight="1">
      <c r="N4802" s="216"/>
    </row>
    <row r="4803" spans="14:14" ht="12" customHeight="1">
      <c r="N4803" s="216"/>
    </row>
    <row r="4804" spans="14:14" ht="12" customHeight="1">
      <c r="N4804" s="216"/>
    </row>
    <row r="4805" spans="14:14" ht="12" customHeight="1">
      <c r="N4805" s="216"/>
    </row>
    <row r="4806" spans="14:14" ht="12" customHeight="1">
      <c r="N4806" s="216"/>
    </row>
    <row r="4807" spans="14:14" ht="12" customHeight="1">
      <c r="N4807" s="216"/>
    </row>
    <row r="4808" spans="14:14" ht="12" customHeight="1">
      <c r="N4808" s="216"/>
    </row>
    <row r="4809" spans="14:14" ht="12" customHeight="1">
      <c r="N4809" s="216"/>
    </row>
    <row r="4810" spans="14:14" ht="12" customHeight="1">
      <c r="N4810" s="216"/>
    </row>
    <row r="4811" spans="14:14" ht="12" customHeight="1">
      <c r="N4811" s="216"/>
    </row>
    <row r="4812" spans="14:14" ht="12" customHeight="1">
      <c r="N4812" s="216"/>
    </row>
    <row r="4813" spans="14:14" ht="12" customHeight="1">
      <c r="N4813" s="216"/>
    </row>
    <row r="4814" spans="14:14" ht="12" customHeight="1">
      <c r="N4814" s="216"/>
    </row>
    <row r="4815" spans="14:14" ht="12" customHeight="1">
      <c r="N4815" s="216"/>
    </row>
    <row r="4816" spans="14:14" ht="12" customHeight="1">
      <c r="N4816" s="216"/>
    </row>
    <row r="4817" spans="14:14" ht="12" customHeight="1">
      <c r="N4817" s="216"/>
    </row>
    <row r="4818" spans="14:14" ht="12" customHeight="1">
      <c r="N4818" s="216"/>
    </row>
    <row r="4819" spans="14:14" ht="12" customHeight="1">
      <c r="N4819" s="216"/>
    </row>
    <row r="4820" spans="14:14" ht="12" customHeight="1">
      <c r="N4820" s="216"/>
    </row>
    <row r="4821" spans="14:14" ht="12" customHeight="1">
      <c r="N4821" s="216"/>
    </row>
    <row r="4822" spans="14:14" ht="12" customHeight="1">
      <c r="N4822" s="216"/>
    </row>
    <row r="4823" spans="14:14" ht="12" customHeight="1">
      <c r="N4823" s="216"/>
    </row>
    <row r="4824" spans="14:14" ht="12" customHeight="1">
      <c r="N4824" s="216"/>
    </row>
    <row r="4825" spans="14:14" ht="12" customHeight="1">
      <c r="N4825" s="216"/>
    </row>
    <row r="4826" spans="14:14" ht="12" customHeight="1">
      <c r="N4826" s="216"/>
    </row>
    <row r="4827" spans="14:14" ht="12" customHeight="1">
      <c r="N4827" s="216"/>
    </row>
    <row r="4828" spans="14:14" ht="12" customHeight="1">
      <c r="N4828" s="216"/>
    </row>
    <row r="4829" spans="14:14" ht="12" customHeight="1">
      <c r="N4829" s="216"/>
    </row>
    <row r="4830" spans="14:14" ht="12" customHeight="1">
      <c r="N4830" s="216"/>
    </row>
    <row r="4831" spans="14:14" ht="12" customHeight="1">
      <c r="N4831" s="216"/>
    </row>
    <row r="4832" spans="14:14" ht="12" customHeight="1">
      <c r="N4832" s="216"/>
    </row>
    <row r="4833" spans="14:14" ht="12" customHeight="1">
      <c r="N4833" s="216"/>
    </row>
    <row r="4834" spans="14:14" ht="12" customHeight="1">
      <c r="N4834" s="216"/>
    </row>
    <row r="4835" spans="14:14" ht="12" customHeight="1">
      <c r="N4835" s="216"/>
    </row>
    <row r="4836" spans="14:14" ht="12" customHeight="1">
      <c r="N4836" s="216"/>
    </row>
    <row r="4837" spans="14:14" ht="12" customHeight="1">
      <c r="N4837" s="216"/>
    </row>
    <row r="4838" spans="14:14" ht="12" customHeight="1">
      <c r="N4838" s="216"/>
    </row>
    <row r="4839" spans="14:14" ht="12" customHeight="1">
      <c r="N4839" s="216"/>
    </row>
    <row r="4840" spans="14:14" ht="12" customHeight="1">
      <c r="N4840" s="216"/>
    </row>
    <row r="4841" spans="14:14" ht="12" customHeight="1">
      <c r="N4841" s="216"/>
    </row>
    <row r="4842" spans="14:14" ht="12" customHeight="1">
      <c r="N4842" s="216"/>
    </row>
    <row r="4843" spans="14:14" ht="12" customHeight="1">
      <c r="N4843" s="216"/>
    </row>
    <row r="4844" spans="14:14" ht="12" customHeight="1">
      <c r="N4844" s="216"/>
    </row>
    <row r="4845" spans="14:14" ht="12" customHeight="1">
      <c r="N4845" s="216"/>
    </row>
    <row r="4846" spans="14:14" ht="12" customHeight="1">
      <c r="N4846" s="216"/>
    </row>
    <row r="4847" spans="14:14" ht="12" customHeight="1">
      <c r="N4847" s="216"/>
    </row>
    <row r="4848" spans="14:14" ht="12" customHeight="1">
      <c r="N4848" s="216"/>
    </row>
    <row r="4849" spans="14:14" ht="12" customHeight="1">
      <c r="N4849" s="216"/>
    </row>
    <row r="4850" spans="14:14" ht="12" customHeight="1">
      <c r="N4850" s="216"/>
    </row>
    <row r="4851" spans="14:14" ht="12" customHeight="1">
      <c r="N4851" s="216"/>
    </row>
    <row r="4852" spans="14:14" ht="12" customHeight="1">
      <c r="N4852" s="216"/>
    </row>
    <row r="4853" spans="14:14" ht="12" customHeight="1">
      <c r="N4853" s="216"/>
    </row>
    <row r="4854" spans="14:14" ht="12" customHeight="1">
      <c r="N4854" s="216"/>
    </row>
    <row r="4855" spans="14:14" ht="12" customHeight="1">
      <c r="N4855" s="216"/>
    </row>
    <row r="4856" spans="14:14" ht="12" customHeight="1">
      <c r="N4856" s="216"/>
    </row>
    <row r="4857" spans="14:14" ht="12" customHeight="1">
      <c r="N4857" s="216"/>
    </row>
    <row r="4858" spans="14:14" ht="12" customHeight="1">
      <c r="N4858" s="216"/>
    </row>
    <row r="4859" spans="14:14" ht="12" customHeight="1">
      <c r="N4859" s="216"/>
    </row>
    <row r="4860" spans="14:14" ht="12" customHeight="1">
      <c r="N4860" s="216"/>
    </row>
    <row r="4861" spans="14:14" ht="12" customHeight="1">
      <c r="N4861" s="216"/>
    </row>
    <row r="4862" spans="14:14" ht="12" customHeight="1">
      <c r="N4862" s="216"/>
    </row>
    <row r="4863" spans="14:14" ht="12" customHeight="1">
      <c r="N4863" s="216"/>
    </row>
    <row r="4864" spans="14:14" ht="12" customHeight="1">
      <c r="N4864" s="216"/>
    </row>
    <row r="4865" spans="14:14" ht="12" customHeight="1">
      <c r="N4865" s="216"/>
    </row>
    <row r="4866" spans="14:14" ht="12" customHeight="1">
      <c r="N4866" s="216"/>
    </row>
    <row r="4867" spans="14:14" ht="12" customHeight="1">
      <c r="N4867" s="216"/>
    </row>
    <row r="4868" spans="14:14" ht="12" customHeight="1">
      <c r="N4868" s="216"/>
    </row>
    <row r="4869" spans="14:14" ht="12" customHeight="1">
      <c r="N4869" s="216"/>
    </row>
    <row r="4870" spans="14:14" ht="12" customHeight="1">
      <c r="N4870" s="216"/>
    </row>
    <row r="4871" spans="14:14" ht="12" customHeight="1">
      <c r="N4871" s="216"/>
    </row>
    <row r="4872" spans="14:14" ht="12" customHeight="1">
      <c r="N4872" s="216"/>
    </row>
    <row r="4873" spans="14:14" ht="12" customHeight="1">
      <c r="N4873" s="216"/>
    </row>
    <row r="4874" spans="14:14" ht="12" customHeight="1">
      <c r="N4874" s="216"/>
    </row>
    <row r="4875" spans="14:14" ht="12" customHeight="1">
      <c r="N4875" s="216"/>
    </row>
    <row r="4876" spans="14:14" ht="12" customHeight="1">
      <c r="N4876" s="216"/>
    </row>
    <row r="4877" spans="14:14" ht="12" customHeight="1">
      <c r="N4877" s="216"/>
    </row>
    <row r="4878" spans="14:14" ht="12" customHeight="1">
      <c r="N4878" s="216"/>
    </row>
    <row r="4879" spans="14:14" ht="12" customHeight="1">
      <c r="N4879" s="216"/>
    </row>
    <row r="4880" spans="14:14" ht="12" customHeight="1">
      <c r="N4880" s="216"/>
    </row>
    <row r="4881" spans="14:14" ht="12" customHeight="1">
      <c r="N4881" s="216"/>
    </row>
    <row r="4882" spans="14:14" ht="12" customHeight="1">
      <c r="N4882" s="216"/>
    </row>
    <row r="4883" spans="14:14" ht="12" customHeight="1">
      <c r="N4883" s="216"/>
    </row>
    <row r="4884" spans="14:14" ht="12" customHeight="1">
      <c r="N4884" s="216"/>
    </row>
    <row r="4885" spans="14:14" ht="12" customHeight="1">
      <c r="N4885" s="216"/>
    </row>
    <row r="4886" spans="14:14" ht="12" customHeight="1">
      <c r="N4886" s="216"/>
    </row>
    <row r="4887" spans="14:14" ht="12" customHeight="1">
      <c r="N4887" s="216"/>
    </row>
    <row r="4888" spans="14:14" ht="12" customHeight="1">
      <c r="N4888" s="216"/>
    </row>
    <row r="4889" spans="14:14" ht="12" customHeight="1">
      <c r="N4889" s="216"/>
    </row>
    <row r="4890" spans="14:14" ht="12" customHeight="1">
      <c r="N4890" s="216"/>
    </row>
    <row r="4891" spans="14:14" ht="12" customHeight="1">
      <c r="N4891" s="216"/>
    </row>
    <row r="4892" spans="14:14" ht="12" customHeight="1">
      <c r="N4892" s="216"/>
    </row>
    <row r="4893" spans="14:14" ht="12" customHeight="1">
      <c r="N4893" s="216"/>
    </row>
    <row r="4894" spans="14:14" ht="12" customHeight="1">
      <c r="N4894" s="216"/>
    </row>
    <row r="4895" spans="14:14" ht="12" customHeight="1">
      <c r="N4895" s="216"/>
    </row>
    <row r="4896" spans="14:14" ht="12" customHeight="1">
      <c r="N4896" s="216"/>
    </row>
    <row r="4897" spans="14:14" ht="12" customHeight="1">
      <c r="N4897" s="216"/>
    </row>
    <row r="4898" spans="14:14" ht="12" customHeight="1">
      <c r="N4898" s="216"/>
    </row>
    <row r="4899" spans="14:14" ht="12" customHeight="1">
      <c r="N4899" s="216"/>
    </row>
    <row r="4900" spans="14:14" ht="12" customHeight="1">
      <c r="N4900" s="216"/>
    </row>
    <row r="4901" spans="14:14" ht="12" customHeight="1">
      <c r="N4901" s="216"/>
    </row>
    <row r="4902" spans="14:14" ht="12" customHeight="1">
      <c r="N4902" s="216"/>
    </row>
    <row r="4903" spans="14:14" ht="12" customHeight="1">
      <c r="N4903" s="216"/>
    </row>
    <row r="4904" spans="14:14" ht="12" customHeight="1">
      <c r="N4904" s="216"/>
    </row>
    <row r="4905" spans="14:14" ht="12" customHeight="1">
      <c r="N4905" s="216"/>
    </row>
    <row r="4906" spans="14:14" ht="12" customHeight="1">
      <c r="N4906" s="216"/>
    </row>
    <row r="4907" spans="14:14" ht="12" customHeight="1">
      <c r="N4907" s="216"/>
    </row>
    <row r="4908" spans="14:14" ht="12" customHeight="1">
      <c r="N4908" s="216"/>
    </row>
    <row r="4909" spans="14:14" ht="12" customHeight="1">
      <c r="N4909" s="216"/>
    </row>
    <row r="4910" spans="14:14" ht="12" customHeight="1">
      <c r="N4910" s="216"/>
    </row>
    <row r="4911" spans="14:14" ht="12" customHeight="1">
      <c r="N4911" s="216"/>
    </row>
    <row r="4912" spans="14:14" ht="12" customHeight="1">
      <c r="N4912" s="216"/>
    </row>
    <row r="4913" spans="14:14" ht="12" customHeight="1">
      <c r="N4913" s="216"/>
    </row>
    <row r="4914" spans="14:14" ht="12" customHeight="1">
      <c r="N4914" s="216"/>
    </row>
    <row r="4915" spans="14:14" ht="12" customHeight="1">
      <c r="N4915" s="216"/>
    </row>
    <row r="4916" spans="14:14" ht="12" customHeight="1">
      <c r="N4916" s="216"/>
    </row>
    <row r="4917" spans="14:14" ht="12" customHeight="1">
      <c r="N4917" s="216"/>
    </row>
    <row r="4918" spans="14:14" ht="12" customHeight="1">
      <c r="N4918" s="216"/>
    </row>
    <row r="4919" spans="14:14" ht="12" customHeight="1">
      <c r="N4919" s="216"/>
    </row>
    <row r="4920" spans="14:14" ht="12" customHeight="1">
      <c r="N4920" s="216"/>
    </row>
    <row r="4921" spans="14:14" ht="12" customHeight="1">
      <c r="N4921" s="216"/>
    </row>
    <row r="4922" spans="14:14" ht="12" customHeight="1">
      <c r="N4922" s="216"/>
    </row>
    <row r="4923" spans="14:14" ht="12" customHeight="1">
      <c r="N4923" s="216"/>
    </row>
    <row r="4924" spans="14:14" ht="12" customHeight="1">
      <c r="N4924" s="216"/>
    </row>
    <row r="4925" spans="14:14" ht="12" customHeight="1">
      <c r="N4925" s="216"/>
    </row>
    <row r="4926" spans="14:14" ht="12" customHeight="1">
      <c r="N4926" s="216"/>
    </row>
    <row r="4927" spans="14:14" ht="12" customHeight="1">
      <c r="N4927" s="216"/>
    </row>
    <row r="4928" spans="14:14" ht="12" customHeight="1">
      <c r="N4928" s="216"/>
    </row>
    <row r="4929" spans="14:14" ht="12" customHeight="1">
      <c r="N4929" s="216"/>
    </row>
    <row r="4930" spans="14:14" ht="12" customHeight="1">
      <c r="N4930" s="216"/>
    </row>
    <row r="4931" spans="14:14" ht="12" customHeight="1">
      <c r="N4931" s="216"/>
    </row>
    <row r="4932" spans="14:14" ht="12" customHeight="1">
      <c r="N4932" s="216"/>
    </row>
    <row r="4933" spans="14:14" ht="12" customHeight="1">
      <c r="N4933" s="216"/>
    </row>
    <row r="4934" spans="14:14" ht="12" customHeight="1">
      <c r="N4934" s="216"/>
    </row>
    <row r="4935" spans="14:14" ht="12" customHeight="1">
      <c r="N4935" s="216"/>
    </row>
    <row r="4936" spans="14:14" ht="12" customHeight="1">
      <c r="N4936" s="216"/>
    </row>
    <row r="4937" spans="14:14" ht="12" customHeight="1">
      <c r="N4937" s="216"/>
    </row>
    <row r="4938" spans="14:14" ht="12" customHeight="1">
      <c r="N4938" s="216"/>
    </row>
    <row r="4939" spans="14:14" ht="12" customHeight="1">
      <c r="N4939" s="216"/>
    </row>
    <row r="4940" spans="14:14" ht="12" customHeight="1">
      <c r="N4940" s="216"/>
    </row>
    <row r="4941" spans="14:14" ht="12" customHeight="1">
      <c r="N4941" s="216"/>
    </row>
    <row r="4942" spans="14:14" ht="12" customHeight="1">
      <c r="N4942" s="216"/>
    </row>
    <row r="4943" spans="14:14" ht="12" customHeight="1">
      <c r="N4943" s="216"/>
    </row>
    <row r="4944" spans="14:14" ht="12" customHeight="1">
      <c r="N4944" s="216"/>
    </row>
    <row r="4945" spans="14:14" ht="12" customHeight="1">
      <c r="N4945" s="216"/>
    </row>
    <row r="4946" spans="14:14" ht="12" customHeight="1">
      <c r="N4946" s="216"/>
    </row>
    <row r="4947" spans="14:14" ht="12" customHeight="1">
      <c r="N4947" s="216"/>
    </row>
    <row r="4948" spans="14:14" ht="12" customHeight="1">
      <c r="N4948" s="216"/>
    </row>
    <row r="4949" spans="14:14" ht="12" customHeight="1">
      <c r="N4949" s="216"/>
    </row>
    <row r="4950" spans="14:14" ht="12" customHeight="1">
      <c r="N4950" s="216"/>
    </row>
    <row r="4951" spans="14:14" ht="12" customHeight="1">
      <c r="N4951" s="216"/>
    </row>
    <row r="4952" spans="14:14" ht="12" customHeight="1">
      <c r="N4952" s="216"/>
    </row>
    <row r="4953" spans="14:14" ht="12" customHeight="1">
      <c r="N4953" s="216"/>
    </row>
    <row r="4954" spans="14:14" ht="12" customHeight="1">
      <c r="N4954" s="216"/>
    </row>
    <row r="4955" spans="14:14" ht="12" customHeight="1">
      <c r="N4955" s="216"/>
    </row>
    <row r="4956" spans="14:14" ht="12" customHeight="1">
      <c r="N4956" s="216"/>
    </row>
    <row r="4957" spans="14:14" ht="12" customHeight="1">
      <c r="N4957" s="216"/>
    </row>
    <row r="4958" spans="14:14" ht="12" customHeight="1">
      <c r="N4958" s="216"/>
    </row>
    <row r="4959" spans="14:14" ht="12" customHeight="1">
      <c r="N4959" s="216"/>
    </row>
    <row r="4960" spans="14:14" ht="12" customHeight="1">
      <c r="N4960" s="216"/>
    </row>
    <row r="4961" spans="14:14" ht="12" customHeight="1">
      <c r="N4961" s="216"/>
    </row>
    <row r="4962" spans="14:14" ht="12" customHeight="1">
      <c r="N4962" s="216"/>
    </row>
    <row r="4963" spans="14:14" ht="12" customHeight="1">
      <c r="N4963" s="216"/>
    </row>
    <row r="4964" spans="14:14" ht="12" customHeight="1">
      <c r="N4964" s="216"/>
    </row>
    <row r="4965" spans="14:14" ht="12" customHeight="1">
      <c r="N4965" s="216"/>
    </row>
    <row r="4966" spans="14:14" ht="12" customHeight="1">
      <c r="N4966" s="216"/>
    </row>
    <row r="4967" spans="14:14" ht="12" customHeight="1">
      <c r="N4967" s="216"/>
    </row>
    <row r="4968" spans="14:14" ht="12" customHeight="1">
      <c r="N4968" s="216"/>
    </row>
    <row r="4969" spans="14:14" ht="12" customHeight="1">
      <c r="N4969" s="216"/>
    </row>
    <row r="4970" spans="14:14" ht="12" customHeight="1">
      <c r="N4970" s="216"/>
    </row>
    <row r="4971" spans="14:14" ht="12" customHeight="1">
      <c r="N4971" s="216"/>
    </row>
    <row r="4972" spans="14:14" ht="12" customHeight="1">
      <c r="N4972" s="216"/>
    </row>
    <row r="4973" spans="14:14" ht="12" customHeight="1">
      <c r="N4973" s="216"/>
    </row>
    <row r="4974" spans="14:14" ht="12" customHeight="1">
      <c r="N4974" s="216"/>
    </row>
    <row r="4975" spans="14:14" ht="12" customHeight="1">
      <c r="N4975" s="216"/>
    </row>
    <row r="4976" spans="14:14" ht="12" customHeight="1">
      <c r="N4976" s="216"/>
    </row>
    <row r="4977" spans="14:14" ht="12" customHeight="1">
      <c r="N4977" s="216"/>
    </row>
    <row r="4978" spans="14:14" ht="12" customHeight="1">
      <c r="N4978" s="216"/>
    </row>
    <row r="4979" spans="14:14" ht="12" customHeight="1">
      <c r="N4979" s="216"/>
    </row>
    <row r="4980" spans="14:14" ht="12" customHeight="1">
      <c r="N4980" s="216"/>
    </row>
    <row r="4981" spans="14:14" ht="12" customHeight="1">
      <c r="N4981" s="216"/>
    </row>
    <row r="4982" spans="14:14" ht="12" customHeight="1">
      <c r="N4982" s="216"/>
    </row>
    <row r="4983" spans="14:14" ht="12" customHeight="1">
      <c r="N4983" s="216"/>
    </row>
    <row r="4984" spans="14:14" ht="12" customHeight="1">
      <c r="N4984" s="216"/>
    </row>
    <row r="4985" spans="14:14" ht="12" customHeight="1">
      <c r="N4985" s="216"/>
    </row>
    <row r="4986" spans="14:14" ht="12" customHeight="1">
      <c r="N4986" s="216"/>
    </row>
    <row r="4987" spans="14:14" ht="12" customHeight="1">
      <c r="N4987" s="216"/>
    </row>
    <row r="4988" spans="14:14" ht="12" customHeight="1">
      <c r="N4988" s="216"/>
    </row>
    <row r="4989" spans="14:14" ht="12" customHeight="1">
      <c r="N4989" s="216"/>
    </row>
    <row r="4990" spans="14:14" ht="12" customHeight="1">
      <c r="N4990" s="216"/>
    </row>
    <row r="4991" spans="14:14" ht="12" customHeight="1">
      <c r="N4991" s="216"/>
    </row>
    <row r="4992" spans="14:14" ht="12" customHeight="1">
      <c r="N4992" s="216"/>
    </row>
    <row r="4993" spans="14:14" ht="12" customHeight="1">
      <c r="N4993" s="216"/>
    </row>
    <row r="4994" spans="14:14" ht="12" customHeight="1">
      <c r="N4994" s="216"/>
    </row>
    <row r="4995" spans="14:14" ht="12" customHeight="1">
      <c r="N4995" s="216"/>
    </row>
    <row r="4996" spans="14:14" ht="12" customHeight="1">
      <c r="N4996" s="216"/>
    </row>
    <row r="4997" spans="14:14" ht="12" customHeight="1">
      <c r="N4997" s="216"/>
    </row>
    <row r="4998" spans="14:14" ht="12" customHeight="1">
      <c r="N4998" s="216"/>
    </row>
    <row r="4999" spans="14:14" ht="12" customHeight="1">
      <c r="N4999" s="216"/>
    </row>
    <row r="5000" spans="14:14" ht="12" customHeight="1">
      <c r="N5000" s="216"/>
    </row>
    <row r="5001" spans="14:14" ht="12" customHeight="1">
      <c r="N5001" s="216"/>
    </row>
    <row r="5002" spans="14:14" ht="12" customHeight="1">
      <c r="N5002" s="216"/>
    </row>
    <row r="5003" spans="14:14" ht="12" customHeight="1">
      <c r="N5003" s="216"/>
    </row>
    <row r="5004" spans="14:14" ht="12" customHeight="1">
      <c r="N5004" s="216"/>
    </row>
    <row r="5005" spans="14:14" ht="12" customHeight="1">
      <c r="N5005" s="216"/>
    </row>
    <row r="5006" spans="14:14" ht="12" customHeight="1">
      <c r="N5006" s="216"/>
    </row>
    <row r="5007" spans="14:14" ht="12" customHeight="1">
      <c r="N5007" s="216"/>
    </row>
    <row r="5008" spans="14:14" ht="12" customHeight="1">
      <c r="N5008" s="216"/>
    </row>
    <row r="5009" spans="14:14" ht="12" customHeight="1">
      <c r="N5009" s="216"/>
    </row>
    <row r="5010" spans="14:14" ht="12" customHeight="1">
      <c r="N5010" s="216"/>
    </row>
    <row r="5011" spans="14:14" ht="12" customHeight="1">
      <c r="N5011" s="216"/>
    </row>
    <row r="5012" spans="14:14" ht="12" customHeight="1">
      <c r="N5012" s="216"/>
    </row>
    <row r="5013" spans="14:14" ht="12" customHeight="1">
      <c r="N5013" s="216"/>
    </row>
    <row r="5014" spans="14:14" ht="12" customHeight="1">
      <c r="N5014" s="216"/>
    </row>
    <row r="5015" spans="14:14" ht="12" customHeight="1">
      <c r="N5015" s="216"/>
    </row>
    <row r="5016" spans="14:14" ht="12" customHeight="1">
      <c r="N5016" s="216"/>
    </row>
    <row r="5017" spans="14:14" ht="12" customHeight="1">
      <c r="N5017" s="216"/>
    </row>
    <row r="5018" spans="14:14" ht="12" customHeight="1">
      <c r="N5018" s="216"/>
    </row>
    <row r="5019" spans="14:14" ht="12" customHeight="1">
      <c r="N5019" s="216"/>
    </row>
    <row r="5020" spans="14:14" ht="12" customHeight="1">
      <c r="N5020" s="216"/>
    </row>
    <row r="5021" spans="14:14" ht="12" customHeight="1">
      <c r="N5021" s="216"/>
    </row>
    <row r="5022" spans="14:14" ht="12" customHeight="1">
      <c r="N5022" s="216"/>
    </row>
    <row r="5023" spans="14:14" ht="12" customHeight="1">
      <c r="N5023" s="216"/>
    </row>
    <row r="5024" spans="14:14" ht="12" customHeight="1">
      <c r="N5024" s="216"/>
    </row>
    <row r="5025" spans="14:14" ht="12" customHeight="1">
      <c r="N5025" s="216"/>
    </row>
    <row r="5026" spans="14:14" ht="12" customHeight="1">
      <c r="N5026" s="216"/>
    </row>
    <row r="5027" spans="14:14" ht="12" customHeight="1">
      <c r="N5027" s="216"/>
    </row>
    <row r="5028" spans="14:14" ht="12" customHeight="1">
      <c r="N5028" s="216"/>
    </row>
    <row r="5029" spans="14:14" ht="12" customHeight="1">
      <c r="N5029" s="216"/>
    </row>
    <row r="5030" spans="14:14" ht="12" customHeight="1">
      <c r="N5030" s="216"/>
    </row>
    <row r="5031" spans="14:14" ht="12" customHeight="1">
      <c r="N5031" s="216"/>
    </row>
    <row r="5032" spans="14:14" ht="12" customHeight="1">
      <c r="N5032" s="216"/>
    </row>
    <row r="5033" spans="14:14" ht="12" customHeight="1">
      <c r="N5033" s="216"/>
    </row>
    <row r="5034" spans="14:14" ht="12" customHeight="1">
      <c r="N5034" s="216"/>
    </row>
    <row r="5035" spans="14:14" ht="12" customHeight="1">
      <c r="N5035" s="216"/>
    </row>
    <row r="5036" spans="14:14" ht="12" customHeight="1">
      <c r="N5036" s="216"/>
    </row>
    <row r="5037" spans="14:14" ht="12" customHeight="1">
      <c r="N5037" s="216"/>
    </row>
    <row r="5038" spans="14:14" ht="12" customHeight="1">
      <c r="N5038" s="216"/>
    </row>
    <row r="5039" spans="14:14" ht="12" customHeight="1">
      <c r="N5039" s="216"/>
    </row>
    <row r="5040" spans="14:14" ht="12" customHeight="1">
      <c r="N5040" s="216"/>
    </row>
    <row r="5041" spans="14:14" ht="12" customHeight="1">
      <c r="N5041" s="216"/>
    </row>
    <row r="5042" spans="14:14" ht="12" customHeight="1">
      <c r="N5042" s="216"/>
    </row>
    <row r="5043" spans="14:14" ht="12" customHeight="1">
      <c r="N5043" s="216"/>
    </row>
    <row r="5044" spans="14:14" ht="12" customHeight="1">
      <c r="N5044" s="216"/>
    </row>
    <row r="5045" spans="14:14" ht="12" customHeight="1">
      <c r="N5045" s="216"/>
    </row>
    <row r="5046" spans="14:14" ht="12" customHeight="1">
      <c r="N5046" s="216"/>
    </row>
    <row r="5047" spans="14:14" ht="12" customHeight="1">
      <c r="N5047" s="216"/>
    </row>
    <row r="5048" spans="14:14" ht="12" customHeight="1">
      <c r="N5048" s="216"/>
    </row>
    <row r="5049" spans="14:14" ht="12" customHeight="1">
      <c r="N5049" s="216"/>
    </row>
    <row r="5050" spans="14:14" ht="12" customHeight="1">
      <c r="N5050" s="216"/>
    </row>
    <row r="5051" spans="14:14" ht="12" customHeight="1">
      <c r="N5051" s="216"/>
    </row>
    <row r="5052" spans="14:14" ht="12" customHeight="1">
      <c r="N5052" s="216"/>
    </row>
    <row r="5053" spans="14:14" ht="12" customHeight="1">
      <c r="N5053" s="216"/>
    </row>
    <row r="5054" spans="14:14" ht="12" customHeight="1">
      <c r="N5054" s="216"/>
    </row>
    <row r="5055" spans="14:14" ht="12" customHeight="1">
      <c r="N5055" s="216"/>
    </row>
    <row r="5056" spans="14:14" ht="12" customHeight="1">
      <c r="N5056" s="216"/>
    </row>
    <row r="5057" spans="14:14" ht="12" customHeight="1">
      <c r="N5057" s="216"/>
    </row>
    <row r="5058" spans="14:14" ht="12" customHeight="1">
      <c r="N5058" s="216"/>
    </row>
    <row r="5059" spans="14:14" ht="12" customHeight="1">
      <c r="N5059" s="216"/>
    </row>
    <row r="5060" spans="14:14" ht="12" customHeight="1">
      <c r="N5060" s="216"/>
    </row>
    <row r="5061" spans="14:14" ht="12" customHeight="1">
      <c r="N5061" s="216"/>
    </row>
    <row r="5062" spans="14:14" ht="12" customHeight="1">
      <c r="N5062" s="216"/>
    </row>
    <row r="5063" spans="14:14" ht="12" customHeight="1">
      <c r="N5063" s="216"/>
    </row>
    <row r="5064" spans="14:14" ht="12" customHeight="1">
      <c r="N5064" s="216"/>
    </row>
    <row r="5065" spans="14:14" ht="12" customHeight="1">
      <c r="N5065" s="216"/>
    </row>
    <row r="5066" spans="14:14" ht="12" customHeight="1">
      <c r="N5066" s="216"/>
    </row>
    <row r="5067" spans="14:14" ht="12" customHeight="1">
      <c r="N5067" s="216"/>
    </row>
    <row r="5068" spans="14:14" ht="12" customHeight="1">
      <c r="N5068" s="216"/>
    </row>
    <row r="5069" spans="14:14" ht="12" customHeight="1">
      <c r="N5069" s="216"/>
    </row>
    <row r="5070" spans="14:14" ht="12" customHeight="1">
      <c r="N5070" s="216"/>
    </row>
    <row r="5071" spans="14:14" ht="12" customHeight="1">
      <c r="N5071" s="216"/>
    </row>
    <row r="5072" spans="14:14" ht="12" customHeight="1">
      <c r="N5072" s="216"/>
    </row>
    <row r="5073" spans="14:14" ht="12" customHeight="1">
      <c r="N5073" s="216"/>
    </row>
    <row r="5074" spans="14:14" ht="12" customHeight="1">
      <c r="N5074" s="216"/>
    </row>
    <row r="5075" spans="14:14" ht="12" customHeight="1">
      <c r="N5075" s="216"/>
    </row>
    <row r="5076" spans="14:14" ht="12" customHeight="1">
      <c r="N5076" s="216"/>
    </row>
    <row r="5077" spans="14:14" ht="12" customHeight="1">
      <c r="N5077" s="216"/>
    </row>
    <row r="5078" spans="14:14" ht="12" customHeight="1">
      <c r="N5078" s="216"/>
    </row>
    <row r="5079" spans="14:14" ht="12" customHeight="1">
      <c r="N5079" s="216"/>
    </row>
    <row r="5080" spans="14:14" ht="12" customHeight="1">
      <c r="N5080" s="216"/>
    </row>
    <row r="5081" spans="14:14" ht="12" customHeight="1">
      <c r="N5081" s="216"/>
    </row>
    <row r="5082" spans="14:14" ht="12" customHeight="1">
      <c r="N5082" s="216"/>
    </row>
    <row r="5083" spans="14:14" ht="12" customHeight="1">
      <c r="N5083" s="216"/>
    </row>
    <row r="5084" spans="14:14" ht="12" customHeight="1">
      <c r="N5084" s="216"/>
    </row>
    <row r="5085" spans="14:14" ht="12" customHeight="1">
      <c r="N5085" s="216"/>
    </row>
    <row r="5086" spans="14:14" ht="12" customHeight="1">
      <c r="N5086" s="216"/>
    </row>
    <row r="5087" spans="14:14" ht="12" customHeight="1">
      <c r="N5087" s="216"/>
    </row>
    <row r="5088" spans="14:14" ht="12" customHeight="1">
      <c r="N5088" s="216"/>
    </row>
    <row r="5089" spans="14:14" ht="12" customHeight="1">
      <c r="N5089" s="216"/>
    </row>
    <row r="5090" spans="14:14" ht="12" customHeight="1">
      <c r="N5090" s="216"/>
    </row>
    <row r="5091" spans="14:14" ht="12" customHeight="1">
      <c r="N5091" s="216"/>
    </row>
    <row r="5092" spans="14:14" ht="12" customHeight="1">
      <c r="N5092" s="216"/>
    </row>
    <row r="5093" spans="14:14" ht="12" customHeight="1">
      <c r="N5093" s="216"/>
    </row>
    <row r="5094" spans="14:14" ht="12" customHeight="1">
      <c r="N5094" s="216"/>
    </row>
    <row r="5095" spans="14:14" ht="12" customHeight="1">
      <c r="N5095" s="216"/>
    </row>
    <row r="5096" spans="14:14" ht="12" customHeight="1">
      <c r="N5096" s="216"/>
    </row>
    <row r="5097" spans="14:14" ht="12" customHeight="1">
      <c r="N5097" s="216"/>
    </row>
    <row r="5098" spans="14:14" ht="12" customHeight="1">
      <c r="N5098" s="216"/>
    </row>
    <row r="5099" spans="14:14" ht="12" customHeight="1">
      <c r="N5099" s="216"/>
    </row>
    <row r="5100" spans="14:14" ht="12" customHeight="1">
      <c r="N5100" s="216"/>
    </row>
    <row r="5101" spans="14:14" ht="12" customHeight="1">
      <c r="N5101" s="216"/>
    </row>
    <row r="5102" spans="14:14" ht="12" customHeight="1">
      <c r="N5102" s="216"/>
    </row>
    <row r="5103" spans="14:14" ht="12" customHeight="1">
      <c r="N5103" s="216"/>
    </row>
    <row r="5104" spans="14:14" ht="12" customHeight="1">
      <c r="N5104" s="216"/>
    </row>
    <row r="5105" spans="14:14" ht="12" customHeight="1">
      <c r="N5105" s="216"/>
    </row>
    <row r="5106" spans="14:14" ht="12" customHeight="1">
      <c r="N5106" s="216"/>
    </row>
    <row r="5107" spans="14:14" ht="12" customHeight="1">
      <c r="N5107" s="216"/>
    </row>
    <row r="5108" spans="14:14" ht="12" customHeight="1">
      <c r="N5108" s="216"/>
    </row>
    <row r="5109" spans="14:14" ht="12" customHeight="1">
      <c r="N5109" s="216"/>
    </row>
    <row r="5110" spans="14:14" ht="12" customHeight="1">
      <c r="N5110" s="216"/>
    </row>
    <row r="5111" spans="14:14" ht="12" customHeight="1">
      <c r="N5111" s="216"/>
    </row>
    <row r="5112" spans="14:14" ht="12" customHeight="1">
      <c r="N5112" s="216"/>
    </row>
    <row r="5113" spans="14:14" ht="12" customHeight="1">
      <c r="N5113" s="216"/>
    </row>
    <row r="5114" spans="14:14" ht="12" customHeight="1">
      <c r="N5114" s="216"/>
    </row>
    <row r="5115" spans="14:14" ht="12" customHeight="1">
      <c r="N5115" s="216"/>
    </row>
    <row r="5116" spans="14:14" ht="12" customHeight="1">
      <c r="N5116" s="216"/>
    </row>
    <row r="5117" spans="14:14" ht="12" customHeight="1">
      <c r="N5117" s="216"/>
    </row>
    <row r="5118" spans="14:14" ht="12" customHeight="1">
      <c r="N5118" s="216"/>
    </row>
    <row r="5119" spans="14:14" ht="12" customHeight="1">
      <c r="N5119" s="216"/>
    </row>
    <row r="5120" spans="14:14" ht="12" customHeight="1">
      <c r="N5120" s="216"/>
    </row>
    <row r="5121" spans="14:14" ht="12" customHeight="1">
      <c r="N5121" s="216"/>
    </row>
    <row r="5122" spans="14:14" ht="12" customHeight="1">
      <c r="N5122" s="216"/>
    </row>
    <row r="5123" spans="14:14" ht="12" customHeight="1">
      <c r="N5123" s="216"/>
    </row>
    <row r="5124" spans="14:14" ht="12" customHeight="1">
      <c r="N5124" s="216"/>
    </row>
    <row r="5125" spans="14:14" ht="12" customHeight="1">
      <c r="N5125" s="216"/>
    </row>
    <row r="5126" spans="14:14" ht="12" customHeight="1">
      <c r="N5126" s="216"/>
    </row>
    <row r="5127" spans="14:14" ht="12" customHeight="1">
      <c r="N5127" s="216"/>
    </row>
    <row r="5128" spans="14:14" ht="12" customHeight="1">
      <c r="N5128" s="216"/>
    </row>
    <row r="5129" spans="14:14" ht="12" customHeight="1">
      <c r="N5129" s="216"/>
    </row>
    <row r="5130" spans="14:14" ht="12" customHeight="1">
      <c r="N5130" s="216"/>
    </row>
    <row r="5131" spans="14:14" ht="12" customHeight="1">
      <c r="N5131" s="216"/>
    </row>
    <row r="5132" spans="14:14" ht="12" customHeight="1">
      <c r="N5132" s="216"/>
    </row>
    <row r="5133" spans="14:14" ht="12" customHeight="1">
      <c r="N5133" s="216"/>
    </row>
    <row r="5134" spans="14:14" ht="12" customHeight="1">
      <c r="N5134" s="216"/>
    </row>
    <row r="5135" spans="14:14" ht="12" customHeight="1">
      <c r="N5135" s="216"/>
    </row>
    <row r="5136" spans="14:14" ht="12" customHeight="1">
      <c r="N5136" s="216"/>
    </row>
    <row r="5137" spans="14:14" ht="12" customHeight="1">
      <c r="N5137" s="216"/>
    </row>
    <row r="5138" spans="14:14" ht="12" customHeight="1">
      <c r="N5138" s="216"/>
    </row>
    <row r="5139" spans="14:14" ht="12" customHeight="1">
      <c r="N5139" s="216"/>
    </row>
    <row r="5140" spans="14:14" ht="12" customHeight="1">
      <c r="N5140" s="216"/>
    </row>
    <row r="5141" spans="14:14" ht="12" customHeight="1">
      <c r="N5141" s="216"/>
    </row>
    <row r="5142" spans="14:14" ht="12" customHeight="1">
      <c r="N5142" s="216"/>
    </row>
    <row r="5143" spans="14:14" ht="12" customHeight="1">
      <c r="N5143" s="216"/>
    </row>
    <row r="5144" spans="14:14" ht="12" customHeight="1">
      <c r="N5144" s="216"/>
    </row>
    <row r="5145" spans="14:14" ht="12" customHeight="1">
      <c r="N5145" s="216"/>
    </row>
    <row r="5146" spans="14:14" ht="12" customHeight="1">
      <c r="N5146" s="216"/>
    </row>
    <row r="5147" spans="14:14" ht="12" customHeight="1">
      <c r="N5147" s="216"/>
    </row>
    <row r="5148" spans="14:14" ht="12" customHeight="1">
      <c r="N5148" s="216"/>
    </row>
    <row r="5149" spans="14:14" ht="12" customHeight="1">
      <c r="N5149" s="216"/>
    </row>
    <row r="5150" spans="14:14" ht="12" customHeight="1">
      <c r="N5150" s="216"/>
    </row>
    <row r="5151" spans="14:14" ht="12" customHeight="1">
      <c r="N5151" s="216"/>
    </row>
    <row r="5152" spans="14:14" ht="12" customHeight="1">
      <c r="N5152" s="216"/>
    </row>
    <row r="5153" spans="14:14" ht="12" customHeight="1">
      <c r="N5153" s="216"/>
    </row>
    <row r="5154" spans="14:14" ht="12" customHeight="1">
      <c r="N5154" s="216"/>
    </row>
    <row r="5155" spans="14:14" ht="12" customHeight="1">
      <c r="N5155" s="216"/>
    </row>
    <row r="5156" spans="14:14" ht="12" customHeight="1">
      <c r="N5156" s="216"/>
    </row>
    <row r="5157" spans="14:14" ht="12" customHeight="1">
      <c r="N5157" s="216"/>
    </row>
    <row r="5158" spans="14:14" ht="12" customHeight="1">
      <c r="N5158" s="216"/>
    </row>
    <row r="5159" spans="14:14" ht="12" customHeight="1">
      <c r="N5159" s="216"/>
    </row>
    <row r="5160" spans="14:14" ht="12" customHeight="1">
      <c r="N5160" s="216"/>
    </row>
    <row r="5161" spans="14:14" ht="12" customHeight="1">
      <c r="N5161" s="216"/>
    </row>
    <row r="5162" spans="14:14" ht="12" customHeight="1">
      <c r="N5162" s="216"/>
    </row>
    <row r="5163" spans="14:14" ht="12" customHeight="1">
      <c r="N5163" s="216"/>
    </row>
    <row r="5164" spans="14:14" ht="12" customHeight="1">
      <c r="N5164" s="216"/>
    </row>
    <row r="5165" spans="14:14" ht="12" customHeight="1">
      <c r="N5165" s="216"/>
    </row>
    <row r="5166" spans="14:14" ht="12" customHeight="1">
      <c r="N5166" s="216"/>
    </row>
    <row r="5167" spans="14:14" ht="12" customHeight="1">
      <c r="N5167" s="216"/>
    </row>
    <row r="5168" spans="14:14" ht="12" customHeight="1">
      <c r="N5168" s="216"/>
    </row>
    <row r="5169" spans="14:14" ht="12" customHeight="1">
      <c r="N5169" s="216"/>
    </row>
    <row r="5170" spans="14:14" ht="12" customHeight="1">
      <c r="N5170" s="216"/>
    </row>
    <row r="5171" spans="14:14" ht="12" customHeight="1">
      <c r="N5171" s="216"/>
    </row>
    <row r="5172" spans="14:14" ht="12" customHeight="1">
      <c r="N5172" s="216"/>
    </row>
    <row r="5173" spans="14:14" ht="12" customHeight="1">
      <c r="N5173" s="216"/>
    </row>
    <row r="5174" spans="14:14" ht="12" customHeight="1">
      <c r="N5174" s="216"/>
    </row>
    <row r="5175" spans="14:14" ht="12" customHeight="1">
      <c r="N5175" s="216"/>
    </row>
    <row r="5176" spans="14:14" ht="12" customHeight="1">
      <c r="N5176" s="216"/>
    </row>
    <row r="5177" spans="14:14" ht="12" customHeight="1">
      <c r="N5177" s="216"/>
    </row>
    <row r="5178" spans="14:14" ht="12" customHeight="1">
      <c r="N5178" s="216"/>
    </row>
    <row r="5179" spans="14:14" ht="12" customHeight="1">
      <c r="N5179" s="216"/>
    </row>
    <row r="5180" spans="14:14" ht="12" customHeight="1">
      <c r="N5180" s="216"/>
    </row>
    <row r="5181" spans="14:14" ht="12" customHeight="1">
      <c r="N5181" s="216"/>
    </row>
    <row r="5182" spans="14:14" ht="12" customHeight="1">
      <c r="N5182" s="216"/>
    </row>
    <row r="5183" spans="14:14" ht="12" customHeight="1">
      <c r="N5183" s="216"/>
    </row>
    <row r="5184" spans="14:14" ht="12" customHeight="1">
      <c r="N5184" s="216"/>
    </row>
    <row r="5185" spans="14:14" ht="12" customHeight="1">
      <c r="N5185" s="216"/>
    </row>
    <row r="5186" spans="14:14" ht="12" customHeight="1">
      <c r="N5186" s="216"/>
    </row>
    <row r="5187" spans="14:14" ht="12" customHeight="1">
      <c r="N5187" s="216"/>
    </row>
    <row r="5188" spans="14:14" ht="12" customHeight="1">
      <c r="N5188" s="216"/>
    </row>
    <row r="5189" spans="14:14" ht="12" customHeight="1">
      <c r="N5189" s="216"/>
    </row>
    <row r="5190" spans="14:14" ht="12" customHeight="1">
      <c r="N5190" s="216"/>
    </row>
    <row r="5191" spans="14:14" ht="12" customHeight="1">
      <c r="N5191" s="216"/>
    </row>
    <row r="5192" spans="14:14" ht="12" customHeight="1">
      <c r="N5192" s="216"/>
    </row>
    <row r="5193" spans="14:14" ht="12" customHeight="1">
      <c r="N5193" s="216"/>
    </row>
    <row r="5194" spans="14:14" ht="12" customHeight="1">
      <c r="N5194" s="216"/>
    </row>
    <row r="5195" spans="14:14" ht="12" customHeight="1">
      <c r="N5195" s="216"/>
    </row>
    <row r="5196" spans="14:14" ht="12" customHeight="1">
      <c r="N5196" s="216"/>
    </row>
    <row r="5197" spans="14:14" ht="12" customHeight="1">
      <c r="N5197" s="216"/>
    </row>
    <row r="5198" spans="14:14" ht="12" customHeight="1">
      <c r="N5198" s="216"/>
    </row>
    <row r="5199" spans="14:14" ht="12" customHeight="1">
      <c r="N5199" s="216"/>
    </row>
    <row r="5200" spans="14:14" ht="12" customHeight="1">
      <c r="N5200" s="216"/>
    </row>
    <row r="5201" spans="14:14" ht="12" customHeight="1">
      <c r="N5201" s="216"/>
    </row>
    <row r="5202" spans="14:14" ht="12" customHeight="1">
      <c r="N5202" s="216"/>
    </row>
    <row r="5203" spans="14:14" ht="12" customHeight="1">
      <c r="N5203" s="216"/>
    </row>
    <row r="5204" spans="14:14" ht="12" customHeight="1">
      <c r="N5204" s="216"/>
    </row>
    <row r="5205" spans="14:14" ht="12" customHeight="1">
      <c r="N5205" s="216"/>
    </row>
    <row r="5206" spans="14:14" ht="12" customHeight="1">
      <c r="N5206" s="216"/>
    </row>
    <row r="5207" spans="14:14" ht="12" customHeight="1">
      <c r="N5207" s="216"/>
    </row>
    <row r="5208" spans="14:14" ht="12" customHeight="1">
      <c r="N5208" s="216"/>
    </row>
    <row r="5209" spans="14:14" ht="12" customHeight="1">
      <c r="N5209" s="216"/>
    </row>
    <row r="5210" spans="14:14" ht="12" customHeight="1">
      <c r="N5210" s="216"/>
    </row>
    <row r="5211" spans="14:14" ht="12" customHeight="1">
      <c r="N5211" s="216"/>
    </row>
    <row r="5212" spans="14:14" ht="12" customHeight="1">
      <c r="N5212" s="216"/>
    </row>
    <row r="5213" spans="14:14" ht="12" customHeight="1">
      <c r="N5213" s="216"/>
    </row>
    <row r="5214" spans="14:14" ht="12" customHeight="1">
      <c r="N5214" s="216"/>
    </row>
    <row r="5215" spans="14:14" ht="12" customHeight="1">
      <c r="N5215" s="216"/>
    </row>
    <row r="5216" spans="14:14" ht="12" customHeight="1">
      <c r="N5216" s="216"/>
    </row>
    <row r="5217" spans="14:14" ht="12" customHeight="1">
      <c r="N5217" s="216"/>
    </row>
    <row r="5218" spans="14:14" ht="12" customHeight="1">
      <c r="N5218" s="216"/>
    </row>
    <row r="5219" spans="14:14" ht="12" customHeight="1">
      <c r="N5219" s="216"/>
    </row>
    <row r="5220" spans="14:14" ht="12" customHeight="1">
      <c r="N5220" s="216"/>
    </row>
    <row r="5221" spans="14:14" ht="12" customHeight="1">
      <c r="N5221" s="216"/>
    </row>
    <row r="5222" spans="14:14" ht="12" customHeight="1">
      <c r="N5222" s="216"/>
    </row>
    <row r="5223" spans="14:14" ht="12" customHeight="1">
      <c r="N5223" s="216"/>
    </row>
    <row r="5224" spans="14:14" ht="12" customHeight="1">
      <c r="N5224" s="216"/>
    </row>
    <row r="5225" spans="14:14" ht="12" customHeight="1">
      <c r="N5225" s="216"/>
    </row>
    <row r="5226" spans="14:14" ht="12" customHeight="1">
      <c r="N5226" s="216"/>
    </row>
    <row r="5227" spans="14:14" ht="12" customHeight="1">
      <c r="N5227" s="216"/>
    </row>
    <row r="5228" spans="14:14" ht="12" customHeight="1">
      <c r="N5228" s="216"/>
    </row>
    <row r="5229" spans="14:14" ht="12" customHeight="1">
      <c r="N5229" s="216"/>
    </row>
    <row r="5230" spans="14:14" ht="12" customHeight="1">
      <c r="N5230" s="216"/>
    </row>
    <row r="5231" spans="14:14" ht="12" customHeight="1">
      <c r="N5231" s="216"/>
    </row>
    <row r="5232" spans="14:14" ht="12" customHeight="1">
      <c r="N5232" s="216"/>
    </row>
    <row r="5233" spans="14:14" ht="12" customHeight="1">
      <c r="N5233" s="216"/>
    </row>
    <row r="5234" spans="14:14" ht="12" customHeight="1">
      <c r="N5234" s="216"/>
    </row>
    <row r="5235" spans="14:14" ht="12" customHeight="1">
      <c r="N5235" s="216"/>
    </row>
    <row r="5236" spans="14:14" ht="12" customHeight="1">
      <c r="N5236" s="216"/>
    </row>
    <row r="5237" spans="14:14" ht="12" customHeight="1">
      <c r="N5237" s="216"/>
    </row>
    <row r="5238" spans="14:14" ht="12" customHeight="1">
      <c r="N5238" s="216"/>
    </row>
    <row r="5239" spans="14:14" ht="12" customHeight="1">
      <c r="N5239" s="216"/>
    </row>
    <row r="5240" spans="14:14" ht="12" customHeight="1">
      <c r="N5240" s="216"/>
    </row>
    <row r="5241" spans="14:14" ht="12" customHeight="1">
      <c r="N5241" s="216"/>
    </row>
    <row r="5242" spans="14:14" ht="12" customHeight="1">
      <c r="N5242" s="216"/>
    </row>
    <row r="5243" spans="14:14" ht="12" customHeight="1">
      <c r="N5243" s="216"/>
    </row>
    <row r="5244" spans="14:14" ht="12" customHeight="1">
      <c r="N5244" s="216"/>
    </row>
    <row r="5245" spans="14:14" ht="12" customHeight="1">
      <c r="N5245" s="216"/>
    </row>
    <row r="5246" spans="14:14" ht="12" customHeight="1">
      <c r="N5246" s="216"/>
    </row>
    <row r="5247" spans="14:14" ht="12" customHeight="1">
      <c r="N5247" s="216"/>
    </row>
    <row r="5248" spans="14:14" ht="12" customHeight="1">
      <c r="N5248" s="216"/>
    </row>
    <row r="5249" spans="14:14" ht="12" customHeight="1">
      <c r="N5249" s="216"/>
    </row>
    <row r="5250" spans="14:14" ht="12" customHeight="1">
      <c r="N5250" s="216"/>
    </row>
    <row r="5251" spans="14:14" ht="12" customHeight="1">
      <c r="N5251" s="216"/>
    </row>
    <row r="5252" spans="14:14" ht="12" customHeight="1">
      <c r="N5252" s="216"/>
    </row>
    <row r="5253" spans="14:14" ht="12" customHeight="1">
      <c r="N5253" s="216"/>
    </row>
    <row r="5254" spans="14:14" ht="12" customHeight="1">
      <c r="N5254" s="216"/>
    </row>
    <row r="5255" spans="14:14" ht="12" customHeight="1">
      <c r="N5255" s="216"/>
    </row>
    <row r="5256" spans="14:14" ht="12" customHeight="1">
      <c r="N5256" s="216"/>
    </row>
    <row r="5257" spans="14:14" ht="12" customHeight="1">
      <c r="N5257" s="216"/>
    </row>
    <row r="5258" spans="14:14" ht="12" customHeight="1">
      <c r="N5258" s="216"/>
    </row>
    <row r="5259" spans="14:14" ht="12" customHeight="1">
      <c r="N5259" s="216"/>
    </row>
    <row r="5260" spans="14:14" ht="12" customHeight="1">
      <c r="N5260" s="216"/>
    </row>
    <row r="5261" spans="14:14" ht="12" customHeight="1">
      <c r="N5261" s="216"/>
    </row>
    <row r="5262" spans="14:14" ht="12" customHeight="1">
      <c r="N5262" s="216"/>
    </row>
    <row r="5263" spans="14:14" ht="12" customHeight="1">
      <c r="N5263" s="216"/>
    </row>
    <row r="5264" spans="14:14" ht="12" customHeight="1">
      <c r="N5264" s="216"/>
    </row>
    <row r="5265" spans="14:14" ht="12" customHeight="1">
      <c r="N5265" s="216"/>
    </row>
    <row r="5266" spans="14:14" ht="12" customHeight="1">
      <c r="N5266" s="216"/>
    </row>
    <row r="5267" spans="14:14" ht="12" customHeight="1">
      <c r="N5267" s="216"/>
    </row>
    <row r="5268" spans="14:14" ht="12" customHeight="1">
      <c r="N5268" s="216"/>
    </row>
    <row r="5269" spans="14:14" ht="12" customHeight="1">
      <c r="N5269" s="216"/>
    </row>
    <row r="5270" spans="14:14" ht="12" customHeight="1">
      <c r="N5270" s="216"/>
    </row>
    <row r="5271" spans="14:14" ht="12" customHeight="1">
      <c r="N5271" s="216"/>
    </row>
    <row r="5272" spans="14:14" ht="12" customHeight="1">
      <c r="N5272" s="216"/>
    </row>
    <row r="5273" spans="14:14" ht="12" customHeight="1">
      <c r="N5273" s="216"/>
    </row>
    <row r="5274" spans="14:14" ht="12" customHeight="1">
      <c r="N5274" s="216"/>
    </row>
    <row r="5275" spans="14:14" ht="12" customHeight="1">
      <c r="N5275" s="216"/>
    </row>
    <row r="5276" spans="14:14" ht="12" customHeight="1">
      <c r="N5276" s="216"/>
    </row>
    <row r="5277" spans="14:14" ht="12" customHeight="1">
      <c r="N5277" s="216"/>
    </row>
    <row r="5278" spans="14:14" ht="12" customHeight="1">
      <c r="N5278" s="216"/>
    </row>
    <row r="5279" spans="14:14" ht="12" customHeight="1">
      <c r="N5279" s="216"/>
    </row>
    <row r="5280" spans="14:14" ht="12" customHeight="1">
      <c r="N5280" s="216"/>
    </row>
    <row r="5281" spans="14:14" ht="12" customHeight="1">
      <c r="N5281" s="216"/>
    </row>
    <row r="5282" spans="14:14" ht="12" customHeight="1">
      <c r="N5282" s="216"/>
    </row>
    <row r="5283" spans="14:14" ht="12" customHeight="1">
      <c r="N5283" s="216"/>
    </row>
    <row r="5284" spans="14:14" ht="12" customHeight="1">
      <c r="N5284" s="216"/>
    </row>
    <row r="5285" spans="14:14" ht="12" customHeight="1">
      <c r="N5285" s="216"/>
    </row>
    <row r="5286" spans="14:14" ht="12" customHeight="1">
      <c r="N5286" s="216"/>
    </row>
    <row r="5287" spans="14:14" ht="12" customHeight="1">
      <c r="N5287" s="216"/>
    </row>
    <row r="5288" spans="14:14" ht="12" customHeight="1">
      <c r="N5288" s="216"/>
    </row>
    <row r="5289" spans="14:14" ht="12" customHeight="1">
      <c r="N5289" s="216"/>
    </row>
    <row r="5290" spans="14:14" ht="12" customHeight="1">
      <c r="N5290" s="216"/>
    </row>
    <row r="5291" spans="14:14" ht="12" customHeight="1">
      <c r="N5291" s="216"/>
    </row>
    <row r="5292" spans="14:14" ht="12" customHeight="1">
      <c r="N5292" s="216"/>
    </row>
    <row r="5293" spans="14:14" ht="12" customHeight="1">
      <c r="N5293" s="216"/>
    </row>
    <row r="5294" spans="14:14" ht="12" customHeight="1">
      <c r="N5294" s="216"/>
    </row>
    <row r="5295" spans="14:14" ht="12" customHeight="1">
      <c r="N5295" s="216"/>
    </row>
    <row r="5296" spans="14:14" ht="12" customHeight="1">
      <c r="N5296" s="216"/>
    </row>
    <row r="5297" spans="14:14" ht="12" customHeight="1">
      <c r="N5297" s="216"/>
    </row>
    <row r="5298" spans="14:14" ht="12" customHeight="1">
      <c r="N5298" s="216"/>
    </row>
    <row r="5299" spans="14:14" ht="12" customHeight="1">
      <c r="N5299" s="216"/>
    </row>
    <row r="5300" spans="14:14" ht="12" customHeight="1">
      <c r="N5300" s="216"/>
    </row>
    <row r="5301" spans="14:14" ht="12" customHeight="1">
      <c r="N5301" s="216"/>
    </row>
    <row r="5302" spans="14:14" ht="12" customHeight="1">
      <c r="N5302" s="216"/>
    </row>
    <row r="5303" spans="14:14" ht="12" customHeight="1">
      <c r="N5303" s="216"/>
    </row>
    <row r="5304" spans="14:14" ht="12" customHeight="1">
      <c r="N5304" s="216"/>
    </row>
    <row r="5305" spans="14:14" ht="12" customHeight="1">
      <c r="N5305" s="216"/>
    </row>
    <row r="5306" spans="14:14" ht="12" customHeight="1">
      <c r="N5306" s="216"/>
    </row>
    <row r="5307" spans="14:14" ht="12" customHeight="1">
      <c r="N5307" s="216"/>
    </row>
    <row r="5308" spans="14:14" ht="12" customHeight="1">
      <c r="N5308" s="216"/>
    </row>
    <row r="5309" spans="14:14" ht="12" customHeight="1">
      <c r="N5309" s="216"/>
    </row>
    <row r="5310" spans="14:14" ht="12" customHeight="1">
      <c r="N5310" s="216"/>
    </row>
    <row r="5311" spans="14:14" ht="12" customHeight="1">
      <c r="N5311" s="216"/>
    </row>
    <row r="5312" spans="14:14" ht="12" customHeight="1">
      <c r="N5312" s="216"/>
    </row>
    <row r="5313" spans="14:14" ht="12" customHeight="1">
      <c r="N5313" s="216"/>
    </row>
    <row r="5314" spans="14:14" ht="12" customHeight="1">
      <c r="N5314" s="216"/>
    </row>
    <row r="5315" spans="14:14" ht="12" customHeight="1">
      <c r="N5315" s="216"/>
    </row>
    <row r="5316" spans="14:14" ht="12" customHeight="1">
      <c r="N5316" s="216"/>
    </row>
    <row r="5317" spans="14:14" ht="12" customHeight="1">
      <c r="N5317" s="216"/>
    </row>
    <row r="5318" spans="14:14" ht="12" customHeight="1">
      <c r="N5318" s="216"/>
    </row>
    <row r="5319" spans="14:14" ht="12" customHeight="1">
      <c r="N5319" s="216"/>
    </row>
    <row r="5320" spans="14:14" ht="12" customHeight="1">
      <c r="N5320" s="216"/>
    </row>
    <row r="5321" spans="14:14" ht="12" customHeight="1">
      <c r="N5321" s="216"/>
    </row>
    <row r="5322" spans="14:14" ht="12" customHeight="1">
      <c r="N5322" s="216"/>
    </row>
    <row r="5323" spans="14:14" ht="12" customHeight="1">
      <c r="N5323" s="216"/>
    </row>
    <row r="5324" spans="14:14" ht="12" customHeight="1">
      <c r="N5324" s="216"/>
    </row>
    <row r="5325" spans="14:14" ht="12" customHeight="1">
      <c r="N5325" s="216"/>
    </row>
    <row r="5326" spans="14:14" ht="12" customHeight="1">
      <c r="N5326" s="216"/>
    </row>
    <row r="5327" spans="14:14" ht="12" customHeight="1">
      <c r="N5327" s="216"/>
    </row>
    <row r="5328" spans="14:14" ht="12" customHeight="1">
      <c r="N5328" s="216"/>
    </row>
    <row r="5329" spans="14:14" ht="12" customHeight="1">
      <c r="N5329" s="216"/>
    </row>
    <row r="5330" spans="14:14" ht="12" customHeight="1">
      <c r="N5330" s="216"/>
    </row>
    <row r="5331" spans="14:14" ht="12" customHeight="1">
      <c r="N5331" s="216"/>
    </row>
    <row r="5332" spans="14:14" ht="12" customHeight="1">
      <c r="N5332" s="216"/>
    </row>
    <row r="5333" spans="14:14" ht="12" customHeight="1">
      <c r="N5333" s="216"/>
    </row>
    <row r="5334" spans="14:14" ht="12" customHeight="1">
      <c r="N5334" s="216"/>
    </row>
    <row r="5335" spans="14:14" ht="12" customHeight="1">
      <c r="N5335" s="216"/>
    </row>
    <row r="5336" spans="14:14" ht="12" customHeight="1">
      <c r="N5336" s="216"/>
    </row>
    <row r="5337" spans="14:14" ht="12" customHeight="1">
      <c r="N5337" s="216"/>
    </row>
    <row r="5338" spans="14:14" ht="12" customHeight="1">
      <c r="N5338" s="216"/>
    </row>
    <row r="5339" spans="14:14" ht="12" customHeight="1">
      <c r="N5339" s="216"/>
    </row>
    <row r="5340" spans="14:14" ht="12" customHeight="1">
      <c r="N5340" s="216"/>
    </row>
    <row r="5341" spans="14:14" ht="12" customHeight="1">
      <c r="N5341" s="216"/>
    </row>
    <row r="5342" spans="14:14" ht="12" customHeight="1">
      <c r="N5342" s="216"/>
    </row>
    <row r="5343" spans="14:14" ht="12" customHeight="1">
      <c r="N5343" s="216"/>
    </row>
    <row r="5344" spans="14:14" ht="12" customHeight="1">
      <c r="N5344" s="216"/>
    </row>
    <row r="5345" spans="14:14" ht="12" customHeight="1">
      <c r="N5345" s="216"/>
    </row>
    <row r="5346" spans="14:14" ht="12" customHeight="1">
      <c r="N5346" s="216"/>
    </row>
    <row r="5347" spans="14:14" ht="12" customHeight="1">
      <c r="N5347" s="216"/>
    </row>
    <row r="5348" spans="14:14" ht="12" customHeight="1">
      <c r="N5348" s="216"/>
    </row>
    <row r="5349" spans="14:14" ht="12" customHeight="1">
      <c r="N5349" s="216"/>
    </row>
    <row r="5350" spans="14:14" ht="12" customHeight="1">
      <c r="N5350" s="216"/>
    </row>
    <row r="5351" spans="14:14" ht="12" customHeight="1">
      <c r="N5351" s="216"/>
    </row>
    <row r="5352" spans="14:14" ht="12" customHeight="1">
      <c r="N5352" s="216"/>
    </row>
    <row r="5353" spans="14:14" ht="12" customHeight="1">
      <c r="N5353" s="216"/>
    </row>
    <row r="5354" spans="14:14" ht="12" customHeight="1">
      <c r="N5354" s="216"/>
    </row>
    <row r="5355" spans="14:14" ht="12" customHeight="1">
      <c r="N5355" s="216"/>
    </row>
    <row r="5356" spans="14:14" ht="12" customHeight="1">
      <c r="N5356" s="216"/>
    </row>
    <row r="5357" spans="14:14" ht="12" customHeight="1">
      <c r="N5357" s="216"/>
    </row>
    <row r="5358" spans="14:14" ht="12" customHeight="1">
      <c r="N5358" s="216"/>
    </row>
    <row r="5359" spans="14:14" ht="12" customHeight="1">
      <c r="N5359" s="216"/>
    </row>
    <row r="5360" spans="14:14" ht="12" customHeight="1">
      <c r="N5360" s="216"/>
    </row>
    <row r="5361" spans="14:14" ht="12" customHeight="1">
      <c r="N5361" s="216"/>
    </row>
    <row r="5362" spans="14:14" ht="12" customHeight="1">
      <c r="N5362" s="216"/>
    </row>
    <row r="5363" spans="14:14" ht="12" customHeight="1">
      <c r="N5363" s="216"/>
    </row>
    <row r="5364" spans="14:14" ht="12" customHeight="1">
      <c r="N5364" s="216"/>
    </row>
    <row r="5365" spans="14:14" ht="12" customHeight="1">
      <c r="N5365" s="216"/>
    </row>
    <row r="5366" spans="14:14" ht="12" customHeight="1">
      <c r="N5366" s="216"/>
    </row>
    <row r="5367" spans="14:14" ht="12" customHeight="1">
      <c r="N5367" s="216"/>
    </row>
    <row r="5368" spans="14:14" ht="12" customHeight="1">
      <c r="N5368" s="216"/>
    </row>
    <row r="5369" spans="14:14" ht="12" customHeight="1">
      <c r="N5369" s="216"/>
    </row>
    <row r="5370" spans="14:14" ht="12" customHeight="1">
      <c r="N5370" s="216"/>
    </row>
    <row r="5371" spans="14:14" ht="12" customHeight="1">
      <c r="N5371" s="216"/>
    </row>
    <row r="5372" spans="14:14" ht="12" customHeight="1">
      <c r="N5372" s="216"/>
    </row>
    <row r="5373" spans="14:14" ht="12" customHeight="1">
      <c r="N5373" s="216"/>
    </row>
    <row r="5374" spans="14:14" ht="12" customHeight="1">
      <c r="N5374" s="216"/>
    </row>
    <row r="5375" spans="14:14" ht="12" customHeight="1">
      <c r="N5375" s="216"/>
    </row>
    <row r="5376" spans="14:14" ht="12" customHeight="1">
      <c r="N5376" s="216"/>
    </row>
    <row r="5377" spans="14:14" ht="12" customHeight="1">
      <c r="N5377" s="216"/>
    </row>
    <row r="5378" spans="14:14" ht="12" customHeight="1">
      <c r="N5378" s="216"/>
    </row>
    <row r="5379" spans="14:14" ht="12" customHeight="1">
      <c r="N5379" s="216"/>
    </row>
    <row r="5380" spans="14:14" ht="12" customHeight="1">
      <c r="N5380" s="216"/>
    </row>
    <row r="5381" spans="14:14" ht="12" customHeight="1">
      <c r="N5381" s="216"/>
    </row>
    <row r="5382" spans="14:14" ht="12" customHeight="1">
      <c r="N5382" s="216"/>
    </row>
    <row r="5383" spans="14:14" ht="12" customHeight="1">
      <c r="N5383" s="216"/>
    </row>
    <row r="5384" spans="14:14" ht="12" customHeight="1">
      <c r="N5384" s="216"/>
    </row>
    <row r="5385" spans="14:14" ht="12" customHeight="1">
      <c r="N5385" s="216"/>
    </row>
    <row r="5386" spans="14:14" ht="12" customHeight="1">
      <c r="N5386" s="216"/>
    </row>
    <row r="5387" spans="14:14" ht="12" customHeight="1">
      <c r="N5387" s="216"/>
    </row>
    <row r="5388" spans="14:14" ht="12" customHeight="1">
      <c r="N5388" s="216"/>
    </row>
    <row r="5389" spans="14:14" ht="12" customHeight="1">
      <c r="N5389" s="216"/>
    </row>
    <row r="5390" spans="14:14" ht="12" customHeight="1">
      <c r="N5390" s="216"/>
    </row>
    <row r="5391" spans="14:14" ht="12" customHeight="1">
      <c r="N5391" s="216"/>
    </row>
    <row r="5392" spans="14:14" ht="12" customHeight="1">
      <c r="N5392" s="216"/>
    </row>
    <row r="5393" spans="14:14" ht="12" customHeight="1">
      <c r="N5393" s="216"/>
    </row>
    <row r="5394" spans="14:14" ht="12" customHeight="1">
      <c r="N5394" s="216"/>
    </row>
    <row r="5395" spans="14:14" ht="12" customHeight="1">
      <c r="N5395" s="216"/>
    </row>
    <row r="5396" spans="14:14" ht="12" customHeight="1">
      <c r="N5396" s="216"/>
    </row>
    <row r="5397" spans="14:14" ht="12" customHeight="1">
      <c r="N5397" s="216"/>
    </row>
    <row r="5398" spans="14:14" ht="12" customHeight="1">
      <c r="N5398" s="216"/>
    </row>
    <row r="5399" spans="14:14" ht="12" customHeight="1">
      <c r="N5399" s="216"/>
    </row>
    <row r="5400" spans="14:14" ht="12" customHeight="1">
      <c r="N5400" s="216"/>
    </row>
    <row r="5401" spans="14:14" ht="12" customHeight="1">
      <c r="N5401" s="216"/>
    </row>
    <row r="5402" spans="14:14" ht="12" customHeight="1">
      <c r="N5402" s="216"/>
    </row>
    <row r="5403" spans="14:14" ht="12" customHeight="1">
      <c r="N5403" s="216"/>
    </row>
    <row r="5404" spans="14:14" ht="12" customHeight="1">
      <c r="N5404" s="216"/>
    </row>
    <row r="5405" spans="14:14" ht="12" customHeight="1">
      <c r="N5405" s="216"/>
    </row>
    <row r="5406" spans="14:14" ht="12" customHeight="1">
      <c r="N5406" s="216"/>
    </row>
    <row r="5407" spans="14:14" ht="12" customHeight="1">
      <c r="N5407" s="216"/>
    </row>
    <row r="5408" spans="14:14" ht="12" customHeight="1">
      <c r="N5408" s="216"/>
    </row>
    <row r="5409" spans="14:14" ht="12" customHeight="1">
      <c r="N5409" s="216"/>
    </row>
    <row r="5410" spans="14:14" ht="12" customHeight="1">
      <c r="N5410" s="216"/>
    </row>
    <row r="5411" spans="14:14" ht="12" customHeight="1">
      <c r="N5411" s="216"/>
    </row>
    <row r="5412" spans="14:14" ht="12" customHeight="1">
      <c r="N5412" s="216"/>
    </row>
    <row r="5413" spans="14:14" ht="12" customHeight="1">
      <c r="N5413" s="216"/>
    </row>
    <row r="5414" spans="14:14" ht="12" customHeight="1">
      <c r="N5414" s="216"/>
    </row>
    <row r="5415" spans="14:14" ht="12" customHeight="1">
      <c r="N5415" s="216"/>
    </row>
    <row r="5416" spans="14:14" ht="12" customHeight="1">
      <c r="N5416" s="216"/>
    </row>
    <row r="5417" spans="14:14" ht="12" customHeight="1">
      <c r="N5417" s="216"/>
    </row>
    <row r="5418" spans="14:14" ht="12" customHeight="1">
      <c r="N5418" s="216"/>
    </row>
    <row r="5419" spans="14:14" ht="12" customHeight="1">
      <c r="N5419" s="216"/>
    </row>
    <row r="5420" spans="14:14" ht="12" customHeight="1">
      <c r="N5420" s="216"/>
    </row>
    <row r="5421" spans="14:14" ht="12" customHeight="1">
      <c r="N5421" s="216"/>
    </row>
    <row r="5422" spans="14:14" ht="12" customHeight="1">
      <c r="N5422" s="216"/>
    </row>
    <row r="5423" spans="14:14" ht="12" customHeight="1">
      <c r="N5423" s="216"/>
    </row>
    <row r="5424" spans="14:14" ht="12" customHeight="1">
      <c r="N5424" s="216"/>
    </row>
    <row r="5425" spans="14:14" ht="12" customHeight="1">
      <c r="N5425" s="216"/>
    </row>
    <row r="5426" spans="14:14" ht="12" customHeight="1">
      <c r="N5426" s="216"/>
    </row>
    <row r="5427" spans="14:14" ht="12" customHeight="1">
      <c r="N5427" s="216"/>
    </row>
    <row r="5428" spans="14:14" ht="12" customHeight="1">
      <c r="N5428" s="216"/>
    </row>
    <row r="5429" spans="14:14" ht="12" customHeight="1">
      <c r="N5429" s="216"/>
    </row>
    <row r="5430" spans="14:14" ht="12" customHeight="1">
      <c r="N5430" s="216"/>
    </row>
    <row r="5431" spans="14:14" ht="12" customHeight="1">
      <c r="N5431" s="216"/>
    </row>
    <row r="5432" spans="14:14" ht="12" customHeight="1">
      <c r="N5432" s="216"/>
    </row>
    <row r="5433" spans="14:14" ht="12" customHeight="1">
      <c r="N5433" s="216"/>
    </row>
    <row r="5434" spans="14:14" ht="12" customHeight="1">
      <c r="N5434" s="216"/>
    </row>
    <row r="5435" spans="14:14" ht="12" customHeight="1">
      <c r="N5435" s="216"/>
    </row>
    <row r="5436" spans="14:14" ht="12" customHeight="1">
      <c r="N5436" s="216"/>
    </row>
    <row r="5437" spans="14:14" ht="12" customHeight="1">
      <c r="N5437" s="216"/>
    </row>
    <row r="5438" spans="14:14" ht="12" customHeight="1">
      <c r="N5438" s="216"/>
    </row>
    <row r="5439" spans="14:14" ht="12" customHeight="1">
      <c r="N5439" s="216"/>
    </row>
    <row r="5440" spans="14:14" ht="12" customHeight="1">
      <c r="N5440" s="216"/>
    </row>
    <row r="5441" spans="14:14" ht="12" customHeight="1">
      <c r="N5441" s="216"/>
    </row>
    <row r="5442" spans="14:14" ht="12" customHeight="1">
      <c r="N5442" s="216"/>
    </row>
    <row r="5443" spans="14:14" ht="12" customHeight="1">
      <c r="N5443" s="216"/>
    </row>
    <row r="5444" spans="14:14" ht="12" customHeight="1">
      <c r="N5444" s="216"/>
    </row>
    <row r="5445" spans="14:14" ht="12" customHeight="1">
      <c r="N5445" s="216"/>
    </row>
    <row r="5446" spans="14:14" ht="12" customHeight="1">
      <c r="N5446" s="216"/>
    </row>
    <row r="5447" spans="14:14" ht="12" customHeight="1">
      <c r="N5447" s="216"/>
    </row>
    <row r="5448" spans="14:14" ht="12" customHeight="1">
      <c r="N5448" s="216"/>
    </row>
    <row r="5449" spans="14:14" ht="12" customHeight="1">
      <c r="N5449" s="216"/>
    </row>
    <row r="5450" spans="14:14" ht="12" customHeight="1">
      <c r="N5450" s="216"/>
    </row>
    <row r="5451" spans="14:14" ht="12" customHeight="1">
      <c r="N5451" s="216"/>
    </row>
    <row r="5452" spans="14:14" ht="12" customHeight="1">
      <c r="N5452" s="216"/>
    </row>
    <row r="5453" spans="14:14" ht="12" customHeight="1">
      <c r="N5453" s="216"/>
    </row>
    <row r="5454" spans="14:14" ht="12" customHeight="1">
      <c r="N5454" s="216"/>
    </row>
    <row r="5455" spans="14:14" ht="12" customHeight="1">
      <c r="N5455" s="216"/>
    </row>
    <row r="5456" spans="14:14" ht="12" customHeight="1">
      <c r="N5456" s="216"/>
    </row>
    <row r="5457" spans="14:14" ht="12" customHeight="1">
      <c r="N5457" s="216"/>
    </row>
    <row r="5458" spans="14:14" ht="12" customHeight="1">
      <c r="N5458" s="216"/>
    </row>
    <row r="5459" spans="14:14" ht="12" customHeight="1">
      <c r="N5459" s="216"/>
    </row>
    <row r="5460" spans="14:14" ht="12" customHeight="1">
      <c r="N5460" s="216"/>
    </row>
    <row r="5461" spans="14:14" ht="12" customHeight="1">
      <c r="N5461" s="216"/>
    </row>
    <row r="5462" spans="14:14" ht="12" customHeight="1">
      <c r="N5462" s="216"/>
    </row>
    <row r="5463" spans="14:14" ht="12" customHeight="1">
      <c r="N5463" s="216"/>
    </row>
    <row r="5464" spans="14:14" ht="12" customHeight="1">
      <c r="N5464" s="216"/>
    </row>
    <row r="5465" spans="14:14" ht="12" customHeight="1">
      <c r="N5465" s="216"/>
    </row>
    <row r="5466" spans="14:14" ht="12" customHeight="1">
      <c r="N5466" s="216"/>
    </row>
    <row r="5467" spans="14:14" ht="12" customHeight="1">
      <c r="N5467" s="216"/>
    </row>
    <row r="5468" spans="14:14" ht="12" customHeight="1">
      <c r="N5468" s="216"/>
    </row>
    <row r="5469" spans="14:14" ht="12" customHeight="1">
      <c r="N5469" s="216"/>
    </row>
    <row r="5470" spans="14:14" ht="12" customHeight="1">
      <c r="N5470" s="216"/>
    </row>
    <row r="5471" spans="14:14" ht="12" customHeight="1">
      <c r="N5471" s="216"/>
    </row>
    <row r="5472" spans="14:14" ht="12" customHeight="1">
      <c r="N5472" s="216"/>
    </row>
    <row r="5473" spans="14:14" ht="12" customHeight="1">
      <c r="N5473" s="216"/>
    </row>
    <row r="5474" spans="14:14" ht="12" customHeight="1">
      <c r="N5474" s="216"/>
    </row>
    <row r="5475" spans="14:14" ht="12" customHeight="1">
      <c r="N5475" s="216"/>
    </row>
    <row r="5476" spans="14:14" ht="12" customHeight="1">
      <c r="N5476" s="216"/>
    </row>
    <row r="5477" spans="14:14" ht="12" customHeight="1">
      <c r="N5477" s="216"/>
    </row>
    <row r="5478" spans="14:14" ht="12" customHeight="1">
      <c r="N5478" s="216"/>
    </row>
    <row r="5479" spans="14:14" ht="12" customHeight="1">
      <c r="N5479" s="216"/>
    </row>
    <row r="5480" spans="14:14" ht="12" customHeight="1">
      <c r="N5480" s="216"/>
    </row>
    <row r="5481" spans="14:14" ht="12" customHeight="1">
      <c r="N5481" s="216"/>
    </row>
    <row r="5482" spans="14:14" ht="12" customHeight="1">
      <c r="N5482" s="216"/>
    </row>
    <row r="5483" spans="14:14" ht="12" customHeight="1">
      <c r="N5483" s="216"/>
    </row>
    <row r="5484" spans="14:14" ht="12" customHeight="1">
      <c r="N5484" s="216"/>
    </row>
    <row r="5485" spans="14:14" ht="12" customHeight="1">
      <c r="N5485" s="216"/>
    </row>
    <row r="5486" spans="14:14" ht="12" customHeight="1">
      <c r="N5486" s="216"/>
    </row>
    <row r="5487" spans="14:14" ht="12" customHeight="1">
      <c r="N5487" s="216"/>
    </row>
    <row r="5488" spans="14:14" ht="12" customHeight="1">
      <c r="N5488" s="216"/>
    </row>
    <row r="5489" spans="14:14" ht="12" customHeight="1">
      <c r="N5489" s="216"/>
    </row>
    <row r="5490" spans="14:14" ht="12" customHeight="1">
      <c r="N5490" s="216"/>
    </row>
    <row r="5491" spans="14:14" ht="12" customHeight="1">
      <c r="N5491" s="216"/>
    </row>
    <row r="5492" spans="14:14" ht="12" customHeight="1">
      <c r="N5492" s="216"/>
    </row>
    <row r="5493" spans="14:14" ht="12" customHeight="1">
      <c r="N5493" s="216"/>
    </row>
    <row r="5494" spans="14:14" ht="12" customHeight="1">
      <c r="N5494" s="216"/>
    </row>
    <row r="5495" spans="14:14" ht="12" customHeight="1">
      <c r="N5495" s="216"/>
    </row>
    <row r="5496" spans="14:14" ht="12" customHeight="1">
      <c r="N5496" s="216"/>
    </row>
    <row r="5497" spans="14:14" ht="12" customHeight="1">
      <c r="N5497" s="216"/>
    </row>
    <row r="5498" spans="14:14" ht="12" customHeight="1">
      <c r="N5498" s="216"/>
    </row>
    <row r="5499" spans="14:14" ht="12" customHeight="1">
      <c r="N5499" s="216"/>
    </row>
    <row r="5500" spans="14:14" ht="12" customHeight="1">
      <c r="N5500" s="216"/>
    </row>
    <row r="5501" spans="14:14" ht="12" customHeight="1">
      <c r="N5501" s="216"/>
    </row>
    <row r="5502" spans="14:14" ht="12" customHeight="1">
      <c r="N5502" s="216"/>
    </row>
    <row r="5503" spans="14:14" ht="12" customHeight="1">
      <c r="N5503" s="216"/>
    </row>
    <row r="5504" spans="14:14" ht="12" customHeight="1">
      <c r="N5504" s="216"/>
    </row>
    <row r="5505" spans="14:14" ht="12" customHeight="1">
      <c r="N5505" s="216"/>
    </row>
    <row r="5506" spans="14:14" ht="12" customHeight="1">
      <c r="N5506" s="216"/>
    </row>
    <row r="5507" spans="14:14" ht="12" customHeight="1">
      <c r="N5507" s="216"/>
    </row>
    <row r="5508" spans="14:14" ht="12" customHeight="1">
      <c r="N5508" s="216"/>
    </row>
    <row r="5509" spans="14:14" ht="12" customHeight="1">
      <c r="N5509" s="216"/>
    </row>
    <row r="5510" spans="14:14" ht="12" customHeight="1">
      <c r="N5510" s="216"/>
    </row>
    <row r="5511" spans="14:14" ht="12" customHeight="1">
      <c r="N5511" s="216"/>
    </row>
    <row r="5512" spans="14:14" ht="12" customHeight="1">
      <c r="N5512" s="216"/>
    </row>
    <row r="5513" spans="14:14" ht="12" customHeight="1">
      <c r="N5513" s="216"/>
    </row>
    <row r="5514" spans="14:14" ht="12" customHeight="1">
      <c r="N5514" s="216"/>
    </row>
    <row r="5515" spans="14:14" ht="12" customHeight="1">
      <c r="N5515" s="216"/>
    </row>
    <row r="5516" spans="14:14" ht="12" customHeight="1">
      <c r="N5516" s="216"/>
    </row>
    <row r="5517" spans="14:14" ht="12" customHeight="1">
      <c r="N5517" s="216"/>
    </row>
    <row r="5518" spans="14:14" ht="12" customHeight="1">
      <c r="N5518" s="216"/>
    </row>
    <row r="5519" spans="14:14" ht="12" customHeight="1">
      <c r="N5519" s="216"/>
    </row>
    <row r="5520" spans="14:14" ht="12" customHeight="1">
      <c r="N5520" s="216"/>
    </row>
    <row r="5521" spans="14:14" ht="12" customHeight="1">
      <c r="N5521" s="216"/>
    </row>
    <row r="5522" spans="14:14" ht="12" customHeight="1">
      <c r="N5522" s="216"/>
    </row>
    <row r="5523" spans="14:14" ht="12" customHeight="1">
      <c r="N5523" s="216"/>
    </row>
    <row r="5524" spans="14:14" ht="12" customHeight="1">
      <c r="N5524" s="216"/>
    </row>
    <row r="5525" spans="14:14" ht="12" customHeight="1">
      <c r="N5525" s="216"/>
    </row>
    <row r="5526" spans="14:14" ht="12" customHeight="1">
      <c r="N5526" s="216"/>
    </row>
    <row r="5527" spans="14:14" ht="12" customHeight="1">
      <c r="N5527" s="216"/>
    </row>
    <row r="5528" spans="14:14" ht="12" customHeight="1">
      <c r="N5528" s="216"/>
    </row>
    <row r="5529" spans="14:14" ht="12" customHeight="1">
      <c r="N5529" s="216"/>
    </row>
    <row r="5530" spans="14:14" ht="12" customHeight="1">
      <c r="N5530" s="216"/>
    </row>
    <row r="5531" spans="14:14" ht="12" customHeight="1">
      <c r="N5531" s="216"/>
    </row>
    <row r="5532" spans="14:14" ht="12" customHeight="1">
      <c r="N5532" s="216"/>
    </row>
    <row r="5533" spans="14:14" ht="12" customHeight="1">
      <c r="N5533" s="216"/>
    </row>
    <row r="5534" spans="14:14" ht="12" customHeight="1">
      <c r="N5534" s="216"/>
    </row>
    <row r="5535" spans="14:14" ht="12" customHeight="1">
      <c r="N5535" s="216"/>
    </row>
    <row r="5536" spans="14:14" ht="12" customHeight="1">
      <c r="N5536" s="216"/>
    </row>
    <row r="5537" spans="14:14" ht="12" customHeight="1">
      <c r="N5537" s="216"/>
    </row>
    <row r="5538" spans="14:14" ht="12" customHeight="1">
      <c r="N5538" s="216"/>
    </row>
    <row r="5539" spans="14:14" ht="12" customHeight="1">
      <c r="N5539" s="216"/>
    </row>
    <row r="5540" spans="14:14" ht="12" customHeight="1">
      <c r="N5540" s="216"/>
    </row>
    <row r="5541" spans="14:14" ht="12" customHeight="1">
      <c r="N5541" s="216"/>
    </row>
    <row r="5542" spans="14:14" ht="12" customHeight="1">
      <c r="N5542" s="216"/>
    </row>
    <row r="5543" spans="14:14" ht="12" customHeight="1">
      <c r="N5543" s="216"/>
    </row>
    <row r="5544" spans="14:14" ht="12" customHeight="1">
      <c r="N5544" s="216"/>
    </row>
    <row r="5545" spans="14:14" ht="12" customHeight="1">
      <c r="N5545" s="216"/>
    </row>
    <row r="5546" spans="14:14" ht="12" customHeight="1">
      <c r="N5546" s="216"/>
    </row>
    <row r="5547" spans="14:14" ht="12" customHeight="1">
      <c r="N5547" s="216"/>
    </row>
    <row r="5548" spans="14:14" ht="12" customHeight="1">
      <c r="N5548" s="216"/>
    </row>
    <row r="5549" spans="14:14" ht="12" customHeight="1">
      <c r="N5549" s="216"/>
    </row>
    <row r="5550" spans="14:14" ht="12" customHeight="1">
      <c r="N5550" s="216"/>
    </row>
    <row r="5551" spans="14:14" ht="12" customHeight="1">
      <c r="N5551" s="216"/>
    </row>
    <row r="5552" spans="14:14" ht="12" customHeight="1">
      <c r="N5552" s="216"/>
    </row>
    <row r="5553" spans="14:14" ht="12" customHeight="1">
      <c r="N5553" s="216"/>
    </row>
    <row r="5554" spans="14:14" ht="12" customHeight="1">
      <c r="N5554" s="216"/>
    </row>
    <row r="5555" spans="14:14" ht="12" customHeight="1">
      <c r="N5555" s="216"/>
    </row>
    <row r="5556" spans="14:14" ht="12" customHeight="1">
      <c r="N5556" s="216"/>
    </row>
    <row r="5557" spans="14:14" ht="12" customHeight="1">
      <c r="N5557" s="216"/>
    </row>
    <row r="5558" spans="14:14" ht="12" customHeight="1">
      <c r="N5558" s="216"/>
    </row>
    <row r="5559" spans="14:14" ht="12" customHeight="1">
      <c r="N5559" s="216"/>
    </row>
    <row r="5560" spans="14:14" ht="12" customHeight="1">
      <c r="N5560" s="216"/>
    </row>
    <row r="5561" spans="14:14" ht="12" customHeight="1">
      <c r="N5561" s="216"/>
    </row>
    <row r="5562" spans="14:14" ht="12" customHeight="1">
      <c r="N5562" s="216"/>
    </row>
    <row r="5563" spans="14:14" ht="12" customHeight="1">
      <c r="N5563" s="216"/>
    </row>
    <row r="5564" spans="14:14" ht="12" customHeight="1">
      <c r="N5564" s="216"/>
    </row>
    <row r="5565" spans="14:14" ht="12" customHeight="1">
      <c r="N5565" s="216"/>
    </row>
    <row r="5566" spans="14:14" ht="12" customHeight="1">
      <c r="N5566" s="216"/>
    </row>
    <row r="5567" spans="14:14" ht="12" customHeight="1">
      <c r="N5567" s="216"/>
    </row>
    <row r="5568" spans="14:14" ht="12" customHeight="1">
      <c r="N5568" s="216"/>
    </row>
    <row r="5569" spans="14:14" ht="12" customHeight="1">
      <c r="N5569" s="216"/>
    </row>
    <row r="5570" spans="14:14" ht="12" customHeight="1">
      <c r="N5570" s="216"/>
    </row>
    <row r="5571" spans="14:14" ht="12" customHeight="1">
      <c r="N5571" s="216"/>
    </row>
    <row r="5572" spans="14:14" ht="12" customHeight="1">
      <c r="N5572" s="216"/>
    </row>
    <row r="5573" spans="14:14" ht="12" customHeight="1">
      <c r="N5573" s="216"/>
    </row>
    <row r="5574" spans="14:14" ht="12" customHeight="1">
      <c r="N5574" s="216"/>
    </row>
    <row r="5575" spans="14:14" ht="12" customHeight="1">
      <c r="N5575" s="216"/>
    </row>
    <row r="5576" spans="14:14" ht="12" customHeight="1">
      <c r="N5576" s="216"/>
    </row>
    <row r="5577" spans="14:14" ht="12" customHeight="1">
      <c r="N5577" s="216"/>
    </row>
    <row r="5578" spans="14:14" ht="12" customHeight="1">
      <c r="N5578" s="216"/>
    </row>
    <row r="5579" spans="14:14" ht="12" customHeight="1">
      <c r="N5579" s="216"/>
    </row>
    <row r="5580" spans="14:14" ht="12" customHeight="1">
      <c r="N5580" s="216"/>
    </row>
    <row r="5581" spans="14:14" ht="12" customHeight="1">
      <c r="N5581" s="216"/>
    </row>
    <row r="5582" spans="14:14" ht="12" customHeight="1">
      <c r="N5582" s="216"/>
    </row>
    <row r="5583" spans="14:14" ht="12" customHeight="1">
      <c r="N5583" s="216"/>
    </row>
    <row r="5584" spans="14:14" ht="12" customHeight="1">
      <c r="N5584" s="216"/>
    </row>
    <row r="5585" spans="14:14" ht="12" customHeight="1">
      <c r="N5585" s="216"/>
    </row>
    <row r="5586" spans="14:14" ht="12" customHeight="1">
      <c r="N5586" s="216"/>
    </row>
    <row r="5587" spans="14:14" ht="12" customHeight="1">
      <c r="N5587" s="216"/>
    </row>
    <row r="5588" spans="14:14" ht="12" customHeight="1">
      <c r="N5588" s="216"/>
    </row>
    <row r="5589" spans="14:14" ht="12" customHeight="1">
      <c r="N5589" s="216"/>
    </row>
    <row r="5590" spans="14:14" ht="12" customHeight="1">
      <c r="N5590" s="216"/>
    </row>
    <row r="5591" spans="14:14" ht="12" customHeight="1">
      <c r="N5591" s="216"/>
    </row>
    <row r="5592" spans="14:14" ht="12" customHeight="1">
      <c r="N5592" s="216"/>
    </row>
    <row r="5593" spans="14:14" ht="12" customHeight="1">
      <c r="N5593" s="216"/>
    </row>
    <row r="5594" spans="14:14" ht="12" customHeight="1">
      <c r="N5594" s="216"/>
    </row>
    <row r="5595" spans="14:14" ht="12" customHeight="1">
      <c r="N5595" s="216"/>
    </row>
    <row r="5596" spans="14:14" ht="12" customHeight="1">
      <c r="N5596" s="216"/>
    </row>
    <row r="5597" spans="14:14" ht="12" customHeight="1">
      <c r="N5597" s="216"/>
    </row>
    <row r="5598" spans="14:14" ht="12" customHeight="1">
      <c r="N5598" s="216"/>
    </row>
    <row r="5599" spans="14:14" ht="12" customHeight="1">
      <c r="N5599" s="216"/>
    </row>
    <row r="5600" spans="14:14" ht="12" customHeight="1">
      <c r="N5600" s="216"/>
    </row>
    <row r="5601" spans="14:14" ht="12" customHeight="1">
      <c r="N5601" s="216"/>
    </row>
    <row r="5602" spans="14:14" ht="12" customHeight="1">
      <c r="N5602" s="216"/>
    </row>
    <row r="5603" spans="14:14" ht="12" customHeight="1">
      <c r="N5603" s="216"/>
    </row>
    <row r="5604" spans="14:14" ht="12" customHeight="1">
      <c r="N5604" s="216"/>
    </row>
    <row r="5605" spans="14:14" ht="12" customHeight="1">
      <c r="N5605" s="216"/>
    </row>
    <row r="5606" spans="14:14" ht="12" customHeight="1">
      <c r="N5606" s="216"/>
    </row>
    <row r="5607" spans="14:14" ht="12" customHeight="1">
      <c r="N5607" s="216"/>
    </row>
    <row r="5608" spans="14:14" ht="12" customHeight="1">
      <c r="N5608" s="216"/>
    </row>
    <row r="5609" spans="14:14" ht="12" customHeight="1">
      <c r="N5609" s="216"/>
    </row>
    <row r="5610" spans="14:14" ht="12" customHeight="1">
      <c r="N5610" s="216"/>
    </row>
    <row r="5611" spans="14:14" ht="12" customHeight="1">
      <c r="N5611" s="216"/>
    </row>
    <row r="5612" spans="14:14" ht="12" customHeight="1">
      <c r="N5612" s="216"/>
    </row>
    <row r="5613" spans="14:14" ht="12" customHeight="1">
      <c r="N5613" s="216"/>
    </row>
    <row r="5614" spans="14:14" ht="12" customHeight="1">
      <c r="N5614" s="216"/>
    </row>
    <row r="5615" spans="14:14" ht="12" customHeight="1">
      <c r="N5615" s="216"/>
    </row>
    <row r="5616" spans="14:14" ht="12" customHeight="1">
      <c r="N5616" s="216"/>
    </row>
    <row r="5617" spans="14:14" ht="12" customHeight="1">
      <c r="N5617" s="216"/>
    </row>
    <row r="5618" spans="14:14" ht="12" customHeight="1">
      <c r="N5618" s="216"/>
    </row>
    <row r="5619" spans="14:14" ht="12" customHeight="1">
      <c r="N5619" s="216"/>
    </row>
    <row r="5620" spans="14:14" ht="12" customHeight="1">
      <c r="N5620" s="216"/>
    </row>
    <row r="5621" spans="14:14" ht="12" customHeight="1">
      <c r="N5621" s="216"/>
    </row>
    <row r="5622" spans="14:14" ht="12" customHeight="1">
      <c r="N5622" s="216"/>
    </row>
    <row r="5623" spans="14:14" ht="12" customHeight="1">
      <c r="N5623" s="216"/>
    </row>
    <row r="5624" spans="14:14" ht="12" customHeight="1">
      <c r="N5624" s="216"/>
    </row>
    <row r="5625" spans="14:14" ht="12" customHeight="1">
      <c r="N5625" s="216"/>
    </row>
    <row r="5626" spans="14:14" ht="12" customHeight="1">
      <c r="N5626" s="216"/>
    </row>
    <row r="5627" spans="14:14" ht="12" customHeight="1">
      <c r="N5627" s="216"/>
    </row>
    <row r="5628" spans="14:14" ht="12" customHeight="1">
      <c r="N5628" s="216"/>
    </row>
    <row r="5629" spans="14:14" ht="12" customHeight="1">
      <c r="N5629" s="216"/>
    </row>
    <row r="5630" spans="14:14" ht="12" customHeight="1">
      <c r="N5630" s="216"/>
    </row>
    <row r="5631" spans="14:14" ht="12" customHeight="1">
      <c r="N5631" s="216"/>
    </row>
    <row r="5632" spans="14:14" ht="12" customHeight="1">
      <c r="N5632" s="216"/>
    </row>
    <row r="5633" spans="14:14" ht="12" customHeight="1">
      <c r="N5633" s="216"/>
    </row>
    <row r="5634" spans="14:14" ht="12" customHeight="1">
      <c r="N5634" s="216"/>
    </row>
    <row r="5635" spans="14:14" ht="12" customHeight="1">
      <c r="N5635" s="216"/>
    </row>
    <row r="5636" spans="14:14" ht="12" customHeight="1">
      <c r="N5636" s="216"/>
    </row>
    <row r="5637" spans="14:14" ht="12" customHeight="1">
      <c r="N5637" s="216"/>
    </row>
    <row r="5638" spans="14:14" ht="12" customHeight="1">
      <c r="N5638" s="216"/>
    </row>
    <row r="5639" spans="14:14" ht="12" customHeight="1">
      <c r="N5639" s="216"/>
    </row>
    <row r="5640" spans="14:14" ht="12" customHeight="1">
      <c r="N5640" s="216"/>
    </row>
    <row r="5641" spans="14:14" ht="12" customHeight="1">
      <c r="N5641" s="216"/>
    </row>
    <row r="5642" spans="14:14" ht="12" customHeight="1">
      <c r="N5642" s="216"/>
    </row>
    <row r="5643" spans="14:14" ht="12" customHeight="1">
      <c r="N5643" s="216"/>
    </row>
    <row r="5644" spans="14:14" ht="12" customHeight="1">
      <c r="N5644" s="216"/>
    </row>
    <row r="5645" spans="14:14" ht="12" customHeight="1">
      <c r="N5645" s="216"/>
    </row>
    <row r="5646" spans="14:14" ht="12" customHeight="1">
      <c r="N5646" s="216"/>
    </row>
    <row r="5647" spans="14:14" ht="12" customHeight="1">
      <c r="N5647" s="216"/>
    </row>
    <row r="5648" spans="14:14" ht="12" customHeight="1">
      <c r="N5648" s="216"/>
    </row>
    <row r="5649" spans="14:14" ht="12" customHeight="1">
      <c r="N5649" s="216"/>
    </row>
    <row r="5650" spans="14:14" ht="12" customHeight="1">
      <c r="N5650" s="216"/>
    </row>
    <row r="5651" spans="14:14" ht="12" customHeight="1">
      <c r="N5651" s="216"/>
    </row>
    <row r="5652" spans="14:14" ht="12" customHeight="1">
      <c r="N5652" s="216"/>
    </row>
    <row r="5653" spans="14:14" ht="12" customHeight="1">
      <c r="N5653" s="216"/>
    </row>
    <row r="5654" spans="14:14" ht="12" customHeight="1">
      <c r="N5654" s="216"/>
    </row>
    <row r="5655" spans="14:14" ht="12" customHeight="1">
      <c r="N5655" s="216"/>
    </row>
    <row r="5656" spans="14:14" ht="12" customHeight="1">
      <c r="N5656" s="216"/>
    </row>
    <row r="5657" spans="14:14" ht="12" customHeight="1">
      <c r="N5657" s="216"/>
    </row>
    <row r="5658" spans="14:14" ht="12" customHeight="1">
      <c r="N5658" s="216"/>
    </row>
    <row r="5659" spans="14:14" ht="12" customHeight="1">
      <c r="N5659" s="216"/>
    </row>
    <row r="5660" spans="14:14" ht="12" customHeight="1">
      <c r="N5660" s="216"/>
    </row>
    <row r="5661" spans="14:14" ht="12" customHeight="1">
      <c r="N5661" s="216"/>
    </row>
    <row r="5662" spans="14:14" ht="12" customHeight="1">
      <c r="N5662" s="216"/>
    </row>
    <row r="5663" spans="14:14" ht="12" customHeight="1">
      <c r="N5663" s="216"/>
    </row>
    <row r="5664" spans="14:14" ht="12" customHeight="1">
      <c r="N5664" s="216"/>
    </row>
    <row r="5665" spans="14:14" ht="12" customHeight="1">
      <c r="N5665" s="216"/>
    </row>
    <row r="5666" spans="14:14" ht="12" customHeight="1">
      <c r="N5666" s="216"/>
    </row>
    <row r="5667" spans="14:14" ht="12" customHeight="1">
      <c r="N5667" s="216"/>
    </row>
    <row r="5668" spans="14:14" ht="12" customHeight="1">
      <c r="N5668" s="216"/>
    </row>
    <row r="5669" spans="14:14" ht="12" customHeight="1">
      <c r="N5669" s="216"/>
    </row>
    <row r="5670" spans="14:14" ht="12" customHeight="1">
      <c r="N5670" s="216"/>
    </row>
    <row r="5671" spans="14:14" ht="12" customHeight="1">
      <c r="N5671" s="216"/>
    </row>
    <row r="5672" spans="14:14" ht="12" customHeight="1">
      <c r="N5672" s="216"/>
    </row>
    <row r="5673" spans="14:14" ht="12" customHeight="1">
      <c r="N5673" s="216"/>
    </row>
    <row r="5674" spans="14:14" ht="12" customHeight="1">
      <c r="N5674" s="216"/>
    </row>
    <row r="5675" spans="14:14" ht="12" customHeight="1">
      <c r="N5675" s="216"/>
    </row>
    <row r="5676" spans="14:14" ht="12" customHeight="1">
      <c r="N5676" s="216"/>
    </row>
    <row r="5677" spans="14:14" ht="12" customHeight="1">
      <c r="N5677" s="216"/>
    </row>
    <row r="5678" spans="14:14" ht="12" customHeight="1">
      <c r="N5678" s="216"/>
    </row>
    <row r="5679" spans="14:14" ht="12" customHeight="1">
      <c r="N5679" s="216"/>
    </row>
    <row r="5680" spans="14:14" ht="12" customHeight="1">
      <c r="N5680" s="216"/>
    </row>
    <row r="5681" spans="14:14" ht="12" customHeight="1">
      <c r="N5681" s="216"/>
    </row>
    <row r="5682" spans="14:14" ht="12" customHeight="1">
      <c r="N5682" s="216"/>
    </row>
    <row r="5683" spans="14:14" ht="12" customHeight="1">
      <c r="N5683" s="216"/>
    </row>
    <row r="5684" spans="14:14" ht="12" customHeight="1">
      <c r="N5684" s="216"/>
    </row>
    <row r="5685" spans="14:14" ht="12" customHeight="1">
      <c r="N5685" s="216"/>
    </row>
    <row r="5686" spans="14:14" ht="12" customHeight="1">
      <c r="N5686" s="216"/>
    </row>
    <row r="5687" spans="14:14" ht="12" customHeight="1">
      <c r="N5687" s="216"/>
    </row>
    <row r="5688" spans="14:14" ht="12" customHeight="1">
      <c r="N5688" s="216"/>
    </row>
    <row r="5689" spans="14:14" ht="12" customHeight="1">
      <c r="N5689" s="216"/>
    </row>
    <row r="5690" spans="14:14" ht="12" customHeight="1">
      <c r="N5690" s="216"/>
    </row>
    <row r="5691" spans="14:14" ht="12" customHeight="1">
      <c r="N5691" s="216"/>
    </row>
    <row r="5692" spans="14:14" ht="12" customHeight="1">
      <c r="N5692" s="216"/>
    </row>
    <row r="5693" spans="14:14" ht="12" customHeight="1">
      <c r="N5693" s="216"/>
    </row>
    <row r="5694" spans="14:14" ht="12" customHeight="1">
      <c r="N5694" s="216"/>
    </row>
    <row r="5695" spans="14:14" ht="12" customHeight="1">
      <c r="N5695" s="216"/>
    </row>
    <row r="5696" spans="14:14" ht="12" customHeight="1">
      <c r="N5696" s="216"/>
    </row>
    <row r="5697" spans="14:14" ht="12" customHeight="1">
      <c r="N5697" s="216"/>
    </row>
    <row r="5698" spans="14:14" ht="12" customHeight="1">
      <c r="N5698" s="216"/>
    </row>
    <row r="5699" spans="14:14" ht="12" customHeight="1">
      <c r="N5699" s="216"/>
    </row>
    <row r="5700" spans="14:14" ht="12" customHeight="1">
      <c r="N5700" s="216"/>
    </row>
    <row r="5701" spans="14:14" ht="12" customHeight="1">
      <c r="N5701" s="216"/>
    </row>
    <row r="5702" spans="14:14" ht="12" customHeight="1">
      <c r="N5702" s="216"/>
    </row>
    <row r="5703" spans="14:14" ht="12" customHeight="1">
      <c r="N5703" s="216"/>
    </row>
    <row r="5704" spans="14:14" ht="12" customHeight="1">
      <c r="N5704" s="216"/>
    </row>
    <row r="5705" spans="14:14" ht="12" customHeight="1">
      <c r="N5705" s="216"/>
    </row>
    <row r="5706" spans="14:14" ht="12" customHeight="1">
      <c r="N5706" s="216"/>
    </row>
    <row r="5707" spans="14:14" ht="12" customHeight="1">
      <c r="N5707" s="216"/>
    </row>
    <row r="5708" spans="14:14" ht="12" customHeight="1">
      <c r="N5708" s="216"/>
    </row>
    <row r="5709" spans="14:14" ht="12" customHeight="1">
      <c r="N5709" s="216"/>
    </row>
    <row r="5710" spans="14:14" ht="12" customHeight="1">
      <c r="N5710" s="216"/>
    </row>
    <row r="5711" spans="14:14" ht="12" customHeight="1">
      <c r="N5711" s="216"/>
    </row>
    <row r="5712" spans="14:14" ht="12" customHeight="1">
      <c r="N5712" s="216"/>
    </row>
    <row r="5713" spans="14:14" ht="12" customHeight="1">
      <c r="N5713" s="216"/>
    </row>
    <row r="5714" spans="14:14" ht="12" customHeight="1">
      <c r="N5714" s="216"/>
    </row>
    <row r="5715" spans="14:14" ht="12" customHeight="1">
      <c r="N5715" s="216"/>
    </row>
    <row r="5716" spans="14:14" ht="12" customHeight="1">
      <c r="N5716" s="216"/>
    </row>
    <row r="5717" spans="14:14" ht="12" customHeight="1">
      <c r="N5717" s="216"/>
    </row>
    <row r="5718" spans="14:14" ht="12" customHeight="1">
      <c r="N5718" s="216"/>
    </row>
    <row r="5719" spans="14:14" ht="12" customHeight="1">
      <c r="N5719" s="216"/>
    </row>
    <row r="5720" spans="14:14" ht="12" customHeight="1">
      <c r="N5720" s="216"/>
    </row>
    <row r="5721" spans="14:14" ht="12" customHeight="1">
      <c r="N5721" s="216"/>
    </row>
    <row r="5722" spans="14:14" ht="12" customHeight="1">
      <c r="N5722" s="216"/>
    </row>
    <row r="5723" spans="14:14" ht="12" customHeight="1">
      <c r="N5723" s="216"/>
    </row>
    <row r="5724" spans="14:14" ht="12" customHeight="1">
      <c r="N5724" s="216"/>
    </row>
    <row r="5725" spans="14:14" ht="12" customHeight="1">
      <c r="N5725" s="216"/>
    </row>
    <row r="5726" spans="14:14" ht="12" customHeight="1">
      <c r="N5726" s="216"/>
    </row>
    <row r="5727" spans="14:14" ht="12" customHeight="1">
      <c r="N5727" s="216"/>
    </row>
    <row r="5728" spans="14:14" ht="12" customHeight="1">
      <c r="N5728" s="216"/>
    </row>
    <row r="5729" spans="14:14" ht="12" customHeight="1">
      <c r="N5729" s="216"/>
    </row>
    <row r="5730" spans="14:14" ht="12" customHeight="1">
      <c r="N5730" s="216"/>
    </row>
    <row r="5731" spans="14:14" ht="12" customHeight="1">
      <c r="N5731" s="216"/>
    </row>
    <row r="5732" spans="14:14" ht="12" customHeight="1">
      <c r="N5732" s="216"/>
    </row>
    <row r="5733" spans="14:14" ht="12" customHeight="1">
      <c r="N5733" s="216"/>
    </row>
    <row r="5734" spans="14:14" ht="12" customHeight="1">
      <c r="N5734" s="216"/>
    </row>
    <row r="5735" spans="14:14" ht="12" customHeight="1">
      <c r="N5735" s="216"/>
    </row>
    <row r="5736" spans="14:14" ht="12" customHeight="1">
      <c r="N5736" s="216"/>
    </row>
    <row r="5737" spans="14:14" ht="12" customHeight="1">
      <c r="N5737" s="216"/>
    </row>
    <row r="5738" spans="14:14" ht="12" customHeight="1">
      <c r="N5738" s="216"/>
    </row>
    <row r="5739" spans="14:14" ht="12" customHeight="1">
      <c r="N5739" s="216"/>
    </row>
    <row r="5740" spans="14:14" ht="12" customHeight="1">
      <c r="N5740" s="216"/>
    </row>
    <row r="5741" spans="14:14" ht="12" customHeight="1">
      <c r="N5741" s="216"/>
    </row>
    <row r="5742" spans="14:14" ht="12" customHeight="1">
      <c r="N5742" s="216"/>
    </row>
    <row r="5743" spans="14:14" ht="12" customHeight="1">
      <c r="N5743" s="216"/>
    </row>
    <row r="5744" spans="14:14" ht="12" customHeight="1">
      <c r="N5744" s="216"/>
    </row>
    <row r="5745" spans="14:14" ht="12" customHeight="1">
      <c r="N5745" s="216"/>
    </row>
    <row r="5746" spans="14:14" ht="12" customHeight="1">
      <c r="N5746" s="216"/>
    </row>
    <row r="5747" spans="14:14" ht="12" customHeight="1">
      <c r="N5747" s="216"/>
    </row>
    <row r="5748" spans="14:14" ht="12" customHeight="1">
      <c r="N5748" s="216"/>
    </row>
    <row r="5749" spans="14:14" ht="12" customHeight="1">
      <c r="N5749" s="216"/>
    </row>
    <row r="5750" spans="14:14" ht="12" customHeight="1">
      <c r="N5750" s="216"/>
    </row>
    <row r="5751" spans="14:14" ht="12" customHeight="1">
      <c r="N5751" s="216"/>
    </row>
    <row r="5752" spans="14:14" ht="12" customHeight="1">
      <c r="N5752" s="216"/>
    </row>
    <row r="5753" spans="14:14" ht="12" customHeight="1">
      <c r="N5753" s="216"/>
    </row>
    <row r="5754" spans="14:14" ht="12" customHeight="1">
      <c r="N5754" s="216"/>
    </row>
    <row r="5755" spans="14:14" ht="12" customHeight="1">
      <c r="N5755" s="216"/>
    </row>
    <row r="5756" spans="14:14" ht="12" customHeight="1">
      <c r="N5756" s="216"/>
    </row>
    <row r="5757" spans="14:14" ht="12" customHeight="1">
      <c r="N5757" s="216"/>
    </row>
    <row r="5758" spans="14:14" ht="12" customHeight="1">
      <c r="N5758" s="216"/>
    </row>
    <row r="5759" spans="14:14" ht="12" customHeight="1">
      <c r="N5759" s="216"/>
    </row>
    <row r="5760" spans="14:14" ht="12" customHeight="1">
      <c r="N5760" s="216"/>
    </row>
    <row r="5761" spans="14:14" ht="12" customHeight="1">
      <c r="N5761" s="216"/>
    </row>
    <row r="5762" spans="14:14" ht="12" customHeight="1">
      <c r="N5762" s="216"/>
    </row>
    <row r="5763" spans="14:14" ht="12" customHeight="1">
      <c r="N5763" s="216"/>
    </row>
    <row r="5764" spans="14:14" ht="12" customHeight="1">
      <c r="N5764" s="216"/>
    </row>
    <row r="5765" spans="14:14" ht="12" customHeight="1">
      <c r="N5765" s="216"/>
    </row>
    <row r="5766" spans="14:14" ht="12" customHeight="1">
      <c r="N5766" s="216"/>
    </row>
    <row r="5767" spans="14:14" ht="12" customHeight="1">
      <c r="N5767" s="216"/>
    </row>
    <row r="5768" spans="14:14" ht="12" customHeight="1">
      <c r="N5768" s="216"/>
    </row>
    <row r="5769" spans="14:14" ht="12" customHeight="1">
      <c r="N5769" s="216"/>
    </row>
    <row r="5770" spans="14:14" ht="12" customHeight="1">
      <c r="N5770" s="216"/>
    </row>
    <row r="5771" spans="14:14" ht="12" customHeight="1">
      <c r="N5771" s="216"/>
    </row>
    <row r="5772" spans="14:14" ht="12" customHeight="1">
      <c r="N5772" s="216"/>
    </row>
    <row r="5773" spans="14:14" ht="12" customHeight="1">
      <c r="N5773" s="216"/>
    </row>
    <row r="5774" spans="14:14" ht="12" customHeight="1">
      <c r="N5774" s="216"/>
    </row>
    <row r="5775" spans="14:14" ht="12" customHeight="1">
      <c r="N5775" s="216"/>
    </row>
    <row r="5776" spans="14:14" ht="12" customHeight="1">
      <c r="N5776" s="216"/>
    </row>
    <row r="5777" spans="14:14" ht="12" customHeight="1">
      <c r="N5777" s="216"/>
    </row>
    <row r="5778" spans="14:14" ht="12" customHeight="1">
      <c r="N5778" s="216"/>
    </row>
    <row r="5779" spans="14:14" ht="12" customHeight="1">
      <c r="N5779" s="216"/>
    </row>
    <row r="5780" spans="14:14" ht="12" customHeight="1">
      <c r="N5780" s="216"/>
    </row>
    <row r="5781" spans="14:14" ht="12" customHeight="1">
      <c r="N5781" s="216"/>
    </row>
    <row r="5782" spans="14:14" ht="12" customHeight="1">
      <c r="N5782" s="216"/>
    </row>
    <row r="5783" spans="14:14" ht="12" customHeight="1">
      <c r="N5783" s="216"/>
    </row>
    <row r="5784" spans="14:14" ht="12" customHeight="1">
      <c r="N5784" s="216"/>
    </row>
    <row r="5785" spans="14:14" ht="12" customHeight="1">
      <c r="N5785" s="216"/>
    </row>
    <row r="5786" spans="14:14" ht="12" customHeight="1">
      <c r="N5786" s="216"/>
    </row>
    <row r="5787" spans="14:14" ht="12" customHeight="1">
      <c r="N5787" s="216"/>
    </row>
    <row r="5788" spans="14:14" ht="12" customHeight="1">
      <c r="N5788" s="216"/>
    </row>
    <row r="5789" spans="14:14" ht="12" customHeight="1">
      <c r="N5789" s="216"/>
    </row>
    <row r="5790" spans="14:14" ht="12" customHeight="1">
      <c r="N5790" s="216"/>
    </row>
    <row r="5791" spans="14:14" ht="12" customHeight="1">
      <c r="N5791" s="216"/>
    </row>
    <row r="5792" spans="14:14" ht="12" customHeight="1">
      <c r="N5792" s="216"/>
    </row>
    <row r="5793" spans="14:14" ht="12" customHeight="1">
      <c r="N5793" s="216"/>
    </row>
    <row r="5794" spans="14:14" ht="12" customHeight="1">
      <c r="N5794" s="216"/>
    </row>
    <row r="5795" spans="14:14" ht="12" customHeight="1">
      <c r="N5795" s="216"/>
    </row>
    <row r="5796" spans="14:14" ht="12" customHeight="1">
      <c r="N5796" s="216"/>
    </row>
    <row r="5797" spans="14:14" ht="12" customHeight="1">
      <c r="N5797" s="216"/>
    </row>
    <row r="5798" spans="14:14" ht="12" customHeight="1">
      <c r="N5798" s="216"/>
    </row>
    <row r="5799" spans="14:14" ht="12" customHeight="1">
      <c r="N5799" s="216"/>
    </row>
    <row r="5800" spans="14:14" ht="12" customHeight="1">
      <c r="N5800" s="216"/>
    </row>
    <row r="5801" spans="14:14" ht="12" customHeight="1">
      <c r="N5801" s="216"/>
    </row>
    <row r="5802" spans="14:14" ht="12" customHeight="1">
      <c r="N5802" s="216"/>
    </row>
    <row r="5803" spans="14:14" ht="12" customHeight="1">
      <c r="N5803" s="216"/>
    </row>
    <row r="5804" spans="14:14" ht="12" customHeight="1">
      <c r="N5804" s="216"/>
    </row>
    <row r="5805" spans="14:14" ht="12" customHeight="1">
      <c r="N5805" s="216"/>
    </row>
    <row r="5806" spans="14:14" ht="12" customHeight="1">
      <c r="N5806" s="216"/>
    </row>
    <row r="5807" spans="14:14" ht="12" customHeight="1">
      <c r="N5807" s="216"/>
    </row>
    <row r="5808" spans="14:14" ht="12" customHeight="1">
      <c r="N5808" s="216"/>
    </row>
    <row r="5809" spans="14:14" ht="12" customHeight="1">
      <c r="N5809" s="216"/>
    </row>
    <row r="5810" spans="14:14" ht="12" customHeight="1">
      <c r="N5810" s="216"/>
    </row>
    <row r="5811" spans="14:14" ht="12" customHeight="1">
      <c r="N5811" s="216"/>
    </row>
    <row r="5812" spans="14:14" ht="12" customHeight="1">
      <c r="N5812" s="216"/>
    </row>
    <row r="5813" spans="14:14" ht="12" customHeight="1">
      <c r="N5813" s="216"/>
    </row>
    <row r="5814" spans="14:14" ht="12" customHeight="1">
      <c r="N5814" s="216"/>
    </row>
    <row r="5815" spans="14:14" ht="12" customHeight="1">
      <c r="N5815" s="216"/>
    </row>
    <row r="5816" spans="14:14" ht="12" customHeight="1">
      <c r="N5816" s="216"/>
    </row>
    <row r="5817" spans="14:14" ht="12" customHeight="1">
      <c r="N5817" s="216"/>
    </row>
    <row r="5818" spans="14:14" ht="12" customHeight="1">
      <c r="N5818" s="216"/>
    </row>
    <row r="5819" spans="14:14" ht="12" customHeight="1">
      <c r="N5819" s="216"/>
    </row>
    <row r="5820" spans="14:14" ht="12" customHeight="1">
      <c r="N5820" s="216"/>
    </row>
    <row r="5821" spans="14:14" ht="12" customHeight="1">
      <c r="N5821" s="216"/>
    </row>
    <row r="5822" spans="14:14" ht="12" customHeight="1">
      <c r="N5822" s="216"/>
    </row>
    <row r="5823" spans="14:14" ht="12" customHeight="1">
      <c r="N5823" s="216"/>
    </row>
    <row r="5824" spans="14:14" ht="12" customHeight="1">
      <c r="N5824" s="216"/>
    </row>
    <row r="5825" spans="14:14" ht="12" customHeight="1">
      <c r="N5825" s="216"/>
    </row>
    <row r="5826" spans="14:14" ht="12" customHeight="1">
      <c r="N5826" s="216"/>
    </row>
    <row r="5827" spans="14:14" ht="12" customHeight="1">
      <c r="N5827" s="216"/>
    </row>
    <row r="5828" spans="14:14" ht="12" customHeight="1">
      <c r="N5828" s="216"/>
    </row>
    <row r="5829" spans="14:14" ht="12" customHeight="1">
      <c r="N5829" s="216"/>
    </row>
    <row r="5830" spans="14:14" ht="12" customHeight="1">
      <c r="N5830" s="216"/>
    </row>
    <row r="5831" spans="14:14" ht="12" customHeight="1">
      <c r="N5831" s="216"/>
    </row>
    <row r="5832" spans="14:14" ht="12" customHeight="1">
      <c r="N5832" s="216"/>
    </row>
    <row r="5833" spans="14:14" ht="12" customHeight="1">
      <c r="N5833" s="216"/>
    </row>
    <row r="5834" spans="14:14" ht="12" customHeight="1">
      <c r="N5834" s="216"/>
    </row>
    <row r="5835" spans="14:14" ht="12" customHeight="1">
      <c r="N5835" s="216"/>
    </row>
    <row r="5836" spans="14:14" ht="12" customHeight="1">
      <c r="N5836" s="216"/>
    </row>
    <row r="5837" spans="14:14" ht="12" customHeight="1">
      <c r="N5837" s="216"/>
    </row>
    <row r="5838" spans="14:14" ht="12" customHeight="1">
      <c r="N5838" s="216"/>
    </row>
    <row r="5839" spans="14:14" ht="12" customHeight="1">
      <c r="N5839" s="216"/>
    </row>
    <row r="5840" spans="14:14" ht="12" customHeight="1">
      <c r="N5840" s="216"/>
    </row>
    <row r="5841" spans="14:14" ht="12" customHeight="1">
      <c r="N5841" s="216"/>
    </row>
    <row r="5842" spans="14:14" ht="12" customHeight="1">
      <c r="N5842" s="216"/>
    </row>
    <row r="5843" spans="14:14" ht="12" customHeight="1">
      <c r="N5843" s="216"/>
    </row>
    <row r="5844" spans="14:14" ht="12" customHeight="1">
      <c r="N5844" s="216"/>
    </row>
    <row r="5845" spans="14:14" ht="12" customHeight="1">
      <c r="N5845" s="216"/>
    </row>
    <row r="5846" spans="14:14" ht="12" customHeight="1">
      <c r="N5846" s="216"/>
    </row>
    <row r="5847" spans="14:14" ht="12" customHeight="1">
      <c r="N5847" s="216"/>
    </row>
    <row r="5848" spans="14:14" ht="12" customHeight="1">
      <c r="N5848" s="216"/>
    </row>
    <row r="5849" spans="14:14" ht="12" customHeight="1">
      <c r="N5849" s="216"/>
    </row>
    <row r="5850" spans="14:14" ht="12" customHeight="1">
      <c r="N5850" s="216"/>
    </row>
    <row r="5851" spans="14:14" ht="12" customHeight="1">
      <c r="N5851" s="216"/>
    </row>
    <row r="5852" spans="14:14" ht="12" customHeight="1">
      <c r="N5852" s="216"/>
    </row>
    <row r="5853" spans="14:14" ht="12" customHeight="1">
      <c r="N5853" s="216"/>
    </row>
    <row r="5854" spans="14:14" ht="12" customHeight="1">
      <c r="N5854" s="216"/>
    </row>
    <row r="5855" spans="14:14" ht="12" customHeight="1">
      <c r="N5855" s="216"/>
    </row>
    <row r="5856" spans="14:14" ht="12" customHeight="1">
      <c r="N5856" s="216"/>
    </row>
    <row r="5857" spans="14:14" ht="12" customHeight="1">
      <c r="N5857" s="216"/>
    </row>
    <row r="5858" spans="14:14" ht="12" customHeight="1">
      <c r="N5858" s="216"/>
    </row>
    <row r="5859" spans="14:14" ht="12" customHeight="1">
      <c r="N5859" s="216"/>
    </row>
    <row r="5860" spans="14:14" ht="12" customHeight="1">
      <c r="N5860" s="216"/>
    </row>
    <row r="5861" spans="14:14" ht="12" customHeight="1">
      <c r="N5861" s="216"/>
    </row>
    <row r="5862" spans="14:14" ht="12" customHeight="1">
      <c r="N5862" s="216"/>
    </row>
    <row r="5863" spans="14:14" ht="12" customHeight="1">
      <c r="N5863" s="216"/>
    </row>
    <row r="5864" spans="14:14" ht="12" customHeight="1">
      <c r="N5864" s="216"/>
    </row>
    <row r="5865" spans="14:14" ht="12" customHeight="1">
      <c r="N5865" s="216"/>
    </row>
    <row r="5866" spans="14:14" ht="12" customHeight="1">
      <c r="N5866" s="216"/>
    </row>
    <row r="5867" spans="14:14" ht="12" customHeight="1">
      <c r="N5867" s="216"/>
    </row>
    <row r="5868" spans="14:14" ht="12" customHeight="1">
      <c r="N5868" s="216"/>
    </row>
    <row r="5869" spans="14:14" ht="12" customHeight="1">
      <c r="N5869" s="216"/>
    </row>
    <row r="5870" spans="14:14" ht="12" customHeight="1">
      <c r="N5870" s="216"/>
    </row>
    <row r="5871" spans="14:14" ht="12" customHeight="1">
      <c r="N5871" s="216"/>
    </row>
    <row r="5872" spans="14:14" ht="12" customHeight="1">
      <c r="N5872" s="216"/>
    </row>
    <row r="5873" spans="14:14" ht="12" customHeight="1">
      <c r="N5873" s="216"/>
    </row>
    <row r="5874" spans="14:14" ht="12" customHeight="1">
      <c r="N5874" s="216"/>
    </row>
    <row r="5875" spans="14:14" ht="12" customHeight="1">
      <c r="N5875" s="216"/>
    </row>
    <row r="5876" spans="14:14" ht="12" customHeight="1">
      <c r="N5876" s="216"/>
    </row>
    <row r="5877" spans="14:14" ht="12" customHeight="1">
      <c r="N5877" s="216"/>
    </row>
    <row r="5878" spans="14:14" ht="12" customHeight="1">
      <c r="N5878" s="216"/>
    </row>
    <row r="5879" spans="14:14" ht="12" customHeight="1">
      <c r="N5879" s="216"/>
    </row>
    <row r="5880" spans="14:14" ht="12" customHeight="1">
      <c r="N5880" s="216"/>
    </row>
    <row r="5881" spans="14:14" ht="12" customHeight="1">
      <c r="N5881" s="216"/>
    </row>
    <row r="5882" spans="14:14" ht="12" customHeight="1">
      <c r="N5882" s="216"/>
    </row>
    <row r="5883" spans="14:14" ht="12" customHeight="1">
      <c r="N5883" s="216"/>
    </row>
    <row r="5884" spans="14:14" ht="12" customHeight="1">
      <c r="N5884" s="216"/>
    </row>
    <row r="5885" spans="14:14" ht="12" customHeight="1">
      <c r="N5885" s="216"/>
    </row>
    <row r="5886" spans="14:14" ht="12" customHeight="1">
      <c r="N5886" s="216"/>
    </row>
    <row r="5887" spans="14:14" ht="12" customHeight="1">
      <c r="N5887" s="216"/>
    </row>
    <row r="5888" spans="14:14" ht="12" customHeight="1">
      <c r="N5888" s="216"/>
    </row>
    <row r="5889" spans="14:14" ht="12" customHeight="1">
      <c r="N5889" s="216"/>
    </row>
    <row r="5890" spans="14:14" ht="12" customHeight="1">
      <c r="N5890" s="216"/>
    </row>
    <row r="5891" spans="14:14" ht="12" customHeight="1">
      <c r="N5891" s="216"/>
    </row>
    <row r="5892" spans="14:14" ht="12" customHeight="1">
      <c r="N5892" s="216"/>
    </row>
    <row r="5893" spans="14:14" ht="12" customHeight="1">
      <c r="N5893" s="216"/>
    </row>
    <row r="5894" spans="14:14" ht="12" customHeight="1">
      <c r="N5894" s="216"/>
    </row>
    <row r="5895" spans="14:14" ht="12" customHeight="1">
      <c r="N5895" s="216"/>
    </row>
    <row r="5896" spans="14:14" ht="12" customHeight="1">
      <c r="N5896" s="216"/>
    </row>
    <row r="5897" spans="14:14" ht="12" customHeight="1">
      <c r="N5897" s="216"/>
    </row>
    <row r="5898" spans="14:14" ht="12" customHeight="1">
      <c r="N5898" s="216"/>
    </row>
    <row r="5899" spans="14:14" ht="12" customHeight="1">
      <c r="N5899" s="216"/>
    </row>
    <row r="5900" spans="14:14" ht="12" customHeight="1">
      <c r="N5900" s="216"/>
    </row>
    <row r="5901" spans="14:14" ht="12" customHeight="1">
      <c r="N5901" s="216"/>
    </row>
    <row r="5902" spans="14:14" ht="12" customHeight="1">
      <c r="N5902" s="216"/>
    </row>
    <row r="5903" spans="14:14" ht="12" customHeight="1">
      <c r="N5903" s="216"/>
    </row>
    <row r="5904" spans="14:14" ht="12" customHeight="1">
      <c r="N5904" s="216"/>
    </row>
    <row r="5905" spans="14:14" ht="12" customHeight="1">
      <c r="N5905" s="216"/>
    </row>
    <row r="5906" spans="14:14" ht="12" customHeight="1">
      <c r="N5906" s="216"/>
    </row>
    <row r="5907" spans="14:14" ht="12" customHeight="1">
      <c r="N5907" s="216"/>
    </row>
    <row r="5908" spans="14:14" ht="12" customHeight="1">
      <c r="N5908" s="216"/>
    </row>
    <row r="5909" spans="14:14" ht="12" customHeight="1">
      <c r="N5909" s="216"/>
    </row>
    <row r="5910" spans="14:14" ht="12" customHeight="1">
      <c r="N5910" s="216"/>
    </row>
    <row r="5911" spans="14:14" ht="12" customHeight="1">
      <c r="N5911" s="216"/>
    </row>
    <row r="5912" spans="14:14" ht="12" customHeight="1">
      <c r="N5912" s="216"/>
    </row>
    <row r="5913" spans="14:14" ht="12" customHeight="1">
      <c r="N5913" s="216"/>
    </row>
    <row r="5914" spans="14:14" ht="12" customHeight="1">
      <c r="N5914" s="216"/>
    </row>
    <row r="5915" spans="14:14" ht="12" customHeight="1">
      <c r="N5915" s="216"/>
    </row>
    <row r="5916" spans="14:14" ht="12" customHeight="1">
      <c r="N5916" s="216"/>
    </row>
    <row r="5917" spans="14:14" ht="12" customHeight="1">
      <c r="N5917" s="216"/>
    </row>
    <row r="5918" spans="14:14" ht="12" customHeight="1">
      <c r="N5918" s="216"/>
    </row>
    <row r="5919" spans="14:14" ht="12" customHeight="1">
      <c r="N5919" s="216"/>
    </row>
    <row r="5920" spans="14:14" ht="12" customHeight="1">
      <c r="N5920" s="216"/>
    </row>
    <row r="5921" spans="14:14" ht="12" customHeight="1">
      <c r="N5921" s="216"/>
    </row>
    <row r="5922" spans="14:14" ht="12" customHeight="1">
      <c r="N5922" s="216"/>
    </row>
    <row r="5923" spans="14:14" ht="12" customHeight="1">
      <c r="N5923" s="216"/>
    </row>
    <row r="5924" spans="14:14" ht="12" customHeight="1">
      <c r="N5924" s="216"/>
    </row>
    <row r="5925" spans="14:14" ht="12" customHeight="1">
      <c r="N5925" s="216"/>
    </row>
    <row r="5926" spans="14:14" ht="12" customHeight="1">
      <c r="N5926" s="216"/>
    </row>
    <row r="5927" spans="14:14" ht="12" customHeight="1">
      <c r="N5927" s="216"/>
    </row>
    <row r="5928" spans="14:14" ht="12" customHeight="1">
      <c r="N5928" s="216"/>
    </row>
    <row r="5929" spans="14:14" ht="12" customHeight="1">
      <c r="N5929" s="216"/>
    </row>
    <row r="5930" spans="14:14" ht="12" customHeight="1">
      <c r="N5930" s="216"/>
    </row>
    <row r="5931" spans="14:14" ht="12" customHeight="1">
      <c r="N5931" s="216"/>
    </row>
    <row r="5932" spans="14:14" ht="12" customHeight="1">
      <c r="N5932" s="216"/>
    </row>
    <row r="5933" spans="14:14" ht="12" customHeight="1">
      <c r="N5933" s="216"/>
    </row>
    <row r="5934" spans="14:14" ht="12" customHeight="1">
      <c r="N5934" s="216"/>
    </row>
    <row r="5935" spans="14:14" ht="12" customHeight="1">
      <c r="N5935" s="216"/>
    </row>
    <row r="5936" spans="14:14" ht="12" customHeight="1">
      <c r="N5936" s="216"/>
    </row>
    <row r="5937" spans="14:14" ht="12" customHeight="1">
      <c r="N5937" s="216"/>
    </row>
    <row r="5938" spans="14:14" ht="12" customHeight="1">
      <c r="N5938" s="216"/>
    </row>
    <row r="5939" spans="14:14" ht="12" customHeight="1">
      <c r="N5939" s="216"/>
    </row>
    <row r="5940" spans="14:14" ht="12" customHeight="1">
      <c r="N5940" s="216"/>
    </row>
    <row r="5941" spans="14:14" ht="12" customHeight="1">
      <c r="N5941" s="216"/>
    </row>
    <row r="5942" spans="14:14" ht="12" customHeight="1">
      <c r="N5942" s="216"/>
    </row>
    <row r="5943" spans="14:14" ht="12" customHeight="1">
      <c r="N5943" s="216"/>
    </row>
    <row r="5944" spans="14:14" ht="12" customHeight="1">
      <c r="N5944" s="216"/>
    </row>
    <row r="5945" spans="14:14" ht="12" customHeight="1">
      <c r="N5945" s="216"/>
    </row>
    <row r="5946" spans="14:14" ht="12" customHeight="1">
      <c r="N5946" s="216"/>
    </row>
    <row r="5947" spans="14:14" ht="12" customHeight="1">
      <c r="N5947" s="216"/>
    </row>
    <row r="5948" spans="14:14" ht="12" customHeight="1">
      <c r="N5948" s="216"/>
    </row>
    <row r="5949" spans="14:14" ht="12" customHeight="1">
      <c r="N5949" s="216"/>
    </row>
    <row r="5950" spans="14:14" ht="12" customHeight="1">
      <c r="N5950" s="216"/>
    </row>
    <row r="5951" spans="14:14" ht="12" customHeight="1">
      <c r="N5951" s="216"/>
    </row>
    <row r="5952" spans="14:14" ht="12" customHeight="1">
      <c r="N5952" s="216"/>
    </row>
    <row r="5953" spans="14:14" ht="12" customHeight="1">
      <c r="N5953" s="216"/>
    </row>
    <row r="5954" spans="14:14" ht="12" customHeight="1">
      <c r="N5954" s="216"/>
    </row>
    <row r="5955" spans="14:14" ht="12" customHeight="1">
      <c r="N5955" s="216"/>
    </row>
    <row r="5956" spans="14:14" ht="12" customHeight="1">
      <c r="N5956" s="216"/>
    </row>
    <row r="5957" spans="14:14" ht="12" customHeight="1">
      <c r="N5957" s="216"/>
    </row>
    <row r="5958" spans="14:14" ht="12" customHeight="1">
      <c r="N5958" s="216"/>
    </row>
    <row r="5959" spans="14:14" ht="12" customHeight="1">
      <c r="N5959" s="216"/>
    </row>
    <row r="5960" spans="14:14" ht="12" customHeight="1">
      <c r="N5960" s="216"/>
    </row>
    <row r="5961" spans="14:14" ht="12" customHeight="1">
      <c r="N5961" s="216"/>
    </row>
    <row r="5962" spans="14:14" ht="12" customHeight="1">
      <c r="N5962" s="216"/>
    </row>
    <row r="5963" spans="14:14" ht="12" customHeight="1">
      <c r="N5963" s="216"/>
    </row>
    <row r="5964" spans="14:14" ht="12" customHeight="1">
      <c r="N5964" s="216"/>
    </row>
    <row r="5965" spans="14:14" ht="12" customHeight="1">
      <c r="N5965" s="216"/>
    </row>
    <row r="5966" spans="14:14" ht="12" customHeight="1">
      <c r="N5966" s="216"/>
    </row>
    <row r="5967" spans="14:14" ht="12" customHeight="1">
      <c r="N5967" s="216"/>
    </row>
    <row r="5968" spans="14:14" ht="12" customHeight="1">
      <c r="N5968" s="216"/>
    </row>
    <row r="5969" spans="14:14" ht="12" customHeight="1">
      <c r="N5969" s="216"/>
    </row>
    <row r="5970" spans="14:14" ht="12" customHeight="1">
      <c r="N5970" s="216"/>
    </row>
    <row r="5971" spans="14:14" ht="12" customHeight="1">
      <c r="N5971" s="216"/>
    </row>
    <row r="5972" spans="14:14" ht="12" customHeight="1">
      <c r="N5972" s="216"/>
    </row>
    <row r="5973" spans="14:14" ht="12" customHeight="1">
      <c r="N5973" s="216"/>
    </row>
    <row r="5974" spans="14:14" ht="12" customHeight="1">
      <c r="N5974" s="216"/>
    </row>
    <row r="5975" spans="14:14" ht="12" customHeight="1">
      <c r="N5975" s="216"/>
    </row>
    <row r="5976" spans="14:14" ht="12" customHeight="1">
      <c r="N5976" s="216"/>
    </row>
    <row r="5977" spans="14:14" ht="12" customHeight="1">
      <c r="N5977" s="216"/>
    </row>
    <row r="5978" spans="14:14" ht="12" customHeight="1">
      <c r="N5978" s="216"/>
    </row>
    <row r="5979" spans="14:14" ht="12" customHeight="1">
      <c r="N5979" s="216"/>
    </row>
    <row r="5980" spans="14:14" ht="12" customHeight="1">
      <c r="N5980" s="216"/>
    </row>
    <row r="5981" spans="14:14" ht="12" customHeight="1">
      <c r="N5981" s="216"/>
    </row>
    <row r="5982" spans="14:14" ht="12" customHeight="1">
      <c r="N5982" s="216"/>
    </row>
    <row r="5983" spans="14:14" ht="12" customHeight="1">
      <c r="N5983" s="216"/>
    </row>
    <row r="5984" spans="14:14" ht="12" customHeight="1">
      <c r="N5984" s="216"/>
    </row>
    <row r="5985" spans="14:14" ht="12" customHeight="1">
      <c r="N5985" s="216"/>
    </row>
    <row r="5986" spans="14:14" ht="12" customHeight="1">
      <c r="N5986" s="216"/>
    </row>
    <row r="5987" spans="14:14" ht="12" customHeight="1">
      <c r="N5987" s="216"/>
    </row>
    <row r="5988" spans="14:14" ht="12" customHeight="1">
      <c r="N5988" s="216"/>
    </row>
    <row r="5989" spans="14:14" ht="12" customHeight="1">
      <c r="N5989" s="216"/>
    </row>
    <row r="5990" spans="14:14" ht="12" customHeight="1">
      <c r="N5990" s="216"/>
    </row>
    <row r="5991" spans="14:14" ht="12" customHeight="1">
      <c r="N5991" s="216"/>
    </row>
    <row r="5992" spans="14:14" ht="12" customHeight="1">
      <c r="N5992" s="216"/>
    </row>
    <row r="5993" spans="14:14" ht="12" customHeight="1">
      <c r="N5993" s="216"/>
    </row>
    <row r="5994" spans="14:14" ht="12" customHeight="1">
      <c r="N5994" s="216"/>
    </row>
    <row r="5995" spans="14:14" ht="12" customHeight="1">
      <c r="N5995" s="216"/>
    </row>
    <row r="5996" spans="14:14" ht="12" customHeight="1">
      <c r="N5996" s="216"/>
    </row>
    <row r="5997" spans="14:14" ht="12" customHeight="1">
      <c r="N5997" s="216"/>
    </row>
    <row r="5998" spans="14:14" ht="12" customHeight="1">
      <c r="N5998" s="216"/>
    </row>
    <row r="5999" spans="14:14" ht="12" customHeight="1">
      <c r="N5999" s="216"/>
    </row>
    <row r="6000" spans="14:14" ht="12" customHeight="1">
      <c r="N6000" s="216"/>
    </row>
    <row r="6001" spans="14:14" ht="12" customHeight="1">
      <c r="N6001" s="216"/>
    </row>
    <row r="6002" spans="14:14" ht="12" customHeight="1">
      <c r="N6002" s="216"/>
    </row>
    <row r="6003" spans="14:14" ht="12" customHeight="1">
      <c r="N6003" s="216"/>
    </row>
    <row r="6004" spans="14:14" ht="12" customHeight="1">
      <c r="N6004" s="216"/>
    </row>
    <row r="6005" spans="14:14" ht="12" customHeight="1">
      <c r="N6005" s="216"/>
    </row>
    <row r="6006" spans="14:14" ht="12" customHeight="1">
      <c r="N6006" s="216"/>
    </row>
    <row r="6007" spans="14:14" ht="12" customHeight="1">
      <c r="N6007" s="216"/>
    </row>
    <row r="6008" spans="14:14" ht="12" customHeight="1">
      <c r="N6008" s="216"/>
    </row>
    <row r="6009" spans="14:14" ht="12" customHeight="1">
      <c r="N6009" s="216"/>
    </row>
    <row r="6010" spans="14:14" ht="12" customHeight="1">
      <c r="N6010" s="216"/>
    </row>
    <row r="6011" spans="14:14" ht="12" customHeight="1">
      <c r="N6011" s="216"/>
    </row>
    <row r="6012" spans="14:14" ht="12" customHeight="1">
      <c r="N6012" s="216"/>
    </row>
    <row r="6013" spans="14:14" ht="12" customHeight="1">
      <c r="N6013" s="216"/>
    </row>
    <row r="6014" spans="14:14" ht="12" customHeight="1">
      <c r="N6014" s="216"/>
    </row>
    <row r="6015" spans="14:14" ht="12" customHeight="1">
      <c r="N6015" s="216"/>
    </row>
    <row r="6016" spans="14:14" ht="12" customHeight="1">
      <c r="N6016" s="216"/>
    </row>
    <row r="6017" spans="14:14" ht="12" customHeight="1">
      <c r="N6017" s="216"/>
    </row>
    <row r="6018" spans="14:14" ht="12" customHeight="1">
      <c r="N6018" s="216"/>
    </row>
    <row r="6019" spans="14:14" ht="12" customHeight="1">
      <c r="N6019" s="216"/>
    </row>
    <row r="6020" spans="14:14" ht="12" customHeight="1">
      <c r="N6020" s="216"/>
    </row>
    <row r="6021" spans="14:14" ht="12" customHeight="1">
      <c r="N6021" s="216"/>
    </row>
    <row r="6022" spans="14:14" ht="12" customHeight="1">
      <c r="N6022" s="216"/>
    </row>
    <row r="6023" spans="14:14" ht="12" customHeight="1">
      <c r="N6023" s="216"/>
    </row>
    <row r="6024" spans="14:14" ht="12" customHeight="1">
      <c r="N6024" s="216"/>
    </row>
    <row r="6025" spans="14:14" ht="12" customHeight="1">
      <c r="N6025" s="216"/>
    </row>
    <row r="6026" spans="14:14" ht="12" customHeight="1">
      <c r="N6026" s="216"/>
    </row>
    <row r="6027" spans="14:14" ht="12" customHeight="1">
      <c r="N6027" s="216"/>
    </row>
    <row r="6028" spans="14:14" ht="12" customHeight="1">
      <c r="N6028" s="216"/>
    </row>
    <row r="6029" spans="14:14" ht="12" customHeight="1">
      <c r="N6029" s="216"/>
    </row>
    <row r="6030" spans="14:14" ht="12" customHeight="1">
      <c r="N6030" s="216"/>
    </row>
    <row r="6031" spans="14:14" ht="12" customHeight="1">
      <c r="N6031" s="216"/>
    </row>
    <row r="6032" spans="14:14" ht="12" customHeight="1">
      <c r="N6032" s="216"/>
    </row>
    <row r="6033" spans="14:14" ht="12" customHeight="1">
      <c r="N6033" s="216"/>
    </row>
    <row r="6034" spans="14:14" ht="12" customHeight="1">
      <c r="N6034" s="216"/>
    </row>
    <row r="6035" spans="14:14" ht="12" customHeight="1">
      <c r="N6035" s="216"/>
    </row>
    <row r="6036" spans="14:14" ht="12" customHeight="1">
      <c r="N6036" s="216"/>
    </row>
    <row r="6037" spans="14:14" ht="12" customHeight="1">
      <c r="N6037" s="216"/>
    </row>
    <row r="6038" spans="14:14" ht="12" customHeight="1">
      <c r="N6038" s="216"/>
    </row>
    <row r="6039" spans="14:14" ht="12" customHeight="1">
      <c r="N6039" s="216"/>
    </row>
    <row r="6040" spans="14:14" ht="12" customHeight="1">
      <c r="N6040" s="216"/>
    </row>
    <row r="6041" spans="14:14" ht="12" customHeight="1">
      <c r="N6041" s="216"/>
    </row>
    <row r="6042" spans="14:14" ht="12" customHeight="1">
      <c r="N6042" s="216"/>
    </row>
    <row r="6043" spans="14:14" ht="12" customHeight="1">
      <c r="N6043" s="216"/>
    </row>
    <row r="6044" spans="14:14" ht="12" customHeight="1">
      <c r="N6044" s="216"/>
    </row>
    <row r="6045" spans="14:14" ht="12" customHeight="1">
      <c r="N6045" s="216"/>
    </row>
    <row r="6046" spans="14:14" ht="12" customHeight="1">
      <c r="N6046" s="216"/>
    </row>
    <row r="6047" spans="14:14" ht="12" customHeight="1">
      <c r="N6047" s="216"/>
    </row>
    <row r="6048" spans="14:14" ht="12" customHeight="1">
      <c r="N6048" s="216"/>
    </row>
    <row r="6049" spans="14:14" ht="12" customHeight="1">
      <c r="N6049" s="216"/>
    </row>
    <row r="6050" spans="14:14" ht="12" customHeight="1">
      <c r="N6050" s="216"/>
    </row>
    <row r="6051" spans="14:14" ht="12" customHeight="1">
      <c r="N6051" s="216"/>
    </row>
    <row r="6052" spans="14:14" ht="12" customHeight="1">
      <c r="N6052" s="216"/>
    </row>
    <row r="6053" spans="14:14" ht="12" customHeight="1">
      <c r="N6053" s="216"/>
    </row>
    <row r="6054" spans="14:14" ht="12" customHeight="1">
      <c r="N6054" s="216"/>
    </row>
    <row r="6055" spans="14:14" ht="12" customHeight="1">
      <c r="N6055" s="216"/>
    </row>
    <row r="6056" spans="14:14" ht="12" customHeight="1">
      <c r="N6056" s="216"/>
    </row>
    <row r="6057" spans="14:14" ht="12" customHeight="1">
      <c r="N6057" s="216"/>
    </row>
    <row r="6058" spans="14:14" ht="12" customHeight="1">
      <c r="N6058" s="216"/>
    </row>
    <row r="6059" spans="14:14" ht="12" customHeight="1">
      <c r="N6059" s="216"/>
    </row>
    <row r="6060" spans="14:14" ht="12" customHeight="1">
      <c r="N6060" s="216"/>
    </row>
    <row r="6061" spans="14:14" ht="12" customHeight="1">
      <c r="N6061" s="216"/>
    </row>
    <row r="6062" spans="14:14" ht="12" customHeight="1">
      <c r="N6062" s="216"/>
    </row>
    <row r="6063" spans="14:14" ht="12" customHeight="1">
      <c r="N6063" s="216"/>
    </row>
    <row r="6064" spans="14:14" ht="12" customHeight="1">
      <c r="N6064" s="216"/>
    </row>
    <row r="6065" spans="14:14" ht="12" customHeight="1">
      <c r="N6065" s="216"/>
    </row>
    <row r="6066" spans="14:14" ht="12" customHeight="1">
      <c r="N6066" s="216"/>
    </row>
    <row r="6067" spans="14:14" ht="12" customHeight="1">
      <c r="N6067" s="216"/>
    </row>
    <row r="6068" spans="14:14" ht="12" customHeight="1">
      <c r="N6068" s="216"/>
    </row>
    <row r="6069" spans="14:14" ht="12" customHeight="1">
      <c r="N6069" s="216"/>
    </row>
    <row r="6070" spans="14:14" ht="12" customHeight="1">
      <c r="N6070" s="216"/>
    </row>
    <row r="6071" spans="14:14" ht="12" customHeight="1">
      <c r="N6071" s="216"/>
    </row>
    <row r="6072" spans="14:14" ht="12" customHeight="1">
      <c r="N6072" s="216"/>
    </row>
    <row r="6073" spans="14:14" ht="12" customHeight="1">
      <c r="N6073" s="216"/>
    </row>
    <row r="6074" spans="14:14" ht="12" customHeight="1">
      <c r="N6074" s="216"/>
    </row>
    <row r="6075" spans="14:14" ht="12" customHeight="1">
      <c r="N6075" s="216"/>
    </row>
    <row r="6076" spans="14:14" ht="12" customHeight="1">
      <c r="N6076" s="216"/>
    </row>
    <row r="6077" spans="14:14" ht="12" customHeight="1">
      <c r="N6077" s="216"/>
    </row>
    <row r="6078" spans="14:14" ht="12" customHeight="1">
      <c r="N6078" s="216"/>
    </row>
    <row r="6079" spans="14:14" ht="12" customHeight="1">
      <c r="N6079" s="216"/>
    </row>
    <row r="6080" spans="14:14" ht="12" customHeight="1">
      <c r="N6080" s="216"/>
    </row>
    <row r="6081" spans="14:14" ht="12" customHeight="1">
      <c r="N6081" s="216"/>
    </row>
    <row r="6082" spans="14:14" ht="12" customHeight="1">
      <c r="N6082" s="216"/>
    </row>
    <row r="6083" spans="14:14" ht="12" customHeight="1">
      <c r="N6083" s="216"/>
    </row>
    <row r="6084" spans="14:14" ht="12" customHeight="1">
      <c r="N6084" s="216"/>
    </row>
    <row r="6085" spans="14:14" ht="12" customHeight="1">
      <c r="N6085" s="216"/>
    </row>
    <row r="6086" spans="14:14" ht="12" customHeight="1">
      <c r="N6086" s="216"/>
    </row>
    <row r="6087" spans="14:14" ht="12" customHeight="1">
      <c r="N6087" s="216"/>
    </row>
    <row r="6088" spans="14:14" ht="12" customHeight="1">
      <c r="N6088" s="216"/>
    </row>
    <row r="6089" spans="14:14" ht="12" customHeight="1">
      <c r="N6089" s="216"/>
    </row>
    <row r="6090" spans="14:14" ht="12" customHeight="1">
      <c r="N6090" s="216"/>
    </row>
    <row r="6091" spans="14:14" ht="12" customHeight="1">
      <c r="N6091" s="216"/>
    </row>
    <row r="6092" spans="14:14" ht="12" customHeight="1">
      <c r="N6092" s="216"/>
    </row>
    <row r="6093" spans="14:14" ht="12" customHeight="1">
      <c r="N6093" s="216"/>
    </row>
    <row r="6094" spans="14:14" ht="12" customHeight="1">
      <c r="N6094" s="216"/>
    </row>
    <row r="6095" spans="14:14" ht="12" customHeight="1">
      <c r="N6095" s="216"/>
    </row>
    <row r="6096" spans="14:14" ht="12" customHeight="1">
      <c r="N6096" s="216"/>
    </row>
    <row r="6097" spans="14:14" ht="12" customHeight="1">
      <c r="N6097" s="216"/>
    </row>
    <row r="6098" spans="14:14" ht="12" customHeight="1">
      <c r="N6098" s="216"/>
    </row>
    <row r="6099" spans="14:14" ht="12" customHeight="1">
      <c r="N6099" s="216"/>
    </row>
    <row r="6100" spans="14:14" ht="12" customHeight="1">
      <c r="N6100" s="216"/>
    </row>
    <row r="6101" spans="14:14" ht="12" customHeight="1">
      <c r="N6101" s="216"/>
    </row>
    <row r="6102" spans="14:14" ht="12" customHeight="1">
      <c r="N6102" s="216"/>
    </row>
    <row r="6103" spans="14:14" ht="12" customHeight="1">
      <c r="N6103" s="216"/>
    </row>
    <row r="6104" spans="14:14" ht="12" customHeight="1">
      <c r="N6104" s="216"/>
    </row>
    <row r="6105" spans="14:14" ht="12" customHeight="1">
      <c r="N6105" s="216"/>
    </row>
    <row r="6106" spans="14:14" ht="12" customHeight="1">
      <c r="N6106" s="216"/>
    </row>
    <row r="6107" spans="14:14" ht="12" customHeight="1">
      <c r="N6107" s="216"/>
    </row>
    <row r="6108" spans="14:14" ht="12" customHeight="1">
      <c r="N6108" s="216"/>
    </row>
    <row r="6109" spans="14:14" ht="12" customHeight="1">
      <c r="N6109" s="216"/>
    </row>
    <row r="6110" spans="14:14" ht="12" customHeight="1">
      <c r="N6110" s="216"/>
    </row>
    <row r="6111" spans="14:14" ht="12" customHeight="1">
      <c r="N6111" s="216"/>
    </row>
    <row r="6112" spans="14:14" ht="12" customHeight="1">
      <c r="N6112" s="216"/>
    </row>
    <row r="6113" spans="14:14" ht="12" customHeight="1">
      <c r="N6113" s="216"/>
    </row>
    <row r="6114" spans="14:14" ht="12" customHeight="1">
      <c r="N6114" s="216"/>
    </row>
    <row r="6115" spans="14:14" ht="12" customHeight="1">
      <c r="N6115" s="216"/>
    </row>
    <row r="6116" spans="14:14" ht="12" customHeight="1">
      <c r="N6116" s="216"/>
    </row>
    <row r="6117" spans="14:14" ht="12" customHeight="1">
      <c r="N6117" s="216"/>
    </row>
    <row r="6118" spans="14:14" ht="12" customHeight="1">
      <c r="N6118" s="216"/>
    </row>
    <row r="6119" spans="14:14" ht="12" customHeight="1">
      <c r="N6119" s="216"/>
    </row>
    <row r="6120" spans="14:14" ht="12" customHeight="1">
      <c r="N6120" s="216"/>
    </row>
    <row r="6121" spans="14:14" ht="12" customHeight="1">
      <c r="N6121" s="216"/>
    </row>
    <row r="6122" spans="14:14" ht="12" customHeight="1">
      <c r="N6122" s="216"/>
    </row>
    <row r="6123" spans="14:14" ht="12" customHeight="1">
      <c r="N6123" s="216"/>
    </row>
    <row r="6124" spans="14:14" ht="12" customHeight="1">
      <c r="N6124" s="216"/>
    </row>
    <row r="6125" spans="14:14" ht="12" customHeight="1">
      <c r="N6125" s="216"/>
    </row>
    <row r="6126" spans="14:14" ht="12" customHeight="1">
      <c r="N6126" s="216"/>
    </row>
    <row r="6127" spans="14:14" ht="12" customHeight="1">
      <c r="N6127" s="216"/>
    </row>
    <row r="6128" spans="14:14" ht="12" customHeight="1">
      <c r="N6128" s="216"/>
    </row>
    <row r="6129" spans="14:14" ht="12" customHeight="1">
      <c r="N6129" s="216"/>
    </row>
    <row r="6130" spans="14:14" ht="12" customHeight="1">
      <c r="N6130" s="216"/>
    </row>
    <row r="6131" spans="14:14" ht="12" customHeight="1">
      <c r="N6131" s="216"/>
    </row>
    <row r="6132" spans="14:14" ht="12" customHeight="1">
      <c r="N6132" s="216"/>
    </row>
    <row r="6133" spans="14:14" ht="12" customHeight="1">
      <c r="N6133" s="216"/>
    </row>
    <row r="6134" spans="14:14" ht="12" customHeight="1">
      <c r="N6134" s="216"/>
    </row>
    <row r="6135" spans="14:14" ht="12" customHeight="1">
      <c r="N6135" s="216"/>
    </row>
    <row r="6136" spans="14:14" ht="12" customHeight="1">
      <c r="N6136" s="216"/>
    </row>
    <row r="6137" spans="14:14" ht="12" customHeight="1">
      <c r="N6137" s="216"/>
    </row>
    <row r="6138" spans="14:14" ht="12" customHeight="1">
      <c r="N6138" s="216"/>
    </row>
    <row r="6139" spans="14:14" ht="12" customHeight="1">
      <c r="N6139" s="216"/>
    </row>
    <row r="6140" spans="14:14" ht="12" customHeight="1">
      <c r="N6140" s="216"/>
    </row>
    <row r="6141" spans="14:14" ht="12" customHeight="1">
      <c r="N6141" s="216"/>
    </row>
    <row r="6142" spans="14:14" ht="12" customHeight="1">
      <c r="N6142" s="216"/>
    </row>
    <row r="6143" spans="14:14" ht="12" customHeight="1">
      <c r="N6143" s="216"/>
    </row>
    <row r="6144" spans="14:14" ht="12" customHeight="1">
      <c r="N6144" s="216"/>
    </row>
    <row r="6145" spans="14:14" ht="12" customHeight="1">
      <c r="N6145" s="216"/>
    </row>
    <row r="6146" spans="14:14" ht="12" customHeight="1">
      <c r="N6146" s="216"/>
    </row>
    <row r="6147" spans="14:14" ht="12" customHeight="1">
      <c r="N6147" s="216"/>
    </row>
    <row r="6148" spans="14:14" ht="12" customHeight="1">
      <c r="N6148" s="216"/>
    </row>
    <row r="6149" spans="14:14" ht="12" customHeight="1">
      <c r="N6149" s="216"/>
    </row>
    <row r="6150" spans="14:14" ht="12" customHeight="1">
      <c r="N6150" s="216"/>
    </row>
    <row r="6151" spans="14:14" ht="12" customHeight="1">
      <c r="N6151" s="216"/>
    </row>
    <row r="6152" spans="14:14" ht="12" customHeight="1">
      <c r="N6152" s="216"/>
    </row>
    <row r="6153" spans="14:14" ht="12" customHeight="1">
      <c r="N6153" s="216"/>
    </row>
    <row r="6154" spans="14:14" ht="12" customHeight="1">
      <c r="N6154" s="216"/>
    </row>
    <row r="6155" spans="14:14" ht="12" customHeight="1">
      <c r="N6155" s="216"/>
    </row>
    <row r="6156" spans="14:14" ht="12" customHeight="1">
      <c r="N6156" s="216"/>
    </row>
    <row r="6157" spans="14:14" ht="12" customHeight="1">
      <c r="N6157" s="216"/>
    </row>
    <row r="6158" spans="14:14" ht="12" customHeight="1">
      <c r="N6158" s="216"/>
    </row>
    <row r="6159" spans="14:14" ht="12" customHeight="1">
      <c r="N6159" s="216"/>
    </row>
    <row r="6160" spans="14:14" ht="12" customHeight="1">
      <c r="N6160" s="216"/>
    </row>
    <row r="6161" spans="14:14" ht="12" customHeight="1">
      <c r="N6161" s="216"/>
    </row>
    <row r="6162" spans="14:14" ht="12" customHeight="1">
      <c r="N6162" s="216"/>
    </row>
    <row r="6163" spans="14:14" ht="12" customHeight="1">
      <c r="N6163" s="216"/>
    </row>
    <row r="6164" spans="14:14" ht="12" customHeight="1">
      <c r="N6164" s="216"/>
    </row>
    <row r="6165" spans="14:14" ht="12" customHeight="1">
      <c r="N6165" s="216"/>
    </row>
    <row r="6166" spans="14:14" ht="12" customHeight="1">
      <c r="N6166" s="216"/>
    </row>
    <row r="6167" spans="14:14" ht="12" customHeight="1">
      <c r="N6167" s="216"/>
    </row>
    <row r="6168" spans="14:14" ht="12" customHeight="1">
      <c r="N6168" s="216"/>
    </row>
    <row r="6169" spans="14:14" ht="12" customHeight="1">
      <c r="N6169" s="216"/>
    </row>
    <row r="6170" spans="14:14" ht="12" customHeight="1">
      <c r="N6170" s="216"/>
    </row>
    <row r="6171" spans="14:14" ht="12" customHeight="1">
      <c r="N6171" s="216"/>
    </row>
    <row r="6172" spans="14:14" ht="12" customHeight="1">
      <c r="N6172" s="216"/>
    </row>
    <row r="6173" spans="14:14" ht="12" customHeight="1">
      <c r="N6173" s="216"/>
    </row>
    <row r="6174" spans="14:14" ht="12" customHeight="1">
      <c r="N6174" s="216"/>
    </row>
    <row r="6175" spans="14:14" ht="12" customHeight="1">
      <c r="N6175" s="216"/>
    </row>
    <row r="6176" spans="14:14" ht="12" customHeight="1">
      <c r="N6176" s="216"/>
    </row>
    <row r="6177" spans="14:14" ht="12" customHeight="1">
      <c r="N6177" s="216"/>
    </row>
    <row r="6178" spans="14:14" ht="12" customHeight="1">
      <c r="N6178" s="216"/>
    </row>
    <row r="6179" spans="14:14" ht="12" customHeight="1">
      <c r="N6179" s="216"/>
    </row>
    <row r="6180" spans="14:14" ht="12" customHeight="1">
      <c r="N6180" s="216"/>
    </row>
    <row r="6181" spans="14:14" ht="12" customHeight="1">
      <c r="N6181" s="216"/>
    </row>
    <row r="6182" spans="14:14" ht="12" customHeight="1">
      <c r="N6182" s="216"/>
    </row>
    <row r="6183" spans="14:14" ht="12" customHeight="1">
      <c r="N6183" s="216"/>
    </row>
    <row r="6184" spans="14:14" ht="12" customHeight="1">
      <c r="N6184" s="216"/>
    </row>
    <row r="6185" spans="14:14" ht="12" customHeight="1">
      <c r="N6185" s="216"/>
    </row>
    <row r="6186" spans="14:14" ht="12" customHeight="1">
      <c r="N6186" s="216"/>
    </row>
    <row r="6187" spans="14:14" ht="12" customHeight="1">
      <c r="N6187" s="216"/>
    </row>
    <row r="6188" spans="14:14" ht="12" customHeight="1">
      <c r="N6188" s="216"/>
    </row>
    <row r="6189" spans="14:14" ht="12" customHeight="1">
      <c r="N6189" s="216"/>
    </row>
    <row r="6190" spans="14:14" ht="12" customHeight="1">
      <c r="N6190" s="216"/>
    </row>
    <row r="6191" spans="14:14" ht="12" customHeight="1">
      <c r="N6191" s="216"/>
    </row>
    <row r="6192" spans="14:14" ht="12" customHeight="1">
      <c r="N6192" s="216"/>
    </row>
    <row r="6193" spans="14:14" ht="12" customHeight="1">
      <c r="N6193" s="216"/>
    </row>
    <row r="6194" spans="14:14" ht="12" customHeight="1">
      <c r="N6194" s="216"/>
    </row>
    <row r="6195" spans="14:14" ht="12" customHeight="1">
      <c r="N6195" s="216"/>
    </row>
    <row r="6196" spans="14:14" ht="12" customHeight="1">
      <c r="N6196" s="216"/>
    </row>
    <row r="6197" spans="14:14" ht="12" customHeight="1">
      <c r="N6197" s="216"/>
    </row>
    <row r="6198" spans="14:14" ht="12" customHeight="1">
      <c r="N6198" s="216"/>
    </row>
    <row r="6199" spans="14:14" ht="12" customHeight="1">
      <c r="N6199" s="216"/>
    </row>
    <row r="6200" spans="14:14" ht="12" customHeight="1">
      <c r="N6200" s="216"/>
    </row>
    <row r="6201" spans="14:14" ht="12" customHeight="1">
      <c r="N6201" s="216"/>
    </row>
    <row r="6202" spans="14:14" ht="12" customHeight="1">
      <c r="N6202" s="216"/>
    </row>
    <row r="6203" spans="14:14" ht="12" customHeight="1">
      <c r="N6203" s="216"/>
    </row>
    <row r="6204" spans="14:14" ht="12" customHeight="1">
      <c r="N6204" s="216"/>
    </row>
    <row r="6205" spans="14:14" ht="12" customHeight="1">
      <c r="N6205" s="216"/>
    </row>
    <row r="6206" spans="14:14" ht="12" customHeight="1">
      <c r="N6206" s="216"/>
    </row>
    <row r="6207" spans="14:14" ht="12" customHeight="1">
      <c r="N6207" s="216"/>
    </row>
    <row r="6208" spans="14:14" ht="12" customHeight="1">
      <c r="N6208" s="216"/>
    </row>
    <row r="6209" spans="14:14" ht="12" customHeight="1">
      <c r="N6209" s="216"/>
    </row>
    <row r="6210" spans="14:14" ht="12" customHeight="1">
      <c r="N6210" s="216"/>
    </row>
    <row r="6211" spans="14:14" ht="12" customHeight="1">
      <c r="N6211" s="216"/>
    </row>
    <row r="6212" spans="14:14" ht="12" customHeight="1">
      <c r="N6212" s="216"/>
    </row>
    <row r="6213" spans="14:14" ht="12" customHeight="1">
      <c r="N6213" s="216"/>
    </row>
    <row r="6214" spans="14:14" ht="12" customHeight="1">
      <c r="N6214" s="216"/>
    </row>
    <row r="6215" spans="14:14" ht="12" customHeight="1">
      <c r="N6215" s="216"/>
    </row>
    <row r="6216" spans="14:14" ht="12" customHeight="1">
      <c r="N6216" s="216"/>
    </row>
    <row r="6217" spans="14:14" ht="12" customHeight="1">
      <c r="N6217" s="216"/>
    </row>
    <row r="6218" spans="14:14" ht="12" customHeight="1">
      <c r="N6218" s="216"/>
    </row>
    <row r="6219" spans="14:14" ht="12" customHeight="1">
      <c r="N6219" s="216"/>
    </row>
    <row r="6220" spans="14:14" ht="12" customHeight="1">
      <c r="N6220" s="216"/>
    </row>
    <row r="6221" spans="14:14" ht="12" customHeight="1">
      <c r="N6221" s="216"/>
    </row>
    <row r="6222" spans="14:14" ht="12" customHeight="1">
      <c r="N6222" s="216"/>
    </row>
    <row r="6223" spans="14:14" ht="12" customHeight="1">
      <c r="N6223" s="216"/>
    </row>
    <row r="6224" spans="14:14" ht="12" customHeight="1">
      <c r="N6224" s="216"/>
    </row>
    <row r="6225" spans="14:14" ht="12" customHeight="1">
      <c r="N6225" s="216"/>
    </row>
    <row r="6226" spans="14:14" ht="12" customHeight="1">
      <c r="N6226" s="216"/>
    </row>
    <row r="6227" spans="14:14" ht="12" customHeight="1">
      <c r="N6227" s="216"/>
    </row>
    <row r="6228" spans="14:14" ht="12" customHeight="1">
      <c r="N6228" s="216"/>
    </row>
    <row r="6229" spans="14:14" ht="12" customHeight="1">
      <c r="N6229" s="216"/>
    </row>
    <row r="6230" spans="14:14" ht="12" customHeight="1">
      <c r="N6230" s="216"/>
    </row>
    <row r="6231" spans="14:14" ht="12" customHeight="1">
      <c r="N6231" s="216"/>
    </row>
    <row r="6232" spans="14:14" ht="12" customHeight="1">
      <c r="N6232" s="216"/>
    </row>
    <row r="6233" spans="14:14" ht="12" customHeight="1">
      <c r="N6233" s="216"/>
    </row>
    <row r="6234" spans="14:14" ht="12" customHeight="1">
      <c r="N6234" s="216"/>
    </row>
    <row r="6235" spans="14:14" ht="12" customHeight="1">
      <c r="N6235" s="216"/>
    </row>
    <row r="6236" spans="14:14" ht="12" customHeight="1">
      <c r="N6236" s="216"/>
    </row>
    <row r="6237" spans="14:14" ht="12" customHeight="1">
      <c r="N6237" s="216"/>
    </row>
    <row r="6238" spans="14:14" ht="12" customHeight="1">
      <c r="N6238" s="216"/>
    </row>
    <row r="6239" spans="14:14" ht="12" customHeight="1">
      <c r="N6239" s="216"/>
    </row>
    <row r="6240" spans="14:14" ht="12" customHeight="1">
      <c r="N6240" s="216"/>
    </row>
    <row r="6241" spans="14:14" ht="12" customHeight="1">
      <c r="N6241" s="216"/>
    </row>
    <row r="6242" spans="14:14" ht="12" customHeight="1">
      <c r="N6242" s="216"/>
    </row>
    <row r="6243" spans="14:14" ht="12" customHeight="1">
      <c r="N6243" s="216"/>
    </row>
    <row r="6244" spans="14:14" ht="12" customHeight="1">
      <c r="N6244" s="216"/>
    </row>
    <row r="6245" spans="14:14" ht="12" customHeight="1">
      <c r="N6245" s="216"/>
    </row>
    <row r="6246" spans="14:14" ht="12" customHeight="1">
      <c r="N6246" s="216"/>
    </row>
    <row r="6247" spans="14:14" ht="12" customHeight="1">
      <c r="N6247" s="216"/>
    </row>
    <row r="6248" spans="14:14" ht="12" customHeight="1">
      <c r="N6248" s="216"/>
    </row>
    <row r="6249" spans="14:14" ht="12" customHeight="1">
      <c r="N6249" s="216"/>
    </row>
    <row r="6250" spans="14:14" ht="12" customHeight="1">
      <c r="N6250" s="216"/>
    </row>
    <row r="6251" spans="14:14" ht="12" customHeight="1">
      <c r="N6251" s="216"/>
    </row>
    <row r="6252" spans="14:14" ht="12" customHeight="1">
      <c r="N6252" s="216"/>
    </row>
    <row r="6253" spans="14:14" ht="12" customHeight="1">
      <c r="N6253" s="216"/>
    </row>
    <row r="6254" spans="14:14" ht="12" customHeight="1">
      <c r="N6254" s="216"/>
    </row>
    <row r="6255" spans="14:14" ht="12" customHeight="1">
      <c r="N6255" s="216"/>
    </row>
    <row r="6256" spans="14:14" ht="12" customHeight="1">
      <c r="N6256" s="216"/>
    </row>
    <row r="6257" spans="14:14" ht="12" customHeight="1">
      <c r="N6257" s="216"/>
    </row>
    <row r="6258" spans="14:14" ht="12" customHeight="1">
      <c r="N6258" s="216"/>
    </row>
    <row r="6259" spans="14:14" ht="12" customHeight="1">
      <c r="N6259" s="216"/>
    </row>
    <row r="6260" spans="14:14" ht="12" customHeight="1">
      <c r="N6260" s="216"/>
    </row>
    <row r="6261" spans="14:14" ht="12" customHeight="1">
      <c r="N6261" s="216"/>
    </row>
    <row r="6262" spans="14:14" ht="12" customHeight="1">
      <c r="N6262" s="216"/>
    </row>
    <row r="6263" spans="14:14" ht="12" customHeight="1">
      <c r="N6263" s="216"/>
    </row>
    <row r="6264" spans="14:14" ht="12" customHeight="1">
      <c r="N6264" s="216"/>
    </row>
    <row r="6265" spans="14:14" ht="12" customHeight="1">
      <c r="N6265" s="216"/>
    </row>
    <row r="6266" spans="14:14" ht="12" customHeight="1">
      <c r="N6266" s="216"/>
    </row>
    <row r="6267" spans="14:14" ht="12" customHeight="1">
      <c r="N6267" s="216"/>
    </row>
    <row r="6268" spans="14:14" ht="12" customHeight="1">
      <c r="N6268" s="216"/>
    </row>
    <row r="6269" spans="14:14" ht="12" customHeight="1">
      <c r="N6269" s="216"/>
    </row>
    <row r="6270" spans="14:14" ht="12" customHeight="1">
      <c r="N6270" s="216"/>
    </row>
    <row r="6271" spans="14:14" ht="12" customHeight="1">
      <c r="N6271" s="216"/>
    </row>
    <row r="6272" spans="14:14" ht="12" customHeight="1">
      <c r="N6272" s="216"/>
    </row>
    <row r="6273" spans="14:14" ht="12" customHeight="1">
      <c r="N6273" s="216"/>
    </row>
    <row r="6274" spans="14:14" ht="12" customHeight="1">
      <c r="N6274" s="216"/>
    </row>
    <row r="6275" spans="14:14" ht="12" customHeight="1">
      <c r="N6275" s="216"/>
    </row>
    <row r="6276" spans="14:14" ht="12" customHeight="1">
      <c r="N6276" s="216"/>
    </row>
    <row r="6277" spans="14:14" ht="12" customHeight="1">
      <c r="N6277" s="216"/>
    </row>
    <row r="6278" spans="14:14" ht="12" customHeight="1">
      <c r="N6278" s="216"/>
    </row>
    <row r="6279" spans="14:14" ht="12" customHeight="1">
      <c r="N6279" s="216"/>
    </row>
    <row r="6280" spans="14:14" ht="12" customHeight="1">
      <c r="N6280" s="216"/>
    </row>
    <row r="6281" spans="14:14" ht="12" customHeight="1">
      <c r="N6281" s="216"/>
    </row>
    <row r="6282" spans="14:14" ht="12" customHeight="1">
      <c r="N6282" s="216"/>
    </row>
    <row r="6283" spans="14:14" ht="12" customHeight="1">
      <c r="N6283" s="216"/>
    </row>
    <row r="6284" spans="14:14" ht="12" customHeight="1">
      <c r="N6284" s="216"/>
    </row>
    <row r="6285" spans="14:14" ht="12" customHeight="1">
      <c r="N6285" s="216"/>
    </row>
    <row r="6286" spans="14:14" ht="12" customHeight="1">
      <c r="N6286" s="216"/>
    </row>
    <row r="6287" spans="14:14" ht="12" customHeight="1">
      <c r="N6287" s="216"/>
    </row>
    <row r="6288" spans="14:14" ht="12" customHeight="1">
      <c r="N6288" s="216"/>
    </row>
    <row r="6289" spans="14:14" ht="12" customHeight="1">
      <c r="N6289" s="216"/>
    </row>
    <row r="6290" spans="14:14" ht="12" customHeight="1">
      <c r="N6290" s="216"/>
    </row>
    <row r="6291" spans="14:14" ht="12" customHeight="1">
      <c r="N6291" s="216"/>
    </row>
    <row r="6292" spans="14:14" ht="12" customHeight="1">
      <c r="N6292" s="216"/>
    </row>
    <row r="6293" spans="14:14" ht="12" customHeight="1">
      <c r="N6293" s="216"/>
    </row>
    <row r="6294" spans="14:14" ht="12" customHeight="1">
      <c r="N6294" s="216"/>
    </row>
    <row r="6295" spans="14:14" ht="12" customHeight="1">
      <c r="N6295" s="216"/>
    </row>
    <row r="6296" spans="14:14" ht="12" customHeight="1">
      <c r="N6296" s="216"/>
    </row>
    <row r="6297" spans="14:14" ht="12" customHeight="1">
      <c r="N6297" s="216"/>
    </row>
    <row r="6298" spans="14:14" ht="12" customHeight="1">
      <c r="N6298" s="216"/>
    </row>
    <row r="6299" spans="14:14" ht="12" customHeight="1">
      <c r="N6299" s="216"/>
    </row>
    <row r="6300" spans="14:14" ht="12" customHeight="1">
      <c r="N6300" s="216"/>
    </row>
    <row r="6301" spans="14:14" ht="12" customHeight="1">
      <c r="N6301" s="216"/>
    </row>
    <row r="6302" spans="14:14" ht="12" customHeight="1">
      <c r="N6302" s="216"/>
    </row>
    <row r="6303" spans="14:14" ht="12" customHeight="1">
      <c r="N6303" s="216"/>
    </row>
    <row r="6304" spans="14:14" ht="12" customHeight="1">
      <c r="N6304" s="216"/>
    </row>
    <row r="6305" spans="14:14" ht="12" customHeight="1">
      <c r="N6305" s="216"/>
    </row>
    <row r="6306" spans="14:14" ht="12" customHeight="1">
      <c r="N6306" s="216"/>
    </row>
    <row r="6307" spans="14:14" ht="12" customHeight="1">
      <c r="N6307" s="216"/>
    </row>
    <row r="6308" spans="14:14" ht="12" customHeight="1">
      <c r="N6308" s="216"/>
    </row>
    <row r="6309" spans="14:14" ht="12" customHeight="1">
      <c r="N6309" s="216"/>
    </row>
    <row r="6310" spans="14:14" ht="12" customHeight="1">
      <c r="N6310" s="216"/>
    </row>
    <row r="6311" spans="14:14" ht="12" customHeight="1">
      <c r="N6311" s="216"/>
    </row>
    <row r="6312" spans="14:14" ht="12" customHeight="1">
      <c r="N6312" s="216"/>
    </row>
    <row r="6313" spans="14:14" ht="12" customHeight="1">
      <c r="N6313" s="216"/>
    </row>
    <row r="6314" spans="14:14" ht="12" customHeight="1">
      <c r="N6314" s="216"/>
    </row>
    <row r="6315" spans="14:14" ht="12" customHeight="1">
      <c r="N6315" s="216"/>
    </row>
    <row r="6316" spans="14:14" ht="12" customHeight="1">
      <c r="N6316" s="216"/>
    </row>
    <row r="6317" spans="14:14" ht="12" customHeight="1">
      <c r="N6317" s="216"/>
    </row>
    <row r="6318" spans="14:14" ht="12" customHeight="1">
      <c r="N6318" s="216"/>
    </row>
    <row r="6319" spans="14:14" ht="12" customHeight="1">
      <c r="N6319" s="216"/>
    </row>
    <row r="6320" spans="14:14" ht="12" customHeight="1">
      <c r="N6320" s="216"/>
    </row>
    <row r="6321" spans="14:14" ht="12" customHeight="1">
      <c r="N6321" s="216"/>
    </row>
    <row r="6322" spans="14:14" ht="12" customHeight="1">
      <c r="N6322" s="216"/>
    </row>
    <row r="6323" spans="14:14" ht="12" customHeight="1">
      <c r="N6323" s="216"/>
    </row>
    <row r="6324" spans="14:14" ht="12" customHeight="1">
      <c r="N6324" s="216"/>
    </row>
    <row r="6325" spans="14:14" ht="12" customHeight="1">
      <c r="N6325" s="216"/>
    </row>
    <row r="6326" spans="14:14" ht="12" customHeight="1">
      <c r="N6326" s="216"/>
    </row>
    <row r="6327" spans="14:14" ht="12" customHeight="1">
      <c r="N6327" s="216"/>
    </row>
    <row r="6328" spans="14:14" ht="12" customHeight="1">
      <c r="N6328" s="216"/>
    </row>
    <row r="6329" spans="14:14" ht="12" customHeight="1">
      <c r="N6329" s="216"/>
    </row>
    <row r="6330" spans="14:14" ht="12" customHeight="1">
      <c r="N6330" s="216"/>
    </row>
    <row r="6331" spans="14:14" ht="12" customHeight="1">
      <c r="N6331" s="216"/>
    </row>
    <row r="6332" spans="14:14" ht="12" customHeight="1">
      <c r="N6332" s="216"/>
    </row>
    <row r="6333" spans="14:14" ht="12" customHeight="1">
      <c r="N6333" s="216"/>
    </row>
    <row r="6334" spans="14:14" ht="12" customHeight="1">
      <c r="N6334" s="216"/>
    </row>
    <row r="6335" spans="14:14" ht="12" customHeight="1">
      <c r="N6335" s="216"/>
    </row>
    <row r="6336" spans="14:14" ht="12" customHeight="1">
      <c r="N6336" s="216"/>
    </row>
    <row r="6337" spans="14:14" ht="12" customHeight="1">
      <c r="N6337" s="216"/>
    </row>
    <row r="6338" spans="14:14" ht="12" customHeight="1">
      <c r="N6338" s="216"/>
    </row>
    <row r="6339" spans="14:14" ht="12" customHeight="1">
      <c r="N6339" s="216"/>
    </row>
    <row r="6340" spans="14:14" ht="12" customHeight="1">
      <c r="N6340" s="216"/>
    </row>
    <row r="6341" spans="14:14" ht="12" customHeight="1">
      <c r="N6341" s="216"/>
    </row>
    <row r="6342" spans="14:14" ht="12" customHeight="1">
      <c r="N6342" s="216"/>
    </row>
    <row r="6343" spans="14:14" ht="12" customHeight="1">
      <c r="N6343" s="216"/>
    </row>
    <row r="6344" spans="14:14" ht="12" customHeight="1">
      <c r="N6344" s="216"/>
    </row>
    <row r="6345" spans="14:14" ht="12" customHeight="1">
      <c r="N6345" s="216"/>
    </row>
    <row r="6346" spans="14:14" ht="12" customHeight="1">
      <c r="N6346" s="216"/>
    </row>
    <row r="6347" spans="14:14" ht="12" customHeight="1">
      <c r="N6347" s="216"/>
    </row>
    <row r="6348" spans="14:14" ht="12" customHeight="1">
      <c r="N6348" s="216"/>
    </row>
    <row r="6349" spans="14:14" ht="12" customHeight="1">
      <c r="N6349" s="216"/>
    </row>
    <row r="6350" spans="14:14" ht="12" customHeight="1">
      <c r="N6350" s="216"/>
    </row>
    <row r="6351" spans="14:14" ht="12" customHeight="1">
      <c r="N6351" s="216"/>
    </row>
    <row r="6352" spans="14:14" ht="12" customHeight="1">
      <c r="N6352" s="216"/>
    </row>
    <row r="6353" spans="14:14" ht="12" customHeight="1">
      <c r="N6353" s="216"/>
    </row>
    <row r="6354" spans="14:14" ht="12" customHeight="1">
      <c r="N6354" s="216"/>
    </row>
    <row r="6355" spans="14:14" ht="12" customHeight="1">
      <c r="N6355" s="216"/>
    </row>
    <row r="6356" spans="14:14" ht="12" customHeight="1">
      <c r="N6356" s="216"/>
    </row>
    <row r="6357" spans="14:14" ht="12" customHeight="1">
      <c r="N6357" s="216"/>
    </row>
    <row r="6358" spans="14:14" ht="12" customHeight="1">
      <c r="N6358" s="216"/>
    </row>
    <row r="6359" spans="14:14" ht="12" customHeight="1">
      <c r="N6359" s="216"/>
    </row>
    <row r="6360" spans="14:14" ht="12" customHeight="1">
      <c r="N6360" s="216"/>
    </row>
    <row r="6361" spans="14:14" ht="12" customHeight="1">
      <c r="N6361" s="216"/>
    </row>
    <row r="6362" spans="14:14" ht="12" customHeight="1">
      <c r="N6362" s="216"/>
    </row>
    <row r="6363" spans="14:14" ht="12" customHeight="1">
      <c r="N6363" s="216"/>
    </row>
    <row r="6364" spans="14:14" ht="12" customHeight="1">
      <c r="N6364" s="216"/>
    </row>
    <row r="6365" spans="14:14" ht="12" customHeight="1">
      <c r="N6365" s="216"/>
    </row>
    <row r="6366" spans="14:14" ht="12" customHeight="1">
      <c r="N6366" s="216"/>
    </row>
    <row r="6367" spans="14:14" ht="12" customHeight="1">
      <c r="N6367" s="216"/>
    </row>
    <row r="6368" spans="14:14" ht="12" customHeight="1">
      <c r="N6368" s="216"/>
    </row>
    <row r="6369" spans="14:14" ht="12" customHeight="1">
      <c r="N6369" s="216"/>
    </row>
    <row r="6370" spans="14:14" ht="12" customHeight="1">
      <c r="N6370" s="216"/>
    </row>
    <row r="6371" spans="14:14" ht="12" customHeight="1">
      <c r="N6371" s="216"/>
    </row>
    <row r="6372" spans="14:14" ht="12" customHeight="1">
      <c r="N6372" s="216"/>
    </row>
    <row r="6373" spans="14:14" ht="12" customHeight="1">
      <c r="N6373" s="216"/>
    </row>
    <row r="6374" spans="14:14" ht="12" customHeight="1">
      <c r="N6374" s="216"/>
    </row>
    <row r="6375" spans="14:14" ht="12" customHeight="1">
      <c r="N6375" s="216"/>
    </row>
    <row r="6376" spans="14:14" ht="12" customHeight="1">
      <c r="N6376" s="216"/>
    </row>
    <row r="6377" spans="14:14" ht="12" customHeight="1">
      <c r="N6377" s="216"/>
    </row>
    <row r="6378" spans="14:14" ht="12" customHeight="1">
      <c r="N6378" s="216"/>
    </row>
    <row r="6379" spans="14:14" ht="12" customHeight="1">
      <c r="N6379" s="216"/>
    </row>
    <row r="6380" spans="14:14" ht="12" customHeight="1">
      <c r="N6380" s="216"/>
    </row>
    <row r="6381" spans="14:14" ht="12" customHeight="1">
      <c r="N6381" s="216"/>
    </row>
    <row r="6382" spans="14:14" ht="12" customHeight="1">
      <c r="N6382" s="216"/>
    </row>
    <row r="6383" spans="14:14" ht="12" customHeight="1">
      <c r="N6383" s="216"/>
    </row>
    <row r="6384" spans="14:14" ht="12" customHeight="1">
      <c r="N6384" s="216"/>
    </row>
    <row r="6385" spans="14:14" ht="12" customHeight="1">
      <c r="N6385" s="216"/>
    </row>
    <row r="6386" spans="14:14" ht="12" customHeight="1">
      <c r="N6386" s="216"/>
    </row>
    <row r="6387" spans="14:14" ht="12" customHeight="1">
      <c r="N6387" s="216"/>
    </row>
    <row r="6388" spans="14:14" ht="12" customHeight="1">
      <c r="N6388" s="216"/>
    </row>
    <row r="6389" spans="14:14" ht="12" customHeight="1">
      <c r="N6389" s="216"/>
    </row>
    <row r="6390" spans="14:14" ht="12" customHeight="1">
      <c r="N6390" s="216"/>
    </row>
    <row r="6391" spans="14:14" ht="12" customHeight="1">
      <c r="N6391" s="216"/>
    </row>
    <row r="6392" spans="14:14" ht="12" customHeight="1">
      <c r="N6392" s="216"/>
    </row>
    <row r="6393" spans="14:14" ht="12" customHeight="1">
      <c r="N6393" s="216"/>
    </row>
    <row r="6394" spans="14:14" ht="12" customHeight="1">
      <c r="N6394" s="216"/>
    </row>
    <row r="6395" spans="14:14" ht="12" customHeight="1">
      <c r="N6395" s="216"/>
    </row>
    <row r="6396" spans="14:14" ht="12" customHeight="1">
      <c r="N6396" s="216"/>
    </row>
    <row r="6397" spans="14:14" ht="12" customHeight="1">
      <c r="N6397" s="216"/>
    </row>
    <row r="6398" spans="14:14" ht="12" customHeight="1">
      <c r="N6398" s="216"/>
    </row>
    <row r="6399" spans="14:14" ht="12" customHeight="1">
      <c r="N6399" s="216"/>
    </row>
    <row r="6400" spans="14:14" ht="12" customHeight="1">
      <c r="N6400" s="216"/>
    </row>
    <row r="6401" spans="14:14" ht="12" customHeight="1">
      <c r="N6401" s="216"/>
    </row>
    <row r="6402" spans="14:14" ht="12" customHeight="1">
      <c r="N6402" s="216"/>
    </row>
    <row r="6403" spans="14:14" ht="12" customHeight="1">
      <c r="N6403" s="216"/>
    </row>
    <row r="6404" spans="14:14" ht="12" customHeight="1">
      <c r="N6404" s="216"/>
    </row>
    <row r="6405" spans="14:14" ht="12" customHeight="1">
      <c r="N6405" s="216"/>
    </row>
    <row r="6406" spans="14:14" ht="12" customHeight="1">
      <c r="N6406" s="216"/>
    </row>
    <row r="6407" spans="14:14" ht="12" customHeight="1">
      <c r="N6407" s="216"/>
    </row>
    <row r="6408" spans="14:14" ht="12" customHeight="1">
      <c r="N6408" s="216"/>
    </row>
    <row r="6409" spans="14:14" ht="12" customHeight="1">
      <c r="N6409" s="216"/>
    </row>
    <row r="6410" spans="14:14" ht="12" customHeight="1">
      <c r="N6410" s="216"/>
    </row>
    <row r="6411" spans="14:14" ht="12" customHeight="1">
      <c r="N6411" s="216"/>
    </row>
    <row r="6412" spans="14:14" ht="12" customHeight="1">
      <c r="N6412" s="216"/>
    </row>
    <row r="6413" spans="14:14" ht="12" customHeight="1">
      <c r="N6413" s="216"/>
    </row>
    <row r="6414" spans="14:14" ht="12" customHeight="1">
      <c r="N6414" s="216"/>
    </row>
    <row r="6415" spans="14:14" ht="12" customHeight="1">
      <c r="N6415" s="216"/>
    </row>
    <row r="6416" spans="14:14" ht="12" customHeight="1">
      <c r="N6416" s="216"/>
    </row>
    <row r="6417" spans="14:14" ht="12" customHeight="1">
      <c r="N6417" s="216"/>
    </row>
    <row r="6418" spans="14:14" ht="12" customHeight="1">
      <c r="N6418" s="216"/>
    </row>
    <row r="6419" spans="14:14" ht="12" customHeight="1">
      <c r="N6419" s="216"/>
    </row>
    <row r="6420" spans="14:14" ht="12" customHeight="1">
      <c r="N6420" s="216"/>
    </row>
    <row r="6421" spans="14:14" ht="12" customHeight="1">
      <c r="N6421" s="216"/>
    </row>
    <row r="6422" spans="14:14" ht="12" customHeight="1">
      <c r="N6422" s="216"/>
    </row>
    <row r="6423" spans="14:14" ht="12" customHeight="1">
      <c r="N6423" s="216"/>
    </row>
    <row r="6424" spans="14:14" ht="12" customHeight="1">
      <c r="N6424" s="216"/>
    </row>
    <row r="6425" spans="14:14" ht="12" customHeight="1">
      <c r="N6425" s="216"/>
    </row>
    <row r="6426" spans="14:14" ht="12" customHeight="1">
      <c r="N6426" s="216"/>
    </row>
    <row r="6427" spans="14:14" ht="12" customHeight="1">
      <c r="N6427" s="216"/>
    </row>
    <row r="6428" spans="14:14" ht="12" customHeight="1">
      <c r="N6428" s="216"/>
    </row>
    <row r="6429" spans="14:14" ht="12" customHeight="1">
      <c r="N6429" s="216"/>
    </row>
    <row r="6430" spans="14:14" ht="12" customHeight="1">
      <c r="N6430" s="216"/>
    </row>
    <row r="6431" spans="14:14" ht="12" customHeight="1">
      <c r="N6431" s="216"/>
    </row>
    <row r="6432" spans="14:14" ht="12" customHeight="1">
      <c r="N6432" s="216"/>
    </row>
    <row r="6433" spans="14:14" ht="12" customHeight="1">
      <c r="N6433" s="216"/>
    </row>
    <row r="6434" spans="14:14" ht="12" customHeight="1">
      <c r="N6434" s="216"/>
    </row>
    <row r="6435" spans="14:14" ht="12" customHeight="1">
      <c r="N6435" s="216"/>
    </row>
    <row r="6436" spans="14:14" ht="12" customHeight="1">
      <c r="N6436" s="216"/>
    </row>
    <row r="6437" spans="14:14" ht="12" customHeight="1">
      <c r="N6437" s="216"/>
    </row>
    <row r="6438" spans="14:14" ht="12" customHeight="1">
      <c r="N6438" s="216"/>
    </row>
    <row r="6439" spans="14:14" ht="12" customHeight="1">
      <c r="N6439" s="216"/>
    </row>
    <row r="6440" spans="14:14" ht="12" customHeight="1">
      <c r="N6440" s="216"/>
    </row>
    <row r="6441" spans="14:14" ht="12" customHeight="1">
      <c r="N6441" s="216"/>
    </row>
    <row r="6442" spans="14:14" ht="12" customHeight="1">
      <c r="N6442" s="216"/>
    </row>
    <row r="6443" spans="14:14" ht="12" customHeight="1">
      <c r="N6443" s="216"/>
    </row>
    <row r="6444" spans="14:14" ht="12" customHeight="1">
      <c r="N6444" s="216"/>
    </row>
    <row r="6445" spans="14:14" ht="12" customHeight="1">
      <c r="N6445" s="216"/>
    </row>
    <row r="6446" spans="14:14" ht="12" customHeight="1">
      <c r="N6446" s="216"/>
    </row>
    <row r="6447" spans="14:14" ht="12" customHeight="1">
      <c r="N6447" s="216"/>
    </row>
    <row r="6448" spans="14:14" ht="12" customHeight="1">
      <c r="N6448" s="216"/>
    </row>
    <row r="6449" spans="14:14" ht="12" customHeight="1">
      <c r="N6449" s="216"/>
    </row>
    <row r="6450" spans="14:14" ht="12" customHeight="1">
      <c r="N6450" s="216"/>
    </row>
    <row r="6451" spans="14:14" ht="12" customHeight="1">
      <c r="N6451" s="216"/>
    </row>
    <row r="6452" spans="14:14" ht="12" customHeight="1">
      <c r="N6452" s="216"/>
    </row>
    <row r="6453" spans="14:14" ht="12" customHeight="1">
      <c r="N6453" s="216"/>
    </row>
    <row r="6454" spans="14:14" ht="12" customHeight="1">
      <c r="N6454" s="216"/>
    </row>
    <row r="6455" spans="14:14" ht="12" customHeight="1">
      <c r="N6455" s="216"/>
    </row>
    <row r="6456" spans="14:14" ht="12" customHeight="1">
      <c r="N6456" s="216"/>
    </row>
    <row r="6457" spans="14:14" ht="12" customHeight="1">
      <c r="N6457" s="216"/>
    </row>
    <row r="6458" spans="14:14" ht="12" customHeight="1">
      <c r="N6458" s="216"/>
    </row>
    <row r="6459" spans="14:14" ht="12" customHeight="1">
      <c r="N6459" s="216"/>
    </row>
    <row r="6460" spans="14:14" ht="12" customHeight="1">
      <c r="N6460" s="216"/>
    </row>
    <row r="6461" spans="14:14" ht="12" customHeight="1">
      <c r="N6461" s="216"/>
    </row>
    <row r="6462" spans="14:14" ht="12" customHeight="1">
      <c r="N6462" s="216"/>
    </row>
    <row r="6463" spans="14:14" ht="12" customHeight="1">
      <c r="N6463" s="216"/>
    </row>
    <row r="6464" spans="14:14" ht="12" customHeight="1">
      <c r="N6464" s="216"/>
    </row>
    <row r="6465" spans="14:14" ht="12" customHeight="1">
      <c r="N6465" s="216"/>
    </row>
    <row r="6466" spans="14:14" ht="12" customHeight="1">
      <c r="N6466" s="216"/>
    </row>
    <row r="6467" spans="14:14" ht="12" customHeight="1">
      <c r="N6467" s="216"/>
    </row>
    <row r="6468" spans="14:14" ht="12" customHeight="1">
      <c r="N6468" s="216"/>
    </row>
    <row r="6469" spans="14:14" ht="12" customHeight="1">
      <c r="N6469" s="216"/>
    </row>
    <row r="6470" spans="14:14" ht="12" customHeight="1">
      <c r="N6470" s="216"/>
    </row>
    <row r="6471" spans="14:14" ht="12" customHeight="1">
      <c r="N6471" s="216"/>
    </row>
    <row r="6472" spans="14:14" ht="12" customHeight="1">
      <c r="N6472" s="216"/>
    </row>
    <row r="6473" spans="14:14" ht="12" customHeight="1">
      <c r="N6473" s="216"/>
    </row>
    <row r="6474" spans="14:14" ht="12" customHeight="1">
      <c r="N6474" s="216"/>
    </row>
    <row r="6475" spans="14:14" ht="12" customHeight="1">
      <c r="N6475" s="216"/>
    </row>
    <row r="6476" spans="14:14" ht="12" customHeight="1">
      <c r="N6476" s="216"/>
    </row>
    <row r="6477" spans="14:14" ht="12" customHeight="1">
      <c r="N6477" s="216"/>
    </row>
    <row r="6478" spans="14:14" ht="12" customHeight="1">
      <c r="N6478" s="216"/>
    </row>
    <row r="6479" spans="14:14" ht="12" customHeight="1">
      <c r="N6479" s="216"/>
    </row>
    <row r="6480" spans="14:14" ht="12" customHeight="1">
      <c r="N6480" s="216"/>
    </row>
    <row r="6481" spans="14:14" ht="12" customHeight="1">
      <c r="N6481" s="216"/>
    </row>
    <row r="6482" spans="14:14" ht="12" customHeight="1">
      <c r="N6482" s="216"/>
    </row>
    <row r="6483" spans="14:14" ht="12" customHeight="1">
      <c r="N6483" s="216"/>
    </row>
    <row r="6484" spans="14:14" ht="12" customHeight="1">
      <c r="N6484" s="216"/>
    </row>
    <row r="6485" spans="14:14" ht="12" customHeight="1">
      <c r="N6485" s="216"/>
    </row>
    <row r="6486" spans="14:14" ht="12" customHeight="1">
      <c r="N6486" s="216"/>
    </row>
    <row r="6487" spans="14:14" ht="12" customHeight="1">
      <c r="N6487" s="216"/>
    </row>
    <row r="6488" spans="14:14" ht="12" customHeight="1">
      <c r="N6488" s="216"/>
    </row>
    <row r="6489" spans="14:14" ht="12" customHeight="1">
      <c r="N6489" s="216"/>
    </row>
    <row r="6490" spans="14:14" ht="12" customHeight="1">
      <c r="N6490" s="216"/>
    </row>
    <row r="6491" spans="14:14" ht="12" customHeight="1">
      <c r="N6491" s="216"/>
    </row>
    <row r="6492" spans="14:14" ht="12" customHeight="1">
      <c r="N6492" s="216"/>
    </row>
    <row r="6493" spans="14:14" ht="12" customHeight="1">
      <c r="N6493" s="216"/>
    </row>
    <row r="6494" spans="14:14" ht="12" customHeight="1">
      <c r="N6494" s="216"/>
    </row>
    <row r="6495" spans="14:14" ht="12" customHeight="1">
      <c r="N6495" s="216"/>
    </row>
    <row r="6496" spans="14:14" ht="12" customHeight="1">
      <c r="N6496" s="216"/>
    </row>
    <row r="6497" spans="14:14" ht="12" customHeight="1">
      <c r="N6497" s="216"/>
    </row>
    <row r="6498" spans="14:14" ht="12" customHeight="1">
      <c r="N6498" s="216"/>
    </row>
    <row r="6499" spans="14:14" ht="12" customHeight="1">
      <c r="N6499" s="216"/>
    </row>
    <row r="6500" spans="14:14" ht="12" customHeight="1">
      <c r="N6500" s="216"/>
    </row>
    <row r="6501" spans="14:14" ht="12" customHeight="1">
      <c r="N6501" s="216"/>
    </row>
    <row r="6502" spans="14:14" ht="12" customHeight="1">
      <c r="N6502" s="216"/>
    </row>
    <row r="6503" spans="14:14" ht="12" customHeight="1">
      <c r="N6503" s="216"/>
    </row>
    <row r="6504" spans="14:14" ht="12" customHeight="1">
      <c r="N6504" s="216"/>
    </row>
    <row r="6505" spans="14:14" ht="12" customHeight="1">
      <c r="N6505" s="216"/>
    </row>
    <row r="6506" spans="14:14" ht="12" customHeight="1">
      <c r="N6506" s="216"/>
    </row>
    <row r="6507" spans="14:14" ht="12" customHeight="1">
      <c r="N6507" s="216"/>
    </row>
    <row r="6508" spans="14:14" ht="12" customHeight="1">
      <c r="N6508" s="216"/>
    </row>
    <row r="6509" spans="14:14" ht="12" customHeight="1">
      <c r="N6509" s="216"/>
    </row>
    <row r="6510" spans="14:14" ht="12" customHeight="1">
      <c r="N6510" s="216"/>
    </row>
    <row r="6511" spans="14:14" ht="12" customHeight="1">
      <c r="N6511" s="216"/>
    </row>
    <row r="6512" spans="14:14" ht="12" customHeight="1">
      <c r="N6512" s="216"/>
    </row>
    <row r="6513" spans="14:14" ht="12" customHeight="1">
      <c r="N6513" s="216"/>
    </row>
    <row r="6514" spans="14:14" ht="12" customHeight="1">
      <c r="N6514" s="216"/>
    </row>
    <row r="6515" spans="14:14" ht="12" customHeight="1">
      <c r="N6515" s="216"/>
    </row>
    <row r="6516" spans="14:14" ht="12" customHeight="1">
      <c r="N6516" s="216"/>
    </row>
    <row r="6517" spans="14:14" ht="12" customHeight="1">
      <c r="N6517" s="216"/>
    </row>
    <row r="6518" spans="14:14" ht="12" customHeight="1">
      <c r="N6518" s="216"/>
    </row>
    <row r="6519" spans="14:14" ht="12" customHeight="1">
      <c r="N6519" s="216"/>
    </row>
    <row r="6520" spans="14:14" ht="12" customHeight="1">
      <c r="N6520" s="216"/>
    </row>
    <row r="6521" spans="14:14" ht="12" customHeight="1">
      <c r="N6521" s="216"/>
    </row>
    <row r="6522" spans="14:14" ht="12" customHeight="1">
      <c r="N6522" s="216"/>
    </row>
    <row r="6523" spans="14:14" ht="12" customHeight="1">
      <c r="N6523" s="216"/>
    </row>
    <row r="6524" spans="14:14" ht="12" customHeight="1">
      <c r="N6524" s="216"/>
    </row>
    <row r="6525" spans="14:14" ht="12" customHeight="1">
      <c r="N6525" s="216"/>
    </row>
    <row r="6526" spans="14:14" ht="12" customHeight="1">
      <c r="N6526" s="216"/>
    </row>
    <row r="6527" spans="14:14" ht="12" customHeight="1">
      <c r="N6527" s="216"/>
    </row>
    <row r="6528" spans="14:14" ht="12" customHeight="1">
      <c r="N6528" s="216"/>
    </row>
    <row r="6529" spans="14:14" ht="12" customHeight="1">
      <c r="N6529" s="216"/>
    </row>
    <row r="6530" spans="14:14" ht="12" customHeight="1">
      <c r="N6530" s="216"/>
    </row>
    <row r="6531" spans="14:14" ht="12" customHeight="1">
      <c r="N6531" s="216"/>
    </row>
    <row r="6532" spans="14:14" ht="12" customHeight="1">
      <c r="N6532" s="216"/>
    </row>
    <row r="6533" spans="14:14" ht="12" customHeight="1">
      <c r="N6533" s="216"/>
    </row>
    <row r="6534" spans="14:14" ht="12" customHeight="1">
      <c r="N6534" s="216"/>
    </row>
    <row r="6535" spans="14:14" ht="12" customHeight="1">
      <c r="N6535" s="216"/>
    </row>
    <row r="6536" spans="14:14" ht="12" customHeight="1">
      <c r="N6536" s="216"/>
    </row>
    <row r="6537" spans="14:14" ht="12" customHeight="1">
      <c r="N6537" s="216"/>
    </row>
    <row r="6538" spans="14:14" ht="12" customHeight="1">
      <c r="N6538" s="216"/>
    </row>
    <row r="6539" spans="14:14" ht="12" customHeight="1">
      <c r="N6539" s="216"/>
    </row>
    <row r="6540" spans="14:14" ht="12" customHeight="1">
      <c r="N6540" s="216"/>
    </row>
    <row r="6541" spans="14:14" ht="12" customHeight="1">
      <c r="N6541" s="216"/>
    </row>
    <row r="6542" spans="14:14" ht="12" customHeight="1">
      <c r="N6542" s="216"/>
    </row>
    <row r="6543" spans="14:14" ht="12" customHeight="1">
      <c r="N6543" s="216"/>
    </row>
    <row r="6544" spans="14:14" ht="12" customHeight="1">
      <c r="N6544" s="216"/>
    </row>
    <row r="6545" spans="14:14" ht="12" customHeight="1">
      <c r="N6545" s="216"/>
    </row>
    <row r="6546" spans="14:14" ht="12" customHeight="1">
      <c r="N6546" s="216"/>
    </row>
    <row r="6547" spans="14:14" ht="12" customHeight="1">
      <c r="N6547" s="216"/>
    </row>
    <row r="6548" spans="14:14" ht="12" customHeight="1">
      <c r="N6548" s="216"/>
    </row>
    <row r="6549" spans="14:14" ht="12" customHeight="1">
      <c r="N6549" s="216"/>
    </row>
    <row r="6550" spans="14:14" ht="12" customHeight="1">
      <c r="N6550" s="216"/>
    </row>
    <row r="6551" spans="14:14" ht="12" customHeight="1">
      <c r="N6551" s="216"/>
    </row>
    <row r="6552" spans="14:14" ht="12" customHeight="1">
      <c r="N6552" s="216"/>
    </row>
    <row r="6553" spans="14:14" ht="12" customHeight="1">
      <c r="N6553" s="216"/>
    </row>
    <row r="6554" spans="14:14" ht="12" customHeight="1">
      <c r="N6554" s="216"/>
    </row>
    <row r="6555" spans="14:14" ht="12" customHeight="1">
      <c r="N6555" s="216"/>
    </row>
    <row r="6556" spans="14:14" ht="12" customHeight="1">
      <c r="N6556" s="216"/>
    </row>
    <row r="6557" spans="14:14" ht="12" customHeight="1">
      <c r="N6557" s="216"/>
    </row>
    <row r="6558" spans="14:14" ht="12" customHeight="1">
      <c r="N6558" s="216"/>
    </row>
    <row r="6559" spans="14:14" ht="12" customHeight="1">
      <c r="N6559" s="216"/>
    </row>
    <row r="6560" spans="14:14" ht="12" customHeight="1">
      <c r="N6560" s="216"/>
    </row>
    <row r="6561" spans="14:14" ht="12" customHeight="1">
      <c r="N6561" s="216"/>
    </row>
    <row r="6562" spans="14:14" ht="12" customHeight="1">
      <c r="N6562" s="216"/>
    </row>
    <row r="6563" spans="14:14" ht="12" customHeight="1">
      <c r="N6563" s="216"/>
    </row>
    <row r="6564" spans="14:14" ht="12" customHeight="1">
      <c r="N6564" s="216"/>
    </row>
    <row r="6565" spans="14:14" ht="12" customHeight="1">
      <c r="N6565" s="216"/>
    </row>
    <row r="6566" spans="14:14" ht="12" customHeight="1">
      <c r="N6566" s="216"/>
    </row>
    <row r="6567" spans="14:14" ht="12" customHeight="1">
      <c r="N6567" s="216"/>
    </row>
    <row r="6568" spans="14:14" ht="12" customHeight="1">
      <c r="N6568" s="216"/>
    </row>
    <row r="6569" spans="14:14" ht="12" customHeight="1">
      <c r="N6569" s="216"/>
    </row>
    <row r="6570" spans="14:14" ht="12" customHeight="1">
      <c r="N6570" s="216"/>
    </row>
    <row r="6571" spans="14:14" ht="12" customHeight="1">
      <c r="N6571" s="216"/>
    </row>
    <row r="6572" spans="14:14" ht="12" customHeight="1">
      <c r="N6572" s="216"/>
    </row>
    <row r="6573" spans="14:14" ht="12" customHeight="1">
      <c r="N6573" s="216"/>
    </row>
    <row r="6574" spans="14:14" ht="12" customHeight="1">
      <c r="N6574" s="216"/>
    </row>
    <row r="6575" spans="14:14" ht="12" customHeight="1">
      <c r="N6575" s="216"/>
    </row>
    <row r="6576" spans="14:14" ht="12" customHeight="1">
      <c r="N6576" s="216"/>
    </row>
    <row r="6577" spans="14:14" ht="12" customHeight="1">
      <c r="N6577" s="216"/>
    </row>
    <row r="6578" spans="14:14" ht="12" customHeight="1">
      <c r="N6578" s="216"/>
    </row>
    <row r="6579" spans="14:14" ht="12" customHeight="1">
      <c r="N6579" s="216"/>
    </row>
    <row r="6580" spans="14:14" ht="12" customHeight="1">
      <c r="N6580" s="216"/>
    </row>
    <row r="6581" spans="14:14" ht="12" customHeight="1">
      <c r="N6581" s="216"/>
    </row>
    <row r="6582" spans="14:14" ht="12" customHeight="1">
      <c r="N6582" s="216"/>
    </row>
    <row r="6583" spans="14:14" ht="12" customHeight="1">
      <c r="N6583" s="216"/>
    </row>
    <row r="6584" spans="14:14" ht="12" customHeight="1">
      <c r="N6584" s="216"/>
    </row>
    <row r="6585" spans="14:14" ht="12" customHeight="1">
      <c r="N6585" s="216"/>
    </row>
    <row r="6586" spans="14:14" ht="12" customHeight="1">
      <c r="N6586" s="216"/>
    </row>
    <row r="6587" spans="14:14" ht="12" customHeight="1">
      <c r="N6587" s="216"/>
    </row>
    <row r="6588" spans="14:14" ht="12" customHeight="1">
      <c r="N6588" s="216"/>
    </row>
    <row r="6589" spans="14:14" ht="12" customHeight="1">
      <c r="N6589" s="216"/>
    </row>
    <row r="6590" spans="14:14" ht="12" customHeight="1">
      <c r="N6590" s="216"/>
    </row>
    <row r="6591" spans="14:14" ht="12" customHeight="1">
      <c r="N6591" s="216"/>
    </row>
    <row r="6592" spans="14:14" ht="12" customHeight="1">
      <c r="N6592" s="216"/>
    </row>
    <row r="6593" spans="14:14" ht="12" customHeight="1">
      <c r="N6593" s="216"/>
    </row>
    <row r="6594" spans="14:14" ht="12" customHeight="1">
      <c r="N6594" s="216"/>
    </row>
    <row r="6595" spans="14:14" ht="12" customHeight="1">
      <c r="N6595" s="216"/>
    </row>
    <row r="6596" spans="14:14" ht="12" customHeight="1">
      <c r="N6596" s="216"/>
    </row>
    <row r="6597" spans="14:14" ht="12" customHeight="1">
      <c r="N6597" s="216"/>
    </row>
    <row r="6598" spans="14:14" ht="12" customHeight="1">
      <c r="N6598" s="216"/>
    </row>
    <row r="6599" spans="14:14" ht="12" customHeight="1">
      <c r="N6599" s="216"/>
    </row>
    <row r="6600" spans="14:14" ht="12" customHeight="1">
      <c r="N6600" s="216"/>
    </row>
    <row r="6601" spans="14:14" ht="12" customHeight="1">
      <c r="N6601" s="216"/>
    </row>
    <row r="6602" spans="14:14" ht="12" customHeight="1">
      <c r="N6602" s="216"/>
    </row>
    <row r="6603" spans="14:14" ht="12" customHeight="1">
      <c r="N6603" s="216"/>
    </row>
    <row r="6604" spans="14:14" ht="12" customHeight="1">
      <c r="N6604" s="216"/>
    </row>
    <row r="6605" spans="14:14" ht="12" customHeight="1">
      <c r="N6605" s="216"/>
    </row>
    <row r="6606" spans="14:14" ht="12" customHeight="1">
      <c r="N6606" s="216"/>
    </row>
    <row r="6607" spans="14:14" ht="12" customHeight="1">
      <c r="N6607" s="216"/>
    </row>
    <row r="6608" spans="14:14" ht="12" customHeight="1">
      <c r="N6608" s="216"/>
    </row>
    <row r="6609" spans="14:14" ht="12" customHeight="1">
      <c r="N6609" s="216"/>
    </row>
    <row r="6610" spans="14:14" ht="12" customHeight="1">
      <c r="N6610" s="216"/>
    </row>
    <row r="6611" spans="14:14" ht="12" customHeight="1">
      <c r="N6611" s="216"/>
    </row>
    <row r="6612" spans="14:14" ht="12" customHeight="1">
      <c r="N6612" s="216"/>
    </row>
    <row r="6613" spans="14:14" ht="12" customHeight="1">
      <c r="N6613" s="216"/>
    </row>
    <row r="6614" spans="14:14" ht="12" customHeight="1">
      <c r="N6614" s="216"/>
    </row>
    <row r="6615" spans="14:14" ht="12" customHeight="1">
      <c r="N6615" s="216"/>
    </row>
    <row r="6616" spans="14:14" ht="12" customHeight="1">
      <c r="N6616" s="216"/>
    </row>
    <row r="6617" spans="14:14" ht="12" customHeight="1">
      <c r="N6617" s="216"/>
    </row>
    <row r="6618" spans="14:14" ht="12" customHeight="1">
      <c r="N6618" s="216"/>
    </row>
    <row r="6619" spans="14:14" ht="12" customHeight="1">
      <c r="N6619" s="216"/>
    </row>
    <row r="6620" spans="14:14" ht="12" customHeight="1">
      <c r="N6620" s="216"/>
    </row>
    <row r="6621" spans="14:14" ht="12" customHeight="1">
      <c r="N6621" s="216"/>
    </row>
    <row r="6622" spans="14:14" ht="12" customHeight="1">
      <c r="N6622" s="216"/>
    </row>
    <row r="6623" spans="14:14" ht="12" customHeight="1">
      <c r="N6623" s="216"/>
    </row>
    <row r="6624" spans="14:14" ht="12" customHeight="1">
      <c r="N6624" s="216"/>
    </row>
    <row r="6625" spans="14:14" ht="12" customHeight="1">
      <c r="N6625" s="216"/>
    </row>
    <row r="6626" spans="14:14" ht="12" customHeight="1">
      <c r="N6626" s="216"/>
    </row>
    <row r="6627" spans="14:14" ht="12" customHeight="1">
      <c r="N6627" s="216"/>
    </row>
    <row r="6628" spans="14:14" ht="12" customHeight="1">
      <c r="N6628" s="216"/>
    </row>
    <row r="6629" spans="14:14" ht="12" customHeight="1">
      <c r="N6629" s="216"/>
    </row>
    <row r="6630" spans="14:14" ht="12" customHeight="1">
      <c r="N6630" s="216"/>
    </row>
    <row r="6631" spans="14:14" ht="12" customHeight="1">
      <c r="N6631" s="216"/>
    </row>
    <row r="6632" spans="14:14" ht="12" customHeight="1">
      <c r="N6632" s="216"/>
    </row>
    <row r="6633" spans="14:14" ht="12" customHeight="1">
      <c r="N6633" s="216"/>
    </row>
    <row r="6634" spans="14:14" ht="12" customHeight="1">
      <c r="N6634" s="216"/>
    </row>
    <row r="6635" spans="14:14" ht="12" customHeight="1">
      <c r="N6635" s="216"/>
    </row>
    <row r="6636" spans="14:14" ht="12" customHeight="1">
      <c r="N6636" s="216"/>
    </row>
    <row r="6637" spans="14:14" ht="12" customHeight="1">
      <c r="N6637" s="216"/>
    </row>
    <row r="6638" spans="14:14" ht="12" customHeight="1">
      <c r="N6638" s="216"/>
    </row>
    <row r="6639" spans="14:14" ht="12" customHeight="1">
      <c r="N6639" s="216"/>
    </row>
    <row r="6640" spans="14:14" ht="12" customHeight="1">
      <c r="N6640" s="216"/>
    </row>
    <row r="6641" spans="14:14" ht="12" customHeight="1">
      <c r="N6641" s="216"/>
    </row>
    <row r="6642" spans="14:14" ht="12" customHeight="1">
      <c r="N6642" s="216"/>
    </row>
    <row r="6643" spans="14:14" ht="12" customHeight="1">
      <c r="N6643" s="216"/>
    </row>
    <row r="6644" spans="14:14" ht="12" customHeight="1">
      <c r="N6644" s="216"/>
    </row>
    <row r="6645" spans="14:14" ht="12" customHeight="1">
      <c r="N6645" s="216"/>
    </row>
    <row r="6646" spans="14:14" ht="12" customHeight="1">
      <c r="N6646" s="216"/>
    </row>
    <row r="6647" spans="14:14" ht="12" customHeight="1">
      <c r="N6647" s="216"/>
    </row>
    <row r="6648" spans="14:14" ht="12" customHeight="1">
      <c r="N6648" s="216"/>
    </row>
    <row r="6649" spans="14:14" ht="12" customHeight="1">
      <c r="N6649" s="216"/>
    </row>
    <row r="6650" spans="14:14" ht="12" customHeight="1">
      <c r="N6650" s="216"/>
    </row>
    <row r="6651" spans="14:14" ht="12" customHeight="1">
      <c r="N6651" s="216"/>
    </row>
    <row r="6652" spans="14:14" ht="12" customHeight="1">
      <c r="N6652" s="216"/>
    </row>
    <row r="6653" spans="14:14" ht="12" customHeight="1">
      <c r="N6653" s="216"/>
    </row>
    <row r="6654" spans="14:14" ht="12" customHeight="1">
      <c r="N6654" s="216"/>
    </row>
    <row r="6655" spans="14:14" ht="12" customHeight="1">
      <c r="N6655" s="216"/>
    </row>
    <row r="6656" spans="14:14" ht="12" customHeight="1">
      <c r="N6656" s="216"/>
    </row>
  </sheetData>
  <autoFilter ref="H5:X3472" xr:uid="{F744D3DA-DF75-4182-9034-802655C8F5D1}">
    <filterColumn colId="5">
      <customFilters>
        <customFilter operator="notEqual" val=" "/>
      </customFilters>
    </filterColumn>
    <sortState xmlns:xlrd2="http://schemas.microsoft.com/office/spreadsheetml/2017/richdata2" ref="H864:X2108">
      <sortCondition ref="H5:H2316"/>
    </sortState>
  </autoFilter>
  <mergeCells count="9">
    <mergeCell ref="R4:S4"/>
    <mergeCell ref="T4:U4"/>
    <mergeCell ref="V4:V5"/>
    <mergeCell ref="W4:X4"/>
    <mergeCell ref="H4:H5"/>
    <mergeCell ref="L4:L5"/>
    <mergeCell ref="M4:M5"/>
    <mergeCell ref="N4:O4"/>
    <mergeCell ref="P4:Q4"/>
  </mergeCells>
  <phoneticPr fontId="5"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83A6-E9E4-4FDA-A930-ADF287DC63C0}">
  <dimension ref="A1:G27"/>
  <sheetViews>
    <sheetView workbookViewId="0">
      <selection activeCell="B5" sqref="B5"/>
    </sheetView>
  </sheetViews>
  <sheetFormatPr defaultColWidth="9" defaultRowHeight="16.5"/>
  <cols>
    <col min="1" max="1" width="24.625" style="127" customWidth="1"/>
    <col min="2" max="2" width="23.25" style="127" customWidth="1"/>
    <col min="3" max="3" width="9.5" style="127" customWidth="1"/>
    <col min="4" max="4" width="8.375" style="127" customWidth="1"/>
    <col min="5" max="5" width="71.375" style="127" bestFit="1" customWidth="1"/>
    <col min="6" max="6" width="17.25" style="127" customWidth="1"/>
    <col min="7" max="7" width="13.375" style="127" customWidth="1"/>
    <col min="8" max="16384" width="9" style="127"/>
  </cols>
  <sheetData>
    <row r="1" spans="1:7">
      <c r="A1" s="271" t="s">
        <v>756</v>
      </c>
      <c r="B1" s="271"/>
      <c r="C1" s="271"/>
      <c r="D1" s="271"/>
      <c r="E1" s="271"/>
      <c r="F1" s="271"/>
      <c r="G1" s="271"/>
    </row>
    <row r="2" spans="1:7">
      <c r="A2" s="271"/>
      <c r="B2" s="271"/>
      <c r="C2" s="271"/>
      <c r="D2" s="271"/>
      <c r="E2" s="271"/>
      <c r="F2" s="271"/>
      <c r="G2" s="271"/>
    </row>
    <row r="3" spans="1:7" ht="24.95" customHeight="1">
      <c r="A3" s="132" t="s">
        <v>757</v>
      </c>
      <c r="B3" s="272" t="str">
        <f>갑지!B7</f>
        <v xml:space="preserve">사택 조명 교체 </v>
      </c>
      <c r="C3" s="273"/>
      <c r="D3" s="273"/>
      <c r="E3" s="273"/>
      <c r="F3" s="273"/>
      <c r="G3" s="274"/>
    </row>
    <row r="4" spans="1:7" ht="20.100000000000001" customHeight="1">
      <c r="A4" s="129" t="s">
        <v>758</v>
      </c>
      <c r="B4" s="129" t="s">
        <v>759</v>
      </c>
      <c r="C4" s="129" t="s">
        <v>760</v>
      </c>
      <c r="D4" s="129" t="s">
        <v>761</v>
      </c>
      <c r="E4" s="129" t="s">
        <v>762</v>
      </c>
      <c r="F4" s="129" t="s">
        <v>763</v>
      </c>
      <c r="G4" s="129" t="s">
        <v>764</v>
      </c>
    </row>
    <row r="5" spans="1:7" ht="20.100000000000001" customHeight="1">
      <c r="A5" s="113" t="s">
        <v>852</v>
      </c>
      <c r="B5" s="113" t="s">
        <v>853</v>
      </c>
      <c r="C5" s="128" t="s">
        <v>854</v>
      </c>
      <c r="D5" s="131">
        <v>60</v>
      </c>
      <c r="E5" s="130" t="s">
        <v>6979</v>
      </c>
      <c r="F5" s="130"/>
      <c r="G5" s="130"/>
    </row>
    <row r="6" spans="1:7" ht="20.100000000000001" customHeight="1">
      <c r="A6" s="130"/>
      <c r="B6" s="130"/>
      <c r="C6" s="130"/>
      <c r="D6" s="130"/>
      <c r="E6" s="130"/>
      <c r="F6" s="130"/>
      <c r="G6" s="130"/>
    </row>
    <row r="7" spans="1:7" ht="20.100000000000001" customHeight="1">
      <c r="A7" s="130"/>
      <c r="B7" s="130"/>
      <c r="C7" s="130"/>
      <c r="D7" s="130"/>
      <c r="E7" s="130"/>
      <c r="F7" s="130"/>
      <c r="G7" s="130"/>
    </row>
    <row r="8" spans="1:7" ht="20.100000000000001" customHeight="1">
      <c r="A8" s="130"/>
      <c r="B8" s="130"/>
      <c r="C8" s="130"/>
      <c r="D8" s="130"/>
      <c r="E8" s="130"/>
      <c r="F8" s="130"/>
      <c r="G8" s="130"/>
    </row>
    <row r="9" spans="1:7" ht="20.100000000000001" customHeight="1">
      <c r="A9" s="130"/>
      <c r="B9" s="130"/>
      <c r="C9" s="130"/>
      <c r="D9" s="130"/>
      <c r="E9" s="130"/>
      <c r="F9" s="130"/>
      <c r="G9" s="130"/>
    </row>
    <row r="10" spans="1:7" ht="20.100000000000001" customHeight="1">
      <c r="A10" s="130"/>
      <c r="B10" s="130"/>
      <c r="C10" s="130"/>
      <c r="D10" s="130"/>
      <c r="E10" s="130"/>
      <c r="F10" s="130"/>
      <c r="G10" s="130"/>
    </row>
    <row r="11" spans="1:7" ht="20.100000000000001" customHeight="1">
      <c r="A11" s="130"/>
      <c r="B11" s="130"/>
      <c r="C11" s="130"/>
      <c r="D11" s="130"/>
      <c r="E11" s="130"/>
      <c r="F11" s="130"/>
      <c r="G11" s="130"/>
    </row>
    <row r="12" spans="1:7" ht="20.100000000000001" customHeight="1">
      <c r="A12" s="130"/>
      <c r="B12" s="130"/>
      <c r="C12" s="130"/>
      <c r="D12" s="130"/>
      <c r="E12" s="130"/>
      <c r="F12" s="130"/>
      <c r="G12" s="130"/>
    </row>
    <row r="13" spans="1:7" ht="20.100000000000001" customHeight="1">
      <c r="A13" s="130"/>
      <c r="B13" s="130"/>
      <c r="C13" s="130"/>
      <c r="D13" s="130"/>
      <c r="E13" s="130"/>
      <c r="F13" s="130"/>
      <c r="G13" s="130"/>
    </row>
    <row r="14" spans="1:7" ht="20.100000000000001" customHeight="1">
      <c r="A14" s="130"/>
      <c r="B14" s="130"/>
      <c r="C14" s="130"/>
      <c r="D14" s="130"/>
      <c r="E14" s="130"/>
      <c r="F14" s="130"/>
      <c r="G14" s="130"/>
    </row>
    <row r="15" spans="1:7" ht="20.100000000000001" customHeight="1">
      <c r="A15" s="130"/>
      <c r="B15" s="130"/>
      <c r="C15" s="130"/>
      <c r="D15" s="130"/>
      <c r="E15" s="130"/>
      <c r="F15" s="130"/>
      <c r="G15" s="130"/>
    </row>
    <row r="16" spans="1:7" ht="20.100000000000001" customHeight="1">
      <c r="A16" s="130"/>
      <c r="B16" s="130"/>
      <c r="C16" s="130"/>
      <c r="D16" s="130"/>
      <c r="E16" s="130"/>
      <c r="F16" s="130"/>
      <c r="G16" s="130"/>
    </row>
    <row r="17" spans="1:7" ht="20.100000000000001" customHeight="1">
      <c r="A17" s="130"/>
      <c r="B17" s="130"/>
      <c r="C17" s="130"/>
      <c r="D17" s="130"/>
      <c r="E17" s="130"/>
      <c r="F17" s="130"/>
      <c r="G17" s="130"/>
    </row>
    <row r="18" spans="1:7" ht="20.100000000000001" customHeight="1">
      <c r="A18" s="130"/>
      <c r="B18" s="130"/>
      <c r="C18" s="130"/>
      <c r="D18" s="130"/>
      <c r="E18" s="130"/>
      <c r="F18" s="130"/>
      <c r="G18" s="130"/>
    </row>
    <row r="19" spans="1:7" ht="20.100000000000001" customHeight="1">
      <c r="A19" s="130"/>
      <c r="B19" s="130"/>
      <c r="C19" s="130"/>
      <c r="D19" s="130"/>
      <c r="E19" s="130"/>
      <c r="F19" s="130"/>
      <c r="G19" s="130"/>
    </row>
    <row r="20" spans="1:7" ht="20.100000000000001" customHeight="1">
      <c r="A20" s="130"/>
      <c r="B20" s="130"/>
      <c r="C20" s="130"/>
      <c r="D20" s="130"/>
      <c r="E20" s="130"/>
      <c r="F20" s="130"/>
      <c r="G20" s="130"/>
    </row>
    <row r="21" spans="1:7" ht="20.100000000000001" customHeight="1">
      <c r="A21" s="130"/>
      <c r="B21" s="130"/>
      <c r="C21" s="130"/>
      <c r="D21" s="130"/>
      <c r="E21" s="130"/>
      <c r="F21" s="130"/>
      <c r="G21" s="130"/>
    </row>
    <row r="22" spans="1:7" ht="20.100000000000001" customHeight="1">
      <c r="A22" s="130"/>
      <c r="B22" s="130"/>
      <c r="C22" s="130"/>
      <c r="D22" s="130"/>
      <c r="E22" s="130"/>
      <c r="F22" s="130"/>
      <c r="G22" s="130"/>
    </row>
    <row r="23" spans="1:7" ht="20.100000000000001" customHeight="1">
      <c r="A23" s="130"/>
      <c r="B23" s="130"/>
      <c r="C23" s="130"/>
      <c r="D23" s="130"/>
      <c r="E23" s="130"/>
      <c r="F23" s="130"/>
      <c r="G23" s="130"/>
    </row>
    <row r="24" spans="1:7" ht="20.100000000000001" customHeight="1">
      <c r="A24" s="130"/>
      <c r="B24" s="130"/>
      <c r="C24" s="130"/>
      <c r="D24" s="130"/>
      <c r="E24" s="130"/>
      <c r="F24" s="130"/>
      <c r="G24" s="130"/>
    </row>
    <row r="25" spans="1:7" ht="20.100000000000001" customHeight="1">
      <c r="A25" s="130"/>
      <c r="B25" s="130"/>
      <c r="C25" s="130"/>
      <c r="D25" s="130"/>
      <c r="E25" s="130"/>
      <c r="F25" s="130"/>
      <c r="G25" s="130"/>
    </row>
    <row r="26" spans="1:7" ht="20.100000000000001" customHeight="1">
      <c r="A26" s="130"/>
      <c r="B26" s="130"/>
      <c r="C26" s="130"/>
      <c r="D26" s="130"/>
      <c r="E26" s="130"/>
      <c r="F26" s="130"/>
      <c r="G26" s="130"/>
    </row>
    <row r="27" spans="1:7" ht="20.100000000000001" customHeight="1">
      <c r="A27" s="130"/>
      <c r="B27" s="130"/>
      <c r="C27" s="130"/>
      <c r="D27" s="130"/>
      <c r="E27" s="130"/>
      <c r="F27" s="130"/>
      <c r="G27" s="130"/>
    </row>
  </sheetData>
  <mergeCells count="2">
    <mergeCell ref="A1:G2"/>
    <mergeCell ref="B3:G3"/>
  </mergeCells>
  <phoneticPr fontId="5" type="noConversion"/>
  <dataValidations disablePrompts="1" count="1">
    <dataValidation type="custom" allowBlank="1" showInputMessage="1" showErrorMessage="1" sqref="A1" xr:uid="{5F7E2222-E039-4792-8B81-F4858E83D8D0}">
      <formula1>A1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topLeftCell="A16" zoomScaleNormal="100" zoomScaleSheetLayoutView="100" workbookViewId="0">
      <selection activeCell="C31" sqref="C31"/>
    </sheetView>
  </sheetViews>
  <sheetFormatPr defaultColWidth="9" defaultRowHeight="13.5"/>
  <cols>
    <col min="1" max="1" width="3.125" style="133" customWidth="1"/>
    <col min="2" max="2" width="18.25" style="143" customWidth="1"/>
    <col min="3" max="3" width="32.375" style="143" customWidth="1"/>
    <col min="4" max="4" width="10" style="144" customWidth="1"/>
    <col min="5" max="5" width="16.625" style="143" customWidth="1"/>
    <col min="6" max="6" width="16.625" style="134" customWidth="1"/>
    <col min="7" max="7" width="3.125" style="134" customWidth="1"/>
    <col min="8" max="16384" width="9" style="134"/>
  </cols>
  <sheetData>
    <row r="1" spans="1:6" ht="16.5" customHeight="1">
      <c r="B1" s="275" t="s">
        <v>765</v>
      </c>
      <c r="C1" s="276"/>
      <c r="D1" s="276"/>
      <c r="E1" s="276"/>
      <c r="F1" s="276"/>
    </row>
    <row r="2" spans="1:6" ht="25.5" customHeight="1">
      <c r="B2" s="276"/>
      <c r="C2" s="276"/>
      <c r="D2" s="276"/>
      <c r="E2" s="276"/>
      <c r="F2" s="276"/>
    </row>
    <row r="3" spans="1:6" ht="10.5" customHeight="1" thickBot="1">
      <c r="A3" s="277"/>
      <c r="B3" s="277"/>
      <c r="C3" s="277"/>
      <c r="D3" s="277"/>
      <c r="E3" s="277"/>
      <c r="F3" s="277"/>
    </row>
    <row r="4" spans="1:6" ht="31.5" customHeight="1">
      <c r="A4" s="135"/>
      <c r="B4" s="136" t="s">
        <v>766</v>
      </c>
      <c r="C4" s="137" t="s">
        <v>767</v>
      </c>
      <c r="D4" s="138" t="s">
        <v>768</v>
      </c>
      <c r="E4" s="278" t="str">
        <f>갑지!B9</f>
        <v>2025년 01월  일</v>
      </c>
      <c r="F4" s="279"/>
    </row>
    <row r="5" spans="1:6" s="141" customFormat="1" ht="31.5" customHeight="1">
      <c r="A5" s="139"/>
      <c r="B5" s="140" t="s">
        <v>769</v>
      </c>
      <c r="C5" s="280" t="str">
        <f>갑지!B7</f>
        <v xml:space="preserve">사택 조명 교체 </v>
      </c>
      <c r="D5" s="281"/>
      <c r="E5" s="281"/>
      <c r="F5" s="282"/>
    </row>
    <row r="6" spans="1:6" ht="21.95" customHeight="1">
      <c r="A6" s="139"/>
      <c r="B6" s="283" t="s">
        <v>770</v>
      </c>
      <c r="C6" s="286" t="s">
        <v>771</v>
      </c>
      <c r="D6" s="287"/>
      <c r="E6" s="287"/>
      <c r="F6" s="288"/>
    </row>
    <row r="7" spans="1:6" ht="21.95" customHeight="1">
      <c r="A7" s="139"/>
      <c r="B7" s="284"/>
      <c r="C7" s="289" t="s">
        <v>7066</v>
      </c>
      <c r="D7" s="290"/>
      <c r="E7" s="290"/>
      <c r="F7" s="291"/>
    </row>
    <row r="8" spans="1:6" ht="21.95" customHeight="1">
      <c r="A8" s="139"/>
      <c r="B8" s="284"/>
      <c r="C8" s="289" t="s">
        <v>772</v>
      </c>
      <c r="D8" s="290"/>
      <c r="E8" s="290"/>
      <c r="F8" s="291"/>
    </row>
    <row r="9" spans="1:6" ht="21.95" customHeight="1">
      <c r="A9" s="139"/>
      <c r="B9" s="284"/>
      <c r="C9" s="292"/>
      <c r="D9" s="293"/>
      <c r="E9" s="293"/>
      <c r="F9" s="294"/>
    </row>
    <row r="10" spans="1:6" ht="21.95" customHeight="1">
      <c r="A10" s="139"/>
      <c r="B10" s="284"/>
      <c r="C10" s="292"/>
      <c r="D10" s="293"/>
      <c r="E10" s="293"/>
      <c r="F10" s="294"/>
    </row>
    <row r="11" spans="1:6" ht="21.95" customHeight="1">
      <c r="A11" s="139"/>
      <c r="B11" s="284"/>
      <c r="C11" s="292"/>
      <c r="D11" s="293"/>
      <c r="E11" s="293"/>
      <c r="F11" s="294"/>
    </row>
    <row r="12" spans="1:6" ht="21.95" customHeight="1">
      <c r="A12" s="139"/>
      <c r="B12" s="284"/>
      <c r="C12" s="292" t="s">
        <v>7065</v>
      </c>
      <c r="D12" s="293"/>
      <c r="E12" s="293"/>
      <c r="F12" s="294"/>
    </row>
    <row r="13" spans="1:6" ht="21.95" customHeight="1">
      <c r="A13" s="139"/>
      <c r="B13" s="284"/>
      <c r="C13" s="292"/>
      <c r="D13" s="293"/>
      <c r="E13" s="293"/>
      <c r="F13" s="294"/>
    </row>
    <row r="14" spans="1:6" ht="21.95" customHeight="1">
      <c r="A14" s="139"/>
      <c r="B14" s="284"/>
      <c r="C14" s="292"/>
      <c r="D14" s="293"/>
      <c r="E14" s="293"/>
      <c r="F14" s="294"/>
    </row>
    <row r="15" spans="1:6" ht="21.95" customHeight="1">
      <c r="A15" s="139"/>
      <c r="B15" s="284"/>
      <c r="C15" s="292"/>
      <c r="D15" s="293"/>
      <c r="E15" s="293"/>
      <c r="F15" s="294"/>
    </row>
    <row r="16" spans="1:6" ht="21.95" customHeight="1">
      <c r="A16" s="139"/>
      <c r="B16" s="284"/>
      <c r="C16" s="292"/>
      <c r="D16" s="293"/>
      <c r="E16" s="293"/>
      <c r="F16" s="294"/>
    </row>
    <row r="17" spans="1:6" ht="21.95" customHeight="1">
      <c r="A17" s="139"/>
      <c r="B17" s="284"/>
      <c r="C17" s="292"/>
      <c r="D17" s="293"/>
      <c r="E17" s="293"/>
      <c r="F17" s="294"/>
    </row>
    <row r="18" spans="1:6" ht="21.95" customHeight="1">
      <c r="A18" s="139"/>
      <c r="B18" s="284"/>
      <c r="C18" s="292"/>
      <c r="D18" s="295"/>
      <c r="E18" s="295"/>
      <c r="F18" s="296"/>
    </row>
    <row r="19" spans="1:6" ht="19.899999999999999" customHeight="1">
      <c r="A19" s="139"/>
      <c r="B19" s="284"/>
      <c r="C19" s="292"/>
      <c r="D19" s="295"/>
      <c r="E19" s="295"/>
      <c r="F19" s="296"/>
    </row>
    <row r="20" spans="1:6" ht="21.95" customHeight="1">
      <c r="A20" s="139"/>
      <c r="B20" s="284"/>
      <c r="C20" s="297" t="s">
        <v>773</v>
      </c>
      <c r="D20" s="298"/>
      <c r="E20" s="298"/>
      <c r="F20" s="299"/>
    </row>
    <row r="21" spans="1:6" ht="21.95" customHeight="1">
      <c r="A21" s="139"/>
      <c r="B21" s="284"/>
      <c r="C21" s="297" t="s">
        <v>774</v>
      </c>
      <c r="D21" s="298"/>
      <c r="E21" s="298"/>
      <c r="F21" s="299"/>
    </row>
    <row r="22" spans="1:6" ht="21.95" customHeight="1">
      <c r="A22" s="139"/>
      <c r="B22" s="284"/>
      <c r="C22" s="292" t="s">
        <v>775</v>
      </c>
      <c r="D22" s="295"/>
      <c r="E22" s="295"/>
      <c r="F22" s="296"/>
    </row>
    <row r="23" spans="1:6" ht="21.95" customHeight="1">
      <c r="A23" s="139"/>
      <c r="B23" s="284"/>
      <c r="C23" s="292" t="s">
        <v>776</v>
      </c>
      <c r="D23" s="295"/>
      <c r="E23" s="295"/>
      <c r="F23" s="296"/>
    </row>
    <row r="24" spans="1:6" ht="21.95" customHeight="1">
      <c r="A24" s="139"/>
      <c r="B24" s="284"/>
      <c r="C24" s="292" t="s">
        <v>777</v>
      </c>
      <c r="D24" s="295"/>
      <c r="E24" s="295"/>
      <c r="F24" s="296"/>
    </row>
    <row r="25" spans="1:6" ht="21.95" customHeight="1">
      <c r="A25" s="139"/>
      <c r="B25" s="284"/>
      <c r="C25" s="297" t="s">
        <v>778</v>
      </c>
      <c r="D25" s="302"/>
      <c r="E25" s="302"/>
      <c r="F25" s="303"/>
    </row>
    <row r="26" spans="1:6" ht="21.95" customHeight="1">
      <c r="A26" s="139"/>
      <c r="B26" s="284"/>
      <c r="C26" s="297"/>
      <c r="D26" s="302"/>
      <c r="E26" s="302"/>
      <c r="F26" s="303"/>
    </row>
    <row r="27" spans="1:6" ht="21.95" customHeight="1">
      <c r="A27" s="139"/>
      <c r="B27" s="284"/>
      <c r="C27" s="297"/>
      <c r="D27" s="302"/>
      <c r="E27" s="302"/>
      <c r="F27" s="303"/>
    </row>
    <row r="28" spans="1:6" ht="21.95" customHeight="1">
      <c r="A28" s="139"/>
      <c r="B28" s="285"/>
      <c r="C28" s="304"/>
      <c r="D28" s="305"/>
      <c r="E28" s="305"/>
      <c r="F28" s="306"/>
    </row>
    <row r="29" spans="1:6" ht="50.1" customHeight="1">
      <c r="A29" s="139"/>
      <c r="B29" s="140" t="s">
        <v>779</v>
      </c>
      <c r="C29" s="142" t="s">
        <v>780</v>
      </c>
      <c r="D29" s="300" t="s">
        <v>781</v>
      </c>
      <c r="E29" s="300"/>
      <c r="F29" s="301"/>
    </row>
    <row r="30" spans="1:6" ht="50.1" customHeight="1">
      <c r="A30" s="139"/>
      <c r="B30" s="140" t="s">
        <v>782</v>
      </c>
      <c r="C30" s="142" t="s">
        <v>7067</v>
      </c>
      <c r="D30" s="300" t="s">
        <v>783</v>
      </c>
      <c r="E30" s="300"/>
      <c r="F30" s="301"/>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5"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sheetPr filterMode="1"/>
  <dimension ref="A1:P112"/>
  <sheetViews>
    <sheetView workbookViewId="0">
      <pane ySplit="5" topLeftCell="A6" activePane="bottomLeft" state="frozen"/>
      <selection activeCell="D40856" sqref="D40856"/>
      <selection pane="bottomLeft" activeCell="C104" sqref="C104"/>
    </sheetView>
  </sheetViews>
  <sheetFormatPr defaultRowHeight="13.5"/>
  <cols>
    <col min="1" max="1" width="18.25" style="107" customWidth="1"/>
    <col min="2" max="2" width="25.125" style="120" bestFit="1" customWidth="1"/>
    <col min="3" max="3" width="34.625" style="120" bestFit="1" customWidth="1"/>
    <col min="4" max="4" width="7.375" style="120" customWidth="1"/>
    <col min="5" max="5" width="6.75" style="121" customWidth="1"/>
    <col min="6" max="8" width="11.75" style="121" customWidth="1"/>
    <col min="9" max="9" width="9.75" style="121" customWidth="1"/>
    <col min="10" max="13" width="11.75" style="107" hidden="1" customWidth="1"/>
    <col min="14" max="14" width="11.75" style="107" customWidth="1"/>
    <col min="15" max="15" width="11.75" style="123" customWidth="1"/>
    <col min="16" max="16" width="11.75" style="120" customWidth="1"/>
    <col min="17" max="16384" width="9" style="107"/>
  </cols>
  <sheetData>
    <row r="1" spans="1:16">
      <c r="A1" s="124"/>
    </row>
    <row r="2" spans="1:16" s="62" customFormat="1" ht="12.75">
      <c r="A2" s="125"/>
      <c r="B2" s="114"/>
      <c r="C2" s="114"/>
      <c r="D2" s="114"/>
      <c r="E2" s="116"/>
      <c r="F2" s="117"/>
      <c r="G2" s="64" t="s">
        <v>38</v>
      </c>
      <c r="I2" s="64" t="s">
        <v>38</v>
      </c>
      <c r="K2" s="64" t="s">
        <v>38</v>
      </c>
      <c r="M2" s="64" t="s">
        <v>38</v>
      </c>
      <c r="O2" s="63"/>
    </row>
    <row r="3" spans="1:16" s="62" customFormat="1" ht="16.5" customHeight="1">
      <c r="A3" s="112"/>
      <c r="B3" s="126" t="str">
        <f>"공사명"&amp;" "&amp;":"&amp;" "&amp;갑지!B7</f>
        <v xml:space="preserve">공사명 : 사택 조명 교체 </v>
      </c>
      <c r="C3" s="114"/>
      <c r="D3" s="114"/>
      <c r="E3" s="116"/>
      <c r="F3" s="118"/>
      <c r="G3" s="111" t="s">
        <v>851</v>
      </c>
      <c r="I3" s="111" t="s">
        <v>851</v>
      </c>
      <c r="K3" s="111">
        <v>0.86</v>
      </c>
      <c r="M3" s="111">
        <v>0.8</v>
      </c>
      <c r="O3" s="63"/>
    </row>
    <row r="4" spans="1:16" s="62" customFormat="1" ht="16.5" customHeight="1">
      <c r="A4" s="308" t="s">
        <v>75</v>
      </c>
      <c r="B4" s="310" t="s">
        <v>86</v>
      </c>
      <c r="C4" s="310"/>
      <c r="D4" s="310" t="s">
        <v>78</v>
      </c>
      <c r="E4" s="311" t="s">
        <v>79</v>
      </c>
      <c r="F4" s="312" t="s">
        <v>80</v>
      </c>
      <c r="G4" s="312"/>
      <c r="H4" s="312" t="s">
        <v>87</v>
      </c>
      <c r="I4" s="312"/>
      <c r="J4" s="307" t="s">
        <v>81</v>
      </c>
      <c r="K4" s="307"/>
      <c r="L4" s="307" t="s">
        <v>82</v>
      </c>
      <c r="M4" s="307"/>
      <c r="N4" s="308" t="s">
        <v>74</v>
      </c>
      <c r="O4" s="309" t="s">
        <v>77</v>
      </c>
      <c r="P4" s="308"/>
    </row>
    <row r="5" spans="1:16" s="62" customFormat="1" ht="16.5" customHeight="1">
      <c r="A5" s="308"/>
      <c r="B5" s="115" t="s">
        <v>83</v>
      </c>
      <c r="C5" s="115" t="s">
        <v>88</v>
      </c>
      <c r="D5" s="310"/>
      <c r="E5" s="311"/>
      <c r="F5" s="104" t="s">
        <v>89</v>
      </c>
      <c r="G5" s="110" t="s">
        <v>84</v>
      </c>
      <c r="H5" s="104" t="s">
        <v>90</v>
      </c>
      <c r="I5" s="110" t="s">
        <v>84</v>
      </c>
      <c r="J5" s="101" t="s">
        <v>85</v>
      </c>
      <c r="K5" s="109" t="s">
        <v>84</v>
      </c>
      <c r="L5" s="101" t="s">
        <v>85</v>
      </c>
      <c r="M5" s="109" t="s">
        <v>84</v>
      </c>
      <c r="N5" s="308"/>
      <c r="O5" s="102" t="s">
        <v>91</v>
      </c>
      <c r="P5" s="103" t="s">
        <v>76</v>
      </c>
    </row>
    <row r="6" spans="1:16">
      <c r="A6" s="168" t="s">
        <v>7048</v>
      </c>
      <c r="B6" s="239" t="s">
        <v>7050</v>
      </c>
      <c r="C6" s="239" t="s">
        <v>7051</v>
      </c>
      <c r="D6" s="239" t="s">
        <v>92</v>
      </c>
      <c r="E6" s="169">
        <v>6</v>
      </c>
      <c r="F6" s="150"/>
      <c r="G6" s="150"/>
      <c r="H6" s="150"/>
      <c r="I6" s="151"/>
      <c r="J6" s="151">
        <v>295464.15000000002</v>
      </c>
      <c r="K6" s="108"/>
      <c r="L6" s="106"/>
      <c r="M6" s="108"/>
      <c r="N6" s="106"/>
      <c r="O6" s="119"/>
      <c r="P6" s="113"/>
    </row>
    <row r="7" spans="1:16">
      <c r="A7" s="240" t="s">
        <v>7062</v>
      </c>
      <c r="B7" s="241" t="s">
        <v>7063</v>
      </c>
      <c r="C7" s="241" t="s">
        <v>7059</v>
      </c>
      <c r="D7" s="241" t="s">
        <v>7060</v>
      </c>
      <c r="E7" s="243">
        <v>6</v>
      </c>
      <c r="F7" s="150"/>
      <c r="G7" s="150"/>
      <c r="H7" s="150"/>
      <c r="I7" s="151"/>
      <c r="J7" s="151">
        <v>131653</v>
      </c>
      <c r="K7" s="108"/>
      <c r="L7" s="106"/>
      <c r="M7" s="108"/>
      <c r="N7" s="106"/>
      <c r="O7" s="119"/>
      <c r="P7" s="113"/>
    </row>
    <row r="8" spans="1:16">
      <c r="A8" s="168" t="s">
        <v>7052</v>
      </c>
      <c r="B8" s="239" t="s">
        <v>7050</v>
      </c>
      <c r="C8" s="239" t="s">
        <v>7053</v>
      </c>
      <c r="D8" s="239" t="s">
        <v>92</v>
      </c>
      <c r="E8" s="169">
        <v>5</v>
      </c>
      <c r="F8" s="150"/>
      <c r="G8" s="150"/>
      <c r="H8" s="150"/>
      <c r="I8" s="151"/>
      <c r="J8" s="151">
        <v>1909218</v>
      </c>
      <c r="K8" s="108"/>
      <c r="L8" s="106"/>
      <c r="M8" s="108"/>
      <c r="N8" s="106"/>
      <c r="O8" s="119"/>
      <c r="P8" s="113"/>
    </row>
    <row r="9" spans="1:16">
      <c r="A9" s="240" t="s">
        <v>7056</v>
      </c>
      <c r="B9" s="241" t="s">
        <v>7058</v>
      </c>
      <c r="C9" s="241" t="s">
        <v>7059</v>
      </c>
      <c r="D9" s="241" t="s">
        <v>7060</v>
      </c>
      <c r="E9" s="243">
        <v>5</v>
      </c>
      <c r="F9" s="150"/>
      <c r="G9" s="150"/>
      <c r="H9" s="150"/>
      <c r="I9" s="151"/>
      <c r="J9" s="151">
        <v>-1044.4000000000001</v>
      </c>
      <c r="K9" s="108"/>
      <c r="L9" s="106"/>
      <c r="M9" s="108"/>
      <c r="N9" s="106"/>
      <c r="O9" s="119"/>
      <c r="P9" s="113"/>
    </row>
    <row r="10" spans="1:16">
      <c r="A10" s="168" t="s">
        <v>7054</v>
      </c>
      <c r="B10" s="239" t="s">
        <v>7050</v>
      </c>
      <c r="C10" s="239" t="s">
        <v>7055</v>
      </c>
      <c r="D10" s="239" t="s">
        <v>92</v>
      </c>
      <c r="E10" s="169">
        <v>1</v>
      </c>
      <c r="F10" s="150"/>
      <c r="G10" s="150"/>
      <c r="H10" s="150"/>
      <c r="I10" s="151"/>
      <c r="J10" s="151">
        <v>-178344</v>
      </c>
      <c r="K10" s="108"/>
      <c r="L10" s="106"/>
      <c r="M10" s="108"/>
      <c r="N10" s="106"/>
      <c r="O10" s="119"/>
      <c r="P10" s="113"/>
    </row>
    <row r="11" spans="1:16">
      <c r="A11" s="240" t="s">
        <v>7056</v>
      </c>
      <c r="B11" s="241" t="s">
        <v>7058</v>
      </c>
      <c r="C11" s="241" t="s">
        <v>7059</v>
      </c>
      <c r="D11" s="241" t="s">
        <v>7060</v>
      </c>
      <c r="E11" s="243">
        <v>1</v>
      </c>
      <c r="F11" s="150"/>
      <c r="G11" s="150"/>
      <c r="H11" s="150"/>
      <c r="I11" s="151"/>
      <c r="J11" s="151">
        <v>276580</v>
      </c>
      <c r="K11" s="108"/>
      <c r="L11" s="106"/>
      <c r="M11" s="108"/>
      <c r="N11" s="106"/>
      <c r="O11" s="119"/>
      <c r="P11" s="113"/>
    </row>
    <row r="12" spans="1:16" s="249" customFormat="1">
      <c r="A12" s="250"/>
      <c r="B12" s="251"/>
      <c r="C12" s="250"/>
      <c r="D12" s="252"/>
      <c r="E12" s="253"/>
      <c r="F12" s="151"/>
      <c r="G12" s="151"/>
      <c r="H12" s="151"/>
      <c r="I12" s="151"/>
      <c r="J12" s="153">
        <v>2631262.75</v>
      </c>
      <c r="K12" s="108"/>
      <c r="L12" s="106"/>
      <c r="M12" s="108"/>
      <c r="N12" s="150"/>
      <c r="O12" s="248"/>
      <c r="P12" s="247"/>
    </row>
    <row r="13" spans="1:16" s="249" customFormat="1">
      <c r="A13" s="250"/>
      <c r="B13" s="251"/>
      <c r="C13" s="250"/>
      <c r="D13" s="252"/>
      <c r="E13" s="253"/>
      <c r="F13" s="151"/>
      <c r="G13" s="151"/>
      <c r="H13" s="151"/>
      <c r="I13" s="151"/>
      <c r="J13" s="154">
        <v>2917000</v>
      </c>
      <c r="K13" s="108"/>
      <c r="L13" s="106"/>
      <c r="M13" s="108"/>
      <c r="N13" s="150"/>
      <c r="O13" s="248"/>
      <c r="P13" s="247"/>
    </row>
    <row r="14" spans="1:16" s="249" customFormat="1">
      <c r="A14" s="254"/>
      <c r="B14" s="255"/>
      <c r="C14" s="255"/>
      <c r="D14" s="256"/>
      <c r="E14" s="253"/>
      <c r="F14" s="150"/>
      <c r="G14" s="150"/>
      <c r="H14" s="150"/>
      <c r="I14" s="150"/>
      <c r="J14" s="106">
        <v>20750</v>
      </c>
      <c r="K14" s="108"/>
      <c r="L14" s="106"/>
      <c r="M14" s="108"/>
      <c r="N14" s="150"/>
      <c r="O14" s="248"/>
      <c r="P14" s="247"/>
    </row>
    <row r="15" spans="1:16" s="249" customFormat="1">
      <c r="A15" s="254"/>
      <c r="B15" s="255"/>
      <c r="C15" s="255"/>
      <c r="D15" s="256"/>
      <c r="E15" s="253"/>
      <c r="F15" s="150"/>
      <c r="G15" s="150"/>
      <c r="H15" s="150"/>
      <c r="I15" s="150"/>
      <c r="J15" s="106">
        <v>175081</v>
      </c>
      <c r="K15" s="108"/>
      <c r="L15" s="106"/>
      <c r="M15" s="108"/>
      <c r="N15" s="150"/>
      <c r="O15" s="248"/>
      <c r="P15" s="247"/>
    </row>
    <row r="16" spans="1:16" s="249" customFormat="1">
      <c r="A16" s="257"/>
      <c r="B16" s="247"/>
      <c r="C16" s="247"/>
      <c r="D16" s="247"/>
      <c r="E16" s="258"/>
      <c r="F16" s="150"/>
      <c r="G16" s="150"/>
      <c r="H16" s="150"/>
      <c r="I16" s="150"/>
      <c r="J16" s="106">
        <v>153960</v>
      </c>
      <c r="K16" s="108"/>
      <c r="L16" s="106"/>
      <c r="M16" s="108"/>
      <c r="N16" s="150"/>
      <c r="O16" s="248"/>
      <c r="P16" s="247"/>
    </row>
    <row r="17" spans="1:16" s="249" customFormat="1">
      <c r="A17" s="257"/>
      <c r="B17" s="247"/>
      <c r="C17" s="247"/>
      <c r="D17" s="247"/>
      <c r="E17" s="258"/>
      <c r="F17" s="150"/>
      <c r="G17" s="150"/>
      <c r="H17" s="150"/>
      <c r="I17" s="150"/>
      <c r="J17" s="106">
        <v>142201</v>
      </c>
      <c r="K17" s="108"/>
      <c r="L17" s="106"/>
      <c r="M17" s="108"/>
      <c r="N17" s="150"/>
      <c r="O17" s="248"/>
      <c r="P17" s="247"/>
    </row>
    <row r="18" spans="1:16" s="249" customFormat="1">
      <c r="A18" s="257"/>
      <c r="B18" s="247"/>
      <c r="C18" s="247"/>
      <c r="D18" s="247"/>
      <c r="E18" s="258"/>
      <c r="F18" s="150"/>
      <c r="G18" s="150"/>
      <c r="H18" s="150"/>
      <c r="I18" s="150"/>
      <c r="J18" s="106">
        <v>285813</v>
      </c>
      <c r="K18" s="108"/>
      <c r="L18" s="106"/>
      <c r="M18" s="108"/>
      <c r="N18" s="150"/>
      <c r="O18" s="248"/>
      <c r="P18" s="247"/>
    </row>
    <row r="19" spans="1:16" s="249" customFormat="1">
      <c r="A19" s="257"/>
      <c r="B19" s="247"/>
      <c r="C19" s="247"/>
      <c r="D19" s="247"/>
      <c r="E19" s="258"/>
      <c r="F19" s="150"/>
      <c r="G19" s="150"/>
      <c r="H19" s="150"/>
      <c r="I19" s="150"/>
      <c r="J19" s="106">
        <v>218105</v>
      </c>
      <c r="K19" s="108"/>
      <c r="L19" s="106"/>
      <c r="M19" s="108"/>
      <c r="N19" s="150"/>
      <c r="O19" s="248"/>
      <c r="P19" s="247"/>
    </row>
    <row r="20" spans="1:16" hidden="1">
      <c r="A20" s="105"/>
      <c r="B20" s="113"/>
      <c r="C20" s="113"/>
      <c r="D20" s="113"/>
      <c r="E20" s="108"/>
      <c r="F20" s="106"/>
      <c r="G20" s="108"/>
      <c r="H20" s="106"/>
      <c r="I20" s="108"/>
      <c r="J20" s="106"/>
      <c r="K20" s="108"/>
      <c r="L20" s="106"/>
      <c r="M20" s="108"/>
      <c r="N20" s="106"/>
      <c r="O20" s="119"/>
      <c r="P20" s="113"/>
    </row>
    <row r="21" spans="1:16" hidden="1">
      <c r="A21" s="105"/>
      <c r="B21" s="113"/>
      <c r="C21" s="113"/>
      <c r="D21" s="113"/>
      <c r="E21" s="108"/>
      <c r="F21" s="106"/>
      <c r="G21" s="108"/>
      <c r="H21" s="106"/>
      <c r="I21" s="108"/>
      <c r="J21" s="106"/>
      <c r="K21" s="108"/>
      <c r="L21" s="106"/>
      <c r="M21" s="108"/>
      <c r="N21" s="106"/>
      <c r="O21" s="119"/>
      <c r="P21" s="113"/>
    </row>
    <row r="22" spans="1:16" hidden="1">
      <c r="A22" s="105"/>
      <c r="B22" s="113"/>
      <c r="C22" s="113"/>
      <c r="D22" s="113"/>
      <c r="E22" s="108"/>
      <c r="F22" s="106"/>
      <c r="G22" s="108"/>
      <c r="H22" s="106"/>
      <c r="I22" s="108"/>
      <c r="J22" s="106"/>
      <c r="K22" s="108"/>
      <c r="L22" s="106"/>
      <c r="M22" s="108"/>
      <c r="N22" s="106"/>
      <c r="O22" s="119"/>
      <c r="P22" s="113"/>
    </row>
    <row r="23" spans="1:16" hidden="1">
      <c r="A23" s="105"/>
      <c r="B23" s="113"/>
      <c r="C23" s="113"/>
      <c r="D23" s="113"/>
      <c r="E23" s="108"/>
      <c r="F23" s="106"/>
      <c r="G23" s="108"/>
      <c r="H23" s="106"/>
      <c r="I23" s="108"/>
      <c r="J23" s="106"/>
      <c r="K23" s="108"/>
      <c r="L23" s="106"/>
      <c r="M23" s="108"/>
      <c r="N23" s="106"/>
      <c r="O23" s="119"/>
      <c r="P23" s="113"/>
    </row>
    <row r="24" spans="1:16" hidden="1">
      <c r="A24" s="105"/>
      <c r="B24" s="113"/>
      <c r="C24" s="113"/>
      <c r="D24" s="113"/>
      <c r="E24" s="108"/>
      <c r="F24" s="106"/>
      <c r="G24" s="108"/>
      <c r="H24" s="106"/>
      <c r="I24" s="108"/>
      <c r="J24" s="106"/>
      <c r="K24" s="108"/>
      <c r="L24" s="106"/>
      <c r="M24" s="108"/>
      <c r="N24" s="106"/>
      <c r="O24" s="119"/>
      <c r="P24" s="113"/>
    </row>
    <row r="25" spans="1:16" hidden="1">
      <c r="A25" s="105"/>
      <c r="B25" s="113"/>
      <c r="C25" s="113"/>
      <c r="D25" s="113"/>
      <c r="E25" s="108"/>
      <c r="F25" s="106"/>
      <c r="G25" s="108"/>
      <c r="H25" s="106"/>
      <c r="I25" s="108"/>
      <c r="J25" s="106"/>
      <c r="K25" s="108"/>
      <c r="L25" s="106"/>
      <c r="M25" s="108"/>
      <c r="N25" s="106"/>
      <c r="O25" s="119"/>
      <c r="P25" s="113"/>
    </row>
    <row r="26" spans="1:16" hidden="1">
      <c r="A26" s="105"/>
      <c r="B26" s="113"/>
      <c r="C26" s="113"/>
      <c r="D26" s="113"/>
      <c r="E26" s="108"/>
      <c r="F26" s="106"/>
      <c r="G26" s="108"/>
      <c r="H26" s="106"/>
      <c r="I26" s="108"/>
      <c r="J26" s="106"/>
      <c r="K26" s="108"/>
      <c r="L26" s="106"/>
      <c r="M26" s="108"/>
      <c r="N26" s="106"/>
      <c r="O26" s="119"/>
      <c r="P26" s="113"/>
    </row>
    <row r="27" spans="1:16" hidden="1">
      <c r="A27" s="105"/>
      <c r="B27" s="113"/>
      <c r="C27" s="113"/>
      <c r="D27" s="113"/>
      <c r="E27" s="108"/>
      <c r="F27" s="106"/>
      <c r="G27" s="108"/>
      <c r="H27" s="106"/>
      <c r="I27" s="108"/>
      <c r="J27" s="106"/>
      <c r="K27" s="108"/>
      <c r="L27" s="106"/>
      <c r="M27" s="108"/>
      <c r="N27" s="106"/>
      <c r="O27" s="119"/>
      <c r="P27" s="113"/>
    </row>
    <row r="28" spans="1:16" hidden="1">
      <c r="A28" s="105"/>
      <c r="B28" s="113"/>
      <c r="C28" s="113"/>
      <c r="D28" s="113"/>
      <c r="E28" s="108"/>
      <c r="F28" s="106"/>
      <c r="G28" s="108"/>
      <c r="H28" s="106"/>
      <c r="I28" s="108"/>
      <c r="J28" s="106"/>
      <c r="K28" s="108"/>
      <c r="L28" s="106"/>
      <c r="M28" s="108"/>
      <c r="N28" s="106"/>
      <c r="O28" s="119"/>
      <c r="P28" s="113"/>
    </row>
    <row r="29" spans="1:16" hidden="1">
      <c r="A29" s="105"/>
      <c r="B29" s="113"/>
      <c r="C29" s="113"/>
      <c r="D29" s="113"/>
      <c r="E29" s="108"/>
      <c r="F29" s="106"/>
      <c r="G29" s="108"/>
      <c r="H29" s="106"/>
      <c r="I29" s="108"/>
      <c r="J29" s="106"/>
      <c r="K29" s="108"/>
      <c r="L29" s="106"/>
      <c r="M29" s="108"/>
      <c r="N29" s="106"/>
      <c r="O29" s="119"/>
      <c r="P29" s="113"/>
    </row>
    <row r="30" spans="1:16" hidden="1">
      <c r="A30" s="105"/>
      <c r="B30" s="113"/>
      <c r="C30" s="113"/>
      <c r="D30" s="113"/>
      <c r="E30" s="108"/>
      <c r="F30" s="106"/>
      <c r="G30" s="108"/>
      <c r="H30" s="106"/>
      <c r="I30" s="108"/>
      <c r="J30" s="106"/>
      <c r="K30" s="108"/>
      <c r="L30" s="106"/>
      <c r="M30" s="108"/>
      <c r="N30" s="106"/>
      <c r="O30" s="119"/>
      <c r="P30" s="113"/>
    </row>
    <row r="31" spans="1:16" hidden="1">
      <c r="A31" s="105"/>
      <c r="B31" s="113"/>
      <c r="C31" s="113"/>
      <c r="D31" s="113"/>
      <c r="E31" s="108"/>
      <c r="F31" s="106"/>
      <c r="G31" s="108"/>
      <c r="H31" s="106"/>
      <c r="I31" s="108"/>
      <c r="J31" s="106"/>
      <c r="K31" s="108"/>
      <c r="L31" s="106"/>
      <c r="M31" s="108"/>
      <c r="N31" s="106"/>
      <c r="O31" s="119"/>
      <c r="P31" s="113"/>
    </row>
    <row r="32" spans="1:16" hidden="1">
      <c r="A32" s="105"/>
      <c r="B32" s="113"/>
      <c r="C32" s="113"/>
      <c r="D32" s="113"/>
      <c r="E32" s="108"/>
      <c r="F32" s="106"/>
      <c r="G32" s="108"/>
      <c r="H32" s="106"/>
      <c r="I32" s="108"/>
      <c r="J32" s="106"/>
      <c r="K32" s="108"/>
      <c r="L32" s="106"/>
      <c r="M32" s="108"/>
      <c r="N32" s="106"/>
      <c r="O32" s="119"/>
      <c r="P32" s="113"/>
    </row>
    <row r="33" spans="1:16" hidden="1">
      <c r="A33" s="105"/>
      <c r="B33" s="113"/>
      <c r="C33" s="113"/>
      <c r="D33" s="113"/>
      <c r="E33" s="108"/>
      <c r="F33" s="106"/>
      <c r="G33" s="108"/>
      <c r="H33" s="106"/>
      <c r="I33" s="108"/>
      <c r="J33" s="106"/>
      <c r="K33" s="108"/>
      <c r="L33" s="106"/>
      <c r="M33" s="108"/>
      <c r="N33" s="106"/>
      <c r="O33" s="119"/>
      <c r="P33" s="113"/>
    </row>
    <row r="34" spans="1:16" hidden="1">
      <c r="A34" s="105"/>
      <c r="B34" s="113"/>
      <c r="C34" s="113"/>
      <c r="D34" s="113"/>
      <c r="E34" s="108"/>
      <c r="F34" s="106"/>
      <c r="G34" s="108"/>
      <c r="H34" s="106"/>
      <c r="I34" s="108"/>
      <c r="J34" s="106"/>
      <c r="K34" s="108"/>
      <c r="L34" s="106"/>
      <c r="M34" s="108"/>
      <c r="N34" s="106"/>
      <c r="O34" s="119"/>
      <c r="P34" s="113"/>
    </row>
    <row r="35" spans="1:16" hidden="1">
      <c r="A35" s="105"/>
      <c r="B35" s="113"/>
      <c r="C35" s="113"/>
      <c r="D35" s="113"/>
      <c r="E35" s="108"/>
      <c r="F35" s="106"/>
      <c r="G35" s="108"/>
      <c r="H35" s="106"/>
      <c r="I35" s="108"/>
      <c r="J35" s="106"/>
      <c r="K35" s="108"/>
      <c r="L35" s="106"/>
      <c r="M35" s="108"/>
      <c r="N35" s="106"/>
      <c r="O35" s="119"/>
      <c r="P35" s="113"/>
    </row>
    <row r="36" spans="1:16" hidden="1">
      <c r="A36" s="105"/>
      <c r="B36" s="113"/>
      <c r="C36" s="113"/>
      <c r="D36" s="113"/>
      <c r="E36" s="108"/>
      <c r="F36" s="106"/>
      <c r="G36" s="108"/>
      <c r="H36" s="106"/>
      <c r="I36" s="108"/>
      <c r="J36" s="106"/>
      <c r="K36" s="108"/>
      <c r="L36" s="106"/>
      <c r="M36" s="108"/>
      <c r="N36" s="106"/>
      <c r="O36" s="119"/>
      <c r="P36" s="113"/>
    </row>
    <row r="37" spans="1:16" hidden="1">
      <c r="A37" s="105"/>
      <c r="B37" s="113"/>
      <c r="C37" s="113"/>
      <c r="D37" s="113"/>
      <c r="E37" s="108"/>
      <c r="F37" s="106"/>
      <c r="G37" s="108"/>
      <c r="H37" s="106"/>
      <c r="I37" s="108"/>
      <c r="J37" s="106"/>
      <c r="K37" s="108"/>
      <c r="L37" s="106"/>
      <c r="M37" s="108"/>
      <c r="N37" s="106"/>
      <c r="O37" s="119"/>
      <c r="P37" s="113"/>
    </row>
    <row r="38" spans="1:16" hidden="1">
      <c r="A38" s="105"/>
      <c r="B38" s="113"/>
      <c r="C38" s="113"/>
      <c r="D38" s="113"/>
      <c r="E38" s="108"/>
      <c r="F38" s="106"/>
      <c r="G38" s="108"/>
      <c r="H38" s="106"/>
      <c r="I38" s="108"/>
      <c r="J38" s="106"/>
      <c r="K38" s="108"/>
      <c r="L38" s="106"/>
      <c r="M38" s="108"/>
      <c r="N38" s="106"/>
      <c r="O38" s="119"/>
      <c r="P38" s="113"/>
    </row>
    <row r="39" spans="1:16" hidden="1">
      <c r="A39" s="105"/>
      <c r="B39" s="113"/>
      <c r="C39" s="113"/>
      <c r="D39" s="113"/>
      <c r="E39" s="108"/>
      <c r="F39" s="106"/>
      <c r="G39" s="108"/>
      <c r="H39" s="106"/>
      <c r="I39" s="108"/>
      <c r="J39" s="106"/>
      <c r="K39" s="108"/>
      <c r="L39" s="106"/>
      <c r="M39" s="108"/>
      <c r="N39" s="106"/>
      <c r="O39" s="119"/>
      <c r="P39" s="113"/>
    </row>
    <row r="40" spans="1:16" hidden="1">
      <c r="A40" s="105"/>
      <c r="B40" s="113"/>
      <c r="C40" s="113"/>
      <c r="D40" s="113"/>
      <c r="E40" s="108"/>
      <c r="F40" s="106"/>
      <c r="G40" s="108"/>
      <c r="H40" s="106"/>
      <c r="I40" s="108"/>
      <c r="J40" s="106"/>
      <c r="K40" s="108"/>
      <c r="L40" s="106"/>
      <c r="M40" s="108"/>
      <c r="N40" s="106"/>
      <c r="O40" s="119"/>
      <c r="P40" s="113"/>
    </row>
    <row r="41" spans="1:16" hidden="1">
      <c r="A41" s="105"/>
      <c r="B41" s="113"/>
      <c r="C41" s="113"/>
      <c r="D41" s="113"/>
      <c r="E41" s="108"/>
      <c r="F41" s="106"/>
      <c r="G41" s="108"/>
      <c r="H41" s="106"/>
      <c r="I41" s="108"/>
      <c r="J41" s="106"/>
      <c r="K41" s="108"/>
      <c r="L41" s="106"/>
      <c r="M41" s="108"/>
      <c r="N41" s="106"/>
      <c r="O41" s="119"/>
      <c r="P41" s="113"/>
    </row>
    <row r="42" spans="1:16" hidden="1">
      <c r="A42" s="105"/>
      <c r="B42" s="113"/>
      <c r="C42" s="113"/>
      <c r="D42" s="113"/>
      <c r="E42" s="108"/>
      <c r="F42" s="106"/>
      <c r="G42" s="108"/>
      <c r="H42" s="106"/>
      <c r="I42" s="108"/>
      <c r="J42" s="106"/>
      <c r="K42" s="108"/>
      <c r="L42" s="106"/>
      <c r="M42" s="108"/>
      <c r="N42" s="106"/>
      <c r="O42" s="119"/>
      <c r="P42" s="113"/>
    </row>
    <row r="43" spans="1:16" hidden="1">
      <c r="A43" s="105"/>
      <c r="B43" s="113"/>
      <c r="C43" s="113"/>
      <c r="D43" s="113"/>
      <c r="E43" s="108"/>
      <c r="F43" s="106"/>
      <c r="G43" s="108"/>
      <c r="H43" s="106"/>
      <c r="I43" s="108"/>
      <c r="J43" s="106"/>
      <c r="K43" s="108"/>
      <c r="L43" s="106"/>
      <c r="M43" s="108"/>
      <c r="N43" s="106"/>
      <c r="O43" s="119"/>
      <c r="P43" s="113"/>
    </row>
    <row r="44" spans="1:16" hidden="1">
      <c r="A44" s="105"/>
      <c r="B44" s="113"/>
      <c r="C44" s="113"/>
      <c r="D44" s="113"/>
      <c r="E44" s="108"/>
      <c r="F44" s="106"/>
      <c r="G44" s="108"/>
      <c r="H44" s="106"/>
      <c r="I44" s="108"/>
      <c r="J44" s="106"/>
      <c r="K44" s="108"/>
      <c r="L44" s="106"/>
      <c r="M44" s="108"/>
      <c r="N44" s="106"/>
      <c r="O44" s="119"/>
      <c r="P44" s="113"/>
    </row>
    <row r="45" spans="1:16" hidden="1">
      <c r="A45" s="105"/>
      <c r="B45" s="113"/>
      <c r="C45" s="113"/>
      <c r="D45" s="113"/>
      <c r="E45" s="108"/>
      <c r="F45" s="106"/>
      <c r="G45" s="108"/>
      <c r="H45" s="106"/>
      <c r="I45" s="108"/>
      <c r="J45" s="106"/>
      <c r="K45" s="108"/>
      <c r="L45" s="106"/>
      <c r="M45" s="108"/>
      <c r="N45" s="106"/>
      <c r="O45" s="119"/>
      <c r="P45" s="113"/>
    </row>
    <row r="46" spans="1:16" hidden="1">
      <c r="A46" s="105"/>
      <c r="B46" s="113"/>
      <c r="C46" s="113"/>
      <c r="D46" s="113"/>
      <c r="E46" s="108"/>
      <c r="F46" s="106"/>
      <c r="G46" s="108"/>
      <c r="H46" s="106"/>
      <c r="I46" s="108"/>
      <c r="J46" s="106"/>
      <c r="K46" s="108"/>
      <c r="L46" s="106"/>
      <c r="M46" s="108"/>
      <c r="N46" s="106"/>
      <c r="O46" s="119"/>
      <c r="P46" s="113"/>
    </row>
    <row r="47" spans="1:16" hidden="1">
      <c r="A47" s="105"/>
      <c r="B47" s="113"/>
      <c r="C47" s="113"/>
      <c r="D47" s="113"/>
      <c r="E47" s="108"/>
      <c r="F47" s="106"/>
      <c r="G47" s="108"/>
      <c r="H47" s="106"/>
      <c r="I47" s="108"/>
      <c r="J47" s="106"/>
      <c r="K47" s="108"/>
      <c r="L47" s="106"/>
      <c r="M47" s="108"/>
      <c r="N47" s="106"/>
      <c r="O47" s="119"/>
      <c r="P47" s="113"/>
    </row>
    <row r="48" spans="1:16" hidden="1">
      <c r="A48" s="105"/>
      <c r="B48" s="113"/>
      <c r="C48" s="113"/>
      <c r="D48" s="113"/>
      <c r="E48" s="108"/>
      <c r="F48" s="106"/>
      <c r="G48" s="108"/>
      <c r="H48" s="106"/>
      <c r="I48" s="108"/>
      <c r="J48" s="106"/>
      <c r="K48" s="108"/>
      <c r="L48" s="106"/>
      <c r="M48" s="108"/>
      <c r="N48" s="106"/>
      <c r="O48" s="119"/>
      <c r="P48" s="113"/>
    </row>
    <row r="49" spans="1:16" hidden="1">
      <c r="A49" s="105"/>
      <c r="B49" s="113"/>
      <c r="C49" s="113"/>
      <c r="D49" s="113"/>
      <c r="E49" s="108"/>
      <c r="F49" s="106"/>
      <c r="G49" s="108"/>
      <c r="H49" s="106"/>
      <c r="I49" s="108"/>
      <c r="J49" s="106"/>
      <c r="K49" s="108"/>
      <c r="L49" s="106"/>
      <c r="M49" s="108"/>
      <c r="N49" s="106"/>
      <c r="O49" s="119"/>
      <c r="P49" s="113"/>
    </row>
    <row r="50" spans="1:16" hidden="1">
      <c r="A50" s="105"/>
      <c r="B50" s="113"/>
      <c r="C50" s="113"/>
      <c r="D50" s="113"/>
      <c r="E50" s="108"/>
      <c r="F50" s="106"/>
      <c r="G50" s="108"/>
      <c r="H50" s="106"/>
      <c r="I50" s="108"/>
      <c r="J50" s="106"/>
      <c r="K50" s="108"/>
      <c r="L50" s="106"/>
      <c r="M50" s="108"/>
      <c r="N50" s="106"/>
      <c r="O50" s="119"/>
      <c r="P50" s="113"/>
    </row>
    <row r="51" spans="1:16" hidden="1">
      <c r="A51" s="105"/>
      <c r="B51" s="113"/>
      <c r="C51" s="113"/>
      <c r="D51" s="113"/>
      <c r="E51" s="108"/>
      <c r="F51" s="106"/>
      <c r="G51" s="108"/>
      <c r="H51" s="106"/>
      <c r="I51" s="108"/>
      <c r="J51" s="106"/>
      <c r="K51" s="108"/>
      <c r="L51" s="106"/>
      <c r="M51" s="108"/>
      <c r="N51" s="106"/>
      <c r="O51" s="119"/>
      <c r="P51" s="113"/>
    </row>
    <row r="52" spans="1:16" hidden="1">
      <c r="A52" s="105"/>
      <c r="B52" s="113"/>
      <c r="C52" s="113"/>
      <c r="D52" s="113"/>
      <c r="E52" s="108"/>
      <c r="F52" s="106"/>
      <c r="G52" s="108"/>
      <c r="H52" s="106"/>
      <c r="I52" s="108"/>
      <c r="J52" s="106"/>
      <c r="K52" s="108"/>
      <c r="L52" s="106"/>
      <c r="M52" s="108"/>
      <c r="N52" s="106"/>
      <c r="O52" s="119"/>
      <c r="P52" s="113"/>
    </row>
    <row r="53" spans="1:16" hidden="1">
      <c r="A53" s="105"/>
      <c r="B53" s="113"/>
      <c r="C53" s="113"/>
      <c r="D53" s="113"/>
      <c r="E53" s="108"/>
      <c r="F53" s="106"/>
      <c r="G53" s="108"/>
      <c r="H53" s="106"/>
      <c r="I53" s="108"/>
      <c r="J53" s="106"/>
      <c r="K53" s="108"/>
      <c r="L53" s="106"/>
      <c r="M53" s="108"/>
      <c r="N53" s="106"/>
      <c r="O53" s="119"/>
      <c r="P53" s="113"/>
    </row>
    <row r="54" spans="1:16" hidden="1">
      <c r="A54" s="105"/>
      <c r="B54" s="113"/>
      <c r="C54" s="113"/>
      <c r="D54" s="113"/>
      <c r="E54" s="108"/>
      <c r="F54" s="106"/>
      <c r="G54" s="108"/>
      <c r="H54" s="106"/>
      <c r="I54" s="108"/>
      <c r="J54" s="106"/>
      <c r="K54" s="108"/>
      <c r="L54" s="106"/>
      <c r="M54" s="108"/>
      <c r="N54" s="106"/>
      <c r="O54" s="119"/>
      <c r="P54" s="113"/>
    </row>
    <row r="55" spans="1:16" hidden="1">
      <c r="A55" s="105"/>
      <c r="B55" s="113"/>
      <c r="C55" s="113"/>
      <c r="D55" s="113"/>
      <c r="E55" s="108"/>
      <c r="F55" s="106"/>
      <c r="G55" s="108"/>
      <c r="H55" s="106"/>
      <c r="I55" s="108"/>
      <c r="J55" s="106"/>
      <c r="K55" s="108"/>
      <c r="L55" s="106"/>
      <c r="M55" s="108"/>
      <c r="N55" s="106"/>
      <c r="O55" s="119"/>
      <c r="P55" s="113"/>
    </row>
    <row r="56" spans="1:16" hidden="1">
      <c r="A56" s="105"/>
      <c r="B56" s="113"/>
      <c r="C56" s="113"/>
      <c r="D56" s="113"/>
      <c r="E56" s="108"/>
      <c r="F56" s="106"/>
      <c r="G56" s="108"/>
      <c r="H56" s="106"/>
      <c r="I56" s="108"/>
      <c r="J56" s="106"/>
      <c r="K56" s="108"/>
      <c r="L56" s="106"/>
      <c r="M56" s="108"/>
      <c r="N56" s="106"/>
      <c r="O56" s="119"/>
      <c r="P56" s="113"/>
    </row>
    <row r="57" spans="1:16" hidden="1">
      <c r="A57" s="105"/>
      <c r="B57" s="113"/>
      <c r="C57" s="113"/>
      <c r="D57" s="113"/>
      <c r="E57" s="108"/>
      <c r="F57" s="106"/>
      <c r="G57" s="108"/>
      <c r="H57" s="106"/>
      <c r="I57" s="108"/>
      <c r="J57" s="106"/>
      <c r="K57" s="108"/>
      <c r="L57" s="106"/>
      <c r="M57" s="108"/>
      <c r="N57" s="106"/>
      <c r="O57" s="119"/>
      <c r="P57" s="113"/>
    </row>
    <row r="58" spans="1:16" hidden="1">
      <c r="A58" s="105"/>
      <c r="B58" s="113"/>
      <c r="C58" s="113"/>
      <c r="D58" s="113"/>
      <c r="E58" s="108"/>
      <c r="F58" s="106"/>
      <c r="G58" s="108"/>
      <c r="H58" s="106"/>
      <c r="I58" s="108"/>
      <c r="J58" s="106"/>
      <c r="K58" s="108"/>
      <c r="L58" s="106"/>
      <c r="M58" s="108"/>
      <c r="N58" s="106"/>
      <c r="O58" s="119"/>
      <c r="P58" s="113"/>
    </row>
    <row r="59" spans="1:16" hidden="1">
      <c r="A59" s="105"/>
      <c r="B59" s="113"/>
      <c r="C59" s="113"/>
      <c r="D59" s="113"/>
      <c r="E59" s="108"/>
      <c r="F59" s="106"/>
      <c r="G59" s="108"/>
      <c r="H59" s="106"/>
      <c r="I59" s="108"/>
      <c r="J59" s="106"/>
      <c r="K59" s="108"/>
      <c r="L59" s="106"/>
      <c r="M59" s="108"/>
      <c r="N59" s="106"/>
      <c r="O59" s="119"/>
      <c r="P59" s="113"/>
    </row>
    <row r="60" spans="1:16" hidden="1">
      <c r="A60" s="105"/>
      <c r="B60" s="113"/>
      <c r="C60" s="113"/>
      <c r="D60" s="113"/>
      <c r="E60" s="108"/>
      <c r="F60" s="106"/>
      <c r="G60" s="108"/>
      <c r="H60" s="106"/>
      <c r="I60" s="108"/>
      <c r="J60" s="106"/>
      <c r="K60" s="108"/>
      <c r="L60" s="106"/>
      <c r="M60" s="108"/>
      <c r="N60" s="106"/>
      <c r="O60" s="119"/>
      <c r="P60" s="113"/>
    </row>
    <row r="61" spans="1:16" hidden="1">
      <c r="A61" s="105"/>
      <c r="B61" s="113"/>
      <c r="C61" s="113"/>
      <c r="D61" s="113"/>
      <c r="E61" s="108"/>
      <c r="F61" s="106"/>
      <c r="G61" s="108"/>
      <c r="H61" s="106"/>
      <c r="I61" s="108"/>
      <c r="J61" s="106"/>
      <c r="K61" s="108"/>
      <c r="L61" s="106"/>
      <c r="M61" s="108"/>
      <c r="N61" s="106"/>
      <c r="O61" s="119"/>
      <c r="P61" s="113"/>
    </row>
    <row r="62" spans="1:16" hidden="1">
      <c r="A62" s="105"/>
      <c r="B62" s="113"/>
      <c r="C62" s="113"/>
      <c r="D62" s="113"/>
      <c r="E62" s="108"/>
      <c r="F62" s="106"/>
      <c r="G62" s="108"/>
      <c r="H62" s="106"/>
      <c r="I62" s="108"/>
      <c r="J62" s="106"/>
      <c r="K62" s="108"/>
      <c r="L62" s="106"/>
      <c r="M62" s="108"/>
      <c r="N62" s="106"/>
      <c r="O62" s="119"/>
      <c r="P62" s="113"/>
    </row>
    <row r="63" spans="1:16" hidden="1">
      <c r="A63" s="105"/>
      <c r="B63" s="113"/>
      <c r="C63" s="113"/>
      <c r="D63" s="113"/>
      <c r="E63" s="108"/>
      <c r="F63" s="106"/>
      <c r="G63" s="108"/>
      <c r="H63" s="106"/>
      <c r="I63" s="108"/>
      <c r="J63" s="106"/>
      <c r="K63" s="108"/>
      <c r="L63" s="106"/>
      <c r="M63" s="108"/>
      <c r="N63" s="106"/>
      <c r="O63" s="119"/>
      <c r="P63" s="113"/>
    </row>
    <row r="64" spans="1:16" hidden="1">
      <c r="A64" s="105"/>
      <c r="B64" s="113"/>
      <c r="C64" s="113"/>
      <c r="D64" s="113"/>
      <c r="E64" s="108"/>
      <c r="F64" s="106"/>
      <c r="G64" s="108"/>
      <c r="H64" s="106"/>
      <c r="I64" s="108"/>
      <c r="J64" s="106"/>
      <c r="K64" s="108"/>
      <c r="L64" s="106"/>
      <c r="M64" s="108"/>
      <c r="N64" s="106"/>
      <c r="O64" s="119"/>
      <c r="P64" s="113"/>
    </row>
    <row r="65" spans="1:16" hidden="1">
      <c r="A65" s="105"/>
      <c r="B65" s="113"/>
      <c r="C65" s="113"/>
      <c r="D65" s="113"/>
      <c r="E65" s="108"/>
      <c r="F65" s="106"/>
      <c r="G65" s="108"/>
      <c r="H65" s="106"/>
      <c r="I65" s="108"/>
      <c r="J65" s="106"/>
      <c r="K65" s="108"/>
      <c r="L65" s="106"/>
      <c r="M65" s="108"/>
      <c r="N65" s="106"/>
      <c r="O65" s="119"/>
      <c r="P65" s="113"/>
    </row>
    <row r="66" spans="1:16" hidden="1">
      <c r="A66" s="105"/>
      <c r="B66" s="113"/>
      <c r="C66" s="113"/>
      <c r="D66" s="113"/>
      <c r="E66" s="108"/>
      <c r="F66" s="106"/>
      <c r="G66" s="108"/>
      <c r="H66" s="106"/>
      <c r="I66" s="108"/>
      <c r="J66" s="106"/>
      <c r="K66" s="108"/>
      <c r="L66" s="106"/>
      <c r="M66" s="108"/>
      <c r="N66" s="106"/>
      <c r="O66" s="119"/>
      <c r="P66" s="113"/>
    </row>
    <row r="67" spans="1:16" hidden="1">
      <c r="A67" s="105"/>
      <c r="B67" s="113"/>
      <c r="C67" s="113"/>
      <c r="D67" s="113"/>
      <c r="E67" s="108"/>
      <c r="F67" s="106"/>
      <c r="G67" s="108"/>
      <c r="H67" s="106"/>
      <c r="I67" s="108"/>
      <c r="J67" s="106"/>
      <c r="K67" s="108"/>
      <c r="L67" s="106"/>
      <c r="M67" s="108"/>
      <c r="N67" s="106"/>
      <c r="O67" s="119"/>
      <c r="P67" s="113"/>
    </row>
    <row r="68" spans="1:16" hidden="1">
      <c r="A68" s="105"/>
      <c r="B68" s="113"/>
      <c r="C68" s="113"/>
      <c r="D68" s="113"/>
      <c r="E68" s="108"/>
      <c r="F68" s="106"/>
      <c r="G68" s="108"/>
      <c r="H68" s="106"/>
      <c r="I68" s="108"/>
      <c r="J68" s="106"/>
      <c r="K68" s="108"/>
      <c r="L68" s="106"/>
      <c r="M68" s="108"/>
      <c r="N68" s="106"/>
      <c r="O68" s="119"/>
      <c r="P68" s="113"/>
    </row>
    <row r="69" spans="1:16" hidden="1">
      <c r="A69" s="105"/>
      <c r="B69" s="113"/>
      <c r="C69" s="113"/>
      <c r="D69" s="113"/>
      <c r="E69" s="108"/>
      <c r="F69" s="106"/>
      <c r="G69" s="108"/>
      <c r="H69" s="106"/>
      <c r="I69" s="108"/>
      <c r="J69" s="106"/>
      <c r="K69" s="108"/>
      <c r="L69" s="106"/>
      <c r="M69" s="108"/>
      <c r="N69" s="106"/>
      <c r="O69" s="119"/>
      <c r="P69" s="113"/>
    </row>
    <row r="70" spans="1:16" hidden="1">
      <c r="A70" s="105"/>
      <c r="B70" s="113"/>
      <c r="C70" s="113"/>
      <c r="D70" s="113"/>
      <c r="E70" s="108"/>
      <c r="F70" s="106"/>
      <c r="G70" s="108"/>
      <c r="H70" s="106"/>
      <c r="I70" s="108"/>
      <c r="J70" s="106"/>
      <c r="K70" s="108"/>
      <c r="L70" s="106"/>
      <c r="M70" s="108"/>
      <c r="N70" s="106"/>
      <c r="O70" s="119"/>
      <c r="P70" s="113"/>
    </row>
    <row r="71" spans="1:16" hidden="1">
      <c r="A71" s="105"/>
      <c r="B71" s="113"/>
      <c r="C71" s="113"/>
      <c r="D71" s="113"/>
      <c r="E71" s="108"/>
      <c r="F71" s="106"/>
      <c r="G71" s="108"/>
      <c r="H71" s="106"/>
      <c r="I71" s="108"/>
      <c r="J71" s="106"/>
      <c r="K71" s="108"/>
      <c r="L71" s="106"/>
      <c r="M71" s="108"/>
      <c r="N71" s="106"/>
      <c r="O71" s="119"/>
      <c r="P71" s="113"/>
    </row>
    <row r="72" spans="1:16" hidden="1">
      <c r="A72" s="105"/>
      <c r="B72" s="113"/>
      <c r="C72" s="113"/>
      <c r="D72" s="113"/>
      <c r="E72" s="108"/>
      <c r="F72" s="106"/>
      <c r="G72" s="108"/>
      <c r="H72" s="106"/>
      <c r="I72" s="108"/>
      <c r="J72" s="106"/>
      <c r="K72" s="108"/>
      <c r="L72" s="106"/>
      <c r="M72" s="108"/>
      <c r="N72" s="106"/>
      <c r="O72" s="119"/>
      <c r="P72" s="113"/>
    </row>
    <row r="73" spans="1:16" hidden="1">
      <c r="A73" s="105"/>
      <c r="B73" s="113"/>
      <c r="C73" s="113"/>
      <c r="D73" s="113"/>
      <c r="E73" s="108"/>
      <c r="F73" s="106"/>
      <c r="G73" s="108"/>
      <c r="H73" s="106"/>
      <c r="I73" s="108"/>
      <c r="J73" s="106"/>
      <c r="K73" s="108"/>
      <c r="L73" s="106"/>
      <c r="M73" s="108"/>
      <c r="N73" s="106"/>
      <c r="O73" s="119"/>
      <c r="P73" s="113"/>
    </row>
    <row r="74" spans="1:16" hidden="1">
      <c r="A74" s="105"/>
      <c r="B74" s="113"/>
      <c r="C74" s="113"/>
      <c r="D74" s="113"/>
      <c r="E74" s="108"/>
      <c r="F74" s="106"/>
      <c r="G74" s="108"/>
      <c r="H74" s="106"/>
      <c r="I74" s="108"/>
      <c r="J74" s="106"/>
      <c r="K74" s="108"/>
      <c r="L74" s="106"/>
      <c r="M74" s="108"/>
      <c r="N74" s="106"/>
      <c r="O74" s="119"/>
      <c r="P74" s="113"/>
    </row>
    <row r="75" spans="1:16" hidden="1">
      <c r="A75" s="105"/>
      <c r="B75" s="113"/>
      <c r="C75" s="113"/>
      <c r="D75" s="113"/>
      <c r="E75" s="108"/>
      <c r="F75" s="106"/>
      <c r="G75" s="108"/>
      <c r="H75" s="106"/>
      <c r="I75" s="108"/>
      <c r="J75" s="106"/>
      <c r="K75" s="108"/>
      <c r="L75" s="106"/>
      <c r="M75" s="108"/>
      <c r="N75" s="106"/>
      <c r="O75" s="119"/>
      <c r="P75" s="113"/>
    </row>
    <row r="76" spans="1:16" hidden="1">
      <c r="A76" s="105"/>
      <c r="B76" s="113"/>
      <c r="C76" s="113"/>
      <c r="D76" s="113"/>
      <c r="E76" s="108"/>
      <c r="F76" s="106"/>
      <c r="G76" s="108"/>
      <c r="H76" s="106"/>
      <c r="I76" s="108"/>
      <c r="J76" s="106"/>
      <c r="K76" s="108"/>
      <c r="L76" s="106"/>
      <c r="M76" s="108"/>
      <c r="N76" s="106"/>
      <c r="O76" s="119"/>
      <c r="P76" s="113"/>
    </row>
    <row r="77" spans="1:16" hidden="1">
      <c r="A77" s="105"/>
      <c r="B77" s="113"/>
      <c r="C77" s="113"/>
      <c r="D77" s="113"/>
      <c r="E77" s="108"/>
      <c r="F77" s="106"/>
      <c r="G77" s="108"/>
      <c r="H77" s="106"/>
      <c r="I77" s="108"/>
      <c r="J77" s="106"/>
      <c r="K77" s="108"/>
      <c r="L77" s="106"/>
      <c r="M77" s="108"/>
      <c r="N77" s="106"/>
      <c r="O77" s="119"/>
      <c r="P77" s="113"/>
    </row>
    <row r="78" spans="1:16" hidden="1">
      <c r="A78" s="105"/>
      <c r="B78" s="113"/>
      <c r="C78" s="113"/>
      <c r="D78" s="113"/>
      <c r="E78" s="108"/>
      <c r="F78" s="106"/>
      <c r="G78" s="108"/>
      <c r="H78" s="106"/>
      <c r="I78" s="108"/>
      <c r="J78" s="106"/>
      <c r="K78" s="108"/>
      <c r="L78" s="106"/>
      <c r="M78" s="108"/>
      <c r="N78" s="106"/>
      <c r="O78" s="119"/>
      <c r="P78" s="113"/>
    </row>
    <row r="79" spans="1:16" hidden="1">
      <c r="A79" s="105"/>
      <c r="B79" s="113"/>
      <c r="C79" s="113"/>
      <c r="D79" s="113"/>
      <c r="E79" s="108"/>
      <c r="F79" s="106"/>
      <c r="G79" s="108"/>
      <c r="H79" s="106"/>
      <c r="I79" s="108"/>
      <c r="J79" s="106"/>
      <c r="K79" s="108"/>
      <c r="L79" s="106"/>
      <c r="M79" s="108"/>
      <c r="N79" s="106"/>
      <c r="O79" s="119"/>
      <c r="P79" s="113"/>
    </row>
    <row r="80" spans="1:16" hidden="1">
      <c r="A80" s="105"/>
      <c r="B80" s="113"/>
      <c r="C80" s="113"/>
      <c r="D80" s="113"/>
      <c r="E80" s="108"/>
      <c r="F80" s="106"/>
      <c r="G80" s="108"/>
      <c r="H80" s="106"/>
      <c r="I80" s="108"/>
      <c r="J80" s="106"/>
      <c r="K80" s="108"/>
      <c r="L80" s="106"/>
      <c r="M80" s="108"/>
      <c r="N80" s="106"/>
      <c r="O80" s="119"/>
      <c r="P80" s="113"/>
    </row>
    <row r="81" spans="1:16" hidden="1">
      <c r="A81" s="105"/>
      <c r="B81" s="113"/>
      <c r="C81" s="113"/>
      <c r="D81" s="113"/>
      <c r="E81" s="108"/>
      <c r="F81" s="106"/>
      <c r="G81" s="108"/>
      <c r="H81" s="106"/>
      <c r="I81" s="108"/>
      <c r="J81" s="106"/>
      <c r="K81" s="108"/>
      <c r="L81" s="106"/>
      <c r="M81" s="108"/>
      <c r="N81" s="106"/>
      <c r="O81" s="119"/>
      <c r="P81" s="113"/>
    </row>
    <row r="82" spans="1:16" hidden="1">
      <c r="A82" s="105"/>
      <c r="B82" s="113"/>
      <c r="C82" s="113"/>
      <c r="D82" s="113"/>
      <c r="E82" s="108"/>
      <c r="F82" s="106"/>
      <c r="G82" s="108"/>
      <c r="H82" s="106"/>
      <c r="I82" s="108"/>
      <c r="J82" s="106"/>
      <c r="K82" s="108"/>
      <c r="L82" s="106"/>
      <c r="M82" s="108"/>
      <c r="N82" s="106"/>
      <c r="O82" s="119"/>
      <c r="P82" s="113"/>
    </row>
    <row r="83" spans="1:16" hidden="1">
      <c r="A83" s="105"/>
      <c r="B83" s="113"/>
      <c r="C83" s="113"/>
      <c r="D83" s="113"/>
      <c r="E83" s="108"/>
      <c r="F83" s="106"/>
      <c r="G83" s="108"/>
      <c r="H83" s="106"/>
      <c r="I83" s="108"/>
      <c r="J83" s="106"/>
      <c r="K83" s="108"/>
      <c r="L83" s="106"/>
      <c r="M83" s="108"/>
      <c r="N83" s="106"/>
      <c r="O83" s="119"/>
      <c r="P83" s="113"/>
    </row>
    <row r="84" spans="1:16" hidden="1">
      <c r="A84" s="105"/>
      <c r="B84" s="113"/>
      <c r="C84" s="113"/>
      <c r="D84" s="113"/>
      <c r="E84" s="108"/>
      <c r="F84" s="106"/>
      <c r="G84" s="108"/>
      <c r="H84" s="106"/>
      <c r="I84" s="108"/>
      <c r="J84" s="106"/>
      <c r="K84" s="108"/>
      <c r="L84" s="106"/>
      <c r="M84" s="108"/>
      <c r="N84" s="106"/>
      <c r="O84" s="119"/>
      <c r="P84" s="113"/>
    </row>
    <row r="85" spans="1:16" hidden="1">
      <c r="A85" s="105"/>
      <c r="B85" s="113"/>
      <c r="C85" s="113"/>
      <c r="D85" s="113"/>
      <c r="E85" s="108"/>
      <c r="F85" s="106"/>
      <c r="G85" s="108"/>
      <c r="H85" s="106"/>
      <c r="I85" s="108"/>
      <c r="J85" s="106"/>
      <c r="K85" s="108"/>
      <c r="L85" s="106"/>
      <c r="M85" s="108"/>
      <c r="N85" s="106"/>
      <c r="O85" s="119"/>
      <c r="P85" s="113"/>
    </row>
    <row r="86" spans="1:16" hidden="1">
      <c r="A86" s="105"/>
      <c r="B86" s="113"/>
      <c r="C86" s="113"/>
      <c r="D86" s="113"/>
      <c r="E86" s="108"/>
      <c r="F86" s="106"/>
      <c r="G86" s="108"/>
      <c r="H86" s="106"/>
      <c r="I86" s="108"/>
      <c r="J86" s="106"/>
      <c r="K86" s="108"/>
      <c r="L86" s="106"/>
      <c r="M86" s="108"/>
      <c r="N86" s="106"/>
      <c r="O86" s="119"/>
      <c r="P86" s="113"/>
    </row>
    <row r="87" spans="1:16" hidden="1">
      <c r="A87" s="105"/>
      <c r="B87" s="113"/>
      <c r="C87" s="113"/>
      <c r="D87" s="113"/>
      <c r="E87" s="108"/>
      <c r="F87" s="106"/>
      <c r="G87" s="108"/>
      <c r="H87" s="106"/>
      <c r="I87" s="108"/>
      <c r="J87" s="106"/>
      <c r="K87" s="108"/>
      <c r="L87" s="106"/>
      <c r="M87" s="108"/>
      <c r="N87" s="106"/>
      <c r="O87" s="119"/>
      <c r="P87" s="113"/>
    </row>
    <row r="88" spans="1:16" hidden="1">
      <c r="A88" s="105"/>
      <c r="B88" s="113"/>
      <c r="C88" s="113"/>
      <c r="D88" s="113"/>
      <c r="E88" s="108"/>
      <c r="F88" s="106"/>
      <c r="G88" s="108"/>
      <c r="H88" s="106"/>
      <c r="I88" s="108"/>
      <c r="J88" s="106"/>
      <c r="K88" s="108"/>
      <c r="L88" s="106"/>
      <c r="M88" s="108"/>
      <c r="N88" s="106"/>
      <c r="O88" s="119"/>
      <c r="P88" s="113"/>
    </row>
    <row r="89" spans="1:16" hidden="1">
      <c r="A89" s="105"/>
      <c r="B89" s="113"/>
      <c r="C89" s="113"/>
      <c r="D89" s="113"/>
      <c r="E89" s="108"/>
      <c r="F89" s="106"/>
      <c r="G89" s="108"/>
      <c r="H89" s="106"/>
      <c r="I89" s="108"/>
      <c r="J89" s="106"/>
      <c r="K89" s="108"/>
      <c r="L89" s="106"/>
      <c r="M89" s="108"/>
      <c r="N89" s="106"/>
      <c r="O89" s="119"/>
      <c r="P89" s="113"/>
    </row>
    <row r="90" spans="1:16" hidden="1">
      <c r="A90" s="105"/>
      <c r="B90" s="113"/>
      <c r="C90" s="113"/>
      <c r="D90" s="113"/>
      <c r="E90" s="108"/>
      <c r="F90" s="106"/>
      <c r="G90" s="108"/>
      <c r="H90" s="106"/>
      <c r="I90" s="108"/>
      <c r="J90" s="106"/>
      <c r="K90" s="108"/>
      <c r="L90" s="106"/>
      <c r="M90" s="108"/>
      <c r="N90" s="106"/>
      <c r="O90" s="119"/>
      <c r="P90" s="113"/>
    </row>
    <row r="91" spans="1:16" hidden="1">
      <c r="A91" s="105"/>
      <c r="B91" s="113"/>
      <c r="C91" s="113"/>
      <c r="D91" s="113"/>
      <c r="E91" s="108"/>
      <c r="F91" s="106"/>
      <c r="G91" s="108"/>
      <c r="H91" s="106"/>
      <c r="I91" s="108"/>
      <c r="J91" s="106"/>
      <c r="K91" s="108"/>
      <c r="L91" s="106"/>
      <c r="M91" s="108"/>
      <c r="N91" s="106"/>
      <c r="O91" s="119"/>
      <c r="P91" s="113"/>
    </row>
    <row r="92" spans="1:16" hidden="1">
      <c r="A92" s="105"/>
      <c r="B92" s="113"/>
      <c r="C92" s="113"/>
      <c r="D92" s="113"/>
      <c r="E92" s="108"/>
      <c r="F92" s="106"/>
      <c r="G92" s="108"/>
      <c r="H92" s="106"/>
      <c r="I92" s="108"/>
      <c r="J92" s="106"/>
      <c r="K92" s="108"/>
      <c r="L92" s="106"/>
      <c r="M92" s="108"/>
      <c r="N92" s="106"/>
      <c r="O92" s="119"/>
      <c r="P92" s="113"/>
    </row>
    <row r="93" spans="1:16" hidden="1">
      <c r="A93" s="105"/>
      <c r="B93" s="113"/>
      <c r="C93" s="113"/>
      <c r="D93" s="113"/>
      <c r="E93" s="108"/>
      <c r="F93" s="106"/>
      <c r="G93" s="108"/>
      <c r="H93" s="106"/>
      <c r="I93" s="108"/>
      <c r="J93" s="106"/>
      <c r="K93" s="108"/>
      <c r="L93" s="106"/>
      <c r="M93" s="108"/>
      <c r="N93" s="106"/>
      <c r="O93" s="119"/>
      <c r="P93" s="113"/>
    </row>
    <row r="94" spans="1:16" hidden="1">
      <c r="A94" s="105"/>
      <c r="B94" s="113"/>
      <c r="C94" s="113"/>
      <c r="D94" s="113"/>
      <c r="E94" s="108"/>
      <c r="F94" s="106"/>
      <c r="G94" s="108"/>
      <c r="H94" s="106"/>
      <c r="I94" s="108"/>
      <c r="J94" s="106"/>
      <c r="K94" s="108"/>
      <c r="L94" s="106"/>
      <c r="M94" s="108"/>
      <c r="N94" s="106"/>
      <c r="O94" s="119"/>
      <c r="P94" s="113"/>
    </row>
    <row r="95" spans="1:16" hidden="1">
      <c r="A95" s="105"/>
      <c r="B95" s="113"/>
      <c r="C95" s="113"/>
      <c r="D95" s="113"/>
      <c r="E95" s="108"/>
      <c r="F95" s="106"/>
      <c r="G95" s="108"/>
      <c r="H95" s="106"/>
      <c r="I95" s="108"/>
      <c r="J95" s="106"/>
      <c r="K95" s="108"/>
      <c r="L95" s="106"/>
      <c r="M95" s="108"/>
      <c r="N95" s="106"/>
      <c r="O95" s="119"/>
      <c r="P95" s="113"/>
    </row>
    <row r="96" spans="1:16" hidden="1">
      <c r="A96" s="105"/>
      <c r="B96" s="113"/>
      <c r="C96" s="113"/>
      <c r="D96" s="113"/>
      <c r="E96" s="108"/>
      <c r="F96" s="106"/>
      <c r="G96" s="108"/>
      <c r="H96" s="106"/>
      <c r="I96" s="108"/>
      <c r="J96" s="106"/>
      <c r="K96" s="108"/>
      <c r="L96" s="106"/>
      <c r="M96" s="108"/>
      <c r="N96" s="106"/>
      <c r="O96" s="119"/>
      <c r="P96" s="113"/>
    </row>
    <row r="97" spans="1:16" hidden="1">
      <c r="A97" s="105"/>
      <c r="B97" s="113"/>
      <c r="C97" s="113"/>
      <c r="D97" s="113"/>
      <c r="E97" s="108"/>
      <c r="F97" s="106"/>
      <c r="G97" s="108"/>
      <c r="H97" s="106"/>
      <c r="I97" s="108"/>
      <c r="J97" s="106"/>
      <c r="K97" s="108"/>
      <c r="L97" s="106"/>
      <c r="M97" s="108"/>
      <c r="N97" s="106"/>
      <c r="O97" s="119"/>
      <c r="P97" s="113"/>
    </row>
    <row r="98" spans="1:16" hidden="1">
      <c r="A98" s="105"/>
      <c r="B98" s="113"/>
      <c r="C98" s="113"/>
      <c r="D98" s="113"/>
      <c r="E98" s="108"/>
      <c r="F98" s="106"/>
      <c r="G98" s="108"/>
      <c r="H98" s="106"/>
      <c r="I98" s="108"/>
      <c r="J98" s="106"/>
      <c r="K98" s="108"/>
      <c r="L98" s="106"/>
      <c r="M98" s="108"/>
      <c r="N98" s="106"/>
      <c r="O98" s="119"/>
      <c r="P98" s="113"/>
    </row>
    <row r="99" spans="1:16" s="146" customFormat="1" hidden="1">
      <c r="B99" s="147"/>
      <c r="C99" s="147"/>
      <c r="D99" s="147"/>
      <c r="E99" s="122"/>
      <c r="F99" s="122"/>
      <c r="G99" s="122">
        <f>SUM(G6:G98)</f>
        <v>0</v>
      </c>
      <c r="H99" s="122"/>
      <c r="I99" s="122">
        <f>SUM(I6:I98)</f>
        <v>0</v>
      </c>
      <c r="K99" s="149">
        <f>SUM(K6:K98)</f>
        <v>0</v>
      </c>
      <c r="M99" s="149">
        <f>SUM(M6:M98)</f>
        <v>0</v>
      </c>
      <c r="O99" s="148"/>
      <c r="P99" s="147"/>
    </row>
    <row r="100" spans="1:16" s="249" customFormat="1">
      <c r="B100" s="259"/>
      <c r="C100" s="259"/>
      <c r="D100" s="259"/>
      <c r="E100" s="121"/>
      <c r="F100" s="121"/>
      <c r="G100" s="121"/>
      <c r="H100" s="121"/>
      <c r="I100" s="121"/>
      <c r="J100" s="107"/>
      <c r="K100" s="107"/>
      <c r="L100" s="107"/>
      <c r="M100" s="107"/>
      <c r="O100" s="260"/>
      <c r="P100" s="259"/>
    </row>
    <row r="101" spans="1:16" s="249" customFormat="1">
      <c r="B101" s="259"/>
      <c r="C101" s="259"/>
      <c r="D101" s="259"/>
      <c r="E101" s="121"/>
      <c r="F101" s="121"/>
      <c r="G101" s="121"/>
      <c r="H101" s="121"/>
      <c r="I101" s="121"/>
      <c r="J101" s="107"/>
      <c r="K101" s="107"/>
      <c r="L101" s="107"/>
      <c r="M101" s="107"/>
      <c r="O101" s="260"/>
      <c r="P101" s="259"/>
    </row>
    <row r="102" spans="1:16" s="249" customFormat="1">
      <c r="B102" s="259"/>
      <c r="C102" s="259"/>
      <c r="D102" s="259"/>
      <c r="E102" s="121"/>
      <c r="F102" s="121"/>
      <c r="G102" s="121"/>
      <c r="H102" s="121"/>
      <c r="I102" s="121"/>
      <c r="J102" s="107"/>
      <c r="K102" s="107"/>
      <c r="L102" s="107"/>
      <c r="M102" s="107"/>
      <c r="O102" s="260"/>
      <c r="P102" s="259"/>
    </row>
    <row r="103" spans="1:16" s="249" customFormat="1">
      <c r="B103" s="259"/>
      <c r="C103" s="259"/>
      <c r="D103" s="259"/>
      <c r="E103" s="121"/>
      <c r="F103" s="121"/>
      <c r="G103" s="121"/>
      <c r="H103" s="121"/>
      <c r="I103" s="121"/>
      <c r="J103" s="107"/>
      <c r="K103" s="107"/>
      <c r="L103" s="107"/>
      <c r="M103" s="107"/>
      <c r="O103" s="260"/>
      <c r="P103" s="259"/>
    </row>
    <row r="104" spans="1:16" s="249" customFormat="1">
      <c r="B104" s="259"/>
      <c r="C104" s="259"/>
      <c r="D104" s="259"/>
      <c r="E104" s="121"/>
      <c r="F104" s="121"/>
      <c r="G104" s="121"/>
      <c r="H104" s="121"/>
      <c r="I104" s="121"/>
      <c r="J104" s="107"/>
      <c r="K104" s="107"/>
      <c r="L104" s="107"/>
      <c r="M104" s="107"/>
      <c r="O104" s="260"/>
      <c r="P104" s="259"/>
    </row>
    <row r="105" spans="1:16" s="249" customFormat="1">
      <c r="B105" s="259"/>
      <c r="C105" s="259"/>
      <c r="D105" s="259"/>
      <c r="E105" s="121"/>
      <c r="F105" s="121"/>
      <c r="G105" s="121"/>
      <c r="H105" s="121"/>
      <c r="I105" s="121"/>
      <c r="J105" s="107"/>
      <c r="K105" s="107"/>
      <c r="L105" s="107"/>
      <c r="M105" s="107"/>
      <c r="O105" s="260"/>
      <c r="P105" s="259"/>
    </row>
    <row r="106" spans="1:16" s="249" customFormat="1">
      <c r="B106" s="259"/>
      <c r="C106" s="259"/>
      <c r="D106" s="259"/>
      <c r="E106" s="121"/>
      <c r="F106" s="121"/>
      <c r="G106" s="121"/>
      <c r="H106" s="121"/>
      <c r="I106" s="121"/>
      <c r="J106" s="107"/>
      <c r="K106" s="107"/>
      <c r="L106" s="107"/>
      <c r="M106" s="107"/>
      <c r="O106" s="260"/>
      <c r="P106" s="259"/>
    </row>
    <row r="107" spans="1:16" s="249" customFormat="1">
      <c r="B107" s="259"/>
      <c r="C107" s="259"/>
      <c r="D107" s="259"/>
      <c r="E107" s="121"/>
      <c r="F107" s="121"/>
      <c r="G107" s="121"/>
      <c r="H107" s="121"/>
      <c r="I107" s="121"/>
      <c r="J107" s="107"/>
      <c r="K107" s="107"/>
      <c r="L107" s="107"/>
      <c r="M107" s="107"/>
      <c r="O107" s="260"/>
      <c r="P107" s="259"/>
    </row>
    <row r="108" spans="1:16" s="249" customFormat="1">
      <c r="B108" s="259"/>
      <c r="C108" s="259"/>
      <c r="D108" s="259"/>
      <c r="E108" s="121"/>
      <c r="F108" s="121"/>
      <c r="G108" s="121"/>
      <c r="H108" s="121"/>
      <c r="I108" s="121"/>
      <c r="J108" s="107"/>
      <c r="K108" s="107"/>
      <c r="L108" s="107"/>
      <c r="M108" s="107"/>
      <c r="O108" s="260"/>
      <c r="P108" s="259"/>
    </row>
    <row r="109" spans="1:16" s="249" customFormat="1">
      <c r="B109" s="259"/>
      <c r="C109" s="259"/>
      <c r="D109" s="259"/>
      <c r="E109" s="121"/>
      <c r="F109" s="121"/>
      <c r="G109" s="121"/>
      <c r="H109" s="121"/>
      <c r="I109" s="121"/>
      <c r="J109" s="107"/>
      <c r="K109" s="107"/>
      <c r="L109" s="107"/>
      <c r="M109" s="107"/>
      <c r="O109" s="260"/>
      <c r="P109" s="259"/>
    </row>
    <row r="110" spans="1:16" s="249" customFormat="1">
      <c r="B110" s="259"/>
      <c r="C110" s="259"/>
      <c r="D110" s="259"/>
      <c r="E110" s="121"/>
      <c r="F110" s="121"/>
      <c r="G110" s="121"/>
      <c r="H110" s="121"/>
      <c r="I110" s="121"/>
      <c r="J110" s="107"/>
      <c r="K110" s="107"/>
      <c r="L110" s="107"/>
      <c r="M110" s="107"/>
      <c r="O110" s="260"/>
      <c r="P110" s="259"/>
    </row>
    <row r="111" spans="1:16" s="249" customFormat="1">
      <c r="B111" s="259"/>
      <c r="C111" s="259"/>
      <c r="D111" s="259"/>
      <c r="E111" s="121"/>
      <c r="F111" s="121"/>
      <c r="G111" s="121"/>
      <c r="H111" s="121"/>
      <c r="I111" s="121"/>
      <c r="J111" s="107"/>
      <c r="K111" s="107"/>
      <c r="L111" s="107"/>
      <c r="M111" s="107"/>
      <c r="O111" s="260"/>
      <c r="P111" s="259"/>
    </row>
    <row r="112" spans="1:16" s="249" customFormat="1">
      <c r="B112" s="259"/>
      <c r="C112" s="259"/>
      <c r="D112" s="259"/>
      <c r="E112" s="121"/>
      <c r="F112" s="121"/>
      <c r="G112" s="121"/>
      <c r="H112" s="121"/>
      <c r="I112" s="121"/>
      <c r="J112" s="107"/>
      <c r="K112" s="107"/>
      <c r="L112" s="107"/>
      <c r="M112" s="107"/>
      <c r="O112" s="260"/>
      <c r="P112" s="259"/>
    </row>
  </sheetData>
  <autoFilter ref="A5:P99" xr:uid="{3E8EE2AF-BF94-4554-AFEF-E97451214545}">
    <filterColumn colId="4">
      <customFilters>
        <customFilter operator="notEqual" val=" "/>
      </customFilters>
    </filterColumn>
  </autoFilter>
  <mergeCells count="10">
    <mergeCell ref="J4:K4"/>
    <mergeCell ref="L4:M4"/>
    <mergeCell ref="N4:N5"/>
    <mergeCell ref="O4:P4"/>
    <mergeCell ref="A4:A5"/>
    <mergeCell ref="B4:C4"/>
    <mergeCell ref="D4:D5"/>
    <mergeCell ref="E4:E5"/>
    <mergeCell ref="F4:G4"/>
    <mergeCell ref="H4:I4"/>
  </mergeCells>
  <phoneticPr fontId="5"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C46E-2FE0-48C3-BB77-BC1131DE6C5B}">
  <dimension ref="A1:F85"/>
  <sheetViews>
    <sheetView showGridLines="0" workbookViewId="0">
      <pane ySplit="1" topLeftCell="A2" activePane="bottomLeft" state="frozen"/>
      <selection activeCell="A2" sqref="A2"/>
      <selection pane="bottomLeft" activeCell="A9" sqref="A9:XFD9"/>
    </sheetView>
  </sheetViews>
  <sheetFormatPr defaultRowHeight="12.75"/>
  <cols>
    <col min="1" max="1" width="18.5" style="69" bestFit="1" customWidth="1"/>
    <col min="2" max="2" width="11.5" style="100" bestFit="1" customWidth="1"/>
    <col min="3" max="3" width="17.875" style="100" bestFit="1" customWidth="1"/>
    <col min="4" max="4" width="17.25" style="69" bestFit="1" customWidth="1"/>
    <col min="5" max="5" width="11.5" style="69" bestFit="1" customWidth="1"/>
    <col min="6" max="6" width="8.5" style="69" bestFit="1" customWidth="1"/>
    <col min="7" max="16384" width="9" style="69"/>
  </cols>
  <sheetData>
    <row r="1" spans="1:6">
      <c r="A1" s="96" t="s">
        <v>42</v>
      </c>
      <c r="B1" s="97" t="s">
        <v>0</v>
      </c>
      <c r="C1" s="97" t="s">
        <v>1</v>
      </c>
      <c r="D1" s="97" t="s">
        <v>2</v>
      </c>
      <c r="E1" s="97" t="s">
        <v>3</v>
      </c>
      <c r="F1" s="97" t="s">
        <v>4</v>
      </c>
    </row>
    <row r="2" spans="1:6">
      <c r="A2" s="98" t="str">
        <f>'Upload(참조) (2)'!Q2</f>
        <v/>
      </c>
      <c r="B2" s="99" t="str">
        <f>'Upload(참조) (2)'!R2</f>
        <v/>
      </c>
      <c r="C2" s="99" t="str">
        <f>'Upload(참조) (2)'!S2</f>
        <v/>
      </c>
      <c r="D2" s="98" t="str">
        <f>'Upload(참조) (2)'!T2</f>
        <v/>
      </c>
      <c r="E2" s="98" t="str">
        <f>'Upload(참조) (2)'!U2</f>
        <v/>
      </c>
      <c r="F2" s="98">
        <f>'Upload(참조) (2)'!V2</f>
        <v>0</v>
      </c>
    </row>
    <row r="3" spans="1:6" ht="16.5" customHeight="1">
      <c r="A3" s="98" t="str">
        <f>'Upload(참조) (2)'!Q4</f>
        <v>M045573819460101</v>
      </c>
      <c r="B3" s="99" t="str">
        <f>'Upload(참조) (2)'!R4</f>
        <v/>
      </c>
      <c r="C3" s="99" t="str">
        <f>'Upload(참조) (2)'!S4</f>
        <v/>
      </c>
      <c r="D3" s="98" t="str">
        <f>'Upload(참조) (2)'!T4</f>
        <v>M045573819460101</v>
      </c>
      <c r="E3" s="98" t="str">
        <f>'Upload(참조) (2)'!U4</f>
        <v/>
      </c>
      <c r="F3" s="98">
        <f>'Upload(참조) (2)'!V4</f>
        <v>6</v>
      </c>
    </row>
    <row r="4" spans="1:6">
      <c r="A4" s="98" t="str">
        <f>'Upload(참조) (2)'!Q5</f>
        <v>E00000807041850405</v>
      </c>
      <c r="B4" s="99" t="str">
        <f>'Upload(참조) (2)'!R5</f>
        <v/>
      </c>
      <c r="C4" s="99" t="str">
        <f>'Upload(참조) (2)'!S5</f>
        <v>E00000807041850405</v>
      </c>
      <c r="D4" s="98" t="str">
        <f>'Upload(참조) (2)'!T5</f>
        <v/>
      </c>
      <c r="E4" s="98" t="str">
        <f>'Upload(참조) (2)'!U5</f>
        <v/>
      </c>
      <c r="F4" s="98">
        <f>'Upload(참조) (2)'!V5</f>
        <v>6</v>
      </c>
    </row>
    <row r="5" spans="1:6">
      <c r="A5" s="98" t="str">
        <f>'Upload(참조) (2)'!Q6</f>
        <v>M045573819390101</v>
      </c>
      <c r="B5" s="99" t="str">
        <f>'Upload(참조) (2)'!R6</f>
        <v/>
      </c>
      <c r="C5" s="99" t="str">
        <f>'Upload(참조) (2)'!S6</f>
        <v/>
      </c>
      <c r="D5" s="98" t="str">
        <f>'Upload(참조) (2)'!T6</f>
        <v>M045573819390101</v>
      </c>
      <c r="E5" s="98" t="str">
        <f>'Upload(참조) (2)'!U6</f>
        <v/>
      </c>
      <c r="F5" s="98">
        <f>'Upload(참조) (2)'!V6</f>
        <v>5</v>
      </c>
    </row>
    <row r="6" spans="1:6">
      <c r="A6" s="98" t="str">
        <f>'Upload(참조) (2)'!Q7</f>
        <v>E00000807041850105</v>
      </c>
      <c r="B6" s="99" t="str">
        <f>'Upload(참조) (2)'!R7</f>
        <v/>
      </c>
      <c r="C6" s="99" t="str">
        <f>'Upload(참조) (2)'!S7</f>
        <v>E00000807041850105</v>
      </c>
      <c r="D6" s="98" t="str">
        <f>'Upload(참조) (2)'!T7</f>
        <v/>
      </c>
      <c r="E6" s="98" t="str">
        <f>'Upload(참조) (2)'!U7</f>
        <v/>
      </c>
      <c r="F6" s="98">
        <f>'Upload(참조) (2)'!V7</f>
        <v>5</v>
      </c>
    </row>
    <row r="7" spans="1:6">
      <c r="A7" s="98" t="str">
        <f>'Upload(참조) (2)'!Q8</f>
        <v>M045573819330101</v>
      </c>
      <c r="B7" s="99" t="str">
        <f>'Upload(참조) (2)'!R8</f>
        <v/>
      </c>
      <c r="C7" s="99" t="str">
        <f>'Upload(참조) (2)'!S8</f>
        <v/>
      </c>
      <c r="D7" s="98" t="str">
        <f>'Upload(참조) (2)'!T8</f>
        <v>M045573819330101</v>
      </c>
      <c r="E7" s="98" t="str">
        <f>'Upload(참조) (2)'!U8</f>
        <v/>
      </c>
      <c r="F7" s="98">
        <f>'Upload(참조) (2)'!V8</f>
        <v>1</v>
      </c>
    </row>
    <row r="8" spans="1:6">
      <c r="A8" s="98" t="str">
        <f>'Upload(참조) (2)'!Q9</f>
        <v>E00000807041850105</v>
      </c>
      <c r="B8" s="99" t="str">
        <f>'Upload(참조) (2)'!R9</f>
        <v/>
      </c>
      <c r="C8" s="99" t="str">
        <f>'Upload(참조) (2)'!S9</f>
        <v>E00000807041850105</v>
      </c>
      <c r="D8" s="98" t="str">
        <f>'Upload(참조) (2)'!T9</f>
        <v/>
      </c>
      <c r="E8" s="98" t="str">
        <f>'Upload(참조) (2)'!U9</f>
        <v/>
      </c>
      <c r="F8" s="98">
        <f>'Upload(참조) (2)'!V9</f>
        <v>1</v>
      </c>
    </row>
    <row r="9" spans="1:6">
      <c r="A9" s="98" t="str">
        <f>'Upload(참조) (2)'!Q11</f>
        <v/>
      </c>
      <c r="B9" s="99" t="str">
        <f>'Upload(참조) (2)'!R11</f>
        <v/>
      </c>
      <c r="C9" s="99" t="str">
        <f>'Upload(참조) (2)'!S11</f>
        <v/>
      </c>
      <c r="D9" s="98" t="str">
        <f>'Upload(참조) (2)'!T11</f>
        <v/>
      </c>
      <c r="E9" s="98" t="str">
        <f>'Upload(참조) (2)'!U11</f>
        <v/>
      </c>
      <c r="F9" s="98">
        <f>'Upload(참조) (2)'!V11</f>
        <v>0</v>
      </c>
    </row>
    <row r="10" spans="1:6">
      <c r="A10" s="98" t="str">
        <f>'Upload(참조) (2)'!Q12</f>
        <v/>
      </c>
      <c r="B10" s="99" t="str">
        <f>'Upload(참조) (2)'!R12</f>
        <v/>
      </c>
      <c r="C10" s="99" t="str">
        <f>'Upload(참조) (2)'!S12</f>
        <v/>
      </c>
      <c r="D10" s="98" t="str">
        <f>'Upload(참조) (2)'!T12</f>
        <v/>
      </c>
      <c r="E10" s="98" t="str">
        <f>'Upload(참조) (2)'!U12</f>
        <v/>
      </c>
      <c r="F10" s="98">
        <f>'Upload(참조) (2)'!V12</f>
        <v>0</v>
      </c>
    </row>
    <row r="11" spans="1:6">
      <c r="A11" s="98" t="str">
        <f>'Upload(참조) (2)'!Q13</f>
        <v/>
      </c>
      <c r="B11" s="99" t="str">
        <f>'Upload(참조) (2)'!R13</f>
        <v/>
      </c>
      <c r="C11" s="99" t="str">
        <f>'Upload(참조) (2)'!S13</f>
        <v/>
      </c>
      <c r="D11" s="98" t="str">
        <f>'Upload(참조) (2)'!T13</f>
        <v/>
      </c>
      <c r="E11" s="98" t="str">
        <f>'Upload(참조) (2)'!U13</f>
        <v/>
      </c>
      <c r="F11" s="98">
        <f>'Upload(참조) (2)'!V13</f>
        <v>0</v>
      </c>
    </row>
    <row r="12" spans="1:6">
      <c r="A12" s="98" t="str">
        <f>'Upload(참조) (2)'!Q14</f>
        <v/>
      </c>
      <c r="B12" s="99" t="str">
        <f>'Upload(참조) (2)'!R14</f>
        <v/>
      </c>
      <c r="C12" s="99" t="str">
        <f>'Upload(참조) (2)'!S14</f>
        <v/>
      </c>
      <c r="D12" s="98" t="str">
        <f>'Upload(참조) (2)'!T14</f>
        <v/>
      </c>
      <c r="E12" s="98" t="str">
        <f>'Upload(참조) (2)'!U14</f>
        <v/>
      </c>
      <c r="F12" s="98">
        <f>'Upload(참조) (2)'!V14</f>
        <v>0</v>
      </c>
    </row>
    <row r="13" spans="1:6">
      <c r="A13" s="98" t="str">
        <f>'Upload(참조) (2)'!Q15</f>
        <v/>
      </c>
      <c r="B13" s="99" t="str">
        <f>'Upload(참조) (2)'!R15</f>
        <v/>
      </c>
      <c r="C13" s="99" t="str">
        <f>'Upload(참조) (2)'!S15</f>
        <v/>
      </c>
      <c r="D13" s="98" t="str">
        <f>'Upload(참조) (2)'!T15</f>
        <v/>
      </c>
      <c r="E13" s="98" t="str">
        <f>'Upload(참조) (2)'!U15</f>
        <v/>
      </c>
      <c r="F13" s="98">
        <f>'Upload(참조) (2)'!V15</f>
        <v>0</v>
      </c>
    </row>
    <row r="14" spans="1:6">
      <c r="A14" s="98" t="str">
        <f>'Upload(참조) (2)'!Q16</f>
        <v/>
      </c>
      <c r="B14" s="99" t="str">
        <f>'Upload(참조) (2)'!R16</f>
        <v/>
      </c>
      <c r="C14" s="99" t="str">
        <f>'Upload(참조) (2)'!S16</f>
        <v/>
      </c>
      <c r="D14" s="98" t="str">
        <f>'Upload(참조) (2)'!T16</f>
        <v/>
      </c>
      <c r="E14" s="98" t="str">
        <f>'Upload(참조) (2)'!U16</f>
        <v/>
      </c>
      <c r="F14" s="98">
        <f>'Upload(참조) (2)'!V16</f>
        <v>0</v>
      </c>
    </row>
    <row r="15" spans="1:6">
      <c r="A15" s="98" t="str">
        <f>'Upload(참조) (2)'!Q17</f>
        <v/>
      </c>
      <c r="B15" s="99" t="str">
        <f>'Upload(참조) (2)'!R17</f>
        <v/>
      </c>
      <c r="C15" s="99" t="str">
        <f>'Upload(참조) (2)'!S17</f>
        <v/>
      </c>
      <c r="D15" s="98" t="str">
        <f>'Upload(참조) (2)'!T17</f>
        <v/>
      </c>
      <c r="E15" s="98" t="str">
        <f>'Upload(참조) (2)'!U17</f>
        <v/>
      </c>
      <c r="F15" s="98">
        <f>'Upload(참조) (2)'!V17</f>
        <v>0</v>
      </c>
    </row>
    <row r="16" spans="1:6">
      <c r="A16" s="98" t="str">
        <f>'Upload(참조) (2)'!Q18</f>
        <v/>
      </c>
      <c r="B16" s="99" t="str">
        <f>'Upload(참조) (2)'!R18</f>
        <v/>
      </c>
      <c r="C16" s="99" t="str">
        <f>'Upload(참조) (2)'!S18</f>
        <v/>
      </c>
      <c r="D16" s="98" t="str">
        <f>'Upload(참조) (2)'!T18</f>
        <v/>
      </c>
      <c r="E16" s="98" t="str">
        <f>'Upload(참조) (2)'!U18</f>
        <v/>
      </c>
      <c r="F16" s="98">
        <f>'Upload(참조) (2)'!V18</f>
        <v>0</v>
      </c>
    </row>
    <row r="17" spans="1:6">
      <c r="A17" s="98" t="str">
        <f>'Upload(참조) (2)'!Q19</f>
        <v/>
      </c>
      <c r="B17" s="99" t="str">
        <f>'Upload(참조) (2)'!R19</f>
        <v/>
      </c>
      <c r="C17" s="99" t="str">
        <f>'Upload(참조) (2)'!S19</f>
        <v/>
      </c>
      <c r="D17" s="98" t="str">
        <f>'Upload(참조) (2)'!T19</f>
        <v/>
      </c>
      <c r="E17" s="98" t="str">
        <f>'Upload(참조) (2)'!U19</f>
        <v/>
      </c>
      <c r="F17" s="98">
        <f>'Upload(참조) (2)'!V19</f>
        <v>0</v>
      </c>
    </row>
    <row r="18" spans="1:6">
      <c r="A18" s="98" t="str">
        <f>'Upload(참조) (2)'!Q20</f>
        <v/>
      </c>
      <c r="B18" s="99" t="str">
        <f>'Upload(참조) (2)'!R20</f>
        <v/>
      </c>
      <c r="C18" s="99" t="str">
        <f>'Upload(참조) (2)'!S20</f>
        <v/>
      </c>
      <c r="D18" s="98" t="str">
        <f>'Upload(참조) (2)'!T20</f>
        <v/>
      </c>
      <c r="E18" s="98" t="str">
        <f>'Upload(참조) (2)'!U20</f>
        <v/>
      </c>
      <c r="F18" s="98">
        <f>'Upload(참조) (2)'!V20</f>
        <v>0</v>
      </c>
    </row>
    <row r="19" spans="1:6">
      <c r="A19" s="98" t="str">
        <f>'Upload(참조) (2)'!Q21</f>
        <v/>
      </c>
      <c r="B19" s="99" t="str">
        <f>'Upload(참조) (2)'!R21</f>
        <v/>
      </c>
      <c r="C19" s="99" t="str">
        <f>'Upload(참조) (2)'!S21</f>
        <v/>
      </c>
      <c r="D19" s="98" t="str">
        <f>'Upload(참조) (2)'!T21</f>
        <v/>
      </c>
      <c r="E19" s="98" t="str">
        <f>'Upload(참조) (2)'!U21</f>
        <v/>
      </c>
      <c r="F19" s="98">
        <f>'Upload(참조) (2)'!V21</f>
        <v>0</v>
      </c>
    </row>
    <row r="20" spans="1:6">
      <c r="A20" s="98" t="str">
        <f>'Upload(참조) (2)'!Q22</f>
        <v/>
      </c>
      <c r="B20" s="99" t="str">
        <f>'Upload(참조) (2)'!R22</f>
        <v/>
      </c>
      <c r="C20" s="99" t="str">
        <f>'Upload(참조) (2)'!S22</f>
        <v/>
      </c>
      <c r="D20" s="98" t="str">
        <f>'Upload(참조) (2)'!T22</f>
        <v/>
      </c>
      <c r="E20" s="98" t="str">
        <f>'Upload(참조) (2)'!U22</f>
        <v/>
      </c>
      <c r="F20" s="98">
        <f>'Upload(참조) (2)'!V22</f>
        <v>0</v>
      </c>
    </row>
    <row r="21" spans="1:6">
      <c r="A21" s="98" t="str">
        <f>'Upload(참조) (2)'!Q23</f>
        <v/>
      </c>
      <c r="B21" s="99" t="str">
        <f>'Upload(참조) (2)'!R23</f>
        <v/>
      </c>
      <c r="C21" s="99" t="str">
        <f>'Upload(참조) (2)'!S23</f>
        <v/>
      </c>
      <c r="D21" s="98" t="str">
        <f>'Upload(참조) (2)'!T23</f>
        <v/>
      </c>
      <c r="E21" s="98" t="str">
        <f>'Upload(참조) (2)'!U23</f>
        <v/>
      </c>
      <c r="F21" s="98">
        <f>'Upload(참조) (2)'!V23</f>
        <v>0</v>
      </c>
    </row>
    <row r="22" spans="1:6">
      <c r="A22" s="98" t="str">
        <f>'Upload(참조) (2)'!Q24</f>
        <v/>
      </c>
      <c r="B22" s="99" t="str">
        <f>'Upload(참조) (2)'!R24</f>
        <v/>
      </c>
      <c r="C22" s="99" t="str">
        <f>'Upload(참조) (2)'!S24</f>
        <v/>
      </c>
      <c r="D22" s="98" t="str">
        <f>'Upload(참조) (2)'!T24</f>
        <v/>
      </c>
      <c r="E22" s="98" t="str">
        <f>'Upload(참조) (2)'!U24</f>
        <v/>
      </c>
      <c r="F22" s="98">
        <f>'Upload(참조) (2)'!V24</f>
        <v>0</v>
      </c>
    </row>
    <row r="23" spans="1:6">
      <c r="A23" s="98" t="str">
        <f>'Upload(참조) (2)'!Q25</f>
        <v/>
      </c>
      <c r="B23" s="99" t="str">
        <f>'Upload(참조) (2)'!R25</f>
        <v/>
      </c>
      <c r="C23" s="99" t="str">
        <f>'Upload(참조) (2)'!S25</f>
        <v/>
      </c>
      <c r="D23" s="98" t="str">
        <f>'Upload(참조) (2)'!T25</f>
        <v/>
      </c>
      <c r="E23" s="98" t="str">
        <f>'Upload(참조) (2)'!U25</f>
        <v/>
      </c>
      <c r="F23" s="98">
        <f>'Upload(참조) (2)'!V25</f>
        <v>0</v>
      </c>
    </row>
    <row r="24" spans="1:6">
      <c r="A24" s="98" t="str">
        <f>'Upload(참조) (2)'!Q26</f>
        <v/>
      </c>
      <c r="B24" s="99" t="str">
        <f>'Upload(참조) (2)'!R26</f>
        <v/>
      </c>
      <c r="C24" s="99" t="str">
        <f>'Upload(참조) (2)'!S26</f>
        <v/>
      </c>
      <c r="D24" s="98" t="str">
        <f>'Upload(참조) (2)'!T26</f>
        <v/>
      </c>
      <c r="E24" s="98" t="str">
        <f>'Upload(참조) (2)'!U26</f>
        <v/>
      </c>
      <c r="F24" s="98">
        <f>'Upload(참조) (2)'!V26</f>
        <v>0</v>
      </c>
    </row>
    <row r="25" spans="1:6">
      <c r="A25" s="98" t="str">
        <f>'Upload(참조) (2)'!Q27</f>
        <v/>
      </c>
      <c r="B25" s="99" t="str">
        <f>'Upload(참조) (2)'!R27</f>
        <v/>
      </c>
      <c r="C25" s="99" t="str">
        <f>'Upload(참조) (2)'!S27</f>
        <v/>
      </c>
      <c r="D25" s="98" t="str">
        <f>'Upload(참조) (2)'!T27</f>
        <v/>
      </c>
      <c r="E25" s="98" t="str">
        <f>'Upload(참조) (2)'!U27</f>
        <v/>
      </c>
      <c r="F25" s="98">
        <f>'Upload(참조) (2)'!V27</f>
        <v>0</v>
      </c>
    </row>
    <row r="26" spans="1:6">
      <c r="A26" s="98" t="str">
        <f>'Upload(참조) (2)'!Q28</f>
        <v/>
      </c>
      <c r="B26" s="99" t="str">
        <f>'Upload(참조) (2)'!R28</f>
        <v/>
      </c>
      <c r="C26" s="99" t="str">
        <f>'Upload(참조) (2)'!S28</f>
        <v/>
      </c>
      <c r="D26" s="98" t="str">
        <f>'Upload(참조) (2)'!T28</f>
        <v/>
      </c>
      <c r="E26" s="98" t="str">
        <f>'Upload(참조) (2)'!U28</f>
        <v/>
      </c>
      <c r="F26" s="98">
        <f>'Upload(참조) (2)'!V28</f>
        <v>0</v>
      </c>
    </row>
    <row r="27" spans="1:6">
      <c r="A27" s="98" t="str">
        <f>'Upload(참조) (2)'!Q29</f>
        <v/>
      </c>
      <c r="B27" s="99" t="str">
        <f>'Upload(참조) (2)'!R29</f>
        <v/>
      </c>
      <c r="C27" s="99" t="str">
        <f>'Upload(참조) (2)'!S29</f>
        <v/>
      </c>
      <c r="D27" s="98" t="str">
        <f>'Upload(참조) (2)'!T29</f>
        <v/>
      </c>
      <c r="E27" s="98" t="str">
        <f>'Upload(참조) (2)'!U29</f>
        <v/>
      </c>
      <c r="F27" s="98">
        <f>'Upload(참조) (2)'!V29</f>
        <v>0</v>
      </c>
    </row>
    <row r="28" spans="1:6">
      <c r="A28" s="98" t="str">
        <f>'Upload(참조) (2)'!Q30</f>
        <v/>
      </c>
      <c r="B28" s="99" t="str">
        <f>'Upload(참조) (2)'!R30</f>
        <v/>
      </c>
      <c r="C28" s="99" t="str">
        <f>'Upload(참조) (2)'!S30</f>
        <v/>
      </c>
      <c r="D28" s="98" t="str">
        <f>'Upload(참조) (2)'!T30</f>
        <v/>
      </c>
      <c r="E28" s="98" t="str">
        <f>'Upload(참조) (2)'!U30</f>
        <v/>
      </c>
      <c r="F28" s="98">
        <f>'Upload(참조) (2)'!V30</f>
        <v>0</v>
      </c>
    </row>
    <row r="29" spans="1:6">
      <c r="A29" s="98" t="str">
        <f>'Upload(참조) (2)'!Q31</f>
        <v/>
      </c>
      <c r="B29" s="99" t="str">
        <f>'Upload(참조) (2)'!R31</f>
        <v/>
      </c>
      <c r="C29" s="99" t="str">
        <f>'Upload(참조) (2)'!S31</f>
        <v/>
      </c>
      <c r="D29" s="98" t="str">
        <f>'Upload(참조) (2)'!T31</f>
        <v/>
      </c>
      <c r="E29" s="98" t="str">
        <f>'Upload(참조) (2)'!U31</f>
        <v/>
      </c>
      <c r="F29" s="98">
        <f>'Upload(참조) (2)'!V31</f>
        <v>0</v>
      </c>
    </row>
    <row r="30" spans="1:6">
      <c r="A30" s="98" t="str">
        <f>'Upload(참조) (2)'!Q32</f>
        <v/>
      </c>
      <c r="B30" s="99" t="str">
        <f>'Upload(참조) (2)'!R32</f>
        <v/>
      </c>
      <c r="C30" s="99" t="str">
        <f>'Upload(참조) (2)'!S32</f>
        <v/>
      </c>
      <c r="D30" s="98" t="str">
        <f>'Upload(참조) (2)'!T32</f>
        <v/>
      </c>
      <c r="E30" s="98" t="str">
        <f>'Upload(참조) (2)'!U32</f>
        <v/>
      </c>
      <c r="F30" s="98">
        <f>'Upload(참조) (2)'!V32</f>
        <v>0</v>
      </c>
    </row>
    <row r="31" spans="1:6">
      <c r="A31" s="98" t="str">
        <f>'Upload(참조) (2)'!Q33</f>
        <v/>
      </c>
      <c r="B31" s="99" t="str">
        <f>'Upload(참조) (2)'!R33</f>
        <v/>
      </c>
      <c r="C31" s="99" t="str">
        <f>'Upload(참조) (2)'!S33</f>
        <v/>
      </c>
      <c r="D31" s="98" t="str">
        <f>'Upload(참조) (2)'!T33</f>
        <v/>
      </c>
      <c r="E31" s="98" t="str">
        <f>'Upload(참조) (2)'!U33</f>
        <v/>
      </c>
      <c r="F31" s="98">
        <f>'Upload(참조) (2)'!V33</f>
        <v>0</v>
      </c>
    </row>
    <row r="32" spans="1:6">
      <c r="A32" s="98" t="str">
        <f>'Upload(참조) (2)'!Q34</f>
        <v/>
      </c>
      <c r="B32" s="99" t="str">
        <f>'Upload(참조) (2)'!R34</f>
        <v/>
      </c>
      <c r="C32" s="99" t="str">
        <f>'Upload(참조) (2)'!S34</f>
        <v/>
      </c>
      <c r="D32" s="98" t="str">
        <f>'Upload(참조) (2)'!T34</f>
        <v/>
      </c>
      <c r="E32" s="98" t="str">
        <f>'Upload(참조) (2)'!U34</f>
        <v/>
      </c>
      <c r="F32" s="98">
        <f>'Upload(참조) (2)'!V34</f>
        <v>0</v>
      </c>
    </row>
    <row r="33" spans="1:6">
      <c r="A33" s="98" t="str">
        <f>'Upload(참조) (2)'!Q35</f>
        <v/>
      </c>
      <c r="B33" s="99" t="str">
        <f>'Upload(참조) (2)'!R35</f>
        <v/>
      </c>
      <c r="C33" s="99" t="str">
        <f>'Upload(참조) (2)'!S35</f>
        <v/>
      </c>
      <c r="D33" s="98" t="str">
        <f>'Upload(참조) (2)'!T35</f>
        <v/>
      </c>
      <c r="E33" s="98" t="str">
        <f>'Upload(참조) (2)'!U35</f>
        <v/>
      </c>
      <c r="F33" s="98">
        <f>'Upload(참조) (2)'!V35</f>
        <v>0</v>
      </c>
    </row>
    <row r="34" spans="1:6">
      <c r="A34" s="98" t="str">
        <f>'Upload(참조) (2)'!Q36</f>
        <v/>
      </c>
      <c r="B34" s="99" t="str">
        <f>'Upload(참조) (2)'!R36</f>
        <v/>
      </c>
      <c r="C34" s="99" t="str">
        <f>'Upload(참조) (2)'!S36</f>
        <v/>
      </c>
      <c r="D34" s="98" t="str">
        <f>'Upload(참조) (2)'!T36</f>
        <v/>
      </c>
      <c r="E34" s="98" t="str">
        <f>'Upload(참조) (2)'!U36</f>
        <v/>
      </c>
      <c r="F34" s="98">
        <f>'Upload(참조) (2)'!V36</f>
        <v>0</v>
      </c>
    </row>
    <row r="35" spans="1:6">
      <c r="A35" s="98" t="str">
        <f>'Upload(참조) (2)'!Q37</f>
        <v/>
      </c>
      <c r="B35" s="99" t="str">
        <f>'Upload(참조) (2)'!R37</f>
        <v/>
      </c>
      <c r="C35" s="99" t="str">
        <f>'Upload(참조) (2)'!S37</f>
        <v/>
      </c>
      <c r="D35" s="98" t="str">
        <f>'Upload(참조) (2)'!T37</f>
        <v/>
      </c>
      <c r="E35" s="98" t="str">
        <f>'Upload(참조) (2)'!U37</f>
        <v/>
      </c>
      <c r="F35" s="98">
        <f>'Upload(참조) (2)'!V37</f>
        <v>0</v>
      </c>
    </row>
    <row r="36" spans="1:6">
      <c r="A36" s="98" t="str">
        <f>'Upload(참조) (2)'!Q38</f>
        <v/>
      </c>
      <c r="B36" s="99" t="str">
        <f>'Upload(참조) (2)'!R38</f>
        <v/>
      </c>
      <c r="C36" s="99" t="str">
        <f>'Upload(참조) (2)'!S38</f>
        <v/>
      </c>
      <c r="D36" s="98" t="str">
        <f>'Upload(참조) (2)'!T38</f>
        <v/>
      </c>
      <c r="E36" s="98" t="str">
        <f>'Upload(참조) (2)'!U38</f>
        <v/>
      </c>
      <c r="F36" s="98">
        <f>'Upload(참조) (2)'!V38</f>
        <v>0</v>
      </c>
    </row>
    <row r="37" spans="1:6">
      <c r="A37" s="98" t="str">
        <f>'Upload(참조) (2)'!Q39</f>
        <v/>
      </c>
      <c r="B37" s="99" t="str">
        <f>'Upload(참조) (2)'!R39</f>
        <v/>
      </c>
      <c r="C37" s="99" t="str">
        <f>'Upload(참조) (2)'!S39</f>
        <v/>
      </c>
      <c r="D37" s="98" t="str">
        <f>'Upload(참조) (2)'!T39</f>
        <v/>
      </c>
      <c r="E37" s="98" t="str">
        <f>'Upload(참조) (2)'!U39</f>
        <v/>
      </c>
      <c r="F37" s="98">
        <f>'Upload(참조) (2)'!V39</f>
        <v>0</v>
      </c>
    </row>
    <row r="38" spans="1:6">
      <c r="A38" s="98" t="str">
        <f>'Upload(참조) (2)'!Q40</f>
        <v/>
      </c>
      <c r="B38" s="99" t="str">
        <f>'Upload(참조) (2)'!R40</f>
        <v/>
      </c>
      <c r="C38" s="99" t="str">
        <f>'Upload(참조) (2)'!S40</f>
        <v/>
      </c>
      <c r="D38" s="98" t="str">
        <f>'Upload(참조) (2)'!T40</f>
        <v/>
      </c>
      <c r="E38" s="98" t="str">
        <f>'Upload(참조) (2)'!U40</f>
        <v/>
      </c>
      <c r="F38" s="98">
        <f>'Upload(참조) (2)'!V40</f>
        <v>0</v>
      </c>
    </row>
    <row r="39" spans="1:6">
      <c r="A39" s="98" t="str">
        <f>'Upload(참조) (2)'!Q41</f>
        <v/>
      </c>
      <c r="B39" s="99" t="str">
        <f>'Upload(참조) (2)'!R41</f>
        <v/>
      </c>
      <c r="C39" s="99" t="str">
        <f>'Upload(참조) (2)'!S41</f>
        <v/>
      </c>
      <c r="D39" s="98" t="str">
        <f>'Upload(참조) (2)'!T41</f>
        <v/>
      </c>
      <c r="E39" s="98" t="str">
        <f>'Upload(참조) (2)'!U41</f>
        <v/>
      </c>
      <c r="F39" s="98">
        <f>'Upload(참조) (2)'!V41</f>
        <v>0</v>
      </c>
    </row>
    <row r="40" spans="1:6">
      <c r="A40" s="98" t="str">
        <f>'Upload(참조) (2)'!Q42</f>
        <v/>
      </c>
      <c r="B40" s="99" t="str">
        <f>'Upload(참조) (2)'!R42</f>
        <v/>
      </c>
      <c r="C40" s="99" t="str">
        <f>'Upload(참조) (2)'!S42</f>
        <v/>
      </c>
      <c r="D40" s="98" t="str">
        <f>'Upload(참조) (2)'!T42</f>
        <v/>
      </c>
      <c r="E40" s="98" t="str">
        <f>'Upload(참조) (2)'!U42</f>
        <v/>
      </c>
      <c r="F40" s="98">
        <f>'Upload(참조) (2)'!V42</f>
        <v>0</v>
      </c>
    </row>
    <row r="41" spans="1:6">
      <c r="A41" s="98" t="str">
        <f>'Upload(참조) (2)'!Q43</f>
        <v/>
      </c>
      <c r="B41" s="99" t="str">
        <f>'Upload(참조) (2)'!R43</f>
        <v/>
      </c>
      <c r="C41" s="99" t="str">
        <f>'Upload(참조) (2)'!S43</f>
        <v/>
      </c>
      <c r="D41" s="98" t="str">
        <f>'Upload(참조) (2)'!T43</f>
        <v/>
      </c>
      <c r="E41" s="98" t="str">
        <f>'Upload(참조) (2)'!U43</f>
        <v/>
      </c>
      <c r="F41" s="98">
        <f>'Upload(참조) (2)'!V43</f>
        <v>0</v>
      </c>
    </row>
    <row r="42" spans="1:6">
      <c r="A42" s="98" t="str">
        <f>'Upload(참조) (2)'!Q44</f>
        <v/>
      </c>
      <c r="B42" s="99" t="str">
        <f>'Upload(참조) (2)'!R44</f>
        <v/>
      </c>
      <c r="C42" s="99" t="str">
        <f>'Upload(참조) (2)'!S44</f>
        <v/>
      </c>
      <c r="D42" s="98" t="str">
        <f>'Upload(참조) (2)'!T44</f>
        <v/>
      </c>
      <c r="E42" s="98" t="str">
        <f>'Upload(참조) (2)'!U44</f>
        <v/>
      </c>
      <c r="F42" s="98">
        <f>'Upload(참조) (2)'!V44</f>
        <v>0</v>
      </c>
    </row>
    <row r="43" spans="1:6">
      <c r="A43" s="98" t="str">
        <f>'Upload(참조) (2)'!Q45</f>
        <v/>
      </c>
      <c r="B43" s="99" t="str">
        <f>'Upload(참조) (2)'!R45</f>
        <v/>
      </c>
      <c r="C43" s="99" t="str">
        <f>'Upload(참조) (2)'!S45</f>
        <v/>
      </c>
      <c r="D43" s="98" t="str">
        <f>'Upload(참조) (2)'!T45</f>
        <v/>
      </c>
      <c r="E43" s="98" t="str">
        <f>'Upload(참조) (2)'!U45</f>
        <v/>
      </c>
      <c r="F43" s="98">
        <f>'Upload(참조) (2)'!V45</f>
        <v>0</v>
      </c>
    </row>
    <row r="44" spans="1:6">
      <c r="A44" s="98" t="str">
        <f>'Upload(참조) (2)'!Q46</f>
        <v/>
      </c>
      <c r="B44" s="99" t="str">
        <f>'Upload(참조) (2)'!R46</f>
        <v/>
      </c>
      <c r="C44" s="99" t="str">
        <f>'Upload(참조) (2)'!S46</f>
        <v/>
      </c>
      <c r="D44" s="98" t="str">
        <f>'Upload(참조) (2)'!T46</f>
        <v/>
      </c>
      <c r="E44" s="98" t="str">
        <f>'Upload(참조) (2)'!U46</f>
        <v/>
      </c>
      <c r="F44" s="98">
        <f>'Upload(참조) (2)'!V46</f>
        <v>0</v>
      </c>
    </row>
    <row r="45" spans="1:6">
      <c r="A45" s="98" t="str">
        <f>'Upload(참조) (2)'!Q47</f>
        <v/>
      </c>
      <c r="B45" s="99" t="str">
        <f>'Upload(참조) (2)'!R47</f>
        <v/>
      </c>
      <c r="C45" s="99" t="str">
        <f>'Upload(참조) (2)'!S47</f>
        <v/>
      </c>
      <c r="D45" s="98" t="str">
        <f>'Upload(참조) (2)'!T47</f>
        <v/>
      </c>
      <c r="E45" s="98" t="str">
        <f>'Upload(참조) (2)'!U47</f>
        <v/>
      </c>
      <c r="F45" s="98">
        <f>'Upload(참조) (2)'!V47</f>
        <v>0</v>
      </c>
    </row>
    <row r="46" spans="1:6">
      <c r="A46" s="98" t="str">
        <f>'Upload(참조) (2)'!Q48</f>
        <v/>
      </c>
      <c r="B46" s="99" t="str">
        <f>'Upload(참조) (2)'!R48</f>
        <v/>
      </c>
      <c r="C46" s="99" t="str">
        <f>'Upload(참조) (2)'!S48</f>
        <v/>
      </c>
      <c r="D46" s="98" t="str">
        <f>'Upload(참조) (2)'!T48</f>
        <v/>
      </c>
      <c r="E46" s="98" t="str">
        <f>'Upload(참조) (2)'!U48</f>
        <v/>
      </c>
      <c r="F46" s="98">
        <f>'Upload(참조) (2)'!V48</f>
        <v>0</v>
      </c>
    </row>
    <row r="47" spans="1:6">
      <c r="A47" s="98" t="str">
        <f>'Upload(참조) (2)'!Q49</f>
        <v/>
      </c>
      <c r="B47" s="99" t="str">
        <f>'Upload(참조) (2)'!R49</f>
        <v/>
      </c>
      <c r="C47" s="99" t="str">
        <f>'Upload(참조) (2)'!S49</f>
        <v/>
      </c>
      <c r="D47" s="98" t="str">
        <f>'Upload(참조) (2)'!T49</f>
        <v/>
      </c>
      <c r="E47" s="98" t="str">
        <f>'Upload(참조) (2)'!U49</f>
        <v/>
      </c>
      <c r="F47" s="98">
        <f>'Upload(참조) (2)'!V49</f>
        <v>0</v>
      </c>
    </row>
    <row r="48" spans="1:6">
      <c r="A48" s="98" t="str">
        <f>'Upload(참조) (2)'!Q50</f>
        <v/>
      </c>
      <c r="B48" s="99" t="str">
        <f>'Upload(참조) (2)'!R50</f>
        <v/>
      </c>
      <c r="C48" s="99" t="str">
        <f>'Upload(참조) (2)'!S50</f>
        <v/>
      </c>
      <c r="D48" s="98" t="str">
        <f>'Upload(참조) (2)'!T50</f>
        <v/>
      </c>
      <c r="E48" s="98" t="str">
        <f>'Upload(참조) (2)'!U50</f>
        <v/>
      </c>
      <c r="F48" s="98">
        <f>'Upload(참조) (2)'!V50</f>
        <v>0</v>
      </c>
    </row>
    <row r="49" spans="1:6">
      <c r="A49" s="98" t="str">
        <f>'Upload(참조) (2)'!Q51</f>
        <v/>
      </c>
      <c r="B49" s="99" t="str">
        <f>'Upload(참조) (2)'!R51</f>
        <v/>
      </c>
      <c r="C49" s="99" t="str">
        <f>'Upload(참조) (2)'!S51</f>
        <v/>
      </c>
      <c r="D49" s="98" t="str">
        <f>'Upload(참조) (2)'!T51</f>
        <v/>
      </c>
      <c r="E49" s="98" t="str">
        <f>'Upload(참조) (2)'!U51</f>
        <v/>
      </c>
      <c r="F49" s="98">
        <f>'Upload(참조) (2)'!V51</f>
        <v>0</v>
      </c>
    </row>
    <row r="50" spans="1:6">
      <c r="A50" s="98" t="str">
        <f>'Upload(참조) (2)'!Q52</f>
        <v/>
      </c>
      <c r="B50" s="99" t="str">
        <f>'Upload(참조) (2)'!R52</f>
        <v/>
      </c>
      <c r="C50" s="99" t="str">
        <f>'Upload(참조) (2)'!S52</f>
        <v/>
      </c>
      <c r="D50" s="98" t="str">
        <f>'Upload(참조) (2)'!T52</f>
        <v/>
      </c>
      <c r="E50" s="98" t="str">
        <f>'Upload(참조) (2)'!U52</f>
        <v/>
      </c>
      <c r="F50" s="98">
        <f>'Upload(참조) (2)'!V52</f>
        <v>0</v>
      </c>
    </row>
    <row r="51" spans="1:6">
      <c r="A51" s="98" t="str">
        <f>'Upload(참조) (2)'!Q53</f>
        <v/>
      </c>
      <c r="B51" s="99" t="str">
        <f>'Upload(참조) (2)'!R53</f>
        <v/>
      </c>
      <c r="C51" s="99" t="str">
        <f>'Upload(참조) (2)'!S53</f>
        <v/>
      </c>
      <c r="D51" s="98" t="str">
        <f>'Upload(참조) (2)'!T53</f>
        <v/>
      </c>
      <c r="E51" s="98" t="str">
        <f>'Upload(참조) (2)'!U53</f>
        <v/>
      </c>
      <c r="F51" s="98">
        <f>'Upload(참조) (2)'!V53</f>
        <v>0</v>
      </c>
    </row>
    <row r="52" spans="1:6">
      <c r="A52" s="98" t="str">
        <f>'Upload(참조) (2)'!Q54</f>
        <v/>
      </c>
      <c r="B52" s="99" t="str">
        <f>'Upload(참조) (2)'!R54</f>
        <v/>
      </c>
      <c r="C52" s="99" t="str">
        <f>'Upload(참조) (2)'!S54</f>
        <v/>
      </c>
      <c r="D52" s="98" t="str">
        <f>'Upload(참조) (2)'!T54</f>
        <v/>
      </c>
      <c r="E52" s="98" t="str">
        <f>'Upload(참조) (2)'!U54</f>
        <v/>
      </c>
      <c r="F52" s="98">
        <f>'Upload(참조) (2)'!V54</f>
        <v>0</v>
      </c>
    </row>
    <row r="53" spans="1:6">
      <c r="A53" s="98" t="str">
        <f>'Upload(참조) (2)'!Q55</f>
        <v/>
      </c>
      <c r="B53" s="99" t="str">
        <f>'Upload(참조) (2)'!R55</f>
        <v/>
      </c>
      <c r="C53" s="99" t="str">
        <f>'Upload(참조) (2)'!S55</f>
        <v/>
      </c>
      <c r="D53" s="98" t="str">
        <f>'Upload(참조) (2)'!T55</f>
        <v/>
      </c>
      <c r="E53" s="98" t="str">
        <f>'Upload(참조) (2)'!U55</f>
        <v/>
      </c>
      <c r="F53" s="98">
        <f>'Upload(참조) (2)'!V55</f>
        <v>0</v>
      </c>
    </row>
    <row r="54" spans="1:6">
      <c r="A54" s="98" t="str">
        <f>'Upload(참조) (2)'!Q56</f>
        <v/>
      </c>
      <c r="B54" s="99" t="str">
        <f>'Upload(참조) (2)'!R56</f>
        <v/>
      </c>
      <c r="C54" s="99" t="str">
        <f>'Upload(참조) (2)'!S56</f>
        <v/>
      </c>
      <c r="D54" s="98" t="str">
        <f>'Upload(참조) (2)'!T56</f>
        <v/>
      </c>
      <c r="E54" s="98" t="str">
        <f>'Upload(참조) (2)'!U56</f>
        <v/>
      </c>
      <c r="F54" s="98">
        <f>'Upload(참조) (2)'!V56</f>
        <v>0</v>
      </c>
    </row>
    <row r="55" spans="1:6">
      <c r="A55" s="98" t="str">
        <f>'Upload(참조) (2)'!Q57</f>
        <v/>
      </c>
      <c r="B55" s="99" t="str">
        <f>'Upload(참조) (2)'!R57</f>
        <v/>
      </c>
      <c r="C55" s="99" t="str">
        <f>'Upload(참조) (2)'!S57</f>
        <v/>
      </c>
      <c r="D55" s="98" t="str">
        <f>'Upload(참조) (2)'!T57</f>
        <v/>
      </c>
      <c r="E55" s="98" t="str">
        <f>'Upload(참조) (2)'!U57</f>
        <v/>
      </c>
      <c r="F55" s="98">
        <f>'Upload(참조) (2)'!V57</f>
        <v>0</v>
      </c>
    </row>
    <row r="56" spans="1:6">
      <c r="A56" s="98" t="str">
        <f>'Upload(참조) (2)'!Q58</f>
        <v/>
      </c>
      <c r="B56" s="99" t="str">
        <f>'Upload(참조) (2)'!R58</f>
        <v/>
      </c>
      <c r="C56" s="99" t="str">
        <f>'Upload(참조) (2)'!S58</f>
        <v/>
      </c>
      <c r="D56" s="98" t="str">
        <f>'Upload(참조) (2)'!T58</f>
        <v/>
      </c>
      <c r="E56" s="98" t="str">
        <f>'Upload(참조) (2)'!U58</f>
        <v/>
      </c>
      <c r="F56" s="98">
        <f>'Upload(참조) (2)'!V58</f>
        <v>0</v>
      </c>
    </row>
    <row r="57" spans="1:6">
      <c r="A57" s="98" t="str">
        <f>'Upload(참조) (2)'!Q59</f>
        <v/>
      </c>
      <c r="B57" s="99" t="str">
        <f>'Upload(참조) (2)'!R59</f>
        <v/>
      </c>
      <c r="C57" s="99" t="str">
        <f>'Upload(참조) (2)'!S59</f>
        <v/>
      </c>
      <c r="D57" s="98" t="str">
        <f>'Upload(참조) (2)'!T59</f>
        <v/>
      </c>
      <c r="E57" s="98" t="str">
        <f>'Upload(참조) (2)'!U59</f>
        <v/>
      </c>
      <c r="F57" s="98">
        <f>'Upload(참조) (2)'!V59</f>
        <v>0</v>
      </c>
    </row>
    <row r="58" spans="1:6">
      <c r="A58" s="98" t="str">
        <f>'Upload(참조) (2)'!Q60</f>
        <v/>
      </c>
      <c r="B58" s="99" t="str">
        <f>'Upload(참조) (2)'!R60</f>
        <v/>
      </c>
      <c r="C58" s="99" t="str">
        <f>'Upload(참조) (2)'!S60</f>
        <v/>
      </c>
      <c r="D58" s="98" t="str">
        <f>'Upload(참조) (2)'!T60</f>
        <v/>
      </c>
      <c r="E58" s="98" t="str">
        <f>'Upload(참조) (2)'!U60</f>
        <v/>
      </c>
      <c r="F58" s="98">
        <f>'Upload(참조) (2)'!V60</f>
        <v>0</v>
      </c>
    </row>
    <row r="59" spans="1:6">
      <c r="A59" s="98" t="str">
        <f>'Upload(참조) (2)'!Q61</f>
        <v/>
      </c>
      <c r="B59" s="99" t="str">
        <f>'Upload(참조) (2)'!R61</f>
        <v/>
      </c>
      <c r="C59" s="99" t="str">
        <f>'Upload(참조) (2)'!S61</f>
        <v/>
      </c>
      <c r="D59" s="98" t="str">
        <f>'Upload(참조) (2)'!T61</f>
        <v/>
      </c>
      <c r="E59" s="98" t="str">
        <f>'Upload(참조) (2)'!U61</f>
        <v/>
      </c>
      <c r="F59" s="98">
        <f>'Upload(참조) (2)'!V61</f>
        <v>0</v>
      </c>
    </row>
    <row r="60" spans="1:6">
      <c r="A60" s="98" t="str">
        <f>'Upload(참조) (2)'!Q62</f>
        <v/>
      </c>
      <c r="B60" s="99" t="str">
        <f>'Upload(참조) (2)'!R62</f>
        <v/>
      </c>
      <c r="C60" s="99" t="str">
        <f>'Upload(참조) (2)'!S62</f>
        <v/>
      </c>
      <c r="D60" s="98" t="str">
        <f>'Upload(참조) (2)'!T62</f>
        <v/>
      </c>
      <c r="E60" s="98" t="str">
        <f>'Upload(참조) (2)'!U62</f>
        <v/>
      </c>
      <c r="F60" s="98">
        <f>'Upload(참조) (2)'!V62</f>
        <v>0</v>
      </c>
    </row>
    <row r="61" spans="1:6">
      <c r="A61" s="98" t="str">
        <f>'Upload(참조) (2)'!Q63</f>
        <v/>
      </c>
      <c r="B61" s="99" t="str">
        <f>'Upload(참조) (2)'!R63</f>
        <v/>
      </c>
      <c r="C61" s="99" t="str">
        <f>'Upload(참조) (2)'!S63</f>
        <v/>
      </c>
      <c r="D61" s="98" t="str">
        <f>'Upload(참조) (2)'!T63</f>
        <v/>
      </c>
      <c r="E61" s="98" t="str">
        <f>'Upload(참조) (2)'!U63</f>
        <v/>
      </c>
      <c r="F61" s="98">
        <f>'Upload(참조) (2)'!V63</f>
        <v>0</v>
      </c>
    </row>
    <row r="62" spans="1:6">
      <c r="A62" s="98" t="str">
        <f>'Upload(참조) (2)'!Q64</f>
        <v/>
      </c>
      <c r="B62" s="99" t="str">
        <f>'Upload(참조) (2)'!R64</f>
        <v/>
      </c>
      <c r="C62" s="99" t="str">
        <f>'Upload(참조) (2)'!S64</f>
        <v/>
      </c>
      <c r="D62" s="98" t="str">
        <f>'Upload(참조) (2)'!T64</f>
        <v/>
      </c>
      <c r="E62" s="98" t="str">
        <f>'Upload(참조) (2)'!U64</f>
        <v/>
      </c>
      <c r="F62" s="98">
        <f>'Upload(참조) (2)'!V64</f>
        <v>0</v>
      </c>
    </row>
    <row r="63" spans="1:6">
      <c r="A63" s="98" t="str">
        <f>'Upload(참조) (2)'!Q65</f>
        <v/>
      </c>
      <c r="B63" s="99" t="str">
        <f>'Upload(참조) (2)'!R65</f>
        <v/>
      </c>
      <c r="C63" s="99" t="str">
        <f>'Upload(참조) (2)'!S65</f>
        <v/>
      </c>
      <c r="D63" s="98" t="str">
        <f>'Upload(참조) (2)'!T65</f>
        <v/>
      </c>
      <c r="E63" s="98" t="str">
        <f>'Upload(참조) (2)'!U65</f>
        <v/>
      </c>
      <c r="F63" s="98">
        <f>'Upload(참조) (2)'!V65</f>
        <v>0</v>
      </c>
    </row>
    <row r="64" spans="1:6">
      <c r="A64" s="98" t="str">
        <f>'Upload(참조) (2)'!Q66</f>
        <v/>
      </c>
      <c r="B64" s="99" t="str">
        <f>'Upload(참조) (2)'!R66</f>
        <v/>
      </c>
      <c r="C64" s="99" t="str">
        <f>'Upload(참조) (2)'!S66</f>
        <v/>
      </c>
      <c r="D64" s="98" t="str">
        <f>'Upload(참조) (2)'!T66</f>
        <v/>
      </c>
      <c r="E64" s="98" t="str">
        <f>'Upload(참조) (2)'!U66</f>
        <v/>
      </c>
      <c r="F64" s="98">
        <f>'Upload(참조) (2)'!V66</f>
        <v>0</v>
      </c>
    </row>
    <row r="65" spans="1:6">
      <c r="A65" s="98" t="str">
        <f>'Upload(참조) (2)'!Q67</f>
        <v/>
      </c>
      <c r="B65" s="99" t="str">
        <f>'Upload(참조) (2)'!R67</f>
        <v/>
      </c>
      <c r="C65" s="99" t="str">
        <f>'Upload(참조) (2)'!S67</f>
        <v/>
      </c>
      <c r="D65" s="98" t="str">
        <f>'Upload(참조) (2)'!T67</f>
        <v/>
      </c>
      <c r="E65" s="98" t="str">
        <f>'Upload(참조) (2)'!U67</f>
        <v/>
      </c>
      <c r="F65" s="98">
        <f>'Upload(참조) (2)'!V67</f>
        <v>0</v>
      </c>
    </row>
    <row r="66" spans="1:6">
      <c r="A66" s="98" t="str">
        <f>'Upload(참조) (2)'!Q68</f>
        <v/>
      </c>
      <c r="B66" s="99" t="str">
        <f>'Upload(참조) (2)'!R68</f>
        <v/>
      </c>
      <c r="C66" s="99" t="str">
        <f>'Upload(참조) (2)'!S68</f>
        <v/>
      </c>
      <c r="D66" s="98" t="str">
        <f>'Upload(참조) (2)'!T68</f>
        <v/>
      </c>
      <c r="E66" s="98" t="str">
        <f>'Upload(참조) (2)'!U68</f>
        <v/>
      </c>
      <c r="F66" s="98">
        <f>'Upload(참조) (2)'!V68</f>
        <v>0</v>
      </c>
    </row>
    <row r="67" spans="1:6">
      <c r="A67" s="98" t="str">
        <f>'Upload(참조) (2)'!Q69</f>
        <v/>
      </c>
      <c r="B67" s="99" t="str">
        <f>'Upload(참조) (2)'!R69</f>
        <v/>
      </c>
      <c r="C67" s="99" t="str">
        <f>'Upload(참조) (2)'!S69</f>
        <v/>
      </c>
      <c r="D67" s="98" t="str">
        <f>'Upload(참조) (2)'!T69</f>
        <v/>
      </c>
      <c r="E67" s="98" t="str">
        <f>'Upload(참조) (2)'!U69</f>
        <v/>
      </c>
      <c r="F67" s="98">
        <f>'Upload(참조) (2)'!V69</f>
        <v>0</v>
      </c>
    </row>
    <row r="68" spans="1:6">
      <c r="A68" s="98" t="str">
        <f>'Upload(참조) (2)'!Q70</f>
        <v/>
      </c>
      <c r="B68" s="99" t="str">
        <f>'Upload(참조) (2)'!R70</f>
        <v/>
      </c>
      <c r="C68" s="99" t="str">
        <f>'Upload(참조) (2)'!S70</f>
        <v/>
      </c>
      <c r="D68" s="98" t="str">
        <f>'Upload(참조) (2)'!T70</f>
        <v/>
      </c>
      <c r="E68" s="98" t="str">
        <f>'Upload(참조) (2)'!U70</f>
        <v/>
      </c>
      <c r="F68" s="98">
        <f>'Upload(참조) (2)'!V70</f>
        <v>0</v>
      </c>
    </row>
    <row r="69" spans="1:6">
      <c r="A69" s="98" t="str">
        <f>'Upload(참조) (2)'!Q71</f>
        <v/>
      </c>
      <c r="B69" s="99" t="str">
        <f>'Upload(참조) (2)'!R71</f>
        <v/>
      </c>
      <c r="C69" s="99" t="str">
        <f>'Upload(참조) (2)'!S71</f>
        <v/>
      </c>
      <c r="D69" s="98" t="str">
        <f>'Upload(참조) (2)'!T71</f>
        <v/>
      </c>
      <c r="E69" s="98" t="str">
        <f>'Upload(참조) (2)'!U71</f>
        <v/>
      </c>
      <c r="F69" s="98">
        <f>'Upload(참조) (2)'!V71</f>
        <v>0</v>
      </c>
    </row>
    <row r="70" spans="1:6">
      <c r="A70" s="98" t="str">
        <f>'Upload(참조) (2)'!Q72</f>
        <v/>
      </c>
      <c r="B70" s="99" t="str">
        <f>'Upload(참조) (2)'!R72</f>
        <v/>
      </c>
      <c r="C70" s="99" t="str">
        <f>'Upload(참조) (2)'!S72</f>
        <v/>
      </c>
      <c r="D70" s="98" t="str">
        <f>'Upload(참조) (2)'!T72</f>
        <v/>
      </c>
      <c r="E70" s="98" t="str">
        <f>'Upload(참조) (2)'!U72</f>
        <v/>
      </c>
      <c r="F70" s="98">
        <f>'Upload(참조) (2)'!V72</f>
        <v>0</v>
      </c>
    </row>
    <row r="71" spans="1:6">
      <c r="A71" s="98" t="str">
        <f>'Upload(참조) (2)'!Q73</f>
        <v/>
      </c>
      <c r="B71" s="99" t="str">
        <f>'Upload(참조) (2)'!R73</f>
        <v/>
      </c>
      <c r="C71" s="99" t="str">
        <f>'Upload(참조) (2)'!S73</f>
        <v/>
      </c>
      <c r="D71" s="98" t="str">
        <f>'Upload(참조) (2)'!T73</f>
        <v/>
      </c>
      <c r="E71" s="98" t="str">
        <f>'Upload(참조) (2)'!U73</f>
        <v/>
      </c>
      <c r="F71" s="98">
        <f>'Upload(참조) (2)'!V73</f>
        <v>0</v>
      </c>
    </row>
    <row r="72" spans="1:6">
      <c r="A72" s="98" t="str">
        <f>'Upload(참조) (2)'!Q74</f>
        <v/>
      </c>
      <c r="B72" s="99" t="str">
        <f>'Upload(참조) (2)'!R74</f>
        <v/>
      </c>
      <c r="C72" s="99" t="str">
        <f>'Upload(참조) (2)'!S74</f>
        <v/>
      </c>
      <c r="D72" s="98" t="str">
        <f>'Upload(참조) (2)'!T74</f>
        <v/>
      </c>
      <c r="E72" s="98" t="str">
        <f>'Upload(참조) (2)'!U74</f>
        <v/>
      </c>
      <c r="F72" s="98">
        <f>'Upload(참조) (2)'!V74</f>
        <v>0</v>
      </c>
    </row>
    <row r="73" spans="1:6">
      <c r="A73" s="98" t="str">
        <f>'Upload(참조) (2)'!Q75</f>
        <v/>
      </c>
      <c r="B73" s="99" t="str">
        <f>'Upload(참조) (2)'!R75</f>
        <v/>
      </c>
      <c r="C73" s="99" t="str">
        <f>'Upload(참조) (2)'!S75</f>
        <v/>
      </c>
      <c r="D73" s="98" t="str">
        <f>'Upload(참조) (2)'!T75</f>
        <v/>
      </c>
      <c r="E73" s="98" t="str">
        <f>'Upload(참조) (2)'!U75</f>
        <v/>
      </c>
      <c r="F73" s="98">
        <f>'Upload(참조) (2)'!V75</f>
        <v>0</v>
      </c>
    </row>
    <row r="74" spans="1:6">
      <c r="A74" s="98" t="str">
        <f>'Upload(참조) (2)'!Q76</f>
        <v/>
      </c>
      <c r="B74" s="99" t="str">
        <f>'Upload(참조) (2)'!R76</f>
        <v/>
      </c>
      <c r="C74" s="99" t="str">
        <f>'Upload(참조) (2)'!S76</f>
        <v/>
      </c>
      <c r="D74" s="98" t="str">
        <f>'Upload(참조) (2)'!T76</f>
        <v/>
      </c>
      <c r="E74" s="98" t="str">
        <f>'Upload(참조) (2)'!U76</f>
        <v/>
      </c>
      <c r="F74" s="98">
        <f>'Upload(참조) (2)'!V76</f>
        <v>0</v>
      </c>
    </row>
    <row r="75" spans="1:6">
      <c r="A75" s="98" t="str">
        <f>'Upload(참조) (2)'!Q77</f>
        <v/>
      </c>
      <c r="B75" s="99" t="str">
        <f>'Upload(참조) (2)'!R77</f>
        <v/>
      </c>
      <c r="C75" s="99" t="str">
        <f>'Upload(참조) (2)'!S77</f>
        <v/>
      </c>
      <c r="D75" s="98" t="str">
        <f>'Upload(참조) (2)'!T77</f>
        <v/>
      </c>
      <c r="E75" s="98" t="str">
        <f>'Upload(참조) (2)'!U77</f>
        <v/>
      </c>
      <c r="F75" s="98">
        <f>'Upload(참조) (2)'!V77</f>
        <v>0</v>
      </c>
    </row>
    <row r="76" spans="1:6">
      <c r="A76" s="98" t="str">
        <f>'Upload(참조) (2)'!Q78</f>
        <v/>
      </c>
      <c r="B76" s="99" t="str">
        <f>'Upload(참조) (2)'!R78</f>
        <v/>
      </c>
      <c r="C76" s="99" t="str">
        <f>'Upload(참조) (2)'!S78</f>
        <v/>
      </c>
      <c r="D76" s="98" t="str">
        <f>'Upload(참조) (2)'!T78</f>
        <v/>
      </c>
      <c r="E76" s="98" t="str">
        <f>'Upload(참조) (2)'!U78</f>
        <v/>
      </c>
      <c r="F76" s="98">
        <f>'Upload(참조) (2)'!V78</f>
        <v>0</v>
      </c>
    </row>
    <row r="77" spans="1:6">
      <c r="A77" s="98" t="str">
        <f>'Upload(참조) (2)'!Q79</f>
        <v/>
      </c>
      <c r="B77" s="99" t="str">
        <f>'Upload(참조) (2)'!R79</f>
        <v/>
      </c>
      <c r="C77" s="99" t="str">
        <f>'Upload(참조) (2)'!S79</f>
        <v/>
      </c>
      <c r="D77" s="98" t="str">
        <f>'Upload(참조) (2)'!T79</f>
        <v/>
      </c>
      <c r="E77" s="98" t="str">
        <f>'Upload(참조) (2)'!U79</f>
        <v/>
      </c>
      <c r="F77" s="98">
        <f>'Upload(참조) (2)'!V79</f>
        <v>0</v>
      </c>
    </row>
    <row r="78" spans="1:6">
      <c r="A78" s="98" t="str">
        <f>'Upload(참조) (2)'!Q80</f>
        <v/>
      </c>
      <c r="B78" s="99" t="str">
        <f>'Upload(참조) (2)'!R80</f>
        <v/>
      </c>
      <c r="C78" s="99" t="str">
        <f>'Upload(참조) (2)'!S80</f>
        <v/>
      </c>
      <c r="D78" s="98" t="str">
        <f>'Upload(참조) (2)'!T80</f>
        <v/>
      </c>
      <c r="E78" s="98" t="str">
        <f>'Upload(참조) (2)'!U80</f>
        <v/>
      </c>
      <c r="F78" s="98">
        <f>'Upload(참조) (2)'!V80</f>
        <v>0</v>
      </c>
    </row>
    <row r="79" spans="1:6">
      <c r="A79" s="98" t="str">
        <f>'Upload(참조) (2)'!Q81</f>
        <v/>
      </c>
      <c r="B79" s="99" t="str">
        <f>'Upload(참조) (2)'!R81</f>
        <v/>
      </c>
      <c r="C79" s="99" t="str">
        <f>'Upload(참조) (2)'!S81</f>
        <v/>
      </c>
      <c r="D79" s="98" t="str">
        <f>'Upload(참조) (2)'!T81</f>
        <v/>
      </c>
      <c r="E79" s="98" t="str">
        <f>'Upload(참조) (2)'!U81</f>
        <v/>
      </c>
      <c r="F79" s="98">
        <f>'Upload(참조) (2)'!V81</f>
        <v>0</v>
      </c>
    </row>
    <row r="80" spans="1:6">
      <c r="A80" s="98" t="str">
        <f>'Upload(참조) (2)'!Q82</f>
        <v/>
      </c>
      <c r="B80" s="99" t="str">
        <f>'Upload(참조) (2)'!R82</f>
        <v/>
      </c>
      <c r="C80" s="99" t="str">
        <f>'Upload(참조) (2)'!S82</f>
        <v/>
      </c>
      <c r="D80" s="98" t="str">
        <f>'Upload(참조) (2)'!T82</f>
        <v/>
      </c>
      <c r="E80" s="98" t="str">
        <f>'Upload(참조) (2)'!U82</f>
        <v/>
      </c>
      <c r="F80" s="98">
        <f>'Upload(참조) (2)'!V82</f>
        <v>0</v>
      </c>
    </row>
    <row r="81" spans="1:6">
      <c r="A81" s="98" t="str">
        <f>'Upload(참조) (2)'!Q83</f>
        <v/>
      </c>
      <c r="B81" s="99" t="str">
        <f>'Upload(참조) (2)'!R83</f>
        <v/>
      </c>
      <c r="C81" s="99" t="str">
        <f>'Upload(참조) (2)'!S83</f>
        <v/>
      </c>
      <c r="D81" s="98" t="str">
        <f>'Upload(참조) (2)'!T83</f>
        <v/>
      </c>
      <c r="E81" s="98" t="str">
        <f>'Upload(참조) (2)'!U83</f>
        <v/>
      </c>
      <c r="F81" s="98">
        <f>'Upload(참조) (2)'!V83</f>
        <v>0</v>
      </c>
    </row>
    <row r="82" spans="1:6">
      <c r="A82" s="98" t="str">
        <f>'Upload(참조) (2)'!Q84</f>
        <v/>
      </c>
      <c r="B82" s="99" t="str">
        <f>'Upload(참조) (2)'!R84</f>
        <v/>
      </c>
      <c r="C82" s="99" t="str">
        <f>'Upload(참조) (2)'!S84</f>
        <v/>
      </c>
      <c r="D82" s="98" t="str">
        <f>'Upload(참조) (2)'!T84</f>
        <v/>
      </c>
      <c r="E82" s="98" t="str">
        <f>'Upload(참조) (2)'!U84</f>
        <v/>
      </c>
      <c r="F82" s="98">
        <f>'Upload(참조) (2)'!V84</f>
        <v>0</v>
      </c>
    </row>
    <row r="83" spans="1:6">
      <c r="A83" s="98" t="str">
        <f>'Upload(참조) (2)'!Q85</f>
        <v/>
      </c>
      <c r="B83" s="99" t="str">
        <f>'Upload(참조) (2)'!R85</f>
        <v/>
      </c>
      <c r="C83" s="99" t="str">
        <f>'Upload(참조) (2)'!S85</f>
        <v/>
      </c>
      <c r="D83" s="98" t="str">
        <f>'Upload(참조) (2)'!T85</f>
        <v/>
      </c>
      <c r="E83" s="98" t="str">
        <f>'Upload(참조) (2)'!U85</f>
        <v/>
      </c>
      <c r="F83" s="98">
        <f>'Upload(참조) (2)'!V85</f>
        <v>0</v>
      </c>
    </row>
    <row r="84" spans="1:6">
      <c r="A84" s="98" t="str">
        <f>'Upload(참조) (2)'!Q86</f>
        <v/>
      </c>
      <c r="B84" s="99" t="str">
        <f>'Upload(참조) (2)'!R86</f>
        <v/>
      </c>
      <c r="C84" s="99" t="str">
        <f>'Upload(참조) (2)'!S86</f>
        <v/>
      </c>
      <c r="D84" s="98" t="str">
        <f>'Upload(참조) (2)'!T86</f>
        <v/>
      </c>
      <c r="E84" s="98" t="str">
        <f>'Upload(참조) (2)'!U86</f>
        <v/>
      </c>
      <c r="F84" s="98">
        <f>'Upload(참조) (2)'!V86</f>
        <v>0</v>
      </c>
    </row>
    <row r="85" spans="1:6">
      <c r="A85" s="98" t="str">
        <f>'Upload(참조) (2)'!Q87</f>
        <v/>
      </c>
      <c r="B85" s="99" t="str">
        <f>'Upload(참조) (2)'!R87</f>
        <v/>
      </c>
      <c r="C85" s="99" t="str">
        <f>'Upload(참조) (2)'!S87</f>
        <v/>
      </c>
      <c r="D85" s="98" t="str">
        <f>'Upload(참조) (2)'!T87</f>
        <v/>
      </c>
      <c r="E85" s="98" t="str">
        <f>'Upload(참조) (2)'!U87</f>
        <v/>
      </c>
      <c r="F85" s="98">
        <f>'Upload(참조) (2)'!V87</f>
        <v>0</v>
      </c>
    </row>
  </sheetData>
  <autoFilter ref="A1:F1" xr:uid="{00000000-0009-0000-0000-000002000000}"/>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65" t="s">
        <v>39</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5CDD-9ACB-429D-BF79-A4FD73204431}">
  <sheetPr>
    <tabColor theme="1"/>
  </sheetPr>
  <dimension ref="A1:AA116"/>
  <sheetViews>
    <sheetView topLeftCell="I1" zoomScale="85" zoomScaleNormal="85" workbookViewId="0">
      <selection activeCell="V1" sqref="V1:V1048576"/>
    </sheetView>
  </sheetViews>
  <sheetFormatPr defaultRowHeight="16.5"/>
  <cols>
    <col min="1" max="1" width="18.5" style="69" hidden="1" customWidth="1"/>
    <col min="2" max="2" width="9.625" style="69" hidden="1" customWidth="1"/>
    <col min="3" max="3" width="17.875" style="69" hidden="1" customWidth="1"/>
    <col min="4" max="4" width="16.625" style="69" hidden="1" customWidth="1"/>
    <col min="5" max="5" width="7.5" style="69" hidden="1" customWidth="1"/>
    <col min="6" max="6" width="4.5" style="69" hidden="1" customWidth="1"/>
    <col min="7" max="7" width="18.875" style="69" hidden="1" customWidth="1"/>
    <col min="8" max="8" width="0" style="69" hidden="1" customWidth="1"/>
    <col min="9" max="9" width="21.625" style="69" customWidth="1"/>
    <col min="10" max="10" width="11.625" style="69" customWidth="1"/>
    <col min="11" max="11" width="3.625" style="69" customWidth="1"/>
    <col min="12" max="12" width="8.875" style="69" bestFit="1" customWidth="1"/>
    <col min="13" max="13" width="19" style="69" customWidth="1"/>
    <col min="14" max="14" width="12.25" style="69" customWidth="1"/>
    <col min="15" max="16" width="9" style="69"/>
    <col min="17" max="17" width="15" style="69" customWidth="1"/>
    <col min="18" max="18" width="12.375" style="69" customWidth="1"/>
    <col min="19" max="19" width="11.625" style="69" customWidth="1"/>
    <col min="20" max="20" width="12" style="94" customWidth="1"/>
    <col min="21" max="22" width="11.5" style="94" customWidth="1"/>
    <col min="23" max="23" width="11.75" style="94" bestFit="1" customWidth="1"/>
    <col min="24" max="24" width="11.75" style="94" customWidth="1"/>
    <col min="25" max="27" width="9" style="95"/>
    <col min="28" max="16384" width="9" style="69"/>
  </cols>
  <sheetData>
    <row r="1" spans="1:27" ht="12.75">
      <c r="A1" s="66" t="s">
        <v>42</v>
      </c>
      <c r="B1" s="67" t="s">
        <v>0</v>
      </c>
      <c r="C1" s="67" t="s">
        <v>1</v>
      </c>
      <c r="D1" s="67" t="s">
        <v>2</v>
      </c>
      <c r="E1" s="67" t="s">
        <v>3</v>
      </c>
      <c r="F1" s="67" t="s">
        <v>4</v>
      </c>
      <c r="G1" s="68"/>
      <c r="I1" s="70" t="s">
        <v>43</v>
      </c>
      <c r="J1" s="70" t="s">
        <v>44</v>
      </c>
      <c r="L1" s="70" t="s">
        <v>45</v>
      </c>
      <c r="M1" s="70" t="s">
        <v>46</v>
      </c>
      <c r="N1" s="70" t="s">
        <v>47</v>
      </c>
      <c r="O1" s="70" t="s">
        <v>48</v>
      </c>
      <c r="Q1" s="71" t="s">
        <v>49</v>
      </c>
      <c r="R1" s="71" t="s">
        <v>45</v>
      </c>
      <c r="S1" s="71" t="s">
        <v>46</v>
      </c>
      <c r="T1" s="72" t="s">
        <v>47</v>
      </c>
      <c r="U1" s="72" t="s">
        <v>48</v>
      </c>
      <c r="V1" s="72" t="s">
        <v>53</v>
      </c>
      <c r="W1" s="73" t="s">
        <v>45</v>
      </c>
      <c r="X1" s="73" t="s">
        <v>46</v>
      </c>
      <c r="Y1" s="74" t="s">
        <v>56</v>
      </c>
      <c r="Z1" s="74" t="s">
        <v>57</v>
      </c>
      <c r="AA1" s="74" t="s">
        <v>58</v>
      </c>
    </row>
    <row r="2" spans="1:27">
      <c r="A2" s="75"/>
      <c r="B2" s="76"/>
      <c r="C2" s="76"/>
      <c r="D2" s="77"/>
      <c r="E2" s="78"/>
      <c r="F2" s="79" t="s">
        <v>59</v>
      </c>
      <c r="G2" s="80" t="s">
        <v>60</v>
      </c>
      <c r="H2" s="69" t="s">
        <v>61</v>
      </c>
      <c r="I2" s="81" t="str">
        <f>IF(내역서업로드!A5&lt;&gt;"",내역서업로드!A5,"")</f>
        <v/>
      </c>
      <c r="J2" s="81" t="str">
        <f>LEFT(I2,1)</f>
        <v/>
      </c>
      <c r="L2" s="82" t="str">
        <f>IF(OR(J2="E",J2="L",J2="M"),"",I2)</f>
        <v/>
      </c>
      <c r="M2" s="81" t="str">
        <f>IF(OR(J2="D",J2="L",J2="M"),"",I2)</f>
        <v/>
      </c>
      <c r="N2" s="81" t="str">
        <f>IF(OR(J2="D",J2="E",J2="L"),"",I2)</f>
        <v/>
      </c>
      <c r="O2" s="81" t="str">
        <f>IF(OR(J2="D",J2="E",J2="M"),"",I2)</f>
        <v/>
      </c>
      <c r="Q2" s="83" t="str">
        <f>IF(Z2=0,"",IF(Z2=1,R2&amp;S2&amp;T2&amp;U2,"E99999"))</f>
        <v/>
      </c>
      <c r="R2" s="84" t="str">
        <f t="shared" ref="R2:S3" si="0">IF(L2="","",L2)</f>
        <v/>
      </c>
      <c r="S2" s="83" t="str">
        <f t="shared" si="0"/>
        <v/>
      </c>
      <c r="T2" s="84" t="str">
        <f t="shared" ref="T2:T3" si="1">IF(W2=1,"",N2)</f>
        <v/>
      </c>
      <c r="U2" s="84" t="str">
        <f t="shared" ref="U2:U3" si="2">IF(OR(W2=1,X2=1),"",O2)</f>
        <v/>
      </c>
      <c r="V2" s="85">
        <f>내역서업로드!E5</f>
        <v>0</v>
      </c>
      <c r="W2" s="86">
        <f>COUNTIFS(R2,"&gt;&lt;")</f>
        <v>0</v>
      </c>
      <c r="X2" s="86">
        <f>COUNTIFS(S2,"&gt;&lt;")</f>
        <v>0</v>
      </c>
      <c r="Y2" s="87">
        <f>COUNTIFS(R2:U2,"*")</f>
        <v>4</v>
      </c>
      <c r="Z2" s="87">
        <f>COUNTIFS(R2:U2,"&gt;&lt;")</f>
        <v>0</v>
      </c>
      <c r="AA2" s="87">
        <f>COUNTIFS(R2:U2,"&lt;&gt;")</f>
        <v>4</v>
      </c>
    </row>
    <row r="3" spans="1:27">
      <c r="A3" s="75"/>
      <c r="B3" s="88"/>
      <c r="C3" s="88"/>
      <c r="D3" s="89"/>
      <c r="E3" s="90"/>
      <c r="F3" s="91" t="s">
        <v>62</v>
      </c>
      <c r="G3" s="68" t="s">
        <v>63</v>
      </c>
      <c r="H3" s="69" t="s">
        <v>64</v>
      </c>
      <c r="I3" s="81" t="e">
        <f>IF(내역서업로드!#REF!&lt;&gt;"",내역서업로드!#REF!,"")</f>
        <v>#REF!</v>
      </c>
      <c r="J3" s="81" t="e">
        <f t="shared" ref="J3" si="3">LEFT(I3,1)</f>
        <v>#REF!</v>
      </c>
      <c r="L3" s="82" t="e">
        <f t="shared" ref="L3" si="4">IF(OR(J3="E",J3="L",J3="M"),"",I3)</f>
        <v>#REF!</v>
      </c>
      <c r="M3" s="81" t="e">
        <f t="shared" ref="M3" si="5">IF(OR(J3="D",J3="L",J3="M"),"",I3)</f>
        <v>#REF!</v>
      </c>
      <c r="N3" s="81" t="e">
        <f t="shared" ref="N3" si="6">IF(OR(J3="D",J3="E",J3="L"),"",I3)</f>
        <v>#REF!</v>
      </c>
      <c r="O3" s="81" t="e">
        <f t="shared" ref="O3" si="7">IF(OR(J3="D",J3="E",J3="M"),"",I3)</f>
        <v>#REF!</v>
      </c>
      <c r="Q3" s="83" t="str">
        <f t="shared" ref="Q3" si="8">IF(Z3=0,"",IF(Z3=1,R3&amp;S3&amp;T3&amp;U3,"E99999"))</f>
        <v/>
      </c>
      <c r="R3" s="84" t="e">
        <f t="shared" si="0"/>
        <v>#REF!</v>
      </c>
      <c r="S3" s="83" t="e">
        <f t="shared" si="0"/>
        <v>#REF!</v>
      </c>
      <c r="T3" s="84" t="e">
        <f t="shared" si="1"/>
        <v>#REF!</v>
      </c>
      <c r="U3" s="84" t="e">
        <f t="shared" si="2"/>
        <v>#REF!</v>
      </c>
      <c r="V3" s="85" t="e">
        <f>내역서업로드!#REF!</f>
        <v>#REF!</v>
      </c>
      <c r="W3" s="86">
        <f t="shared" ref="W3:X3" si="9">COUNTIFS(R3,"&gt;&lt;")</f>
        <v>0</v>
      </c>
      <c r="X3" s="86">
        <f t="shared" si="9"/>
        <v>0</v>
      </c>
      <c r="Y3" s="87">
        <f t="shared" ref="Y3" si="10">COUNTIFS(R3:U3,"*")</f>
        <v>0</v>
      </c>
      <c r="Z3" s="87">
        <f t="shared" ref="Z3" si="11">COUNTIFS(R3:U3,"&gt;&lt;")</f>
        <v>0</v>
      </c>
      <c r="AA3" s="87">
        <f t="shared" ref="AA3" si="12">COUNTIFS(R3:U3,"&lt;&gt;")</f>
        <v>4</v>
      </c>
    </row>
    <row r="4" spans="1:27">
      <c r="A4" s="75"/>
      <c r="B4" s="76"/>
      <c r="C4" s="76"/>
      <c r="D4" s="77"/>
      <c r="E4" s="78"/>
      <c r="F4" s="79" t="s">
        <v>65</v>
      </c>
      <c r="G4" s="68" t="s">
        <v>66</v>
      </c>
      <c r="H4" s="69" t="s">
        <v>45</v>
      </c>
      <c r="I4" s="81" t="str">
        <f>IF(내역서업로드!A6&lt;&gt;"",내역서업로드!A6,"")</f>
        <v>M045573819460101</v>
      </c>
      <c r="J4" s="81" t="str">
        <f t="shared" ref="J4:J67" si="13">LEFT(I4,1)</f>
        <v>M</v>
      </c>
      <c r="L4" s="82" t="str">
        <f t="shared" ref="L4:L67" si="14">IF(OR(J4="E",J4="L",J4="M"),"",I4)</f>
        <v/>
      </c>
      <c r="M4" s="81" t="str">
        <f t="shared" ref="M4:M67" si="15">IF(OR(J4="D",J4="L",J4="M"),"",I4)</f>
        <v/>
      </c>
      <c r="N4" s="81" t="str">
        <f t="shared" ref="N4:N67" si="16">IF(OR(J4="D",J4="E",J4="L"),"",I4)</f>
        <v>M045573819460101</v>
      </c>
      <c r="O4" s="81" t="str">
        <f t="shared" ref="O4:O67" si="17">IF(OR(J4="D",J4="E",J4="M"),"",I4)</f>
        <v/>
      </c>
      <c r="Q4" s="83" t="str">
        <f t="shared" ref="Q4:Q67" si="18">IF(Z4=0,"",IF(Z4=1,R4&amp;S4&amp;T4&amp;U4,"E99999"))</f>
        <v>M045573819460101</v>
      </c>
      <c r="R4" s="84" t="str">
        <f t="shared" ref="R4:R67" si="19">IF(L4="","",L4)</f>
        <v/>
      </c>
      <c r="S4" s="83" t="str">
        <f t="shared" ref="S4:S67" si="20">IF(M4="","",M4)</f>
        <v/>
      </c>
      <c r="T4" s="84" t="str">
        <f t="shared" ref="T4:T67" si="21">IF(W4=1,"",N4)</f>
        <v>M045573819460101</v>
      </c>
      <c r="U4" s="84" t="str">
        <f t="shared" ref="U4:U67" si="22">IF(OR(W4=1,X4=1),"",O4)</f>
        <v/>
      </c>
      <c r="V4" s="85">
        <f>내역서업로드!E6</f>
        <v>6</v>
      </c>
      <c r="W4" s="86">
        <f t="shared" ref="W4:W67" si="23">COUNTIFS(R4,"&gt;&lt;")</f>
        <v>0</v>
      </c>
      <c r="X4" s="86">
        <f t="shared" ref="X4:X67" si="24">COUNTIFS(S4,"&gt;&lt;")</f>
        <v>0</v>
      </c>
      <c r="Y4" s="87">
        <f t="shared" ref="Y4:Y67" si="25">COUNTIFS(R4:U4,"*")</f>
        <v>4</v>
      </c>
      <c r="Z4" s="87">
        <f t="shared" ref="Z4:Z67" si="26">COUNTIFS(R4:U4,"&gt;&lt;")</f>
        <v>1</v>
      </c>
      <c r="AA4" s="87">
        <f t="shared" ref="AA4:AA67" si="27">COUNTIFS(R4:U4,"&lt;&gt;")</f>
        <v>4</v>
      </c>
    </row>
    <row r="5" spans="1:27">
      <c r="A5" s="75"/>
      <c r="B5" s="88"/>
      <c r="C5" s="88"/>
      <c r="D5" s="92"/>
      <c r="E5" s="90"/>
      <c r="F5" s="91" t="s">
        <v>68</v>
      </c>
      <c r="G5" s="68" t="s">
        <v>69</v>
      </c>
      <c r="H5" s="69" t="s">
        <v>46</v>
      </c>
      <c r="I5" s="81" t="str">
        <f>IF(내역서업로드!A7&lt;&gt;"",내역서업로드!A7,"")</f>
        <v>E00000807041850405</v>
      </c>
      <c r="J5" s="81" t="str">
        <f t="shared" si="13"/>
        <v>E</v>
      </c>
      <c r="L5" s="82" t="str">
        <f t="shared" si="14"/>
        <v/>
      </c>
      <c r="M5" s="81" t="str">
        <f t="shared" si="15"/>
        <v>E00000807041850405</v>
      </c>
      <c r="N5" s="81" t="str">
        <f t="shared" si="16"/>
        <v/>
      </c>
      <c r="O5" s="81" t="str">
        <f t="shared" si="17"/>
        <v/>
      </c>
      <c r="Q5" s="83" t="str">
        <f t="shared" si="18"/>
        <v>E00000807041850405</v>
      </c>
      <c r="R5" s="84" t="str">
        <f t="shared" si="19"/>
        <v/>
      </c>
      <c r="S5" s="83" t="str">
        <f t="shared" si="20"/>
        <v>E00000807041850405</v>
      </c>
      <c r="T5" s="84" t="str">
        <f t="shared" si="21"/>
        <v/>
      </c>
      <c r="U5" s="84" t="str">
        <f t="shared" si="22"/>
        <v/>
      </c>
      <c r="V5" s="85">
        <f>내역서업로드!E7</f>
        <v>6</v>
      </c>
      <c r="W5" s="86">
        <f t="shared" si="23"/>
        <v>0</v>
      </c>
      <c r="X5" s="86">
        <f t="shared" si="24"/>
        <v>1</v>
      </c>
      <c r="Y5" s="87">
        <f t="shared" si="25"/>
        <v>4</v>
      </c>
      <c r="Z5" s="87">
        <f t="shared" si="26"/>
        <v>1</v>
      </c>
      <c r="AA5" s="87">
        <f t="shared" si="27"/>
        <v>4</v>
      </c>
    </row>
    <row r="6" spans="1:27">
      <c r="A6" s="75"/>
      <c r="B6" s="76"/>
      <c r="C6" s="76"/>
      <c r="D6" s="77"/>
      <c r="E6" s="93"/>
      <c r="F6" s="79" t="s">
        <v>71</v>
      </c>
      <c r="G6" s="68" t="s">
        <v>72</v>
      </c>
      <c r="I6" s="81" t="str">
        <f>IF(내역서업로드!A8&lt;&gt;"",내역서업로드!A8,"")</f>
        <v>M045573819390101</v>
      </c>
      <c r="J6" s="81" t="str">
        <f t="shared" si="13"/>
        <v>M</v>
      </c>
      <c r="L6" s="82" t="str">
        <f t="shared" si="14"/>
        <v/>
      </c>
      <c r="M6" s="81" t="str">
        <f t="shared" si="15"/>
        <v/>
      </c>
      <c r="N6" s="81" t="str">
        <f t="shared" si="16"/>
        <v>M045573819390101</v>
      </c>
      <c r="O6" s="81" t="str">
        <f t="shared" si="17"/>
        <v/>
      </c>
      <c r="Q6" s="83" t="str">
        <f t="shared" si="18"/>
        <v>M045573819390101</v>
      </c>
      <c r="R6" s="84" t="str">
        <f t="shared" si="19"/>
        <v/>
      </c>
      <c r="S6" s="83" t="str">
        <f t="shared" si="20"/>
        <v/>
      </c>
      <c r="T6" s="84" t="str">
        <f t="shared" si="21"/>
        <v>M045573819390101</v>
      </c>
      <c r="U6" s="84" t="str">
        <f t="shared" si="22"/>
        <v/>
      </c>
      <c r="V6" s="85">
        <f>내역서업로드!E8</f>
        <v>5</v>
      </c>
      <c r="W6" s="86">
        <f t="shared" si="23"/>
        <v>0</v>
      </c>
      <c r="X6" s="86">
        <f t="shared" si="24"/>
        <v>0</v>
      </c>
      <c r="Y6" s="87">
        <f t="shared" si="25"/>
        <v>4</v>
      </c>
      <c r="Z6" s="87">
        <f t="shared" si="26"/>
        <v>1</v>
      </c>
      <c r="AA6" s="87">
        <f t="shared" si="27"/>
        <v>4</v>
      </c>
    </row>
    <row r="7" spans="1:27">
      <c r="I7" s="81" t="str">
        <f>IF(내역서업로드!A9&lt;&gt;"",내역서업로드!A9,"")</f>
        <v>E00000807041850105</v>
      </c>
      <c r="J7" s="81" t="str">
        <f t="shared" si="13"/>
        <v>E</v>
      </c>
      <c r="L7" s="82" t="str">
        <f t="shared" si="14"/>
        <v/>
      </c>
      <c r="M7" s="81" t="str">
        <f t="shared" si="15"/>
        <v>E00000807041850105</v>
      </c>
      <c r="N7" s="81" t="str">
        <f t="shared" si="16"/>
        <v/>
      </c>
      <c r="O7" s="81" t="str">
        <f t="shared" si="17"/>
        <v/>
      </c>
      <c r="Q7" s="83" t="str">
        <f t="shared" si="18"/>
        <v>E00000807041850105</v>
      </c>
      <c r="R7" s="84" t="str">
        <f t="shared" si="19"/>
        <v/>
      </c>
      <c r="S7" s="83" t="str">
        <f t="shared" si="20"/>
        <v>E00000807041850105</v>
      </c>
      <c r="T7" s="84" t="str">
        <f t="shared" si="21"/>
        <v/>
      </c>
      <c r="U7" s="84" t="str">
        <f t="shared" si="22"/>
        <v/>
      </c>
      <c r="V7" s="85">
        <f>내역서업로드!E9</f>
        <v>5</v>
      </c>
      <c r="W7" s="86">
        <f t="shared" si="23"/>
        <v>0</v>
      </c>
      <c r="X7" s="86">
        <f t="shared" si="24"/>
        <v>1</v>
      </c>
      <c r="Y7" s="87">
        <f t="shared" si="25"/>
        <v>4</v>
      </c>
      <c r="Z7" s="87">
        <f t="shared" si="26"/>
        <v>1</v>
      </c>
      <c r="AA7" s="87">
        <f t="shared" si="27"/>
        <v>4</v>
      </c>
    </row>
    <row r="8" spans="1:27">
      <c r="G8" s="68" t="s">
        <v>73</v>
      </c>
      <c r="I8" s="81" t="str">
        <f>IF(내역서업로드!A10&lt;&gt;"",내역서업로드!A10,"")</f>
        <v>M045573819330101</v>
      </c>
      <c r="J8" s="81" t="str">
        <f t="shared" si="13"/>
        <v>M</v>
      </c>
      <c r="L8" s="82" t="str">
        <f t="shared" si="14"/>
        <v/>
      </c>
      <c r="M8" s="81" t="str">
        <f t="shared" si="15"/>
        <v/>
      </c>
      <c r="N8" s="81" t="str">
        <f t="shared" si="16"/>
        <v>M045573819330101</v>
      </c>
      <c r="O8" s="81" t="str">
        <f t="shared" si="17"/>
        <v/>
      </c>
      <c r="Q8" s="83" t="str">
        <f t="shared" si="18"/>
        <v>M045573819330101</v>
      </c>
      <c r="R8" s="84" t="str">
        <f t="shared" si="19"/>
        <v/>
      </c>
      <c r="S8" s="83" t="str">
        <f t="shared" si="20"/>
        <v/>
      </c>
      <c r="T8" s="84" t="str">
        <f t="shared" si="21"/>
        <v>M045573819330101</v>
      </c>
      <c r="U8" s="84" t="str">
        <f t="shared" si="22"/>
        <v/>
      </c>
      <c r="V8" s="85">
        <f>내역서업로드!E10</f>
        <v>1</v>
      </c>
      <c r="W8" s="86">
        <f t="shared" si="23"/>
        <v>0</v>
      </c>
      <c r="X8" s="86">
        <f t="shared" si="24"/>
        <v>0</v>
      </c>
      <c r="Y8" s="87">
        <f t="shared" si="25"/>
        <v>4</v>
      </c>
      <c r="Z8" s="87">
        <f t="shared" si="26"/>
        <v>1</v>
      </c>
      <c r="AA8" s="87">
        <f t="shared" si="27"/>
        <v>4</v>
      </c>
    </row>
    <row r="9" spans="1:27">
      <c r="I9" s="81" t="str">
        <f>IF(내역서업로드!A11&lt;&gt;"",내역서업로드!A11,"")</f>
        <v>E00000807041850105</v>
      </c>
      <c r="J9" s="81" t="str">
        <f t="shared" si="13"/>
        <v>E</v>
      </c>
      <c r="L9" s="82" t="str">
        <f t="shared" si="14"/>
        <v/>
      </c>
      <c r="M9" s="81" t="str">
        <f t="shared" si="15"/>
        <v>E00000807041850105</v>
      </c>
      <c r="N9" s="81" t="str">
        <f t="shared" si="16"/>
        <v/>
      </c>
      <c r="O9" s="81" t="str">
        <f t="shared" si="17"/>
        <v/>
      </c>
      <c r="Q9" s="83" t="str">
        <f t="shared" si="18"/>
        <v>E00000807041850105</v>
      </c>
      <c r="R9" s="84" t="str">
        <f t="shared" si="19"/>
        <v/>
      </c>
      <c r="S9" s="83" t="str">
        <f t="shared" si="20"/>
        <v>E00000807041850105</v>
      </c>
      <c r="T9" s="84" t="str">
        <f t="shared" si="21"/>
        <v/>
      </c>
      <c r="U9" s="84" t="str">
        <f t="shared" si="22"/>
        <v/>
      </c>
      <c r="V9" s="85">
        <f>내역서업로드!E11</f>
        <v>1</v>
      </c>
      <c r="W9" s="86">
        <f t="shared" si="23"/>
        <v>0</v>
      </c>
      <c r="X9" s="86">
        <f t="shared" si="24"/>
        <v>1</v>
      </c>
      <c r="Y9" s="87">
        <f t="shared" si="25"/>
        <v>4</v>
      </c>
      <c r="Z9" s="87">
        <f t="shared" si="26"/>
        <v>1</v>
      </c>
      <c r="AA9" s="87">
        <f t="shared" si="27"/>
        <v>4</v>
      </c>
    </row>
    <row r="10" spans="1:27">
      <c r="I10" s="81" t="e">
        <f>IF(내역서업로드!#REF!&lt;&gt;"",내역서업로드!#REF!,"")</f>
        <v>#REF!</v>
      </c>
      <c r="J10" s="81" t="e">
        <f t="shared" si="13"/>
        <v>#REF!</v>
      </c>
      <c r="L10" s="82" t="e">
        <f t="shared" si="14"/>
        <v>#REF!</v>
      </c>
      <c r="M10" s="81" t="e">
        <f t="shared" si="15"/>
        <v>#REF!</v>
      </c>
      <c r="N10" s="81" t="e">
        <f t="shared" si="16"/>
        <v>#REF!</v>
      </c>
      <c r="O10" s="81" t="e">
        <f t="shared" si="17"/>
        <v>#REF!</v>
      </c>
      <c r="Q10" s="83" t="str">
        <f t="shared" si="18"/>
        <v/>
      </c>
      <c r="R10" s="84" t="e">
        <f t="shared" si="19"/>
        <v>#REF!</v>
      </c>
      <c r="S10" s="83" t="e">
        <f t="shared" si="20"/>
        <v>#REF!</v>
      </c>
      <c r="T10" s="84" t="e">
        <f t="shared" si="21"/>
        <v>#REF!</v>
      </c>
      <c r="U10" s="84" t="e">
        <f t="shared" si="22"/>
        <v>#REF!</v>
      </c>
      <c r="V10" s="85" t="e">
        <f>내역서업로드!#REF!</f>
        <v>#REF!</v>
      </c>
      <c r="W10" s="86">
        <f t="shared" si="23"/>
        <v>0</v>
      </c>
      <c r="X10" s="86">
        <f t="shared" si="24"/>
        <v>0</v>
      </c>
      <c r="Y10" s="87">
        <f t="shared" si="25"/>
        <v>0</v>
      </c>
      <c r="Z10" s="87">
        <f t="shared" si="26"/>
        <v>0</v>
      </c>
      <c r="AA10" s="87">
        <f t="shared" si="27"/>
        <v>4</v>
      </c>
    </row>
    <row r="11" spans="1:27">
      <c r="I11" s="81" t="str">
        <f>IF(내역서업로드!A12&lt;&gt;"",내역서업로드!A12,"")</f>
        <v/>
      </c>
      <c r="J11" s="81" t="str">
        <f t="shared" si="13"/>
        <v/>
      </c>
      <c r="L11" s="82" t="str">
        <f t="shared" si="14"/>
        <v/>
      </c>
      <c r="M11" s="81" t="str">
        <f t="shared" si="15"/>
        <v/>
      </c>
      <c r="N11" s="81" t="str">
        <f t="shared" si="16"/>
        <v/>
      </c>
      <c r="O11" s="81" t="str">
        <f t="shared" si="17"/>
        <v/>
      </c>
      <c r="Q11" s="83" t="str">
        <f t="shared" si="18"/>
        <v/>
      </c>
      <c r="R11" s="84" t="str">
        <f t="shared" si="19"/>
        <v/>
      </c>
      <c r="S11" s="83" t="str">
        <f t="shared" si="20"/>
        <v/>
      </c>
      <c r="T11" s="84" t="str">
        <f t="shared" si="21"/>
        <v/>
      </c>
      <c r="U11" s="84" t="str">
        <f t="shared" si="22"/>
        <v/>
      </c>
      <c r="V11" s="85">
        <f>내역서업로드!E12</f>
        <v>0</v>
      </c>
      <c r="W11" s="86">
        <f t="shared" si="23"/>
        <v>0</v>
      </c>
      <c r="X11" s="86">
        <f t="shared" si="24"/>
        <v>0</v>
      </c>
      <c r="Y11" s="87">
        <f t="shared" si="25"/>
        <v>4</v>
      </c>
      <c r="Z11" s="87">
        <f t="shared" si="26"/>
        <v>0</v>
      </c>
      <c r="AA11" s="87">
        <f t="shared" si="27"/>
        <v>4</v>
      </c>
    </row>
    <row r="12" spans="1:27">
      <c r="I12" s="81" t="str">
        <f>IF(내역서업로드!A13&lt;&gt;"",내역서업로드!A13,"")</f>
        <v/>
      </c>
      <c r="J12" s="81" t="str">
        <f t="shared" si="13"/>
        <v/>
      </c>
      <c r="L12" s="82" t="str">
        <f t="shared" si="14"/>
        <v/>
      </c>
      <c r="M12" s="81" t="str">
        <f t="shared" si="15"/>
        <v/>
      </c>
      <c r="N12" s="81" t="str">
        <f t="shared" si="16"/>
        <v/>
      </c>
      <c r="O12" s="81" t="str">
        <f t="shared" si="17"/>
        <v/>
      </c>
      <c r="Q12" s="83" t="str">
        <f t="shared" si="18"/>
        <v/>
      </c>
      <c r="R12" s="84" t="str">
        <f t="shared" si="19"/>
        <v/>
      </c>
      <c r="S12" s="83" t="str">
        <f t="shared" si="20"/>
        <v/>
      </c>
      <c r="T12" s="84" t="str">
        <f t="shared" si="21"/>
        <v/>
      </c>
      <c r="U12" s="84" t="str">
        <f t="shared" si="22"/>
        <v/>
      </c>
      <c r="V12" s="85">
        <f>내역서업로드!E13</f>
        <v>0</v>
      </c>
      <c r="W12" s="86">
        <f t="shared" si="23"/>
        <v>0</v>
      </c>
      <c r="X12" s="86">
        <f t="shared" si="24"/>
        <v>0</v>
      </c>
      <c r="Y12" s="87">
        <f t="shared" si="25"/>
        <v>4</v>
      </c>
      <c r="Z12" s="87">
        <f t="shared" si="26"/>
        <v>0</v>
      </c>
      <c r="AA12" s="87">
        <f t="shared" si="27"/>
        <v>4</v>
      </c>
    </row>
    <row r="13" spans="1:27">
      <c r="I13" s="81" t="str">
        <f>IF(내역서업로드!A14&lt;&gt;"",내역서업로드!A14,"")</f>
        <v/>
      </c>
      <c r="J13" s="81" t="str">
        <f t="shared" si="13"/>
        <v/>
      </c>
      <c r="L13" s="82" t="str">
        <f t="shared" si="14"/>
        <v/>
      </c>
      <c r="M13" s="81" t="str">
        <f t="shared" si="15"/>
        <v/>
      </c>
      <c r="N13" s="81" t="str">
        <f t="shared" si="16"/>
        <v/>
      </c>
      <c r="O13" s="81" t="str">
        <f t="shared" si="17"/>
        <v/>
      </c>
      <c r="Q13" s="83" t="str">
        <f t="shared" si="18"/>
        <v/>
      </c>
      <c r="R13" s="84" t="str">
        <f t="shared" si="19"/>
        <v/>
      </c>
      <c r="S13" s="83" t="str">
        <f t="shared" si="20"/>
        <v/>
      </c>
      <c r="T13" s="84" t="str">
        <f t="shared" si="21"/>
        <v/>
      </c>
      <c r="U13" s="84" t="str">
        <f t="shared" si="22"/>
        <v/>
      </c>
      <c r="V13" s="85">
        <f>내역서업로드!E14</f>
        <v>0</v>
      </c>
      <c r="W13" s="86">
        <f t="shared" si="23"/>
        <v>0</v>
      </c>
      <c r="X13" s="86">
        <f t="shared" si="24"/>
        <v>0</v>
      </c>
      <c r="Y13" s="87">
        <f t="shared" si="25"/>
        <v>4</v>
      </c>
      <c r="Z13" s="87">
        <f t="shared" si="26"/>
        <v>0</v>
      </c>
      <c r="AA13" s="87">
        <f t="shared" si="27"/>
        <v>4</v>
      </c>
    </row>
    <row r="14" spans="1:27">
      <c r="I14" s="81" t="str">
        <f>IF(내역서업로드!A15&lt;&gt;"",내역서업로드!A15,"")</f>
        <v/>
      </c>
      <c r="J14" s="81" t="str">
        <f t="shared" si="13"/>
        <v/>
      </c>
      <c r="L14" s="82" t="str">
        <f t="shared" si="14"/>
        <v/>
      </c>
      <c r="M14" s="81" t="str">
        <f t="shared" si="15"/>
        <v/>
      </c>
      <c r="N14" s="81" t="str">
        <f t="shared" si="16"/>
        <v/>
      </c>
      <c r="O14" s="81" t="str">
        <f t="shared" si="17"/>
        <v/>
      </c>
      <c r="Q14" s="83" t="str">
        <f t="shared" si="18"/>
        <v/>
      </c>
      <c r="R14" s="84" t="str">
        <f t="shared" si="19"/>
        <v/>
      </c>
      <c r="S14" s="83" t="str">
        <f t="shared" si="20"/>
        <v/>
      </c>
      <c r="T14" s="84" t="str">
        <f t="shared" si="21"/>
        <v/>
      </c>
      <c r="U14" s="84" t="str">
        <f t="shared" si="22"/>
        <v/>
      </c>
      <c r="V14" s="85">
        <f>내역서업로드!E15</f>
        <v>0</v>
      </c>
      <c r="W14" s="86">
        <f t="shared" si="23"/>
        <v>0</v>
      </c>
      <c r="X14" s="86">
        <f t="shared" si="24"/>
        <v>0</v>
      </c>
      <c r="Y14" s="87">
        <f t="shared" si="25"/>
        <v>4</v>
      </c>
      <c r="Z14" s="87">
        <f t="shared" si="26"/>
        <v>0</v>
      </c>
      <c r="AA14" s="87">
        <f t="shared" si="27"/>
        <v>4</v>
      </c>
    </row>
    <row r="15" spans="1:27">
      <c r="I15" s="81" t="str">
        <f>IF(내역서업로드!A16&lt;&gt;"",내역서업로드!A16,"")</f>
        <v/>
      </c>
      <c r="J15" s="81" t="str">
        <f t="shared" si="13"/>
        <v/>
      </c>
      <c r="L15" s="82" t="str">
        <f t="shared" si="14"/>
        <v/>
      </c>
      <c r="M15" s="81" t="str">
        <f t="shared" si="15"/>
        <v/>
      </c>
      <c r="N15" s="81" t="str">
        <f t="shared" si="16"/>
        <v/>
      </c>
      <c r="O15" s="81" t="str">
        <f t="shared" si="17"/>
        <v/>
      </c>
      <c r="Q15" s="83" t="str">
        <f t="shared" si="18"/>
        <v/>
      </c>
      <c r="R15" s="84" t="str">
        <f t="shared" si="19"/>
        <v/>
      </c>
      <c r="S15" s="83" t="str">
        <f t="shared" si="20"/>
        <v/>
      </c>
      <c r="T15" s="84" t="str">
        <f t="shared" si="21"/>
        <v/>
      </c>
      <c r="U15" s="84" t="str">
        <f t="shared" si="22"/>
        <v/>
      </c>
      <c r="V15" s="85">
        <f>내역서업로드!E16</f>
        <v>0</v>
      </c>
      <c r="W15" s="86">
        <f t="shared" si="23"/>
        <v>0</v>
      </c>
      <c r="X15" s="86">
        <f t="shared" si="24"/>
        <v>0</v>
      </c>
      <c r="Y15" s="87">
        <f t="shared" si="25"/>
        <v>4</v>
      </c>
      <c r="Z15" s="87">
        <f t="shared" si="26"/>
        <v>0</v>
      </c>
      <c r="AA15" s="87">
        <f t="shared" si="27"/>
        <v>4</v>
      </c>
    </row>
    <row r="16" spans="1:27">
      <c r="I16" s="81" t="str">
        <f>IF(내역서업로드!A17&lt;&gt;"",내역서업로드!A17,"")</f>
        <v/>
      </c>
      <c r="J16" s="81" t="str">
        <f t="shared" si="13"/>
        <v/>
      </c>
      <c r="L16" s="82" t="str">
        <f t="shared" si="14"/>
        <v/>
      </c>
      <c r="M16" s="81" t="str">
        <f t="shared" si="15"/>
        <v/>
      </c>
      <c r="N16" s="81" t="str">
        <f t="shared" si="16"/>
        <v/>
      </c>
      <c r="O16" s="81" t="str">
        <f t="shared" si="17"/>
        <v/>
      </c>
      <c r="Q16" s="83" t="str">
        <f t="shared" si="18"/>
        <v/>
      </c>
      <c r="R16" s="84" t="str">
        <f t="shared" si="19"/>
        <v/>
      </c>
      <c r="S16" s="83" t="str">
        <f t="shared" si="20"/>
        <v/>
      </c>
      <c r="T16" s="84" t="str">
        <f t="shared" si="21"/>
        <v/>
      </c>
      <c r="U16" s="84" t="str">
        <f t="shared" si="22"/>
        <v/>
      </c>
      <c r="V16" s="85">
        <f>내역서업로드!E17</f>
        <v>0</v>
      </c>
      <c r="W16" s="86">
        <f t="shared" si="23"/>
        <v>0</v>
      </c>
      <c r="X16" s="86">
        <f t="shared" si="24"/>
        <v>0</v>
      </c>
      <c r="Y16" s="87">
        <f t="shared" si="25"/>
        <v>4</v>
      </c>
      <c r="Z16" s="87">
        <f t="shared" si="26"/>
        <v>0</v>
      </c>
      <c r="AA16" s="87">
        <f t="shared" si="27"/>
        <v>4</v>
      </c>
    </row>
    <row r="17" spans="9:27">
      <c r="I17" s="81" t="str">
        <f>IF(내역서업로드!A18&lt;&gt;"",내역서업로드!A18,"")</f>
        <v/>
      </c>
      <c r="J17" s="81" t="str">
        <f t="shared" si="13"/>
        <v/>
      </c>
      <c r="L17" s="82" t="str">
        <f t="shared" si="14"/>
        <v/>
      </c>
      <c r="M17" s="81" t="str">
        <f t="shared" si="15"/>
        <v/>
      </c>
      <c r="N17" s="81" t="str">
        <f t="shared" si="16"/>
        <v/>
      </c>
      <c r="O17" s="81" t="str">
        <f t="shared" si="17"/>
        <v/>
      </c>
      <c r="Q17" s="83" t="str">
        <f t="shared" si="18"/>
        <v/>
      </c>
      <c r="R17" s="84" t="str">
        <f t="shared" si="19"/>
        <v/>
      </c>
      <c r="S17" s="83" t="str">
        <f t="shared" si="20"/>
        <v/>
      </c>
      <c r="T17" s="84" t="str">
        <f t="shared" si="21"/>
        <v/>
      </c>
      <c r="U17" s="84" t="str">
        <f t="shared" si="22"/>
        <v/>
      </c>
      <c r="V17" s="85">
        <f>내역서업로드!E18</f>
        <v>0</v>
      </c>
      <c r="W17" s="86">
        <f t="shared" si="23"/>
        <v>0</v>
      </c>
      <c r="X17" s="86">
        <f t="shared" si="24"/>
        <v>0</v>
      </c>
      <c r="Y17" s="87">
        <f t="shared" si="25"/>
        <v>4</v>
      </c>
      <c r="Z17" s="87">
        <f t="shared" si="26"/>
        <v>0</v>
      </c>
      <c r="AA17" s="87">
        <f t="shared" si="27"/>
        <v>4</v>
      </c>
    </row>
    <row r="18" spans="9:27">
      <c r="I18" s="81" t="str">
        <f>IF(내역서업로드!A19&lt;&gt;"",내역서업로드!A19,"")</f>
        <v/>
      </c>
      <c r="J18" s="81" t="str">
        <f t="shared" si="13"/>
        <v/>
      </c>
      <c r="L18" s="82" t="str">
        <f t="shared" si="14"/>
        <v/>
      </c>
      <c r="M18" s="81" t="str">
        <f t="shared" si="15"/>
        <v/>
      </c>
      <c r="N18" s="81" t="str">
        <f t="shared" si="16"/>
        <v/>
      </c>
      <c r="O18" s="81" t="str">
        <f t="shared" si="17"/>
        <v/>
      </c>
      <c r="Q18" s="83" t="str">
        <f t="shared" si="18"/>
        <v/>
      </c>
      <c r="R18" s="84" t="str">
        <f t="shared" si="19"/>
        <v/>
      </c>
      <c r="S18" s="83" t="str">
        <f t="shared" si="20"/>
        <v/>
      </c>
      <c r="T18" s="84" t="str">
        <f t="shared" si="21"/>
        <v/>
      </c>
      <c r="U18" s="84" t="str">
        <f t="shared" si="22"/>
        <v/>
      </c>
      <c r="V18" s="85">
        <f>내역서업로드!E19</f>
        <v>0</v>
      </c>
      <c r="W18" s="86">
        <f t="shared" si="23"/>
        <v>0</v>
      </c>
      <c r="X18" s="86">
        <f t="shared" si="24"/>
        <v>0</v>
      </c>
      <c r="Y18" s="87">
        <f t="shared" si="25"/>
        <v>4</v>
      </c>
      <c r="Z18" s="87">
        <f t="shared" si="26"/>
        <v>0</v>
      </c>
      <c r="AA18" s="87">
        <f t="shared" si="27"/>
        <v>4</v>
      </c>
    </row>
    <row r="19" spans="9:27">
      <c r="I19" s="81" t="str">
        <f>IF(내역서업로드!A20&lt;&gt;"",내역서업로드!A20,"")</f>
        <v/>
      </c>
      <c r="J19" s="81" t="str">
        <f t="shared" si="13"/>
        <v/>
      </c>
      <c r="L19" s="82" t="str">
        <f t="shared" si="14"/>
        <v/>
      </c>
      <c r="M19" s="81" t="str">
        <f t="shared" si="15"/>
        <v/>
      </c>
      <c r="N19" s="81" t="str">
        <f t="shared" si="16"/>
        <v/>
      </c>
      <c r="O19" s="81" t="str">
        <f t="shared" si="17"/>
        <v/>
      </c>
      <c r="Q19" s="83" t="str">
        <f t="shared" si="18"/>
        <v/>
      </c>
      <c r="R19" s="84" t="str">
        <f t="shared" si="19"/>
        <v/>
      </c>
      <c r="S19" s="83" t="str">
        <f t="shared" si="20"/>
        <v/>
      </c>
      <c r="T19" s="84" t="str">
        <f t="shared" si="21"/>
        <v/>
      </c>
      <c r="U19" s="84" t="str">
        <f t="shared" si="22"/>
        <v/>
      </c>
      <c r="V19" s="85">
        <f>내역서업로드!E20</f>
        <v>0</v>
      </c>
      <c r="W19" s="86">
        <f t="shared" si="23"/>
        <v>0</v>
      </c>
      <c r="X19" s="86">
        <f t="shared" si="24"/>
        <v>0</v>
      </c>
      <c r="Y19" s="87">
        <f t="shared" si="25"/>
        <v>4</v>
      </c>
      <c r="Z19" s="87">
        <f t="shared" si="26"/>
        <v>0</v>
      </c>
      <c r="AA19" s="87">
        <f t="shared" si="27"/>
        <v>4</v>
      </c>
    </row>
    <row r="20" spans="9:27">
      <c r="I20" s="81" t="str">
        <f>IF(내역서업로드!A21&lt;&gt;"",내역서업로드!A21,"")</f>
        <v/>
      </c>
      <c r="J20" s="81" t="str">
        <f t="shared" si="13"/>
        <v/>
      </c>
      <c r="L20" s="82" t="str">
        <f t="shared" si="14"/>
        <v/>
      </c>
      <c r="M20" s="81" t="str">
        <f t="shared" si="15"/>
        <v/>
      </c>
      <c r="N20" s="81" t="str">
        <f t="shared" si="16"/>
        <v/>
      </c>
      <c r="O20" s="81" t="str">
        <f t="shared" si="17"/>
        <v/>
      </c>
      <c r="Q20" s="83" t="str">
        <f t="shared" si="18"/>
        <v/>
      </c>
      <c r="R20" s="84" t="str">
        <f t="shared" si="19"/>
        <v/>
      </c>
      <c r="S20" s="83" t="str">
        <f t="shared" si="20"/>
        <v/>
      </c>
      <c r="T20" s="84" t="str">
        <f t="shared" si="21"/>
        <v/>
      </c>
      <c r="U20" s="84" t="str">
        <f t="shared" si="22"/>
        <v/>
      </c>
      <c r="V20" s="85">
        <f>내역서업로드!E21</f>
        <v>0</v>
      </c>
      <c r="W20" s="86">
        <f t="shared" si="23"/>
        <v>0</v>
      </c>
      <c r="X20" s="86">
        <f t="shared" si="24"/>
        <v>0</v>
      </c>
      <c r="Y20" s="87">
        <f t="shared" si="25"/>
        <v>4</v>
      </c>
      <c r="Z20" s="87">
        <f t="shared" si="26"/>
        <v>0</v>
      </c>
      <c r="AA20" s="87">
        <f t="shared" si="27"/>
        <v>4</v>
      </c>
    </row>
    <row r="21" spans="9:27">
      <c r="I21" s="81" t="str">
        <f>IF(내역서업로드!A22&lt;&gt;"",내역서업로드!A22,"")</f>
        <v/>
      </c>
      <c r="J21" s="81" t="str">
        <f t="shared" si="13"/>
        <v/>
      </c>
      <c r="L21" s="82" t="str">
        <f t="shared" si="14"/>
        <v/>
      </c>
      <c r="M21" s="81" t="str">
        <f t="shared" si="15"/>
        <v/>
      </c>
      <c r="N21" s="81" t="str">
        <f t="shared" si="16"/>
        <v/>
      </c>
      <c r="O21" s="81" t="str">
        <f t="shared" si="17"/>
        <v/>
      </c>
      <c r="Q21" s="83" t="str">
        <f t="shared" si="18"/>
        <v/>
      </c>
      <c r="R21" s="84" t="str">
        <f t="shared" si="19"/>
        <v/>
      </c>
      <c r="S21" s="83" t="str">
        <f t="shared" si="20"/>
        <v/>
      </c>
      <c r="T21" s="84" t="str">
        <f t="shared" si="21"/>
        <v/>
      </c>
      <c r="U21" s="84" t="str">
        <f t="shared" si="22"/>
        <v/>
      </c>
      <c r="V21" s="85">
        <f>내역서업로드!E22</f>
        <v>0</v>
      </c>
      <c r="W21" s="86">
        <f t="shared" si="23"/>
        <v>0</v>
      </c>
      <c r="X21" s="86">
        <f t="shared" si="24"/>
        <v>0</v>
      </c>
      <c r="Y21" s="87">
        <f t="shared" si="25"/>
        <v>4</v>
      </c>
      <c r="Z21" s="87">
        <f t="shared" si="26"/>
        <v>0</v>
      </c>
      <c r="AA21" s="87">
        <f t="shared" si="27"/>
        <v>4</v>
      </c>
    </row>
    <row r="22" spans="9:27">
      <c r="I22" s="81" t="str">
        <f>IF(내역서업로드!A23&lt;&gt;"",내역서업로드!A23,"")</f>
        <v/>
      </c>
      <c r="J22" s="81" t="str">
        <f t="shared" si="13"/>
        <v/>
      </c>
      <c r="L22" s="82" t="str">
        <f t="shared" si="14"/>
        <v/>
      </c>
      <c r="M22" s="81" t="str">
        <f t="shared" si="15"/>
        <v/>
      </c>
      <c r="N22" s="81" t="str">
        <f t="shared" si="16"/>
        <v/>
      </c>
      <c r="O22" s="81" t="str">
        <f t="shared" si="17"/>
        <v/>
      </c>
      <c r="Q22" s="83" t="str">
        <f t="shared" si="18"/>
        <v/>
      </c>
      <c r="R22" s="84" t="str">
        <f t="shared" si="19"/>
        <v/>
      </c>
      <c r="S22" s="83" t="str">
        <f t="shared" si="20"/>
        <v/>
      </c>
      <c r="T22" s="84" t="str">
        <f t="shared" si="21"/>
        <v/>
      </c>
      <c r="U22" s="84" t="str">
        <f t="shared" si="22"/>
        <v/>
      </c>
      <c r="V22" s="85">
        <f>내역서업로드!E23</f>
        <v>0</v>
      </c>
      <c r="W22" s="86">
        <f t="shared" si="23"/>
        <v>0</v>
      </c>
      <c r="X22" s="86">
        <f t="shared" si="24"/>
        <v>0</v>
      </c>
      <c r="Y22" s="87">
        <f t="shared" si="25"/>
        <v>4</v>
      </c>
      <c r="Z22" s="87">
        <f t="shared" si="26"/>
        <v>0</v>
      </c>
      <c r="AA22" s="87">
        <f t="shared" si="27"/>
        <v>4</v>
      </c>
    </row>
    <row r="23" spans="9:27">
      <c r="I23" s="81" t="str">
        <f>IF(내역서업로드!A24&lt;&gt;"",내역서업로드!A24,"")</f>
        <v/>
      </c>
      <c r="J23" s="81" t="str">
        <f t="shared" si="13"/>
        <v/>
      </c>
      <c r="L23" s="82" t="str">
        <f t="shared" si="14"/>
        <v/>
      </c>
      <c r="M23" s="81" t="str">
        <f t="shared" si="15"/>
        <v/>
      </c>
      <c r="N23" s="81" t="str">
        <f t="shared" si="16"/>
        <v/>
      </c>
      <c r="O23" s="81" t="str">
        <f t="shared" si="17"/>
        <v/>
      </c>
      <c r="Q23" s="83" t="str">
        <f t="shared" si="18"/>
        <v/>
      </c>
      <c r="R23" s="84" t="str">
        <f t="shared" si="19"/>
        <v/>
      </c>
      <c r="S23" s="83" t="str">
        <f t="shared" si="20"/>
        <v/>
      </c>
      <c r="T23" s="84" t="str">
        <f t="shared" si="21"/>
        <v/>
      </c>
      <c r="U23" s="84" t="str">
        <f t="shared" si="22"/>
        <v/>
      </c>
      <c r="V23" s="85">
        <f>내역서업로드!E24</f>
        <v>0</v>
      </c>
      <c r="W23" s="86">
        <f t="shared" si="23"/>
        <v>0</v>
      </c>
      <c r="X23" s="86">
        <f t="shared" si="24"/>
        <v>0</v>
      </c>
      <c r="Y23" s="87">
        <f t="shared" si="25"/>
        <v>4</v>
      </c>
      <c r="Z23" s="87">
        <f t="shared" si="26"/>
        <v>0</v>
      </c>
      <c r="AA23" s="87">
        <f t="shared" si="27"/>
        <v>4</v>
      </c>
    </row>
    <row r="24" spans="9:27">
      <c r="I24" s="81" t="str">
        <f>IF(내역서업로드!A25&lt;&gt;"",내역서업로드!A25,"")</f>
        <v/>
      </c>
      <c r="J24" s="81" t="str">
        <f t="shared" si="13"/>
        <v/>
      </c>
      <c r="L24" s="82" t="str">
        <f t="shared" si="14"/>
        <v/>
      </c>
      <c r="M24" s="81" t="str">
        <f t="shared" si="15"/>
        <v/>
      </c>
      <c r="N24" s="81" t="str">
        <f t="shared" si="16"/>
        <v/>
      </c>
      <c r="O24" s="81" t="str">
        <f t="shared" si="17"/>
        <v/>
      </c>
      <c r="Q24" s="83" t="str">
        <f t="shared" si="18"/>
        <v/>
      </c>
      <c r="R24" s="84" t="str">
        <f t="shared" si="19"/>
        <v/>
      </c>
      <c r="S24" s="83" t="str">
        <f t="shared" si="20"/>
        <v/>
      </c>
      <c r="T24" s="84" t="str">
        <f t="shared" si="21"/>
        <v/>
      </c>
      <c r="U24" s="84" t="str">
        <f t="shared" si="22"/>
        <v/>
      </c>
      <c r="V24" s="85">
        <f>내역서업로드!E25</f>
        <v>0</v>
      </c>
      <c r="W24" s="86">
        <f t="shared" si="23"/>
        <v>0</v>
      </c>
      <c r="X24" s="86">
        <f t="shared" si="24"/>
        <v>0</v>
      </c>
      <c r="Y24" s="87">
        <f t="shared" si="25"/>
        <v>4</v>
      </c>
      <c r="Z24" s="87">
        <f t="shared" si="26"/>
        <v>0</v>
      </c>
      <c r="AA24" s="87">
        <f t="shared" si="27"/>
        <v>4</v>
      </c>
    </row>
    <row r="25" spans="9:27">
      <c r="I25" s="81" t="str">
        <f>IF(내역서업로드!A26&lt;&gt;"",내역서업로드!A26,"")</f>
        <v/>
      </c>
      <c r="J25" s="81" t="str">
        <f t="shared" si="13"/>
        <v/>
      </c>
      <c r="L25" s="82" t="str">
        <f t="shared" si="14"/>
        <v/>
      </c>
      <c r="M25" s="81" t="str">
        <f t="shared" si="15"/>
        <v/>
      </c>
      <c r="N25" s="81" t="str">
        <f t="shared" si="16"/>
        <v/>
      </c>
      <c r="O25" s="81" t="str">
        <f t="shared" si="17"/>
        <v/>
      </c>
      <c r="Q25" s="83" t="str">
        <f t="shared" si="18"/>
        <v/>
      </c>
      <c r="R25" s="84" t="str">
        <f t="shared" si="19"/>
        <v/>
      </c>
      <c r="S25" s="83" t="str">
        <f t="shared" si="20"/>
        <v/>
      </c>
      <c r="T25" s="84" t="str">
        <f t="shared" si="21"/>
        <v/>
      </c>
      <c r="U25" s="84" t="str">
        <f t="shared" si="22"/>
        <v/>
      </c>
      <c r="V25" s="85">
        <f>내역서업로드!E26</f>
        <v>0</v>
      </c>
      <c r="W25" s="86">
        <f t="shared" si="23"/>
        <v>0</v>
      </c>
      <c r="X25" s="86">
        <f t="shared" si="24"/>
        <v>0</v>
      </c>
      <c r="Y25" s="87">
        <f t="shared" si="25"/>
        <v>4</v>
      </c>
      <c r="Z25" s="87">
        <f t="shared" si="26"/>
        <v>0</v>
      </c>
      <c r="AA25" s="87">
        <f t="shared" si="27"/>
        <v>4</v>
      </c>
    </row>
    <row r="26" spans="9:27">
      <c r="I26" s="81" t="str">
        <f>IF(내역서업로드!A27&lt;&gt;"",내역서업로드!A27,"")</f>
        <v/>
      </c>
      <c r="J26" s="81" t="str">
        <f t="shared" si="13"/>
        <v/>
      </c>
      <c r="L26" s="82" t="str">
        <f t="shared" si="14"/>
        <v/>
      </c>
      <c r="M26" s="81" t="str">
        <f t="shared" si="15"/>
        <v/>
      </c>
      <c r="N26" s="81" t="str">
        <f t="shared" si="16"/>
        <v/>
      </c>
      <c r="O26" s="81" t="str">
        <f t="shared" si="17"/>
        <v/>
      </c>
      <c r="Q26" s="83" t="str">
        <f t="shared" si="18"/>
        <v/>
      </c>
      <c r="R26" s="84" t="str">
        <f t="shared" si="19"/>
        <v/>
      </c>
      <c r="S26" s="83" t="str">
        <f t="shared" si="20"/>
        <v/>
      </c>
      <c r="T26" s="84" t="str">
        <f t="shared" si="21"/>
        <v/>
      </c>
      <c r="U26" s="84" t="str">
        <f t="shared" si="22"/>
        <v/>
      </c>
      <c r="V26" s="85">
        <f>내역서업로드!E27</f>
        <v>0</v>
      </c>
      <c r="W26" s="86">
        <f t="shared" si="23"/>
        <v>0</v>
      </c>
      <c r="X26" s="86">
        <f t="shared" si="24"/>
        <v>0</v>
      </c>
      <c r="Y26" s="87">
        <f t="shared" si="25"/>
        <v>4</v>
      </c>
      <c r="Z26" s="87">
        <f t="shared" si="26"/>
        <v>0</v>
      </c>
      <c r="AA26" s="87">
        <f t="shared" si="27"/>
        <v>4</v>
      </c>
    </row>
    <row r="27" spans="9:27">
      <c r="I27" s="81" t="str">
        <f>IF(내역서업로드!A28&lt;&gt;"",내역서업로드!A28,"")</f>
        <v/>
      </c>
      <c r="J27" s="81" t="str">
        <f t="shared" si="13"/>
        <v/>
      </c>
      <c r="L27" s="82" t="str">
        <f t="shared" si="14"/>
        <v/>
      </c>
      <c r="M27" s="81" t="str">
        <f t="shared" si="15"/>
        <v/>
      </c>
      <c r="N27" s="81" t="str">
        <f t="shared" si="16"/>
        <v/>
      </c>
      <c r="O27" s="81" t="str">
        <f t="shared" si="17"/>
        <v/>
      </c>
      <c r="Q27" s="83" t="str">
        <f t="shared" si="18"/>
        <v/>
      </c>
      <c r="R27" s="84" t="str">
        <f t="shared" si="19"/>
        <v/>
      </c>
      <c r="S27" s="83" t="str">
        <f t="shared" si="20"/>
        <v/>
      </c>
      <c r="T27" s="84" t="str">
        <f t="shared" si="21"/>
        <v/>
      </c>
      <c r="U27" s="84" t="str">
        <f t="shared" si="22"/>
        <v/>
      </c>
      <c r="V27" s="85">
        <f>내역서업로드!E28</f>
        <v>0</v>
      </c>
      <c r="W27" s="86">
        <f t="shared" si="23"/>
        <v>0</v>
      </c>
      <c r="X27" s="86">
        <f t="shared" si="24"/>
        <v>0</v>
      </c>
      <c r="Y27" s="87">
        <f t="shared" si="25"/>
        <v>4</v>
      </c>
      <c r="Z27" s="87">
        <f t="shared" si="26"/>
        <v>0</v>
      </c>
      <c r="AA27" s="87">
        <f t="shared" si="27"/>
        <v>4</v>
      </c>
    </row>
    <row r="28" spans="9:27">
      <c r="I28" s="81" t="str">
        <f>IF(내역서업로드!A29&lt;&gt;"",내역서업로드!A29,"")</f>
        <v/>
      </c>
      <c r="J28" s="81" t="str">
        <f t="shared" si="13"/>
        <v/>
      </c>
      <c r="L28" s="82" t="str">
        <f t="shared" si="14"/>
        <v/>
      </c>
      <c r="M28" s="81" t="str">
        <f t="shared" si="15"/>
        <v/>
      </c>
      <c r="N28" s="81" t="str">
        <f t="shared" si="16"/>
        <v/>
      </c>
      <c r="O28" s="81" t="str">
        <f t="shared" si="17"/>
        <v/>
      </c>
      <c r="Q28" s="83" t="str">
        <f t="shared" si="18"/>
        <v/>
      </c>
      <c r="R28" s="84" t="str">
        <f t="shared" si="19"/>
        <v/>
      </c>
      <c r="S28" s="83" t="str">
        <f t="shared" si="20"/>
        <v/>
      </c>
      <c r="T28" s="84" t="str">
        <f t="shared" si="21"/>
        <v/>
      </c>
      <c r="U28" s="84" t="str">
        <f t="shared" si="22"/>
        <v/>
      </c>
      <c r="V28" s="85">
        <f>내역서업로드!E29</f>
        <v>0</v>
      </c>
      <c r="W28" s="86">
        <f t="shared" si="23"/>
        <v>0</v>
      </c>
      <c r="X28" s="86">
        <f t="shared" si="24"/>
        <v>0</v>
      </c>
      <c r="Y28" s="87">
        <f t="shared" si="25"/>
        <v>4</v>
      </c>
      <c r="Z28" s="87">
        <f t="shared" si="26"/>
        <v>0</v>
      </c>
      <c r="AA28" s="87">
        <f t="shared" si="27"/>
        <v>4</v>
      </c>
    </row>
    <row r="29" spans="9:27">
      <c r="I29" s="81" t="str">
        <f>IF(내역서업로드!A30&lt;&gt;"",내역서업로드!A30,"")</f>
        <v/>
      </c>
      <c r="J29" s="81" t="str">
        <f t="shared" si="13"/>
        <v/>
      </c>
      <c r="L29" s="82" t="str">
        <f t="shared" si="14"/>
        <v/>
      </c>
      <c r="M29" s="81" t="str">
        <f t="shared" si="15"/>
        <v/>
      </c>
      <c r="N29" s="81" t="str">
        <f t="shared" si="16"/>
        <v/>
      </c>
      <c r="O29" s="81" t="str">
        <f t="shared" si="17"/>
        <v/>
      </c>
      <c r="Q29" s="83" t="str">
        <f t="shared" si="18"/>
        <v/>
      </c>
      <c r="R29" s="84" t="str">
        <f t="shared" si="19"/>
        <v/>
      </c>
      <c r="S29" s="83" t="str">
        <f t="shared" si="20"/>
        <v/>
      </c>
      <c r="T29" s="84" t="str">
        <f t="shared" si="21"/>
        <v/>
      </c>
      <c r="U29" s="84" t="str">
        <f t="shared" si="22"/>
        <v/>
      </c>
      <c r="V29" s="85">
        <f>내역서업로드!E30</f>
        <v>0</v>
      </c>
      <c r="W29" s="86">
        <f t="shared" si="23"/>
        <v>0</v>
      </c>
      <c r="X29" s="86">
        <f t="shared" si="24"/>
        <v>0</v>
      </c>
      <c r="Y29" s="87">
        <f t="shared" si="25"/>
        <v>4</v>
      </c>
      <c r="Z29" s="87">
        <f t="shared" si="26"/>
        <v>0</v>
      </c>
      <c r="AA29" s="87">
        <f t="shared" si="27"/>
        <v>4</v>
      </c>
    </row>
    <row r="30" spans="9:27">
      <c r="I30" s="81" t="str">
        <f>IF(내역서업로드!A31&lt;&gt;"",내역서업로드!A31,"")</f>
        <v/>
      </c>
      <c r="J30" s="81" t="str">
        <f t="shared" si="13"/>
        <v/>
      </c>
      <c r="L30" s="82" t="str">
        <f t="shared" si="14"/>
        <v/>
      </c>
      <c r="M30" s="81" t="str">
        <f t="shared" si="15"/>
        <v/>
      </c>
      <c r="N30" s="81" t="str">
        <f t="shared" si="16"/>
        <v/>
      </c>
      <c r="O30" s="81" t="str">
        <f t="shared" si="17"/>
        <v/>
      </c>
      <c r="Q30" s="83" t="str">
        <f t="shared" si="18"/>
        <v/>
      </c>
      <c r="R30" s="84" t="str">
        <f t="shared" si="19"/>
        <v/>
      </c>
      <c r="S30" s="83" t="str">
        <f t="shared" si="20"/>
        <v/>
      </c>
      <c r="T30" s="84" t="str">
        <f t="shared" si="21"/>
        <v/>
      </c>
      <c r="U30" s="84" t="str">
        <f t="shared" si="22"/>
        <v/>
      </c>
      <c r="V30" s="85">
        <f>내역서업로드!E31</f>
        <v>0</v>
      </c>
      <c r="W30" s="86">
        <f t="shared" si="23"/>
        <v>0</v>
      </c>
      <c r="X30" s="86">
        <f t="shared" si="24"/>
        <v>0</v>
      </c>
      <c r="Y30" s="87">
        <f t="shared" si="25"/>
        <v>4</v>
      </c>
      <c r="Z30" s="87">
        <f t="shared" si="26"/>
        <v>0</v>
      </c>
      <c r="AA30" s="87">
        <f t="shared" si="27"/>
        <v>4</v>
      </c>
    </row>
    <row r="31" spans="9:27">
      <c r="I31" s="81" t="str">
        <f>IF(내역서업로드!A32&lt;&gt;"",내역서업로드!A32,"")</f>
        <v/>
      </c>
      <c r="J31" s="81" t="str">
        <f t="shared" si="13"/>
        <v/>
      </c>
      <c r="L31" s="82" t="str">
        <f t="shared" si="14"/>
        <v/>
      </c>
      <c r="M31" s="81" t="str">
        <f t="shared" si="15"/>
        <v/>
      </c>
      <c r="N31" s="81" t="str">
        <f t="shared" si="16"/>
        <v/>
      </c>
      <c r="O31" s="81" t="str">
        <f t="shared" si="17"/>
        <v/>
      </c>
      <c r="Q31" s="83" t="str">
        <f t="shared" si="18"/>
        <v/>
      </c>
      <c r="R31" s="84" t="str">
        <f t="shared" si="19"/>
        <v/>
      </c>
      <c r="S31" s="83" t="str">
        <f t="shared" si="20"/>
        <v/>
      </c>
      <c r="T31" s="84" t="str">
        <f t="shared" si="21"/>
        <v/>
      </c>
      <c r="U31" s="84" t="str">
        <f t="shared" si="22"/>
        <v/>
      </c>
      <c r="V31" s="85">
        <f>내역서업로드!E32</f>
        <v>0</v>
      </c>
      <c r="W31" s="86">
        <f t="shared" si="23"/>
        <v>0</v>
      </c>
      <c r="X31" s="86">
        <f t="shared" si="24"/>
        <v>0</v>
      </c>
      <c r="Y31" s="87">
        <f t="shared" si="25"/>
        <v>4</v>
      </c>
      <c r="Z31" s="87">
        <f t="shared" si="26"/>
        <v>0</v>
      </c>
      <c r="AA31" s="87">
        <f t="shared" si="27"/>
        <v>4</v>
      </c>
    </row>
    <row r="32" spans="9:27">
      <c r="I32" s="81" t="str">
        <f>IF(내역서업로드!A33&lt;&gt;"",내역서업로드!A33,"")</f>
        <v/>
      </c>
      <c r="J32" s="81" t="str">
        <f t="shared" si="13"/>
        <v/>
      </c>
      <c r="L32" s="82" t="str">
        <f t="shared" si="14"/>
        <v/>
      </c>
      <c r="M32" s="81" t="str">
        <f t="shared" si="15"/>
        <v/>
      </c>
      <c r="N32" s="81" t="str">
        <f t="shared" si="16"/>
        <v/>
      </c>
      <c r="O32" s="81" t="str">
        <f t="shared" si="17"/>
        <v/>
      </c>
      <c r="Q32" s="83" t="str">
        <f t="shared" si="18"/>
        <v/>
      </c>
      <c r="R32" s="84" t="str">
        <f t="shared" si="19"/>
        <v/>
      </c>
      <c r="S32" s="83" t="str">
        <f t="shared" si="20"/>
        <v/>
      </c>
      <c r="T32" s="84" t="str">
        <f t="shared" si="21"/>
        <v/>
      </c>
      <c r="U32" s="84" t="str">
        <f t="shared" si="22"/>
        <v/>
      </c>
      <c r="V32" s="85">
        <f>내역서업로드!E33</f>
        <v>0</v>
      </c>
      <c r="W32" s="86">
        <f t="shared" si="23"/>
        <v>0</v>
      </c>
      <c r="X32" s="86">
        <f t="shared" si="24"/>
        <v>0</v>
      </c>
      <c r="Y32" s="87">
        <f t="shared" si="25"/>
        <v>4</v>
      </c>
      <c r="Z32" s="87">
        <f t="shared" si="26"/>
        <v>0</v>
      </c>
      <c r="AA32" s="87">
        <f t="shared" si="27"/>
        <v>4</v>
      </c>
    </row>
    <row r="33" spans="9:27">
      <c r="I33" s="81" t="str">
        <f>IF(내역서업로드!A34&lt;&gt;"",내역서업로드!A34,"")</f>
        <v/>
      </c>
      <c r="J33" s="81" t="str">
        <f t="shared" si="13"/>
        <v/>
      </c>
      <c r="L33" s="82" t="str">
        <f t="shared" si="14"/>
        <v/>
      </c>
      <c r="M33" s="81" t="str">
        <f t="shared" si="15"/>
        <v/>
      </c>
      <c r="N33" s="81" t="str">
        <f t="shared" si="16"/>
        <v/>
      </c>
      <c r="O33" s="81" t="str">
        <f t="shared" si="17"/>
        <v/>
      </c>
      <c r="Q33" s="83" t="str">
        <f t="shared" si="18"/>
        <v/>
      </c>
      <c r="R33" s="84" t="str">
        <f t="shared" si="19"/>
        <v/>
      </c>
      <c r="S33" s="83" t="str">
        <f t="shared" si="20"/>
        <v/>
      </c>
      <c r="T33" s="84" t="str">
        <f t="shared" si="21"/>
        <v/>
      </c>
      <c r="U33" s="84" t="str">
        <f t="shared" si="22"/>
        <v/>
      </c>
      <c r="V33" s="85">
        <f>내역서업로드!E34</f>
        <v>0</v>
      </c>
      <c r="W33" s="86">
        <f t="shared" si="23"/>
        <v>0</v>
      </c>
      <c r="X33" s="86">
        <f t="shared" si="24"/>
        <v>0</v>
      </c>
      <c r="Y33" s="87">
        <f t="shared" si="25"/>
        <v>4</v>
      </c>
      <c r="Z33" s="87">
        <f t="shared" si="26"/>
        <v>0</v>
      </c>
      <c r="AA33" s="87">
        <f t="shared" si="27"/>
        <v>4</v>
      </c>
    </row>
    <row r="34" spans="9:27">
      <c r="I34" s="81" t="str">
        <f>IF(내역서업로드!A35&lt;&gt;"",내역서업로드!A35,"")</f>
        <v/>
      </c>
      <c r="J34" s="81" t="str">
        <f t="shared" si="13"/>
        <v/>
      </c>
      <c r="L34" s="82" t="str">
        <f t="shared" si="14"/>
        <v/>
      </c>
      <c r="M34" s="81" t="str">
        <f t="shared" si="15"/>
        <v/>
      </c>
      <c r="N34" s="81" t="str">
        <f t="shared" si="16"/>
        <v/>
      </c>
      <c r="O34" s="81" t="str">
        <f t="shared" si="17"/>
        <v/>
      </c>
      <c r="Q34" s="83" t="str">
        <f t="shared" si="18"/>
        <v/>
      </c>
      <c r="R34" s="84" t="str">
        <f t="shared" si="19"/>
        <v/>
      </c>
      <c r="S34" s="83" t="str">
        <f t="shared" si="20"/>
        <v/>
      </c>
      <c r="T34" s="84" t="str">
        <f t="shared" si="21"/>
        <v/>
      </c>
      <c r="U34" s="84" t="str">
        <f t="shared" si="22"/>
        <v/>
      </c>
      <c r="V34" s="85">
        <f>내역서업로드!E35</f>
        <v>0</v>
      </c>
      <c r="W34" s="86">
        <f t="shared" si="23"/>
        <v>0</v>
      </c>
      <c r="X34" s="86">
        <f t="shared" si="24"/>
        <v>0</v>
      </c>
      <c r="Y34" s="87">
        <f t="shared" si="25"/>
        <v>4</v>
      </c>
      <c r="Z34" s="87">
        <f t="shared" si="26"/>
        <v>0</v>
      </c>
      <c r="AA34" s="87">
        <f t="shared" si="27"/>
        <v>4</v>
      </c>
    </row>
    <row r="35" spans="9:27">
      <c r="I35" s="81" t="str">
        <f>IF(내역서업로드!A36&lt;&gt;"",내역서업로드!A36,"")</f>
        <v/>
      </c>
      <c r="J35" s="81" t="str">
        <f t="shared" si="13"/>
        <v/>
      </c>
      <c r="L35" s="82" t="str">
        <f t="shared" si="14"/>
        <v/>
      </c>
      <c r="M35" s="81" t="str">
        <f t="shared" si="15"/>
        <v/>
      </c>
      <c r="N35" s="81" t="str">
        <f t="shared" si="16"/>
        <v/>
      </c>
      <c r="O35" s="81" t="str">
        <f t="shared" si="17"/>
        <v/>
      </c>
      <c r="Q35" s="83" t="str">
        <f t="shared" si="18"/>
        <v/>
      </c>
      <c r="R35" s="84" t="str">
        <f t="shared" si="19"/>
        <v/>
      </c>
      <c r="S35" s="83" t="str">
        <f t="shared" si="20"/>
        <v/>
      </c>
      <c r="T35" s="84" t="str">
        <f t="shared" si="21"/>
        <v/>
      </c>
      <c r="U35" s="84" t="str">
        <f t="shared" si="22"/>
        <v/>
      </c>
      <c r="V35" s="85">
        <f>내역서업로드!E36</f>
        <v>0</v>
      </c>
      <c r="W35" s="86">
        <f t="shared" si="23"/>
        <v>0</v>
      </c>
      <c r="X35" s="86">
        <f t="shared" si="24"/>
        <v>0</v>
      </c>
      <c r="Y35" s="87">
        <f t="shared" si="25"/>
        <v>4</v>
      </c>
      <c r="Z35" s="87">
        <f t="shared" si="26"/>
        <v>0</v>
      </c>
      <c r="AA35" s="87">
        <f t="shared" si="27"/>
        <v>4</v>
      </c>
    </row>
    <row r="36" spans="9:27">
      <c r="I36" s="81" t="str">
        <f>IF(내역서업로드!A37&lt;&gt;"",내역서업로드!A37,"")</f>
        <v/>
      </c>
      <c r="J36" s="81" t="str">
        <f t="shared" si="13"/>
        <v/>
      </c>
      <c r="L36" s="82" t="str">
        <f t="shared" si="14"/>
        <v/>
      </c>
      <c r="M36" s="81" t="str">
        <f t="shared" si="15"/>
        <v/>
      </c>
      <c r="N36" s="81" t="str">
        <f t="shared" si="16"/>
        <v/>
      </c>
      <c r="O36" s="81" t="str">
        <f t="shared" si="17"/>
        <v/>
      </c>
      <c r="Q36" s="83" t="str">
        <f t="shared" si="18"/>
        <v/>
      </c>
      <c r="R36" s="84" t="str">
        <f t="shared" si="19"/>
        <v/>
      </c>
      <c r="S36" s="83" t="str">
        <f t="shared" si="20"/>
        <v/>
      </c>
      <c r="T36" s="84" t="str">
        <f t="shared" si="21"/>
        <v/>
      </c>
      <c r="U36" s="84" t="str">
        <f t="shared" si="22"/>
        <v/>
      </c>
      <c r="V36" s="85">
        <f>내역서업로드!E37</f>
        <v>0</v>
      </c>
      <c r="W36" s="86">
        <f t="shared" si="23"/>
        <v>0</v>
      </c>
      <c r="X36" s="86">
        <f t="shared" si="24"/>
        <v>0</v>
      </c>
      <c r="Y36" s="87">
        <f t="shared" si="25"/>
        <v>4</v>
      </c>
      <c r="Z36" s="87">
        <f t="shared" si="26"/>
        <v>0</v>
      </c>
      <c r="AA36" s="87">
        <f t="shared" si="27"/>
        <v>4</v>
      </c>
    </row>
    <row r="37" spans="9:27">
      <c r="I37" s="81" t="str">
        <f>IF(내역서업로드!A38&lt;&gt;"",내역서업로드!A38,"")</f>
        <v/>
      </c>
      <c r="J37" s="81" t="str">
        <f t="shared" si="13"/>
        <v/>
      </c>
      <c r="L37" s="82" t="str">
        <f t="shared" si="14"/>
        <v/>
      </c>
      <c r="M37" s="81" t="str">
        <f t="shared" si="15"/>
        <v/>
      </c>
      <c r="N37" s="81" t="str">
        <f t="shared" si="16"/>
        <v/>
      </c>
      <c r="O37" s="81" t="str">
        <f t="shared" si="17"/>
        <v/>
      </c>
      <c r="Q37" s="83" t="str">
        <f t="shared" si="18"/>
        <v/>
      </c>
      <c r="R37" s="84" t="str">
        <f t="shared" si="19"/>
        <v/>
      </c>
      <c r="S37" s="83" t="str">
        <f t="shared" si="20"/>
        <v/>
      </c>
      <c r="T37" s="84" t="str">
        <f t="shared" si="21"/>
        <v/>
      </c>
      <c r="U37" s="84" t="str">
        <f t="shared" si="22"/>
        <v/>
      </c>
      <c r="V37" s="85">
        <f>내역서업로드!E38</f>
        <v>0</v>
      </c>
      <c r="W37" s="86">
        <f t="shared" si="23"/>
        <v>0</v>
      </c>
      <c r="X37" s="86">
        <f t="shared" si="24"/>
        <v>0</v>
      </c>
      <c r="Y37" s="87">
        <f t="shared" si="25"/>
        <v>4</v>
      </c>
      <c r="Z37" s="87">
        <f t="shared" si="26"/>
        <v>0</v>
      </c>
      <c r="AA37" s="87">
        <f t="shared" si="27"/>
        <v>4</v>
      </c>
    </row>
    <row r="38" spans="9:27">
      <c r="I38" s="81" t="str">
        <f>IF(내역서업로드!A39&lt;&gt;"",내역서업로드!A39,"")</f>
        <v/>
      </c>
      <c r="J38" s="81" t="str">
        <f t="shared" si="13"/>
        <v/>
      </c>
      <c r="L38" s="82" t="str">
        <f t="shared" si="14"/>
        <v/>
      </c>
      <c r="M38" s="81" t="str">
        <f t="shared" si="15"/>
        <v/>
      </c>
      <c r="N38" s="81" t="str">
        <f t="shared" si="16"/>
        <v/>
      </c>
      <c r="O38" s="81" t="str">
        <f t="shared" si="17"/>
        <v/>
      </c>
      <c r="Q38" s="83" t="str">
        <f t="shared" si="18"/>
        <v/>
      </c>
      <c r="R38" s="84" t="str">
        <f t="shared" si="19"/>
        <v/>
      </c>
      <c r="S38" s="83" t="str">
        <f t="shared" si="20"/>
        <v/>
      </c>
      <c r="T38" s="84" t="str">
        <f t="shared" si="21"/>
        <v/>
      </c>
      <c r="U38" s="84" t="str">
        <f t="shared" si="22"/>
        <v/>
      </c>
      <c r="V38" s="85">
        <f>내역서업로드!E39</f>
        <v>0</v>
      </c>
      <c r="W38" s="86">
        <f t="shared" si="23"/>
        <v>0</v>
      </c>
      <c r="X38" s="86">
        <f t="shared" si="24"/>
        <v>0</v>
      </c>
      <c r="Y38" s="87">
        <f t="shared" si="25"/>
        <v>4</v>
      </c>
      <c r="Z38" s="87">
        <f t="shared" si="26"/>
        <v>0</v>
      </c>
      <c r="AA38" s="87">
        <f t="shared" si="27"/>
        <v>4</v>
      </c>
    </row>
    <row r="39" spans="9:27">
      <c r="I39" s="81" t="str">
        <f>IF(내역서업로드!A40&lt;&gt;"",내역서업로드!A40,"")</f>
        <v/>
      </c>
      <c r="J39" s="81" t="str">
        <f t="shared" si="13"/>
        <v/>
      </c>
      <c r="L39" s="82" t="str">
        <f t="shared" si="14"/>
        <v/>
      </c>
      <c r="M39" s="81" t="str">
        <f t="shared" si="15"/>
        <v/>
      </c>
      <c r="N39" s="81" t="str">
        <f t="shared" si="16"/>
        <v/>
      </c>
      <c r="O39" s="81" t="str">
        <f t="shared" si="17"/>
        <v/>
      </c>
      <c r="Q39" s="83" t="str">
        <f t="shared" si="18"/>
        <v/>
      </c>
      <c r="R39" s="84" t="str">
        <f t="shared" si="19"/>
        <v/>
      </c>
      <c r="S39" s="83" t="str">
        <f t="shared" si="20"/>
        <v/>
      </c>
      <c r="T39" s="84" t="str">
        <f t="shared" si="21"/>
        <v/>
      </c>
      <c r="U39" s="84" t="str">
        <f t="shared" si="22"/>
        <v/>
      </c>
      <c r="V39" s="85">
        <f>내역서업로드!E40</f>
        <v>0</v>
      </c>
      <c r="W39" s="86">
        <f t="shared" si="23"/>
        <v>0</v>
      </c>
      <c r="X39" s="86">
        <f t="shared" si="24"/>
        <v>0</v>
      </c>
      <c r="Y39" s="87">
        <f t="shared" si="25"/>
        <v>4</v>
      </c>
      <c r="Z39" s="87">
        <f t="shared" si="26"/>
        <v>0</v>
      </c>
      <c r="AA39" s="87">
        <f t="shared" si="27"/>
        <v>4</v>
      </c>
    </row>
    <row r="40" spans="9:27">
      <c r="I40" s="81" t="str">
        <f>IF(내역서업로드!A41&lt;&gt;"",내역서업로드!A41,"")</f>
        <v/>
      </c>
      <c r="J40" s="81" t="str">
        <f t="shared" si="13"/>
        <v/>
      </c>
      <c r="L40" s="82" t="str">
        <f t="shared" si="14"/>
        <v/>
      </c>
      <c r="M40" s="81" t="str">
        <f t="shared" si="15"/>
        <v/>
      </c>
      <c r="N40" s="81" t="str">
        <f t="shared" si="16"/>
        <v/>
      </c>
      <c r="O40" s="81" t="str">
        <f t="shared" si="17"/>
        <v/>
      </c>
      <c r="Q40" s="83" t="str">
        <f t="shared" si="18"/>
        <v/>
      </c>
      <c r="R40" s="84" t="str">
        <f t="shared" si="19"/>
        <v/>
      </c>
      <c r="S40" s="83" t="str">
        <f t="shared" si="20"/>
        <v/>
      </c>
      <c r="T40" s="84" t="str">
        <f t="shared" si="21"/>
        <v/>
      </c>
      <c r="U40" s="84" t="str">
        <f t="shared" si="22"/>
        <v/>
      </c>
      <c r="V40" s="85">
        <f>내역서업로드!E41</f>
        <v>0</v>
      </c>
      <c r="W40" s="86">
        <f t="shared" si="23"/>
        <v>0</v>
      </c>
      <c r="X40" s="86">
        <f t="shared" si="24"/>
        <v>0</v>
      </c>
      <c r="Y40" s="87">
        <f t="shared" si="25"/>
        <v>4</v>
      </c>
      <c r="Z40" s="87">
        <f t="shared" si="26"/>
        <v>0</v>
      </c>
      <c r="AA40" s="87">
        <f t="shared" si="27"/>
        <v>4</v>
      </c>
    </row>
    <row r="41" spans="9:27">
      <c r="I41" s="81" t="str">
        <f>IF(내역서업로드!A42&lt;&gt;"",내역서업로드!A42,"")</f>
        <v/>
      </c>
      <c r="J41" s="81" t="str">
        <f t="shared" si="13"/>
        <v/>
      </c>
      <c r="L41" s="82" t="str">
        <f t="shared" si="14"/>
        <v/>
      </c>
      <c r="M41" s="81" t="str">
        <f t="shared" si="15"/>
        <v/>
      </c>
      <c r="N41" s="81" t="str">
        <f t="shared" si="16"/>
        <v/>
      </c>
      <c r="O41" s="81" t="str">
        <f t="shared" si="17"/>
        <v/>
      </c>
      <c r="Q41" s="83" t="str">
        <f t="shared" si="18"/>
        <v/>
      </c>
      <c r="R41" s="84" t="str">
        <f t="shared" si="19"/>
        <v/>
      </c>
      <c r="S41" s="83" t="str">
        <f t="shared" si="20"/>
        <v/>
      </c>
      <c r="T41" s="84" t="str">
        <f t="shared" si="21"/>
        <v/>
      </c>
      <c r="U41" s="84" t="str">
        <f t="shared" si="22"/>
        <v/>
      </c>
      <c r="V41" s="85">
        <f>내역서업로드!E42</f>
        <v>0</v>
      </c>
      <c r="W41" s="86">
        <f t="shared" si="23"/>
        <v>0</v>
      </c>
      <c r="X41" s="86">
        <f t="shared" si="24"/>
        <v>0</v>
      </c>
      <c r="Y41" s="87">
        <f t="shared" si="25"/>
        <v>4</v>
      </c>
      <c r="Z41" s="87">
        <f t="shared" si="26"/>
        <v>0</v>
      </c>
      <c r="AA41" s="87">
        <f t="shared" si="27"/>
        <v>4</v>
      </c>
    </row>
    <row r="42" spans="9:27">
      <c r="I42" s="81" t="str">
        <f>IF(내역서업로드!A43&lt;&gt;"",내역서업로드!A43,"")</f>
        <v/>
      </c>
      <c r="J42" s="81" t="str">
        <f t="shared" si="13"/>
        <v/>
      </c>
      <c r="L42" s="82" t="str">
        <f t="shared" si="14"/>
        <v/>
      </c>
      <c r="M42" s="81" t="str">
        <f t="shared" si="15"/>
        <v/>
      </c>
      <c r="N42" s="81" t="str">
        <f t="shared" si="16"/>
        <v/>
      </c>
      <c r="O42" s="81" t="str">
        <f t="shared" si="17"/>
        <v/>
      </c>
      <c r="Q42" s="83" t="str">
        <f t="shared" si="18"/>
        <v/>
      </c>
      <c r="R42" s="84" t="str">
        <f t="shared" si="19"/>
        <v/>
      </c>
      <c r="S42" s="83" t="str">
        <f t="shared" si="20"/>
        <v/>
      </c>
      <c r="T42" s="84" t="str">
        <f t="shared" si="21"/>
        <v/>
      </c>
      <c r="U42" s="84" t="str">
        <f t="shared" si="22"/>
        <v/>
      </c>
      <c r="V42" s="85">
        <f>내역서업로드!E43</f>
        <v>0</v>
      </c>
      <c r="W42" s="86">
        <f t="shared" si="23"/>
        <v>0</v>
      </c>
      <c r="X42" s="86">
        <f t="shared" si="24"/>
        <v>0</v>
      </c>
      <c r="Y42" s="87">
        <f t="shared" si="25"/>
        <v>4</v>
      </c>
      <c r="Z42" s="87">
        <f t="shared" si="26"/>
        <v>0</v>
      </c>
      <c r="AA42" s="87">
        <f t="shared" si="27"/>
        <v>4</v>
      </c>
    </row>
    <row r="43" spans="9:27">
      <c r="I43" s="81" t="str">
        <f>IF(내역서업로드!A44&lt;&gt;"",내역서업로드!A44,"")</f>
        <v/>
      </c>
      <c r="J43" s="81" t="str">
        <f t="shared" si="13"/>
        <v/>
      </c>
      <c r="L43" s="82" t="str">
        <f t="shared" si="14"/>
        <v/>
      </c>
      <c r="M43" s="81" t="str">
        <f t="shared" si="15"/>
        <v/>
      </c>
      <c r="N43" s="81" t="str">
        <f t="shared" si="16"/>
        <v/>
      </c>
      <c r="O43" s="81" t="str">
        <f t="shared" si="17"/>
        <v/>
      </c>
      <c r="Q43" s="83" t="str">
        <f t="shared" si="18"/>
        <v/>
      </c>
      <c r="R43" s="84" t="str">
        <f t="shared" si="19"/>
        <v/>
      </c>
      <c r="S43" s="83" t="str">
        <f t="shared" si="20"/>
        <v/>
      </c>
      <c r="T43" s="84" t="str">
        <f t="shared" si="21"/>
        <v/>
      </c>
      <c r="U43" s="84" t="str">
        <f t="shared" si="22"/>
        <v/>
      </c>
      <c r="V43" s="85">
        <f>내역서업로드!E44</f>
        <v>0</v>
      </c>
      <c r="W43" s="86">
        <f t="shared" si="23"/>
        <v>0</v>
      </c>
      <c r="X43" s="86">
        <f t="shared" si="24"/>
        <v>0</v>
      </c>
      <c r="Y43" s="87">
        <f t="shared" si="25"/>
        <v>4</v>
      </c>
      <c r="Z43" s="87">
        <f t="shared" si="26"/>
        <v>0</v>
      </c>
      <c r="AA43" s="87">
        <f t="shared" si="27"/>
        <v>4</v>
      </c>
    </row>
    <row r="44" spans="9:27">
      <c r="I44" s="81" t="str">
        <f>IF(내역서업로드!A45&lt;&gt;"",내역서업로드!A45,"")</f>
        <v/>
      </c>
      <c r="J44" s="81" t="str">
        <f t="shared" si="13"/>
        <v/>
      </c>
      <c r="L44" s="82" t="str">
        <f t="shared" si="14"/>
        <v/>
      </c>
      <c r="M44" s="81" t="str">
        <f t="shared" si="15"/>
        <v/>
      </c>
      <c r="N44" s="81" t="str">
        <f t="shared" si="16"/>
        <v/>
      </c>
      <c r="O44" s="81" t="str">
        <f t="shared" si="17"/>
        <v/>
      </c>
      <c r="Q44" s="83" t="str">
        <f t="shared" si="18"/>
        <v/>
      </c>
      <c r="R44" s="84" t="str">
        <f t="shared" si="19"/>
        <v/>
      </c>
      <c r="S44" s="83" t="str">
        <f t="shared" si="20"/>
        <v/>
      </c>
      <c r="T44" s="84" t="str">
        <f t="shared" si="21"/>
        <v/>
      </c>
      <c r="U44" s="84" t="str">
        <f t="shared" si="22"/>
        <v/>
      </c>
      <c r="V44" s="85">
        <f>내역서업로드!E45</f>
        <v>0</v>
      </c>
      <c r="W44" s="86">
        <f t="shared" si="23"/>
        <v>0</v>
      </c>
      <c r="X44" s="86">
        <f t="shared" si="24"/>
        <v>0</v>
      </c>
      <c r="Y44" s="87">
        <f t="shared" si="25"/>
        <v>4</v>
      </c>
      <c r="Z44" s="87">
        <f t="shared" si="26"/>
        <v>0</v>
      </c>
      <c r="AA44" s="87">
        <f t="shared" si="27"/>
        <v>4</v>
      </c>
    </row>
    <row r="45" spans="9:27">
      <c r="I45" s="81" t="str">
        <f>IF(내역서업로드!A46&lt;&gt;"",내역서업로드!A46,"")</f>
        <v/>
      </c>
      <c r="J45" s="81" t="str">
        <f t="shared" si="13"/>
        <v/>
      </c>
      <c r="L45" s="82" t="str">
        <f t="shared" si="14"/>
        <v/>
      </c>
      <c r="M45" s="81" t="str">
        <f t="shared" si="15"/>
        <v/>
      </c>
      <c r="N45" s="81" t="str">
        <f t="shared" si="16"/>
        <v/>
      </c>
      <c r="O45" s="81" t="str">
        <f t="shared" si="17"/>
        <v/>
      </c>
      <c r="Q45" s="83" t="str">
        <f t="shared" si="18"/>
        <v/>
      </c>
      <c r="R45" s="84" t="str">
        <f t="shared" si="19"/>
        <v/>
      </c>
      <c r="S45" s="83" t="str">
        <f t="shared" si="20"/>
        <v/>
      </c>
      <c r="T45" s="84" t="str">
        <f t="shared" si="21"/>
        <v/>
      </c>
      <c r="U45" s="84" t="str">
        <f t="shared" si="22"/>
        <v/>
      </c>
      <c r="V45" s="85">
        <f>내역서업로드!E46</f>
        <v>0</v>
      </c>
      <c r="W45" s="86">
        <f t="shared" si="23"/>
        <v>0</v>
      </c>
      <c r="X45" s="86">
        <f t="shared" si="24"/>
        <v>0</v>
      </c>
      <c r="Y45" s="87">
        <f t="shared" si="25"/>
        <v>4</v>
      </c>
      <c r="Z45" s="87">
        <f t="shared" si="26"/>
        <v>0</v>
      </c>
      <c r="AA45" s="87">
        <f t="shared" si="27"/>
        <v>4</v>
      </c>
    </row>
    <row r="46" spans="9:27">
      <c r="I46" s="81" t="str">
        <f>IF(내역서업로드!A47&lt;&gt;"",내역서업로드!A47,"")</f>
        <v/>
      </c>
      <c r="J46" s="81" t="str">
        <f t="shared" si="13"/>
        <v/>
      </c>
      <c r="L46" s="82" t="str">
        <f t="shared" si="14"/>
        <v/>
      </c>
      <c r="M46" s="81" t="str">
        <f t="shared" si="15"/>
        <v/>
      </c>
      <c r="N46" s="81" t="str">
        <f t="shared" si="16"/>
        <v/>
      </c>
      <c r="O46" s="81" t="str">
        <f t="shared" si="17"/>
        <v/>
      </c>
      <c r="Q46" s="83" t="str">
        <f t="shared" si="18"/>
        <v/>
      </c>
      <c r="R46" s="84" t="str">
        <f t="shared" si="19"/>
        <v/>
      </c>
      <c r="S46" s="83" t="str">
        <f t="shared" si="20"/>
        <v/>
      </c>
      <c r="T46" s="84" t="str">
        <f t="shared" si="21"/>
        <v/>
      </c>
      <c r="U46" s="84" t="str">
        <f t="shared" si="22"/>
        <v/>
      </c>
      <c r="V46" s="85">
        <f>내역서업로드!E47</f>
        <v>0</v>
      </c>
      <c r="W46" s="86">
        <f t="shared" si="23"/>
        <v>0</v>
      </c>
      <c r="X46" s="86">
        <f t="shared" si="24"/>
        <v>0</v>
      </c>
      <c r="Y46" s="87">
        <f t="shared" si="25"/>
        <v>4</v>
      </c>
      <c r="Z46" s="87">
        <f t="shared" si="26"/>
        <v>0</v>
      </c>
      <c r="AA46" s="87">
        <f t="shared" si="27"/>
        <v>4</v>
      </c>
    </row>
    <row r="47" spans="9:27">
      <c r="I47" s="81" t="str">
        <f>IF(내역서업로드!A48&lt;&gt;"",내역서업로드!A48,"")</f>
        <v/>
      </c>
      <c r="J47" s="81" t="str">
        <f t="shared" si="13"/>
        <v/>
      </c>
      <c r="L47" s="82" t="str">
        <f t="shared" si="14"/>
        <v/>
      </c>
      <c r="M47" s="81" t="str">
        <f t="shared" si="15"/>
        <v/>
      </c>
      <c r="N47" s="81" t="str">
        <f t="shared" si="16"/>
        <v/>
      </c>
      <c r="O47" s="81" t="str">
        <f t="shared" si="17"/>
        <v/>
      </c>
      <c r="Q47" s="83" t="str">
        <f t="shared" si="18"/>
        <v/>
      </c>
      <c r="R47" s="84" t="str">
        <f t="shared" si="19"/>
        <v/>
      </c>
      <c r="S47" s="83" t="str">
        <f t="shared" si="20"/>
        <v/>
      </c>
      <c r="T47" s="84" t="str">
        <f t="shared" si="21"/>
        <v/>
      </c>
      <c r="U47" s="84" t="str">
        <f t="shared" si="22"/>
        <v/>
      </c>
      <c r="V47" s="85">
        <f>내역서업로드!E48</f>
        <v>0</v>
      </c>
      <c r="W47" s="86">
        <f t="shared" si="23"/>
        <v>0</v>
      </c>
      <c r="X47" s="86">
        <f t="shared" si="24"/>
        <v>0</v>
      </c>
      <c r="Y47" s="87">
        <f t="shared" si="25"/>
        <v>4</v>
      </c>
      <c r="Z47" s="87">
        <f t="shared" si="26"/>
        <v>0</v>
      </c>
      <c r="AA47" s="87">
        <f t="shared" si="27"/>
        <v>4</v>
      </c>
    </row>
    <row r="48" spans="9:27">
      <c r="I48" s="81" t="str">
        <f>IF(내역서업로드!A49&lt;&gt;"",내역서업로드!A49,"")</f>
        <v/>
      </c>
      <c r="J48" s="81" t="str">
        <f t="shared" si="13"/>
        <v/>
      </c>
      <c r="L48" s="82" t="str">
        <f t="shared" si="14"/>
        <v/>
      </c>
      <c r="M48" s="81" t="str">
        <f t="shared" si="15"/>
        <v/>
      </c>
      <c r="N48" s="81" t="str">
        <f t="shared" si="16"/>
        <v/>
      </c>
      <c r="O48" s="81" t="str">
        <f t="shared" si="17"/>
        <v/>
      </c>
      <c r="Q48" s="83" t="str">
        <f t="shared" si="18"/>
        <v/>
      </c>
      <c r="R48" s="84" t="str">
        <f t="shared" si="19"/>
        <v/>
      </c>
      <c r="S48" s="83" t="str">
        <f t="shared" si="20"/>
        <v/>
      </c>
      <c r="T48" s="84" t="str">
        <f t="shared" si="21"/>
        <v/>
      </c>
      <c r="U48" s="84" t="str">
        <f t="shared" si="22"/>
        <v/>
      </c>
      <c r="V48" s="85">
        <f>내역서업로드!E49</f>
        <v>0</v>
      </c>
      <c r="W48" s="86">
        <f t="shared" si="23"/>
        <v>0</v>
      </c>
      <c r="X48" s="86">
        <f t="shared" si="24"/>
        <v>0</v>
      </c>
      <c r="Y48" s="87">
        <f t="shared" si="25"/>
        <v>4</v>
      </c>
      <c r="Z48" s="87">
        <f t="shared" si="26"/>
        <v>0</v>
      </c>
      <c r="AA48" s="87">
        <f t="shared" si="27"/>
        <v>4</v>
      </c>
    </row>
    <row r="49" spans="9:27">
      <c r="I49" s="81" t="str">
        <f>IF(내역서업로드!A50&lt;&gt;"",내역서업로드!A50,"")</f>
        <v/>
      </c>
      <c r="J49" s="81" t="str">
        <f t="shared" si="13"/>
        <v/>
      </c>
      <c r="L49" s="82" t="str">
        <f t="shared" si="14"/>
        <v/>
      </c>
      <c r="M49" s="81" t="str">
        <f t="shared" si="15"/>
        <v/>
      </c>
      <c r="N49" s="81" t="str">
        <f t="shared" si="16"/>
        <v/>
      </c>
      <c r="O49" s="81" t="str">
        <f t="shared" si="17"/>
        <v/>
      </c>
      <c r="Q49" s="83" t="str">
        <f t="shared" si="18"/>
        <v/>
      </c>
      <c r="R49" s="84" t="str">
        <f t="shared" si="19"/>
        <v/>
      </c>
      <c r="S49" s="83" t="str">
        <f t="shared" si="20"/>
        <v/>
      </c>
      <c r="T49" s="84" t="str">
        <f t="shared" si="21"/>
        <v/>
      </c>
      <c r="U49" s="84" t="str">
        <f t="shared" si="22"/>
        <v/>
      </c>
      <c r="V49" s="85">
        <f>내역서업로드!E50</f>
        <v>0</v>
      </c>
      <c r="W49" s="86">
        <f t="shared" si="23"/>
        <v>0</v>
      </c>
      <c r="X49" s="86">
        <f t="shared" si="24"/>
        <v>0</v>
      </c>
      <c r="Y49" s="87">
        <f t="shared" si="25"/>
        <v>4</v>
      </c>
      <c r="Z49" s="87">
        <f t="shared" si="26"/>
        <v>0</v>
      </c>
      <c r="AA49" s="87">
        <f t="shared" si="27"/>
        <v>4</v>
      </c>
    </row>
    <row r="50" spans="9:27">
      <c r="I50" s="81" t="str">
        <f>IF(내역서업로드!A51&lt;&gt;"",내역서업로드!A51,"")</f>
        <v/>
      </c>
      <c r="J50" s="81" t="str">
        <f t="shared" si="13"/>
        <v/>
      </c>
      <c r="L50" s="82" t="str">
        <f t="shared" si="14"/>
        <v/>
      </c>
      <c r="M50" s="81" t="str">
        <f t="shared" si="15"/>
        <v/>
      </c>
      <c r="N50" s="81" t="str">
        <f t="shared" si="16"/>
        <v/>
      </c>
      <c r="O50" s="81" t="str">
        <f t="shared" si="17"/>
        <v/>
      </c>
      <c r="Q50" s="83" t="str">
        <f t="shared" si="18"/>
        <v/>
      </c>
      <c r="R50" s="84" t="str">
        <f t="shared" si="19"/>
        <v/>
      </c>
      <c r="S50" s="83" t="str">
        <f t="shared" si="20"/>
        <v/>
      </c>
      <c r="T50" s="84" t="str">
        <f t="shared" si="21"/>
        <v/>
      </c>
      <c r="U50" s="84" t="str">
        <f t="shared" si="22"/>
        <v/>
      </c>
      <c r="V50" s="85">
        <f>내역서업로드!E51</f>
        <v>0</v>
      </c>
      <c r="W50" s="86">
        <f t="shared" si="23"/>
        <v>0</v>
      </c>
      <c r="X50" s="86">
        <f t="shared" si="24"/>
        <v>0</v>
      </c>
      <c r="Y50" s="87">
        <f t="shared" si="25"/>
        <v>4</v>
      </c>
      <c r="Z50" s="87">
        <f t="shared" si="26"/>
        <v>0</v>
      </c>
      <c r="AA50" s="87">
        <f t="shared" si="27"/>
        <v>4</v>
      </c>
    </row>
    <row r="51" spans="9:27">
      <c r="I51" s="81" t="str">
        <f>IF(내역서업로드!A52&lt;&gt;"",내역서업로드!A52,"")</f>
        <v/>
      </c>
      <c r="J51" s="81" t="str">
        <f t="shared" si="13"/>
        <v/>
      </c>
      <c r="L51" s="82" t="str">
        <f t="shared" si="14"/>
        <v/>
      </c>
      <c r="M51" s="81" t="str">
        <f t="shared" si="15"/>
        <v/>
      </c>
      <c r="N51" s="81" t="str">
        <f t="shared" si="16"/>
        <v/>
      </c>
      <c r="O51" s="81" t="str">
        <f t="shared" si="17"/>
        <v/>
      </c>
      <c r="Q51" s="83" t="str">
        <f t="shared" si="18"/>
        <v/>
      </c>
      <c r="R51" s="84" t="str">
        <f t="shared" si="19"/>
        <v/>
      </c>
      <c r="S51" s="83" t="str">
        <f t="shared" si="20"/>
        <v/>
      </c>
      <c r="T51" s="84" t="str">
        <f t="shared" si="21"/>
        <v/>
      </c>
      <c r="U51" s="84" t="str">
        <f t="shared" si="22"/>
        <v/>
      </c>
      <c r="V51" s="85">
        <f>내역서업로드!E52</f>
        <v>0</v>
      </c>
      <c r="W51" s="86">
        <f t="shared" si="23"/>
        <v>0</v>
      </c>
      <c r="X51" s="86">
        <f t="shared" si="24"/>
        <v>0</v>
      </c>
      <c r="Y51" s="87">
        <f t="shared" si="25"/>
        <v>4</v>
      </c>
      <c r="Z51" s="87">
        <f t="shared" si="26"/>
        <v>0</v>
      </c>
      <c r="AA51" s="87">
        <f t="shared" si="27"/>
        <v>4</v>
      </c>
    </row>
    <row r="52" spans="9:27">
      <c r="I52" s="81" t="str">
        <f>IF(내역서업로드!A53&lt;&gt;"",내역서업로드!A53,"")</f>
        <v/>
      </c>
      <c r="J52" s="81" t="str">
        <f t="shared" si="13"/>
        <v/>
      </c>
      <c r="L52" s="82" t="str">
        <f t="shared" si="14"/>
        <v/>
      </c>
      <c r="M52" s="81" t="str">
        <f t="shared" si="15"/>
        <v/>
      </c>
      <c r="N52" s="81" t="str">
        <f t="shared" si="16"/>
        <v/>
      </c>
      <c r="O52" s="81" t="str">
        <f t="shared" si="17"/>
        <v/>
      </c>
      <c r="Q52" s="83" t="str">
        <f t="shared" si="18"/>
        <v/>
      </c>
      <c r="R52" s="84" t="str">
        <f t="shared" si="19"/>
        <v/>
      </c>
      <c r="S52" s="83" t="str">
        <f t="shared" si="20"/>
        <v/>
      </c>
      <c r="T52" s="84" t="str">
        <f t="shared" si="21"/>
        <v/>
      </c>
      <c r="U52" s="84" t="str">
        <f t="shared" si="22"/>
        <v/>
      </c>
      <c r="V52" s="85">
        <f>내역서업로드!E53</f>
        <v>0</v>
      </c>
      <c r="W52" s="86">
        <f t="shared" si="23"/>
        <v>0</v>
      </c>
      <c r="X52" s="86">
        <f t="shared" si="24"/>
        <v>0</v>
      </c>
      <c r="Y52" s="87">
        <f t="shared" si="25"/>
        <v>4</v>
      </c>
      <c r="Z52" s="87">
        <f t="shared" si="26"/>
        <v>0</v>
      </c>
      <c r="AA52" s="87">
        <f t="shared" si="27"/>
        <v>4</v>
      </c>
    </row>
    <row r="53" spans="9:27">
      <c r="I53" s="81" t="str">
        <f>IF(내역서업로드!A54&lt;&gt;"",내역서업로드!A54,"")</f>
        <v/>
      </c>
      <c r="J53" s="81" t="str">
        <f t="shared" si="13"/>
        <v/>
      </c>
      <c r="L53" s="82" t="str">
        <f t="shared" si="14"/>
        <v/>
      </c>
      <c r="M53" s="81" t="str">
        <f t="shared" si="15"/>
        <v/>
      </c>
      <c r="N53" s="81" t="str">
        <f t="shared" si="16"/>
        <v/>
      </c>
      <c r="O53" s="81" t="str">
        <f t="shared" si="17"/>
        <v/>
      </c>
      <c r="Q53" s="83" t="str">
        <f t="shared" si="18"/>
        <v/>
      </c>
      <c r="R53" s="84" t="str">
        <f t="shared" si="19"/>
        <v/>
      </c>
      <c r="S53" s="83" t="str">
        <f t="shared" si="20"/>
        <v/>
      </c>
      <c r="T53" s="84" t="str">
        <f t="shared" si="21"/>
        <v/>
      </c>
      <c r="U53" s="84" t="str">
        <f t="shared" si="22"/>
        <v/>
      </c>
      <c r="V53" s="85">
        <f>내역서업로드!E54</f>
        <v>0</v>
      </c>
      <c r="W53" s="86">
        <f t="shared" si="23"/>
        <v>0</v>
      </c>
      <c r="X53" s="86">
        <f t="shared" si="24"/>
        <v>0</v>
      </c>
      <c r="Y53" s="87">
        <f t="shared" si="25"/>
        <v>4</v>
      </c>
      <c r="Z53" s="87">
        <f t="shared" si="26"/>
        <v>0</v>
      </c>
      <c r="AA53" s="87">
        <f t="shared" si="27"/>
        <v>4</v>
      </c>
    </row>
    <row r="54" spans="9:27">
      <c r="I54" s="81" t="str">
        <f>IF(내역서업로드!A55&lt;&gt;"",내역서업로드!A55,"")</f>
        <v/>
      </c>
      <c r="J54" s="81" t="str">
        <f t="shared" si="13"/>
        <v/>
      </c>
      <c r="L54" s="82" t="str">
        <f t="shared" si="14"/>
        <v/>
      </c>
      <c r="M54" s="81" t="str">
        <f t="shared" si="15"/>
        <v/>
      </c>
      <c r="N54" s="81" t="str">
        <f t="shared" si="16"/>
        <v/>
      </c>
      <c r="O54" s="81" t="str">
        <f t="shared" si="17"/>
        <v/>
      </c>
      <c r="Q54" s="83" t="str">
        <f t="shared" si="18"/>
        <v/>
      </c>
      <c r="R54" s="84" t="str">
        <f t="shared" si="19"/>
        <v/>
      </c>
      <c r="S54" s="83" t="str">
        <f t="shared" si="20"/>
        <v/>
      </c>
      <c r="T54" s="84" t="str">
        <f t="shared" si="21"/>
        <v/>
      </c>
      <c r="U54" s="84" t="str">
        <f t="shared" si="22"/>
        <v/>
      </c>
      <c r="V54" s="85">
        <f>내역서업로드!E55</f>
        <v>0</v>
      </c>
      <c r="W54" s="86">
        <f t="shared" si="23"/>
        <v>0</v>
      </c>
      <c r="X54" s="86">
        <f t="shared" si="24"/>
        <v>0</v>
      </c>
      <c r="Y54" s="87">
        <f t="shared" si="25"/>
        <v>4</v>
      </c>
      <c r="Z54" s="87">
        <f t="shared" si="26"/>
        <v>0</v>
      </c>
      <c r="AA54" s="87">
        <f t="shared" si="27"/>
        <v>4</v>
      </c>
    </row>
    <row r="55" spans="9:27">
      <c r="I55" s="81" t="str">
        <f>IF(내역서업로드!A56&lt;&gt;"",내역서업로드!A56,"")</f>
        <v/>
      </c>
      <c r="J55" s="81" t="str">
        <f t="shared" si="13"/>
        <v/>
      </c>
      <c r="L55" s="82" t="str">
        <f t="shared" si="14"/>
        <v/>
      </c>
      <c r="M55" s="81" t="str">
        <f t="shared" si="15"/>
        <v/>
      </c>
      <c r="N55" s="81" t="str">
        <f t="shared" si="16"/>
        <v/>
      </c>
      <c r="O55" s="81" t="str">
        <f t="shared" si="17"/>
        <v/>
      </c>
      <c r="Q55" s="83" t="str">
        <f t="shared" si="18"/>
        <v/>
      </c>
      <c r="R55" s="84" t="str">
        <f t="shared" si="19"/>
        <v/>
      </c>
      <c r="S55" s="83" t="str">
        <f t="shared" si="20"/>
        <v/>
      </c>
      <c r="T55" s="84" t="str">
        <f t="shared" si="21"/>
        <v/>
      </c>
      <c r="U55" s="84" t="str">
        <f t="shared" si="22"/>
        <v/>
      </c>
      <c r="V55" s="85">
        <f>내역서업로드!E56</f>
        <v>0</v>
      </c>
      <c r="W55" s="86">
        <f t="shared" si="23"/>
        <v>0</v>
      </c>
      <c r="X55" s="86">
        <f t="shared" si="24"/>
        <v>0</v>
      </c>
      <c r="Y55" s="87">
        <f t="shared" si="25"/>
        <v>4</v>
      </c>
      <c r="Z55" s="87">
        <f t="shared" si="26"/>
        <v>0</v>
      </c>
      <c r="AA55" s="87">
        <f t="shared" si="27"/>
        <v>4</v>
      </c>
    </row>
    <row r="56" spans="9:27">
      <c r="I56" s="81" t="str">
        <f>IF(내역서업로드!A57&lt;&gt;"",내역서업로드!A57,"")</f>
        <v/>
      </c>
      <c r="J56" s="81" t="str">
        <f t="shared" si="13"/>
        <v/>
      </c>
      <c r="L56" s="82" t="str">
        <f t="shared" si="14"/>
        <v/>
      </c>
      <c r="M56" s="81" t="str">
        <f t="shared" si="15"/>
        <v/>
      </c>
      <c r="N56" s="81" t="str">
        <f t="shared" si="16"/>
        <v/>
      </c>
      <c r="O56" s="81" t="str">
        <f t="shared" si="17"/>
        <v/>
      </c>
      <c r="Q56" s="83" t="str">
        <f t="shared" si="18"/>
        <v/>
      </c>
      <c r="R56" s="84" t="str">
        <f t="shared" si="19"/>
        <v/>
      </c>
      <c r="S56" s="83" t="str">
        <f t="shared" si="20"/>
        <v/>
      </c>
      <c r="T56" s="84" t="str">
        <f t="shared" si="21"/>
        <v/>
      </c>
      <c r="U56" s="84" t="str">
        <f t="shared" si="22"/>
        <v/>
      </c>
      <c r="V56" s="85">
        <f>내역서업로드!E57</f>
        <v>0</v>
      </c>
      <c r="W56" s="86">
        <f t="shared" si="23"/>
        <v>0</v>
      </c>
      <c r="X56" s="86">
        <f t="shared" si="24"/>
        <v>0</v>
      </c>
      <c r="Y56" s="87">
        <f t="shared" si="25"/>
        <v>4</v>
      </c>
      <c r="Z56" s="87">
        <f t="shared" si="26"/>
        <v>0</v>
      </c>
      <c r="AA56" s="87">
        <f t="shared" si="27"/>
        <v>4</v>
      </c>
    </row>
    <row r="57" spans="9:27">
      <c r="I57" s="81" t="str">
        <f>IF(내역서업로드!A58&lt;&gt;"",내역서업로드!A58,"")</f>
        <v/>
      </c>
      <c r="J57" s="81" t="str">
        <f t="shared" si="13"/>
        <v/>
      </c>
      <c r="L57" s="82" t="str">
        <f t="shared" si="14"/>
        <v/>
      </c>
      <c r="M57" s="81" t="str">
        <f t="shared" si="15"/>
        <v/>
      </c>
      <c r="N57" s="81" t="str">
        <f t="shared" si="16"/>
        <v/>
      </c>
      <c r="O57" s="81" t="str">
        <f t="shared" si="17"/>
        <v/>
      </c>
      <c r="Q57" s="83" t="str">
        <f t="shared" si="18"/>
        <v/>
      </c>
      <c r="R57" s="84" t="str">
        <f t="shared" si="19"/>
        <v/>
      </c>
      <c r="S57" s="83" t="str">
        <f t="shared" si="20"/>
        <v/>
      </c>
      <c r="T57" s="84" t="str">
        <f t="shared" si="21"/>
        <v/>
      </c>
      <c r="U57" s="84" t="str">
        <f t="shared" si="22"/>
        <v/>
      </c>
      <c r="V57" s="85">
        <f>내역서업로드!E58</f>
        <v>0</v>
      </c>
      <c r="W57" s="86">
        <f t="shared" si="23"/>
        <v>0</v>
      </c>
      <c r="X57" s="86">
        <f t="shared" si="24"/>
        <v>0</v>
      </c>
      <c r="Y57" s="87">
        <f t="shared" si="25"/>
        <v>4</v>
      </c>
      <c r="Z57" s="87">
        <f t="shared" si="26"/>
        <v>0</v>
      </c>
      <c r="AA57" s="87">
        <f t="shared" si="27"/>
        <v>4</v>
      </c>
    </row>
    <row r="58" spans="9:27">
      <c r="I58" s="81" t="str">
        <f>IF(내역서업로드!A59&lt;&gt;"",내역서업로드!A59,"")</f>
        <v/>
      </c>
      <c r="J58" s="81" t="str">
        <f t="shared" si="13"/>
        <v/>
      </c>
      <c r="L58" s="82" t="str">
        <f t="shared" si="14"/>
        <v/>
      </c>
      <c r="M58" s="81" t="str">
        <f t="shared" si="15"/>
        <v/>
      </c>
      <c r="N58" s="81" t="str">
        <f t="shared" si="16"/>
        <v/>
      </c>
      <c r="O58" s="81" t="str">
        <f t="shared" si="17"/>
        <v/>
      </c>
      <c r="Q58" s="83" t="str">
        <f t="shared" si="18"/>
        <v/>
      </c>
      <c r="R58" s="84" t="str">
        <f t="shared" si="19"/>
        <v/>
      </c>
      <c r="S58" s="83" t="str">
        <f t="shared" si="20"/>
        <v/>
      </c>
      <c r="T58" s="84" t="str">
        <f t="shared" si="21"/>
        <v/>
      </c>
      <c r="U58" s="84" t="str">
        <f t="shared" si="22"/>
        <v/>
      </c>
      <c r="V58" s="85">
        <f>내역서업로드!E59</f>
        <v>0</v>
      </c>
      <c r="W58" s="86">
        <f t="shared" si="23"/>
        <v>0</v>
      </c>
      <c r="X58" s="86">
        <f t="shared" si="24"/>
        <v>0</v>
      </c>
      <c r="Y58" s="87">
        <f t="shared" si="25"/>
        <v>4</v>
      </c>
      <c r="Z58" s="87">
        <f t="shared" si="26"/>
        <v>0</v>
      </c>
      <c r="AA58" s="87">
        <f t="shared" si="27"/>
        <v>4</v>
      </c>
    </row>
    <row r="59" spans="9:27">
      <c r="I59" s="81" t="str">
        <f>IF(내역서업로드!A60&lt;&gt;"",내역서업로드!A60,"")</f>
        <v/>
      </c>
      <c r="J59" s="81" t="str">
        <f t="shared" si="13"/>
        <v/>
      </c>
      <c r="L59" s="82" t="str">
        <f t="shared" si="14"/>
        <v/>
      </c>
      <c r="M59" s="81" t="str">
        <f t="shared" si="15"/>
        <v/>
      </c>
      <c r="N59" s="81" t="str">
        <f t="shared" si="16"/>
        <v/>
      </c>
      <c r="O59" s="81" t="str">
        <f t="shared" si="17"/>
        <v/>
      </c>
      <c r="Q59" s="83" t="str">
        <f t="shared" si="18"/>
        <v/>
      </c>
      <c r="R59" s="84" t="str">
        <f t="shared" si="19"/>
        <v/>
      </c>
      <c r="S59" s="83" t="str">
        <f t="shared" si="20"/>
        <v/>
      </c>
      <c r="T59" s="84" t="str">
        <f t="shared" si="21"/>
        <v/>
      </c>
      <c r="U59" s="84" t="str">
        <f t="shared" si="22"/>
        <v/>
      </c>
      <c r="V59" s="85">
        <f>내역서업로드!E60</f>
        <v>0</v>
      </c>
      <c r="W59" s="86">
        <f t="shared" si="23"/>
        <v>0</v>
      </c>
      <c r="X59" s="86">
        <f t="shared" si="24"/>
        <v>0</v>
      </c>
      <c r="Y59" s="87">
        <f t="shared" si="25"/>
        <v>4</v>
      </c>
      <c r="Z59" s="87">
        <f t="shared" si="26"/>
        <v>0</v>
      </c>
      <c r="AA59" s="87">
        <f t="shared" si="27"/>
        <v>4</v>
      </c>
    </row>
    <row r="60" spans="9:27">
      <c r="I60" s="81" t="str">
        <f>IF(내역서업로드!A61&lt;&gt;"",내역서업로드!A61,"")</f>
        <v/>
      </c>
      <c r="J60" s="81" t="str">
        <f t="shared" si="13"/>
        <v/>
      </c>
      <c r="L60" s="82" t="str">
        <f t="shared" si="14"/>
        <v/>
      </c>
      <c r="M60" s="81" t="str">
        <f t="shared" si="15"/>
        <v/>
      </c>
      <c r="N60" s="81" t="str">
        <f t="shared" si="16"/>
        <v/>
      </c>
      <c r="O60" s="81" t="str">
        <f t="shared" si="17"/>
        <v/>
      </c>
      <c r="Q60" s="83" t="str">
        <f t="shared" si="18"/>
        <v/>
      </c>
      <c r="R60" s="84" t="str">
        <f t="shared" si="19"/>
        <v/>
      </c>
      <c r="S60" s="83" t="str">
        <f t="shared" si="20"/>
        <v/>
      </c>
      <c r="T60" s="84" t="str">
        <f t="shared" si="21"/>
        <v/>
      </c>
      <c r="U60" s="84" t="str">
        <f t="shared" si="22"/>
        <v/>
      </c>
      <c r="V60" s="85">
        <f>내역서업로드!E61</f>
        <v>0</v>
      </c>
      <c r="W60" s="86">
        <f t="shared" si="23"/>
        <v>0</v>
      </c>
      <c r="X60" s="86">
        <f t="shared" si="24"/>
        <v>0</v>
      </c>
      <c r="Y60" s="87">
        <f t="shared" si="25"/>
        <v>4</v>
      </c>
      <c r="Z60" s="87">
        <f t="shared" si="26"/>
        <v>0</v>
      </c>
      <c r="AA60" s="87">
        <f t="shared" si="27"/>
        <v>4</v>
      </c>
    </row>
    <row r="61" spans="9:27">
      <c r="I61" s="81" t="str">
        <f>IF(내역서업로드!A62&lt;&gt;"",내역서업로드!A62,"")</f>
        <v/>
      </c>
      <c r="J61" s="81" t="str">
        <f t="shared" si="13"/>
        <v/>
      </c>
      <c r="L61" s="82" t="str">
        <f t="shared" si="14"/>
        <v/>
      </c>
      <c r="M61" s="81" t="str">
        <f t="shared" si="15"/>
        <v/>
      </c>
      <c r="N61" s="81" t="str">
        <f t="shared" si="16"/>
        <v/>
      </c>
      <c r="O61" s="81" t="str">
        <f t="shared" si="17"/>
        <v/>
      </c>
      <c r="Q61" s="83" t="str">
        <f t="shared" si="18"/>
        <v/>
      </c>
      <c r="R61" s="84" t="str">
        <f t="shared" si="19"/>
        <v/>
      </c>
      <c r="S61" s="83" t="str">
        <f t="shared" si="20"/>
        <v/>
      </c>
      <c r="T61" s="84" t="str">
        <f t="shared" si="21"/>
        <v/>
      </c>
      <c r="U61" s="84" t="str">
        <f t="shared" si="22"/>
        <v/>
      </c>
      <c r="V61" s="85">
        <f>내역서업로드!E62</f>
        <v>0</v>
      </c>
      <c r="W61" s="86">
        <f t="shared" si="23"/>
        <v>0</v>
      </c>
      <c r="X61" s="86">
        <f t="shared" si="24"/>
        <v>0</v>
      </c>
      <c r="Y61" s="87">
        <f t="shared" si="25"/>
        <v>4</v>
      </c>
      <c r="Z61" s="87">
        <f t="shared" si="26"/>
        <v>0</v>
      </c>
      <c r="AA61" s="87">
        <f t="shared" si="27"/>
        <v>4</v>
      </c>
    </row>
    <row r="62" spans="9:27">
      <c r="I62" s="81" t="str">
        <f>IF(내역서업로드!A63&lt;&gt;"",내역서업로드!A63,"")</f>
        <v/>
      </c>
      <c r="J62" s="81" t="str">
        <f t="shared" si="13"/>
        <v/>
      </c>
      <c r="L62" s="82" t="str">
        <f t="shared" si="14"/>
        <v/>
      </c>
      <c r="M62" s="81" t="str">
        <f t="shared" si="15"/>
        <v/>
      </c>
      <c r="N62" s="81" t="str">
        <f t="shared" si="16"/>
        <v/>
      </c>
      <c r="O62" s="81" t="str">
        <f t="shared" si="17"/>
        <v/>
      </c>
      <c r="Q62" s="83" t="str">
        <f t="shared" si="18"/>
        <v/>
      </c>
      <c r="R62" s="84" t="str">
        <f t="shared" si="19"/>
        <v/>
      </c>
      <c r="S62" s="83" t="str">
        <f t="shared" si="20"/>
        <v/>
      </c>
      <c r="T62" s="84" t="str">
        <f t="shared" si="21"/>
        <v/>
      </c>
      <c r="U62" s="84" t="str">
        <f t="shared" si="22"/>
        <v/>
      </c>
      <c r="V62" s="85">
        <f>내역서업로드!E63</f>
        <v>0</v>
      </c>
      <c r="W62" s="86">
        <f t="shared" si="23"/>
        <v>0</v>
      </c>
      <c r="X62" s="86">
        <f t="shared" si="24"/>
        <v>0</v>
      </c>
      <c r="Y62" s="87">
        <f t="shared" si="25"/>
        <v>4</v>
      </c>
      <c r="Z62" s="87">
        <f t="shared" si="26"/>
        <v>0</v>
      </c>
      <c r="AA62" s="87">
        <f t="shared" si="27"/>
        <v>4</v>
      </c>
    </row>
    <row r="63" spans="9:27">
      <c r="I63" s="81" t="str">
        <f>IF(내역서업로드!A64&lt;&gt;"",내역서업로드!A64,"")</f>
        <v/>
      </c>
      <c r="J63" s="81" t="str">
        <f t="shared" si="13"/>
        <v/>
      </c>
      <c r="L63" s="82" t="str">
        <f t="shared" si="14"/>
        <v/>
      </c>
      <c r="M63" s="81" t="str">
        <f t="shared" si="15"/>
        <v/>
      </c>
      <c r="N63" s="81" t="str">
        <f t="shared" si="16"/>
        <v/>
      </c>
      <c r="O63" s="81" t="str">
        <f t="shared" si="17"/>
        <v/>
      </c>
      <c r="Q63" s="83" t="str">
        <f t="shared" si="18"/>
        <v/>
      </c>
      <c r="R63" s="84" t="str">
        <f t="shared" si="19"/>
        <v/>
      </c>
      <c r="S63" s="83" t="str">
        <f t="shared" si="20"/>
        <v/>
      </c>
      <c r="T63" s="84" t="str">
        <f t="shared" si="21"/>
        <v/>
      </c>
      <c r="U63" s="84" t="str">
        <f t="shared" si="22"/>
        <v/>
      </c>
      <c r="V63" s="85">
        <f>내역서업로드!E64</f>
        <v>0</v>
      </c>
      <c r="W63" s="86">
        <f t="shared" si="23"/>
        <v>0</v>
      </c>
      <c r="X63" s="86">
        <f t="shared" si="24"/>
        <v>0</v>
      </c>
      <c r="Y63" s="87">
        <f t="shared" si="25"/>
        <v>4</v>
      </c>
      <c r="Z63" s="87">
        <f t="shared" si="26"/>
        <v>0</v>
      </c>
      <c r="AA63" s="87">
        <f t="shared" si="27"/>
        <v>4</v>
      </c>
    </row>
    <row r="64" spans="9:27">
      <c r="I64" s="81" t="str">
        <f>IF(내역서업로드!A65&lt;&gt;"",내역서업로드!A65,"")</f>
        <v/>
      </c>
      <c r="J64" s="81" t="str">
        <f t="shared" si="13"/>
        <v/>
      </c>
      <c r="L64" s="82" t="str">
        <f t="shared" si="14"/>
        <v/>
      </c>
      <c r="M64" s="81" t="str">
        <f t="shared" si="15"/>
        <v/>
      </c>
      <c r="N64" s="81" t="str">
        <f t="shared" si="16"/>
        <v/>
      </c>
      <c r="O64" s="81" t="str">
        <f t="shared" si="17"/>
        <v/>
      </c>
      <c r="Q64" s="83" t="str">
        <f t="shared" si="18"/>
        <v/>
      </c>
      <c r="R64" s="84" t="str">
        <f t="shared" si="19"/>
        <v/>
      </c>
      <c r="S64" s="83" t="str">
        <f t="shared" si="20"/>
        <v/>
      </c>
      <c r="T64" s="84" t="str">
        <f t="shared" si="21"/>
        <v/>
      </c>
      <c r="U64" s="84" t="str">
        <f t="shared" si="22"/>
        <v/>
      </c>
      <c r="V64" s="85">
        <f>내역서업로드!E65</f>
        <v>0</v>
      </c>
      <c r="W64" s="86">
        <f t="shared" si="23"/>
        <v>0</v>
      </c>
      <c r="X64" s="86">
        <f t="shared" si="24"/>
        <v>0</v>
      </c>
      <c r="Y64" s="87">
        <f t="shared" si="25"/>
        <v>4</v>
      </c>
      <c r="Z64" s="87">
        <f t="shared" si="26"/>
        <v>0</v>
      </c>
      <c r="AA64" s="87">
        <f t="shared" si="27"/>
        <v>4</v>
      </c>
    </row>
    <row r="65" spans="9:27">
      <c r="I65" s="81" t="str">
        <f>IF(내역서업로드!A66&lt;&gt;"",내역서업로드!A66,"")</f>
        <v/>
      </c>
      <c r="J65" s="81" t="str">
        <f t="shared" si="13"/>
        <v/>
      </c>
      <c r="L65" s="82" t="str">
        <f t="shared" si="14"/>
        <v/>
      </c>
      <c r="M65" s="81" t="str">
        <f t="shared" si="15"/>
        <v/>
      </c>
      <c r="N65" s="81" t="str">
        <f t="shared" si="16"/>
        <v/>
      </c>
      <c r="O65" s="81" t="str">
        <f t="shared" si="17"/>
        <v/>
      </c>
      <c r="Q65" s="83" t="str">
        <f t="shared" si="18"/>
        <v/>
      </c>
      <c r="R65" s="84" t="str">
        <f t="shared" si="19"/>
        <v/>
      </c>
      <c r="S65" s="83" t="str">
        <f t="shared" si="20"/>
        <v/>
      </c>
      <c r="T65" s="84" t="str">
        <f t="shared" si="21"/>
        <v/>
      </c>
      <c r="U65" s="84" t="str">
        <f t="shared" si="22"/>
        <v/>
      </c>
      <c r="V65" s="85">
        <f>내역서업로드!E66</f>
        <v>0</v>
      </c>
      <c r="W65" s="86">
        <f t="shared" si="23"/>
        <v>0</v>
      </c>
      <c r="X65" s="86">
        <f t="shared" si="24"/>
        <v>0</v>
      </c>
      <c r="Y65" s="87">
        <f t="shared" si="25"/>
        <v>4</v>
      </c>
      <c r="Z65" s="87">
        <f t="shared" si="26"/>
        <v>0</v>
      </c>
      <c r="AA65" s="87">
        <f t="shared" si="27"/>
        <v>4</v>
      </c>
    </row>
    <row r="66" spans="9:27">
      <c r="I66" s="81" t="str">
        <f>IF(내역서업로드!A67&lt;&gt;"",내역서업로드!A67,"")</f>
        <v/>
      </c>
      <c r="J66" s="81" t="str">
        <f t="shared" si="13"/>
        <v/>
      </c>
      <c r="L66" s="82" t="str">
        <f t="shared" si="14"/>
        <v/>
      </c>
      <c r="M66" s="81" t="str">
        <f t="shared" si="15"/>
        <v/>
      </c>
      <c r="N66" s="81" t="str">
        <f t="shared" si="16"/>
        <v/>
      </c>
      <c r="O66" s="81" t="str">
        <f t="shared" si="17"/>
        <v/>
      </c>
      <c r="Q66" s="83" t="str">
        <f t="shared" si="18"/>
        <v/>
      </c>
      <c r="R66" s="84" t="str">
        <f t="shared" si="19"/>
        <v/>
      </c>
      <c r="S66" s="83" t="str">
        <f t="shared" si="20"/>
        <v/>
      </c>
      <c r="T66" s="84" t="str">
        <f t="shared" si="21"/>
        <v/>
      </c>
      <c r="U66" s="84" t="str">
        <f t="shared" si="22"/>
        <v/>
      </c>
      <c r="V66" s="85">
        <f>내역서업로드!E67</f>
        <v>0</v>
      </c>
      <c r="W66" s="86">
        <f t="shared" si="23"/>
        <v>0</v>
      </c>
      <c r="X66" s="86">
        <f t="shared" si="24"/>
        <v>0</v>
      </c>
      <c r="Y66" s="87">
        <f t="shared" si="25"/>
        <v>4</v>
      </c>
      <c r="Z66" s="87">
        <f t="shared" si="26"/>
        <v>0</v>
      </c>
      <c r="AA66" s="87">
        <f t="shared" si="27"/>
        <v>4</v>
      </c>
    </row>
    <row r="67" spans="9:27">
      <c r="I67" s="81" t="str">
        <f>IF(내역서업로드!A68&lt;&gt;"",내역서업로드!A68,"")</f>
        <v/>
      </c>
      <c r="J67" s="81" t="str">
        <f t="shared" si="13"/>
        <v/>
      </c>
      <c r="L67" s="82" t="str">
        <f t="shared" si="14"/>
        <v/>
      </c>
      <c r="M67" s="81" t="str">
        <f t="shared" si="15"/>
        <v/>
      </c>
      <c r="N67" s="81" t="str">
        <f t="shared" si="16"/>
        <v/>
      </c>
      <c r="O67" s="81" t="str">
        <f t="shared" si="17"/>
        <v/>
      </c>
      <c r="Q67" s="83" t="str">
        <f t="shared" si="18"/>
        <v/>
      </c>
      <c r="R67" s="84" t="str">
        <f t="shared" si="19"/>
        <v/>
      </c>
      <c r="S67" s="83" t="str">
        <f t="shared" si="20"/>
        <v/>
      </c>
      <c r="T67" s="84" t="str">
        <f t="shared" si="21"/>
        <v/>
      </c>
      <c r="U67" s="84" t="str">
        <f t="shared" si="22"/>
        <v/>
      </c>
      <c r="V67" s="85">
        <f>내역서업로드!E68</f>
        <v>0</v>
      </c>
      <c r="W67" s="86">
        <f t="shared" si="23"/>
        <v>0</v>
      </c>
      <c r="X67" s="86">
        <f t="shared" si="24"/>
        <v>0</v>
      </c>
      <c r="Y67" s="87">
        <f t="shared" si="25"/>
        <v>4</v>
      </c>
      <c r="Z67" s="87">
        <f t="shared" si="26"/>
        <v>0</v>
      </c>
      <c r="AA67" s="87">
        <f t="shared" si="27"/>
        <v>4</v>
      </c>
    </row>
    <row r="68" spans="9:27">
      <c r="I68" s="81" t="str">
        <f>IF(내역서업로드!A69&lt;&gt;"",내역서업로드!A69,"")</f>
        <v/>
      </c>
      <c r="J68" s="81" t="str">
        <f t="shared" ref="J68:J116" si="28">LEFT(I68,1)</f>
        <v/>
      </c>
      <c r="L68" s="82" t="str">
        <f t="shared" ref="L68:L116" si="29">IF(OR(J68="E",J68="L",J68="M"),"",I68)</f>
        <v/>
      </c>
      <c r="M68" s="81" t="str">
        <f t="shared" ref="M68:M116" si="30">IF(OR(J68="D",J68="L",J68="M"),"",I68)</f>
        <v/>
      </c>
      <c r="N68" s="81" t="str">
        <f t="shared" ref="N68:N116" si="31">IF(OR(J68="D",J68="E",J68="L"),"",I68)</f>
        <v/>
      </c>
      <c r="O68" s="81" t="str">
        <f t="shared" ref="O68:O116" si="32">IF(OR(J68="D",J68="E",J68="M"),"",I68)</f>
        <v/>
      </c>
      <c r="Q68" s="83" t="str">
        <f t="shared" ref="Q68:Q116" si="33">IF(Z68=0,"",IF(Z68=1,R68&amp;S68&amp;T68&amp;U68,"E99999"))</f>
        <v/>
      </c>
      <c r="R68" s="84" t="str">
        <f t="shared" ref="R68:R116" si="34">IF(L68="","",L68)</f>
        <v/>
      </c>
      <c r="S68" s="83" t="str">
        <f t="shared" ref="S68:S116" si="35">IF(M68="","",M68)</f>
        <v/>
      </c>
      <c r="T68" s="84" t="str">
        <f t="shared" ref="T68:T116" si="36">IF(W68=1,"",N68)</f>
        <v/>
      </c>
      <c r="U68" s="84" t="str">
        <f t="shared" ref="U68:U116" si="37">IF(OR(W68=1,X68=1),"",O68)</f>
        <v/>
      </c>
      <c r="V68" s="85">
        <f>내역서업로드!E69</f>
        <v>0</v>
      </c>
      <c r="W68" s="86">
        <f t="shared" ref="W68:W116" si="38">COUNTIFS(R68,"&gt;&lt;")</f>
        <v>0</v>
      </c>
      <c r="X68" s="86">
        <f t="shared" ref="X68:X116" si="39">COUNTIFS(S68,"&gt;&lt;")</f>
        <v>0</v>
      </c>
      <c r="Y68" s="87">
        <f t="shared" ref="Y68:Y116" si="40">COUNTIFS(R68:U68,"*")</f>
        <v>4</v>
      </c>
      <c r="Z68" s="87">
        <f t="shared" ref="Z68:Z116" si="41">COUNTIFS(R68:U68,"&gt;&lt;")</f>
        <v>0</v>
      </c>
      <c r="AA68" s="87">
        <f t="shared" ref="AA68:AA116" si="42">COUNTIFS(R68:U68,"&lt;&gt;")</f>
        <v>4</v>
      </c>
    </row>
    <row r="69" spans="9:27">
      <c r="I69" s="81" t="str">
        <f>IF(내역서업로드!A70&lt;&gt;"",내역서업로드!A70,"")</f>
        <v/>
      </c>
      <c r="J69" s="81" t="str">
        <f t="shared" si="28"/>
        <v/>
      </c>
      <c r="L69" s="82" t="str">
        <f t="shared" si="29"/>
        <v/>
      </c>
      <c r="M69" s="81" t="str">
        <f t="shared" si="30"/>
        <v/>
      </c>
      <c r="N69" s="81" t="str">
        <f t="shared" si="31"/>
        <v/>
      </c>
      <c r="O69" s="81" t="str">
        <f t="shared" si="32"/>
        <v/>
      </c>
      <c r="Q69" s="83" t="str">
        <f t="shared" si="33"/>
        <v/>
      </c>
      <c r="R69" s="84" t="str">
        <f t="shared" si="34"/>
        <v/>
      </c>
      <c r="S69" s="83" t="str">
        <f t="shared" si="35"/>
        <v/>
      </c>
      <c r="T69" s="84" t="str">
        <f t="shared" si="36"/>
        <v/>
      </c>
      <c r="U69" s="84" t="str">
        <f t="shared" si="37"/>
        <v/>
      </c>
      <c r="V69" s="85">
        <f>내역서업로드!E70</f>
        <v>0</v>
      </c>
      <c r="W69" s="86">
        <f t="shared" si="38"/>
        <v>0</v>
      </c>
      <c r="X69" s="86">
        <f t="shared" si="39"/>
        <v>0</v>
      </c>
      <c r="Y69" s="87">
        <f t="shared" si="40"/>
        <v>4</v>
      </c>
      <c r="Z69" s="87">
        <f t="shared" si="41"/>
        <v>0</v>
      </c>
      <c r="AA69" s="87">
        <f t="shared" si="42"/>
        <v>4</v>
      </c>
    </row>
    <row r="70" spans="9:27">
      <c r="I70" s="81" t="str">
        <f>IF(내역서업로드!A71&lt;&gt;"",내역서업로드!A71,"")</f>
        <v/>
      </c>
      <c r="J70" s="81" t="str">
        <f t="shared" si="28"/>
        <v/>
      </c>
      <c r="L70" s="82" t="str">
        <f t="shared" si="29"/>
        <v/>
      </c>
      <c r="M70" s="81" t="str">
        <f t="shared" si="30"/>
        <v/>
      </c>
      <c r="N70" s="81" t="str">
        <f t="shared" si="31"/>
        <v/>
      </c>
      <c r="O70" s="81" t="str">
        <f t="shared" si="32"/>
        <v/>
      </c>
      <c r="Q70" s="83" t="str">
        <f t="shared" si="33"/>
        <v/>
      </c>
      <c r="R70" s="84" t="str">
        <f t="shared" si="34"/>
        <v/>
      </c>
      <c r="S70" s="83" t="str">
        <f t="shared" si="35"/>
        <v/>
      </c>
      <c r="T70" s="84" t="str">
        <f t="shared" si="36"/>
        <v/>
      </c>
      <c r="U70" s="84" t="str">
        <f t="shared" si="37"/>
        <v/>
      </c>
      <c r="V70" s="85">
        <f>내역서업로드!E71</f>
        <v>0</v>
      </c>
      <c r="W70" s="86">
        <f t="shared" si="38"/>
        <v>0</v>
      </c>
      <c r="X70" s="86">
        <f t="shared" si="39"/>
        <v>0</v>
      </c>
      <c r="Y70" s="87">
        <f t="shared" si="40"/>
        <v>4</v>
      </c>
      <c r="Z70" s="87">
        <f t="shared" si="41"/>
        <v>0</v>
      </c>
      <c r="AA70" s="87">
        <f t="shared" si="42"/>
        <v>4</v>
      </c>
    </row>
    <row r="71" spans="9:27">
      <c r="I71" s="81" t="str">
        <f>IF(내역서업로드!A72&lt;&gt;"",내역서업로드!A72,"")</f>
        <v/>
      </c>
      <c r="J71" s="81" t="str">
        <f t="shared" si="28"/>
        <v/>
      </c>
      <c r="L71" s="82" t="str">
        <f t="shared" si="29"/>
        <v/>
      </c>
      <c r="M71" s="81" t="str">
        <f t="shared" si="30"/>
        <v/>
      </c>
      <c r="N71" s="81" t="str">
        <f t="shared" si="31"/>
        <v/>
      </c>
      <c r="O71" s="81" t="str">
        <f t="shared" si="32"/>
        <v/>
      </c>
      <c r="Q71" s="83" t="str">
        <f t="shared" si="33"/>
        <v/>
      </c>
      <c r="R71" s="84" t="str">
        <f t="shared" si="34"/>
        <v/>
      </c>
      <c r="S71" s="83" t="str">
        <f t="shared" si="35"/>
        <v/>
      </c>
      <c r="T71" s="84" t="str">
        <f t="shared" si="36"/>
        <v/>
      </c>
      <c r="U71" s="84" t="str">
        <f t="shared" si="37"/>
        <v/>
      </c>
      <c r="V71" s="85">
        <f>내역서업로드!E72</f>
        <v>0</v>
      </c>
      <c r="W71" s="86">
        <f t="shared" si="38"/>
        <v>0</v>
      </c>
      <c r="X71" s="86">
        <f t="shared" si="39"/>
        <v>0</v>
      </c>
      <c r="Y71" s="87">
        <f t="shared" si="40"/>
        <v>4</v>
      </c>
      <c r="Z71" s="87">
        <f t="shared" si="41"/>
        <v>0</v>
      </c>
      <c r="AA71" s="87">
        <f t="shared" si="42"/>
        <v>4</v>
      </c>
    </row>
    <row r="72" spans="9:27">
      <c r="I72" s="81" t="str">
        <f>IF(내역서업로드!A73&lt;&gt;"",내역서업로드!A73,"")</f>
        <v/>
      </c>
      <c r="J72" s="81" t="str">
        <f t="shared" si="28"/>
        <v/>
      </c>
      <c r="L72" s="82" t="str">
        <f t="shared" si="29"/>
        <v/>
      </c>
      <c r="M72" s="81" t="str">
        <f t="shared" si="30"/>
        <v/>
      </c>
      <c r="N72" s="81" t="str">
        <f t="shared" si="31"/>
        <v/>
      </c>
      <c r="O72" s="81" t="str">
        <f t="shared" si="32"/>
        <v/>
      </c>
      <c r="Q72" s="83" t="str">
        <f t="shared" si="33"/>
        <v/>
      </c>
      <c r="R72" s="84" t="str">
        <f t="shared" si="34"/>
        <v/>
      </c>
      <c r="S72" s="83" t="str">
        <f t="shared" si="35"/>
        <v/>
      </c>
      <c r="T72" s="84" t="str">
        <f t="shared" si="36"/>
        <v/>
      </c>
      <c r="U72" s="84" t="str">
        <f t="shared" si="37"/>
        <v/>
      </c>
      <c r="V72" s="85">
        <f>내역서업로드!E73</f>
        <v>0</v>
      </c>
      <c r="W72" s="86">
        <f t="shared" si="38"/>
        <v>0</v>
      </c>
      <c r="X72" s="86">
        <f t="shared" si="39"/>
        <v>0</v>
      </c>
      <c r="Y72" s="87">
        <f t="shared" si="40"/>
        <v>4</v>
      </c>
      <c r="Z72" s="87">
        <f t="shared" si="41"/>
        <v>0</v>
      </c>
      <c r="AA72" s="87">
        <f t="shared" si="42"/>
        <v>4</v>
      </c>
    </row>
    <row r="73" spans="9:27">
      <c r="I73" s="81" t="str">
        <f>IF(내역서업로드!A74&lt;&gt;"",내역서업로드!A74,"")</f>
        <v/>
      </c>
      <c r="J73" s="81" t="str">
        <f t="shared" si="28"/>
        <v/>
      </c>
      <c r="L73" s="82" t="str">
        <f t="shared" si="29"/>
        <v/>
      </c>
      <c r="M73" s="81" t="str">
        <f t="shared" si="30"/>
        <v/>
      </c>
      <c r="N73" s="81" t="str">
        <f t="shared" si="31"/>
        <v/>
      </c>
      <c r="O73" s="81" t="str">
        <f t="shared" si="32"/>
        <v/>
      </c>
      <c r="Q73" s="83" t="str">
        <f t="shared" si="33"/>
        <v/>
      </c>
      <c r="R73" s="84" t="str">
        <f t="shared" si="34"/>
        <v/>
      </c>
      <c r="S73" s="83" t="str">
        <f t="shared" si="35"/>
        <v/>
      </c>
      <c r="T73" s="84" t="str">
        <f t="shared" si="36"/>
        <v/>
      </c>
      <c r="U73" s="84" t="str">
        <f t="shared" si="37"/>
        <v/>
      </c>
      <c r="V73" s="85">
        <f>내역서업로드!E74</f>
        <v>0</v>
      </c>
      <c r="W73" s="86">
        <f t="shared" si="38"/>
        <v>0</v>
      </c>
      <c r="X73" s="86">
        <f t="shared" si="39"/>
        <v>0</v>
      </c>
      <c r="Y73" s="87">
        <f t="shared" si="40"/>
        <v>4</v>
      </c>
      <c r="Z73" s="87">
        <f t="shared" si="41"/>
        <v>0</v>
      </c>
      <c r="AA73" s="87">
        <f t="shared" si="42"/>
        <v>4</v>
      </c>
    </row>
    <row r="74" spans="9:27">
      <c r="I74" s="81" t="str">
        <f>IF(내역서업로드!A75&lt;&gt;"",내역서업로드!A75,"")</f>
        <v/>
      </c>
      <c r="J74" s="81" t="str">
        <f t="shared" si="28"/>
        <v/>
      </c>
      <c r="L74" s="82" t="str">
        <f t="shared" si="29"/>
        <v/>
      </c>
      <c r="M74" s="81" t="str">
        <f t="shared" si="30"/>
        <v/>
      </c>
      <c r="N74" s="81" t="str">
        <f t="shared" si="31"/>
        <v/>
      </c>
      <c r="O74" s="81" t="str">
        <f t="shared" si="32"/>
        <v/>
      </c>
      <c r="Q74" s="83" t="str">
        <f t="shared" si="33"/>
        <v/>
      </c>
      <c r="R74" s="84" t="str">
        <f t="shared" si="34"/>
        <v/>
      </c>
      <c r="S74" s="83" t="str">
        <f t="shared" si="35"/>
        <v/>
      </c>
      <c r="T74" s="84" t="str">
        <f t="shared" si="36"/>
        <v/>
      </c>
      <c r="U74" s="84" t="str">
        <f t="shared" si="37"/>
        <v/>
      </c>
      <c r="V74" s="85">
        <f>내역서업로드!E75</f>
        <v>0</v>
      </c>
      <c r="W74" s="86">
        <f t="shared" si="38"/>
        <v>0</v>
      </c>
      <c r="X74" s="86">
        <f t="shared" si="39"/>
        <v>0</v>
      </c>
      <c r="Y74" s="87">
        <f t="shared" si="40"/>
        <v>4</v>
      </c>
      <c r="Z74" s="87">
        <f t="shared" si="41"/>
        <v>0</v>
      </c>
      <c r="AA74" s="87">
        <f t="shared" si="42"/>
        <v>4</v>
      </c>
    </row>
    <row r="75" spans="9:27">
      <c r="I75" s="81" t="str">
        <f>IF(내역서업로드!A76&lt;&gt;"",내역서업로드!A76,"")</f>
        <v/>
      </c>
      <c r="J75" s="81" t="str">
        <f t="shared" si="28"/>
        <v/>
      </c>
      <c r="L75" s="82" t="str">
        <f t="shared" si="29"/>
        <v/>
      </c>
      <c r="M75" s="81" t="str">
        <f t="shared" si="30"/>
        <v/>
      </c>
      <c r="N75" s="81" t="str">
        <f t="shared" si="31"/>
        <v/>
      </c>
      <c r="O75" s="81" t="str">
        <f t="shared" si="32"/>
        <v/>
      </c>
      <c r="Q75" s="83" t="str">
        <f t="shared" si="33"/>
        <v/>
      </c>
      <c r="R75" s="84" t="str">
        <f t="shared" si="34"/>
        <v/>
      </c>
      <c r="S75" s="83" t="str">
        <f t="shared" si="35"/>
        <v/>
      </c>
      <c r="T75" s="84" t="str">
        <f t="shared" si="36"/>
        <v/>
      </c>
      <c r="U75" s="84" t="str">
        <f t="shared" si="37"/>
        <v/>
      </c>
      <c r="V75" s="85">
        <f>내역서업로드!E76</f>
        <v>0</v>
      </c>
      <c r="W75" s="86">
        <f t="shared" si="38"/>
        <v>0</v>
      </c>
      <c r="X75" s="86">
        <f t="shared" si="39"/>
        <v>0</v>
      </c>
      <c r="Y75" s="87">
        <f t="shared" si="40"/>
        <v>4</v>
      </c>
      <c r="Z75" s="87">
        <f t="shared" si="41"/>
        <v>0</v>
      </c>
      <c r="AA75" s="87">
        <f t="shared" si="42"/>
        <v>4</v>
      </c>
    </row>
    <row r="76" spans="9:27">
      <c r="I76" s="81" t="str">
        <f>IF(내역서업로드!A77&lt;&gt;"",내역서업로드!A77,"")</f>
        <v/>
      </c>
      <c r="J76" s="81" t="str">
        <f t="shared" si="28"/>
        <v/>
      </c>
      <c r="L76" s="82" t="str">
        <f t="shared" si="29"/>
        <v/>
      </c>
      <c r="M76" s="81" t="str">
        <f t="shared" si="30"/>
        <v/>
      </c>
      <c r="N76" s="81" t="str">
        <f t="shared" si="31"/>
        <v/>
      </c>
      <c r="O76" s="81" t="str">
        <f t="shared" si="32"/>
        <v/>
      </c>
      <c r="Q76" s="83" t="str">
        <f t="shared" si="33"/>
        <v/>
      </c>
      <c r="R76" s="84" t="str">
        <f t="shared" si="34"/>
        <v/>
      </c>
      <c r="S76" s="83" t="str">
        <f t="shared" si="35"/>
        <v/>
      </c>
      <c r="T76" s="84" t="str">
        <f t="shared" si="36"/>
        <v/>
      </c>
      <c r="U76" s="84" t="str">
        <f t="shared" si="37"/>
        <v/>
      </c>
      <c r="V76" s="85">
        <f>내역서업로드!E77</f>
        <v>0</v>
      </c>
      <c r="W76" s="86">
        <f t="shared" si="38"/>
        <v>0</v>
      </c>
      <c r="X76" s="86">
        <f t="shared" si="39"/>
        <v>0</v>
      </c>
      <c r="Y76" s="87">
        <f t="shared" si="40"/>
        <v>4</v>
      </c>
      <c r="Z76" s="87">
        <f t="shared" si="41"/>
        <v>0</v>
      </c>
      <c r="AA76" s="87">
        <f t="shared" si="42"/>
        <v>4</v>
      </c>
    </row>
    <row r="77" spans="9:27">
      <c r="I77" s="81" t="str">
        <f>IF(내역서업로드!A78&lt;&gt;"",내역서업로드!A78,"")</f>
        <v/>
      </c>
      <c r="J77" s="81" t="str">
        <f t="shared" si="28"/>
        <v/>
      </c>
      <c r="L77" s="82" t="str">
        <f t="shared" si="29"/>
        <v/>
      </c>
      <c r="M77" s="81" t="str">
        <f t="shared" si="30"/>
        <v/>
      </c>
      <c r="N77" s="81" t="str">
        <f t="shared" si="31"/>
        <v/>
      </c>
      <c r="O77" s="81" t="str">
        <f t="shared" si="32"/>
        <v/>
      </c>
      <c r="Q77" s="83" t="str">
        <f t="shared" si="33"/>
        <v/>
      </c>
      <c r="R77" s="84" t="str">
        <f t="shared" si="34"/>
        <v/>
      </c>
      <c r="S77" s="83" t="str">
        <f t="shared" si="35"/>
        <v/>
      </c>
      <c r="T77" s="84" t="str">
        <f t="shared" si="36"/>
        <v/>
      </c>
      <c r="U77" s="84" t="str">
        <f t="shared" si="37"/>
        <v/>
      </c>
      <c r="V77" s="85">
        <f>내역서업로드!E78</f>
        <v>0</v>
      </c>
      <c r="W77" s="86">
        <f t="shared" si="38"/>
        <v>0</v>
      </c>
      <c r="X77" s="86">
        <f t="shared" si="39"/>
        <v>0</v>
      </c>
      <c r="Y77" s="87">
        <f t="shared" si="40"/>
        <v>4</v>
      </c>
      <c r="Z77" s="87">
        <f t="shared" si="41"/>
        <v>0</v>
      </c>
      <c r="AA77" s="87">
        <f t="shared" si="42"/>
        <v>4</v>
      </c>
    </row>
    <row r="78" spans="9:27">
      <c r="I78" s="81" t="str">
        <f>IF(내역서업로드!A79&lt;&gt;"",내역서업로드!A79,"")</f>
        <v/>
      </c>
      <c r="J78" s="81" t="str">
        <f t="shared" si="28"/>
        <v/>
      </c>
      <c r="L78" s="82" t="str">
        <f t="shared" si="29"/>
        <v/>
      </c>
      <c r="M78" s="81" t="str">
        <f t="shared" si="30"/>
        <v/>
      </c>
      <c r="N78" s="81" t="str">
        <f t="shared" si="31"/>
        <v/>
      </c>
      <c r="O78" s="81" t="str">
        <f t="shared" si="32"/>
        <v/>
      </c>
      <c r="Q78" s="83" t="str">
        <f t="shared" si="33"/>
        <v/>
      </c>
      <c r="R78" s="84" t="str">
        <f t="shared" si="34"/>
        <v/>
      </c>
      <c r="S78" s="83" t="str">
        <f t="shared" si="35"/>
        <v/>
      </c>
      <c r="T78" s="84" t="str">
        <f t="shared" si="36"/>
        <v/>
      </c>
      <c r="U78" s="84" t="str">
        <f t="shared" si="37"/>
        <v/>
      </c>
      <c r="V78" s="85">
        <f>내역서업로드!E79</f>
        <v>0</v>
      </c>
      <c r="W78" s="86">
        <f t="shared" si="38"/>
        <v>0</v>
      </c>
      <c r="X78" s="86">
        <f t="shared" si="39"/>
        <v>0</v>
      </c>
      <c r="Y78" s="87">
        <f t="shared" si="40"/>
        <v>4</v>
      </c>
      <c r="Z78" s="87">
        <f t="shared" si="41"/>
        <v>0</v>
      </c>
      <c r="AA78" s="87">
        <f t="shared" si="42"/>
        <v>4</v>
      </c>
    </row>
    <row r="79" spans="9:27">
      <c r="I79" s="81" t="str">
        <f>IF(내역서업로드!A80&lt;&gt;"",내역서업로드!A80,"")</f>
        <v/>
      </c>
      <c r="J79" s="81" t="str">
        <f t="shared" si="28"/>
        <v/>
      </c>
      <c r="L79" s="82" t="str">
        <f t="shared" si="29"/>
        <v/>
      </c>
      <c r="M79" s="81" t="str">
        <f t="shared" si="30"/>
        <v/>
      </c>
      <c r="N79" s="81" t="str">
        <f t="shared" si="31"/>
        <v/>
      </c>
      <c r="O79" s="81" t="str">
        <f t="shared" si="32"/>
        <v/>
      </c>
      <c r="Q79" s="83" t="str">
        <f t="shared" si="33"/>
        <v/>
      </c>
      <c r="R79" s="84" t="str">
        <f t="shared" si="34"/>
        <v/>
      </c>
      <c r="S79" s="83" t="str">
        <f t="shared" si="35"/>
        <v/>
      </c>
      <c r="T79" s="84" t="str">
        <f t="shared" si="36"/>
        <v/>
      </c>
      <c r="U79" s="84" t="str">
        <f t="shared" si="37"/>
        <v/>
      </c>
      <c r="V79" s="85">
        <f>내역서업로드!E80</f>
        <v>0</v>
      </c>
      <c r="W79" s="86">
        <f t="shared" si="38"/>
        <v>0</v>
      </c>
      <c r="X79" s="86">
        <f t="shared" si="39"/>
        <v>0</v>
      </c>
      <c r="Y79" s="87">
        <f t="shared" si="40"/>
        <v>4</v>
      </c>
      <c r="Z79" s="87">
        <f t="shared" si="41"/>
        <v>0</v>
      </c>
      <c r="AA79" s="87">
        <f t="shared" si="42"/>
        <v>4</v>
      </c>
    </row>
    <row r="80" spans="9:27">
      <c r="I80" s="81" t="str">
        <f>IF(내역서업로드!A81&lt;&gt;"",내역서업로드!A81,"")</f>
        <v/>
      </c>
      <c r="J80" s="81" t="str">
        <f t="shared" si="28"/>
        <v/>
      </c>
      <c r="L80" s="82" t="str">
        <f t="shared" si="29"/>
        <v/>
      </c>
      <c r="M80" s="81" t="str">
        <f t="shared" si="30"/>
        <v/>
      </c>
      <c r="N80" s="81" t="str">
        <f t="shared" si="31"/>
        <v/>
      </c>
      <c r="O80" s="81" t="str">
        <f t="shared" si="32"/>
        <v/>
      </c>
      <c r="Q80" s="83" t="str">
        <f t="shared" si="33"/>
        <v/>
      </c>
      <c r="R80" s="84" t="str">
        <f t="shared" si="34"/>
        <v/>
      </c>
      <c r="S80" s="83" t="str">
        <f t="shared" si="35"/>
        <v/>
      </c>
      <c r="T80" s="84" t="str">
        <f t="shared" si="36"/>
        <v/>
      </c>
      <c r="U80" s="84" t="str">
        <f t="shared" si="37"/>
        <v/>
      </c>
      <c r="V80" s="85">
        <f>내역서업로드!E81</f>
        <v>0</v>
      </c>
      <c r="W80" s="86">
        <f t="shared" si="38"/>
        <v>0</v>
      </c>
      <c r="X80" s="86">
        <f t="shared" si="39"/>
        <v>0</v>
      </c>
      <c r="Y80" s="87">
        <f t="shared" si="40"/>
        <v>4</v>
      </c>
      <c r="Z80" s="87">
        <f t="shared" si="41"/>
        <v>0</v>
      </c>
      <c r="AA80" s="87">
        <f t="shared" si="42"/>
        <v>4</v>
      </c>
    </row>
    <row r="81" spans="9:27">
      <c r="I81" s="81" t="str">
        <f>IF(내역서업로드!A82&lt;&gt;"",내역서업로드!A82,"")</f>
        <v/>
      </c>
      <c r="J81" s="81" t="str">
        <f t="shared" si="28"/>
        <v/>
      </c>
      <c r="L81" s="82" t="str">
        <f t="shared" si="29"/>
        <v/>
      </c>
      <c r="M81" s="81" t="str">
        <f t="shared" si="30"/>
        <v/>
      </c>
      <c r="N81" s="81" t="str">
        <f t="shared" si="31"/>
        <v/>
      </c>
      <c r="O81" s="81" t="str">
        <f t="shared" si="32"/>
        <v/>
      </c>
      <c r="Q81" s="83" t="str">
        <f t="shared" si="33"/>
        <v/>
      </c>
      <c r="R81" s="84" t="str">
        <f t="shared" si="34"/>
        <v/>
      </c>
      <c r="S81" s="83" t="str">
        <f t="shared" si="35"/>
        <v/>
      </c>
      <c r="T81" s="84" t="str">
        <f t="shared" si="36"/>
        <v/>
      </c>
      <c r="U81" s="84" t="str">
        <f t="shared" si="37"/>
        <v/>
      </c>
      <c r="V81" s="85">
        <f>내역서업로드!E82</f>
        <v>0</v>
      </c>
      <c r="W81" s="86">
        <f t="shared" si="38"/>
        <v>0</v>
      </c>
      <c r="X81" s="86">
        <f t="shared" si="39"/>
        <v>0</v>
      </c>
      <c r="Y81" s="87">
        <f t="shared" si="40"/>
        <v>4</v>
      </c>
      <c r="Z81" s="87">
        <f t="shared" si="41"/>
        <v>0</v>
      </c>
      <c r="AA81" s="87">
        <f t="shared" si="42"/>
        <v>4</v>
      </c>
    </row>
    <row r="82" spans="9:27">
      <c r="I82" s="81" t="str">
        <f>IF(내역서업로드!A83&lt;&gt;"",내역서업로드!A83,"")</f>
        <v/>
      </c>
      <c r="J82" s="81" t="str">
        <f t="shared" si="28"/>
        <v/>
      </c>
      <c r="L82" s="82" t="str">
        <f t="shared" si="29"/>
        <v/>
      </c>
      <c r="M82" s="81" t="str">
        <f t="shared" si="30"/>
        <v/>
      </c>
      <c r="N82" s="81" t="str">
        <f t="shared" si="31"/>
        <v/>
      </c>
      <c r="O82" s="81" t="str">
        <f t="shared" si="32"/>
        <v/>
      </c>
      <c r="Q82" s="83" t="str">
        <f t="shared" si="33"/>
        <v/>
      </c>
      <c r="R82" s="84" t="str">
        <f t="shared" si="34"/>
        <v/>
      </c>
      <c r="S82" s="83" t="str">
        <f t="shared" si="35"/>
        <v/>
      </c>
      <c r="T82" s="84" t="str">
        <f t="shared" si="36"/>
        <v/>
      </c>
      <c r="U82" s="84" t="str">
        <f t="shared" si="37"/>
        <v/>
      </c>
      <c r="V82" s="85">
        <f>내역서업로드!E83</f>
        <v>0</v>
      </c>
      <c r="W82" s="86">
        <f t="shared" si="38"/>
        <v>0</v>
      </c>
      <c r="X82" s="86">
        <f t="shared" si="39"/>
        <v>0</v>
      </c>
      <c r="Y82" s="87">
        <f t="shared" si="40"/>
        <v>4</v>
      </c>
      <c r="Z82" s="87">
        <f t="shared" si="41"/>
        <v>0</v>
      </c>
      <c r="AA82" s="87">
        <f t="shared" si="42"/>
        <v>4</v>
      </c>
    </row>
    <row r="83" spans="9:27">
      <c r="I83" s="81" t="str">
        <f>IF(내역서업로드!A84&lt;&gt;"",내역서업로드!A84,"")</f>
        <v/>
      </c>
      <c r="J83" s="81" t="str">
        <f t="shared" si="28"/>
        <v/>
      </c>
      <c r="L83" s="82" t="str">
        <f t="shared" si="29"/>
        <v/>
      </c>
      <c r="M83" s="81" t="str">
        <f t="shared" si="30"/>
        <v/>
      </c>
      <c r="N83" s="81" t="str">
        <f t="shared" si="31"/>
        <v/>
      </c>
      <c r="O83" s="81" t="str">
        <f t="shared" si="32"/>
        <v/>
      </c>
      <c r="Q83" s="83" t="str">
        <f t="shared" si="33"/>
        <v/>
      </c>
      <c r="R83" s="84" t="str">
        <f t="shared" si="34"/>
        <v/>
      </c>
      <c r="S83" s="83" t="str">
        <f t="shared" si="35"/>
        <v/>
      </c>
      <c r="T83" s="84" t="str">
        <f t="shared" si="36"/>
        <v/>
      </c>
      <c r="U83" s="84" t="str">
        <f t="shared" si="37"/>
        <v/>
      </c>
      <c r="V83" s="85">
        <f>내역서업로드!E84</f>
        <v>0</v>
      </c>
      <c r="W83" s="86">
        <f t="shared" si="38"/>
        <v>0</v>
      </c>
      <c r="X83" s="86">
        <f t="shared" si="39"/>
        <v>0</v>
      </c>
      <c r="Y83" s="87">
        <f t="shared" si="40"/>
        <v>4</v>
      </c>
      <c r="Z83" s="87">
        <f t="shared" si="41"/>
        <v>0</v>
      </c>
      <c r="AA83" s="87">
        <f t="shared" si="42"/>
        <v>4</v>
      </c>
    </row>
    <row r="84" spans="9:27">
      <c r="I84" s="81" t="str">
        <f>IF(내역서업로드!A85&lt;&gt;"",내역서업로드!A85,"")</f>
        <v/>
      </c>
      <c r="J84" s="81" t="str">
        <f t="shared" si="28"/>
        <v/>
      </c>
      <c r="L84" s="82" t="str">
        <f t="shared" si="29"/>
        <v/>
      </c>
      <c r="M84" s="81" t="str">
        <f t="shared" si="30"/>
        <v/>
      </c>
      <c r="N84" s="81" t="str">
        <f t="shared" si="31"/>
        <v/>
      </c>
      <c r="O84" s="81" t="str">
        <f t="shared" si="32"/>
        <v/>
      </c>
      <c r="Q84" s="83" t="str">
        <f t="shared" si="33"/>
        <v/>
      </c>
      <c r="R84" s="84" t="str">
        <f t="shared" si="34"/>
        <v/>
      </c>
      <c r="S84" s="83" t="str">
        <f t="shared" si="35"/>
        <v/>
      </c>
      <c r="T84" s="84" t="str">
        <f t="shared" si="36"/>
        <v/>
      </c>
      <c r="U84" s="84" t="str">
        <f t="shared" si="37"/>
        <v/>
      </c>
      <c r="V84" s="85">
        <f>내역서업로드!E85</f>
        <v>0</v>
      </c>
      <c r="W84" s="86">
        <f t="shared" si="38"/>
        <v>0</v>
      </c>
      <c r="X84" s="86">
        <f t="shared" si="39"/>
        <v>0</v>
      </c>
      <c r="Y84" s="87">
        <f t="shared" si="40"/>
        <v>4</v>
      </c>
      <c r="Z84" s="87">
        <f t="shared" si="41"/>
        <v>0</v>
      </c>
      <c r="AA84" s="87">
        <f t="shared" si="42"/>
        <v>4</v>
      </c>
    </row>
    <row r="85" spans="9:27">
      <c r="I85" s="81" t="str">
        <f>IF(내역서업로드!A86&lt;&gt;"",내역서업로드!A86,"")</f>
        <v/>
      </c>
      <c r="J85" s="81" t="str">
        <f t="shared" si="28"/>
        <v/>
      </c>
      <c r="L85" s="82" t="str">
        <f t="shared" si="29"/>
        <v/>
      </c>
      <c r="M85" s="81" t="str">
        <f t="shared" si="30"/>
        <v/>
      </c>
      <c r="N85" s="81" t="str">
        <f t="shared" si="31"/>
        <v/>
      </c>
      <c r="O85" s="81" t="str">
        <f t="shared" si="32"/>
        <v/>
      </c>
      <c r="Q85" s="83" t="str">
        <f t="shared" si="33"/>
        <v/>
      </c>
      <c r="R85" s="84" t="str">
        <f t="shared" si="34"/>
        <v/>
      </c>
      <c r="S85" s="83" t="str">
        <f t="shared" si="35"/>
        <v/>
      </c>
      <c r="T85" s="84" t="str">
        <f t="shared" si="36"/>
        <v/>
      </c>
      <c r="U85" s="84" t="str">
        <f t="shared" si="37"/>
        <v/>
      </c>
      <c r="V85" s="85">
        <f>내역서업로드!E86</f>
        <v>0</v>
      </c>
      <c r="W85" s="86">
        <f t="shared" si="38"/>
        <v>0</v>
      </c>
      <c r="X85" s="86">
        <f t="shared" si="39"/>
        <v>0</v>
      </c>
      <c r="Y85" s="87">
        <f t="shared" si="40"/>
        <v>4</v>
      </c>
      <c r="Z85" s="87">
        <f t="shared" si="41"/>
        <v>0</v>
      </c>
      <c r="AA85" s="87">
        <f t="shared" si="42"/>
        <v>4</v>
      </c>
    </row>
    <row r="86" spans="9:27">
      <c r="I86" s="81" t="str">
        <f>IF(내역서업로드!A87&lt;&gt;"",내역서업로드!A87,"")</f>
        <v/>
      </c>
      <c r="J86" s="81" t="str">
        <f t="shared" si="28"/>
        <v/>
      </c>
      <c r="L86" s="82" t="str">
        <f t="shared" si="29"/>
        <v/>
      </c>
      <c r="M86" s="81" t="str">
        <f t="shared" si="30"/>
        <v/>
      </c>
      <c r="N86" s="81" t="str">
        <f t="shared" si="31"/>
        <v/>
      </c>
      <c r="O86" s="81" t="str">
        <f t="shared" si="32"/>
        <v/>
      </c>
      <c r="Q86" s="83" t="str">
        <f t="shared" si="33"/>
        <v/>
      </c>
      <c r="R86" s="84" t="str">
        <f t="shared" si="34"/>
        <v/>
      </c>
      <c r="S86" s="83" t="str">
        <f t="shared" si="35"/>
        <v/>
      </c>
      <c r="T86" s="84" t="str">
        <f t="shared" si="36"/>
        <v/>
      </c>
      <c r="U86" s="84" t="str">
        <f t="shared" si="37"/>
        <v/>
      </c>
      <c r="V86" s="85">
        <f>내역서업로드!E87</f>
        <v>0</v>
      </c>
      <c r="W86" s="86">
        <f t="shared" si="38"/>
        <v>0</v>
      </c>
      <c r="X86" s="86">
        <f t="shared" si="39"/>
        <v>0</v>
      </c>
      <c r="Y86" s="87">
        <f t="shared" si="40"/>
        <v>4</v>
      </c>
      <c r="Z86" s="87">
        <f t="shared" si="41"/>
        <v>0</v>
      </c>
      <c r="AA86" s="87">
        <f t="shared" si="42"/>
        <v>4</v>
      </c>
    </row>
    <row r="87" spans="9:27">
      <c r="I87" s="81" t="str">
        <f>IF(내역서업로드!A88&lt;&gt;"",내역서업로드!A88,"")</f>
        <v/>
      </c>
      <c r="J87" s="81" t="str">
        <f t="shared" si="28"/>
        <v/>
      </c>
      <c r="L87" s="82" t="str">
        <f t="shared" si="29"/>
        <v/>
      </c>
      <c r="M87" s="81" t="str">
        <f t="shared" si="30"/>
        <v/>
      </c>
      <c r="N87" s="81" t="str">
        <f t="shared" si="31"/>
        <v/>
      </c>
      <c r="O87" s="81" t="str">
        <f t="shared" si="32"/>
        <v/>
      </c>
      <c r="Q87" s="83" t="str">
        <f t="shared" si="33"/>
        <v/>
      </c>
      <c r="R87" s="84" t="str">
        <f t="shared" si="34"/>
        <v/>
      </c>
      <c r="S87" s="83" t="str">
        <f t="shared" si="35"/>
        <v/>
      </c>
      <c r="T87" s="84" t="str">
        <f t="shared" si="36"/>
        <v/>
      </c>
      <c r="U87" s="84" t="str">
        <f t="shared" si="37"/>
        <v/>
      </c>
      <c r="V87" s="85">
        <f>내역서업로드!E88</f>
        <v>0</v>
      </c>
      <c r="W87" s="86">
        <f t="shared" si="38"/>
        <v>0</v>
      </c>
      <c r="X87" s="86">
        <f t="shared" si="39"/>
        <v>0</v>
      </c>
      <c r="Y87" s="87">
        <f t="shared" si="40"/>
        <v>4</v>
      </c>
      <c r="Z87" s="87">
        <f t="shared" si="41"/>
        <v>0</v>
      </c>
      <c r="AA87" s="87">
        <f t="shared" si="42"/>
        <v>4</v>
      </c>
    </row>
    <row r="88" spans="9:27">
      <c r="I88" s="81" t="str">
        <f>IF(내역서업로드!A89&lt;&gt;"",내역서업로드!A89,"")</f>
        <v/>
      </c>
      <c r="J88" s="81" t="str">
        <f t="shared" si="28"/>
        <v/>
      </c>
      <c r="L88" s="82" t="str">
        <f t="shared" si="29"/>
        <v/>
      </c>
      <c r="M88" s="81" t="str">
        <f t="shared" si="30"/>
        <v/>
      </c>
      <c r="N88" s="81" t="str">
        <f t="shared" si="31"/>
        <v/>
      </c>
      <c r="O88" s="81" t="str">
        <f t="shared" si="32"/>
        <v/>
      </c>
      <c r="Q88" s="83" t="str">
        <f t="shared" si="33"/>
        <v/>
      </c>
      <c r="R88" s="84" t="str">
        <f t="shared" si="34"/>
        <v/>
      </c>
      <c r="S88" s="83" t="str">
        <f t="shared" si="35"/>
        <v/>
      </c>
      <c r="T88" s="84" t="str">
        <f t="shared" si="36"/>
        <v/>
      </c>
      <c r="U88" s="84" t="str">
        <f t="shared" si="37"/>
        <v/>
      </c>
      <c r="V88" s="85">
        <f>내역서업로드!E89</f>
        <v>0</v>
      </c>
      <c r="W88" s="86">
        <f t="shared" si="38"/>
        <v>0</v>
      </c>
      <c r="X88" s="86">
        <f t="shared" si="39"/>
        <v>0</v>
      </c>
      <c r="Y88" s="87">
        <f t="shared" si="40"/>
        <v>4</v>
      </c>
      <c r="Z88" s="87">
        <f t="shared" si="41"/>
        <v>0</v>
      </c>
      <c r="AA88" s="87">
        <f t="shared" si="42"/>
        <v>4</v>
      </c>
    </row>
    <row r="89" spans="9:27">
      <c r="I89" s="81" t="str">
        <f>IF(내역서업로드!A90&lt;&gt;"",내역서업로드!A90,"")</f>
        <v/>
      </c>
      <c r="J89" s="81" t="str">
        <f t="shared" si="28"/>
        <v/>
      </c>
      <c r="L89" s="82" t="str">
        <f t="shared" si="29"/>
        <v/>
      </c>
      <c r="M89" s="81" t="str">
        <f t="shared" si="30"/>
        <v/>
      </c>
      <c r="N89" s="81" t="str">
        <f t="shared" si="31"/>
        <v/>
      </c>
      <c r="O89" s="81" t="str">
        <f t="shared" si="32"/>
        <v/>
      </c>
      <c r="Q89" s="83" t="str">
        <f t="shared" si="33"/>
        <v/>
      </c>
      <c r="R89" s="84" t="str">
        <f t="shared" si="34"/>
        <v/>
      </c>
      <c r="S89" s="83" t="str">
        <f t="shared" si="35"/>
        <v/>
      </c>
      <c r="T89" s="84" t="str">
        <f t="shared" si="36"/>
        <v/>
      </c>
      <c r="U89" s="84" t="str">
        <f t="shared" si="37"/>
        <v/>
      </c>
      <c r="V89" s="85">
        <f>내역서업로드!E90</f>
        <v>0</v>
      </c>
      <c r="W89" s="86">
        <f t="shared" si="38"/>
        <v>0</v>
      </c>
      <c r="X89" s="86">
        <f t="shared" si="39"/>
        <v>0</v>
      </c>
      <c r="Y89" s="87">
        <f t="shared" si="40"/>
        <v>4</v>
      </c>
      <c r="Z89" s="87">
        <f t="shared" si="41"/>
        <v>0</v>
      </c>
      <c r="AA89" s="87">
        <f t="shared" si="42"/>
        <v>4</v>
      </c>
    </row>
    <row r="90" spans="9:27">
      <c r="I90" s="81" t="str">
        <f>IF(내역서업로드!A91&lt;&gt;"",내역서업로드!A91,"")</f>
        <v/>
      </c>
      <c r="J90" s="81" t="str">
        <f t="shared" si="28"/>
        <v/>
      </c>
      <c r="L90" s="82" t="str">
        <f t="shared" si="29"/>
        <v/>
      </c>
      <c r="M90" s="81" t="str">
        <f t="shared" si="30"/>
        <v/>
      </c>
      <c r="N90" s="81" t="str">
        <f t="shared" si="31"/>
        <v/>
      </c>
      <c r="O90" s="81" t="str">
        <f t="shared" si="32"/>
        <v/>
      </c>
      <c r="Q90" s="83" t="str">
        <f t="shared" si="33"/>
        <v/>
      </c>
      <c r="R90" s="84" t="str">
        <f t="shared" si="34"/>
        <v/>
      </c>
      <c r="S90" s="83" t="str">
        <f t="shared" si="35"/>
        <v/>
      </c>
      <c r="T90" s="84" t="str">
        <f t="shared" si="36"/>
        <v/>
      </c>
      <c r="U90" s="84" t="str">
        <f t="shared" si="37"/>
        <v/>
      </c>
      <c r="V90" s="85">
        <f>내역서업로드!E91</f>
        <v>0</v>
      </c>
      <c r="W90" s="86">
        <f t="shared" si="38"/>
        <v>0</v>
      </c>
      <c r="X90" s="86">
        <f t="shared" si="39"/>
        <v>0</v>
      </c>
      <c r="Y90" s="87">
        <f t="shared" si="40"/>
        <v>4</v>
      </c>
      <c r="Z90" s="87">
        <f t="shared" si="41"/>
        <v>0</v>
      </c>
      <c r="AA90" s="87">
        <f t="shared" si="42"/>
        <v>4</v>
      </c>
    </row>
    <row r="91" spans="9:27">
      <c r="I91" s="81" t="str">
        <f>IF(내역서업로드!A92&lt;&gt;"",내역서업로드!A92,"")</f>
        <v/>
      </c>
      <c r="J91" s="81" t="str">
        <f t="shared" si="28"/>
        <v/>
      </c>
      <c r="L91" s="82" t="str">
        <f t="shared" si="29"/>
        <v/>
      </c>
      <c r="M91" s="81" t="str">
        <f t="shared" si="30"/>
        <v/>
      </c>
      <c r="N91" s="81" t="str">
        <f t="shared" si="31"/>
        <v/>
      </c>
      <c r="O91" s="81" t="str">
        <f t="shared" si="32"/>
        <v/>
      </c>
      <c r="Q91" s="83" t="str">
        <f t="shared" si="33"/>
        <v/>
      </c>
      <c r="R91" s="84" t="str">
        <f t="shared" si="34"/>
        <v/>
      </c>
      <c r="S91" s="83" t="str">
        <f t="shared" si="35"/>
        <v/>
      </c>
      <c r="T91" s="84" t="str">
        <f t="shared" si="36"/>
        <v/>
      </c>
      <c r="U91" s="84" t="str">
        <f t="shared" si="37"/>
        <v/>
      </c>
      <c r="V91" s="85">
        <f>내역서업로드!E92</f>
        <v>0</v>
      </c>
      <c r="W91" s="86">
        <f t="shared" si="38"/>
        <v>0</v>
      </c>
      <c r="X91" s="86">
        <f t="shared" si="39"/>
        <v>0</v>
      </c>
      <c r="Y91" s="87">
        <f t="shared" si="40"/>
        <v>4</v>
      </c>
      <c r="Z91" s="87">
        <f t="shared" si="41"/>
        <v>0</v>
      </c>
      <c r="AA91" s="87">
        <f t="shared" si="42"/>
        <v>4</v>
      </c>
    </row>
    <row r="92" spans="9:27">
      <c r="I92" s="81" t="str">
        <f>IF(내역서업로드!A93&lt;&gt;"",내역서업로드!A93,"")</f>
        <v/>
      </c>
      <c r="J92" s="81" t="str">
        <f t="shared" si="28"/>
        <v/>
      </c>
      <c r="L92" s="82" t="str">
        <f t="shared" si="29"/>
        <v/>
      </c>
      <c r="M92" s="81" t="str">
        <f t="shared" si="30"/>
        <v/>
      </c>
      <c r="N92" s="81" t="str">
        <f t="shared" si="31"/>
        <v/>
      </c>
      <c r="O92" s="81" t="str">
        <f t="shared" si="32"/>
        <v/>
      </c>
      <c r="Q92" s="83" t="str">
        <f t="shared" si="33"/>
        <v/>
      </c>
      <c r="R92" s="84" t="str">
        <f t="shared" si="34"/>
        <v/>
      </c>
      <c r="S92" s="83" t="str">
        <f t="shared" si="35"/>
        <v/>
      </c>
      <c r="T92" s="84" t="str">
        <f t="shared" si="36"/>
        <v/>
      </c>
      <c r="U92" s="84" t="str">
        <f t="shared" si="37"/>
        <v/>
      </c>
      <c r="V92" s="85">
        <f>내역서업로드!E93</f>
        <v>0</v>
      </c>
      <c r="W92" s="86">
        <f t="shared" si="38"/>
        <v>0</v>
      </c>
      <c r="X92" s="86">
        <f t="shared" si="39"/>
        <v>0</v>
      </c>
      <c r="Y92" s="87">
        <f t="shared" si="40"/>
        <v>4</v>
      </c>
      <c r="Z92" s="87">
        <f t="shared" si="41"/>
        <v>0</v>
      </c>
      <c r="AA92" s="87">
        <f t="shared" si="42"/>
        <v>4</v>
      </c>
    </row>
    <row r="93" spans="9:27">
      <c r="I93" s="81" t="str">
        <f>IF(내역서업로드!A94&lt;&gt;"",내역서업로드!A94,"")</f>
        <v/>
      </c>
      <c r="J93" s="81" t="str">
        <f t="shared" si="28"/>
        <v/>
      </c>
      <c r="L93" s="82" t="str">
        <f t="shared" si="29"/>
        <v/>
      </c>
      <c r="M93" s="81" t="str">
        <f t="shared" si="30"/>
        <v/>
      </c>
      <c r="N93" s="81" t="str">
        <f t="shared" si="31"/>
        <v/>
      </c>
      <c r="O93" s="81" t="str">
        <f t="shared" si="32"/>
        <v/>
      </c>
      <c r="Q93" s="83" t="str">
        <f t="shared" si="33"/>
        <v/>
      </c>
      <c r="R93" s="84" t="str">
        <f t="shared" si="34"/>
        <v/>
      </c>
      <c r="S93" s="83" t="str">
        <f t="shared" si="35"/>
        <v/>
      </c>
      <c r="T93" s="84" t="str">
        <f t="shared" si="36"/>
        <v/>
      </c>
      <c r="U93" s="84" t="str">
        <f t="shared" si="37"/>
        <v/>
      </c>
      <c r="V93" s="85">
        <f>내역서업로드!E94</f>
        <v>0</v>
      </c>
      <c r="W93" s="86">
        <f t="shared" si="38"/>
        <v>0</v>
      </c>
      <c r="X93" s="86">
        <f t="shared" si="39"/>
        <v>0</v>
      </c>
      <c r="Y93" s="87">
        <f t="shared" si="40"/>
        <v>4</v>
      </c>
      <c r="Z93" s="87">
        <f t="shared" si="41"/>
        <v>0</v>
      </c>
      <c r="AA93" s="87">
        <f t="shared" si="42"/>
        <v>4</v>
      </c>
    </row>
    <row r="94" spans="9:27">
      <c r="I94" s="81" t="str">
        <f>IF(내역서업로드!A95&lt;&gt;"",내역서업로드!A95,"")</f>
        <v/>
      </c>
      <c r="J94" s="81" t="str">
        <f t="shared" si="28"/>
        <v/>
      </c>
      <c r="L94" s="82" t="str">
        <f t="shared" si="29"/>
        <v/>
      </c>
      <c r="M94" s="81" t="str">
        <f t="shared" si="30"/>
        <v/>
      </c>
      <c r="N94" s="81" t="str">
        <f t="shared" si="31"/>
        <v/>
      </c>
      <c r="O94" s="81" t="str">
        <f t="shared" si="32"/>
        <v/>
      </c>
      <c r="Q94" s="83" t="str">
        <f t="shared" si="33"/>
        <v/>
      </c>
      <c r="R94" s="84" t="str">
        <f t="shared" si="34"/>
        <v/>
      </c>
      <c r="S94" s="83" t="str">
        <f t="shared" si="35"/>
        <v/>
      </c>
      <c r="T94" s="84" t="str">
        <f t="shared" si="36"/>
        <v/>
      </c>
      <c r="U94" s="84" t="str">
        <f t="shared" si="37"/>
        <v/>
      </c>
      <c r="V94" s="85">
        <f>내역서업로드!E95</f>
        <v>0</v>
      </c>
      <c r="W94" s="86">
        <f t="shared" si="38"/>
        <v>0</v>
      </c>
      <c r="X94" s="86">
        <f t="shared" si="39"/>
        <v>0</v>
      </c>
      <c r="Y94" s="87">
        <f t="shared" si="40"/>
        <v>4</v>
      </c>
      <c r="Z94" s="87">
        <f t="shared" si="41"/>
        <v>0</v>
      </c>
      <c r="AA94" s="87">
        <f t="shared" si="42"/>
        <v>4</v>
      </c>
    </row>
    <row r="95" spans="9:27">
      <c r="I95" s="81" t="str">
        <f>IF(내역서업로드!A96&lt;&gt;"",내역서업로드!A96,"")</f>
        <v/>
      </c>
      <c r="J95" s="81" t="str">
        <f t="shared" si="28"/>
        <v/>
      </c>
      <c r="L95" s="82" t="str">
        <f t="shared" si="29"/>
        <v/>
      </c>
      <c r="M95" s="81" t="str">
        <f t="shared" si="30"/>
        <v/>
      </c>
      <c r="N95" s="81" t="str">
        <f t="shared" si="31"/>
        <v/>
      </c>
      <c r="O95" s="81" t="str">
        <f t="shared" si="32"/>
        <v/>
      </c>
      <c r="Q95" s="83" t="str">
        <f t="shared" si="33"/>
        <v/>
      </c>
      <c r="R95" s="84" t="str">
        <f t="shared" si="34"/>
        <v/>
      </c>
      <c r="S95" s="83" t="str">
        <f t="shared" si="35"/>
        <v/>
      </c>
      <c r="T95" s="84" t="str">
        <f t="shared" si="36"/>
        <v/>
      </c>
      <c r="U95" s="84" t="str">
        <f t="shared" si="37"/>
        <v/>
      </c>
      <c r="V95" s="85">
        <f>내역서업로드!E96</f>
        <v>0</v>
      </c>
      <c r="W95" s="86">
        <f t="shared" si="38"/>
        <v>0</v>
      </c>
      <c r="X95" s="86">
        <f t="shared" si="39"/>
        <v>0</v>
      </c>
      <c r="Y95" s="87">
        <f t="shared" si="40"/>
        <v>4</v>
      </c>
      <c r="Z95" s="87">
        <f t="shared" si="41"/>
        <v>0</v>
      </c>
      <c r="AA95" s="87">
        <f t="shared" si="42"/>
        <v>4</v>
      </c>
    </row>
    <row r="96" spans="9:27">
      <c r="I96" s="81" t="str">
        <f>IF(내역서업로드!A97&lt;&gt;"",내역서업로드!A97,"")</f>
        <v/>
      </c>
      <c r="J96" s="81" t="str">
        <f t="shared" si="28"/>
        <v/>
      </c>
      <c r="L96" s="82" t="str">
        <f t="shared" si="29"/>
        <v/>
      </c>
      <c r="M96" s="81" t="str">
        <f t="shared" si="30"/>
        <v/>
      </c>
      <c r="N96" s="81" t="str">
        <f t="shared" si="31"/>
        <v/>
      </c>
      <c r="O96" s="81" t="str">
        <f t="shared" si="32"/>
        <v/>
      </c>
      <c r="Q96" s="83" t="str">
        <f t="shared" si="33"/>
        <v/>
      </c>
      <c r="R96" s="84" t="str">
        <f t="shared" si="34"/>
        <v/>
      </c>
      <c r="S96" s="83" t="str">
        <f t="shared" si="35"/>
        <v/>
      </c>
      <c r="T96" s="84" t="str">
        <f t="shared" si="36"/>
        <v/>
      </c>
      <c r="U96" s="84" t="str">
        <f t="shared" si="37"/>
        <v/>
      </c>
      <c r="V96" s="85">
        <f>내역서업로드!E97</f>
        <v>0</v>
      </c>
      <c r="W96" s="86">
        <f t="shared" si="38"/>
        <v>0</v>
      </c>
      <c r="X96" s="86">
        <f t="shared" si="39"/>
        <v>0</v>
      </c>
      <c r="Y96" s="87">
        <f t="shared" si="40"/>
        <v>4</v>
      </c>
      <c r="Z96" s="87">
        <f t="shared" si="41"/>
        <v>0</v>
      </c>
      <c r="AA96" s="87">
        <f t="shared" si="42"/>
        <v>4</v>
      </c>
    </row>
    <row r="97" spans="9:27">
      <c r="I97" s="81" t="str">
        <f>IF(내역서업로드!A98&lt;&gt;"",내역서업로드!A98,"")</f>
        <v/>
      </c>
      <c r="J97" s="81" t="str">
        <f t="shared" si="28"/>
        <v/>
      </c>
      <c r="L97" s="82" t="str">
        <f t="shared" si="29"/>
        <v/>
      </c>
      <c r="M97" s="81" t="str">
        <f t="shared" si="30"/>
        <v/>
      </c>
      <c r="N97" s="81" t="str">
        <f t="shared" si="31"/>
        <v/>
      </c>
      <c r="O97" s="81" t="str">
        <f t="shared" si="32"/>
        <v/>
      </c>
      <c r="Q97" s="83" t="str">
        <f t="shared" si="33"/>
        <v/>
      </c>
      <c r="R97" s="84" t="str">
        <f t="shared" si="34"/>
        <v/>
      </c>
      <c r="S97" s="83" t="str">
        <f t="shared" si="35"/>
        <v/>
      </c>
      <c r="T97" s="84" t="str">
        <f t="shared" si="36"/>
        <v/>
      </c>
      <c r="U97" s="84" t="str">
        <f t="shared" si="37"/>
        <v/>
      </c>
      <c r="V97" s="85">
        <f>내역서업로드!E98</f>
        <v>0</v>
      </c>
      <c r="W97" s="86">
        <f t="shared" si="38"/>
        <v>0</v>
      </c>
      <c r="X97" s="86">
        <f t="shared" si="39"/>
        <v>0</v>
      </c>
      <c r="Y97" s="87">
        <f t="shared" si="40"/>
        <v>4</v>
      </c>
      <c r="Z97" s="87">
        <f t="shared" si="41"/>
        <v>0</v>
      </c>
      <c r="AA97" s="87">
        <f t="shared" si="42"/>
        <v>4</v>
      </c>
    </row>
    <row r="98" spans="9:27">
      <c r="I98" s="81" t="str">
        <f>IF(내역서업로드!A99&lt;&gt;"",내역서업로드!A99,"")</f>
        <v/>
      </c>
      <c r="J98" s="81" t="str">
        <f t="shared" si="28"/>
        <v/>
      </c>
      <c r="L98" s="82" t="str">
        <f t="shared" si="29"/>
        <v/>
      </c>
      <c r="M98" s="81" t="str">
        <f t="shared" si="30"/>
        <v/>
      </c>
      <c r="N98" s="81" t="str">
        <f t="shared" si="31"/>
        <v/>
      </c>
      <c r="O98" s="81" t="str">
        <f t="shared" si="32"/>
        <v/>
      </c>
      <c r="Q98" s="83" t="str">
        <f t="shared" si="33"/>
        <v/>
      </c>
      <c r="R98" s="84" t="str">
        <f t="shared" si="34"/>
        <v/>
      </c>
      <c r="S98" s="83" t="str">
        <f t="shared" si="35"/>
        <v/>
      </c>
      <c r="T98" s="84" t="str">
        <f t="shared" si="36"/>
        <v/>
      </c>
      <c r="U98" s="84" t="str">
        <f t="shared" si="37"/>
        <v/>
      </c>
      <c r="V98" s="85">
        <f>내역서업로드!E99</f>
        <v>0</v>
      </c>
      <c r="W98" s="86">
        <f t="shared" si="38"/>
        <v>0</v>
      </c>
      <c r="X98" s="86">
        <f t="shared" si="39"/>
        <v>0</v>
      </c>
      <c r="Y98" s="87">
        <f t="shared" si="40"/>
        <v>4</v>
      </c>
      <c r="Z98" s="87">
        <f t="shared" si="41"/>
        <v>0</v>
      </c>
      <c r="AA98" s="87">
        <f t="shared" si="42"/>
        <v>4</v>
      </c>
    </row>
    <row r="99" spans="9:27">
      <c r="I99" s="81" t="str">
        <f>IF(내역서업로드!A100&lt;&gt;"",내역서업로드!A100,"")</f>
        <v/>
      </c>
      <c r="J99" s="81" t="str">
        <f t="shared" si="28"/>
        <v/>
      </c>
      <c r="L99" s="82" t="str">
        <f t="shared" si="29"/>
        <v/>
      </c>
      <c r="M99" s="81" t="str">
        <f t="shared" si="30"/>
        <v/>
      </c>
      <c r="N99" s="81" t="str">
        <f t="shared" si="31"/>
        <v/>
      </c>
      <c r="O99" s="81" t="str">
        <f t="shared" si="32"/>
        <v/>
      </c>
      <c r="Q99" s="83" t="str">
        <f t="shared" si="33"/>
        <v/>
      </c>
      <c r="R99" s="84" t="str">
        <f t="shared" si="34"/>
        <v/>
      </c>
      <c r="S99" s="83" t="str">
        <f t="shared" si="35"/>
        <v/>
      </c>
      <c r="T99" s="84" t="str">
        <f t="shared" si="36"/>
        <v/>
      </c>
      <c r="U99" s="84" t="str">
        <f t="shared" si="37"/>
        <v/>
      </c>
      <c r="V99" s="85">
        <f>내역서업로드!E100</f>
        <v>0</v>
      </c>
      <c r="W99" s="86">
        <f t="shared" si="38"/>
        <v>0</v>
      </c>
      <c r="X99" s="86">
        <f t="shared" si="39"/>
        <v>0</v>
      </c>
      <c r="Y99" s="87">
        <f t="shared" si="40"/>
        <v>4</v>
      </c>
      <c r="Z99" s="87">
        <f t="shared" si="41"/>
        <v>0</v>
      </c>
      <c r="AA99" s="87">
        <f t="shared" si="42"/>
        <v>4</v>
      </c>
    </row>
    <row r="100" spans="9:27">
      <c r="I100" s="81" t="str">
        <f>IF(내역서업로드!A101&lt;&gt;"",내역서업로드!A101,"")</f>
        <v/>
      </c>
      <c r="J100" s="81" t="str">
        <f t="shared" si="28"/>
        <v/>
      </c>
      <c r="L100" s="82" t="str">
        <f t="shared" si="29"/>
        <v/>
      </c>
      <c r="M100" s="81" t="str">
        <f t="shared" si="30"/>
        <v/>
      </c>
      <c r="N100" s="81" t="str">
        <f t="shared" si="31"/>
        <v/>
      </c>
      <c r="O100" s="81" t="str">
        <f t="shared" si="32"/>
        <v/>
      </c>
      <c r="Q100" s="83" t="str">
        <f t="shared" si="33"/>
        <v/>
      </c>
      <c r="R100" s="84" t="str">
        <f t="shared" si="34"/>
        <v/>
      </c>
      <c r="S100" s="83" t="str">
        <f t="shared" si="35"/>
        <v/>
      </c>
      <c r="T100" s="84" t="str">
        <f t="shared" si="36"/>
        <v/>
      </c>
      <c r="U100" s="84" t="str">
        <f t="shared" si="37"/>
        <v/>
      </c>
      <c r="V100" s="85">
        <f>내역서업로드!E101</f>
        <v>0</v>
      </c>
      <c r="W100" s="86">
        <f t="shared" si="38"/>
        <v>0</v>
      </c>
      <c r="X100" s="86">
        <f t="shared" si="39"/>
        <v>0</v>
      </c>
      <c r="Y100" s="87">
        <f t="shared" si="40"/>
        <v>4</v>
      </c>
      <c r="Z100" s="87">
        <f t="shared" si="41"/>
        <v>0</v>
      </c>
      <c r="AA100" s="87">
        <f t="shared" si="42"/>
        <v>4</v>
      </c>
    </row>
    <row r="101" spans="9:27">
      <c r="I101" s="81" t="str">
        <f>IF(내역서업로드!A102&lt;&gt;"",내역서업로드!A102,"")</f>
        <v/>
      </c>
      <c r="J101" s="81" t="str">
        <f t="shared" si="28"/>
        <v/>
      </c>
      <c r="L101" s="82" t="str">
        <f t="shared" si="29"/>
        <v/>
      </c>
      <c r="M101" s="81" t="str">
        <f t="shared" si="30"/>
        <v/>
      </c>
      <c r="N101" s="81" t="str">
        <f t="shared" si="31"/>
        <v/>
      </c>
      <c r="O101" s="81" t="str">
        <f t="shared" si="32"/>
        <v/>
      </c>
      <c r="Q101" s="83" t="str">
        <f t="shared" si="33"/>
        <v/>
      </c>
      <c r="R101" s="84" t="str">
        <f t="shared" si="34"/>
        <v/>
      </c>
      <c r="S101" s="83" t="str">
        <f t="shared" si="35"/>
        <v/>
      </c>
      <c r="T101" s="84" t="str">
        <f t="shared" si="36"/>
        <v/>
      </c>
      <c r="U101" s="84" t="str">
        <f t="shared" si="37"/>
        <v/>
      </c>
      <c r="V101" s="85">
        <f>내역서업로드!E102</f>
        <v>0</v>
      </c>
      <c r="W101" s="86">
        <f t="shared" si="38"/>
        <v>0</v>
      </c>
      <c r="X101" s="86">
        <f t="shared" si="39"/>
        <v>0</v>
      </c>
      <c r="Y101" s="87">
        <f t="shared" si="40"/>
        <v>4</v>
      </c>
      <c r="Z101" s="87">
        <f t="shared" si="41"/>
        <v>0</v>
      </c>
      <c r="AA101" s="87">
        <f t="shared" si="42"/>
        <v>4</v>
      </c>
    </row>
    <row r="102" spans="9:27">
      <c r="I102" s="81" t="str">
        <f>IF(내역서업로드!A103&lt;&gt;"",내역서업로드!A103,"")</f>
        <v/>
      </c>
      <c r="J102" s="81" t="str">
        <f t="shared" si="28"/>
        <v/>
      </c>
      <c r="L102" s="82" t="str">
        <f t="shared" si="29"/>
        <v/>
      </c>
      <c r="M102" s="81" t="str">
        <f t="shared" si="30"/>
        <v/>
      </c>
      <c r="N102" s="81" t="str">
        <f t="shared" si="31"/>
        <v/>
      </c>
      <c r="O102" s="81" t="str">
        <f t="shared" si="32"/>
        <v/>
      </c>
      <c r="Q102" s="83" t="str">
        <f t="shared" si="33"/>
        <v/>
      </c>
      <c r="R102" s="84" t="str">
        <f t="shared" si="34"/>
        <v/>
      </c>
      <c r="S102" s="83" t="str">
        <f t="shared" si="35"/>
        <v/>
      </c>
      <c r="T102" s="84" t="str">
        <f t="shared" si="36"/>
        <v/>
      </c>
      <c r="U102" s="84" t="str">
        <f t="shared" si="37"/>
        <v/>
      </c>
      <c r="V102" s="85">
        <f>내역서업로드!E103</f>
        <v>0</v>
      </c>
      <c r="W102" s="86">
        <f t="shared" si="38"/>
        <v>0</v>
      </c>
      <c r="X102" s="86">
        <f t="shared" si="39"/>
        <v>0</v>
      </c>
      <c r="Y102" s="87">
        <f t="shared" si="40"/>
        <v>4</v>
      </c>
      <c r="Z102" s="87">
        <f t="shared" si="41"/>
        <v>0</v>
      </c>
      <c r="AA102" s="87">
        <f t="shared" si="42"/>
        <v>4</v>
      </c>
    </row>
    <row r="103" spans="9:27">
      <c r="I103" s="81" t="str">
        <f>IF(내역서업로드!A104&lt;&gt;"",내역서업로드!A104,"")</f>
        <v/>
      </c>
      <c r="J103" s="81" t="str">
        <f t="shared" si="28"/>
        <v/>
      </c>
      <c r="L103" s="82" t="str">
        <f t="shared" si="29"/>
        <v/>
      </c>
      <c r="M103" s="81" t="str">
        <f t="shared" si="30"/>
        <v/>
      </c>
      <c r="N103" s="81" t="str">
        <f t="shared" si="31"/>
        <v/>
      </c>
      <c r="O103" s="81" t="str">
        <f t="shared" si="32"/>
        <v/>
      </c>
      <c r="Q103" s="83" t="str">
        <f t="shared" si="33"/>
        <v/>
      </c>
      <c r="R103" s="84" t="str">
        <f t="shared" si="34"/>
        <v/>
      </c>
      <c r="S103" s="83" t="str">
        <f t="shared" si="35"/>
        <v/>
      </c>
      <c r="T103" s="84" t="str">
        <f t="shared" si="36"/>
        <v/>
      </c>
      <c r="U103" s="84" t="str">
        <f t="shared" si="37"/>
        <v/>
      </c>
      <c r="V103" s="85">
        <f>내역서업로드!E104</f>
        <v>0</v>
      </c>
      <c r="W103" s="86">
        <f t="shared" si="38"/>
        <v>0</v>
      </c>
      <c r="X103" s="86">
        <f t="shared" si="39"/>
        <v>0</v>
      </c>
      <c r="Y103" s="87">
        <f t="shared" si="40"/>
        <v>4</v>
      </c>
      <c r="Z103" s="87">
        <f t="shared" si="41"/>
        <v>0</v>
      </c>
      <c r="AA103" s="87">
        <f t="shared" si="42"/>
        <v>4</v>
      </c>
    </row>
    <row r="104" spans="9:27">
      <c r="I104" s="81" t="str">
        <f>IF(내역서업로드!A105&lt;&gt;"",내역서업로드!A105,"")</f>
        <v/>
      </c>
      <c r="J104" s="81" t="str">
        <f t="shared" si="28"/>
        <v/>
      </c>
      <c r="L104" s="82" t="str">
        <f t="shared" si="29"/>
        <v/>
      </c>
      <c r="M104" s="81" t="str">
        <f t="shared" si="30"/>
        <v/>
      </c>
      <c r="N104" s="81" t="str">
        <f t="shared" si="31"/>
        <v/>
      </c>
      <c r="O104" s="81" t="str">
        <f t="shared" si="32"/>
        <v/>
      </c>
      <c r="Q104" s="83" t="str">
        <f t="shared" si="33"/>
        <v/>
      </c>
      <c r="R104" s="84" t="str">
        <f t="shared" si="34"/>
        <v/>
      </c>
      <c r="S104" s="83" t="str">
        <f t="shared" si="35"/>
        <v/>
      </c>
      <c r="T104" s="84" t="str">
        <f t="shared" si="36"/>
        <v/>
      </c>
      <c r="U104" s="84" t="str">
        <f t="shared" si="37"/>
        <v/>
      </c>
      <c r="V104" s="85">
        <f>내역서업로드!E105</f>
        <v>0</v>
      </c>
      <c r="W104" s="86">
        <f t="shared" si="38"/>
        <v>0</v>
      </c>
      <c r="X104" s="86">
        <f t="shared" si="39"/>
        <v>0</v>
      </c>
      <c r="Y104" s="87">
        <f t="shared" si="40"/>
        <v>4</v>
      </c>
      <c r="Z104" s="87">
        <f t="shared" si="41"/>
        <v>0</v>
      </c>
      <c r="AA104" s="87">
        <f t="shared" si="42"/>
        <v>4</v>
      </c>
    </row>
    <row r="105" spans="9:27">
      <c r="I105" s="81" t="str">
        <f>IF(내역서업로드!A106&lt;&gt;"",내역서업로드!A106,"")</f>
        <v/>
      </c>
      <c r="J105" s="81" t="str">
        <f t="shared" si="28"/>
        <v/>
      </c>
      <c r="L105" s="82" t="str">
        <f t="shared" si="29"/>
        <v/>
      </c>
      <c r="M105" s="81" t="str">
        <f t="shared" si="30"/>
        <v/>
      </c>
      <c r="N105" s="81" t="str">
        <f t="shared" si="31"/>
        <v/>
      </c>
      <c r="O105" s="81" t="str">
        <f t="shared" si="32"/>
        <v/>
      </c>
      <c r="Q105" s="83" t="str">
        <f t="shared" si="33"/>
        <v/>
      </c>
      <c r="R105" s="84" t="str">
        <f t="shared" si="34"/>
        <v/>
      </c>
      <c r="S105" s="83" t="str">
        <f t="shared" si="35"/>
        <v/>
      </c>
      <c r="T105" s="84" t="str">
        <f t="shared" si="36"/>
        <v/>
      </c>
      <c r="U105" s="84" t="str">
        <f t="shared" si="37"/>
        <v/>
      </c>
      <c r="V105" s="85">
        <f>내역서업로드!E106</f>
        <v>0</v>
      </c>
      <c r="W105" s="86">
        <f t="shared" si="38"/>
        <v>0</v>
      </c>
      <c r="X105" s="86">
        <f t="shared" si="39"/>
        <v>0</v>
      </c>
      <c r="Y105" s="87">
        <f t="shared" si="40"/>
        <v>4</v>
      </c>
      <c r="Z105" s="87">
        <f t="shared" si="41"/>
        <v>0</v>
      </c>
      <c r="AA105" s="87">
        <f t="shared" si="42"/>
        <v>4</v>
      </c>
    </row>
    <row r="106" spans="9:27">
      <c r="I106" s="81" t="str">
        <f>IF(내역서업로드!A107&lt;&gt;"",내역서업로드!A107,"")</f>
        <v/>
      </c>
      <c r="J106" s="81" t="str">
        <f t="shared" si="28"/>
        <v/>
      </c>
      <c r="L106" s="82" t="str">
        <f t="shared" si="29"/>
        <v/>
      </c>
      <c r="M106" s="81" t="str">
        <f t="shared" si="30"/>
        <v/>
      </c>
      <c r="N106" s="81" t="str">
        <f t="shared" si="31"/>
        <v/>
      </c>
      <c r="O106" s="81" t="str">
        <f t="shared" si="32"/>
        <v/>
      </c>
      <c r="Q106" s="83" t="str">
        <f t="shared" si="33"/>
        <v/>
      </c>
      <c r="R106" s="84" t="str">
        <f t="shared" si="34"/>
        <v/>
      </c>
      <c r="S106" s="83" t="str">
        <f t="shared" si="35"/>
        <v/>
      </c>
      <c r="T106" s="84" t="str">
        <f t="shared" si="36"/>
        <v/>
      </c>
      <c r="U106" s="84" t="str">
        <f t="shared" si="37"/>
        <v/>
      </c>
      <c r="V106" s="85">
        <f>내역서업로드!E107</f>
        <v>0</v>
      </c>
      <c r="W106" s="86">
        <f t="shared" si="38"/>
        <v>0</v>
      </c>
      <c r="X106" s="86">
        <f t="shared" si="39"/>
        <v>0</v>
      </c>
      <c r="Y106" s="87">
        <f t="shared" si="40"/>
        <v>4</v>
      </c>
      <c r="Z106" s="87">
        <f t="shared" si="41"/>
        <v>0</v>
      </c>
      <c r="AA106" s="87">
        <f t="shared" si="42"/>
        <v>4</v>
      </c>
    </row>
    <row r="107" spans="9:27">
      <c r="I107" s="81" t="str">
        <f>IF(내역서업로드!A108&lt;&gt;"",내역서업로드!A108,"")</f>
        <v/>
      </c>
      <c r="J107" s="81" t="str">
        <f t="shared" si="28"/>
        <v/>
      </c>
      <c r="L107" s="82" t="str">
        <f t="shared" si="29"/>
        <v/>
      </c>
      <c r="M107" s="81" t="str">
        <f t="shared" si="30"/>
        <v/>
      </c>
      <c r="N107" s="81" t="str">
        <f t="shared" si="31"/>
        <v/>
      </c>
      <c r="O107" s="81" t="str">
        <f t="shared" si="32"/>
        <v/>
      </c>
      <c r="Q107" s="83" t="str">
        <f t="shared" si="33"/>
        <v/>
      </c>
      <c r="R107" s="84" t="str">
        <f t="shared" si="34"/>
        <v/>
      </c>
      <c r="S107" s="83" t="str">
        <f t="shared" si="35"/>
        <v/>
      </c>
      <c r="T107" s="84" t="str">
        <f t="shared" si="36"/>
        <v/>
      </c>
      <c r="U107" s="84" t="str">
        <f t="shared" si="37"/>
        <v/>
      </c>
      <c r="V107" s="85">
        <f>내역서업로드!E108</f>
        <v>0</v>
      </c>
      <c r="W107" s="86">
        <f t="shared" si="38"/>
        <v>0</v>
      </c>
      <c r="X107" s="86">
        <f t="shared" si="39"/>
        <v>0</v>
      </c>
      <c r="Y107" s="87">
        <f t="shared" si="40"/>
        <v>4</v>
      </c>
      <c r="Z107" s="87">
        <f t="shared" si="41"/>
        <v>0</v>
      </c>
      <c r="AA107" s="87">
        <f t="shared" si="42"/>
        <v>4</v>
      </c>
    </row>
    <row r="108" spans="9:27">
      <c r="I108" s="81" t="str">
        <f>IF(내역서업로드!A109&lt;&gt;"",내역서업로드!A109,"")</f>
        <v/>
      </c>
      <c r="J108" s="81" t="str">
        <f t="shared" si="28"/>
        <v/>
      </c>
      <c r="L108" s="82" t="str">
        <f t="shared" si="29"/>
        <v/>
      </c>
      <c r="M108" s="81" t="str">
        <f t="shared" si="30"/>
        <v/>
      </c>
      <c r="N108" s="81" t="str">
        <f t="shared" si="31"/>
        <v/>
      </c>
      <c r="O108" s="81" t="str">
        <f t="shared" si="32"/>
        <v/>
      </c>
      <c r="Q108" s="83" t="str">
        <f t="shared" si="33"/>
        <v/>
      </c>
      <c r="R108" s="84" t="str">
        <f t="shared" si="34"/>
        <v/>
      </c>
      <c r="S108" s="83" t="str">
        <f t="shared" si="35"/>
        <v/>
      </c>
      <c r="T108" s="84" t="str">
        <f t="shared" si="36"/>
        <v/>
      </c>
      <c r="U108" s="84" t="str">
        <f t="shared" si="37"/>
        <v/>
      </c>
      <c r="V108" s="85">
        <f>내역서업로드!E109</f>
        <v>0</v>
      </c>
      <c r="W108" s="86">
        <f t="shared" si="38"/>
        <v>0</v>
      </c>
      <c r="X108" s="86">
        <f t="shared" si="39"/>
        <v>0</v>
      </c>
      <c r="Y108" s="87">
        <f t="shared" si="40"/>
        <v>4</v>
      </c>
      <c r="Z108" s="87">
        <f t="shared" si="41"/>
        <v>0</v>
      </c>
      <c r="AA108" s="87">
        <f t="shared" si="42"/>
        <v>4</v>
      </c>
    </row>
    <row r="109" spans="9:27">
      <c r="I109" s="81" t="str">
        <f>IF(내역서업로드!A110&lt;&gt;"",내역서업로드!A110,"")</f>
        <v/>
      </c>
      <c r="J109" s="81" t="str">
        <f t="shared" si="28"/>
        <v/>
      </c>
      <c r="L109" s="82" t="str">
        <f t="shared" si="29"/>
        <v/>
      </c>
      <c r="M109" s="81" t="str">
        <f t="shared" si="30"/>
        <v/>
      </c>
      <c r="N109" s="81" t="str">
        <f t="shared" si="31"/>
        <v/>
      </c>
      <c r="O109" s="81" t="str">
        <f t="shared" si="32"/>
        <v/>
      </c>
      <c r="Q109" s="83" t="str">
        <f t="shared" si="33"/>
        <v/>
      </c>
      <c r="R109" s="84" t="str">
        <f t="shared" si="34"/>
        <v/>
      </c>
      <c r="S109" s="83" t="str">
        <f t="shared" si="35"/>
        <v/>
      </c>
      <c r="T109" s="84" t="str">
        <f t="shared" si="36"/>
        <v/>
      </c>
      <c r="U109" s="84" t="str">
        <f t="shared" si="37"/>
        <v/>
      </c>
      <c r="V109" s="85">
        <f>내역서업로드!E110</f>
        <v>0</v>
      </c>
      <c r="W109" s="86">
        <f t="shared" si="38"/>
        <v>0</v>
      </c>
      <c r="X109" s="86">
        <f t="shared" si="39"/>
        <v>0</v>
      </c>
      <c r="Y109" s="87">
        <f t="shared" si="40"/>
        <v>4</v>
      </c>
      <c r="Z109" s="87">
        <f t="shared" si="41"/>
        <v>0</v>
      </c>
      <c r="AA109" s="87">
        <f t="shared" si="42"/>
        <v>4</v>
      </c>
    </row>
    <row r="110" spans="9:27">
      <c r="I110" s="81" t="str">
        <f>IF(내역서업로드!A111&lt;&gt;"",내역서업로드!A111,"")</f>
        <v/>
      </c>
      <c r="J110" s="81" t="str">
        <f t="shared" si="28"/>
        <v/>
      </c>
      <c r="L110" s="82" t="str">
        <f t="shared" si="29"/>
        <v/>
      </c>
      <c r="M110" s="81" t="str">
        <f t="shared" si="30"/>
        <v/>
      </c>
      <c r="N110" s="81" t="str">
        <f t="shared" si="31"/>
        <v/>
      </c>
      <c r="O110" s="81" t="str">
        <f t="shared" si="32"/>
        <v/>
      </c>
      <c r="Q110" s="83" t="str">
        <f t="shared" si="33"/>
        <v/>
      </c>
      <c r="R110" s="84" t="str">
        <f t="shared" si="34"/>
        <v/>
      </c>
      <c r="S110" s="83" t="str">
        <f t="shared" si="35"/>
        <v/>
      </c>
      <c r="T110" s="84" t="str">
        <f t="shared" si="36"/>
        <v/>
      </c>
      <c r="U110" s="84" t="str">
        <f t="shared" si="37"/>
        <v/>
      </c>
      <c r="V110" s="85">
        <f>내역서업로드!E111</f>
        <v>0</v>
      </c>
      <c r="W110" s="86">
        <f t="shared" si="38"/>
        <v>0</v>
      </c>
      <c r="X110" s="86">
        <f t="shared" si="39"/>
        <v>0</v>
      </c>
      <c r="Y110" s="87">
        <f t="shared" si="40"/>
        <v>4</v>
      </c>
      <c r="Z110" s="87">
        <f t="shared" si="41"/>
        <v>0</v>
      </c>
      <c r="AA110" s="87">
        <f t="shared" si="42"/>
        <v>4</v>
      </c>
    </row>
    <row r="111" spans="9:27">
      <c r="I111" s="81" t="str">
        <f>IF(내역서업로드!A112&lt;&gt;"",내역서업로드!A112,"")</f>
        <v/>
      </c>
      <c r="J111" s="81" t="str">
        <f t="shared" si="28"/>
        <v/>
      </c>
      <c r="L111" s="82" t="str">
        <f t="shared" si="29"/>
        <v/>
      </c>
      <c r="M111" s="81" t="str">
        <f t="shared" si="30"/>
        <v/>
      </c>
      <c r="N111" s="81" t="str">
        <f t="shared" si="31"/>
        <v/>
      </c>
      <c r="O111" s="81" t="str">
        <f t="shared" si="32"/>
        <v/>
      </c>
      <c r="Q111" s="83" t="str">
        <f t="shared" si="33"/>
        <v/>
      </c>
      <c r="R111" s="84" t="str">
        <f t="shared" si="34"/>
        <v/>
      </c>
      <c r="S111" s="83" t="str">
        <f t="shared" si="35"/>
        <v/>
      </c>
      <c r="T111" s="84" t="str">
        <f t="shared" si="36"/>
        <v/>
      </c>
      <c r="U111" s="84" t="str">
        <f t="shared" si="37"/>
        <v/>
      </c>
      <c r="V111" s="85">
        <f>내역서업로드!E112</f>
        <v>0</v>
      </c>
      <c r="W111" s="86">
        <f t="shared" si="38"/>
        <v>0</v>
      </c>
      <c r="X111" s="86">
        <f t="shared" si="39"/>
        <v>0</v>
      </c>
      <c r="Y111" s="87">
        <f t="shared" si="40"/>
        <v>4</v>
      </c>
      <c r="Z111" s="87">
        <f t="shared" si="41"/>
        <v>0</v>
      </c>
      <c r="AA111" s="87">
        <f t="shared" si="42"/>
        <v>4</v>
      </c>
    </row>
    <row r="112" spans="9:27">
      <c r="I112" s="81" t="str">
        <f>IF(내역서업로드!A113&lt;&gt;"",내역서업로드!A113,"")</f>
        <v/>
      </c>
      <c r="J112" s="81" t="str">
        <f t="shared" si="28"/>
        <v/>
      </c>
      <c r="L112" s="82" t="str">
        <f t="shared" si="29"/>
        <v/>
      </c>
      <c r="M112" s="81" t="str">
        <f t="shared" si="30"/>
        <v/>
      </c>
      <c r="N112" s="81" t="str">
        <f t="shared" si="31"/>
        <v/>
      </c>
      <c r="O112" s="81" t="str">
        <f t="shared" si="32"/>
        <v/>
      </c>
      <c r="Q112" s="83" t="str">
        <f t="shared" si="33"/>
        <v/>
      </c>
      <c r="R112" s="84" t="str">
        <f t="shared" si="34"/>
        <v/>
      </c>
      <c r="S112" s="83" t="str">
        <f t="shared" si="35"/>
        <v/>
      </c>
      <c r="T112" s="84" t="str">
        <f t="shared" si="36"/>
        <v/>
      </c>
      <c r="U112" s="84" t="str">
        <f t="shared" si="37"/>
        <v/>
      </c>
      <c r="V112" s="85">
        <f>내역서업로드!E113</f>
        <v>0</v>
      </c>
      <c r="W112" s="86">
        <f t="shared" si="38"/>
        <v>0</v>
      </c>
      <c r="X112" s="86">
        <f t="shared" si="39"/>
        <v>0</v>
      </c>
      <c r="Y112" s="87">
        <f t="shared" si="40"/>
        <v>4</v>
      </c>
      <c r="Z112" s="87">
        <f t="shared" si="41"/>
        <v>0</v>
      </c>
      <c r="AA112" s="87">
        <f t="shared" si="42"/>
        <v>4</v>
      </c>
    </row>
    <row r="113" spans="9:27">
      <c r="I113" s="81" t="str">
        <f>IF(내역서업로드!A114&lt;&gt;"",내역서업로드!A114,"")</f>
        <v/>
      </c>
      <c r="J113" s="81" t="str">
        <f t="shared" si="28"/>
        <v/>
      </c>
      <c r="L113" s="82" t="str">
        <f t="shared" si="29"/>
        <v/>
      </c>
      <c r="M113" s="81" t="str">
        <f t="shared" si="30"/>
        <v/>
      </c>
      <c r="N113" s="81" t="str">
        <f t="shared" si="31"/>
        <v/>
      </c>
      <c r="O113" s="81" t="str">
        <f t="shared" si="32"/>
        <v/>
      </c>
      <c r="Q113" s="83" t="str">
        <f t="shared" si="33"/>
        <v/>
      </c>
      <c r="R113" s="84" t="str">
        <f t="shared" si="34"/>
        <v/>
      </c>
      <c r="S113" s="83" t="str">
        <f t="shared" si="35"/>
        <v/>
      </c>
      <c r="T113" s="84" t="str">
        <f t="shared" si="36"/>
        <v/>
      </c>
      <c r="U113" s="84" t="str">
        <f t="shared" si="37"/>
        <v/>
      </c>
      <c r="V113" s="85">
        <f>내역서업로드!E114</f>
        <v>0</v>
      </c>
      <c r="W113" s="86">
        <f t="shared" si="38"/>
        <v>0</v>
      </c>
      <c r="X113" s="86">
        <f t="shared" si="39"/>
        <v>0</v>
      </c>
      <c r="Y113" s="87">
        <f t="shared" si="40"/>
        <v>4</v>
      </c>
      <c r="Z113" s="87">
        <f t="shared" si="41"/>
        <v>0</v>
      </c>
      <c r="AA113" s="87">
        <f t="shared" si="42"/>
        <v>4</v>
      </c>
    </row>
    <row r="114" spans="9:27">
      <c r="I114" s="81" t="str">
        <f>IF(내역서업로드!A115&lt;&gt;"",내역서업로드!A115,"")</f>
        <v/>
      </c>
      <c r="J114" s="81" t="str">
        <f t="shared" si="28"/>
        <v/>
      </c>
      <c r="L114" s="82" t="str">
        <f t="shared" si="29"/>
        <v/>
      </c>
      <c r="M114" s="81" t="str">
        <f t="shared" si="30"/>
        <v/>
      </c>
      <c r="N114" s="81" t="str">
        <f t="shared" si="31"/>
        <v/>
      </c>
      <c r="O114" s="81" t="str">
        <f t="shared" si="32"/>
        <v/>
      </c>
      <c r="Q114" s="83" t="str">
        <f t="shared" si="33"/>
        <v/>
      </c>
      <c r="R114" s="84" t="str">
        <f t="shared" si="34"/>
        <v/>
      </c>
      <c r="S114" s="83" t="str">
        <f t="shared" si="35"/>
        <v/>
      </c>
      <c r="T114" s="84" t="str">
        <f t="shared" si="36"/>
        <v/>
      </c>
      <c r="U114" s="84" t="str">
        <f t="shared" si="37"/>
        <v/>
      </c>
      <c r="V114" s="85">
        <f>내역서업로드!E115</f>
        <v>0</v>
      </c>
      <c r="W114" s="86">
        <f t="shared" si="38"/>
        <v>0</v>
      </c>
      <c r="X114" s="86">
        <f t="shared" si="39"/>
        <v>0</v>
      </c>
      <c r="Y114" s="87">
        <f t="shared" si="40"/>
        <v>4</v>
      </c>
      <c r="Z114" s="87">
        <f t="shared" si="41"/>
        <v>0</v>
      </c>
      <c r="AA114" s="87">
        <f t="shared" si="42"/>
        <v>4</v>
      </c>
    </row>
    <row r="115" spans="9:27">
      <c r="I115" s="81" t="str">
        <f>IF(내역서업로드!A116&lt;&gt;"",내역서업로드!A116,"")</f>
        <v/>
      </c>
      <c r="J115" s="81" t="str">
        <f t="shared" si="28"/>
        <v/>
      </c>
      <c r="L115" s="82" t="str">
        <f t="shared" si="29"/>
        <v/>
      </c>
      <c r="M115" s="81" t="str">
        <f t="shared" si="30"/>
        <v/>
      </c>
      <c r="N115" s="81" t="str">
        <f t="shared" si="31"/>
        <v/>
      </c>
      <c r="O115" s="81" t="str">
        <f t="shared" si="32"/>
        <v/>
      </c>
      <c r="Q115" s="83" t="str">
        <f t="shared" si="33"/>
        <v/>
      </c>
      <c r="R115" s="84" t="str">
        <f t="shared" si="34"/>
        <v/>
      </c>
      <c r="S115" s="83" t="str">
        <f t="shared" si="35"/>
        <v/>
      </c>
      <c r="T115" s="84" t="str">
        <f t="shared" si="36"/>
        <v/>
      </c>
      <c r="U115" s="84" t="str">
        <f t="shared" si="37"/>
        <v/>
      </c>
      <c r="V115" s="85">
        <f>내역서업로드!E116</f>
        <v>0</v>
      </c>
      <c r="W115" s="86">
        <f t="shared" si="38"/>
        <v>0</v>
      </c>
      <c r="X115" s="86">
        <f t="shared" si="39"/>
        <v>0</v>
      </c>
      <c r="Y115" s="87">
        <f t="shared" si="40"/>
        <v>4</v>
      </c>
      <c r="Z115" s="87">
        <f t="shared" si="41"/>
        <v>0</v>
      </c>
      <c r="AA115" s="87">
        <f t="shared" si="42"/>
        <v>4</v>
      </c>
    </row>
    <row r="116" spans="9:27">
      <c r="I116" s="81" t="str">
        <f>IF(내역서업로드!A117&lt;&gt;"",내역서업로드!A117,"")</f>
        <v/>
      </c>
      <c r="J116" s="81" t="str">
        <f t="shared" si="28"/>
        <v/>
      </c>
      <c r="L116" s="82" t="str">
        <f t="shared" si="29"/>
        <v/>
      </c>
      <c r="M116" s="81" t="str">
        <f t="shared" si="30"/>
        <v/>
      </c>
      <c r="N116" s="81" t="str">
        <f t="shared" si="31"/>
        <v/>
      </c>
      <c r="O116" s="81" t="str">
        <f t="shared" si="32"/>
        <v/>
      </c>
      <c r="Q116" s="83" t="str">
        <f t="shared" si="33"/>
        <v/>
      </c>
      <c r="R116" s="84" t="str">
        <f t="shared" si="34"/>
        <v/>
      </c>
      <c r="S116" s="83" t="str">
        <f t="shared" si="35"/>
        <v/>
      </c>
      <c r="T116" s="84" t="str">
        <f t="shared" si="36"/>
        <v/>
      </c>
      <c r="U116" s="84" t="str">
        <f t="shared" si="37"/>
        <v/>
      </c>
      <c r="V116" s="85">
        <f>내역서업로드!E117</f>
        <v>0</v>
      </c>
      <c r="W116" s="86">
        <f t="shared" si="38"/>
        <v>0</v>
      </c>
      <c r="X116" s="86">
        <f t="shared" si="39"/>
        <v>0</v>
      </c>
      <c r="Y116" s="87">
        <f t="shared" si="40"/>
        <v>4</v>
      </c>
      <c r="Z116" s="87">
        <f t="shared" si="41"/>
        <v>0</v>
      </c>
      <c r="AA116" s="87">
        <f t="shared" si="42"/>
        <v>4</v>
      </c>
    </row>
  </sheetData>
  <autoFilter ref="A1:AA1" xr:uid="{00000000-0009-0000-0000-000006000000}"/>
  <phoneticPr fontId="5" type="noConversion"/>
  <pageMargins left="0.7" right="0.7" top="0.75" bottom="0.75" header="0.3" footer="0.3"/>
  <pageSetup paperSize="9"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1"/>
  </sheetPr>
  <dimension ref="A1:AA988"/>
  <sheetViews>
    <sheetView topLeftCell="I1" zoomScale="85" zoomScaleNormal="85" workbookViewId="0">
      <selection activeCell="M16" sqref="M16"/>
    </sheetView>
  </sheetViews>
  <sheetFormatPr defaultRowHeight="16.5"/>
  <cols>
    <col min="1" max="1" width="18.5" style="69" hidden="1" customWidth="1"/>
    <col min="2" max="2" width="9.625" style="69" hidden="1" customWidth="1"/>
    <col min="3" max="3" width="17.875" style="69" hidden="1" customWidth="1"/>
    <col min="4" max="4" width="16.625" style="69" hidden="1" customWidth="1"/>
    <col min="5" max="5" width="7.5" style="69" hidden="1" customWidth="1"/>
    <col min="6" max="6" width="4.5" style="69" hidden="1" customWidth="1"/>
    <col min="7" max="7" width="18.875" style="69" hidden="1" customWidth="1"/>
    <col min="8" max="8" width="0" style="69" hidden="1" customWidth="1"/>
    <col min="9" max="9" width="21.625" style="69" customWidth="1"/>
    <col min="10" max="10" width="11.625" style="69" customWidth="1"/>
    <col min="11" max="11" width="3.625" style="69" customWidth="1"/>
    <col min="12" max="12" width="8.875" style="69" bestFit="1" customWidth="1"/>
    <col min="13" max="13" width="19" style="69" customWidth="1"/>
    <col min="14" max="14" width="12.25" style="69" customWidth="1"/>
    <col min="15" max="16" width="9" style="69"/>
    <col min="17" max="17" width="15" style="69" customWidth="1"/>
    <col min="18" max="18" width="12.375" style="69" customWidth="1"/>
    <col min="19" max="19" width="11.625" style="69" customWidth="1"/>
    <col min="20" max="20" width="12" style="94" customWidth="1"/>
    <col min="21" max="22" width="11.5" style="94" customWidth="1"/>
    <col min="23" max="23" width="11.75" style="94" bestFit="1" customWidth="1"/>
    <col min="24" max="24" width="11.75" style="94" customWidth="1"/>
    <col min="25" max="27" width="9" style="95"/>
    <col min="28" max="16384" width="9" style="69"/>
  </cols>
  <sheetData>
    <row r="1" spans="1:27" ht="12.75">
      <c r="A1" s="66" t="s">
        <v>42</v>
      </c>
      <c r="B1" s="67" t="s">
        <v>0</v>
      </c>
      <c r="C1" s="67" t="s">
        <v>1</v>
      </c>
      <c r="D1" s="67" t="s">
        <v>2</v>
      </c>
      <c r="E1" s="67" t="s">
        <v>3</v>
      </c>
      <c r="F1" s="67" t="s">
        <v>4</v>
      </c>
      <c r="G1" s="68"/>
      <c r="I1" s="70" t="s">
        <v>43</v>
      </c>
      <c r="J1" s="70" t="s">
        <v>44</v>
      </c>
      <c r="L1" s="70" t="s">
        <v>45</v>
      </c>
      <c r="M1" s="70" t="s">
        <v>46</v>
      </c>
      <c r="N1" s="70" t="s">
        <v>47</v>
      </c>
      <c r="O1" s="70" t="s">
        <v>48</v>
      </c>
      <c r="Q1" s="71" t="s">
        <v>49</v>
      </c>
      <c r="R1" s="71" t="s">
        <v>50</v>
      </c>
      <c r="S1" s="71" t="s">
        <v>51</v>
      </c>
      <c r="T1" s="72" t="s">
        <v>47</v>
      </c>
      <c r="U1" s="72" t="s">
        <v>52</v>
      </c>
      <c r="V1" s="72" t="s">
        <v>53</v>
      </c>
      <c r="W1" s="73" t="s">
        <v>54</v>
      </c>
      <c r="X1" s="73" t="s">
        <v>55</v>
      </c>
      <c r="Y1" s="74" t="s">
        <v>56</v>
      </c>
      <c r="Z1" s="74" t="s">
        <v>57</v>
      </c>
      <c r="AA1" s="74" t="s">
        <v>58</v>
      </c>
    </row>
    <row r="2" spans="1:27">
      <c r="A2" s="75"/>
      <c r="B2" s="76"/>
      <c r="C2" s="76"/>
      <c r="D2" s="77"/>
      <c r="E2" s="78"/>
      <c r="F2" s="79" t="s">
        <v>59</v>
      </c>
      <c r="G2" s="80" t="s">
        <v>60</v>
      </c>
      <c r="H2" s="69" t="s">
        <v>61</v>
      </c>
      <c r="I2" s="81" t="e">
        <f>IF(#REF!&lt;&gt;"",#REF!,"")</f>
        <v>#REF!</v>
      </c>
      <c r="J2" s="81" t="e">
        <f>LEFT(I2,1)</f>
        <v>#REF!</v>
      </c>
      <c r="L2" s="82" t="e">
        <f>IF(OR(J2="E",J2="L",J2="M"),"",I2)</f>
        <v>#REF!</v>
      </c>
      <c r="M2" s="81" t="e">
        <f>IF(OR(J2="D",J2="L",J2="M"),"",I2)</f>
        <v>#REF!</v>
      </c>
      <c r="N2" s="81" t="e">
        <f>IF(OR(J2="D",J2="E",J2="L"),"",I2)</f>
        <v>#REF!</v>
      </c>
      <c r="O2" s="81" t="e">
        <f>IF(OR(J2="D",J2="E",J2="M"),"",I2)</f>
        <v>#REF!</v>
      </c>
      <c r="Q2" s="83" t="str">
        <f>IF(Z2=0,"",IF(Z2=1,R2&amp;S2&amp;T2&amp;U2,"E99999"))</f>
        <v/>
      </c>
      <c r="R2" s="84" t="e">
        <f t="shared" ref="R2:S63" si="0">IF(L2="","",L2)</f>
        <v>#REF!</v>
      </c>
      <c r="S2" s="83" t="e">
        <f t="shared" si="0"/>
        <v>#REF!</v>
      </c>
      <c r="T2" s="84" t="e">
        <f t="shared" ref="T2:T63" si="1">IF(W2=1,"",N2)</f>
        <v>#REF!</v>
      </c>
      <c r="U2" s="84" t="e">
        <f t="shared" ref="U2:U63" si="2">IF(OR(W2=1,X2=1),"",O2)</f>
        <v>#REF!</v>
      </c>
      <c r="V2" s="85" t="e">
        <f>#REF!</f>
        <v>#REF!</v>
      </c>
      <c r="W2" s="86">
        <f>COUNTIFS(R2,"&gt;&lt;")</f>
        <v>0</v>
      </c>
      <c r="X2" s="86">
        <f>COUNTIFS(S2,"&gt;&lt;")</f>
        <v>0</v>
      </c>
      <c r="Y2" s="87">
        <f>COUNTIFS(R2:U2,"*")</f>
        <v>0</v>
      </c>
      <c r="Z2" s="87">
        <f>COUNTIFS(R2:U2,"&gt;&lt;")</f>
        <v>0</v>
      </c>
      <c r="AA2" s="87">
        <f>COUNTIFS(R2:U2,"&lt;&gt;")</f>
        <v>4</v>
      </c>
    </row>
    <row r="3" spans="1:27">
      <c r="A3" s="75"/>
      <c r="B3" s="88"/>
      <c r="C3" s="88"/>
      <c r="D3" s="89"/>
      <c r="E3" s="90"/>
      <c r="F3" s="91" t="s">
        <v>62</v>
      </c>
      <c r="G3" s="68" t="s">
        <v>63</v>
      </c>
      <c r="H3" s="69" t="s">
        <v>64</v>
      </c>
      <c r="I3" s="81" t="e">
        <f>IF(#REF!&lt;&gt;"",#REF!,"")</f>
        <v>#REF!</v>
      </c>
      <c r="J3" s="81" t="e">
        <f t="shared" ref="J3:J66" si="3">LEFT(I3,1)</f>
        <v>#REF!</v>
      </c>
      <c r="L3" s="82" t="e">
        <f t="shared" ref="L3:L66" si="4">IF(OR(J3="E",J3="L",J3="M"),"",I3)</f>
        <v>#REF!</v>
      </c>
      <c r="M3" s="81" t="e">
        <f t="shared" ref="M3:M4" si="5">IF(OR(J3="D",J3="L",J3="M"),"",I3)</f>
        <v>#REF!</v>
      </c>
      <c r="N3" s="81" t="e">
        <f t="shared" ref="N3:N66" si="6">IF(OR(J3="D",J3="E",J3="L"),"",I3)</f>
        <v>#REF!</v>
      </c>
      <c r="O3" s="81" t="e">
        <f t="shared" ref="O3:O66" si="7">IF(OR(J3="D",J3="E",J3="M"),"",I3)</f>
        <v>#REF!</v>
      </c>
      <c r="Q3" s="83" t="str">
        <f t="shared" ref="Q3:Q22" si="8">IF(Z3=0,"",IF(Z3=1,R3&amp;S3&amp;T3&amp;U3,"E99999"))</f>
        <v/>
      </c>
      <c r="R3" s="84" t="e">
        <f t="shared" si="0"/>
        <v>#REF!</v>
      </c>
      <c r="S3" s="83" t="e">
        <f t="shared" si="0"/>
        <v>#REF!</v>
      </c>
      <c r="T3" s="84" t="e">
        <f t="shared" si="1"/>
        <v>#REF!</v>
      </c>
      <c r="U3" s="84" t="e">
        <f t="shared" si="2"/>
        <v>#REF!</v>
      </c>
      <c r="V3" s="85" t="e">
        <f>#REF!</f>
        <v>#REF!</v>
      </c>
      <c r="W3" s="86">
        <f t="shared" ref="W3:X64" si="9">COUNTIFS(R3,"&gt;&lt;")</f>
        <v>0</v>
      </c>
      <c r="X3" s="86">
        <f t="shared" si="9"/>
        <v>0</v>
      </c>
      <c r="Y3" s="87">
        <f t="shared" ref="Y3:Y64" si="10">COUNTIFS(R3:U3,"*")</f>
        <v>0</v>
      </c>
      <c r="Z3" s="87">
        <f t="shared" ref="Z3:Z64" si="11">COUNTIFS(R3:U3,"&gt;&lt;")</f>
        <v>0</v>
      </c>
      <c r="AA3" s="87">
        <f t="shared" ref="AA3:AA64" si="12">COUNTIFS(R3:U3,"&lt;&gt;")</f>
        <v>4</v>
      </c>
    </row>
    <row r="4" spans="1:27">
      <c r="A4" s="75"/>
      <c r="B4" s="76"/>
      <c r="C4" s="76"/>
      <c r="D4" s="77"/>
      <c r="E4" s="78"/>
      <c r="F4" s="79" t="s">
        <v>65</v>
      </c>
      <c r="G4" s="68" t="s">
        <v>66</v>
      </c>
      <c r="H4" s="69" t="s">
        <v>67</v>
      </c>
      <c r="I4" s="81" t="e">
        <f>IF(#REF!&lt;&gt;"",#REF!,"")</f>
        <v>#REF!</v>
      </c>
      <c r="J4" s="81" t="e">
        <f t="shared" si="3"/>
        <v>#REF!</v>
      </c>
      <c r="L4" s="82" t="e">
        <f t="shared" si="4"/>
        <v>#REF!</v>
      </c>
      <c r="M4" s="81" t="e">
        <f t="shared" si="5"/>
        <v>#REF!</v>
      </c>
      <c r="N4" s="81" t="e">
        <f t="shared" si="6"/>
        <v>#REF!</v>
      </c>
      <c r="O4" s="81" t="e">
        <f t="shared" si="7"/>
        <v>#REF!</v>
      </c>
      <c r="Q4" s="83" t="str">
        <f t="shared" si="8"/>
        <v/>
      </c>
      <c r="R4" s="84" t="e">
        <f t="shared" si="0"/>
        <v>#REF!</v>
      </c>
      <c r="S4" s="83" t="e">
        <f t="shared" si="0"/>
        <v>#REF!</v>
      </c>
      <c r="T4" s="84" t="e">
        <f t="shared" si="1"/>
        <v>#REF!</v>
      </c>
      <c r="U4" s="84" t="e">
        <f t="shared" si="2"/>
        <v>#REF!</v>
      </c>
      <c r="V4" s="85" t="e">
        <f>#REF!</f>
        <v>#REF!</v>
      </c>
      <c r="W4" s="86">
        <f t="shared" si="9"/>
        <v>0</v>
      </c>
      <c r="X4" s="86">
        <f t="shared" si="9"/>
        <v>0</v>
      </c>
      <c r="Y4" s="87">
        <f t="shared" si="10"/>
        <v>0</v>
      </c>
      <c r="Z4" s="87">
        <f t="shared" si="11"/>
        <v>0</v>
      </c>
      <c r="AA4" s="87">
        <f t="shared" si="12"/>
        <v>4</v>
      </c>
    </row>
    <row r="5" spans="1:27">
      <c r="A5" s="75"/>
      <c r="B5" s="88"/>
      <c r="C5" s="88"/>
      <c r="D5" s="92"/>
      <c r="E5" s="90"/>
      <c r="F5" s="91" t="s">
        <v>68</v>
      </c>
      <c r="G5" s="68" t="s">
        <v>69</v>
      </c>
      <c r="H5" s="69" t="s">
        <v>70</v>
      </c>
      <c r="I5" s="81" t="e">
        <f>IF(#REF!&lt;&gt;"",#REF!,"")</f>
        <v>#REF!</v>
      </c>
      <c r="J5" s="81" t="e">
        <f t="shared" si="3"/>
        <v>#REF!</v>
      </c>
      <c r="L5" s="82" t="e">
        <f t="shared" si="4"/>
        <v>#REF!</v>
      </c>
      <c r="M5" s="81" t="e">
        <f>IF(OR(J5="D",J5="L",J5="M"),"",I5)</f>
        <v>#REF!</v>
      </c>
      <c r="N5" s="81" t="e">
        <f t="shared" si="6"/>
        <v>#REF!</v>
      </c>
      <c r="O5" s="81" t="e">
        <f t="shared" si="7"/>
        <v>#REF!</v>
      </c>
      <c r="Q5" s="83" t="str">
        <f t="shared" si="8"/>
        <v/>
      </c>
      <c r="R5" s="84" t="e">
        <f t="shared" si="0"/>
        <v>#REF!</v>
      </c>
      <c r="S5" s="83" t="e">
        <f t="shared" si="0"/>
        <v>#REF!</v>
      </c>
      <c r="T5" s="84" t="e">
        <f>IF(W5=1,"",N5)</f>
        <v>#REF!</v>
      </c>
      <c r="U5" s="84" t="e">
        <f t="shared" si="2"/>
        <v>#REF!</v>
      </c>
      <c r="V5" s="85" t="e">
        <f>#REF!</f>
        <v>#REF!</v>
      </c>
      <c r="W5" s="86">
        <f t="shared" si="9"/>
        <v>0</v>
      </c>
      <c r="X5" s="86">
        <f t="shared" si="9"/>
        <v>0</v>
      </c>
      <c r="Y5" s="87">
        <f t="shared" si="10"/>
        <v>0</v>
      </c>
      <c r="Z5" s="87">
        <f t="shared" si="11"/>
        <v>0</v>
      </c>
      <c r="AA5" s="87">
        <f t="shared" si="12"/>
        <v>4</v>
      </c>
    </row>
    <row r="6" spans="1:27">
      <c r="A6" s="75"/>
      <c r="B6" s="76"/>
      <c r="C6" s="76"/>
      <c r="D6" s="77"/>
      <c r="E6" s="93"/>
      <c r="F6" s="79" t="s">
        <v>71</v>
      </c>
      <c r="G6" s="68" t="s">
        <v>72</v>
      </c>
      <c r="I6" s="81" t="e">
        <f>IF(#REF!&lt;&gt;"",#REF!,"")</f>
        <v>#REF!</v>
      </c>
      <c r="J6" s="81" t="e">
        <f t="shared" si="3"/>
        <v>#REF!</v>
      </c>
      <c r="L6" s="82" t="e">
        <f t="shared" si="4"/>
        <v>#REF!</v>
      </c>
      <c r="M6" s="81" t="e">
        <f t="shared" ref="M6:M69" si="13">IF(OR(J6="D",J6="L",J6="M"),"",I6)</f>
        <v>#REF!</v>
      </c>
      <c r="N6" s="81" t="e">
        <f t="shared" si="6"/>
        <v>#REF!</v>
      </c>
      <c r="O6" s="81" t="e">
        <f t="shared" si="7"/>
        <v>#REF!</v>
      </c>
      <c r="Q6" s="83" t="str">
        <f t="shared" si="8"/>
        <v/>
      </c>
      <c r="R6" s="84" t="e">
        <f t="shared" si="0"/>
        <v>#REF!</v>
      </c>
      <c r="S6" s="83" t="e">
        <f t="shared" si="0"/>
        <v>#REF!</v>
      </c>
      <c r="T6" s="84" t="e">
        <f t="shared" si="1"/>
        <v>#REF!</v>
      </c>
      <c r="U6" s="84" t="e">
        <f t="shared" si="2"/>
        <v>#REF!</v>
      </c>
      <c r="V6" s="85" t="e">
        <f>#REF!</f>
        <v>#REF!</v>
      </c>
      <c r="W6" s="86">
        <f t="shared" si="9"/>
        <v>0</v>
      </c>
      <c r="X6" s="86">
        <f t="shared" si="9"/>
        <v>0</v>
      </c>
      <c r="Y6" s="87">
        <f t="shared" si="10"/>
        <v>0</v>
      </c>
      <c r="Z6" s="87">
        <f t="shared" si="11"/>
        <v>0</v>
      </c>
      <c r="AA6" s="87">
        <f t="shared" si="12"/>
        <v>4</v>
      </c>
    </row>
    <row r="7" spans="1:27">
      <c r="I7" s="81" t="e">
        <f>IF(#REF!&lt;&gt;"",#REF!,"")</f>
        <v>#REF!</v>
      </c>
      <c r="J7" s="81" t="e">
        <f t="shared" si="3"/>
        <v>#REF!</v>
      </c>
      <c r="L7" s="82" t="e">
        <f t="shared" si="4"/>
        <v>#REF!</v>
      </c>
      <c r="M7" s="81" t="e">
        <f t="shared" si="13"/>
        <v>#REF!</v>
      </c>
      <c r="N7" s="81" t="e">
        <f t="shared" si="6"/>
        <v>#REF!</v>
      </c>
      <c r="O7" s="81" t="e">
        <f t="shared" si="7"/>
        <v>#REF!</v>
      </c>
      <c r="Q7" s="83" t="str">
        <f t="shared" si="8"/>
        <v/>
      </c>
      <c r="R7" s="84" t="e">
        <f t="shared" si="0"/>
        <v>#REF!</v>
      </c>
      <c r="S7" s="83" t="e">
        <f t="shared" si="0"/>
        <v>#REF!</v>
      </c>
      <c r="T7" s="84" t="e">
        <f t="shared" si="1"/>
        <v>#REF!</v>
      </c>
      <c r="U7" s="84" t="e">
        <f t="shared" si="2"/>
        <v>#REF!</v>
      </c>
      <c r="V7" s="85" t="e">
        <f>#REF!</f>
        <v>#REF!</v>
      </c>
      <c r="W7" s="86">
        <f t="shared" si="9"/>
        <v>0</v>
      </c>
      <c r="X7" s="86">
        <f t="shared" si="9"/>
        <v>0</v>
      </c>
      <c r="Y7" s="87">
        <f t="shared" si="10"/>
        <v>0</v>
      </c>
      <c r="Z7" s="87">
        <f t="shared" si="11"/>
        <v>0</v>
      </c>
      <c r="AA7" s="87">
        <f t="shared" si="12"/>
        <v>4</v>
      </c>
    </row>
    <row r="8" spans="1:27">
      <c r="G8" s="68" t="s">
        <v>73</v>
      </c>
      <c r="I8" s="81" t="e">
        <f>IF(#REF!&lt;&gt;"",#REF!,"")</f>
        <v>#REF!</v>
      </c>
      <c r="J8" s="81" t="e">
        <f t="shared" si="3"/>
        <v>#REF!</v>
      </c>
      <c r="L8" s="82" t="e">
        <f t="shared" si="4"/>
        <v>#REF!</v>
      </c>
      <c r="M8" s="81" t="e">
        <f t="shared" si="13"/>
        <v>#REF!</v>
      </c>
      <c r="N8" s="81" t="e">
        <f t="shared" si="6"/>
        <v>#REF!</v>
      </c>
      <c r="O8" s="81" t="e">
        <f t="shared" si="7"/>
        <v>#REF!</v>
      </c>
      <c r="Q8" s="83" t="str">
        <f t="shared" si="8"/>
        <v/>
      </c>
      <c r="R8" s="84" t="e">
        <f>IF(L8="","",L8)</f>
        <v>#REF!</v>
      </c>
      <c r="S8" s="83" t="e">
        <f t="shared" si="0"/>
        <v>#REF!</v>
      </c>
      <c r="T8" s="84" t="e">
        <f t="shared" si="1"/>
        <v>#REF!</v>
      </c>
      <c r="U8" s="84" t="e">
        <f t="shared" si="2"/>
        <v>#REF!</v>
      </c>
      <c r="V8" s="85" t="e">
        <f>#REF!</f>
        <v>#REF!</v>
      </c>
      <c r="W8" s="86">
        <f t="shared" si="9"/>
        <v>0</v>
      </c>
      <c r="X8" s="86">
        <f t="shared" si="9"/>
        <v>0</v>
      </c>
      <c r="Y8" s="87">
        <f t="shared" si="10"/>
        <v>0</v>
      </c>
      <c r="Z8" s="87">
        <f t="shared" si="11"/>
        <v>0</v>
      </c>
      <c r="AA8" s="87">
        <f t="shared" si="12"/>
        <v>4</v>
      </c>
    </row>
    <row r="9" spans="1:27">
      <c r="I9" s="81" t="e">
        <f>IF(#REF!&lt;&gt;"",#REF!,"")</f>
        <v>#REF!</v>
      </c>
      <c r="J9" s="81" t="e">
        <f t="shared" si="3"/>
        <v>#REF!</v>
      </c>
      <c r="L9" s="82" t="e">
        <f t="shared" si="4"/>
        <v>#REF!</v>
      </c>
      <c r="M9" s="81" t="e">
        <f t="shared" si="13"/>
        <v>#REF!</v>
      </c>
      <c r="N9" s="81" t="e">
        <f t="shared" si="6"/>
        <v>#REF!</v>
      </c>
      <c r="O9" s="81" t="e">
        <f t="shared" si="7"/>
        <v>#REF!</v>
      </c>
      <c r="Q9" s="83" t="str">
        <f t="shared" si="8"/>
        <v/>
      </c>
      <c r="R9" s="84" t="e">
        <f t="shared" si="0"/>
        <v>#REF!</v>
      </c>
      <c r="S9" s="83" t="e">
        <f t="shared" si="0"/>
        <v>#REF!</v>
      </c>
      <c r="T9" s="84" t="e">
        <f t="shared" si="1"/>
        <v>#REF!</v>
      </c>
      <c r="U9" s="84" t="e">
        <f t="shared" si="2"/>
        <v>#REF!</v>
      </c>
      <c r="V9" s="85" t="e">
        <f>#REF!</f>
        <v>#REF!</v>
      </c>
      <c r="W9" s="86">
        <f t="shared" si="9"/>
        <v>0</v>
      </c>
      <c r="X9" s="86">
        <f t="shared" si="9"/>
        <v>0</v>
      </c>
      <c r="Y9" s="87">
        <f t="shared" si="10"/>
        <v>0</v>
      </c>
      <c r="Z9" s="87">
        <f t="shared" si="11"/>
        <v>0</v>
      </c>
      <c r="AA9" s="87">
        <f t="shared" si="12"/>
        <v>4</v>
      </c>
    </row>
    <row r="10" spans="1:27">
      <c r="I10" s="81" t="e">
        <f>IF(#REF!&lt;&gt;"",#REF!,"")</f>
        <v>#REF!</v>
      </c>
      <c r="J10" s="81" t="e">
        <f t="shared" si="3"/>
        <v>#REF!</v>
      </c>
      <c r="L10" s="82" t="e">
        <f t="shared" si="4"/>
        <v>#REF!</v>
      </c>
      <c r="M10" s="81" t="e">
        <f t="shared" si="13"/>
        <v>#REF!</v>
      </c>
      <c r="N10" s="81" t="e">
        <f t="shared" si="6"/>
        <v>#REF!</v>
      </c>
      <c r="O10" s="81" t="e">
        <f t="shared" si="7"/>
        <v>#REF!</v>
      </c>
      <c r="Q10" s="83" t="str">
        <f t="shared" si="8"/>
        <v/>
      </c>
      <c r="R10" s="84" t="e">
        <f t="shared" si="0"/>
        <v>#REF!</v>
      </c>
      <c r="S10" s="83" t="e">
        <f t="shared" si="0"/>
        <v>#REF!</v>
      </c>
      <c r="T10" s="84" t="e">
        <f t="shared" si="1"/>
        <v>#REF!</v>
      </c>
      <c r="U10" s="84" t="e">
        <f t="shared" si="2"/>
        <v>#REF!</v>
      </c>
      <c r="V10" s="85" t="e">
        <f>#REF!</f>
        <v>#REF!</v>
      </c>
      <c r="W10" s="86">
        <f t="shared" si="9"/>
        <v>0</v>
      </c>
      <c r="X10" s="86">
        <f t="shared" si="9"/>
        <v>0</v>
      </c>
      <c r="Y10" s="87">
        <f t="shared" si="10"/>
        <v>0</v>
      </c>
      <c r="Z10" s="87">
        <f t="shared" si="11"/>
        <v>0</v>
      </c>
      <c r="AA10" s="87">
        <f t="shared" si="12"/>
        <v>4</v>
      </c>
    </row>
    <row r="11" spans="1:27">
      <c r="I11" s="81" t="e">
        <f>IF(#REF!&lt;&gt;"",#REF!,"")</f>
        <v>#REF!</v>
      </c>
      <c r="J11" s="81" t="e">
        <f t="shared" si="3"/>
        <v>#REF!</v>
      </c>
      <c r="L11" s="82" t="e">
        <f t="shared" si="4"/>
        <v>#REF!</v>
      </c>
      <c r="M11" s="81" t="e">
        <f t="shared" si="13"/>
        <v>#REF!</v>
      </c>
      <c r="N11" s="81" t="e">
        <f t="shared" si="6"/>
        <v>#REF!</v>
      </c>
      <c r="O11" s="81" t="e">
        <f t="shared" si="7"/>
        <v>#REF!</v>
      </c>
      <c r="Q11" s="83" t="str">
        <f t="shared" si="8"/>
        <v/>
      </c>
      <c r="R11" s="84" t="e">
        <f t="shared" si="0"/>
        <v>#REF!</v>
      </c>
      <c r="S11" s="83" t="e">
        <f t="shared" si="0"/>
        <v>#REF!</v>
      </c>
      <c r="T11" s="84" t="e">
        <f t="shared" si="1"/>
        <v>#REF!</v>
      </c>
      <c r="U11" s="84" t="e">
        <f t="shared" si="2"/>
        <v>#REF!</v>
      </c>
      <c r="V11" s="85" t="e">
        <f>#REF!</f>
        <v>#REF!</v>
      </c>
      <c r="W11" s="86">
        <f t="shared" si="9"/>
        <v>0</v>
      </c>
      <c r="X11" s="86">
        <f t="shared" si="9"/>
        <v>0</v>
      </c>
      <c r="Y11" s="87">
        <f t="shared" si="10"/>
        <v>0</v>
      </c>
      <c r="Z11" s="87">
        <f t="shared" si="11"/>
        <v>0</v>
      </c>
      <c r="AA11" s="87">
        <f t="shared" si="12"/>
        <v>4</v>
      </c>
    </row>
    <row r="12" spans="1:27">
      <c r="I12" s="81" t="e">
        <f>IF(#REF!&lt;&gt;"",#REF!,"")</f>
        <v>#REF!</v>
      </c>
      <c r="J12" s="81" t="e">
        <f t="shared" si="3"/>
        <v>#REF!</v>
      </c>
      <c r="L12" s="82" t="e">
        <f t="shared" si="4"/>
        <v>#REF!</v>
      </c>
      <c r="M12" s="81" t="e">
        <f t="shared" si="13"/>
        <v>#REF!</v>
      </c>
      <c r="N12" s="81" t="e">
        <f t="shared" si="6"/>
        <v>#REF!</v>
      </c>
      <c r="O12" s="81" t="e">
        <f t="shared" si="7"/>
        <v>#REF!</v>
      </c>
      <c r="Q12" s="83" t="str">
        <f t="shared" si="8"/>
        <v/>
      </c>
      <c r="R12" s="84" t="e">
        <f t="shared" si="0"/>
        <v>#REF!</v>
      </c>
      <c r="S12" s="83" t="e">
        <f t="shared" si="0"/>
        <v>#REF!</v>
      </c>
      <c r="T12" s="84" t="e">
        <f t="shared" si="1"/>
        <v>#REF!</v>
      </c>
      <c r="U12" s="84" t="e">
        <f t="shared" si="2"/>
        <v>#REF!</v>
      </c>
      <c r="V12" s="85" t="e">
        <f>#REF!</f>
        <v>#REF!</v>
      </c>
      <c r="W12" s="86">
        <f t="shared" si="9"/>
        <v>0</v>
      </c>
      <c r="X12" s="86">
        <f t="shared" si="9"/>
        <v>0</v>
      </c>
      <c r="Y12" s="87">
        <f t="shared" si="10"/>
        <v>0</v>
      </c>
      <c r="Z12" s="87">
        <f t="shared" si="11"/>
        <v>0</v>
      </c>
      <c r="AA12" s="87">
        <f t="shared" si="12"/>
        <v>4</v>
      </c>
    </row>
    <row r="13" spans="1:27">
      <c r="I13" s="81" t="e">
        <f>IF(#REF!&lt;&gt;"",#REF!,"")</f>
        <v>#REF!</v>
      </c>
      <c r="J13" s="81" t="e">
        <f t="shared" si="3"/>
        <v>#REF!</v>
      </c>
      <c r="L13" s="82" t="e">
        <f t="shared" si="4"/>
        <v>#REF!</v>
      </c>
      <c r="M13" s="81" t="e">
        <f t="shared" si="13"/>
        <v>#REF!</v>
      </c>
      <c r="N13" s="81" t="e">
        <f t="shared" si="6"/>
        <v>#REF!</v>
      </c>
      <c r="O13" s="81" t="e">
        <f t="shared" si="7"/>
        <v>#REF!</v>
      </c>
      <c r="Q13" s="83" t="str">
        <f t="shared" si="8"/>
        <v/>
      </c>
      <c r="R13" s="84" t="e">
        <f t="shared" si="0"/>
        <v>#REF!</v>
      </c>
      <c r="S13" s="83" t="e">
        <f t="shared" si="0"/>
        <v>#REF!</v>
      </c>
      <c r="T13" s="84" t="e">
        <f t="shared" si="1"/>
        <v>#REF!</v>
      </c>
      <c r="U13" s="84" t="e">
        <f t="shared" si="2"/>
        <v>#REF!</v>
      </c>
      <c r="V13" s="85" t="e">
        <f>#REF!</f>
        <v>#REF!</v>
      </c>
      <c r="W13" s="86">
        <f t="shared" si="9"/>
        <v>0</v>
      </c>
      <c r="X13" s="86">
        <f t="shared" si="9"/>
        <v>0</v>
      </c>
      <c r="Y13" s="87">
        <f t="shared" si="10"/>
        <v>0</v>
      </c>
      <c r="Z13" s="87">
        <f t="shared" si="11"/>
        <v>0</v>
      </c>
      <c r="AA13" s="87">
        <f t="shared" si="12"/>
        <v>4</v>
      </c>
    </row>
    <row r="14" spans="1:27">
      <c r="I14" s="81" t="e">
        <f>IF(#REF!&lt;&gt;"",#REF!,"")</f>
        <v>#REF!</v>
      </c>
      <c r="J14" s="81" t="e">
        <f t="shared" si="3"/>
        <v>#REF!</v>
      </c>
      <c r="L14" s="82" t="e">
        <f t="shared" si="4"/>
        <v>#REF!</v>
      </c>
      <c r="M14" s="81" t="e">
        <f t="shared" si="13"/>
        <v>#REF!</v>
      </c>
      <c r="N14" s="81" t="e">
        <f t="shared" si="6"/>
        <v>#REF!</v>
      </c>
      <c r="O14" s="81" t="e">
        <f t="shared" si="7"/>
        <v>#REF!</v>
      </c>
      <c r="Q14" s="83" t="str">
        <f t="shared" si="8"/>
        <v/>
      </c>
      <c r="R14" s="84" t="e">
        <f t="shared" si="0"/>
        <v>#REF!</v>
      </c>
      <c r="S14" s="83" t="e">
        <f t="shared" si="0"/>
        <v>#REF!</v>
      </c>
      <c r="T14" s="84" t="e">
        <f t="shared" si="1"/>
        <v>#REF!</v>
      </c>
      <c r="U14" s="84" t="e">
        <f t="shared" si="2"/>
        <v>#REF!</v>
      </c>
      <c r="V14" s="85" t="e">
        <f>#REF!</f>
        <v>#REF!</v>
      </c>
      <c r="W14" s="86">
        <f t="shared" si="9"/>
        <v>0</v>
      </c>
      <c r="X14" s="86">
        <f t="shared" si="9"/>
        <v>0</v>
      </c>
      <c r="Y14" s="87">
        <f t="shared" si="10"/>
        <v>0</v>
      </c>
      <c r="Z14" s="87">
        <f t="shared" si="11"/>
        <v>0</v>
      </c>
      <c r="AA14" s="87">
        <f t="shared" si="12"/>
        <v>4</v>
      </c>
    </row>
    <row r="15" spans="1:27">
      <c r="I15" s="81" t="e">
        <f>IF(#REF!&lt;&gt;"",#REF!,"")</f>
        <v>#REF!</v>
      </c>
      <c r="J15" s="81" t="e">
        <f t="shared" si="3"/>
        <v>#REF!</v>
      </c>
      <c r="L15" s="82" t="e">
        <f t="shared" si="4"/>
        <v>#REF!</v>
      </c>
      <c r="M15" s="81" t="e">
        <f t="shared" si="13"/>
        <v>#REF!</v>
      </c>
      <c r="N15" s="81" t="e">
        <f t="shared" si="6"/>
        <v>#REF!</v>
      </c>
      <c r="O15" s="81" t="e">
        <f t="shared" si="7"/>
        <v>#REF!</v>
      </c>
      <c r="Q15" s="83" t="str">
        <f t="shared" si="8"/>
        <v/>
      </c>
      <c r="R15" s="84" t="e">
        <f t="shared" si="0"/>
        <v>#REF!</v>
      </c>
      <c r="S15" s="83" t="e">
        <f t="shared" si="0"/>
        <v>#REF!</v>
      </c>
      <c r="T15" s="84" t="e">
        <f t="shared" si="1"/>
        <v>#REF!</v>
      </c>
      <c r="U15" s="84" t="e">
        <f t="shared" si="2"/>
        <v>#REF!</v>
      </c>
      <c r="V15" s="85" t="e">
        <f>#REF!</f>
        <v>#REF!</v>
      </c>
      <c r="W15" s="86">
        <f t="shared" si="9"/>
        <v>0</v>
      </c>
      <c r="X15" s="86">
        <f t="shared" si="9"/>
        <v>0</v>
      </c>
      <c r="Y15" s="87">
        <f t="shared" si="10"/>
        <v>0</v>
      </c>
      <c r="Z15" s="87">
        <f t="shared" si="11"/>
        <v>0</v>
      </c>
      <c r="AA15" s="87">
        <f t="shared" si="12"/>
        <v>4</v>
      </c>
    </row>
    <row r="16" spans="1:27">
      <c r="I16" s="81" t="e">
        <f>IF(#REF!&lt;&gt;"",#REF!,"")</f>
        <v>#REF!</v>
      </c>
      <c r="J16" s="81" t="e">
        <f t="shared" si="3"/>
        <v>#REF!</v>
      </c>
      <c r="L16" s="82" t="e">
        <f t="shared" si="4"/>
        <v>#REF!</v>
      </c>
      <c r="M16" s="81" t="e">
        <f t="shared" si="13"/>
        <v>#REF!</v>
      </c>
      <c r="N16" s="81" t="e">
        <f t="shared" si="6"/>
        <v>#REF!</v>
      </c>
      <c r="O16" s="81" t="e">
        <f t="shared" si="7"/>
        <v>#REF!</v>
      </c>
      <c r="Q16" s="83" t="str">
        <f t="shared" si="8"/>
        <v/>
      </c>
      <c r="R16" s="84" t="e">
        <f t="shared" si="0"/>
        <v>#REF!</v>
      </c>
      <c r="S16" s="83" t="e">
        <f t="shared" si="0"/>
        <v>#REF!</v>
      </c>
      <c r="T16" s="84" t="e">
        <f t="shared" si="1"/>
        <v>#REF!</v>
      </c>
      <c r="U16" s="84" t="e">
        <f t="shared" si="2"/>
        <v>#REF!</v>
      </c>
      <c r="V16" s="85" t="e">
        <f>#REF!</f>
        <v>#REF!</v>
      </c>
      <c r="W16" s="86">
        <f t="shared" si="9"/>
        <v>0</v>
      </c>
      <c r="X16" s="86">
        <f t="shared" si="9"/>
        <v>0</v>
      </c>
      <c r="Y16" s="87">
        <f t="shared" si="10"/>
        <v>0</v>
      </c>
      <c r="Z16" s="87">
        <f t="shared" si="11"/>
        <v>0</v>
      </c>
      <c r="AA16" s="87">
        <f t="shared" si="12"/>
        <v>4</v>
      </c>
    </row>
    <row r="17" spans="9:27">
      <c r="I17" s="81" t="e">
        <f>IF(#REF!&lt;&gt;"",#REF!,"")</f>
        <v>#REF!</v>
      </c>
      <c r="J17" s="81" t="e">
        <f t="shared" si="3"/>
        <v>#REF!</v>
      </c>
      <c r="L17" s="82" t="e">
        <f t="shared" si="4"/>
        <v>#REF!</v>
      </c>
      <c r="M17" s="81" t="e">
        <f t="shared" si="13"/>
        <v>#REF!</v>
      </c>
      <c r="N17" s="81" t="e">
        <f t="shared" si="6"/>
        <v>#REF!</v>
      </c>
      <c r="O17" s="81" t="e">
        <f t="shared" si="7"/>
        <v>#REF!</v>
      </c>
      <c r="Q17" s="83" t="str">
        <f t="shared" si="8"/>
        <v/>
      </c>
      <c r="R17" s="84" t="e">
        <f t="shared" si="0"/>
        <v>#REF!</v>
      </c>
      <c r="S17" s="83" t="e">
        <f t="shared" si="0"/>
        <v>#REF!</v>
      </c>
      <c r="T17" s="84" t="e">
        <f t="shared" si="1"/>
        <v>#REF!</v>
      </c>
      <c r="U17" s="84" t="e">
        <f t="shared" si="2"/>
        <v>#REF!</v>
      </c>
      <c r="V17" s="85" t="e">
        <f>#REF!</f>
        <v>#REF!</v>
      </c>
      <c r="W17" s="86">
        <f t="shared" si="9"/>
        <v>0</v>
      </c>
      <c r="X17" s="86">
        <f t="shared" si="9"/>
        <v>0</v>
      </c>
      <c r="Y17" s="87">
        <f t="shared" si="10"/>
        <v>0</v>
      </c>
      <c r="Z17" s="87">
        <f t="shared" si="11"/>
        <v>0</v>
      </c>
      <c r="AA17" s="87">
        <f t="shared" si="12"/>
        <v>4</v>
      </c>
    </row>
    <row r="18" spans="9:27">
      <c r="I18" s="81" t="e">
        <f>IF(#REF!&lt;&gt;"",#REF!,"")</f>
        <v>#REF!</v>
      </c>
      <c r="J18" s="81" t="e">
        <f t="shared" si="3"/>
        <v>#REF!</v>
      </c>
      <c r="L18" s="82" t="e">
        <f t="shared" si="4"/>
        <v>#REF!</v>
      </c>
      <c r="M18" s="81" t="e">
        <f t="shared" si="13"/>
        <v>#REF!</v>
      </c>
      <c r="N18" s="81" t="e">
        <f t="shared" si="6"/>
        <v>#REF!</v>
      </c>
      <c r="O18" s="81" t="e">
        <f t="shared" si="7"/>
        <v>#REF!</v>
      </c>
      <c r="Q18" s="83" t="str">
        <f t="shared" si="8"/>
        <v/>
      </c>
      <c r="R18" s="84" t="e">
        <f t="shared" si="0"/>
        <v>#REF!</v>
      </c>
      <c r="S18" s="83" t="e">
        <f t="shared" si="0"/>
        <v>#REF!</v>
      </c>
      <c r="T18" s="84" t="e">
        <f t="shared" si="1"/>
        <v>#REF!</v>
      </c>
      <c r="U18" s="84" t="e">
        <f t="shared" si="2"/>
        <v>#REF!</v>
      </c>
      <c r="V18" s="85" t="e">
        <f>#REF!</f>
        <v>#REF!</v>
      </c>
      <c r="W18" s="86">
        <f t="shared" si="9"/>
        <v>0</v>
      </c>
      <c r="X18" s="86">
        <f t="shared" si="9"/>
        <v>0</v>
      </c>
      <c r="Y18" s="87">
        <f t="shared" si="10"/>
        <v>0</v>
      </c>
      <c r="Z18" s="87">
        <f t="shared" si="11"/>
        <v>0</v>
      </c>
      <c r="AA18" s="87">
        <f t="shared" si="12"/>
        <v>4</v>
      </c>
    </row>
    <row r="19" spans="9:27">
      <c r="I19" s="81" t="e">
        <f>IF(#REF!&lt;&gt;"",#REF!,"")</f>
        <v>#REF!</v>
      </c>
      <c r="J19" s="81" t="e">
        <f t="shared" si="3"/>
        <v>#REF!</v>
      </c>
      <c r="L19" s="82" t="e">
        <f t="shared" si="4"/>
        <v>#REF!</v>
      </c>
      <c r="M19" s="81" t="e">
        <f t="shared" si="13"/>
        <v>#REF!</v>
      </c>
      <c r="N19" s="81" t="e">
        <f t="shared" si="6"/>
        <v>#REF!</v>
      </c>
      <c r="O19" s="81" t="e">
        <f t="shared" si="7"/>
        <v>#REF!</v>
      </c>
      <c r="Q19" s="83" t="str">
        <f t="shared" si="8"/>
        <v/>
      </c>
      <c r="R19" s="84" t="e">
        <f t="shared" si="0"/>
        <v>#REF!</v>
      </c>
      <c r="S19" s="83" t="e">
        <f t="shared" si="0"/>
        <v>#REF!</v>
      </c>
      <c r="T19" s="84" t="e">
        <f t="shared" si="1"/>
        <v>#REF!</v>
      </c>
      <c r="U19" s="84" t="e">
        <f t="shared" si="2"/>
        <v>#REF!</v>
      </c>
      <c r="V19" s="85" t="e">
        <f>#REF!</f>
        <v>#REF!</v>
      </c>
      <c r="W19" s="86">
        <f t="shared" si="9"/>
        <v>0</v>
      </c>
      <c r="X19" s="86">
        <f t="shared" si="9"/>
        <v>0</v>
      </c>
      <c r="Y19" s="87">
        <f t="shared" si="10"/>
        <v>0</v>
      </c>
      <c r="Z19" s="87">
        <f t="shared" si="11"/>
        <v>0</v>
      </c>
      <c r="AA19" s="87">
        <f t="shared" si="12"/>
        <v>4</v>
      </c>
    </row>
    <row r="20" spans="9:27">
      <c r="I20" s="81" t="e">
        <f>IF(#REF!&lt;&gt;"",#REF!,"")</f>
        <v>#REF!</v>
      </c>
      <c r="J20" s="81" t="e">
        <f t="shared" si="3"/>
        <v>#REF!</v>
      </c>
      <c r="L20" s="82" t="e">
        <f t="shared" si="4"/>
        <v>#REF!</v>
      </c>
      <c r="M20" s="81" t="e">
        <f t="shared" si="13"/>
        <v>#REF!</v>
      </c>
      <c r="N20" s="81" t="e">
        <f t="shared" si="6"/>
        <v>#REF!</v>
      </c>
      <c r="O20" s="81" t="e">
        <f t="shared" si="7"/>
        <v>#REF!</v>
      </c>
      <c r="Q20" s="83" t="str">
        <f t="shared" si="8"/>
        <v/>
      </c>
      <c r="R20" s="84" t="e">
        <f t="shared" si="0"/>
        <v>#REF!</v>
      </c>
      <c r="S20" s="83" t="e">
        <f t="shared" si="0"/>
        <v>#REF!</v>
      </c>
      <c r="T20" s="84" t="e">
        <f t="shared" si="1"/>
        <v>#REF!</v>
      </c>
      <c r="U20" s="84" t="e">
        <f t="shared" si="2"/>
        <v>#REF!</v>
      </c>
      <c r="V20" s="85" t="e">
        <f>#REF!</f>
        <v>#REF!</v>
      </c>
      <c r="W20" s="86">
        <f t="shared" si="9"/>
        <v>0</v>
      </c>
      <c r="X20" s="86">
        <f t="shared" si="9"/>
        <v>0</v>
      </c>
      <c r="Y20" s="87">
        <f t="shared" si="10"/>
        <v>0</v>
      </c>
      <c r="Z20" s="87">
        <f t="shared" si="11"/>
        <v>0</v>
      </c>
      <c r="AA20" s="87">
        <f t="shared" si="12"/>
        <v>4</v>
      </c>
    </row>
    <row r="21" spans="9:27">
      <c r="I21" s="81" t="e">
        <f>IF(#REF!&lt;&gt;"",#REF!,"")</f>
        <v>#REF!</v>
      </c>
      <c r="J21" s="81" t="e">
        <f t="shared" si="3"/>
        <v>#REF!</v>
      </c>
      <c r="L21" s="82" t="e">
        <f t="shared" si="4"/>
        <v>#REF!</v>
      </c>
      <c r="M21" s="81" t="e">
        <f t="shared" si="13"/>
        <v>#REF!</v>
      </c>
      <c r="N21" s="81" t="e">
        <f t="shared" si="6"/>
        <v>#REF!</v>
      </c>
      <c r="O21" s="81" t="e">
        <f t="shared" si="7"/>
        <v>#REF!</v>
      </c>
      <c r="Q21" s="83" t="str">
        <f t="shared" si="8"/>
        <v/>
      </c>
      <c r="R21" s="84" t="e">
        <f t="shared" si="0"/>
        <v>#REF!</v>
      </c>
      <c r="S21" s="83" t="e">
        <f t="shared" si="0"/>
        <v>#REF!</v>
      </c>
      <c r="T21" s="84" t="e">
        <f t="shared" si="1"/>
        <v>#REF!</v>
      </c>
      <c r="U21" s="84" t="e">
        <f t="shared" si="2"/>
        <v>#REF!</v>
      </c>
      <c r="V21" s="85" t="e">
        <f>#REF!</f>
        <v>#REF!</v>
      </c>
      <c r="W21" s="86">
        <f t="shared" si="9"/>
        <v>0</v>
      </c>
      <c r="X21" s="86">
        <f t="shared" si="9"/>
        <v>0</v>
      </c>
      <c r="Y21" s="87">
        <f t="shared" si="10"/>
        <v>0</v>
      </c>
      <c r="Z21" s="87">
        <f t="shared" si="11"/>
        <v>0</v>
      </c>
      <c r="AA21" s="87">
        <f t="shared" si="12"/>
        <v>4</v>
      </c>
    </row>
    <row r="22" spans="9:27">
      <c r="I22" s="81" t="e">
        <f>IF(#REF!&lt;&gt;"",#REF!,"")</f>
        <v>#REF!</v>
      </c>
      <c r="J22" s="81" t="e">
        <f t="shared" si="3"/>
        <v>#REF!</v>
      </c>
      <c r="L22" s="82" t="e">
        <f t="shared" si="4"/>
        <v>#REF!</v>
      </c>
      <c r="M22" s="81" t="e">
        <f t="shared" si="13"/>
        <v>#REF!</v>
      </c>
      <c r="N22" s="81" t="e">
        <f t="shared" si="6"/>
        <v>#REF!</v>
      </c>
      <c r="O22" s="81" t="e">
        <f t="shared" si="7"/>
        <v>#REF!</v>
      </c>
      <c r="Q22" s="83" t="str">
        <f t="shared" si="8"/>
        <v/>
      </c>
      <c r="R22" s="84" t="e">
        <f t="shared" si="0"/>
        <v>#REF!</v>
      </c>
      <c r="S22" s="83" t="e">
        <f t="shared" si="0"/>
        <v>#REF!</v>
      </c>
      <c r="T22" s="84" t="e">
        <f t="shared" si="1"/>
        <v>#REF!</v>
      </c>
      <c r="U22" s="84" t="e">
        <f t="shared" si="2"/>
        <v>#REF!</v>
      </c>
      <c r="V22" s="85" t="e">
        <f>#REF!</f>
        <v>#REF!</v>
      </c>
      <c r="W22" s="86">
        <f t="shared" si="9"/>
        <v>0</v>
      </c>
      <c r="X22" s="86">
        <f t="shared" si="9"/>
        <v>0</v>
      </c>
      <c r="Y22" s="87">
        <f t="shared" si="10"/>
        <v>0</v>
      </c>
      <c r="Z22" s="87">
        <f t="shared" si="11"/>
        <v>0</v>
      </c>
      <c r="AA22" s="87">
        <f t="shared" si="12"/>
        <v>4</v>
      </c>
    </row>
    <row r="23" spans="9:27">
      <c r="I23" s="81" t="e">
        <f>IF(#REF!&lt;&gt;"",#REF!,"")</f>
        <v>#REF!</v>
      </c>
      <c r="J23" s="81" t="e">
        <f t="shared" si="3"/>
        <v>#REF!</v>
      </c>
      <c r="L23" s="82" t="e">
        <f t="shared" si="4"/>
        <v>#REF!</v>
      </c>
      <c r="M23" s="81" t="e">
        <f t="shared" si="13"/>
        <v>#REF!</v>
      </c>
      <c r="N23" s="81" t="e">
        <f t="shared" si="6"/>
        <v>#REF!</v>
      </c>
      <c r="O23" s="81" t="e">
        <f t="shared" si="7"/>
        <v>#REF!</v>
      </c>
      <c r="Q23" s="83" t="str">
        <f t="shared" ref="Q23:Q86" si="14">IF(Z23=0,"",IF(Z23=1,R23&amp;S23,"E99999"))</f>
        <v/>
      </c>
      <c r="R23" s="84" t="e">
        <f t="shared" si="0"/>
        <v>#REF!</v>
      </c>
      <c r="S23" s="83" t="e">
        <f t="shared" si="0"/>
        <v>#REF!</v>
      </c>
      <c r="T23" s="84" t="e">
        <f t="shared" si="1"/>
        <v>#REF!</v>
      </c>
      <c r="U23" s="84" t="e">
        <f t="shared" si="2"/>
        <v>#REF!</v>
      </c>
      <c r="V23" s="85" t="e">
        <f>#REF!</f>
        <v>#REF!</v>
      </c>
      <c r="W23" s="86">
        <f t="shared" si="9"/>
        <v>0</v>
      </c>
      <c r="X23" s="86">
        <f t="shared" si="9"/>
        <v>0</v>
      </c>
      <c r="Y23" s="87">
        <f t="shared" si="10"/>
        <v>0</v>
      </c>
      <c r="Z23" s="87">
        <f t="shared" si="11"/>
        <v>0</v>
      </c>
      <c r="AA23" s="87">
        <f t="shared" si="12"/>
        <v>4</v>
      </c>
    </row>
    <row r="24" spans="9:27">
      <c r="I24" s="81" t="e">
        <f>IF(#REF!&lt;&gt;"",#REF!,"")</f>
        <v>#REF!</v>
      </c>
      <c r="J24" s="81" t="e">
        <f t="shared" si="3"/>
        <v>#REF!</v>
      </c>
      <c r="L24" s="82" t="e">
        <f t="shared" si="4"/>
        <v>#REF!</v>
      </c>
      <c r="M24" s="81" t="e">
        <f t="shared" si="13"/>
        <v>#REF!</v>
      </c>
      <c r="N24" s="81" t="e">
        <f t="shared" si="6"/>
        <v>#REF!</v>
      </c>
      <c r="O24" s="81" t="e">
        <f t="shared" si="7"/>
        <v>#REF!</v>
      </c>
      <c r="Q24" s="83" t="str">
        <f t="shared" si="14"/>
        <v/>
      </c>
      <c r="R24" s="84" t="e">
        <f t="shared" si="0"/>
        <v>#REF!</v>
      </c>
      <c r="S24" s="83" t="e">
        <f t="shared" si="0"/>
        <v>#REF!</v>
      </c>
      <c r="T24" s="84" t="e">
        <f t="shared" si="1"/>
        <v>#REF!</v>
      </c>
      <c r="U24" s="84" t="e">
        <f t="shared" si="2"/>
        <v>#REF!</v>
      </c>
      <c r="V24" s="85" t="e">
        <f>#REF!</f>
        <v>#REF!</v>
      </c>
      <c r="W24" s="86">
        <f t="shared" si="9"/>
        <v>0</v>
      </c>
      <c r="X24" s="86">
        <f t="shared" si="9"/>
        <v>0</v>
      </c>
      <c r="Y24" s="87">
        <f t="shared" si="10"/>
        <v>0</v>
      </c>
      <c r="Z24" s="87">
        <f t="shared" si="11"/>
        <v>0</v>
      </c>
      <c r="AA24" s="87">
        <f t="shared" si="12"/>
        <v>4</v>
      </c>
    </row>
    <row r="25" spans="9:27">
      <c r="I25" s="81" t="e">
        <f>IF(#REF!&lt;&gt;"",#REF!,"")</f>
        <v>#REF!</v>
      </c>
      <c r="J25" s="81" t="e">
        <f t="shared" si="3"/>
        <v>#REF!</v>
      </c>
      <c r="L25" s="82" t="e">
        <f t="shared" si="4"/>
        <v>#REF!</v>
      </c>
      <c r="M25" s="81" t="e">
        <f t="shared" si="13"/>
        <v>#REF!</v>
      </c>
      <c r="N25" s="81" t="e">
        <f t="shared" si="6"/>
        <v>#REF!</v>
      </c>
      <c r="O25" s="81" t="e">
        <f t="shared" si="7"/>
        <v>#REF!</v>
      </c>
      <c r="Q25" s="83" t="str">
        <f t="shared" si="14"/>
        <v/>
      </c>
      <c r="R25" s="84" t="e">
        <f t="shared" si="0"/>
        <v>#REF!</v>
      </c>
      <c r="S25" s="83" t="e">
        <f t="shared" si="0"/>
        <v>#REF!</v>
      </c>
      <c r="T25" s="84" t="e">
        <f t="shared" si="1"/>
        <v>#REF!</v>
      </c>
      <c r="U25" s="84" t="e">
        <f t="shared" si="2"/>
        <v>#REF!</v>
      </c>
      <c r="V25" s="85" t="e">
        <f>#REF!</f>
        <v>#REF!</v>
      </c>
      <c r="W25" s="86">
        <f t="shared" si="9"/>
        <v>0</v>
      </c>
      <c r="X25" s="86">
        <f t="shared" si="9"/>
        <v>0</v>
      </c>
      <c r="Y25" s="87">
        <f t="shared" si="10"/>
        <v>0</v>
      </c>
      <c r="Z25" s="87">
        <f t="shared" si="11"/>
        <v>0</v>
      </c>
      <c r="AA25" s="87">
        <f t="shared" si="12"/>
        <v>4</v>
      </c>
    </row>
    <row r="26" spans="9:27">
      <c r="I26" s="81" t="e">
        <f>IF(#REF!&lt;&gt;"",#REF!,"")</f>
        <v>#REF!</v>
      </c>
      <c r="J26" s="81" t="e">
        <f t="shared" si="3"/>
        <v>#REF!</v>
      </c>
      <c r="L26" s="82" t="e">
        <f t="shared" si="4"/>
        <v>#REF!</v>
      </c>
      <c r="M26" s="81" t="e">
        <f t="shared" si="13"/>
        <v>#REF!</v>
      </c>
      <c r="N26" s="81" t="e">
        <f t="shared" si="6"/>
        <v>#REF!</v>
      </c>
      <c r="O26" s="81" t="e">
        <f t="shared" si="7"/>
        <v>#REF!</v>
      </c>
      <c r="Q26" s="83" t="str">
        <f t="shared" si="14"/>
        <v/>
      </c>
      <c r="R26" s="84" t="e">
        <f t="shared" si="0"/>
        <v>#REF!</v>
      </c>
      <c r="S26" s="83" t="e">
        <f t="shared" si="0"/>
        <v>#REF!</v>
      </c>
      <c r="T26" s="84" t="e">
        <f t="shared" si="1"/>
        <v>#REF!</v>
      </c>
      <c r="U26" s="84" t="e">
        <f t="shared" si="2"/>
        <v>#REF!</v>
      </c>
      <c r="V26" s="85" t="e">
        <f>#REF!</f>
        <v>#REF!</v>
      </c>
      <c r="W26" s="86">
        <f t="shared" si="9"/>
        <v>0</v>
      </c>
      <c r="X26" s="86">
        <f t="shared" si="9"/>
        <v>0</v>
      </c>
      <c r="Y26" s="87">
        <f t="shared" si="10"/>
        <v>0</v>
      </c>
      <c r="Z26" s="87">
        <f t="shared" si="11"/>
        <v>0</v>
      </c>
      <c r="AA26" s="87">
        <f t="shared" si="12"/>
        <v>4</v>
      </c>
    </row>
    <row r="27" spans="9:27">
      <c r="I27" s="81" t="e">
        <f>IF(#REF!&lt;&gt;"",#REF!,"")</f>
        <v>#REF!</v>
      </c>
      <c r="J27" s="81" t="e">
        <f t="shared" si="3"/>
        <v>#REF!</v>
      </c>
      <c r="L27" s="82" t="e">
        <f t="shared" si="4"/>
        <v>#REF!</v>
      </c>
      <c r="M27" s="81" t="e">
        <f t="shared" si="13"/>
        <v>#REF!</v>
      </c>
      <c r="N27" s="81" t="e">
        <f t="shared" si="6"/>
        <v>#REF!</v>
      </c>
      <c r="O27" s="81" t="e">
        <f t="shared" si="7"/>
        <v>#REF!</v>
      </c>
      <c r="Q27" s="83" t="str">
        <f t="shared" si="14"/>
        <v/>
      </c>
      <c r="R27" s="84" t="e">
        <f t="shared" si="0"/>
        <v>#REF!</v>
      </c>
      <c r="S27" s="83" t="e">
        <f t="shared" si="0"/>
        <v>#REF!</v>
      </c>
      <c r="T27" s="84" t="e">
        <f t="shared" si="1"/>
        <v>#REF!</v>
      </c>
      <c r="U27" s="84" t="e">
        <f t="shared" si="2"/>
        <v>#REF!</v>
      </c>
      <c r="V27" s="85" t="e">
        <f>#REF!</f>
        <v>#REF!</v>
      </c>
      <c r="W27" s="86">
        <f t="shared" si="9"/>
        <v>0</v>
      </c>
      <c r="X27" s="86">
        <f t="shared" si="9"/>
        <v>0</v>
      </c>
      <c r="Y27" s="87">
        <f t="shared" si="10"/>
        <v>0</v>
      </c>
      <c r="Z27" s="87">
        <f t="shared" si="11"/>
        <v>0</v>
      </c>
      <c r="AA27" s="87">
        <f t="shared" si="12"/>
        <v>4</v>
      </c>
    </row>
    <row r="28" spans="9:27">
      <c r="I28" s="81" t="e">
        <f>IF(#REF!&lt;&gt;"",#REF!,"")</f>
        <v>#REF!</v>
      </c>
      <c r="J28" s="81" t="e">
        <f t="shared" si="3"/>
        <v>#REF!</v>
      </c>
      <c r="L28" s="82" t="e">
        <f t="shared" si="4"/>
        <v>#REF!</v>
      </c>
      <c r="M28" s="81" t="e">
        <f t="shared" si="13"/>
        <v>#REF!</v>
      </c>
      <c r="N28" s="81" t="e">
        <f t="shared" si="6"/>
        <v>#REF!</v>
      </c>
      <c r="O28" s="81" t="e">
        <f t="shared" si="7"/>
        <v>#REF!</v>
      </c>
      <c r="Q28" s="83" t="str">
        <f t="shared" si="14"/>
        <v/>
      </c>
      <c r="R28" s="84" t="e">
        <f t="shared" si="0"/>
        <v>#REF!</v>
      </c>
      <c r="S28" s="83" t="e">
        <f t="shared" si="0"/>
        <v>#REF!</v>
      </c>
      <c r="T28" s="84" t="e">
        <f t="shared" si="1"/>
        <v>#REF!</v>
      </c>
      <c r="U28" s="84" t="e">
        <f t="shared" si="2"/>
        <v>#REF!</v>
      </c>
      <c r="V28" s="85" t="e">
        <f>#REF!</f>
        <v>#REF!</v>
      </c>
      <c r="W28" s="86">
        <f t="shared" si="9"/>
        <v>0</v>
      </c>
      <c r="X28" s="86">
        <f t="shared" si="9"/>
        <v>0</v>
      </c>
      <c r="Y28" s="87">
        <f t="shared" si="10"/>
        <v>0</v>
      </c>
      <c r="Z28" s="87">
        <f t="shared" si="11"/>
        <v>0</v>
      </c>
      <c r="AA28" s="87">
        <f t="shared" si="12"/>
        <v>4</v>
      </c>
    </row>
    <row r="29" spans="9:27">
      <c r="I29" s="81" t="e">
        <f>IF(#REF!&lt;&gt;"",#REF!,"")</f>
        <v>#REF!</v>
      </c>
      <c r="J29" s="81" t="e">
        <f t="shared" si="3"/>
        <v>#REF!</v>
      </c>
      <c r="L29" s="82" t="e">
        <f t="shared" si="4"/>
        <v>#REF!</v>
      </c>
      <c r="M29" s="81" t="e">
        <f t="shared" si="13"/>
        <v>#REF!</v>
      </c>
      <c r="N29" s="81" t="e">
        <f t="shared" si="6"/>
        <v>#REF!</v>
      </c>
      <c r="O29" s="81" t="e">
        <f t="shared" si="7"/>
        <v>#REF!</v>
      </c>
      <c r="Q29" s="83" t="str">
        <f t="shared" si="14"/>
        <v/>
      </c>
      <c r="R29" s="84" t="e">
        <f t="shared" si="0"/>
        <v>#REF!</v>
      </c>
      <c r="S29" s="83" t="e">
        <f t="shared" si="0"/>
        <v>#REF!</v>
      </c>
      <c r="T29" s="84" t="e">
        <f t="shared" si="1"/>
        <v>#REF!</v>
      </c>
      <c r="U29" s="84" t="e">
        <f t="shared" si="2"/>
        <v>#REF!</v>
      </c>
      <c r="V29" s="85" t="e">
        <f>#REF!</f>
        <v>#REF!</v>
      </c>
      <c r="W29" s="86">
        <f t="shared" si="9"/>
        <v>0</v>
      </c>
      <c r="X29" s="86">
        <f t="shared" si="9"/>
        <v>0</v>
      </c>
      <c r="Y29" s="87">
        <f t="shared" si="10"/>
        <v>0</v>
      </c>
      <c r="Z29" s="87">
        <f t="shared" si="11"/>
        <v>0</v>
      </c>
      <c r="AA29" s="87">
        <f t="shared" si="12"/>
        <v>4</v>
      </c>
    </row>
    <row r="30" spans="9:27">
      <c r="I30" s="81" t="e">
        <f>IF(#REF!&lt;&gt;"",#REF!,"")</f>
        <v>#REF!</v>
      </c>
      <c r="J30" s="81" t="e">
        <f t="shared" si="3"/>
        <v>#REF!</v>
      </c>
      <c r="L30" s="82" t="e">
        <f t="shared" si="4"/>
        <v>#REF!</v>
      </c>
      <c r="M30" s="81" t="e">
        <f t="shared" si="13"/>
        <v>#REF!</v>
      </c>
      <c r="N30" s="81" t="e">
        <f t="shared" si="6"/>
        <v>#REF!</v>
      </c>
      <c r="O30" s="81" t="e">
        <f t="shared" si="7"/>
        <v>#REF!</v>
      </c>
      <c r="Q30" s="83" t="str">
        <f t="shared" si="14"/>
        <v/>
      </c>
      <c r="R30" s="84" t="e">
        <f t="shared" si="0"/>
        <v>#REF!</v>
      </c>
      <c r="S30" s="83" t="e">
        <f t="shared" si="0"/>
        <v>#REF!</v>
      </c>
      <c r="T30" s="84" t="e">
        <f t="shared" si="1"/>
        <v>#REF!</v>
      </c>
      <c r="U30" s="84" t="e">
        <f t="shared" si="2"/>
        <v>#REF!</v>
      </c>
      <c r="V30" s="85" t="e">
        <f>#REF!</f>
        <v>#REF!</v>
      </c>
      <c r="W30" s="86">
        <f t="shared" si="9"/>
        <v>0</v>
      </c>
      <c r="X30" s="86">
        <f t="shared" si="9"/>
        <v>0</v>
      </c>
      <c r="Y30" s="87">
        <f t="shared" si="10"/>
        <v>0</v>
      </c>
      <c r="Z30" s="87">
        <f t="shared" si="11"/>
        <v>0</v>
      </c>
      <c r="AA30" s="87">
        <f t="shared" si="12"/>
        <v>4</v>
      </c>
    </row>
    <row r="31" spans="9:27">
      <c r="I31" s="81" t="e">
        <f>IF(#REF!&lt;&gt;"",#REF!,"")</f>
        <v>#REF!</v>
      </c>
      <c r="J31" s="81" t="e">
        <f t="shared" si="3"/>
        <v>#REF!</v>
      </c>
      <c r="L31" s="82" t="e">
        <f t="shared" si="4"/>
        <v>#REF!</v>
      </c>
      <c r="M31" s="81" t="e">
        <f t="shared" si="13"/>
        <v>#REF!</v>
      </c>
      <c r="N31" s="81" t="e">
        <f t="shared" si="6"/>
        <v>#REF!</v>
      </c>
      <c r="O31" s="81" t="e">
        <f t="shared" si="7"/>
        <v>#REF!</v>
      </c>
      <c r="Q31" s="83" t="str">
        <f t="shared" si="14"/>
        <v/>
      </c>
      <c r="R31" s="84" t="e">
        <f t="shared" si="0"/>
        <v>#REF!</v>
      </c>
      <c r="S31" s="83" t="e">
        <f t="shared" si="0"/>
        <v>#REF!</v>
      </c>
      <c r="T31" s="84" t="e">
        <f t="shared" si="1"/>
        <v>#REF!</v>
      </c>
      <c r="U31" s="84" t="e">
        <f t="shared" si="2"/>
        <v>#REF!</v>
      </c>
      <c r="V31" s="85" t="e">
        <f>#REF!</f>
        <v>#REF!</v>
      </c>
      <c r="W31" s="86">
        <f t="shared" si="9"/>
        <v>0</v>
      </c>
      <c r="X31" s="86">
        <f t="shared" si="9"/>
        <v>0</v>
      </c>
      <c r="Y31" s="87">
        <f t="shared" si="10"/>
        <v>0</v>
      </c>
      <c r="Z31" s="87">
        <f t="shared" si="11"/>
        <v>0</v>
      </c>
      <c r="AA31" s="87">
        <f t="shared" si="12"/>
        <v>4</v>
      </c>
    </row>
    <row r="32" spans="9:27">
      <c r="I32" s="81" t="e">
        <f>IF(#REF!&lt;&gt;"",#REF!,"")</f>
        <v>#REF!</v>
      </c>
      <c r="J32" s="81" t="e">
        <f t="shared" si="3"/>
        <v>#REF!</v>
      </c>
      <c r="L32" s="82" t="e">
        <f t="shared" si="4"/>
        <v>#REF!</v>
      </c>
      <c r="M32" s="81" t="e">
        <f t="shared" si="13"/>
        <v>#REF!</v>
      </c>
      <c r="N32" s="81" t="e">
        <f t="shared" si="6"/>
        <v>#REF!</v>
      </c>
      <c r="O32" s="81" t="e">
        <f t="shared" si="7"/>
        <v>#REF!</v>
      </c>
      <c r="Q32" s="83" t="str">
        <f t="shared" si="14"/>
        <v/>
      </c>
      <c r="R32" s="84" t="e">
        <f t="shared" si="0"/>
        <v>#REF!</v>
      </c>
      <c r="S32" s="83" t="e">
        <f t="shared" si="0"/>
        <v>#REF!</v>
      </c>
      <c r="T32" s="84" t="e">
        <f t="shared" si="1"/>
        <v>#REF!</v>
      </c>
      <c r="U32" s="84" t="e">
        <f t="shared" si="2"/>
        <v>#REF!</v>
      </c>
      <c r="V32" s="85" t="e">
        <f>#REF!</f>
        <v>#REF!</v>
      </c>
      <c r="W32" s="86">
        <f t="shared" si="9"/>
        <v>0</v>
      </c>
      <c r="X32" s="86">
        <f t="shared" si="9"/>
        <v>0</v>
      </c>
      <c r="Y32" s="87">
        <f t="shared" si="10"/>
        <v>0</v>
      </c>
      <c r="Z32" s="87">
        <f t="shared" si="11"/>
        <v>0</v>
      </c>
      <c r="AA32" s="87">
        <f t="shared" si="12"/>
        <v>4</v>
      </c>
    </row>
    <row r="33" spans="9:27">
      <c r="I33" s="81" t="e">
        <f>IF(#REF!&lt;&gt;"",#REF!,"")</f>
        <v>#REF!</v>
      </c>
      <c r="J33" s="81" t="e">
        <f t="shared" si="3"/>
        <v>#REF!</v>
      </c>
      <c r="L33" s="82" t="e">
        <f t="shared" si="4"/>
        <v>#REF!</v>
      </c>
      <c r="M33" s="81" t="e">
        <f t="shared" si="13"/>
        <v>#REF!</v>
      </c>
      <c r="N33" s="81" t="e">
        <f t="shared" si="6"/>
        <v>#REF!</v>
      </c>
      <c r="O33" s="81" t="e">
        <f t="shared" si="7"/>
        <v>#REF!</v>
      </c>
      <c r="Q33" s="83" t="str">
        <f t="shared" si="14"/>
        <v/>
      </c>
      <c r="R33" s="84" t="e">
        <f t="shared" si="0"/>
        <v>#REF!</v>
      </c>
      <c r="S33" s="83" t="e">
        <f t="shared" si="0"/>
        <v>#REF!</v>
      </c>
      <c r="T33" s="84" t="e">
        <f t="shared" si="1"/>
        <v>#REF!</v>
      </c>
      <c r="U33" s="84" t="e">
        <f t="shared" si="2"/>
        <v>#REF!</v>
      </c>
      <c r="V33" s="85" t="e">
        <f>#REF!</f>
        <v>#REF!</v>
      </c>
      <c r="W33" s="86">
        <f t="shared" si="9"/>
        <v>0</v>
      </c>
      <c r="X33" s="86">
        <f t="shared" si="9"/>
        <v>0</v>
      </c>
      <c r="Y33" s="87">
        <f t="shared" si="10"/>
        <v>0</v>
      </c>
      <c r="Z33" s="87">
        <f t="shared" si="11"/>
        <v>0</v>
      </c>
      <c r="AA33" s="87">
        <f t="shared" si="12"/>
        <v>4</v>
      </c>
    </row>
    <row r="34" spans="9:27">
      <c r="I34" s="81" t="e">
        <f>IF(#REF!&lt;&gt;"",#REF!,"")</f>
        <v>#REF!</v>
      </c>
      <c r="J34" s="81" t="e">
        <f t="shared" si="3"/>
        <v>#REF!</v>
      </c>
      <c r="L34" s="82" t="e">
        <f t="shared" si="4"/>
        <v>#REF!</v>
      </c>
      <c r="M34" s="81" t="e">
        <f t="shared" si="13"/>
        <v>#REF!</v>
      </c>
      <c r="N34" s="81" t="e">
        <f t="shared" si="6"/>
        <v>#REF!</v>
      </c>
      <c r="O34" s="81" t="e">
        <f t="shared" si="7"/>
        <v>#REF!</v>
      </c>
      <c r="Q34" s="83" t="str">
        <f t="shared" si="14"/>
        <v/>
      </c>
      <c r="R34" s="84" t="e">
        <f t="shared" si="0"/>
        <v>#REF!</v>
      </c>
      <c r="S34" s="83" t="e">
        <f t="shared" si="0"/>
        <v>#REF!</v>
      </c>
      <c r="T34" s="84" t="e">
        <f t="shared" si="1"/>
        <v>#REF!</v>
      </c>
      <c r="U34" s="84" t="e">
        <f t="shared" si="2"/>
        <v>#REF!</v>
      </c>
      <c r="V34" s="85" t="e">
        <f>#REF!</f>
        <v>#REF!</v>
      </c>
      <c r="W34" s="86">
        <f t="shared" si="9"/>
        <v>0</v>
      </c>
      <c r="X34" s="86">
        <f t="shared" si="9"/>
        <v>0</v>
      </c>
      <c r="Y34" s="87">
        <f t="shared" si="10"/>
        <v>0</v>
      </c>
      <c r="Z34" s="87">
        <f t="shared" si="11"/>
        <v>0</v>
      </c>
      <c r="AA34" s="87">
        <f t="shared" si="12"/>
        <v>4</v>
      </c>
    </row>
    <row r="35" spans="9:27">
      <c r="I35" s="81" t="e">
        <f>IF(#REF!&lt;&gt;"",#REF!,"")</f>
        <v>#REF!</v>
      </c>
      <c r="J35" s="81" t="e">
        <f t="shared" si="3"/>
        <v>#REF!</v>
      </c>
      <c r="L35" s="82" t="e">
        <f t="shared" si="4"/>
        <v>#REF!</v>
      </c>
      <c r="M35" s="81" t="e">
        <f t="shared" si="13"/>
        <v>#REF!</v>
      </c>
      <c r="N35" s="81" t="e">
        <f t="shared" si="6"/>
        <v>#REF!</v>
      </c>
      <c r="O35" s="81" t="e">
        <f t="shared" si="7"/>
        <v>#REF!</v>
      </c>
      <c r="Q35" s="83" t="str">
        <f t="shared" si="14"/>
        <v/>
      </c>
      <c r="R35" s="84" t="e">
        <f t="shared" si="0"/>
        <v>#REF!</v>
      </c>
      <c r="S35" s="83" t="e">
        <f t="shared" si="0"/>
        <v>#REF!</v>
      </c>
      <c r="T35" s="84" t="e">
        <f t="shared" si="1"/>
        <v>#REF!</v>
      </c>
      <c r="U35" s="84" t="e">
        <f t="shared" si="2"/>
        <v>#REF!</v>
      </c>
      <c r="V35" s="85" t="e">
        <f>#REF!</f>
        <v>#REF!</v>
      </c>
      <c r="W35" s="86">
        <f t="shared" si="9"/>
        <v>0</v>
      </c>
      <c r="X35" s="86">
        <f t="shared" si="9"/>
        <v>0</v>
      </c>
      <c r="Y35" s="87">
        <f t="shared" si="10"/>
        <v>0</v>
      </c>
      <c r="Z35" s="87">
        <f t="shared" si="11"/>
        <v>0</v>
      </c>
      <c r="AA35" s="87">
        <f t="shared" si="12"/>
        <v>4</v>
      </c>
    </row>
    <row r="36" spans="9:27">
      <c r="I36" s="81" t="e">
        <f>IF(#REF!&lt;&gt;"",#REF!,"")</f>
        <v>#REF!</v>
      </c>
      <c r="J36" s="81" t="e">
        <f t="shared" si="3"/>
        <v>#REF!</v>
      </c>
      <c r="L36" s="82" t="e">
        <f t="shared" si="4"/>
        <v>#REF!</v>
      </c>
      <c r="M36" s="81" t="e">
        <f t="shared" si="13"/>
        <v>#REF!</v>
      </c>
      <c r="N36" s="81" t="e">
        <f t="shared" si="6"/>
        <v>#REF!</v>
      </c>
      <c r="O36" s="81" t="e">
        <f t="shared" si="7"/>
        <v>#REF!</v>
      </c>
      <c r="Q36" s="83" t="str">
        <f t="shared" si="14"/>
        <v/>
      </c>
      <c r="R36" s="84" t="e">
        <f t="shared" si="0"/>
        <v>#REF!</v>
      </c>
      <c r="S36" s="83" t="e">
        <f t="shared" si="0"/>
        <v>#REF!</v>
      </c>
      <c r="T36" s="84" t="e">
        <f t="shared" si="1"/>
        <v>#REF!</v>
      </c>
      <c r="U36" s="84" t="e">
        <f t="shared" si="2"/>
        <v>#REF!</v>
      </c>
      <c r="V36" s="85" t="e">
        <f>#REF!</f>
        <v>#REF!</v>
      </c>
      <c r="W36" s="86">
        <f t="shared" si="9"/>
        <v>0</v>
      </c>
      <c r="X36" s="86">
        <f t="shared" si="9"/>
        <v>0</v>
      </c>
      <c r="Y36" s="87">
        <f t="shared" si="10"/>
        <v>0</v>
      </c>
      <c r="Z36" s="87">
        <f t="shared" si="11"/>
        <v>0</v>
      </c>
      <c r="AA36" s="87">
        <f t="shared" si="12"/>
        <v>4</v>
      </c>
    </row>
    <row r="37" spans="9:27">
      <c r="I37" s="81" t="e">
        <f>IF(#REF!&lt;&gt;"",#REF!,"")</f>
        <v>#REF!</v>
      </c>
      <c r="J37" s="81" t="e">
        <f t="shared" si="3"/>
        <v>#REF!</v>
      </c>
      <c r="L37" s="82" t="e">
        <f t="shared" si="4"/>
        <v>#REF!</v>
      </c>
      <c r="M37" s="81" t="e">
        <f t="shared" si="13"/>
        <v>#REF!</v>
      </c>
      <c r="N37" s="81" t="e">
        <f t="shared" si="6"/>
        <v>#REF!</v>
      </c>
      <c r="O37" s="81" t="e">
        <f t="shared" si="7"/>
        <v>#REF!</v>
      </c>
      <c r="Q37" s="83" t="str">
        <f t="shared" si="14"/>
        <v/>
      </c>
      <c r="R37" s="84" t="e">
        <f t="shared" si="0"/>
        <v>#REF!</v>
      </c>
      <c r="S37" s="83" t="e">
        <f t="shared" si="0"/>
        <v>#REF!</v>
      </c>
      <c r="T37" s="84" t="e">
        <f t="shared" si="1"/>
        <v>#REF!</v>
      </c>
      <c r="U37" s="84" t="e">
        <f t="shared" si="2"/>
        <v>#REF!</v>
      </c>
      <c r="V37" s="85" t="e">
        <f>#REF!</f>
        <v>#REF!</v>
      </c>
      <c r="W37" s="86">
        <f t="shared" si="9"/>
        <v>0</v>
      </c>
      <c r="X37" s="86">
        <f t="shared" si="9"/>
        <v>0</v>
      </c>
      <c r="Y37" s="87">
        <f t="shared" si="10"/>
        <v>0</v>
      </c>
      <c r="Z37" s="87">
        <f t="shared" si="11"/>
        <v>0</v>
      </c>
      <c r="AA37" s="87">
        <f t="shared" si="12"/>
        <v>4</v>
      </c>
    </row>
    <row r="38" spans="9:27">
      <c r="I38" s="81" t="e">
        <f>IF(#REF!&lt;&gt;"",#REF!,"")</f>
        <v>#REF!</v>
      </c>
      <c r="J38" s="81" t="e">
        <f t="shared" si="3"/>
        <v>#REF!</v>
      </c>
      <c r="L38" s="82" t="e">
        <f t="shared" si="4"/>
        <v>#REF!</v>
      </c>
      <c r="M38" s="81" t="e">
        <f t="shared" si="13"/>
        <v>#REF!</v>
      </c>
      <c r="N38" s="81" t="e">
        <f t="shared" si="6"/>
        <v>#REF!</v>
      </c>
      <c r="O38" s="81" t="e">
        <f t="shared" si="7"/>
        <v>#REF!</v>
      </c>
      <c r="Q38" s="83" t="str">
        <f t="shared" si="14"/>
        <v/>
      </c>
      <c r="R38" s="84" t="e">
        <f t="shared" si="0"/>
        <v>#REF!</v>
      </c>
      <c r="S38" s="83" t="e">
        <f t="shared" si="0"/>
        <v>#REF!</v>
      </c>
      <c r="T38" s="84" t="e">
        <f t="shared" si="1"/>
        <v>#REF!</v>
      </c>
      <c r="U38" s="84" t="e">
        <f t="shared" si="2"/>
        <v>#REF!</v>
      </c>
      <c r="V38" s="85" t="e">
        <f>#REF!</f>
        <v>#REF!</v>
      </c>
      <c r="W38" s="86">
        <f t="shared" si="9"/>
        <v>0</v>
      </c>
      <c r="X38" s="86">
        <f t="shared" si="9"/>
        <v>0</v>
      </c>
      <c r="Y38" s="87">
        <f t="shared" si="10"/>
        <v>0</v>
      </c>
      <c r="Z38" s="87">
        <f t="shared" si="11"/>
        <v>0</v>
      </c>
      <c r="AA38" s="87">
        <f t="shared" si="12"/>
        <v>4</v>
      </c>
    </row>
    <row r="39" spans="9:27">
      <c r="I39" s="81" t="e">
        <f>IF(#REF!&lt;&gt;"",#REF!,"")</f>
        <v>#REF!</v>
      </c>
      <c r="J39" s="81" t="e">
        <f t="shared" si="3"/>
        <v>#REF!</v>
      </c>
      <c r="L39" s="82" t="e">
        <f t="shared" si="4"/>
        <v>#REF!</v>
      </c>
      <c r="M39" s="81" t="e">
        <f t="shared" si="13"/>
        <v>#REF!</v>
      </c>
      <c r="N39" s="81" t="e">
        <f t="shared" si="6"/>
        <v>#REF!</v>
      </c>
      <c r="O39" s="81" t="e">
        <f t="shared" si="7"/>
        <v>#REF!</v>
      </c>
      <c r="Q39" s="83" t="str">
        <f t="shared" si="14"/>
        <v/>
      </c>
      <c r="R39" s="84" t="e">
        <f t="shared" si="0"/>
        <v>#REF!</v>
      </c>
      <c r="S39" s="83" t="e">
        <f t="shared" si="0"/>
        <v>#REF!</v>
      </c>
      <c r="T39" s="84" t="e">
        <f t="shared" si="1"/>
        <v>#REF!</v>
      </c>
      <c r="U39" s="84" t="e">
        <f t="shared" si="2"/>
        <v>#REF!</v>
      </c>
      <c r="V39" s="85" t="e">
        <f>#REF!</f>
        <v>#REF!</v>
      </c>
      <c r="W39" s="86">
        <f t="shared" si="9"/>
        <v>0</v>
      </c>
      <c r="X39" s="86">
        <f t="shared" si="9"/>
        <v>0</v>
      </c>
      <c r="Y39" s="87">
        <f t="shared" si="10"/>
        <v>0</v>
      </c>
      <c r="Z39" s="87">
        <f t="shared" si="11"/>
        <v>0</v>
      </c>
      <c r="AA39" s="87">
        <f t="shared" si="12"/>
        <v>4</v>
      </c>
    </row>
    <row r="40" spans="9:27">
      <c r="I40" s="81" t="e">
        <f>IF(#REF!&lt;&gt;"",#REF!,"")</f>
        <v>#REF!</v>
      </c>
      <c r="J40" s="81" t="e">
        <f t="shared" si="3"/>
        <v>#REF!</v>
      </c>
      <c r="L40" s="82" t="e">
        <f t="shared" si="4"/>
        <v>#REF!</v>
      </c>
      <c r="M40" s="81" t="e">
        <f t="shared" si="13"/>
        <v>#REF!</v>
      </c>
      <c r="N40" s="81" t="e">
        <f t="shared" si="6"/>
        <v>#REF!</v>
      </c>
      <c r="O40" s="81" t="e">
        <f t="shared" si="7"/>
        <v>#REF!</v>
      </c>
      <c r="Q40" s="83" t="str">
        <f t="shared" si="14"/>
        <v/>
      </c>
      <c r="R40" s="84" t="e">
        <f t="shared" si="0"/>
        <v>#REF!</v>
      </c>
      <c r="S40" s="83" t="e">
        <f t="shared" si="0"/>
        <v>#REF!</v>
      </c>
      <c r="T40" s="84" t="e">
        <f t="shared" si="1"/>
        <v>#REF!</v>
      </c>
      <c r="U40" s="84" t="e">
        <f t="shared" si="2"/>
        <v>#REF!</v>
      </c>
      <c r="V40" s="85" t="e">
        <f>#REF!</f>
        <v>#REF!</v>
      </c>
      <c r="W40" s="86">
        <f t="shared" si="9"/>
        <v>0</v>
      </c>
      <c r="X40" s="86">
        <f t="shared" si="9"/>
        <v>0</v>
      </c>
      <c r="Y40" s="87">
        <f t="shared" si="10"/>
        <v>0</v>
      </c>
      <c r="Z40" s="87">
        <f t="shared" si="11"/>
        <v>0</v>
      </c>
      <c r="AA40" s="87">
        <f t="shared" si="12"/>
        <v>4</v>
      </c>
    </row>
    <row r="41" spans="9:27">
      <c r="I41" s="81" t="e">
        <f>IF(#REF!&lt;&gt;"",#REF!,"")</f>
        <v>#REF!</v>
      </c>
      <c r="J41" s="81" t="e">
        <f t="shared" si="3"/>
        <v>#REF!</v>
      </c>
      <c r="L41" s="82" t="e">
        <f t="shared" si="4"/>
        <v>#REF!</v>
      </c>
      <c r="M41" s="81" t="e">
        <f t="shared" si="13"/>
        <v>#REF!</v>
      </c>
      <c r="N41" s="81" t="e">
        <f t="shared" si="6"/>
        <v>#REF!</v>
      </c>
      <c r="O41" s="81" t="e">
        <f t="shared" si="7"/>
        <v>#REF!</v>
      </c>
      <c r="Q41" s="83" t="str">
        <f t="shared" si="14"/>
        <v/>
      </c>
      <c r="R41" s="84" t="e">
        <f t="shared" si="0"/>
        <v>#REF!</v>
      </c>
      <c r="S41" s="83" t="e">
        <f t="shared" si="0"/>
        <v>#REF!</v>
      </c>
      <c r="T41" s="84" t="e">
        <f t="shared" si="1"/>
        <v>#REF!</v>
      </c>
      <c r="U41" s="84" t="e">
        <f t="shared" si="2"/>
        <v>#REF!</v>
      </c>
      <c r="V41" s="85" t="e">
        <f>#REF!</f>
        <v>#REF!</v>
      </c>
      <c r="W41" s="86">
        <f t="shared" si="9"/>
        <v>0</v>
      </c>
      <c r="X41" s="86">
        <f t="shared" si="9"/>
        <v>0</v>
      </c>
      <c r="Y41" s="87">
        <f t="shared" si="10"/>
        <v>0</v>
      </c>
      <c r="Z41" s="87">
        <f t="shared" si="11"/>
        <v>0</v>
      </c>
      <c r="AA41" s="87">
        <f t="shared" si="12"/>
        <v>4</v>
      </c>
    </row>
    <row r="42" spans="9:27">
      <c r="I42" s="81" t="e">
        <f>IF(#REF!&lt;&gt;"",#REF!,"")</f>
        <v>#REF!</v>
      </c>
      <c r="J42" s="81" t="e">
        <f t="shared" si="3"/>
        <v>#REF!</v>
      </c>
      <c r="L42" s="82" t="e">
        <f t="shared" si="4"/>
        <v>#REF!</v>
      </c>
      <c r="M42" s="81" t="e">
        <f t="shared" si="13"/>
        <v>#REF!</v>
      </c>
      <c r="N42" s="81" t="e">
        <f t="shared" si="6"/>
        <v>#REF!</v>
      </c>
      <c r="O42" s="81" t="e">
        <f t="shared" si="7"/>
        <v>#REF!</v>
      </c>
      <c r="Q42" s="83" t="str">
        <f t="shared" si="14"/>
        <v/>
      </c>
      <c r="R42" s="84" t="e">
        <f t="shared" si="0"/>
        <v>#REF!</v>
      </c>
      <c r="S42" s="83" t="e">
        <f t="shared" si="0"/>
        <v>#REF!</v>
      </c>
      <c r="T42" s="84" t="e">
        <f t="shared" si="1"/>
        <v>#REF!</v>
      </c>
      <c r="U42" s="84" t="e">
        <f t="shared" si="2"/>
        <v>#REF!</v>
      </c>
      <c r="V42" s="85" t="e">
        <f>#REF!</f>
        <v>#REF!</v>
      </c>
      <c r="W42" s="86">
        <f t="shared" si="9"/>
        <v>0</v>
      </c>
      <c r="X42" s="86">
        <f t="shared" si="9"/>
        <v>0</v>
      </c>
      <c r="Y42" s="87">
        <f t="shared" si="10"/>
        <v>0</v>
      </c>
      <c r="Z42" s="87">
        <f t="shared" si="11"/>
        <v>0</v>
      </c>
      <c r="AA42" s="87">
        <f t="shared" si="12"/>
        <v>4</v>
      </c>
    </row>
    <row r="43" spans="9:27">
      <c r="I43" s="81" t="e">
        <f>IF(#REF!&lt;&gt;"",#REF!,"")</f>
        <v>#REF!</v>
      </c>
      <c r="J43" s="81" t="e">
        <f t="shared" si="3"/>
        <v>#REF!</v>
      </c>
      <c r="L43" s="82" t="e">
        <f t="shared" si="4"/>
        <v>#REF!</v>
      </c>
      <c r="M43" s="81" t="e">
        <f t="shared" si="13"/>
        <v>#REF!</v>
      </c>
      <c r="N43" s="81" t="e">
        <f t="shared" si="6"/>
        <v>#REF!</v>
      </c>
      <c r="O43" s="81" t="e">
        <f t="shared" si="7"/>
        <v>#REF!</v>
      </c>
      <c r="Q43" s="83" t="str">
        <f t="shared" si="14"/>
        <v/>
      </c>
      <c r="R43" s="84" t="e">
        <f t="shared" si="0"/>
        <v>#REF!</v>
      </c>
      <c r="S43" s="83" t="e">
        <f t="shared" si="0"/>
        <v>#REF!</v>
      </c>
      <c r="T43" s="84" t="e">
        <f t="shared" si="1"/>
        <v>#REF!</v>
      </c>
      <c r="U43" s="84" t="e">
        <f t="shared" si="2"/>
        <v>#REF!</v>
      </c>
      <c r="V43" s="85" t="e">
        <f>#REF!</f>
        <v>#REF!</v>
      </c>
      <c r="W43" s="86">
        <f t="shared" si="9"/>
        <v>0</v>
      </c>
      <c r="X43" s="86">
        <f t="shared" si="9"/>
        <v>0</v>
      </c>
      <c r="Y43" s="87">
        <f t="shared" si="10"/>
        <v>0</v>
      </c>
      <c r="Z43" s="87">
        <f t="shared" si="11"/>
        <v>0</v>
      </c>
      <c r="AA43" s="87">
        <f t="shared" si="12"/>
        <v>4</v>
      </c>
    </row>
    <row r="44" spans="9:27">
      <c r="I44" s="81" t="e">
        <f>IF(#REF!&lt;&gt;"",#REF!,"")</f>
        <v>#REF!</v>
      </c>
      <c r="J44" s="81" t="e">
        <f t="shared" si="3"/>
        <v>#REF!</v>
      </c>
      <c r="L44" s="82" t="e">
        <f t="shared" si="4"/>
        <v>#REF!</v>
      </c>
      <c r="M44" s="81" t="e">
        <f t="shared" si="13"/>
        <v>#REF!</v>
      </c>
      <c r="N44" s="81" t="e">
        <f t="shared" si="6"/>
        <v>#REF!</v>
      </c>
      <c r="O44" s="81" t="e">
        <f t="shared" si="7"/>
        <v>#REF!</v>
      </c>
      <c r="Q44" s="83" t="str">
        <f t="shared" si="14"/>
        <v/>
      </c>
      <c r="R44" s="84" t="e">
        <f t="shared" si="0"/>
        <v>#REF!</v>
      </c>
      <c r="S44" s="83" t="e">
        <f t="shared" si="0"/>
        <v>#REF!</v>
      </c>
      <c r="T44" s="84" t="e">
        <f t="shared" si="1"/>
        <v>#REF!</v>
      </c>
      <c r="U44" s="84" t="e">
        <f t="shared" si="2"/>
        <v>#REF!</v>
      </c>
      <c r="V44" s="85" t="e">
        <f>#REF!</f>
        <v>#REF!</v>
      </c>
      <c r="W44" s="86">
        <f t="shared" si="9"/>
        <v>0</v>
      </c>
      <c r="X44" s="86">
        <f t="shared" si="9"/>
        <v>0</v>
      </c>
      <c r="Y44" s="87">
        <f t="shared" si="10"/>
        <v>0</v>
      </c>
      <c r="Z44" s="87">
        <f t="shared" si="11"/>
        <v>0</v>
      </c>
      <c r="AA44" s="87">
        <f t="shared" si="12"/>
        <v>4</v>
      </c>
    </row>
    <row r="45" spans="9:27">
      <c r="I45" s="81" t="e">
        <f>IF(#REF!&lt;&gt;"",#REF!,"")</f>
        <v>#REF!</v>
      </c>
      <c r="J45" s="81" t="e">
        <f t="shared" si="3"/>
        <v>#REF!</v>
      </c>
      <c r="L45" s="82" t="e">
        <f t="shared" si="4"/>
        <v>#REF!</v>
      </c>
      <c r="M45" s="81" t="e">
        <f t="shared" si="13"/>
        <v>#REF!</v>
      </c>
      <c r="N45" s="81" t="e">
        <f t="shared" si="6"/>
        <v>#REF!</v>
      </c>
      <c r="O45" s="81" t="e">
        <f t="shared" si="7"/>
        <v>#REF!</v>
      </c>
      <c r="Q45" s="83" t="str">
        <f t="shared" si="14"/>
        <v/>
      </c>
      <c r="R45" s="84" t="e">
        <f t="shared" si="0"/>
        <v>#REF!</v>
      </c>
      <c r="S45" s="83" t="e">
        <f t="shared" si="0"/>
        <v>#REF!</v>
      </c>
      <c r="T45" s="84" t="e">
        <f t="shared" si="1"/>
        <v>#REF!</v>
      </c>
      <c r="U45" s="84" t="e">
        <f t="shared" si="2"/>
        <v>#REF!</v>
      </c>
      <c r="V45" s="85" t="e">
        <f>#REF!</f>
        <v>#REF!</v>
      </c>
      <c r="W45" s="86">
        <f t="shared" si="9"/>
        <v>0</v>
      </c>
      <c r="X45" s="86">
        <f t="shared" si="9"/>
        <v>0</v>
      </c>
      <c r="Y45" s="87">
        <f t="shared" si="10"/>
        <v>0</v>
      </c>
      <c r="Z45" s="87">
        <f t="shared" si="11"/>
        <v>0</v>
      </c>
      <c r="AA45" s="87">
        <f t="shared" si="12"/>
        <v>4</v>
      </c>
    </row>
    <row r="46" spans="9:27">
      <c r="I46" s="81" t="e">
        <f>IF(#REF!&lt;&gt;"",#REF!,"")</f>
        <v>#REF!</v>
      </c>
      <c r="J46" s="81" t="e">
        <f t="shared" si="3"/>
        <v>#REF!</v>
      </c>
      <c r="L46" s="82" t="e">
        <f t="shared" si="4"/>
        <v>#REF!</v>
      </c>
      <c r="M46" s="81" t="e">
        <f t="shared" si="13"/>
        <v>#REF!</v>
      </c>
      <c r="N46" s="81" t="e">
        <f t="shared" si="6"/>
        <v>#REF!</v>
      </c>
      <c r="O46" s="81" t="e">
        <f t="shared" si="7"/>
        <v>#REF!</v>
      </c>
      <c r="Q46" s="83" t="str">
        <f t="shared" si="14"/>
        <v/>
      </c>
      <c r="R46" s="84" t="e">
        <f t="shared" si="0"/>
        <v>#REF!</v>
      </c>
      <c r="S46" s="83" t="e">
        <f t="shared" si="0"/>
        <v>#REF!</v>
      </c>
      <c r="T46" s="84" t="e">
        <f t="shared" si="1"/>
        <v>#REF!</v>
      </c>
      <c r="U46" s="84" t="e">
        <f t="shared" si="2"/>
        <v>#REF!</v>
      </c>
      <c r="V46" s="85" t="e">
        <f>#REF!</f>
        <v>#REF!</v>
      </c>
      <c r="W46" s="86">
        <f t="shared" si="9"/>
        <v>0</v>
      </c>
      <c r="X46" s="86">
        <f t="shared" si="9"/>
        <v>0</v>
      </c>
      <c r="Y46" s="87">
        <f t="shared" si="10"/>
        <v>0</v>
      </c>
      <c r="Z46" s="87">
        <f t="shared" si="11"/>
        <v>0</v>
      </c>
      <c r="AA46" s="87">
        <f t="shared" si="12"/>
        <v>4</v>
      </c>
    </row>
    <row r="47" spans="9:27">
      <c r="I47" s="81" t="e">
        <f>IF(#REF!&lt;&gt;"",#REF!,"")</f>
        <v>#REF!</v>
      </c>
      <c r="J47" s="81" t="e">
        <f t="shared" si="3"/>
        <v>#REF!</v>
      </c>
      <c r="L47" s="82" t="e">
        <f t="shared" si="4"/>
        <v>#REF!</v>
      </c>
      <c r="M47" s="81" t="e">
        <f t="shared" si="13"/>
        <v>#REF!</v>
      </c>
      <c r="N47" s="81" t="e">
        <f t="shared" si="6"/>
        <v>#REF!</v>
      </c>
      <c r="O47" s="81" t="e">
        <f t="shared" si="7"/>
        <v>#REF!</v>
      </c>
      <c r="Q47" s="83" t="str">
        <f t="shared" si="14"/>
        <v/>
      </c>
      <c r="R47" s="84" t="e">
        <f t="shared" si="0"/>
        <v>#REF!</v>
      </c>
      <c r="S47" s="83" t="e">
        <f t="shared" si="0"/>
        <v>#REF!</v>
      </c>
      <c r="T47" s="84" t="e">
        <f t="shared" si="1"/>
        <v>#REF!</v>
      </c>
      <c r="U47" s="84" t="e">
        <f t="shared" si="2"/>
        <v>#REF!</v>
      </c>
      <c r="V47" s="85" t="e">
        <f>#REF!</f>
        <v>#REF!</v>
      </c>
      <c r="W47" s="86">
        <f t="shared" si="9"/>
        <v>0</v>
      </c>
      <c r="X47" s="86">
        <f t="shared" si="9"/>
        <v>0</v>
      </c>
      <c r="Y47" s="87">
        <f t="shared" si="10"/>
        <v>0</v>
      </c>
      <c r="Z47" s="87">
        <f t="shared" si="11"/>
        <v>0</v>
      </c>
      <c r="AA47" s="87">
        <f t="shared" si="12"/>
        <v>4</v>
      </c>
    </row>
    <row r="48" spans="9:27">
      <c r="I48" s="81" t="e">
        <f>IF(#REF!&lt;&gt;"",#REF!,"")</f>
        <v>#REF!</v>
      </c>
      <c r="J48" s="81" t="e">
        <f t="shared" si="3"/>
        <v>#REF!</v>
      </c>
      <c r="L48" s="82" t="e">
        <f t="shared" si="4"/>
        <v>#REF!</v>
      </c>
      <c r="M48" s="81" t="e">
        <f t="shared" si="13"/>
        <v>#REF!</v>
      </c>
      <c r="N48" s="81" t="e">
        <f t="shared" si="6"/>
        <v>#REF!</v>
      </c>
      <c r="O48" s="81" t="e">
        <f t="shared" si="7"/>
        <v>#REF!</v>
      </c>
      <c r="Q48" s="83" t="str">
        <f t="shared" si="14"/>
        <v/>
      </c>
      <c r="R48" s="84" t="e">
        <f t="shared" si="0"/>
        <v>#REF!</v>
      </c>
      <c r="S48" s="83" t="e">
        <f t="shared" si="0"/>
        <v>#REF!</v>
      </c>
      <c r="T48" s="84" t="e">
        <f t="shared" si="1"/>
        <v>#REF!</v>
      </c>
      <c r="U48" s="84" t="e">
        <f t="shared" si="2"/>
        <v>#REF!</v>
      </c>
      <c r="V48" s="85" t="e">
        <f>#REF!</f>
        <v>#REF!</v>
      </c>
      <c r="W48" s="86">
        <f t="shared" si="9"/>
        <v>0</v>
      </c>
      <c r="X48" s="86">
        <f t="shared" si="9"/>
        <v>0</v>
      </c>
      <c r="Y48" s="87">
        <f t="shared" si="10"/>
        <v>0</v>
      </c>
      <c r="Z48" s="87">
        <f t="shared" si="11"/>
        <v>0</v>
      </c>
      <c r="AA48" s="87">
        <f t="shared" si="12"/>
        <v>4</v>
      </c>
    </row>
    <row r="49" spans="9:27">
      <c r="I49" s="81" t="e">
        <f>IF(#REF!&lt;&gt;"",#REF!,"")</f>
        <v>#REF!</v>
      </c>
      <c r="J49" s="81" t="e">
        <f t="shared" si="3"/>
        <v>#REF!</v>
      </c>
      <c r="L49" s="82" t="e">
        <f t="shared" si="4"/>
        <v>#REF!</v>
      </c>
      <c r="M49" s="81" t="e">
        <f t="shared" si="13"/>
        <v>#REF!</v>
      </c>
      <c r="N49" s="81" t="e">
        <f t="shared" si="6"/>
        <v>#REF!</v>
      </c>
      <c r="O49" s="81" t="e">
        <f t="shared" si="7"/>
        <v>#REF!</v>
      </c>
      <c r="Q49" s="83" t="str">
        <f t="shared" si="14"/>
        <v/>
      </c>
      <c r="R49" s="84" t="e">
        <f t="shared" si="0"/>
        <v>#REF!</v>
      </c>
      <c r="S49" s="83" t="e">
        <f t="shared" si="0"/>
        <v>#REF!</v>
      </c>
      <c r="T49" s="84" t="e">
        <f t="shared" si="1"/>
        <v>#REF!</v>
      </c>
      <c r="U49" s="84" t="e">
        <f t="shared" si="2"/>
        <v>#REF!</v>
      </c>
      <c r="V49" s="85" t="e">
        <f>#REF!</f>
        <v>#REF!</v>
      </c>
      <c r="W49" s="86">
        <f t="shared" si="9"/>
        <v>0</v>
      </c>
      <c r="X49" s="86">
        <f t="shared" si="9"/>
        <v>0</v>
      </c>
      <c r="Y49" s="87">
        <f t="shared" si="10"/>
        <v>0</v>
      </c>
      <c r="Z49" s="87">
        <f t="shared" si="11"/>
        <v>0</v>
      </c>
      <c r="AA49" s="87">
        <f t="shared" si="12"/>
        <v>4</v>
      </c>
    </row>
    <row r="50" spans="9:27">
      <c r="I50" s="81" t="e">
        <f>IF(#REF!&lt;&gt;"",#REF!,"")</f>
        <v>#REF!</v>
      </c>
      <c r="J50" s="81" t="e">
        <f t="shared" si="3"/>
        <v>#REF!</v>
      </c>
      <c r="L50" s="82" t="e">
        <f t="shared" si="4"/>
        <v>#REF!</v>
      </c>
      <c r="M50" s="81" t="e">
        <f t="shared" si="13"/>
        <v>#REF!</v>
      </c>
      <c r="N50" s="81" t="e">
        <f t="shared" si="6"/>
        <v>#REF!</v>
      </c>
      <c r="O50" s="81" t="e">
        <f t="shared" si="7"/>
        <v>#REF!</v>
      </c>
      <c r="Q50" s="83" t="str">
        <f t="shared" si="14"/>
        <v/>
      </c>
      <c r="R50" s="84" t="e">
        <f t="shared" si="0"/>
        <v>#REF!</v>
      </c>
      <c r="S50" s="83" t="e">
        <f t="shared" si="0"/>
        <v>#REF!</v>
      </c>
      <c r="T50" s="84" t="e">
        <f t="shared" si="1"/>
        <v>#REF!</v>
      </c>
      <c r="U50" s="84" t="e">
        <f t="shared" si="2"/>
        <v>#REF!</v>
      </c>
      <c r="V50" s="85" t="e">
        <f>#REF!</f>
        <v>#REF!</v>
      </c>
      <c r="W50" s="86">
        <f t="shared" si="9"/>
        <v>0</v>
      </c>
      <c r="X50" s="86">
        <f t="shared" si="9"/>
        <v>0</v>
      </c>
      <c r="Y50" s="87">
        <f t="shared" si="10"/>
        <v>0</v>
      </c>
      <c r="Z50" s="87">
        <f t="shared" si="11"/>
        <v>0</v>
      </c>
      <c r="AA50" s="87">
        <f t="shared" si="12"/>
        <v>4</v>
      </c>
    </row>
    <row r="51" spans="9:27">
      <c r="I51" s="81" t="e">
        <f>IF(#REF!&lt;&gt;"",#REF!,"")</f>
        <v>#REF!</v>
      </c>
      <c r="J51" s="81" t="e">
        <f t="shared" si="3"/>
        <v>#REF!</v>
      </c>
      <c r="L51" s="82" t="e">
        <f t="shared" si="4"/>
        <v>#REF!</v>
      </c>
      <c r="M51" s="81" t="e">
        <f t="shared" si="13"/>
        <v>#REF!</v>
      </c>
      <c r="N51" s="81" t="e">
        <f t="shared" si="6"/>
        <v>#REF!</v>
      </c>
      <c r="O51" s="81" t="e">
        <f t="shared" si="7"/>
        <v>#REF!</v>
      </c>
      <c r="Q51" s="83" t="str">
        <f t="shared" si="14"/>
        <v/>
      </c>
      <c r="R51" s="84" t="e">
        <f t="shared" si="0"/>
        <v>#REF!</v>
      </c>
      <c r="S51" s="83" t="e">
        <f t="shared" si="0"/>
        <v>#REF!</v>
      </c>
      <c r="T51" s="84" t="e">
        <f t="shared" si="1"/>
        <v>#REF!</v>
      </c>
      <c r="U51" s="84" t="e">
        <f t="shared" si="2"/>
        <v>#REF!</v>
      </c>
      <c r="V51" s="85" t="e">
        <f>#REF!</f>
        <v>#REF!</v>
      </c>
      <c r="W51" s="86">
        <f t="shared" si="9"/>
        <v>0</v>
      </c>
      <c r="X51" s="86">
        <f t="shared" si="9"/>
        <v>0</v>
      </c>
      <c r="Y51" s="87">
        <f t="shared" si="10"/>
        <v>0</v>
      </c>
      <c r="Z51" s="87">
        <f t="shared" si="11"/>
        <v>0</v>
      </c>
      <c r="AA51" s="87">
        <f t="shared" si="12"/>
        <v>4</v>
      </c>
    </row>
    <row r="52" spans="9:27">
      <c r="I52" s="81" t="e">
        <f>IF(#REF!&lt;&gt;"",#REF!,"")</f>
        <v>#REF!</v>
      </c>
      <c r="J52" s="81" t="e">
        <f t="shared" si="3"/>
        <v>#REF!</v>
      </c>
      <c r="L52" s="82" t="e">
        <f t="shared" si="4"/>
        <v>#REF!</v>
      </c>
      <c r="M52" s="81" t="e">
        <f t="shared" si="13"/>
        <v>#REF!</v>
      </c>
      <c r="N52" s="81" t="e">
        <f t="shared" si="6"/>
        <v>#REF!</v>
      </c>
      <c r="O52" s="81" t="e">
        <f t="shared" si="7"/>
        <v>#REF!</v>
      </c>
      <c r="Q52" s="83" t="str">
        <f t="shared" si="14"/>
        <v/>
      </c>
      <c r="R52" s="84" t="e">
        <f t="shared" si="0"/>
        <v>#REF!</v>
      </c>
      <c r="S52" s="83" t="e">
        <f t="shared" si="0"/>
        <v>#REF!</v>
      </c>
      <c r="T52" s="84" t="e">
        <f t="shared" si="1"/>
        <v>#REF!</v>
      </c>
      <c r="U52" s="84" t="e">
        <f t="shared" si="2"/>
        <v>#REF!</v>
      </c>
      <c r="V52" s="85" t="e">
        <f>#REF!</f>
        <v>#REF!</v>
      </c>
      <c r="W52" s="86">
        <f t="shared" si="9"/>
        <v>0</v>
      </c>
      <c r="X52" s="86">
        <f t="shared" si="9"/>
        <v>0</v>
      </c>
      <c r="Y52" s="87">
        <f t="shared" si="10"/>
        <v>0</v>
      </c>
      <c r="Z52" s="87">
        <f t="shared" si="11"/>
        <v>0</v>
      </c>
      <c r="AA52" s="87">
        <f t="shared" si="12"/>
        <v>4</v>
      </c>
    </row>
    <row r="53" spans="9:27">
      <c r="I53" s="81" t="e">
        <f>IF(#REF!&lt;&gt;"",#REF!,"")</f>
        <v>#REF!</v>
      </c>
      <c r="J53" s="81" t="e">
        <f t="shared" si="3"/>
        <v>#REF!</v>
      </c>
      <c r="L53" s="82" t="e">
        <f t="shared" si="4"/>
        <v>#REF!</v>
      </c>
      <c r="M53" s="81" t="e">
        <f t="shared" si="13"/>
        <v>#REF!</v>
      </c>
      <c r="N53" s="81" t="e">
        <f t="shared" si="6"/>
        <v>#REF!</v>
      </c>
      <c r="O53" s="81" t="e">
        <f t="shared" si="7"/>
        <v>#REF!</v>
      </c>
      <c r="Q53" s="83" t="str">
        <f t="shared" si="14"/>
        <v/>
      </c>
      <c r="R53" s="84" t="e">
        <f t="shared" si="0"/>
        <v>#REF!</v>
      </c>
      <c r="S53" s="83" t="e">
        <f t="shared" si="0"/>
        <v>#REF!</v>
      </c>
      <c r="T53" s="84" t="e">
        <f t="shared" si="1"/>
        <v>#REF!</v>
      </c>
      <c r="U53" s="84" t="e">
        <f t="shared" si="2"/>
        <v>#REF!</v>
      </c>
      <c r="V53" s="85" t="e">
        <f>#REF!</f>
        <v>#REF!</v>
      </c>
      <c r="W53" s="86">
        <f t="shared" si="9"/>
        <v>0</v>
      </c>
      <c r="X53" s="86">
        <f t="shared" si="9"/>
        <v>0</v>
      </c>
      <c r="Y53" s="87">
        <f t="shared" si="10"/>
        <v>0</v>
      </c>
      <c r="Z53" s="87">
        <f t="shared" si="11"/>
        <v>0</v>
      </c>
      <c r="AA53" s="87">
        <f t="shared" si="12"/>
        <v>4</v>
      </c>
    </row>
    <row r="54" spans="9:27">
      <c r="I54" s="81" t="e">
        <f>IF(#REF!&lt;&gt;"",#REF!,"")</f>
        <v>#REF!</v>
      </c>
      <c r="J54" s="81" t="e">
        <f t="shared" si="3"/>
        <v>#REF!</v>
      </c>
      <c r="L54" s="82" t="e">
        <f t="shared" si="4"/>
        <v>#REF!</v>
      </c>
      <c r="M54" s="81" t="e">
        <f t="shared" si="13"/>
        <v>#REF!</v>
      </c>
      <c r="N54" s="81" t="e">
        <f t="shared" si="6"/>
        <v>#REF!</v>
      </c>
      <c r="O54" s="81" t="e">
        <f t="shared" si="7"/>
        <v>#REF!</v>
      </c>
      <c r="Q54" s="83" t="str">
        <f t="shared" si="14"/>
        <v/>
      </c>
      <c r="R54" s="84" t="e">
        <f t="shared" si="0"/>
        <v>#REF!</v>
      </c>
      <c r="S54" s="83" t="e">
        <f t="shared" si="0"/>
        <v>#REF!</v>
      </c>
      <c r="T54" s="84" t="e">
        <f t="shared" si="1"/>
        <v>#REF!</v>
      </c>
      <c r="U54" s="84" t="e">
        <f t="shared" si="2"/>
        <v>#REF!</v>
      </c>
      <c r="V54" s="85" t="e">
        <f>#REF!</f>
        <v>#REF!</v>
      </c>
      <c r="W54" s="86">
        <f t="shared" si="9"/>
        <v>0</v>
      </c>
      <c r="X54" s="86">
        <f t="shared" si="9"/>
        <v>0</v>
      </c>
      <c r="Y54" s="87">
        <f t="shared" si="10"/>
        <v>0</v>
      </c>
      <c r="Z54" s="87">
        <f t="shared" si="11"/>
        <v>0</v>
      </c>
      <c r="AA54" s="87">
        <f t="shared" si="12"/>
        <v>4</v>
      </c>
    </row>
    <row r="55" spans="9:27">
      <c r="I55" s="81" t="e">
        <f>IF(#REF!&lt;&gt;"",#REF!,"")</f>
        <v>#REF!</v>
      </c>
      <c r="J55" s="81" t="e">
        <f t="shared" si="3"/>
        <v>#REF!</v>
      </c>
      <c r="L55" s="82" t="e">
        <f t="shared" si="4"/>
        <v>#REF!</v>
      </c>
      <c r="M55" s="81" t="e">
        <f t="shared" si="13"/>
        <v>#REF!</v>
      </c>
      <c r="N55" s="81" t="e">
        <f t="shared" si="6"/>
        <v>#REF!</v>
      </c>
      <c r="O55" s="81" t="e">
        <f t="shared" si="7"/>
        <v>#REF!</v>
      </c>
      <c r="Q55" s="83" t="str">
        <f t="shared" si="14"/>
        <v/>
      </c>
      <c r="R55" s="84" t="e">
        <f t="shared" si="0"/>
        <v>#REF!</v>
      </c>
      <c r="S55" s="83" t="e">
        <f t="shared" si="0"/>
        <v>#REF!</v>
      </c>
      <c r="T55" s="84" t="e">
        <f t="shared" si="1"/>
        <v>#REF!</v>
      </c>
      <c r="U55" s="84" t="e">
        <f t="shared" si="2"/>
        <v>#REF!</v>
      </c>
      <c r="V55" s="85" t="e">
        <f>#REF!</f>
        <v>#REF!</v>
      </c>
      <c r="W55" s="86">
        <f t="shared" si="9"/>
        <v>0</v>
      </c>
      <c r="X55" s="86">
        <f t="shared" si="9"/>
        <v>0</v>
      </c>
      <c r="Y55" s="87">
        <f t="shared" si="10"/>
        <v>0</v>
      </c>
      <c r="Z55" s="87">
        <f t="shared" si="11"/>
        <v>0</v>
      </c>
      <c r="AA55" s="87">
        <f t="shared" si="12"/>
        <v>4</v>
      </c>
    </row>
    <row r="56" spans="9:27">
      <c r="I56" s="81" t="e">
        <f>IF(#REF!&lt;&gt;"",#REF!,"")</f>
        <v>#REF!</v>
      </c>
      <c r="J56" s="81" t="e">
        <f t="shared" si="3"/>
        <v>#REF!</v>
      </c>
      <c r="L56" s="82" t="e">
        <f t="shared" si="4"/>
        <v>#REF!</v>
      </c>
      <c r="M56" s="81" t="e">
        <f t="shared" si="13"/>
        <v>#REF!</v>
      </c>
      <c r="N56" s="81" t="e">
        <f t="shared" si="6"/>
        <v>#REF!</v>
      </c>
      <c r="O56" s="81" t="e">
        <f t="shared" si="7"/>
        <v>#REF!</v>
      </c>
      <c r="Q56" s="83" t="str">
        <f t="shared" si="14"/>
        <v/>
      </c>
      <c r="R56" s="84" t="e">
        <f t="shared" si="0"/>
        <v>#REF!</v>
      </c>
      <c r="S56" s="83" t="e">
        <f t="shared" si="0"/>
        <v>#REF!</v>
      </c>
      <c r="T56" s="84" t="e">
        <f t="shared" si="1"/>
        <v>#REF!</v>
      </c>
      <c r="U56" s="84" t="e">
        <f t="shared" si="2"/>
        <v>#REF!</v>
      </c>
      <c r="V56" s="85" t="e">
        <f>#REF!</f>
        <v>#REF!</v>
      </c>
      <c r="W56" s="86">
        <f t="shared" si="9"/>
        <v>0</v>
      </c>
      <c r="X56" s="86">
        <f t="shared" si="9"/>
        <v>0</v>
      </c>
      <c r="Y56" s="87">
        <f t="shared" si="10"/>
        <v>0</v>
      </c>
      <c r="Z56" s="87">
        <f t="shared" si="11"/>
        <v>0</v>
      </c>
      <c r="AA56" s="87">
        <f t="shared" si="12"/>
        <v>4</v>
      </c>
    </row>
    <row r="57" spans="9:27">
      <c r="I57" s="81" t="e">
        <f>IF(#REF!&lt;&gt;"",#REF!,"")</f>
        <v>#REF!</v>
      </c>
      <c r="J57" s="81" t="e">
        <f t="shared" si="3"/>
        <v>#REF!</v>
      </c>
      <c r="L57" s="82" t="e">
        <f t="shared" si="4"/>
        <v>#REF!</v>
      </c>
      <c r="M57" s="81" t="e">
        <f t="shared" si="13"/>
        <v>#REF!</v>
      </c>
      <c r="N57" s="81" t="e">
        <f t="shared" si="6"/>
        <v>#REF!</v>
      </c>
      <c r="O57" s="81" t="e">
        <f t="shared" si="7"/>
        <v>#REF!</v>
      </c>
      <c r="Q57" s="83" t="str">
        <f t="shared" si="14"/>
        <v/>
      </c>
      <c r="R57" s="84" t="e">
        <f t="shared" si="0"/>
        <v>#REF!</v>
      </c>
      <c r="S57" s="83" t="e">
        <f t="shared" si="0"/>
        <v>#REF!</v>
      </c>
      <c r="T57" s="84" t="e">
        <f t="shared" si="1"/>
        <v>#REF!</v>
      </c>
      <c r="U57" s="84" t="e">
        <f t="shared" si="2"/>
        <v>#REF!</v>
      </c>
      <c r="V57" s="85" t="e">
        <f>#REF!</f>
        <v>#REF!</v>
      </c>
      <c r="W57" s="86">
        <f t="shared" si="9"/>
        <v>0</v>
      </c>
      <c r="X57" s="86">
        <f t="shared" si="9"/>
        <v>0</v>
      </c>
      <c r="Y57" s="87">
        <f t="shared" si="10"/>
        <v>0</v>
      </c>
      <c r="Z57" s="87">
        <f t="shared" si="11"/>
        <v>0</v>
      </c>
      <c r="AA57" s="87">
        <f t="shared" si="12"/>
        <v>4</v>
      </c>
    </row>
    <row r="58" spans="9:27">
      <c r="I58" s="81" t="e">
        <f>IF(#REF!&lt;&gt;"",#REF!,"")</f>
        <v>#REF!</v>
      </c>
      <c r="J58" s="81" t="e">
        <f t="shared" si="3"/>
        <v>#REF!</v>
      </c>
      <c r="L58" s="82" t="e">
        <f t="shared" si="4"/>
        <v>#REF!</v>
      </c>
      <c r="M58" s="81" t="e">
        <f t="shared" si="13"/>
        <v>#REF!</v>
      </c>
      <c r="N58" s="81" t="e">
        <f t="shared" si="6"/>
        <v>#REF!</v>
      </c>
      <c r="O58" s="81" t="e">
        <f t="shared" si="7"/>
        <v>#REF!</v>
      </c>
      <c r="Q58" s="83" t="str">
        <f t="shared" si="14"/>
        <v/>
      </c>
      <c r="R58" s="84" t="e">
        <f t="shared" si="0"/>
        <v>#REF!</v>
      </c>
      <c r="S58" s="83" t="e">
        <f t="shared" si="0"/>
        <v>#REF!</v>
      </c>
      <c r="T58" s="84" t="e">
        <f t="shared" si="1"/>
        <v>#REF!</v>
      </c>
      <c r="U58" s="84" t="e">
        <f t="shared" si="2"/>
        <v>#REF!</v>
      </c>
      <c r="V58" s="85" t="e">
        <f>#REF!</f>
        <v>#REF!</v>
      </c>
      <c r="W58" s="86">
        <f t="shared" si="9"/>
        <v>0</v>
      </c>
      <c r="X58" s="86">
        <f t="shared" si="9"/>
        <v>0</v>
      </c>
      <c r="Y58" s="87">
        <f t="shared" si="10"/>
        <v>0</v>
      </c>
      <c r="Z58" s="87">
        <f t="shared" si="11"/>
        <v>0</v>
      </c>
      <c r="AA58" s="87">
        <f t="shared" si="12"/>
        <v>4</v>
      </c>
    </row>
    <row r="59" spans="9:27">
      <c r="I59" s="81" t="e">
        <f>IF(#REF!&lt;&gt;"",#REF!,"")</f>
        <v>#REF!</v>
      </c>
      <c r="J59" s="81" t="e">
        <f t="shared" si="3"/>
        <v>#REF!</v>
      </c>
      <c r="L59" s="82" t="e">
        <f t="shared" si="4"/>
        <v>#REF!</v>
      </c>
      <c r="M59" s="81" t="e">
        <f t="shared" si="13"/>
        <v>#REF!</v>
      </c>
      <c r="N59" s="81" t="e">
        <f t="shared" si="6"/>
        <v>#REF!</v>
      </c>
      <c r="O59" s="81" t="e">
        <f t="shared" si="7"/>
        <v>#REF!</v>
      </c>
      <c r="Q59" s="83" t="str">
        <f t="shared" si="14"/>
        <v/>
      </c>
      <c r="R59" s="84" t="e">
        <f t="shared" si="0"/>
        <v>#REF!</v>
      </c>
      <c r="S59" s="83" t="e">
        <f t="shared" si="0"/>
        <v>#REF!</v>
      </c>
      <c r="T59" s="84" t="e">
        <f t="shared" si="1"/>
        <v>#REF!</v>
      </c>
      <c r="U59" s="84" t="e">
        <f t="shared" si="2"/>
        <v>#REF!</v>
      </c>
      <c r="V59" s="85" t="e">
        <f>#REF!</f>
        <v>#REF!</v>
      </c>
      <c r="W59" s="86">
        <f t="shared" si="9"/>
        <v>0</v>
      </c>
      <c r="X59" s="86">
        <f t="shared" si="9"/>
        <v>0</v>
      </c>
      <c r="Y59" s="87">
        <f t="shared" si="10"/>
        <v>0</v>
      </c>
      <c r="Z59" s="87">
        <f t="shared" si="11"/>
        <v>0</v>
      </c>
      <c r="AA59" s="87">
        <f t="shared" si="12"/>
        <v>4</v>
      </c>
    </row>
    <row r="60" spans="9:27">
      <c r="I60" s="81" t="e">
        <f>IF(#REF!&lt;&gt;"",#REF!,"")</f>
        <v>#REF!</v>
      </c>
      <c r="J60" s="81" t="e">
        <f t="shared" si="3"/>
        <v>#REF!</v>
      </c>
      <c r="L60" s="82" t="e">
        <f t="shared" si="4"/>
        <v>#REF!</v>
      </c>
      <c r="M60" s="81" t="e">
        <f t="shared" si="13"/>
        <v>#REF!</v>
      </c>
      <c r="N60" s="81" t="e">
        <f t="shared" si="6"/>
        <v>#REF!</v>
      </c>
      <c r="O60" s="81" t="e">
        <f t="shared" si="7"/>
        <v>#REF!</v>
      </c>
      <c r="Q60" s="83" t="str">
        <f t="shared" si="14"/>
        <v/>
      </c>
      <c r="R60" s="84" t="e">
        <f t="shared" si="0"/>
        <v>#REF!</v>
      </c>
      <c r="S60" s="83" t="e">
        <f t="shared" si="0"/>
        <v>#REF!</v>
      </c>
      <c r="T60" s="84" t="e">
        <f t="shared" si="1"/>
        <v>#REF!</v>
      </c>
      <c r="U60" s="84" t="e">
        <f t="shared" si="2"/>
        <v>#REF!</v>
      </c>
      <c r="V60" s="85" t="e">
        <f>#REF!</f>
        <v>#REF!</v>
      </c>
      <c r="W60" s="86">
        <f t="shared" si="9"/>
        <v>0</v>
      </c>
      <c r="X60" s="86">
        <f t="shared" si="9"/>
        <v>0</v>
      </c>
      <c r="Y60" s="87">
        <f t="shared" si="10"/>
        <v>0</v>
      </c>
      <c r="Z60" s="87">
        <f t="shared" si="11"/>
        <v>0</v>
      </c>
      <c r="AA60" s="87">
        <f t="shared" si="12"/>
        <v>4</v>
      </c>
    </row>
    <row r="61" spans="9:27">
      <c r="I61" s="81" t="e">
        <f>IF(#REF!&lt;&gt;"",#REF!,"")</f>
        <v>#REF!</v>
      </c>
      <c r="J61" s="81" t="e">
        <f t="shared" si="3"/>
        <v>#REF!</v>
      </c>
      <c r="L61" s="82" t="e">
        <f t="shared" si="4"/>
        <v>#REF!</v>
      </c>
      <c r="M61" s="81" t="e">
        <f t="shared" si="13"/>
        <v>#REF!</v>
      </c>
      <c r="N61" s="81" t="e">
        <f t="shared" si="6"/>
        <v>#REF!</v>
      </c>
      <c r="O61" s="81" t="e">
        <f t="shared" si="7"/>
        <v>#REF!</v>
      </c>
      <c r="Q61" s="83" t="str">
        <f t="shared" si="14"/>
        <v/>
      </c>
      <c r="R61" s="84" t="e">
        <f t="shared" si="0"/>
        <v>#REF!</v>
      </c>
      <c r="S61" s="83" t="e">
        <f t="shared" si="0"/>
        <v>#REF!</v>
      </c>
      <c r="T61" s="84" t="e">
        <f t="shared" si="1"/>
        <v>#REF!</v>
      </c>
      <c r="U61" s="84" t="e">
        <f t="shared" si="2"/>
        <v>#REF!</v>
      </c>
      <c r="V61" s="85" t="e">
        <f>#REF!</f>
        <v>#REF!</v>
      </c>
      <c r="W61" s="86">
        <f t="shared" si="9"/>
        <v>0</v>
      </c>
      <c r="X61" s="86">
        <f t="shared" si="9"/>
        <v>0</v>
      </c>
      <c r="Y61" s="87">
        <f t="shared" si="10"/>
        <v>0</v>
      </c>
      <c r="Z61" s="87">
        <f t="shared" si="11"/>
        <v>0</v>
      </c>
      <c r="AA61" s="87">
        <f t="shared" si="12"/>
        <v>4</v>
      </c>
    </row>
    <row r="62" spans="9:27">
      <c r="I62" s="81" t="e">
        <f>IF(#REF!&lt;&gt;"",#REF!,"")</f>
        <v>#REF!</v>
      </c>
      <c r="J62" s="81" t="e">
        <f t="shared" si="3"/>
        <v>#REF!</v>
      </c>
      <c r="L62" s="82" t="e">
        <f t="shared" si="4"/>
        <v>#REF!</v>
      </c>
      <c r="M62" s="81" t="e">
        <f t="shared" si="13"/>
        <v>#REF!</v>
      </c>
      <c r="N62" s="81" t="e">
        <f t="shared" si="6"/>
        <v>#REF!</v>
      </c>
      <c r="O62" s="81" t="e">
        <f t="shared" si="7"/>
        <v>#REF!</v>
      </c>
      <c r="Q62" s="83" t="str">
        <f t="shared" si="14"/>
        <v/>
      </c>
      <c r="R62" s="84" t="e">
        <f t="shared" si="0"/>
        <v>#REF!</v>
      </c>
      <c r="S62" s="83" t="e">
        <f t="shared" si="0"/>
        <v>#REF!</v>
      </c>
      <c r="T62" s="84" t="e">
        <f t="shared" si="1"/>
        <v>#REF!</v>
      </c>
      <c r="U62" s="84" t="e">
        <f t="shared" si="2"/>
        <v>#REF!</v>
      </c>
      <c r="V62" s="85" t="e">
        <f>#REF!</f>
        <v>#REF!</v>
      </c>
      <c r="W62" s="86">
        <f t="shared" si="9"/>
        <v>0</v>
      </c>
      <c r="X62" s="86">
        <f t="shared" si="9"/>
        <v>0</v>
      </c>
      <c r="Y62" s="87">
        <f t="shared" si="10"/>
        <v>0</v>
      </c>
      <c r="Z62" s="87">
        <f t="shared" si="11"/>
        <v>0</v>
      </c>
      <c r="AA62" s="87">
        <f t="shared" si="12"/>
        <v>4</v>
      </c>
    </row>
    <row r="63" spans="9:27">
      <c r="I63" s="81" t="e">
        <f>IF(#REF!&lt;&gt;"",#REF!,"")</f>
        <v>#REF!</v>
      </c>
      <c r="J63" s="81" t="e">
        <f t="shared" si="3"/>
        <v>#REF!</v>
      </c>
      <c r="L63" s="82" t="e">
        <f t="shared" si="4"/>
        <v>#REF!</v>
      </c>
      <c r="M63" s="81" t="e">
        <f t="shared" si="13"/>
        <v>#REF!</v>
      </c>
      <c r="N63" s="81" t="e">
        <f t="shared" si="6"/>
        <v>#REF!</v>
      </c>
      <c r="O63" s="81" t="e">
        <f t="shared" si="7"/>
        <v>#REF!</v>
      </c>
      <c r="Q63" s="83" t="str">
        <f t="shared" si="14"/>
        <v/>
      </c>
      <c r="R63" s="84" t="e">
        <f t="shared" si="0"/>
        <v>#REF!</v>
      </c>
      <c r="S63" s="83" t="e">
        <f t="shared" si="0"/>
        <v>#REF!</v>
      </c>
      <c r="T63" s="84" t="e">
        <f t="shared" si="1"/>
        <v>#REF!</v>
      </c>
      <c r="U63" s="84" t="e">
        <f t="shared" si="2"/>
        <v>#REF!</v>
      </c>
      <c r="V63" s="85" t="e">
        <f>#REF!</f>
        <v>#REF!</v>
      </c>
      <c r="W63" s="86">
        <f t="shared" si="9"/>
        <v>0</v>
      </c>
      <c r="X63" s="86">
        <f t="shared" si="9"/>
        <v>0</v>
      </c>
      <c r="Y63" s="87">
        <f t="shared" si="10"/>
        <v>0</v>
      </c>
      <c r="Z63" s="87">
        <f t="shared" si="11"/>
        <v>0</v>
      </c>
      <c r="AA63" s="87">
        <f t="shared" si="12"/>
        <v>4</v>
      </c>
    </row>
    <row r="64" spans="9:27">
      <c r="I64" s="81" t="e">
        <f>IF(#REF!&lt;&gt;"",#REF!,"")</f>
        <v>#REF!</v>
      </c>
      <c r="J64" s="81" t="e">
        <f t="shared" si="3"/>
        <v>#REF!</v>
      </c>
      <c r="L64" s="82" t="e">
        <f t="shared" si="4"/>
        <v>#REF!</v>
      </c>
      <c r="M64" s="81" t="e">
        <f t="shared" si="13"/>
        <v>#REF!</v>
      </c>
      <c r="N64" s="81" t="e">
        <f t="shared" si="6"/>
        <v>#REF!</v>
      </c>
      <c r="O64" s="81" t="e">
        <f t="shared" si="7"/>
        <v>#REF!</v>
      </c>
      <c r="Q64" s="83" t="str">
        <f t="shared" si="14"/>
        <v/>
      </c>
      <c r="R64" s="84" t="e">
        <f t="shared" ref="R64:S127" si="15">IF(L64="","",L64)</f>
        <v>#REF!</v>
      </c>
      <c r="S64" s="83" t="e">
        <f t="shared" si="15"/>
        <v>#REF!</v>
      </c>
      <c r="T64" s="84" t="e">
        <f t="shared" ref="T64:T127" si="16">IF(W64=1,"",N64)</f>
        <v>#REF!</v>
      </c>
      <c r="U64" s="84" t="e">
        <f t="shared" ref="U64:U127" si="17">IF(OR(W64=1,X64=1),"",O64)</f>
        <v>#REF!</v>
      </c>
      <c r="V64" s="85" t="e">
        <f>#REF!</f>
        <v>#REF!</v>
      </c>
      <c r="W64" s="86">
        <f t="shared" si="9"/>
        <v>0</v>
      </c>
      <c r="X64" s="86">
        <f t="shared" si="9"/>
        <v>0</v>
      </c>
      <c r="Y64" s="87">
        <f t="shared" si="10"/>
        <v>0</v>
      </c>
      <c r="Z64" s="87">
        <f t="shared" si="11"/>
        <v>0</v>
      </c>
      <c r="AA64" s="87">
        <f t="shared" si="12"/>
        <v>4</v>
      </c>
    </row>
    <row r="65" spans="9:27">
      <c r="I65" s="81" t="e">
        <f>IF(#REF!&lt;&gt;"",#REF!,"")</f>
        <v>#REF!</v>
      </c>
      <c r="J65" s="81" t="e">
        <f t="shared" si="3"/>
        <v>#REF!</v>
      </c>
      <c r="L65" s="82" t="e">
        <f t="shared" si="4"/>
        <v>#REF!</v>
      </c>
      <c r="M65" s="81" t="e">
        <f t="shared" si="13"/>
        <v>#REF!</v>
      </c>
      <c r="N65" s="81" t="e">
        <f t="shared" si="6"/>
        <v>#REF!</v>
      </c>
      <c r="O65" s="81" t="e">
        <f t="shared" si="7"/>
        <v>#REF!</v>
      </c>
      <c r="Q65" s="83" t="str">
        <f t="shared" si="14"/>
        <v/>
      </c>
      <c r="R65" s="84" t="e">
        <f t="shared" si="15"/>
        <v>#REF!</v>
      </c>
      <c r="S65" s="83" t="e">
        <f t="shared" si="15"/>
        <v>#REF!</v>
      </c>
      <c r="T65" s="84" t="e">
        <f t="shared" si="16"/>
        <v>#REF!</v>
      </c>
      <c r="U65" s="84" t="e">
        <f t="shared" si="17"/>
        <v>#REF!</v>
      </c>
      <c r="V65" s="85" t="e">
        <f>#REF!</f>
        <v>#REF!</v>
      </c>
      <c r="W65" s="86">
        <f t="shared" ref="W65:X128" si="18">COUNTIFS(R65,"&gt;&lt;")</f>
        <v>0</v>
      </c>
      <c r="X65" s="86">
        <f t="shared" si="18"/>
        <v>0</v>
      </c>
      <c r="Y65" s="87">
        <f t="shared" ref="Y65:Y128" si="19">COUNTIFS(R65:U65,"*")</f>
        <v>0</v>
      </c>
      <c r="Z65" s="87">
        <f t="shared" ref="Z65:Z128" si="20">COUNTIFS(R65:U65,"&gt;&lt;")</f>
        <v>0</v>
      </c>
      <c r="AA65" s="87">
        <f t="shared" ref="AA65:AA128" si="21">COUNTIFS(R65:U65,"&lt;&gt;")</f>
        <v>4</v>
      </c>
    </row>
    <row r="66" spans="9:27">
      <c r="I66" s="81" t="e">
        <f>IF(#REF!&lt;&gt;"",#REF!,"")</f>
        <v>#REF!</v>
      </c>
      <c r="J66" s="81" t="e">
        <f t="shared" si="3"/>
        <v>#REF!</v>
      </c>
      <c r="L66" s="82" t="e">
        <f t="shared" si="4"/>
        <v>#REF!</v>
      </c>
      <c r="M66" s="81" t="e">
        <f t="shared" si="13"/>
        <v>#REF!</v>
      </c>
      <c r="N66" s="81" t="e">
        <f t="shared" si="6"/>
        <v>#REF!</v>
      </c>
      <c r="O66" s="81" t="e">
        <f t="shared" si="7"/>
        <v>#REF!</v>
      </c>
      <c r="Q66" s="83" t="str">
        <f t="shared" si="14"/>
        <v/>
      </c>
      <c r="R66" s="84" t="e">
        <f t="shared" si="15"/>
        <v>#REF!</v>
      </c>
      <c r="S66" s="83" t="e">
        <f t="shared" si="15"/>
        <v>#REF!</v>
      </c>
      <c r="T66" s="84" t="e">
        <f t="shared" si="16"/>
        <v>#REF!</v>
      </c>
      <c r="U66" s="84" t="e">
        <f t="shared" si="17"/>
        <v>#REF!</v>
      </c>
      <c r="V66" s="85" t="e">
        <f>#REF!</f>
        <v>#REF!</v>
      </c>
      <c r="W66" s="86">
        <f t="shared" si="18"/>
        <v>0</v>
      </c>
      <c r="X66" s="86">
        <f t="shared" si="18"/>
        <v>0</v>
      </c>
      <c r="Y66" s="87">
        <f t="shared" si="19"/>
        <v>0</v>
      </c>
      <c r="Z66" s="87">
        <f t="shared" si="20"/>
        <v>0</v>
      </c>
      <c r="AA66" s="87">
        <f t="shared" si="21"/>
        <v>4</v>
      </c>
    </row>
    <row r="67" spans="9:27">
      <c r="I67" s="81" t="e">
        <f>IF(#REF!&lt;&gt;"",#REF!,"")</f>
        <v>#REF!</v>
      </c>
      <c r="J67" s="81" t="e">
        <f t="shared" ref="J67:J130" si="22">LEFT(I67,1)</f>
        <v>#REF!</v>
      </c>
      <c r="L67" s="82" t="e">
        <f t="shared" ref="L67:L130" si="23">IF(OR(J67="E",J67="L",J67="M"),"",I67)</f>
        <v>#REF!</v>
      </c>
      <c r="M67" s="81" t="e">
        <f t="shared" si="13"/>
        <v>#REF!</v>
      </c>
      <c r="N67" s="81" t="e">
        <f t="shared" ref="N67:N130" si="24">IF(OR(J67="D",J67="E",J67="L"),"",I67)</f>
        <v>#REF!</v>
      </c>
      <c r="O67" s="81" t="e">
        <f t="shared" ref="O67:O130" si="25">IF(OR(J67="D",J67="E",J67="M"),"",I67)</f>
        <v>#REF!</v>
      </c>
      <c r="Q67" s="83" t="str">
        <f t="shared" si="14"/>
        <v/>
      </c>
      <c r="R67" s="84" t="e">
        <f t="shared" si="15"/>
        <v>#REF!</v>
      </c>
      <c r="S67" s="83" t="e">
        <f t="shared" si="15"/>
        <v>#REF!</v>
      </c>
      <c r="T67" s="84" t="e">
        <f t="shared" si="16"/>
        <v>#REF!</v>
      </c>
      <c r="U67" s="84" t="e">
        <f t="shared" si="17"/>
        <v>#REF!</v>
      </c>
      <c r="V67" s="85" t="e">
        <f>#REF!</f>
        <v>#REF!</v>
      </c>
      <c r="W67" s="86">
        <f t="shared" si="18"/>
        <v>0</v>
      </c>
      <c r="X67" s="86">
        <f t="shared" si="18"/>
        <v>0</v>
      </c>
      <c r="Y67" s="87">
        <f t="shared" si="19"/>
        <v>0</v>
      </c>
      <c r="Z67" s="87">
        <f t="shared" si="20"/>
        <v>0</v>
      </c>
      <c r="AA67" s="87">
        <f t="shared" si="21"/>
        <v>4</v>
      </c>
    </row>
    <row r="68" spans="9:27">
      <c r="I68" s="81" t="e">
        <f>IF(#REF!&lt;&gt;"",#REF!,"")</f>
        <v>#REF!</v>
      </c>
      <c r="J68" s="81" t="e">
        <f t="shared" si="22"/>
        <v>#REF!</v>
      </c>
      <c r="L68" s="82" t="e">
        <f t="shared" si="23"/>
        <v>#REF!</v>
      </c>
      <c r="M68" s="81" t="e">
        <f t="shared" si="13"/>
        <v>#REF!</v>
      </c>
      <c r="N68" s="81" t="e">
        <f t="shared" si="24"/>
        <v>#REF!</v>
      </c>
      <c r="O68" s="81" t="e">
        <f t="shared" si="25"/>
        <v>#REF!</v>
      </c>
      <c r="Q68" s="83" t="str">
        <f t="shared" si="14"/>
        <v/>
      </c>
      <c r="R68" s="84" t="e">
        <f t="shared" si="15"/>
        <v>#REF!</v>
      </c>
      <c r="S68" s="83" t="e">
        <f t="shared" si="15"/>
        <v>#REF!</v>
      </c>
      <c r="T68" s="84" t="e">
        <f t="shared" si="16"/>
        <v>#REF!</v>
      </c>
      <c r="U68" s="84" t="e">
        <f t="shared" si="17"/>
        <v>#REF!</v>
      </c>
      <c r="V68" s="85" t="e">
        <f>#REF!</f>
        <v>#REF!</v>
      </c>
      <c r="W68" s="86">
        <f t="shared" si="18"/>
        <v>0</v>
      </c>
      <c r="X68" s="86">
        <f t="shared" si="18"/>
        <v>0</v>
      </c>
      <c r="Y68" s="87">
        <f t="shared" si="19"/>
        <v>0</v>
      </c>
      <c r="Z68" s="87">
        <f t="shared" si="20"/>
        <v>0</v>
      </c>
      <c r="AA68" s="87">
        <f t="shared" si="21"/>
        <v>4</v>
      </c>
    </row>
    <row r="69" spans="9:27">
      <c r="I69" s="81" t="e">
        <f>IF(#REF!&lt;&gt;"",#REF!,"")</f>
        <v>#REF!</v>
      </c>
      <c r="J69" s="81" t="e">
        <f t="shared" si="22"/>
        <v>#REF!</v>
      </c>
      <c r="L69" s="82" t="e">
        <f t="shared" si="23"/>
        <v>#REF!</v>
      </c>
      <c r="M69" s="81" t="e">
        <f t="shared" si="13"/>
        <v>#REF!</v>
      </c>
      <c r="N69" s="81" t="e">
        <f t="shared" si="24"/>
        <v>#REF!</v>
      </c>
      <c r="O69" s="81" t="e">
        <f t="shared" si="25"/>
        <v>#REF!</v>
      </c>
      <c r="Q69" s="83" t="str">
        <f t="shared" si="14"/>
        <v/>
      </c>
      <c r="R69" s="84" t="e">
        <f t="shared" si="15"/>
        <v>#REF!</v>
      </c>
      <c r="S69" s="83" t="e">
        <f t="shared" si="15"/>
        <v>#REF!</v>
      </c>
      <c r="T69" s="84" t="e">
        <f t="shared" si="16"/>
        <v>#REF!</v>
      </c>
      <c r="U69" s="84" t="e">
        <f t="shared" si="17"/>
        <v>#REF!</v>
      </c>
      <c r="V69" s="85" t="e">
        <f>#REF!</f>
        <v>#REF!</v>
      </c>
      <c r="W69" s="86">
        <f t="shared" si="18"/>
        <v>0</v>
      </c>
      <c r="X69" s="86">
        <f t="shared" si="18"/>
        <v>0</v>
      </c>
      <c r="Y69" s="87">
        <f t="shared" si="19"/>
        <v>0</v>
      </c>
      <c r="Z69" s="87">
        <f t="shared" si="20"/>
        <v>0</v>
      </c>
      <c r="AA69" s="87">
        <f t="shared" si="21"/>
        <v>4</v>
      </c>
    </row>
    <row r="70" spans="9:27">
      <c r="I70" s="81" t="e">
        <f>IF(#REF!&lt;&gt;"",#REF!,"")</f>
        <v>#REF!</v>
      </c>
      <c r="J70" s="81" t="e">
        <f t="shared" si="22"/>
        <v>#REF!</v>
      </c>
      <c r="L70" s="82" t="e">
        <f t="shared" si="23"/>
        <v>#REF!</v>
      </c>
      <c r="M70" s="81" t="e">
        <f t="shared" ref="M70:M133" si="26">IF(OR(J70="D",J70="L",J70="M"),"",I70)</f>
        <v>#REF!</v>
      </c>
      <c r="N70" s="81" t="e">
        <f t="shared" si="24"/>
        <v>#REF!</v>
      </c>
      <c r="O70" s="81" t="e">
        <f t="shared" si="25"/>
        <v>#REF!</v>
      </c>
      <c r="Q70" s="83" t="str">
        <f t="shared" si="14"/>
        <v/>
      </c>
      <c r="R70" s="84" t="e">
        <f t="shared" si="15"/>
        <v>#REF!</v>
      </c>
      <c r="S70" s="83" t="e">
        <f t="shared" si="15"/>
        <v>#REF!</v>
      </c>
      <c r="T70" s="84" t="e">
        <f t="shared" si="16"/>
        <v>#REF!</v>
      </c>
      <c r="U70" s="84" t="e">
        <f t="shared" si="17"/>
        <v>#REF!</v>
      </c>
      <c r="V70" s="85" t="e">
        <f>#REF!</f>
        <v>#REF!</v>
      </c>
      <c r="W70" s="86">
        <f t="shared" si="18"/>
        <v>0</v>
      </c>
      <c r="X70" s="86">
        <f t="shared" si="18"/>
        <v>0</v>
      </c>
      <c r="Y70" s="87">
        <f t="shared" si="19"/>
        <v>0</v>
      </c>
      <c r="Z70" s="87">
        <f t="shared" si="20"/>
        <v>0</v>
      </c>
      <c r="AA70" s="87">
        <f t="shared" si="21"/>
        <v>4</v>
      </c>
    </row>
    <row r="71" spans="9:27">
      <c r="I71" s="81" t="e">
        <f>IF(#REF!&lt;&gt;"",#REF!,"")</f>
        <v>#REF!</v>
      </c>
      <c r="J71" s="81" t="e">
        <f t="shared" si="22"/>
        <v>#REF!</v>
      </c>
      <c r="L71" s="82" t="e">
        <f t="shared" si="23"/>
        <v>#REF!</v>
      </c>
      <c r="M71" s="81" t="e">
        <f t="shared" si="26"/>
        <v>#REF!</v>
      </c>
      <c r="N71" s="81" t="e">
        <f t="shared" si="24"/>
        <v>#REF!</v>
      </c>
      <c r="O71" s="81" t="e">
        <f t="shared" si="25"/>
        <v>#REF!</v>
      </c>
      <c r="Q71" s="83" t="str">
        <f t="shared" si="14"/>
        <v/>
      </c>
      <c r="R71" s="84" t="e">
        <f t="shared" si="15"/>
        <v>#REF!</v>
      </c>
      <c r="S71" s="83" t="e">
        <f t="shared" si="15"/>
        <v>#REF!</v>
      </c>
      <c r="T71" s="84" t="e">
        <f t="shared" si="16"/>
        <v>#REF!</v>
      </c>
      <c r="U71" s="84" t="e">
        <f t="shared" si="17"/>
        <v>#REF!</v>
      </c>
      <c r="V71" s="85" t="e">
        <f>#REF!</f>
        <v>#REF!</v>
      </c>
      <c r="W71" s="86">
        <f t="shared" si="18"/>
        <v>0</v>
      </c>
      <c r="X71" s="86">
        <f t="shared" si="18"/>
        <v>0</v>
      </c>
      <c r="Y71" s="87">
        <f t="shared" si="19"/>
        <v>0</v>
      </c>
      <c r="Z71" s="87">
        <f t="shared" si="20"/>
        <v>0</v>
      </c>
      <c r="AA71" s="87">
        <f t="shared" si="21"/>
        <v>4</v>
      </c>
    </row>
    <row r="72" spans="9:27">
      <c r="I72" s="81" t="e">
        <f>IF(#REF!&lt;&gt;"",#REF!,"")</f>
        <v>#REF!</v>
      </c>
      <c r="J72" s="81" t="e">
        <f t="shared" si="22"/>
        <v>#REF!</v>
      </c>
      <c r="L72" s="82" t="e">
        <f t="shared" si="23"/>
        <v>#REF!</v>
      </c>
      <c r="M72" s="81" t="e">
        <f t="shared" si="26"/>
        <v>#REF!</v>
      </c>
      <c r="N72" s="81" t="e">
        <f t="shared" si="24"/>
        <v>#REF!</v>
      </c>
      <c r="O72" s="81" t="e">
        <f t="shared" si="25"/>
        <v>#REF!</v>
      </c>
      <c r="Q72" s="83" t="str">
        <f t="shared" si="14"/>
        <v/>
      </c>
      <c r="R72" s="84" t="e">
        <f t="shared" si="15"/>
        <v>#REF!</v>
      </c>
      <c r="S72" s="83" t="e">
        <f t="shared" si="15"/>
        <v>#REF!</v>
      </c>
      <c r="T72" s="84" t="e">
        <f t="shared" si="16"/>
        <v>#REF!</v>
      </c>
      <c r="U72" s="84" t="e">
        <f t="shared" si="17"/>
        <v>#REF!</v>
      </c>
      <c r="V72" s="85" t="e">
        <f>#REF!</f>
        <v>#REF!</v>
      </c>
      <c r="W72" s="86">
        <f t="shared" si="18"/>
        <v>0</v>
      </c>
      <c r="X72" s="86">
        <f t="shared" si="18"/>
        <v>0</v>
      </c>
      <c r="Y72" s="87">
        <f t="shared" si="19"/>
        <v>0</v>
      </c>
      <c r="Z72" s="87">
        <f t="shared" si="20"/>
        <v>0</v>
      </c>
      <c r="AA72" s="87">
        <f t="shared" si="21"/>
        <v>4</v>
      </c>
    </row>
    <row r="73" spans="9:27">
      <c r="I73" s="81" t="e">
        <f>IF(#REF!&lt;&gt;"",#REF!,"")</f>
        <v>#REF!</v>
      </c>
      <c r="J73" s="81" t="e">
        <f t="shared" si="22"/>
        <v>#REF!</v>
      </c>
      <c r="L73" s="82" t="e">
        <f t="shared" si="23"/>
        <v>#REF!</v>
      </c>
      <c r="M73" s="81" t="e">
        <f t="shared" si="26"/>
        <v>#REF!</v>
      </c>
      <c r="N73" s="81" t="e">
        <f t="shared" si="24"/>
        <v>#REF!</v>
      </c>
      <c r="O73" s="81" t="e">
        <f t="shared" si="25"/>
        <v>#REF!</v>
      </c>
      <c r="Q73" s="83" t="str">
        <f t="shared" si="14"/>
        <v/>
      </c>
      <c r="R73" s="84" t="e">
        <f t="shared" si="15"/>
        <v>#REF!</v>
      </c>
      <c r="S73" s="83" t="e">
        <f t="shared" si="15"/>
        <v>#REF!</v>
      </c>
      <c r="T73" s="84" t="e">
        <f t="shared" si="16"/>
        <v>#REF!</v>
      </c>
      <c r="U73" s="84" t="e">
        <f t="shared" si="17"/>
        <v>#REF!</v>
      </c>
      <c r="V73" s="85" t="e">
        <f>#REF!</f>
        <v>#REF!</v>
      </c>
      <c r="W73" s="86">
        <f t="shared" si="18"/>
        <v>0</v>
      </c>
      <c r="X73" s="86">
        <f t="shared" si="18"/>
        <v>0</v>
      </c>
      <c r="Y73" s="87">
        <f t="shared" si="19"/>
        <v>0</v>
      </c>
      <c r="Z73" s="87">
        <f t="shared" si="20"/>
        <v>0</v>
      </c>
      <c r="AA73" s="87">
        <f t="shared" si="21"/>
        <v>4</v>
      </c>
    </row>
    <row r="74" spans="9:27">
      <c r="I74" s="81" t="e">
        <f>IF(#REF!&lt;&gt;"",#REF!,"")</f>
        <v>#REF!</v>
      </c>
      <c r="J74" s="81" t="e">
        <f t="shared" si="22"/>
        <v>#REF!</v>
      </c>
      <c r="L74" s="82" t="e">
        <f t="shared" si="23"/>
        <v>#REF!</v>
      </c>
      <c r="M74" s="81" t="e">
        <f t="shared" si="26"/>
        <v>#REF!</v>
      </c>
      <c r="N74" s="81" t="e">
        <f t="shared" si="24"/>
        <v>#REF!</v>
      </c>
      <c r="O74" s="81" t="e">
        <f t="shared" si="25"/>
        <v>#REF!</v>
      </c>
      <c r="Q74" s="83" t="str">
        <f t="shared" si="14"/>
        <v/>
      </c>
      <c r="R74" s="84" t="e">
        <f t="shared" si="15"/>
        <v>#REF!</v>
      </c>
      <c r="S74" s="83" t="e">
        <f t="shared" si="15"/>
        <v>#REF!</v>
      </c>
      <c r="T74" s="84" t="e">
        <f t="shared" si="16"/>
        <v>#REF!</v>
      </c>
      <c r="U74" s="84" t="e">
        <f t="shared" si="17"/>
        <v>#REF!</v>
      </c>
      <c r="V74" s="85" t="e">
        <f>#REF!</f>
        <v>#REF!</v>
      </c>
      <c r="W74" s="86">
        <f t="shared" si="18"/>
        <v>0</v>
      </c>
      <c r="X74" s="86">
        <f t="shared" si="18"/>
        <v>0</v>
      </c>
      <c r="Y74" s="87">
        <f t="shared" si="19"/>
        <v>0</v>
      </c>
      <c r="Z74" s="87">
        <f t="shared" si="20"/>
        <v>0</v>
      </c>
      <c r="AA74" s="87">
        <f t="shared" si="21"/>
        <v>4</v>
      </c>
    </row>
    <row r="75" spans="9:27">
      <c r="I75" s="81" t="e">
        <f>IF(#REF!&lt;&gt;"",#REF!,"")</f>
        <v>#REF!</v>
      </c>
      <c r="J75" s="81" t="e">
        <f t="shared" si="22"/>
        <v>#REF!</v>
      </c>
      <c r="L75" s="82" t="e">
        <f t="shared" si="23"/>
        <v>#REF!</v>
      </c>
      <c r="M75" s="81" t="e">
        <f t="shared" si="26"/>
        <v>#REF!</v>
      </c>
      <c r="N75" s="81" t="e">
        <f t="shared" si="24"/>
        <v>#REF!</v>
      </c>
      <c r="O75" s="81" t="e">
        <f t="shared" si="25"/>
        <v>#REF!</v>
      </c>
      <c r="Q75" s="83" t="str">
        <f t="shared" si="14"/>
        <v/>
      </c>
      <c r="R75" s="84" t="e">
        <f t="shared" si="15"/>
        <v>#REF!</v>
      </c>
      <c r="S75" s="83" t="e">
        <f t="shared" si="15"/>
        <v>#REF!</v>
      </c>
      <c r="T75" s="84" t="e">
        <f t="shared" si="16"/>
        <v>#REF!</v>
      </c>
      <c r="U75" s="84" t="e">
        <f t="shared" si="17"/>
        <v>#REF!</v>
      </c>
      <c r="V75" s="85" t="e">
        <f>#REF!</f>
        <v>#REF!</v>
      </c>
      <c r="W75" s="86">
        <f t="shared" si="18"/>
        <v>0</v>
      </c>
      <c r="X75" s="86">
        <f t="shared" si="18"/>
        <v>0</v>
      </c>
      <c r="Y75" s="87">
        <f t="shared" si="19"/>
        <v>0</v>
      </c>
      <c r="Z75" s="87">
        <f t="shared" si="20"/>
        <v>0</v>
      </c>
      <c r="AA75" s="87">
        <f t="shared" si="21"/>
        <v>4</v>
      </c>
    </row>
    <row r="76" spans="9:27">
      <c r="I76" s="81" t="e">
        <f>IF(#REF!&lt;&gt;"",#REF!,"")</f>
        <v>#REF!</v>
      </c>
      <c r="J76" s="81" t="e">
        <f t="shared" si="22"/>
        <v>#REF!</v>
      </c>
      <c r="L76" s="82" t="e">
        <f t="shared" si="23"/>
        <v>#REF!</v>
      </c>
      <c r="M76" s="81" t="e">
        <f t="shared" si="26"/>
        <v>#REF!</v>
      </c>
      <c r="N76" s="81" t="e">
        <f t="shared" si="24"/>
        <v>#REF!</v>
      </c>
      <c r="O76" s="81" t="e">
        <f t="shared" si="25"/>
        <v>#REF!</v>
      </c>
      <c r="Q76" s="83" t="str">
        <f t="shared" si="14"/>
        <v/>
      </c>
      <c r="R76" s="84" t="e">
        <f t="shared" si="15"/>
        <v>#REF!</v>
      </c>
      <c r="S76" s="83" t="e">
        <f t="shared" si="15"/>
        <v>#REF!</v>
      </c>
      <c r="T76" s="84" t="e">
        <f t="shared" si="16"/>
        <v>#REF!</v>
      </c>
      <c r="U76" s="84" t="e">
        <f t="shared" si="17"/>
        <v>#REF!</v>
      </c>
      <c r="V76" s="85" t="e">
        <f>#REF!</f>
        <v>#REF!</v>
      </c>
      <c r="W76" s="86">
        <f t="shared" si="18"/>
        <v>0</v>
      </c>
      <c r="X76" s="86">
        <f t="shared" si="18"/>
        <v>0</v>
      </c>
      <c r="Y76" s="87">
        <f t="shared" si="19"/>
        <v>0</v>
      </c>
      <c r="Z76" s="87">
        <f t="shared" si="20"/>
        <v>0</v>
      </c>
      <c r="AA76" s="87">
        <f t="shared" si="21"/>
        <v>4</v>
      </c>
    </row>
    <row r="77" spans="9:27">
      <c r="I77" s="81" t="e">
        <f>IF(#REF!&lt;&gt;"",#REF!,"")</f>
        <v>#REF!</v>
      </c>
      <c r="J77" s="81" t="e">
        <f t="shared" si="22"/>
        <v>#REF!</v>
      </c>
      <c r="L77" s="82" t="e">
        <f t="shared" si="23"/>
        <v>#REF!</v>
      </c>
      <c r="M77" s="81" t="e">
        <f t="shared" si="26"/>
        <v>#REF!</v>
      </c>
      <c r="N77" s="81" t="e">
        <f t="shared" si="24"/>
        <v>#REF!</v>
      </c>
      <c r="O77" s="81" t="e">
        <f t="shared" si="25"/>
        <v>#REF!</v>
      </c>
      <c r="Q77" s="83" t="str">
        <f t="shared" si="14"/>
        <v/>
      </c>
      <c r="R77" s="84" t="e">
        <f t="shared" si="15"/>
        <v>#REF!</v>
      </c>
      <c r="S77" s="83" t="e">
        <f t="shared" si="15"/>
        <v>#REF!</v>
      </c>
      <c r="T77" s="84" t="e">
        <f t="shared" si="16"/>
        <v>#REF!</v>
      </c>
      <c r="U77" s="84" t="e">
        <f t="shared" si="17"/>
        <v>#REF!</v>
      </c>
      <c r="V77" s="85" t="e">
        <f>#REF!</f>
        <v>#REF!</v>
      </c>
      <c r="W77" s="86">
        <f t="shared" si="18"/>
        <v>0</v>
      </c>
      <c r="X77" s="86">
        <f t="shared" si="18"/>
        <v>0</v>
      </c>
      <c r="Y77" s="87">
        <f t="shared" si="19"/>
        <v>0</v>
      </c>
      <c r="Z77" s="87">
        <f t="shared" si="20"/>
        <v>0</v>
      </c>
      <c r="AA77" s="87">
        <f t="shared" si="21"/>
        <v>4</v>
      </c>
    </row>
    <row r="78" spans="9:27">
      <c r="I78" s="81" t="e">
        <f>IF(#REF!&lt;&gt;"",#REF!,"")</f>
        <v>#REF!</v>
      </c>
      <c r="J78" s="81" t="e">
        <f t="shared" si="22"/>
        <v>#REF!</v>
      </c>
      <c r="L78" s="82" t="e">
        <f t="shared" si="23"/>
        <v>#REF!</v>
      </c>
      <c r="M78" s="81" t="e">
        <f t="shared" si="26"/>
        <v>#REF!</v>
      </c>
      <c r="N78" s="81" t="e">
        <f t="shared" si="24"/>
        <v>#REF!</v>
      </c>
      <c r="O78" s="81" t="e">
        <f t="shared" si="25"/>
        <v>#REF!</v>
      </c>
      <c r="Q78" s="83" t="str">
        <f t="shared" si="14"/>
        <v/>
      </c>
      <c r="R78" s="84" t="e">
        <f t="shared" si="15"/>
        <v>#REF!</v>
      </c>
      <c r="S78" s="83" t="e">
        <f t="shared" si="15"/>
        <v>#REF!</v>
      </c>
      <c r="T78" s="84" t="e">
        <f t="shared" si="16"/>
        <v>#REF!</v>
      </c>
      <c r="U78" s="84" t="e">
        <f t="shared" si="17"/>
        <v>#REF!</v>
      </c>
      <c r="V78" s="85" t="e">
        <f>#REF!</f>
        <v>#REF!</v>
      </c>
      <c r="W78" s="86">
        <f t="shared" si="18"/>
        <v>0</v>
      </c>
      <c r="X78" s="86">
        <f t="shared" si="18"/>
        <v>0</v>
      </c>
      <c r="Y78" s="87">
        <f t="shared" si="19"/>
        <v>0</v>
      </c>
      <c r="Z78" s="87">
        <f t="shared" si="20"/>
        <v>0</v>
      </c>
      <c r="AA78" s="87">
        <f t="shared" si="21"/>
        <v>4</v>
      </c>
    </row>
    <row r="79" spans="9:27">
      <c r="I79" s="81" t="e">
        <f>IF(#REF!&lt;&gt;"",#REF!,"")</f>
        <v>#REF!</v>
      </c>
      <c r="J79" s="81" t="e">
        <f t="shared" si="22"/>
        <v>#REF!</v>
      </c>
      <c r="L79" s="82" t="e">
        <f t="shared" si="23"/>
        <v>#REF!</v>
      </c>
      <c r="M79" s="81" t="e">
        <f t="shared" si="26"/>
        <v>#REF!</v>
      </c>
      <c r="N79" s="81" t="e">
        <f t="shared" si="24"/>
        <v>#REF!</v>
      </c>
      <c r="O79" s="81" t="e">
        <f t="shared" si="25"/>
        <v>#REF!</v>
      </c>
      <c r="Q79" s="83" t="str">
        <f t="shared" si="14"/>
        <v/>
      </c>
      <c r="R79" s="84" t="e">
        <f t="shared" si="15"/>
        <v>#REF!</v>
      </c>
      <c r="S79" s="83" t="e">
        <f t="shared" si="15"/>
        <v>#REF!</v>
      </c>
      <c r="T79" s="84" t="e">
        <f t="shared" si="16"/>
        <v>#REF!</v>
      </c>
      <c r="U79" s="84" t="e">
        <f t="shared" si="17"/>
        <v>#REF!</v>
      </c>
      <c r="V79" s="85" t="e">
        <f>#REF!</f>
        <v>#REF!</v>
      </c>
      <c r="W79" s="86">
        <f t="shared" si="18"/>
        <v>0</v>
      </c>
      <c r="X79" s="86">
        <f t="shared" si="18"/>
        <v>0</v>
      </c>
      <c r="Y79" s="87">
        <f t="shared" si="19"/>
        <v>0</v>
      </c>
      <c r="Z79" s="87">
        <f t="shared" si="20"/>
        <v>0</v>
      </c>
      <c r="AA79" s="87">
        <f t="shared" si="21"/>
        <v>4</v>
      </c>
    </row>
    <row r="80" spans="9:27">
      <c r="I80" s="81" t="e">
        <f>IF(#REF!&lt;&gt;"",#REF!,"")</f>
        <v>#REF!</v>
      </c>
      <c r="J80" s="81" t="e">
        <f t="shared" si="22"/>
        <v>#REF!</v>
      </c>
      <c r="L80" s="82" t="e">
        <f t="shared" si="23"/>
        <v>#REF!</v>
      </c>
      <c r="M80" s="81" t="e">
        <f t="shared" si="26"/>
        <v>#REF!</v>
      </c>
      <c r="N80" s="81" t="e">
        <f t="shared" si="24"/>
        <v>#REF!</v>
      </c>
      <c r="O80" s="81" t="e">
        <f t="shared" si="25"/>
        <v>#REF!</v>
      </c>
      <c r="Q80" s="83" t="str">
        <f t="shared" si="14"/>
        <v/>
      </c>
      <c r="R80" s="84" t="e">
        <f t="shared" si="15"/>
        <v>#REF!</v>
      </c>
      <c r="S80" s="83" t="e">
        <f t="shared" si="15"/>
        <v>#REF!</v>
      </c>
      <c r="T80" s="84" t="e">
        <f t="shared" si="16"/>
        <v>#REF!</v>
      </c>
      <c r="U80" s="84" t="e">
        <f t="shared" si="17"/>
        <v>#REF!</v>
      </c>
      <c r="V80" s="85" t="e">
        <f>#REF!</f>
        <v>#REF!</v>
      </c>
      <c r="W80" s="86">
        <f t="shared" si="18"/>
        <v>0</v>
      </c>
      <c r="X80" s="86">
        <f t="shared" si="18"/>
        <v>0</v>
      </c>
      <c r="Y80" s="87">
        <f t="shared" si="19"/>
        <v>0</v>
      </c>
      <c r="Z80" s="87">
        <f t="shared" si="20"/>
        <v>0</v>
      </c>
      <c r="AA80" s="87">
        <f t="shared" si="21"/>
        <v>4</v>
      </c>
    </row>
    <row r="81" spans="9:27">
      <c r="I81" s="81" t="e">
        <f>IF(#REF!&lt;&gt;"",#REF!,"")</f>
        <v>#REF!</v>
      </c>
      <c r="J81" s="81" t="e">
        <f t="shared" si="22"/>
        <v>#REF!</v>
      </c>
      <c r="L81" s="82" t="e">
        <f t="shared" si="23"/>
        <v>#REF!</v>
      </c>
      <c r="M81" s="81" t="e">
        <f t="shared" si="26"/>
        <v>#REF!</v>
      </c>
      <c r="N81" s="81" t="e">
        <f t="shared" si="24"/>
        <v>#REF!</v>
      </c>
      <c r="O81" s="81" t="e">
        <f t="shared" si="25"/>
        <v>#REF!</v>
      </c>
      <c r="Q81" s="83" t="str">
        <f t="shared" si="14"/>
        <v/>
      </c>
      <c r="R81" s="84" t="e">
        <f t="shared" si="15"/>
        <v>#REF!</v>
      </c>
      <c r="S81" s="83" t="e">
        <f t="shared" si="15"/>
        <v>#REF!</v>
      </c>
      <c r="T81" s="84" t="e">
        <f t="shared" si="16"/>
        <v>#REF!</v>
      </c>
      <c r="U81" s="84" t="e">
        <f t="shared" si="17"/>
        <v>#REF!</v>
      </c>
      <c r="V81" s="85" t="e">
        <f>#REF!</f>
        <v>#REF!</v>
      </c>
      <c r="W81" s="86">
        <f t="shared" si="18"/>
        <v>0</v>
      </c>
      <c r="X81" s="86">
        <f t="shared" si="18"/>
        <v>0</v>
      </c>
      <c r="Y81" s="87">
        <f t="shared" si="19"/>
        <v>0</v>
      </c>
      <c r="Z81" s="87">
        <f t="shared" si="20"/>
        <v>0</v>
      </c>
      <c r="AA81" s="87">
        <f t="shared" si="21"/>
        <v>4</v>
      </c>
    </row>
    <row r="82" spans="9:27">
      <c r="I82" s="81" t="e">
        <f>IF(#REF!&lt;&gt;"",#REF!,"")</f>
        <v>#REF!</v>
      </c>
      <c r="J82" s="81" t="e">
        <f t="shared" si="22"/>
        <v>#REF!</v>
      </c>
      <c r="L82" s="82" t="e">
        <f t="shared" si="23"/>
        <v>#REF!</v>
      </c>
      <c r="M82" s="81" t="e">
        <f t="shared" si="26"/>
        <v>#REF!</v>
      </c>
      <c r="N82" s="81" t="e">
        <f t="shared" si="24"/>
        <v>#REF!</v>
      </c>
      <c r="O82" s="81" t="e">
        <f t="shared" si="25"/>
        <v>#REF!</v>
      </c>
      <c r="Q82" s="83" t="str">
        <f t="shared" si="14"/>
        <v/>
      </c>
      <c r="R82" s="84" t="e">
        <f t="shared" si="15"/>
        <v>#REF!</v>
      </c>
      <c r="S82" s="83" t="e">
        <f t="shared" si="15"/>
        <v>#REF!</v>
      </c>
      <c r="T82" s="84" t="e">
        <f t="shared" si="16"/>
        <v>#REF!</v>
      </c>
      <c r="U82" s="84" t="e">
        <f t="shared" si="17"/>
        <v>#REF!</v>
      </c>
      <c r="V82" s="85" t="e">
        <f>#REF!</f>
        <v>#REF!</v>
      </c>
      <c r="W82" s="86">
        <f t="shared" si="18"/>
        <v>0</v>
      </c>
      <c r="X82" s="86">
        <f t="shared" si="18"/>
        <v>0</v>
      </c>
      <c r="Y82" s="87">
        <f t="shared" si="19"/>
        <v>0</v>
      </c>
      <c r="Z82" s="87">
        <f t="shared" si="20"/>
        <v>0</v>
      </c>
      <c r="AA82" s="87">
        <f t="shared" si="21"/>
        <v>4</v>
      </c>
    </row>
    <row r="83" spans="9:27">
      <c r="I83" s="81" t="e">
        <f>IF(#REF!&lt;&gt;"",#REF!,"")</f>
        <v>#REF!</v>
      </c>
      <c r="J83" s="81" t="e">
        <f t="shared" si="22"/>
        <v>#REF!</v>
      </c>
      <c r="L83" s="82" t="e">
        <f t="shared" si="23"/>
        <v>#REF!</v>
      </c>
      <c r="M83" s="81" t="e">
        <f t="shared" si="26"/>
        <v>#REF!</v>
      </c>
      <c r="N83" s="81" t="e">
        <f t="shared" si="24"/>
        <v>#REF!</v>
      </c>
      <c r="O83" s="81" t="e">
        <f t="shared" si="25"/>
        <v>#REF!</v>
      </c>
      <c r="Q83" s="83" t="str">
        <f t="shared" si="14"/>
        <v/>
      </c>
      <c r="R83" s="84" t="e">
        <f t="shared" si="15"/>
        <v>#REF!</v>
      </c>
      <c r="S83" s="83" t="e">
        <f t="shared" si="15"/>
        <v>#REF!</v>
      </c>
      <c r="T83" s="84" t="e">
        <f t="shared" si="16"/>
        <v>#REF!</v>
      </c>
      <c r="U83" s="84" t="e">
        <f t="shared" si="17"/>
        <v>#REF!</v>
      </c>
      <c r="V83" s="85" t="e">
        <f>#REF!</f>
        <v>#REF!</v>
      </c>
      <c r="W83" s="86">
        <f t="shared" si="18"/>
        <v>0</v>
      </c>
      <c r="X83" s="86">
        <f t="shared" si="18"/>
        <v>0</v>
      </c>
      <c r="Y83" s="87">
        <f t="shared" si="19"/>
        <v>0</v>
      </c>
      <c r="Z83" s="87">
        <f t="shared" si="20"/>
        <v>0</v>
      </c>
      <c r="AA83" s="87">
        <f t="shared" si="21"/>
        <v>4</v>
      </c>
    </row>
    <row r="84" spans="9:27">
      <c r="I84" s="81" t="e">
        <f>IF(#REF!&lt;&gt;"",#REF!,"")</f>
        <v>#REF!</v>
      </c>
      <c r="J84" s="81" t="e">
        <f t="shared" si="22"/>
        <v>#REF!</v>
      </c>
      <c r="L84" s="82" t="e">
        <f t="shared" si="23"/>
        <v>#REF!</v>
      </c>
      <c r="M84" s="81" t="e">
        <f t="shared" si="26"/>
        <v>#REF!</v>
      </c>
      <c r="N84" s="81" t="e">
        <f t="shared" si="24"/>
        <v>#REF!</v>
      </c>
      <c r="O84" s="81" t="e">
        <f t="shared" si="25"/>
        <v>#REF!</v>
      </c>
      <c r="Q84" s="83" t="str">
        <f t="shared" si="14"/>
        <v/>
      </c>
      <c r="R84" s="84" t="e">
        <f t="shared" si="15"/>
        <v>#REF!</v>
      </c>
      <c r="S84" s="83" t="e">
        <f t="shared" si="15"/>
        <v>#REF!</v>
      </c>
      <c r="T84" s="84" t="e">
        <f t="shared" si="16"/>
        <v>#REF!</v>
      </c>
      <c r="U84" s="84" t="e">
        <f t="shared" si="17"/>
        <v>#REF!</v>
      </c>
      <c r="V84" s="85" t="e">
        <f>#REF!</f>
        <v>#REF!</v>
      </c>
      <c r="W84" s="86">
        <f t="shared" si="18"/>
        <v>0</v>
      </c>
      <c r="X84" s="86">
        <f t="shared" si="18"/>
        <v>0</v>
      </c>
      <c r="Y84" s="87">
        <f t="shared" si="19"/>
        <v>0</v>
      </c>
      <c r="Z84" s="87">
        <f t="shared" si="20"/>
        <v>0</v>
      </c>
      <c r="AA84" s="87">
        <f t="shared" si="21"/>
        <v>4</v>
      </c>
    </row>
    <row r="85" spans="9:27">
      <c r="I85" s="81" t="e">
        <f>IF(#REF!&lt;&gt;"",#REF!,"")</f>
        <v>#REF!</v>
      </c>
      <c r="J85" s="81" t="e">
        <f t="shared" si="22"/>
        <v>#REF!</v>
      </c>
      <c r="L85" s="82" t="e">
        <f t="shared" si="23"/>
        <v>#REF!</v>
      </c>
      <c r="M85" s="81" t="e">
        <f t="shared" si="26"/>
        <v>#REF!</v>
      </c>
      <c r="N85" s="81" t="e">
        <f t="shared" si="24"/>
        <v>#REF!</v>
      </c>
      <c r="O85" s="81" t="e">
        <f t="shared" si="25"/>
        <v>#REF!</v>
      </c>
      <c r="Q85" s="83" t="str">
        <f t="shared" si="14"/>
        <v/>
      </c>
      <c r="R85" s="84" t="e">
        <f t="shared" si="15"/>
        <v>#REF!</v>
      </c>
      <c r="S85" s="83" t="e">
        <f t="shared" si="15"/>
        <v>#REF!</v>
      </c>
      <c r="T85" s="84" t="e">
        <f t="shared" si="16"/>
        <v>#REF!</v>
      </c>
      <c r="U85" s="84" t="e">
        <f t="shared" si="17"/>
        <v>#REF!</v>
      </c>
      <c r="V85" s="85" t="e">
        <f>#REF!</f>
        <v>#REF!</v>
      </c>
      <c r="W85" s="86">
        <f t="shared" si="18"/>
        <v>0</v>
      </c>
      <c r="X85" s="86">
        <f t="shared" si="18"/>
        <v>0</v>
      </c>
      <c r="Y85" s="87">
        <f t="shared" si="19"/>
        <v>0</v>
      </c>
      <c r="Z85" s="87">
        <f t="shared" si="20"/>
        <v>0</v>
      </c>
      <c r="AA85" s="87">
        <f t="shared" si="21"/>
        <v>4</v>
      </c>
    </row>
    <row r="86" spans="9:27">
      <c r="I86" s="81" t="e">
        <f>IF(#REF!&lt;&gt;"",#REF!,"")</f>
        <v>#REF!</v>
      </c>
      <c r="J86" s="81" t="e">
        <f t="shared" si="22"/>
        <v>#REF!</v>
      </c>
      <c r="L86" s="82" t="e">
        <f t="shared" si="23"/>
        <v>#REF!</v>
      </c>
      <c r="M86" s="81" t="e">
        <f t="shared" si="26"/>
        <v>#REF!</v>
      </c>
      <c r="N86" s="81" t="e">
        <f t="shared" si="24"/>
        <v>#REF!</v>
      </c>
      <c r="O86" s="81" t="e">
        <f t="shared" si="25"/>
        <v>#REF!</v>
      </c>
      <c r="Q86" s="83" t="str">
        <f t="shared" si="14"/>
        <v/>
      </c>
      <c r="R86" s="84" t="e">
        <f t="shared" si="15"/>
        <v>#REF!</v>
      </c>
      <c r="S86" s="83" t="e">
        <f t="shared" si="15"/>
        <v>#REF!</v>
      </c>
      <c r="T86" s="84" t="e">
        <f t="shared" si="16"/>
        <v>#REF!</v>
      </c>
      <c r="U86" s="84" t="e">
        <f t="shared" si="17"/>
        <v>#REF!</v>
      </c>
      <c r="V86" s="85" t="e">
        <f>#REF!</f>
        <v>#REF!</v>
      </c>
      <c r="W86" s="86">
        <f t="shared" si="18"/>
        <v>0</v>
      </c>
      <c r="X86" s="86">
        <f t="shared" si="18"/>
        <v>0</v>
      </c>
      <c r="Y86" s="87">
        <f t="shared" si="19"/>
        <v>0</v>
      </c>
      <c r="Z86" s="87">
        <f t="shared" si="20"/>
        <v>0</v>
      </c>
      <c r="AA86" s="87">
        <f t="shared" si="21"/>
        <v>4</v>
      </c>
    </row>
    <row r="87" spans="9:27">
      <c r="I87" s="81" t="e">
        <f>IF(#REF!&lt;&gt;"",#REF!,"")</f>
        <v>#REF!</v>
      </c>
      <c r="J87" s="81" t="e">
        <f t="shared" si="22"/>
        <v>#REF!</v>
      </c>
      <c r="L87" s="82" t="e">
        <f t="shared" si="23"/>
        <v>#REF!</v>
      </c>
      <c r="M87" s="81" t="e">
        <f t="shared" si="26"/>
        <v>#REF!</v>
      </c>
      <c r="N87" s="81" t="e">
        <f t="shared" si="24"/>
        <v>#REF!</v>
      </c>
      <c r="O87" s="81" t="e">
        <f t="shared" si="25"/>
        <v>#REF!</v>
      </c>
      <c r="Q87" s="83" t="str">
        <f t="shared" ref="Q87:Q150" si="27">IF(Z87=0,"",IF(Z87=1,R87&amp;S87,"E99999"))</f>
        <v/>
      </c>
      <c r="R87" s="84" t="e">
        <f t="shared" si="15"/>
        <v>#REF!</v>
      </c>
      <c r="S87" s="83" t="e">
        <f t="shared" si="15"/>
        <v>#REF!</v>
      </c>
      <c r="T87" s="84" t="e">
        <f t="shared" si="16"/>
        <v>#REF!</v>
      </c>
      <c r="U87" s="84" t="e">
        <f t="shared" si="17"/>
        <v>#REF!</v>
      </c>
      <c r="V87" s="85" t="e">
        <f>#REF!</f>
        <v>#REF!</v>
      </c>
      <c r="W87" s="86">
        <f t="shared" si="18"/>
        <v>0</v>
      </c>
      <c r="X87" s="86">
        <f t="shared" si="18"/>
        <v>0</v>
      </c>
      <c r="Y87" s="87">
        <f t="shared" si="19"/>
        <v>0</v>
      </c>
      <c r="Z87" s="87">
        <f t="shared" si="20"/>
        <v>0</v>
      </c>
      <c r="AA87" s="87">
        <f t="shared" si="21"/>
        <v>4</v>
      </c>
    </row>
    <row r="88" spans="9:27">
      <c r="I88" s="81" t="e">
        <f>IF(#REF!&lt;&gt;"",#REF!,"")</f>
        <v>#REF!</v>
      </c>
      <c r="J88" s="81" t="e">
        <f t="shared" si="22"/>
        <v>#REF!</v>
      </c>
      <c r="L88" s="82" t="e">
        <f t="shared" si="23"/>
        <v>#REF!</v>
      </c>
      <c r="M88" s="81" t="e">
        <f t="shared" si="26"/>
        <v>#REF!</v>
      </c>
      <c r="N88" s="81" t="e">
        <f t="shared" si="24"/>
        <v>#REF!</v>
      </c>
      <c r="O88" s="81" t="e">
        <f t="shared" si="25"/>
        <v>#REF!</v>
      </c>
      <c r="Q88" s="83" t="str">
        <f t="shared" si="27"/>
        <v/>
      </c>
      <c r="R88" s="84" t="e">
        <f t="shared" si="15"/>
        <v>#REF!</v>
      </c>
      <c r="S88" s="83" t="e">
        <f t="shared" si="15"/>
        <v>#REF!</v>
      </c>
      <c r="T88" s="84" t="e">
        <f t="shared" si="16"/>
        <v>#REF!</v>
      </c>
      <c r="U88" s="84" t="e">
        <f t="shared" si="17"/>
        <v>#REF!</v>
      </c>
      <c r="V88" s="85" t="e">
        <f>#REF!</f>
        <v>#REF!</v>
      </c>
      <c r="W88" s="86">
        <f t="shared" si="18"/>
        <v>0</v>
      </c>
      <c r="X88" s="86">
        <f t="shared" si="18"/>
        <v>0</v>
      </c>
      <c r="Y88" s="87">
        <f t="shared" si="19"/>
        <v>0</v>
      </c>
      <c r="Z88" s="87">
        <f t="shared" si="20"/>
        <v>0</v>
      </c>
      <c r="AA88" s="87">
        <f t="shared" si="21"/>
        <v>4</v>
      </c>
    </row>
    <row r="89" spans="9:27">
      <c r="I89" s="81" t="e">
        <f>IF(#REF!&lt;&gt;"",#REF!,"")</f>
        <v>#REF!</v>
      </c>
      <c r="J89" s="81" t="e">
        <f t="shared" si="22"/>
        <v>#REF!</v>
      </c>
      <c r="L89" s="82" t="e">
        <f t="shared" si="23"/>
        <v>#REF!</v>
      </c>
      <c r="M89" s="81" t="e">
        <f t="shared" si="26"/>
        <v>#REF!</v>
      </c>
      <c r="N89" s="81" t="e">
        <f t="shared" si="24"/>
        <v>#REF!</v>
      </c>
      <c r="O89" s="81" t="e">
        <f t="shared" si="25"/>
        <v>#REF!</v>
      </c>
      <c r="Q89" s="83" t="str">
        <f t="shared" si="27"/>
        <v/>
      </c>
      <c r="R89" s="84" t="e">
        <f t="shared" si="15"/>
        <v>#REF!</v>
      </c>
      <c r="S89" s="83" t="e">
        <f t="shared" si="15"/>
        <v>#REF!</v>
      </c>
      <c r="T89" s="84" t="e">
        <f t="shared" si="16"/>
        <v>#REF!</v>
      </c>
      <c r="U89" s="84" t="e">
        <f t="shared" si="17"/>
        <v>#REF!</v>
      </c>
      <c r="V89" s="85" t="e">
        <f>#REF!</f>
        <v>#REF!</v>
      </c>
      <c r="W89" s="86">
        <f t="shared" si="18"/>
        <v>0</v>
      </c>
      <c r="X89" s="86">
        <f t="shared" si="18"/>
        <v>0</v>
      </c>
      <c r="Y89" s="87">
        <f t="shared" si="19"/>
        <v>0</v>
      </c>
      <c r="Z89" s="87">
        <f t="shared" si="20"/>
        <v>0</v>
      </c>
      <c r="AA89" s="87">
        <f t="shared" si="21"/>
        <v>4</v>
      </c>
    </row>
    <row r="90" spans="9:27">
      <c r="I90" s="81" t="e">
        <f>IF(#REF!&lt;&gt;"",#REF!,"")</f>
        <v>#REF!</v>
      </c>
      <c r="J90" s="81" t="e">
        <f t="shared" si="22"/>
        <v>#REF!</v>
      </c>
      <c r="L90" s="82" t="e">
        <f t="shared" si="23"/>
        <v>#REF!</v>
      </c>
      <c r="M90" s="81" t="e">
        <f t="shared" si="26"/>
        <v>#REF!</v>
      </c>
      <c r="N90" s="81" t="e">
        <f t="shared" si="24"/>
        <v>#REF!</v>
      </c>
      <c r="O90" s="81" t="e">
        <f t="shared" si="25"/>
        <v>#REF!</v>
      </c>
      <c r="Q90" s="83" t="str">
        <f t="shared" si="27"/>
        <v/>
      </c>
      <c r="R90" s="84" t="e">
        <f t="shared" si="15"/>
        <v>#REF!</v>
      </c>
      <c r="S90" s="83" t="e">
        <f t="shared" si="15"/>
        <v>#REF!</v>
      </c>
      <c r="T90" s="84" t="e">
        <f t="shared" si="16"/>
        <v>#REF!</v>
      </c>
      <c r="U90" s="84" t="e">
        <f t="shared" si="17"/>
        <v>#REF!</v>
      </c>
      <c r="V90" s="85" t="e">
        <f>#REF!</f>
        <v>#REF!</v>
      </c>
      <c r="W90" s="86">
        <f t="shared" si="18"/>
        <v>0</v>
      </c>
      <c r="X90" s="86">
        <f t="shared" si="18"/>
        <v>0</v>
      </c>
      <c r="Y90" s="87">
        <f t="shared" si="19"/>
        <v>0</v>
      </c>
      <c r="Z90" s="87">
        <f t="shared" si="20"/>
        <v>0</v>
      </c>
      <c r="AA90" s="87">
        <f t="shared" si="21"/>
        <v>4</v>
      </c>
    </row>
    <row r="91" spans="9:27">
      <c r="I91" s="81" t="e">
        <f>IF(#REF!&lt;&gt;"",#REF!,"")</f>
        <v>#REF!</v>
      </c>
      <c r="J91" s="81" t="e">
        <f t="shared" si="22"/>
        <v>#REF!</v>
      </c>
      <c r="L91" s="82" t="e">
        <f t="shared" si="23"/>
        <v>#REF!</v>
      </c>
      <c r="M91" s="81" t="e">
        <f t="shared" si="26"/>
        <v>#REF!</v>
      </c>
      <c r="N91" s="81" t="e">
        <f t="shared" si="24"/>
        <v>#REF!</v>
      </c>
      <c r="O91" s="81" t="e">
        <f t="shared" si="25"/>
        <v>#REF!</v>
      </c>
      <c r="Q91" s="83" t="str">
        <f t="shared" si="27"/>
        <v/>
      </c>
      <c r="R91" s="84" t="e">
        <f t="shared" si="15"/>
        <v>#REF!</v>
      </c>
      <c r="S91" s="83" t="e">
        <f t="shared" si="15"/>
        <v>#REF!</v>
      </c>
      <c r="T91" s="84" t="e">
        <f t="shared" si="16"/>
        <v>#REF!</v>
      </c>
      <c r="U91" s="84" t="e">
        <f t="shared" si="17"/>
        <v>#REF!</v>
      </c>
      <c r="V91" s="85" t="e">
        <f>#REF!</f>
        <v>#REF!</v>
      </c>
      <c r="W91" s="86">
        <f t="shared" si="18"/>
        <v>0</v>
      </c>
      <c r="X91" s="86">
        <f t="shared" si="18"/>
        <v>0</v>
      </c>
      <c r="Y91" s="87">
        <f t="shared" si="19"/>
        <v>0</v>
      </c>
      <c r="Z91" s="87">
        <f t="shared" si="20"/>
        <v>0</v>
      </c>
      <c r="AA91" s="87">
        <f t="shared" si="21"/>
        <v>4</v>
      </c>
    </row>
    <row r="92" spans="9:27">
      <c r="I92" s="81" t="e">
        <f>IF(#REF!&lt;&gt;"",#REF!,"")</f>
        <v>#REF!</v>
      </c>
      <c r="J92" s="81" t="e">
        <f t="shared" si="22"/>
        <v>#REF!</v>
      </c>
      <c r="L92" s="82" t="e">
        <f t="shared" si="23"/>
        <v>#REF!</v>
      </c>
      <c r="M92" s="81" t="e">
        <f t="shared" si="26"/>
        <v>#REF!</v>
      </c>
      <c r="N92" s="81" t="e">
        <f t="shared" si="24"/>
        <v>#REF!</v>
      </c>
      <c r="O92" s="81" t="e">
        <f t="shared" si="25"/>
        <v>#REF!</v>
      </c>
      <c r="Q92" s="83" t="str">
        <f t="shared" si="27"/>
        <v/>
      </c>
      <c r="R92" s="84" t="e">
        <f t="shared" si="15"/>
        <v>#REF!</v>
      </c>
      <c r="S92" s="83" t="e">
        <f t="shared" si="15"/>
        <v>#REF!</v>
      </c>
      <c r="T92" s="84" t="e">
        <f t="shared" si="16"/>
        <v>#REF!</v>
      </c>
      <c r="U92" s="84" t="e">
        <f t="shared" si="17"/>
        <v>#REF!</v>
      </c>
      <c r="V92" s="85" t="e">
        <f>#REF!</f>
        <v>#REF!</v>
      </c>
      <c r="W92" s="86">
        <f t="shared" si="18"/>
        <v>0</v>
      </c>
      <c r="X92" s="86">
        <f t="shared" si="18"/>
        <v>0</v>
      </c>
      <c r="Y92" s="87">
        <f t="shared" si="19"/>
        <v>0</v>
      </c>
      <c r="Z92" s="87">
        <f t="shared" si="20"/>
        <v>0</v>
      </c>
      <c r="AA92" s="87">
        <f t="shared" si="21"/>
        <v>4</v>
      </c>
    </row>
    <row r="93" spans="9:27">
      <c r="I93" s="81" t="e">
        <f>IF(#REF!&lt;&gt;"",#REF!,"")</f>
        <v>#REF!</v>
      </c>
      <c r="J93" s="81" t="e">
        <f t="shared" si="22"/>
        <v>#REF!</v>
      </c>
      <c r="L93" s="82" t="e">
        <f t="shared" si="23"/>
        <v>#REF!</v>
      </c>
      <c r="M93" s="81" t="e">
        <f t="shared" si="26"/>
        <v>#REF!</v>
      </c>
      <c r="N93" s="81" t="e">
        <f t="shared" si="24"/>
        <v>#REF!</v>
      </c>
      <c r="O93" s="81" t="e">
        <f t="shared" si="25"/>
        <v>#REF!</v>
      </c>
      <c r="Q93" s="83" t="str">
        <f t="shared" si="27"/>
        <v/>
      </c>
      <c r="R93" s="84" t="e">
        <f t="shared" si="15"/>
        <v>#REF!</v>
      </c>
      <c r="S93" s="83" t="e">
        <f t="shared" si="15"/>
        <v>#REF!</v>
      </c>
      <c r="T93" s="84" t="e">
        <f t="shared" si="16"/>
        <v>#REF!</v>
      </c>
      <c r="U93" s="84" t="e">
        <f t="shared" si="17"/>
        <v>#REF!</v>
      </c>
      <c r="V93" s="85" t="e">
        <f>#REF!</f>
        <v>#REF!</v>
      </c>
      <c r="W93" s="86">
        <f t="shared" si="18"/>
        <v>0</v>
      </c>
      <c r="X93" s="86">
        <f t="shared" si="18"/>
        <v>0</v>
      </c>
      <c r="Y93" s="87">
        <f t="shared" si="19"/>
        <v>0</v>
      </c>
      <c r="Z93" s="87">
        <f t="shared" si="20"/>
        <v>0</v>
      </c>
      <c r="AA93" s="87">
        <f t="shared" si="21"/>
        <v>4</v>
      </c>
    </row>
    <row r="94" spans="9:27">
      <c r="I94" s="81" t="e">
        <f>IF(#REF!&lt;&gt;"",#REF!,"")</f>
        <v>#REF!</v>
      </c>
      <c r="J94" s="81" t="e">
        <f t="shared" si="22"/>
        <v>#REF!</v>
      </c>
      <c r="L94" s="82" t="e">
        <f t="shared" si="23"/>
        <v>#REF!</v>
      </c>
      <c r="M94" s="81" t="e">
        <f t="shared" si="26"/>
        <v>#REF!</v>
      </c>
      <c r="N94" s="81" t="e">
        <f t="shared" si="24"/>
        <v>#REF!</v>
      </c>
      <c r="O94" s="81" t="e">
        <f t="shared" si="25"/>
        <v>#REF!</v>
      </c>
      <c r="Q94" s="83" t="str">
        <f t="shared" si="27"/>
        <v/>
      </c>
      <c r="R94" s="84" t="e">
        <f t="shared" si="15"/>
        <v>#REF!</v>
      </c>
      <c r="S94" s="83" t="e">
        <f t="shared" si="15"/>
        <v>#REF!</v>
      </c>
      <c r="T94" s="84" t="e">
        <f t="shared" si="16"/>
        <v>#REF!</v>
      </c>
      <c r="U94" s="84" t="e">
        <f t="shared" si="17"/>
        <v>#REF!</v>
      </c>
      <c r="V94" s="85" t="e">
        <f>#REF!</f>
        <v>#REF!</v>
      </c>
      <c r="W94" s="86">
        <f t="shared" si="18"/>
        <v>0</v>
      </c>
      <c r="X94" s="86">
        <f t="shared" si="18"/>
        <v>0</v>
      </c>
      <c r="Y94" s="87">
        <f t="shared" si="19"/>
        <v>0</v>
      </c>
      <c r="Z94" s="87">
        <f t="shared" si="20"/>
        <v>0</v>
      </c>
      <c r="AA94" s="87">
        <f t="shared" si="21"/>
        <v>4</v>
      </c>
    </row>
    <row r="95" spans="9:27">
      <c r="I95" s="81" t="e">
        <f>IF(#REF!&lt;&gt;"",#REF!,"")</f>
        <v>#REF!</v>
      </c>
      <c r="J95" s="81" t="e">
        <f t="shared" si="22"/>
        <v>#REF!</v>
      </c>
      <c r="L95" s="82" t="e">
        <f t="shared" si="23"/>
        <v>#REF!</v>
      </c>
      <c r="M95" s="81" t="e">
        <f t="shared" si="26"/>
        <v>#REF!</v>
      </c>
      <c r="N95" s="81" t="e">
        <f t="shared" si="24"/>
        <v>#REF!</v>
      </c>
      <c r="O95" s="81" t="e">
        <f t="shared" si="25"/>
        <v>#REF!</v>
      </c>
      <c r="Q95" s="83" t="str">
        <f t="shared" si="27"/>
        <v/>
      </c>
      <c r="R95" s="84" t="e">
        <f t="shared" si="15"/>
        <v>#REF!</v>
      </c>
      <c r="S95" s="83" t="e">
        <f t="shared" si="15"/>
        <v>#REF!</v>
      </c>
      <c r="T95" s="84" t="e">
        <f t="shared" si="16"/>
        <v>#REF!</v>
      </c>
      <c r="U95" s="84" t="e">
        <f t="shared" si="17"/>
        <v>#REF!</v>
      </c>
      <c r="V95" s="85" t="e">
        <f>#REF!</f>
        <v>#REF!</v>
      </c>
      <c r="W95" s="86">
        <f t="shared" si="18"/>
        <v>0</v>
      </c>
      <c r="X95" s="86">
        <f t="shared" si="18"/>
        <v>0</v>
      </c>
      <c r="Y95" s="87">
        <f t="shared" si="19"/>
        <v>0</v>
      </c>
      <c r="Z95" s="87">
        <f t="shared" si="20"/>
        <v>0</v>
      </c>
      <c r="AA95" s="87">
        <f t="shared" si="21"/>
        <v>4</v>
      </c>
    </row>
    <row r="96" spans="9:27">
      <c r="I96" s="81" t="e">
        <f>IF(#REF!&lt;&gt;"",#REF!,"")</f>
        <v>#REF!</v>
      </c>
      <c r="J96" s="81" t="e">
        <f t="shared" si="22"/>
        <v>#REF!</v>
      </c>
      <c r="L96" s="82" t="e">
        <f t="shared" si="23"/>
        <v>#REF!</v>
      </c>
      <c r="M96" s="81" t="e">
        <f t="shared" si="26"/>
        <v>#REF!</v>
      </c>
      <c r="N96" s="81" t="e">
        <f t="shared" si="24"/>
        <v>#REF!</v>
      </c>
      <c r="O96" s="81" t="e">
        <f t="shared" si="25"/>
        <v>#REF!</v>
      </c>
      <c r="Q96" s="83" t="str">
        <f t="shared" si="27"/>
        <v/>
      </c>
      <c r="R96" s="84" t="e">
        <f t="shared" si="15"/>
        <v>#REF!</v>
      </c>
      <c r="S96" s="83" t="e">
        <f t="shared" si="15"/>
        <v>#REF!</v>
      </c>
      <c r="T96" s="84" t="e">
        <f t="shared" si="16"/>
        <v>#REF!</v>
      </c>
      <c r="U96" s="84" t="e">
        <f t="shared" si="17"/>
        <v>#REF!</v>
      </c>
      <c r="V96" s="85" t="e">
        <f>#REF!</f>
        <v>#REF!</v>
      </c>
      <c r="W96" s="86">
        <f t="shared" si="18"/>
        <v>0</v>
      </c>
      <c r="X96" s="86">
        <f t="shared" si="18"/>
        <v>0</v>
      </c>
      <c r="Y96" s="87">
        <f t="shared" si="19"/>
        <v>0</v>
      </c>
      <c r="Z96" s="87">
        <f t="shared" si="20"/>
        <v>0</v>
      </c>
      <c r="AA96" s="87">
        <f t="shared" si="21"/>
        <v>4</v>
      </c>
    </row>
    <row r="97" spans="9:27">
      <c r="I97" s="81" t="e">
        <f>IF(#REF!&lt;&gt;"",#REF!,"")</f>
        <v>#REF!</v>
      </c>
      <c r="J97" s="81" t="e">
        <f t="shared" si="22"/>
        <v>#REF!</v>
      </c>
      <c r="L97" s="82" t="e">
        <f t="shared" si="23"/>
        <v>#REF!</v>
      </c>
      <c r="M97" s="81" t="e">
        <f t="shared" si="26"/>
        <v>#REF!</v>
      </c>
      <c r="N97" s="81" t="e">
        <f t="shared" si="24"/>
        <v>#REF!</v>
      </c>
      <c r="O97" s="81" t="e">
        <f t="shared" si="25"/>
        <v>#REF!</v>
      </c>
      <c r="Q97" s="83" t="str">
        <f t="shared" si="27"/>
        <v/>
      </c>
      <c r="R97" s="84" t="e">
        <f t="shared" si="15"/>
        <v>#REF!</v>
      </c>
      <c r="S97" s="83" t="e">
        <f t="shared" si="15"/>
        <v>#REF!</v>
      </c>
      <c r="T97" s="84" t="e">
        <f t="shared" si="16"/>
        <v>#REF!</v>
      </c>
      <c r="U97" s="84" t="e">
        <f t="shared" si="17"/>
        <v>#REF!</v>
      </c>
      <c r="V97" s="85" t="e">
        <f>#REF!</f>
        <v>#REF!</v>
      </c>
      <c r="W97" s="86">
        <f t="shared" si="18"/>
        <v>0</v>
      </c>
      <c r="X97" s="86">
        <f t="shared" si="18"/>
        <v>0</v>
      </c>
      <c r="Y97" s="87">
        <f t="shared" si="19"/>
        <v>0</v>
      </c>
      <c r="Z97" s="87">
        <f t="shared" si="20"/>
        <v>0</v>
      </c>
      <c r="AA97" s="87">
        <f t="shared" si="21"/>
        <v>4</v>
      </c>
    </row>
    <row r="98" spans="9:27">
      <c r="I98" s="81" t="e">
        <f>IF(#REF!&lt;&gt;"",#REF!,"")</f>
        <v>#REF!</v>
      </c>
      <c r="J98" s="81" t="e">
        <f t="shared" si="22"/>
        <v>#REF!</v>
      </c>
      <c r="L98" s="82" t="e">
        <f t="shared" si="23"/>
        <v>#REF!</v>
      </c>
      <c r="M98" s="81" t="e">
        <f t="shared" si="26"/>
        <v>#REF!</v>
      </c>
      <c r="N98" s="81" t="e">
        <f t="shared" si="24"/>
        <v>#REF!</v>
      </c>
      <c r="O98" s="81" t="e">
        <f t="shared" si="25"/>
        <v>#REF!</v>
      </c>
      <c r="Q98" s="83" t="str">
        <f t="shared" si="27"/>
        <v/>
      </c>
      <c r="R98" s="84" t="e">
        <f t="shared" si="15"/>
        <v>#REF!</v>
      </c>
      <c r="S98" s="83" t="e">
        <f t="shared" si="15"/>
        <v>#REF!</v>
      </c>
      <c r="T98" s="84" t="e">
        <f t="shared" si="16"/>
        <v>#REF!</v>
      </c>
      <c r="U98" s="84" t="e">
        <f t="shared" si="17"/>
        <v>#REF!</v>
      </c>
      <c r="V98" s="85" t="e">
        <f>#REF!</f>
        <v>#REF!</v>
      </c>
      <c r="W98" s="86">
        <f t="shared" si="18"/>
        <v>0</v>
      </c>
      <c r="X98" s="86">
        <f t="shared" si="18"/>
        <v>0</v>
      </c>
      <c r="Y98" s="87">
        <f t="shared" si="19"/>
        <v>0</v>
      </c>
      <c r="Z98" s="87">
        <f t="shared" si="20"/>
        <v>0</v>
      </c>
      <c r="AA98" s="87">
        <f t="shared" si="21"/>
        <v>4</v>
      </c>
    </row>
    <row r="99" spans="9:27">
      <c r="I99" s="81" t="e">
        <f>IF(#REF!&lt;&gt;"",#REF!,"")</f>
        <v>#REF!</v>
      </c>
      <c r="J99" s="81" t="e">
        <f t="shared" si="22"/>
        <v>#REF!</v>
      </c>
      <c r="L99" s="82" t="e">
        <f t="shared" si="23"/>
        <v>#REF!</v>
      </c>
      <c r="M99" s="81" t="e">
        <f t="shared" si="26"/>
        <v>#REF!</v>
      </c>
      <c r="N99" s="81" t="e">
        <f t="shared" si="24"/>
        <v>#REF!</v>
      </c>
      <c r="O99" s="81" t="e">
        <f t="shared" si="25"/>
        <v>#REF!</v>
      </c>
      <c r="Q99" s="83" t="str">
        <f t="shared" si="27"/>
        <v/>
      </c>
      <c r="R99" s="84" t="e">
        <f t="shared" si="15"/>
        <v>#REF!</v>
      </c>
      <c r="S99" s="83" t="e">
        <f t="shared" si="15"/>
        <v>#REF!</v>
      </c>
      <c r="T99" s="84" t="e">
        <f t="shared" si="16"/>
        <v>#REF!</v>
      </c>
      <c r="U99" s="84" t="e">
        <f t="shared" si="17"/>
        <v>#REF!</v>
      </c>
      <c r="V99" s="85" t="e">
        <f>#REF!</f>
        <v>#REF!</v>
      </c>
      <c r="W99" s="86">
        <f t="shared" si="18"/>
        <v>0</v>
      </c>
      <c r="X99" s="86">
        <f t="shared" si="18"/>
        <v>0</v>
      </c>
      <c r="Y99" s="87">
        <f t="shared" si="19"/>
        <v>0</v>
      </c>
      <c r="Z99" s="87">
        <f t="shared" si="20"/>
        <v>0</v>
      </c>
      <c r="AA99" s="87">
        <f t="shared" si="21"/>
        <v>4</v>
      </c>
    </row>
    <row r="100" spans="9:27">
      <c r="I100" s="81" t="e">
        <f>IF(#REF!&lt;&gt;"",#REF!,"")</f>
        <v>#REF!</v>
      </c>
      <c r="J100" s="81" t="e">
        <f t="shared" si="22"/>
        <v>#REF!</v>
      </c>
      <c r="L100" s="82" t="e">
        <f t="shared" si="23"/>
        <v>#REF!</v>
      </c>
      <c r="M100" s="81" t="e">
        <f t="shared" si="26"/>
        <v>#REF!</v>
      </c>
      <c r="N100" s="81" t="e">
        <f t="shared" si="24"/>
        <v>#REF!</v>
      </c>
      <c r="O100" s="81" t="e">
        <f t="shared" si="25"/>
        <v>#REF!</v>
      </c>
      <c r="Q100" s="83" t="str">
        <f t="shared" si="27"/>
        <v/>
      </c>
      <c r="R100" s="84" t="e">
        <f t="shared" si="15"/>
        <v>#REF!</v>
      </c>
      <c r="S100" s="83" t="e">
        <f t="shared" si="15"/>
        <v>#REF!</v>
      </c>
      <c r="T100" s="84" t="e">
        <f t="shared" si="16"/>
        <v>#REF!</v>
      </c>
      <c r="U100" s="84" t="e">
        <f t="shared" si="17"/>
        <v>#REF!</v>
      </c>
      <c r="V100" s="85" t="e">
        <f>#REF!</f>
        <v>#REF!</v>
      </c>
      <c r="W100" s="86">
        <f t="shared" si="18"/>
        <v>0</v>
      </c>
      <c r="X100" s="86">
        <f t="shared" si="18"/>
        <v>0</v>
      </c>
      <c r="Y100" s="87">
        <f t="shared" si="19"/>
        <v>0</v>
      </c>
      <c r="Z100" s="87">
        <f t="shared" si="20"/>
        <v>0</v>
      </c>
      <c r="AA100" s="87">
        <f t="shared" si="21"/>
        <v>4</v>
      </c>
    </row>
    <row r="101" spans="9:27">
      <c r="I101" s="81" t="e">
        <f>IF(#REF!&lt;&gt;"",#REF!,"")</f>
        <v>#REF!</v>
      </c>
      <c r="J101" s="81" t="e">
        <f t="shared" si="22"/>
        <v>#REF!</v>
      </c>
      <c r="L101" s="82" t="e">
        <f t="shared" si="23"/>
        <v>#REF!</v>
      </c>
      <c r="M101" s="81" t="e">
        <f t="shared" si="26"/>
        <v>#REF!</v>
      </c>
      <c r="N101" s="81" t="e">
        <f t="shared" si="24"/>
        <v>#REF!</v>
      </c>
      <c r="O101" s="81" t="e">
        <f t="shared" si="25"/>
        <v>#REF!</v>
      </c>
      <c r="Q101" s="83" t="str">
        <f t="shared" si="27"/>
        <v/>
      </c>
      <c r="R101" s="84" t="e">
        <f t="shared" si="15"/>
        <v>#REF!</v>
      </c>
      <c r="S101" s="83" t="e">
        <f t="shared" si="15"/>
        <v>#REF!</v>
      </c>
      <c r="T101" s="84" t="e">
        <f t="shared" si="16"/>
        <v>#REF!</v>
      </c>
      <c r="U101" s="84" t="e">
        <f t="shared" si="17"/>
        <v>#REF!</v>
      </c>
      <c r="V101" s="85" t="e">
        <f>#REF!</f>
        <v>#REF!</v>
      </c>
      <c r="W101" s="86">
        <f t="shared" si="18"/>
        <v>0</v>
      </c>
      <c r="X101" s="86">
        <f t="shared" si="18"/>
        <v>0</v>
      </c>
      <c r="Y101" s="87">
        <f t="shared" si="19"/>
        <v>0</v>
      </c>
      <c r="Z101" s="87">
        <f t="shared" si="20"/>
        <v>0</v>
      </c>
      <c r="AA101" s="87">
        <f t="shared" si="21"/>
        <v>4</v>
      </c>
    </row>
    <row r="102" spans="9:27">
      <c r="I102" s="81" t="e">
        <f>IF(#REF!&lt;&gt;"",#REF!,"")</f>
        <v>#REF!</v>
      </c>
      <c r="J102" s="81" t="e">
        <f t="shared" si="22"/>
        <v>#REF!</v>
      </c>
      <c r="L102" s="82" t="e">
        <f t="shared" si="23"/>
        <v>#REF!</v>
      </c>
      <c r="M102" s="81" t="e">
        <f t="shared" si="26"/>
        <v>#REF!</v>
      </c>
      <c r="N102" s="81" t="e">
        <f t="shared" si="24"/>
        <v>#REF!</v>
      </c>
      <c r="O102" s="81" t="e">
        <f t="shared" si="25"/>
        <v>#REF!</v>
      </c>
      <c r="Q102" s="83" t="str">
        <f t="shared" si="27"/>
        <v/>
      </c>
      <c r="R102" s="84" t="e">
        <f t="shared" si="15"/>
        <v>#REF!</v>
      </c>
      <c r="S102" s="83" t="e">
        <f t="shared" si="15"/>
        <v>#REF!</v>
      </c>
      <c r="T102" s="84" t="e">
        <f t="shared" si="16"/>
        <v>#REF!</v>
      </c>
      <c r="U102" s="84" t="e">
        <f t="shared" si="17"/>
        <v>#REF!</v>
      </c>
      <c r="V102" s="85" t="e">
        <f>#REF!</f>
        <v>#REF!</v>
      </c>
      <c r="W102" s="86">
        <f t="shared" si="18"/>
        <v>0</v>
      </c>
      <c r="X102" s="86">
        <f t="shared" si="18"/>
        <v>0</v>
      </c>
      <c r="Y102" s="87">
        <f t="shared" si="19"/>
        <v>0</v>
      </c>
      <c r="Z102" s="87">
        <f t="shared" si="20"/>
        <v>0</v>
      </c>
      <c r="AA102" s="87">
        <f t="shared" si="21"/>
        <v>4</v>
      </c>
    </row>
    <row r="103" spans="9:27">
      <c r="I103" s="81" t="e">
        <f>IF(#REF!&lt;&gt;"",#REF!,"")</f>
        <v>#REF!</v>
      </c>
      <c r="J103" s="81" t="e">
        <f t="shared" si="22"/>
        <v>#REF!</v>
      </c>
      <c r="L103" s="82" t="e">
        <f t="shared" si="23"/>
        <v>#REF!</v>
      </c>
      <c r="M103" s="81" t="e">
        <f t="shared" si="26"/>
        <v>#REF!</v>
      </c>
      <c r="N103" s="81" t="e">
        <f t="shared" si="24"/>
        <v>#REF!</v>
      </c>
      <c r="O103" s="81" t="e">
        <f t="shared" si="25"/>
        <v>#REF!</v>
      </c>
      <c r="Q103" s="83" t="str">
        <f t="shared" si="27"/>
        <v/>
      </c>
      <c r="R103" s="84" t="e">
        <f t="shared" si="15"/>
        <v>#REF!</v>
      </c>
      <c r="S103" s="83" t="e">
        <f t="shared" si="15"/>
        <v>#REF!</v>
      </c>
      <c r="T103" s="84" t="e">
        <f t="shared" si="16"/>
        <v>#REF!</v>
      </c>
      <c r="U103" s="84" t="e">
        <f t="shared" si="17"/>
        <v>#REF!</v>
      </c>
      <c r="V103" s="85" t="e">
        <f>#REF!</f>
        <v>#REF!</v>
      </c>
      <c r="W103" s="86">
        <f t="shared" si="18"/>
        <v>0</v>
      </c>
      <c r="X103" s="86">
        <f t="shared" si="18"/>
        <v>0</v>
      </c>
      <c r="Y103" s="87">
        <f t="shared" si="19"/>
        <v>0</v>
      </c>
      <c r="Z103" s="87">
        <f t="shared" si="20"/>
        <v>0</v>
      </c>
      <c r="AA103" s="87">
        <f t="shared" si="21"/>
        <v>4</v>
      </c>
    </row>
    <row r="104" spans="9:27">
      <c r="I104" s="81" t="e">
        <f>IF(#REF!&lt;&gt;"",#REF!,"")</f>
        <v>#REF!</v>
      </c>
      <c r="J104" s="81" t="e">
        <f t="shared" si="22"/>
        <v>#REF!</v>
      </c>
      <c r="L104" s="82" t="e">
        <f t="shared" si="23"/>
        <v>#REF!</v>
      </c>
      <c r="M104" s="81" t="e">
        <f t="shared" si="26"/>
        <v>#REF!</v>
      </c>
      <c r="N104" s="81" t="e">
        <f t="shared" si="24"/>
        <v>#REF!</v>
      </c>
      <c r="O104" s="81" t="e">
        <f t="shared" si="25"/>
        <v>#REF!</v>
      </c>
      <c r="Q104" s="83" t="str">
        <f t="shared" si="27"/>
        <v/>
      </c>
      <c r="R104" s="84" t="e">
        <f t="shared" si="15"/>
        <v>#REF!</v>
      </c>
      <c r="S104" s="83" t="e">
        <f t="shared" si="15"/>
        <v>#REF!</v>
      </c>
      <c r="T104" s="84" t="e">
        <f t="shared" si="16"/>
        <v>#REF!</v>
      </c>
      <c r="U104" s="84" t="e">
        <f t="shared" si="17"/>
        <v>#REF!</v>
      </c>
      <c r="V104" s="85" t="e">
        <f>#REF!</f>
        <v>#REF!</v>
      </c>
      <c r="W104" s="86">
        <f t="shared" si="18"/>
        <v>0</v>
      </c>
      <c r="X104" s="86">
        <f t="shared" si="18"/>
        <v>0</v>
      </c>
      <c r="Y104" s="87">
        <f t="shared" si="19"/>
        <v>0</v>
      </c>
      <c r="Z104" s="87">
        <f t="shared" si="20"/>
        <v>0</v>
      </c>
      <c r="AA104" s="87">
        <f t="shared" si="21"/>
        <v>4</v>
      </c>
    </row>
    <row r="105" spans="9:27">
      <c r="I105" s="81" t="e">
        <f>IF(#REF!&lt;&gt;"",#REF!,"")</f>
        <v>#REF!</v>
      </c>
      <c r="J105" s="81" t="e">
        <f t="shared" si="22"/>
        <v>#REF!</v>
      </c>
      <c r="L105" s="82" t="e">
        <f t="shared" si="23"/>
        <v>#REF!</v>
      </c>
      <c r="M105" s="81" t="e">
        <f t="shared" si="26"/>
        <v>#REF!</v>
      </c>
      <c r="N105" s="81" t="e">
        <f t="shared" si="24"/>
        <v>#REF!</v>
      </c>
      <c r="O105" s="81" t="e">
        <f t="shared" si="25"/>
        <v>#REF!</v>
      </c>
      <c r="Q105" s="83" t="str">
        <f t="shared" si="27"/>
        <v/>
      </c>
      <c r="R105" s="84" t="e">
        <f t="shared" si="15"/>
        <v>#REF!</v>
      </c>
      <c r="S105" s="83" t="e">
        <f t="shared" si="15"/>
        <v>#REF!</v>
      </c>
      <c r="T105" s="84" t="e">
        <f t="shared" si="16"/>
        <v>#REF!</v>
      </c>
      <c r="U105" s="84" t="e">
        <f t="shared" si="17"/>
        <v>#REF!</v>
      </c>
      <c r="V105" s="85" t="e">
        <f>#REF!</f>
        <v>#REF!</v>
      </c>
      <c r="W105" s="86">
        <f t="shared" si="18"/>
        <v>0</v>
      </c>
      <c r="X105" s="86">
        <f t="shared" si="18"/>
        <v>0</v>
      </c>
      <c r="Y105" s="87">
        <f t="shared" si="19"/>
        <v>0</v>
      </c>
      <c r="Z105" s="87">
        <f t="shared" si="20"/>
        <v>0</v>
      </c>
      <c r="AA105" s="87">
        <f t="shared" si="21"/>
        <v>4</v>
      </c>
    </row>
    <row r="106" spans="9:27">
      <c r="I106" s="81" t="e">
        <f>IF(#REF!&lt;&gt;"",#REF!,"")</f>
        <v>#REF!</v>
      </c>
      <c r="J106" s="81" t="e">
        <f t="shared" si="22"/>
        <v>#REF!</v>
      </c>
      <c r="L106" s="82" t="e">
        <f t="shared" si="23"/>
        <v>#REF!</v>
      </c>
      <c r="M106" s="81" t="e">
        <f t="shared" si="26"/>
        <v>#REF!</v>
      </c>
      <c r="N106" s="81" t="e">
        <f t="shared" si="24"/>
        <v>#REF!</v>
      </c>
      <c r="O106" s="81" t="e">
        <f t="shared" si="25"/>
        <v>#REF!</v>
      </c>
      <c r="Q106" s="83" t="str">
        <f t="shared" si="27"/>
        <v/>
      </c>
      <c r="R106" s="84" t="e">
        <f t="shared" si="15"/>
        <v>#REF!</v>
      </c>
      <c r="S106" s="83" t="e">
        <f t="shared" si="15"/>
        <v>#REF!</v>
      </c>
      <c r="T106" s="84" t="e">
        <f t="shared" si="16"/>
        <v>#REF!</v>
      </c>
      <c r="U106" s="84" t="e">
        <f t="shared" si="17"/>
        <v>#REF!</v>
      </c>
      <c r="V106" s="85" t="e">
        <f>#REF!</f>
        <v>#REF!</v>
      </c>
      <c r="W106" s="86">
        <f t="shared" si="18"/>
        <v>0</v>
      </c>
      <c r="X106" s="86">
        <f t="shared" si="18"/>
        <v>0</v>
      </c>
      <c r="Y106" s="87">
        <f t="shared" si="19"/>
        <v>0</v>
      </c>
      <c r="Z106" s="87">
        <f t="shared" si="20"/>
        <v>0</v>
      </c>
      <c r="AA106" s="87">
        <f t="shared" si="21"/>
        <v>4</v>
      </c>
    </row>
    <row r="107" spans="9:27">
      <c r="I107" s="81" t="e">
        <f>IF(#REF!&lt;&gt;"",#REF!,"")</f>
        <v>#REF!</v>
      </c>
      <c r="J107" s="81" t="e">
        <f t="shared" si="22"/>
        <v>#REF!</v>
      </c>
      <c r="L107" s="82" t="e">
        <f t="shared" si="23"/>
        <v>#REF!</v>
      </c>
      <c r="M107" s="81" t="e">
        <f t="shared" si="26"/>
        <v>#REF!</v>
      </c>
      <c r="N107" s="81" t="e">
        <f t="shared" si="24"/>
        <v>#REF!</v>
      </c>
      <c r="O107" s="81" t="e">
        <f t="shared" si="25"/>
        <v>#REF!</v>
      </c>
      <c r="Q107" s="83" t="str">
        <f t="shared" si="27"/>
        <v/>
      </c>
      <c r="R107" s="84" t="e">
        <f t="shared" si="15"/>
        <v>#REF!</v>
      </c>
      <c r="S107" s="83" t="e">
        <f t="shared" si="15"/>
        <v>#REF!</v>
      </c>
      <c r="T107" s="84" t="e">
        <f t="shared" si="16"/>
        <v>#REF!</v>
      </c>
      <c r="U107" s="84" t="e">
        <f t="shared" si="17"/>
        <v>#REF!</v>
      </c>
      <c r="V107" s="85" t="e">
        <f>#REF!</f>
        <v>#REF!</v>
      </c>
      <c r="W107" s="86">
        <f t="shared" si="18"/>
        <v>0</v>
      </c>
      <c r="X107" s="86">
        <f t="shared" si="18"/>
        <v>0</v>
      </c>
      <c r="Y107" s="87">
        <f t="shared" si="19"/>
        <v>0</v>
      </c>
      <c r="Z107" s="87">
        <f t="shared" si="20"/>
        <v>0</v>
      </c>
      <c r="AA107" s="87">
        <f t="shared" si="21"/>
        <v>4</v>
      </c>
    </row>
    <row r="108" spans="9:27">
      <c r="I108" s="81" t="e">
        <f>IF(#REF!&lt;&gt;"",#REF!,"")</f>
        <v>#REF!</v>
      </c>
      <c r="J108" s="81" t="e">
        <f t="shared" si="22"/>
        <v>#REF!</v>
      </c>
      <c r="L108" s="82" t="e">
        <f t="shared" si="23"/>
        <v>#REF!</v>
      </c>
      <c r="M108" s="81" t="e">
        <f t="shared" si="26"/>
        <v>#REF!</v>
      </c>
      <c r="N108" s="81" t="e">
        <f t="shared" si="24"/>
        <v>#REF!</v>
      </c>
      <c r="O108" s="81" t="e">
        <f t="shared" si="25"/>
        <v>#REF!</v>
      </c>
      <c r="Q108" s="83" t="str">
        <f t="shared" si="27"/>
        <v/>
      </c>
      <c r="R108" s="84" t="e">
        <f t="shared" si="15"/>
        <v>#REF!</v>
      </c>
      <c r="S108" s="83" t="e">
        <f t="shared" si="15"/>
        <v>#REF!</v>
      </c>
      <c r="T108" s="84" t="e">
        <f t="shared" si="16"/>
        <v>#REF!</v>
      </c>
      <c r="U108" s="84" t="e">
        <f t="shared" si="17"/>
        <v>#REF!</v>
      </c>
      <c r="V108" s="85" t="e">
        <f>#REF!</f>
        <v>#REF!</v>
      </c>
      <c r="W108" s="86">
        <f t="shared" si="18"/>
        <v>0</v>
      </c>
      <c r="X108" s="86">
        <f t="shared" si="18"/>
        <v>0</v>
      </c>
      <c r="Y108" s="87">
        <f t="shared" si="19"/>
        <v>0</v>
      </c>
      <c r="Z108" s="87">
        <f t="shared" si="20"/>
        <v>0</v>
      </c>
      <c r="AA108" s="87">
        <f t="shared" si="21"/>
        <v>4</v>
      </c>
    </row>
    <row r="109" spans="9:27">
      <c r="I109" s="81" t="e">
        <f>IF(#REF!&lt;&gt;"",#REF!,"")</f>
        <v>#REF!</v>
      </c>
      <c r="J109" s="81" t="e">
        <f t="shared" si="22"/>
        <v>#REF!</v>
      </c>
      <c r="L109" s="82" t="e">
        <f t="shared" si="23"/>
        <v>#REF!</v>
      </c>
      <c r="M109" s="81" t="e">
        <f t="shared" si="26"/>
        <v>#REF!</v>
      </c>
      <c r="N109" s="81" t="e">
        <f t="shared" si="24"/>
        <v>#REF!</v>
      </c>
      <c r="O109" s="81" t="e">
        <f t="shared" si="25"/>
        <v>#REF!</v>
      </c>
      <c r="Q109" s="83" t="str">
        <f t="shared" si="27"/>
        <v/>
      </c>
      <c r="R109" s="84" t="e">
        <f t="shared" si="15"/>
        <v>#REF!</v>
      </c>
      <c r="S109" s="83" t="e">
        <f t="shared" si="15"/>
        <v>#REF!</v>
      </c>
      <c r="T109" s="84" t="e">
        <f t="shared" si="16"/>
        <v>#REF!</v>
      </c>
      <c r="U109" s="84" t="e">
        <f t="shared" si="17"/>
        <v>#REF!</v>
      </c>
      <c r="V109" s="85" t="e">
        <f>#REF!</f>
        <v>#REF!</v>
      </c>
      <c r="W109" s="86">
        <f t="shared" si="18"/>
        <v>0</v>
      </c>
      <c r="X109" s="86">
        <f t="shared" si="18"/>
        <v>0</v>
      </c>
      <c r="Y109" s="87">
        <f t="shared" si="19"/>
        <v>0</v>
      </c>
      <c r="Z109" s="87">
        <f t="shared" si="20"/>
        <v>0</v>
      </c>
      <c r="AA109" s="87">
        <f t="shared" si="21"/>
        <v>4</v>
      </c>
    </row>
    <row r="110" spans="9:27">
      <c r="I110" s="81" t="e">
        <f>IF(#REF!&lt;&gt;"",#REF!,"")</f>
        <v>#REF!</v>
      </c>
      <c r="J110" s="81" t="e">
        <f t="shared" si="22"/>
        <v>#REF!</v>
      </c>
      <c r="L110" s="82" t="e">
        <f t="shared" si="23"/>
        <v>#REF!</v>
      </c>
      <c r="M110" s="81" t="e">
        <f t="shared" si="26"/>
        <v>#REF!</v>
      </c>
      <c r="N110" s="81" t="e">
        <f t="shared" si="24"/>
        <v>#REF!</v>
      </c>
      <c r="O110" s="81" t="e">
        <f t="shared" si="25"/>
        <v>#REF!</v>
      </c>
      <c r="Q110" s="83" t="str">
        <f t="shared" si="27"/>
        <v/>
      </c>
      <c r="R110" s="84" t="e">
        <f t="shared" si="15"/>
        <v>#REF!</v>
      </c>
      <c r="S110" s="83" t="e">
        <f t="shared" si="15"/>
        <v>#REF!</v>
      </c>
      <c r="T110" s="84" t="e">
        <f t="shared" si="16"/>
        <v>#REF!</v>
      </c>
      <c r="U110" s="84" t="e">
        <f t="shared" si="17"/>
        <v>#REF!</v>
      </c>
      <c r="V110" s="85" t="e">
        <f>#REF!</f>
        <v>#REF!</v>
      </c>
      <c r="W110" s="86">
        <f t="shared" si="18"/>
        <v>0</v>
      </c>
      <c r="X110" s="86">
        <f t="shared" si="18"/>
        <v>0</v>
      </c>
      <c r="Y110" s="87">
        <f t="shared" si="19"/>
        <v>0</v>
      </c>
      <c r="Z110" s="87">
        <f t="shared" si="20"/>
        <v>0</v>
      </c>
      <c r="AA110" s="87">
        <f t="shared" si="21"/>
        <v>4</v>
      </c>
    </row>
    <row r="111" spans="9:27">
      <c r="I111" s="81" t="e">
        <f>IF(#REF!&lt;&gt;"",#REF!,"")</f>
        <v>#REF!</v>
      </c>
      <c r="J111" s="81" t="e">
        <f t="shared" si="22"/>
        <v>#REF!</v>
      </c>
      <c r="L111" s="82" t="e">
        <f t="shared" si="23"/>
        <v>#REF!</v>
      </c>
      <c r="M111" s="81" t="e">
        <f t="shared" si="26"/>
        <v>#REF!</v>
      </c>
      <c r="N111" s="81" t="e">
        <f t="shared" si="24"/>
        <v>#REF!</v>
      </c>
      <c r="O111" s="81" t="e">
        <f t="shared" si="25"/>
        <v>#REF!</v>
      </c>
      <c r="Q111" s="83" t="str">
        <f t="shared" si="27"/>
        <v/>
      </c>
      <c r="R111" s="84" t="e">
        <f t="shared" si="15"/>
        <v>#REF!</v>
      </c>
      <c r="S111" s="83" t="e">
        <f t="shared" si="15"/>
        <v>#REF!</v>
      </c>
      <c r="T111" s="84" t="e">
        <f t="shared" si="16"/>
        <v>#REF!</v>
      </c>
      <c r="U111" s="84" t="e">
        <f t="shared" si="17"/>
        <v>#REF!</v>
      </c>
      <c r="V111" s="85" t="e">
        <f>#REF!</f>
        <v>#REF!</v>
      </c>
      <c r="W111" s="86">
        <f t="shared" si="18"/>
        <v>0</v>
      </c>
      <c r="X111" s="86">
        <f t="shared" si="18"/>
        <v>0</v>
      </c>
      <c r="Y111" s="87">
        <f t="shared" si="19"/>
        <v>0</v>
      </c>
      <c r="Z111" s="87">
        <f t="shared" si="20"/>
        <v>0</v>
      </c>
      <c r="AA111" s="87">
        <f t="shared" si="21"/>
        <v>4</v>
      </c>
    </row>
    <row r="112" spans="9:27">
      <c r="I112" s="81" t="e">
        <f>IF(#REF!&lt;&gt;"",#REF!,"")</f>
        <v>#REF!</v>
      </c>
      <c r="J112" s="81" t="e">
        <f t="shared" si="22"/>
        <v>#REF!</v>
      </c>
      <c r="L112" s="82" t="e">
        <f t="shared" si="23"/>
        <v>#REF!</v>
      </c>
      <c r="M112" s="81" t="e">
        <f t="shared" si="26"/>
        <v>#REF!</v>
      </c>
      <c r="N112" s="81" t="e">
        <f t="shared" si="24"/>
        <v>#REF!</v>
      </c>
      <c r="O112" s="81" t="e">
        <f t="shared" si="25"/>
        <v>#REF!</v>
      </c>
      <c r="Q112" s="83" t="str">
        <f t="shared" si="27"/>
        <v/>
      </c>
      <c r="R112" s="84" t="e">
        <f t="shared" si="15"/>
        <v>#REF!</v>
      </c>
      <c r="S112" s="83" t="e">
        <f t="shared" si="15"/>
        <v>#REF!</v>
      </c>
      <c r="T112" s="84" t="e">
        <f t="shared" si="16"/>
        <v>#REF!</v>
      </c>
      <c r="U112" s="84" t="e">
        <f t="shared" si="17"/>
        <v>#REF!</v>
      </c>
      <c r="V112" s="85" t="e">
        <f>#REF!</f>
        <v>#REF!</v>
      </c>
      <c r="W112" s="86">
        <f t="shared" si="18"/>
        <v>0</v>
      </c>
      <c r="X112" s="86">
        <f t="shared" si="18"/>
        <v>0</v>
      </c>
      <c r="Y112" s="87">
        <f t="shared" si="19"/>
        <v>0</v>
      </c>
      <c r="Z112" s="87">
        <f t="shared" si="20"/>
        <v>0</v>
      </c>
      <c r="AA112" s="87">
        <f t="shared" si="21"/>
        <v>4</v>
      </c>
    </row>
    <row r="113" spans="9:27">
      <c r="I113" s="81" t="e">
        <f>IF(#REF!&lt;&gt;"",#REF!,"")</f>
        <v>#REF!</v>
      </c>
      <c r="J113" s="81" t="e">
        <f t="shared" si="22"/>
        <v>#REF!</v>
      </c>
      <c r="L113" s="82" t="e">
        <f t="shared" si="23"/>
        <v>#REF!</v>
      </c>
      <c r="M113" s="81" t="e">
        <f t="shared" si="26"/>
        <v>#REF!</v>
      </c>
      <c r="N113" s="81" t="e">
        <f t="shared" si="24"/>
        <v>#REF!</v>
      </c>
      <c r="O113" s="81" t="e">
        <f t="shared" si="25"/>
        <v>#REF!</v>
      </c>
      <c r="Q113" s="83" t="str">
        <f t="shared" si="27"/>
        <v/>
      </c>
      <c r="R113" s="84" t="e">
        <f t="shared" si="15"/>
        <v>#REF!</v>
      </c>
      <c r="S113" s="83" t="e">
        <f t="shared" si="15"/>
        <v>#REF!</v>
      </c>
      <c r="T113" s="84" t="e">
        <f t="shared" si="16"/>
        <v>#REF!</v>
      </c>
      <c r="U113" s="84" t="e">
        <f t="shared" si="17"/>
        <v>#REF!</v>
      </c>
      <c r="V113" s="85" t="e">
        <f>#REF!</f>
        <v>#REF!</v>
      </c>
      <c r="W113" s="86">
        <f t="shared" si="18"/>
        <v>0</v>
      </c>
      <c r="X113" s="86">
        <f t="shared" si="18"/>
        <v>0</v>
      </c>
      <c r="Y113" s="87">
        <f t="shared" si="19"/>
        <v>0</v>
      </c>
      <c r="Z113" s="87">
        <f t="shared" si="20"/>
        <v>0</v>
      </c>
      <c r="AA113" s="87">
        <f t="shared" si="21"/>
        <v>4</v>
      </c>
    </row>
    <row r="114" spans="9:27">
      <c r="I114" s="81" t="e">
        <f>IF(#REF!&lt;&gt;"",#REF!,"")</f>
        <v>#REF!</v>
      </c>
      <c r="J114" s="81" t="e">
        <f t="shared" si="22"/>
        <v>#REF!</v>
      </c>
      <c r="L114" s="82" t="e">
        <f t="shared" si="23"/>
        <v>#REF!</v>
      </c>
      <c r="M114" s="81" t="e">
        <f t="shared" si="26"/>
        <v>#REF!</v>
      </c>
      <c r="N114" s="81" t="e">
        <f t="shared" si="24"/>
        <v>#REF!</v>
      </c>
      <c r="O114" s="81" t="e">
        <f t="shared" si="25"/>
        <v>#REF!</v>
      </c>
      <c r="Q114" s="83" t="str">
        <f t="shared" si="27"/>
        <v/>
      </c>
      <c r="R114" s="84" t="e">
        <f t="shared" si="15"/>
        <v>#REF!</v>
      </c>
      <c r="S114" s="83" t="e">
        <f t="shared" si="15"/>
        <v>#REF!</v>
      </c>
      <c r="T114" s="84" t="e">
        <f t="shared" si="16"/>
        <v>#REF!</v>
      </c>
      <c r="U114" s="84" t="e">
        <f t="shared" si="17"/>
        <v>#REF!</v>
      </c>
      <c r="V114" s="85" t="e">
        <f>#REF!</f>
        <v>#REF!</v>
      </c>
      <c r="W114" s="86">
        <f t="shared" si="18"/>
        <v>0</v>
      </c>
      <c r="X114" s="86">
        <f t="shared" si="18"/>
        <v>0</v>
      </c>
      <c r="Y114" s="87">
        <f t="shared" si="19"/>
        <v>0</v>
      </c>
      <c r="Z114" s="87">
        <f t="shared" si="20"/>
        <v>0</v>
      </c>
      <c r="AA114" s="87">
        <f t="shared" si="21"/>
        <v>4</v>
      </c>
    </row>
    <row r="115" spans="9:27">
      <c r="I115" s="81" t="e">
        <f>IF(#REF!&lt;&gt;"",#REF!,"")</f>
        <v>#REF!</v>
      </c>
      <c r="J115" s="81" t="e">
        <f t="shared" si="22"/>
        <v>#REF!</v>
      </c>
      <c r="L115" s="82" t="e">
        <f t="shared" si="23"/>
        <v>#REF!</v>
      </c>
      <c r="M115" s="81" t="e">
        <f t="shared" si="26"/>
        <v>#REF!</v>
      </c>
      <c r="N115" s="81" t="e">
        <f t="shared" si="24"/>
        <v>#REF!</v>
      </c>
      <c r="O115" s="81" t="e">
        <f t="shared" si="25"/>
        <v>#REF!</v>
      </c>
      <c r="Q115" s="83" t="str">
        <f t="shared" si="27"/>
        <v/>
      </c>
      <c r="R115" s="84" t="e">
        <f t="shared" si="15"/>
        <v>#REF!</v>
      </c>
      <c r="S115" s="83" t="e">
        <f t="shared" si="15"/>
        <v>#REF!</v>
      </c>
      <c r="T115" s="84" t="e">
        <f t="shared" si="16"/>
        <v>#REF!</v>
      </c>
      <c r="U115" s="84" t="e">
        <f t="shared" si="17"/>
        <v>#REF!</v>
      </c>
      <c r="V115" s="85" t="e">
        <f>#REF!</f>
        <v>#REF!</v>
      </c>
      <c r="W115" s="86">
        <f t="shared" si="18"/>
        <v>0</v>
      </c>
      <c r="X115" s="86">
        <f t="shared" si="18"/>
        <v>0</v>
      </c>
      <c r="Y115" s="87">
        <f t="shared" si="19"/>
        <v>0</v>
      </c>
      <c r="Z115" s="87">
        <f t="shared" si="20"/>
        <v>0</v>
      </c>
      <c r="AA115" s="87">
        <f t="shared" si="21"/>
        <v>4</v>
      </c>
    </row>
    <row r="116" spans="9:27">
      <c r="I116" s="81" t="e">
        <f>IF(#REF!&lt;&gt;"",#REF!,"")</f>
        <v>#REF!</v>
      </c>
      <c r="J116" s="81" t="e">
        <f t="shared" si="22"/>
        <v>#REF!</v>
      </c>
      <c r="L116" s="82" t="e">
        <f t="shared" si="23"/>
        <v>#REF!</v>
      </c>
      <c r="M116" s="81" t="e">
        <f t="shared" si="26"/>
        <v>#REF!</v>
      </c>
      <c r="N116" s="81" t="e">
        <f t="shared" si="24"/>
        <v>#REF!</v>
      </c>
      <c r="O116" s="81" t="e">
        <f t="shared" si="25"/>
        <v>#REF!</v>
      </c>
      <c r="Q116" s="83" t="str">
        <f t="shared" si="27"/>
        <v/>
      </c>
      <c r="R116" s="84" t="e">
        <f t="shared" si="15"/>
        <v>#REF!</v>
      </c>
      <c r="S116" s="83" t="e">
        <f t="shared" si="15"/>
        <v>#REF!</v>
      </c>
      <c r="T116" s="84" t="e">
        <f t="shared" si="16"/>
        <v>#REF!</v>
      </c>
      <c r="U116" s="84" t="e">
        <f t="shared" si="17"/>
        <v>#REF!</v>
      </c>
      <c r="V116" s="85" t="e">
        <f>#REF!</f>
        <v>#REF!</v>
      </c>
      <c r="W116" s="86">
        <f t="shared" si="18"/>
        <v>0</v>
      </c>
      <c r="X116" s="86">
        <f t="shared" si="18"/>
        <v>0</v>
      </c>
      <c r="Y116" s="87">
        <f t="shared" si="19"/>
        <v>0</v>
      </c>
      <c r="Z116" s="87">
        <f t="shared" si="20"/>
        <v>0</v>
      </c>
      <c r="AA116" s="87">
        <f t="shared" si="21"/>
        <v>4</v>
      </c>
    </row>
    <row r="117" spans="9:27">
      <c r="I117" s="81" t="e">
        <f>IF(#REF!&lt;&gt;"",#REF!,"")</f>
        <v>#REF!</v>
      </c>
      <c r="J117" s="81" t="e">
        <f t="shared" si="22"/>
        <v>#REF!</v>
      </c>
      <c r="L117" s="82" t="e">
        <f t="shared" si="23"/>
        <v>#REF!</v>
      </c>
      <c r="M117" s="81" t="e">
        <f t="shared" si="26"/>
        <v>#REF!</v>
      </c>
      <c r="N117" s="81" t="e">
        <f t="shared" si="24"/>
        <v>#REF!</v>
      </c>
      <c r="O117" s="81" t="e">
        <f t="shared" si="25"/>
        <v>#REF!</v>
      </c>
      <c r="Q117" s="83" t="str">
        <f t="shared" si="27"/>
        <v/>
      </c>
      <c r="R117" s="84" t="e">
        <f t="shared" si="15"/>
        <v>#REF!</v>
      </c>
      <c r="S117" s="83" t="e">
        <f t="shared" si="15"/>
        <v>#REF!</v>
      </c>
      <c r="T117" s="84" t="e">
        <f t="shared" si="16"/>
        <v>#REF!</v>
      </c>
      <c r="U117" s="84" t="e">
        <f t="shared" si="17"/>
        <v>#REF!</v>
      </c>
      <c r="V117" s="85" t="e">
        <f>#REF!</f>
        <v>#REF!</v>
      </c>
      <c r="W117" s="86">
        <f t="shared" si="18"/>
        <v>0</v>
      </c>
      <c r="X117" s="86">
        <f t="shared" si="18"/>
        <v>0</v>
      </c>
      <c r="Y117" s="87">
        <f t="shared" si="19"/>
        <v>0</v>
      </c>
      <c r="Z117" s="87">
        <f t="shared" si="20"/>
        <v>0</v>
      </c>
      <c r="AA117" s="87">
        <f t="shared" si="21"/>
        <v>4</v>
      </c>
    </row>
    <row r="118" spans="9:27">
      <c r="I118" s="81" t="e">
        <f>IF(#REF!&lt;&gt;"",#REF!,"")</f>
        <v>#REF!</v>
      </c>
      <c r="J118" s="81" t="e">
        <f t="shared" si="22"/>
        <v>#REF!</v>
      </c>
      <c r="L118" s="82" t="e">
        <f t="shared" si="23"/>
        <v>#REF!</v>
      </c>
      <c r="M118" s="81" t="e">
        <f t="shared" si="26"/>
        <v>#REF!</v>
      </c>
      <c r="N118" s="81" t="e">
        <f t="shared" si="24"/>
        <v>#REF!</v>
      </c>
      <c r="O118" s="81" t="e">
        <f t="shared" si="25"/>
        <v>#REF!</v>
      </c>
      <c r="Q118" s="83" t="str">
        <f t="shared" si="27"/>
        <v/>
      </c>
      <c r="R118" s="84" t="e">
        <f t="shared" si="15"/>
        <v>#REF!</v>
      </c>
      <c r="S118" s="83" t="e">
        <f t="shared" si="15"/>
        <v>#REF!</v>
      </c>
      <c r="T118" s="84" t="e">
        <f t="shared" si="16"/>
        <v>#REF!</v>
      </c>
      <c r="U118" s="84" t="e">
        <f t="shared" si="17"/>
        <v>#REF!</v>
      </c>
      <c r="V118" s="85" t="e">
        <f>#REF!</f>
        <v>#REF!</v>
      </c>
      <c r="W118" s="86">
        <f t="shared" si="18"/>
        <v>0</v>
      </c>
      <c r="X118" s="86">
        <f t="shared" si="18"/>
        <v>0</v>
      </c>
      <c r="Y118" s="87">
        <f t="shared" si="19"/>
        <v>0</v>
      </c>
      <c r="Z118" s="87">
        <f t="shared" si="20"/>
        <v>0</v>
      </c>
      <c r="AA118" s="87">
        <f t="shared" si="21"/>
        <v>4</v>
      </c>
    </row>
    <row r="119" spans="9:27">
      <c r="I119" s="81" t="e">
        <f>IF(#REF!&lt;&gt;"",#REF!,"")</f>
        <v>#REF!</v>
      </c>
      <c r="J119" s="81" t="e">
        <f t="shared" si="22"/>
        <v>#REF!</v>
      </c>
      <c r="L119" s="82" t="e">
        <f t="shared" si="23"/>
        <v>#REF!</v>
      </c>
      <c r="M119" s="81" t="e">
        <f t="shared" si="26"/>
        <v>#REF!</v>
      </c>
      <c r="N119" s="81" t="e">
        <f t="shared" si="24"/>
        <v>#REF!</v>
      </c>
      <c r="O119" s="81" t="e">
        <f t="shared" si="25"/>
        <v>#REF!</v>
      </c>
      <c r="Q119" s="83" t="str">
        <f t="shared" si="27"/>
        <v/>
      </c>
      <c r="R119" s="84" t="e">
        <f t="shared" si="15"/>
        <v>#REF!</v>
      </c>
      <c r="S119" s="83" t="e">
        <f t="shared" si="15"/>
        <v>#REF!</v>
      </c>
      <c r="T119" s="84" t="e">
        <f t="shared" si="16"/>
        <v>#REF!</v>
      </c>
      <c r="U119" s="84" t="e">
        <f t="shared" si="17"/>
        <v>#REF!</v>
      </c>
      <c r="V119" s="85" t="e">
        <f>#REF!</f>
        <v>#REF!</v>
      </c>
      <c r="W119" s="86">
        <f t="shared" si="18"/>
        <v>0</v>
      </c>
      <c r="X119" s="86">
        <f t="shared" si="18"/>
        <v>0</v>
      </c>
      <c r="Y119" s="87">
        <f t="shared" si="19"/>
        <v>0</v>
      </c>
      <c r="Z119" s="87">
        <f t="shared" si="20"/>
        <v>0</v>
      </c>
      <c r="AA119" s="87">
        <f t="shared" si="21"/>
        <v>4</v>
      </c>
    </row>
    <row r="120" spans="9:27">
      <c r="I120" s="81" t="e">
        <f>IF(#REF!&lt;&gt;"",#REF!,"")</f>
        <v>#REF!</v>
      </c>
      <c r="J120" s="81" t="e">
        <f t="shared" si="22"/>
        <v>#REF!</v>
      </c>
      <c r="L120" s="82" t="e">
        <f t="shared" si="23"/>
        <v>#REF!</v>
      </c>
      <c r="M120" s="81" t="e">
        <f t="shared" si="26"/>
        <v>#REF!</v>
      </c>
      <c r="N120" s="81" t="e">
        <f t="shared" si="24"/>
        <v>#REF!</v>
      </c>
      <c r="O120" s="81" t="e">
        <f t="shared" si="25"/>
        <v>#REF!</v>
      </c>
      <c r="Q120" s="83" t="str">
        <f t="shared" si="27"/>
        <v/>
      </c>
      <c r="R120" s="84" t="e">
        <f t="shared" si="15"/>
        <v>#REF!</v>
      </c>
      <c r="S120" s="83" t="e">
        <f t="shared" si="15"/>
        <v>#REF!</v>
      </c>
      <c r="T120" s="84" t="e">
        <f t="shared" si="16"/>
        <v>#REF!</v>
      </c>
      <c r="U120" s="84" t="e">
        <f t="shared" si="17"/>
        <v>#REF!</v>
      </c>
      <c r="V120" s="85" t="e">
        <f>#REF!</f>
        <v>#REF!</v>
      </c>
      <c r="W120" s="86">
        <f t="shared" si="18"/>
        <v>0</v>
      </c>
      <c r="X120" s="86">
        <f t="shared" si="18"/>
        <v>0</v>
      </c>
      <c r="Y120" s="87">
        <f t="shared" si="19"/>
        <v>0</v>
      </c>
      <c r="Z120" s="87">
        <f t="shared" si="20"/>
        <v>0</v>
      </c>
      <c r="AA120" s="87">
        <f t="shared" si="21"/>
        <v>4</v>
      </c>
    </row>
    <row r="121" spans="9:27">
      <c r="I121" s="81" t="e">
        <f>IF(#REF!&lt;&gt;"",#REF!,"")</f>
        <v>#REF!</v>
      </c>
      <c r="J121" s="81" t="e">
        <f t="shared" si="22"/>
        <v>#REF!</v>
      </c>
      <c r="L121" s="82" t="e">
        <f t="shared" si="23"/>
        <v>#REF!</v>
      </c>
      <c r="M121" s="81" t="e">
        <f t="shared" si="26"/>
        <v>#REF!</v>
      </c>
      <c r="N121" s="81" t="e">
        <f t="shared" si="24"/>
        <v>#REF!</v>
      </c>
      <c r="O121" s="81" t="e">
        <f t="shared" si="25"/>
        <v>#REF!</v>
      </c>
      <c r="Q121" s="83" t="str">
        <f t="shared" si="27"/>
        <v/>
      </c>
      <c r="R121" s="84" t="e">
        <f t="shared" si="15"/>
        <v>#REF!</v>
      </c>
      <c r="S121" s="83" t="e">
        <f t="shared" si="15"/>
        <v>#REF!</v>
      </c>
      <c r="T121" s="84" t="e">
        <f t="shared" si="16"/>
        <v>#REF!</v>
      </c>
      <c r="U121" s="84" t="e">
        <f t="shared" si="17"/>
        <v>#REF!</v>
      </c>
      <c r="V121" s="85" t="e">
        <f>#REF!</f>
        <v>#REF!</v>
      </c>
      <c r="W121" s="86">
        <f t="shared" si="18"/>
        <v>0</v>
      </c>
      <c r="X121" s="86">
        <f t="shared" si="18"/>
        <v>0</v>
      </c>
      <c r="Y121" s="87">
        <f t="shared" si="19"/>
        <v>0</v>
      </c>
      <c r="Z121" s="87">
        <f t="shared" si="20"/>
        <v>0</v>
      </c>
      <c r="AA121" s="87">
        <f t="shared" si="21"/>
        <v>4</v>
      </c>
    </row>
    <row r="122" spans="9:27">
      <c r="I122" s="81" t="e">
        <f>IF(#REF!&lt;&gt;"",#REF!,"")</f>
        <v>#REF!</v>
      </c>
      <c r="J122" s="81" t="e">
        <f t="shared" si="22"/>
        <v>#REF!</v>
      </c>
      <c r="L122" s="82" t="e">
        <f t="shared" si="23"/>
        <v>#REF!</v>
      </c>
      <c r="M122" s="81" t="e">
        <f t="shared" si="26"/>
        <v>#REF!</v>
      </c>
      <c r="N122" s="81" t="e">
        <f t="shared" si="24"/>
        <v>#REF!</v>
      </c>
      <c r="O122" s="81" t="e">
        <f t="shared" si="25"/>
        <v>#REF!</v>
      </c>
      <c r="Q122" s="83" t="str">
        <f t="shared" si="27"/>
        <v/>
      </c>
      <c r="R122" s="84" t="e">
        <f t="shared" si="15"/>
        <v>#REF!</v>
      </c>
      <c r="S122" s="83" t="e">
        <f t="shared" si="15"/>
        <v>#REF!</v>
      </c>
      <c r="T122" s="84" t="e">
        <f t="shared" si="16"/>
        <v>#REF!</v>
      </c>
      <c r="U122" s="84" t="e">
        <f t="shared" si="17"/>
        <v>#REF!</v>
      </c>
      <c r="V122" s="85" t="e">
        <f>#REF!</f>
        <v>#REF!</v>
      </c>
      <c r="W122" s="86">
        <f t="shared" si="18"/>
        <v>0</v>
      </c>
      <c r="X122" s="86">
        <f t="shared" si="18"/>
        <v>0</v>
      </c>
      <c r="Y122" s="87">
        <f t="shared" si="19"/>
        <v>0</v>
      </c>
      <c r="Z122" s="87">
        <f t="shared" si="20"/>
        <v>0</v>
      </c>
      <c r="AA122" s="87">
        <f t="shared" si="21"/>
        <v>4</v>
      </c>
    </row>
    <row r="123" spans="9:27">
      <c r="I123" s="81" t="e">
        <f>IF(#REF!&lt;&gt;"",#REF!,"")</f>
        <v>#REF!</v>
      </c>
      <c r="J123" s="81" t="e">
        <f t="shared" si="22"/>
        <v>#REF!</v>
      </c>
      <c r="L123" s="82" t="e">
        <f t="shared" si="23"/>
        <v>#REF!</v>
      </c>
      <c r="M123" s="81" t="e">
        <f t="shared" si="26"/>
        <v>#REF!</v>
      </c>
      <c r="N123" s="81" t="e">
        <f t="shared" si="24"/>
        <v>#REF!</v>
      </c>
      <c r="O123" s="81" t="e">
        <f t="shared" si="25"/>
        <v>#REF!</v>
      </c>
      <c r="Q123" s="83" t="str">
        <f t="shared" si="27"/>
        <v/>
      </c>
      <c r="R123" s="84" t="e">
        <f t="shared" si="15"/>
        <v>#REF!</v>
      </c>
      <c r="S123" s="83" t="e">
        <f t="shared" si="15"/>
        <v>#REF!</v>
      </c>
      <c r="T123" s="84" t="e">
        <f t="shared" si="16"/>
        <v>#REF!</v>
      </c>
      <c r="U123" s="84" t="e">
        <f t="shared" si="17"/>
        <v>#REF!</v>
      </c>
      <c r="V123" s="85" t="e">
        <f>#REF!</f>
        <v>#REF!</v>
      </c>
      <c r="W123" s="86">
        <f t="shared" si="18"/>
        <v>0</v>
      </c>
      <c r="X123" s="86">
        <f t="shared" si="18"/>
        <v>0</v>
      </c>
      <c r="Y123" s="87">
        <f t="shared" si="19"/>
        <v>0</v>
      </c>
      <c r="Z123" s="87">
        <f t="shared" si="20"/>
        <v>0</v>
      </c>
      <c r="AA123" s="87">
        <f t="shared" si="21"/>
        <v>4</v>
      </c>
    </row>
    <row r="124" spans="9:27">
      <c r="I124" s="81" t="e">
        <f>IF(#REF!&lt;&gt;"",#REF!,"")</f>
        <v>#REF!</v>
      </c>
      <c r="J124" s="81" t="e">
        <f t="shared" si="22"/>
        <v>#REF!</v>
      </c>
      <c r="L124" s="82" t="e">
        <f t="shared" si="23"/>
        <v>#REF!</v>
      </c>
      <c r="M124" s="81" t="e">
        <f t="shared" si="26"/>
        <v>#REF!</v>
      </c>
      <c r="N124" s="81" t="e">
        <f t="shared" si="24"/>
        <v>#REF!</v>
      </c>
      <c r="O124" s="81" t="e">
        <f t="shared" si="25"/>
        <v>#REF!</v>
      </c>
      <c r="Q124" s="83" t="str">
        <f t="shared" si="27"/>
        <v/>
      </c>
      <c r="R124" s="84" t="e">
        <f t="shared" si="15"/>
        <v>#REF!</v>
      </c>
      <c r="S124" s="83" t="e">
        <f t="shared" si="15"/>
        <v>#REF!</v>
      </c>
      <c r="T124" s="84" t="e">
        <f t="shared" si="16"/>
        <v>#REF!</v>
      </c>
      <c r="U124" s="84" t="e">
        <f t="shared" si="17"/>
        <v>#REF!</v>
      </c>
      <c r="V124" s="85" t="e">
        <f>#REF!</f>
        <v>#REF!</v>
      </c>
      <c r="W124" s="86">
        <f t="shared" si="18"/>
        <v>0</v>
      </c>
      <c r="X124" s="86">
        <f t="shared" si="18"/>
        <v>0</v>
      </c>
      <c r="Y124" s="87">
        <f t="shared" si="19"/>
        <v>0</v>
      </c>
      <c r="Z124" s="87">
        <f t="shared" si="20"/>
        <v>0</v>
      </c>
      <c r="AA124" s="87">
        <f t="shared" si="21"/>
        <v>4</v>
      </c>
    </row>
    <row r="125" spans="9:27">
      <c r="I125" s="81" t="e">
        <f>IF(#REF!&lt;&gt;"",#REF!,"")</f>
        <v>#REF!</v>
      </c>
      <c r="J125" s="81" t="e">
        <f t="shared" si="22"/>
        <v>#REF!</v>
      </c>
      <c r="L125" s="82" t="e">
        <f t="shared" si="23"/>
        <v>#REF!</v>
      </c>
      <c r="M125" s="81" t="e">
        <f t="shared" si="26"/>
        <v>#REF!</v>
      </c>
      <c r="N125" s="81" t="e">
        <f t="shared" si="24"/>
        <v>#REF!</v>
      </c>
      <c r="O125" s="81" t="e">
        <f t="shared" si="25"/>
        <v>#REF!</v>
      </c>
      <c r="Q125" s="83" t="str">
        <f t="shared" si="27"/>
        <v/>
      </c>
      <c r="R125" s="84" t="e">
        <f t="shared" si="15"/>
        <v>#REF!</v>
      </c>
      <c r="S125" s="83" t="e">
        <f t="shared" si="15"/>
        <v>#REF!</v>
      </c>
      <c r="T125" s="84" t="e">
        <f t="shared" si="16"/>
        <v>#REF!</v>
      </c>
      <c r="U125" s="84" t="e">
        <f t="shared" si="17"/>
        <v>#REF!</v>
      </c>
      <c r="V125" s="85" t="e">
        <f>#REF!</f>
        <v>#REF!</v>
      </c>
      <c r="W125" s="86">
        <f t="shared" si="18"/>
        <v>0</v>
      </c>
      <c r="X125" s="86">
        <f t="shared" si="18"/>
        <v>0</v>
      </c>
      <c r="Y125" s="87">
        <f t="shared" si="19"/>
        <v>0</v>
      </c>
      <c r="Z125" s="87">
        <f t="shared" si="20"/>
        <v>0</v>
      </c>
      <c r="AA125" s="87">
        <f t="shared" si="21"/>
        <v>4</v>
      </c>
    </row>
    <row r="126" spans="9:27">
      <c r="I126" s="81" t="e">
        <f>IF(#REF!&lt;&gt;"",#REF!,"")</f>
        <v>#REF!</v>
      </c>
      <c r="J126" s="81" t="e">
        <f t="shared" si="22"/>
        <v>#REF!</v>
      </c>
      <c r="L126" s="82" t="e">
        <f t="shared" si="23"/>
        <v>#REF!</v>
      </c>
      <c r="M126" s="81" t="e">
        <f t="shared" si="26"/>
        <v>#REF!</v>
      </c>
      <c r="N126" s="81" t="e">
        <f t="shared" si="24"/>
        <v>#REF!</v>
      </c>
      <c r="O126" s="81" t="e">
        <f t="shared" si="25"/>
        <v>#REF!</v>
      </c>
      <c r="Q126" s="83" t="str">
        <f t="shared" si="27"/>
        <v/>
      </c>
      <c r="R126" s="84" t="e">
        <f t="shared" si="15"/>
        <v>#REF!</v>
      </c>
      <c r="S126" s="83" t="e">
        <f t="shared" si="15"/>
        <v>#REF!</v>
      </c>
      <c r="T126" s="84" t="e">
        <f t="shared" si="16"/>
        <v>#REF!</v>
      </c>
      <c r="U126" s="84" t="e">
        <f t="shared" si="17"/>
        <v>#REF!</v>
      </c>
      <c r="V126" s="85" t="e">
        <f>#REF!</f>
        <v>#REF!</v>
      </c>
      <c r="W126" s="86">
        <f t="shared" si="18"/>
        <v>0</v>
      </c>
      <c r="X126" s="86">
        <f t="shared" si="18"/>
        <v>0</v>
      </c>
      <c r="Y126" s="87">
        <f t="shared" si="19"/>
        <v>0</v>
      </c>
      <c r="Z126" s="87">
        <f t="shared" si="20"/>
        <v>0</v>
      </c>
      <c r="AA126" s="87">
        <f t="shared" si="21"/>
        <v>4</v>
      </c>
    </row>
    <row r="127" spans="9:27">
      <c r="I127" s="81" t="e">
        <f>IF(#REF!&lt;&gt;"",#REF!,"")</f>
        <v>#REF!</v>
      </c>
      <c r="J127" s="81" t="e">
        <f t="shared" si="22"/>
        <v>#REF!</v>
      </c>
      <c r="L127" s="82" t="e">
        <f t="shared" si="23"/>
        <v>#REF!</v>
      </c>
      <c r="M127" s="81" t="e">
        <f t="shared" si="26"/>
        <v>#REF!</v>
      </c>
      <c r="N127" s="81" t="e">
        <f t="shared" si="24"/>
        <v>#REF!</v>
      </c>
      <c r="O127" s="81" t="e">
        <f t="shared" si="25"/>
        <v>#REF!</v>
      </c>
      <c r="Q127" s="83" t="str">
        <f t="shared" si="27"/>
        <v/>
      </c>
      <c r="R127" s="84" t="e">
        <f t="shared" si="15"/>
        <v>#REF!</v>
      </c>
      <c r="S127" s="83" t="e">
        <f t="shared" si="15"/>
        <v>#REF!</v>
      </c>
      <c r="T127" s="84" t="e">
        <f t="shared" si="16"/>
        <v>#REF!</v>
      </c>
      <c r="U127" s="84" t="e">
        <f t="shared" si="17"/>
        <v>#REF!</v>
      </c>
      <c r="V127" s="85" t="e">
        <f>#REF!</f>
        <v>#REF!</v>
      </c>
      <c r="W127" s="86">
        <f t="shared" si="18"/>
        <v>0</v>
      </c>
      <c r="X127" s="86">
        <f t="shared" si="18"/>
        <v>0</v>
      </c>
      <c r="Y127" s="87">
        <f t="shared" si="19"/>
        <v>0</v>
      </c>
      <c r="Z127" s="87">
        <f t="shared" si="20"/>
        <v>0</v>
      </c>
      <c r="AA127" s="87">
        <f t="shared" si="21"/>
        <v>4</v>
      </c>
    </row>
    <row r="128" spans="9:27">
      <c r="I128" s="81" t="e">
        <f>IF(#REF!&lt;&gt;"",#REF!,"")</f>
        <v>#REF!</v>
      </c>
      <c r="J128" s="81" t="e">
        <f t="shared" si="22"/>
        <v>#REF!</v>
      </c>
      <c r="L128" s="82" t="e">
        <f t="shared" si="23"/>
        <v>#REF!</v>
      </c>
      <c r="M128" s="81" t="e">
        <f t="shared" si="26"/>
        <v>#REF!</v>
      </c>
      <c r="N128" s="81" t="e">
        <f t="shared" si="24"/>
        <v>#REF!</v>
      </c>
      <c r="O128" s="81" t="e">
        <f t="shared" si="25"/>
        <v>#REF!</v>
      </c>
      <c r="Q128" s="83" t="str">
        <f t="shared" si="27"/>
        <v/>
      </c>
      <c r="R128" s="84" t="e">
        <f t="shared" ref="R128:S191" si="28">IF(L128="","",L128)</f>
        <v>#REF!</v>
      </c>
      <c r="S128" s="83" t="e">
        <f t="shared" si="28"/>
        <v>#REF!</v>
      </c>
      <c r="T128" s="84" t="e">
        <f t="shared" ref="T128:T191" si="29">IF(W128=1,"",N128)</f>
        <v>#REF!</v>
      </c>
      <c r="U128" s="84" t="e">
        <f t="shared" ref="U128:U191" si="30">IF(OR(W128=1,X128=1),"",O128)</f>
        <v>#REF!</v>
      </c>
      <c r="V128" s="85" t="e">
        <f>#REF!</f>
        <v>#REF!</v>
      </c>
      <c r="W128" s="86">
        <f t="shared" si="18"/>
        <v>0</v>
      </c>
      <c r="X128" s="86">
        <f t="shared" si="18"/>
        <v>0</v>
      </c>
      <c r="Y128" s="87">
        <f t="shared" si="19"/>
        <v>0</v>
      </c>
      <c r="Z128" s="87">
        <f t="shared" si="20"/>
        <v>0</v>
      </c>
      <c r="AA128" s="87">
        <f t="shared" si="21"/>
        <v>4</v>
      </c>
    </row>
    <row r="129" spans="9:27">
      <c r="I129" s="81" t="e">
        <f>IF(#REF!&lt;&gt;"",#REF!,"")</f>
        <v>#REF!</v>
      </c>
      <c r="J129" s="81" t="e">
        <f t="shared" si="22"/>
        <v>#REF!</v>
      </c>
      <c r="L129" s="82" t="e">
        <f t="shared" si="23"/>
        <v>#REF!</v>
      </c>
      <c r="M129" s="81" t="e">
        <f t="shared" si="26"/>
        <v>#REF!</v>
      </c>
      <c r="N129" s="81" t="e">
        <f t="shared" si="24"/>
        <v>#REF!</v>
      </c>
      <c r="O129" s="81" t="e">
        <f t="shared" si="25"/>
        <v>#REF!</v>
      </c>
      <c r="Q129" s="83" t="str">
        <f t="shared" si="27"/>
        <v/>
      </c>
      <c r="R129" s="84" t="e">
        <f t="shared" si="28"/>
        <v>#REF!</v>
      </c>
      <c r="S129" s="83" t="e">
        <f t="shared" si="28"/>
        <v>#REF!</v>
      </c>
      <c r="T129" s="84" t="e">
        <f t="shared" si="29"/>
        <v>#REF!</v>
      </c>
      <c r="U129" s="84" t="e">
        <f t="shared" si="30"/>
        <v>#REF!</v>
      </c>
      <c r="V129" s="85" t="e">
        <f>#REF!</f>
        <v>#REF!</v>
      </c>
      <c r="W129" s="86">
        <f t="shared" ref="W129:X192" si="31">COUNTIFS(R129,"&gt;&lt;")</f>
        <v>0</v>
      </c>
      <c r="X129" s="86">
        <f t="shared" si="31"/>
        <v>0</v>
      </c>
      <c r="Y129" s="87">
        <f t="shared" ref="Y129:Y192" si="32">COUNTIFS(R129:U129,"*")</f>
        <v>0</v>
      </c>
      <c r="Z129" s="87">
        <f t="shared" ref="Z129:Z192" si="33">COUNTIFS(R129:U129,"&gt;&lt;")</f>
        <v>0</v>
      </c>
      <c r="AA129" s="87">
        <f t="shared" ref="AA129:AA192" si="34">COUNTIFS(R129:U129,"&lt;&gt;")</f>
        <v>4</v>
      </c>
    </row>
    <row r="130" spans="9:27">
      <c r="I130" s="81" t="e">
        <f>IF(#REF!&lt;&gt;"",#REF!,"")</f>
        <v>#REF!</v>
      </c>
      <c r="J130" s="81" t="e">
        <f t="shared" si="22"/>
        <v>#REF!</v>
      </c>
      <c r="L130" s="82" t="e">
        <f t="shared" si="23"/>
        <v>#REF!</v>
      </c>
      <c r="M130" s="81" t="e">
        <f t="shared" si="26"/>
        <v>#REF!</v>
      </c>
      <c r="N130" s="81" t="e">
        <f t="shared" si="24"/>
        <v>#REF!</v>
      </c>
      <c r="O130" s="81" t="e">
        <f t="shared" si="25"/>
        <v>#REF!</v>
      </c>
      <c r="Q130" s="83" t="str">
        <f t="shared" si="27"/>
        <v/>
      </c>
      <c r="R130" s="84" t="e">
        <f t="shared" si="28"/>
        <v>#REF!</v>
      </c>
      <c r="S130" s="83" t="e">
        <f t="shared" si="28"/>
        <v>#REF!</v>
      </c>
      <c r="T130" s="84" t="e">
        <f t="shared" si="29"/>
        <v>#REF!</v>
      </c>
      <c r="U130" s="84" t="e">
        <f t="shared" si="30"/>
        <v>#REF!</v>
      </c>
      <c r="V130" s="85" t="e">
        <f>#REF!</f>
        <v>#REF!</v>
      </c>
      <c r="W130" s="86">
        <f t="shared" si="31"/>
        <v>0</v>
      </c>
      <c r="X130" s="86">
        <f t="shared" si="31"/>
        <v>0</v>
      </c>
      <c r="Y130" s="87">
        <f t="shared" si="32"/>
        <v>0</v>
      </c>
      <c r="Z130" s="87">
        <f t="shared" si="33"/>
        <v>0</v>
      </c>
      <c r="AA130" s="87">
        <f t="shared" si="34"/>
        <v>4</v>
      </c>
    </row>
    <row r="131" spans="9:27">
      <c r="I131" s="81" t="e">
        <f>IF(#REF!&lt;&gt;"",#REF!,"")</f>
        <v>#REF!</v>
      </c>
      <c r="J131" s="81" t="e">
        <f t="shared" ref="J131:J194" si="35">LEFT(I131,1)</f>
        <v>#REF!</v>
      </c>
      <c r="L131" s="82" t="e">
        <f t="shared" ref="L131:L194" si="36">IF(OR(J131="E",J131="L",J131="M"),"",I131)</f>
        <v>#REF!</v>
      </c>
      <c r="M131" s="81" t="e">
        <f t="shared" si="26"/>
        <v>#REF!</v>
      </c>
      <c r="N131" s="81" t="e">
        <f t="shared" ref="N131:N194" si="37">IF(OR(J131="D",J131="E",J131="L"),"",I131)</f>
        <v>#REF!</v>
      </c>
      <c r="O131" s="81" t="e">
        <f t="shared" ref="O131:O194" si="38">IF(OR(J131="D",J131="E",J131="M"),"",I131)</f>
        <v>#REF!</v>
      </c>
      <c r="Q131" s="83" t="str">
        <f t="shared" si="27"/>
        <v/>
      </c>
      <c r="R131" s="84" t="e">
        <f t="shared" si="28"/>
        <v>#REF!</v>
      </c>
      <c r="S131" s="83" t="e">
        <f t="shared" si="28"/>
        <v>#REF!</v>
      </c>
      <c r="T131" s="84" t="e">
        <f t="shared" si="29"/>
        <v>#REF!</v>
      </c>
      <c r="U131" s="84" t="e">
        <f t="shared" si="30"/>
        <v>#REF!</v>
      </c>
      <c r="V131" s="85" t="e">
        <f>#REF!</f>
        <v>#REF!</v>
      </c>
      <c r="W131" s="86">
        <f t="shared" si="31"/>
        <v>0</v>
      </c>
      <c r="X131" s="86">
        <f t="shared" si="31"/>
        <v>0</v>
      </c>
      <c r="Y131" s="87">
        <f t="shared" si="32"/>
        <v>0</v>
      </c>
      <c r="Z131" s="87">
        <f t="shared" si="33"/>
        <v>0</v>
      </c>
      <c r="AA131" s="87">
        <f t="shared" si="34"/>
        <v>4</v>
      </c>
    </row>
    <row r="132" spans="9:27">
      <c r="I132" s="81" t="e">
        <f>IF(#REF!&lt;&gt;"",#REF!,"")</f>
        <v>#REF!</v>
      </c>
      <c r="J132" s="81" t="e">
        <f t="shared" si="35"/>
        <v>#REF!</v>
      </c>
      <c r="L132" s="82" t="e">
        <f t="shared" si="36"/>
        <v>#REF!</v>
      </c>
      <c r="M132" s="81" t="e">
        <f t="shared" si="26"/>
        <v>#REF!</v>
      </c>
      <c r="N132" s="81" t="e">
        <f t="shared" si="37"/>
        <v>#REF!</v>
      </c>
      <c r="O132" s="81" t="e">
        <f t="shared" si="38"/>
        <v>#REF!</v>
      </c>
      <c r="Q132" s="83" t="str">
        <f t="shared" si="27"/>
        <v/>
      </c>
      <c r="R132" s="84" t="e">
        <f t="shared" si="28"/>
        <v>#REF!</v>
      </c>
      <c r="S132" s="83" t="e">
        <f t="shared" si="28"/>
        <v>#REF!</v>
      </c>
      <c r="T132" s="84" t="e">
        <f t="shared" si="29"/>
        <v>#REF!</v>
      </c>
      <c r="U132" s="84" t="e">
        <f t="shared" si="30"/>
        <v>#REF!</v>
      </c>
      <c r="V132" s="85" t="e">
        <f>#REF!</f>
        <v>#REF!</v>
      </c>
      <c r="W132" s="86">
        <f t="shared" si="31"/>
        <v>0</v>
      </c>
      <c r="X132" s="86">
        <f t="shared" si="31"/>
        <v>0</v>
      </c>
      <c r="Y132" s="87">
        <f t="shared" si="32"/>
        <v>0</v>
      </c>
      <c r="Z132" s="87">
        <f t="shared" si="33"/>
        <v>0</v>
      </c>
      <c r="AA132" s="87">
        <f t="shared" si="34"/>
        <v>4</v>
      </c>
    </row>
    <row r="133" spans="9:27">
      <c r="I133" s="81" t="e">
        <f>IF(#REF!&lt;&gt;"",#REF!,"")</f>
        <v>#REF!</v>
      </c>
      <c r="J133" s="81" t="e">
        <f t="shared" si="35"/>
        <v>#REF!</v>
      </c>
      <c r="L133" s="82" t="e">
        <f t="shared" si="36"/>
        <v>#REF!</v>
      </c>
      <c r="M133" s="81" t="e">
        <f t="shared" si="26"/>
        <v>#REF!</v>
      </c>
      <c r="N133" s="81" t="e">
        <f t="shared" si="37"/>
        <v>#REF!</v>
      </c>
      <c r="O133" s="81" t="e">
        <f t="shared" si="38"/>
        <v>#REF!</v>
      </c>
      <c r="Q133" s="83" t="str">
        <f t="shared" si="27"/>
        <v/>
      </c>
      <c r="R133" s="84" t="e">
        <f t="shared" si="28"/>
        <v>#REF!</v>
      </c>
      <c r="S133" s="83" t="e">
        <f t="shared" si="28"/>
        <v>#REF!</v>
      </c>
      <c r="T133" s="84" t="e">
        <f t="shared" si="29"/>
        <v>#REF!</v>
      </c>
      <c r="U133" s="84" t="e">
        <f t="shared" si="30"/>
        <v>#REF!</v>
      </c>
      <c r="V133" s="85" t="e">
        <f>#REF!</f>
        <v>#REF!</v>
      </c>
      <c r="W133" s="86">
        <f t="shared" si="31"/>
        <v>0</v>
      </c>
      <c r="X133" s="86">
        <f t="shared" si="31"/>
        <v>0</v>
      </c>
      <c r="Y133" s="87">
        <f t="shared" si="32"/>
        <v>0</v>
      </c>
      <c r="Z133" s="87">
        <f t="shared" si="33"/>
        <v>0</v>
      </c>
      <c r="AA133" s="87">
        <f t="shared" si="34"/>
        <v>4</v>
      </c>
    </row>
    <row r="134" spans="9:27">
      <c r="I134" s="81" t="e">
        <f>IF(#REF!&lt;&gt;"",#REF!,"")</f>
        <v>#REF!</v>
      </c>
      <c r="J134" s="81" t="e">
        <f t="shared" si="35"/>
        <v>#REF!</v>
      </c>
      <c r="L134" s="82" t="e">
        <f t="shared" si="36"/>
        <v>#REF!</v>
      </c>
      <c r="M134" s="81" t="e">
        <f t="shared" ref="M134:M197" si="39">IF(OR(J134="D",J134="L",J134="M"),"",I134)</f>
        <v>#REF!</v>
      </c>
      <c r="N134" s="81" t="e">
        <f t="shared" si="37"/>
        <v>#REF!</v>
      </c>
      <c r="O134" s="81" t="e">
        <f t="shared" si="38"/>
        <v>#REF!</v>
      </c>
      <c r="Q134" s="83" t="str">
        <f t="shared" si="27"/>
        <v/>
      </c>
      <c r="R134" s="84" t="e">
        <f t="shared" si="28"/>
        <v>#REF!</v>
      </c>
      <c r="S134" s="83" t="e">
        <f t="shared" si="28"/>
        <v>#REF!</v>
      </c>
      <c r="T134" s="84" t="e">
        <f t="shared" si="29"/>
        <v>#REF!</v>
      </c>
      <c r="U134" s="84" t="e">
        <f t="shared" si="30"/>
        <v>#REF!</v>
      </c>
      <c r="V134" s="85" t="e">
        <f>#REF!</f>
        <v>#REF!</v>
      </c>
      <c r="W134" s="86">
        <f t="shared" si="31"/>
        <v>0</v>
      </c>
      <c r="X134" s="86">
        <f t="shared" si="31"/>
        <v>0</v>
      </c>
      <c r="Y134" s="87">
        <f t="shared" si="32"/>
        <v>0</v>
      </c>
      <c r="Z134" s="87">
        <f t="shared" si="33"/>
        <v>0</v>
      </c>
      <c r="AA134" s="87">
        <f t="shared" si="34"/>
        <v>4</v>
      </c>
    </row>
    <row r="135" spans="9:27">
      <c r="I135" s="81" t="e">
        <f>IF(#REF!&lt;&gt;"",#REF!,"")</f>
        <v>#REF!</v>
      </c>
      <c r="J135" s="81" t="e">
        <f t="shared" si="35"/>
        <v>#REF!</v>
      </c>
      <c r="L135" s="82" t="e">
        <f t="shared" si="36"/>
        <v>#REF!</v>
      </c>
      <c r="M135" s="81" t="e">
        <f t="shared" si="39"/>
        <v>#REF!</v>
      </c>
      <c r="N135" s="81" t="e">
        <f t="shared" si="37"/>
        <v>#REF!</v>
      </c>
      <c r="O135" s="81" t="e">
        <f t="shared" si="38"/>
        <v>#REF!</v>
      </c>
      <c r="Q135" s="83" t="str">
        <f t="shared" si="27"/>
        <v/>
      </c>
      <c r="R135" s="84" t="e">
        <f t="shared" si="28"/>
        <v>#REF!</v>
      </c>
      <c r="S135" s="83" t="e">
        <f t="shared" si="28"/>
        <v>#REF!</v>
      </c>
      <c r="T135" s="84" t="e">
        <f t="shared" si="29"/>
        <v>#REF!</v>
      </c>
      <c r="U135" s="84" t="e">
        <f t="shared" si="30"/>
        <v>#REF!</v>
      </c>
      <c r="V135" s="85" t="e">
        <f>#REF!</f>
        <v>#REF!</v>
      </c>
      <c r="W135" s="86">
        <f t="shared" si="31"/>
        <v>0</v>
      </c>
      <c r="X135" s="86">
        <f t="shared" si="31"/>
        <v>0</v>
      </c>
      <c r="Y135" s="87">
        <f t="shared" si="32"/>
        <v>0</v>
      </c>
      <c r="Z135" s="87">
        <f t="shared" si="33"/>
        <v>0</v>
      </c>
      <c r="AA135" s="87">
        <f t="shared" si="34"/>
        <v>4</v>
      </c>
    </row>
    <row r="136" spans="9:27">
      <c r="I136" s="81" t="e">
        <f>IF(#REF!&lt;&gt;"",#REF!,"")</f>
        <v>#REF!</v>
      </c>
      <c r="J136" s="81" t="e">
        <f t="shared" si="35"/>
        <v>#REF!</v>
      </c>
      <c r="L136" s="82" t="e">
        <f t="shared" si="36"/>
        <v>#REF!</v>
      </c>
      <c r="M136" s="81" t="e">
        <f t="shared" si="39"/>
        <v>#REF!</v>
      </c>
      <c r="N136" s="81" t="e">
        <f t="shared" si="37"/>
        <v>#REF!</v>
      </c>
      <c r="O136" s="81" t="e">
        <f t="shared" si="38"/>
        <v>#REF!</v>
      </c>
      <c r="Q136" s="83" t="str">
        <f t="shared" si="27"/>
        <v/>
      </c>
      <c r="R136" s="84" t="e">
        <f t="shared" si="28"/>
        <v>#REF!</v>
      </c>
      <c r="S136" s="83" t="e">
        <f t="shared" si="28"/>
        <v>#REF!</v>
      </c>
      <c r="T136" s="84" t="e">
        <f t="shared" si="29"/>
        <v>#REF!</v>
      </c>
      <c r="U136" s="84" t="e">
        <f t="shared" si="30"/>
        <v>#REF!</v>
      </c>
      <c r="V136" s="85" t="e">
        <f>#REF!</f>
        <v>#REF!</v>
      </c>
      <c r="W136" s="86">
        <f t="shared" si="31"/>
        <v>0</v>
      </c>
      <c r="X136" s="86">
        <f t="shared" si="31"/>
        <v>0</v>
      </c>
      <c r="Y136" s="87">
        <f t="shared" si="32"/>
        <v>0</v>
      </c>
      <c r="Z136" s="87">
        <f t="shared" si="33"/>
        <v>0</v>
      </c>
      <c r="AA136" s="87">
        <f t="shared" si="34"/>
        <v>4</v>
      </c>
    </row>
    <row r="137" spans="9:27">
      <c r="I137" s="81" t="e">
        <f>IF(#REF!&lt;&gt;"",#REF!,"")</f>
        <v>#REF!</v>
      </c>
      <c r="J137" s="81" t="e">
        <f t="shared" si="35"/>
        <v>#REF!</v>
      </c>
      <c r="L137" s="82" t="e">
        <f t="shared" si="36"/>
        <v>#REF!</v>
      </c>
      <c r="M137" s="81" t="e">
        <f t="shared" si="39"/>
        <v>#REF!</v>
      </c>
      <c r="N137" s="81" t="e">
        <f t="shared" si="37"/>
        <v>#REF!</v>
      </c>
      <c r="O137" s="81" t="e">
        <f t="shared" si="38"/>
        <v>#REF!</v>
      </c>
      <c r="Q137" s="83" t="str">
        <f t="shared" si="27"/>
        <v/>
      </c>
      <c r="R137" s="84" t="e">
        <f t="shared" si="28"/>
        <v>#REF!</v>
      </c>
      <c r="S137" s="83" t="e">
        <f t="shared" si="28"/>
        <v>#REF!</v>
      </c>
      <c r="T137" s="84" t="e">
        <f t="shared" si="29"/>
        <v>#REF!</v>
      </c>
      <c r="U137" s="84" t="e">
        <f t="shared" si="30"/>
        <v>#REF!</v>
      </c>
      <c r="V137" s="85" t="e">
        <f>#REF!</f>
        <v>#REF!</v>
      </c>
      <c r="W137" s="86">
        <f t="shared" si="31"/>
        <v>0</v>
      </c>
      <c r="X137" s="86">
        <f t="shared" si="31"/>
        <v>0</v>
      </c>
      <c r="Y137" s="87">
        <f t="shared" si="32"/>
        <v>0</v>
      </c>
      <c r="Z137" s="87">
        <f t="shared" si="33"/>
        <v>0</v>
      </c>
      <c r="AA137" s="87">
        <f t="shared" si="34"/>
        <v>4</v>
      </c>
    </row>
    <row r="138" spans="9:27">
      <c r="I138" s="81" t="e">
        <f>IF(#REF!&lt;&gt;"",#REF!,"")</f>
        <v>#REF!</v>
      </c>
      <c r="J138" s="81" t="e">
        <f t="shared" si="35"/>
        <v>#REF!</v>
      </c>
      <c r="L138" s="82" t="e">
        <f t="shared" si="36"/>
        <v>#REF!</v>
      </c>
      <c r="M138" s="81" t="e">
        <f t="shared" si="39"/>
        <v>#REF!</v>
      </c>
      <c r="N138" s="81" t="e">
        <f t="shared" si="37"/>
        <v>#REF!</v>
      </c>
      <c r="O138" s="81" t="e">
        <f t="shared" si="38"/>
        <v>#REF!</v>
      </c>
      <c r="Q138" s="83" t="str">
        <f t="shared" si="27"/>
        <v/>
      </c>
      <c r="R138" s="84" t="e">
        <f t="shared" si="28"/>
        <v>#REF!</v>
      </c>
      <c r="S138" s="83" t="e">
        <f t="shared" si="28"/>
        <v>#REF!</v>
      </c>
      <c r="T138" s="84" t="e">
        <f t="shared" si="29"/>
        <v>#REF!</v>
      </c>
      <c r="U138" s="84" t="e">
        <f t="shared" si="30"/>
        <v>#REF!</v>
      </c>
      <c r="V138" s="85" t="e">
        <f>#REF!</f>
        <v>#REF!</v>
      </c>
      <c r="W138" s="86">
        <f t="shared" si="31"/>
        <v>0</v>
      </c>
      <c r="X138" s="86">
        <f t="shared" si="31"/>
        <v>0</v>
      </c>
      <c r="Y138" s="87">
        <f t="shared" si="32"/>
        <v>0</v>
      </c>
      <c r="Z138" s="87">
        <f t="shared" si="33"/>
        <v>0</v>
      </c>
      <c r="AA138" s="87">
        <f t="shared" si="34"/>
        <v>4</v>
      </c>
    </row>
    <row r="139" spans="9:27">
      <c r="I139" s="81" t="e">
        <f>IF(#REF!&lt;&gt;"",#REF!,"")</f>
        <v>#REF!</v>
      </c>
      <c r="J139" s="81" t="e">
        <f t="shared" si="35"/>
        <v>#REF!</v>
      </c>
      <c r="L139" s="82" t="e">
        <f t="shared" si="36"/>
        <v>#REF!</v>
      </c>
      <c r="M139" s="81" t="e">
        <f t="shared" si="39"/>
        <v>#REF!</v>
      </c>
      <c r="N139" s="81" t="e">
        <f t="shared" si="37"/>
        <v>#REF!</v>
      </c>
      <c r="O139" s="81" t="e">
        <f t="shared" si="38"/>
        <v>#REF!</v>
      </c>
      <c r="Q139" s="83" t="str">
        <f t="shared" si="27"/>
        <v/>
      </c>
      <c r="R139" s="84" t="e">
        <f t="shared" si="28"/>
        <v>#REF!</v>
      </c>
      <c r="S139" s="83" t="e">
        <f t="shared" si="28"/>
        <v>#REF!</v>
      </c>
      <c r="T139" s="84" t="e">
        <f t="shared" si="29"/>
        <v>#REF!</v>
      </c>
      <c r="U139" s="84" t="e">
        <f t="shared" si="30"/>
        <v>#REF!</v>
      </c>
      <c r="V139" s="85" t="e">
        <f>#REF!</f>
        <v>#REF!</v>
      </c>
      <c r="W139" s="86">
        <f t="shared" si="31"/>
        <v>0</v>
      </c>
      <c r="X139" s="86">
        <f t="shared" si="31"/>
        <v>0</v>
      </c>
      <c r="Y139" s="87">
        <f t="shared" si="32"/>
        <v>0</v>
      </c>
      <c r="Z139" s="87">
        <f t="shared" si="33"/>
        <v>0</v>
      </c>
      <c r="AA139" s="87">
        <f t="shared" si="34"/>
        <v>4</v>
      </c>
    </row>
    <row r="140" spans="9:27">
      <c r="I140" s="81" t="e">
        <f>IF(#REF!&lt;&gt;"",#REF!,"")</f>
        <v>#REF!</v>
      </c>
      <c r="J140" s="81" t="e">
        <f t="shared" si="35"/>
        <v>#REF!</v>
      </c>
      <c r="L140" s="82" t="e">
        <f t="shared" si="36"/>
        <v>#REF!</v>
      </c>
      <c r="M140" s="81" t="e">
        <f t="shared" si="39"/>
        <v>#REF!</v>
      </c>
      <c r="N140" s="81" t="e">
        <f t="shared" si="37"/>
        <v>#REF!</v>
      </c>
      <c r="O140" s="81" t="e">
        <f t="shared" si="38"/>
        <v>#REF!</v>
      </c>
      <c r="Q140" s="83" t="str">
        <f t="shared" si="27"/>
        <v/>
      </c>
      <c r="R140" s="84" t="e">
        <f t="shared" si="28"/>
        <v>#REF!</v>
      </c>
      <c r="S140" s="83" t="e">
        <f t="shared" si="28"/>
        <v>#REF!</v>
      </c>
      <c r="T140" s="84" t="e">
        <f t="shared" si="29"/>
        <v>#REF!</v>
      </c>
      <c r="U140" s="84" t="e">
        <f t="shared" si="30"/>
        <v>#REF!</v>
      </c>
      <c r="V140" s="85" t="e">
        <f>#REF!</f>
        <v>#REF!</v>
      </c>
      <c r="W140" s="86">
        <f t="shared" si="31"/>
        <v>0</v>
      </c>
      <c r="X140" s="86">
        <f t="shared" si="31"/>
        <v>0</v>
      </c>
      <c r="Y140" s="87">
        <f t="shared" si="32"/>
        <v>0</v>
      </c>
      <c r="Z140" s="87">
        <f t="shared" si="33"/>
        <v>0</v>
      </c>
      <c r="AA140" s="87">
        <f t="shared" si="34"/>
        <v>4</v>
      </c>
    </row>
    <row r="141" spans="9:27">
      <c r="I141" s="81" t="e">
        <f>IF(#REF!&lt;&gt;"",#REF!,"")</f>
        <v>#REF!</v>
      </c>
      <c r="J141" s="81" t="e">
        <f t="shared" si="35"/>
        <v>#REF!</v>
      </c>
      <c r="L141" s="82" t="e">
        <f t="shared" si="36"/>
        <v>#REF!</v>
      </c>
      <c r="M141" s="81" t="e">
        <f t="shared" si="39"/>
        <v>#REF!</v>
      </c>
      <c r="N141" s="81" t="e">
        <f t="shared" si="37"/>
        <v>#REF!</v>
      </c>
      <c r="O141" s="81" t="e">
        <f t="shared" si="38"/>
        <v>#REF!</v>
      </c>
      <c r="Q141" s="83" t="str">
        <f t="shared" si="27"/>
        <v/>
      </c>
      <c r="R141" s="84" t="e">
        <f t="shared" si="28"/>
        <v>#REF!</v>
      </c>
      <c r="S141" s="83" t="e">
        <f t="shared" si="28"/>
        <v>#REF!</v>
      </c>
      <c r="T141" s="84" t="e">
        <f t="shared" si="29"/>
        <v>#REF!</v>
      </c>
      <c r="U141" s="84" t="e">
        <f t="shared" si="30"/>
        <v>#REF!</v>
      </c>
      <c r="V141" s="85" t="e">
        <f>#REF!</f>
        <v>#REF!</v>
      </c>
      <c r="W141" s="86">
        <f t="shared" si="31"/>
        <v>0</v>
      </c>
      <c r="X141" s="86">
        <f t="shared" si="31"/>
        <v>0</v>
      </c>
      <c r="Y141" s="87">
        <f t="shared" si="32"/>
        <v>0</v>
      </c>
      <c r="Z141" s="87">
        <f t="shared" si="33"/>
        <v>0</v>
      </c>
      <c r="AA141" s="87">
        <f t="shared" si="34"/>
        <v>4</v>
      </c>
    </row>
    <row r="142" spans="9:27">
      <c r="I142" s="81" t="e">
        <f>IF(#REF!&lt;&gt;"",#REF!,"")</f>
        <v>#REF!</v>
      </c>
      <c r="J142" s="81" t="e">
        <f t="shared" si="35"/>
        <v>#REF!</v>
      </c>
      <c r="L142" s="82" t="e">
        <f t="shared" si="36"/>
        <v>#REF!</v>
      </c>
      <c r="M142" s="81" t="e">
        <f t="shared" si="39"/>
        <v>#REF!</v>
      </c>
      <c r="N142" s="81" t="e">
        <f t="shared" si="37"/>
        <v>#REF!</v>
      </c>
      <c r="O142" s="81" t="e">
        <f t="shared" si="38"/>
        <v>#REF!</v>
      </c>
      <c r="Q142" s="83" t="str">
        <f t="shared" si="27"/>
        <v/>
      </c>
      <c r="R142" s="84" t="e">
        <f t="shared" si="28"/>
        <v>#REF!</v>
      </c>
      <c r="S142" s="83" t="e">
        <f t="shared" si="28"/>
        <v>#REF!</v>
      </c>
      <c r="T142" s="84" t="e">
        <f t="shared" si="29"/>
        <v>#REF!</v>
      </c>
      <c r="U142" s="84" t="e">
        <f t="shared" si="30"/>
        <v>#REF!</v>
      </c>
      <c r="V142" s="85" t="e">
        <f>#REF!</f>
        <v>#REF!</v>
      </c>
      <c r="W142" s="86">
        <f t="shared" si="31"/>
        <v>0</v>
      </c>
      <c r="X142" s="86">
        <f t="shared" si="31"/>
        <v>0</v>
      </c>
      <c r="Y142" s="87">
        <f t="shared" si="32"/>
        <v>0</v>
      </c>
      <c r="Z142" s="87">
        <f t="shared" si="33"/>
        <v>0</v>
      </c>
      <c r="AA142" s="87">
        <f t="shared" si="34"/>
        <v>4</v>
      </c>
    </row>
    <row r="143" spans="9:27">
      <c r="I143" s="81" t="e">
        <f>IF(#REF!&lt;&gt;"",#REF!,"")</f>
        <v>#REF!</v>
      </c>
      <c r="J143" s="81" t="e">
        <f t="shared" si="35"/>
        <v>#REF!</v>
      </c>
      <c r="L143" s="82" t="e">
        <f t="shared" si="36"/>
        <v>#REF!</v>
      </c>
      <c r="M143" s="81" t="e">
        <f t="shared" si="39"/>
        <v>#REF!</v>
      </c>
      <c r="N143" s="81" t="e">
        <f t="shared" si="37"/>
        <v>#REF!</v>
      </c>
      <c r="O143" s="81" t="e">
        <f t="shared" si="38"/>
        <v>#REF!</v>
      </c>
      <c r="Q143" s="83" t="str">
        <f t="shared" si="27"/>
        <v/>
      </c>
      <c r="R143" s="84" t="e">
        <f t="shared" si="28"/>
        <v>#REF!</v>
      </c>
      <c r="S143" s="83" t="e">
        <f t="shared" si="28"/>
        <v>#REF!</v>
      </c>
      <c r="T143" s="84" t="e">
        <f t="shared" si="29"/>
        <v>#REF!</v>
      </c>
      <c r="U143" s="84" t="e">
        <f t="shared" si="30"/>
        <v>#REF!</v>
      </c>
      <c r="V143" s="85" t="e">
        <f>#REF!</f>
        <v>#REF!</v>
      </c>
      <c r="W143" s="86">
        <f t="shared" si="31"/>
        <v>0</v>
      </c>
      <c r="X143" s="86">
        <f t="shared" si="31"/>
        <v>0</v>
      </c>
      <c r="Y143" s="87">
        <f t="shared" si="32"/>
        <v>0</v>
      </c>
      <c r="Z143" s="87">
        <f t="shared" si="33"/>
        <v>0</v>
      </c>
      <c r="AA143" s="87">
        <f t="shared" si="34"/>
        <v>4</v>
      </c>
    </row>
    <row r="144" spans="9:27">
      <c r="I144" s="81" t="e">
        <f>IF(#REF!&lt;&gt;"",#REF!,"")</f>
        <v>#REF!</v>
      </c>
      <c r="J144" s="81" t="e">
        <f t="shared" si="35"/>
        <v>#REF!</v>
      </c>
      <c r="L144" s="82" t="e">
        <f t="shared" si="36"/>
        <v>#REF!</v>
      </c>
      <c r="M144" s="81" t="e">
        <f t="shared" si="39"/>
        <v>#REF!</v>
      </c>
      <c r="N144" s="81" t="e">
        <f t="shared" si="37"/>
        <v>#REF!</v>
      </c>
      <c r="O144" s="81" t="e">
        <f t="shared" si="38"/>
        <v>#REF!</v>
      </c>
      <c r="Q144" s="83" t="str">
        <f t="shared" si="27"/>
        <v/>
      </c>
      <c r="R144" s="84" t="e">
        <f t="shared" si="28"/>
        <v>#REF!</v>
      </c>
      <c r="S144" s="83" t="e">
        <f t="shared" si="28"/>
        <v>#REF!</v>
      </c>
      <c r="T144" s="84" t="e">
        <f t="shared" si="29"/>
        <v>#REF!</v>
      </c>
      <c r="U144" s="84" t="e">
        <f t="shared" si="30"/>
        <v>#REF!</v>
      </c>
      <c r="V144" s="85" t="e">
        <f>#REF!</f>
        <v>#REF!</v>
      </c>
      <c r="W144" s="86">
        <f t="shared" si="31"/>
        <v>0</v>
      </c>
      <c r="X144" s="86">
        <f t="shared" si="31"/>
        <v>0</v>
      </c>
      <c r="Y144" s="87">
        <f t="shared" si="32"/>
        <v>0</v>
      </c>
      <c r="Z144" s="87">
        <f t="shared" si="33"/>
        <v>0</v>
      </c>
      <c r="AA144" s="87">
        <f t="shared" si="34"/>
        <v>4</v>
      </c>
    </row>
    <row r="145" spans="9:27">
      <c r="I145" s="81" t="e">
        <f>IF(#REF!&lt;&gt;"",#REF!,"")</f>
        <v>#REF!</v>
      </c>
      <c r="J145" s="81" t="e">
        <f t="shared" si="35"/>
        <v>#REF!</v>
      </c>
      <c r="L145" s="82" t="e">
        <f t="shared" si="36"/>
        <v>#REF!</v>
      </c>
      <c r="M145" s="81" t="e">
        <f t="shared" si="39"/>
        <v>#REF!</v>
      </c>
      <c r="N145" s="81" t="e">
        <f t="shared" si="37"/>
        <v>#REF!</v>
      </c>
      <c r="O145" s="81" t="e">
        <f t="shared" si="38"/>
        <v>#REF!</v>
      </c>
      <c r="Q145" s="83" t="str">
        <f t="shared" si="27"/>
        <v/>
      </c>
      <c r="R145" s="84" t="e">
        <f t="shared" si="28"/>
        <v>#REF!</v>
      </c>
      <c r="S145" s="83" t="e">
        <f t="shared" si="28"/>
        <v>#REF!</v>
      </c>
      <c r="T145" s="84" t="e">
        <f t="shared" si="29"/>
        <v>#REF!</v>
      </c>
      <c r="U145" s="84" t="e">
        <f t="shared" si="30"/>
        <v>#REF!</v>
      </c>
      <c r="V145" s="85" t="e">
        <f>#REF!</f>
        <v>#REF!</v>
      </c>
      <c r="W145" s="86">
        <f t="shared" si="31"/>
        <v>0</v>
      </c>
      <c r="X145" s="86">
        <f t="shared" si="31"/>
        <v>0</v>
      </c>
      <c r="Y145" s="87">
        <f t="shared" si="32"/>
        <v>0</v>
      </c>
      <c r="Z145" s="87">
        <f t="shared" si="33"/>
        <v>0</v>
      </c>
      <c r="AA145" s="87">
        <f t="shared" si="34"/>
        <v>4</v>
      </c>
    </row>
    <row r="146" spans="9:27">
      <c r="I146" s="81" t="e">
        <f>IF(#REF!&lt;&gt;"",#REF!,"")</f>
        <v>#REF!</v>
      </c>
      <c r="J146" s="81" t="e">
        <f t="shared" si="35"/>
        <v>#REF!</v>
      </c>
      <c r="L146" s="82" t="e">
        <f t="shared" si="36"/>
        <v>#REF!</v>
      </c>
      <c r="M146" s="81" t="e">
        <f t="shared" si="39"/>
        <v>#REF!</v>
      </c>
      <c r="N146" s="81" t="e">
        <f t="shared" si="37"/>
        <v>#REF!</v>
      </c>
      <c r="O146" s="81" t="e">
        <f t="shared" si="38"/>
        <v>#REF!</v>
      </c>
      <c r="Q146" s="83" t="str">
        <f t="shared" si="27"/>
        <v/>
      </c>
      <c r="R146" s="84" t="e">
        <f t="shared" si="28"/>
        <v>#REF!</v>
      </c>
      <c r="S146" s="83" t="e">
        <f t="shared" si="28"/>
        <v>#REF!</v>
      </c>
      <c r="T146" s="84" t="e">
        <f t="shared" si="29"/>
        <v>#REF!</v>
      </c>
      <c r="U146" s="84" t="e">
        <f t="shared" si="30"/>
        <v>#REF!</v>
      </c>
      <c r="V146" s="85" t="e">
        <f>#REF!</f>
        <v>#REF!</v>
      </c>
      <c r="W146" s="86">
        <f t="shared" si="31"/>
        <v>0</v>
      </c>
      <c r="X146" s="86">
        <f t="shared" si="31"/>
        <v>0</v>
      </c>
      <c r="Y146" s="87">
        <f t="shared" si="32"/>
        <v>0</v>
      </c>
      <c r="Z146" s="87">
        <f t="shared" si="33"/>
        <v>0</v>
      </c>
      <c r="AA146" s="87">
        <f t="shared" si="34"/>
        <v>4</v>
      </c>
    </row>
    <row r="147" spans="9:27">
      <c r="I147" s="81" t="e">
        <f>IF(#REF!&lt;&gt;"",#REF!,"")</f>
        <v>#REF!</v>
      </c>
      <c r="J147" s="81" t="e">
        <f t="shared" si="35"/>
        <v>#REF!</v>
      </c>
      <c r="L147" s="82" t="e">
        <f t="shared" si="36"/>
        <v>#REF!</v>
      </c>
      <c r="M147" s="81" t="e">
        <f t="shared" si="39"/>
        <v>#REF!</v>
      </c>
      <c r="N147" s="81" t="e">
        <f t="shared" si="37"/>
        <v>#REF!</v>
      </c>
      <c r="O147" s="81" t="e">
        <f t="shared" si="38"/>
        <v>#REF!</v>
      </c>
      <c r="Q147" s="83" t="str">
        <f t="shared" si="27"/>
        <v/>
      </c>
      <c r="R147" s="84" t="e">
        <f t="shared" si="28"/>
        <v>#REF!</v>
      </c>
      <c r="S147" s="83" t="e">
        <f t="shared" si="28"/>
        <v>#REF!</v>
      </c>
      <c r="T147" s="84" t="e">
        <f t="shared" si="29"/>
        <v>#REF!</v>
      </c>
      <c r="U147" s="84" t="e">
        <f t="shared" si="30"/>
        <v>#REF!</v>
      </c>
      <c r="V147" s="85" t="e">
        <f>#REF!</f>
        <v>#REF!</v>
      </c>
      <c r="W147" s="86">
        <f t="shared" si="31"/>
        <v>0</v>
      </c>
      <c r="X147" s="86">
        <f t="shared" si="31"/>
        <v>0</v>
      </c>
      <c r="Y147" s="87">
        <f t="shared" si="32"/>
        <v>0</v>
      </c>
      <c r="Z147" s="87">
        <f t="shared" si="33"/>
        <v>0</v>
      </c>
      <c r="AA147" s="87">
        <f t="shared" si="34"/>
        <v>4</v>
      </c>
    </row>
    <row r="148" spans="9:27">
      <c r="I148" s="81" t="e">
        <f>IF(#REF!&lt;&gt;"",#REF!,"")</f>
        <v>#REF!</v>
      </c>
      <c r="J148" s="81" t="e">
        <f t="shared" si="35"/>
        <v>#REF!</v>
      </c>
      <c r="L148" s="82" t="e">
        <f t="shared" si="36"/>
        <v>#REF!</v>
      </c>
      <c r="M148" s="81" t="e">
        <f t="shared" si="39"/>
        <v>#REF!</v>
      </c>
      <c r="N148" s="81" t="e">
        <f t="shared" si="37"/>
        <v>#REF!</v>
      </c>
      <c r="O148" s="81" t="e">
        <f t="shared" si="38"/>
        <v>#REF!</v>
      </c>
      <c r="Q148" s="83" t="str">
        <f t="shared" si="27"/>
        <v/>
      </c>
      <c r="R148" s="84" t="e">
        <f t="shared" si="28"/>
        <v>#REF!</v>
      </c>
      <c r="S148" s="83" t="e">
        <f t="shared" si="28"/>
        <v>#REF!</v>
      </c>
      <c r="T148" s="84" t="e">
        <f t="shared" si="29"/>
        <v>#REF!</v>
      </c>
      <c r="U148" s="84" t="e">
        <f t="shared" si="30"/>
        <v>#REF!</v>
      </c>
      <c r="V148" s="85" t="e">
        <f>#REF!</f>
        <v>#REF!</v>
      </c>
      <c r="W148" s="86">
        <f t="shared" si="31"/>
        <v>0</v>
      </c>
      <c r="X148" s="86">
        <f t="shared" si="31"/>
        <v>0</v>
      </c>
      <c r="Y148" s="87">
        <f t="shared" si="32"/>
        <v>0</v>
      </c>
      <c r="Z148" s="87">
        <f t="shared" si="33"/>
        <v>0</v>
      </c>
      <c r="AA148" s="87">
        <f t="shared" si="34"/>
        <v>4</v>
      </c>
    </row>
    <row r="149" spans="9:27">
      <c r="I149" s="81" t="e">
        <f>IF(#REF!&lt;&gt;"",#REF!,"")</f>
        <v>#REF!</v>
      </c>
      <c r="J149" s="81" t="e">
        <f t="shared" si="35"/>
        <v>#REF!</v>
      </c>
      <c r="L149" s="82" t="e">
        <f t="shared" si="36"/>
        <v>#REF!</v>
      </c>
      <c r="M149" s="81" t="e">
        <f t="shared" si="39"/>
        <v>#REF!</v>
      </c>
      <c r="N149" s="81" t="e">
        <f t="shared" si="37"/>
        <v>#REF!</v>
      </c>
      <c r="O149" s="81" t="e">
        <f t="shared" si="38"/>
        <v>#REF!</v>
      </c>
      <c r="Q149" s="83" t="str">
        <f t="shared" si="27"/>
        <v/>
      </c>
      <c r="R149" s="84" t="e">
        <f t="shared" si="28"/>
        <v>#REF!</v>
      </c>
      <c r="S149" s="83" t="e">
        <f t="shared" si="28"/>
        <v>#REF!</v>
      </c>
      <c r="T149" s="84" t="e">
        <f t="shared" si="29"/>
        <v>#REF!</v>
      </c>
      <c r="U149" s="84" t="e">
        <f t="shared" si="30"/>
        <v>#REF!</v>
      </c>
      <c r="V149" s="85" t="e">
        <f>#REF!</f>
        <v>#REF!</v>
      </c>
      <c r="W149" s="86">
        <f t="shared" si="31"/>
        <v>0</v>
      </c>
      <c r="X149" s="86">
        <f t="shared" si="31"/>
        <v>0</v>
      </c>
      <c r="Y149" s="87">
        <f t="shared" si="32"/>
        <v>0</v>
      </c>
      <c r="Z149" s="87">
        <f t="shared" si="33"/>
        <v>0</v>
      </c>
      <c r="AA149" s="87">
        <f t="shared" si="34"/>
        <v>4</v>
      </c>
    </row>
    <row r="150" spans="9:27">
      <c r="I150" s="81" t="e">
        <f>IF(#REF!&lt;&gt;"",#REF!,"")</f>
        <v>#REF!</v>
      </c>
      <c r="J150" s="81" t="e">
        <f t="shared" si="35"/>
        <v>#REF!</v>
      </c>
      <c r="L150" s="82" t="e">
        <f t="shared" si="36"/>
        <v>#REF!</v>
      </c>
      <c r="M150" s="81" t="e">
        <f t="shared" si="39"/>
        <v>#REF!</v>
      </c>
      <c r="N150" s="81" t="e">
        <f t="shared" si="37"/>
        <v>#REF!</v>
      </c>
      <c r="O150" s="81" t="e">
        <f t="shared" si="38"/>
        <v>#REF!</v>
      </c>
      <c r="Q150" s="83" t="str">
        <f t="shared" si="27"/>
        <v/>
      </c>
      <c r="R150" s="84" t="e">
        <f t="shared" si="28"/>
        <v>#REF!</v>
      </c>
      <c r="S150" s="83" t="e">
        <f t="shared" si="28"/>
        <v>#REF!</v>
      </c>
      <c r="T150" s="84" t="e">
        <f t="shared" si="29"/>
        <v>#REF!</v>
      </c>
      <c r="U150" s="84" t="e">
        <f t="shared" si="30"/>
        <v>#REF!</v>
      </c>
      <c r="V150" s="85" t="e">
        <f>#REF!</f>
        <v>#REF!</v>
      </c>
      <c r="W150" s="86">
        <f t="shared" si="31"/>
        <v>0</v>
      </c>
      <c r="X150" s="86">
        <f t="shared" si="31"/>
        <v>0</v>
      </c>
      <c r="Y150" s="87">
        <f t="shared" si="32"/>
        <v>0</v>
      </c>
      <c r="Z150" s="87">
        <f t="shared" si="33"/>
        <v>0</v>
      </c>
      <c r="AA150" s="87">
        <f t="shared" si="34"/>
        <v>4</v>
      </c>
    </row>
    <row r="151" spans="9:27">
      <c r="I151" s="81" t="e">
        <f>IF(#REF!&lt;&gt;"",#REF!,"")</f>
        <v>#REF!</v>
      </c>
      <c r="J151" s="81" t="e">
        <f t="shared" si="35"/>
        <v>#REF!</v>
      </c>
      <c r="L151" s="82" t="e">
        <f t="shared" si="36"/>
        <v>#REF!</v>
      </c>
      <c r="M151" s="81" t="e">
        <f t="shared" si="39"/>
        <v>#REF!</v>
      </c>
      <c r="N151" s="81" t="e">
        <f t="shared" si="37"/>
        <v>#REF!</v>
      </c>
      <c r="O151" s="81" t="e">
        <f t="shared" si="38"/>
        <v>#REF!</v>
      </c>
      <c r="Q151" s="83" t="str">
        <f t="shared" ref="Q151:Q214" si="40">IF(Z151=0,"",IF(Z151=1,R151&amp;S151,"E99999"))</f>
        <v/>
      </c>
      <c r="R151" s="84" t="e">
        <f t="shared" si="28"/>
        <v>#REF!</v>
      </c>
      <c r="S151" s="83" t="e">
        <f t="shared" si="28"/>
        <v>#REF!</v>
      </c>
      <c r="T151" s="84" t="e">
        <f t="shared" si="29"/>
        <v>#REF!</v>
      </c>
      <c r="U151" s="84" t="e">
        <f t="shared" si="30"/>
        <v>#REF!</v>
      </c>
      <c r="V151" s="85" t="e">
        <f>#REF!</f>
        <v>#REF!</v>
      </c>
      <c r="W151" s="86">
        <f t="shared" si="31"/>
        <v>0</v>
      </c>
      <c r="X151" s="86">
        <f t="shared" si="31"/>
        <v>0</v>
      </c>
      <c r="Y151" s="87">
        <f t="shared" si="32"/>
        <v>0</v>
      </c>
      <c r="Z151" s="87">
        <f t="shared" si="33"/>
        <v>0</v>
      </c>
      <c r="AA151" s="87">
        <f t="shared" si="34"/>
        <v>4</v>
      </c>
    </row>
    <row r="152" spans="9:27">
      <c r="I152" s="81" t="e">
        <f>IF(#REF!&lt;&gt;"",#REF!,"")</f>
        <v>#REF!</v>
      </c>
      <c r="J152" s="81" t="e">
        <f t="shared" si="35"/>
        <v>#REF!</v>
      </c>
      <c r="L152" s="82" t="e">
        <f t="shared" si="36"/>
        <v>#REF!</v>
      </c>
      <c r="M152" s="81" t="e">
        <f t="shared" si="39"/>
        <v>#REF!</v>
      </c>
      <c r="N152" s="81" t="e">
        <f t="shared" si="37"/>
        <v>#REF!</v>
      </c>
      <c r="O152" s="81" t="e">
        <f t="shared" si="38"/>
        <v>#REF!</v>
      </c>
      <c r="Q152" s="83" t="str">
        <f t="shared" si="40"/>
        <v/>
      </c>
      <c r="R152" s="84" t="e">
        <f t="shared" si="28"/>
        <v>#REF!</v>
      </c>
      <c r="S152" s="83" t="e">
        <f t="shared" si="28"/>
        <v>#REF!</v>
      </c>
      <c r="T152" s="84" t="e">
        <f t="shared" si="29"/>
        <v>#REF!</v>
      </c>
      <c r="U152" s="84" t="e">
        <f t="shared" si="30"/>
        <v>#REF!</v>
      </c>
      <c r="V152" s="85" t="e">
        <f>#REF!</f>
        <v>#REF!</v>
      </c>
      <c r="W152" s="86">
        <f t="shared" si="31"/>
        <v>0</v>
      </c>
      <c r="X152" s="86">
        <f t="shared" si="31"/>
        <v>0</v>
      </c>
      <c r="Y152" s="87">
        <f t="shared" si="32"/>
        <v>0</v>
      </c>
      <c r="Z152" s="87">
        <f t="shared" si="33"/>
        <v>0</v>
      </c>
      <c r="AA152" s="87">
        <f t="shared" si="34"/>
        <v>4</v>
      </c>
    </row>
    <row r="153" spans="9:27">
      <c r="I153" s="81" t="e">
        <f>IF(#REF!&lt;&gt;"",#REF!,"")</f>
        <v>#REF!</v>
      </c>
      <c r="J153" s="81" t="e">
        <f t="shared" si="35"/>
        <v>#REF!</v>
      </c>
      <c r="L153" s="82" t="e">
        <f t="shared" si="36"/>
        <v>#REF!</v>
      </c>
      <c r="M153" s="81" t="e">
        <f t="shared" si="39"/>
        <v>#REF!</v>
      </c>
      <c r="N153" s="81" t="e">
        <f t="shared" si="37"/>
        <v>#REF!</v>
      </c>
      <c r="O153" s="81" t="e">
        <f t="shared" si="38"/>
        <v>#REF!</v>
      </c>
      <c r="Q153" s="83" t="str">
        <f t="shared" si="40"/>
        <v/>
      </c>
      <c r="R153" s="84" t="e">
        <f t="shared" si="28"/>
        <v>#REF!</v>
      </c>
      <c r="S153" s="83" t="e">
        <f t="shared" si="28"/>
        <v>#REF!</v>
      </c>
      <c r="T153" s="84" t="e">
        <f t="shared" si="29"/>
        <v>#REF!</v>
      </c>
      <c r="U153" s="84" t="e">
        <f t="shared" si="30"/>
        <v>#REF!</v>
      </c>
      <c r="V153" s="85" t="e">
        <f>#REF!</f>
        <v>#REF!</v>
      </c>
      <c r="W153" s="86">
        <f t="shared" si="31"/>
        <v>0</v>
      </c>
      <c r="X153" s="86">
        <f t="shared" si="31"/>
        <v>0</v>
      </c>
      <c r="Y153" s="87">
        <f t="shared" si="32"/>
        <v>0</v>
      </c>
      <c r="Z153" s="87">
        <f t="shared" si="33"/>
        <v>0</v>
      </c>
      <c r="AA153" s="87">
        <f t="shared" si="34"/>
        <v>4</v>
      </c>
    </row>
    <row r="154" spans="9:27">
      <c r="I154" s="81" t="e">
        <f>IF(#REF!&lt;&gt;"",#REF!,"")</f>
        <v>#REF!</v>
      </c>
      <c r="J154" s="81" t="e">
        <f t="shared" si="35"/>
        <v>#REF!</v>
      </c>
      <c r="L154" s="82" t="e">
        <f t="shared" si="36"/>
        <v>#REF!</v>
      </c>
      <c r="M154" s="81" t="e">
        <f t="shared" si="39"/>
        <v>#REF!</v>
      </c>
      <c r="N154" s="81" t="e">
        <f t="shared" si="37"/>
        <v>#REF!</v>
      </c>
      <c r="O154" s="81" t="e">
        <f t="shared" si="38"/>
        <v>#REF!</v>
      </c>
      <c r="Q154" s="83" t="str">
        <f t="shared" si="40"/>
        <v/>
      </c>
      <c r="R154" s="84" t="e">
        <f t="shared" si="28"/>
        <v>#REF!</v>
      </c>
      <c r="S154" s="83" t="e">
        <f t="shared" si="28"/>
        <v>#REF!</v>
      </c>
      <c r="T154" s="84" t="e">
        <f t="shared" si="29"/>
        <v>#REF!</v>
      </c>
      <c r="U154" s="84" t="e">
        <f t="shared" si="30"/>
        <v>#REF!</v>
      </c>
      <c r="V154" s="85" t="e">
        <f>#REF!</f>
        <v>#REF!</v>
      </c>
      <c r="W154" s="86">
        <f t="shared" si="31"/>
        <v>0</v>
      </c>
      <c r="X154" s="86">
        <f t="shared" si="31"/>
        <v>0</v>
      </c>
      <c r="Y154" s="87">
        <f t="shared" si="32"/>
        <v>0</v>
      </c>
      <c r="Z154" s="87">
        <f t="shared" si="33"/>
        <v>0</v>
      </c>
      <c r="AA154" s="87">
        <f t="shared" si="34"/>
        <v>4</v>
      </c>
    </row>
    <row r="155" spans="9:27">
      <c r="I155" s="81" t="e">
        <f>IF(#REF!&lt;&gt;"",#REF!,"")</f>
        <v>#REF!</v>
      </c>
      <c r="J155" s="81" t="e">
        <f t="shared" si="35"/>
        <v>#REF!</v>
      </c>
      <c r="L155" s="82" t="e">
        <f t="shared" si="36"/>
        <v>#REF!</v>
      </c>
      <c r="M155" s="81" t="e">
        <f t="shared" si="39"/>
        <v>#REF!</v>
      </c>
      <c r="N155" s="81" t="e">
        <f t="shared" si="37"/>
        <v>#REF!</v>
      </c>
      <c r="O155" s="81" t="e">
        <f t="shared" si="38"/>
        <v>#REF!</v>
      </c>
      <c r="Q155" s="83" t="str">
        <f t="shared" si="40"/>
        <v/>
      </c>
      <c r="R155" s="84" t="e">
        <f t="shared" si="28"/>
        <v>#REF!</v>
      </c>
      <c r="S155" s="83" t="e">
        <f t="shared" si="28"/>
        <v>#REF!</v>
      </c>
      <c r="T155" s="84" t="e">
        <f t="shared" si="29"/>
        <v>#REF!</v>
      </c>
      <c r="U155" s="84" t="e">
        <f t="shared" si="30"/>
        <v>#REF!</v>
      </c>
      <c r="V155" s="85" t="e">
        <f>#REF!</f>
        <v>#REF!</v>
      </c>
      <c r="W155" s="86">
        <f t="shared" si="31"/>
        <v>0</v>
      </c>
      <c r="X155" s="86">
        <f t="shared" si="31"/>
        <v>0</v>
      </c>
      <c r="Y155" s="87">
        <f t="shared" si="32"/>
        <v>0</v>
      </c>
      <c r="Z155" s="87">
        <f t="shared" si="33"/>
        <v>0</v>
      </c>
      <c r="AA155" s="87">
        <f t="shared" si="34"/>
        <v>4</v>
      </c>
    </row>
    <row r="156" spans="9:27">
      <c r="I156" s="81" t="e">
        <f>IF(#REF!&lt;&gt;"",#REF!,"")</f>
        <v>#REF!</v>
      </c>
      <c r="J156" s="81" t="e">
        <f t="shared" si="35"/>
        <v>#REF!</v>
      </c>
      <c r="L156" s="82" t="e">
        <f t="shared" si="36"/>
        <v>#REF!</v>
      </c>
      <c r="M156" s="81" t="e">
        <f t="shared" si="39"/>
        <v>#REF!</v>
      </c>
      <c r="N156" s="81" t="e">
        <f t="shared" si="37"/>
        <v>#REF!</v>
      </c>
      <c r="O156" s="81" t="e">
        <f t="shared" si="38"/>
        <v>#REF!</v>
      </c>
      <c r="Q156" s="83" t="str">
        <f t="shared" si="40"/>
        <v/>
      </c>
      <c r="R156" s="84" t="e">
        <f t="shared" si="28"/>
        <v>#REF!</v>
      </c>
      <c r="S156" s="83" t="e">
        <f t="shared" si="28"/>
        <v>#REF!</v>
      </c>
      <c r="T156" s="84" t="e">
        <f t="shared" si="29"/>
        <v>#REF!</v>
      </c>
      <c r="U156" s="84" t="e">
        <f t="shared" si="30"/>
        <v>#REF!</v>
      </c>
      <c r="V156" s="85" t="e">
        <f>#REF!</f>
        <v>#REF!</v>
      </c>
      <c r="W156" s="86">
        <f t="shared" si="31"/>
        <v>0</v>
      </c>
      <c r="X156" s="86">
        <f t="shared" si="31"/>
        <v>0</v>
      </c>
      <c r="Y156" s="87">
        <f t="shared" si="32"/>
        <v>0</v>
      </c>
      <c r="Z156" s="87">
        <f t="shared" si="33"/>
        <v>0</v>
      </c>
      <c r="AA156" s="87">
        <f t="shared" si="34"/>
        <v>4</v>
      </c>
    </row>
    <row r="157" spans="9:27">
      <c r="I157" s="81" t="e">
        <f>IF(#REF!&lt;&gt;"",#REF!,"")</f>
        <v>#REF!</v>
      </c>
      <c r="J157" s="81" t="e">
        <f t="shared" si="35"/>
        <v>#REF!</v>
      </c>
      <c r="L157" s="82" t="e">
        <f t="shared" si="36"/>
        <v>#REF!</v>
      </c>
      <c r="M157" s="81" t="e">
        <f t="shared" si="39"/>
        <v>#REF!</v>
      </c>
      <c r="N157" s="81" t="e">
        <f t="shared" si="37"/>
        <v>#REF!</v>
      </c>
      <c r="O157" s="81" t="e">
        <f t="shared" si="38"/>
        <v>#REF!</v>
      </c>
      <c r="Q157" s="83" t="str">
        <f t="shared" si="40"/>
        <v/>
      </c>
      <c r="R157" s="84" t="e">
        <f t="shared" si="28"/>
        <v>#REF!</v>
      </c>
      <c r="S157" s="83" t="e">
        <f t="shared" si="28"/>
        <v>#REF!</v>
      </c>
      <c r="T157" s="84" t="e">
        <f t="shared" si="29"/>
        <v>#REF!</v>
      </c>
      <c r="U157" s="84" t="e">
        <f t="shared" si="30"/>
        <v>#REF!</v>
      </c>
      <c r="V157" s="85" t="e">
        <f>#REF!</f>
        <v>#REF!</v>
      </c>
      <c r="W157" s="86">
        <f t="shared" si="31"/>
        <v>0</v>
      </c>
      <c r="X157" s="86">
        <f t="shared" si="31"/>
        <v>0</v>
      </c>
      <c r="Y157" s="87">
        <f t="shared" si="32"/>
        <v>0</v>
      </c>
      <c r="Z157" s="87">
        <f t="shared" si="33"/>
        <v>0</v>
      </c>
      <c r="AA157" s="87">
        <f t="shared" si="34"/>
        <v>4</v>
      </c>
    </row>
    <row r="158" spans="9:27">
      <c r="I158" s="81" t="e">
        <f>IF(#REF!&lt;&gt;"",#REF!,"")</f>
        <v>#REF!</v>
      </c>
      <c r="J158" s="81" t="e">
        <f t="shared" si="35"/>
        <v>#REF!</v>
      </c>
      <c r="L158" s="82" t="e">
        <f t="shared" si="36"/>
        <v>#REF!</v>
      </c>
      <c r="M158" s="81" t="e">
        <f t="shared" si="39"/>
        <v>#REF!</v>
      </c>
      <c r="N158" s="81" t="e">
        <f t="shared" si="37"/>
        <v>#REF!</v>
      </c>
      <c r="O158" s="81" t="e">
        <f t="shared" si="38"/>
        <v>#REF!</v>
      </c>
      <c r="Q158" s="83" t="str">
        <f t="shared" si="40"/>
        <v/>
      </c>
      <c r="R158" s="84" t="e">
        <f t="shared" si="28"/>
        <v>#REF!</v>
      </c>
      <c r="S158" s="83" t="e">
        <f t="shared" si="28"/>
        <v>#REF!</v>
      </c>
      <c r="T158" s="84" t="e">
        <f t="shared" si="29"/>
        <v>#REF!</v>
      </c>
      <c r="U158" s="84" t="e">
        <f t="shared" si="30"/>
        <v>#REF!</v>
      </c>
      <c r="V158" s="85" t="e">
        <f>#REF!</f>
        <v>#REF!</v>
      </c>
      <c r="W158" s="86">
        <f t="shared" si="31"/>
        <v>0</v>
      </c>
      <c r="X158" s="86">
        <f t="shared" si="31"/>
        <v>0</v>
      </c>
      <c r="Y158" s="87">
        <f t="shared" si="32"/>
        <v>0</v>
      </c>
      <c r="Z158" s="87">
        <f t="shared" si="33"/>
        <v>0</v>
      </c>
      <c r="AA158" s="87">
        <f t="shared" si="34"/>
        <v>4</v>
      </c>
    </row>
    <row r="159" spans="9:27">
      <c r="I159" s="81" t="e">
        <f>IF(#REF!&lt;&gt;"",#REF!,"")</f>
        <v>#REF!</v>
      </c>
      <c r="J159" s="81" t="e">
        <f t="shared" si="35"/>
        <v>#REF!</v>
      </c>
      <c r="L159" s="82" t="e">
        <f t="shared" si="36"/>
        <v>#REF!</v>
      </c>
      <c r="M159" s="81" t="e">
        <f t="shared" si="39"/>
        <v>#REF!</v>
      </c>
      <c r="N159" s="81" t="e">
        <f t="shared" si="37"/>
        <v>#REF!</v>
      </c>
      <c r="O159" s="81" t="e">
        <f t="shared" si="38"/>
        <v>#REF!</v>
      </c>
      <c r="Q159" s="83" t="str">
        <f t="shared" si="40"/>
        <v/>
      </c>
      <c r="R159" s="84" t="e">
        <f t="shared" si="28"/>
        <v>#REF!</v>
      </c>
      <c r="S159" s="83" t="e">
        <f t="shared" si="28"/>
        <v>#REF!</v>
      </c>
      <c r="T159" s="84" t="e">
        <f t="shared" si="29"/>
        <v>#REF!</v>
      </c>
      <c r="U159" s="84" t="e">
        <f t="shared" si="30"/>
        <v>#REF!</v>
      </c>
      <c r="V159" s="85" t="e">
        <f>#REF!</f>
        <v>#REF!</v>
      </c>
      <c r="W159" s="86">
        <f t="shared" si="31"/>
        <v>0</v>
      </c>
      <c r="X159" s="86">
        <f t="shared" si="31"/>
        <v>0</v>
      </c>
      <c r="Y159" s="87">
        <f t="shared" si="32"/>
        <v>0</v>
      </c>
      <c r="Z159" s="87">
        <f t="shared" si="33"/>
        <v>0</v>
      </c>
      <c r="AA159" s="87">
        <f t="shared" si="34"/>
        <v>4</v>
      </c>
    </row>
    <row r="160" spans="9:27">
      <c r="I160" s="81" t="e">
        <f>IF(#REF!&lt;&gt;"",#REF!,"")</f>
        <v>#REF!</v>
      </c>
      <c r="J160" s="81" t="e">
        <f t="shared" si="35"/>
        <v>#REF!</v>
      </c>
      <c r="L160" s="82" t="e">
        <f t="shared" si="36"/>
        <v>#REF!</v>
      </c>
      <c r="M160" s="81" t="e">
        <f t="shared" si="39"/>
        <v>#REF!</v>
      </c>
      <c r="N160" s="81" t="e">
        <f t="shared" si="37"/>
        <v>#REF!</v>
      </c>
      <c r="O160" s="81" t="e">
        <f t="shared" si="38"/>
        <v>#REF!</v>
      </c>
      <c r="Q160" s="83" t="str">
        <f t="shared" si="40"/>
        <v/>
      </c>
      <c r="R160" s="84" t="e">
        <f t="shared" si="28"/>
        <v>#REF!</v>
      </c>
      <c r="S160" s="83" t="e">
        <f t="shared" si="28"/>
        <v>#REF!</v>
      </c>
      <c r="T160" s="84" t="e">
        <f t="shared" si="29"/>
        <v>#REF!</v>
      </c>
      <c r="U160" s="84" t="e">
        <f t="shared" si="30"/>
        <v>#REF!</v>
      </c>
      <c r="V160" s="85" t="e">
        <f>#REF!</f>
        <v>#REF!</v>
      </c>
      <c r="W160" s="86">
        <f t="shared" si="31"/>
        <v>0</v>
      </c>
      <c r="X160" s="86">
        <f t="shared" si="31"/>
        <v>0</v>
      </c>
      <c r="Y160" s="87">
        <f t="shared" si="32"/>
        <v>0</v>
      </c>
      <c r="Z160" s="87">
        <f t="shared" si="33"/>
        <v>0</v>
      </c>
      <c r="AA160" s="87">
        <f t="shared" si="34"/>
        <v>4</v>
      </c>
    </row>
    <row r="161" spans="9:27">
      <c r="I161" s="81" t="e">
        <f>IF(#REF!&lt;&gt;"",#REF!,"")</f>
        <v>#REF!</v>
      </c>
      <c r="J161" s="81" t="e">
        <f t="shared" si="35"/>
        <v>#REF!</v>
      </c>
      <c r="L161" s="82" t="e">
        <f t="shared" si="36"/>
        <v>#REF!</v>
      </c>
      <c r="M161" s="81" t="e">
        <f t="shared" si="39"/>
        <v>#REF!</v>
      </c>
      <c r="N161" s="81" t="e">
        <f t="shared" si="37"/>
        <v>#REF!</v>
      </c>
      <c r="O161" s="81" t="e">
        <f t="shared" si="38"/>
        <v>#REF!</v>
      </c>
      <c r="Q161" s="83" t="str">
        <f t="shared" si="40"/>
        <v/>
      </c>
      <c r="R161" s="84" t="e">
        <f t="shared" si="28"/>
        <v>#REF!</v>
      </c>
      <c r="S161" s="83" t="e">
        <f t="shared" si="28"/>
        <v>#REF!</v>
      </c>
      <c r="T161" s="84" t="e">
        <f t="shared" si="29"/>
        <v>#REF!</v>
      </c>
      <c r="U161" s="84" t="e">
        <f t="shared" si="30"/>
        <v>#REF!</v>
      </c>
      <c r="V161" s="85" t="e">
        <f>#REF!</f>
        <v>#REF!</v>
      </c>
      <c r="W161" s="86">
        <f t="shared" si="31"/>
        <v>0</v>
      </c>
      <c r="X161" s="86">
        <f t="shared" si="31"/>
        <v>0</v>
      </c>
      <c r="Y161" s="87">
        <f t="shared" si="32"/>
        <v>0</v>
      </c>
      <c r="Z161" s="87">
        <f t="shared" si="33"/>
        <v>0</v>
      </c>
      <c r="AA161" s="87">
        <f t="shared" si="34"/>
        <v>4</v>
      </c>
    </row>
    <row r="162" spans="9:27">
      <c r="I162" s="81" t="e">
        <f>IF(#REF!&lt;&gt;"",#REF!,"")</f>
        <v>#REF!</v>
      </c>
      <c r="J162" s="81" t="e">
        <f t="shared" si="35"/>
        <v>#REF!</v>
      </c>
      <c r="L162" s="82" t="e">
        <f t="shared" si="36"/>
        <v>#REF!</v>
      </c>
      <c r="M162" s="81" t="e">
        <f t="shared" si="39"/>
        <v>#REF!</v>
      </c>
      <c r="N162" s="81" t="e">
        <f t="shared" si="37"/>
        <v>#REF!</v>
      </c>
      <c r="O162" s="81" t="e">
        <f t="shared" si="38"/>
        <v>#REF!</v>
      </c>
      <c r="Q162" s="83" t="str">
        <f t="shared" si="40"/>
        <v/>
      </c>
      <c r="R162" s="84" t="e">
        <f t="shared" si="28"/>
        <v>#REF!</v>
      </c>
      <c r="S162" s="83" t="e">
        <f t="shared" si="28"/>
        <v>#REF!</v>
      </c>
      <c r="T162" s="84" t="e">
        <f t="shared" si="29"/>
        <v>#REF!</v>
      </c>
      <c r="U162" s="84" t="e">
        <f t="shared" si="30"/>
        <v>#REF!</v>
      </c>
      <c r="V162" s="85" t="e">
        <f>#REF!</f>
        <v>#REF!</v>
      </c>
      <c r="W162" s="86">
        <f t="shared" si="31"/>
        <v>0</v>
      </c>
      <c r="X162" s="86">
        <f t="shared" si="31"/>
        <v>0</v>
      </c>
      <c r="Y162" s="87">
        <f t="shared" si="32"/>
        <v>0</v>
      </c>
      <c r="Z162" s="87">
        <f t="shared" si="33"/>
        <v>0</v>
      </c>
      <c r="AA162" s="87">
        <f t="shared" si="34"/>
        <v>4</v>
      </c>
    </row>
    <row r="163" spans="9:27">
      <c r="I163" s="81" t="e">
        <f>IF(#REF!&lt;&gt;"",#REF!,"")</f>
        <v>#REF!</v>
      </c>
      <c r="J163" s="81" t="e">
        <f t="shared" si="35"/>
        <v>#REF!</v>
      </c>
      <c r="L163" s="82" t="e">
        <f t="shared" si="36"/>
        <v>#REF!</v>
      </c>
      <c r="M163" s="81" t="e">
        <f t="shared" si="39"/>
        <v>#REF!</v>
      </c>
      <c r="N163" s="81" t="e">
        <f t="shared" si="37"/>
        <v>#REF!</v>
      </c>
      <c r="O163" s="81" t="e">
        <f t="shared" si="38"/>
        <v>#REF!</v>
      </c>
      <c r="Q163" s="83" t="str">
        <f t="shared" si="40"/>
        <v/>
      </c>
      <c r="R163" s="84" t="e">
        <f t="shared" si="28"/>
        <v>#REF!</v>
      </c>
      <c r="S163" s="83" t="e">
        <f t="shared" si="28"/>
        <v>#REF!</v>
      </c>
      <c r="T163" s="84" t="e">
        <f t="shared" si="29"/>
        <v>#REF!</v>
      </c>
      <c r="U163" s="84" t="e">
        <f t="shared" si="30"/>
        <v>#REF!</v>
      </c>
      <c r="V163" s="85" t="e">
        <f>#REF!</f>
        <v>#REF!</v>
      </c>
      <c r="W163" s="86">
        <f t="shared" si="31"/>
        <v>0</v>
      </c>
      <c r="X163" s="86">
        <f t="shared" si="31"/>
        <v>0</v>
      </c>
      <c r="Y163" s="87">
        <f t="shared" si="32"/>
        <v>0</v>
      </c>
      <c r="Z163" s="87">
        <f t="shared" si="33"/>
        <v>0</v>
      </c>
      <c r="AA163" s="87">
        <f t="shared" si="34"/>
        <v>4</v>
      </c>
    </row>
    <row r="164" spans="9:27">
      <c r="I164" s="81" t="e">
        <f>IF(#REF!&lt;&gt;"",#REF!,"")</f>
        <v>#REF!</v>
      </c>
      <c r="J164" s="81" t="e">
        <f t="shared" si="35"/>
        <v>#REF!</v>
      </c>
      <c r="L164" s="82" t="e">
        <f t="shared" si="36"/>
        <v>#REF!</v>
      </c>
      <c r="M164" s="81" t="e">
        <f t="shared" si="39"/>
        <v>#REF!</v>
      </c>
      <c r="N164" s="81" t="e">
        <f t="shared" si="37"/>
        <v>#REF!</v>
      </c>
      <c r="O164" s="81" t="e">
        <f t="shared" si="38"/>
        <v>#REF!</v>
      </c>
      <c r="Q164" s="83" t="str">
        <f t="shared" si="40"/>
        <v/>
      </c>
      <c r="R164" s="84" t="e">
        <f t="shared" si="28"/>
        <v>#REF!</v>
      </c>
      <c r="S164" s="83" t="e">
        <f t="shared" si="28"/>
        <v>#REF!</v>
      </c>
      <c r="T164" s="84" t="e">
        <f t="shared" si="29"/>
        <v>#REF!</v>
      </c>
      <c r="U164" s="84" t="e">
        <f t="shared" si="30"/>
        <v>#REF!</v>
      </c>
      <c r="V164" s="85" t="e">
        <f>#REF!</f>
        <v>#REF!</v>
      </c>
      <c r="W164" s="86">
        <f t="shared" si="31"/>
        <v>0</v>
      </c>
      <c r="X164" s="86">
        <f t="shared" si="31"/>
        <v>0</v>
      </c>
      <c r="Y164" s="87">
        <f t="shared" si="32"/>
        <v>0</v>
      </c>
      <c r="Z164" s="87">
        <f t="shared" si="33"/>
        <v>0</v>
      </c>
      <c r="AA164" s="87">
        <f t="shared" si="34"/>
        <v>4</v>
      </c>
    </row>
    <row r="165" spans="9:27">
      <c r="I165" s="81" t="e">
        <f>IF(#REF!&lt;&gt;"",#REF!,"")</f>
        <v>#REF!</v>
      </c>
      <c r="J165" s="81" t="e">
        <f t="shared" si="35"/>
        <v>#REF!</v>
      </c>
      <c r="L165" s="82" t="e">
        <f t="shared" si="36"/>
        <v>#REF!</v>
      </c>
      <c r="M165" s="81" t="e">
        <f t="shared" si="39"/>
        <v>#REF!</v>
      </c>
      <c r="N165" s="81" t="e">
        <f t="shared" si="37"/>
        <v>#REF!</v>
      </c>
      <c r="O165" s="81" t="e">
        <f t="shared" si="38"/>
        <v>#REF!</v>
      </c>
      <c r="Q165" s="83" t="str">
        <f t="shared" si="40"/>
        <v/>
      </c>
      <c r="R165" s="84" t="e">
        <f t="shared" si="28"/>
        <v>#REF!</v>
      </c>
      <c r="S165" s="83" t="e">
        <f t="shared" si="28"/>
        <v>#REF!</v>
      </c>
      <c r="T165" s="84" t="e">
        <f t="shared" si="29"/>
        <v>#REF!</v>
      </c>
      <c r="U165" s="84" t="e">
        <f t="shared" si="30"/>
        <v>#REF!</v>
      </c>
      <c r="V165" s="85" t="e">
        <f>#REF!</f>
        <v>#REF!</v>
      </c>
      <c r="W165" s="86">
        <f t="shared" si="31"/>
        <v>0</v>
      </c>
      <c r="X165" s="86">
        <f t="shared" si="31"/>
        <v>0</v>
      </c>
      <c r="Y165" s="87">
        <f t="shared" si="32"/>
        <v>0</v>
      </c>
      <c r="Z165" s="87">
        <f t="shared" si="33"/>
        <v>0</v>
      </c>
      <c r="AA165" s="87">
        <f t="shared" si="34"/>
        <v>4</v>
      </c>
    </row>
    <row r="166" spans="9:27">
      <c r="I166" s="81" t="e">
        <f>IF(#REF!&lt;&gt;"",#REF!,"")</f>
        <v>#REF!</v>
      </c>
      <c r="J166" s="81" t="e">
        <f t="shared" si="35"/>
        <v>#REF!</v>
      </c>
      <c r="L166" s="82" t="e">
        <f t="shared" si="36"/>
        <v>#REF!</v>
      </c>
      <c r="M166" s="81" t="e">
        <f t="shared" si="39"/>
        <v>#REF!</v>
      </c>
      <c r="N166" s="81" t="e">
        <f t="shared" si="37"/>
        <v>#REF!</v>
      </c>
      <c r="O166" s="81" t="e">
        <f t="shared" si="38"/>
        <v>#REF!</v>
      </c>
      <c r="Q166" s="83" t="str">
        <f t="shared" si="40"/>
        <v/>
      </c>
      <c r="R166" s="84" t="e">
        <f t="shared" si="28"/>
        <v>#REF!</v>
      </c>
      <c r="S166" s="83" t="e">
        <f t="shared" si="28"/>
        <v>#REF!</v>
      </c>
      <c r="T166" s="84" t="e">
        <f t="shared" si="29"/>
        <v>#REF!</v>
      </c>
      <c r="U166" s="84" t="e">
        <f t="shared" si="30"/>
        <v>#REF!</v>
      </c>
      <c r="V166" s="85" t="e">
        <f>#REF!</f>
        <v>#REF!</v>
      </c>
      <c r="W166" s="86">
        <f t="shared" si="31"/>
        <v>0</v>
      </c>
      <c r="X166" s="86">
        <f t="shared" si="31"/>
        <v>0</v>
      </c>
      <c r="Y166" s="87">
        <f t="shared" si="32"/>
        <v>0</v>
      </c>
      <c r="Z166" s="87">
        <f t="shared" si="33"/>
        <v>0</v>
      </c>
      <c r="AA166" s="87">
        <f t="shared" si="34"/>
        <v>4</v>
      </c>
    </row>
    <row r="167" spans="9:27">
      <c r="I167" s="81" t="e">
        <f>IF(#REF!&lt;&gt;"",#REF!,"")</f>
        <v>#REF!</v>
      </c>
      <c r="J167" s="81" t="e">
        <f t="shared" si="35"/>
        <v>#REF!</v>
      </c>
      <c r="L167" s="82" t="e">
        <f t="shared" si="36"/>
        <v>#REF!</v>
      </c>
      <c r="M167" s="81" t="e">
        <f t="shared" si="39"/>
        <v>#REF!</v>
      </c>
      <c r="N167" s="81" t="e">
        <f t="shared" si="37"/>
        <v>#REF!</v>
      </c>
      <c r="O167" s="81" t="e">
        <f t="shared" si="38"/>
        <v>#REF!</v>
      </c>
      <c r="Q167" s="83" t="str">
        <f t="shared" si="40"/>
        <v/>
      </c>
      <c r="R167" s="84" t="e">
        <f t="shared" si="28"/>
        <v>#REF!</v>
      </c>
      <c r="S167" s="83" t="e">
        <f t="shared" si="28"/>
        <v>#REF!</v>
      </c>
      <c r="T167" s="84" t="e">
        <f t="shared" si="29"/>
        <v>#REF!</v>
      </c>
      <c r="U167" s="84" t="e">
        <f t="shared" si="30"/>
        <v>#REF!</v>
      </c>
      <c r="V167" s="85" t="e">
        <f>#REF!</f>
        <v>#REF!</v>
      </c>
      <c r="W167" s="86">
        <f t="shared" si="31"/>
        <v>0</v>
      </c>
      <c r="X167" s="86">
        <f t="shared" si="31"/>
        <v>0</v>
      </c>
      <c r="Y167" s="87">
        <f t="shared" si="32"/>
        <v>0</v>
      </c>
      <c r="Z167" s="87">
        <f t="shared" si="33"/>
        <v>0</v>
      </c>
      <c r="AA167" s="87">
        <f t="shared" si="34"/>
        <v>4</v>
      </c>
    </row>
    <row r="168" spans="9:27">
      <c r="I168" s="81" t="e">
        <f>IF(#REF!&lt;&gt;"",#REF!,"")</f>
        <v>#REF!</v>
      </c>
      <c r="J168" s="81" t="e">
        <f t="shared" si="35"/>
        <v>#REF!</v>
      </c>
      <c r="L168" s="82" t="e">
        <f t="shared" si="36"/>
        <v>#REF!</v>
      </c>
      <c r="M168" s="81" t="e">
        <f t="shared" si="39"/>
        <v>#REF!</v>
      </c>
      <c r="N168" s="81" t="e">
        <f t="shared" si="37"/>
        <v>#REF!</v>
      </c>
      <c r="O168" s="81" t="e">
        <f t="shared" si="38"/>
        <v>#REF!</v>
      </c>
      <c r="Q168" s="83" t="str">
        <f t="shared" si="40"/>
        <v/>
      </c>
      <c r="R168" s="84" t="e">
        <f t="shared" si="28"/>
        <v>#REF!</v>
      </c>
      <c r="S168" s="83" t="e">
        <f t="shared" si="28"/>
        <v>#REF!</v>
      </c>
      <c r="T168" s="84" t="e">
        <f t="shared" si="29"/>
        <v>#REF!</v>
      </c>
      <c r="U168" s="84" t="e">
        <f t="shared" si="30"/>
        <v>#REF!</v>
      </c>
      <c r="V168" s="85" t="e">
        <f>#REF!</f>
        <v>#REF!</v>
      </c>
      <c r="W168" s="86">
        <f t="shared" si="31"/>
        <v>0</v>
      </c>
      <c r="X168" s="86">
        <f t="shared" si="31"/>
        <v>0</v>
      </c>
      <c r="Y168" s="87">
        <f t="shared" si="32"/>
        <v>0</v>
      </c>
      <c r="Z168" s="87">
        <f t="shared" si="33"/>
        <v>0</v>
      </c>
      <c r="AA168" s="87">
        <f t="shared" si="34"/>
        <v>4</v>
      </c>
    </row>
    <row r="169" spans="9:27">
      <c r="I169" s="81" t="e">
        <f>IF(#REF!&lt;&gt;"",#REF!,"")</f>
        <v>#REF!</v>
      </c>
      <c r="J169" s="81" t="e">
        <f t="shared" si="35"/>
        <v>#REF!</v>
      </c>
      <c r="L169" s="82" t="e">
        <f t="shared" si="36"/>
        <v>#REF!</v>
      </c>
      <c r="M169" s="81" t="e">
        <f t="shared" si="39"/>
        <v>#REF!</v>
      </c>
      <c r="N169" s="81" t="e">
        <f t="shared" si="37"/>
        <v>#REF!</v>
      </c>
      <c r="O169" s="81" t="e">
        <f t="shared" si="38"/>
        <v>#REF!</v>
      </c>
      <c r="Q169" s="83" t="str">
        <f t="shared" si="40"/>
        <v/>
      </c>
      <c r="R169" s="84" t="e">
        <f t="shared" si="28"/>
        <v>#REF!</v>
      </c>
      <c r="S169" s="83" t="e">
        <f t="shared" si="28"/>
        <v>#REF!</v>
      </c>
      <c r="T169" s="84" t="e">
        <f t="shared" si="29"/>
        <v>#REF!</v>
      </c>
      <c r="U169" s="84" t="e">
        <f t="shared" si="30"/>
        <v>#REF!</v>
      </c>
      <c r="V169" s="85" t="e">
        <f>#REF!</f>
        <v>#REF!</v>
      </c>
      <c r="W169" s="86">
        <f t="shared" si="31"/>
        <v>0</v>
      </c>
      <c r="X169" s="86">
        <f t="shared" si="31"/>
        <v>0</v>
      </c>
      <c r="Y169" s="87">
        <f t="shared" si="32"/>
        <v>0</v>
      </c>
      <c r="Z169" s="87">
        <f t="shared" si="33"/>
        <v>0</v>
      </c>
      <c r="AA169" s="87">
        <f t="shared" si="34"/>
        <v>4</v>
      </c>
    </row>
    <row r="170" spans="9:27">
      <c r="I170" s="81" t="e">
        <f>IF(#REF!&lt;&gt;"",#REF!,"")</f>
        <v>#REF!</v>
      </c>
      <c r="J170" s="81" t="e">
        <f t="shared" si="35"/>
        <v>#REF!</v>
      </c>
      <c r="L170" s="82" t="e">
        <f t="shared" si="36"/>
        <v>#REF!</v>
      </c>
      <c r="M170" s="81" t="e">
        <f t="shared" si="39"/>
        <v>#REF!</v>
      </c>
      <c r="N170" s="81" t="e">
        <f t="shared" si="37"/>
        <v>#REF!</v>
      </c>
      <c r="O170" s="81" t="e">
        <f t="shared" si="38"/>
        <v>#REF!</v>
      </c>
      <c r="Q170" s="83" t="str">
        <f t="shared" si="40"/>
        <v/>
      </c>
      <c r="R170" s="84" t="e">
        <f t="shared" si="28"/>
        <v>#REF!</v>
      </c>
      <c r="S170" s="83" t="e">
        <f t="shared" si="28"/>
        <v>#REF!</v>
      </c>
      <c r="T170" s="84" t="e">
        <f t="shared" si="29"/>
        <v>#REF!</v>
      </c>
      <c r="U170" s="84" t="e">
        <f t="shared" si="30"/>
        <v>#REF!</v>
      </c>
      <c r="V170" s="85" t="e">
        <f>#REF!</f>
        <v>#REF!</v>
      </c>
      <c r="W170" s="86">
        <f t="shared" si="31"/>
        <v>0</v>
      </c>
      <c r="X170" s="86">
        <f t="shared" si="31"/>
        <v>0</v>
      </c>
      <c r="Y170" s="87">
        <f t="shared" si="32"/>
        <v>0</v>
      </c>
      <c r="Z170" s="87">
        <f t="shared" si="33"/>
        <v>0</v>
      </c>
      <c r="AA170" s="87">
        <f t="shared" si="34"/>
        <v>4</v>
      </c>
    </row>
    <row r="171" spans="9:27">
      <c r="I171" s="81" t="e">
        <f>IF(#REF!&lt;&gt;"",#REF!,"")</f>
        <v>#REF!</v>
      </c>
      <c r="J171" s="81" t="e">
        <f t="shared" si="35"/>
        <v>#REF!</v>
      </c>
      <c r="L171" s="82" t="e">
        <f t="shared" si="36"/>
        <v>#REF!</v>
      </c>
      <c r="M171" s="81" t="e">
        <f t="shared" si="39"/>
        <v>#REF!</v>
      </c>
      <c r="N171" s="81" t="e">
        <f t="shared" si="37"/>
        <v>#REF!</v>
      </c>
      <c r="O171" s="81" t="e">
        <f t="shared" si="38"/>
        <v>#REF!</v>
      </c>
      <c r="Q171" s="83" t="str">
        <f t="shared" si="40"/>
        <v/>
      </c>
      <c r="R171" s="84" t="e">
        <f t="shared" si="28"/>
        <v>#REF!</v>
      </c>
      <c r="S171" s="83" t="e">
        <f t="shared" si="28"/>
        <v>#REF!</v>
      </c>
      <c r="T171" s="84" t="e">
        <f t="shared" si="29"/>
        <v>#REF!</v>
      </c>
      <c r="U171" s="84" t="e">
        <f t="shared" si="30"/>
        <v>#REF!</v>
      </c>
      <c r="V171" s="85" t="e">
        <f>#REF!</f>
        <v>#REF!</v>
      </c>
      <c r="W171" s="86">
        <f t="shared" si="31"/>
        <v>0</v>
      </c>
      <c r="X171" s="86">
        <f t="shared" si="31"/>
        <v>0</v>
      </c>
      <c r="Y171" s="87">
        <f t="shared" si="32"/>
        <v>0</v>
      </c>
      <c r="Z171" s="87">
        <f t="shared" si="33"/>
        <v>0</v>
      </c>
      <c r="AA171" s="87">
        <f t="shared" si="34"/>
        <v>4</v>
      </c>
    </row>
    <row r="172" spans="9:27">
      <c r="I172" s="81" t="e">
        <f>IF(#REF!&lt;&gt;"",#REF!,"")</f>
        <v>#REF!</v>
      </c>
      <c r="J172" s="81" t="e">
        <f t="shared" si="35"/>
        <v>#REF!</v>
      </c>
      <c r="L172" s="82" t="e">
        <f t="shared" si="36"/>
        <v>#REF!</v>
      </c>
      <c r="M172" s="81" t="e">
        <f t="shared" si="39"/>
        <v>#REF!</v>
      </c>
      <c r="N172" s="81" t="e">
        <f t="shared" si="37"/>
        <v>#REF!</v>
      </c>
      <c r="O172" s="81" t="e">
        <f t="shared" si="38"/>
        <v>#REF!</v>
      </c>
      <c r="Q172" s="83" t="str">
        <f t="shared" si="40"/>
        <v/>
      </c>
      <c r="R172" s="84" t="e">
        <f t="shared" si="28"/>
        <v>#REF!</v>
      </c>
      <c r="S172" s="83" t="e">
        <f t="shared" si="28"/>
        <v>#REF!</v>
      </c>
      <c r="T172" s="84" t="e">
        <f t="shared" si="29"/>
        <v>#REF!</v>
      </c>
      <c r="U172" s="84" t="e">
        <f t="shared" si="30"/>
        <v>#REF!</v>
      </c>
      <c r="V172" s="85" t="e">
        <f>#REF!</f>
        <v>#REF!</v>
      </c>
      <c r="W172" s="86">
        <f t="shared" si="31"/>
        <v>0</v>
      </c>
      <c r="X172" s="86">
        <f t="shared" si="31"/>
        <v>0</v>
      </c>
      <c r="Y172" s="87">
        <f t="shared" si="32"/>
        <v>0</v>
      </c>
      <c r="Z172" s="87">
        <f t="shared" si="33"/>
        <v>0</v>
      </c>
      <c r="AA172" s="87">
        <f t="shared" si="34"/>
        <v>4</v>
      </c>
    </row>
    <row r="173" spans="9:27">
      <c r="I173" s="81" t="e">
        <f>IF(#REF!&lt;&gt;"",#REF!,"")</f>
        <v>#REF!</v>
      </c>
      <c r="J173" s="81" t="e">
        <f t="shared" si="35"/>
        <v>#REF!</v>
      </c>
      <c r="L173" s="82" t="e">
        <f t="shared" si="36"/>
        <v>#REF!</v>
      </c>
      <c r="M173" s="81" t="e">
        <f t="shared" si="39"/>
        <v>#REF!</v>
      </c>
      <c r="N173" s="81" t="e">
        <f t="shared" si="37"/>
        <v>#REF!</v>
      </c>
      <c r="O173" s="81" t="e">
        <f t="shared" si="38"/>
        <v>#REF!</v>
      </c>
      <c r="Q173" s="83" t="str">
        <f t="shared" si="40"/>
        <v/>
      </c>
      <c r="R173" s="84" t="e">
        <f t="shared" si="28"/>
        <v>#REF!</v>
      </c>
      <c r="S173" s="83" t="e">
        <f t="shared" si="28"/>
        <v>#REF!</v>
      </c>
      <c r="T173" s="84" t="e">
        <f t="shared" si="29"/>
        <v>#REF!</v>
      </c>
      <c r="U173" s="84" t="e">
        <f t="shared" si="30"/>
        <v>#REF!</v>
      </c>
      <c r="V173" s="85" t="e">
        <f>#REF!</f>
        <v>#REF!</v>
      </c>
      <c r="W173" s="86">
        <f t="shared" si="31"/>
        <v>0</v>
      </c>
      <c r="X173" s="86">
        <f t="shared" si="31"/>
        <v>0</v>
      </c>
      <c r="Y173" s="87">
        <f t="shared" si="32"/>
        <v>0</v>
      </c>
      <c r="Z173" s="87">
        <f t="shared" si="33"/>
        <v>0</v>
      </c>
      <c r="AA173" s="87">
        <f t="shared" si="34"/>
        <v>4</v>
      </c>
    </row>
    <row r="174" spans="9:27">
      <c r="I174" s="81" t="e">
        <f>IF(#REF!&lt;&gt;"",#REF!,"")</f>
        <v>#REF!</v>
      </c>
      <c r="J174" s="81" t="e">
        <f t="shared" si="35"/>
        <v>#REF!</v>
      </c>
      <c r="L174" s="82" t="e">
        <f t="shared" si="36"/>
        <v>#REF!</v>
      </c>
      <c r="M174" s="81" t="e">
        <f t="shared" si="39"/>
        <v>#REF!</v>
      </c>
      <c r="N174" s="81" t="e">
        <f t="shared" si="37"/>
        <v>#REF!</v>
      </c>
      <c r="O174" s="81" t="e">
        <f t="shared" si="38"/>
        <v>#REF!</v>
      </c>
      <c r="Q174" s="83" t="str">
        <f t="shared" si="40"/>
        <v/>
      </c>
      <c r="R174" s="84" t="e">
        <f t="shared" si="28"/>
        <v>#REF!</v>
      </c>
      <c r="S174" s="83" t="e">
        <f t="shared" si="28"/>
        <v>#REF!</v>
      </c>
      <c r="T174" s="84" t="e">
        <f t="shared" si="29"/>
        <v>#REF!</v>
      </c>
      <c r="U174" s="84" t="e">
        <f t="shared" si="30"/>
        <v>#REF!</v>
      </c>
      <c r="V174" s="85" t="e">
        <f>#REF!</f>
        <v>#REF!</v>
      </c>
      <c r="W174" s="86">
        <f t="shared" si="31"/>
        <v>0</v>
      </c>
      <c r="X174" s="86">
        <f t="shared" si="31"/>
        <v>0</v>
      </c>
      <c r="Y174" s="87">
        <f t="shared" si="32"/>
        <v>0</v>
      </c>
      <c r="Z174" s="87">
        <f t="shared" si="33"/>
        <v>0</v>
      </c>
      <c r="AA174" s="87">
        <f t="shared" si="34"/>
        <v>4</v>
      </c>
    </row>
    <row r="175" spans="9:27">
      <c r="I175" s="81" t="e">
        <f>IF(#REF!&lt;&gt;"",#REF!,"")</f>
        <v>#REF!</v>
      </c>
      <c r="J175" s="81" t="e">
        <f t="shared" si="35"/>
        <v>#REF!</v>
      </c>
      <c r="L175" s="82" t="e">
        <f t="shared" si="36"/>
        <v>#REF!</v>
      </c>
      <c r="M175" s="81" t="e">
        <f t="shared" si="39"/>
        <v>#REF!</v>
      </c>
      <c r="N175" s="81" t="e">
        <f t="shared" si="37"/>
        <v>#REF!</v>
      </c>
      <c r="O175" s="81" t="e">
        <f t="shared" si="38"/>
        <v>#REF!</v>
      </c>
      <c r="Q175" s="83" t="str">
        <f t="shared" si="40"/>
        <v/>
      </c>
      <c r="R175" s="84" t="e">
        <f t="shared" si="28"/>
        <v>#REF!</v>
      </c>
      <c r="S175" s="83" t="e">
        <f t="shared" si="28"/>
        <v>#REF!</v>
      </c>
      <c r="T175" s="84" t="e">
        <f t="shared" si="29"/>
        <v>#REF!</v>
      </c>
      <c r="U175" s="84" t="e">
        <f t="shared" si="30"/>
        <v>#REF!</v>
      </c>
      <c r="V175" s="85" t="e">
        <f>#REF!</f>
        <v>#REF!</v>
      </c>
      <c r="W175" s="86">
        <f t="shared" si="31"/>
        <v>0</v>
      </c>
      <c r="X175" s="86">
        <f t="shared" si="31"/>
        <v>0</v>
      </c>
      <c r="Y175" s="87">
        <f t="shared" si="32"/>
        <v>0</v>
      </c>
      <c r="Z175" s="87">
        <f t="shared" si="33"/>
        <v>0</v>
      </c>
      <c r="AA175" s="87">
        <f t="shared" si="34"/>
        <v>4</v>
      </c>
    </row>
    <row r="176" spans="9:27">
      <c r="I176" s="81" t="e">
        <f>IF(#REF!&lt;&gt;"",#REF!,"")</f>
        <v>#REF!</v>
      </c>
      <c r="J176" s="81" t="e">
        <f t="shared" si="35"/>
        <v>#REF!</v>
      </c>
      <c r="L176" s="82" t="e">
        <f t="shared" si="36"/>
        <v>#REF!</v>
      </c>
      <c r="M176" s="81" t="e">
        <f t="shared" si="39"/>
        <v>#REF!</v>
      </c>
      <c r="N176" s="81" t="e">
        <f t="shared" si="37"/>
        <v>#REF!</v>
      </c>
      <c r="O176" s="81" t="e">
        <f t="shared" si="38"/>
        <v>#REF!</v>
      </c>
      <c r="Q176" s="83" t="str">
        <f t="shared" si="40"/>
        <v/>
      </c>
      <c r="R176" s="84" t="e">
        <f t="shared" si="28"/>
        <v>#REF!</v>
      </c>
      <c r="S176" s="83" t="e">
        <f t="shared" si="28"/>
        <v>#REF!</v>
      </c>
      <c r="T176" s="84" t="e">
        <f t="shared" si="29"/>
        <v>#REF!</v>
      </c>
      <c r="U176" s="84" t="e">
        <f t="shared" si="30"/>
        <v>#REF!</v>
      </c>
      <c r="V176" s="85" t="e">
        <f>#REF!</f>
        <v>#REF!</v>
      </c>
      <c r="W176" s="86">
        <f t="shared" si="31"/>
        <v>0</v>
      </c>
      <c r="X176" s="86">
        <f t="shared" si="31"/>
        <v>0</v>
      </c>
      <c r="Y176" s="87">
        <f t="shared" si="32"/>
        <v>0</v>
      </c>
      <c r="Z176" s="87">
        <f t="shared" si="33"/>
        <v>0</v>
      </c>
      <c r="AA176" s="87">
        <f t="shared" si="34"/>
        <v>4</v>
      </c>
    </row>
    <row r="177" spans="9:27">
      <c r="I177" s="81" t="e">
        <f>IF(#REF!&lt;&gt;"",#REF!,"")</f>
        <v>#REF!</v>
      </c>
      <c r="J177" s="81" t="e">
        <f t="shared" si="35"/>
        <v>#REF!</v>
      </c>
      <c r="L177" s="82" t="e">
        <f t="shared" si="36"/>
        <v>#REF!</v>
      </c>
      <c r="M177" s="81" t="e">
        <f t="shared" si="39"/>
        <v>#REF!</v>
      </c>
      <c r="N177" s="81" t="e">
        <f t="shared" si="37"/>
        <v>#REF!</v>
      </c>
      <c r="O177" s="81" t="e">
        <f t="shared" si="38"/>
        <v>#REF!</v>
      </c>
      <c r="Q177" s="83" t="str">
        <f t="shared" si="40"/>
        <v/>
      </c>
      <c r="R177" s="84" t="e">
        <f t="shared" si="28"/>
        <v>#REF!</v>
      </c>
      <c r="S177" s="83" t="e">
        <f t="shared" si="28"/>
        <v>#REF!</v>
      </c>
      <c r="T177" s="84" t="e">
        <f t="shared" si="29"/>
        <v>#REF!</v>
      </c>
      <c r="U177" s="84" t="e">
        <f t="shared" si="30"/>
        <v>#REF!</v>
      </c>
      <c r="V177" s="85" t="e">
        <f>#REF!</f>
        <v>#REF!</v>
      </c>
      <c r="W177" s="86">
        <f t="shared" si="31"/>
        <v>0</v>
      </c>
      <c r="X177" s="86">
        <f t="shared" si="31"/>
        <v>0</v>
      </c>
      <c r="Y177" s="87">
        <f t="shared" si="32"/>
        <v>0</v>
      </c>
      <c r="Z177" s="87">
        <f t="shared" si="33"/>
        <v>0</v>
      </c>
      <c r="AA177" s="87">
        <f t="shared" si="34"/>
        <v>4</v>
      </c>
    </row>
    <row r="178" spans="9:27">
      <c r="I178" s="81" t="e">
        <f>IF(#REF!&lt;&gt;"",#REF!,"")</f>
        <v>#REF!</v>
      </c>
      <c r="J178" s="81" t="e">
        <f t="shared" si="35"/>
        <v>#REF!</v>
      </c>
      <c r="L178" s="82" t="e">
        <f t="shared" si="36"/>
        <v>#REF!</v>
      </c>
      <c r="M178" s="81" t="e">
        <f t="shared" si="39"/>
        <v>#REF!</v>
      </c>
      <c r="N178" s="81" t="e">
        <f t="shared" si="37"/>
        <v>#REF!</v>
      </c>
      <c r="O178" s="81" t="e">
        <f t="shared" si="38"/>
        <v>#REF!</v>
      </c>
      <c r="Q178" s="83" t="str">
        <f t="shared" si="40"/>
        <v/>
      </c>
      <c r="R178" s="84" t="e">
        <f t="shared" si="28"/>
        <v>#REF!</v>
      </c>
      <c r="S178" s="83" t="e">
        <f t="shared" si="28"/>
        <v>#REF!</v>
      </c>
      <c r="T178" s="84" t="e">
        <f t="shared" si="29"/>
        <v>#REF!</v>
      </c>
      <c r="U178" s="84" t="e">
        <f t="shared" si="30"/>
        <v>#REF!</v>
      </c>
      <c r="V178" s="85" t="e">
        <f>#REF!</f>
        <v>#REF!</v>
      </c>
      <c r="W178" s="86">
        <f t="shared" si="31"/>
        <v>0</v>
      </c>
      <c r="X178" s="86">
        <f t="shared" si="31"/>
        <v>0</v>
      </c>
      <c r="Y178" s="87">
        <f t="shared" si="32"/>
        <v>0</v>
      </c>
      <c r="Z178" s="87">
        <f t="shared" si="33"/>
        <v>0</v>
      </c>
      <c r="AA178" s="87">
        <f t="shared" si="34"/>
        <v>4</v>
      </c>
    </row>
    <row r="179" spans="9:27">
      <c r="I179" s="81" t="e">
        <f>IF(#REF!&lt;&gt;"",#REF!,"")</f>
        <v>#REF!</v>
      </c>
      <c r="J179" s="81" t="e">
        <f t="shared" si="35"/>
        <v>#REF!</v>
      </c>
      <c r="L179" s="82" t="e">
        <f t="shared" si="36"/>
        <v>#REF!</v>
      </c>
      <c r="M179" s="81" t="e">
        <f t="shared" si="39"/>
        <v>#REF!</v>
      </c>
      <c r="N179" s="81" t="e">
        <f t="shared" si="37"/>
        <v>#REF!</v>
      </c>
      <c r="O179" s="81" t="e">
        <f t="shared" si="38"/>
        <v>#REF!</v>
      </c>
      <c r="Q179" s="83" t="str">
        <f t="shared" si="40"/>
        <v/>
      </c>
      <c r="R179" s="84" t="e">
        <f t="shared" si="28"/>
        <v>#REF!</v>
      </c>
      <c r="S179" s="83" t="e">
        <f t="shared" si="28"/>
        <v>#REF!</v>
      </c>
      <c r="T179" s="84" t="e">
        <f t="shared" si="29"/>
        <v>#REF!</v>
      </c>
      <c r="U179" s="84" t="e">
        <f t="shared" si="30"/>
        <v>#REF!</v>
      </c>
      <c r="V179" s="85" t="e">
        <f>#REF!</f>
        <v>#REF!</v>
      </c>
      <c r="W179" s="86">
        <f t="shared" si="31"/>
        <v>0</v>
      </c>
      <c r="X179" s="86">
        <f t="shared" si="31"/>
        <v>0</v>
      </c>
      <c r="Y179" s="87">
        <f t="shared" si="32"/>
        <v>0</v>
      </c>
      <c r="Z179" s="87">
        <f t="shared" si="33"/>
        <v>0</v>
      </c>
      <c r="AA179" s="87">
        <f t="shared" si="34"/>
        <v>4</v>
      </c>
    </row>
    <row r="180" spans="9:27">
      <c r="I180" s="81" t="e">
        <f>IF(#REF!&lt;&gt;"",#REF!,"")</f>
        <v>#REF!</v>
      </c>
      <c r="J180" s="81" t="e">
        <f t="shared" si="35"/>
        <v>#REF!</v>
      </c>
      <c r="L180" s="82" t="e">
        <f t="shared" si="36"/>
        <v>#REF!</v>
      </c>
      <c r="M180" s="81" t="e">
        <f t="shared" si="39"/>
        <v>#REF!</v>
      </c>
      <c r="N180" s="81" t="e">
        <f t="shared" si="37"/>
        <v>#REF!</v>
      </c>
      <c r="O180" s="81" t="e">
        <f t="shared" si="38"/>
        <v>#REF!</v>
      </c>
      <c r="Q180" s="83" t="str">
        <f t="shared" si="40"/>
        <v/>
      </c>
      <c r="R180" s="84" t="e">
        <f t="shared" si="28"/>
        <v>#REF!</v>
      </c>
      <c r="S180" s="83" t="e">
        <f t="shared" si="28"/>
        <v>#REF!</v>
      </c>
      <c r="T180" s="84" t="e">
        <f t="shared" si="29"/>
        <v>#REF!</v>
      </c>
      <c r="U180" s="84" t="e">
        <f t="shared" si="30"/>
        <v>#REF!</v>
      </c>
      <c r="V180" s="85" t="e">
        <f>#REF!</f>
        <v>#REF!</v>
      </c>
      <c r="W180" s="86">
        <f t="shared" si="31"/>
        <v>0</v>
      </c>
      <c r="X180" s="86">
        <f t="shared" si="31"/>
        <v>0</v>
      </c>
      <c r="Y180" s="87">
        <f t="shared" si="32"/>
        <v>0</v>
      </c>
      <c r="Z180" s="87">
        <f t="shared" si="33"/>
        <v>0</v>
      </c>
      <c r="AA180" s="87">
        <f t="shared" si="34"/>
        <v>4</v>
      </c>
    </row>
    <row r="181" spans="9:27">
      <c r="I181" s="81" t="e">
        <f>IF(#REF!&lt;&gt;"",#REF!,"")</f>
        <v>#REF!</v>
      </c>
      <c r="J181" s="81" t="e">
        <f t="shared" si="35"/>
        <v>#REF!</v>
      </c>
      <c r="L181" s="82" t="e">
        <f t="shared" si="36"/>
        <v>#REF!</v>
      </c>
      <c r="M181" s="81" t="e">
        <f t="shared" si="39"/>
        <v>#REF!</v>
      </c>
      <c r="N181" s="81" t="e">
        <f t="shared" si="37"/>
        <v>#REF!</v>
      </c>
      <c r="O181" s="81" t="e">
        <f t="shared" si="38"/>
        <v>#REF!</v>
      </c>
      <c r="Q181" s="83" t="str">
        <f t="shared" si="40"/>
        <v/>
      </c>
      <c r="R181" s="84" t="e">
        <f t="shared" si="28"/>
        <v>#REF!</v>
      </c>
      <c r="S181" s="83" t="e">
        <f t="shared" si="28"/>
        <v>#REF!</v>
      </c>
      <c r="T181" s="84" t="e">
        <f t="shared" si="29"/>
        <v>#REF!</v>
      </c>
      <c r="U181" s="84" t="e">
        <f t="shared" si="30"/>
        <v>#REF!</v>
      </c>
      <c r="V181" s="85" t="e">
        <f>#REF!</f>
        <v>#REF!</v>
      </c>
      <c r="W181" s="86">
        <f t="shared" si="31"/>
        <v>0</v>
      </c>
      <c r="X181" s="86">
        <f t="shared" si="31"/>
        <v>0</v>
      </c>
      <c r="Y181" s="87">
        <f t="shared" si="32"/>
        <v>0</v>
      </c>
      <c r="Z181" s="87">
        <f t="shared" si="33"/>
        <v>0</v>
      </c>
      <c r="AA181" s="87">
        <f t="shared" si="34"/>
        <v>4</v>
      </c>
    </row>
    <row r="182" spans="9:27">
      <c r="I182" s="81" t="e">
        <f>IF(#REF!&lt;&gt;"",#REF!,"")</f>
        <v>#REF!</v>
      </c>
      <c r="J182" s="81" t="e">
        <f t="shared" si="35"/>
        <v>#REF!</v>
      </c>
      <c r="L182" s="82" t="e">
        <f t="shared" si="36"/>
        <v>#REF!</v>
      </c>
      <c r="M182" s="81" t="e">
        <f t="shared" si="39"/>
        <v>#REF!</v>
      </c>
      <c r="N182" s="81" t="e">
        <f t="shared" si="37"/>
        <v>#REF!</v>
      </c>
      <c r="O182" s="81" t="e">
        <f t="shared" si="38"/>
        <v>#REF!</v>
      </c>
      <c r="Q182" s="83" t="str">
        <f t="shared" si="40"/>
        <v/>
      </c>
      <c r="R182" s="84" t="e">
        <f t="shared" si="28"/>
        <v>#REF!</v>
      </c>
      <c r="S182" s="83" t="e">
        <f t="shared" si="28"/>
        <v>#REF!</v>
      </c>
      <c r="T182" s="84" t="e">
        <f t="shared" si="29"/>
        <v>#REF!</v>
      </c>
      <c r="U182" s="84" t="e">
        <f t="shared" si="30"/>
        <v>#REF!</v>
      </c>
      <c r="V182" s="85" t="e">
        <f>#REF!</f>
        <v>#REF!</v>
      </c>
      <c r="W182" s="86">
        <f t="shared" si="31"/>
        <v>0</v>
      </c>
      <c r="X182" s="86">
        <f t="shared" si="31"/>
        <v>0</v>
      </c>
      <c r="Y182" s="87">
        <f t="shared" si="32"/>
        <v>0</v>
      </c>
      <c r="Z182" s="87">
        <f t="shared" si="33"/>
        <v>0</v>
      </c>
      <c r="AA182" s="87">
        <f t="shared" si="34"/>
        <v>4</v>
      </c>
    </row>
    <row r="183" spans="9:27">
      <c r="I183" s="81" t="e">
        <f>IF(#REF!&lt;&gt;"",#REF!,"")</f>
        <v>#REF!</v>
      </c>
      <c r="J183" s="81" t="e">
        <f t="shared" si="35"/>
        <v>#REF!</v>
      </c>
      <c r="L183" s="82" t="e">
        <f t="shared" si="36"/>
        <v>#REF!</v>
      </c>
      <c r="M183" s="81" t="e">
        <f t="shared" si="39"/>
        <v>#REF!</v>
      </c>
      <c r="N183" s="81" t="e">
        <f t="shared" si="37"/>
        <v>#REF!</v>
      </c>
      <c r="O183" s="81" t="e">
        <f t="shared" si="38"/>
        <v>#REF!</v>
      </c>
      <c r="Q183" s="83" t="str">
        <f t="shared" si="40"/>
        <v/>
      </c>
      <c r="R183" s="84" t="e">
        <f t="shared" si="28"/>
        <v>#REF!</v>
      </c>
      <c r="S183" s="83" t="e">
        <f t="shared" si="28"/>
        <v>#REF!</v>
      </c>
      <c r="T183" s="84" t="e">
        <f t="shared" si="29"/>
        <v>#REF!</v>
      </c>
      <c r="U183" s="84" t="e">
        <f t="shared" si="30"/>
        <v>#REF!</v>
      </c>
      <c r="V183" s="85" t="e">
        <f>#REF!</f>
        <v>#REF!</v>
      </c>
      <c r="W183" s="86">
        <f t="shared" si="31"/>
        <v>0</v>
      </c>
      <c r="X183" s="86">
        <f t="shared" si="31"/>
        <v>0</v>
      </c>
      <c r="Y183" s="87">
        <f t="shared" si="32"/>
        <v>0</v>
      </c>
      <c r="Z183" s="87">
        <f t="shared" si="33"/>
        <v>0</v>
      </c>
      <c r="AA183" s="87">
        <f t="shared" si="34"/>
        <v>4</v>
      </c>
    </row>
    <row r="184" spans="9:27">
      <c r="I184" s="81" t="e">
        <f>IF(#REF!&lt;&gt;"",#REF!,"")</f>
        <v>#REF!</v>
      </c>
      <c r="J184" s="81" t="e">
        <f t="shared" si="35"/>
        <v>#REF!</v>
      </c>
      <c r="L184" s="82" t="e">
        <f t="shared" si="36"/>
        <v>#REF!</v>
      </c>
      <c r="M184" s="81" t="e">
        <f t="shared" si="39"/>
        <v>#REF!</v>
      </c>
      <c r="N184" s="81" t="e">
        <f t="shared" si="37"/>
        <v>#REF!</v>
      </c>
      <c r="O184" s="81" t="e">
        <f t="shared" si="38"/>
        <v>#REF!</v>
      </c>
      <c r="Q184" s="83" t="str">
        <f t="shared" si="40"/>
        <v/>
      </c>
      <c r="R184" s="84" t="e">
        <f t="shared" si="28"/>
        <v>#REF!</v>
      </c>
      <c r="S184" s="83" t="e">
        <f t="shared" si="28"/>
        <v>#REF!</v>
      </c>
      <c r="T184" s="84" t="e">
        <f t="shared" si="29"/>
        <v>#REF!</v>
      </c>
      <c r="U184" s="84" t="e">
        <f t="shared" si="30"/>
        <v>#REF!</v>
      </c>
      <c r="V184" s="85" t="e">
        <f>#REF!</f>
        <v>#REF!</v>
      </c>
      <c r="W184" s="86">
        <f t="shared" si="31"/>
        <v>0</v>
      </c>
      <c r="X184" s="86">
        <f t="shared" si="31"/>
        <v>0</v>
      </c>
      <c r="Y184" s="87">
        <f t="shared" si="32"/>
        <v>0</v>
      </c>
      <c r="Z184" s="87">
        <f t="shared" si="33"/>
        <v>0</v>
      </c>
      <c r="AA184" s="87">
        <f t="shared" si="34"/>
        <v>4</v>
      </c>
    </row>
    <row r="185" spans="9:27">
      <c r="I185" s="81" t="e">
        <f>IF(#REF!&lt;&gt;"",#REF!,"")</f>
        <v>#REF!</v>
      </c>
      <c r="J185" s="81" t="e">
        <f t="shared" si="35"/>
        <v>#REF!</v>
      </c>
      <c r="L185" s="82" t="e">
        <f t="shared" si="36"/>
        <v>#REF!</v>
      </c>
      <c r="M185" s="81" t="e">
        <f t="shared" si="39"/>
        <v>#REF!</v>
      </c>
      <c r="N185" s="81" t="e">
        <f t="shared" si="37"/>
        <v>#REF!</v>
      </c>
      <c r="O185" s="81" t="e">
        <f t="shared" si="38"/>
        <v>#REF!</v>
      </c>
      <c r="Q185" s="83" t="str">
        <f t="shared" si="40"/>
        <v/>
      </c>
      <c r="R185" s="84" t="e">
        <f t="shared" si="28"/>
        <v>#REF!</v>
      </c>
      <c r="S185" s="83" t="e">
        <f t="shared" si="28"/>
        <v>#REF!</v>
      </c>
      <c r="T185" s="84" t="e">
        <f t="shared" si="29"/>
        <v>#REF!</v>
      </c>
      <c r="U185" s="84" t="e">
        <f t="shared" si="30"/>
        <v>#REF!</v>
      </c>
      <c r="V185" s="85" t="e">
        <f>#REF!</f>
        <v>#REF!</v>
      </c>
      <c r="W185" s="86">
        <f t="shared" si="31"/>
        <v>0</v>
      </c>
      <c r="X185" s="86">
        <f t="shared" si="31"/>
        <v>0</v>
      </c>
      <c r="Y185" s="87">
        <f t="shared" si="32"/>
        <v>0</v>
      </c>
      <c r="Z185" s="87">
        <f t="shared" si="33"/>
        <v>0</v>
      </c>
      <c r="AA185" s="87">
        <f t="shared" si="34"/>
        <v>4</v>
      </c>
    </row>
    <row r="186" spans="9:27">
      <c r="I186" s="81" t="e">
        <f>IF(#REF!&lt;&gt;"",#REF!,"")</f>
        <v>#REF!</v>
      </c>
      <c r="J186" s="81" t="e">
        <f t="shared" si="35"/>
        <v>#REF!</v>
      </c>
      <c r="L186" s="82" t="e">
        <f t="shared" si="36"/>
        <v>#REF!</v>
      </c>
      <c r="M186" s="81" t="e">
        <f t="shared" si="39"/>
        <v>#REF!</v>
      </c>
      <c r="N186" s="81" t="e">
        <f t="shared" si="37"/>
        <v>#REF!</v>
      </c>
      <c r="O186" s="81" t="e">
        <f t="shared" si="38"/>
        <v>#REF!</v>
      </c>
      <c r="Q186" s="83" t="str">
        <f t="shared" si="40"/>
        <v/>
      </c>
      <c r="R186" s="84" t="e">
        <f t="shared" si="28"/>
        <v>#REF!</v>
      </c>
      <c r="S186" s="83" t="e">
        <f t="shared" si="28"/>
        <v>#REF!</v>
      </c>
      <c r="T186" s="84" t="e">
        <f t="shared" si="29"/>
        <v>#REF!</v>
      </c>
      <c r="U186" s="84" t="e">
        <f t="shared" si="30"/>
        <v>#REF!</v>
      </c>
      <c r="V186" s="85" t="e">
        <f>#REF!</f>
        <v>#REF!</v>
      </c>
      <c r="W186" s="86">
        <f t="shared" si="31"/>
        <v>0</v>
      </c>
      <c r="X186" s="86">
        <f t="shared" si="31"/>
        <v>0</v>
      </c>
      <c r="Y186" s="87">
        <f t="shared" si="32"/>
        <v>0</v>
      </c>
      <c r="Z186" s="87">
        <f t="shared" si="33"/>
        <v>0</v>
      </c>
      <c r="AA186" s="87">
        <f t="shared" si="34"/>
        <v>4</v>
      </c>
    </row>
    <row r="187" spans="9:27">
      <c r="I187" s="81" t="e">
        <f>IF(#REF!&lt;&gt;"",#REF!,"")</f>
        <v>#REF!</v>
      </c>
      <c r="J187" s="81" t="e">
        <f t="shared" si="35"/>
        <v>#REF!</v>
      </c>
      <c r="L187" s="82" t="e">
        <f t="shared" si="36"/>
        <v>#REF!</v>
      </c>
      <c r="M187" s="81" t="e">
        <f t="shared" si="39"/>
        <v>#REF!</v>
      </c>
      <c r="N187" s="81" t="e">
        <f t="shared" si="37"/>
        <v>#REF!</v>
      </c>
      <c r="O187" s="81" t="e">
        <f t="shared" si="38"/>
        <v>#REF!</v>
      </c>
      <c r="Q187" s="83" t="str">
        <f t="shared" si="40"/>
        <v/>
      </c>
      <c r="R187" s="84" t="e">
        <f t="shared" si="28"/>
        <v>#REF!</v>
      </c>
      <c r="S187" s="83" t="e">
        <f t="shared" si="28"/>
        <v>#REF!</v>
      </c>
      <c r="T187" s="84" t="e">
        <f t="shared" si="29"/>
        <v>#REF!</v>
      </c>
      <c r="U187" s="84" t="e">
        <f t="shared" si="30"/>
        <v>#REF!</v>
      </c>
      <c r="V187" s="85" t="e">
        <f>#REF!</f>
        <v>#REF!</v>
      </c>
      <c r="W187" s="86">
        <f t="shared" si="31"/>
        <v>0</v>
      </c>
      <c r="X187" s="86">
        <f t="shared" si="31"/>
        <v>0</v>
      </c>
      <c r="Y187" s="87">
        <f t="shared" si="32"/>
        <v>0</v>
      </c>
      <c r="Z187" s="87">
        <f t="shared" si="33"/>
        <v>0</v>
      </c>
      <c r="AA187" s="87">
        <f t="shared" si="34"/>
        <v>4</v>
      </c>
    </row>
    <row r="188" spans="9:27">
      <c r="I188" s="81" t="e">
        <f>IF(#REF!&lt;&gt;"",#REF!,"")</f>
        <v>#REF!</v>
      </c>
      <c r="J188" s="81" t="e">
        <f t="shared" si="35"/>
        <v>#REF!</v>
      </c>
      <c r="L188" s="82" t="e">
        <f t="shared" si="36"/>
        <v>#REF!</v>
      </c>
      <c r="M188" s="81" t="e">
        <f t="shared" si="39"/>
        <v>#REF!</v>
      </c>
      <c r="N188" s="81" t="e">
        <f t="shared" si="37"/>
        <v>#REF!</v>
      </c>
      <c r="O188" s="81" t="e">
        <f t="shared" si="38"/>
        <v>#REF!</v>
      </c>
      <c r="Q188" s="83" t="str">
        <f t="shared" si="40"/>
        <v/>
      </c>
      <c r="R188" s="84" t="e">
        <f t="shared" si="28"/>
        <v>#REF!</v>
      </c>
      <c r="S188" s="83" t="e">
        <f t="shared" si="28"/>
        <v>#REF!</v>
      </c>
      <c r="T188" s="84" t="e">
        <f t="shared" si="29"/>
        <v>#REF!</v>
      </c>
      <c r="U188" s="84" t="e">
        <f t="shared" si="30"/>
        <v>#REF!</v>
      </c>
      <c r="V188" s="85" t="e">
        <f>#REF!</f>
        <v>#REF!</v>
      </c>
      <c r="W188" s="86">
        <f t="shared" si="31"/>
        <v>0</v>
      </c>
      <c r="X188" s="86">
        <f t="shared" si="31"/>
        <v>0</v>
      </c>
      <c r="Y188" s="87">
        <f t="shared" si="32"/>
        <v>0</v>
      </c>
      <c r="Z188" s="87">
        <f t="shared" si="33"/>
        <v>0</v>
      </c>
      <c r="AA188" s="87">
        <f t="shared" si="34"/>
        <v>4</v>
      </c>
    </row>
    <row r="189" spans="9:27">
      <c r="I189" s="81" t="e">
        <f>IF(#REF!&lt;&gt;"",#REF!,"")</f>
        <v>#REF!</v>
      </c>
      <c r="J189" s="81" t="e">
        <f t="shared" si="35"/>
        <v>#REF!</v>
      </c>
      <c r="L189" s="82" t="e">
        <f t="shared" si="36"/>
        <v>#REF!</v>
      </c>
      <c r="M189" s="81" t="e">
        <f t="shared" si="39"/>
        <v>#REF!</v>
      </c>
      <c r="N189" s="81" t="e">
        <f t="shared" si="37"/>
        <v>#REF!</v>
      </c>
      <c r="O189" s="81" t="e">
        <f t="shared" si="38"/>
        <v>#REF!</v>
      </c>
      <c r="Q189" s="83" t="str">
        <f t="shared" si="40"/>
        <v/>
      </c>
      <c r="R189" s="84" t="e">
        <f t="shared" si="28"/>
        <v>#REF!</v>
      </c>
      <c r="S189" s="83" t="e">
        <f t="shared" si="28"/>
        <v>#REF!</v>
      </c>
      <c r="T189" s="84" t="e">
        <f t="shared" si="29"/>
        <v>#REF!</v>
      </c>
      <c r="U189" s="84" t="e">
        <f t="shared" si="30"/>
        <v>#REF!</v>
      </c>
      <c r="V189" s="85" t="e">
        <f>#REF!</f>
        <v>#REF!</v>
      </c>
      <c r="W189" s="86">
        <f t="shared" si="31"/>
        <v>0</v>
      </c>
      <c r="X189" s="86">
        <f t="shared" si="31"/>
        <v>0</v>
      </c>
      <c r="Y189" s="87">
        <f t="shared" si="32"/>
        <v>0</v>
      </c>
      <c r="Z189" s="87">
        <f t="shared" si="33"/>
        <v>0</v>
      </c>
      <c r="AA189" s="87">
        <f t="shared" si="34"/>
        <v>4</v>
      </c>
    </row>
    <row r="190" spans="9:27">
      <c r="I190" s="81" t="e">
        <f>IF(#REF!&lt;&gt;"",#REF!,"")</f>
        <v>#REF!</v>
      </c>
      <c r="J190" s="81" t="e">
        <f t="shared" si="35"/>
        <v>#REF!</v>
      </c>
      <c r="L190" s="82" t="e">
        <f t="shared" si="36"/>
        <v>#REF!</v>
      </c>
      <c r="M190" s="81" t="e">
        <f t="shared" si="39"/>
        <v>#REF!</v>
      </c>
      <c r="N190" s="81" t="e">
        <f t="shared" si="37"/>
        <v>#REF!</v>
      </c>
      <c r="O190" s="81" t="e">
        <f t="shared" si="38"/>
        <v>#REF!</v>
      </c>
      <c r="Q190" s="83" t="str">
        <f t="shared" si="40"/>
        <v/>
      </c>
      <c r="R190" s="84" t="e">
        <f t="shared" si="28"/>
        <v>#REF!</v>
      </c>
      <c r="S190" s="83" t="e">
        <f t="shared" si="28"/>
        <v>#REF!</v>
      </c>
      <c r="T190" s="84" t="e">
        <f t="shared" si="29"/>
        <v>#REF!</v>
      </c>
      <c r="U190" s="84" t="e">
        <f t="shared" si="30"/>
        <v>#REF!</v>
      </c>
      <c r="V190" s="85" t="e">
        <f>#REF!</f>
        <v>#REF!</v>
      </c>
      <c r="W190" s="86">
        <f t="shared" si="31"/>
        <v>0</v>
      </c>
      <c r="X190" s="86">
        <f t="shared" si="31"/>
        <v>0</v>
      </c>
      <c r="Y190" s="87">
        <f t="shared" si="32"/>
        <v>0</v>
      </c>
      <c r="Z190" s="87">
        <f t="shared" si="33"/>
        <v>0</v>
      </c>
      <c r="AA190" s="87">
        <f t="shared" si="34"/>
        <v>4</v>
      </c>
    </row>
    <row r="191" spans="9:27">
      <c r="I191" s="81" t="e">
        <f>IF(#REF!&lt;&gt;"",#REF!,"")</f>
        <v>#REF!</v>
      </c>
      <c r="J191" s="81" t="e">
        <f t="shared" si="35"/>
        <v>#REF!</v>
      </c>
      <c r="L191" s="82" t="e">
        <f t="shared" si="36"/>
        <v>#REF!</v>
      </c>
      <c r="M191" s="81" t="e">
        <f t="shared" si="39"/>
        <v>#REF!</v>
      </c>
      <c r="N191" s="81" t="e">
        <f t="shared" si="37"/>
        <v>#REF!</v>
      </c>
      <c r="O191" s="81" t="e">
        <f t="shared" si="38"/>
        <v>#REF!</v>
      </c>
      <c r="Q191" s="83" t="str">
        <f t="shared" si="40"/>
        <v/>
      </c>
      <c r="R191" s="84" t="e">
        <f t="shared" si="28"/>
        <v>#REF!</v>
      </c>
      <c r="S191" s="83" t="e">
        <f t="shared" si="28"/>
        <v>#REF!</v>
      </c>
      <c r="T191" s="84" t="e">
        <f t="shared" si="29"/>
        <v>#REF!</v>
      </c>
      <c r="U191" s="84" t="e">
        <f t="shared" si="30"/>
        <v>#REF!</v>
      </c>
      <c r="V191" s="85" t="e">
        <f>#REF!</f>
        <v>#REF!</v>
      </c>
      <c r="W191" s="86">
        <f t="shared" si="31"/>
        <v>0</v>
      </c>
      <c r="X191" s="86">
        <f t="shared" si="31"/>
        <v>0</v>
      </c>
      <c r="Y191" s="87">
        <f t="shared" si="32"/>
        <v>0</v>
      </c>
      <c r="Z191" s="87">
        <f t="shared" si="33"/>
        <v>0</v>
      </c>
      <c r="AA191" s="87">
        <f t="shared" si="34"/>
        <v>4</v>
      </c>
    </row>
    <row r="192" spans="9:27">
      <c r="I192" s="81" t="e">
        <f>IF(#REF!&lt;&gt;"",#REF!,"")</f>
        <v>#REF!</v>
      </c>
      <c r="J192" s="81" t="e">
        <f t="shared" si="35"/>
        <v>#REF!</v>
      </c>
      <c r="L192" s="82" t="e">
        <f t="shared" si="36"/>
        <v>#REF!</v>
      </c>
      <c r="M192" s="81" t="e">
        <f t="shared" si="39"/>
        <v>#REF!</v>
      </c>
      <c r="N192" s="81" t="e">
        <f t="shared" si="37"/>
        <v>#REF!</v>
      </c>
      <c r="O192" s="81" t="e">
        <f t="shared" si="38"/>
        <v>#REF!</v>
      </c>
      <c r="Q192" s="83" t="str">
        <f t="shared" si="40"/>
        <v/>
      </c>
      <c r="R192" s="84" t="e">
        <f t="shared" ref="R192:S255" si="41">IF(L192="","",L192)</f>
        <v>#REF!</v>
      </c>
      <c r="S192" s="83" t="e">
        <f t="shared" si="41"/>
        <v>#REF!</v>
      </c>
      <c r="T192" s="84" t="e">
        <f t="shared" ref="T192:T255" si="42">IF(W192=1,"",N192)</f>
        <v>#REF!</v>
      </c>
      <c r="U192" s="84" t="e">
        <f t="shared" ref="U192:U255" si="43">IF(OR(W192=1,X192=1),"",O192)</f>
        <v>#REF!</v>
      </c>
      <c r="V192" s="85" t="e">
        <f>#REF!</f>
        <v>#REF!</v>
      </c>
      <c r="W192" s="86">
        <f t="shared" si="31"/>
        <v>0</v>
      </c>
      <c r="X192" s="86">
        <f t="shared" si="31"/>
        <v>0</v>
      </c>
      <c r="Y192" s="87">
        <f t="shared" si="32"/>
        <v>0</v>
      </c>
      <c r="Z192" s="87">
        <f t="shared" si="33"/>
        <v>0</v>
      </c>
      <c r="AA192" s="87">
        <f t="shared" si="34"/>
        <v>4</v>
      </c>
    </row>
    <row r="193" spans="9:27">
      <c r="I193" s="81" t="e">
        <f>IF(#REF!&lt;&gt;"",#REF!,"")</f>
        <v>#REF!</v>
      </c>
      <c r="J193" s="81" t="e">
        <f t="shared" si="35"/>
        <v>#REF!</v>
      </c>
      <c r="L193" s="82" t="e">
        <f t="shared" si="36"/>
        <v>#REF!</v>
      </c>
      <c r="M193" s="81" t="e">
        <f t="shared" si="39"/>
        <v>#REF!</v>
      </c>
      <c r="N193" s="81" t="e">
        <f t="shared" si="37"/>
        <v>#REF!</v>
      </c>
      <c r="O193" s="81" t="e">
        <f t="shared" si="38"/>
        <v>#REF!</v>
      </c>
      <c r="Q193" s="83" t="str">
        <f t="shared" si="40"/>
        <v/>
      </c>
      <c r="R193" s="84" t="e">
        <f t="shared" si="41"/>
        <v>#REF!</v>
      </c>
      <c r="S193" s="83" t="e">
        <f t="shared" si="41"/>
        <v>#REF!</v>
      </c>
      <c r="T193" s="84" t="e">
        <f t="shared" si="42"/>
        <v>#REF!</v>
      </c>
      <c r="U193" s="84" t="e">
        <f t="shared" si="43"/>
        <v>#REF!</v>
      </c>
      <c r="V193" s="85" t="e">
        <f>#REF!</f>
        <v>#REF!</v>
      </c>
      <c r="W193" s="86">
        <f t="shared" ref="W193:X256" si="44">COUNTIFS(R193,"&gt;&lt;")</f>
        <v>0</v>
      </c>
      <c r="X193" s="86">
        <f t="shared" si="44"/>
        <v>0</v>
      </c>
      <c r="Y193" s="87">
        <f t="shared" ref="Y193:Y256" si="45">COUNTIFS(R193:U193,"*")</f>
        <v>0</v>
      </c>
      <c r="Z193" s="87">
        <f t="shared" ref="Z193:Z256" si="46">COUNTIFS(R193:U193,"&gt;&lt;")</f>
        <v>0</v>
      </c>
      <c r="AA193" s="87">
        <f t="shared" ref="AA193:AA256" si="47">COUNTIFS(R193:U193,"&lt;&gt;")</f>
        <v>4</v>
      </c>
    </row>
    <row r="194" spans="9:27">
      <c r="I194" s="81" t="e">
        <f>IF(#REF!&lt;&gt;"",#REF!,"")</f>
        <v>#REF!</v>
      </c>
      <c r="J194" s="81" t="e">
        <f t="shared" si="35"/>
        <v>#REF!</v>
      </c>
      <c r="L194" s="82" t="e">
        <f t="shared" si="36"/>
        <v>#REF!</v>
      </c>
      <c r="M194" s="81" t="e">
        <f t="shared" si="39"/>
        <v>#REF!</v>
      </c>
      <c r="N194" s="81" t="e">
        <f t="shared" si="37"/>
        <v>#REF!</v>
      </c>
      <c r="O194" s="81" t="e">
        <f t="shared" si="38"/>
        <v>#REF!</v>
      </c>
      <c r="Q194" s="83" t="str">
        <f t="shared" si="40"/>
        <v/>
      </c>
      <c r="R194" s="84" t="e">
        <f t="shared" si="41"/>
        <v>#REF!</v>
      </c>
      <c r="S194" s="83" t="e">
        <f t="shared" si="41"/>
        <v>#REF!</v>
      </c>
      <c r="T194" s="84" t="e">
        <f t="shared" si="42"/>
        <v>#REF!</v>
      </c>
      <c r="U194" s="84" t="e">
        <f t="shared" si="43"/>
        <v>#REF!</v>
      </c>
      <c r="V194" s="85" t="e">
        <f>#REF!</f>
        <v>#REF!</v>
      </c>
      <c r="W194" s="86">
        <f t="shared" si="44"/>
        <v>0</v>
      </c>
      <c r="X194" s="86">
        <f t="shared" si="44"/>
        <v>0</v>
      </c>
      <c r="Y194" s="87">
        <f t="shared" si="45"/>
        <v>0</v>
      </c>
      <c r="Z194" s="87">
        <f t="shared" si="46"/>
        <v>0</v>
      </c>
      <c r="AA194" s="87">
        <f t="shared" si="47"/>
        <v>4</v>
      </c>
    </row>
    <row r="195" spans="9:27">
      <c r="I195" s="81" t="e">
        <f>IF(#REF!&lt;&gt;"",#REF!,"")</f>
        <v>#REF!</v>
      </c>
      <c r="J195" s="81" t="e">
        <f t="shared" ref="J195:J258" si="48">LEFT(I195,1)</f>
        <v>#REF!</v>
      </c>
      <c r="L195" s="82" t="e">
        <f t="shared" ref="L195:L258" si="49">IF(OR(J195="E",J195="L",J195="M"),"",I195)</f>
        <v>#REF!</v>
      </c>
      <c r="M195" s="81" t="e">
        <f t="shared" si="39"/>
        <v>#REF!</v>
      </c>
      <c r="N195" s="81" t="e">
        <f t="shared" ref="N195:N258" si="50">IF(OR(J195="D",J195="E",J195="L"),"",I195)</f>
        <v>#REF!</v>
      </c>
      <c r="O195" s="81" t="e">
        <f t="shared" ref="O195:O258" si="51">IF(OR(J195="D",J195="E",J195="M"),"",I195)</f>
        <v>#REF!</v>
      </c>
      <c r="Q195" s="83" t="str">
        <f t="shared" si="40"/>
        <v/>
      </c>
      <c r="R195" s="84" t="e">
        <f t="shared" si="41"/>
        <v>#REF!</v>
      </c>
      <c r="S195" s="83" t="e">
        <f t="shared" si="41"/>
        <v>#REF!</v>
      </c>
      <c r="T195" s="84" t="e">
        <f t="shared" si="42"/>
        <v>#REF!</v>
      </c>
      <c r="U195" s="84" t="e">
        <f t="shared" si="43"/>
        <v>#REF!</v>
      </c>
      <c r="V195" s="85" t="e">
        <f>#REF!</f>
        <v>#REF!</v>
      </c>
      <c r="W195" s="86">
        <f t="shared" si="44"/>
        <v>0</v>
      </c>
      <c r="X195" s="86">
        <f t="shared" si="44"/>
        <v>0</v>
      </c>
      <c r="Y195" s="87">
        <f t="shared" si="45"/>
        <v>0</v>
      </c>
      <c r="Z195" s="87">
        <f t="shared" si="46"/>
        <v>0</v>
      </c>
      <c r="AA195" s="87">
        <f t="shared" si="47"/>
        <v>4</v>
      </c>
    </row>
    <row r="196" spans="9:27">
      <c r="I196" s="81" t="e">
        <f>IF(#REF!&lt;&gt;"",#REF!,"")</f>
        <v>#REF!</v>
      </c>
      <c r="J196" s="81" t="e">
        <f t="shared" si="48"/>
        <v>#REF!</v>
      </c>
      <c r="L196" s="82" t="e">
        <f t="shared" si="49"/>
        <v>#REF!</v>
      </c>
      <c r="M196" s="81" t="e">
        <f t="shared" si="39"/>
        <v>#REF!</v>
      </c>
      <c r="N196" s="81" t="e">
        <f t="shared" si="50"/>
        <v>#REF!</v>
      </c>
      <c r="O196" s="81" t="e">
        <f t="shared" si="51"/>
        <v>#REF!</v>
      </c>
      <c r="Q196" s="83" t="str">
        <f t="shared" si="40"/>
        <v/>
      </c>
      <c r="R196" s="84" t="e">
        <f t="shared" si="41"/>
        <v>#REF!</v>
      </c>
      <c r="S196" s="83" t="e">
        <f t="shared" si="41"/>
        <v>#REF!</v>
      </c>
      <c r="T196" s="84" t="e">
        <f t="shared" si="42"/>
        <v>#REF!</v>
      </c>
      <c r="U196" s="84" t="e">
        <f t="shared" si="43"/>
        <v>#REF!</v>
      </c>
      <c r="V196" s="85" t="e">
        <f>#REF!</f>
        <v>#REF!</v>
      </c>
      <c r="W196" s="86">
        <f t="shared" si="44"/>
        <v>0</v>
      </c>
      <c r="X196" s="86">
        <f t="shared" si="44"/>
        <v>0</v>
      </c>
      <c r="Y196" s="87">
        <f t="shared" si="45"/>
        <v>0</v>
      </c>
      <c r="Z196" s="87">
        <f t="shared" si="46"/>
        <v>0</v>
      </c>
      <c r="AA196" s="87">
        <f t="shared" si="47"/>
        <v>4</v>
      </c>
    </row>
    <row r="197" spans="9:27">
      <c r="I197" s="81" t="e">
        <f>IF(#REF!&lt;&gt;"",#REF!,"")</f>
        <v>#REF!</v>
      </c>
      <c r="J197" s="81" t="e">
        <f t="shared" si="48"/>
        <v>#REF!</v>
      </c>
      <c r="L197" s="82" t="e">
        <f t="shared" si="49"/>
        <v>#REF!</v>
      </c>
      <c r="M197" s="81" t="e">
        <f t="shared" si="39"/>
        <v>#REF!</v>
      </c>
      <c r="N197" s="81" t="e">
        <f t="shared" si="50"/>
        <v>#REF!</v>
      </c>
      <c r="O197" s="81" t="e">
        <f t="shared" si="51"/>
        <v>#REF!</v>
      </c>
      <c r="Q197" s="83" t="str">
        <f t="shared" si="40"/>
        <v/>
      </c>
      <c r="R197" s="84" t="e">
        <f t="shared" si="41"/>
        <v>#REF!</v>
      </c>
      <c r="S197" s="83" t="e">
        <f t="shared" si="41"/>
        <v>#REF!</v>
      </c>
      <c r="T197" s="84" t="e">
        <f t="shared" si="42"/>
        <v>#REF!</v>
      </c>
      <c r="U197" s="84" t="e">
        <f t="shared" si="43"/>
        <v>#REF!</v>
      </c>
      <c r="V197" s="85" t="e">
        <f>#REF!</f>
        <v>#REF!</v>
      </c>
      <c r="W197" s="86">
        <f t="shared" si="44"/>
        <v>0</v>
      </c>
      <c r="X197" s="86">
        <f t="shared" si="44"/>
        <v>0</v>
      </c>
      <c r="Y197" s="87">
        <f t="shared" si="45"/>
        <v>0</v>
      </c>
      <c r="Z197" s="87">
        <f t="shared" si="46"/>
        <v>0</v>
      </c>
      <c r="AA197" s="87">
        <f t="shared" si="47"/>
        <v>4</v>
      </c>
    </row>
    <row r="198" spans="9:27">
      <c r="I198" s="81" t="e">
        <f>IF(#REF!&lt;&gt;"",#REF!,"")</f>
        <v>#REF!</v>
      </c>
      <c r="J198" s="81" t="e">
        <f t="shared" si="48"/>
        <v>#REF!</v>
      </c>
      <c r="L198" s="82" t="e">
        <f t="shared" si="49"/>
        <v>#REF!</v>
      </c>
      <c r="M198" s="81" t="e">
        <f t="shared" ref="M198:M261" si="52">IF(OR(J198="D",J198="L",J198="M"),"",I198)</f>
        <v>#REF!</v>
      </c>
      <c r="N198" s="81" t="e">
        <f t="shared" si="50"/>
        <v>#REF!</v>
      </c>
      <c r="O198" s="81" t="e">
        <f t="shared" si="51"/>
        <v>#REF!</v>
      </c>
      <c r="Q198" s="83" t="str">
        <f t="shared" si="40"/>
        <v/>
      </c>
      <c r="R198" s="84" t="e">
        <f t="shared" si="41"/>
        <v>#REF!</v>
      </c>
      <c r="S198" s="83" t="e">
        <f t="shared" si="41"/>
        <v>#REF!</v>
      </c>
      <c r="T198" s="84" t="e">
        <f t="shared" si="42"/>
        <v>#REF!</v>
      </c>
      <c r="U198" s="84" t="e">
        <f t="shared" si="43"/>
        <v>#REF!</v>
      </c>
      <c r="V198" s="85" t="e">
        <f>#REF!</f>
        <v>#REF!</v>
      </c>
      <c r="W198" s="86">
        <f t="shared" si="44"/>
        <v>0</v>
      </c>
      <c r="X198" s="86">
        <f t="shared" si="44"/>
        <v>0</v>
      </c>
      <c r="Y198" s="87">
        <f t="shared" si="45"/>
        <v>0</v>
      </c>
      <c r="Z198" s="87">
        <f t="shared" si="46"/>
        <v>0</v>
      </c>
      <c r="AA198" s="87">
        <f t="shared" si="47"/>
        <v>4</v>
      </c>
    </row>
    <row r="199" spans="9:27">
      <c r="I199" s="81" t="e">
        <f>IF(#REF!&lt;&gt;"",#REF!,"")</f>
        <v>#REF!</v>
      </c>
      <c r="J199" s="81" t="e">
        <f t="shared" si="48"/>
        <v>#REF!</v>
      </c>
      <c r="L199" s="82" t="e">
        <f t="shared" si="49"/>
        <v>#REF!</v>
      </c>
      <c r="M199" s="81" t="e">
        <f t="shared" si="52"/>
        <v>#REF!</v>
      </c>
      <c r="N199" s="81" t="e">
        <f t="shared" si="50"/>
        <v>#REF!</v>
      </c>
      <c r="O199" s="81" t="e">
        <f t="shared" si="51"/>
        <v>#REF!</v>
      </c>
      <c r="Q199" s="83" t="str">
        <f t="shared" si="40"/>
        <v/>
      </c>
      <c r="R199" s="84" t="e">
        <f t="shared" si="41"/>
        <v>#REF!</v>
      </c>
      <c r="S199" s="83" t="e">
        <f t="shared" si="41"/>
        <v>#REF!</v>
      </c>
      <c r="T199" s="84" t="e">
        <f t="shared" si="42"/>
        <v>#REF!</v>
      </c>
      <c r="U199" s="84" t="e">
        <f t="shared" si="43"/>
        <v>#REF!</v>
      </c>
      <c r="V199" s="85" t="e">
        <f>#REF!</f>
        <v>#REF!</v>
      </c>
      <c r="W199" s="86">
        <f t="shared" si="44"/>
        <v>0</v>
      </c>
      <c r="X199" s="86">
        <f t="shared" si="44"/>
        <v>0</v>
      </c>
      <c r="Y199" s="87">
        <f t="shared" si="45"/>
        <v>0</v>
      </c>
      <c r="Z199" s="87">
        <f t="shared" si="46"/>
        <v>0</v>
      </c>
      <c r="AA199" s="87">
        <f t="shared" si="47"/>
        <v>4</v>
      </c>
    </row>
    <row r="200" spans="9:27">
      <c r="I200" s="81" t="e">
        <f>IF(#REF!&lt;&gt;"",#REF!,"")</f>
        <v>#REF!</v>
      </c>
      <c r="J200" s="81" t="e">
        <f t="shared" si="48"/>
        <v>#REF!</v>
      </c>
      <c r="L200" s="82" t="e">
        <f t="shared" si="49"/>
        <v>#REF!</v>
      </c>
      <c r="M200" s="81" t="e">
        <f t="shared" si="52"/>
        <v>#REF!</v>
      </c>
      <c r="N200" s="81" t="e">
        <f t="shared" si="50"/>
        <v>#REF!</v>
      </c>
      <c r="O200" s="81" t="e">
        <f t="shared" si="51"/>
        <v>#REF!</v>
      </c>
      <c r="Q200" s="83" t="str">
        <f t="shared" si="40"/>
        <v/>
      </c>
      <c r="R200" s="84" t="e">
        <f t="shared" si="41"/>
        <v>#REF!</v>
      </c>
      <c r="S200" s="83" t="e">
        <f t="shared" si="41"/>
        <v>#REF!</v>
      </c>
      <c r="T200" s="84" t="e">
        <f t="shared" si="42"/>
        <v>#REF!</v>
      </c>
      <c r="U200" s="84" t="e">
        <f t="shared" si="43"/>
        <v>#REF!</v>
      </c>
      <c r="V200" s="85" t="e">
        <f>#REF!</f>
        <v>#REF!</v>
      </c>
      <c r="W200" s="86">
        <f t="shared" si="44"/>
        <v>0</v>
      </c>
      <c r="X200" s="86">
        <f t="shared" si="44"/>
        <v>0</v>
      </c>
      <c r="Y200" s="87">
        <f t="shared" si="45"/>
        <v>0</v>
      </c>
      <c r="Z200" s="87">
        <f t="shared" si="46"/>
        <v>0</v>
      </c>
      <c r="AA200" s="87">
        <f t="shared" si="47"/>
        <v>4</v>
      </c>
    </row>
    <row r="201" spans="9:27">
      <c r="I201" s="81" t="e">
        <f>IF(#REF!&lt;&gt;"",#REF!,"")</f>
        <v>#REF!</v>
      </c>
      <c r="J201" s="81" t="e">
        <f t="shared" si="48"/>
        <v>#REF!</v>
      </c>
      <c r="L201" s="82" t="e">
        <f t="shared" si="49"/>
        <v>#REF!</v>
      </c>
      <c r="M201" s="81" t="e">
        <f t="shared" si="52"/>
        <v>#REF!</v>
      </c>
      <c r="N201" s="81" t="e">
        <f t="shared" si="50"/>
        <v>#REF!</v>
      </c>
      <c r="O201" s="81" t="e">
        <f t="shared" si="51"/>
        <v>#REF!</v>
      </c>
      <c r="Q201" s="83" t="str">
        <f t="shared" si="40"/>
        <v/>
      </c>
      <c r="R201" s="84" t="e">
        <f t="shared" si="41"/>
        <v>#REF!</v>
      </c>
      <c r="S201" s="83" t="e">
        <f t="shared" si="41"/>
        <v>#REF!</v>
      </c>
      <c r="T201" s="84" t="e">
        <f t="shared" si="42"/>
        <v>#REF!</v>
      </c>
      <c r="U201" s="84" t="e">
        <f t="shared" si="43"/>
        <v>#REF!</v>
      </c>
      <c r="V201" s="85" t="e">
        <f>#REF!</f>
        <v>#REF!</v>
      </c>
      <c r="W201" s="86">
        <f t="shared" si="44"/>
        <v>0</v>
      </c>
      <c r="X201" s="86">
        <f t="shared" si="44"/>
        <v>0</v>
      </c>
      <c r="Y201" s="87">
        <f t="shared" si="45"/>
        <v>0</v>
      </c>
      <c r="Z201" s="87">
        <f t="shared" si="46"/>
        <v>0</v>
      </c>
      <c r="AA201" s="87">
        <f t="shared" si="47"/>
        <v>4</v>
      </c>
    </row>
    <row r="202" spans="9:27">
      <c r="I202" s="81" t="e">
        <f>IF(#REF!&lt;&gt;"",#REF!,"")</f>
        <v>#REF!</v>
      </c>
      <c r="J202" s="81" t="e">
        <f t="shared" si="48"/>
        <v>#REF!</v>
      </c>
      <c r="L202" s="82" t="e">
        <f t="shared" si="49"/>
        <v>#REF!</v>
      </c>
      <c r="M202" s="81" t="e">
        <f t="shared" si="52"/>
        <v>#REF!</v>
      </c>
      <c r="N202" s="81" t="e">
        <f t="shared" si="50"/>
        <v>#REF!</v>
      </c>
      <c r="O202" s="81" t="e">
        <f t="shared" si="51"/>
        <v>#REF!</v>
      </c>
      <c r="Q202" s="83" t="str">
        <f t="shared" si="40"/>
        <v/>
      </c>
      <c r="R202" s="84" t="e">
        <f t="shared" si="41"/>
        <v>#REF!</v>
      </c>
      <c r="S202" s="83" t="e">
        <f t="shared" si="41"/>
        <v>#REF!</v>
      </c>
      <c r="T202" s="84" t="e">
        <f t="shared" si="42"/>
        <v>#REF!</v>
      </c>
      <c r="U202" s="84" t="e">
        <f t="shared" si="43"/>
        <v>#REF!</v>
      </c>
      <c r="V202" s="85" t="e">
        <f>#REF!</f>
        <v>#REF!</v>
      </c>
      <c r="W202" s="86">
        <f t="shared" si="44"/>
        <v>0</v>
      </c>
      <c r="X202" s="86">
        <f t="shared" si="44"/>
        <v>0</v>
      </c>
      <c r="Y202" s="87">
        <f t="shared" si="45"/>
        <v>0</v>
      </c>
      <c r="Z202" s="87">
        <f t="shared" si="46"/>
        <v>0</v>
      </c>
      <c r="AA202" s="87">
        <f t="shared" si="47"/>
        <v>4</v>
      </c>
    </row>
    <row r="203" spans="9:27">
      <c r="I203" s="81" t="e">
        <f>IF(#REF!&lt;&gt;"",#REF!,"")</f>
        <v>#REF!</v>
      </c>
      <c r="J203" s="81" t="e">
        <f t="shared" si="48"/>
        <v>#REF!</v>
      </c>
      <c r="L203" s="82" t="e">
        <f t="shared" si="49"/>
        <v>#REF!</v>
      </c>
      <c r="M203" s="81" t="e">
        <f t="shared" si="52"/>
        <v>#REF!</v>
      </c>
      <c r="N203" s="81" t="e">
        <f t="shared" si="50"/>
        <v>#REF!</v>
      </c>
      <c r="O203" s="81" t="e">
        <f t="shared" si="51"/>
        <v>#REF!</v>
      </c>
      <c r="Q203" s="83" t="str">
        <f t="shared" si="40"/>
        <v/>
      </c>
      <c r="R203" s="84" t="e">
        <f t="shared" si="41"/>
        <v>#REF!</v>
      </c>
      <c r="S203" s="83" t="e">
        <f t="shared" si="41"/>
        <v>#REF!</v>
      </c>
      <c r="T203" s="84" t="e">
        <f t="shared" si="42"/>
        <v>#REF!</v>
      </c>
      <c r="U203" s="84" t="e">
        <f t="shared" si="43"/>
        <v>#REF!</v>
      </c>
      <c r="V203" s="85" t="e">
        <f>#REF!</f>
        <v>#REF!</v>
      </c>
      <c r="W203" s="86">
        <f t="shared" si="44"/>
        <v>0</v>
      </c>
      <c r="X203" s="86">
        <f t="shared" si="44"/>
        <v>0</v>
      </c>
      <c r="Y203" s="87">
        <f t="shared" si="45"/>
        <v>0</v>
      </c>
      <c r="Z203" s="87">
        <f t="shared" si="46"/>
        <v>0</v>
      </c>
      <c r="AA203" s="87">
        <f t="shared" si="47"/>
        <v>4</v>
      </c>
    </row>
    <row r="204" spans="9:27">
      <c r="I204" s="81" t="e">
        <f>IF(#REF!&lt;&gt;"",#REF!,"")</f>
        <v>#REF!</v>
      </c>
      <c r="J204" s="81" t="e">
        <f t="shared" si="48"/>
        <v>#REF!</v>
      </c>
      <c r="L204" s="82" t="e">
        <f t="shared" si="49"/>
        <v>#REF!</v>
      </c>
      <c r="M204" s="81" t="e">
        <f t="shared" si="52"/>
        <v>#REF!</v>
      </c>
      <c r="N204" s="81" t="e">
        <f t="shared" si="50"/>
        <v>#REF!</v>
      </c>
      <c r="O204" s="81" t="e">
        <f t="shared" si="51"/>
        <v>#REF!</v>
      </c>
      <c r="Q204" s="83" t="str">
        <f t="shared" si="40"/>
        <v/>
      </c>
      <c r="R204" s="84" t="e">
        <f t="shared" si="41"/>
        <v>#REF!</v>
      </c>
      <c r="S204" s="83" t="e">
        <f t="shared" si="41"/>
        <v>#REF!</v>
      </c>
      <c r="T204" s="84" t="e">
        <f t="shared" si="42"/>
        <v>#REF!</v>
      </c>
      <c r="U204" s="84" t="e">
        <f t="shared" si="43"/>
        <v>#REF!</v>
      </c>
      <c r="V204" s="85" t="e">
        <f>#REF!</f>
        <v>#REF!</v>
      </c>
      <c r="W204" s="86">
        <f t="shared" si="44"/>
        <v>0</v>
      </c>
      <c r="X204" s="86">
        <f t="shared" si="44"/>
        <v>0</v>
      </c>
      <c r="Y204" s="87">
        <f t="shared" si="45"/>
        <v>0</v>
      </c>
      <c r="Z204" s="87">
        <f t="shared" si="46"/>
        <v>0</v>
      </c>
      <c r="AA204" s="87">
        <f t="shared" si="47"/>
        <v>4</v>
      </c>
    </row>
    <row r="205" spans="9:27">
      <c r="I205" s="81" t="e">
        <f>IF(#REF!&lt;&gt;"",#REF!,"")</f>
        <v>#REF!</v>
      </c>
      <c r="J205" s="81" t="e">
        <f t="shared" si="48"/>
        <v>#REF!</v>
      </c>
      <c r="L205" s="82" t="e">
        <f t="shared" si="49"/>
        <v>#REF!</v>
      </c>
      <c r="M205" s="81" t="e">
        <f t="shared" si="52"/>
        <v>#REF!</v>
      </c>
      <c r="N205" s="81" t="e">
        <f t="shared" si="50"/>
        <v>#REF!</v>
      </c>
      <c r="O205" s="81" t="e">
        <f t="shared" si="51"/>
        <v>#REF!</v>
      </c>
      <c r="Q205" s="83" t="str">
        <f t="shared" si="40"/>
        <v/>
      </c>
      <c r="R205" s="84" t="e">
        <f t="shared" si="41"/>
        <v>#REF!</v>
      </c>
      <c r="S205" s="83" t="e">
        <f t="shared" si="41"/>
        <v>#REF!</v>
      </c>
      <c r="T205" s="84" t="e">
        <f t="shared" si="42"/>
        <v>#REF!</v>
      </c>
      <c r="U205" s="84" t="e">
        <f t="shared" si="43"/>
        <v>#REF!</v>
      </c>
      <c r="V205" s="85" t="e">
        <f>#REF!</f>
        <v>#REF!</v>
      </c>
      <c r="W205" s="86">
        <f t="shared" si="44"/>
        <v>0</v>
      </c>
      <c r="X205" s="86">
        <f t="shared" si="44"/>
        <v>0</v>
      </c>
      <c r="Y205" s="87">
        <f t="shared" si="45"/>
        <v>0</v>
      </c>
      <c r="Z205" s="87">
        <f t="shared" si="46"/>
        <v>0</v>
      </c>
      <c r="AA205" s="87">
        <f t="shared" si="47"/>
        <v>4</v>
      </c>
    </row>
    <row r="206" spans="9:27">
      <c r="I206" s="81" t="e">
        <f>IF(#REF!&lt;&gt;"",#REF!,"")</f>
        <v>#REF!</v>
      </c>
      <c r="J206" s="81" t="e">
        <f t="shared" si="48"/>
        <v>#REF!</v>
      </c>
      <c r="L206" s="82" t="e">
        <f t="shared" si="49"/>
        <v>#REF!</v>
      </c>
      <c r="M206" s="81" t="e">
        <f t="shared" si="52"/>
        <v>#REF!</v>
      </c>
      <c r="N206" s="81" t="e">
        <f t="shared" si="50"/>
        <v>#REF!</v>
      </c>
      <c r="O206" s="81" t="e">
        <f t="shared" si="51"/>
        <v>#REF!</v>
      </c>
      <c r="Q206" s="83" t="str">
        <f t="shared" si="40"/>
        <v/>
      </c>
      <c r="R206" s="84" t="e">
        <f t="shared" si="41"/>
        <v>#REF!</v>
      </c>
      <c r="S206" s="83" t="e">
        <f t="shared" si="41"/>
        <v>#REF!</v>
      </c>
      <c r="T206" s="84" t="e">
        <f t="shared" si="42"/>
        <v>#REF!</v>
      </c>
      <c r="U206" s="84" t="e">
        <f t="shared" si="43"/>
        <v>#REF!</v>
      </c>
      <c r="V206" s="85" t="e">
        <f>#REF!</f>
        <v>#REF!</v>
      </c>
      <c r="W206" s="86">
        <f t="shared" si="44"/>
        <v>0</v>
      </c>
      <c r="X206" s="86">
        <f t="shared" si="44"/>
        <v>0</v>
      </c>
      <c r="Y206" s="87">
        <f t="shared" si="45"/>
        <v>0</v>
      </c>
      <c r="Z206" s="87">
        <f t="shared" si="46"/>
        <v>0</v>
      </c>
      <c r="AA206" s="87">
        <f t="shared" si="47"/>
        <v>4</v>
      </c>
    </row>
    <row r="207" spans="9:27">
      <c r="I207" s="81" t="e">
        <f>IF(#REF!&lt;&gt;"",#REF!,"")</f>
        <v>#REF!</v>
      </c>
      <c r="J207" s="81" t="e">
        <f t="shared" si="48"/>
        <v>#REF!</v>
      </c>
      <c r="L207" s="82" t="e">
        <f t="shared" si="49"/>
        <v>#REF!</v>
      </c>
      <c r="M207" s="81" t="e">
        <f t="shared" si="52"/>
        <v>#REF!</v>
      </c>
      <c r="N207" s="81" t="e">
        <f t="shared" si="50"/>
        <v>#REF!</v>
      </c>
      <c r="O207" s="81" t="e">
        <f t="shared" si="51"/>
        <v>#REF!</v>
      </c>
      <c r="Q207" s="83" t="str">
        <f t="shared" si="40"/>
        <v/>
      </c>
      <c r="R207" s="84" t="e">
        <f t="shared" si="41"/>
        <v>#REF!</v>
      </c>
      <c r="S207" s="83" t="e">
        <f t="shared" si="41"/>
        <v>#REF!</v>
      </c>
      <c r="T207" s="84" t="e">
        <f t="shared" si="42"/>
        <v>#REF!</v>
      </c>
      <c r="U207" s="84" t="e">
        <f t="shared" si="43"/>
        <v>#REF!</v>
      </c>
      <c r="V207" s="85" t="e">
        <f>#REF!</f>
        <v>#REF!</v>
      </c>
      <c r="W207" s="86">
        <f t="shared" si="44"/>
        <v>0</v>
      </c>
      <c r="X207" s="86">
        <f t="shared" si="44"/>
        <v>0</v>
      </c>
      <c r="Y207" s="87">
        <f t="shared" si="45"/>
        <v>0</v>
      </c>
      <c r="Z207" s="87">
        <f t="shared" si="46"/>
        <v>0</v>
      </c>
      <c r="AA207" s="87">
        <f t="shared" si="47"/>
        <v>4</v>
      </c>
    </row>
    <row r="208" spans="9:27">
      <c r="I208" s="81" t="e">
        <f>IF(#REF!&lt;&gt;"",#REF!,"")</f>
        <v>#REF!</v>
      </c>
      <c r="J208" s="81" t="e">
        <f t="shared" si="48"/>
        <v>#REF!</v>
      </c>
      <c r="L208" s="82" t="e">
        <f t="shared" si="49"/>
        <v>#REF!</v>
      </c>
      <c r="M208" s="81" t="e">
        <f t="shared" si="52"/>
        <v>#REF!</v>
      </c>
      <c r="N208" s="81" t="e">
        <f t="shared" si="50"/>
        <v>#REF!</v>
      </c>
      <c r="O208" s="81" t="e">
        <f t="shared" si="51"/>
        <v>#REF!</v>
      </c>
      <c r="Q208" s="83" t="str">
        <f t="shared" si="40"/>
        <v/>
      </c>
      <c r="R208" s="84" t="e">
        <f t="shared" si="41"/>
        <v>#REF!</v>
      </c>
      <c r="S208" s="83" t="e">
        <f t="shared" si="41"/>
        <v>#REF!</v>
      </c>
      <c r="T208" s="84" t="e">
        <f t="shared" si="42"/>
        <v>#REF!</v>
      </c>
      <c r="U208" s="84" t="e">
        <f t="shared" si="43"/>
        <v>#REF!</v>
      </c>
      <c r="V208" s="85" t="e">
        <f>#REF!</f>
        <v>#REF!</v>
      </c>
      <c r="W208" s="86">
        <f t="shared" si="44"/>
        <v>0</v>
      </c>
      <c r="X208" s="86">
        <f t="shared" si="44"/>
        <v>0</v>
      </c>
      <c r="Y208" s="87">
        <f t="shared" si="45"/>
        <v>0</v>
      </c>
      <c r="Z208" s="87">
        <f t="shared" si="46"/>
        <v>0</v>
      </c>
      <c r="AA208" s="87">
        <f t="shared" si="47"/>
        <v>4</v>
      </c>
    </row>
    <row r="209" spans="9:27">
      <c r="I209" s="81" t="e">
        <f>IF(#REF!&lt;&gt;"",#REF!,"")</f>
        <v>#REF!</v>
      </c>
      <c r="J209" s="81" t="e">
        <f t="shared" si="48"/>
        <v>#REF!</v>
      </c>
      <c r="L209" s="82" t="e">
        <f t="shared" si="49"/>
        <v>#REF!</v>
      </c>
      <c r="M209" s="81" t="e">
        <f t="shared" si="52"/>
        <v>#REF!</v>
      </c>
      <c r="N209" s="81" t="e">
        <f t="shared" si="50"/>
        <v>#REF!</v>
      </c>
      <c r="O209" s="81" t="e">
        <f t="shared" si="51"/>
        <v>#REF!</v>
      </c>
      <c r="Q209" s="83" t="str">
        <f t="shared" si="40"/>
        <v/>
      </c>
      <c r="R209" s="84" t="e">
        <f t="shared" si="41"/>
        <v>#REF!</v>
      </c>
      <c r="S209" s="83" t="e">
        <f t="shared" si="41"/>
        <v>#REF!</v>
      </c>
      <c r="T209" s="84" t="e">
        <f t="shared" si="42"/>
        <v>#REF!</v>
      </c>
      <c r="U209" s="84" t="e">
        <f t="shared" si="43"/>
        <v>#REF!</v>
      </c>
      <c r="V209" s="85" t="e">
        <f>#REF!</f>
        <v>#REF!</v>
      </c>
      <c r="W209" s="86">
        <f t="shared" si="44"/>
        <v>0</v>
      </c>
      <c r="X209" s="86">
        <f t="shared" si="44"/>
        <v>0</v>
      </c>
      <c r="Y209" s="87">
        <f t="shared" si="45"/>
        <v>0</v>
      </c>
      <c r="Z209" s="87">
        <f t="shared" si="46"/>
        <v>0</v>
      </c>
      <c r="AA209" s="87">
        <f t="shared" si="47"/>
        <v>4</v>
      </c>
    </row>
    <row r="210" spans="9:27">
      <c r="I210" s="81" t="e">
        <f>IF(#REF!&lt;&gt;"",#REF!,"")</f>
        <v>#REF!</v>
      </c>
      <c r="J210" s="81" t="e">
        <f t="shared" si="48"/>
        <v>#REF!</v>
      </c>
      <c r="L210" s="82" t="e">
        <f t="shared" si="49"/>
        <v>#REF!</v>
      </c>
      <c r="M210" s="81" t="e">
        <f t="shared" si="52"/>
        <v>#REF!</v>
      </c>
      <c r="N210" s="81" t="e">
        <f t="shared" si="50"/>
        <v>#REF!</v>
      </c>
      <c r="O210" s="81" t="e">
        <f t="shared" si="51"/>
        <v>#REF!</v>
      </c>
      <c r="Q210" s="83" t="str">
        <f t="shared" si="40"/>
        <v/>
      </c>
      <c r="R210" s="84" t="e">
        <f t="shared" si="41"/>
        <v>#REF!</v>
      </c>
      <c r="S210" s="83" t="e">
        <f t="shared" si="41"/>
        <v>#REF!</v>
      </c>
      <c r="T210" s="84" t="e">
        <f t="shared" si="42"/>
        <v>#REF!</v>
      </c>
      <c r="U210" s="84" t="e">
        <f t="shared" si="43"/>
        <v>#REF!</v>
      </c>
      <c r="V210" s="85" t="e">
        <f>#REF!</f>
        <v>#REF!</v>
      </c>
      <c r="W210" s="86">
        <f t="shared" si="44"/>
        <v>0</v>
      </c>
      <c r="X210" s="86">
        <f t="shared" si="44"/>
        <v>0</v>
      </c>
      <c r="Y210" s="87">
        <f t="shared" si="45"/>
        <v>0</v>
      </c>
      <c r="Z210" s="87">
        <f t="shared" si="46"/>
        <v>0</v>
      </c>
      <c r="AA210" s="87">
        <f t="shared" si="47"/>
        <v>4</v>
      </c>
    </row>
    <row r="211" spans="9:27">
      <c r="I211" s="81" t="e">
        <f>IF(#REF!&lt;&gt;"",#REF!,"")</f>
        <v>#REF!</v>
      </c>
      <c r="J211" s="81" t="e">
        <f t="shared" si="48"/>
        <v>#REF!</v>
      </c>
      <c r="L211" s="82" t="e">
        <f t="shared" si="49"/>
        <v>#REF!</v>
      </c>
      <c r="M211" s="81" t="e">
        <f t="shared" si="52"/>
        <v>#REF!</v>
      </c>
      <c r="N211" s="81" t="e">
        <f t="shared" si="50"/>
        <v>#REF!</v>
      </c>
      <c r="O211" s="81" t="e">
        <f t="shared" si="51"/>
        <v>#REF!</v>
      </c>
      <c r="Q211" s="83" t="str">
        <f t="shared" si="40"/>
        <v/>
      </c>
      <c r="R211" s="84" t="e">
        <f t="shared" si="41"/>
        <v>#REF!</v>
      </c>
      <c r="S211" s="83" t="e">
        <f t="shared" si="41"/>
        <v>#REF!</v>
      </c>
      <c r="T211" s="84" t="e">
        <f t="shared" si="42"/>
        <v>#REF!</v>
      </c>
      <c r="U211" s="84" t="e">
        <f t="shared" si="43"/>
        <v>#REF!</v>
      </c>
      <c r="V211" s="85" t="e">
        <f>#REF!</f>
        <v>#REF!</v>
      </c>
      <c r="W211" s="86">
        <f t="shared" si="44"/>
        <v>0</v>
      </c>
      <c r="X211" s="86">
        <f t="shared" si="44"/>
        <v>0</v>
      </c>
      <c r="Y211" s="87">
        <f t="shared" si="45"/>
        <v>0</v>
      </c>
      <c r="Z211" s="87">
        <f t="shared" si="46"/>
        <v>0</v>
      </c>
      <c r="AA211" s="87">
        <f t="shared" si="47"/>
        <v>4</v>
      </c>
    </row>
    <row r="212" spans="9:27">
      <c r="I212" s="81" t="e">
        <f>IF(#REF!&lt;&gt;"",#REF!,"")</f>
        <v>#REF!</v>
      </c>
      <c r="J212" s="81" t="e">
        <f t="shared" si="48"/>
        <v>#REF!</v>
      </c>
      <c r="L212" s="82" t="e">
        <f t="shared" si="49"/>
        <v>#REF!</v>
      </c>
      <c r="M212" s="81" t="e">
        <f t="shared" si="52"/>
        <v>#REF!</v>
      </c>
      <c r="N212" s="81" t="e">
        <f t="shared" si="50"/>
        <v>#REF!</v>
      </c>
      <c r="O212" s="81" t="e">
        <f t="shared" si="51"/>
        <v>#REF!</v>
      </c>
      <c r="Q212" s="83" t="str">
        <f t="shared" si="40"/>
        <v/>
      </c>
      <c r="R212" s="84" t="e">
        <f t="shared" si="41"/>
        <v>#REF!</v>
      </c>
      <c r="S212" s="83" t="e">
        <f t="shared" si="41"/>
        <v>#REF!</v>
      </c>
      <c r="T212" s="84" t="e">
        <f t="shared" si="42"/>
        <v>#REF!</v>
      </c>
      <c r="U212" s="84" t="e">
        <f t="shared" si="43"/>
        <v>#REF!</v>
      </c>
      <c r="V212" s="85" t="e">
        <f>#REF!</f>
        <v>#REF!</v>
      </c>
      <c r="W212" s="86">
        <f t="shared" si="44"/>
        <v>0</v>
      </c>
      <c r="X212" s="86">
        <f t="shared" si="44"/>
        <v>0</v>
      </c>
      <c r="Y212" s="87">
        <f t="shared" si="45"/>
        <v>0</v>
      </c>
      <c r="Z212" s="87">
        <f t="shared" si="46"/>
        <v>0</v>
      </c>
      <c r="AA212" s="87">
        <f t="shared" si="47"/>
        <v>4</v>
      </c>
    </row>
    <row r="213" spans="9:27">
      <c r="I213" s="81" t="e">
        <f>IF(#REF!&lt;&gt;"",#REF!,"")</f>
        <v>#REF!</v>
      </c>
      <c r="J213" s="81" t="e">
        <f t="shared" si="48"/>
        <v>#REF!</v>
      </c>
      <c r="L213" s="82" t="e">
        <f t="shared" si="49"/>
        <v>#REF!</v>
      </c>
      <c r="M213" s="81" t="e">
        <f t="shared" si="52"/>
        <v>#REF!</v>
      </c>
      <c r="N213" s="81" t="e">
        <f t="shared" si="50"/>
        <v>#REF!</v>
      </c>
      <c r="O213" s="81" t="e">
        <f t="shared" si="51"/>
        <v>#REF!</v>
      </c>
      <c r="Q213" s="83" t="str">
        <f t="shared" si="40"/>
        <v/>
      </c>
      <c r="R213" s="84" t="e">
        <f t="shared" si="41"/>
        <v>#REF!</v>
      </c>
      <c r="S213" s="83" t="e">
        <f t="shared" si="41"/>
        <v>#REF!</v>
      </c>
      <c r="T213" s="84" t="e">
        <f t="shared" si="42"/>
        <v>#REF!</v>
      </c>
      <c r="U213" s="84" t="e">
        <f t="shared" si="43"/>
        <v>#REF!</v>
      </c>
      <c r="V213" s="85" t="e">
        <f>#REF!</f>
        <v>#REF!</v>
      </c>
      <c r="W213" s="86">
        <f t="shared" si="44"/>
        <v>0</v>
      </c>
      <c r="X213" s="86">
        <f t="shared" si="44"/>
        <v>0</v>
      </c>
      <c r="Y213" s="87">
        <f t="shared" si="45"/>
        <v>0</v>
      </c>
      <c r="Z213" s="87">
        <f t="shared" si="46"/>
        <v>0</v>
      </c>
      <c r="AA213" s="87">
        <f t="shared" si="47"/>
        <v>4</v>
      </c>
    </row>
    <row r="214" spans="9:27">
      <c r="I214" s="81" t="e">
        <f>IF(#REF!&lt;&gt;"",#REF!,"")</f>
        <v>#REF!</v>
      </c>
      <c r="J214" s="81" t="e">
        <f t="shared" si="48"/>
        <v>#REF!</v>
      </c>
      <c r="L214" s="82" t="e">
        <f t="shared" si="49"/>
        <v>#REF!</v>
      </c>
      <c r="M214" s="81" t="e">
        <f t="shared" si="52"/>
        <v>#REF!</v>
      </c>
      <c r="N214" s="81" t="e">
        <f t="shared" si="50"/>
        <v>#REF!</v>
      </c>
      <c r="O214" s="81" t="e">
        <f t="shared" si="51"/>
        <v>#REF!</v>
      </c>
      <c r="Q214" s="83" t="str">
        <f t="shared" si="40"/>
        <v/>
      </c>
      <c r="R214" s="84" t="e">
        <f t="shared" si="41"/>
        <v>#REF!</v>
      </c>
      <c r="S214" s="83" t="e">
        <f t="shared" si="41"/>
        <v>#REF!</v>
      </c>
      <c r="T214" s="84" t="e">
        <f t="shared" si="42"/>
        <v>#REF!</v>
      </c>
      <c r="U214" s="84" t="e">
        <f t="shared" si="43"/>
        <v>#REF!</v>
      </c>
      <c r="V214" s="85" t="e">
        <f>#REF!</f>
        <v>#REF!</v>
      </c>
      <c r="W214" s="86">
        <f t="shared" si="44"/>
        <v>0</v>
      </c>
      <c r="X214" s="86">
        <f t="shared" si="44"/>
        <v>0</v>
      </c>
      <c r="Y214" s="87">
        <f t="shared" si="45"/>
        <v>0</v>
      </c>
      <c r="Z214" s="87">
        <f t="shared" si="46"/>
        <v>0</v>
      </c>
      <c r="AA214" s="87">
        <f t="shared" si="47"/>
        <v>4</v>
      </c>
    </row>
    <row r="215" spans="9:27">
      <c r="I215" s="81" t="e">
        <f>IF(#REF!&lt;&gt;"",#REF!,"")</f>
        <v>#REF!</v>
      </c>
      <c r="J215" s="81" t="e">
        <f t="shared" si="48"/>
        <v>#REF!</v>
      </c>
      <c r="L215" s="82" t="e">
        <f t="shared" si="49"/>
        <v>#REF!</v>
      </c>
      <c r="M215" s="81" t="e">
        <f t="shared" si="52"/>
        <v>#REF!</v>
      </c>
      <c r="N215" s="81" t="e">
        <f t="shared" si="50"/>
        <v>#REF!</v>
      </c>
      <c r="O215" s="81" t="e">
        <f t="shared" si="51"/>
        <v>#REF!</v>
      </c>
      <c r="Q215" s="83" t="str">
        <f t="shared" ref="Q215:Q278" si="53">IF(Z215=0,"",IF(Z215=1,R215&amp;S215,"E99999"))</f>
        <v/>
      </c>
      <c r="R215" s="84" t="e">
        <f t="shared" si="41"/>
        <v>#REF!</v>
      </c>
      <c r="S215" s="83" t="e">
        <f t="shared" si="41"/>
        <v>#REF!</v>
      </c>
      <c r="T215" s="84" t="e">
        <f t="shared" si="42"/>
        <v>#REF!</v>
      </c>
      <c r="U215" s="84" t="e">
        <f t="shared" si="43"/>
        <v>#REF!</v>
      </c>
      <c r="V215" s="85" t="e">
        <f>#REF!</f>
        <v>#REF!</v>
      </c>
      <c r="W215" s="86">
        <f t="shared" si="44"/>
        <v>0</v>
      </c>
      <c r="X215" s="86">
        <f t="shared" si="44"/>
        <v>0</v>
      </c>
      <c r="Y215" s="87">
        <f t="shared" si="45"/>
        <v>0</v>
      </c>
      <c r="Z215" s="87">
        <f t="shared" si="46"/>
        <v>0</v>
      </c>
      <c r="AA215" s="87">
        <f t="shared" si="47"/>
        <v>4</v>
      </c>
    </row>
    <row r="216" spans="9:27">
      <c r="I216" s="81" t="e">
        <f>IF(#REF!&lt;&gt;"",#REF!,"")</f>
        <v>#REF!</v>
      </c>
      <c r="J216" s="81" t="e">
        <f t="shared" si="48"/>
        <v>#REF!</v>
      </c>
      <c r="L216" s="82" t="e">
        <f t="shared" si="49"/>
        <v>#REF!</v>
      </c>
      <c r="M216" s="81" t="e">
        <f t="shared" si="52"/>
        <v>#REF!</v>
      </c>
      <c r="N216" s="81" t="e">
        <f t="shared" si="50"/>
        <v>#REF!</v>
      </c>
      <c r="O216" s="81" t="e">
        <f t="shared" si="51"/>
        <v>#REF!</v>
      </c>
      <c r="Q216" s="83" t="str">
        <f t="shared" si="53"/>
        <v/>
      </c>
      <c r="R216" s="84" t="e">
        <f t="shared" si="41"/>
        <v>#REF!</v>
      </c>
      <c r="S216" s="83" t="e">
        <f t="shared" si="41"/>
        <v>#REF!</v>
      </c>
      <c r="T216" s="84" t="e">
        <f t="shared" si="42"/>
        <v>#REF!</v>
      </c>
      <c r="U216" s="84" t="e">
        <f t="shared" si="43"/>
        <v>#REF!</v>
      </c>
      <c r="V216" s="85" t="e">
        <f>#REF!</f>
        <v>#REF!</v>
      </c>
      <c r="W216" s="86">
        <f t="shared" si="44"/>
        <v>0</v>
      </c>
      <c r="X216" s="86">
        <f t="shared" si="44"/>
        <v>0</v>
      </c>
      <c r="Y216" s="87">
        <f t="shared" si="45"/>
        <v>0</v>
      </c>
      <c r="Z216" s="87">
        <f t="shared" si="46"/>
        <v>0</v>
      </c>
      <c r="AA216" s="87">
        <f t="shared" si="47"/>
        <v>4</v>
      </c>
    </row>
    <row r="217" spans="9:27">
      <c r="I217" s="81" t="e">
        <f>IF(#REF!&lt;&gt;"",#REF!,"")</f>
        <v>#REF!</v>
      </c>
      <c r="J217" s="81" t="e">
        <f t="shared" si="48"/>
        <v>#REF!</v>
      </c>
      <c r="L217" s="82" t="e">
        <f t="shared" si="49"/>
        <v>#REF!</v>
      </c>
      <c r="M217" s="81" t="e">
        <f t="shared" si="52"/>
        <v>#REF!</v>
      </c>
      <c r="N217" s="81" t="e">
        <f t="shared" si="50"/>
        <v>#REF!</v>
      </c>
      <c r="O217" s="81" t="e">
        <f t="shared" si="51"/>
        <v>#REF!</v>
      </c>
      <c r="Q217" s="83" t="str">
        <f t="shared" si="53"/>
        <v/>
      </c>
      <c r="R217" s="84" t="e">
        <f t="shared" si="41"/>
        <v>#REF!</v>
      </c>
      <c r="S217" s="83" t="e">
        <f t="shared" si="41"/>
        <v>#REF!</v>
      </c>
      <c r="T217" s="84" t="e">
        <f t="shared" si="42"/>
        <v>#REF!</v>
      </c>
      <c r="U217" s="84" t="e">
        <f t="shared" si="43"/>
        <v>#REF!</v>
      </c>
      <c r="V217" s="85" t="e">
        <f>#REF!</f>
        <v>#REF!</v>
      </c>
      <c r="W217" s="86">
        <f t="shared" si="44"/>
        <v>0</v>
      </c>
      <c r="X217" s="86">
        <f t="shared" si="44"/>
        <v>0</v>
      </c>
      <c r="Y217" s="87">
        <f t="shared" si="45"/>
        <v>0</v>
      </c>
      <c r="Z217" s="87">
        <f t="shared" si="46"/>
        <v>0</v>
      </c>
      <c r="AA217" s="87">
        <f t="shared" si="47"/>
        <v>4</v>
      </c>
    </row>
    <row r="218" spans="9:27">
      <c r="I218" s="81" t="e">
        <f>IF(#REF!&lt;&gt;"",#REF!,"")</f>
        <v>#REF!</v>
      </c>
      <c r="J218" s="81" t="e">
        <f t="shared" si="48"/>
        <v>#REF!</v>
      </c>
      <c r="L218" s="82" t="e">
        <f t="shared" si="49"/>
        <v>#REF!</v>
      </c>
      <c r="M218" s="81" t="e">
        <f t="shared" si="52"/>
        <v>#REF!</v>
      </c>
      <c r="N218" s="81" t="e">
        <f t="shared" si="50"/>
        <v>#REF!</v>
      </c>
      <c r="O218" s="81" t="e">
        <f t="shared" si="51"/>
        <v>#REF!</v>
      </c>
      <c r="Q218" s="83" t="str">
        <f t="shared" si="53"/>
        <v/>
      </c>
      <c r="R218" s="84" t="e">
        <f t="shared" si="41"/>
        <v>#REF!</v>
      </c>
      <c r="S218" s="83" t="e">
        <f t="shared" si="41"/>
        <v>#REF!</v>
      </c>
      <c r="T218" s="84" t="e">
        <f t="shared" si="42"/>
        <v>#REF!</v>
      </c>
      <c r="U218" s="84" t="e">
        <f t="shared" si="43"/>
        <v>#REF!</v>
      </c>
      <c r="V218" s="85" t="e">
        <f>#REF!</f>
        <v>#REF!</v>
      </c>
      <c r="W218" s="86">
        <f t="shared" si="44"/>
        <v>0</v>
      </c>
      <c r="X218" s="86">
        <f t="shared" si="44"/>
        <v>0</v>
      </c>
      <c r="Y218" s="87">
        <f t="shared" si="45"/>
        <v>0</v>
      </c>
      <c r="Z218" s="87">
        <f t="shared" si="46"/>
        <v>0</v>
      </c>
      <c r="AA218" s="87">
        <f t="shared" si="47"/>
        <v>4</v>
      </c>
    </row>
    <row r="219" spans="9:27">
      <c r="I219" s="81" t="e">
        <f>IF(#REF!&lt;&gt;"",#REF!,"")</f>
        <v>#REF!</v>
      </c>
      <c r="J219" s="81" t="e">
        <f t="shared" si="48"/>
        <v>#REF!</v>
      </c>
      <c r="L219" s="82" t="e">
        <f t="shared" si="49"/>
        <v>#REF!</v>
      </c>
      <c r="M219" s="81" t="e">
        <f t="shared" si="52"/>
        <v>#REF!</v>
      </c>
      <c r="N219" s="81" t="e">
        <f t="shared" si="50"/>
        <v>#REF!</v>
      </c>
      <c r="O219" s="81" t="e">
        <f t="shared" si="51"/>
        <v>#REF!</v>
      </c>
      <c r="Q219" s="83" t="str">
        <f t="shared" si="53"/>
        <v/>
      </c>
      <c r="R219" s="84" t="e">
        <f t="shared" si="41"/>
        <v>#REF!</v>
      </c>
      <c r="S219" s="83" t="e">
        <f t="shared" si="41"/>
        <v>#REF!</v>
      </c>
      <c r="T219" s="84" t="e">
        <f t="shared" si="42"/>
        <v>#REF!</v>
      </c>
      <c r="U219" s="84" t="e">
        <f t="shared" si="43"/>
        <v>#REF!</v>
      </c>
      <c r="V219" s="85" t="e">
        <f>#REF!</f>
        <v>#REF!</v>
      </c>
      <c r="W219" s="86">
        <f t="shared" si="44"/>
        <v>0</v>
      </c>
      <c r="X219" s="86">
        <f t="shared" si="44"/>
        <v>0</v>
      </c>
      <c r="Y219" s="87">
        <f t="shared" si="45"/>
        <v>0</v>
      </c>
      <c r="Z219" s="87">
        <f t="shared" si="46"/>
        <v>0</v>
      </c>
      <c r="AA219" s="87">
        <f t="shared" si="47"/>
        <v>4</v>
      </c>
    </row>
    <row r="220" spans="9:27">
      <c r="I220" s="81" t="e">
        <f>IF(#REF!&lt;&gt;"",#REF!,"")</f>
        <v>#REF!</v>
      </c>
      <c r="J220" s="81" t="e">
        <f t="shared" si="48"/>
        <v>#REF!</v>
      </c>
      <c r="L220" s="82" t="e">
        <f t="shared" si="49"/>
        <v>#REF!</v>
      </c>
      <c r="M220" s="81" t="e">
        <f t="shared" si="52"/>
        <v>#REF!</v>
      </c>
      <c r="N220" s="81" t="e">
        <f t="shared" si="50"/>
        <v>#REF!</v>
      </c>
      <c r="O220" s="81" t="e">
        <f t="shared" si="51"/>
        <v>#REF!</v>
      </c>
      <c r="Q220" s="83" t="str">
        <f t="shared" si="53"/>
        <v/>
      </c>
      <c r="R220" s="84" t="e">
        <f t="shared" si="41"/>
        <v>#REF!</v>
      </c>
      <c r="S220" s="83" t="e">
        <f t="shared" si="41"/>
        <v>#REF!</v>
      </c>
      <c r="T220" s="84" t="e">
        <f t="shared" si="42"/>
        <v>#REF!</v>
      </c>
      <c r="U220" s="84" t="e">
        <f t="shared" si="43"/>
        <v>#REF!</v>
      </c>
      <c r="V220" s="85" t="e">
        <f>#REF!</f>
        <v>#REF!</v>
      </c>
      <c r="W220" s="86">
        <f t="shared" si="44"/>
        <v>0</v>
      </c>
      <c r="X220" s="86">
        <f t="shared" si="44"/>
        <v>0</v>
      </c>
      <c r="Y220" s="87">
        <f t="shared" si="45"/>
        <v>0</v>
      </c>
      <c r="Z220" s="87">
        <f t="shared" si="46"/>
        <v>0</v>
      </c>
      <c r="AA220" s="87">
        <f t="shared" si="47"/>
        <v>4</v>
      </c>
    </row>
    <row r="221" spans="9:27">
      <c r="I221" s="81" t="e">
        <f>IF(#REF!&lt;&gt;"",#REF!,"")</f>
        <v>#REF!</v>
      </c>
      <c r="J221" s="81" t="e">
        <f t="shared" si="48"/>
        <v>#REF!</v>
      </c>
      <c r="L221" s="82" t="e">
        <f t="shared" si="49"/>
        <v>#REF!</v>
      </c>
      <c r="M221" s="81" t="e">
        <f t="shared" si="52"/>
        <v>#REF!</v>
      </c>
      <c r="N221" s="81" t="e">
        <f t="shared" si="50"/>
        <v>#REF!</v>
      </c>
      <c r="O221" s="81" t="e">
        <f t="shared" si="51"/>
        <v>#REF!</v>
      </c>
      <c r="Q221" s="83" t="str">
        <f t="shared" si="53"/>
        <v/>
      </c>
      <c r="R221" s="84" t="e">
        <f t="shared" si="41"/>
        <v>#REF!</v>
      </c>
      <c r="S221" s="83" t="e">
        <f t="shared" si="41"/>
        <v>#REF!</v>
      </c>
      <c r="T221" s="84" t="e">
        <f t="shared" si="42"/>
        <v>#REF!</v>
      </c>
      <c r="U221" s="84" t="e">
        <f t="shared" si="43"/>
        <v>#REF!</v>
      </c>
      <c r="V221" s="85" t="e">
        <f>#REF!</f>
        <v>#REF!</v>
      </c>
      <c r="W221" s="86">
        <f t="shared" si="44"/>
        <v>0</v>
      </c>
      <c r="X221" s="86">
        <f t="shared" si="44"/>
        <v>0</v>
      </c>
      <c r="Y221" s="87">
        <f t="shared" si="45"/>
        <v>0</v>
      </c>
      <c r="Z221" s="87">
        <f t="shared" si="46"/>
        <v>0</v>
      </c>
      <c r="AA221" s="87">
        <f t="shared" si="47"/>
        <v>4</v>
      </c>
    </row>
    <row r="222" spans="9:27">
      <c r="I222" s="81" t="e">
        <f>IF(#REF!&lt;&gt;"",#REF!,"")</f>
        <v>#REF!</v>
      </c>
      <c r="J222" s="81" t="e">
        <f t="shared" si="48"/>
        <v>#REF!</v>
      </c>
      <c r="L222" s="82" t="e">
        <f t="shared" si="49"/>
        <v>#REF!</v>
      </c>
      <c r="M222" s="81" t="e">
        <f t="shared" si="52"/>
        <v>#REF!</v>
      </c>
      <c r="N222" s="81" t="e">
        <f t="shared" si="50"/>
        <v>#REF!</v>
      </c>
      <c r="O222" s="81" t="e">
        <f t="shared" si="51"/>
        <v>#REF!</v>
      </c>
      <c r="Q222" s="83" t="str">
        <f t="shared" si="53"/>
        <v/>
      </c>
      <c r="R222" s="84" t="e">
        <f t="shared" si="41"/>
        <v>#REF!</v>
      </c>
      <c r="S222" s="83" t="e">
        <f t="shared" si="41"/>
        <v>#REF!</v>
      </c>
      <c r="T222" s="84" t="e">
        <f t="shared" si="42"/>
        <v>#REF!</v>
      </c>
      <c r="U222" s="84" t="e">
        <f t="shared" si="43"/>
        <v>#REF!</v>
      </c>
      <c r="V222" s="85" t="e">
        <f>#REF!</f>
        <v>#REF!</v>
      </c>
      <c r="W222" s="86">
        <f t="shared" si="44"/>
        <v>0</v>
      </c>
      <c r="X222" s="86">
        <f t="shared" si="44"/>
        <v>0</v>
      </c>
      <c r="Y222" s="87">
        <f t="shared" si="45"/>
        <v>0</v>
      </c>
      <c r="Z222" s="87">
        <f t="shared" si="46"/>
        <v>0</v>
      </c>
      <c r="AA222" s="87">
        <f t="shared" si="47"/>
        <v>4</v>
      </c>
    </row>
    <row r="223" spans="9:27">
      <c r="I223" s="81" t="e">
        <f>IF(#REF!&lt;&gt;"",#REF!,"")</f>
        <v>#REF!</v>
      </c>
      <c r="J223" s="81" t="e">
        <f t="shared" si="48"/>
        <v>#REF!</v>
      </c>
      <c r="L223" s="82" t="e">
        <f t="shared" si="49"/>
        <v>#REF!</v>
      </c>
      <c r="M223" s="81" t="e">
        <f t="shared" si="52"/>
        <v>#REF!</v>
      </c>
      <c r="N223" s="81" t="e">
        <f t="shared" si="50"/>
        <v>#REF!</v>
      </c>
      <c r="O223" s="81" t="e">
        <f t="shared" si="51"/>
        <v>#REF!</v>
      </c>
      <c r="Q223" s="83" t="str">
        <f t="shared" si="53"/>
        <v/>
      </c>
      <c r="R223" s="84" t="e">
        <f t="shared" si="41"/>
        <v>#REF!</v>
      </c>
      <c r="S223" s="83" t="e">
        <f t="shared" si="41"/>
        <v>#REF!</v>
      </c>
      <c r="T223" s="84" t="e">
        <f t="shared" si="42"/>
        <v>#REF!</v>
      </c>
      <c r="U223" s="84" t="e">
        <f t="shared" si="43"/>
        <v>#REF!</v>
      </c>
      <c r="V223" s="85" t="e">
        <f>#REF!</f>
        <v>#REF!</v>
      </c>
      <c r="W223" s="86">
        <f t="shared" si="44"/>
        <v>0</v>
      </c>
      <c r="X223" s="86">
        <f t="shared" si="44"/>
        <v>0</v>
      </c>
      <c r="Y223" s="87">
        <f t="shared" si="45"/>
        <v>0</v>
      </c>
      <c r="Z223" s="87">
        <f t="shared" si="46"/>
        <v>0</v>
      </c>
      <c r="AA223" s="87">
        <f t="shared" si="47"/>
        <v>4</v>
      </c>
    </row>
    <row r="224" spans="9:27">
      <c r="I224" s="81" t="e">
        <f>IF(#REF!&lt;&gt;"",#REF!,"")</f>
        <v>#REF!</v>
      </c>
      <c r="J224" s="81" t="e">
        <f t="shared" si="48"/>
        <v>#REF!</v>
      </c>
      <c r="L224" s="82" t="e">
        <f t="shared" si="49"/>
        <v>#REF!</v>
      </c>
      <c r="M224" s="81" t="e">
        <f t="shared" si="52"/>
        <v>#REF!</v>
      </c>
      <c r="N224" s="81" t="e">
        <f t="shared" si="50"/>
        <v>#REF!</v>
      </c>
      <c r="O224" s="81" t="e">
        <f t="shared" si="51"/>
        <v>#REF!</v>
      </c>
      <c r="Q224" s="83" t="str">
        <f t="shared" si="53"/>
        <v/>
      </c>
      <c r="R224" s="84" t="e">
        <f t="shared" si="41"/>
        <v>#REF!</v>
      </c>
      <c r="S224" s="83" t="e">
        <f t="shared" si="41"/>
        <v>#REF!</v>
      </c>
      <c r="T224" s="84" t="e">
        <f t="shared" si="42"/>
        <v>#REF!</v>
      </c>
      <c r="U224" s="84" t="e">
        <f t="shared" si="43"/>
        <v>#REF!</v>
      </c>
      <c r="V224" s="85" t="e">
        <f>#REF!</f>
        <v>#REF!</v>
      </c>
      <c r="W224" s="86">
        <f t="shared" si="44"/>
        <v>0</v>
      </c>
      <c r="X224" s="86">
        <f t="shared" si="44"/>
        <v>0</v>
      </c>
      <c r="Y224" s="87">
        <f t="shared" si="45"/>
        <v>0</v>
      </c>
      <c r="Z224" s="87">
        <f t="shared" si="46"/>
        <v>0</v>
      </c>
      <c r="AA224" s="87">
        <f t="shared" si="47"/>
        <v>4</v>
      </c>
    </row>
    <row r="225" spans="9:27">
      <c r="I225" s="81" t="e">
        <f>IF(#REF!&lt;&gt;"",#REF!,"")</f>
        <v>#REF!</v>
      </c>
      <c r="J225" s="81" t="e">
        <f t="shared" si="48"/>
        <v>#REF!</v>
      </c>
      <c r="L225" s="82" t="e">
        <f t="shared" si="49"/>
        <v>#REF!</v>
      </c>
      <c r="M225" s="81" t="e">
        <f t="shared" si="52"/>
        <v>#REF!</v>
      </c>
      <c r="N225" s="81" t="e">
        <f t="shared" si="50"/>
        <v>#REF!</v>
      </c>
      <c r="O225" s="81" t="e">
        <f t="shared" si="51"/>
        <v>#REF!</v>
      </c>
      <c r="Q225" s="83" t="str">
        <f t="shared" si="53"/>
        <v/>
      </c>
      <c r="R225" s="84" t="e">
        <f t="shared" si="41"/>
        <v>#REF!</v>
      </c>
      <c r="S225" s="83" t="e">
        <f t="shared" si="41"/>
        <v>#REF!</v>
      </c>
      <c r="T225" s="84" t="e">
        <f t="shared" si="42"/>
        <v>#REF!</v>
      </c>
      <c r="U225" s="84" t="e">
        <f t="shared" si="43"/>
        <v>#REF!</v>
      </c>
      <c r="V225" s="85" t="e">
        <f>#REF!</f>
        <v>#REF!</v>
      </c>
      <c r="W225" s="86">
        <f t="shared" si="44"/>
        <v>0</v>
      </c>
      <c r="X225" s="86">
        <f t="shared" si="44"/>
        <v>0</v>
      </c>
      <c r="Y225" s="87">
        <f t="shared" si="45"/>
        <v>0</v>
      </c>
      <c r="Z225" s="87">
        <f t="shared" si="46"/>
        <v>0</v>
      </c>
      <c r="AA225" s="87">
        <f t="shared" si="47"/>
        <v>4</v>
      </c>
    </row>
    <row r="226" spans="9:27">
      <c r="I226" s="81" t="e">
        <f>IF(#REF!&lt;&gt;"",#REF!,"")</f>
        <v>#REF!</v>
      </c>
      <c r="J226" s="81" t="e">
        <f t="shared" si="48"/>
        <v>#REF!</v>
      </c>
      <c r="L226" s="82" t="e">
        <f t="shared" si="49"/>
        <v>#REF!</v>
      </c>
      <c r="M226" s="81" t="e">
        <f t="shared" si="52"/>
        <v>#REF!</v>
      </c>
      <c r="N226" s="81" t="e">
        <f t="shared" si="50"/>
        <v>#REF!</v>
      </c>
      <c r="O226" s="81" t="e">
        <f t="shared" si="51"/>
        <v>#REF!</v>
      </c>
      <c r="Q226" s="83" t="str">
        <f t="shared" si="53"/>
        <v/>
      </c>
      <c r="R226" s="84" t="e">
        <f t="shared" si="41"/>
        <v>#REF!</v>
      </c>
      <c r="S226" s="83" t="e">
        <f t="shared" si="41"/>
        <v>#REF!</v>
      </c>
      <c r="T226" s="84" t="e">
        <f t="shared" si="42"/>
        <v>#REF!</v>
      </c>
      <c r="U226" s="84" t="e">
        <f t="shared" si="43"/>
        <v>#REF!</v>
      </c>
      <c r="V226" s="85" t="e">
        <f>#REF!</f>
        <v>#REF!</v>
      </c>
      <c r="W226" s="86">
        <f t="shared" si="44"/>
        <v>0</v>
      </c>
      <c r="X226" s="86">
        <f t="shared" si="44"/>
        <v>0</v>
      </c>
      <c r="Y226" s="87">
        <f t="shared" si="45"/>
        <v>0</v>
      </c>
      <c r="Z226" s="87">
        <f t="shared" si="46"/>
        <v>0</v>
      </c>
      <c r="AA226" s="87">
        <f t="shared" si="47"/>
        <v>4</v>
      </c>
    </row>
    <row r="227" spans="9:27">
      <c r="I227" s="81" t="e">
        <f>IF(#REF!&lt;&gt;"",#REF!,"")</f>
        <v>#REF!</v>
      </c>
      <c r="J227" s="81" t="e">
        <f t="shared" si="48"/>
        <v>#REF!</v>
      </c>
      <c r="L227" s="82" t="e">
        <f t="shared" si="49"/>
        <v>#REF!</v>
      </c>
      <c r="M227" s="81" t="e">
        <f t="shared" si="52"/>
        <v>#REF!</v>
      </c>
      <c r="N227" s="81" t="e">
        <f t="shared" si="50"/>
        <v>#REF!</v>
      </c>
      <c r="O227" s="81" t="e">
        <f t="shared" si="51"/>
        <v>#REF!</v>
      </c>
      <c r="Q227" s="83" t="str">
        <f t="shared" si="53"/>
        <v/>
      </c>
      <c r="R227" s="84" t="e">
        <f t="shared" si="41"/>
        <v>#REF!</v>
      </c>
      <c r="S227" s="83" t="e">
        <f t="shared" si="41"/>
        <v>#REF!</v>
      </c>
      <c r="T227" s="84" t="e">
        <f t="shared" si="42"/>
        <v>#REF!</v>
      </c>
      <c r="U227" s="84" t="e">
        <f t="shared" si="43"/>
        <v>#REF!</v>
      </c>
      <c r="V227" s="85" t="e">
        <f>#REF!</f>
        <v>#REF!</v>
      </c>
      <c r="W227" s="86">
        <f t="shared" si="44"/>
        <v>0</v>
      </c>
      <c r="X227" s="86">
        <f t="shared" si="44"/>
        <v>0</v>
      </c>
      <c r="Y227" s="87">
        <f t="shared" si="45"/>
        <v>0</v>
      </c>
      <c r="Z227" s="87">
        <f t="shared" si="46"/>
        <v>0</v>
      </c>
      <c r="AA227" s="87">
        <f t="shared" si="47"/>
        <v>4</v>
      </c>
    </row>
    <row r="228" spans="9:27">
      <c r="I228" s="81" t="e">
        <f>IF(#REF!&lt;&gt;"",#REF!,"")</f>
        <v>#REF!</v>
      </c>
      <c r="J228" s="81" t="e">
        <f t="shared" si="48"/>
        <v>#REF!</v>
      </c>
      <c r="L228" s="82" t="e">
        <f t="shared" si="49"/>
        <v>#REF!</v>
      </c>
      <c r="M228" s="81" t="e">
        <f t="shared" si="52"/>
        <v>#REF!</v>
      </c>
      <c r="N228" s="81" t="e">
        <f t="shared" si="50"/>
        <v>#REF!</v>
      </c>
      <c r="O228" s="81" t="e">
        <f t="shared" si="51"/>
        <v>#REF!</v>
      </c>
      <c r="Q228" s="83" t="str">
        <f t="shared" si="53"/>
        <v/>
      </c>
      <c r="R228" s="84" t="e">
        <f t="shared" si="41"/>
        <v>#REF!</v>
      </c>
      <c r="S228" s="83" t="e">
        <f t="shared" si="41"/>
        <v>#REF!</v>
      </c>
      <c r="T228" s="84" t="e">
        <f t="shared" si="42"/>
        <v>#REF!</v>
      </c>
      <c r="U228" s="84" t="e">
        <f t="shared" si="43"/>
        <v>#REF!</v>
      </c>
      <c r="V228" s="85" t="e">
        <f>#REF!</f>
        <v>#REF!</v>
      </c>
      <c r="W228" s="86">
        <f t="shared" si="44"/>
        <v>0</v>
      </c>
      <c r="X228" s="86">
        <f t="shared" si="44"/>
        <v>0</v>
      </c>
      <c r="Y228" s="87">
        <f t="shared" si="45"/>
        <v>0</v>
      </c>
      <c r="Z228" s="87">
        <f t="shared" si="46"/>
        <v>0</v>
      </c>
      <c r="AA228" s="87">
        <f t="shared" si="47"/>
        <v>4</v>
      </c>
    </row>
    <row r="229" spans="9:27">
      <c r="I229" s="81" t="e">
        <f>IF(#REF!&lt;&gt;"",#REF!,"")</f>
        <v>#REF!</v>
      </c>
      <c r="J229" s="81" t="e">
        <f t="shared" si="48"/>
        <v>#REF!</v>
      </c>
      <c r="L229" s="82" t="e">
        <f t="shared" si="49"/>
        <v>#REF!</v>
      </c>
      <c r="M229" s="81" t="e">
        <f t="shared" si="52"/>
        <v>#REF!</v>
      </c>
      <c r="N229" s="81" t="e">
        <f t="shared" si="50"/>
        <v>#REF!</v>
      </c>
      <c r="O229" s="81" t="e">
        <f t="shared" si="51"/>
        <v>#REF!</v>
      </c>
      <c r="Q229" s="83" t="str">
        <f t="shared" si="53"/>
        <v/>
      </c>
      <c r="R229" s="84" t="e">
        <f t="shared" si="41"/>
        <v>#REF!</v>
      </c>
      <c r="S229" s="83" t="e">
        <f t="shared" si="41"/>
        <v>#REF!</v>
      </c>
      <c r="T229" s="84" t="e">
        <f t="shared" si="42"/>
        <v>#REF!</v>
      </c>
      <c r="U229" s="84" t="e">
        <f t="shared" si="43"/>
        <v>#REF!</v>
      </c>
      <c r="V229" s="85" t="e">
        <f>#REF!</f>
        <v>#REF!</v>
      </c>
      <c r="W229" s="86">
        <f t="shared" si="44"/>
        <v>0</v>
      </c>
      <c r="X229" s="86">
        <f t="shared" si="44"/>
        <v>0</v>
      </c>
      <c r="Y229" s="87">
        <f t="shared" si="45"/>
        <v>0</v>
      </c>
      <c r="Z229" s="87">
        <f t="shared" si="46"/>
        <v>0</v>
      </c>
      <c r="AA229" s="87">
        <f t="shared" si="47"/>
        <v>4</v>
      </c>
    </row>
    <row r="230" spans="9:27">
      <c r="I230" s="81" t="e">
        <f>IF(#REF!&lt;&gt;"",#REF!,"")</f>
        <v>#REF!</v>
      </c>
      <c r="J230" s="81" t="e">
        <f t="shared" si="48"/>
        <v>#REF!</v>
      </c>
      <c r="L230" s="82" t="e">
        <f t="shared" si="49"/>
        <v>#REF!</v>
      </c>
      <c r="M230" s="81" t="e">
        <f t="shared" si="52"/>
        <v>#REF!</v>
      </c>
      <c r="N230" s="81" t="e">
        <f t="shared" si="50"/>
        <v>#REF!</v>
      </c>
      <c r="O230" s="81" t="e">
        <f t="shared" si="51"/>
        <v>#REF!</v>
      </c>
      <c r="Q230" s="83" t="str">
        <f t="shared" si="53"/>
        <v/>
      </c>
      <c r="R230" s="84" t="e">
        <f t="shared" si="41"/>
        <v>#REF!</v>
      </c>
      <c r="S230" s="83" t="e">
        <f t="shared" si="41"/>
        <v>#REF!</v>
      </c>
      <c r="T230" s="84" t="e">
        <f t="shared" si="42"/>
        <v>#REF!</v>
      </c>
      <c r="U230" s="84" t="e">
        <f t="shared" si="43"/>
        <v>#REF!</v>
      </c>
      <c r="V230" s="85" t="e">
        <f>#REF!</f>
        <v>#REF!</v>
      </c>
      <c r="W230" s="86">
        <f t="shared" si="44"/>
        <v>0</v>
      </c>
      <c r="X230" s="86">
        <f t="shared" si="44"/>
        <v>0</v>
      </c>
      <c r="Y230" s="87">
        <f t="shared" si="45"/>
        <v>0</v>
      </c>
      <c r="Z230" s="87">
        <f t="shared" si="46"/>
        <v>0</v>
      </c>
      <c r="AA230" s="87">
        <f t="shared" si="47"/>
        <v>4</v>
      </c>
    </row>
    <row r="231" spans="9:27">
      <c r="I231" s="81" t="e">
        <f>IF(#REF!&lt;&gt;"",#REF!,"")</f>
        <v>#REF!</v>
      </c>
      <c r="J231" s="81" t="e">
        <f t="shared" si="48"/>
        <v>#REF!</v>
      </c>
      <c r="L231" s="82" t="e">
        <f t="shared" si="49"/>
        <v>#REF!</v>
      </c>
      <c r="M231" s="81" t="e">
        <f t="shared" si="52"/>
        <v>#REF!</v>
      </c>
      <c r="N231" s="81" t="e">
        <f t="shared" si="50"/>
        <v>#REF!</v>
      </c>
      <c r="O231" s="81" t="e">
        <f t="shared" si="51"/>
        <v>#REF!</v>
      </c>
      <c r="Q231" s="83" t="str">
        <f t="shared" si="53"/>
        <v/>
      </c>
      <c r="R231" s="84" t="e">
        <f t="shared" si="41"/>
        <v>#REF!</v>
      </c>
      <c r="S231" s="83" t="e">
        <f t="shared" si="41"/>
        <v>#REF!</v>
      </c>
      <c r="T231" s="84" t="e">
        <f t="shared" si="42"/>
        <v>#REF!</v>
      </c>
      <c r="U231" s="84" t="e">
        <f t="shared" si="43"/>
        <v>#REF!</v>
      </c>
      <c r="V231" s="85" t="e">
        <f>#REF!</f>
        <v>#REF!</v>
      </c>
      <c r="W231" s="86">
        <f t="shared" si="44"/>
        <v>0</v>
      </c>
      <c r="X231" s="86">
        <f t="shared" si="44"/>
        <v>0</v>
      </c>
      <c r="Y231" s="87">
        <f t="shared" si="45"/>
        <v>0</v>
      </c>
      <c r="Z231" s="87">
        <f t="shared" si="46"/>
        <v>0</v>
      </c>
      <c r="AA231" s="87">
        <f t="shared" si="47"/>
        <v>4</v>
      </c>
    </row>
    <row r="232" spans="9:27">
      <c r="I232" s="81" t="e">
        <f>IF(#REF!&lt;&gt;"",#REF!,"")</f>
        <v>#REF!</v>
      </c>
      <c r="J232" s="81" t="e">
        <f t="shared" si="48"/>
        <v>#REF!</v>
      </c>
      <c r="L232" s="82" t="e">
        <f t="shared" si="49"/>
        <v>#REF!</v>
      </c>
      <c r="M232" s="81" t="e">
        <f t="shared" si="52"/>
        <v>#REF!</v>
      </c>
      <c r="N232" s="81" t="e">
        <f t="shared" si="50"/>
        <v>#REF!</v>
      </c>
      <c r="O232" s="81" t="e">
        <f t="shared" si="51"/>
        <v>#REF!</v>
      </c>
      <c r="Q232" s="83" t="str">
        <f t="shared" si="53"/>
        <v/>
      </c>
      <c r="R232" s="84" t="e">
        <f t="shared" si="41"/>
        <v>#REF!</v>
      </c>
      <c r="S232" s="83" t="e">
        <f t="shared" si="41"/>
        <v>#REF!</v>
      </c>
      <c r="T232" s="84" t="e">
        <f t="shared" si="42"/>
        <v>#REF!</v>
      </c>
      <c r="U232" s="84" t="e">
        <f t="shared" si="43"/>
        <v>#REF!</v>
      </c>
      <c r="V232" s="85" t="e">
        <f>#REF!</f>
        <v>#REF!</v>
      </c>
      <c r="W232" s="86">
        <f t="shared" si="44"/>
        <v>0</v>
      </c>
      <c r="X232" s="86">
        <f t="shared" si="44"/>
        <v>0</v>
      </c>
      <c r="Y232" s="87">
        <f t="shared" si="45"/>
        <v>0</v>
      </c>
      <c r="Z232" s="87">
        <f t="shared" si="46"/>
        <v>0</v>
      </c>
      <c r="AA232" s="87">
        <f t="shared" si="47"/>
        <v>4</v>
      </c>
    </row>
    <row r="233" spans="9:27">
      <c r="I233" s="81" t="e">
        <f>IF(#REF!&lt;&gt;"",#REF!,"")</f>
        <v>#REF!</v>
      </c>
      <c r="J233" s="81" t="e">
        <f t="shared" si="48"/>
        <v>#REF!</v>
      </c>
      <c r="L233" s="82" t="e">
        <f t="shared" si="49"/>
        <v>#REF!</v>
      </c>
      <c r="M233" s="81" t="e">
        <f t="shared" si="52"/>
        <v>#REF!</v>
      </c>
      <c r="N233" s="81" t="e">
        <f t="shared" si="50"/>
        <v>#REF!</v>
      </c>
      <c r="O233" s="81" t="e">
        <f t="shared" si="51"/>
        <v>#REF!</v>
      </c>
      <c r="Q233" s="83" t="str">
        <f t="shared" si="53"/>
        <v/>
      </c>
      <c r="R233" s="84" t="e">
        <f t="shared" si="41"/>
        <v>#REF!</v>
      </c>
      <c r="S233" s="83" t="e">
        <f t="shared" si="41"/>
        <v>#REF!</v>
      </c>
      <c r="T233" s="84" t="e">
        <f t="shared" si="42"/>
        <v>#REF!</v>
      </c>
      <c r="U233" s="84" t="e">
        <f t="shared" si="43"/>
        <v>#REF!</v>
      </c>
      <c r="V233" s="85" t="e">
        <f>#REF!</f>
        <v>#REF!</v>
      </c>
      <c r="W233" s="86">
        <f t="shared" si="44"/>
        <v>0</v>
      </c>
      <c r="X233" s="86">
        <f t="shared" si="44"/>
        <v>0</v>
      </c>
      <c r="Y233" s="87">
        <f t="shared" si="45"/>
        <v>0</v>
      </c>
      <c r="Z233" s="87">
        <f t="shared" si="46"/>
        <v>0</v>
      </c>
      <c r="AA233" s="87">
        <f t="shared" si="47"/>
        <v>4</v>
      </c>
    </row>
    <row r="234" spans="9:27">
      <c r="I234" s="81" t="e">
        <f>IF(#REF!&lt;&gt;"",#REF!,"")</f>
        <v>#REF!</v>
      </c>
      <c r="J234" s="81" t="e">
        <f t="shared" si="48"/>
        <v>#REF!</v>
      </c>
      <c r="L234" s="82" t="e">
        <f t="shared" si="49"/>
        <v>#REF!</v>
      </c>
      <c r="M234" s="81" t="e">
        <f t="shared" si="52"/>
        <v>#REF!</v>
      </c>
      <c r="N234" s="81" t="e">
        <f t="shared" si="50"/>
        <v>#REF!</v>
      </c>
      <c r="O234" s="81" t="e">
        <f t="shared" si="51"/>
        <v>#REF!</v>
      </c>
      <c r="Q234" s="83" t="str">
        <f t="shared" si="53"/>
        <v/>
      </c>
      <c r="R234" s="84" t="e">
        <f t="shared" si="41"/>
        <v>#REF!</v>
      </c>
      <c r="S234" s="83" t="e">
        <f t="shared" si="41"/>
        <v>#REF!</v>
      </c>
      <c r="T234" s="84" t="e">
        <f t="shared" si="42"/>
        <v>#REF!</v>
      </c>
      <c r="U234" s="84" t="e">
        <f t="shared" si="43"/>
        <v>#REF!</v>
      </c>
      <c r="V234" s="85" t="e">
        <f>#REF!</f>
        <v>#REF!</v>
      </c>
      <c r="W234" s="86">
        <f t="shared" si="44"/>
        <v>0</v>
      </c>
      <c r="X234" s="86">
        <f t="shared" si="44"/>
        <v>0</v>
      </c>
      <c r="Y234" s="87">
        <f t="shared" si="45"/>
        <v>0</v>
      </c>
      <c r="Z234" s="87">
        <f t="shared" si="46"/>
        <v>0</v>
      </c>
      <c r="AA234" s="87">
        <f t="shared" si="47"/>
        <v>4</v>
      </c>
    </row>
    <row r="235" spans="9:27">
      <c r="I235" s="81" t="e">
        <f>IF(#REF!&lt;&gt;"",#REF!,"")</f>
        <v>#REF!</v>
      </c>
      <c r="J235" s="81" t="e">
        <f t="shared" si="48"/>
        <v>#REF!</v>
      </c>
      <c r="L235" s="82" t="e">
        <f t="shared" si="49"/>
        <v>#REF!</v>
      </c>
      <c r="M235" s="81" t="e">
        <f t="shared" si="52"/>
        <v>#REF!</v>
      </c>
      <c r="N235" s="81" t="e">
        <f t="shared" si="50"/>
        <v>#REF!</v>
      </c>
      <c r="O235" s="81" t="e">
        <f t="shared" si="51"/>
        <v>#REF!</v>
      </c>
      <c r="Q235" s="83" t="str">
        <f t="shared" si="53"/>
        <v/>
      </c>
      <c r="R235" s="84" t="e">
        <f t="shared" si="41"/>
        <v>#REF!</v>
      </c>
      <c r="S235" s="83" t="e">
        <f t="shared" si="41"/>
        <v>#REF!</v>
      </c>
      <c r="T235" s="84" t="e">
        <f t="shared" si="42"/>
        <v>#REF!</v>
      </c>
      <c r="U235" s="84" t="e">
        <f t="shared" si="43"/>
        <v>#REF!</v>
      </c>
      <c r="V235" s="85" t="e">
        <f>#REF!</f>
        <v>#REF!</v>
      </c>
      <c r="W235" s="86">
        <f t="shared" si="44"/>
        <v>0</v>
      </c>
      <c r="X235" s="86">
        <f t="shared" si="44"/>
        <v>0</v>
      </c>
      <c r="Y235" s="87">
        <f t="shared" si="45"/>
        <v>0</v>
      </c>
      <c r="Z235" s="87">
        <f t="shared" si="46"/>
        <v>0</v>
      </c>
      <c r="AA235" s="87">
        <f t="shared" si="47"/>
        <v>4</v>
      </c>
    </row>
    <row r="236" spans="9:27">
      <c r="I236" s="81" t="e">
        <f>IF(#REF!&lt;&gt;"",#REF!,"")</f>
        <v>#REF!</v>
      </c>
      <c r="J236" s="81" t="e">
        <f t="shared" si="48"/>
        <v>#REF!</v>
      </c>
      <c r="L236" s="82" t="e">
        <f t="shared" si="49"/>
        <v>#REF!</v>
      </c>
      <c r="M236" s="81" t="e">
        <f t="shared" si="52"/>
        <v>#REF!</v>
      </c>
      <c r="N236" s="81" t="e">
        <f t="shared" si="50"/>
        <v>#REF!</v>
      </c>
      <c r="O236" s="81" t="e">
        <f t="shared" si="51"/>
        <v>#REF!</v>
      </c>
      <c r="Q236" s="83" t="str">
        <f t="shared" si="53"/>
        <v/>
      </c>
      <c r="R236" s="84" t="e">
        <f t="shared" si="41"/>
        <v>#REF!</v>
      </c>
      <c r="S236" s="83" t="e">
        <f t="shared" si="41"/>
        <v>#REF!</v>
      </c>
      <c r="T236" s="84" t="e">
        <f t="shared" si="42"/>
        <v>#REF!</v>
      </c>
      <c r="U236" s="84" t="e">
        <f t="shared" si="43"/>
        <v>#REF!</v>
      </c>
      <c r="V236" s="85" t="e">
        <f>#REF!</f>
        <v>#REF!</v>
      </c>
      <c r="W236" s="86">
        <f t="shared" si="44"/>
        <v>0</v>
      </c>
      <c r="X236" s="86">
        <f t="shared" si="44"/>
        <v>0</v>
      </c>
      <c r="Y236" s="87">
        <f t="shared" si="45"/>
        <v>0</v>
      </c>
      <c r="Z236" s="87">
        <f t="shared" si="46"/>
        <v>0</v>
      </c>
      <c r="AA236" s="87">
        <f t="shared" si="47"/>
        <v>4</v>
      </c>
    </row>
    <row r="237" spans="9:27">
      <c r="I237" s="81" t="e">
        <f>IF(#REF!&lt;&gt;"",#REF!,"")</f>
        <v>#REF!</v>
      </c>
      <c r="J237" s="81" t="e">
        <f t="shared" si="48"/>
        <v>#REF!</v>
      </c>
      <c r="L237" s="82" t="e">
        <f t="shared" si="49"/>
        <v>#REF!</v>
      </c>
      <c r="M237" s="81" t="e">
        <f t="shared" si="52"/>
        <v>#REF!</v>
      </c>
      <c r="N237" s="81" t="e">
        <f t="shared" si="50"/>
        <v>#REF!</v>
      </c>
      <c r="O237" s="81" t="e">
        <f t="shared" si="51"/>
        <v>#REF!</v>
      </c>
      <c r="Q237" s="83" t="str">
        <f t="shared" si="53"/>
        <v/>
      </c>
      <c r="R237" s="84" t="e">
        <f t="shared" si="41"/>
        <v>#REF!</v>
      </c>
      <c r="S237" s="83" t="e">
        <f t="shared" si="41"/>
        <v>#REF!</v>
      </c>
      <c r="T237" s="84" t="e">
        <f t="shared" si="42"/>
        <v>#REF!</v>
      </c>
      <c r="U237" s="84" t="e">
        <f t="shared" si="43"/>
        <v>#REF!</v>
      </c>
      <c r="V237" s="85" t="e">
        <f>#REF!</f>
        <v>#REF!</v>
      </c>
      <c r="W237" s="86">
        <f t="shared" si="44"/>
        <v>0</v>
      </c>
      <c r="X237" s="86">
        <f t="shared" si="44"/>
        <v>0</v>
      </c>
      <c r="Y237" s="87">
        <f t="shared" si="45"/>
        <v>0</v>
      </c>
      <c r="Z237" s="87">
        <f t="shared" si="46"/>
        <v>0</v>
      </c>
      <c r="AA237" s="87">
        <f t="shared" si="47"/>
        <v>4</v>
      </c>
    </row>
    <row r="238" spans="9:27">
      <c r="I238" s="81" t="e">
        <f>IF(#REF!&lt;&gt;"",#REF!,"")</f>
        <v>#REF!</v>
      </c>
      <c r="J238" s="81" t="e">
        <f t="shared" si="48"/>
        <v>#REF!</v>
      </c>
      <c r="L238" s="82" t="e">
        <f t="shared" si="49"/>
        <v>#REF!</v>
      </c>
      <c r="M238" s="81" t="e">
        <f t="shared" si="52"/>
        <v>#REF!</v>
      </c>
      <c r="N238" s="81" t="e">
        <f t="shared" si="50"/>
        <v>#REF!</v>
      </c>
      <c r="O238" s="81" t="e">
        <f t="shared" si="51"/>
        <v>#REF!</v>
      </c>
      <c r="Q238" s="83" t="str">
        <f t="shared" si="53"/>
        <v/>
      </c>
      <c r="R238" s="84" t="e">
        <f t="shared" si="41"/>
        <v>#REF!</v>
      </c>
      <c r="S238" s="83" t="e">
        <f t="shared" si="41"/>
        <v>#REF!</v>
      </c>
      <c r="T238" s="84" t="e">
        <f t="shared" si="42"/>
        <v>#REF!</v>
      </c>
      <c r="U238" s="84" t="e">
        <f t="shared" si="43"/>
        <v>#REF!</v>
      </c>
      <c r="V238" s="85" t="e">
        <f>#REF!</f>
        <v>#REF!</v>
      </c>
      <c r="W238" s="86">
        <f t="shared" si="44"/>
        <v>0</v>
      </c>
      <c r="X238" s="86">
        <f t="shared" si="44"/>
        <v>0</v>
      </c>
      <c r="Y238" s="87">
        <f t="shared" si="45"/>
        <v>0</v>
      </c>
      <c r="Z238" s="87">
        <f t="shared" si="46"/>
        <v>0</v>
      </c>
      <c r="AA238" s="87">
        <f t="shared" si="47"/>
        <v>4</v>
      </c>
    </row>
    <row r="239" spans="9:27">
      <c r="I239" s="81" t="e">
        <f>IF(#REF!&lt;&gt;"",#REF!,"")</f>
        <v>#REF!</v>
      </c>
      <c r="J239" s="81" t="e">
        <f t="shared" si="48"/>
        <v>#REF!</v>
      </c>
      <c r="L239" s="82" t="e">
        <f t="shared" si="49"/>
        <v>#REF!</v>
      </c>
      <c r="M239" s="81" t="e">
        <f t="shared" si="52"/>
        <v>#REF!</v>
      </c>
      <c r="N239" s="81" t="e">
        <f t="shared" si="50"/>
        <v>#REF!</v>
      </c>
      <c r="O239" s="81" t="e">
        <f t="shared" si="51"/>
        <v>#REF!</v>
      </c>
      <c r="Q239" s="83" t="str">
        <f t="shared" si="53"/>
        <v/>
      </c>
      <c r="R239" s="84" t="e">
        <f t="shared" si="41"/>
        <v>#REF!</v>
      </c>
      <c r="S239" s="83" t="e">
        <f t="shared" si="41"/>
        <v>#REF!</v>
      </c>
      <c r="T239" s="84" t="e">
        <f t="shared" si="42"/>
        <v>#REF!</v>
      </c>
      <c r="U239" s="84" t="e">
        <f t="shared" si="43"/>
        <v>#REF!</v>
      </c>
      <c r="V239" s="85" t="e">
        <f>#REF!</f>
        <v>#REF!</v>
      </c>
      <c r="W239" s="86">
        <f t="shared" si="44"/>
        <v>0</v>
      </c>
      <c r="X239" s="86">
        <f t="shared" si="44"/>
        <v>0</v>
      </c>
      <c r="Y239" s="87">
        <f t="shared" si="45"/>
        <v>0</v>
      </c>
      <c r="Z239" s="87">
        <f t="shared" si="46"/>
        <v>0</v>
      </c>
      <c r="AA239" s="87">
        <f t="shared" si="47"/>
        <v>4</v>
      </c>
    </row>
    <row r="240" spans="9:27">
      <c r="I240" s="81" t="e">
        <f>IF(#REF!&lt;&gt;"",#REF!,"")</f>
        <v>#REF!</v>
      </c>
      <c r="J240" s="81" t="e">
        <f t="shared" si="48"/>
        <v>#REF!</v>
      </c>
      <c r="L240" s="82" t="e">
        <f t="shared" si="49"/>
        <v>#REF!</v>
      </c>
      <c r="M240" s="81" t="e">
        <f t="shared" si="52"/>
        <v>#REF!</v>
      </c>
      <c r="N240" s="81" t="e">
        <f t="shared" si="50"/>
        <v>#REF!</v>
      </c>
      <c r="O240" s="81" t="e">
        <f t="shared" si="51"/>
        <v>#REF!</v>
      </c>
      <c r="Q240" s="83" t="str">
        <f t="shared" si="53"/>
        <v/>
      </c>
      <c r="R240" s="84" t="e">
        <f t="shared" si="41"/>
        <v>#REF!</v>
      </c>
      <c r="S240" s="83" t="e">
        <f t="shared" si="41"/>
        <v>#REF!</v>
      </c>
      <c r="T240" s="84" t="e">
        <f t="shared" si="42"/>
        <v>#REF!</v>
      </c>
      <c r="U240" s="84" t="e">
        <f t="shared" si="43"/>
        <v>#REF!</v>
      </c>
      <c r="V240" s="85" t="e">
        <f>#REF!</f>
        <v>#REF!</v>
      </c>
      <c r="W240" s="86">
        <f t="shared" si="44"/>
        <v>0</v>
      </c>
      <c r="X240" s="86">
        <f t="shared" si="44"/>
        <v>0</v>
      </c>
      <c r="Y240" s="87">
        <f t="shared" si="45"/>
        <v>0</v>
      </c>
      <c r="Z240" s="87">
        <f t="shared" si="46"/>
        <v>0</v>
      </c>
      <c r="AA240" s="87">
        <f t="shared" si="47"/>
        <v>4</v>
      </c>
    </row>
    <row r="241" spans="9:27">
      <c r="I241" s="81" t="e">
        <f>IF(#REF!&lt;&gt;"",#REF!,"")</f>
        <v>#REF!</v>
      </c>
      <c r="J241" s="81" t="e">
        <f t="shared" si="48"/>
        <v>#REF!</v>
      </c>
      <c r="L241" s="82" t="e">
        <f t="shared" si="49"/>
        <v>#REF!</v>
      </c>
      <c r="M241" s="81" t="e">
        <f t="shared" si="52"/>
        <v>#REF!</v>
      </c>
      <c r="N241" s="81" t="e">
        <f t="shared" si="50"/>
        <v>#REF!</v>
      </c>
      <c r="O241" s="81" t="e">
        <f t="shared" si="51"/>
        <v>#REF!</v>
      </c>
      <c r="Q241" s="83" t="str">
        <f t="shared" si="53"/>
        <v/>
      </c>
      <c r="R241" s="84" t="e">
        <f t="shared" si="41"/>
        <v>#REF!</v>
      </c>
      <c r="S241" s="83" t="e">
        <f t="shared" si="41"/>
        <v>#REF!</v>
      </c>
      <c r="T241" s="84" t="e">
        <f t="shared" si="42"/>
        <v>#REF!</v>
      </c>
      <c r="U241" s="84" t="e">
        <f t="shared" si="43"/>
        <v>#REF!</v>
      </c>
      <c r="V241" s="85" t="e">
        <f>#REF!</f>
        <v>#REF!</v>
      </c>
      <c r="W241" s="86">
        <f t="shared" si="44"/>
        <v>0</v>
      </c>
      <c r="X241" s="86">
        <f t="shared" si="44"/>
        <v>0</v>
      </c>
      <c r="Y241" s="87">
        <f t="shared" si="45"/>
        <v>0</v>
      </c>
      <c r="Z241" s="87">
        <f t="shared" si="46"/>
        <v>0</v>
      </c>
      <c r="AA241" s="87">
        <f t="shared" si="47"/>
        <v>4</v>
      </c>
    </row>
    <row r="242" spans="9:27">
      <c r="I242" s="81" t="e">
        <f>IF(#REF!&lt;&gt;"",#REF!,"")</f>
        <v>#REF!</v>
      </c>
      <c r="J242" s="81" t="e">
        <f t="shared" si="48"/>
        <v>#REF!</v>
      </c>
      <c r="L242" s="82" t="e">
        <f t="shared" si="49"/>
        <v>#REF!</v>
      </c>
      <c r="M242" s="81" t="e">
        <f t="shared" si="52"/>
        <v>#REF!</v>
      </c>
      <c r="N242" s="81" t="e">
        <f t="shared" si="50"/>
        <v>#REF!</v>
      </c>
      <c r="O242" s="81" t="e">
        <f t="shared" si="51"/>
        <v>#REF!</v>
      </c>
      <c r="Q242" s="83" t="str">
        <f t="shared" si="53"/>
        <v/>
      </c>
      <c r="R242" s="84" t="e">
        <f t="shared" si="41"/>
        <v>#REF!</v>
      </c>
      <c r="S242" s="83" t="e">
        <f t="shared" si="41"/>
        <v>#REF!</v>
      </c>
      <c r="T242" s="84" t="e">
        <f t="shared" si="42"/>
        <v>#REF!</v>
      </c>
      <c r="U242" s="84" t="e">
        <f t="shared" si="43"/>
        <v>#REF!</v>
      </c>
      <c r="V242" s="85" t="e">
        <f>#REF!</f>
        <v>#REF!</v>
      </c>
      <c r="W242" s="86">
        <f t="shared" si="44"/>
        <v>0</v>
      </c>
      <c r="X242" s="86">
        <f t="shared" si="44"/>
        <v>0</v>
      </c>
      <c r="Y242" s="87">
        <f t="shared" si="45"/>
        <v>0</v>
      </c>
      <c r="Z242" s="87">
        <f t="shared" si="46"/>
        <v>0</v>
      </c>
      <c r="AA242" s="87">
        <f t="shared" si="47"/>
        <v>4</v>
      </c>
    </row>
    <row r="243" spans="9:27">
      <c r="I243" s="81" t="e">
        <f>IF(#REF!&lt;&gt;"",#REF!,"")</f>
        <v>#REF!</v>
      </c>
      <c r="J243" s="81" t="e">
        <f t="shared" si="48"/>
        <v>#REF!</v>
      </c>
      <c r="L243" s="82" t="e">
        <f t="shared" si="49"/>
        <v>#REF!</v>
      </c>
      <c r="M243" s="81" t="e">
        <f t="shared" si="52"/>
        <v>#REF!</v>
      </c>
      <c r="N243" s="81" t="e">
        <f t="shared" si="50"/>
        <v>#REF!</v>
      </c>
      <c r="O243" s="81" t="e">
        <f t="shared" si="51"/>
        <v>#REF!</v>
      </c>
      <c r="Q243" s="83" t="str">
        <f t="shared" si="53"/>
        <v/>
      </c>
      <c r="R243" s="84" t="e">
        <f t="shared" si="41"/>
        <v>#REF!</v>
      </c>
      <c r="S243" s="83" t="e">
        <f t="shared" si="41"/>
        <v>#REF!</v>
      </c>
      <c r="T243" s="84" t="e">
        <f t="shared" si="42"/>
        <v>#REF!</v>
      </c>
      <c r="U243" s="84" t="e">
        <f t="shared" si="43"/>
        <v>#REF!</v>
      </c>
      <c r="V243" s="85" t="e">
        <f>#REF!</f>
        <v>#REF!</v>
      </c>
      <c r="W243" s="86">
        <f t="shared" si="44"/>
        <v>0</v>
      </c>
      <c r="X243" s="86">
        <f t="shared" si="44"/>
        <v>0</v>
      </c>
      <c r="Y243" s="87">
        <f t="shared" si="45"/>
        <v>0</v>
      </c>
      <c r="Z243" s="87">
        <f t="shared" si="46"/>
        <v>0</v>
      </c>
      <c r="AA243" s="87">
        <f t="shared" si="47"/>
        <v>4</v>
      </c>
    </row>
    <row r="244" spans="9:27">
      <c r="I244" s="81" t="e">
        <f>IF(#REF!&lt;&gt;"",#REF!,"")</f>
        <v>#REF!</v>
      </c>
      <c r="J244" s="81" t="e">
        <f t="shared" si="48"/>
        <v>#REF!</v>
      </c>
      <c r="L244" s="82" t="e">
        <f t="shared" si="49"/>
        <v>#REF!</v>
      </c>
      <c r="M244" s="81" t="e">
        <f t="shared" si="52"/>
        <v>#REF!</v>
      </c>
      <c r="N244" s="81" t="e">
        <f t="shared" si="50"/>
        <v>#REF!</v>
      </c>
      <c r="O244" s="81" t="e">
        <f t="shared" si="51"/>
        <v>#REF!</v>
      </c>
      <c r="Q244" s="83" t="str">
        <f t="shared" si="53"/>
        <v/>
      </c>
      <c r="R244" s="84" t="e">
        <f t="shared" si="41"/>
        <v>#REF!</v>
      </c>
      <c r="S244" s="83" t="e">
        <f t="shared" si="41"/>
        <v>#REF!</v>
      </c>
      <c r="T244" s="84" t="e">
        <f t="shared" si="42"/>
        <v>#REF!</v>
      </c>
      <c r="U244" s="84" t="e">
        <f t="shared" si="43"/>
        <v>#REF!</v>
      </c>
      <c r="V244" s="85" t="e">
        <f>#REF!</f>
        <v>#REF!</v>
      </c>
      <c r="W244" s="86">
        <f t="shared" si="44"/>
        <v>0</v>
      </c>
      <c r="X244" s="86">
        <f t="shared" si="44"/>
        <v>0</v>
      </c>
      <c r="Y244" s="87">
        <f t="shared" si="45"/>
        <v>0</v>
      </c>
      <c r="Z244" s="87">
        <f t="shared" si="46"/>
        <v>0</v>
      </c>
      <c r="AA244" s="87">
        <f t="shared" si="47"/>
        <v>4</v>
      </c>
    </row>
    <row r="245" spans="9:27">
      <c r="I245" s="81" t="e">
        <f>IF(#REF!&lt;&gt;"",#REF!,"")</f>
        <v>#REF!</v>
      </c>
      <c r="J245" s="81" t="e">
        <f t="shared" si="48"/>
        <v>#REF!</v>
      </c>
      <c r="L245" s="82" t="e">
        <f t="shared" si="49"/>
        <v>#REF!</v>
      </c>
      <c r="M245" s="81" t="e">
        <f t="shared" si="52"/>
        <v>#REF!</v>
      </c>
      <c r="N245" s="81" t="e">
        <f t="shared" si="50"/>
        <v>#REF!</v>
      </c>
      <c r="O245" s="81" t="e">
        <f t="shared" si="51"/>
        <v>#REF!</v>
      </c>
      <c r="Q245" s="83" t="str">
        <f t="shared" si="53"/>
        <v/>
      </c>
      <c r="R245" s="84" t="e">
        <f t="shared" si="41"/>
        <v>#REF!</v>
      </c>
      <c r="S245" s="83" t="e">
        <f t="shared" si="41"/>
        <v>#REF!</v>
      </c>
      <c r="T245" s="84" t="e">
        <f t="shared" si="42"/>
        <v>#REF!</v>
      </c>
      <c r="U245" s="84" t="e">
        <f t="shared" si="43"/>
        <v>#REF!</v>
      </c>
      <c r="V245" s="85" t="e">
        <f>#REF!</f>
        <v>#REF!</v>
      </c>
      <c r="W245" s="86">
        <f t="shared" si="44"/>
        <v>0</v>
      </c>
      <c r="X245" s="86">
        <f t="shared" si="44"/>
        <v>0</v>
      </c>
      <c r="Y245" s="87">
        <f t="shared" si="45"/>
        <v>0</v>
      </c>
      <c r="Z245" s="87">
        <f t="shared" si="46"/>
        <v>0</v>
      </c>
      <c r="AA245" s="87">
        <f t="shared" si="47"/>
        <v>4</v>
      </c>
    </row>
    <row r="246" spans="9:27">
      <c r="I246" s="81" t="e">
        <f>IF(#REF!&lt;&gt;"",#REF!,"")</f>
        <v>#REF!</v>
      </c>
      <c r="J246" s="81" t="e">
        <f t="shared" si="48"/>
        <v>#REF!</v>
      </c>
      <c r="L246" s="82" t="e">
        <f t="shared" si="49"/>
        <v>#REF!</v>
      </c>
      <c r="M246" s="81" t="e">
        <f t="shared" si="52"/>
        <v>#REF!</v>
      </c>
      <c r="N246" s="81" t="e">
        <f t="shared" si="50"/>
        <v>#REF!</v>
      </c>
      <c r="O246" s="81" t="e">
        <f t="shared" si="51"/>
        <v>#REF!</v>
      </c>
      <c r="Q246" s="83" t="str">
        <f t="shared" si="53"/>
        <v/>
      </c>
      <c r="R246" s="84" t="e">
        <f t="shared" si="41"/>
        <v>#REF!</v>
      </c>
      <c r="S246" s="83" t="e">
        <f t="shared" si="41"/>
        <v>#REF!</v>
      </c>
      <c r="T246" s="84" t="e">
        <f t="shared" si="42"/>
        <v>#REF!</v>
      </c>
      <c r="U246" s="84" t="e">
        <f t="shared" si="43"/>
        <v>#REF!</v>
      </c>
      <c r="V246" s="85" t="e">
        <f>#REF!</f>
        <v>#REF!</v>
      </c>
      <c r="W246" s="86">
        <f t="shared" si="44"/>
        <v>0</v>
      </c>
      <c r="X246" s="86">
        <f t="shared" si="44"/>
        <v>0</v>
      </c>
      <c r="Y246" s="87">
        <f t="shared" si="45"/>
        <v>0</v>
      </c>
      <c r="Z246" s="87">
        <f t="shared" si="46"/>
        <v>0</v>
      </c>
      <c r="AA246" s="87">
        <f t="shared" si="47"/>
        <v>4</v>
      </c>
    </row>
    <row r="247" spans="9:27">
      <c r="I247" s="81" t="e">
        <f>IF(#REF!&lt;&gt;"",#REF!,"")</f>
        <v>#REF!</v>
      </c>
      <c r="J247" s="81" t="e">
        <f t="shared" si="48"/>
        <v>#REF!</v>
      </c>
      <c r="L247" s="82" t="e">
        <f t="shared" si="49"/>
        <v>#REF!</v>
      </c>
      <c r="M247" s="81" t="e">
        <f t="shared" si="52"/>
        <v>#REF!</v>
      </c>
      <c r="N247" s="81" t="e">
        <f t="shared" si="50"/>
        <v>#REF!</v>
      </c>
      <c r="O247" s="81" t="e">
        <f t="shared" si="51"/>
        <v>#REF!</v>
      </c>
      <c r="Q247" s="83" t="str">
        <f t="shared" si="53"/>
        <v/>
      </c>
      <c r="R247" s="84" t="e">
        <f t="shared" si="41"/>
        <v>#REF!</v>
      </c>
      <c r="S247" s="83" t="e">
        <f t="shared" si="41"/>
        <v>#REF!</v>
      </c>
      <c r="T247" s="84" t="e">
        <f t="shared" si="42"/>
        <v>#REF!</v>
      </c>
      <c r="U247" s="84" t="e">
        <f t="shared" si="43"/>
        <v>#REF!</v>
      </c>
      <c r="V247" s="85" t="e">
        <f>#REF!</f>
        <v>#REF!</v>
      </c>
      <c r="W247" s="86">
        <f t="shared" si="44"/>
        <v>0</v>
      </c>
      <c r="X247" s="86">
        <f t="shared" si="44"/>
        <v>0</v>
      </c>
      <c r="Y247" s="87">
        <f t="shared" si="45"/>
        <v>0</v>
      </c>
      <c r="Z247" s="87">
        <f t="shared" si="46"/>
        <v>0</v>
      </c>
      <c r="AA247" s="87">
        <f t="shared" si="47"/>
        <v>4</v>
      </c>
    </row>
    <row r="248" spans="9:27">
      <c r="I248" s="81" t="e">
        <f>IF(#REF!&lt;&gt;"",#REF!,"")</f>
        <v>#REF!</v>
      </c>
      <c r="J248" s="81" t="e">
        <f t="shared" si="48"/>
        <v>#REF!</v>
      </c>
      <c r="L248" s="82" t="e">
        <f t="shared" si="49"/>
        <v>#REF!</v>
      </c>
      <c r="M248" s="81" t="e">
        <f t="shared" si="52"/>
        <v>#REF!</v>
      </c>
      <c r="N248" s="81" t="e">
        <f t="shared" si="50"/>
        <v>#REF!</v>
      </c>
      <c r="O248" s="81" t="e">
        <f t="shared" si="51"/>
        <v>#REF!</v>
      </c>
      <c r="Q248" s="83" t="str">
        <f t="shared" si="53"/>
        <v/>
      </c>
      <c r="R248" s="84" t="e">
        <f t="shared" si="41"/>
        <v>#REF!</v>
      </c>
      <c r="S248" s="83" t="e">
        <f t="shared" si="41"/>
        <v>#REF!</v>
      </c>
      <c r="T248" s="84" t="e">
        <f t="shared" si="42"/>
        <v>#REF!</v>
      </c>
      <c r="U248" s="84" t="e">
        <f t="shared" si="43"/>
        <v>#REF!</v>
      </c>
      <c r="V248" s="85" t="e">
        <f>#REF!</f>
        <v>#REF!</v>
      </c>
      <c r="W248" s="86">
        <f t="shared" si="44"/>
        <v>0</v>
      </c>
      <c r="X248" s="86">
        <f t="shared" si="44"/>
        <v>0</v>
      </c>
      <c r="Y248" s="87">
        <f t="shared" si="45"/>
        <v>0</v>
      </c>
      <c r="Z248" s="87">
        <f t="shared" si="46"/>
        <v>0</v>
      </c>
      <c r="AA248" s="87">
        <f t="shared" si="47"/>
        <v>4</v>
      </c>
    </row>
    <row r="249" spans="9:27">
      <c r="I249" s="81" t="e">
        <f>IF(#REF!&lt;&gt;"",#REF!,"")</f>
        <v>#REF!</v>
      </c>
      <c r="J249" s="81" t="e">
        <f t="shared" si="48"/>
        <v>#REF!</v>
      </c>
      <c r="L249" s="82" t="e">
        <f t="shared" si="49"/>
        <v>#REF!</v>
      </c>
      <c r="M249" s="81" t="e">
        <f t="shared" si="52"/>
        <v>#REF!</v>
      </c>
      <c r="N249" s="81" t="e">
        <f t="shared" si="50"/>
        <v>#REF!</v>
      </c>
      <c r="O249" s="81" t="e">
        <f t="shared" si="51"/>
        <v>#REF!</v>
      </c>
      <c r="Q249" s="83" t="str">
        <f t="shared" si="53"/>
        <v/>
      </c>
      <c r="R249" s="84" t="e">
        <f t="shared" si="41"/>
        <v>#REF!</v>
      </c>
      <c r="S249" s="83" t="e">
        <f t="shared" si="41"/>
        <v>#REF!</v>
      </c>
      <c r="T249" s="84" t="e">
        <f t="shared" si="42"/>
        <v>#REF!</v>
      </c>
      <c r="U249" s="84" t="e">
        <f t="shared" si="43"/>
        <v>#REF!</v>
      </c>
      <c r="V249" s="85" t="e">
        <f>#REF!</f>
        <v>#REF!</v>
      </c>
      <c r="W249" s="86">
        <f t="shared" si="44"/>
        <v>0</v>
      </c>
      <c r="X249" s="86">
        <f t="shared" si="44"/>
        <v>0</v>
      </c>
      <c r="Y249" s="87">
        <f t="shared" si="45"/>
        <v>0</v>
      </c>
      <c r="Z249" s="87">
        <f t="shared" si="46"/>
        <v>0</v>
      </c>
      <c r="AA249" s="87">
        <f t="shared" si="47"/>
        <v>4</v>
      </c>
    </row>
    <row r="250" spans="9:27">
      <c r="I250" s="81" t="e">
        <f>IF(#REF!&lt;&gt;"",#REF!,"")</f>
        <v>#REF!</v>
      </c>
      <c r="J250" s="81" t="e">
        <f t="shared" si="48"/>
        <v>#REF!</v>
      </c>
      <c r="L250" s="82" t="e">
        <f t="shared" si="49"/>
        <v>#REF!</v>
      </c>
      <c r="M250" s="81" t="e">
        <f t="shared" si="52"/>
        <v>#REF!</v>
      </c>
      <c r="N250" s="81" t="e">
        <f t="shared" si="50"/>
        <v>#REF!</v>
      </c>
      <c r="O250" s="81" t="e">
        <f t="shared" si="51"/>
        <v>#REF!</v>
      </c>
      <c r="Q250" s="83" t="str">
        <f t="shared" si="53"/>
        <v/>
      </c>
      <c r="R250" s="84" t="e">
        <f t="shared" si="41"/>
        <v>#REF!</v>
      </c>
      <c r="S250" s="83" t="e">
        <f t="shared" si="41"/>
        <v>#REF!</v>
      </c>
      <c r="T250" s="84" t="e">
        <f t="shared" si="42"/>
        <v>#REF!</v>
      </c>
      <c r="U250" s="84" t="e">
        <f t="shared" si="43"/>
        <v>#REF!</v>
      </c>
      <c r="V250" s="85" t="e">
        <f>#REF!</f>
        <v>#REF!</v>
      </c>
      <c r="W250" s="86">
        <f t="shared" si="44"/>
        <v>0</v>
      </c>
      <c r="X250" s="86">
        <f t="shared" si="44"/>
        <v>0</v>
      </c>
      <c r="Y250" s="87">
        <f t="shared" si="45"/>
        <v>0</v>
      </c>
      <c r="Z250" s="87">
        <f t="shared" si="46"/>
        <v>0</v>
      </c>
      <c r="AA250" s="87">
        <f t="shared" si="47"/>
        <v>4</v>
      </c>
    </row>
    <row r="251" spans="9:27">
      <c r="I251" s="81" t="e">
        <f>IF(#REF!&lt;&gt;"",#REF!,"")</f>
        <v>#REF!</v>
      </c>
      <c r="J251" s="81" t="e">
        <f t="shared" si="48"/>
        <v>#REF!</v>
      </c>
      <c r="L251" s="82" t="e">
        <f t="shared" si="49"/>
        <v>#REF!</v>
      </c>
      <c r="M251" s="81" t="e">
        <f t="shared" si="52"/>
        <v>#REF!</v>
      </c>
      <c r="N251" s="81" t="e">
        <f t="shared" si="50"/>
        <v>#REF!</v>
      </c>
      <c r="O251" s="81" t="e">
        <f t="shared" si="51"/>
        <v>#REF!</v>
      </c>
      <c r="Q251" s="83" t="str">
        <f t="shared" si="53"/>
        <v/>
      </c>
      <c r="R251" s="84" t="e">
        <f t="shared" si="41"/>
        <v>#REF!</v>
      </c>
      <c r="S251" s="83" t="e">
        <f t="shared" si="41"/>
        <v>#REF!</v>
      </c>
      <c r="T251" s="84" t="e">
        <f t="shared" si="42"/>
        <v>#REF!</v>
      </c>
      <c r="U251" s="84" t="e">
        <f t="shared" si="43"/>
        <v>#REF!</v>
      </c>
      <c r="V251" s="85" t="e">
        <f>#REF!</f>
        <v>#REF!</v>
      </c>
      <c r="W251" s="86">
        <f t="shared" si="44"/>
        <v>0</v>
      </c>
      <c r="X251" s="86">
        <f t="shared" si="44"/>
        <v>0</v>
      </c>
      <c r="Y251" s="87">
        <f t="shared" si="45"/>
        <v>0</v>
      </c>
      <c r="Z251" s="87">
        <f t="shared" si="46"/>
        <v>0</v>
      </c>
      <c r="AA251" s="87">
        <f t="shared" si="47"/>
        <v>4</v>
      </c>
    </row>
    <row r="252" spans="9:27">
      <c r="I252" s="81" t="e">
        <f>IF(#REF!&lt;&gt;"",#REF!,"")</f>
        <v>#REF!</v>
      </c>
      <c r="J252" s="81" t="e">
        <f t="shared" si="48"/>
        <v>#REF!</v>
      </c>
      <c r="L252" s="82" t="e">
        <f t="shared" si="49"/>
        <v>#REF!</v>
      </c>
      <c r="M252" s="81" t="e">
        <f t="shared" si="52"/>
        <v>#REF!</v>
      </c>
      <c r="N252" s="81" t="e">
        <f t="shared" si="50"/>
        <v>#REF!</v>
      </c>
      <c r="O252" s="81" t="e">
        <f t="shared" si="51"/>
        <v>#REF!</v>
      </c>
      <c r="Q252" s="83" t="str">
        <f t="shared" si="53"/>
        <v/>
      </c>
      <c r="R252" s="84" t="e">
        <f t="shared" si="41"/>
        <v>#REF!</v>
      </c>
      <c r="S252" s="83" t="e">
        <f t="shared" si="41"/>
        <v>#REF!</v>
      </c>
      <c r="T252" s="84" t="e">
        <f t="shared" si="42"/>
        <v>#REF!</v>
      </c>
      <c r="U252" s="84" t="e">
        <f t="shared" si="43"/>
        <v>#REF!</v>
      </c>
      <c r="V252" s="85" t="e">
        <f>#REF!</f>
        <v>#REF!</v>
      </c>
      <c r="W252" s="86">
        <f t="shared" si="44"/>
        <v>0</v>
      </c>
      <c r="X252" s="86">
        <f t="shared" si="44"/>
        <v>0</v>
      </c>
      <c r="Y252" s="87">
        <f t="shared" si="45"/>
        <v>0</v>
      </c>
      <c r="Z252" s="87">
        <f t="shared" si="46"/>
        <v>0</v>
      </c>
      <c r="AA252" s="87">
        <f t="shared" si="47"/>
        <v>4</v>
      </c>
    </row>
    <row r="253" spans="9:27">
      <c r="I253" s="81" t="e">
        <f>IF(#REF!&lt;&gt;"",#REF!,"")</f>
        <v>#REF!</v>
      </c>
      <c r="J253" s="81" t="e">
        <f t="shared" si="48"/>
        <v>#REF!</v>
      </c>
      <c r="L253" s="82" t="e">
        <f t="shared" si="49"/>
        <v>#REF!</v>
      </c>
      <c r="M253" s="81" t="e">
        <f t="shared" si="52"/>
        <v>#REF!</v>
      </c>
      <c r="N253" s="81" t="e">
        <f t="shared" si="50"/>
        <v>#REF!</v>
      </c>
      <c r="O253" s="81" t="e">
        <f t="shared" si="51"/>
        <v>#REF!</v>
      </c>
      <c r="Q253" s="83" t="str">
        <f t="shared" si="53"/>
        <v/>
      </c>
      <c r="R253" s="84" t="e">
        <f t="shared" si="41"/>
        <v>#REF!</v>
      </c>
      <c r="S253" s="83" t="e">
        <f t="shared" si="41"/>
        <v>#REF!</v>
      </c>
      <c r="T253" s="84" t="e">
        <f t="shared" si="42"/>
        <v>#REF!</v>
      </c>
      <c r="U253" s="84" t="e">
        <f t="shared" si="43"/>
        <v>#REF!</v>
      </c>
      <c r="V253" s="85" t="e">
        <f>#REF!</f>
        <v>#REF!</v>
      </c>
      <c r="W253" s="86">
        <f t="shared" si="44"/>
        <v>0</v>
      </c>
      <c r="X253" s="86">
        <f t="shared" si="44"/>
        <v>0</v>
      </c>
      <c r="Y253" s="87">
        <f t="shared" si="45"/>
        <v>0</v>
      </c>
      <c r="Z253" s="87">
        <f t="shared" si="46"/>
        <v>0</v>
      </c>
      <c r="AA253" s="87">
        <f t="shared" si="47"/>
        <v>4</v>
      </c>
    </row>
    <row r="254" spans="9:27">
      <c r="I254" s="81" t="e">
        <f>IF(#REF!&lt;&gt;"",#REF!,"")</f>
        <v>#REF!</v>
      </c>
      <c r="J254" s="81" t="e">
        <f t="shared" si="48"/>
        <v>#REF!</v>
      </c>
      <c r="L254" s="82" t="e">
        <f t="shared" si="49"/>
        <v>#REF!</v>
      </c>
      <c r="M254" s="81" t="e">
        <f t="shared" si="52"/>
        <v>#REF!</v>
      </c>
      <c r="N254" s="81" t="e">
        <f t="shared" si="50"/>
        <v>#REF!</v>
      </c>
      <c r="O254" s="81" t="e">
        <f t="shared" si="51"/>
        <v>#REF!</v>
      </c>
      <c r="Q254" s="83" t="str">
        <f t="shared" si="53"/>
        <v/>
      </c>
      <c r="R254" s="84" t="e">
        <f t="shared" si="41"/>
        <v>#REF!</v>
      </c>
      <c r="S254" s="83" t="e">
        <f t="shared" si="41"/>
        <v>#REF!</v>
      </c>
      <c r="T254" s="84" t="e">
        <f t="shared" si="42"/>
        <v>#REF!</v>
      </c>
      <c r="U254" s="84" t="e">
        <f t="shared" si="43"/>
        <v>#REF!</v>
      </c>
      <c r="V254" s="85" t="e">
        <f>#REF!</f>
        <v>#REF!</v>
      </c>
      <c r="W254" s="86">
        <f t="shared" si="44"/>
        <v>0</v>
      </c>
      <c r="X254" s="86">
        <f t="shared" si="44"/>
        <v>0</v>
      </c>
      <c r="Y254" s="87">
        <f t="shared" si="45"/>
        <v>0</v>
      </c>
      <c r="Z254" s="87">
        <f t="shared" si="46"/>
        <v>0</v>
      </c>
      <c r="AA254" s="87">
        <f t="shared" si="47"/>
        <v>4</v>
      </c>
    </row>
    <row r="255" spans="9:27">
      <c r="I255" s="81" t="e">
        <f>IF(#REF!&lt;&gt;"",#REF!,"")</f>
        <v>#REF!</v>
      </c>
      <c r="J255" s="81" t="e">
        <f t="shared" si="48"/>
        <v>#REF!</v>
      </c>
      <c r="L255" s="82" t="e">
        <f t="shared" si="49"/>
        <v>#REF!</v>
      </c>
      <c r="M255" s="81" t="e">
        <f t="shared" si="52"/>
        <v>#REF!</v>
      </c>
      <c r="N255" s="81" t="e">
        <f t="shared" si="50"/>
        <v>#REF!</v>
      </c>
      <c r="O255" s="81" t="e">
        <f t="shared" si="51"/>
        <v>#REF!</v>
      </c>
      <c r="Q255" s="83" t="str">
        <f t="shared" si="53"/>
        <v/>
      </c>
      <c r="R255" s="84" t="e">
        <f t="shared" si="41"/>
        <v>#REF!</v>
      </c>
      <c r="S255" s="83" t="e">
        <f t="shared" si="41"/>
        <v>#REF!</v>
      </c>
      <c r="T255" s="84" t="e">
        <f t="shared" si="42"/>
        <v>#REF!</v>
      </c>
      <c r="U255" s="84" t="e">
        <f t="shared" si="43"/>
        <v>#REF!</v>
      </c>
      <c r="V255" s="85" t="e">
        <f>#REF!</f>
        <v>#REF!</v>
      </c>
      <c r="W255" s="86">
        <f t="shared" si="44"/>
        <v>0</v>
      </c>
      <c r="X255" s="86">
        <f t="shared" si="44"/>
        <v>0</v>
      </c>
      <c r="Y255" s="87">
        <f t="shared" si="45"/>
        <v>0</v>
      </c>
      <c r="Z255" s="87">
        <f t="shared" si="46"/>
        <v>0</v>
      </c>
      <c r="AA255" s="87">
        <f t="shared" si="47"/>
        <v>4</v>
      </c>
    </row>
    <row r="256" spans="9:27">
      <c r="I256" s="81" t="e">
        <f>IF(#REF!&lt;&gt;"",#REF!,"")</f>
        <v>#REF!</v>
      </c>
      <c r="J256" s="81" t="e">
        <f t="shared" si="48"/>
        <v>#REF!</v>
      </c>
      <c r="L256" s="82" t="e">
        <f t="shared" si="49"/>
        <v>#REF!</v>
      </c>
      <c r="M256" s="81" t="e">
        <f t="shared" si="52"/>
        <v>#REF!</v>
      </c>
      <c r="N256" s="81" t="e">
        <f t="shared" si="50"/>
        <v>#REF!</v>
      </c>
      <c r="O256" s="81" t="e">
        <f t="shared" si="51"/>
        <v>#REF!</v>
      </c>
      <c r="Q256" s="83" t="str">
        <f t="shared" si="53"/>
        <v/>
      </c>
      <c r="R256" s="84" t="e">
        <f t="shared" ref="R256:S319" si="54">IF(L256="","",L256)</f>
        <v>#REF!</v>
      </c>
      <c r="S256" s="83" t="e">
        <f t="shared" si="54"/>
        <v>#REF!</v>
      </c>
      <c r="T256" s="84" t="e">
        <f t="shared" ref="T256:T319" si="55">IF(W256=1,"",N256)</f>
        <v>#REF!</v>
      </c>
      <c r="U256" s="84" t="e">
        <f t="shared" ref="U256:U319" si="56">IF(OR(W256=1,X256=1),"",O256)</f>
        <v>#REF!</v>
      </c>
      <c r="V256" s="85" t="e">
        <f>#REF!</f>
        <v>#REF!</v>
      </c>
      <c r="W256" s="86">
        <f t="shared" si="44"/>
        <v>0</v>
      </c>
      <c r="X256" s="86">
        <f t="shared" si="44"/>
        <v>0</v>
      </c>
      <c r="Y256" s="87">
        <f t="shared" si="45"/>
        <v>0</v>
      </c>
      <c r="Z256" s="87">
        <f t="shared" si="46"/>
        <v>0</v>
      </c>
      <c r="AA256" s="87">
        <f t="shared" si="47"/>
        <v>4</v>
      </c>
    </row>
    <row r="257" spans="9:27">
      <c r="I257" s="81" t="e">
        <f>IF(#REF!&lt;&gt;"",#REF!,"")</f>
        <v>#REF!</v>
      </c>
      <c r="J257" s="81" t="e">
        <f t="shared" si="48"/>
        <v>#REF!</v>
      </c>
      <c r="L257" s="82" t="e">
        <f t="shared" si="49"/>
        <v>#REF!</v>
      </c>
      <c r="M257" s="81" t="e">
        <f t="shared" si="52"/>
        <v>#REF!</v>
      </c>
      <c r="N257" s="81" t="e">
        <f t="shared" si="50"/>
        <v>#REF!</v>
      </c>
      <c r="O257" s="81" t="e">
        <f t="shared" si="51"/>
        <v>#REF!</v>
      </c>
      <c r="Q257" s="83" t="str">
        <f t="shared" si="53"/>
        <v/>
      </c>
      <c r="R257" s="84" t="e">
        <f t="shared" si="54"/>
        <v>#REF!</v>
      </c>
      <c r="S257" s="83" t="e">
        <f t="shared" si="54"/>
        <v>#REF!</v>
      </c>
      <c r="T257" s="84" t="e">
        <f t="shared" si="55"/>
        <v>#REF!</v>
      </c>
      <c r="U257" s="84" t="e">
        <f t="shared" si="56"/>
        <v>#REF!</v>
      </c>
      <c r="V257" s="85" t="e">
        <f>#REF!</f>
        <v>#REF!</v>
      </c>
      <c r="W257" s="86">
        <f t="shared" ref="W257:X320" si="57">COUNTIFS(R257,"&gt;&lt;")</f>
        <v>0</v>
      </c>
      <c r="X257" s="86">
        <f t="shared" si="57"/>
        <v>0</v>
      </c>
      <c r="Y257" s="87">
        <f t="shared" ref="Y257:Y320" si="58">COUNTIFS(R257:U257,"*")</f>
        <v>0</v>
      </c>
      <c r="Z257" s="87">
        <f t="shared" ref="Z257:Z320" si="59">COUNTIFS(R257:U257,"&gt;&lt;")</f>
        <v>0</v>
      </c>
      <c r="AA257" s="87">
        <f t="shared" ref="AA257:AA320" si="60">COUNTIFS(R257:U257,"&lt;&gt;")</f>
        <v>4</v>
      </c>
    </row>
    <row r="258" spans="9:27">
      <c r="I258" s="81" t="e">
        <f>IF(#REF!&lt;&gt;"",#REF!,"")</f>
        <v>#REF!</v>
      </c>
      <c r="J258" s="81" t="e">
        <f t="shared" si="48"/>
        <v>#REF!</v>
      </c>
      <c r="L258" s="82" t="e">
        <f t="shared" si="49"/>
        <v>#REF!</v>
      </c>
      <c r="M258" s="81" t="e">
        <f t="shared" si="52"/>
        <v>#REF!</v>
      </c>
      <c r="N258" s="81" t="e">
        <f t="shared" si="50"/>
        <v>#REF!</v>
      </c>
      <c r="O258" s="81" t="e">
        <f t="shared" si="51"/>
        <v>#REF!</v>
      </c>
      <c r="Q258" s="83" t="str">
        <f t="shared" si="53"/>
        <v/>
      </c>
      <c r="R258" s="84" t="e">
        <f t="shared" si="54"/>
        <v>#REF!</v>
      </c>
      <c r="S258" s="83" t="e">
        <f t="shared" si="54"/>
        <v>#REF!</v>
      </c>
      <c r="T258" s="84" t="e">
        <f t="shared" si="55"/>
        <v>#REF!</v>
      </c>
      <c r="U258" s="84" t="e">
        <f t="shared" si="56"/>
        <v>#REF!</v>
      </c>
      <c r="V258" s="85" t="e">
        <f>#REF!</f>
        <v>#REF!</v>
      </c>
      <c r="W258" s="86">
        <f t="shared" si="57"/>
        <v>0</v>
      </c>
      <c r="X258" s="86">
        <f t="shared" si="57"/>
        <v>0</v>
      </c>
      <c r="Y258" s="87">
        <f t="shared" si="58"/>
        <v>0</v>
      </c>
      <c r="Z258" s="87">
        <f t="shared" si="59"/>
        <v>0</v>
      </c>
      <c r="AA258" s="87">
        <f t="shared" si="60"/>
        <v>4</v>
      </c>
    </row>
    <row r="259" spans="9:27">
      <c r="I259" s="81" t="e">
        <f>IF(#REF!&lt;&gt;"",#REF!,"")</f>
        <v>#REF!</v>
      </c>
      <c r="J259" s="81" t="e">
        <f t="shared" ref="J259:J322" si="61">LEFT(I259,1)</f>
        <v>#REF!</v>
      </c>
      <c r="L259" s="82" t="e">
        <f t="shared" ref="L259:L322" si="62">IF(OR(J259="E",J259="L",J259="M"),"",I259)</f>
        <v>#REF!</v>
      </c>
      <c r="M259" s="81" t="e">
        <f t="shared" si="52"/>
        <v>#REF!</v>
      </c>
      <c r="N259" s="81" t="e">
        <f t="shared" ref="N259:N322" si="63">IF(OR(J259="D",J259="E",J259="L"),"",I259)</f>
        <v>#REF!</v>
      </c>
      <c r="O259" s="81" t="e">
        <f t="shared" ref="O259:O322" si="64">IF(OR(J259="D",J259="E",J259="M"),"",I259)</f>
        <v>#REF!</v>
      </c>
      <c r="Q259" s="83" t="str">
        <f t="shared" si="53"/>
        <v/>
      </c>
      <c r="R259" s="84" t="e">
        <f t="shared" si="54"/>
        <v>#REF!</v>
      </c>
      <c r="S259" s="83" t="e">
        <f t="shared" si="54"/>
        <v>#REF!</v>
      </c>
      <c r="T259" s="84" t="e">
        <f t="shared" si="55"/>
        <v>#REF!</v>
      </c>
      <c r="U259" s="84" t="e">
        <f t="shared" si="56"/>
        <v>#REF!</v>
      </c>
      <c r="V259" s="85" t="e">
        <f>#REF!</f>
        <v>#REF!</v>
      </c>
      <c r="W259" s="86">
        <f t="shared" si="57"/>
        <v>0</v>
      </c>
      <c r="X259" s="86">
        <f t="shared" si="57"/>
        <v>0</v>
      </c>
      <c r="Y259" s="87">
        <f t="shared" si="58"/>
        <v>0</v>
      </c>
      <c r="Z259" s="87">
        <f t="shared" si="59"/>
        <v>0</v>
      </c>
      <c r="AA259" s="87">
        <f t="shared" si="60"/>
        <v>4</v>
      </c>
    </row>
    <row r="260" spans="9:27">
      <c r="I260" s="81" t="e">
        <f>IF(#REF!&lt;&gt;"",#REF!,"")</f>
        <v>#REF!</v>
      </c>
      <c r="J260" s="81" t="e">
        <f t="shared" si="61"/>
        <v>#REF!</v>
      </c>
      <c r="L260" s="82" t="e">
        <f t="shared" si="62"/>
        <v>#REF!</v>
      </c>
      <c r="M260" s="81" t="e">
        <f t="shared" si="52"/>
        <v>#REF!</v>
      </c>
      <c r="N260" s="81" t="e">
        <f t="shared" si="63"/>
        <v>#REF!</v>
      </c>
      <c r="O260" s="81" t="e">
        <f t="shared" si="64"/>
        <v>#REF!</v>
      </c>
      <c r="Q260" s="83" t="str">
        <f t="shared" si="53"/>
        <v/>
      </c>
      <c r="R260" s="84" t="e">
        <f t="shared" si="54"/>
        <v>#REF!</v>
      </c>
      <c r="S260" s="83" t="e">
        <f t="shared" si="54"/>
        <v>#REF!</v>
      </c>
      <c r="T260" s="84" t="e">
        <f t="shared" si="55"/>
        <v>#REF!</v>
      </c>
      <c r="U260" s="84" t="e">
        <f t="shared" si="56"/>
        <v>#REF!</v>
      </c>
      <c r="V260" s="85" t="e">
        <f>#REF!</f>
        <v>#REF!</v>
      </c>
      <c r="W260" s="86">
        <f t="shared" si="57"/>
        <v>0</v>
      </c>
      <c r="X260" s="86">
        <f t="shared" si="57"/>
        <v>0</v>
      </c>
      <c r="Y260" s="87">
        <f t="shared" si="58"/>
        <v>0</v>
      </c>
      <c r="Z260" s="87">
        <f t="shared" si="59"/>
        <v>0</v>
      </c>
      <c r="AA260" s="87">
        <f t="shared" si="60"/>
        <v>4</v>
      </c>
    </row>
    <row r="261" spans="9:27">
      <c r="I261" s="81" t="e">
        <f>IF(#REF!&lt;&gt;"",#REF!,"")</f>
        <v>#REF!</v>
      </c>
      <c r="J261" s="81" t="e">
        <f t="shared" si="61"/>
        <v>#REF!</v>
      </c>
      <c r="L261" s="82" t="e">
        <f t="shared" si="62"/>
        <v>#REF!</v>
      </c>
      <c r="M261" s="81" t="e">
        <f t="shared" si="52"/>
        <v>#REF!</v>
      </c>
      <c r="N261" s="81" t="e">
        <f t="shared" si="63"/>
        <v>#REF!</v>
      </c>
      <c r="O261" s="81" t="e">
        <f t="shared" si="64"/>
        <v>#REF!</v>
      </c>
      <c r="Q261" s="83" t="str">
        <f t="shared" si="53"/>
        <v/>
      </c>
      <c r="R261" s="84" t="e">
        <f t="shared" si="54"/>
        <v>#REF!</v>
      </c>
      <c r="S261" s="83" t="e">
        <f t="shared" si="54"/>
        <v>#REF!</v>
      </c>
      <c r="T261" s="84" t="e">
        <f t="shared" si="55"/>
        <v>#REF!</v>
      </c>
      <c r="U261" s="84" t="e">
        <f t="shared" si="56"/>
        <v>#REF!</v>
      </c>
      <c r="V261" s="85" t="e">
        <f>#REF!</f>
        <v>#REF!</v>
      </c>
      <c r="W261" s="86">
        <f t="shared" si="57"/>
        <v>0</v>
      </c>
      <c r="X261" s="86">
        <f t="shared" si="57"/>
        <v>0</v>
      </c>
      <c r="Y261" s="87">
        <f t="shared" si="58"/>
        <v>0</v>
      </c>
      <c r="Z261" s="87">
        <f t="shared" si="59"/>
        <v>0</v>
      </c>
      <c r="AA261" s="87">
        <f t="shared" si="60"/>
        <v>4</v>
      </c>
    </row>
    <row r="262" spans="9:27">
      <c r="I262" s="81" t="e">
        <f>IF(#REF!&lt;&gt;"",#REF!,"")</f>
        <v>#REF!</v>
      </c>
      <c r="J262" s="81" t="e">
        <f t="shared" si="61"/>
        <v>#REF!</v>
      </c>
      <c r="L262" s="82" t="e">
        <f t="shared" si="62"/>
        <v>#REF!</v>
      </c>
      <c r="M262" s="81" t="e">
        <f t="shared" ref="M262:M325" si="65">IF(OR(J262="D",J262="L",J262="M"),"",I262)</f>
        <v>#REF!</v>
      </c>
      <c r="N262" s="81" t="e">
        <f t="shared" si="63"/>
        <v>#REF!</v>
      </c>
      <c r="O262" s="81" t="e">
        <f t="shared" si="64"/>
        <v>#REF!</v>
      </c>
      <c r="Q262" s="83" t="str">
        <f t="shared" si="53"/>
        <v/>
      </c>
      <c r="R262" s="84" t="e">
        <f t="shared" si="54"/>
        <v>#REF!</v>
      </c>
      <c r="S262" s="83" t="e">
        <f t="shared" si="54"/>
        <v>#REF!</v>
      </c>
      <c r="T262" s="84" t="e">
        <f t="shared" si="55"/>
        <v>#REF!</v>
      </c>
      <c r="U262" s="84" t="e">
        <f t="shared" si="56"/>
        <v>#REF!</v>
      </c>
      <c r="V262" s="85" t="e">
        <f>#REF!</f>
        <v>#REF!</v>
      </c>
      <c r="W262" s="86">
        <f t="shared" si="57"/>
        <v>0</v>
      </c>
      <c r="X262" s="86">
        <f t="shared" si="57"/>
        <v>0</v>
      </c>
      <c r="Y262" s="87">
        <f t="shared" si="58"/>
        <v>0</v>
      </c>
      <c r="Z262" s="87">
        <f t="shared" si="59"/>
        <v>0</v>
      </c>
      <c r="AA262" s="87">
        <f t="shared" si="60"/>
        <v>4</v>
      </c>
    </row>
    <row r="263" spans="9:27">
      <c r="I263" s="81" t="e">
        <f>IF(#REF!&lt;&gt;"",#REF!,"")</f>
        <v>#REF!</v>
      </c>
      <c r="J263" s="81" t="e">
        <f t="shared" si="61"/>
        <v>#REF!</v>
      </c>
      <c r="L263" s="82" t="e">
        <f t="shared" si="62"/>
        <v>#REF!</v>
      </c>
      <c r="M263" s="81" t="e">
        <f t="shared" si="65"/>
        <v>#REF!</v>
      </c>
      <c r="N263" s="81" t="e">
        <f t="shared" si="63"/>
        <v>#REF!</v>
      </c>
      <c r="O263" s="81" t="e">
        <f t="shared" si="64"/>
        <v>#REF!</v>
      </c>
      <c r="Q263" s="83" t="str">
        <f t="shared" si="53"/>
        <v/>
      </c>
      <c r="R263" s="84" t="e">
        <f t="shared" si="54"/>
        <v>#REF!</v>
      </c>
      <c r="S263" s="83" t="e">
        <f t="shared" si="54"/>
        <v>#REF!</v>
      </c>
      <c r="T263" s="84" t="e">
        <f t="shared" si="55"/>
        <v>#REF!</v>
      </c>
      <c r="U263" s="84" t="e">
        <f t="shared" si="56"/>
        <v>#REF!</v>
      </c>
      <c r="V263" s="85" t="e">
        <f>#REF!</f>
        <v>#REF!</v>
      </c>
      <c r="W263" s="86">
        <f t="shared" si="57"/>
        <v>0</v>
      </c>
      <c r="X263" s="86">
        <f t="shared" si="57"/>
        <v>0</v>
      </c>
      <c r="Y263" s="87">
        <f t="shared" si="58"/>
        <v>0</v>
      </c>
      <c r="Z263" s="87">
        <f t="shared" si="59"/>
        <v>0</v>
      </c>
      <c r="AA263" s="87">
        <f t="shared" si="60"/>
        <v>4</v>
      </c>
    </row>
    <row r="264" spans="9:27">
      <c r="I264" s="81" t="e">
        <f>IF(#REF!&lt;&gt;"",#REF!,"")</f>
        <v>#REF!</v>
      </c>
      <c r="J264" s="81" t="e">
        <f t="shared" si="61"/>
        <v>#REF!</v>
      </c>
      <c r="L264" s="82" t="e">
        <f t="shared" si="62"/>
        <v>#REF!</v>
      </c>
      <c r="M264" s="81" t="e">
        <f t="shared" si="65"/>
        <v>#REF!</v>
      </c>
      <c r="N264" s="81" t="e">
        <f t="shared" si="63"/>
        <v>#REF!</v>
      </c>
      <c r="O264" s="81" t="e">
        <f t="shared" si="64"/>
        <v>#REF!</v>
      </c>
      <c r="Q264" s="83" t="str">
        <f t="shared" si="53"/>
        <v/>
      </c>
      <c r="R264" s="84" t="e">
        <f t="shared" si="54"/>
        <v>#REF!</v>
      </c>
      <c r="S264" s="83" t="e">
        <f t="shared" si="54"/>
        <v>#REF!</v>
      </c>
      <c r="T264" s="84" t="e">
        <f t="shared" si="55"/>
        <v>#REF!</v>
      </c>
      <c r="U264" s="84" t="e">
        <f t="shared" si="56"/>
        <v>#REF!</v>
      </c>
      <c r="V264" s="85" t="e">
        <f>#REF!</f>
        <v>#REF!</v>
      </c>
      <c r="W264" s="86">
        <f t="shared" si="57"/>
        <v>0</v>
      </c>
      <c r="X264" s="86">
        <f t="shared" si="57"/>
        <v>0</v>
      </c>
      <c r="Y264" s="87">
        <f t="shared" si="58"/>
        <v>0</v>
      </c>
      <c r="Z264" s="87">
        <f t="shared" si="59"/>
        <v>0</v>
      </c>
      <c r="AA264" s="87">
        <f t="shared" si="60"/>
        <v>4</v>
      </c>
    </row>
    <row r="265" spans="9:27">
      <c r="I265" s="81" t="e">
        <f>IF(#REF!&lt;&gt;"",#REF!,"")</f>
        <v>#REF!</v>
      </c>
      <c r="J265" s="81" t="e">
        <f t="shared" si="61"/>
        <v>#REF!</v>
      </c>
      <c r="L265" s="82" t="e">
        <f t="shared" si="62"/>
        <v>#REF!</v>
      </c>
      <c r="M265" s="81" t="e">
        <f t="shared" si="65"/>
        <v>#REF!</v>
      </c>
      <c r="N265" s="81" t="e">
        <f t="shared" si="63"/>
        <v>#REF!</v>
      </c>
      <c r="O265" s="81" t="e">
        <f t="shared" si="64"/>
        <v>#REF!</v>
      </c>
      <c r="Q265" s="83" t="str">
        <f t="shared" si="53"/>
        <v/>
      </c>
      <c r="R265" s="84" t="e">
        <f t="shared" si="54"/>
        <v>#REF!</v>
      </c>
      <c r="S265" s="83" t="e">
        <f t="shared" si="54"/>
        <v>#REF!</v>
      </c>
      <c r="T265" s="84" t="e">
        <f t="shared" si="55"/>
        <v>#REF!</v>
      </c>
      <c r="U265" s="84" t="e">
        <f t="shared" si="56"/>
        <v>#REF!</v>
      </c>
      <c r="V265" s="85" t="e">
        <f>#REF!</f>
        <v>#REF!</v>
      </c>
      <c r="W265" s="86">
        <f t="shared" si="57"/>
        <v>0</v>
      </c>
      <c r="X265" s="86">
        <f t="shared" si="57"/>
        <v>0</v>
      </c>
      <c r="Y265" s="87">
        <f t="shared" si="58"/>
        <v>0</v>
      </c>
      <c r="Z265" s="87">
        <f t="shared" si="59"/>
        <v>0</v>
      </c>
      <c r="AA265" s="87">
        <f t="shared" si="60"/>
        <v>4</v>
      </c>
    </row>
    <row r="266" spans="9:27">
      <c r="I266" s="81" t="e">
        <f>IF(#REF!&lt;&gt;"",#REF!,"")</f>
        <v>#REF!</v>
      </c>
      <c r="J266" s="81" t="e">
        <f t="shared" si="61"/>
        <v>#REF!</v>
      </c>
      <c r="L266" s="82" t="e">
        <f t="shared" si="62"/>
        <v>#REF!</v>
      </c>
      <c r="M266" s="81" t="e">
        <f t="shared" si="65"/>
        <v>#REF!</v>
      </c>
      <c r="N266" s="81" t="e">
        <f t="shared" si="63"/>
        <v>#REF!</v>
      </c>
      <c r="O266" s="81" t="e">
        <f t="shared" si="64"/>
        <v>#REF!</v>
      </c>
      <c r="Q266" s="83" t="str">
        <f t="shared" si="53"/>
        <v/>
      </c>
      <c r="R266" s="84" t="e">
        <f t="shared" si="54"/>
        <v>#REF!</v>
      </c>
      <c r="S266" s="83" t="e">
        <f t="shared" si="54"/>
        <v>#REF!</v>
      </c>
      <c r="T266" s="84" t="e">
        <f t="shared" si="55"/>
        <v>#REF!</v>
      </c>
      <c r="U266" s="84" t="e">
        <f t="shared" si="56"/>
        <v>#REF!</v>
      </c>
      <c r="V266" s="85" t="e">
        <f>#REF!</f>
        <v>#REF!</v>
      </c>
      <c r="W266" s="86">
        <f t="shared" si="57"/>
        <v>0</v>
      </c>
      <c r="X266" s="86">
        <f t="shared" si="57"/>
        <v>0</v>
      </c>
      <c r="Y266" s="87">
        <f t="shared" si="58"/>
        <v>0</v>
      </c>
      <c r="Z266" s="87">
        <f t="shared" si="59"/>
        <v>0</v>
      </c>
      <c r="AA266" s="87">
        <f t="shared" si="60"/>
        <v>4</v>
      </c>
    </row>
    <row r="267" spans="9:27">
      <c r="I267" s="81" t="e">
        <f>IF(#REF!&lt;&gt;"",#REF!,"")</f>
        <v>#REF!</v>
      </c>
      <c r="J267" s="81" t="e">
        <f t="shared" si="61"/>
        <v>#REF!</v>
      </c>
      <c r="L267" s="82" t="e">
        <f t="shared" si="62"/>
        <v>#REF!</v>
      </c>
      <c r="M267" s="81" t="e">
        <f t="shared" si="65"/>
        <v>#REF!</v>
      </c>
      <c r="N267" s="81" t="e">
        <f t="shared" si="63"/>
        <v>#REF!</v>
      </c>
      <c r="O267" s="81" t="e">
        <f t="shared" si="64"/>
        <v>#REF!</v>
      </c>
      <c r="Q267" s="83" t="str">
        <f t="shared" si="53"/>
        <v/>
      </c>
      <c r="R267" s="84" t="e">
        <f t="shared" si="54"/>
        <v>#REF!</v>
      </c>
      <c r="S267" s="83" t="e">
        <f t="shared" si="54"/>
        <v>#REF!</v>
      </c>
      <c r="T267" s="84" t="e">
        <f t="shared" si="55"/>
        <v>#REF!</v>
      </c>
      <c r="U267" s="84" t="e">
        <f t="shared" si="56"/>
        <v>#REF!</v>
      </c>
      <c r="V267" s="85" t="e">
        <f>#REF!</f>
        <v>#REF!</v>
      </c>
      <c r="W267" s="86">
        <f t="shared" si="57"/>
        <v>0</v>
      </c>
      <c r="X267" s="86">
        <f t="shared" si="57"/>
        <v>0</v>
      </c>
      <c r="Y267" s="87">
        <f t="shared" si="58"/>
        <v>0</v>
      </c>
      <c r="Z267" s="87">
        <f t="shared" si="59"/>
        <v>0</v>
      </c>
      <c r="AA267" s="87">
        <f t="shared" si="60"/>
        <v>4</v>
      </c>
    </row>
    <row r="268" spans="9:27">
      <c r="I268" s="81" t="e">
        <f>IF(#REF!&lt;&gt;"",#REF!,"")</f>
        <v>#REF!</v>
      </c>
      <c r="J268" s="81" t="e">
        <f t="shared" si="61"/>
        <v>#REF!</v>
      </c>
      <c r="L268" s="82" t="e">
        <f t="shared" si="62"/>
        <v>#REF!</v>
      </c>
      <c r="M268" s="81" t="e">
        <f t="shared" si="65"/>
        <v>#REF!</v>
      </c>
      <c r="N268" s="81" t="e">
        <f t="shared" si="63"/>
        <v>#REF!</v>
      </c>
      <c r="O268" s="81" t="e">
        <f t="shared" si="64"/>
        <v>#REF!</v>
      </c>
      <c r="Q268" s="83" t="str">
        <f t="shared" si="53"/>
        <v/>
      </c>
      <c r="R268" s="84" t="e">
        <f t="shared" si="54"/>
        <v>#REF!</v>
      </c>
      <c r="S268" s="83" t="e">
        <f t="shared" si="54"/>
        <v>#REF!</v>
      </c>
      <c r="T268" s="84" t="e">
        <f t="shared" si="55"/>
        <v>#REF!</v>
      </c>
      <c r="U268" s="84" t="e">
        <f t="shared" si="56"/>
        <v>#REF!</v>
      </c>
      <c r="V268" s="85" t="e">
        <f>#REF!</f>
        <v>#REF!</v>
      </c>
      <c r="W268" s="86">
        <f t="shared" si="57"/>
        <v>0</v>
      </c>
      <c r="X268" s="86">
        <f t="shared" si="57"/>
        <v>0</v>
      </c>
      <c r="Y268" s="87">
        <f t="shared" si="58"/>
        <v>0</v>
      </c>
      <c r="Z268" s="87">
        <f t="shared" si="59"/>
        <v>0</v>
      </c>
      <c r="AA268" s="87">
        <f t="shared" si="60"/>
        <v>4</v>
      </c>
    </row>
    <row r="269" spans="9:27">
      <c r="I269" s="81" t="e">
        <f>IF(#REF!&lt;&gt;"",#REF!,"")</f>
        <v>#REF!</v>
      </c>
      <c r="J269" s="81" t="e">
        <f t="shared" si="61"/>
        <v>#REF!</v>
      </c>
      <c r="L269" s="82" t="e">
        <f t="shared" si="62"/>
        <v>#REF!</v>
      </c>
      <c r="M269" s="81" t="e">
        <f t="shared" si="65"/>
        <v>#REF!</v>
      </c>
      <c r="N269" s="81" t="e">
        <f t="shared" si="63"/>
        <v>#REF!</v>
      </c>
      <c r="O269" s="81" t="e">
        <f t="shared" si="64"/>
        <v>#REF!</v>
      </c>
      <c r="Q269" s="83" t="str">
        <f t="shared" si="53"/>
        <v/>
      </c>
      <c r="R269" s="84" t="e">
        <f t="shared" si="54"/>
        <v>#REF!</v>
      </c>
      <c r="S269" s="83" t="e">
        <f t="shared" si="54"/>
        <v>#REF!</v>
      </c>
      <c r="T269" s="84" t="e">
        <f t="shared" si="55"/>
        <v>#REF!</v>
      </c>
      <c r="U269" s="84" t="e">
        <f t="shared" si="56"/>
        <v>#REF!</v>
      </c>
      <c r="V269" s="85" t="e">
        <f>#REF!</f>
        <v>#REF!</v>
      </c>
      <c r="W269" s="86">
        <f t="shared" si="57"/>
        <v>0</v>
      </c>
      <c r="X269" s="86">
        <f t="shared" si="57"/>
        <v>0</v>
      </c>
      <c r="Y269" s="87">
        <f t="shared" si="58"/>
        <v>0</v>
      </c>
      <c r="Z269" s="87">
        <f t="shared" si="59"/>
        <v>0</v>
      </c>
      <c r="AA269" s="87">
        <f t="shared" si="60"/>
        <v>4</v>
      </c>
    </row>
    <row r="270" spans="9:27">
      <c r="I270" s="81" t="e">
        <f>IF(#REF!&lt;&gt;"",#REF!,"")</f>
        <v>#REF!</v>
      </c>
      <c r="J270" s="81" t="e">
        <f t="shared" si="61"/>
        <v>#REF!</v>
      </c>
      <c r="L270" s="82" t="e">
        <f t="shared" si="62"/>
        <v>#REF!</v>
      </c>
      <c r="M270" s="81" t="e">
        <f t="shared" si="65"/>
        <v>#REF!</v>
      </c>
      <c r="N270" s="81" t="e">
        <f t="shared" si="63"/>
        <v>#REF!</v>
      </c>
      <c r="O270" s="81" t="e">
        <f t="shared" si="64"/>
        <v>#REF!</v>
      </c>
      <c r="Q270" s="83" t="str">
        <f t="shared" si="53"/>
        <v/>
      </c>
      <c r="R270" s="84" t="e">
        <f t="shared" si="54"/>
        <v>#REF!</v>
      </c>
      <c r="S270" s="83" t="e">
        <f t="shared" si="54"/>
        <v>#REF!</v>
      </c>
      <c r="T270" s="84" t="e">
        <f t="shared" si="55"/>
        <v>#REF!</v>
      </c>
      <c r="U270" s="84" t="e">
        <f t="shared" si="56"/>
        <v>#REF!</v>
      </c>
      <c r="V270" s="85" t="e">
        <f>#REF!</f>
        <v>#REF!</v>
      </c>
      <c r="W270" s="86">
        <f t="shared" si="57"/>
        <v>0</v>
      </c>
      <c r="X270" s="86">
        <f t="shared" si="57"/>
        <v>0</v>
      </c>
      <c r="Y270" s="87">
        <f t="shared" si="58"/>
        <v>0</v>
      </c>
      <c r="Z270" s="87">
        <f t="shared" si="59"/>
        <v>0</v>
      </c>
      <c r="AA270" s="87">
        <f t="shared" si="60"/>
        <v>4</v>
      </c>
    </row>
    <row r="271" spans="9:27">
      <c r="I271" s="81" t="e">
        <f>IF(#REF!&lt;&gt;"",#REF!,"")</f>
        <v>#REF!</v>
      </c>
      <c r="J271" s="81" t="e">
        <f t="shared" si="61"/>
        <v>#REF!</v>
      </c>
      <c r="L271" s="82" t="e">
        <f t="shared" si="62"/>
        <v>#REF!</v>
      </c>
      <c r="M271" s="81" t="e">
        <f t="shared" si="65"/>
        <v>#REF!</v>
      </c>
      <c r="N271" s="81" t="e">
        <f t="shared" si="63"/>
        <v>#REF!</v>
      </c>
      <c r="O271" s="81" t="e">
        <f t="shared" si="64"/>
        <v>#REF!</v>
      </c>
      <c r="Q271" s="83" t="str">
        <f t="shared" si="53"/>
        <v/>
      </c>
      <c r="R271" s="84" t="e">
        <f t="shared" si="54"/>
        <v>#REF!</v>
      </c>
      <c r="S271" s="83" t="e">
        <f t="shared" si="54"/>
        <v>#REF!</v>
      </c>
      <c r="T271" s="84" t="e">
        <f t="shared" si="55"/>
        <v>#REF!</v>
      </c>
      <c r="U271" s="84" t="e">
        <f t="shared" si="56"/>
        <v>#REF!</v>
      </c>
      <c r="V271" s="85" t="e">
        <f>#REF!</f>
        <v>#REF!</v>
      </c>
      <c r="W271" s="86">
        <f t="shared" si="57"/>
        <v>0</v>
      </c>
      <c r="X271" s="86">
        <f t="shared" si="57"/>
        <v>0</v>
      </c>
      <c r="Y271" s="87">
        <f t="shared" si="58"/>
        <v>0</v>
      </c>
      <c r="Z271" s="87">
        <f t="shared" si="59"/>
        <v>0</v>
      </c>
      <c r="AA271" s="87">
        <f t="shared" si="60"/>
        <v>4</v>
      </c>
    </row>
    <row r="272" spans="9:27">
      <c r="I272" s="81" t="e">
        <f>IF(#REF!&lt;&gt;"",#REF!,"")</f>
        <v>#REF!</v>
      </c>
      <c r="J272" s="81" t="e">
        <f t="shared" si="61"/>
        <v>#REF!</v>
      </c>
      <c r="L272" s="82" t="e">
        <f t="shared" si="62"/>
        <v>#REF!</v>
      </c>
      <c r="M272" s="81" t="e">
        <f t="shared" si="65"/>
        <v>#REF!</v>
      </c>
      <c r="N272" s="81" t="e">
        <f t="shared" si="63"/>
        <v>#REF!</v>
      </c>
      <c r="O272" s="81" t="e">
        <f t="shared" si="64"/>
        <v>#REF!</v>
      </c>
      <c r="Q272" s="83" t="str">
        <f t="shared" si="53"/>
        <v/>
      </c>
      <c r="R272" s="84" t="e">
        <f t="shared" si="54"/>
        <v>#REF!</v>
      </c>
      <c r="S272" s="83" t="e">
        <f t="shared" si="54"/>
        <v>#REF!</v>
      </c>
      <c r="T272" s="84" t="e">
        <f t="shared" si="55"/>
        <v>#REF!</v>
      </c>
      <c r="U272" s="84" t="e">
        <f t="shared" si="56"/>
        <v>#REF!</v>
      </c>
      <c r="V272" s="85" t="e">
        <f>#REF!</f>
        <v>#REF!</v>
      </c>
      <c r="W272" s="86">
        <f t="shared" si="57"/>
        <v>0</v>
      </c>
      <c r="X272" s="86">
        <f t="shared" si="57"/>
        <v>0</v>
      </c>
      <c r="Y272" s="87">
        <f t="shared" si="58"/>
        <v>0</v>
      </c>
      <c r="Z272" s="87">
        <f t="shared" si="59"/>
        <v>0</v>
      </c>
      <c r="AA272" s="87">
        <f t="shared" si="60"/>
        <v>4</v>
      </c>
    </row>
    <row r="273" spans="9:27">
      <c r="I273" s="81" t="e">
        <f>IF(#REF!&lt;&gt;"",#REF!,"")</f>
        <v>#REF!</v>
      </c>
      <c r="J273" s="81" t="e">
        <f t="shared" si="61"/>
        <v>#REF!</v>
      </c>
      <c r="L273" s="82" t="e">
        <f t="shared" si="62"/>
        <v>#REF!</v>
      </c>
      <c r="M273" s="81" t="e">
        <f t="shared" si="65"/>
        <v>#REF!</v>
      </c>
      <c r="N273" s="81" t="e">
        <f t="shared" si="63"/>
        <v>#REF!</v>
      </c>
      <c r="O273" s="81" t="e">
        <f t="shared" si="64"/>
        <v>#REF!</v>
      </c>
      <c r="Q273" s="83" t="str">
        <f t="shared" si="53"/>
        <v/>
      </c>
      <c r="R273" s="84" t="e">
        <f t="shared" si="54"/>
        <v>#REF!</v>
      </c>
      <c r="S273" s="83" t="e">
        <f t="shared" si="54"/>
        <v>#REF!</v>
      </c>
      <c r="T273" s="84" t="e">
        <f t="shared" si="55"/>
        <v>#REF!</v>
      </c>
      <c r="U273" s="84" t="e">
        <f t="shared" si="56"/>
        <v>#REF!</v>
      </c>
      <c r="V273" s="85" t="e">
        <f>#REF!</f>
        <v>#REF!</v>
      </c>
      <c r="W273" s="86">
        <f t="shared" si="57"/>
        <v>0</v>
      </c>
      <c r="X273" s="86">
        <f t="shared" si="57"/>
        <v>0</v>
      </c>
      <c r="Y273" s="87">
        <f t="shared" si="58"/>
        <v>0</v>
      </c>
      <c r="Z273" s="87">
        <f t="shared" si="59"/>
        <v>0</v>
      </c>
      <c r="AA273" s="87">
        <f t="shared" si="60"/>
        <v>4</v>
      </c>
    </row>
    <row r="274" spans="9:27">
      <c r="I274" s="81" t="e">
        <f>IF(#REF!&lt;&gt;"",#REF!,"")</f>
        <v>#REF!</v>
      </c>
      <c r="J274" s="81" t="e">
        <f t="shared" si="61"/>
        <v>#REF!</v>
      </c>
      <c r="L274" s="82" t="e">
        <f t="shared" si="62"/>
        <v>#REF!</v>
      </c>
      <c r="M274" s="81" t="e">
        <f t="shared" si="65"/>
        <v>#REF!</v>
      </c>
      <c r="N274" s="81" t="e">
        <f t="shared" si="63"/>
        <v>#REF!</v>
      </c>
      <c r="O274" s="81" t="e">
        <f t="shared" si="64"/>
        <v>#REF!</v>
      </c>
      <c r="Q274" s="83" t="str">
        <f t="shared" si="53"/>
        <v/>
      </c>
      <c r="R274" s="84" t="e">
        <f t="shared" si="54"/>
        <v>#REF!</v>
      </c>
      <c r="S274" s="83" t="e">
        <f t="shared" si="54"/>
        <v>#REF!</v>
      </c>
      <c r="T274" s="84" t="e">
        <f t="shared" si="55"/>
        <v>#REF!</v>
      </c>
      <c r="U274" s="84" t="e">
        <f t="shared" si="56"/>
        <v>#REF!</v>
      </c>
      <c r="V274" s="85" t="e">
        <f>#REF!</f>
        <v>#REF!</v>
      </c>
      <c r="W274" s="86">
        <f t="shared" si="57"/>
        <v>0</v>
      </c>
      <c r="X274" s="86">
        <f t="shared" si="57"/>
        <v>0</v>
      </c>
      <c r="Y274" s="87">
        <f t="shared" si="58"/>
        <v>0</v>
      </c>
      <c r="Z274" s="87">
        <f t="shared" si="59"/>
        <v>0</v>
      </c>
      <c r="AA274" s="87">
        <f t="shared" si="60"/>
        <v>4</v>
      </c>
    </row>
    <row r="275" spans="9:27">
      <c r="I275" s="81" t="e">
        <f>IF(#REF!&lt;&gt;"",#REF!,"")</f>
        <v>#REF!</v>
      </c>
      <c r="J275" s="81" t="e">
        <f t="shared" si="61"/>
        <v>#REF!</v>
      </c>
      <c r="L275" s="82" t="e">
        <f t="shared" si="62"/>
        <v>#REF!</v>
      </c>
      <c r="M275" s="81" t="e">
        <f t="shared" si="65"/>
        <v>#REF!</v>
      </c>
      <c r="N275" s="81" t="e">
        <f t="shared" si="63"/>
        <v>#REF!</v>
      </c>
      <c r="O275" s="81" t="e">
        <f t="shared" si="64"/>
        <v>#REF!</v>
      </c>
      <c r="Q275" s="83" t="str">
        <f t="shared" si="53"/>
        <v/>
      </c>
      <c r="R275" s="84" t="e">
        <f t="shared" si="54"/>
        <v>#REF!</v>
      </c>
      <c r="S275" s="83" t="e">
        <f t="shared" si="54"/>
        <v>#REF!</v>
      </c>
      <c r="T275" s="84" t="e">
        <f t="shared" si="55"/>
        <v>#REF!</v>
      </c>
      <c r="U275" s="84" t="e">
        <f t="shared" si="56"/>
        <v>#REF!</v>
      </c>
      <c r="V275" s="85" t="e">
        <f>#REF!</f>
        <v>#REF!</v>
      </c>
      <c r="W275" s="86">
        <f t="shared" si="57"/>
        <v>0</v>
      </c>
      <c r="X275" s="86">
        <f t="shared" si="57"/>
        <v>0</v>
      </c>
      <c r="Y275" s="87">
        <f t="shared" si="58"/>
        <v>0</v>
      </c>
      <c r="Z275" s="87">
        <f t="shared" si="59"/>
        <v>0</v>
      </c>
      <c r="AA275" s="87">
        <f t="shared" si="60"/>
        <v>4</v>
      </c>
    </row>
    <row r="276" spans="9:27">
      <c r="I276" s="81" t="e">
        <f>IF(#REF!&lt;&gt;"",#REF!,"")</f>
        <v>#REF!</v>
      </c>
      <c r="J276" s="81" t="e">
        <f t="shared" si="61"/>
        <v>#REF!</v>
      </c>
      <c r="L276" s="82" t="e">
        <f t="shared" si="62"/>
        <v>#REF!</v>
      </c>
      <c r="M276" s="81" t="e">
        <f t="shared" si="65"/>
        <v>#REF!</v>
      </c>
      <c r="N276" s="81" t="e">
        <f t="shared" si="63"/>
        <v>#REF!</v>
      </c>
      <c r="O276" s="81" t="e">
        <f t="shared" si="64"/>
        <v>#REF!</v>
      </c>
      <c r="Q276" s="83" t="str">
        <f t="shared" si="53"/>
        <v/>
      </c>
      <c r="R276" s="84" t="e">
        <f t="shared" si="54"/>
        <v>#REF!</v>
      </c>
      <c r="S276" s="83" t="e">
        <f t="shared" si="54"/>
        <v>#REF!</v>
      </c>
      <c r="T276" s="84" t="e">
        <f t="shared" si="55"/>
        <v>#REF!</v>
      </c>
      <c r="U276" s="84" t="e">
        <f t="shared" si="56"/>
        <v>#REF!</v>
      </c>
      <c r="V276" s="85" t="e">
        <f>#REF!</f>
        <v>#REF!</v>
      </c>
      <c r="W276" s="86">
        <f t="shared" si="57"/>
        <v>0</v>
      </c>
      <c r="X276" s="86">
        <f t="shared" si="57"/>
        <v>0</v>
      </c>
      <c r="Y276" s="87">
        <f t="shared" si="58"/>
        <v>0</v>
      </c>
      <c r="Z276" s="87">
        <f t="shared" si="59"/>
        <v>0</v>
      </c>
      <c r="AA276" s="87">
        <f t="shared" si="60"/>
        <v>4</v>
      </c>
    </row>
    <row r="277" spans="9:27">
      <c r="I277" s="81" t="e">
        <f>IF(#REF!&lt;&gt;"",#REF!,"")</f>
        <v>#REF!</v>
      </c>
      <c r="J277" s="81" t="e">
        <f t="shared" si="61"/>
        <v>#REF!</v>
      </c>
      <c r="L277" s="82" t="e">
        <f t="shared" si="62"/>
        <v>#REF!</v>
      </c>
      <c r="M277" s="81" t="e">
        <f t="shared" si="65"/>
        <v>#REF!</v>
      </c>
      <c r="N277" s="81" t="e">
        <f t="shared" si="63"/>
        <v>#REF!</v>
      </c>
      <c r="O277" s="81" t="e">
        <f t="shared" si="64"/>
        <v>#REF!</v>
      </c>
      <c r="Q277" s="83" t="str">
        <f t="shared" si="53"/>
        <v/>
      </c>
      <c r="R277" s="84" t="e">
        <f t="shared" si="54"/>
        <v>#REF!</v>
      </c>
      <c r="S277" s="83" t="e">
        <f t="shared" si="54"/>
        <v>#REF!</v>
      </c>
      <c r="T277" s="84" t="e">
        <f t="shared" si="55"/>
        <v>#REF!</v>
      </c>
      <c r="U277" s="84" t="e">
        <f t="shared" si="56"/>
        <v>#REF!</v>
      </c>
      <c r="V277" s="85" t="e">
        <f>#REF!</f>
        <v>#REF!</v>
      </c>
      <c r="W277" s="86">
        <f t="shared" si="57"/>
        <v>0</v>
      </c>
      <c r="X277" s="86">
        <f t="shared" si="57"/>
        <v>0</v>
      </c>
      <c r="Y277" s="87">
        <f t="shared" si="58"/>
        <v>0</v>
      </c>
      <c r="Z277" s="87">
        <f t="shared" si="59"/>
        <v>0</v>
      </c>
      <c r="AA277" s="87">
        <f t="shared" si="60"/>
        <v>4</v>
      </c>
    </row>
    <row r="278" spans="9:27">
      <c r="I278" s="81" t="e">
        <f>IF(#REF!&lt;&gt;"",#REF!,"")</f>
        <v>#REF!</v>
      </c>
      <c r="J278" s="81" t="e">
        <f t="shared" si="61"/>
        <v>#REF!</v>
      </c>
      <c r="L278" s="82" t="e">
        <f t="shared" si="62"/>
        <v>#REF!</v>
      </c>
      <c r="M278" s="81" t="e">
        <f t="shared" si="65"/>
        <v>#REF!</v>
      </c>
      <c r="N278" s="81" t="e">
        <f t="shared" si="63"/>
        <v>#REF!</v>
      </c>
      <c r="O278" s="81" t="e">
        <f t="shared" si="64"/>
        <v>#REF!</v>
      </c>
      <c r="Q278" s="83" t="str">
        <f t="shared" si="53"/>
        <v/>
      </c>
      <c r="R278" s="84" t="e">
        <f t="shared" si="54"/>
        <v>#REF!</v>
      </c>
      <c r="S278" s="83" t="e">
        <f t="shared" si="54"/>
        <v>#REF!</v>
      </c>
      <c r="T278" s="84" t="e">
        <f t="shared" si="55"/>
        <v>#REF!</v>
      </c>
      <c r="U278" s="84" t="e">
        <f t="shared" si="56"/>
        <v>#REF!</v>
      </c>
      <c r="V278" s="85" t="e">
        <f>#REF!</f>
        <v>#REF!</v>
      </c>
      <c r="W278" s="86">
        <f t="shared" si="57"/>
        <v>0</v>
      </c>
      <c r="X278" s="86">
        <f t="shared" si="57"/>
        <v>0</v>
      </c>
      <c r="Y278" s="87">
        <f t="shared" si="58"/>
        <v>0</v>
      </c>
      <c r="Z278" s="87">
        <f t="shared" si="59"/>
        <v>0</v>
      </c>
      <c r="AA278" s="87">
        <f t="shared" si="60"/>
        <v>4</v>
      </c>
    </row>
    <row r="279" spans="9:27">
      <c r="I279" s="81" t="e">
        <f>IF(#REF!&lt;&gt;"",#REF!,"")</f>
        <v>#REF!</v>
      </c>
      <c r="J279" s="81" t="e">
        <f t="shared" si="61"/>
        <v>#REF!</v>
      </c>
      <c r="L279" s="82" t="e">
        <f t="shared" si="62"/>
        <v>#REF!</v>
      </c>
      <c r="M279" s="81" t="e">
        <f t="shared" si="65"/>
        <v>#REF!</v>
      </c>
      <c r="N279" s="81" t="e">
        <f t="shared" si="63"/>
        <v>#REF!</v>
      </c>
      <c r="O279" s="81" t="e">
        <f t="shared" si="64"/>
        <v>#REF!</v>
      </c>
      <c r="Q279" s="83" t="str">
        <f t="shared" ref="Q279:Q342" si="66">IF(Z279=0,"",IF(Z279=1,R279&amp;S279,"E99999"))</f>
        <v/>
      </c>
      <c r="R279" s="84" t="e">
        <f t="shared" si="54"/>
        <v>#REF!</v>
      </c>
      <c r="S279" s="83" t="e">
        <f t="shared" si="54"/>
        <v>#REF!</v>
      </c>
      <c r="T279" s="84" t="e">
        <f t="shared" si="55"/>
        <v>#REF!</v>
      </c>
      <c r="U279" s="84" t="e">
        <f t="shared" si="56"/>
        <v>#REF!</v>
      </c>
      <c r="V279" s="85" t="e">
        <f>#REF!</f>
        <v>#REF!</v>
      </c>
      <c r="W279" s="86">
        <f t="shared" si="57"/>
        <v>0</v>
      </c>
      <c r="X279" s="86">
        <f t="shared" si="57"/>
        <v>0</v>
      </c>
      <c r="Y279" s="87">
        <f t="shared" si="58"/>
        <v>0</v>
      </c>
      <c r="Z279" s="87">
        <f t="shared" si="59"/>
        <v>0</v>
      </c>
      <c r="AA279" s="87">
        <f t="shared" si="60"/>
        <v>4</v>
      </c>
    </row>
    <row r="280" spans="9:27">
      <c r="I280" s="81" t="e">
        <f>IF(#REF!&lt;&gt;"",#REF!,"")</f>
        <v>#REF!</v>
      </c>
      <c r="J280" s="81" t="e">
        <f t="shared" si="61"/>
        <v>#REF!</v>
      </c>
      <c r="L280" s="82" t="e">
        <f t="shared" si="62"/>
        <v>#REF!</v>
      </c>
      <c r="M280" s="81" t="e">
        <f t="shared" si="65"/>
        <v>#REF!</v>
      </c>
      <c r="N280" s="81" t="e">
        <f t="shared" si="63"/>
        <v>#REF!</v>
      </c>
      <c r="O280" s="81" t="e">
        <f t="shared" si="64"/>
        <v>#REF!</v>
      </c>
      <c r="Q280" s="83" t="str">
        <f t="shared" si="66"/>
        <v/>
      </c>
      <c r="R280" s="84" t="e">
        <f t="shared" si="54"/>
        <v>#REF!</v>
      </c>
      <c r="S280" s="83" t="e">
        <f t="shared" si="54"/>
        <v>#REF!</v>
      </c>
      <c r="T280" s="84" t="e">
        <f t="shared" si="55"/>
        <v>#REF!</v>
      </c>
      <c r="U280" s="84" t="e">
        <f t="shared" si="56"/>
        <v>#REF!</v>
      </c>
      <c r="V280" s="85" t="e">
        <f>#REF!</f>
        <v>#REF!</v>
      </c>
      <c r="W280" s="86">
        <f t="shared" si="57"/>
        <v>0</v>
      </c>
      <c r="X280" s="86">
        <f t="shared" si="57"/>
        <v>0</v>
      </c>
      <c r="Y280" s="87">
        <f t="shared" si="58"/>
        <v>0</v>
      </c>
      <c r="Z280" s="87">
        <f t="shared" si="59"/>
        <v>0</v>
      </c>
      <c r="AA280" s="87">
        <f t="shared" si="60"/>
        <v>4</v>
      </c>
    </row>
    <row r="281" spans="9:27">
      <c r="I281" s="81" t="e">
        <f>IF(#REF!&lt;&gt;"",#REF!,"")</f>
        <v>#REF!</v>
      </c>
      <c r="J281" s="81" t="e">
        <f t="shared" si="61"/>
        <v>#REF!</v>
      </c>
      <c r="L281" s="82" t="e">
        <f t="shared" si="62"/>
        <v>#REF!</v>
      </c>
      <c r="M281" s="81" t="e">
        <f t="shared" si="65"/>
        <v>#REF!</v>
      </c>
      <c r="N281" s="81" t="e">
        <f t="shared" si="63"/>
        <v>#REF!</v>
      </c>
      <c r="O281" s="81" t="e">
        <f t="shared" si="64"/>
        <v>#REF!</v>
      </c>
      <c r="Q281" s="83" t="str">
        <f t="shared" si="66"/>
        <v/>
      </c>
      <c r="R281" s="84" t="e">
        <f t="shared" si="54"/>
        <v>#REF!</v>
      </c>
      <c r="S281" s="83" t="e">
        <f t="shared" si="54"/>
        <v>#REF!</v>
      </c>
      <c r="T281" s="84" t="e">
        <f t="shared" si="55"/>
        <v>#REF!</v>
      </c>
      <c r="U281" s="84" t="e">
        <f t="shared" si="56"/>
        <v>#REF!</v>
      </c>
      <c r="V281" s="85" t="e">
        <f>#REF!</f>
        <v>#REF!</v>
      </c>
      <c r="W281" s="86">
        <f t="shared" si="57"/>
        <v>0</v>
      </c>
      <c r="X281" s="86">
        <f t="shared" si="57"/>
        <v>0</v>
      </c>
      <c r="Y281" s="87">
        <f t="shared" si="58"/>
        <v>0</v>
      </c>
      <c r="Z281" s="87">
        <f t="shared" si="59"/>
        <v>0</v>
      </c>
      <c r="AA281" s="87">
        <f t="shared" si="60"/>
        <v>4</v>
      </c>
    </row>
    <row r="282" spans="9:27">
      <c r="I282" s="81" t="e">
        <f>IF(#REF!&lt;&gt;"",#REF!,"")</f>
        <v>#REF!</v>
      </c>
      <c r="J282" s="81" t="e">
        <f t="shared" si="61"/>
        <v>#REF!</v>
      </c>
      <c r="L282" s="82" t="e">
        <f t="shared" si="62"/>
        <v>#REF!</v>
      </c>
      <c r="M282" s="81" t="e">
        <f t="shared" si="65"/>
        <v>#REF!</v>
      </c>
      <c r="N282" s="81" t="e">
        <f t="shared" si="63"/>
        <v>#REF!</v>
      </c>
      <c r="O282" s="81" t="e">
        <f t="shared" si="64"/>
        <v>#REF!</v>
      </c>
      <c r="Q282" s="83" t="str">
        <f t="shared" si="66"/>
        <v/>
      </c>
      <c r="R282" s="84" t="e">
        <f t="shared" si="54"/>
        <v>#REF!</v>
      </c>
      <c r="S282" s="83" t="e">
        <f t="shared" si="54"/>
        <v>#REF!</v>
      </c>
      <c r="T282" s="84" t="e">
        <f t="shared" si="55"/>
        <v>#REF!</v>
      </c>
      <c r="U282" s="84" t="e">
        <f t="shared" si="56"/>
        <v>#REF!</v>
      </c>
      <c r="V282" s="85" t="e">
        <f>#REF!</f>
        <v>#REF!</v>
      </c>
      <c r="W282" s="86">
        <f t="shared" si="57"/>
        <v>0</v>
      </c>
      <c r="X282" s="86">
        <f t="shared" si="57"/>
        <v>0</v>
      </c>
      <c r="Y282" s="87">
        <f t="shared" si="58"/>
        <v>0</v>
      </c>
      <c r="Z282" s="87">
        <f t="shared" si="59"/>
        <v>0</v>
      </c>
      <c r="AA282" s="87">
        <f t="shared" si="60"/>
        <v>4</v>
      </c>
    </row>
    <row r="283" spans="9:27">
      <c r="I283" s="81" t="e">
        <f>IF(#REF!&lt;&gt;"",#REF!,"")</f>
        <v>#REF!</v>
      </c>
      <c r="J283" s="81" t="e">
        <f t="shared" si="61"/>
        <v>#REF!</v>
      </c>
      <c r="L283" s="82" t="e">
        <f t="shared" si="62"/>
        <v>#REF!</v>
      </c>
      <c r="M283" s="81" t="e">
        <f t="shared" si="65"/>
        <v>#REF!</v>
      </c>
      <c r="N283" s="81" t="e">
        <f t="shared" si="63"/>
        <v>#REF!</v>
      </c>
      <c r="O283" s="81" t="e">
        <f t="shared" si="64"/>
        <v>#REF!</v>
      </c>
      <c r="Q283" s="83" t="str">
        <f t="shared" si="66"/>
        <v/>
      </c>
      <c r="R283" s="84" t="e">
        <f t="shared" si="54"/>
        <v>#REF!</v>
      </c>
      <c r="S283" s="83" t="e">
        <f t="shared" si="54"/>
        <v>#REF!</v>
      </c>
      <c r="T283" s="84" t="e">
        <f t="shared" si="55"/>
        <v>#REF!</v>
      </c>
      <c r="U283" s="84" t="e">
        <f t="shared" si="56"/>
        <v>#REF!</v>
      </c>
      <c r="V283" s="85" t="e">
        <f>#REF!</f>
        <v>#REF!</v>
      </c>
      <c r="W283" s="86">
        <f t="shared" si="57"/>
        <v>0</v>
      </c>
      <c r="X283" s="86">
        <f t="shared" si="57"/>
        <v>0</v>
      </c>
      <c r="Y283" s="87">
        <f t="shared" si="58"/>
        <v>0</v>
      </c>
      <c r="Z283" s="87">
        <f t="shared" si="59"/>
        <v>0</v>
      </c>
      <c r="AA283" s="87">
        <f t="shared" si="60"/>
        <v>4</v>
      </c>
    </row>
    <row r="284" spans="9:27">
      <c r="I284" s="81" t="e">
        <f>IF(#REF!&lt;&gt;"",#REF!,"")</f>
        <v>#REF!</v>
      </c>
      <c r="J284" s="81" t="e">
        <f t="shared" si="61"/>
        <v>#REF!</v>
      </c>
      <c r="L284" s="82" t="e">
        <f t="shared" si="62"/>
        <v>#REF!</v>
      </c>
      <c r="M284" s="81" t="e">
        <f t="shared" si="65"/>
        <v>#REF!</v>
      </c>
      <c r="N284" s="81" t="e">
        <f t="shared" si="63"/>
        <v>#REF!</v>
      </c>
      <c r="O284" s="81" t="e">
        <f t="shared" si="64"/>
        <v>#REF!</v>
      </c>
      <c r="Q284" s="83" t="str">
        <f t="shared" si="66"/>
        <v/>
      </c>
      <c r="R284" s="84" t="e">
        <f t="shared" si="54"/>
        <v>#REF!</v>
      </c>
      <c r="S284" s="83" t="e">
        <f t="shared" si="54"/>
        <v>#REF!</v>
      </c>
      <c r="T284" s="84" t="e">
        <f t="shared" si="55"/>
        <v>#REF!</v>
      </c>
      <c r="U284" s="84" t="e">
        <f t="shared" si="56"/>
        <v>#REF!</v>
      </c>
      <c r="V284" s="85" t="e">
        <f>#REF!</f>
        <v>#REF!</v>
      </c>
      <c r="W284" s="86">
        <f t="shared" si="57"/>
        <v>0</v>
      </c>
      <c r="X284" s="86">
        <f t="shared" si="57"/>
        <v>0</v>
      </c>
      <c r="Y284" s="87">
        <f t="shared" si="58"/>
        <v>0</v>
      </c>
      <c r="Z284" s="87">
        <f t="shared" si="59"/>
        <v>0</v>
      </c>
      <c r="AA284" s="87">
        <f t="shared" si="60"/>
        <v>4</v>
      </c>
    </row>
    <row r="285" spans="9:27">
      <c r="I285" s="81" t="e">
        <f>IF(#REF!&lt;&gt;"",#REF!,"")</f>
        <v>#REF!</v>
      </c>
      <c r="J285" s="81" t="e">
        <f t="shared" si="61"/>
        <v>#REF!</v>
      </c>
      <c r="L285" s="82" t="e">
        <f t="shared" si="62"/>
        <v>#REF!</v>
      </c>
      <c r="M285" s="81" t="e">
        <f t="shared" si="65"/>
        <v>#REF!</v>
      </c>
      <c r="N285" s="81" t="e">
        <f t="shared" si="63"/>
        <v>#REF!</v>
      </c>
      <c r="O285" s="81" t="e">
        <f t="shared" si="64"/>
        <v>#REF!</v>
      </c>
      <c r="Q285" s="83" t="str">
        <f t="shared" si="66"/>
        <v/>
      </c>
      <c r="R285" s="84" t="e">
        <f t="shared" si="54"/>
        <v>#REF!</v>
      </c>
      <c r="S285" s="83" t="e">
        <f t="shared" si="54"/>
        <v>#REF!</v>
      </c>
      <c r="T285" s="84" t="e">
        <f t="shared" si="55"/>
        <v>#REF!</v>
      </c>
      <c r="U285" s="84" t="e">
        <f t="shared" si="56"/>
        <v>#REF!</v>
      </c>
      <c r="V285" s="85" t="e">
        <f>#REF!</f>
        <v>#REF!</v>
      </c>
      <c r="W285" s="86">
        <f t="shared" si="57"/>
        <v>0</v>
      </c>
      <c r="X285" s="86">
        <f t="shared" si="57"/>
        <v>0</v>
      </c>
      <c r="Y285" s="87">
        <f t="shared" si="58"/>
        <v>0</v>
      </c>
      <c r="Z285" s="87">
        <f t="shared" si="59"/>
        <v>0</v>
      </c>
      <c r="AA285" s="87">
        <f t="shared" si="60"/>
        <v>4</v>
      </c>
    </row>
    <row r="286" spans="9:27">
      <c r="I286" s="81" t="e">
        <f>IF(#REF!&lt;&gt;"",#REF!,"")</f>
        <v>#REF!</v>
      </c>
      <c r="J286" s="81" t="e">
        <f t="shared" si="61"/>
        <v>#REF!</v>
      </c>
      <c r="L286" s="82" t="e">
        <f t="shared" si="62"/>
        <v>#REF!</v>
      </c>
      <c r="M286" s="81" t="e">
        <f t="shared" si="65"/>
        <v>#REF!</v>
      </c>
      <c r="N286" s="81" t="e">
        <f t="shared" si="63"/>
        <v>#REF!</v>
      </c>
      <c r="O286" s="81" t="e">
        <f t="shared" si="64"/>
        <v>#REF!</v>
      </c>
      <c r="Q286" s="83" t="str">
        <f t="shared" si="66"/>
        <v/>
      </c>
      <c r="R286" s="84" t="e">
        <f t="shared" si="54"/>
        <v>#REF!</v>
      </c>
      <c r="S286" s="83" t="e">
        <f t="shared" si="54"/>
        <v>#REF!</v>
      </c>
      <c r="T286" s="84" t="e">
        <f t="shared" si="55"/>
        <v>#REF!</v>
      </c>
      <c r="U286" s="84" t="e">
        <f t="shared" si="56"/>
        <v>#REF!</v>
      </c>
      <c r="V286" s="85" t="e">
        <f>#REF!</f>
        <v>#REF!</v>
      </c>
      <c r="W286" s="86">
        <f t="shared" si="57"/>
        <v>0</v>
      </c>
      <c r="X286" s="86">
        <f t="shared" si="57"/>
        <v>0</v>
      </c>
      <c r="Y286" s="87">
        <f t="shared" si="58"/>
        <v>0</v>
      </c>
      <c r="Z286" s="87">
        <f t="shared" si="59"/>
        <v>0</v>
      </c>
      <c r="AA286" s="87">
        <f t="shared" si="60"/>
        <v>4</v>
      </c>
    </row>
    <row r="287" spans="9:27">
      <c r="I287" s="81" t="e">
        <f>IF(#REF!&lt;&gt;"",#REF!,"")</f>
        <v>#REF!</v>
      </c>
      <c r="J287" s="81" t="e">
        <f t="shared" si="61"/>
        <v>#REF!</v>
      </c>
      <c r="L287" s="82" t="e">
        <f t="shared" si="62"/>
        <v>#REF!</v>
      </c>
      <c r="M287" s="81" t="e">
        <f t="shared" si="65"/>
        <v>#REF!</v>
      </c>
      <c r="N287" s="81" t="e">
        <f t="shared" si="63"/>
        <v>#REF!</v>
      </c>
      <c r="O287" s="81" t="e">
        <f t="shared" si="64"/>
        <v>#REF!</v>
      </c>
      <c r="Q287" s="83" t="str">
        <f t="shared" si="66"/>
        <v/>
      </c>
      <c r="R287" s="84" t="e">
        <f t="shared" si="54"/>
        <v>#REF!</v>
      </c>
      <c r="S287" s="83" t="e">
        <f t="shared" si="54"/>
        <v>#REF!</v>
      </c>
      <c r="T287" s="84" t="e">
        <f t="shared" si="55"/>
        <v>#REF!</v>
      </c>
      <c r="U287" s="84" t="e">
        <f t="shared" si="56"/>
        <v>#REF!</v>
      </c>
      <c r="V287" s="85" t="e">
        <f>#REF!</f>
        <v>#REF!</v>
      </c>
      <c r="W287" s="86">
        <f t="shared" si="57"/>
        <v>0</v>
      </c>
      <c r="X287" s="86">
        <f t="shared" si="57"/>
        <v>0</v>
      </c>
      <c r="Y287" s="87">
        <f t="shared" si="58"/>
        <v>0</v>
      </c>
      <c r="Z287" s="87">
        <f t="shared" si="59"/>
        <v>0</v>
      </c>
      <c r="AA287" s="87">
        <f t="shared" si="60"/>
        <v>4</v>
      </c>
    </row>
    <row r="288" spans="9:27">
      <c r="I288" s="81" t="e">
        <f>IF(#REF!&lt;&gt;"",#REF!,"")</f>
        <v>#REF!</v>
      </c>
      <c r="J288" s="81" t="e">
        <f t="shared" si="61"/>
        <v>#REF!</v>
      </c>
      <c r="L288" s="82" t="e">
        <f t="shared" si="62"/>
        <v>#REF!</v>
      </c>
      <c r="M288" s="81" t="e">
        <f t="shared" si="65"/>
        <v>#REF!</v>
      </c>
      <c r="N288" s="81" t="e">
        <f t="shared" si="63"/>
        <v>#REF!</v>
      </c>
      <c r="O288" s="81" t="e">
        <f t="shared" si="64"/>
        <v>#REF!</v>
      </c>
      <c r="Q288" s="83" t="str">
        <f t="shared" si="66"/>
        <v/>
      </c>
      <c r="R288" s="84" t="e">
        <f t="shared" si="54"/>
        <v>#REF!</v>
      </c>
      <c r="S288" s="83" t="e">
        <f t="shared" si="54"/>
        <v>#REF!</v>
      </c>
      <c r="T288" s="84" t="e">
        <f t="shared" si="55"/>
        <v>#REF!</v>
      </c>
      <c r="U288" s="84" t="e">
        <f t="shared" si="56"/>
        <v>#REF!</v>
      </c>
      <c r="V288" s="85" t="e">
        <f>#REF!</f>
        <v>#REF!</v>
      </c>
      <c r="W288" s="86">
        <f t="shared" si="57"/>
        <v>0</v>
      </c>
      <c r="X288" s="86">
        <f t="shared" si="57"/>
        <v>0</v>
      </c>
      <c r="Y288" s="87">
        <f t="shared" si="58"/>
        <v>0</v>
      </c>
      <c r="Z288" s="87">
        <f t="shared" si="59"/>
        <v>0</v>
      </c>
      <c r="AA288" s="87">
        <f t="shared" si="60"/>
        <v>4</v>
      </c>
    </row>
    <row r="289" spans="9:27">
      <c r="I289" s="81" t="e">
        <f>IF(#REF!&lt;&gt;"",#REF!,"")</f>
        <v>#REF!</v>
      </c>
      <c r="J289" s="81" t="e">
        <f t="shared" si="61"/>
        <v>#REF!</v>
      </c>
      <c r="L289" s="82" t="e">
        <f t="shared" si="62"/>
        <v>#REF!</v>
      </c>
      <c r="M289" s="81" t="e">
        <f t="shared" si="65"/>
        <v>#REF!</v>
      </c>
      <c r="N289" s="81" t="e">
        <f t="shared" si="63"/>
        <v>#REF!</v>
      </c>
      <c r="O289" s="81" t="e">
        <f t="shared" si="64"/>
        <v>#REF!</v>
      </c>
      <c r="Q289" s="83" t="str">
        <f t="shared" si="66"/>
        <v/>
      </c>
      <c r="R289" s="84" t="e">
        <f t="shared" si="54"/>
        <v>#REF!</v>
      </c>
      <c r="S289" s="83" t="e">
        <f t="shared" si="54"/>
        <v>#REF!</v>
      </c>
      <c r="T289" s="84" t="e">
        <f t="shared" si="55"/>
        <v>#REF!</v>
      </c>
      <c r="U289" s="84" t="e">
        <f t="shared" si="56"/>
        <v>#REF!</v>
      </c>
      <c r="V289" s="85" t="e">
        <f>#REF!</f>
        <v>#REF!</v>
      </c>
      <c r="W289" s="86">
        <f t="shared" si="57"/>
        <v>0</v>
      </c>
      <c r="X289" s="86">
        <f t="shared" si="57"/>
        <v>0</v>
      </c>
      <c r="Y289" s="87">
        <f t="shared" si="58"/>
        <v>0</v>
      </c>
      <c r="Z289" s="87">
        <f t="shared" si="59"/>
        <v>0</v>
      </c>
      <c r="AA289" s="87">
        <f t="shared" si="60"/>
        <v>4</v>
      </c>
    </row>
    <row r="290" spans="9:27">
      <c r="I290" s="81" t="e">
        <f>IF(#REF!&lt;&gt;"",#REF!,"")</f>
        <v>#REF!</v>
      </c>
      <c r="J290" s="81" t="e">
        <f t="shared" si="61"/>
        <v>#REF!</v>
      </c>
      <c r="L290" s="82" t="e">
        <f t="shared" si="62"/>
        <v>#REF!</v>
      </c>
      <c r="M290" s="81" t="e">
        <f t="shared" si="65"/>
        <v>#REF!</v>
      </c>
      <c r="N290" s="81" t="e">
        <f t="shared" si="63"/>
        <v>#REF!</v>
      </c>
      <c r="O290" s="81" t="e">
        <f t="shared" si="64"/>
        <v>#REF!</v>
      </c>
      <c r="Q290" s="83" t="str">
        <f t="shared" si="66"/>
        <v/>
      </c>
      <c r="R290" s="84" t="e">
        <f t="shared" si="54"/>
        <v>#REF!</v>
      </c>
      <c r="S290" s="83" t="e">
        <f t="shared" si="54"/>
        <v>#REF!</v>
      </c>
      <c r="T290" s="84" t="e">
        <f t="shared" si="55"/>
        <v>#REF!</v>
      </c>
      <c r="U290" s="84" t="e">
        <f t="shared" si="56"/>
        <v>#REF!</v>
      </c>
      <c r="V290" s="85" t="e">
        <f>#REF!</f>
        <v>#REF!</v>
      </c>
      <c r="W290" s="86">
        <f t="shared" si="57"/>
        <v>0</v>
      </c>
      <c r="X290" s="86">
        <f t="shared" si="57"/>
        <v>0</v>
      </c>
      <c r="Y290" s="87">
        <f t="shared" si="58"/>
        <v>0</v>
      </c>
      <c r="Z290" s="87">
        <f t="shared" si="59"/>
        <v>0</v>
      </c>
      <c r="AA290" s="87">
        <f t="shared" si="60"/>
        <v>4</v>
      </c>
    </row>
    <row r="291" spans="9:27">
      <c r="I291" s="81" t="e">
        <f>IF(#REF!&lt;&gt;"",#REF!,"")</f>
        <v>#REF!</v>
      </c>
      <c r="J291" s="81" t="e">
        <f t="shared" si="61"/>
        <v>#REF!</v>
      </c>
      <c r="L291" s="82" t="e">
        <f t="shared" si="62"/>
        <v>#REF!</v>
      </c>
      <c r="M291" s="81" t="e">
        <f t="shared" si="65"/>
        <v>#REF!</v>
      </c>
      <c r="N291" s="81" t="e">
        <f t="shared" si="63"/>
        <v>#REF!</v>
      </c>
      <c r="O291" s="81" t="e">
        <f t="shared" si="64"/>
        <v>#REF!</v>
      </c>
      <c r="Q291" s="83" t="str">
        <f t="shared" si="66"/>
        <v/>
      </c>
      <c r="R291" s="84" t="e">
        <f t="shared" si="54"/>
        <v>#REF!</v>
      </c>
      <c r="S291" s="83" t="e">
        <f t="shared" si="54"/>
        <v>#REF!</v>
      </c>
      <c r="T291" s="84" t="e">
        <f t="shared" si="55"/>
        <v>#REF!</v>
      </c>
      <c r="U291" s="84" t="e">
        <f t="shared" si="56"/>
        <v>#REF!</v>
      </c>
      <c r="V291" s="85" t="e">
        <f>#REF!</f>
        <v>#REF!</v>
      </c>
      <c r="W291" s="86">
        <f t="shared" si="57"/>
        <v>0</v>
      </c>
      <c r="X291" s="86">
        <f t="shared" si="57"/>
        <v>0</v>
      </c>
      <c r="Y291" s="87">
        <f t="shared" si="58"/>
        <v>0</v>
      </c>
      <c r="Z291" s="87">
        <f t="shared" si="59"/>
        <v>0</v>
      </c>
      <c r="AA291" s="87">
        <f t="shared" si="60"/>
        <v>4</v>
      </c>
    </row>
    <row r="292" spans="9:27">
      <c r="I292" s="81" t="e">
        <f>IF(#REF!&lt;&gt;"",#REF!,"")</f>
        <v>#REF!</v>
      </c>
      <c r="J292" s="81" t="e">
        <f t="shared" si="61"/>
        <v>#REF!</v>
      </c>
      <c r="L292" s="82" t="e">
        <f t="shared" si="62"/>
        <v>#REF!</v>
      </c>
      <c r="M292" s="81" t="e">
        <f t="shared" si="65"/>
        <v>#REF!</v>
      </c>
      <c r="N292" s="81" t="e">
        <f t="shared" si="63"/>
        <v>#REF!</v>
      </c>
      <c r="O292" s="81" t="e">
        <f t="shared" si="64"/>
        <v>#REF!</v>
      </c>
      <c r="Q292" s="83" t="str">
        <f t="shared" si="66"/>
        <v/>
      </c>
      <c r="R292" s="84" t="e">
        <f t="shared" si="54"/>
        <v>#REF!</v>
      </c>
      <c r="S292" s="83" t="e">
        <f t="shared" si="54"/>
        <v>#REF!</v>
      </c>
      <c r="T292" s="84" t="e">
        <f t="shared" si="55"/>
        <v>#REF!</v>
      </c>
      <c r="U292" s="84" t="e">
        <f t="shared" si="56"/>
        <v>#REF!</v>
      </c>
      <c r="V292" s="85" t="e">
        <f>#REF!</f>
        <v>#REF!</v>
      </c>
      <c r="W292" s="86">
        <f t="shared" si="57"/>
        <v>0</v>
      </c>
      <c r="X292" s="86">
        <f t="shared" si="57"/>
        <v>0</v>
      </c>
      <c r="Y292" s="87">
        <f t="shared" si="58"/>
        <v>0</v>
      </c>
      <c r="Z292" s="87">
        <f t="shared" si="59"/>
        <v>0</v>
      </c>
      <c r="AA292" s="87">
        <f t="shared" si="60"/>
        <v>4</v>
      </c>
    </row>
    <row r="293" spans="9:27">
      <c r="I293" s="81" t="e">
        <f>IF(#REF!&lt;&gt;"",#REF!,"")</f>
        <v>#REF!</v>
      </c>
      <c r="J293" s="81" t="e">
        <f t="shared" si="61"/>
        <v>#REF!</v>
      </c>
      <c r="L293" s="82" t="e">
        <f t="shared" si="62"/>
        <v>#REF!</v>
      </c>
      <c r="M293" s="81" t="e">
        <f t="shared" si="65"/>
        <v>#REF!</v>
      </c>
      <c r="N293" s="81" t="e">
        <f t="shared" si="63"/>
        <v>#REF!</v>
      </c>
      <c r="O293" s="81" t="e">
        <f t="shared" si="64"/>
        <v>#REF!</v>
      </c>
      <c r="Q293" s="83" t="str">
        <f t="shared" si="66"/>
        <v/>
      </c>
      <c r="R293" s="84" t="e">
        <f t="shared" si="54"/>
        <v>#REF!</v>
      </c>
      <c r="S293" s="83" t="e">
        <f t="shared" si="54"/>
        <v>#REF!</v>
      </c>
      <c r="T293" s="84" t="e">
        <f t="shared" si="55"/>
        <v>#REF!</v>
      </c>
      <c r="U293" s="84" t="e">
        <f t="shared" si="56"/>
        <v>#REF!</v>
      </c>
      <c r="V293" s="85" t="e">
        <f>#REF!</f>
        <v>#REF!</v>
      </c>
      <c r="W293" s="86">
        <f t="shared" si="57"/>
        <v>0</v>
      </c>
      <c r="X293" s="86">
        <f t="shared" si="57"/>
        <v>0</v>
      </c>
      <c r="Y293" s="87">
        <f t="shared" si="58"/>
        <v>0</v>
      </c>
      <c r="Z293" s="87">
        <f t="shared" si="59"/>
        <v>0</v>
      </c>
      <c r="AA293" s="87">
        <f t="shared" si="60"/>
        <v>4</v>
      </c>
    </row>
    <row r="294" spans="9:27">
      <c r="I294" s="81" t="e">
        <f>IF(#REF!&lt;&gt;"",#REF!,"")</f>
        <v>#REF!</v>
      </c>
      <c r="J294" s="81" t="e">
        <f t="shared" si="61"/>
        <v>#REF!</v>
      </c>
      <c r="L294" s="82" t="e">
        <f t="shared" si="62"/>
        <v>#REF!</v>
      </c>
      <c r="M294" s="81" t="e">
        <f t="shared" si="65"/>
        <v>#REF!</v>
      </c>
      <c r="N294" s="81" t="e">
        <f t="shared" si="63"/>
        <v>#REF!</v>
      </c>
      <c r="O294" s="81" t="e">
        <f t="shared" si="64"/>
        <v>#REF!</v>
      </c>
      <c r="Q294" s="83" t="str">
        <f t="shared" si="66"/>
        <v/>
      </c>
      <c r="R294" s="84" t="e">
        <f t="shared" si="54"/>
        <v>#REF!</v>
      </c>
      <c r="S294" s="83" t="e">
        <f t="shared" si="54"/>
        <v>#REF!</v>
      </c>
      <c r="T294" s="84" t="e">
        <f t="shared" si="55"/>
        <v>#REF!</v>
      </c>
      <c r="U294" s="84" t="e">
        <f t="shared" si="56"/>
        <v>#REF!</v>
      </c>
      <c r="V294" s="85" t="e">
        <f>#REF!</f>
        <v>#REF!</v>
      </c>
      <c r="W294" s="86">
        <f t="shared" si="57"/>
        <v>0</v>
      </c>
      <c r="X294" s="86">
        <f t="shared" si="57"/>
        <v>0</v>
      </c>
      <c r="Y294" s="87">
        <f t="shared" si="58"/>
        <v>0</v>
      </c>
      <c r="Z294" s="87">
        <f t="shared" si="59"/>
        <v>0</v>
      </c>
      <c r="AA294" s="87">
        <f t="shared" si="60"/>
        <v>4</v>
      </c>
    </row>
    <row r="295" spans="9:27">
      <c r="I295" s="81" t="e">
        <f>IF(#REF!&lt;&gt;"",#REF!,"")</f>
        <v>#REF!</v>
      </c>
      <c r="J295" s="81" t="e">
        <f t="shared" si="61"/>
        <v>#REF!</v>
      </c>
      <c r="L295" s="82" t="e">
        <f t="shared" si="62"/>
        <v>#REF!</v>
      </c>
      <c r="M295" s="81" t="e">
        <f t="shared" si="65"/>
        <v>#REF!</v>
      </c>
      <c r="N295" s="81" t="e">
        <f t="shared" si="63"/>
        <v>#REF!</v>
      </c>
      <c r="O295" s="81" t="e">
        <f t="shared" si="64"/>
        <v>#REF!</v>
      </c>
      <c r="Q295" s="83" t="str">
        <f t="shared" si="66"/>
        <v/>
      </c>
      <c r="R295" s="84" t="e">
        <f t="shared" si="54"/>
        <v>#REF!</v>
      </c>
      <c r="S295" s="83" t="e">
        <f t="shared" si="54"/>
        <v>#REF!</v>
      </c>
      <c r="T295" s="84" t="e">
        <f t="shared" si="55"/>
        <v>#REF!</v>
      </c>
      <c r="U295" s="84" t="e">
        <f t="shared" si="56"/>
        <v>#REF!</v>
      </c>
      <c r="V295" s="85" t="e">
        <f>#REF!</f>
        <v>#REF!</v>
      </c>
      <c r="W295" s="86">
        <f t="shared" si="57"/>
        <v>0</v>
      </c>
      <c r="X295" s="86">
        <f t="shared" si="57"/>
        <v>0</v>
      </c>
      <c r="Y295" s="87">
        <f t="shared" si="58"/>
        <v>0</v>
      </c>
      <c r="Z295" s="87">
        <f t="shared" si="59"/>
        <v>0</v>
      </c>
      <c r="AA295" s="87">
        <f t="shared" si="60"/>
        <v>4</v>
      </c>
    </row>
    <row r="296" spans="9:27">
      <c r="I296" s="81" t="e">
        <f>IF(#REF!&lt;&gt;"",#REF!,"")</f>
        <v>#REF!</v>
      </c>
      <c r="J296" s="81" t="e">
        <f t="shared" si="61"/>
        <v>#REF!</v>
      </c>
      <c r="L296" s="82" t="e">
        <f t="shared" si="62"/>
        <v>#REF!</v>
      </c>
      <c r="M296" s="81" t="e">
        <f t="shared" si="65"/>
        <v>#REF!</v>
      </c>
      <c r="N296" s="81" t="e">
        <f t="shared" si="63"/>
        <v>#REF!</v>
      </c>
      <c r="O296" s="81" t="e">
        <f t="shared" si="64"/>
        <v>#REF!</v>
      </c>
      <c r="Q296" s="83" t="str">
        <f t="shared" si="66"/>
        <v/>
      </c>
      <c r="R296" s="84" t="e">
        <f t="shared" si="54"/>
        <v>#REF!</v>
      </c>
      <c r="S296" s="83" t="e">
        <f t="shared" si="54"/>
        <v>#REF!</v>
      </c>
      <c r="T296" s="84" t="e">
        <f t="shared" si="55"/>
        <v>#REF!</v>
      </c>
      <c r="U296" s="84" t="e">
        <f t="shared" si="56"/>
        <v>#REF!</v>
      </c>
      <c r="V296" s="85" t="e">
        <f>#REF!</f>
        <v>#REF!</v>
      </c>
      <c r="W296" s="86">
        <f t="shared" si="57"/>
        <v>0</v>
      </c>
      <c r="X296" s="86">
        <f t="shared" si="57"/>
        <v>0</v>
      </c>
      <c r="Y296" s="87">
        <f t="shared" si="58"/>
        <v>0</v>
      </c>
      <c r="Z296" s="87">
        <f t="shared" si="59"/>
        <v>0</v>
      </c>
      <c r="AA296" s="87">
        <f t="shared" si="60"/>
        <v>4</v>
      </c>
    </row>
    <row r="297" spans="9:27">
      <c r="I297" s="81" t="e">
        <f>IF(#REF!&lt;&gt;"",#REF!,"")</f>
        <v>#REF!</v>
      </c>
      <c r="J297" s="81" t="e">
        <f t="shared" si="61"/>
        <v>#REF!</v>
      </c>
      <c r="L297" s="82" t="e">
        <f t="shared" si="62"/>
        <v>#REF!</v>
      </c>
      <c r="M297" s="81" t="e">
        <f t="shared" si="65"/>
        <v>#REF!</v>
      </c>
      <c r="N297" s="81" t="e">
        <f t="shared" si="63"/>
        <v>#REF!</v>
      </c>
      <c r="O297" s="81" t="e">
        <f t="shared" si="64"/>
        <v>#REF!</v>
      </c>
      <c r="Q297" s="83" t="str">
        <f t="shared" si="66"/>
        <v/>
      </c>
      <c r="R297" s="84" t="e">
        <f t="shared" si="54"/>
        <v>#REF!</v>
      </c>
      <c r="S297" s="83" t="e">
        <f t="shared" si="54"/>
        <v>#REF!</v>
      </c>
      <c r="T297" s="84" t="e">
        <f t="shared" si="55"/>
        <v>#REF!</v>
      </c>
      <c r="U297" s="84" t="e">
        <f t="shared" si="56"/>
        <v>#REF!</v>
      </c>
      <c r="V297" s="85" t="e">
        <f>#REF!</f>
        <v>#REF!</v>
      </c>
      <c r="W297" s="86">
        <f t="shared" si="57"/>
        <v>0</v>
      </c>
      <c r="X297" s="86">
        <f t="shared" si="57"/>
        <v>0</v>
      </c>
      <c r="Y297" s="87">
        <f t="shared" si="58"/>
        <v>0</v>
      </c>
      <c r="Z297" s="87">
        <f t="shared" si="59"/>
        <v>0</v>
      </c>
      <c r="AA297" s="87">
        <f t="shared" si="60"/>
        <v>4</v>
      </c>
    </row>
    <row r="298" spans="9:27">
      <c r="I298" s="81" t="e">
        <f>IF(#REF!&lt;&gt;"",#REF!,"")</f>
        <v>#REF!</v>
      </c>
      <c r="J298" s="81" t="e">
        <f t="shared" si="61"/>
        <v>#REF!</v>
      </c>
      <c r="L298" s="82" t="e">
        <f t="shared" si="62"/>
        <v>#REF!</v>
      </c>
      <c r="M298" s="81" t="e">
        <f t="shared" si="65"/>
        <v>#REF!</v>
      </c>
      <c r="N298" s="81" t="e">
        <f t="shared" si="63"/>
        <v>#REF!</v>
      </c>
      <c r="O298" s="81" t="e">
        <f t="shared" si="64"/>
        <v>#REF!</v>
      </c>
      <c r="Q298" s="83" t="str">
        <f t="shared" si="66"/>
        <v/>
      </c>
      <c r="R298" s="84" t="e">
        <f t="shared" si="54"/>
        <v>#REF!</v>
      </c>
      <c r="S298" s="83" t="e">
        <f t="shared" si="54"/>
        <v>#REF!</v>
      </c>
      <c r="T298" s="84" t="e">
        <f t="shared" si="55"/>
        <v>#REF!</v>
      </c>
      <c r="U298" s="84" t="e">
        <f t="shared" si="56"/>
        <v>#REF!</v>
      </c>
      <c r="V298" s="85" t="e">
        <f>#REF!</f>
        <v>#REF!</v>
      </c>
      <c r="W298" s="86">
        <f t="shared" si="57"/>
        <v>0</v>
      </c>
      <c r="X298" s="86">
        <f t="shared" si="57"/>
        <v>0</v>
      </c>
      <c r="Y298" s="87">
        <f t="shared" si="58"/>
        <v>0</v>
      </c>
      <c r="Z298" s="87">
        <f t="shared" si="59"/>
        <v>0</v>
      </c>
      <c r="AA298" s="87">
        <f t="shared" si="60"/>
        <v>4</v>
      </c>
    </row>
    <row r="299" spans="9:27">
      <c r="I299" s="81" t="e">
        <f>IF(#REF!&lt;&gt;"",#REF!,"")</f>
        <v>#REF!</v>
      </c>
      <c r="J299" s="81" t="e">
        <f t="shared" si="61"/>
        <v>#REF!</v>
      </c>
      <c r="L299" s="82" t="e">
        <f t="shared" si="62"/>
        <v>#REF!</v>
      </c>
      <c r="M299" s="81" t="e">
        <f t="shared" si="65"/>
        <v>#REF!</v>
      </c>
      <c r="N299" s="81" t="e">
        <f t="shared" si="63"/>
        <v>#REF!</v>
      </c>
      <c r="O299" s="81" t="e">
        <f t="shared" si="64"/>
        <v>#REF!</v>
      </c>
      <c r="Q299" s="83" t="str">
        <f t="shared" si="66"/>
        <v/>
      </c>
      <c r="R299" s="84" t="e">
        <f t="shared" si="54"/>
        <v>#REF!</v>
      </c>
      <c r="S299" s="83" t="e">
        <f t="shared" si="54"/>
        <v>#REF!</v>
      </c>
      <c r="T299" s="84" t="e">
        <f t="shared" si="55"/>
        <v>#REF!</v>
      </c>
      <c r="U299" s="84" t="e">
        <f t="shared" si="56"/>
        <v>#REF!</v>
      </c>
      <c r="V299" s="85" t="e">
        <f>#REF!</f>
        <v>#REF!</v>
      </c>
      <c r="W299" s="86">
        <f t="shared" si="57"/>
        <v>0</v>
      </c>
      <c r="X299" s="86">
        <f t="shared" si="57"/>
        <v>0</v>
      </c>
      <c r="Y299" s="87">
        <f t="shared" si="58"/>
        <v>0</v>
      </c>
      <c r="Z299" s="87">
        <f t="shared" si="59"/>
        <v>0</v>
      </c>
      <c r="AA299" s="87">
        <f t="shared" si="60"/>
        <v>4</v>
      </c>
    </row>
    <row r="300" spans="9:27">
      <c r="I300" s="81" t="e">
        <f>IF(#REF!&lt;&gt;"",#REF!,"")</f>
        <v>#REF!</v>
      </c>
      <c r="J300" s="81" t="e">
        <f t="shared" si="61"/>
        <v>#REF!</v>
      </c>
      <c r="L300" s="82" t="e">
        <f t="shared" si="62"/>
        <v>#REF!</v>
      </c>
      <c r="M300" s="81" t="e">
        <f t="shared" si="65"/>
        <v>#REF!</v>
      </c>
      <c r="N300" s="81" t="e">
        <f t="shared" si="63"/>
        <v>#REF!</v>
      </c>
      <c r="O300" s="81" t="e">
        <f t="shared" si="64"/>
        <v>#REF!</v>
      </c>
      <c r="Q300" s="83" t="str">
        <f t="shared" si="66"/>
        <v/>
      </c>
      <c r="R300" s="84" t="e">
        <f t="shared" si="54"/>
        <v>#REF!</v>
      </c>
      <c r="S300" s="83" t="e">
        <f t="shared" si="54"/>
        <v>#REF!</v>
      </c>
      <c r="T300" s="84" t="e">
        <f t="shared" si="55"/>
        <v>#REF!</v>
      </c>
      <c r="U300" s="84" t="e">
        <f t="shared" si="56"/>
        <v>#REF!</v>
      </c>
      <c r="V300" s="85" t="e">
        <f>#REF!</f>
        <v>#REF!</v>
      </c>
      <c r="W300" s="86">
        <f t="shared" si="57"/>
        <v>0</v>
      </c>
      <c r="X300" s="86">
        <f t="shared" si="57"/>
        <v>0</v>
      </c>
      <c r="Y300" s="87">
        <f t="shared" si="58"/>
        <v>0</v>
      </c>
      <c r="Z300" s="87">
        <f t="shared" si="59"/>
        <v>0</v>
      </c>
      <c r="AA300" s="87">
        <f t="shared" si="60"/>
        <v>4</v>
      </c>
    </row>
    <row r="301" spans="9:27">
      <c r="I301" s="81" t="e">
        <f>IF(#REF!&lt;&gt;"",#REF!,"")</f>
        <v>#REF!</v>
      </c>
      <c r="J301" s="81" t="e">
        <f t="shared" si="61"/>
        <v>#REF!</v>
      </c>
      <c r="L301" s="82" t="e">
        <f t="shared" si="62"/>
        <v>#REF!</v>
      </c>
      <c r="M301" s="81" t="e">
        <f t="shared" si="65"/>
        <v>#REF!</v>
      </c>
      <c r="N301" s="81" t="e">
        <f t="shared" si="63"/>
        <v>#REF!</v>
      </c>
      <c r="O301" s="81" t="e">
        <f t="shared" si="64"/>
        <v>#REF!</v>
      </c>
      <c r="Q301" s="83" t="str">
        <f t="shared" si="66"/>
        <v/>
      </c>
      <c r="R301" s="84" t="e">
        <f t="shared" si="54"/>
        <v>#REF!</v>
      </c>
      <c r="S301" s="83" t="e">
        <f t="shared" si="54"/>
        <v>#REF!</v>
      </c>
      <c r="T301" s="84" t="e">
        <f t="shared" si="55"/>
        <v>#REF!</v>
      </c>
      <c r="U301" s="84" t="e">
        <f t="shared" si="56"/>
        <v>#REF!</v>
      </c>
      <c r="V301" s="85" t="e">
        <f>#REF!</f>
        <v>#REF!</v>
      </c>
      <c r="W301" s="86">
        <f t="shared" si="57"/>
        <v>0</v>
      </c>
      <c r="X301" s="86">
        <f t="shared" si="57"/>
        <v>0</v>
      </c>
      <c r="Y301" s="87">
        <f t="shared" si="58"/>
        <v>0</v>
      </c>
      <c r="Z301" s="87">
        <f t="shared" si="59"/>
        <v>0</v>
      </c>
      <c r="AA301" s="87">
        <f t="shared" si="60"/>
        <v>4</v>
      </c>
    </row>
    <row r="302" spans="9:27">
      <c r="I302" s="81" t="e">
        <f>IF(#REF!&lt;&gt;"",#REF!,"")</f>
        <v>#REF!</v>
      </c>
      <c r="J302" s="81" t="e">
        <f t="shared" si="61"/>
        <v>#REF!</v>
      </c>
      <c r="L302" s="82" t="e">
        <f t="shared" si="62"/>
        <v>#REF!</v>
      </c>
      <c r="M302" s="81" t="e">
        <f t="shared" si="65"/>
        <v>#REF!</v>
      </c>
      <c r="N302" s="81" t="e">
        <f t="shared" si="63"/>
        <v>#REF!</v>
      </c>
      <c r="O302" s="81" t="e">
        <f t="shared" si="64"/>
        <v>#REF!</v>
      </c>
      <c r="Q302" s="83" t="str">
        <f t="shared" si="66"/>
        <v/>
      </c>
      <c r="R302" s="84" t="e">
        <f t="shared" si="54"/>
        <v>#REF!</v>
      </c>
      <c r="S302" s="83" t="e">
        <f t="shared" si="54"/>
        <v>#REF!</v>
      </c>
      <c r="T302" s="84" t="e">
        <f t="shared" si="55"/>
        <v>#REF!</v>
      </c>
      <c r="U302" s="84" t="e">
        <f t="shared" si="56"/>
        <v>#REF!</v>
      </c>
      <c r="V302" s="85" t="e">
        <f>#REF!</f>
        <v>#REF!</v>
      </c>
      <c r="W302" s="86">
        <f t="shared" si="57"/>
        <v>0</v>
      </c>
      <c r="X302" s="86">
        <f t="shared" si="57"/>
        <v>0</v>
      </c>
      <c r="Y302" s="87">
        <f t="shared" si="58"/>
        <v>0</v>
      </c>
      <c r="Z302" s="87">
        <f t="shared" si="59"/>
        <v>0</v>
      </c>
      <c r="AA302" s="87">
        <f t="shared" si="60"/>
        <v>4</v>
      </c>
    </row>
    <row r="303" spans="9:27">
      <c r="I303" s="81" t="e">
        <f>IF(#REF!&lt;&gt;"",#REF!,"")</f>
        <v>#REF!</v>
      </c>
      <c r="J303" s="81" t="e">
        <f t="shared" si="61"/>
        <v>#REF!</v>
      </c>
      <c r="L303" s="82" t="e">
        <f t="shared" si="62"/>
        <v>#REF!</v>
      </c>
      <c r="M303" s="81" t="e">
        <f t="shared" si="65"/>
        <v>#REF!</v>
      </c>
      <c r="N303" s="81" t="e">
        <f t="shared" si="63"/>
        <v>#REF!</v>
      </c>
      <c r="O303" s="81" t="e">
        <f t="shared" si="64"/>
        <v>#REF!</v>
      </c>
      <c r="Q303" s="83" t="str">
        <f t="shared" si="66"/>
        <v/>
      </c>
      <c r="R303" s="84" t="e">
        <f t="shared" si="54"/>
        <v>#REF!</v>
      </c>
      <c r="S303" s="83" t="e">
        <f t="shared" si="54"/>
        <v>#REF!</v>
      </c>
      <c r="T303" s="84" t="e">
        <f t="shared" si="55"/>
        <v>#REF!</v>
      </c>
      <c r="U303" s="84" t="e">
        <f t="shared" si="56"/>
        <v>#REF!</v>
      </c>
      <c r="V303" s="85" t="e">
        <f>#REF!</f>
        <v>#REF!</v>
      </c>
      <c r="W303" s="86">
        <f t="shared" si="57"/>
        <v>0</v>
      </c>
      <c r="X303" s="86">
        <f t="shared" si="57"/>
        <v>0</v>
      </c>
      <c r="Y303" s="87">
        <f t="shared" si="58"/>
        <v>0</v>
      </c>
      <c r="Z303" s="87">
        <f t="shared" si="59"/>
        <v>0</v>
      </c>
      <c r="AA303" s="87">
        <f t="shared" si="60"/>
        <v>4</v>
      </c>
    </row>
    <row r="304" spans="9:27">
      <c r="I304" s="81" t="e">
        <f>IF(#REF!&lt;&gt;"",#REF!,"")</f>
        <v>#REF!</v>
      </c>
      <c r="J304" s="81" t="e">
        <f t="shared" si="61"/>
        <v>#REF!</v>
      </c>
      <c r="L304" s="82" t="e">
        <f t="shared" si="62"/>
        <v>#REF!</v>
      </c>
      <c r="M304" s="81" t="e">
        <f t="shared" si="65"/>
        <v>#REF!</v>
      </c>
      <c r="N304" s="81" t="e">
        <f t="shared" si="63"/>
        <v>#REF!</v>
      </c>
      <c r="O304" s="81" t="e">
        <f t="shared" si="64"/>
        <v>#REF!</v>
      </c>
      <c r="Q304" s="83" t="str">
        <f t="shared" si="66"/>
        <v/>
      </c>
      <c r="R304" s="84" t="e">
        <f t="shared" si="54"/>
        <v>#REF!</v>
      </c>
      <c r="S304" s="83" t="e">
        <f t="shared" si="54"/>
        <v>#REF!</v>
      </c>
      <c r="T304" s="84" t="e">
        <f t="shared" si="55"/>
        <v>#REF!</v>
      </c>
      <c r="U304" s="84" t="e">
        <f t="shared" si="56"/>
        <v>#REF!</v>
      </c>
      <c r="V304" s="85" t="e">
        <f>#REF!</f>
        <v>#REF!</v>
      </c>
      <c r="W304" s="86">
        <f t="shared" si="57"/>
        <v>0</v>
      </c>
      <c r="X304" s="86">
        <f t="shared" si="57"/>
        <v>0</v>
      </c>
      <c r="Y304" s="87">
        <f t="shared" si="58"/>
        <v>0</v>
      </c>
      <c r="Z304" s="87">
        <f t="shared" si="59"/>
        <v>0</v>
      </c>
      <c r="AA304" s="87">
        <f t="shared" si="60"/>
        <v>4</v>
      </c>
    </row>
    <row r="305" spans="9:27">
      <c r="I305" s="81" t="e">
        <f>IF(#REF!&lt;&gt;"",#REF!,"")</f>
        <v>#REF!</v>
      </c>
      <c r="J305" s="81" t="e">
        <f t="shared" si="61"/>
        <v>#REF!</v>
      </c>
      <c r="L305" s="82" t="e">
        <f t="shared" si="62"/>
        <v>#REF!</v>
      </c>
      <c r="M305" s="81" t="e">
        <f t="shared" si="65"/>
        <v>#REF!</v>
      </c>
      <c r="N305" s="81" t="e">
        <f t="shared" si="63"/>
        <v>#REF!</v>
      </c>
      <c r="O305" s="81" t="e">
        <f t="shared" si="64"/>
        <v>#REF!</v>
      </c>
      <c r="Q305" s="83" t="str">
        <f t="shared" si="66"/>
        <v/>
      </c>
      <c r="R305" s="84" t="e">
        <f t="shared" si="54"/>
        <v>#REF!</v>
      </c>
      <c r="S305" s="83" t="e">
        <f t="shared" si="54"/>
        <v>#REF!</v>
      </c>
      <c r="T305" s="84" t="e">
        <f t="shared" si="55"/>
        <v>#REF!</v>
      </c>
      <c r="U305" s="84" t="e">
        <f t="shared" si="56"/>
        <v>#REF!</v>
      </c>
      <c r="V305" s="85" t="e">
        <f>#REF!</f>
        <v>#REF!</v>
      </c>
      <c r="W305" s="86">
        <f t="shared" si="57"/>
        <v>0</v>
      </c>
      <c r="X305" s="86">
        <f t="shared" si="57"/>
        <v>0</v>
      </c>
      <c r="Y305" s="87">
        <f t="shared" si="58"/>
        <v>0</v>
      </c>
      <c r="Z305" s="87">
        <f t="shared" si="59"/>
        <v>0</v>
      </c>
      <c r="AA305" s="87">
        <f t="shared" si="60"/>
        <v>4</v>
      </c>
    </row>
    <row r="306" spans="9:27">
      <c r="I306" s="81" t="e">
        <f>IF(#REF!&lt;&gt;"",#REF!,"")</f>
        <v>#REF!</v>
      </c>
      <c r="J306" s="81" t="e">
        <f t="shared" si="61"/>
        <v>#REF!</v>
      </c>
      <c r="L306" s="82" t="e">
        <f t="shared" si="62"/>
        <v>#REF!</v>
      </c>
      <c r="M306" s="81" t="e">
        <f t="shared" si="65"/>
        <v>#REF!</v>
      </c>
      <c r="N306" s="81" t="e">
        <f t="shared" si="63"/>
        <v>#REF!</v>
      </c>
      <c r="O306" s="81" t="e">
        <f t="shared" si="64"/>
        <v>#REF!</v>
      </c>
      <c r="Q306" s="83" t="str">
        <f t="shared" si="66"/>
        <v/>
      </c>
      <c r="R306" s="84" t="e">
        <f t="shared" si="54"/>
        <v>#REF!</v>
      </c>
      <c r="S306" s="83" t="e">
        <f t="shared" si="54"/>
        <v>#REF!</v>
      </c>
      <c r="T306" s="84" t="e">
        <f t="shared" si="55"/>
        <v>#REF!</v>
      </c>
      <c r="U306" s="84" t="e">
        <f t="shared" si="56"/>
        <v>#REF!</v>
      </c>
      <c r="V306" s="85" t="e">
        <f>#REF!</f>
        <v>#REF!</v>
      </c>
      <c r="W306" s="86">
        <f t="shared" si="57"/>
        <v>0</v>
      </c>
      <c r="X306" s="86">
        <f t="shared" si="57"/>
        <v>0</v>
      </c>
      <c r="Y306" s="87">
        <f t="shared" si="58"/>
        <v>0</v>
      </c>
      <c r="Z306" s="87">
        <f t="shared" si="59"/>
        <v>0</v>
      </c>
      <c r="AA306" s="87">
        <f t="shared" si="60"/>
        <v>4</v>
      </c>
    </row>
    <row r="307" spans="9:27">
      <c r="I307" s="81" t="e">
        <f>IF(#REF!&lt;&gt;"",#REF!,"")</f>
        <v>#REF!</v>
      </c>
      <c r="J307" s="81" t="e">
        <f t="shared" si="61"/>
        <v>#REF!</v>
      </c>
      <c r="L307" s="82" t="e">
        <f t="shared" si="62"/>
        <v>#REF!</v>
      </c>
      <c r="M307" s="81" t="e">
        <f t="shared" si="65"/>
        <v>#REF!</v>
      </c>
      <c r="N307" s="81" t="e">
        <f t="shared" si="63"/>
        <v>#REF!</v>
      </c>
      <c r="O307" s="81" t="e">
        <f t="shared" si="64"/>
        <v>#REF!</v>
      </c>
      <c r="Q307" s="83" t="str">
        <f t="shared" si="66"/>
        <v/>
      </c>
      <c r="R307" s="84" t="e">
        <f t="shared" si="54"/>
        <v>#REF!</v>
      </c>
      <c r="S307" s="83" t="e">
        <f t="shared" si="54"/>
        <v>#REF!</v>
      </c>
      <c r="T307" s="84" t="e">
        <f t="shared" si="55"/>
        <v>#REF!</v>
      </c>
      <c r="U307" s="84" t="e">
        <f t="shared" si="56"/>
        <v>#REF!</v>
      </c>
      <c r="V307" s="85" t="e">
        <f>#REF!</f>
        <v>#REF!</v>
      </c>
      <c r="W307" s="86">
        <f t="shared" si="57"/>
        <v>0</v>
      </c>
      <c r="X307" s="86">
        <f t="shared" si="57"/>
        <v>0</v>
      </c>
      <c r="Y307" s="87">
        <f t="shared" si="58"/>
        <v>0</v>
      </c>
      <c r="Z307" s="87">
        <f t="shared" si="59"/>
        <v>0</v>
      </c>
      <c r="AA307" s="87">
        <f t="shared" si="60"/>
        <v>4</v>
      </c>
    </row>
    <row r="308" spans="9:27">
      <c r="I308" s="81" t="e">
        <f>IF(#REF!&lt;&gt;"",#REF!,"")</f>
        <v>#REF!</v>
      </c>
      <c r="J308" s="81" t="e">
        <f t="shared" si="61"/>
        <v>#REF!</v>
      </c>
      <c r="L308" s="82" t="e">
        <f t="shared" si="62"/>
        <v>#REF!</v>
      </c>
      <c r="M308" s="81" t="e">
        <f t="shared" si="65"/>
        <v>#REF!</v>
      </c>
      <c r="N308" s="81" t="e">
        <f t="shared" si="63"/>
        <v>#REF!</v>
      </c>
      <c r="O308" s="81" t="e">
        <f t="shared" si="64"/>
        <v>#REF!</v>
      </c>
      <c r="Q308" s="83" t="str">
        <f t="shared" si="66"/>
        <v/>
      </c>
      <c r="R308" s="84" t="e">
        <f t="shared" si="54"/>
        <v>#REF!</v>
      </c>
      <c r="S308" s="83" t="e">
        <f t="shared" si="54"/>
        <v>#REF!</v>
      </c>
      <c r="T308" s="84" t="e">
        <f t="shared" si="55"/>
        <v>#REF!</v>
      </c>
      <c r="U308" s="84" t="e">
        <f t="shared" si="56"/>
        <v>#REF!</v>
      </c>
      <c r="V308" s="85" t="e">
        <f>#REF!</f>
        <v>#REF!</v>
      </c>
      <c r="W308" s="86">
        <f t="shared" si="57"/>
        <v>0</v>
      </c>
      <c r="X308" s="86">
        <f t="shared" si="57"/>
        <v>0</v>
      </c>
      <c r="Y308" s="87">
        <f t="shared" si="58"/>
        <v>0</v>
      </c>
      <c r="Z308" s="87">
        <f t="shared" si="59"/>
        <v>0</v>
      </c>
      <c r="AA308" s="87">
        <f t="shared" si="60"/>
        <v>4</v>
      </c>
    </row>
    <row r="309" spans="9:27">
      <c r="I309" s="81" t="e">
        <f>IF(#REF!&lt;&gt;"",#REF!,"")</f>
        <v>#REF!</v>
      </c>
      <c r="J309" s="81" t="e">
        <f t="shared" si="61"/>
        <v>#REF!</v>
      </c>
      <c r="L309" s="82" t="e">
        <f t="shared" si="62"/>
        <v>#REF!</v>
      </c>
      <c r="M309" s="81" t="e">
        <f t="shared" si="65"/>
        <v>#REF!</v>
      </c>
      <c r="N309" s="81" t="e">
        <f t="shared" si="63"/>
        <v>#REF!</v>
      </c>
      <c r="O309" s="81" t="e">
        <f t="shared" si="64"/>
        <v>#REF!</v>
      </c>
      <c r="Q309" s="83" t="str">
        <f t="shared" si="66"/>
        <v/>
      </c>
      <c r="R309" s="84" t="e">
        <f t="shared" si="54"/>
        <v>#REF!</v>
      </c>
      <c r="S309" s="83" t="e">
        <f t="shared" si="54"/>
        <v>#REF!</v>
      </c>
      <c r="T309" s="84" t="e">
        <f t="shared" si="55"/>
        <v>#REF!</v>
      </c>
      <c r="U309" s="84" t="e">
        <f t="shared" si="56"/>
        <v>#REF!</v>
      </c>
      <c r="V309" s="85" t="e">
        <f>#REF!</f>
        <v>#REF!</v>
      </c>
      <c r="W309" s="86">
        <f t="shared" si="57"/>
        <v>0</v>
      </c>
      <c r="X309" s="86">
        <f t="shared" si="57"/>
        <v>0</v>
      </c>
      <c r="Y309" s="87">
        <f t="shared" si="58"/>
        <v>0</v>
      </c>
      <c r="Z309" s="87">
        <f t="shared" si="59"/>
        <v>0</v>
      </c>
      <c r="AA309" s="87">
        <f t="shared" si="60"/>
        <v>4</v>
      </c>
    </row>
    <row r="310" spans="9:27">
      <c r="I310" s="81" t="e">
        <f>IF(#REF!&lt;&gt;"",#REF!,"")</f>
        <v>#REF!</v>
      </c>
      <c r="J310" s="81" t="e">
        <f t="shared" si="61"/>
        <v>#REF!</v>
      </c>
      <c r="L310" s="82" t="e">
        <f t="shared" si="62"/>
        <v>#REF!</v>
      </c>
      <c r="M310" s="81" t="e">
        <f t="shared" si="65"/>
        <v>#REF!</v>
      </c>
      <c r="N310" s="81" t="e">
        <f t="shared" si="63"/>
        <v>#REF!</v>
      </c>
      <c r="O310" s="81" t="e">
        <f t="shared" si="64"/>
        <v>#REF!</v>
      </c>
      <c r="Q310" s="83" t="str">
        <f t="shared" si="66"/>
        <v/>
      </c>
      <c r="R310" s="84" t="e">
        <f t="shared" si="54"/>
        <v>#REF!</v>
      </c>
      <c r="S310" s="83" t="e">
        <f t="shared" si="54"/>
        <v>#REF!</v>
      </c>
      <c r="T310" s="84" t="e">
        <f t="shared" si="55"/>
        <v>#REF!</v>
      </c>
      <c r="U310" s="84" t="e">
        <f t="shared" si="56"/>
        <v>#REF!</v>
      </c>
      <c r="V310" s="85" t="e">
        <f>#REF!</f>
        <v>#REF!</v>
      </c>
      <c r="W310" s="86">
        <f t="shared" si="57"/>
        <v>0</v>
      </c>
      <c r="X310" s="86">
        <f t="shared" si="57"/>
        <v>0</v>
      </c>
      <c r="Y310" s="87">
        <f t="shared" si="58"/>
        <v>0</v>
      </c>
      <c r="Z310" s="87">
        <f t="shared" si="59"/>
        <v>0</v>
      </c>
      <c r="AA310" s="87">
        <f t="shared" si="60"/>
        <v>4</v>
      </c>
    </row>
    <row r="311" spans="9:27">
      <c r="I311" s="81" t="e">
        <f>IF(#REF!&lt;&gt;"",#REF!,"")</f>
        <v>#REF!</v>
      </c>
      <c r="J311" s="81" t="e">
        <f t="shared" si="61"/>
        <v>#REF!</v>
      </c>
      <c r="L311" s="82" t="e">
        <f t="shared" si="62"/>
        <v>#REF!</v>
      </c>
      <c r="M311" s="81" t="e">
        <f t="shared" si="65"/>
        <v>#REF!</v>
      </c>
      <c r="N311" s="81" t="e">
        <f t="shared" si="63"/>
        <v>#REF!</v>
      </c>
      <c r="O311" s="81" t="e">
        <f t="shared" si="64"/>
        <v>#REF!</v>
      </c>
      <c r="Q311" s="83" t="str">
        <f t="shared" si="66"/>
        <v/>
      </c>
      <c r="R311" s="84" t="e">
        <f t="shared" si="54"/>
        <v>#REF!</v>
      </c>
      <c r="S311" s="83" t="e">
        <f t="shared" si="54"/>
        <v>#REF!</v>
      </c>
      <c r="T311" s="84" t="e">
        <f t="shared" si="55"/>
        <v>#REF!</v>
      </c>
      <c r="U311" s="84" t="e">
        <f t="shared" si="56"/>
        <v>#REF!</v>
      </c>
      <c r="V311" s="85" t="e">
        <f>#REF!</f>
        <v>#REF!</v>
      </c>
      <c r="W311" s="86">
        <f t="shared" si="57"/>
        <v>0</v>
      </c>
      <c r="X311" s="86">
        <f t="shared" si="57"/>
        <v>0</v>
      </c>
      <c r="Y311" s="87">
        <f t="shared" si="58"/>
        <v>0</v>
      </c>
      <c r="Z311" s="87">
        <f t="shared" si="59"/>
        <v>0</v>
      </c>
      <c r="AA311" s="87">
        <f t="shared" si="60"/>
        <v>4</v>
      </c>
    </row>
    <row r="312" spans="9:27">
      <c r="I312" s="81" t="e">
        <f>IF(#REF!&lt;&gt;"",#REF!,"")</f>
        <v>#REF!</v>
      </c>
      <c r="J312" s="81" t="e">
        <f t="shared" si="61"/>
        <v>#REF!</v>
      </c>
      <c r="L312" s="82" t="e">
        <f t="shared" si="62"/>
        <v>#REF!</v>
      </c>
      <c r="M312" s="81" t="e">
        <f t="shared" si="65"/>
        <v>#REF!</v>
      </c>
      <c r="N312" s="81" t="e">
        <f t="shared" si="63"/>
        <v>#REF!</v>
      </c>
      <c r="O312" s="81" t="e">
        <f t="shared" si="64"/>
        <v>#REF!</v>
      </c>
      <c r="Q312" s="83" t="str">
        <f t="shared" si="66"/>
        <v/>
      </c>
      <c r="R312" s="84" t="e">
        <f t="shared" si="54"/>
        <v>#REF!</v>
      </c>
      <c r="S312" s="83" t="e">
        <f t="shared" si="54"/>
        <v>#REF!</v>
      </c>
      <c r="T312" s="84" t="e">
        <f t="shared" si="55"/>
        <v>#REF!</v>
      </c>
      <c r="U312" s="84" t="e">
        <f t="shared" si="56"/>
        <v>#REF!</v>
      </c>
      <c r="V312" s="85" t="e">
        <f>#REF!</f>
        <v>#REF!</v>
      </c>
      <c r="W312" s="86">
        <f t="shared" si="57"/>
        <v>0</v>
      </c>
      <c r="X312" s="86">
        <f t="shared" si="57"/>
        <v>0</v>
      </c>
      <c r="Y312" s="87">
        <f t="shared" si="58"/>
        <v>0</v>
      </c>
      <c r="Z312" s="87">
        <f t="shared" si="59"/>
        <v>0</v>
      </c>
      <c r="AA312" s="87">
        <f t="shared" si="60"/>
        <v>4</v>
      </c>
    </row>
    <row r="313" spans="9:27">
      <c r="I313" s="81" t="e">
        <f>IF(#REF!&lt;&gt;"",#REF!,"")</f>
        <v>#REF!</v>
      </c>
      <c r="J313" s="81" t="e">
        <f t="shared" si="61"/>
        <v>#REF!</v>
      </c>
      <c r="L313" s="82" t="e">
        <f t="shared" si="62"/>
        <v>#REF!</v>
      </c>
      <c r="M313" s="81" t="e">
        <f t="shared" si="65"/>
        <v>#REF!</v>
      </c>
      <c r="N313" s="81" t="e">
        <f t="shared" si="63"/>
        <v>#REF!</v>
      </c>
      <c r="O313" s="81" t="e">
        <f t="shared" si="64"/>
        <v>#REF!</v>
      </c>
      <c r="Q313" s="83" t="str">
        <f t="shared" si="66"/>
        <v/>
      </c>
      <c r="R313" s="84" t="e">
        <f t="shared" si="54"/>
        <v>#REF!</v>
      </c>
      <c r="S313" s="83" t="e">
        <f t="shared" si="54"/>
        <v>#REF!</v>
      </c>
      <c r="T313" s="84" t="e">
        <f t="shared" si="55"/>
        <v>#REF!</v>
      </c>
      <c r="U313" s="84" t="e">
        <f t="shared" si="56"/>
        <v>#REF!</v>
      </c>
      <c r="V313" s="85" t="e">
        <f>#REF!</f>
        <v>#REF!</v>
      </c>
      <c r="W313" s="86">
        <f t="shared" si="57"/>
        <v>0</v>
      </c>
      <c r="X313" s="86">
        <f t="shared" si="57"/>
        <v>0</v>
      </c>
      <c r="Y313" s="87">
        <f t="shared" si="58"/>
        <v>0</v>
      </c>
      <c r="Z313" s="87">
        <f t="shared" si="59"/>
        <v>0</v>
      </c>
      <c r="AA313" s="87">
        <f t="shared" si="60"/>
        <v>4</v>
      </c>
    </row>
    <row r="314" spans="9:27">
      <c r="I314" s="81" t="e">
        <f>IF(#REF!&lt;&gt;"",#REF!,"")</f>
        <v>#REF!</v>
      </c>
      <c r="J314" s="81" t="e">
        <f t="shared" si="61"/>
        <v>#REF!</v>
      </c>
      <c r="L314" s="82" t="e">
        <f t="shared" si="62"/>
        <v>#REF!</v>
      </c>
      <c r="M314" s="81" t="e">
        <f t="shared" si="65"/>
        <v>#REF!</v>
      </c>
      <c r="N314" s="81" t="e">
        <f t="shared" si="63"/>
        <v>#REF!</v>
      </c>
      <c r="O314" s="81" t="e">
        <f t="shared" si="64"/>
        <v>#REF!</v>
      </c>
      <c r="Q314" s="83" t="str">
        <f t="shared" si="66"/>
        <v/>
      </c>
      <c r="R314" s="84" t="e">
        <f t="shared" si="54"/>
        <v>#REF!</v>
      </c>
      <c r="S314" s="83" t="e">
        <f t="shared" si="54"/>
        <v>#REF!</v>
      </c>
      <c r="T314" s="84" t="e">
        <f t="shared" si="55"/>
        <v>#REF!</v>
      </c>
      <c r="U314" s="84" t="e">
        <f t="shared" si="56"/>
        <v>#REF!</v>
      </c>
      <c r="V314" s="85" t="e">
        <f>#REF!</f>
        <v>#REF!</v>
      </c>
      <c r="W314" s="86">
        <f t="shared" si="57"/>
        <v>0</v>
      </c>
      <c r="X314" s="86">
        <f t="shared" si="57"/>
        <v>0</v>
      </c>
      <c r="Y314" s="87">
        <f t="shared" si="58"/>
        <v>0</v>
      </c>
      <c r="Z314" s="87">
        <f t="shared" si="59"/>
        <v>0</v>
      </c>
      <c r="AA314" s="87">
        <f t="shared" si="60"/>
        <v>4</v>
      </c>
    </row>
    <row r="315" spans="9:27">
      <c r="I315" s="81" t="e">
        <f>IF(#REF!&lt;&gt;"",#REF!,"")</f>
        <v>#REF!</v>
      </c>
      <c r="J315" s="81" t="e">
        <f t="shared" si="61"/>
        <v>#REF!</v>
      </c>
      <c r="L315" s="82" t="e">
        <f t="shared" si="62"/>
        <v>#REF!</v>
      </c>
      <c r="M315" s="81" t="e">
        <f t="shared" si="65"/>
        <v>#REF!</v>
      </c>
      <c r="N315" s="81" t="e">
        <f t="shared" si="63"/>
        <v>#REF!</v>
      </c>
      <c r="O315" s="81" t="e">
        <f t="shared" si="64"/>
        <v>#REF!</v>
      </c>
      <c r="Q315" s="83" t="str">
        <f t="shared" si="66"/>
        <v/>
      </c>
      <c r="R315" s="84" t="e">
        <f t="shared" si="54"/>
        <v>#REF!</v>
      </c>
      <c r="S315" s="83" t="e">
        <f t="shared" si="54"/>
        <v>#REF!</v>
      </c>
      <c r="T315" s="84" t="e">
        <f t="shared" si="55"/>
        <v>#REF!</v>
      </c>
      <c r="U315" s="84" t="e">
        <f t="shared" si="56"/>
        <v>#REF!</v>
      </c>
      <c r="V315" s="85" t="e">
        <f>#REF!</f>
        <v>#REF!</v>
      </c>
      <c r="W315" s="86">
        <f t="shared" si="57"/>
        <v>0</v>
      </c>
      <c r="X315" s="86">
        <f t="shared" si="57"/>
        <v>0</v>
      </c>
      <c r="Y315" s="87">
        <f t="shared" si="58"/>
        <v>0</v>
      </c>
      <c r="Z315" s="87">
        <f t="shared" si="59"/>
        <v>0</v>
      </c>
      <c r="AA315" s="87">
        <f t="shared" si="60"/>
        <v>4</v>
      </c>
    </row>
    <row r="316" spans="9:27">
      <c r="I316" s="81" t="e">
        <f>IF(#REF!&lt;&gt;"",#REF!,"")</f>
        <v>#REF!</v>
      </c>
      <c r="J316" s="81" t="e">
        <f t="shared" si="61"/>
        <v>#REF!</v>
      </c>
      <c r="L316" s="82" t="e">
        <f t="shared" si="62"/>
        <v>#REF!</v>
      </c>
      <c r="M316" s="81" t="e">
        <f t="shared" si="65"/>
        <v>#REF!</v>
      </c>
      <c r="N316" s="81" t="e">
        <f t="shared" si="63"/>
        <v>#REF!</v>
      </c>
      <c r="O316" s="81" t="e">
        <f t="shared" si="64"/>
        <v>#REF!</v>
      </c>
      <c r="Q316" s="83" t="str">
        <f t="shared" si="66"/>
        <v/>
      </c>
      <c r="R316" s="84" t="e">
        <f t="shared" si="54"/>
        <v>#REF!</v>
      </c>
      <c r="S316" s="83" t="e">
        <f t="shared" si="54"/>
        <v>#REF!</v>
      </c>
      <c r="T316" s="84" t="e">
        <f t="shared" si="55"/>
        <v>#REF!</v>
      </c>
      <c r="U316" s="84" t="e">
        <f t="shared" si="56"/>
        <v>#REF!</v>
      </c>
      <c r="V316" s="85" t="e">
        <f>#REF!</f>
        <v>#REF!</v>
      </c>
      <c r="W316" s="86">
        <f t="shared" si="57"/>
        <v>0</v>
      </c>
      <c r="X316" s="86">
        <f t="shared" si="57"/>
        <v>0</v>
      </c>
      <c r="Y316" s="87">
        <f t="shared" si="58"/>
        <v>0</v>
      </c>
      <c r="Z316" s="87">
        <f t="shared" si="59"/>
        <v>0</v>
      </c>
      <c r="AA316" s="87">
        <f t="shared" si="60"/>
        <v>4</v>
      </c>
    </row>
    <row r="317" spans="9:27">
      <c r="I317" s="81" t="e">
        <f>IF(#REF!&lt;&gt;"",#REF!,"")</f>
        <v>#REF!</v>
      </c>
      <c r="J317" s="81" t="e">
        <f t="shared" si="61"/>
        <v>#REF!</v>
      </c>
      <c r="L317" s="82" t="e">
        <f t="shared" si="62"/>
        <v>#REF!</v>
      </c>
      <c r="M317" s="81" t="e">
        <f t="shared" si="65"/>
        <v>#REF!</v>
      </c>
      <c r="N317" s="81" t="e">
        <f t="shared" si="63"/>
        <v>#REF!</v>
      </c>
      <c r="O317" s="81" t="e">
        <f t="shared" si="64"/>
        <v>#REF!</v>
      </c>
      <c r="Q317" s="83" t="str">
        <f t="shared" si="66"/>
        <v/>
      </c>
      <c r="R317" s="84" t="e">
        <f t="shared" si="54"/>
        <v>#REF!</v>
      </c>
      <c r="S317" s="83" t="e">
        <f t="shared" si="54"/>
        <v>#REF!</v>
      </c>
      <c r="T317" s="84" t="e">
        <f t="shared" si="55"/>
        <v>#REF!</v>
      </c>
      <c r="U317" s="84" t="e">
        <f t="shared" si="56"/>
        <v>#REF!</v>
      </c>
      <c r="V317" s="85" t="e">
        <f>#REF!</f>
        <v>#REF!</v>
      </c>
      <c r="W317" s="86">
        <f t="shared" si="57"/>
        <v>0</v>
      </c>
      <c r="X317" s="86">
        <f t="shared" si="57"/>
        <v>0</v>
      </c>
      <c r="Y317" s="87">
        <f t="shared" si="58"/>
        <v>0</v>
      </c>
      <c r="Z317" s="87">
        <f t="shared" si="59"/>
        <v>0</v>
      </c>
      <c r="AA317" s="87">
        <f t="shared" si="60"/>
        <v>4</v>
      </c>
    </row>
    <row r="318" spans="9:27">
      <c r="I318" s="81" t="e">
        <f>IF(#REF!&lt;&gt;"",#REF!,"")</f>
        <v>#REF!</v>
      </c>
      <c r="J318" s="81" t="e">
        <f t="shared" si="61"/>
        <v>#REF!</v>
      </c>
      <c r="L318" s="82" t="e">
        <f t="shared" si="62"/>
        <v>#REF!</v>
      </c>
      <c r="M318" s="81" t="e">
        <f t="shared" si="65"/>
        <v>#REF!</v>
      </c>
      <c r="N318" s="81" t="e">
        <f t="shared" si="63"/>
        <v>#REF!</v>
      </c>
      <c r="O318" s="81" t="e">
        <f t="shared" si="64"/>
        <v>#REF!</v>
      </c>
      <c r="Q318" s="83" t="str">
        <f t="shared" si="66"/>
        <v/>
      </c>
      <c r="R318" s="84" t="e">
        <f t="shared" si="54"/>
        <v>#REF!</v>
      </c>
      <c r="S318" s="83" t="e">
        <f t="shared" si="54"/>
        <v>#REF!</v>
      </c>
      <c r="T318" s="84" t="e">
        <f t="shared" si="55"/>
        <v>#REF!</v>
      </c>
      <c r="U318" s="84" t="e">
        <f t="shared" si="56"/>
        <v>#REF!</v>
      </c>
      <c r="V318" s="85" t="e">
        <f>#REF!</f>
        <v>#REF!</v>
      </c>
      <c r="W318" s="86">
        <f t="shared" si="57"/>
        <v>0</v>
      </c>
      <c r="X318" s="86">
        <f t="shared" si="57"/>
        <v>0</v>
      </c>
      <c r="Y318" s="87">
        <f t="shared" si="58"/>
        <v>0</v>
      </c>
      <c r="Z318" s="87">
        <f t="shared" si="59"/>
        <v>0</v>
      </c>
      <c r="AA318" s="87">
        <f t="shared" si="60"/>
        <v>4</v>
      </c>
    </row>
    <row r="319" spans="9:27">
      <c r="I319" s="81" t="e">
        <f>IF(#REF!&lt;&gt;"",#REF!,"")</f>
        <v>#REF!</v>
      </c>
      <c r="J319" s="81" t="e">
        <f t="shared" si="61"/>
        <v>#REF!</v>
      </c>
      <c r="L319" s="82" t="e">
        <f t="shared" si="62"/>
        <v>#REF!</v>
      </c>
      <c r="M319" s="81" t="e">
        <f t="shared" si="65"/>
        <v>#REF!</v>
      </c>
      <c r="N319" s="81" t="e">
        <f t="shared" si="63"/>
        <v>#REF!</v>
      </c>
      <c r="O319" s="81" t="e">
        <f t="shared" si="64"/>
        <v>#REF!</v>
      </c>
      <c r="Q319" s="83" t="str">
        <f t="shared" si="66"/>
        <v/>
      </c>
      <c r="R319" s="84" t="e">
        <f t="shared" si="54"/>
        <v>#REF!</v>
      </c>
      <c r="S319" s="83" t="e">
        <f t="shared" si="54"/>
        <v>#REF!</v>
      </c>
      <c r="T319" s="84" t="e">
        <f t="shared" si="55"/>
        <v>#REF!</v>
      </c>
      <c r="U319" s="84" t="e">
        <f t="shared" si="56"/>
        <v>#REF!</v>
      </c>
      <c r="V319" s="85" t="e">
        <f>#REF!</f>
        <v>#REF!</v>
      </c>
      <c r="W319" s="86">
        <f t="shared" si="57"/>
        <v>0</v>
      </c>
      <c r="X319" s="86">
        <f t="shared" si="57"/>
        <v>0</v>
      </c>
      <c r="Y319" s="87">
        <f t="shared" si="58"/>
        <v>0</v>
      </c>
      <c r="Z319" s="87">
        <f t="shared" si="59"/>
        <v>0</v>
      </c>
      <c r="AA319" s="87">
        <f t="shared" si="60"/>
        <v>4</v>
      </c>
    </row>
    <row r="320" spans="9:27">
      <c r="I320" s="81" t="e">
        <f>IF(#REF!&lt;&gt;"",#REF!,"")</f>
        <v>#REF!</v>
      </c>
      <c r="J320" s="81" t="e">
        <f t="shared" si="61"/>
        <v>#REF!</v>
      </c>
      <c r="L320" s="82" t="e">
        <f t="shared" si="62"/>
        <v>#REF!</v>
      </c>
      <c r="M320" s="81" t="e">
        <f t="shared" si="65"/>
        <v>#REF!</v>
      </c>
      <c r="N320" s="81" t="e">
        <f t="shared" si="63"/>
        <v>#REF!</v>
      </c>
      <c r="O320" s="81" t="e">
        <f t="shared" si="64"/>
        <v>#REF!</v>
      </c>
      <c r="Q320" s="83" t="str">
        <f t="shared" si="66"/>
        <v/>
      </c>
      <c r="R320" s="84" t="e">
        <f t="shared" ref="R320:S383" si="67">IF(L320="","",L320)</f>
        <v>#REF!</v>
      </c>
      <c r="S320" s="83" t="e">
        <f t="shared" si="67"/>
        <v>#REF!</v>
      </c>
      <c r="T320" s="84" t="e">
        <f t="shared" ref="T320:T383" si="68">IF(W320=1,"",N320)</f>
        <v>#REF!</v>
      </c>
      <c r="U320" s="84" t="e">
        <f t="shared" ref="U320:U383" si="69">IF(OR(W320=1,X320=1),"",O320)</f>
        <v>#REF!</v>
      </c>
      <c r="V320" s="85" t="e">
        <f>#REF!</f>
        <v>#REF!</v>
      </c>
      <c r="W320" s="86">
        <f t="shared" si="57"/>
        <v>0</v>
      </c>
      <c r="X320" s="86">
        <f t="shared" si="57"/>
        <v>0</v>
      </c>
      <c r="Y320" s="87">
        <f t="shared" si="58"/>
        <v>0</v>
      </c>
      <c r="Z320" s="87">
        <f t="shared" si="59"/>
        <v>0</v>
      </c>
      <c r="AA320" s="87">
        <f t="shared" si="60"/>
        <v>4</v>
      </c>
    </row>
    <row r="321" spans="9:27">
      <c r="I321" s="81" t="e">
        <f>IF(#REF!&lt;&gt;"",#REF!,"")</f>
        <v>#REF!</v>
      </c>
      <c r="J321" s="81" t="e">
        <f t="shared" si="61"/>
        <v>#REF!</v>
      </c>
      <c r="L321" s="82" t="e">
        <f t="shared" si="62"/>
        <v>#REF!</v>
      </c>
      <c r="M321" s="81" t="e">
        <f t="shared" si="65"/>
        <v>#REF!</v>
      </c>
      <c r="N321" s="81" t="e">
        <f t="shared" si="63"/>
        <v>#REF!</v>
      </c>
      <c r="O321" s="81" t="e">
        <f t="shared" si="64"/>
        <v>#REF!</v>
      </c>
      <c r="Q321" s="83" t="str">
        <f t="shared" si="66"/>
        <v/>
      </c>
      <c r="R321" s="84" t="e">
        <f t="shared" si="67"/>
        <v>#REF!</v>
      </c>
      <c r="S321" s="83" t="e">
        <f t="shared" si="67"/>
        <v>#REF!</v>
      </c>
      <c r="T321" s="84" t="e">
        <f t="shared" si="68"/>
        <v>#REF!</v>
      </c>
      <c r="U321" s="84" t="e">
        <f t="shared" si="69"/>
        <v>#REF!</v>
      </c>
      <c r="V321" s="85" t="e">
        <f>#REF!</f>
        <v>#REF!</v>
      </c>
      <c r="W321" s="86">
        <f t="shared" ref="W321:X384" si="70">COUNTIFS(R321,"&gt;&lt;")</f>
        <v>0</v>
      </c>
      <c r="X321" s="86">
        <f t="shared" si="70"/>
        <v>0</v>
      </c>
      <c r="Y321" s="87">
        <f t="shared" ref="Y321:Y384" si="71">COUNTIFS(R321:U321,"*")</f>
        <v>0</v>
      </c>
      <c r="Z321" s="87">
        <f t="shared" ref="Z321:Z384" si="72">COUNTIFS(R321:U321,"&gt;&lt;")</f>
        <v>0</v>
      </c>
      <c r="AA321" s="87">
        <f t="shared" ref="AA321:AA384" si="73">COUNTIFS(R321:U321,"&lt;&gt;")</f>
        <v>4</v>
      </c>
    </row>
    <row r="322" spans="9:27">
      <c r="I322" s="81" t="e">
        <f>IF(#REF!&lt;&gt;"",#REF!,"")</f>
        <v>#REF!</v>
      </c>
      <c r="J322" s="81" t="e">
        <f t="shared" si="61"/>
        <v>#REF!</v>
      </c>
      <c r="L322" s="82" t="e">
        <f t="shared" si="62"/>
        <v>#REF!</v>
      </c>
      <c r="M322" s="81" t="e">
        <f t="shared" si="65"/>
        <v>#REF!</v>
      </c>
      <c r="N322" s="81" t="e">
        <f t="shared" si="63"/>
        <v>#REF!</v>
      </c>
      <c r="O322" s="81" t="e">
        <f t="shared" si="64"/>
        <v>#REF!</v>
      </c>
      <c r="Q322" s="83" t="str">
        <f t="shared" si="66"/>
        <v/>
      </c>
      <c r="R322" s="84" t="e">
        <f t="shared" si="67"/>
        <v>#REF!</v>
      </c>
      <c r="S322" s="83" t="e">
        <f t="shared" si="67"/>
        <v>#REF!</v>
      </c>
      <c r="T322" s="84" t="e">
        <f t="shared" si="68"/>
        <v>#REF!</v>
      </c>
      <c r="U322" s="84" t="e">
        <f t="shared" si="69"/>
        <v>#REF!</v>
      </c>
      <c r="V322" s="85" t="e">
        <f>#REF!</f>
        <v>#REF!</v>
      </c>
      <c r="W322" s="86">
        <f t="shared" si="70"/>
        <v>0</v>
      </c>
      <c r="X322" s="86">
        <f t="shared" si="70"/>
        <v>0</v>
      </c>
      <c r="Y322" s="87">
        <f t="shared" si="71"/>
        <v>0</v>
      </c>
      <c r="Z322" s="87">
        <f t="shared" si="72"/>
        <v>0</v>
      </c>
      <c r="AA322" s="87">
        <f t="shared" si="73"/>
        <v>4</v>
      </c>
    </row>
    <row r="323" spans="9:27">
      <c r="I323" s="81" t="e">
        <f>IF(#REF!&lt;&gt;"",#REF!,"")</f>
        <v>#REF!</v>
      </c>
      <c r="J323" s="81" t="e">
        <f t="shared" ref="J323:J386" si="74">LEFT(I323,1)</f>
        <v>#REF!</v>
      </c>
      <c r="L323" s="82" t="e">
        <f t="shared" ref="L323:L386" si="75">IF(OR(J323="E",J323="L",J323="M"),"",I323)</f>
        <v>#REF!</v>
      </c>
      <c r="M323" s="81" t="e">
        <f t="shared" si="65"/>
        <v>#REF!</v>
      </c>
      <c r="N323" s="81" t="e">
        <f t="shared" ref="N323:N386" si="76">IF(OR(J323="D",J323="E",J323="L"),"",I323)</f>
        <v>#REF!</v>
      </c>
      <c r="O323" s="81" t="e">
        <f t="shared" ref="O323:O386" si="77">IF(OR(J323="D",J323="E",J323="M"),"",I323)</f>
        <v>#REF!</v>
      </c>
      <c r="Q323" s="83" t="str">
        <f t="shared" si="66"/>
        <v/>
      </c>
      <c r="R323" s="84" t="e">
        <f t="shared" si="67"/>
        <v>#REF!</v>
      </c>
      <c r="S323" s="83" t="e">
        <f t="shared" si="67"/>
        <v>#REF!</v>
      </c>
      <c r="T323" s="84" t="e">
        <f t="shared" si="68"/>
        <v>#REF!</v>
      </c>
      <c r="U323" s="84" t="e">
        <f t="shared" si="69"/>
        <v>#REF!</v>
      </c>
      <c r="V323" s="85" t="e">
        <f>#REF!</f>
        <v>#REF!</v>
      </c>
      <c r="W323" s="86">
        <f t="shared" si="70"/>
        <v>0</v>
      </c>
      <c r="X323" s="86">
        <f t="shared" si="70"/>
        <v>0</v>
      </c>
      <c r="Y323" s="87">
        <f t="shared" si="71"/>
        <v>0</v>
      </c>
      <c r="Z323" s="87">
        <f t="shared" si="72"/>
        <v>0</v>
      </c>
      <c r="AA323" s="87">
        <f t="shared" si="73"/>
        <v>4</v>
      </c>
    </row>
    <row r="324" spans="9:27">
      <c r="I324" s="81" t="e">
        <f>IF(#REF!&lt;&gt;"",#REF!,"")</f>
        <v>#REF!</v>
      </c>
      <c r="J324" s="81" t="e">
        <f t="shared" si="74"/>
        <v>#REF!</v>
      </c>
      <c r="L324" s="82" t="e">
        <f t="shared" si="75"/>
        <v>#REF!</v>
      </c>
      <c r="M324" s="81" t="e">
        <f t="shared" si="65"/>
        <v>#REF!</v>
      </c>
      <c r="N324" s="81" t="e">
        <f t="shared" si="76"/>
        <v>#REF!</v>
      </c>
      <c r="O324" s="81" t="e">
        <f t="shared" si="77"/>
        <v>#REF!</v>
      </c>
      <c r="Q324" s="83" t="str">
        <f t="shared" si="66"/>
        <v/>
      </c>
      <c r="R324" s="84" t="e">
        <f t="shared" si="67"/>
        <v>#REF!</v>
      </c>
      <c r="S324" s="83" t="e">
        <f t="shared" si="67"/>
        <v>#REF!</v>
      </c>
      <c r="T324" s="84" t="e">
        <f t="shared" si="68"/>
        <v>#REF!</v>
      </c>
      <c r="U324" s="84" t="e">
        <f t="shared" si="69"/>
        <v>#REF!</v>
      </c>
      <c r="V324" s="85" t="e">
        <f>#REF!</f>
        <v>#REF!</v>
      </c>
      <c r="W324" s="86">
        <f t="shared" si="70"/>
        <v>0</v>
      </c>
      <c r="X324" s="86">
        <f t="shared" si="70"/>
        <v>0</v>
      </c>
      <c r="Y324" s="87">
        <f t="shared" si="71"/>
        <v>0</v>
      </c>
      <c r="Z324" s="87">
        <f t="shared" si="72"/>
        <v>0</v>
      </c>
      <c r="AA324" s="87">
        <f t="shared" si="73"/>
        <v>4</v>
      </c>
    </row>
    <row r="325" spans="9:27">
      <c r="I325" s="81" t="e">
        <f>IF(#REF!&lt;&gt;"",#REF!,"")</f>
        <v>#REF!</v>
      </c>
      <c r="J325" s="81" t="e">
        <f t="shared" si="74"/>
        <v>#REF!</v>
      </c>
      <c r="L325" s="82" t="e">
        <f t="shared" si="75"/>
        <v>#REF!</v>
      </c>
      <c r="M325" s="81" t="e">
        <f t="shared" si="65"/>
        <v>#REF!</v>
      </c>
      <c r="N325" s="81" t="e">
        <f t="shared" si="76"/>
        <v>#REF!</v>
      </c>
      <c r="O325" s="81" t="e">
        <f t="shared" si="77"/>
        <v>#REF!</v>
      </c>
      <c r="Q325" s="83" t="str">
        <f t="shared" si="66"/>
        <v/>
      </c>
      <c r="R325" s="84" t="e">
        <f t="shared" si="67"/>
        <v>#REF!</v>
      </c>
      <c r="S325" s="83" t="e">
        <f t="shared" si="67"/>
        <v>#REF!</v>
      </c>
      <c r="T325" s="84" t="e">
        <f t="shared" si="68"/>
        <v>#REF!</v>
      </c>
      <c r="U325" s="84" t="e">
        <f t="shared" si="69"/>
        <v>#REF!</v>
      </c>
      <c r="V325" s="85" t="e">
        <f>#REF!</f>
        <v>#REF!</v>
      </c>
      <c r="W325" s="86">
        <f t="shared" si="70"/>
        <v>0</v>
      </c>
      <c r="X325" s="86">
        <f t="shared" si="70"/>
        <v>0</v>
      </c>
      <c r="Y325" s="87">
        <f t="shared" si="71"/>
        <v>0</v>
      </c>
      <c r="Z325" s="87">
        <f t="shared" si="72"/>
        <v>0</v>
      </c>
      <c r="AA325" s="87">
        <f t="shared" si="73"/>
        <v>4</v>
      </c>
    </row>
    <row r="326" spans="9:27">
      <c r="I326" s="81" t="e">
        <f>IF(#REF!&lt;&gt;"",#REF!,"")</f>
        <v>#REF!</v>
      </c>
      <c r="J326" s="81" t="e">
        <f t="shared" si="74"/>
        <v>#REF!</v>
      </c>
      <c r="L326" s="82" t="e">
        <f t="shared" si="75"/>
        <v>#REF!</v>
      </c>
      <c r="M326" s="81" t="e">
        <f t="shared" ref="M326:M389" si="78">IF(OR(J326="D",J326="L",J326="M"),"",I326)</f>
        <v>#REF!</v>
      </c>
      <c r="N326" s="81" t="e">
        <f t="shared" si="76"/>
        <v>#REF!</v>
      </c>
      <c r="O326" s="81" t="e">
        <f t="shared" si="77"/>
        <v>#REF!</v>
      </c>
      <c r="Q326" s="83" t="str">
        <f t="shared" si="66"/>
        <v/>
      </c>
      <c r="R326" s="84" t="e">
        <f t="shared" si="67"/>
        <v>#REF!</v>
      </c>
      <c r="S326" s="83" t="e">
        <f t="shared" si="67"/>
        <v>#REF!</v>
      </c>
      <c r="T326" s="84" t="e">
        <f t="shared" si="68"/>
        <v>#REF!</v>
      </c>
      <c r="U326" s="84" t="e">
        <f t="shared" si="69"/>
        <v>#REF!</v>
      </c>
      <c r="V326" s="85" t="e">
        <f>#REF!</f>
        <v>#REF!</v>
      </c>
      <c r="W326" s="86">
        <f t="shared" si="70"/>
        <v>0</v>
      </c>
      <c r="X326" s="86">
        <f t="shared" si="70"/>
        <v>0</v>
      </c>
      <c r="Y326" s="87">
        <f t="shared" si="71"/>
        <v>0</v>
      </c>
      <c r="Z326" s="87">
        <f t="shared" si="72"/>
        <v>0</v>
      </c>
      <c r="AA326" s="87">
        <f t="shared" si="73"/>
        <v>4</v>
      </c>
    </row>
    <row r="327" spans="9:27">
      <c r="I327" s="81" t="e">
        <f>IF(#REF!&lt;&gt;"",#REF!,"")</f>
        <v>#REF!</v>
      </c>
      <c r="J327" s="81" t="e">
        <f t="shared" si="74"/>
        <v>#REF!</v>
      </c>
      <c r="L327" s="82" t="e">
        <f t="shared" si="75"/>
        <v>#REF!</v>
      </c>
      <c r="M327" s="81" t="e">
        <f t="shared" si="78"/>
        <v>#REF!</v>
      </c>
      <c r="N327" s="81" t="e">
        <f t="shared" si="76"/>
        <v>#REF!</v>
      </c>
      <c r="O327" s="81" t="e">
        <f t="shared" si="77"/>
        <v>#REF!</v>
      </c>
      <c r="Q327" s="83" t="str">
        <f t="shared" si="66"/>
        <v/>
      </c>
      <c r="R327" s="84" t="e">
        <f t="shared" si="67"/>
        <v>#REF!</v>
      </c>
      <c r="S327" s="83" t="e">
        <f t="shared" si="67"/>
        <v>#REF!</v>
      </c>
      <c r="T327" s="84" t="e">
        <f t="shared" si="68"/>
        <v>#REF!</v>
      </c>
      <c r="U327" s="84" t="e">
        <f t="shared" si="69"/>
        <v>#REF!</v>
      </c>
      <c r="V327" s="85" t="e">
        <f>#REF!</f>
        <v>#REF!</v>
      </c>
      <c r="W327" s="86">
        <f t="shared" si="70"/>
        <v>0</v>
      </c>
      <c r="X327" s="86">
        <f t="shared" si="70"/>
        <v>0</v>
      </c>
      <c r="Y327" s="87">
        <f t="shared" si="71"/>
        <v>0</v>
      </c>
      <c r="Z327" s="87">
        <f t="shared" si="72"/>
        <v>0</v>
      </c>
      <c r="AA327" s="87">
        <f t="shared" si="73"/>
        <v>4</v>
      </c>
    </row>
    <row r="328" spans="9:27">
      <c r="I328" s="81" t="e">
        <f>IF(#REF!&lt;&gt;"",#REF!,"")</f>
        <v>#REF!</v>
      </c>
      <c r="J328" s="81" t="e">
        <f t="shared" si="74"/>
        <v>#REF!</v>
      </c>
      <c r="L328" s="82" t="e">
        <f t="shared" si="75"/>
        <v>#REF!</v>
      </c>
      <c r="M328" s="81" t="e">
        <f t="shared" si="78"/>
        <v>#REF!</v>
      </c>
      <c r="N328" s="81" t="e">
        <f t="shared" si="76"/>
        <v>#REF!</v>
      </c>
      <c r="O328" s="81" t="e">
        <f t="shared" si="77"/>
        <v>#REF!</v>
      </c>
      <c r="Q328" s="83" t="str">
        <f t="shared" si="66"/>
        <v/>
      </c>
      <c r="R328" s="84" t="e">
        <f t="shared" si="67"/>
        <v>#REF!</v>
      </c>
      <c r="S328" s="83" t="e">
        <f t="shared" si="67"/>
        <v>#REF!</v>
      </c>
      <c r="T328" s="84" t="e">
        <f t="shared" si="68"/>
        <v>#REF!</v>
      </c>
      <c r="U328" s="84" t="e">
        <f t="shared" si="69"/>
        <v>#REF!</v>
      </c>
      <c r="V328" s="85" t="e">
        <f>#REF!</f>
        <v>#REF!</v>
      </c>
      <c r="W328" s="86">
        <f t="shared" si="70"/>
        <v>0</v>
      </c>
      <c r="X328" s="86">
        <f t="shared" si="70"/>
        <v>0</v>
      </c>
      <c r="Y328" s="87">
        <f t="shared" si="71"/>
        <v>0</v>
      </c>
      <c r="Z328" s="87">
        <f t="shared" si="72"/>
        <v>0</v>
      </c>
      <c r="AA328" s="87">
        <f t="shared" si="73"/>
        <v>4</v>
      </c>
    </row>
    <row r="329" spans="9:27">
      <c r="I329" s="81" t="e">
        <f>IF(#REF!&lt;&gt;"",#REF!,"")</f>
        <v>#REF!</v>
      </c>
      <c r="J329" s="81" t="e">
        <f t="shared" si="74"/>
        <v>#REF!</v>
      </c>
      <c r="L329" s="82" t="e">
        <f t="shared" si="75"/>
        <v>#REF!</v>
      </c>
      <c r="M329" s="81" t="e">
        <f t="shared" si="78"/>
        <v>#REF!</v>
      </c>
      <c r="N329" s="81" t="e">
        <f t="shared" si="76"/>
        <v>#REF!</v>
      </c>
      <c r="O329" s="81" t="e">
        <f t="shared" si="77"/>
        <v>#REF!</v>
      </c>
      <c r="Q329" s="83" t="str">
        <f t="shared" si="66"/>
        <v/>
      </c>
      <c r="R329" s="84" t="e">
        <f t="shared" si="67"/>
        <v>#REF!</v>
      </c>
      <c r="S329" s="83" t="e">
        <f t="shared" si="67"/>
        <v>#REF!</v>
      </c>
      <c r="T329" s="84" t="e">
        <f t="shared" si="68"/>
        <v>#REF!</v>
      </c>
      <c r="U329" s="84" t="e">
        <f t="shared" si="69"/>
        <v>#REF!</v>
      </c>
      <c r="V329" s="85" t="e">
        <f>#REF!</f>
        <v>#REF!</v>
      </c>
      <c r="W329" s="86">
        <f t="shared" si="70"/>
        <v>0</v>
      </c>
      <c r="X329" s="86">
        <f t="shared" si="70"/>
        <v>0</v>
      </c>
      <c r="Y329" s="87">
        <f t="shared" si="71"/>
        <v>0</v>
      </c>
      <c r="Z329" s="87">
        <f t="shared" si="72"/>
        <v>0</v>
      </c>
      <c r="AA329" s="87">
        <f t="shared" si="73"/>
        <v>4</v>
      </c>
    </row>
    <row r="330" spans="9:27">
      <c r="I330" s="81" t="e">
        <f>IF(#REF!&lt;&gt;"",#REF!,"")</f>
        <v>#REF!</v>
      </c>
      <c r="J330" s="81" t="e">
        <f t="shared" si="74"/>
        <v>#REF!</v>
      </c>
      <c r="L330" s="82" t="e">
        <f t="shared" si="75"/>
        <v>#REF!</v>
      </c>
      <c r="M330" s="81" t="e">
        <f t="shared" si="78"/>
        <v>#REF!</v>
      </c>
      <c r="N330" s="81" t="e">
        <f t="shared" si="76"/>
        <v>#REF!</v>
      </c>
      <c r="O330" s="81" t="e">
        <f t="shared" si="77"/>
        <v>#REF!</v>
      </c>
      <c r="Q330" s="83" t="str">
        <f t="shared" si="66"/>
        <v/>
      </c>
      <c r="R330" s="84" t="e">
        <f t="shared" si="67"/>
        <v>#REF!</v>
      </c>
      <c r="S330" s="83" t="e">
        <f t="shared" si="67"/>
        <v>#REF!</v>
      </c>
      <c r="T330" s="84" t="e">
        <f t="shared" si="68"/>
        <v>#REF!</v>
      </c>
      <c r="U330" s="84" t="e">
        <f t="shared" si="69"/>
        <v>#REF!</v>
      </c>
      <c r="V330" s="85" t="e">
        <f>#REF!</f>
        <v>#REF!</v>
      </c>
      <c r="W330" s="86">
        <f t="shared" si="70"/>
        <v>0</v>
      </c>
      <c r="X330" s="86">
        <f t="shared" si="70"/>
        <v>0</v>
      </c>
      <c r="Y330" s="87">
        <f t="shared" si="71"/>
        <v>0</v>
      </c>
      <c r="Z330" s="87">
        <f t="shared" si="72"/>
        <v>0</v>
      </c>
      <c r="AA330" s="87">
        <f t="shared" si="73"/>
        <v>4</v>
      </c>
    </row>
    <row r="331" spans="9:27">
      <c r="I331" s="81" t="e">
        <f>IF(#REF!&lt;&gt;"",#REF!,"")</f>
        <v>#REF!</v>
      </c>
      <c r="J331" s="81" t="e">
        <f t="shared" si="74"/>
        <v>#REF!</v>
      </c>
      <c r="L331" s="82" t="e">
        <f t="shared" si="75"/>
        <v>#REF!</v>
      </c>
      <c r="M331" s="81" t="e">
        <f t="shared" si="78"/>
        <v>#REF!</v>
      </c>
      <c r="N331" s="81" t="e">
        <f t="shared" si="76"/>
        <v>#REF!</v>
      </c>
      <c r="O331" s="81" t="e">
        <f t="shared" si="77"/>
        <v>#REF!</v>
      </c>
      <c r="Q331" s="83" t="str">
        <f t="shared" si="66"/>
        <v/>
      </c>
      <c r="R331" s="84" t="e">
        <f t="shared" si="67"/>
        <v>#REF!</v>
      </c>
      <c r="S331" s="83" t="e">
        <f t="shared" si="67"/>
        <v>#REF!</v>
      </c>
      <c r="T331" s="84" t="e">
        <f t="shared" si="68"/>
        <v>#REF!</v>
      </c>
      <c r="U331" s="84" t="e">
        <f t="shared" si="69"/>
        <v>#REF!</v>
      </c>
      <c r="V331" s="85" t="e">
        <f>#REF!</f>
        <v>#REF!</v>
      </c>
      <c r="W331" s="86">
        <f t="shared" si="70"/>
        <v>0</v>
      </c>
      <c r="X331" s="86">
        <f t="shared" si="70"/>
        <v>0</v>
      </c>
      <c r="Y331" s="87">
        <f t="shared" si="71"/>
        <v>0</v>
      </c>
      <c r="Z331" s="87">
        <f t="shared" si="72"/>
        <v>0</v>
      </c>
      <c r="AA331" s="87">
        <f t="shared" si="73"/>
        <v>4</v>
      </c>
    </row>
    <row r="332" spans="9:27">
      <c r="I332" s="81" t="e">
        <f>IF(#REF!&lt;&gt;"",#REF!,"")</f>
        <v>#REF!</v>
      </c>
      <c r="J332" s="81" t="e">
        <f t="shared" si="74"/>
        <v>#REF!</v>
      </c>
      <c r="L332" s="82" t="e">
        <f t="shared" si="75"/>
        <v>#REF!</v>
      </c>
      <c r="M332" s="81" t="e">
        <f t="shared" si="78"/>
        <v>#REF!</v>
      </c>
      <c r="N332" s="81" t="e">
        <f t="shared" si="76"/>
        <v>#REF!</v>
      </c>
      <c r="O332" s="81" t="e">
        <f t="shared" si="77"/>
        <v>#REF!</v>
      </c>
      <c r="Q332" s="83" t="str">
        <f t="shared" si="66"/>
        <v/>
      </c>
      <c r="R332" s="84" t="e">
        <f t="shared" si="67"/>
        <v>#REF!</v>
      </c>
      <c r="S332" s="83" t="e">
        <f t="shared" si="67"/>
        <v>#REF!</v>
      </c>
      <c r="T332" s="84" t="e">
        <f t="shared" si="68"/>
        <v>#REF!</v>
      </c>
      <c r="U332" s="84" t="e">
        <f t="shared" si="69"/>
        <v>#REF!</v>
      </c>
      <c r="V332" s="85" t="e">
        <f>#REF!</f>
        <v>#REF!</v>
      </c>
      <c r="W332" s="86">
        <f t="shared" si="70"/>
        <v>0</v>
      </c>
      <c r="X332" s="86">
        <f t="shared" si="70"/>
        <v>0</v>
      </c>
      <c r="Y332" s="87">
        <f t="shared" si="71"/>
        <v>0</v>
      </c>
      <c r="Z332" s="87">
        <f t="shared" si="72"/>
        <v>0</v>
      </c>
      <c r="AA332" s="87">
        <f t="shared" si="73"/>
        <v>4</v>
      </c>
    </row>
    <row r="333" spans="9:27">
      <c r="I333" s="81" t="e">
        <f>IF(#REF!&lt;&gt;"",#REF!,"")</f>
        <v>#REF!</v>
      </c>
      <c r="J333" s="81" t="e">
        <f t="shared" si="74"/>
        <v>#REF!</v>
      </c>
      <c r="L333" s="82" t="e">
        <f t="shared" si="75"/>
        <v>#REF!</v>
      </c>
      <c r="M333" s="81" t="e">
        <f t="shared" si="78"/>
        <v>#REF!</v>
      </c>
      <c r="N333" s="81" t="e">
        <f t="shared" si="76"/>
        <v>#REF!</v>
      </c>
      <c r="O333" s="81" t="e">
        <f t="shared" si="77"/>
        <v>#REF!</v>
      </c>
      <c r="Q333" s="83" t="str">
        <f t="shared" si="66"/>
        <v/>
      </c>
      <c r="R333" s="84" t="e">
        <f t="shared" si="67"/>
        <v>#REF!</v>
      </c>
      <c r="S333" s="83" t="e">
        <f t="shared" si="67"/>
        <v>#REF!</v>
      </c>
      <c r="T333" s="84" t="e">
        <f t="shared" si="68"/>
        <v>#REF!</v>
      </c>
      <c r="U333" s="84" t="e">
        <f t="shared" si="69"/>
        <v>#REF!</v>
      </c>
      <c r="V333" s="85" t="e">
        <f>#REF!</f>
        <v>#REF!</v>
      </c>
      <c r="W333" s="86">
        <f t="shared" si="70"/>
        <v>0</v>
      </c>
      <c r="X333" s="86">
        <f t="shared" si="70"/>
        <v>0</v>
      </c>
      <c r="Y333" s="87">
        <f t="shared" si="71"/>
        <v>0</v>
      </c>
      <c r="Z333" s="87">
        <f t="shared" si="72"/>
        <v>0</v>
      </c>
      <c r="AA333" s="87">
        <f t="shared" si="73"/>
        <v>4</v>
      </c>
    </row>
    <row r="334" spans="9:27">
      <c r="I334" s="81" t="e">
        <f>IF(#REF!&lt;&gt;"",#REF!,"")</f>
        <v>#REF!</v>
      </c>
      <c r="J334" s="81" t="e">
        <f t="shared" si="74"/>
        <v>#REF!</v>
      </c>
      <c r="L334" s="82" t="e">
        <f t="shared" si="75"/>
        <v>#REF!</v>
      </c>
      <c r="M334" s="81" t="e">
        <f t="shared" si="78"/>
        <v>#REF!</v>
      </c>
      <c r="N334" s="81" t="e">
        <f t="shared" si="76"/>
        <v>#REF!</v>
      </c>
      <c r="O334" s="81" t="e">
        <f t="shared" si="77"/>
        <v>#REF!</v>
      </c>
      <c r="Q334" s="83" t="str">
        <f t="shared" si="66"/>
        <v/>
      </c>
      <c r="R334" s="84" t="e">
        <f t="shared" si="67"/>
        <v>#REF!</v>
      </c>
      <c r="S334" s="83" t="e">
        <f t="shared" si="67"/>
        <v>#REF!</v>
      </c>
      <c r="T334" s="84" t="e">
        <f t="shared" si="68"/>
        <v>#REF!</v>
      </c>
      <c r="U334" s="84" t="e">
        <f t="shared" si="69"/>
        <v>#REF!</v>
      </c>
      <c r="V334" s="85" t="e">
        <f>#REF!</f>
        <v>#REF!</v>
      </c>
      <c r="W334" s="86">
        <f t="shared" si="70"/>
        <v>0</v>
      </c>
      <c r="X334" s="86">
        <f t="shared" si="70"/>
        <v>0</v>
      </c>
      <c r="Y334" s="87">
        <f t="shared" si="71"/>
        <v>0</v>
      </c>
      <c r="Z334" s="87">
        <f t="shared" si="72"/>
        <v>0</v>
      </c>
      <c r="AA334" s="87">
        <f t="shared" si="73"/>
        <v>4</v>
      </c>
    </row>
    <row r="335" spans="9:27">
      <c r="I335" s="81" t="e">
        <f>IF(#REF!&lt;&gt;"",#REF!,"")</f>
        <v>#REF!</v>
      </c>
      <c r="J335" s="81" t="e">
        <f t="shared" si="74"/>
        <v>#REF!</v>
      </c>
      <c r="L335" s="82" t="e">
        <f t="shared" si="75"/>
        <v>#REF!</v>
      </c>
      <c r="M335" s="81" t="e">
        <f t="shared" si="78"/>
        <v>#REF!</v>
      </c>
      <c r="N335" s="81" t="e">
        <f t="shared" si="76"/>
        <v>#REF!</v>
      </c>
      <c r="O335" s="81" t="e">
        <f t="shared" si="77"/>
        <v>#REF!</v>
      </c>
      <c r="Q335" s="83" t="str">
        <f t="shared" si="66"/>
        <v/>
      </c>
      <c r="R335" s="84" t="e">
        <f t="shared" si="67"/>
        <v>#REF!</v>
      </c>
      <c r="S335" s="83" t="e">
        <f t="shared" si="67"/>
        <v>#REF!</v>
      </c>
      <c r="T335" s="84" t="e">
        <f t="shared" si="68"/>
        <v>#REF!</v>
      </c>
      <c r="U335" s="84" t="e">
        <f t="shared" si="69"/>
        <v>#REF!</v>
      </c>
      <c r="V335" s="85" t="e">
        <f>#REF!</f>
        <v>#REF!</v>
      </c>
      <c r="W335" s="86">
        <f t="shared" si="70"/>
        <v>0</v>
      </c>
      <c r="X335" s="86">
        <f t="shared" si="70"/>
        <v>0</v>
      </c>
      <c r="Y335" s="87">
        <f t="shared" si="71"/>
        <v>0</v>
      </c>
      <c r="Z335" s="87">
        <f t="shared" si="72"/>
        <v>0</v>
      </c>
      <c r="AA335" s="87">
        <f t="shared" si="73"/>
        <v>4</v>
      </c>
    </row>
    <row r="336" spans="9:27">
      <c r="I336" s="81" t="e">
        <f>IF(#REF!&lt;&gt;"",#REF!,"")</f>
        <v>#REF!</v>
      </c>
      <c r="J336" s="81" t="e">
        <f t="shared" si="74"/>
        <v>#REF!</v>
      </c>
      <c r="L336" s="82" t="e">
        <f t="shared" si="75"/>
        <v>#REF!</v>
      </c>
      <c r="M336" s="81" t="e">
        <f t="shared" si="78"/>
        <v>#REF!</v>
      </c>
      <c r="N336" s="81" t="e">
        <f t="shared" si="76"/>
        <v>#REF!</v>
      </c>
      <c r="O336" s="81" t="e">
        <f t="shared" si="77"/>
        <v>#REF!</v>
      </c>
      <c r="Q336" s="83" t="str">
        <f t="shared" si="66"/>
        <v/>
      </c>
      <c r="R336" s="84" t="e">
        <f t="shared" si="67"/>
        <v>#REF!</v>
      </c>
      <c r="S336" s="83" t="e">
        <f t="shared" si="67"/>
        <v>#REF!</v>
      </c>
      <c r="T336" s="84" t="e">
        <f t="shared" si="68"/>
        <v>#REF!</v>
      </c>
      <c r="U336" s="84" t="e">
        <f t="shared" si="69"/>
        <v>#REF!</v>
      </c>
      <c r="V336" s="85" t="e">
        <f>#REF!</f>
        <v>#REF!</v>
      </c>
      <c r="W336" s="86">
        <f t="shared" si="70"/>
        <v>0</v>
      </c>
      <c r="X336" s="86">
        <f t="shared" si="70"/>
        <v>0</v>
      </c>
      <c r="Y336" s="87">
        <f t="shared" si="71"/>
        <v>0</v>
      </c>
      <c r="Z336" s="87">
        <f t="shared" si="72"/>
        <v>0</v>
      </c>
      <c r="AA336" s="87">
        <f t="shared" si="73"/>
        <v>4</v>
      </c>
    </row>
    <row r="337" spans="9:27">
      <c r="I337" s="81" t="e">
        <f>IF(#REF!&lt;&gt;"",#REF!,"")</f>
        <v>#REF!</v>
      </c>
      <c r="J337" s="81" t="e">
        <f t="shared" si="74"/>
        <v>#REF!</v>
      </c>
      <c r="L337" s="82" t="e">
        <f t="shared" si="75"/>
        <v>#REF!</v>
      </c>
      <c r="M337" s="81" t="e">
        <f t="shared" si="78"/>
        <v>#REF!</v>
      </c>
      <c r="N337" s="81" t="e">
        <f t="shared" si="76"/>
        <v>#REF!</v>
      </c>
      <c r="O337" s="81" t="e">
        <f t="shared" si="77"/>
        <v>#REF!</v>
      </c>
      <c r="Q337" s="83" t="str">
        <f t="shared" si="66"/>
        <v/>
      </c>
      <c r="R337" s="84" t="e">
        <f t="shared" si="67"/>
        <v>#REF!</v>
      </c>
      <c r="S337" s="83" t="e">
        <f t="shared" si="67"/>
        <v>#REF!</v>
      </c>
      <c r="T337" s="84" t="e">
        <f t="shared" si="68"/>
        <v>#REF!</v>
      </c>
      <c r="U337" s="84" t="e">
        <f t="shared" si="69"/>
        <v>#REF!</v>
      </c>
      <c r="V337" s="85" t="e">
        <f>#REF!</f>
        <v>#REF!</v>
      </c>
      <c r="W337" s="86">
        <f t="shared" si="70"/>
        <v>0</v>
      </c>
      <c r="X337" s="86">
        <f t="shared" si="70"/>
        <v>0</v>
      </c>
      <c r="Y337" s="87">
        <f t="shared" si="71"/>
        <v>0</v>
      </c>
      <c r="Z337" s="87">
        <f t="shared" si="72"/>
        <v>0</v>
      </c>
      <c r="AA337" s="87">
        <f t="shared" si="73"/>
        <v>4</v>
      </c>
    </row>
    <row r="338" spans="9:27">
      <c r="I338" s="81" t="e">
        <f>IF(#REF!&lt;&gt;"",#REF!,"")</f>
        <v>#REF!</v>
      </c>
      <c r="J338" s="81" t="e">
        <f t="shared" si="74"/>
        <v>#REF!</v>
      </c>
      <c r="L338" s="82" t="e">
        <f t="shared" si="75"/>
        <v>#REF!</v>
      </c>
      <c r="M338" s="81" t="e">
        <f t="shared" si="78"/>
        <v>#REF!</v>
      </c>
      <c r="N338" s="81" t="e">
        <f t="shared" si="76"/>
        <v>#REF!</v>
      </c>
      <c r="O338" s="81" t="e">
        <f t="shared" si="77"/>
        <v>#REF!</v>
      </c>
      <c r="Q338" s="83" t="str">
        <f t="shared" si="66"/>
        <v/>
      </c>
      <c r="R338" s="84" t="e">
        <f t="shared" si="67"/>
        <v>#REF!</v>
      </c>
      <c r="S338" s="83" t="e">
        <f t="shared" si="67"/>
        <v>#REF!</v>
      </c>
      <c r="T338" s="84" t="e">
        <f t="shared" si="68"/>
        <v>#REF!</v>
      </c>
      <c r="U338" s="84" t="e">
        <f t="shared" si="69"/>
        <v>#REF!</v>
      </c>
      <c r="V338" s="85" t="e">
        <f>#REF!</f>
        <v>#REF!</v>
      </c>
      <c r="W338" s="86">
        <f t="shared" si="70"/>
        <v>0</v>
      </c>
      <c r="X338" s="86">
        <f t="shared" si="70"/>
        <v>0</v>
      </c>
      <c r="Y338" s="87">
        <f t="shared" si="71"/>
        <v>0</v>
      </c>
      <c r="Z338" s="87">
        <f t="shared" si="72"/>
        <v>0</v>
      </c>
      <c r="AA338" s="87">
        <f t="shared" si="73"/>
        <v>4</v>
      </c>
    </row>
    <row r="339" spans="9:27">
      <c r="I339" s="81" t="e">
        <f>IF(#REF!&lt;&gt;"",#REF!,"")</f>
        <v>#REF!</v>
      </c>
      <c r="J339" s="81" t="e">
        <f t="shared" si="74"/>
        <v>#REF!</v>
      </c>
      <c r="L339" s="82" t="e">
        <f t="shared" si="75"/>
        <v>#REF!</v>
      </c>
      <c r="M339" s="81" t="e">
        <f t="shared" si="78"/>
        <v>#REF!</v>
      </c>
      <c r="N339" s="81" t="e">
        <f t="shared" si="76"/>
        <v>#REF!</v>
      </c>
      <c r="O339" s="81" t="e">
        <f t="shared" si="77"/>
        <v>#REF!</v>
      </c>
      <c r="Q339" s="83" t="str">
        <f t="shared" si="66"/>
        <v/>
      </c>
      <c r="R339" s="84" t="e">
        <f t="shared" si="67"/>
        <v>#REF!</v>
      </c>
      <c r="S339" s="83" t="e">
        <f t="shared" si="67"/>
        <v>#REF!</v>
      </c>
      <c r="T339" s="84" t="e">
        <f t="shared" si="68"/>
        <v>#REF!</v>
      </c>
      <c r="U339" s="84" t="e">
        <f t="shared" si="69"/>
        <v>#REF!</v>
      </c>
      <c r="V339" s="85" t="e">
        <f>#REF!</f>
        <v>#REF!</v>
      </c>
      <c r="W339" s="86">
        <f t="shared" si="70"/>
        <v>0</v>
      </c>
      <c r="X339" s="86">
        <f t="shared" si="70"/>
        <v>0</v>
      </c>
      <c r="Y339" s="87">
        <f t="shared" si="71"/>
        <v>0</v>
      </c>
      <c r="Z339" s="87">
        <f t="shared" si="72"/>
        <v>0</v>
      </c>
      <c r="AA339" s="87">
        <f t="shared" si="73"/>
        <v>4</v>
      </c>
    </row>
    <row r="340" spans="9:27">
      <c r="I340" s="81" t="e">
        <f>IF(#REF!&lt;&gt;"",#REF!,"")</f>
        <v>#REF!</v>
      </c>
      <c r="J340" s="81" t="e">
        <f t="shared" si="74"/>
        <v>#REF!</v>
      </c>
      <c r="L340" s="82" t="e">
        <f t="shared" si="75"/>
        <v>#REF!</v>
      </c>
      <c r="M340" s="81" t="e">
        <f t="shared" si="78"/>
        <v>#REF!</v>
      </c>
      <c r="N340" s="81" t="e">
        <f t="shared" si="76"/>
        <v>#REF!</v>
      </c>
      <c r="O340" s="81" t="e">
        <f t="shared" si="77"/>
        <v>#REF!</v>
      </c>
      <c r="Q340" s="83" t="str">
        <f t="shared" si="66"/>
        <v/>
      </c>
      <c r="R340" s="84" t="e">
        <f t="shared" si="67"/>
        <v>#REF!</v>
      </c>
      <c r="S340" s="83" t="e">
        <f t="shared" si="67"/>
        <v>#REF!</v>
      </c>
      <c r="T340" s="84" t="e">
        <f t="shared" si="68"/>
        <v>#REF!</v>
      </c>
      <c r="U340" s="84" t="e">
        <f t="shared" si="69"/>
        <v>#REF!</v>
      </c>
      <c r="V340" s="85" t="e">
        <f>#REF!</f>
        <v>#REF!</v>
      </c>
      <c r="W340" s="86">
        <f t="shared" si="70"/>
        <v>0</v>
      </c>
      <c r="X340" s="86">
        <f t="shared" si="70"/>
        <v>0</v>
      </c>
      <c r="Y340" s="87">
        <f t="shared" si="71"/>
        <v>0</v>
      </c>
      <c r="Z340" s="87">
        <f t="shared" si="72"/>
        <v>0</v>
      </c>
      <c r="AA340" s="87">
        <f t="shared" si="73"/>
        <v>4</v>
      </c>
    </row>
    <row r="341" spans="9:27">
      <c r="I341" s="81" t="e">
        <f>IF(#REF!&lt;&gt;"",#REF!,"")</f>
        <v>#REF!</v>
      </c>
      <c r="J341" s="81" t="e">
        <f t="shared" si="74"/>
        <v>#REF!</v>
      </c>
      <c r="L341" s="82" t="e">
        <f t="shared" si="75"/>
        <v>#REF!</v>
      </c>
      <c r="M341" s="81" t="e">
        <f t="shared" si="78"/>
        <v>#REF!</v>
      </c>
      <c r="N341" s="81" t="e">
        <f t="shared" si="76"/>
        <v>#REF!</v>
      </c>
      <c r="O341" s="81" t="e">
        <f t="shared" si="77"/>
        <v>#REF!</v>
      </c>
      <c r="Q341" s="83" t="str">
        <f t="shared" si="66"/>
        <v/>
      </c>
      <c r="R341" s="84" t="e">
        <f t="shared" si="67"/>
        <v>#REF!</v>
      </c>
      <c r="S341" s="83" t="e">
        <f t="shared" si="67"/>
        <v>#REF!</v>
      </c>
      <c r="T341" s="84" t="e">
        <f t="shared" si="68"/>
        <v>#REF!</v>
      </c>
      <c r="U341" s="84" t="e">
        <f t="shared" si="69"/>
        <v>#REF!</v>
      </c>
      <c r="V341" s="85" t="e">
        <f>#REF!</f>
        <v>#REF!</v>
      </c>
      <c r="W341" s="86">
        <f t="shared" si="70"/>
        <v>0</v>
      </c>
      <c r="X341" s="86">
        <f t="shared" si="70"/>
        <v>0</v>
      </c>
      <c r="Y341" s="87">
        <f t="shared" si="71"/>
        <v>0</v>
      </c>
      <c r="Z341" s="87">
        <f t="shared" si="72"/>
        <v>0</v>
      </c>
      <c r="AA341" s="87">
        <f t="shared" si="73"/>
        <v>4</v>
      </c>
    </row>
    <row r="342" spans="9:27">
      <c r="I342" s="81" t="e">
        <f>IF(#REF!&lt;&gt;"",#REF!,"")</f>
        <v>#REF!</v>
      </c>
      <c r="J342" s="81" t="e">
        <f t="shared" si="74"/>
        <v>#REF!</v>
      </c>
      <c r="L342" s="82" t="e">
        <f t="shared" si="75"/>
        <v>#REF!</v>
      </c>
      <c r="M342" s="81" t="e">
        <f t="shared" si="78"/>
        <v>#REF!</v>
      </c>
      <c r="N342" s="81" t="e">
        <f t="shared" si="76"/>
        <v>#REF!</v>
      </c>
      <c r="O342" s="81" t="e">
        <f t="shared" si="77"/>
        <v>#REF!</v>
      </c>
      <c r="Q342" s="83" t="str">
        <f t="shared" si="66"/>
        <v/>
      </c>
      <c r="R342" s="84" t="e">
        <f t="shared" si="67"/>
        <v>#REF!</v>
      </c>
      <c r="S342" s="83" t="e">
        <f t="shared" si="67"/>
        <v>#REF!</v>
      </c>
      <c r="T342" s="84" t="e">
        <f t="shared" si="68"/>
        <v>#REF!</v>
      </c>
      <c r="U342" s="84" t="e">
        <f t="shared" si="69"/>
        <v>#REF!</v>
      </c>
      <c r="V342" s="85" t="e">
        <f>#REF!</f>
        <v>#REF!</v>
      </c>
      <c r="W342" s="86">
        <f t="shared" si="70"/>
        <v>0</v>
      </c>
      <c r="X342" s="86">
        <f t="shared" si="70"/>
        <v>0</v>
      </c>
      <c r="Y342" s="87">
        <f t="shared" si="71"/>
        <v>0</v>
      </c>
      <c r="Z342" s="87">
        <f t="shared" si="72"/>
        <v>0</v>
      </c>
      <c r="AA342" s="87">
        <f t="shared" si="73"/>
        <v>4</v>
      </c>
    </row>
    <row r="343" spans="9:27">
      <c r="I343" s="81" t="e">
        <f>IF(#REF!&lt;&gt;"",#REF!,"")</f>
        <v>#REF!</v>
      </c>
      <c r="J343" s="81" t="e">
        <f t="shared" si="74"/>
        <v>#REF!</v>
      </c>
      <c r="L343" s="82" t="e">
        <f t="shared" si="75"/>
        <v>#REF!</v>
      </c>
      <c r="M343" s="81" t="e">
        <f t="shared" si="78"/>
        <v>#REF!</v>
      </c>
      <c r="N343" s="81" t="e">
        <f t="shared" si="76"/>
        <v>#REF!</v>
      </c>
      <c r="O343" s="81" t="e">
        <f t="shared" si="77"/>
        <v>#REF!</v>
      </c>
      <c r="Q343" s="83" t="str">
        <f t="shared" ref="Q343:Q406" si="79">IF(Z343=0,"",IF(Z343=1,R343&amp;S343,"E99999"))</f>
        <v/>
      </c>
      <c r="R343" s="84" t="e">
        <f t="shared" si="67"/>
        <v>#REF!</v>
      </c>
      <c r="S343" s="83" t="e">
        <f t="shared" si="67"/>
        <v>#REF!</v>
      </c>
      <c r="T343" s="84" t="e">
        <f t="shared" si="68"/>
        <v>#REF!</v>
      </c>
      <c r="U343" s="84" t="e">
        <f t="shared" si="69"/>
        <v>#REF!</v>
      </c>
      <c r="V343" s="85" t="e">
        <f>#REF!</f>
        <v>#REF!</v>
      </c>
      <c r="W343" s="86">
        <f t="shared" si="70"/>
        <v>0</v>
      </c>
      <c r="X343" s="86">
        <f t="shared" si="70"/>
        <v>0</v>
      </c>
      <c r="Y343" s="87">
        <f t="shared" si="71"/>
        <v>0</v>
      </c>
      <c r="Z343" s="87">
        <f t="shared" si="72"/>
        <v>0</v>
      </c>
      <c r="AA343" s="87">
        <f t="shared" si="73"/>
        <v>4</v>
      </c>
    </row>
    <row r="344" spans="9:27">
      <c r="I344" s="81" t="e">
        <f>IF(#REF!&lt;&gt;"",#REF!,"")</f>
        <v>#REF!</v>
      </c>
      <c r="J344" s="81" t="e">
        <f t="shared" si="74"/>
        <v>#REF!</v>
      </c>
      <c r="L344" s="82" t="e">
        <f t="shared" si="75"/>
        <v>#REF!</v>
      </c>
      <c r="M344" s="81" t="e">
        <f t="shared" si="78"/>
        <v>#REF!</v>
      </c>
      <c r="N344" s="81" t="e">
        <f t="shared" si="76"/>
        <v>#REF!</v>
      </c>
      <c r="O344" s="81" t="e">
        <f t="shared" si="77"/>
        <v>#REF!</v>
      </c>
      <c r="Q344" s="83" t="str">
        <f t="shared" si="79"/>
        <v/>
      </c>
      <c r="R344" s="84" t="e">
        <f t="shared" si="67"/>
        <v>#REF!</v>
      </c>
      <c r="S344" s="83" t="e">
        <f t="shared" si="67"/>
        <v>#REF!</v>
      </c>
      <c r="T344" s="84" t="e">
        <f t="shared" si="68"/>
        <v>#REF!</v>
      </c>
      <c r="U344" s="84" t="e">
        <f t="shared" si="69"/>
        <v>#REF!</v>
      </c>
      <c r="V344" s="85" t="e">
        <f>#REF!</f>
        <v>#REF!</v>
      </c>
      <c r="W344" s="86">
        <f t="shared" si="70"/>
        <v>0</v>
      </c>
      <c r="X344" s="86">
        <f t="shared" si="70"/>
        <v>0</v>
      </c>
      <c r="Y344" s="87">
        <f t="shared" si="71"/>
        <v>0</v>
      </c>
      <c r="Z344" s="87">
        <f t="shared" si="72"/>
        <v>0</v>
      </c>
      <c r="AA344" s="87">
        <f t="shared" si="73"/>
        <v>4</v>
      </c>
    </row>
    <row r="345" spans="9:27">
      <c r="I345" s="81" t="e">
        <f>IF(#REF!&lt;&gt;"",#REF!,"")</f>
        <v>#REF!</v>
      </c>
      <c r="J345" s="81" t="e">
        <f t="shared" si="74"/>
        <v>#REF!</v>
      </c>
      <c r="L345" s="82" t="e">
        <f t="shared" si="75"/>
        <v>#REF!</v>
      </c>
      <c r="M345" s="81" t="e">
        <f t="shared" si="78"/>
        <v>#REF!</v>
      </c>
      <c r="N345" s="81" t="e">
        <f t="shared" si="76"/>
        <v>#REF!</v>
      </c>
      <c r="O345" s="81" t="e">
        <f t="shared" si="77"/>
        <v>#REF!</v>
      </c>
      <c r="Q345" s="83" t="str">
        <f t="shared" si="79"/>
        <v/>
      </c>
      <c r="R345" s="84" t="e">
        <f t="shared" si="67"/>
        <v>#REF!</v>
      </c>
      <c r="S345" s="83" t="e">
        <f t="shared" si="67"/>
        <v>#REF!</v>
      </c>
      <c r="T345" s="84" t="e">
        <f t="shared" si="68"/>
        <v>#REF!</v>
      </c>
      <c r="U345" s="84" t="e">
        <f t="shared" si="69"/>
        <v>#REF!</v>
      </c>
      <c r="V345" s="85" t="e">
        <f>#REF!</f>
        <v>#REF!</v>
      </c>
      <c r="W345" s="86">
        <f t="shared" si="70"/>
        <v>0</v>
      </c>
      <c r="X345" s="86">
        <f t="shared" si="70"/>
        <v>0</v>
      </c>
      <c r="Y345" s="87">
        <f t="shared" si="71"/>
        <v>0</v>
      </c>
      <c r="Z345" s="87">
        <f t="shared" si="72"/>
        <v>0</v>
      </c>
      <c r="AA345" s="87">
        <f t="shared" si="73"/>
        <v>4</v>
      </c>
    </row>
    <row r="346" spans="9:27">
      <c r="I346" s="81" t="e">
        <f>IF(#REF!&lt;&gt;"",#REF!,"")</f>
        <v>#REF!</v>
      </c>
      <c r="J346" s="81" t="e">
        <f t="shared" si="74"/>
        <v>#REF!</v>
      </c>
      <c r="L346" s="82" t="e">
        <f t="shared" si="75"/>
        <v>#REF!</v>
      </c>
      <c r="M346" s="81" t="e">
        <f t="shared" si="78"/>
        <v>#REF!</v>
      </c>
      <c r="N346" s="81" t="e">
        <f t="shared" si="76"/>
        <v>#REF!</v>
      </c>
      <c r="O346" s="81" t="e">
        <f t="shared" si="77"/>
        <v>#REF!</v>
      </c>
      <c r="Q346" s="83" t="str">
        <f t="shared" si="79"/>
        <v/>
      </c>
      <c r="R346" s="84" t="e">
        <f t="shared" si="67"/>
        <v>#REF!</v>
      </c>
      <c r="S346" s="83" t="e">
        <f t="shared" si="67"/>
        <v>#REF!</v>
      </c>
      <c r="T346" s="84" t="e">
        <f t="shared" si="68"/>
        <v>#REF!</v>
      </c>
      <c r="U346" s="84" t="e">
        <f t="shared" si="69"/>
        <v>#REF!</v>
      </c>
      <c r="V346" s="85" t="e">
        <f>#REF!</f>
        <v>#REF!</v>
      </c>
      <c r="W346" s="86">
        <f t="shared" si="70"/>
        <v>0</v>
      </c>
      <c r="X346" s="86">
        <f t="shared" si="70"/>
        <v>0</v>
      </c>
      <c r="Y346" s="87">
        <f t="shared" si="71"/>
        <v>0</v>
      </c>
      <c r="Z346" s="87">
        <f t="shared" si="72"/>
        <v>0</v>
      </c>
      <c r="AA346" s="87">
        <f t="shared" si="73"/>
        <v>4</v>
      </c>
    </row>
    <row r="347" spans="9:27">
      <c r="I347" s="81" t="e">
        <f>IF(#REF!&lt;&gt;"",#REF!,"")</f>
        <v>#REF!</v>
      </c>
      <c r="J347" s="81" t="e">
        <f t="shared" si="74"/>
        <v>#REF!</v>
      </c>
      <c r="L347" s="82" t="e">
        <f t="shared" si="75"/>
        <v>#REF!</v>
      </c>
      <c r="M347" s="81" t="e">
        <f t="shared" si="78"/>
        <v>#REF!</v>
      </c>
      <c r="N347" s="81" t="e">
        <f t="shared" si="76"/>
        <v>#REF!</v>
      </c>
      <c r="O347" s="81" t="e">
        <f t="shared" si="77"/>
        <v>#REF!</v>
      </c>
      <c r="Q347" s="83" t="str">
        <f t="shared" si="79"/>
        <v/>
      </c>
      <c r="R347" s="84" t="e">
        <f t="shared" si="67"/>
        <v>#REF!</v>
      </c>
      <c r="S347" s="83" t="e">
        <f t="shared" si="67"/>
        <v>#REF!</v>
      </c>
      <c r="T347" s="84" t="e">
        <f t="shared" si="68"/>
        <v>#REF!</v>
      </c>
      <c r="U347" s="84" t="e">
        <f t="shared" si="69"/>
        <v>#REF!</v>
      </c>
      <c r="V347" s="85" t="e">
        <f>#REF!</f>
        <v>#REF!</v>
      </c>
      <c r="W347" s="86">
        <f t="shared" si="70"/>
        <v>0</v>
      </c>
      <c r="X347" s="86">
        <f t="shared" si="70"/>
        <v>0</v>
      </c>
      <c r="Y347" s="87">
        <f t="shared" si="71"/>
        <v>0</v>
      </c>
      <c r="Z347" s="87">
        <f t="shared" si="72"/>
        <v>0</v>
      </c>
      <c r="AA347" s="87">
        <f t="shared" si="73"/>
        <v>4</v>
      </c>
    </row>
    <row r="348" spans="9:27">
      <c r="I348" s="81" t="e">
        <f>IF(#REF!&lt;&gt;"",#REF!,"")</f>
        <v>#REF!</v>
      </c>
      <c r="J348" s="81" t="e">
        <f t="shared" si="74"/>
        <v>#REF!</v>
      </c>
      <c r="L348" s="82" t="e">
        <f t="shared" si="75"/>
        <v>#REF!</v>
      </c>
      <c r="M348" s="81" t="e">
        <f t="shared" si="78"/>
        <v>#REF!</v>
      </c>
      <c r="N348" s="81" t="e">
        <f t="shared" si="76"/>
        <v>#REF!</v>
      </c>
      <c r="O348" s="81" t="e">
        <f t="shared" si="77"/>
        <v>#REF!</v>
      </c>
      <c r="Q348" s="83" t="str">
        <f t="shared" si="79"/>
        <v/>
      </c>
      <c r="R348" s="84" t="e">
        <f t="shared" si="67"/>
        <v>#REF!</v>
      </c>
      <c r="S348" s="83" t="e">
        <f t="shared" si="67"/>
        <v>#REF!</v>
      </c>
      <c r="T348" s="84" t="e">
        <f t="shared" si="68"/>
        <v>#REF!</v>
      </c>
      <c r="U348" s="84" t="e">
        <f t="shared" si="69"/>
        <v>#REF!</v>
      </c>
      <c r="V348" s="85" t="e">
        <f>#REF!</f>
        <v>#REF!</v>
      </c>
      <c r="W348" s="86">
        <f t="shared" si="70"/>
        <v>0</v>
      </c>
      <c r="X348" s="86">
        <f t="shared" si="70"/>
        <v>0</v>
      </c>
      <c r="Y348" s="87">
        <f t="shared" si="71"/>
        <v>0</v>
      </c>
      <c r="Z348" s="87">
        <f t="shared" si="72"/>
        <v>0</v>
      </c>
      <c r="AA348" s="87">
        <f t="shared" si="73"/>
        <v>4</v>
      </c>
    </row>
    <row r="349" spans="9:27">
      <c r="I349" s="81" t="e">
        <f>IF(#REF!&lt;&gt;"",#REF!,"")</f>
        <v>#REF!</v>
      </c>
      <c r="J349" s="81" t="e">
        <f t="shared" si="74"/>
        <v>#REF!</v>
      </c>
      <c r="L349" s="82" t="e">
        <f t="shared" si="75"/>
        <v>#REF!</v>
      </c>
      <c r="M349" s="81" t="e">
        <f t="shared" si="78"/>
        <v>#REF!</v>
      </c>
      <c r="N349" s="81" t="e">
        <f t="shared" si="76"/>
        <v>#REF!</v>
      </c>
      <c r="O349" s="81" t="e">
        <f t="shared" si="77"/>
        <v>#REF!</v>
      </c>
      <c r="Q349" s="83" t="str">
        <f t="shared" si="79"/>
        <v/>
      </c>
      <c r="R349" s="84" t="e">
        <f t="shared" si="67"/>
        <v>#REF!</v>
      </c>
      <c r="S349" s="83" t="e">
        <f t="shared" si="67"/>
        <v>#REF!</v>
      </c>
      <c r="T349" s="84" t="e">
        <f t="shared" si="68"/>
        <v>#REF!</v>
      </c>
      <c r="U349" s="84" t="e">
        <f t="shared" si="69"/>
        <v>#REF!</v>
      </c>
      <c r="V349" s="85" t="e">
        <f>#REF!</f>
        <v>#REF!</v>
      </c>
      <c r="W349" s="86">
        <f t="shared" si="70"/>
        <v>0</v>
      </c>
      <c r="X349" s="86">
        <f t="shared" si="70"/>
        <v>0</v>
      </c>
      <c r="Y349" s="87">
        <f t="shared" si="71"/>
        <v>0</v>
      </c>
      <c r="Z349" s="87">
        <f t="shared" si="72"/>
        <v>0</v>
      </c>
      <c r="AA349" s="87">
        <f t="shared" si="73"/>
        <v>4</v>
      </c>
    </row>
    <row r="350" spans="9:27">
      <c r="I350" s="81" t="e">
        <f>IF(#REF!&lt;&gt;"",#REF!,"")</f>
        <v>#REF!</v>
      </c>
      <c r="J350" s="81" t="e">
        <f t="shared" si="74"/>
        <v>#REF!</v>
      </c>
      <c r="L350" s="82" t="e">
        <f t="shared" si="75"/>
        <v>#REF!</v>
      </c>
      <c r="M350" s="81" t="e">
        <f t="shared" si="78"/>
        <v>#REF!</v>
      </c>
      <c r="N350" s="81" t="e">
        <f t="shared" si="76"/>
        <v>#REF!</v>
      </c>
      <c r="O350" s="81" t="e">
        <f t="shared" si="77"/>
        <v>#REF!</v>
      </c>
      <c r="Q350" s="83" t="str">
        <f t="shared" si="79"/>
        <v/>
      </c>
      <c r="R350" s="84" t="e">
        <f t="shared" si="67"/>
        <v>#REF!</v>
      </c>
      <c r="S350" s="83" t="e">
        <f t="shared" si="67"/>
        <v>#REF!</v>
      </c>
      <c r="T350" s="84" t="e">
        <f t="shared" si="68"/>
        <v>#REF!</v>
      </c>
      <c r="U350" s="84" t="e">
        <f t="shared" si="69"/>
        <v>#REF!</v>
      </c>
      <c r="V350" s="85" t="e">
        <f>#REF!</f>
        <v>#REF!</v>
      </c>
      <c r="W350" s="86">
        <f t="shared" si="70"/>
        <v>0</v>
      </c>
      <c r="X350" s="86">
        <f t="shared" si="70"/>
        <v>0</v>
      </c>
      <c r="Y350" s="87">
        <f t="shared" si="71"/>
        <v>0</v>
      </c>
      <c r="Z350" s="87">
        <f t="shared" si="72"/>
        <v>0</v>
      </c>
      <c r="AA350" s="87">
        <f t="shared" si="73"/>
        <v>4</v>
      </c>
    </row>
    <row r="351" spans="9:27">
      <c r="I351" s="81" t="e">
        <f>IF(#REF!&lt;&gt;"",#REF!,"")</f>
        <v>#REF!</v>
      </c>
      <c r="J351" s="81" t="e">
        <f t="shared" si="74"/>
        <v>#REF!</v>
      </c>
      <c r="L351" s="82" t="e">
        <f t="shared" si="75"/>
        <v>#REF!</v>
      </c>
      <c r="M351" s="81" t="e">
        <f t="shared" si="78"/>
        <v>#REF!</v>
      </c>
      <c r="N351" s="81" t="e">
        <f t="shared" si="76"/>
        <v>#REF!</v>
      </c>
      <c r="O351" s="81" t="e">
        <f t="shared" si="77"/>
        <v>#REF!</v>
      </c>
      <c r="Q351" s="83" t="str">
        <f t="shared" si="79"/>
        <v/>
      </c>
      <c r="R351" s="84" t="e">
        <f t="shared" si="67"/>
        <v>#REF!</v>
      </c>
      <c r="S351" s="83" t="e">
        <f t="shared" si="67"/>
        <v>#REF!</v>
      </c>
      <c r="T351" s="84" t="e">
        <f t="shared" si="68"/>
        <v>#REF!</v>
      </c>
      <c r="U351" s="84" t="e">
        <f t="shared" si="69"/>
        <v>#REF!</v>
      </c>
      <c r="V351" s="85" t="e">
        <f>#REF!</f>
        <v>#REF!</v>
      </c>
      <c r="W351" s="86">
        <f t="shared" si="70"/>
        <v>0</v>
      </c>
      <c r="X351" s="86">
        <f t="shared" si="70"/>
        <v>0</v>
      </c>
      <c r="Y351" s="87">
        <f t="shared" si="71"/>
        <v>0</v>
      </c>
      <c r="Z351" s="87">
        <f t="shared" si="72"/>
        <v>0</v>
      </c>
      <c r="AA351" s="87">
        <f t="shared" si="73"/>
        <v>4</v>
      </c>
    </row>
    <row r="352" spans="9:27">
      <c r="I352" s="81" t="e">
        <f>IF(#REF!&lt;&gt;"",#REF!,"")</f>
        <v>#REF!</v>
      </c>
      <c r="J352" s="81" t="e">
        <f t="shared" si="74"/>
        <v>#REF!</v>
      </c>
      <c r="L352" s="82" t="e">
        <f t="shared" si="75"/>
        <v>#REF!</v>
      </c>
      <c r="M352" s="81" t="e">
        <f t="shared" si="78"/>
        <v>#REF!</v>
      </c>
      <c r="N352" s="81" t="e">
        <f t="shared" si="76"/>
        <v>#REF!</v>
      </c>
      <c r="O352" s="81" t="e">
        <f t="shared" si="77"/>
        <v>#REF!</v>
      </c>
      <c r="Q352" s="83" t="str">
        <f t="shared" si="79"/>
        <v/>
      </c>
      <c r="R352" s="84" t="e">
        <f t="shared" si="67"/>
        <v>#REF!</v>
      </c>
      <c r="S352" s="83" t="e">
        <f t="shared" si="67"/>
        <v>#REF!</v>
      </c>
      <c r="T352" s="84" t="e">
        <f t="shared" si="68"/>
        <v>#REF!</v>
      </c>
      <c r="U352" s="84" t="e">
        <f t="shared" si="69"/>
        <v>#REF!</v>
      </c>
      <c r="V352" s="85" t="e">
        <f>#REF!</f>
        <v>#REF!</v>
      </c>
      <c r="W352" s="86">
        <f t="shared" si="70"/>
        <v>0</v>
      </c>
      <c r="X352" s="86">
        <f t="shared" si="70"/>
        <v>0</v>
      </c>
      <c r="Y352" s="87">
        <f t="shared" si="71"/>
        <v>0</v>
      </c>
      <c r="Z352" s="87">
        <f t="shared" si="72"/>
        <v>0</v>
      </c>
      <c r="AA352" s="87">
        <f t="shared" si="73"/>
        <v>4</v>
      </c>
    </row>
    <row r="353" spans="9:27">
      <c r="I353" s="81" t="e">
        <f>IF(#REF!&lt;&gt;"",#REF!,"")</f>
        <v>#REF!</v>
      </c>
      <c r="J353" s="81" t="e">
        <f t="shared" si="74"/>
        <v>#REF!</v>
      </c>
      <c r="L353" s="82" t="e">
        <f t="shared" si="75"/>
        <v>#REF!</v>
      </c>
      <c r="M353" s="81" t="e">
        <f t="shared" si="78"/>
        <v>#REF!</v>
      </c>
      <c r="N353" s="81" t="e">
        <f t="shared" si="76"/>
        <v>#REF!</v>
      </c>
      <c r="O353" s="81" t="e">
        <f t="shared" si="77"/>
        <v>#REF!</v>
      </c>
      <c r="Q353" s="83" t="str">
        <f t="shared" si="79"/>
        <v/>
      </c>
      <c r="R353" s="84" t="e">
        <f t="shared" si="67"/>
        <v>#REF!</v>
      </c>
      <c r="S353" s="83" t="e">
        <f t="shared" si="67"/>
        <v>#REF!</v>
      </c>
      <c r="T353" s="84" t="e">
        <f t="shared" si="68"/>
        <v>#REF!</v>
      </c>
      <c r="U353" s="84" t="e">
        <f t="shared" si="69"/>
        <v>#REF!</v>
      </c>
      <c r="V353" s="85" t="e">
        <f>#REF!</f>
        <v>#REF!</v>
      </c>
      <c r="W353" s="86">
        <f t="shared" si="70"/>
        <v>0</v>
      </c>
      <c r="X353" s="86">
        <f t="shared" si="70"/>
        <v>0</v>
      </c>
      <c r="Y353" s="87">
        <f t="shared" si="71"/>
        <v>0</v>
      </c>
      <c r="Z353" s="87">
        <f t="shared" si="72"/>
        <v>0</v>
      </c>
      <c r="AA353" s="87">
        <f t="shared" si="73"/>
        <v>4</v>
      </c>
    </row>
    <row r="354" spans="9:27">
      <c r="I354" s="81" t="e">
        <f>IF(#REF!&lt;&gt;"",#REF!,"")</f>
        <v>#REF!</v>
      </c>
      <c r="J354" s="81" t="e">
        <f t="shared" si="74"/>
        <v>#REF!</v>
      </c>
      <c r="L354" s="82" t="e">
        <f t="shared" si="75"/>
        <v>#REF!</v>
      </c>
      <c r="M354" s="81" t="e">
        <f t="shared" si="78"/>
        <v>#REF!</v>
      </c>
      <c r="N354" s="81" t="e">
        <f t="shared" si="76"/>
        <v>#REF!</v>
      </c>
      <c r="O354" s="81" t="e">
        <f t="shared" si="77"/>
        <v>#REF!</v>
      </c>
      <c r="Q354" s="83" t="str">
        <f t="shared" si="79"/>
        <v/>
      </c>
      <c r="R354" s="84" t="e">
        <f t="shared" si="67"/>
        <v>#REF!</v>
      </c>
      <c r="S354" s="83" t="e">
        <f t="shared" si="67"/>
        <v>#REF!</v>
      </c>
      <c r="T354" s="84" t="e">
        <f t="shared" si="68"/>
        <v>#REF!</v>
      </c>
      <c r="U354" s="84" t="e">
        <f t="shared" si="69"/>
        <v>#REF!</v>
      </c>
      <c r="V354" s="85" t="e">
        <f>#REF!</f>
        <v>#REF!</v>
      </c>
      <c r="W354" s="86">
        <f t="shared" si="70"/>
        <v>0</v>
      </c>
      <c r="X354" s="86">
        <f t="shared" si="70"/>
        <v>0</v>
      </c>
      <c r="Y354" s="87">
        <f t="shared" si="71"/>
        <v>0</v>
      </c>
      <c r="Z354" s="87">
        <f t="shared" si="72"/>
        <v>0</v>
      </c>
      <c r="AA354" s="87">
        <f t="shared" si="73"/>
        <v>4</v>
      </c>
    </row>
    <row r="355" spans="9:27">
      <c r="I355" s="81" t="e">
        <f>IF(#REF!&lt;&gt;"",#REF!,"")</f>
        <v>#REF!</v>
      </c>
      <c r="J355" s="81" t="e">
        <f t="shared" si="74"/>
        <v>#REF!</v>
      </c>
      <c r="L355" s="82" t="e">
        <f t="shared" si="75"/>
        <v>#REF!</v>
      </c>
      <c r="M355" s="81" t="e">
        <f t="shared" si="78"/>
        <v>#REF!</v>
      </c>
      <c r="N355" s="81" t="e">
        <f t="shared" si="76"/>
        <v>#REF!</v>
      </c>
      <c r="O355" s="81" t="e">
        <f t="shared" si="77"/>
        <v>#REF!</v>
      </c>
      <c r="Q355" s="83" t="str">
        <f t="shared" si="79"/>
        <v/>
      </c>
      <c r="R355" s="84" t="e">
        <f t="shared" si="67"/>
        <v>#REF!</v>
      </c>
      <c r="S355" s="83" t="e">
        <f t="shared" si="67"/>
        <v>#REF!</v>
      </c>
      <c r="T355" s="84" t="e">
        <f t="shared" si="68"/>
        <v>#REF!</v>
      </c>
      <c r="U355" s="84" t="e">
        <f t="shared" si="69"/>
        <v>#REF!</v>
      </c>
      <c r="V355" s="85" t="e">
        <f>#REF!</f>
        <v>#REF!</v>
      </c>
      <c r="W355" s="86">
        <f t="shared" si="70"/>
        <v>0</v>
      </c>
      <c r="X355" s="86">
        <f t="shared" si="70"/>
        <v>0</v>
      </c>
      <c r="Y355" s="87">
        <f t="shared" si="71"/>
        <v>0</v>
      </c>
      <c r="Z355" s="87">
        <f t="shared" si="72"/>
        <v>0</v>
      </c>
      <c r="AA355" s="87">
        <f t="shared" si="73"/>
        <v>4</v>
      </c>
    </row>
    <row r="356" spans="9:27">
      <c r="I356" s="81" t="e">
        <f>IF(#REF!&lt;&gt;"",#REF!,"")</f>
        <v>#REF!</v>
      </c>
      <c r="J356" s="81" t="e">
        <f t="shared" si="74"/>
        <v>#REF!</v>
      </c>
      <c r="L356" s="82" t="e">
        <f t="shared" si="75"/>
        <v>#REF!</v>
      </c>
      <c r="M356" s="81" t="e">
        <f t="shared" si="78"/>
        <v>#REF!</v>
      </c>
      <c r="N356" s="81" t="e">
        <f t="shared" si="76"/>
        <v>#REF!</v>
      </c>
      <c r="O356" s="81" t="e">
        <f t="shared" si="77"/>
        <v>#REF!</v>
      </c>
      <c r="Q356" s="83" t="str">
        <f t="shared" si="79"/>
        <v/>
      </c>
      <c r="R356" s="84" t="e">
        <f t="shared" si="67"/>
        <v>#REF!</v>
      </c>
      <c r="S356" s="83" t="e">
        <f t="shared" si="67"/>
        <v>#REF!</v>
      </c>
      <c r="T356" s="84" t="e">
        <f t="shared" si="68"/>
        <v>#REF!</v>
      </c>
      <c r="U356" s="84" t="e">
        <f t="shared" si="69"/>
        <v>#REF!</v>
      </c>
      <c r="V356" s="85" t="e">
        <f>#REF!</f>
        <v>#REF!</v>
      </c>
      <c r="W356" s="86">
        <f t="shared" si="70"/>
        <v>0</v>
      </c>
      <c r="X356" s="86">
        <f t="shared" si="70"/>
        <v>0</v>
      </c>
      <c r="Y356" s="87">
        <f t="shared" si="71"/>
        <v>0</v>
      </c>
      <c r="Z356" s="87">
        <f t="shared" si="72"/>
        <v>0</v>
      </c>
      <c r="AA356" s="87">
        <f t="shared" si="73"/>
        <v>4</v>
      </c>
    </row>
    <row r="357" spans="9:27">
      <c r="I357" s="81" t="e">
        <f>IF(#REF!&lt;&gt;"",#REF!,"")</f>
        <v>#REF!</v>
      </c>
      <c r="J357" s="81" t="e">
        <f t="shared" si="74"/>
        <v>#REF!</v>
      </c>
      <c r="L357" s="82" t="e">
        <f t="shared" si="75"/>
        <v>#REF!</v>
      </c>
      <c r="M357" s="81" t="e">
        <f t="shared" si="78"/>
        <v>#REF!</v>
      </c>
      <c r="N357" s="81" t="e">
        <f t="shared" si="76"/>
        <v>#REF!</v>
      </c>
      <c r="O357" s="81" t="e">
        <f t="shared" si="77"/>
        <v>#REF!</v>
      </c>
      <c r="Q357" s="83" t="str">
        <f t="shared" si="79"/>
        <v/>
      </c>
      <c r="R357" s="84" t="e">
        <f t="shared" si="67"/>
        <v>#REF!</v>
      </c>
      <c r="S357" s="83" t="e">
        <f t="shared" si="67"/>
        <v>#REF!</v>
      </c>
      <c r="T357" s="84" t="e">
        <f t="shared" si="68"/>
        <v>#REF!</v>
      </c>
      <c r="U357" s="84" t="e">
        <f t="shared" si="69"/>
        <v>#REF!</v>
      </c>
      <c r="V357" s="85" t="e">
        <f>#REF!</f>
        <v>#REF!</v>
      </c>
      <c r="W357" s="86">
        <f t="shared" si="70"/>
        <v>0</v>
      </c>
      <c r="X357" s="86">
        <f t="shared" si="70"/>
        <v>0</v>
      </c>
      <c r="Y357" s="87">
        <f t="shared" si="71"/>
        <v>0</v>
      </c>
      <c r="Z357" s="87">
        <f t="shared" si="72"/>
        <v>0</v>
      </c>
      <c r="AA357" s="87">
        <f t="shared" si="73"/>
        <v>4</v>
      </c>
    </row>
    <row r="358" spans="9:27">
      <c r="I358" s="81" t="e">
        <f>IF(#REF!&lt;&gt;"",#REF!,"")</f>
        <v>#REF!</v>
      </c>
      <c r="J358" s="81" t="e">
        <f t="shared" si="74"/>
        <v>#REF!</v>
      </c>
      <c r="L358" s="82" t="e">
        <f t="shared" si="75"/>
        <v>#REF!</v>
      </c>
      <c r="M358" s="81" t="e">
        <f t="shared" si="78"/>
        <v>#REF!</v>
      </c>
      <c r="N358" s="81" t="e">
        <f t="shared" si="76"/>
        <v>#REF!</v>
      </c>
      <c r="O358" s="81" t="e">
        <f t="shared" si="77"/>
        <v>#REF!</v>
      </c>
      <c r="Q358" s="83" t="str">
        <f t="shared" si="79"/>
        <v/>
      </c>
      <c r="R358" s="84" t="e">
        <f t="shared" si="67"/>
        <v>#REF!</v>
      </c>
      <c r="S358" s="83" t="e">
        <f t="shared" si="67"/>
        <v>#REF!</v>
      </c>
      <c r="T358" s="84" t="e">
        <f t="shared" si="68"/>
        <v>#REF!</v>
      </c>
      <c r="U358" s="84" t="e">
        <f t="shared" si="69"/>
        <v>#REF!</v>
      </c>
      <c r="V358" s="85" t="e">
        <f>#REF!</f>
        <v>#REF!</v>
      </c>
      <c r="W358" s="86">
        <f t="shared" si="70"/>
        <v>0</v>
      </c>
      <c r="X358" s="86">
        <f t="shared" si="70"/>
        <v>0</v>
      </c>
      <c r="Y358" s="87">
        <f t="shared" si="71"/>
        <v>0</v>
      </c>
      <c r="Z358" s="87">
        <f t="shared" si="72"/>
        <v>0</v>
      </c>
      <c r="AA358" s="87">
        <f t="shared" si="73"/>
        <v>4</v>
      </c>
    </row>
    <row r="359" spans="9:27">
      <c r="I359" s="81" t="e">
        <f>IF(#REF!&lt;&gt;"",#REF!,"")</f>
        <v>#REF!</v>
      </c>
      <c r="J359" s="81" t="e">
        <f t="shared" si="74"/>
        <v>#REF!</v>
      </c>
      <c r="L359" s="82" t="e">
        <f t="shared" si="75"/>
        <v>#REF!</v>
      </c>
      <c r="M359" s="81" t="e">
        <f t="shared" si="78"/>
        <v>#REF!</v>
      </c>
      <c r="N359" s="81" t="e">
        <f t="shared" si="76"/>
        <v>#REF!</v>
      </c>
      <c r="O359" s="81" t="e">
        <f t="shared" si="77"/>
        <v>#REF!</v>
      </c>
      <c r="Q359" s="83" t="str">
        <f t="shared" si="79"/>
        <v/>
      </c>
      <c r="R359" s="84" t="e">
        <f t="shared" si="67"/>
        <v>#REF!</v>
      </c>
      <c r="S359" s="83" t="e">
        <f t="shared" si="67"/>
        <v>#REF!</v>
      </c>
      <c r="T359" s="84" t="e">
        <f t="shared" si="68"/>
        <v>#REF!</v>
      </c>
      <c r="U359" s="84" t="e">
        <f t="shared" si="69"/>
        <v>#REF!</v>
      </c>
      <c r="V359" s="85" t="e">
        <f>#REF!</f>
        <v>#REF!</v>
      </c>
      <c r="W359" s="86">
        <f t="shared" si="70"/>
        <v>0</v>
      </c>
      <c r="X359" s="86">
        <f t="shared" si="70"/>
        <v>0</v>
      </c>
      <c r="Y359" s="87">
        <f t="shared" si="71"/>
        <v>0</v>
      </c>
      <c r="Z359" s="87">
        <f t="shared" si="72"/>
        <v>0</v>
      </c>
      <c r="AA359" s="87">
        <f t="shared" si="73"/>
        <v>4</v>
      </c>
    </row>
    <row r="360" spans="9:27">
      <c r="I360" s="81" t="e">
        <f>IF(#REF!&lt;&gt;"",#REF!,"")</f>
        <v>#REF!</v>
      </c>
      <c r="J360" s="81" t="e">
        <f t="shared" si="74"/>
        <v>#REF!</v>
      </c>
      <c r="L360" s="82" t="e">
        <f t="shared" si="75"/>
        <v>#REF!</v>
      </c>
      <c r="M360" s="81" t="e">
        <f t="shared" si="78"/>
        <v>#REF!</v>
      </c>
      <c r="N360" s="81" t="e">
        <f t="shared" si="76"/>
        <v>#REF!</v>
      </c>
      <c r="O360" s="81" t="e">
        <f t="shared" si="77"/>
        <v>#REF!</v>
      </c>
      <c r="Q360" s="83" t="str">
        <f t="shared" si="79"/>
        <v/>
      </c>
      <c r="R360" s="84" t="e">
        <f t="shared" si="67"/>
        <v>#REF!</v>
      </c>
      <c r="S360" s="83" t="e">
        <f t="shared" si="67"/>
        <v>#REF!</v>
      </c>
      <c r="T360" s="84" t="e">
        <f t="shared" si="68"/>
        <v>#REF!</v>
      </c>
      <c r="U360" s="84" t="e">
        <f t="shared" si="69"/>
        <v>#REF!</v>
      </c>
      <c r="V360" s="85" t="e">
        <f>#REF!</f>
        <v>#REF!</v>
      </c>
      <c r="W360" s="86">
        <f t="shared" si="70"/>
        <v>0</v>
      </c>
      <c r="X360" s="86">
        <f t="shared" si="70"/>
        <v>0</v>
      </c>
      <c r="Y360" s="87">
        <f t="shared" si="71"/>
        <v>0</v>
      </c>
      <c r="Z360" s="87">
        <f t="shared" si="72"/>
        <v>0</v>
      </c>
      <c r="AA360" s="87">
        <f t="shared" si="73"/>
        <v>4</v>
      </c>
    </row>
    <row r="361" spans="9:27">
      <c r="I361" s="81" t="e">
        <f>IF(#REF!&lt;&gt;"",#REF!,"")</f>
        <v>#REF!</v>
      </c>
      <c r="J361" s="81" t="e">
        <f t="shared" si="74"/>
        <v>#REF!</v>
      </c>
      <c r="L361" s="82" t="e">
        <f t="shared" si="75"/>
        <v>#REF!</v>
      </c>
      <c r="M361" s="81" t="e">
        <f t="shared" si="78"/>
        <v>#REF!</v>
      </c>
      <c r="N361" s="81" t="e">
        <f t="shared" si="76"/>
        <v>#REF!</v>
      </c>
      <c r="O361" s="81" t="e">
        <f t="shared" si="77"/>
        <v>#REF!</v>
      </c>
      <c r="Q361" s="83" t="str">
        <f t="shared" si="79"/>
        <v/>
      </c>
      <c r="R361" s="84" t="e">
        <f t="shared" si="67"/>
        <v>#REF!</v>
      </c>
      <c r="S361" s="83" t="e">
        <f t="shared" si="67"/>
        <v>#REF!</v>
      </c>
      <c r="T361" s="84" t="e">
        <f t="shared" si="68"/>
        <v>#REF!</v>
      </c>
      <c r="U361" s="84" t="e">
        <f t="shared" si="69"/>
        <v>#REF!</v>
      </c>
      <c r="V361" s="85" t="e">
        <f>#REF!</f>
        <v>#REF!</v>
      </c>
      <c r="W361" s="86">
        <f t="shared" si="70"/>
        <v>0</v>
      </c>
      <c r="X361" s="86">
        <f t="shared" si="70"/>
        <v>0</v>
      </c>
      <c r="Y361" s="87">
        <f t="shared" si="71"/>
        <v>0</v>
      </c>
      <c r="Z361" s="87">
        <f t="shared" si="72"/>
        <v>0</v>
      </c>
      <c r="AA361" s="87">
        <f t="shared" si="73"/>
        <v>4</v>
      </c>
    </row>
    <row r="362" spans="9:27">
      <c r="I362" s="81" t="e">
        <f>IF(#REF!&lt;&gt;"",#REF!,"")</f>
        <v>#REF!</v>
      </c>
      <c r="J362" s="81" t="e">
        <f t="shared" si="74"/>
        <v>#REF!</v>
      </c>
      <c r="L362" s="82" t="e">
        <f t="shared" si="75"/>
        <v>#REF!</v>
      </c>
      <c r="M362" s="81" t="e">
        <f t="shared" si="78"/>
        <v>#REF!</v>
      </c>
      <c r="N362" s="81" t="e">
        <f t="shared" si="76"/>
        <v>#REF!</v>
      </c>
      <c r="O362" s="81" t="e">
        <f t="shared" si="77"/>
        <v>#REF!</v>
      </c>
      <c r="Q362" s="83" t="str">
        <f t="shared" si="79"/>
        <v/>
      </c>
      <c r="R362" s="84" t="e">
        <f t="shared" si="67"/>
        <v>#REF!</v>
      </c>
      <c r="S362" s="83" t="e">
        <f t="shared" si="67"/>
        <v>#REF!</v>
      </c>
      <c r="T362" s="84" t="e">
        <f t="shared" si="68"/>
        <v>#REF!</v>
      </c>
      <c r="U362" s="84" t="e">
        <f t="shared" si="69"/>
        <v>#REF!</v>
      </c>
      <c r="V362" s="85" t="e">
        <f>#REF!</f>
        <v>#REF!</v>
      </c>
      <c r="W362" s="86">
        <f t="shared" si="70"/>
        <v>0</v>
      </c>
      <c r="X362" s="86">
        <f t="shared" si="70"/>
        <v>0</v>
      </c>
      <c r="Y362" s="87">
        <f t="shared" si="71"/>
        <v>0</v>
      </c>
      <c r="Z362" s="87">
        <f t="shared" si="72"/>
        <v>0</v>
      </c>
      <c r="AA362" s="87">
        <f t="shared" si="73"/>
        <v>4</v>
      </c>
    </row>
    <row r="363" spans="9:27">
      <c r="I363" s="81" t="e">
        <f>IF(#REF!&lt;&gt;"",#REF!,"")</f>
        <v>#REF!</v>
      </c>
      <c r="J363" s="81" t="e">
        <f t="shared" si="74"/>
        <v>#REF!</v>
      </c>
      <c r="L363" s="82" t="e">
        <f t="shared" si="75"/>
        <v>#REF!</v>
      </c>
      <c r="M363" s="81" t="e">
        <f t="shared" si="78"/>
        <v>#REF!</v>
      </c>
      <c r="N363" s="81" t="e">
        <f t="shared" si="76"/>
        <v>#REF!</v>
      </c>
      <c r="O363" s="81" t="e">
        <f t="shared" si="77"/>
        <v>#REF!</v>
      </c>
      <c r="Q363" s="83" t="str">
        <f t="shared" si="79"/>
        <v/>
      </c>
      <c r="R363" s="84" t="e">
        <f t="shared" si="67"/>
        <v>#REF!</v>
      </c>
      <c r="S363" s="83" t="e">
        <f t="shared" si="67"/>
        <v>#REF!</v>
      </c>
      <c r="T363" s="84" t="e">
        <f t="shared" si="68"/>
        <v>#REF!</v>
      </c>
      <c r="U363" s="84" t="e">
        <f t="shared" si="69"/>
        <v>#REF!</v>
      </c>
      <c r="V363" s="85" t="e">
        <f>#REF!</f>
        <v>#REF!</v>
      </c>
      <c r="W363" s="86">
        <f t="shared" si="70"/>
        <v>0</v>
      </c>
      <c r="X363" s="86">
        <f t="shared" si="70"/>
        <v>0</v>
      </c>
      <c r="Y363" s="87">
        <f t="shared" si="71"/>
        <v>0</v>
      </c>
      <c r="Z363" s="87">
        <f t="shared" si="72"/>
        <v>0</v>
      </c>
      <c r="AA363" s="87">
        <f t="shared" si="73"/>
        <v>4</v>
      </c>
    </row>
    <row r="364" spans="9:27">
      <c r="I364" s="81" t="e">
        <f>IF(#REF!&lt;&gt;"",#REF!,"")</f>
        <v>#REF!</v>
      </c>
      <c r="J364" s="81" t="e">
        <f t="shared" si="74"/>
        <v>#REF!</v>
      </c>
      <c r="L364" s="82" t="e">
        <f t="shared" si="75"/>
        <v>#REF!</v>
      </c>
      <c r="M364" s="81" t="e">
        <f t="shared" si="78"/>
        <v>#REF!</v>
      </c>
      <c r="N364" s="81" t="e">
        <f t="shared" si="76"/>
        <v>#REF!</v>
      </c>
      <c r="O364" s="81" t="e">
        <f t="shared" si="77"/>
        <v>#REF!</v>
      </c>
      <c r="Q364" s="83" t="str">
        <f t="shared" si="79"/>
        <v/>
      </c>
      <c r="R364" s="84" t="e">
        <f t="shared" si="67"/>
        <v>#REF!</v>
      </c>
      <c r="S364" s="83" t="e">
        <f t="shared" si="67"/>
        <v>#REF!</v>
      </c>
      <c r="T364" s="84" t="e">
        <f t="shared" si="68"/>
        <v>#REF!</v>
      </c>
      <c r="U364" s="84" t="e">
        <f t="shared" si="69"/>
        <v>#REF!</v>
      </c>
      <c r="V364" s="85" t="e">
        <f>#REF!</f>
        <v>#REF!</v>
      </c>
      <c r="W364" s="86">
        <f t="shared" si="70"/>
        <v>0</v>
      </c>
      <c r="X364" s="86">
        <f t="shared" si="70"/>
        <v>0</v>
      </c>
      <c r="Y364" s="87">
        <f t="shared" si="71"/>
        <v>0</v>
      </c>
      <c r="Z364" s="87">
        <f t="shared" si="72"/>
        <v>0</v>
      </c>
      <c r="AA364" s="87">
        <f t="shared" si="73"/>
        <v>4</v>
      </c>
    </row>
    <row r="365" spans="9:27">
      <c r="I365" s="81" t="e">
        <f>IF(#REF!&lt;&gt;"",#REF!,"")</f>
        <v>#REF!</v>
      </c>
      <c r="J365" s="81" t="e">
        <f t="shared" si="74"/>
        <v>#REF!</v>
      </c>
      <c r="L365" s="82" t="e">
        <f t="shared" si="75"/>
        <v>#REF!</v>
      </c>
      <c r="M365" s="81" t="e">
        <f t="shared" si="78"/>
        <v>#REF!</v>
      </c>
      <c r="N365" s="81" t="e">
        <f t="shared" si="76"/>
        <v>#REF!</v>
      </c>
      <c r="O365" s="81" t="e">
        <f t="shared" si="77"/>
        <v>#REF!</v>
      </c>
      <c r="Q365" s="83" t="str">
        <f t="shared" si="79"/>
        <v/>
      </c>
      <c r="R365" s="84" t="e">
        <f t="shared" si="67"/>
        <v>#REF!</v>
      </c>
      <c r="S365" s="83" t="e">
        <f t="shared" si="67"/>
        <v>#REF!</v>
      </c>
      <c r="T365" s="84" t="e">
        <f t="shared" si="68"/>
        <v>#REF!</v>
      </c>
      <c r="U365" s="84" t="e">
        <f t="shared" si="69"/>
        <v>#REF!</v>
      </c>
      <c r="V365" s="85" t="e">
        <f>#REF!</f>
        <v>#REF!</v>
      </c>
      <c r="W365" s="86">
        <f t="shared" si="70"/>
        <v>0</v>
      </c>
      <c r="X365" s="86">
        <f t="shared" si="70"/>
        <v>0</v>
      </c>
      <c r="Y365" s="87">
        <f t="shared" si="71"/>
        <v>0</v>
      </c>
      <c r="Z365" s="87">
        <f t="shared" si="72"/>
        <v>0</v>
      </c>
      <c r="AA365" s="87">
        <f t="shared" si="73"/>
        <v>4</v>
      </c>
    </row>
    <row r="366" spans="9:27">
      <c r="I366" s="81" t="e">
        <f>IF(#REF!&lt;&gt;"",#REF!,"")</f>
        <v>#REF!</v>
      </c>
      <c r="J366" s="81" t="e">
        <f t="shared" si="74"/>
        <v>#REF!</v>
      </c>
      <c r="L366" s="82" t="e">
        <f t="shared" si="75"/>
        <v>#REF!</v>
      </c>
      <c r="M366" s="81" t="e">
        <f t="shared" si="78"/>
        <v>#REF!</v>
      </c>
      <c r="N366" s="81" t="e">
        <f t="shared" si="76"/>
        <v>#REF!</v>
      </c>
      <c r="O366" s="81" t="e">
        <f t="shared" si="77"/>
        <v>#REF!</v>
      </c>
      <c r="Q366" s="83" t="str">
        <f t="shared" si="79"/>
        <v/>
      </c>
      <c r="R366" s="84" t="e">
        <f t="shared" si="67"/>
        <v>#REF!</v>
      </c>
      <c r="S366" s="83" t="e">
        <f t="shared" si="67"/>
        <v>#REF!</v>
      </c>
      <c r="T366" s="84" t="e">
        <f t="shared" si="68"/>
        <v>#REF!</v>
      </c>
      <c r="U366" s="84" t="e">
        <f t="shared" si="69"/>
        <v>#REF!</v>
      </c>
      <c r="V366" s="85" t="e">
        <f>#REF!</f>
        <v>#REF!</v>
      </c>
      <c r="W366" s="86">
        <f t="shared" si="70"/>
        <v>0</v>
      </c>
      <c r="X366" s="86">
        <f t="shared" si="70"/>
        <v>0</v>
      </c>
      <c r="Y366" s="87">
        <f t="shared" si="71"/>
        <v>0</v>
      </c>
      <c r="Z366" s="87">
        <f t="shared" si="72"/>
        <v>0</v>
      </c>
      <c r="AA366" s="87">
        <f t="shared" si="73"/>
        <v>4</v>
      </c>
    </row>
    <row r="367" spans="9:27">
      <c r="I367" s="81" t="e">
        <f>IF(#REF!&lt;&gt;"",#REF!,"")</f>
        <v>#REF!</v>
      </c>
      <c r="J367" s="81" t="e">
        <f t="shared" si="74"/>
        <v>#REF!</v>
      </c>
      <c r="L367" s="82" t="e">
        <f t="shared" si="75"/>
        <v>#REF!</v>
      </c>
      <c r="M367" s="81" t="e">
        <f t="shared" si="78"/>
        <v>#REF!</v>
      </c>
      <c r="N367" s="81" t="e">
        <f t="shared" si="76"/>
        <v>#REF!</v>
      </c>
      <c r="O367" s="81" t="e">
        <f t="shared" si="77"/>
        <v>#REF!</v>
      </c>
      <c r="Q367" s="83" t="str">
        <f t="shared" si="79"/>
        <v/>
      </c>
      <c r="R367" s="84" t="e">
        <f t="shared" si="67"/>
        <v>#REF!</v>
      </c>
      <c r="S367" s="83" t="e">
        <f t="shared" si="67"/>
        <v>#REF!</v>
      </c>
      <c r="T367" s="84" t="e">
        <f t="shared" si="68"/>
        <v>#REF!</v>
      </c>
      <c r="U367" s="84" t="e">
        <f t="shared" si="69"/>
        <v>#REF!</v>
      </c>
      <c r="V367" s="85" t="e">
        <f>#REF!</f>
        <v>#REF!</v>
      </c>
      <c r="W367" s="86">
        <f t="shared" si="70"/>
        <v>0</v>
      </c>
      <c r="X367" s="86">
        <f t="shared" si="70"/>
        <v>0</v>
      </c>
      <c r="Y367" s="87">
        <f t="shared" si="71"/>
        <v>0</v>
      </c>
      <c r="Z367" s="87">
        <f t="shared" si="72"/>
        <v>0</v>
      </c>
      <c r="AA367" s="87">
        <f t="shared" si="73"/>
        <v>4</v>
      </c>
    </row>
    <row r="368" spans="9:27">
      <c r="I368" s="81" t="e">
        <f>IF(#REF!&lt;&gt;"",#REF!,"")</f>
        <v>#REF!</v>
      </c>
      <c r="J368" s="81" t="e">
        <f t="shared" si="74"/>
        <v>#REF!</v>
      </c>
      <c r="L368" s="82" t="e">
        <f t="shared" si="75"/>
        <v>#REF!</v>
      </c>
      <c r="M368" s="81" t="e">
        <f t="shared" si="78"/>
        <v>#REF!</v>
      </c>
      <c r="N368" s="81" t="e">
        <f t="shared" si="76"/>
        <v>#REF!</v>
      </c>
      <c r="O368" s="81" t="e">
        <f t="shared" si="77"/>
        <v>#REF!</v>
      </c>
      <c r="Q368" s="83" t="str">
        <f t="shared" si="79"/>
        <v/>
      </c>
      <c r="R368" s="84" t="e">
        <f t="shared" si="67"/>
        <v>#REF!</v>
      </c>
      <c r="S368" s="83" t="e">
        <f t="shared" si="67"/>
        <v>#REF!</v>
      </c>
      <c r="T368" s="84" t="e">
        <f t="shared" si="68"/>
        <v>#REF!</v>
      </c>
      <c r="U368" s="84" t="e">
        <f t="shared" si="69"/>
        <v>#REF!</v>
      </c>
      <c r="V368" s="85" t="e">
        <f>#REF!</f>
        <v>#REF!</v>
      </c>
      <c r="W368" s="86">
        <f t="shared" si="70"/>
        <v>0</v>
      </c>
      <c r="X368" s="86">
        <f t="shared" si="70"/>
        <v>0</v>
      </c>
      <c r="Y368" s="87">
        <f t="shared" si="71"/>
        <v>0</v>
      </c>
      <c r="Z368" s="87">
        <f t="shared" si="72"/>
        <v>0</v>
      </c>
      <c r="AA368" s="87">
        <f t="shared" si="73"/>
        <v>4</v>
      </c>
    </row>
    <row r="369" spans="9:27">
      <c r="I369" s="81" t="e">
        <f>IF(#REF!&lt;&gt;"",#REF!,"")</f>
        <v>#REF!</v>
      </c>
      <c r="J369" s="81" t="e">
        <f t="shared" si="74"/>
        <v>#REF!</v>
      </c>
      <c r="L369" s="82" t="e">
        <f t="shared" si="75"/>
        <v>#REF!</v>
      </c>
      <c r="M369" s="81" t="e">
        <f t="shared" si="78"/>
        <v>#REF!</v>
      </c>
      <c r="N369" s="81" t="e">
        <f t="shared" si="76"/>
        <v>#REF!</v>
      </c>
      <c r="O369" s="81" t="e">
        <f t="shared" si="77"/>
        <v>#REF!</v>
      </c>
      <c r="Q369" s="83" t="str">
        <f t="shared" si="79"/>
        <v/>
      </c>
      <c r="R369" s="84" t="e">
        <f t="shared" si="67"/>
        <v>#REF!</v>
      </c>
      <c r="S369" s="83" t="e">
        <f t="shared" si="67"/>
        <v>#REF!</v>
      </c>
      <c r="T369" s="84" t="e">
        <f t="shared" si="68"/>
        <v>#REF!</v>
      </c>
      <c r="U369" s="84" t="e">
        <f t="shared" si="69"/>
        <v>#REF!</v>
      </c>
      <c r="V369" s="85" t="e">
        <f>#REF!</f>
        <v>#REF!</v>
      </c>
      <c r="W369" s="86">
        <f t="shared" si="70"/>
        <v>0</v>
      </c>
      <c r="X369" s="86">
        <f t="shared" si="70"/>
        <v>0</v>
      </c>
      <c r="Y369" s="87">
        <f t="shared" si="71"/>
        <v>0</v>
      </c>
      <c r="Z369" s="87">
        <f t="shared" si="72"/>
        <v>0</v>
      </c>
      <c r="AA369" s="87">
        <f t="shared" si="73"/>
        <v>4</v>
      </c>
    </row>
    <row r="370" spans="9:27">
      <c r="I370" s="81" t="e">
        <f>IF(#REF!&lt;&gt;"",#REF!,"")</f>
        <v>#REF!</v>
      </c>
      <c r="J370" s="81" t="e">
        <f t="shared" si="74"/>
        <v>#REF!</v>
      </c>
      <c r="L370" s="82" t="e">
        <f t="shared" si="75"/>
        <v>#REF!</v>
      </c>
      <c r="M370" s="81" t="e">
        <f t="shared" si="78"/>
        <v>#REF!</v>
      </c>
      <c r="N370" s="81" t="e">
        <f t="shared" si="76"/>
        <v>#REF!</v>
      </c>
      <c r="O370" s="81" t="e">
        <f t="shared" si="77"/>
        <v>#REF!</v>
      </c>
      <c r="Q370" s="83" t="str">
        <f t="shared" si="79"/>
        <v/>
      </c>
      <c r="R370" s="84" t="e">
        <f t="shared" si="67"/>
        <v>#REF!</v>
      </c>
      <c r="S370" s="83" t="e">
        <f t="shared" si="67"/>
        <v>#REF!</v>
      </c>
      <c r="T370" s="84" t="e">
        <f t="shared" si="68"/>
        <v>#REF!</v>
      </c>
      <c r="U370" s="84" t="e">
        <f t="shared" si="69"/>
        <v>#REF!</v>
      </c>
      <c r="V370" s="85" t="e">
        <f>#REF!</f>
        <v>#REF!</v>
      </c>
      <c r="W370" s="86">
        <f t="shared" si="70"/>
        <v>0</v>
      </c>
      <c r="X370" s="86">
        <f t="shared" si="70"/>
        <v>0</v>
      </c>
      <c r="Y370" s="87">
        <f t="shared" si="71"/>
        <v>0</v>
      </c>
      <c r="Z370" s="87">
        <f t="shared" si="72"/>
        <v>0</v>
      </c>
      <c r="AA370" s="87">
        <f t="shared" si="73"/>
        <v>4</v>
      </c>
    </row>
    <row r="371" spans="9:27">
      <c r="I371" s="81" t="e">
        <f>IF(#REF!&lt;&gt;"",#REF!,"")</f>
        <v>#REF!</v>
      </c>
      <c r="J371" s="81" t="e">
        <f t="shared" si="74"/>
        <v>#REF!</v>
      </c>
      <c r="L371" s="82" t="e">
        <f t="shared" si="75"/>
        <v>#REF!</v>
      </c>
      <c r="M371" s="81" t="e">
        <f t="shared" si="78"/>
        <v>#REF!</v>
      </c>
      <c r="N371" s="81" t="e">
        <f t="shared" si="76"/>
        <v>#REF!</v>
      </c>
      <c r="O371" s="81" t="e">
        <f t="shared" si="77"/>
        <v>#REF!</v>
      </c>
      <c r="Q371" s="83" t="str">
        <f t="shared" si="79"/>
        <v/>
      </c>
      <c r="R371" s="84" t="e">
        <f t="shared" si="67"/>
        <v>#REF!</v>
      </c>
      <c r="S371" s="83" t="e">
        <f t="shared" si="67"/>
        <v>#REF!</v>
      </c>
      <c r="T371" s="84" t="e">
        <f t="shared" si="68"/>
        <v>#REF!</v>
      </c>
      <c r="U371" s="84" t="e">
        <f t="shared" si="69"/>
        <v>#REF!</v>
      </c>
      <c r="V371" s="85" t="e">
        <f>#REF!</f>
        <v>#REF!</v>
      </c>
      <c r="W371" s="86">
        <f t="shared" si="70"/>
        <v>0</v>
      </c>
      <c r="X371" s="86">
        <f t="shared" si="70"/>
        <v>0</v>
      </c>
      <c r="Y371" s="87">
        <f t="shared" si="71"/>
        <v>0</v>
      </c>
      <c r="Z371" s="87">
        <f t="shared" si="72"/>
        <v>0</v>
      </c>
      <c r="AA371" s="87">
        <f t="shared" si="73"/>
        <v>4</v>
      </c>
    </row>
    <row r="372" spans="9:27">
      <c r="I372" s="81" t="e">
        <f>IF(#REF!&lt;&gt;"",#REF!,"")</f>
        <v>#REF!</v>
      </c>
      <c r="J372" s="81" t="e">
        <f t="shared" si="74"/>
        <v>#REF!</v>
      </c>
      <c r="L372" s="82" t="e">
        <f t="shared" si="75"/>
        <v>#REF!</v>
      </c>
      <c r="M372" s="81" t="e">
        <f t="shared" si="78"/>
        <v>#REF!</v>
      </c>
      <c r="N372" s="81" t="e">
        <f t="shared" si="76"/>
        <v>#REF!</v>
      </c>
      <c r="O372" s="81" t="e">
        <f t="shared" si="77"/>
        <v>#REF!</v>
      </c>
      <c r="Q372" s="83" t="str">
        <f t="shared" si="79"/>
        <v/>
      </c>
      <c r="R372" s="84" t="e">
        <f t="shared" si="67"/>
        <v>#REF!</v>
      </c>
      <c r="S372" s="83" t="e">
        <f t="shared" si="67"/>
        <v>#REF!</v>
      </c>
      <c r="T372" s="84" t="e">
        <f t="shared" si="68"/>
        <v>#REF!</v>
      </c>
      <c r="U372" s="84" t="e">
        <f t="shared" si="69"/>
        <v>#REF!</v>
      </c>
      <c r="V372" s="85" t="e">
        <f>#REF!</f>
        <v>#REF!</v>
      </c>
      <c r="W372" s="86">
        <f t="shared" si="70"/>
        <v>0</v>
      </c>
      <c r="X372" s="86">
        <f t="shared" si="70"/>
        <v>0</v>
      </c>
      <c r="Y372" s="87">
        <f t="shared" si="71"/>
        <v>0</v>
      </c>
      <c r="Z372" s="87">
        <f t="shared" si="72"/>
        <v>0</v>
      </c>
      <c r="AA372" s="87">
        <f t="shared" si="73"/>
        <v>4</v>
      </c>
    </row>
    <row r="373" spans="9:27">
      <c r="I373" s="81" t="e">
        <f>IF(#REF!&lt;&gt;"",#REF!,"")</f>
        <v>#REF!</v>
      </c>
      <c r="J373" s="81" t="e">
        <f t="shared" si="74"/>
        <v>#REF!</v>
      </c>
      <c r="L373" s="82" t="e">
        <f t="shared" si="75"/>
        <v>#REF!</v>
      </c>
      <c r="M373" s="81" t="e">
        <f t="shared" si="78"/>
        <v>#REF!</v>
      </c>
      <c r="N373" s="81" t="e">
        <f t="shared" si="76"/>
        <v>#REF!</v>
      </c>
      <c r="O373" s="81" t="e">
        <f t="shared" si="77"/>
        <v>#REF!</v>
      </c>
      <c r="Q373" s="83" t="str">
        <f t="shared" si="79"/>
        <v/>
      </c>
      <c r="R373" s="84" t="e">
        <f t="shared" si="67"/>
        <v>#REF!</v>
      </c>
      <c r="S373" s="83" t="e">
        <f t="shared" si="67"/>
        <v>#REF!</v>
      </c>
      <c r="T373" s="84" t="e">
        <f t="shared" si="68"/>
        <v>#REF!</v>
      </c>
      <c r="U373" s="84" t="e">
        <f t="shared" si="69"/>
        <v>#REF!</v>
      </c>
      <c r="V373" s="85" t="e">
        <f>#REF!</f>
        <v>#REF!</v>
      </c>
      <c r="W373" s="86">
        <f t="shared" si="70"/>
        <v>0</v>
      </c>
      <c r="X373" s="86">
        <f t="shared" si="70"/>
        <v>0</v>
      </c>
      <c r="Y373" s="87">
        <f t="shared" si="71"/>
        <v>0</v>
      </c>
      <c r="Z373" s="87">
        <f t="shared" si="72"/>
        <v>0</v>
      </c>
      <c r="AA373" s="87">
        <f t="shared" si="73"/>
        <v>4</v>
      </c>
    </row>
    <row r="374" spans="9:27">
      <c r="I374" s="81" t="e">
        <f>IF(#REF!&lt;&gt;"",#REF!,"")</f>
        <v>#REF!</v>
      </c>
      <c r="J374" s="81" t="e">
        <f t="shared" si="74"/>
        <v>#REF!</v>
      </c>
      <c r="L374" s="82" t="e">
        <f t="shared" si="75"/>
        <v>#REF!</v>
      </c>
      <c r="M374" s="81" t="e">
        <f t="shared" si="78"/>
        <v>#REF!</v>
      </c>
      <c r="N374" s="81" t="e">
        <f t="shared" si="76"/>
        <v>#REF!</v>
      </c>
      <c r="O374" s="81" t="e">
        <f t="shared" si="77"/>
        <v>#REF!</v>
      </c>
      <c r="Q374" s="83" t="str">
        <f t="shared" si="79"/>
        <v/>
      </c>
      <c r="R374" s="84" t="e">
        <f t="shared" si="67"/>
        <v>#REF!</v>
      </c>
      <c r="S374" s="83" t="e">
        <f t="shared" si="67"/>
        <v>#REF!</v>
      </c>
      <c r="T374" s="84" t="e">
        <f t="shared" si="68"/>
        <v>#REF!</v>
      </c>
      <c r="U374" s="84" t="e">
        <f t="shared" si="69"/>
        <v>#REF!</v>
      </c>
      <c r="V374" s="85" t="e">
        <f>#REF!</f>
        <v>#REF!</v>
      </c>
      <c r="W374" s="86">
        <f t="shared" si="70"/>
        <v>0</v>
      </c>
      <c r="X374" s="86">
        <f t="shared" si="70"/>
        <v>0</v>
      </c>
      <c r="Y374" s="87">
        <f t="shared" si="71"/>
        <v>0</v>
      </c>
      <c r="Z374" s="87">
        <f t="shared" si="72"/>
        <v>0</v>
      </c>
      <c r="AA374" s="87">
        <f t="shared" si="73"/>
        <v>4</v>
      </c>
    </row>
    <row r="375" spans="9:27">
      <c r="I375" s="81" t="e">
        <f>IF(#REF!&lt;&gt;"",#REF!,"")</f>
        <v>#REF!</v>
      </c>
      <c r="J375" s="81" t="e">
        <f t="shared" si="74"/>
        <v>#REF!</v>
      </c>
      <c r="L375" s="82" t="e">
        <f t="shared" si="75"/>
        <v>#REF!</v>
      </c>
      <c r="M375" s="81" t="e">
        <f t="shared" si="78"/>
        <v>#REF!</v>
      </c>
      <c r="N375" s="81" t="e">
        <f t="shared" si="76"/>
        <v>#REF!</v>
      </c>
      <c r="O375" s="81" t="e">
        <f t="shared" si="77"/>
        <v>#REF!</v>
      </c>
      <c r="Q375" s="83" t="str">
        <f t="shared" si="79"/>
        <v/>
      </c>
      <c r="R375" s="84" t="e">
        <f t="shared" si="67"/>
        <v>#REF!</v>
      </c>
      <c r="S375" s="83" t="e">
        <f t="shared" si="67"/>
        <v>#REF!</v>
      </c>
      <c r="T375" s="84" t="e">
        <f t="shared" si="68"/>
        <v>#REF!</v>
      </c>
      <c r="U375" s="84" t="e">
        <f t="shared" si="69"/>
        <v>#REF!</v>
      </c>
      <c r="V375" s="85" t="e">
        <f>#REF!</f>
        <v>#REF!</v>
      </c>
      <c r="W375" s="86">
        <f t="shared" si="70"/>
        <v>0</v>
      </c>
      <c r="X375" s="86">
        <f t="shared" si="70"/>
        <v>0</v>
      </c>
      <c r="Y375" s="87">
        <f t="shared" si="71"/>
        <v>0</v>
      </c>
      <c r="Z375" s="87">
        <f t="shared" si="72"/>
        <v>0</v>
      </c>
      <c r="AA375" s="87">
        <f t="shared" si="73"/>
        <v>4</v>
      </c>
    </row>
    <row r="376" spans="9:27">
      <c r="I376" s="81" t="e">
        <f>IF(#REF!&lt;&gt;"",#REF!,"")</f>
        <v>#REF!</v>
      </c>
      <c r="J376" s="81" t="e">
        <f t="shared" si="74"/>
        <v>#REF!</v>
      </c>
      <c r="L376" s="82" t="e">
        <f t="shared" si="75"/>
        <v>#REF!</v>
      </c>
      <c r="M376" s="81" t="e">
        <f t="shared" si="78"/>
        <v>#REF!</v>
      </c>
      <c r="N376" s="81" t="e">
        <f t="shared" si="76"/>
        <v>#REF!</v>
      </c>
      <c r="O376" s="81" t="e">
        <f t="shared" si="77"/>
        <v>#REF!</v>
      </c>
      <c r="Q376" s="83" t="str">
        <f t="shared" si="79"/>
        <v/>
      </c>
      <c r="R376" s="84" t="e">
        <f t="shared" si="67"/>
        <v>#REF!</v>
      </c>
      <c r="S376" s="83" t="e">
        <f t="shared" si="67"/>
        <v>#REF!</v>
      </c>
      <c r="T376" s="84" t="e">
        <f t="shared" si="68"/>
        <v>#REF!</v>
      </c>
      <c r="U376" s="84" t="e">
        <f t="shared" si="69"/>
        <v>#REF!</v>
      </c>
      <c r="V376" s="85" t="e">
        <f>#REF!</f>
        <v>#REF!</v>
      </c>
      <c r="W376" s="86">
        <f t="shared" si="70"/>
        <v>0</v>
      </c>
      <c r="X376" s="86">
        <f t="shared" si="70"/>
        <v>0</v>
      </c>
      <c r="Y376" s="87">
        <f t="shared" si="71"/>
        <v>0</v>
      </c>
      <c r="Z376" s="87">
        <f t="shared" si="72"/>
        <v>0</v>
      </c>
      <c r="AA376" s="87">
        <f t="shared" si="73"/>
        <v>4</v>
      </c>
    </row>
    <row r="377" spans="9:27">
      <c r="I377" s="81" t="e">
        <f>IF(#REF!&lt;&gt;"",#REF!,"")</f>
        <v>#REF!</v>
      </c>
      <c r="J377" s="81" t="e">
        <f t="shared" si="74"/>
        <v>#REF!</v>
      </c>
      <c r="L377" s="82" t="e">
        <f t="shared" si="75"/>
        <v>#REF!</v>
      </c>
      <c r="M377" s="81" t="e">
        <f t="shared" si="78"/>
        <v>#REF!</v>
      </c>
      <c r="N377" s="81" t="e">
        <f t="shared" si="76"/>
        <v>#REF!</v>
      </c>
      <c r="O377" s="81" t="e">
        <f t="shared" si="77"/>
        <v>#REF!</v>
      </c>
      <c r="Q377" s="83" t="str">
        <f t="shared" si="79"/>
        <v/>
      </c>
      <c r="R377" s="84" t="e">
        <f t="shared" si="67"/>
        <v>#REF!</v>
      </c>
      <c r="S377" s="83" t="e">
        <f t="shared" si="67"/>
        <v>#REF!</v>
      </c>
      <c r="T377" s="84" t="e">
        <f t="shared" si="68"/>
        <v>#REF!</v>
      </c>
      <c r="U377" s="84" t="e">
        <f t="shared" si="69"/>
        <v>#REF!</v>
      </c>
      <c r="V377" s="85" t="e">
        <f>#REF!</f>
        <v>#REF!</v>
      </c>
      <c r="W377" s="86">
        <f t="shared" si="70"/>
        <v>0</v>
      </c>
      <c r="X377" s="86">
        <f t="shared" si="70"/>
        <v>0</v>
      </c>
      <c r="Y377" s="87">
        <f t="shared" si="71"/>
        <v>0</v>
      </c>
      <c r="Z377" s="87">
        <f t="shared" si="72"/>
        <v>0</v>
      </c>
      <c r="AA377" s="87">
        <f t="shared" si="73"/>
        <v>4</v>
      </c>
    </row>
    <row r="378" spans="9:27">
      <c r="I378" s="81" t="e">
        <f>IF(#REF!&lt;&gt;"",#REF!,"")</f>
        <v>#REF!</v>
      </c>
      <c r="J378" s="81" t="e">
        <f t="shared" si="74"/>
        <v>#REF!</v>
      </c>
      <c r="L378" s="82" t="e">
        <f t="shared" si="75"/>
        <v>#REF!</v>
      </c>
      <c r="M378" s="81" t="e">
        <f t="shared" si="78"/>
        <v>#REF!</v>
      </c>
      <c r="N378" s="81" t="e">
        <f t="shared" si="76"/>
        <v>#REF!</v>
      </c>
      <c r="O378" s="81" t="e">
        <f t="shared" si="77"/>
        <v>#REF!</v>
      </c>
      <c r="Q378" s="83" t="str">
        <f t="shared" si="79"/>
        <v/>
      </c>
      <c r="R378" s="84" t="e">
        <f t="shared" si="67"/>
        <v>#REF!</v>
      </c>
      <c r="S378" s="83" t="e">
        <f t="shared" si="67"/>
        <v>#REF!</v>
      </c>
      <c r="T378" s="84" t="e">
        <f t="shared" si="68"/>
        <v>#REF!</v>
      </c>
      <c r="U378" s="84" t="e">
        <f t="shared" si="69"/>
        <v>#REF!</v>
      </c>
      <c r="V378" s="85" t="e">
        <f>#REF!</f>
        <v>#REF!</v>
      </c>
      <c r="W378" s="86">
        <f t="shared" si="70"/>
        <v>0</v>
      </c>
      <c r="X378" s="86">
        <f t="shared" si="70"/>
        <v>0</v>
      </c>
      <c r="Y378" s="87">
        <f t="shared" si="71"/>
        <v>0</v>
      </c>
      <c r="Z378" s="87">
        <f t="shared" si="72"/>
        <v>0</v>
      </c>
      <c r="AA378" s="87">
        <f t="shared" si="73"/>
        <v>4</v>
      </c>
    </row>
    <row r="379" spans="9:27">
      <c r="I379" s="81" t="e">
        <f>IF(#REF!&lt;&gt;"",#REF!,"")</f>
        <v>#REF!</v>
      </c>
      <c r="J379" s="81" t="e">
        <f t="shared" si="74"/>
        <v>#REF!</v>
      </c>
      <c r="L379" s="82" t="e">
        <f t="shared" si="75"/>
        <v>#REF!</v>
      </c>
      <c r="M379" s="81" t="e">
        <f t="shared" si="78"/>
        <v>#REF!</v>
      </c>
      <c r="N379" s="81" t="e">
        <f t="shared" si="76"/>
        <v>#REF!</v>
      </c>
      <c r="O379" s="81" t="e">
        <f t="shared" si="77"/>
        <v>#REF!</v>
      </c>
      <c r="Q379" s="83" t="str">
        <f t="shared" si="79"/>
        <v/>
      </c>
      <c r="R379" s="84" t="e">
        <f t="shared" si="67"/>
        <v>#REF!</v>
      </c>
      <c r="S379" s="83" t="e">
        <f t="shared" si="67"/>
        <v>#REF!</v>
      </c>
      <c r="T379" s="84" t="e">
        <f t="shared" si="68"/>
        <v>#REF!</v>
      </c>
      <c r="U379" s="84" t="e">
        <f t="shared" si="69"/>
        <v>#REF!</v>
      </c>
      <c r="V379" s="85" t="e">
        <f>#REF!</f>
        <v>#REF!</v>
      </c>
      <c r="W379" s="86">
        <f t="shared" si="70"/>
        <v>0</v>
      </c>
      <c r="X379" s="86">
        <f t="shared" si="70"/>
        <v>0</v>
      </c>
      <c r="Y379" s="87">
        <f t="shared" si="71"/>
        <v>0</v>
      </c>
      <c r="Z379" s="87">
        <f t="shared" si="72"/>
        <v>0</v>
      </c>
      <c r="AA379" s="87">
        <f t="shared" si="73"/>
        <v>4</v>
      </c>
    </row>
    <row r="380" spans="9:27">
      <c r="I380" s="81" t="e">
        <f>IF(#REF!&lt;&gt;"",#REF!,"")</f>
        <v>#REF!</v>
      </c>
      <c r="J380" s="81" t="e">
        <f t="shared" si="74"/>
        <v>#REF!</v>
      </c>
      <c r="L380" s="82" t="e">
        <f t="shared" si="75"/>
        <v>#REF!</v>
      </c>
      <c r="M380" s="81" t="e">
        <f t="shared" si="78"/>
        <v>#REF!</v>
      </c>
      <c r="N380" s="81" t="e">
        <f t="shared" si="76"/>
        <v>#REF!</v>
      </c>
      <c r="O380" s="81" t="e">
        <f t="shared" si="77"/>
        <v>#REF!</v>
      </c>
      <c r="Q380" s="83" t="str">
        <f t="shared" si="79"/>
        <v/>
      </c>
      <c r="R380" s="84" t="e">
        <f t="shared" si="67"/>
        <v>#REF!</v>
      </c>
      <c r="S380" s="83" t="e">
        <f t="shared" si="67"/>
        <v>#REF!</v>
      </c>
      <c r="T380" s="84" t="e">
        <f t="shared" si="68"/>
        <v>#REF!</v>
      </c>
      <c r="U380" s="84" t="e">
        <f t="shared" si="69"/>
        <v>#REF!</v>
      </c>
      <c r="V380" s="85" t="e">
        <f>#REF!</f>
        <v>#REF!</v>
      </c>
      <c r="W380" s="86">
        <f t="shared" si="70"/>
        <v>0</v>
      </c>
      <c r="X380" s="86">
        <f t="shared" si="70"/>
        <v>0</v>
      </c>
      <c r="Y380" s="87">
        <f t="shared" si="71"/>
        <v>0</v>
      </c>
      <c r="Z380" s="87">
        <f t="shared" si="72"/>
        <v>0</v>
      </c>
      <c r="AA380" s="87">
        <f t="shared" si="73"/>
        <v>4</v>
      </c>
    </row>
    <row r="381" spans="9:27">
      <c r="I381" s="81" t="e">
        <f>IF(#REF!&lt;&gt;"",#REF!,"")</f>
        <v>#REF!</v>
      </c>
      <c r="J381" s="81" t="e">
        <f t="shared" si="74"/>
        <v>#REF!</v>
      </c>
      <c r="L381" s="82" t="e">
        <f t="shared" si="75"/>
        <v>#REF!</v>
      </c>
      <c r="M381" s="81" t="e">
        <f t="shared" si="78"/>
        <v>#REF!</v>
      </c>
      <c r="N381" s="81" t="e">
        <f t="shared" si="76"/>
        <v>#REF!</v>
      </c>
      <c r="O381" s="81" t="e">
        <f t="shared" si="77"/>
        <v>#REF!</v>
      </c>
      <c r="Q381" s="83" t="str">
        <f t="shared" si="79"/>
        <v/>
      </c>
      <c r="R381" s="84" t="e">
        <f t="shared" si="67"/>
        <v>#REF!</v>
      </c>
      <c r="S381" s="83" t="e">
        <f t="shared" si="67"/>
        <v>#REF!</v>
      </c>
      <c r="T381" s="84" t="e">
        <f t="shared" si="68"/>
        <v>#REF!</v>
      </c>
      <c r="U381" s="84" t="e">
        <f t="shared" si="69"/>
        <v>#REF!</v>
      </c>
      <c r="V381" s="85" t="e">
        <f>#REF!</f>
        <v>#REF!</v>
      </c>
      <c r="W381" s="86">
        <f t="shared" si="70"/>
        <v>0</v>
      </c>
      <c r="X381" s="86">
        <f t="shared" si="70"/>
        <v>0</v>
      </c>
      <c r="Y381" s="87">
        <f t="shared" si="71"/>
        <v>0</v>
      </c>
      <c r="Z381" s="87">
        <f t="shared" si="72"/>
        <v>0</v>
      </c>
      <c r="AA381" s="87">
        <f t="shared" si="73"/>
        <v>4</v>
      </c>
    </row>
    <row r="382" spans="9:27">
      <c r="I382" s="81" t="e">
        <f>IF(#REF!&lt;&gt;"",#REF!,"")</f>
        <v>#REF!</v>
      </c>
      <c r="J382" s="81" t="e">
        <f t="shared" si="74"/>
        <v>#REF!</v>
      </c>
      <c r="L382" s="82" t="e">
        <f t="shared" si="75"/>
        <v>#REF!</v>
      </c>
      <c r="M382" s="81" t="e">
        <f t="shared" si="78"/>
        <v>#REF!</v>
      </c>
      <c r="N382" s="81" t="e">
        <f t="shared" si="76"/>
        <v>#REF!</v>
      </c>
      <c r="O382" s="81" t="e">
        <f t="shared" si="77"/>
        <v>#REF!</v>
      </c>
      <c r="Q382" s="83" t="str">
        <f t="shared" si="79"/>
        <v/>
      </c>
      <c r="R382" s="84" t="e">
        <f t="shared" si="67"/>
        <v>#REF!</v>
      </c>
      <c r="S382" s="83" t="e">
        <f t="shared" si="67"/>
        <v>#REF!</v>
      </c>
      <c r="T382" s="84" t="e">
        <f t="shared" si="68"/>
        <v>#REF!</v>
      </c>
      <c r="U382" s="84" t="e">
        <f t="shared" si="69"/>
        <v>#REF!</v>
      </c>
      <c r="V382" s="85" t="e">
        <f>#REF!</f>
        <v>#REF!</v>
      </c>
      <c r="W382" s="86">
        <f t="shared" si="70"/>
        <v>0</v>
      </c>
      <c r="X382" s="86">
        <f t="shared" si="70"/>
        <v>0</v>
      </c>
      <c r="Y382" s="87">
        <f t="shared" si="71"/>
        <v>0</v>
      </c>
      <c r="Z382" s="87">
        <f t="shared" si="72"/>
        <v>0</v>
      </c>
      <c r="AA382" s="87">
        <f t="shared" si="73"/>
        <v>4</v>
      </c>
    </row>
    <row r="383" spans="9:27">
      <c r="I383" s="81" t="e">
        <f>IF(#REF!&lt;&gt;"",#REF!,"")</f>
        <v>#REF!</v>
      </c>
      <c r="J383" s="81" t="e">
        <f t="shared" si="74"/>
        <v>#REF!</v>
      </c>
      <c r="L383" s="82" t="e">
        <f t="shared" si="75"/>
        <v>#REF!</v>
      </c>
      <c r="M383" s="81" t="e">
        <f t="shared" si="78"/>
        <v>#REF!</v>
      </c>
      <c r="N383" s="81" t="e">
        <f t="shared" si="76"/>
        <v>#REF!</v>
      </c>
      <c r="O383" s="81" t="e">
        <f t="shared" si="77"/>
        <v>#REF!</v>
      </c>
      <c r="Q383" s="83" t="str">
        <f t="shared" si="79"/>
        <v/>
      </c>
      <c r="R383" s="84" t="e">
        <f t="shared" si="67"/>
        <v>#REF!</v>
      </c>
      <c r="S383" s="83" t="e">
        <f t="shared" si="67"/>
        <v>#REF!</v>
      </c>
      <c r="T383" s="84" t="e">
        <f t="shared" si="68"/>
        <v>#REF!</v>
      </c>
      <c r="U383" s="84" t="e">
        <f t="shared" si="69"/>
        <v>#REF!</v>
      </c>
      <c r="V383" s="85" t="e">
        <f>#REF!</f>
        <v>#REF!</v>
      </c>
      <c r="W383" s="86">
        <f t="shared" si="70"/>
        <v>0</v>
      </c>
      <c r="X383" s="86">
        <f t="shared" si="70"/>
        <v>0</v>
      </c>
      <c r="Y383" s="87">
        <f t="shared" si="71"/>
        <v>0</v>
      </c>
      <c r="Z383" s="87">
        <f t="shared" si="72"/>
        <v>0</v>
      </c>
      <c r="AA383" s="87">
        <f t="shared" si="73"/>
        <v>4</v>
      </c>
    </row>
    <row r="384" spans="9:27">
      <c r="I384" s="81" t="e">
        <f>IF(#REF!&lt;&gt;"",#REF!,"")</f>
        <v>#REF!</v>
      </c>
      <c r="J384" s="81" t="e">
        <f t="shared" si="74"/>
        <v>#REF!</v>
      </c>
      <c r="L384" s="82" t="e">
        <f t="shared" si="75"/>
        <v>#REF!</v>
      </c>
      <c r="M384" s="81" t="e">
        <f t="shared" si="78"/>
        <v>#REF!</v>
      </c>
      <c r="N384" s="81" t="e">
        <f t="shared" si="76"/>
        <v>#REF!</v>
      </c>
      <c r="O384" s="81" t="e">
        <f t="shared" si="77"/>
        <v>#REF!</v>
      </c>
      <c r="Q384" s="83" t="str">
        <f t="shared" si="79"/>
        <v/>
      </c>
      <c r="R384" s="84" t="e">
        <f t="shared" ref="R384:S447" si="80">IF(L384="","",L384)</f>
        <v>#REF!</v>
      </c>
      <c r="S384" s="83" t="e">
        <f t="shared" si="80"/>
        <v>#REF!</v>
      </c>
      <c r="T384" s="84" t="e">
        <f t="shared" ref="T384:T447" si="81">IF(W384=1,"",N384)</f>
        <v>#REF!</v>
      </c>
      <c r="U384" s="84" t="e">
        <f t="shared" ref="U384:U447" si="82">IF(OR(W384=1,X384=1),"",O384)</f>
        <v>#REF!</v>
      </c>
      <c r="V384" s="85" t="e">
        <f>#REF!</f>
        <v>#REF!</v>
      </c>
      <c r="W384" s="86">
        <f t="shared" si="70"/>
        <v>0</v>
      </c>
      <c r="X384" s="86">
        <f t="shared" si="70"/>
        <v>0</v>
      </c>
      <c r="Y384" s="87">
        <f t="shared" si="71"/>
        <v>0</v>
      </c>
      <c r="Z384" s="87">
        <f t="shared" si="72"/>
        <v>0</v>
      </c>
      <c r="AA384" s="87">
        <f t="shared" si="73"/>
        <v>4</v>
      </c>
    </row>
    <row r="385" spans="9:27">
      <c r="I385" s="81" t="e">
        <f>IF(#REF!&lt;&gt;"",#REF!,"")</f>
        <v>#REF!</v>
      </c>
      <c r="J385" s="81" t="e">
        <f t="shared" si="74"/>
        <v>#REF!</v>
      </c>
      <c r="L385" s="82" t="e">
        <f t="shared" si="75"/>
        <v>#REF!</v>
      </c>
      <c r="M385" s="81" t="e">
        <f t="shared" si="78"/>
        <v>#REF!</v>
      </c>
      <c r="N385" s="81" t="e">
        <f t="shared" si="76"/>
        <v>#REF!</v>
      </c>
      <c r="O385" s="81" t="e">
        <f t="shared" si="77"/>
        <v>#REF!</v>
      </c>
      <c r="Q385" s="83" t="str">
        <f t="shared" si="79"/>
        <v/>
      </c>
      <c r="R385" s="84" t="e">
        <f t="shared" si="80"/>
        <v>#REF!</v>
      </c>
      <c r="S385" s="83" t="e">
        <f t="shared" si="80"/>
        <v>#REF!</v>
      </c>
      <c r="T385" s="84" t="e">
        <f t="shared" si="81"/>
        <v>#REF!</v>
      </c>
      <c r="U385" s="84" t="e">
        <f t="shared" si="82"/>
        <v>#REF!</v>
      </c>
      <c r="V385" s="85" t="e">
        <f>#REF!</f>
        <v>#REF!</v>
      </c>
      <c r="W385" s="86">
        <f t="shared" ref="W385:X448" si="83">COUNTIFS(R385,"&gt;&lt;")</f>
        <v>0</v>
      </c>
      <c r="X385" s="86">
        <f t="shared" si="83"/>
        <v>0</v>
      </c>
      <c r="Y385" s="87">
        <f t="shared" ref="Y385:Y448" si="84">COUNTIFS(R385:U385,"*")</f>
        <v>0</v>
      </c>
      <c r="Z385" s="87">
        <f t="shared" ref="Z385:Z448" si="85">COUNTIFS(R385:U385,"&gt;&lt;")</f>
        <v>0</v>
      </c>
      <c r="AA385" s="87">
        <f t="shared" ref="AA385:AA448" si="86">COUNTIFS(R385:U385,"&lt;&gt;")</f>
        <v>4</v>
      </c>
    </row>
    <row r="386" spans="9:27">
      <c r="I386" s="81" t="e">
        <f>IF(#REF!&lt;&gt;"",#REF!,"")</f>
        <v>#REF!</v>
      </c>
      <c r="J386" s="81" t="e">
        <f t="shared" si="74"/>
        <v>#REF!</v>
      </c>
      <c r="L386" s="82" t="e">
        <f t="shared" si="75"/>
        <v>#REF!</v>
      </c>
      <c r="M386" s="81" t="e">
        <f t="shared" si="78"/>
        <v>#REF!</v>
      </c>
      <c r="N386" s="81" t="e">
        <f t="shared" si="76"/>
        <v>#REF!</v>
      </c>
      <c r="O386" s="81" t="e">
        <f t="shared" si="77"/>
        <v>#REF!</v>
      </c>
      <c r="Q386" s="83" t="str">
        <f t="shared" si="79"/>
        <v/>
      </c>
      <c r="R386" s="84" t="e">
        <f t="shared" si="80"/>
        <v>#REF!</v>
      </c>
      <c r="S386" s="83" t="e">
        <f t="shared" si="80"/>
        <v>#REF!</v>
      </c>
      <c r="T386" s="84" t="e">
        <f t="shared" si="81"/>
        <v>#REF!</v>
      </c>
      <c r="U386" s="84" t="e">
        <f t="shared" si="82"/>
        <v>#REF!</v>
      </c>
      <c r="V386" s="85" t="e">
        <f>#REF!</f>
        <v>#REF!</v>
      </c>
      <c r="W386" s="86">
        <f t="shared" si="83"/>
        <v>0</v>
      </c>
      <c r="X386" s="86">
        <f t="shared" si="83"/>
        <v>0</v>
      </c>
      <c r="Y386" s="87">
        <f t="shared" si="84"/>
        <v>0</v>
      </c>
      <c r="Z386" s="87">
        <f t="shared" si="85"/>
        <v>0</v>
      </c>
      <c r="AA386" s="87">
        <f t="shared" si="86"/>
        <v>4</v>
      </c>
    </row>
    <row r="387" spans="9:27">
      <c r="I387" s="81" t="e">
        <f>IF(#REF!&lt;&gt;"",#REF!,"")</f>
        <v>#REF!</v>
      </c>
      <c r="J387" s="81" t="e">
        <f t="shared" ref="J387:J450" si="87">LEFT(I387,1)</f>
        <v>#REF!</v>
      </c>
      <c r="L387" s="82" t="e">
        <f t="shared" ref="L387:L450" si="88">IF(OR(J387="E",J387="L",J387="M"),"",I387)</f>
        <v>#REF!</v>
      </c>
      <c r="M387" s="81" t="e">
        <f t="shared" si="78"/>
        <v>#REF!</v>
      </c>
      <c r="N387" s="81" t="e">
        <f t="shared" ref="N387:N450" si="89">IF(OR(J387="D",J387="E",J387="L"),"",I387)</f>
        <v>#REF!</v>
      </c>
      <c r="O387" s="81" t="e">
        <f t="shared" ref="O387:O450" si="90">IF(OR(J387="D",J387="E",J387="M"),"",I387)</f>
        <v>#REF!</v>
      </c>
      <c r="Q387" s="83" t="str">
        <f t="shared" si="79"/>
        <v/>
      </c>
      <c r="R387" s="84" t="e">
        <f t="shared" si="80"/>
        <v>#REF!</v>
      </c>
      <c r="S387" s="83" t="e">
        <f t="shared" si="80"/>
        <v>#REF!</v>
      </c>
      <c r="T387" s="84" t="e">
        <f t="shared" si="81"/>
        <v>#REF!</v>
      </c>
      <c r="U387" s="84" t="e">
        <f t="shared" si="82"/>
        <v>#REF!</v>
      </c>
      <c r="V387" s="85" t="e">
        <f>#REF!</f>
        <v>#REF!</v>
      </c>
      <c r="W387" s="86">
        <f t="shared" si="83"/>
        <v>0</v>
      </c>
      <c r="X387" s="86">
        <f t="shared" si="83"/>
        <v>0</v>
      </c>
      <c r="Y387" s="87">
        <f t="shared" si="84"/>
        <v>0</v>
      </c>
      <c r="Z387" s="87">
        <f t="shared" si="85"/>
        <v>0</v>
      </c>
      <c r="AA387" s="87">
        <f t="shared" si="86"/>
        <v>4</v>
      </c>
    </row>
    <row r="388" spans="9:27">
      <c r="I388" s="81" t="e">
        <f>IF(#REF!&lt;&gt;"",#REF!,"")</f>
        <v>#REF!</v>
      </c>
      <c r="J388" s="81" t="e">
        <f t="shared" si="87"/>
        <v>#REF!</v>
      </c>
      <c r="L388" s="82" t="e">
        <f t="shared" si="88"/>
        <v>#REF!</v>
      </c>
      <c r="M388" s="81" t="e">
        <f t="shared" si="78"/>
        <v>#REF!</v>
      </c>
      <c r="N388" s="81" t="e">
        <f t="shared" si="89"/>
        <v>#REF!</v>
      </c>
      <c r="O388" s="81" t="e">
        <f t="shared" si="90"/>
        <v>#REF!</v>
      </c>
      <c r="Q388" s="83" t="str">
        <f t="shared" si="79"/>
        <v/>
      </c>
      <c r="R388" s="84" t="e">
        <f t="shared" si="80"/>
        <v>#REF!</v>
      </c>
      <c r="S388" s="83" t="e">
        <f t="shared" si="80"/>
        <v>#REF!</v>
      </c>
      <c r="T388" s="84" t="e">
        <f t="shared" si="81"/>
        <v>#REF!</v>
      </c>
      <c r="U388" s="84" t="e">
        <f t="shared" si="82"/>
        <v>#REF!</v>
      </c>
      <c r="V388" s="85" t="e">
        <f>#REF!</f>
        <v>#REF!</v>
      </c>
      <c r="W388" s="86">
        <f t="shared" si="83"/>
        <v>0</v>
      </c>
      <c r="X388" s="86">
        <f t="shared" si="83"/>
        <v>0</v>
      </c>
      <c r="Y388" s="87">
        <f t="shared" si="84"/>
        <v>0</v>
      </c>
      <c r="Z388" s="87">
        <f t="shared" si="85"/>
        <v>0</v>
      </c>
      <c r="AA388" s="87">
        <f t="shared" si="86"/>
        <v>4</v>
      </c>
    </row>
    <row r="389" spans="9:27">
      <c r="I389" s="81" t="e">
        <f>IF(#REF!&lt;&gt;"",#REF!,"")</f>
        <v>#REF!</v>
      </c>
      <c r="J389" s="81" t="e">
        <f t="shared" si="87"/>
        <v>#REF!</v>
      </c>
      <c r="L389" s="82" t="e">
        <f t="shared" si="88"/>
        <v>#REF!</v>
      </c>
      <c r="M389" s="81" t="e">
        <f t="shared" si="78"/>
        <v>#REF!</v>
      </c>
      <c r="N389" s="81" t="e">
        <f t="shared" si="89"/>
        <v>#REF!</v>
      </c>
      <c r="O389" s="81" t="e">
        <f t="shared" si="90"/>
        <v>#REF!</v>
      </c>
      <c r="Q389" s="83" t="str">
        <f t="shared" si="79"/>
        <v/>
      </c>
      <c r="R389" s="84" t="e">
        <f t="shared" si="80"/>
        <v>#REF!</v>
      </c>
      <c r="S389" s="83" t="e">
        <f t="shared" si="80"/>
        <v>#REF!</v>
      </c>
      <c r="T389" s="84" t="e">
        <f t="shared" si="81"/>
        <v>#REF!</v>
      </c>
      <c r="U389" s="84" t="e">
        <f t="shared" si="82"/>
        <v>#REF!</v>
      </c>
      <c r="V389" s="85" t="e">
        <f>#REF!</f>
        <v>#REF!</v>
      </c>
      <c r="W389" s="86">
        <f t="shared" si="83"/>
        <v>0</v>
      </c>
      <c r="X389" s="86">
        <f t="shared" si="83"/>
        <v>0</v>
      </c>
      <c r="Y389" s="87">
        <f t="shared" si="84"/>
        <v>0</v>
      </c>
      <c r="Z389" s="87">
        <f t="shared" si="85"/>
        <v>0</v>
      </c>
      <c r="AA389" s="87">
        <f t="shared" si="86"/>
        <v>4</v>
      </c>
    </row>
    <row r="390" spans="9:27">
      <c r="I390" s="81" t="e">
        <f>IF(#REF!&lt;&gt;"",#REF!,"")</f>
        <v>#REF!</v>
      </c>
      <c r="J390" s="81" t="e">
        <f t="shared" si="87"/>
        <v>#REF!</v>
      </c>
      <c r="L390" s="82" t="e">
        <f t="shared" si="88"/>
        <v>#REF!</v>
      </c>
      <c r="M390" s="81" t="e">
        <f t="shared" ref="M390:M453" si="91">IF(OR(J390="D",J390="L",J390="M"),"",I390)</f>
        <v>#REF!</v>
      </c>
      <c r="N390" s="81" t="e">
        <f t="shared" si="89"/>
        <v>#REF!</v>
      </c>
      <c r="O390" s="81" t="e">
        <f t="shared" si="90"/>
        <v>#REF!</v>
      </c>
      <c r="Q390" s="83" t="str">
        <f t="shared" si="79"/>
        <v/>
      </c>
      <c r="R390" s="84" t="e">
        <f t="shared" si="80"/>
        <v>#REF!</v>
      </c>
      <c r="S390" s="83" t="e">
        <f t="shared" si="80"/>
        <v>#REF!</v>
      </c>
      <c r="T390" s="84" t="e">
        <f t="shared" si="81"/>
        <v>#REF!</v>
      </c>
      <c r="U390" s="84" t="e">
        <f t="shared" si="82"/>
        <v>#REF!</v>
      </c>
      <c r="V390" s="85" t="e">
        <f>#REF!</f>
        <v>#REF!</v>
      </c>
      <c r="W390" s="86">
        <f t="shared" si="83"/>
        <v>0</v>
      </c>
      <c r="X390" s="86">
        <f t="shared" si="83"/>
        <v>0</v>
      </c>
      <c r="Y390" s="87">
        <f t="shared" si="84"/>
        <v>0</v>
      </c>
      <c r="Z390" s="87">
        <f t="shared" si="85"/>
        <v>0</v>
      </c>
      <c r="AA390" s="87">
        <f t="shared" si="86"/>
        <v>4</v>
      </c>
    </row>
    <row r="391" spans="9:27">
      <c r="I391" s="81" t="e">
        <f>IF(#REF!&lt;&gt;"",#REF!,"")</f>
        <v>#REF!</v>
      </c>
      <c r="J391" s="81" t="e">
        <f t="shared" si="87"/>
        <v>#REF!</v>
      </c>
      <c r="L391" s="82" t="e">
        <f t="shared" si="88"/>
        <v>#REF!</v>
      </c>
      <c r="M391" s="81" t="e">
        <f t="shared" si="91"/>
        <v>#REF!</v>
      </c>
      <c r="N391" s="81" t="e">
        <f t="shared" si="89"/>
        <v>#REF!</v>
      </c>
      <c r="O391" s="81" t="e">
        <f t="shared" si="90"/>
        <v>#REF!</v>
      </c>
      <c r="Q391" s="83" t="str">
        <f t="shared" si="79"/>
        <v/>
      </c>
      <c r="R391" s="84" t="e">
        <f t="shared" si="80"/>
        <v>#REF!</v>
      </c>
      <c r="S391" s="83" t="e">
        <f t="shared" si="80"/>
        <v>#REF!</v>
      </c>
      <c r="T391" s="84" t="e">
        <f t="shared" si="81"/>
        <v>#REF!</v>
      </c>
      <c r="U391" s="84" t="e">
        <f t="shared" si="82"/>
        <v>#REF!</v>
      </c>
      <c r="V391" s="85" t="e">
        <f>#REF!</f>
        <v>#REF!</v>
      </c>
      <c r="W391" s="86">
        <f t="shared" si="83"/>
        <v>0</v>
      </c>
      <c r="X391" s="86">
        <f t="shared" si="83"/>
        <v>0</v>
      </c>
      <c r="Y391" s="87">
        <f t="shared" si="84"/>
        <v>0</v>
      </c>
      <c r="Z391" s="87">
        <f t="shared" si="85"/>
        <v>0</v>
      </c>
      <c r="AA391" s="87">
        <f t="shared" si="86"/>
        <v>4</v>
      </c>
    </row>
    <row r="392" spans="9:27">
      <c r="I392" s="81" t="e">
        <f>IF(#REF!&lt;&gt;"",#REF!,"")</f>
        <v>#REF!</v>
      </c>
      <c r="J392" s="81" t="e">
        <f t="shared" si="87"/>
        <v>#REF!</v>
      </c>
      <c r="L392" s="82" t="e">
        <f t="shared" si="88"/>
        <v>#REF!</v>
      </c>
      <c r="M392" s="81" t="e">
        <f t="shared" si="91"/>
        <v>#REF!</v>
      </c>
      <c r="N392" s="81" t="e">
        <f t="shared" si="89"/>
        <v>#REF!</v>
      </c>
      <c r="O392" s="81" t="e">
        <f t="shared" si="90"/>
        <v>#REF!</v>
      </c>
      <c r="Q392" s="83" t="str">
        <f t="shared" si="79"/>
        <v/>
      </c>
      <c r="R392" s="84" t="e">
        <f t="shared" si="80"/>
        <v>#REF!</v>
      </c>
      <c r="S392" s="83" t="e">
        <f t="shared" si="80"/>
        <v>#REF!</v>
      </c>
      <c r="T392" s="84" t="e">
        <f t="shared" si="81"/>
        <v>#REF!</v>
      </c>
      <c r="U392" s="84" t="e">
        <f t="shared" si="82"/>
        <v>#REF!</v>
      </c>
      <c r="V392" s="85" t="e">
        <f>#REF!</f>
        <v>#REF!</v>
      </c>
      <c r="W392" s="86">
        <f t="shared" si="83"/>
        <v>0</v>
      </c>
      <c r="X392" s="86">
        <f t="shared" si="83"/>
        <v>0</v>
      </c>
      <c r="Y392" s="87">
        <f t="shared" si="84"/>
        <v>0</v>
      </c>
      <c r="Z392" s="87">
        <f t="shared" si="85"/>
        <v>0</v>
      </c>
      <c r="AA392" s="87">
        <f t="shared" si="86"/>
        <v>4</v>
      </c>
    </row>
    <row r="393" spans="9:27">
      <c r="I393" s="81" t="e">
        <f>IF(#REF!&lt;&gt;"",#REF!,"")</f>
        <v>#REF!</v>
      </c>
      <c r="J393" s="81" t="e">
        <f t="shared" si="87"/>
        <v>#REF!</v>
      </c>
      <c r="L393" s="82" t="e">
        <f t="shared" si="88"/>
        <v>#REF!</v>
      </c>
      <c r="M393" s="81" t="e">
        <f t="shared" si="91"/>
        <v>#REF!</v>
      </c>
      <c r="N393" s="81" t="e">
        <f t="shared" si="89"/>
        <v>#REF!</v>
      </c>
      <c r="O393" s="81" t="e">
        <f t="shared" si="90"/>
        <v>#REF!</v>
      </c>
      <c r="Q393" s="83" t="str">
        <f t="shared" si="79"/>
        <v/>
      </c>
      <c r="R393" s="84" t="e">
        <f t="shared" si="80"/>
        <v>#REF!</v>
      </c>
      <c r="S393" s="83" t="e">
        <f t="shared" si="80"/>
        <v>#REF!</v>
      </c>
      <c r="T393" s="84" t="e">
        <f t="shared" si="81"/>
        <v>#REF!</v>
      </c>
      <c r="U393" s="84" t="e">
        <f t="shared" si="82"/>
        <v>#REF!</v>
      </c>
      <c r="V393" s="85" t="e">
        <f>#REF!</f>
        <v>#REF!</v>
      </c>
      <c r="W393" s="86">
        <f t="shared" si="83"/>
        <v>0</v>
      </c>
      <c r="X393" s="86">
        <f t="shared" si="83"/>
        <v>0</v>
      </c>
      <c r="Y393" s="87">
        <f t="shared" si="84"/>
        <v>0</v>
      </c>
      <c r="Z393" s="87">
        <f t="shared" si="85"/>
        <v>0</v>
      </c>
      <c r="AA393" s="87">
        <f t="shared" si="86"/>
        <v>4</v>
      </c>
    </row>
    <row r="394" spans="9:27">
      <c r="I394" s="81" t="e">
        <f>IF(#REF!&lt;&gt;"",#REF!,"")</f>
        <v>#REF!</v>
      </c>
      <c r="J394" s="81" t="e">
        <f t="shared" si="87"/>
        <v>#REF!</v>
      </c>
      <c r="L394" s="82" t="e">
        <f t="shared" si="88"/>
        <v>#REF!</v>
      </c>
      <c r="M394" s="81" t="e">
        <f t="shared" si="91"/>
        <v>#REF!</v>
      </c>
      <c r="N394" s="81" t="e">
        <f t="shared" si="89"/>
        <v>#REF!</v>
      </c>
      <c r="O394" s="81" t="e">
        <f t="shared" si="90"/>
        <v>#REF!</v>
      </c>
      <c r="Q394" s="83" t="str">
        <f t="shared" si="79"/>
        <v/>
      </c>
      <c r="R394" s="84" t="e">
        <f t="shared" si="80"/>
        <v>#REF!</v>
      </c>
      <c r="S394" s="83" t="e">
        <f t="shared" si="80"/>
        <v>#REF!</v>
      </c>
      <c r="T394" s="84" t="e">
        <f t="shared" si="81"/>
        <v>#REF!</v>
      </c>
      <c r="U394" s="84" t="e">
        <f t="shared" si="82"/>
        <v>#REF!</v>
      </c>
      <c r="V394" s="85" t="e">
        <f>#REF!</f>
        <v>#REF!</v>
      </c>
      <c r="W394" s="86">
        <f t="shared" si="83"/>
        <v>0</v>
      </c>
      <c r="X394" s="86">
        <f t="shared" si="83"/>
        <v>0</v>
      </c>
      <c r="Y394" s="87">
        <f t="shared" si="84"/>
        <v>0</v>
      </c>
      <c r="Z394" s="87">
        <f t="shared" si="85"/>
        <v>0</v>
      </c>
      <c r="AA394" s="87">
        <f t="shared" si="86"/>
        <v>4</v>
      </c>
    </row>
    <row r="395" spans="9:27">
      <c r="I395" s="81" t="e">
        <f>IF(#REF!&lt;&gt;"",#REF!,"")</f>
        <v>#REF!</v>
      </c>
      <c r="J395" s="81" t="e">
        <f t="shared" si="87"/>
        <v>#REF!</v>
      </c>
      <c r="L395" s="82" t="e">
        <f t="shared" si="88"/>
        <v>#REF!</v>
      </c>
      <c r="M395" s="81" t="e">
        <f t="shared" si="91"/>
        <v>#REF!</v>
      </c>
      <c r="N395" s="81" t="e">
        <f t="shared" si="89"/>
        <v>#REF!</v>
      </c>
      <c r="O395" s="81" t="e">
        <f t="shared" si="90"/>
        <v>#REF!</v>
      </c>
      <c r="Q395" s="83" t="str">
        <f t="shared" si="79"/>
        <v/>
      </c>
      <c r="R395" s="84" t="e">
        <f t="shared" si="80"/>
        <v>#REF!</v>
      </c>
      <c r="S395" s="83" t="e">
        <f t="shared" si="80"/>
        <v>#REF!</v>
      </c>
      <c r="T395" s="84" t="e">
        <f t="shared" si="81"/>
        <v>#REF!</v>
      </c>
      <c r="U395" s="84" t="e">
        <f t="shared" si="82"/>
        <v>#REF!</v>
      </c>
      <c r="V395" s="85" t="e">
        <f>#REF!</f>
        <v>#REF!</v>
      </c>
      <c r="W395" s="86">
        <f t="shared" si="83"/>
        <v>0</v>
      </c>
      <c r="X395" s="86">
        <f t="shared" si="83"/>
        <v>0</v>
      </c>
      <c r="Y395" s="87">
        <f t="shared" si="84"/>
        <v>0</v>
      </c>
      <c r="Z395" s="87">
        <f t="shared" si="85"/>
        <v>0</v>
      </c>
      <c r="AA395" s="87">
        <f t="shared" si="86"/>
        <v>4</v>
      </c>
    </row>
    <row r="396" spans="9:27">
      <c r="I396" s="81" t="e">
        <f>IF(#REF!&lt;&gt;"",#REF!,"")</f>
        <v>#REF!</v>
      </c>
      <c r="J396" s="81" t="e">
        <f t="shared" si="87"/>
        <v>#REF!</v>
      </c>
      <c r="L396" s="82" t="e">
        <f t="shared" si="88"/>
        <v>#REF!</v>
      </c>
      <c r="M396" s="81" t="e">
        <f t="shared" si="91"/>
        <v>#REF!</v>
      </c>
      <c r="N396" s="81" t="e">
        <f t="shared" si="89"/>
        <v>#REF!</v>
      </c>
      <c r="O396" s="81" t="e">
        <f t="shared" si="90"/>
        <v>#REF!</v>
      </c>
      <c r="Q396" s="83" t="str">
        <f t="shared" si="79"/>
        <v/>
      </c>
      <c r="R396" s="84" t="e">
        <f t="shared" si="80"/>
        <v>#REF!</v>
      </c>
      <c r="S396" s="83" t="e">
        <f t="shared" si="80"/>
        <v>#REF!</v>
      </c>
      <c r="T396" s="84" t="e">
        <f t="shared" si="81"/>
        <v>#REF!</v>
      </c>
      <c r="U396" s="84" t="e">
        <f t="shared" si="82"/>
        <v>#REF!</v>
      </c>
      <c r="V396" s="85" t="e">
        <f>#REF!</f>
        <v>#REF!</v>
      </c>
      <c r="W396" s="86">
        <f t="shared" si="83"/>
        <v>0</v>
      </c>
      <c r="X396" s="86">
        <f t="shared" si="83"/>
        <v>0</v>
      </c>
      <c r="Y396" s="87">
        <f t="shared" si="84"/>
        <v>0</v>
      </c>
      <c r="Z396" s="87">
        <f t="shared" si="85"/>
        <v>0</v>
      </c>
      <c r="AA396" s="87">
        <f t="shared" si="86"/>
        <v>4</v>
      </c>
    </row>
    <row r="397" spans="9:27">
      <c r="I397" s="81" t="e">
        <f>IF(#REF!&lt;&gt;"",#REF!,"")</f>
        <v>#REF!</v>
      </c>
      <c r="J397" s="81" t="e">
        <f t="shared" si="87"/>
        <v>#REF!</v>
      </c>
      <c r="L397" s="82" t="e">
        <f t="shared" si="88"/>
        <v>#REF!</v>
      </c>
      <c r="M397" s="81" t="e">
        <f t="shared" si="91"/>
        <v>#REF!</v>
      </c>
      <c r="N397" s="81" t="e">
        <f t="shared" si="89"/>
        <v>#REF!</v>
      </c>
      <c r="O397" s="81" t="e">
        <f t="shared" si="90"/>
        <v>#REF!</v>
      </c>
      <c r="Q397" s="83" t="str">
        <f t="shared" si="79"/>
        <v/>
      </c>
      <c r="R397" s="84" t="e">
        <f t="shared" si="80"/>
        <v>#REF!</v>
      </c>
      <c r="S397" s="83" t="e">
        <f t="shared" si="80"/>
        <v>#REF!</v>
      </c>
      <c r="T397" s="84" t="e">
        <f t="shared" si="81"/>
        <v>#REF!</v>
      </c>
      <c r="U397" s="84" t="e">
        <f t="shared" si="82"/>
        <v>#REF!</v>
      </c>
      <c r="V397" s="85" t="e">
        <f>#REF!</f>
        <v>#REF!</v>
      </c>
      <c r="W397" s="86">
        <f t="shared" si="83"/>
        <v>0</v>
      </c>
      <c r="X397" s="86">
        <f t="shared" si="83"/>
        <v>0</v>
      </c>
      <c r="Y397" s="87">
        <f t="shared" si="84"/>
        <v>0</v>
      </c>
      <c r="Z397" s="87">
        <f t="shared" si="85"/>
        <v>0</v>
      </c>
      <c r="AA397" s="87">
        <f t="shared" si="86"/>
        <v>4</v>
      </c>
    </row>
    <row r="398" spans="9:27">
      <c r="I398" s="81" t="e">
        <f>IF(#REF!&lt;&gt;"",#REF!,"")</f>
        <v>#REF!</v>
      </c>
      <c r="J398" s="81" t="e">
        <f t="shared" si="87"/>
        <v>#REF!</v>
      </c>
      <c r="L398" s="82" t="e">
        <f t="shared" si="88"/>
        <v>#REF!</v>
      </c>
      <c r="M398" s="81" t="e">
        <f t="shared" si="91"/>
        <v>#REF!</v>
      </c>
      <c r="N398" s="81" t="e">
        <f t="shared" si="89"/>
        <v>#REF!</v>
      </c>
      <c r="O398" s="81" t="e">
        <f t="shared" si="90"/>
        <v>#REF!</v>
      </c>
      <c r="Q398" s="83" t="str">
        <f t="shared" si="79"/>
        <v/>
      </c>
      <c r="R398" s="84" t="e">
        <f t="shared" si="80"/>
        <v>#REF!</v>
      </c>
      <c r="S398" s="83" t="e">
        <f t="shared" si="80"/>
        <v>#REF!</v>
      </c>
      <c r="T398" s="84" t="e">
        <f t="shared" si="81"/>
        <v>#REF!</v>
      </c>
      <c r="U398" s="84" t="e">
        <f t="shared" si="82"/>
        <v>#REF!</v>
      </c>
      <c r="V398" s="85" t="e">
        <f>#REF!</f>
        <v>#REF!</v>
      </c>
      <c r="W398" s="86">
        <f t="shared" si="83"/>
        <v>0</v>
      </c>
      <c r="X398" s="86">
        <f t="shared" si="83"/>
        <v>0</v>
      </c>
      <c r="Y398" s="87">
        <f t="shared" si="84"/>
        <v>0</v>
      </c>
      <c r="Z398" s="87">
        <f t="shared" si="85"/>
        <v>0</v>
      </c>
      <c r="AA398" s="87">
        <f t="shared" si="86"/>
        <v>4</v>
      </c>
    </row>
    <row r="399" spans="9:27">
      <c r="I399" s="81" t="e">
        <f>IF(#REF!&lt;&gt;"",#REF!,"")</f>
        <v>#REF!</v>
      </c>
      <c r="J399" s="81" t="e">
        <f t="shared" si="87"/>
        <v>#REF!</v>
      </c>
      <c r="L399" s="82" t="e">
        <f t="shared" si="88"/>
        <v>#REF!</v>
      </c>
      <c r="M399" s="81" t="e">
        <f t="shared" si="91"/>
        <v>#REF!</v>
      </c>
      <c r="N399" s="81" t="e">
        <f t="shared" si="89"/>
        <v>#REF!</v>
      </c>
      <c r="O399" s="81" t="e">
        <f t="shared" si="90"/>
        <v>#REF!</v>
      </c>
      <c r="Q399" s="83" t="str">
        <f t="shared" si="79"/>
        <v/>
      </c>
      <c r="R399" s="84" t="e">
        <f t="shared" si="80"/>
        <v>#REF!</v>
      </c>
      <c r="S399" s="83" t="e">
        <f t="shared" si="80"/>
        <v>#REF!</v>
      </c>
      <c r="T399" s="84" t="e">
        <f t="shared" si="81"/>
        <v>#REF!</v>
      </c>
      <c r="U399" s="84" t="e">
        <f t="shared" si="82"/>
        <v>#REF!</v>
      </c>
      <c r="V399" s="85" t="e">
        <f>#REF!</f>
        <v>#REF!</v>
      </c>
      <c r="W399" s="86">
        <f t="shared" si="83"/>
        <v>0</v>
      </c>
      <c r="X399" s="86">
        <f t="shared" si="83"/>
        <v>0</v>
      </c>
      <c r="Y399" s="87">
        <f t="shared" si="84"/>
        <v>0</v>
      </c>
      <c r="Z399" s="87">
        <f t="shared" si="85"/>
        <v>0</v>
      </c>
      <c r="AA399" s="87">
        <f t="shared" si="86"/>
        <v>4</v>
      </c>
    </row>
    <row r="400" spans="9:27">
      <c r="I400" s="81" t="e">
        <f>IF(#REF!&lt;&gt;"",#REF!,"")</f>
        <v>#REF!</v>
      </c>
      <c r="J400" s="81" t="e">
        <f t="shared" si="87"/>
        <v>#REF!</v>
      </c>
      <c r="L400" s="82" t="e">
        <f t="shared" si="88"/>
        <v>#REF!</v>
      </c>
      <c r="M400" s="81" t="e">
        <f t="shared" si="91"/>
        <v>#REF!</v>
      </c>
      <c r="N400" s="81" t="e">
        <f t="shared" si="89"/>
        <v>#REF!</v>
      </c>
      <c r="O400" s="81" t="e">
        <f t="shared" si="90"/>
        <v>#REF!</v>
      </c>
      <c r="Q400" s="83" t="str">
        <f t="shared" si="79"/>
        <v/>
      </c>
      <c r="R400" s="84" t="e">
        <f t="shared" si="80"/>
        <v>#REF!</v>
      </c>
      <c r="S400" s="83" t="e">
        <f t="shared" si="80"/>
        <v>#REF!</v>
      </c>
      <c r="T400" s="84" t="e">
        <f t="shared" si="81"/>
        <v>#REF!</v>
      </c>
      <c r="U400" s="84" t="e">
        <f t="shared" si="82"/>
        <v>#REF!</v>
      </c>
      <c r="V400" s="85" t="e">
        <f>#REF!</f>
        <v>#REF!</v>
      </c>
      <c r="W400" s="86">
        <f t="shared" si="83"/>
        <v>0</v>
      </c>
      <c r="X400" s="86">
        <f t="shared" si="83"/>
        <v>0</v>
      </c>
      <c r="Y400" s="87">
        <f t="shared" si="84"/>
        <v>0</v>
      </c>
      <c r="Z400" s="87">
        <f t="shared" si="85"/>
        <v>0</v>
      </c>
      <c r="AA400" s="87">
        <f t="shared" si="86"/>
        <v>4</v>
      </c>
    </row>
    <row r="401" spans="9:27">
      <c r="I401" s="81" t="e">
        <f>IF(#REF!&lt;&gt;"",#REF!,"")</f>
        <v>#REF!</v>
      </c>
      <c r="J401" s="81" t="e">
        <f t="shared" si="87"/>
        <v>#REF!</v>
      </c>
      <c r="L401" s="82" t="e">
        <f t="shared" si="88"/>
        <v>#REF!</v>
      </c>
      <c r="M401" s="81" t="e">
        <f t="shared" si="91"/>
        <v>#REF!</v>
      </c>
      <c r="N401" s="81" t="e">
        <f t="shared" si="89"/>
        <v>#REF!</v>
      </c>
      <c r="O401" s="81" t="e">
        <f t="shared" si="90"/>
        <v>#REF!</v>
      </c>
      <c r="Q401" s="83" t="str">
        <f t="shared" si="79"/>
        <v/>
      </c>
      <c r="R401" s="84" t="e">
        <f t="shared" si="80"/>
        <v>#REF!</v>
      </c>
      <c r="S401" s="83" t="e">
        <f t="shared" si="80"/>
        <v>#REF!</v>
      </c>
      <c r="T401" s="84" t="e">
        <f t="shared" si="81"/>
        <v>#REF!</v>
      </c>
      <c r="U401" s="84" t="e">
        <f t="shared" si="82"/>
        <v>#REF!</v>
      </c>
      <c r="V401" s="85" t="e">
        <f>#REF!</f>
        <v>#REF!</v>
      </c>
      <c r="W401" s="86">
        <f t="shared" si="83"/>
        <v>0</v>
      </c>
      <c r="X401" s="86">
        <f t="shared" si="83"/>
        <v>0</v>
      </c>
      <c r="Y401" s="87">
        <f t="shared" si="84"/>
        <v>0</v>
      </c>
      <c r="Z401" s="87">
        <f t="shared" si="85"/>
        <v>0</v>
      </c>
      <c r="AA401" s="87">
        <f t="shared" si="86"/>
        <v>4</v>
      </c>
    </row>
    <row r="402" spans="9:27">
      <c r="I402" s="81" t="e">
        <f>IF(#REF!&lt;&gt;"",#REF!,"")</f>
        <v>#REF!</v>
      </c>
      <c r="J402" s="81" t="e">
        <f t="shared" si="87"/>
        <v>#REF!</v>
      </c>
      <c r="L402" s="82" t="e">
        <f t="shared" si="88"/>
        <v>#REF!</v>
      </c>
      <c r="M402" s="81" t="e">
        <f t="shared" si="91"/>
        <v>#REF!</v>
      </c>
      <c r="N402" s="81" t="e">
        <f t="shared" si="89"/>
        <v>#REF!</v>
      </c>
      <c r="O402" s="81" t="e">
        <f t="shared" si="90"/>
        <v>#REF!</v>
      </c>
      <c r="Q402" s="83" t="str">
        <f t="shared" si="79"/>
        <v/>
      </c>
      <c r="R402" s="84" t="e">
        <f t="shared" si="80"/>
        <v>#REF!</v>
      </c>
      <c r="S402" s="83" t="e">
        <f t="shared" si="80"/>
        <v>#REF!</v>
      </c>
      <c r="T402" s="84" t="e">
        <f t="shared" si="81"/>
        <v>#REF!</v>
      </c>
      <c r="U402" s="84" t="e">
        <f t="shared" si="82"/>
        <v>#REF!</v>
      </c>
      <c r="V402" s="85" t="e">
        <f>#REF!</f>
        <v>#REF!</v>
      </c>
      <c r="W402" s="86">
        <f t="shared" si="83"/>
        <v>0</v>
      </c>
      <c r="X402" s="86">
        <f t="shared" si="83"/>
        <v>0</v>
      </c>
      <c r="Y402" s="87">
        <f t="shared" si="84"/>
        <v>0</v>
      </c>
      <c r="Z402" s="87">
        <f t="shared" si="85"/>
        <v>0</v>
      </c>
      <c r="AA402" s="87">
        <f t="shared" si="86"/>
        <v>4</v>
      </c>
    </row>
    <row r="403" spans="9:27">
      <c r="I403" s="81" t="e">
        <f>IF(#REF!&lt;&gt;"",#REF!,"")</f>
        <v>#REF!</v>
      </c>
      <c r="J403" s="81" t="e">
        <f t="shared" si="87"/>
        <v>#REF!</v>
      </c>
      <c r="L403" s="82" t="e">
        <f t="shared" si="88"/>
        <v>#REF!</v>
      </c>
      <c r="M403" s="81" t="e">
        <f t="shared" si="91"/>
        <v>#REF!</v>
      </c>
      <c r="N403" s="81" t="e">
        <f t="shared" si="89"/>
        <v>#REF!</v>
      </c>
      <c r="O403" s="81" t="e">
        <f t="shared" si="90"/>
        <v>#REF!</v>
      </c>
      <c r="Q403" s="83" t="str">
        <f t="shared" si="79"/>
        <v/>
      </c>
      <c r="R403" s="84" t="e">
        <f t="shared" si="80"/>
        <v>#REF!</v>
      </c>
      <c r="S403" s="83" t="e">
        <f t="shared" si="80"/>
        <v>#REF!</v>
      </c>
      <c r="T403" s="84" t="e">
        <f t="shared" si="81"/>
        <v>#REF!</v>
      </c>
      <c r="U403" s="84" t="e">
        <f t="shared" si="82"/>
        <v>#REF!</v>
      </c>
      <c r="V403" s="85" t="e">
        <f>#REF!</f>
        <v>#REF!</v>
      </c>
      <c r="W403" s="86">
        <f t="shared" si="83"/>
        <v>0</v>
      </c>
      <c r="X403" s="86">
        <f t="shared" si="83"/>
        <v>0</v>
      </c>
      <c r="Y403" s="87">
        <f t="shared" si="84"/>
        <v>0</v>
      </c>
      <c r="Z403" s="87">
        <f t="shared" si="85"/>
        <v>0</v>
      </c>
      <c r="AA403" s="87">
        <f t="shared" si="86"/>
        <v>4</v>
      </c>
    </row>
    <row r="404" spans="9:27">
      <c r="I404" s="81" t="e">
        <f>IF(#REF!&lt;&gt;"",#REF!,"")</f>
        <v>#REF!</v>
      </c>
      <c r="J404" s="81" t="e">
        <f t="shared" si="87"/>
        <v>#REF!</v>
      </c>
      <c r="L404" s="82" t="e">
        <f t="shared" si="88"/>
        <v>#REF!</v>
      </c>
      <c r="M404" s="81" t="e">
        <f t="shared" si="91"/>
        <v>#REF!</v>
      </c>
      <c r="N404" s="81" t="e">
        <f t="shared" si="89"/>
        <v>#REF!</v>
      </c>
      <c r="O404" s="81" t="e">
        <f t="shared" si="90"/>
        <v>#REF!</v>
      </c>
      <c r="Q404" s="83" t="str">
        <f t="shared" si="79"/>
        <v/>
      </c>
      <c r="R404" s="84" t="e">
        <f t="shared" si="80"/>
        <v>#REF!</v>
      </c>
      <c r="S404" s="83" t="e">
        <f t="shared" si="80"/>
        <v>#REF!</v>
      </c>
      <c r="T404" s="84" t="e">
        <f t="shared" si="81"/>
        <v>#REF!</v>
      </c>
      <c r="U404" s="84" t="e">
        <f t="shared" si="82"/>
        <v>#REF!</v>
      </c>
      <c r="V404" s="85" t="e">
        <f>#REF!</f>
        <v>#REF!</v>
      </c>
      <c r="W404" s="86">
        <f t="shared" si="83"/>
        <v>0</v>
      </c>
      <c r="X404" s="86">
        <f t="shared" si="83"/>
        <v>0</v>
      </c>
      <c r="Y404" s="87">
        <f t="shared" si="84"/>
        <v>0</v>
      </c>
      <c r="Z404" s="87">
        <f t="shared" si="85"/>
        <v>0</v>
      </c>
      <c r="AA404" s="87">
        <f t="shared" si="86"/>
        <v>4</v>
      </c>
    </row>
    <row r="405" spans="9:27">
      <c r="I405" s="81" t="e">
        <f>IF(#REF!&lt;&gt;"",#REF!,"")</f>
        <v>#REF!</v>
      </c>
      <c r="J405" s="81" t="e">
        <f t="shared" si="87"/>
        <v>#REF!</v>
      </c>
      <c r="L405" s="82" t="e">
        <f t="shared" si="88"/>
        <v>#REF!</v>
      </c>
      <c r="M405" s="81" t="e">
        <f t="shared" si="91"/>
        <v>#REF!</v>
      </c>
      <c r="N405" s="81" t="e">
        <f t="shared" si="89"/>
        <v>#REF!</v>
      </c>
      <c r="O405" s="81" t="e">
        <f t="shared" si="90"/>
        <v>#REF!</v>
      </c>
      <c r="Q405" s="83" t="str">
        <f t="shared" si="79"/>
        <v/>
      </c>
      <c r="R405" s="84" t="e">
        <f t="shared" si="80"/>
        <v>#REF!</v>
      </c>
      <c r="S405" s="83" t="e">
        <f t="shared" si="80"/>
        <v>#REF!</v>
      </c>
      <c r="T405" s="84" t="e">
        <f t="shared" si="81"/>
        <v>#REF!</v>
      </c>
      <c r="U405" s="84" t="e">
        <f t="shared" si="82"/>
        <v>#REF!</v>
      </c>
      <c r="V405" s="85" t="e">
        <f>#REF!</f>
        <v>#REF!</v>
      </c>
      <c r="W405" s="86">
        <f t="shared" si="83"/>
        <v>0</v>
      </c>
      <c r="X405" s="86">
        <f t="shared" si="83"/>
        <v>0</v>
      </c>
      <c r="Y405" s="87">
        <f t="shared" si="84"/>
        <v>0</v>
      </c>
      <c r="Z405" s="87">
        <f t="shared" si="85"/>
        <v>0</v>
      </c>
      <c r="AA405" s="87">
        <f t="shared" si="86"/>
        <v>4</v>
      </c>
    </row>
    <row r="406" spans="9:27">
      <c r="I406" s="81" t="e">
        <f>IF(#REF!&lt;&gt;"",#REF!,"")</f>
        <v>#REF!</v>
      </c>
      <c r="J406" s="81" t="e">
        <f t="shared" si="87"/>
        <v>#REF!</v>
      </c>
      <c r="L406" s="82" t="e">
        <f t="shared" si="88"/>
        <v>#REF!</v>
      </c>
      <c r="M406" s="81" t="e">
        <f t="shared" si="91"/>
        <v>#REF!</v>
      </c>
      <c r="N406" s="81" t="e">
        <f t="shared" si="89"/>
        <v>#REF!</v>
      </c>
      <c r="O406" s="81" t="e">
        <f t="shared" si="90"/>
        <v>#REF!</v>
      </c>
      <c r="Q406" s="83" t="str">
        <f t="shared" si="79"/>
        <v/>
      </c>
      <c r="R406" s="84" t="e">
        <f t="shared" si="80"/>
        <v>#REF!</v>
      </c>
      <c r="S406" s="83" t="e">
        <f t="shared" si="80"/>
        <v>#REF!</v>
      </c>
      <c r="T406" s="84" t="e">
        <f t="shared" si="81"/>
        <v>#REF!</v>
      </c>
      <c r="U406" s="84" t="e">
        <f t="shared" si="82"/>
        <v>#REF!</v>
      </c>
      <c r="V406" s="85" t="e">
        <f>#REF!</f>
        <v>#REF!</v>
      </c>
      <c r="W406" s="86">
        <f t="shared" si="83"/>
        <v>0</v>
      </c>
      <c r="X406" s="86">
        <f t="shared" si="83"/>
        <v>0</v>
      </c>
      <c r="Y406" s="87">
        <f t="shared" si="84"/>
        <v>0</v>
      </c>
      <c r="Z406" s="87">
        <f t="shared" si="85"/>
        <v>0</v>
      </c>
      <c r="AA406" s="87">
        <f t="shared" si="86"/>
        <v>4</v>
      </c>
    </row>
    <row r="407" spans="9:27">
      <c r="I407" s="81" t="e">
        <f>IF(#REF!&lt;&gt;"",#REF!,"")</f>
        <v>#REF!</v>
      </c>
      <c r="J407" s="81" t="e">
        <f t="shared" si="87"/>
        <v>#REF!</v>
      </c>
      <c r="L407" s="82" t="e">
        <f t="shared" si="88"/>
        <v>#REF!</v>
      </c>
      <c r="M407" s="81" t="e">
        <f t="shared" si="91"/>
        <v>#REF!</v>
      </c>
      <c r="N407" s="81" t="e">
        <f t="shared" si="89"/>
        <v>#REF!</v>
      </c>
      <c r="O407" s="81" t="e">
        <f t="shared" si="90"/>
        <v>#REF!</v>
      </c>
      <c r="Q407" s="83" t="str">
        <f t="shared" ref="Q407:Q470" si="92">IF(Z407=0,"",IF(Z407=1,R407&amp;S407,"E99999"))</f>
        <v/>
      </c>
      <c r="R407" s="84" t="e">
        <f t="shared" si="80"/>
        <v>#REF!</v>
      </c>
      <c r="S407" s="83" t="e">
        <f t="shared" si="80"/>
        <v>#REF!</v>
      </c>
      <c r="T407" s="84" t="e">
        <f t="shared" si="81"/>
        <v>#REF!</v>
      </c>
      <c r="U407" s="84" t="e">
        <f t="shared" si="82"/>
        <v>#REF!</v>
      </c>
      <c r="V407" s="85" t="e">
        <f>#REF!</f>
        <v>#REF!</v>
      </c>
      <c r="W407" s="86">
        <f t="shared" si="83"/>
        <v>0</v>
      </c>
      <c r="X407" s="86">
        <f t="shared" si="83"/>
        <v>0</v>
      </c>
      <c r="Y407" s="87">
        <f t="shared" si="84"/>
        <v>0</v>
      </c>
      <c r="Z407" s="87">
        <f t="shared" si="85"/>
        <v>0</v>
      </c>
      <c r="AA407" s="87">
        <f t="shared" si="86"/>
        <v>4</v>
      </c>
    </row>
    <row r="408" spans="9:27">
      <c r="I408" s="81" t="e">
        <f>IF(#REF!&lt;&gt;"",#REF!,"")</f>
        <v>#REF!</v>
      </c>
      <c r="J408" s="81" t="e">
        <f t="shared" si="87"/>
        <v>#REF!</v>
      </c>
      <c r="L408" s="82" t="e">
        <f t="shared" si="88"/>
        <v>#REF!</v>
      </c>
      <c r="M408" s="81" t="e">
        <f t="shared" si="91"/>
        <v>#REF!</v>
      </c>
      <c r="N408" s="81" t="e">
        <f t="shared" si="89"/>
        <v>#REF!</v>
      </c>
      <c r="O408" s="81" t="e">
        <f t="shared" si="90"/>
        <v>#REF!</v>
      </c>
      <c r="Q408" s="83" t="str">
        <f t="shared" si="92"/>
        <v/>
      </c>
      <c r="R408" s="84" t="e">
        <f t="shared" si="80"/>
        <v>#REF!</v>
      </c>
      <c r="S408" s="83" t="e">
        <f t="shared" si="80"/>
        <v>#REF!</v>
      </c>
      <c r="T408" s="84" t="e">
        <f t="shared" si="81"/>
        <v>#REF!</v>
      </c>
      <c r="U408" s="84" t="e">
        <f t="shared" si="82"/>
        <v>#REF!</v>
      </c>
      <c r="V408" s="85" t="e">
        <f>#REF!</f>
        <v>#REF!</v>
      </c>
      <c r="W408" s="86">
        <f t="shared" si="83"/>
        <v>0</v>
      </c>
      <c r="X408" s="86">
        <f t="shared" si="83"/>
        <v>0</v>
      </c>
      <c r="Y408" s="87">
        <f t="shared" si="84"/>
        <v>0</v>
      </c>
      <c r="Z408" s="87">
        <f t="shared" si="85"/>
        <v>0</v>
      </c>
      <c r="AA408" s="87">
        <f t="shared" si="86"/>
        <v>4</v>
      </c>
    </row>
    <row r="409" spans="9:27">
      <c r="I409" s="81" t="e">
        <f>IF(#REF!&lt;&gt;"",#REF!,"")</f>
        <v>#REF!</v>
      </c>
      <c r="J409" s="81" t="e">
        <f t="shared" si="87"/>
        <v>#REF!</v>
      </c>
      <c r="L409" s="82" t="e">
        <f t="shared" si="88"/>
        <v>#REF!</v>
      </c>
      <c r="M409" s="81" t="e">
        <f t="shared" si="91"/>
        <v>#REF!</v>
      </c>
      <c r="N409" s="81" t="e">
        <f t="shared" si="89"/>
        <v>#REF!</v>
      </c>
      <c r="O409" s="81" t="e">
        <f t="shared" si="90"/>
        <v>#REF!</v>
      </c>
      <c r="Q409" s="83" t="str">
        <f t="shared" si="92"/>
        <v/>
      </c>
      <c r="R409" s="84" t="e">
        <f t="shared" si="80"/>
        <v>#REF!</v>
      </c>
      <c r="S409" s="83" t="e">
        <f t="shared" si="80"/>
        <v>#REF!</v>
      </c>
      <c r="T409" s="84" t="e">
        <f t="shared" si="81"/>
        <v>#REF!</v>
      </c>
      <c r="U409" s="84" t="e">
        <f t="shared" si="82"/>
        <v>#REF!</v>
      </c>
      <c r="V409" s="85" t="e">
        <f>#REF!</f>
        <v>#REF!</v>
      </c>
      <c r="W409" s="86">
        <f t="shared" si="83"/>
        <v>0</v>
      </c>
      <c r="X409" s="86">
        <f t="shared" si="83"/>
        <v>0</v>
      </c>
      <c r="Y409" s="87">
        <f t="shared" si="84"/>
        <v>0</v>
      </c>
      <c r="Z409" s="87">
        <f t="shared" si="85"/>
        <v>0</v>
      </c>
      <c r="AA409" s="87">
        <f t="shared" si="86"/>
        <v>4</v>
      </c>
    </row>
    <row r="410" spans="9:27">
      <c r="I410" s="81" t="e">
        <f>IF(#REF!&lt;&gt;"",#REF!,"")</f>
        <v>#REF!</v>
      </c>
      <c r="J410" s="81" t="e">
        <f t="shared" si="87"/>
        <v>#REF!</v>
      </c>
      <c r="L410" s="82" t="e">
        <f t="shared" si="88"/>
        <v>#REF!</v>
      </c>
      <c r="M410" s="81" t="e">
        <f t="shared" si="91"/>
        <v>#REF!</v>
      </c>
      <c r="N410" s="81" t="e">
        <f t="shared" si="89"/>
        <v>#REF!</v>
      </c>
      <c r="O410" s="81" t="e">
        <f t="shared" si="90"/>
        <v>#REF!</v>
      </c>
      <c r="Q410" s="83" t="str">
        <f t="shared" si="92"/>
        <v/>
      </c>
      <c r="R410" s="84" t="e">
        <f t="shared" si="80"/>
        <v>#REF!</v>
      </c>
      <c r="S410" s="83" t="e">
        <f t="shared" si="80"/>
        <v>#REF!</v>
      </c>
      <c r="T410" s="84" t="e">
        <f t="shared" si="81"/>
        <v>#REF!</v>
      </c>
      <c r="U410" s="84" t="e">
        <f t="shared" si="82"/>
        <v>#REF!</v>
      </c>
      <c r="V410" s="85" t="e">
        <f>#REF!</f>
        <v>#REF!</v>
      </c>
      <c r="W410" s="86">
        <f t="shared" si="83"/>
        <v>0</v>
      </c>
      <c r="X410" s="86">
        <f t="shared" si="83"/>
        <v>0</v>
      </c>
      <c r="Y410" s="87">
        <f t="shared" si="84"/>
        <v>0</v>
      </c>
      <c r="Z410" s="87">
        <f t="shared" si="85"/>
        <v>0</v>
      </c>
      <c r="AA410" s="87">
        <f t="shared" si="86"/>
        <v>4</v>
      </c>
    </row>
    <row r="411" spans="9:27">
      <c r="I411" s="81" t="e">
        <f>IF(#REF!&lt;&gt;"",#REF!,"")</f>
        <v>#REF!</v>
      </c>
      <c r="J411" s="81" t="e">
        <f t="shared" si="87"/>
        <v>#REF!</v>
      </c>
      <c r="L411" s="82" t="e">
        <f t="shared" si="88"/>
        <v>#REF!</v>
      </c>
      <c r="M411" s="81" t="e">
        <f t="shared" si="91"/>
        <v>#REF!</v>
      </c>
      <c r="N411" s="81" t="e">
        <f t="shared" si="89"/>
        <v>#REF!</v>
      </c>
      <c r="O411" s="81" t="e">
        <f t="shared" si="90"/>
        <v>#REF!</v>
      </c>
      <c r="Q411" s="83" t="str">
        <f t="shared" si="92"/>
        <v/>
      </c>
      <c r="R411" s="84" t="e">
        <f t="shared" si="80"/>
        <v>#REF!</v>
      </c>
      <c r="S411" s="83" t="e">
        <f t="shared" si="80"/>
        <v>#REF!</v>
      </c>
      <c r="T411" s="84" t="e">
        <f t="shared" si="81"/>
        <v>#REF!</v>
      </c>
      <c r="U411" s="84" t="e">
        <f t="shared" si="82"/>
        <v>#REF!</v>
      </c>
      <c r="V411" s="85" t="e">
        <f>#REF!</f>
        <v>#REF!</v>
      </c>
      <c r="W411" s="86">
        <f t="shared" si="83"/>
        <v>0</v>
      </c>
      <c r="X411" s="86">
        <f t="shared" si="83"/>
        <v>0</v>
      </c>
      <c r="Y411" s="87">
        <f t="shared" si="84"/>
        <v>0</v>
      </c>
      <c r="Z411" s="87">
        <f t="shared" si="85"/>
        <v>0</v>
      </c>
      <c r="AA411" s="87">
        <f t="shared" si="86"/>
        <v>4</v>
      </c>
    </row>
    <row r="412" spans="9:27">
      <c r="I412" s="81" t="e">
        <f>IF(#REF!&lt;&gt;"",#REF!,"")</f>
        <v>#REF!</v>
      </c>
      <c r="J412" s="81" t="e">
        <f t="shared" si="87"/>
        <v>#REF!</v>
      </c>
      <c r="L412" s="82" t="e">
        <f t="shared" si="88"/>
        <v>#REF!</v>
      </c>
      <c r="M412" s="81" t="e">
        <f t="shared" si="91"/>
        <v>#REF!</v>
      </c>
      <c r="N412" s="81" t="e">
        <f t="shared" si="89"/>
        <v>#REF!</v>
      </c>
      <c r="O412" s="81" t="e">
        <f t="shared" si="90"/>
        <v>#REF!</v>
      </c>
      <c r="Q412" s="83" t="str">
        <f t="shared" si="92"/>
        <v/>
      </c>
      <c r="R412" s="84" t="e">
        <f t="shared" si="80"/>
        <v>#REF!</v>
      </c>
      <c r="S412" s="83" t="e">
        <f t="shared" si="80"/>
        <v>#REF!</v>
      </c>
      <c r="T412" s="84" t="e">
        <f t="shared" si="81"/>
        <v>#REF!</v>
      </c>
      <c r="U412" s="84" t="e">
        <f t="shared" si="82"/>
        <v>#REF!</v>
      </c>
      <c r="V412" s="85" t="e">
        <f>#REF!</f>
        <v>#REF!</v>
      </c>
      <c r="W412" s="86">
        <f t="shared" si="83"/>
        <v>0</v>
      </c>
      <c r="X412" s="86">
        <f t="shared" si="83"/>
        <v>0</v>
      </c>
      <c r="Y412" s="87">
        <f t="shared" si="84"/>
        <v>0</v>
      </c>
      <c r="Z412" s="87">
        <f t="shared" si="85"/>
        <v>0</v>
      </c>
      <c r="AA412" s="87">
        <f t="shared" si="86"/>
        <v>4</v>
      </c>
    </row>
    <row r="413" spans="9:27">
      <c r="I413" s="81" t="e">
        <f>IF(#REF!&lt;&gt;"",#REF!,"")</f>
        <v>#REF!</v>
      </c>
      <c r="J413" s="81" t="e">
        <f t="shared" si="87"/>
        <v>#REF!</v>
      </c>
      <c r="L413" s="82" t="e">
        <f t="shared" si="88"/>
        <v>#REF!</v>
      </c>
      <c r="M413" s="81" t="e">
        <f t="shared" si="91"/>
        <v>#REF!</v>
      </c>
      <c r="N413" s="81" t="e">
        <f t="shared" si="89"/>
        <v>#REF!</v>
      </c>
      <c r="O413" s="81" t="e">
        <f t="shared" si="90"/>
        <v>#REF!</v>
      </c>
      <c r="Q413" s="83" t="str">
        <f t="shared" si="92"/>
        <v/>
      </c>
      <c r="R413" s="84" t="e">
        <f t="shared" si="80"/>
        <v>#REF!</v>
      </c>
      <c r="S413" s="83" t="e">
        <f t="shared" si="80"/>
        <v>#REF!</v>
      </c>
      <c r="T413" s="84" t="e">
        <f t="shared" si="81"/>
        <v>#REF!</v>
      </c>
      <c r="U413" s="84" t="e">
        <f t="shared" si="82"/>
        <v>#REF!</v>
      </c>
      <c r="V413" s="85" t="e">
        <f>#REF!</f>
        <v>#REF!</v>
      </c>
      <c r="W413" s="86">
        <f t="shared" si="83"/>
        <v>0</v>
      </c>
      <c r="X413" s="86">
        <f t="shared" si="83"/>
        <v>0</v>
      </c>
      <c r="Y413" s="87">
        <f t="shared" si="84"/>
        <v>0</v>
      </c>
      <c r="Z413" s="87">
        <f t="shared" si="85"/>
        <v>0</v>
      </c>
      <c r="AA413" s="87">
        <f t="shared" si="86"/>
        <v>4</v>
      </c>
    </row>
    <row r="414" spans="9:27">
      <c r="I414" s="81" t="e">
        <f>IF(#REF!&lt;&gt;"",#REF!,"")</f>
        <v>#REF!</v>
      </c>
      <c r="J414" s="81" t="e">
        <f t="shared" si="87"/>
        <v>#REF!</v>
      </c>
      <c r="L414" s="82" t="e">
        <f t="shared" si="88"/>
        <v>#REF!</v>
      </c>
      <c r="M414" s="81" t="e">
        <f t="shared" si="91"/>
        <v>#REF!</v>
      </c>
      <c r="N414" s="81" t="e">
        <f t="shared" si="89"/>
        <v>#REF!</v>
      </c>
      <c r="O414" s="81" t="e">
        <f t="shared" si="90"/>
        <v>#REF!</v>
      </c>
      <c r="Q414" s="83" t="str">
        <f t="shared" si="92"/>
        <v/>
      </c>
      <c r="R414" s="84" t="e">
        <f t="shared" si="80"/>
        <v>#REF!</v>
      </c>
      <c r="S414" s="83" t="e">
        <f t="shared" si="80"/>
        <v>#REF!</v>
      </c>
      <c r="T414" s="84" t="e">
        <f t="shared" si="81"/>
        <v>#REF!</v>
      </c>
      <c r="U414" s="84" t="e">
        <f t="shared" si="82"/>
        <v>#REF!</v>
      </c>
      <c r="V414" s="85" t="e">
        <f>#REF!</f>
        <v>#REF!</v>
      </c>
      <c r="W414" s="86">
        <f t="shared" si="83"/>
        <v>0</v>
      </c>
      <c r="X414" s="86">
        <f t="shared" si="83"/>
        <v>0</v>
      </c>
      <c r="Y414" s="87">
        <f t="shared" si="84"/>
        <v>0</v>
      </c>
      <c r="Z414" s="87">
        <f t="shared" si="85"/>
        <v>0</v>
      </c>
      <c r="AA414" s="87">
        <f t="shared" si="86"/>
        <v>4</v>
      </c>
    </row>
    <row r="415" spans="9:27">
      <c r="I415" s="81" t="e">
        <f>IF(#REF!&lt;&gt;"",#REF!,"")</f>
        <v>#REF!</v>
      </c>
      <c r="J415" s="81" t="e">
        <f t="shared" si="87"/>
        <v>#REF!</v>
      </c>
      <c r="L415" s="82" t="e">
        <f t="shared" si="88"/>
        <v>#REF!</v>
      </c>
      <c r="M415" s="81" t="e">
        <f t="shared" si="91"/>
        <v>#REF!</v>
      </c>
      <c r="N415" s="81" t="e">
        <f t="shared" si="89"/>
        <v>#REF!</v>
      </c>
      <c r="O415" s="81" t="e">
        <f t="shared" si="90"/>
        <v>#REF!</v>
      </c>
      <c r="Q415" s="83" t="str">
        <f t="shared" si="92"/>
        <v/>
      </c>
      <c r="R415" s="84" t="e">
        <f t="shared" si="80"/>
        <v>#REF!</v>
      </c>
      <c r="S415" s="83" t="e">
        <f t="shared" si="80"/>
        <v>#REF!</v>
      </c>
      <c r="T415" s="84" t="e">
        <f t="shared" si="81"/>
        <v>#REF!</v>
      </c>
      <c r="U415" s="84" t="e">
        <f t="shared" si="82"/>
        <v>#REF!</v>
      </c>
      <c r="V415" s="85" t="e">
        <f>#REF!</f>
        <v>#REF!</v>
      </c>
      <c r="W415" s="86">
        <f t="shared" si="83"/>
        <v>0</v>
      </c>
      <c r="X415" s="86">
        <f t="shared" si="83"/>
        <v>0</v>
      </c>
      <c r="Y415" s="87">
        <f t="shared" si="84"/>
        <v>0</v>
      </c>
      <c r="Z415" s="87">
        <f t="shared" si="85"/>
        <v>0</v>
      </c>
      <c r="AA415" s="87">
        <f t="shared" si="86"/>
        <v>4</v>
      </c>
    </row>
    <row r="416" spans="9:27">
      <c r="I416" s="81" t="e">
        <f>IF(#REF!&lt;&gt;"",#REF!,"")</f>
        <v>#REF!</v>
      </c>
      <c r="J416" s="81" t="e">
        <f t="shared" si="87"/>
        <v>#REF!</v>
      </c>
      <c r="L416" s="82" t="e">
        <f t="shared" si="88"/>
        <v>#REF!</v>
      </c>
      <c r="M416" s="81" t="e">
        <f t="shared" si="91"/>
        <v>#REF!</v>
      </c>
      <c r="N416" s="81" t="e">
        <f t="shared" si="89"/>
        <v>#REF!</v>
      </c>
      <c r="O416" s="81" t="e">
        <f t="shared" si="90"/>
        <v>#REF!</v>
      </c>
      <c r="Q416" s="83" t="str">
        <f t="shared" si="92"/>
        <v/>
      </c>
      <c r="R416" s="84" t="e">
        <f t="shared" si="80"/>
        <v>#REF!</v>
      </c>
      <c r="S416" s="83" t="e">
        <f t="shared" si="80"/>
        <v>#REF!</v>
      </c>
      <c r="T416" s="84" t="e">
        <f t="shared" si="81"/>
        <v>#REF!</v>
      </c>
      <c r="U416" s="84" t="e">
        <f t="shared" si="82"/>
        <v>#REF!</v>
      </c>
      <c r="V416" s="85" t="e">
        <f>#REF!</f>
        <v>#REF!</v>
      </c>
      <c r="W416" s="86">
        <f t="shared" si="83"/>
        <v>0</v>
      </c>
      <c r="X416" s="86">
        <f t="shared" si="83"/>
        <v>0</v>
      </c>
      <c r="Y416" s="87">
        <f t="shared" si="84"/>
        <v>0</v>
      </c>
      <c r="Z416" s="87">
        <f t="shared" si="85"/>
        <v>0</v>
      </c>
      <c r="AA416" s="87">
        <f t="shared" si="86"/>
        <v>4</v>
      </c>
    </row>
    <row r="417" spans="9:27">
      <c r="I417" s="81" t="e">
        <f>IF(#REF!&lt;&gt;"",#REF!,"")</f>
        <v>#REF!</v>
      </c>
      <c r="J417" s="81" t="e">
        <f t="shared" si="87"/>
        <v>#REF!</v>
      </c>
      <c r="L417" s="82" t="e">
        <f t="shared" si="88"/>
        <v>#REF!</v>
      </c>
      <c r="M417" s="81" t="e">
        <f t="shared" si="91"/>
        <v>#REF!</v>
      </c>
      <c r="N417" s="81" t="e">
        <f t="shared" si="89"/>
        <v>#REF!</v>
      </c>
      <c r="O417" s="81" t="e">
        <f t="shared" si="90"/>
        <v>#REF!</v>
      </c>
      <c r="Q417" s="83" t="str">
        <f t="shared" si="92"/>
        <v/>
      </c>
      <c r="R417" s="84" t="e">
        <f t="shared" si="80"/>
        <v>#REF!</v>
      </c>
      <c r="S417" s="83" t="e">
        <f t="shared" si="80"/>
        <v>#REF!</v>
      </c>
      <c r="T417" s="84" t="e">
        <f t="shared" si="81"/>
        <v>#REF!</v>
      </c>
      <c r="U417" s="84" t="e">
        <f t="shared" si="82"/>
        <v>#REF!</v>
      </c>
      <c r="V417" s="85" t="e">
        <f>#REF!</f>
        <v>#REF!</v>
      </c>
      <c r="W417" s="86">
        <f t="shared" si="83"/>
        <v>0</v>
      </c>
      <c r="X417" s="86">
        <f t="shared" si="83"/>
        <v>0</v>
      </c>
      <c r="Y417" s="87">
        <f t="shared" si="84"/>
        <v>0</v>
      </c>
      <c r="Z417" s="87">
        <f t="shared" si="85"/>
        <v>0</v>
      </c>
      <c r="AA417" s="87">
        <f t="shared" si="86"/>
        <v>4</v>
      </c>
    </row>
    <row r="418" spans="9:27">
      <c r="I418" s="81" t="e">
        <f>IF(#REF!&lt;&gt;"",#REF!,"")</f>
        <v>#REF!</v>
      </c>
      <c r="J418" s="81" t="e">
        <f t="shared" si="87"/>
        <v>#REF!</v>
      </c>
      <c r="L418" s="82" t="e">
        <f t="shared" si="88"/>
        <v>#REF!</v>
      </c>
      <c r="M418" s="81" t="e">
        <f t="shared" si="91"/>
        <v>#REF!</v>
      </c>
      <c r="N418" s="81" t="e">
        <f t="shared" si="89"/>
        <v>#REF!</v>
      </c>
      <c r="O418" s="81" t="e">
        <f t="shared" si="90"/>
        <v>#REF!</v>
      </c>
      <c r="Q418" s="83" t="str">
        <f t="shared" si="92"/>
        <v/>
      </c>
      <c r="R418" s="84" t="e">
        <f t="shared" si="80"/>
        <v>#REF!</v>
      </c>
      <c r="S418" s="83" t="e">
        <f t="shared" si="80"/>
        <v>#REF!</v>
      </c>
      <c r="T418" s="84" t="e">
        <f t="shared" si="81"/>
        <v>#REF!</v>
      </c>
      <c r="U418" s="84" t="e">
        <f t="shared" si="82"/>
        <v>#REF!</v>
      </c>
      <c r="V418" s="85" t="e">
        <f>#REF!</f>
        <v>#REF!</v>
      </c>
      <c r="W418" s="86">
        <f t="shared" si="83"/>
        <v>0</v>
      </c>
      <c r="X418" s="86">
        <f t="shared" si="83"/>
        <v>0</v>
      </c>
      <c r="Y418" s="87">
        <f t="shared" si="84"/>
        <v>0</v>
      </c>
      <c r="Z418" s="87">
        <f t="shared" si="85"/>
        <v>0</v>
      </c>
      <c r="AA418" s="87">
        <f t="shared" si="86"/>
        <v>4</v>
      </c>
    </row>
    <row r="419" spans="9:27">
      <c r="I419" s="81" t="e">
        <f>IF(#REF!&lt;&gt;"",#REF!,"")</f>
        <v>#REF!</v>
      </c>
      <c r="J419" s="81" t="e">
        <f t="shared" si="87"/>
        <v>#REF!</v>
      </c>
      <c r="L419" s="82" t="e">
        <f t="shared" si="88"/>
        <v>#REF!</v>
      </c>
      <c r="M419" s="81" t="e">
        <f t="shared" si="91"/>
        <v>#REF!</v>
      </c>
      <c r="N419" s="81" t="e">
        <f t="shared" si="89"/>
        <v>#REF!</v>
      </c>
      <c r="O419" s="81" t="e">
        <f t="shared" si="90"/>
        <v>#REF!</v>
      </c>
      <c r="Q419" s="83" t="str">
        <f t="shared" si="92"/>
        <v/>
      </c>
      <c r="R419" s="84" t="e">
        <f t="shared" si="80"/>
        <v>#REF!</v>
      </c>
      <c r="S419" s="83" t="e">
        <f t="shared" si="80"/>
        <v>#REF!</v>
      </c>
      <c r="T419" s="84" t="e">
        <f t="shared" si="81"/>
        <v>#REF!</v>
      </c>
      <c r="U419" s="84" t="e">
        <f t="shared" si="82"/>
        <v>#REF!</v>
      </c>
      <c r="V419" s="85" t="e">
        <f>#REF!</f>
        <v>#REF!</v>
      </c>
      <c r="W419" s="86">
        <f t="shared" si="83"/>
        <v>0</v>
      </c>
      <c r="X419" s="86">
        <f t="shared" si="83"/>
        <v>0</v>
      </c>
      <c r="Y419" s="87">
        <f t="shared" si="84"/>
        <v>0</v>
      </c>
      <c r="Z419" s="87">
        <f t="shared" si="85"/>
        <v>0</v>
      </c>
      <c r="AA419" s="87">
        <f t="shared" si="86"/>
        <v>4</v>
      </c>
    </row>
    <row r="420" spans="9:27">
      <c r="I420" s="81" t="e">
        <f>IF(#REF!&lt;&gt;"",#REF!,"")</f>
        <v>#REF!</v>
      </c>
      <c r="J420" s="81" t="e">
        <f t="shared" si="87"/>
        <v>#REF!</v>
      </c>
      <c r="L420" s="82" t="e">
        <f t="shared" si="88"/>
        <v>#REF!</v>
      </c>
      <c r="M420" s="81" t="e">
        <f t="shared" si="91"/>
        <v>#REF!</v>
      </c>
      <c r="N420" s="81" t="e">
        <f t="shared" si="89"/>
        <v>#REF!</v>
      </c>
      <c r="O420" s="81" t="e">
        <f t="shared" si="90"/>
        <v>#REF!</v>
      </c>
      <c r="Q420" s="83" t="str">
        <f t="shared" si="92"/>
        <v/>
      </c>
      <c r="R420" s="84" t="e">
        <f t="shared" si="80"/>
        <v>#REF!</v>
      </c>
      <c r="S420" s="83" t="e">
        <f t="shared" si="80"/>
        <v>#REF!</v>
      </c>
      <c r="T420" s="84" t="e">
        <f t="shared" si="81"/>
        <v>#REF!</v>
      </c>
      <c r="U420" s="84" t="e">
        <f t="shared" si="82"/>
        <v>#REF!</v>
      </c>
      <c r="V420" s="85" t="e">
        <f>#REF!</f>
        <v>#REF!</v>
      </c>
      <c r="W420" s="86">
        <f t="shared" si="83"/>
        <v>0</v>
      </c>
      <c r="X420" s="86">
        <f t="shared" si="83"/>
        <v>0</v>
      </c>
      <c r="Y420" s="87">
        <f t="shared" si="84"/>
        <v>0</v>
      </c>
      <c r="Z420" s="87">
        <f t="shared" si="85"/>
        <v>0</v>
      </c>
      <c r="AA420" s="87">
        <f t="shared" si="86"/>
        <v>4</v>
      </c>
    </row>
    <row r="421" spans="9:27">
      <c r="I421" s="81" t="e">
        <f>IF(#REF!&lt;&gt;"",#REF!,"")</f>
        <v>#REF!</v>
      </c>
      <c r="J421" s="81" t="e">
        <f t="shared" si="87"/>
        <v>#REF!</v>
      </c>
      <c r="L421" s="82" t="e">
        <f t="shared" si="88"/>
        <v>#REF!</v>
      </c>
      <c r="M421" s="81" t="e">
        <f t="shared" si="91"/>
        <v>#REF!</v>
      </c>
      <c r="N421" s="81" t="e">
        <f t="shared" si="89"/>
        <v>#REF!</v>
      </c>
      <c r="O421" s="81" t="e">
        <f t="shared" si="90"/>
        <v>#REF!</v>
      </c>
      <c r="Q421" s="83" t="str">
        <f t="shared" si="92"/>
        <v/>
      </c>
      <c r="R421" s="84" t="e">
        <f t="shared" si="80"/>
        <v>#REF!</v>
      </c>
      <c r="S421" s="83" t="e">
        <f t="shared" si="80"/>
        <v>#REF!</v>
      </c>
      <c r="T421" s="84" t="e">
        <f t="shared" si="81"/>
        <v>#REF!</v>
      </c>
      <c r="U421" s="84" t="e">
        <f t="shared" si="82"/>
        <v>#REF!</v>
      </c>
      <c r="V421" s="85" t="e">
        <f>#REF!</f>
        <v>#REF!</v>
      </c>
      <c r="W421" s="86">
        <f t="shared" si="83"/>
        <v>0</v>
      </c>
      <c r="X421" s="86">
        <f t="shared" si="83"/>
        <v>0</v>
      </c>
      <c r="Y421" s="87">
        <f t="shared" si="84"/>
        <v>0</v>
      </c>
      <c r="Z421" s="87">
        <f t="shared" si="85"/>
        <v>0</v>
      </c>
      <c r="AA421" s="87">
        <f t="shared" si="86"/>
        <v>4</v>
      </c>
    </row>
    <row r="422" spans="9:27">
      <c r="I422" s="81" t="e">
        <f>IF(#REF!&lt;&gt;"",#REF!,"")</f>
        <v>#REF!</v>
      </c>
      <c r="J422" s="81" t="e">
        <f t="shared" si="87"/>
        <v>#REF!</v>
      </c>
      <c r="L422" s="82" t="e">
        <f t="shared" si="88"/>
        <v>#REF!</v>
      </c>
      <c r="M422" s="81" t="e">
        <f t="shared" si="91"/>
        <v>#REF!</v>
      </c>
      <c r="N422" s="81" t="e">
        <f t="shared" si="89"/>
        <v>#REF!</v>
      </c>
      <c r="O422" s="81" t="e">
        <f t="shared" si="90"/>
        <v>#REF!</v>
      </c>
      <c r="Q422" s="83" t="str">
        <f t="shared" si="92"/>
        <v/>
      </c>
      <c r="R422" s="84" t="e">
        <f t="shared" si="80"/>
        <v>#REF!</v>
      </c>
      <c r="S422" s="83" t="e">
        <f t="shared" si="80"/>
        <v>#REF!</v>
      </c>
      <c r="T422" s="84" t="e">
        <f t="shared" si="81"/>
        <v>#REF!</v>
      </c>
      <c r="U422" s="84" t="e">
        <f t="shared" si="82"/>
        <v>#REF!</v>
      </c>
      <c r="V422" s="85" t="e">
        <f>#REF!</f>
        <v>#REF!</v>
      </c>
      <c r="W422" s="86">
        <f t="shared" si="83"/>
        <v>0</v>
      </c>
      <c r="X422" s="86">
        <f t="shared" si="83"/>
        <v>0</v>
      </c>
      <c r="Y422" s="87">
        <f t="shared" si="84"/>
        <v>0</v>
      </c>
      <c r="Z422" s="87">
        <f t="shared" si="85"/>
        <v>0</v>
      </c>
      <c r="AA422" s="87">
        <f t="shared" si="86"/>
        <v>4</v>
      </c>
    </row>
    <row r="423" spans="9:27">
      <c r="I423" s="81" t="e">
        <f>IF(#REF!&lt;&gt;"",#REF!,"")</f>
        <v>#REF!</v>
      </c>
      <c r="J423" s="81" t="e">
        <f t="shared" si="87"/>
        <v>#REF!</v>
      </c>
      <c r="L423" s="82" t="e">
        <f t="shared" si="88"/>
        <v>#REF!</v>
      </c>
      <c r="M423" s="81" t="e">
        <f t="shared" si="91"/>
        <v>#REF!</v>
      </c>
      <c r="N423" s="81" t="e">
        <f t="shared" si="89"/>
        <v>#REF!</v>
      </c>
      <c r="O423" s="81" t="e">
        <f t="shared" si="90"/>
        <v>#REF!</v>
      </c>
      <c r="Q423" s="83" t="str">
        <f t="shared" si="92"/>
        <v/>
      </c>
      <c r="R423" s="84" t="e">
        <f t="shared" si="80"/>
        <v>#REF!</v>
      </c>
      <c r="S423" s="83" t="e">
        <f t="shared" si="80"/>
        <v>#REF!</v>
      </c>
      <c r="T423" s="84" t="e">
        <f t="shared" si="81"/>
        <v>#REF!</v>
      </c>
      <c r="U423" s="84" t="e">
        <f t="shared" si="82"/>
        <v>#REF!</v>
      </c>
      <c r="V423" s="85" t="e">
        <f>#REF!</f>
        <v>#REF!</v>
      </c>
      <c r="W423" s="86">
        <f t="shared" si="83"/>
        <v>0</v>
      </c>
      <c r="X423" s="86">
        <f t="shared" si="83"/>
        <v>0</v>
      </c>
      <c r="Y423" s="87">
        <f t="shared" si="84"/>
        <v>0</v>
      </c>
      <c r="Z423" s="87">
        <f t="shared" si="85"/>
        <v>0</v>
      </c>
      <c r="AA423" s="87">
        <f t="shared" si="86"/>
        <v>4</v>
      </c>
    </row>
    <row r="424" spans="9:27">
      <c r="I424" s="81" t="e">
        <f>IF(#REF!&lt;&gt;"",#REF!,"")</f>
        <v>#REF!</v>
      </c>
      <c r="J424" s="81" t="e">
        <f t="shared" si="87"/>
        <v>#REF!</v>
      </c>
      <c r="L424" s="82" t="e">
        <f t="shared" si="88"/>
        <v>#REF!</v>
      </c>
      <c r="M424" s="81" t="e">
        <f t="shared" si="91"/>
        <v>#REF!</v>
      </c>
      <c r="N424" s="81" t="e">
        <f t="shared" si="89"/>
        <v>#REF!</v>
      </c>
      <c r="O424" s="81" t="e">
        <f t="shared" si="90"/>
        <v>#REF!</v>
      </c>
      <c r="Q424" s="83" t="str">
        <f t="shared" si="92"/>
        <v/>
      </c>
      <c r="R424" s="84" t="e">
        <f t="shared" si="80"/>
        <v>#REF!</v>
      </c>
      <c r="S424" s="83" t="e">
        <f t="shared" si="80"/>
        <v>#REF!</v>
      </c>
      <c r="T424" s="84" t="e">
        <f t="shared" si="81"/>
        <v>#REF!</v>
      </c>
      <c r="U424" s="84" t="e">
        <f t="shared" si="82"/>
        <v>#REF!</v>
      </c>
      <c r="V424" s="85" t="e">
        <f>#REF!</f>
        <v>#REF!</v>
      </c>
      <c r="W424" s="86">
        <f t="shared" si="83"/>
        <v>0</v>
      </c>
      <c r="X424" s="86">
        <f t="shared" si="83"/>
        <v>0</v>
      </c>
      <c r="Y424" s="87">
        <f t="shared" si="84"/>
        <v>0</v>
      </c>
      <c r="Z424" s="87">
        <f t="shared" si="85"/>
        <v>0</v>
      </c>
      <c r="AA424" s="87">
        <f t="shared" si="86"/>
        <v>4</v>
      </c>
    </row>
    <row r="425" spans="9:27">
      <c r="I425" s="81" t="e">
        <f>IF(#REF!&lt;&gt;"",#REF!,"")</f>
        <v>#REF!</v>
      </c>
      <c r="J425" s="81" t="e">
        <f t="shared" si="87"/>
        <v>#REF!</v>
      </c>
      <c r="L425" s="82" t="e">
        <f t="shared" si="88"/>
        <v>#REF!</v>
      </c>
      <c r="M425" s="81" t="e">
        <f t="shared" si="91"/>
        <v>#REF!</v>
      </c>
      <c r="N425" s="81" t="e">
        <f t="shared" si="89"/>
        <v>#REF!</v>
      </c>
      <c r="O425" s="81" t="e">
        <f t="shared" si="90"/>
        <v>#REF!</v>
      </c>
      <c r="Q425" s="83" t="str">
        <f t="shared" si="92"/>
        <v/>
      </c>
      <c r="R425" s="84" t="e">
        <f t="shared" si="80"/>
        <v>#REF!</v>
      </c>
      <c r="S425" s="83" t="e">
        <f t="shared" si="80"/>
        <v>#REF!</v>
      </c>
      <c r="T425" s="84" t="e">
        <f t="shared" si="81"/>
        <v>#REF!</v>
      </c>
      <c r="U425" s="84" t="e">
        <f t="shared" si="82"/>
        <v>#REF!</v>
      </c>
      <c r="V425" s="85" t="e">
        <f>#REF!</f>
        <v>#REF!</v>
      </c>
      <c r="W425" s="86">
        <f t="shared" si="83"/>
        <v>0</v>
      </c>
      <c r="X425" s="86">
        <f t="shared" si="83"/>
        <v>0</v>
      </c>
      <c r="Y425" s="87">
        <f t="shared" si="84"/>
        <v>0</v>
      </c>
      <c r="Z425" s="87">
        <f t="shared" si="85"/>
        <v>0</v>
      </c>
      <c r="AA425" s="87">
        <f t="shared" si="86"/>
        <v>4</v>
      </c>
    </row>
    <row r="426" spans="9:27">
      <c r="I426" s="81" t="e">
        <f>IF(#REF!&lt;&gt;"",#REF!,"")</f>
        <v>#REF!</v>
      </c>
      <c r="J426" s="81" t="e">
        <f t="shared" si="87"/>
        <v>#REF!</v>
      </c>
      <c r="L426" s="82" t="e">
        <f t="shared" si="88"/>
        <v>#REF!</v>
      </c>
      <c r="M426" s="81" t="e">
        <f t="shared" si="91"/>
        <v>#REF!</v>
      </c>
      <c r="N426" s="81" t="e">
        <f t="shared" si="89"/>
        <v>#REF!</v>
      </c>
      <c r="O426" s="81" t="e">
        <f t="shared" si="90"/>
        <v>#REF!</v>
      </c>
      <c r="Q426" s="83" t="str">
        <f t="shared" si="92"/>
        <v/>
      </c>
      <c r="R426" s="84" t="e">
        <f t="shared" si="80"/>
        <v>#REF!</v>
      </c>
      <c r="S426" s="83" t="e">
        <f t="shared" si="80"/>
        <v>#REF!</v>
      </c>
      <c r="T426" s="84" t="e">
        <f t="shared" si="81"/>
        <v>#REF!</v>
      </c>
      <c r="U426" s="84" t="e">
        <f t="shared" si="82"/>
        <v>#REF!</v>
      </c>
      <c r="V426" s="85" t="e">
        <f>#REF!</f>
        <v>#REF!</v>
      </c>
      <c r="W426" s="86">
        <f t="shared" si="83"/>
        <v>0</v>
      </c>
      <c r="X426" s="86">
        <f t="shared" si="83"/>
        <v>0</v>
      </c>
      <c r="Y426" s="87">
        <f t="shared" si="84"/>
        <v>0</v>
      </c>
      <c r="Z426" s="87">
        <f t="shared" si="85"/>
        <v>0</v>
      </c>
      <c r="AA426" s="87">
        <f t="shared" si="86"/>
        <v>4</v>
      </c>
    </row>
    <row r="427" spans="9:27">
      <c r="I427" s="81" t="e">
        <f>IF(#REF!&lt;&gt;"",#REF!,"")</f>
        <v>#REF!</v>
      </c>
      <c r="J427" s="81" t="e">
        <f t="shared" si="87"/>
        <v>#REF!</v>
      </c>
      <c r="L427" s="82" t="e">
        <f t="shared" si="88"/>
        <v>#REF!</v>
      </c>
      <c r="M427" s="81" t="e">
        <f t="shared" si="91"/>
        <v>#REF!</v>
      </c>
      <c r="N427" s="81" t="e">
        <f t="shared" si="89"/>
        <v>#REF!</v>
      </c>
      <c r="O427" s="81" t="e">
        <f t="shared" si="90"/>
        <v>#REF!</v>
      </c>
      <c r="Q427" s="83" t="str">
        <f t="shared" si="92"/>
        <v/>
      </c>
      <c r="R427" s="84" t="e">
        <f t="shared" si="80"/>
        <v>#REF!</v>
      </c>
      <c r="S427" s="83" t="e">
        <f t="shared" si="80"/>
        <v>#REF!</v>
      </c>
      <c r="T427" s="84" t="e">
        <f t="shared" si="81"/>
        <v>#REF!</v>
      </c>
      <c r="U427" s="84" t="e">
        <f t="shared" si="82"/>
        <v>#REF!</v>
      </c>
      <c r="V427" s="85" t="e">
        <f>#REF!</f>
        <v>#REF!</v>
      </c>
      <c r="W427" s="86">
        <f t="shared" si="83"/>
        <v>0</v>
      </c>
      <c r="X427" s="86">
        <f t="shared" si="83"/>
        <v>0</v>
      </c>
      <c r="Y427" s="87">
        <f t="shared" si="84"/>
        <v>0</v>
      </c>
      <c r="Z427" s="87">
        <f t="shared" si="85"/>
        <v>0</v>
      </c>
      <c r="AA427" s="87">
        <f t="shared" si="86"/>
        <v>4</v>
      </c>
    </row>
    <row r="428" spans="9:27">
      <c r="I428" s="81" t="e">
        <f>IF(#REF!&lt;&gt;"",#REF!,"")</f>
        <v>#REF!</v>
      </c>
      <c r="J428" s="81" t="e">
        <f t="shared" si="87"/>
        <v>#REF!</v>
      </c>
      <c r="L428" s="82" t="e">
        <f t="shared" si="88"/>
        <v>#REF!</v>
      </c>
      <c r="M428" s="81" t="e">
        <f t="shared" si="91"/>
        <v>#REF!</v>
      </c>
      <c r="N428" s="81" t="e">
        <f t="shared" si="89"/>
        <v>#REF!</v>
      </c>
      <c r="O428" s="81" t="e">
        <f t="shared" si="90"/>
        <v>#REF!</v>
      </c>
      <c r="Q428" s="83" t="str">
        <f t="shared" si="92"/>
        <v/>
      </c>
      <c r="R428" s="84" t="e">
        <f t="shared" si="80"/>
        <v>#REF!</v>
      </c>
      <c r="S428" s="83" t="e">
        <f t="shared" si="80"/>
        <v>#REF!</v>
      </c>
      <c r="T428" s="84" t="e">
        <f t="shared" si="81"/>
        <v>#REF!</v>
      </c>
      <c r="U428" s="84" t="e">
        <f t="shared" si="82"/>
        <v>#REF!</v>
      </c>
      <c r="V428" s="85" t="e">
        <f>#REF!</f>
        <v>#REF!</v>
      </c>
      <c r="W428" s="86">
        <f t="shared" si="83"/>
        <v>0</v>
      </c>
      <c r="X428" s="86">
        <f t="shared" si="83"/>
        <v>0</v>
      </c>
      <c r="Y428" s="87">
        <f t="shared" si="84"/>
        <v>0</v>
      </c>
      <c r="Z428" s="87">
        <f t="shared" si="85"/>
        <v>0</v>
      </c>
      <c r="AA428" s="87">
        <f t="shared" si="86"/>
        <v>4</v>
      </c>
    </row>
    <row r="429" spans="9:27">
      <c r="I429" s="81" t="e">
        <f>IF(#REF!&lt;&gt;"",#REF!,"")</f>
        <v>#REF!</v>
      </c>
      <c r="J429" s="81" t="e">
        <f t="shared" si="87"/>
        <v>#REF!</v>
      </c>
      <c r="L429" s="82" t="e">
        <f t="shared" si="88"/>
        <v>#REF!</v>
      </c>
      <c r="M429" s="81" t="e">
        <f t="shared" si="91"/>
        <v>#REF!</v>
      </c>
      <c r="N429" s="81" t="e">
        <f t="shared" si="89"/>
        <v>#REF!</v>
      </c>
      <c r="O429" s="81" t="e">
        <f t="shared" si="90"/>
        <v>#REF!</v>
      </c>
      <c r="Q429" s="83" t="str">
        <f t="shared" si="92"/>
        <v/>
      </c>
      <c r="R429" s="84" t="e">
        <f t="shared" si="80"/>
        <v>#REF!</v>
      </c>
      <c r="S429" s="83" t="e">
        <f t="shared" si="80"/>
        <v>#REF!</v>
      </c>
      <c r="T429" s="84" t="e">
        <f t="shared" si="81"/>
        <v>#REF!</v>
      </c>
      <c r="U429" s="84" t="e">
        <f t="shared" si="82"/>
        <v>#REF!</v>
      </c>
      <c r="V429" s="85" t="e">
        <f>#REF!</f>
        <v>#REF!</v>
      </c>
      <c r="W429" s="86">
        <f t="shared" si="83"/>
        <v>0</v>
      </c>
      <c r="X429" s="86">
        <f t="shared" si="83"/>
        <v>0</v>
      </c>
      <c r="Y429" s="87">
        <f t="shared" si="84"/>
        <v>0</v>
      </c>
      <c r="Z429" s="87">
        <f t="shared" si="85"/>
        <v>0</v>
      </c>
      <c r="AA429" s="87">
        <f t="shared" si="86"/>
        <v>4</v>
      </c>
    </row>
    <row r="430" spans="9:27">
      <c r="I430" s="81" t="e">
        <f>IF(#REF!&lt;&gt;"",#REF!,"")</f>
        <v>#REF!</v>
      </c>
      <c r="J430" s="81" t="e">
        <f t="shared" si="87"/>
        <v>#REF!</v>
      </c>
      <c r="L430" s="82" t="e">
        <f t="shared" si="88"/>
        <v>#REF!</v>
      </c>
      <c r="M430" s="81" t="e">
        <f t="shared" si="91"/>
        <v>#REF!</v>
      </c>
      <c r="N430" s="81" t="e">
        <f t="shared" si="89"/>
        <v>#REF!</v>
      </c>
      <c r="O430" s="81" t="e">
        <f t="shared" si="90"/>
        <v>#REF!</v>
      </c>
      <c r="Q430" s="83" t="str">
        <f t="shared" si="92"/>
        <v/>
      </c>
      <c r="R430" s="84" t="e">
        <f t="shared" si="80"/>
        <v>#REF!</v>
      </c>
      <c r="S430" s="83" t="e">
        <f t="shared" si="80"/>
        <v>#REF!</v>
      </c>
      <c r="T430" s="84" t="e">
        <f t="shared" si="81"/>
        <v>#REF!</v>
      </c>
      <c r="U430" s="84" t="e">
        <f t="shared" si="82"/>
        <v>#REF!</v>
      </c>
      <c r="V430" s="85" t="e">
        <f>#REF!</f>
        <v>#REF!</v>
      </c>
      <c r="W430" s="86">
        <f t="shared" si="83"/>
        <v>0</v>
      </c>
      <c r="X430" s="86">
        <f t="shared" si="83"/>
        <v>0</v>
      </c>
      <c r="Y430" s="87">
        <f t="shared" si="84"/>
        <v>0</v>
      </c>
      <c r="Z430" s="87">
        <f t="shared" si="85"/>
        <v>0</v>
      </c>
      <c r="AA430" s="87">
        <f t="shared" si="86"/>
        <v>4</v>
      </c>
    </row>
    <row r="431" spans="9:27">
      <c r="I431" s="81" t="e">
        <f>IF(#REF!&lt;&gt;"",#REF!,"")</f>
        <v>#REF!</v>
      </c>
      <c r="J431" s="81" t="e">
        <f t="shared" si="87"/>
        <v>#REF!</v>
      </c>
      <c r="L431" s="82" t="e">
        <f t="shared" si="88"/>
        <v>#REF!</v>
      </c>
      <c r="M431" s="81" t="e">
        <f t="shared" si="91"/>
        <v>#REF!</v>
      </c>
      <c r="N431" s="81" t="e">
        <f t="shared" si="89"/>
        <v>#REF!</v>
      </c>
      <c r="O431" s="81" t="e">
        <f t="shared" si="90"/>
        <v>#REF!</v>
      </c>
      <c r="Q431" s="83" t="str">
        <f t="shared" si="92"/>
        <v/>
      </c>
      <c r="R431" s="84" t="e">
        <f t="shared" si="80"/>
        <v>#REF!</v>
      </c>
      <c r="S431" s="83" t="e">
        <f t="shared" si="80"/>
        <v>#REF!</v>
      </c>
      <c r="T431" s="84" t="e">
        <f t="shared" si="81"/>
        <v>#REF!</v>
      </c>
      <c r="U431" s="84" t="e">
        <f t="shared" si="82"/>
        <v>#REF!</v>
      </c>
      <c r="V431" s="85" t="e">
        <f>#REF!</f>
        <v>#REF!</v>
      </c>
      <c r="W431" s="86">
        <f t="shared" si="83"/>
        <v>0</v>
      </c>
      <c r="X431" s="86">
        <f t="shared" si="83"/>
        <v>0</v>
      </c>
      <c r="Y431" s="87">
        <f t="shared" si="84"/>
        <v>0</v>
      </c>
      <c r="Z431" s="87">
        <f t="shared" si="85"/>
        <v>0</v>
      </c>
      <c r="AA431" s="87">
        <f t="shared" si="86"/>
        <v>4</v>
      </c>
    </row>
    <row r="432" spans="9:27">
      <c r="I432" s="81" t="e">
        <f>IF(#REF!&lt;&gt;"",#REF!,"")</f>
        <v>#REF!</v>
      </c>
      <c r="J432" s="81" t="e">
        <f t="shared" si="87"/>
        <v>#REF!</v>
      </c>
      <c r="L432" s="82" t="e">
        <f t="shared" si="88"/>
        <v>#REF!</v>
      </c>
      <c r="M432" s="81" t="e">
        <f t="shared" si="91"/>
        <v>#REF!</v>
      </c>
      <c r="N432" s="81" t="e">
        <f t="shared" si="89"/>
        <v>#REF!</v>
      </c>
      <c r="O432" s="81" t="e">
        <f t="shared" si="90"/>
        <v>#REF!</v>
      </c>
      <c r="Q432" s="83" t="str">
        <f t="shared" si="92"/>
        <v/>
      </c>
      <c r="R432" s="84" t="e">
        <f t="shared" si="80"/>
        <v>#REF!</v>
      </c>
      <c r="S432" s="83" t="e">
        <f t="shared" si="80"/>
        <v>#REF!</v>
      </c>
      <c r="T432" s="84" t="e">
        <f t="shared" si="81"/>
        <v>#REF!</v>
      </c>
      <c r="U432" s="84" t="e">
        <f t="shared" si="82"/>
        <v>#REF!</v>
      </c>
      <c r="V432" s="85" t="e">
        <f>#REF!</f>
        <v>#REF!</v>
      </c>
      <c r="W432" s="86">
        <f t="shared" si="83"/>
        <v>0</v>
      </c>
      <c r="X432" s="86">
        <f t="shared" si="83"/>
        <v>0</v>
      </c>
      <c r="Y432" s="87">
        <f t="shared" si="84"/>
        <v>0</v>
      </c>
      <c r="Z432" s="87">
        <f t="shared" si="85"/>
        <v>0</v>
      </c>
      <c r="AA432" s="87">
        <f t="shared" si="86"/>
        <v>4</v>
      </c>
    </row>
    <row r="433" spans="9:27">
      <c r="I433" s="81" t="e">
        <f>IF(#REF!&lt;&gt;"",#REF!,"")</f>
        <v>#REF!</v>
      </c>
      <c r="J433" s="81" t="e">
        <f t="shared" si="87"/>
        <v>#REF!</v>
      </c>
      <c r="L433" s="82" t="e">
        <f t="shared" si="88"/>
        <v>#REF!</v>
      </c>
      <c r="M433" s="81" t="e">
        <f t="shared" si="91"/>
        <v>#REF!</v>
      </c>
      <c r="N433" s="81" t="e">
        <f t="shared" si="89"/>
        <v>#REF!</v>
      </c>
      <c r="O433" s="81" t="e">
        <f t="shared" si="90"/>
        <v>#REF!</v>
      </c>
      <c r="Q433" s="83" t="str">
        <f t="shared" si="92"/>
        <v/>
      </c>
      <c r="R433" s="84" t="e">
        <f t="shared" si="80"/>
        <v>#REF!</v>
      </c>
      <c r="S433" s="83" t="e">
        <f t="shared" si="80"/>
        <v>#REF!</v>
      </c>
      <c r="T433" s="84" t="e">
        <f t="shared" si="81"/>
        <v>#REF!</v>
      </c>
      <c r="U433" s="84" t="e">
        <f t="shared" si="82"/>
        <v>#REF!</v>
      </c>
      <c r="V433" s="85" t="e">
        <f>#REF!</f>
        <v>#REF!</v>
      </c>
      <c r="W433" s="86">
        <f t="shared" si="83"/>
        <v>0</v>
      </c>
      <c r="X433" s="86">
        <f t="shared" si="83"/>
        <v>0</v>
      </c>
      <c r="Y433" s="87">
        <f t="shared" si="84"/>
        <v>0</v>
      </c>
      <c r="Z433" s="87">
        <f t="shared" si="85"/>
        <v>0</v>
      </c>
      <c r="AA433" s="87">
        <f t="shared" si="86"/>
        <v>4</v>
      </c>
    </row>
    <row r="434" spans="9:27">
      <c r="I434" s="81" t="e">
        <f>IF(#REF!&lt;&gt;"",#REF!,"")</f>
        <v>#REF!</v>
      </c>
      <c r="J434" s="81" t="e">
        <f t="shared" si="87"/>
        <v>#REF!</v>
      </c>
      <c r="L434" s="82" t="e">
        <f t="shared" si="88"/>
        <v>#REF!</v>
      </c>
      <c r="M434" s="81" t="e">
        <f t="shared" si="91"/>
        <v>#REF!</v>
      </c>
      <c r="N434" s="81" t="e">
        <f t="shared" si="89"/>
        <v>#REF!</v>
      </c>
      <c r="O434" s="81" t="e">
        <f t="shared" si="90"/>
        <v>#REF!</v>
      </c>
      <c r="Q434" s="83" t="str">
        <f t="shared" si="92"/>
        <v/>
      </c>
      <c r="R434" s="84" t="e">
        <f t="shared" si="80"/>
        <v>#REF!</v>
      </c>
      <c r="S434" s="83" t="e">
        <f t="shared" si="80"/>
        <v>#REF!</v>
      </c>
      <c r="T434" s="84" t="e">
        <f t="shared" si="81"/>
        <v>#REF!</v>
      </c>
      <c r="U434" s="84" t="e">
        <f t="shared" si="82"/>
        <v>#REF!</v>
      </c>
      <c r="V434" s="85" t="e">
        <f>#REF!</f>
        <v>#REF!</v>
      </c>
      <c r="W434" s="86">
        <f t="shared" si="83"/>
        <v>0</v>
      </c>
      <c r="X434" s="86">
        <f t="shared" si="83"/>
        <v>0</v>
      </c>
      <c r="Y434" s="87">
        <f t="shared" si="84"/>
        <v>0</v>
      </c>
      <c r="Z434" s="87">
        <f t="shared" si="85"/>
        <v>0</v>
      </c>
      <c r="AA434" s="87">
        <f t="shared" si="86"/>
        <v>4</v>
      </c>
    </row>
    <row r="435" spans="9:27">
      <c r="I435" s="81" t="e">
        <f>IF(#REF!&lt;&gt;"",#REF!,"")</f>
        <v>#REF!</v>
      </c>
      <c r="J435" s="81" t="e">
        <f t="shared" si="87"/>
        <v>#REF!</v>
      </c>
      <c r="L435" s="82" t="e">
        <f t="shared" si="88"/>
        <v>#REF!</v>
      </c>
      <c r="M435" s="81" t="e">
        <f t="shared" si="91"/>
        <v>#REF!</v>
      </c>
      <c r="N435" s="81" t="e">
        <f t="shared" si="89"/>
        <v>#REF!</v>
      </c>
      <c r="O435" s="81" t="e">
        <f t="shared" si="90"/>
        <v>#REF!</v>
      </c>
      <c r="Q435" s="83" t="str">
        <f t="shared" si="92"/>
        <v/>
      </c>
      <c r="R435" s="84" t="e">
        <f t="shared" si="80"/>
        <v>#REF!</v>
      </c>
      <c r="S435" s="83" t="e">
        <f t="shared" si="80"/>
        <v>#REF!</v>
      </c>
      <c r="T435" s="84" t="e">
        <f t="shared" si="81"/>
        <v>#REF!</v>
      </c>
      <c r="U435" s="84" t="e">
        <f t="shared" si="82"/>
        <v>#REF!</v>
      </c>
      <c r="V435" s="85" t="e">
        <f>#REF!</f>
        <v>#REF!</v>
      </c>
      <c r="W435" s="86">
        <f t="shared" si="83"/>
        <v>0</v>
      </c>
      <c r="X435" s="86">
        <f t="shared" si="83"/>
        <v>0</v>
      </c>
      <c r="Y435" s="87">
        <f t="shared" si="84"/>
        <v>0</v>
      </c>
      <c r="Z435" s="87">
        <f t="shared" si="85"/>
        <v>0</v>
      </c>
      <c r="AA435" s="87">
        <f t="shared" si="86"/>
        <v>4</v>
      </c>
    </row>
    <row r="436" spans="9:27">
      <c r="I436" s="81" t="e">
        <f>IF(#REF!&lt;&gt;"",#REF!,"")</f>
        <v>#REF!</v>
      </c>
      <c r="J436" s="81" t="e">
        <f t="shared" si="87"/>
        <v>#REF!</v>
      </c>
      <c r="L436" s="82" t="e">
        <f t="shared" si="88"/>
        <v>#REF!</v>
      </c>
      <c r="M436" s="81" t="e">
        <f t="shared" si="91"/>
        <v>#REF!</v>
      </c>
      <c r="N436" s="81" t="e">
        <f t="shared" si="89"/>
        <v>#REF!</v>
      </c>
      <c r="O436" s="81" t="e">
        <f t="shared" si="90"/>
        <v>#REF!</v>
      </c>
      <c r="Q436" s="83" t="str">
        <f t="shared" si="92"/>
        <v/>
      </c>
      <c r="R436" s="84" t="e">
        <f t="shared" si="80"/>
        <v>#REF!</v>
      </c>
      <c r="S436" s="83" t="e">
        <f t="shared" si="80"/>
        <v>#REF!</v>
      </c>
      <c r="T436" s="84" t="e">
        <f t="shared" si="81"/>
        <v>#REF!</v>
      </c>
      <c r="U436" s="84" t="e">
        <f t="shared" si="82"/>
        <v>#REF!</v>
      </c>
      <c r="V436" s="85" t="e">
        <f>#REF!</f>
        <v>#REF!</v>
      </c>
      <c r="W436" s="86">
        <f t="shared" si="83"/>
        <v>0</v>
      </c>
      <c r="X436" s="86">
        <f t="shared" si="83"/>
        <v>0</v>
      </c>
      <c r="Y436" s="87">
        <f t="shared" si="84"/>
        <v>0</v>
      </c>
      <c r="Z436" s="87">
        <f t="shared" si="85"/>
        <v>0</v>
      </c>
      <c r="AA436" s="87">
        <f t="shared" si="86"/>
        <v>4</v>
      </c>
    </row>
    <row r="437" spans="9:27">
      <c r="I437" s="81" t="e">
        <f>IF(#REF!&lt;&gt;"",#REF!,"")</f>
        <v>#REF!</v>
      </c>
      <c r="J437" s="81" t="e">
        <f t="shared" si="87"/>
        <v>#REF!</v>
      </c>
      <c r="L437" s="82" t="e">
        <f t="shared" si="88"/>
        <v>#REF!</v>
      </c>
      <c r="M437" s="81" t="e">
        <f t="shared" si="91"/>
        <v>#REF!</v>
      </c>
      <c r="N437" s="81" t="e">
        <f t="shared" si="89"/>
        <v>#REF!</v>
      </c>
      <c r="O437" s="81" t="e">
        <f t="shared" si="90"/>
        <v>#REF!</v>
      </c>
      <c r="Q437" s="83" t="str">
        <f t="shared" si="92"/>
        <v/>
      </c>
      <c r="R437" s="84" t="e">
        <f t="shared" si="80"/>
        <v>#REF!</v>
      </c>
      <c r="S437" s="83" t="e">
        <f t="shared" si="80"/>
        <v>#REF!</v>
      </c>
      <c r="T437" s="84" t="e">
        <f t="shared" si="81"/>
        <v>#REF!</v>
      </c>
      <c r="U437" s="84" t="e">
        <f t="shared" si="82"/>
        <v>#REF!</v>
      </c>
      <c r="V437" s="85" t="e">
        <f>#REF!</f>
        <v>#REF!</v>
      </c>
      <c r="W437" s="86">
        <f t="shared" si="83"/>
        <v>0</v>
      </c>
      <c r="X437" s="86">
        <f t="shared" si="83"/>
        <v>0</v>
      </c>
      <c r="Y437" s="87">
        <f t="shared" si="84"/>
        <v>0</v>
      </c>
      <c r="Z437" s="87">
        <f t="shared" si="85"/>
        <v>0</v>
      </c>
      <c r="AA437" s="87">
        <f t="shared" si="86"/>
        <v>4</v>
      </c>
    </row>
    <row r="438" spans="9:27">
      <c r="I438" s="81" t="e">
        <f>IF(#REF!&lt;&gt;"",#REF!,"")</f>
        <v>#REF!</v>
      </c>
      <c r="J438" s="81" t="e">
        <f t="shared" si="87"/>
        <v>#REF!</v>
      </c>
      <c r="L438" s="82" t="e">
        <f t="shared" si="88"/>
        <v>#REF!</v>
      </c>
      <c r="M438" s="81" t="e">
        <f t="shared" si="91"/>
        <v>#REF!</v>
      </c>
      <c r="N438" s="81" t="e">
        <f t="shared" si="89"/>
        <v>#REF!</v>
      </c>
      <c r="O438" s="81" t="e">
        <f t="shared" si="90"/>
        <v>#REF!</v>
      </c>
      <c r="Q438" s="83" t="str">
        <f t="shared" si="92"/>
        <v/>
      </c>
      <c r="R438" s="84" t="e">
        <f t="shared" si="80"/>
        <v>#REF!</v>
      </c>
      <c r="S438" s="83" t="e">
        <f t="shared" si="80"/>
        <v>#REF!</v>
      </c>
      <c r="T438" s="84" t="e">
        <f t="shared" si="81"/>
        <v>#REF!</v>
      </c>
      <c r="U438" s="84" t="e">
        <f t="shared" si="82"/>
        <v>#REF!</v>
      </c>
      <c r="V438" s="85" t="e">
        <f>#REF!</f>
        <v>#REF!</v>
      </c>
      <c r="W438" s="86">
        <f t="shared" si="83"/>
        <v>0</v>
      </c>
      <c r="X438" s="86">
        <f t="shared" si="83"/>
        <v>0</v>
      </c>
      <c r="Y438" s="87">
        <f t="shared" si="84"/>
        <v>0</v>
      </c>
      <c r="Z438" s="87">
        <f t="shared" si="85"/>
        <v>0</v>
      </c>
      <c r="AA438" s="87">
        <f t="shared" si="86"/>
        <v>4</v>
      </c>
    </row>
    <row r="439" spans="9:27">
      <c r="I439" s="81" t="e">
        <f>IF(#REF!&lt;&gt;"",#REF!,"")</f>
        <v>#REF!</v>
      </c>
      <c r="J439" s="81" t="e">
        <f t="shared" si="87"/>
        <v>#REF!</v>
      </c>
      <c r="L439" s="82" t="e">
        <f t="shared" si="88"/>
        <v>#REF!</v>
      </c>
      <c r="M439" s="81" t="e">
        <f t="shared" si="91"/>
        <v>#REF!</v>
      </c>
      <c r="N439" s="81" t="e">
        <f t="shared" si="89"/>
        <v>#REF!</v>
      </c>
      <c r="O439" s="81" t="e">
        <f t="shared" si="90"/>
        <v>#REF!</v>
      </c>
      <c r="Q439" s="83" t="str">
        <f t="shared" si="92"/>
        <v/>
      </c>
      <c r="R439" s="84" t="e">
        <f t="shared" si="80"/>
        <v>#REF!</v>
      </c>
      <c r="S439" s="83" t="e">
        <f t="shared" si="80"/>
        <v>#REF!</v>
      </c>
      <c r="T439" s="84" t="e">
        <f t="shared" si="81"/>
        <v>#REF!</v>
      </c>
      <c r="U439" s="84" t="e">
        <f t="shared" si="82"/>
        <v>#REF!</v>
      </c>
      <c r="V439" s="85" t="e">
        <f>#REF!</f>
        <v>#REF!</v>
      </c>
      <c r="W439" s="86">
        <f t="shared" si="83"/>
        <v>0</v>
      </c>
      <c r="X439" s="86">
        <f t="shared" si="83"/>
        <v>0</v>
      </c>
      <c r="Y439" s="87">
        <f t="shared" si="84"/>
        <v>0</v>
      </c>
      <c r="Z439" s="87">
        <f t="shared" si="85"/>
        <v>0</v>
      </c>
      <c r="AA439" s="87">
        <f t="shared" si="86"/>
        <v>4</v>
      </c>
    </row>
    <row r="440" spans="9:27">
      <c r="I440" s="81" t="e">
        <f>IF(#REF!&lt;&gt;"",#REF!,"")</f>
        <v>#REF!</v>
      </c>
      <c r="J440" s="81" t="e">
        <f t="shared" si="87"/>
        <v>#REF!</v>
      </c>
      <c r="L440" s="82" t="e">
        <f t="shared" si="88"/>
        <v>#REF!</v>
      </c>
      <c r="M440" s="81" t="e">
        <f t="shared" si="91"/>
        <v>#REF!</v>
      </c>
      <c r="N440" s="81" t="e">
        <f t="shared" si="89"/>
        <v>#REF!</v>
      </c>
      <c r="O440" s="81" t="e">
        <f t="shared" si="90"/>
        <v>#REF!</v>
      </c>
      <c r="Q440" s="83" t="str">
        <f t="shared" si="92"/>
        <v/>
      </c>
      <c r="R440" s="84" t="e">
        <f t="shared" si="80"/>
        <v>#REF!</v>
      </c>
      <c r="S440" s="83" t="e">
        <f t="shared" si="80"/>
        <v>#REF!</v>
      </c>
      <c r="T440" s="84" t="e">
        <f t="shared" si="81"/>
        <v>#REF!</v>
      </c>
      <c r="U440" s="84" t="e">
        <f t="shared" si="82"/>
        <v>#REF!</v>
      </c>
      <c r="V440" s="85" t="e">
        <f>#REF!</f>
        <v>#REF!</v>
      </c>
      <c r="W440" s="86">
        <f t="shared" si="83"/>
        <v>0</v>
      </c>
      <c r="X440" s="86">
        <f t="shared" si="83"/>
        <v>0</v>
      </c>
      <c r="Y440" s="87">
        <f t="shared" si="84"/>
        <v>0</v>
      </c>
      <c r="Z440" s="87">
        <f t="shared" si="85"/>
        <v>0</v>
      </c>
      <c r="AA440" s="87">
        <f t="shared" si="86"/>
        <v>4</v>
      </c>
    </row>
    <row r="441" spans="9:27">
      <c r="I441" s="81" t="e">
        <f>IF(#REF!&lt;&gt;"",#REF!,"")</f>
        <v>#REF!</v>
      </c>
      <c r="J441" s="81" t="e">
        <f t="shared" si="87"/>
        <v>#REF!</v>
      </c>
      <c r="L441" s="82" t="e">
        <f t="shared" si="88"/>
        <v>#REF!</v>
      </c>
      <c r="M441" s="81" t="e">
        <f t="shared" si="91"/>
        <v>#REF!</v>
      </c>
      <c r="N441" s="81" t="e">
        <f t="shared" si="89"/>
        <v>#REF!</v>
      </c>
      <c r="O441" s="81" t="e">
        <f t="shared" si="90"/>
        <v>#REF!</v>
      </c>
      <c r="Q441" s="83" t="str">
        <f t="shared" si="92"/>
        <v/>
      </c>
      <c r="R441" s="84" t="e">
        <f t="shared" si="80"/>
        <v>#REF!</v>
      </c>
      <c r="S441" s="83" t="e">
        <f t="shared" si="80"/>
        <v>#REF!</v>
      </c>
      <c r="T441" s="84" t="e">
        <f t="shared" si="81"/>
        <v>#REF!</v>
      </c>
      <c r="U441" s="84" t="e">
        <f t="shared" si="82"/>
        <v>#REF!</v>
      </c>
      <c r="V441" s="85" t="e">
        <f>#REF!</f>
        <v>#REF!</v>
      </c>
      <c r="W441" s="86">
        <f t="shared" si="83"/>
        <v>0</v>
      </c>
      <c r="X441" s="86">
        <f t="shared" si="83"/>
        <v>0</v>
      </c>
      <c r="Y441" s="87">
        <f t="shared" si="84"/>
        <v>0</v>
      </c>
      <c r="Z441" s="87">
        <f t="shared" si="85"/>
        <v>0</v>
      </c>
      <c r="AA441" s="87">
        <f t="shared" si="86"/>
        <v>4</v>
      </c>
    </row>
    <row r="442" spans="9:27">
      <c r="I442" s="81" t="e">
        <f>IF(#REF!&lt;&gt;"",#REF!,"")</f>
        <v>#REF!</v>
      </c>
      <c r="J442" s="81" t="e">
        <f t="shared" si="87"/>
        <v>#REF!</v>
      </c>
      <c r="L442" s="82" t="e">
        <f t="shared" si="88"/>
        <v>#REF!</v>
      </c>
      <c r="M442" s="81" t="e">
        <f t="shared" si="91"/>
        <v>#REF!</v>
      </c>
      <c r="N442" s="81" t="e">
        <f t="shared" si="89"/>
        <v>#REF!</v>
      </c>
      <c r="O442" s="81" t="e">
        <f t="shared" si="90"/>
        <v>#REF!</v>
      </c>
      <c r="Q442" s="83" t="str">
        <f t="shared" si="92"/>
        <v/>
      </c>
      <c r="R442" s="84" t="e">
        <f t="shared" si="80"/>
        <v>#REF!</v>
      </c>
      <c r="S442" s="83" t="e">
        <f t="shared" si="80"/>
        <v>#REF!</v>
      </c>
      <c r="T442" s="84" t="e">
        <f t="shared" si="81"/>
        <v>#REF!</v>
      </c>
      <c r="U442" s="84" t="e">
        <f t="shared" si="82"/>
        <v>#REF!</v>
      </c>
      <c r="V442" s="85" t="e">
        <f>#REF!</f>
        <v>#REF!</v>
      </c>
      <c r="W442" s="86">
        <f t="shared" si="83"/>
        <v>0</v>
      </c>
      <c r="X442" s="86">
        <f t="shared" si="83"/>
        <v>0</v>
      </c>
      <c r="Y442" s="87">
        <f t="shared" si="84"/>
        <v>0</v>
      </c>
      <c r="Z442" s="87">
        <f t="shared" si="85"/>
        <v>0</v>
      </c>
      <c r="AA442" s="87">
        <f t="shared" si="86"/>
        <v>4</v>
      </c>
    </row>
    <row r="443" spans="9:27">
      <c r="I443" s="81" t="e">
        <f>IF(#REF!&lt;&gt;"",#REF!,"")</f>
        <v>#REF!</v>
      </c>
      <c r="J443" s="81" t="e">
        <f t="shared" si="87"/>
        <v>#REF!</v>
      </c>
      <c r="L443" s="82" t="e">
        <f t="shared" si="88"/>
        <v>#REF!</v>
      </c>
      <c r="M443" s="81" t="e">
        <f t="shared" si="91"/>
        <v>#REF!</v>
      </c>
      <c r="N443" s="81" t="e">
        <f t="shared" si="89"/>
        <v>#REF!</v>
      </c>
      <c r="O443" s="81" t="e">
        <f t="shared" si="90"/>
        <v>#REF!</v>
      </c>
      <c r="Q443" s="83" t="str">
        <f t="shared" si="92"/>
        <v/>
      </c>
      <c r="R443" s="84" t="e">
        <f t="shared" si="80"/>
        <v>#REF!</v>
      </c>
      <c r="S443" s="83" t="e">
        <f t="shared" si="80"/>
        <v>#REF!</v>
      </c>
      <c r="T443" s="84" t="e">
        <f t="shared" si="81"/>
        <v>#REF!</v>
      </c>
      <c r="U443" s="84" t="e">
        <f t="shared" si="82"/>
        <v>#REF!</v>
      </c>
      <c r="V443" s="85" t="e">
        <f>#REF!</f>
        <v>#REF!</v>
      </c>
      <c r="W443" s="86">
        <f t="shared" si="83"/>
        <v>0</v>
      </c>
      <c r="X443" s="86">
        <f t="shared" si="83"/>
        <v>0</v>
      </c>
      <c r="Y443" s="87">
        <f t="shared" si="84"/>
        <v>0</v>
      </c>
      <c r="Z443" s="87">
        <f t="shared" si="85"/>
        <v>0</v>
      </c>
      <c r="AA443" s="87">
        <f t="shared" si="86"/>
        <v>4</v>
      </c>
    </row>
    <row r="444" spans="9:27">
      <c r="I444" s="81" t="e">
        <f>IF(#REF!&lt;&gt;"",#REF!,"")</f>
        <v>#REF!</v>
      </c>
      <c r="J444" s="81" t="e">
        <f t="shared" si="87"/>
        <v>#REF!</v>
      </c>
      <c r="L444" s="82" t="e">
        <f t="shared" si="88"/>
        <v>#REF!</v>
      </c>
      <c r="M444" s="81" t="e">
        <f t="shared" si="91"/>
        <v>#REF!</v>
      </c>
      <c r="N444" s="81" t="e">
        <f t="shared" si="89"/>
        <v>#REF!</v>
      </c>
      <c r="O444" s="81" t="e">
        <f t="shared" si="90"/>
        <v>#REF!</v>
      </c>
      <c r="Q444" s="83" t="str">
        <f t="shared" si="92"/>
        <v/>
      </c>
      <c r="R444" s="84" t="e">
        <f t="shared" si="80"/>
        <v>#REF!</v>
      </c>
      <c r="S444" s="83" t="e">
        <f t="shared" si="80"/>
        <v>#REF!</v>
      </c>
      <c r="T444" s="84" t="e">
        <f t="shared" si="81"/>
        <v>#REF!</v>
      </c>
      <c r="U444" s="84" t="e">
        <f t="shared" si="82"/>
        <v>#REF!</v>
      </c>
      <c r="V444" s="85" t="e">
        <f>#REF!</f>
        <v>#REF!</v>
      </c>
      <c r="W444" s="86">
        <f t="shared" si="83"/>
        <v>0</v>
      </c>
      <c r="X444" s="86">
        <f t="shared" si="83"/>
        <v>0</v>
      </c>
      <c r="Y444" s="87">
        <f t="shared" si="84"/>
        <v>0</v>
      </c>
      <c r="Z444" s="87">
        <f t="shared" si="85"/>
        <v>0</v>
      </c>
      <c r="AA444" s="87">
        <f t="shared" si="86"/>
        <v>4</v>
      </c>
    </row>
    <row r="445" spans="9:27">
      <c r="I445" s="81" t="e">
        <f>IF(#REF!&lt;&gt;"",#REF!,"")</f>
        <v>#REF!</v>
      </c>
      <c r="J445" s="81" t="e">
        <f t="shared" si="87"/>
        <v>#REF!</v>
      </c>
      <c r="L445" s="82" t="e">
        <f t="shared" si="88"/>
        <v>#REF!</v>
      </c>
      <c r="M445" s="81" t="e">
        <f t="shared" si="91"/>
        <v>#REF!</v>
      </c>
      <c r="N445" s="81" t="e">
        <f t="shared" si="89"/>
        <v>#REF!</v>
      </c>
      <c r="O445" s="81" t="e">
        <f t="shared" si="90"/>
        <v>#REF!</v>
      </c>
      <c r="Q445" s="83" t="str">
        <f t="shared" si="92"/>
        <v/>
      </c>
      <c r="R445" s="84" t="e">
        <f t="shared" si="80"/>
        <v>#REF!</v>
      </c>
      <c r="S445" s="83" t="e">
        <f t="shared" si="80"/>
        <v>#REF!</v>
      </c>
      <c r="T445" s="84" t="e">
        <f t="shared" si="81"/>
        <v>#REF!</v>
      </c>
      <c r="U445" s="84" t="e">
        <f t="shared" si="82"/>
        <v>#REF!</v>
      </c>
      <c r="V445" s="85" t="e">
        <f>#REF!</f>
        <v>#REF!</v>
      </c>
      <c r="W445" s="86">
        <f t="shared" si="83"/>
        <v>0</v>
      </c>
      <c r="X445" s="86">
        <f t="shared" si="83"/>
        <v>0</v>
      </c>
      <c r="Y445" s="87">
        <f t="shared" si="84"/>
        <v>0</v>
      </c>
      <c r="Z445" s="87">
        <f t="shared" si="85"/>
        <v>0</v>
      </c>
      <c r="AA445" s="87">
        <f t="shared" si="86"/>
        <v>4</v>
      </c>
    </row>
    <row r="446" spans="9:27">
      <c r="I446" s="81" t="e">
        <f>IF(#REF!&lt;&gt;"",#REF!,"")</f>
        <v>#REF!</v>
      </c>
      <c r="J446" s="81" t="e">
        <f t="shared" si="87"/>
        <v>#REF!</v>
      </c>
      <c r="L446" s="82" t="e">
        <f t="shared" si="88"/>
        <v>#REF!</v>
      </c>
      <c r="M446" s="81" t="e">
        <f t="shared" si="91"/>
        <v>#REF!</v>
      </c>
      <c r="N446" s="81" t="e">
        <f t="shared" si="89"/>
        <v>#REF!</v>
      </c>
      <c r="O446" s="81" t="e">
        <f t="shared" si="90"/>
        <v>#REF!</v>
      </c>
      <c r="Q446" s="83" t="str">
        <f t="shared" si="92"/>
        <v/>
      </c>
      <c r="R446" s="84" t="e">
        <f t="shared" si="80"/>
        <v>#REF!</v>
      </c>
      <c r="S446" s="83" t="e">
        <f t="shared" si="80"/>
        <v>#REF!</v>
      </c>
      <c r="T446" s="84" t="e">
        <f t="shared" si="81"/>
        <v>#REF!</v>
      </c>
      <c r="U446" s="84" t="e">
        <f t="shared" si="82"/>
        <v>#REF!</v>
      </c>
      <c r="V446" s="85" t="e">
        <f>#REF!</f>
        <v>#REF!</v>
      </c>
      <c r="W446" s="86">
        <f t="shared" si="83"/>
        <v>0</v>
      </c>
      <c r="X446" s="86">
        <f t="shared" si="83"/>
        <v>0</v>
      </c>
      <c r="Y446" s="87">
        <f t="shared" si="84"/>
        <v>0</v>
      </c>
      <c r="Z446" s="87">
        <f t="shared" si="85"/>
        <v>0</v>
      </c>
      <c r="AA446" s="87">
        <f t="shared" si="86"/>
        <v>4</v>
      </c>
    </row>
    <row r="447" spans="9:27">
      <c r="I447" s="81" t="e">
        <f>IF(#REF!&lt;&gt;"",#REF!,"")</f>
        <v>#REF!</v>
      </c>
      <c r="J447" s="81" t="e">
        <f t="shared" si="87"/>
        <v>#REF!</v>
      </c>
      <c r="L447" s="82" t="e">
        <f t="shared" si="88"/>
        <v>#REF!</v>
      </c>
      <c r="M447" s="81" t="e">
        <f t="shared" si="91"/>
        <v>#REF!</v>
      </c>
      <c r="N447" s="81" t="e">
        <f t="shared" si="89"/>
        <v>#REF!</v>
      </c>
      <c r="O447" s="81" t="e">
        <f t="shared" si="90"/>
        <v>#REF!</v>
      </c>
      <c r="Q447" s="83" t="str">
        <f t="shared" si="92"/>
        <v/>
      </c>
      <c r="R447" s="84" t="e">
        <f t="shared" si="80"/>
        <v>#REF!</v>
      </c>
      <c r="S447" s="83" t="e">
        <f t="shared" si="80"/>
        <v>#REF!</v>
      </c>
      <c r="T447" s="84" t="e">
        <f t="shared" si="81"/>
        <v>#REF!</v>
      </c>
      <c r="U447" s="84" t="e">
        <f t="shared" si="82"/>
        <v>#REF!</v>
      </c>
      <c r="V447" s="85" t="e">
        <f>#REF!</f>
        <v>#REF!</v>
      </c>
      <c r="W447" s="86">
        <f t="shared" si="83"/>
        <v>0</v>
      </c>
      <c r="X447" s="86">
        <f t="shared" si="83"/>
        <v>0</v>
      </c>
      <c r="Y447" s="87">
        <f t="shared" si="84"/>
        <v>0</v>
      </c>
      <c r="Z447" s="87">
        <f t="shared" si="85"/>
        <v>0</v>
      </c>
      <c r="AA447" s="87">
        <f t="shared" si="86"/>
        <v>4</v>
      </c>
    </row>
    <row r="448" spans="9:27">
      <c r="I448" s="81" t="e">
        <f>IF(#REF!&lt;&gt;"",#REF!,"")</f>
        <v>#REF!</v>
      </c>
      <c r="J448" s="81" t="e">
        <f t="shared" si="87"/>
        <v>#REF!</v>
      </c>
      <c r="L448" s="82" t="e">
        <f t="shared" si="88"/>
        <v>#REF!</v>
      </c>
      <c r="M448" s="81" t="e">
        <f t="shared" si="91"/>
        <v>#REF!</v>
      </c>
      <c r="N448" s="81" t="e">
        <f t="shared" si="89"/>
        <v>#REF!</v>
      </c>
      <c r="O448" s="81" t="e">
        <f t="shared" si="90"/>
        <v>#REF!</v>
      </c>
      <c r="Q448" s="83" t="str">
        <f t="shared" si="92"/>
        <v/>
      </c>
      <c r="R448" s="84" t="e">
        <f t="shared" ref="R448:S511" si="93">IF(L448="","",L448)</f>
        <v>#REF!</v>
      </c>
      <c r="S448" s="83" t="e">
        <f t="shared" si="93"/>
        <v>#REF!</v>
      </c>
      <c r="T448" s="84" t="e">
        <f t="shared" ref="T448:T511" si="94">IF(W448=1,"",N448)</f>
        <v>#REF!</v>
      </c>
      <c r="U448" s="84" t="e">
        <f t="shared" ref="U448:U511" si="95">IF(OR(W448=1,X448=1),"",O448)</f>
        <v>#REF!</v>
      </c>
      <c r="V448" s="85" t="e">
        <f>#REF!</f>
        <v>#REF!</v>
      </c>
      <c r="W448" s="86">
        <f t="shared" si="83"/>
        <v>0</v>
      </c>
      <c r="X448" s="86">
        <f t="shared" si="83"/>
        <v>0</v>
      </c>
      <c r="Y448" s="87">
        <f t="shared" si="84"/>
        <v>0</v>
      </c>
      <c r="Z448" s="87">
        <f t="shared" si="85"/>
        <v>0</v>
      </c>
      <c r="AA448" s="87">
        <f t="shared" si="86"/>
        <v>4</v>
      </c>
    </row>
    <row r="449" spans="9:27">
      <c r="I449" s="81" t="e">
        <f>IF(#REF!&lt;&gt;"",#REF!,"")</f>
        <v>#REF!</v>
      </c>
      <c r="J449" s="81" t="e">
        <f t="shared" si="87"/>
        <v>#REF!</v>
      </c>
      <c r="L449" s="82" t="e">
        <f t="shared" si="88"/>
        <v>#REF!</v>
      </c>
      <c r="M449" s="81" t="e">
        <f t="shared" si="91"/>
        <v>#REF!</v>
      </c>
      <c r="N449" s="81" t="e">
        <f t="shared" si="89"/>
        <v>#REF!</v>
      </c>
      <c r="O449" s="81" t="e">
        <f t="shared" si="90"/>
        <v>#REF!</v>
      </c>
      <c r="Q449" s="83" t="str">
        <f t="shared" si="92"/>
        <v/>
      </c>
      <c r="R449" s="84" t="e">
        <f t="shared" si="93"/>
        <v>#REF!</v>
      </c>
      <c r="S449" s="83" t="e">
        <f t="shared" si="93"/>
        <v>#REF!</v>
      </c>
      <c r="T449" s="84" t="e">
        <f t="shared" si="94"/>
        <v>#REF!</v>
      </c>
      <c r="U449" s="84" t="e">
        <f t="shared" si="95"/>
        <v>#REF!</v>
      </c>
      <c r="V449" s="85" t="e">
        <f>#REF!</f>
        <v>#REF!</v>
      </c>
      <c r="W449" s="86">
        <f t="shared" ref="W449:X512" si="96">COUNTIFS(R449,"&gt;&lt;")</f>
        <v>0</v>
      </c>
      <c r="X449" s="86">
        <f t="shared" si="96"/>
        <v>0</v>
      </c>
      <c r="Y449" s="87">
        <f t="shared" ref="Y449:Y512" si="97">COUNTIFS(R449:U449,"*")</f>
        <v>0</v>
      </c>
      <c r="Z449" s="87">
        <f t="shared" ref="Z449:Z512" si="98">COUNTIFS(R449:U449,"&gt;&lt;")</f>
        <v>0</v>
      </c>
      <c r="AA449" s="87">
        <f t="shared" ref="AA449:AA512" si="99">COUNTIFS(R449:U449,"&lt;&gt;")</f>
        <v>4</v>
      </c>
    </row>
    <row r="450" spans="9:27">
      <c r="I450" s="81" t="e">
        <f>IF(#REF!&lt;&gt;"",#REF!,"")</f>
        <v>#REF!</v>
      </c>
      <c r="J450" s="81" t="e">
        <f t="shared" si="87"/>
        <v>#REF!</v>
      </c>
      <c r="L450" s="82" t="e">
        <f t="shared" si="88"/>
        <v>#REF!</v>
      </c>
      <c r="M450" s="81" t="e">
        <f t="shared" si="91"/>
        <v>#REF!</v>
      </c>
      <c r="N450" s="81" t="e">
        <f t="shared" si="89"/>
        <v>#REF!</v>
      </c>
      <c r="O450" s="81" t="e">
        <f t="shared" si="90"/>
        <v>#REF!</v>
      </c>
      <c r="Q450" s="83" t="str">
        <f t="shared" si="92"/>
        <v/>
      </c>
      <c r="R450" s="84" t="e">
        <f t="shared" si="93"/>
        <v>#REF!</v>
      </c>
      <c r="S450" s="83" t="e">
        <f t="shared" si="93"/>
        <v>#REF!</v>
      </c>
      <c r="T450" s="84" t="e">
        <f t="shared" si="94"/>
        <v>#REF!</v>
      </c>
      <c r="U450" s="84" t="e">
        <f t="shared" si="95"/>
        <v>#REF!</v>
      </c>
      <c r="V450" s="85" t="e">
        <f>#REF!</f>
        <v>#REF!</v>
      </c>
      <c r="W450" s="86">
        <f t="shared" si="96"/>
        <v>0</v>
      </c>
      <c r="X450" s="86">
        <f t="shared" si="96"/>
        <v>0</v>
      </c>
      <c r="Y450" s="87">
        <f t="shared" si="97"/>
        <v>0</v>
      </c>
      <c r="Z450" s="87">
        <f t="shared" si="98"/>
        <v>0</v>
      </c>
      <c r="AA450" s="87">
        <f t="shared" si="99"/>
        <v>4</v>
      </c>
    </row>
    <row r="451" spans="9:27">
      <c r="I451" s="81" t="e">
        <f>IF(#REF!&lt;&gt;"",#REF!,"")</f>
        <v>#REF!</v>
      </c>
      <c r="J451" s="81" t="e">
        <f t="shared" ref="J451:J514" si="100">LEFT(I451,1)</f>
        <v>#REF!</v>
      </c>
      <c r="L451" s="82" t="e">
        <f t="shared" ref="L451:L514" si="101">IF(OR(J451="E",J451="L",J451="M"),"",I451)</f>
        <v>#REF!</v>
      </c>
      <c r="M451" s="81" t="e">
        <f t="shared" si="91"/>
        <v>#REF!</v>
      </c>
      <c r="N451" s="81" t="e">
        <f t="shared" ref="N451:N514" si="102">IF(OR(J451="D",J451="E",J451="L"),"",I451)</f>
        <v>#REF!</v>
      </c>
      <c r="O451" s="81" t="e">
        <f t="shared" ref="O451:O514" si="103">IF(OR(J451="D",J451="E",J451="M"),"",I451)</f>
        <v>#REF!</v>
      </c>
      <c r="Q451" s="83" t="str">
        <f t="shared" si="92"/>
        <v/>
      </c>
      <c r="R451" s="84" t="e">
        <f t="shared" si="93"/>
        <v>#REF!</v>
      </c>
      <c r="S451" s="83" t="e">
        <f t="shared" si="93"/>
        <v>#REF!</v>
      </c>
      <c r="T451" s="84" t="e">
        <f t="shared" si="94"/>
        <v>#REF!</v>
      </c>
      <c r="U451" s="84" t="e">
        <f t="shared" si="95"/>
        <v>#REF!</v>
      </c>
      <c r="V451" s="85" t="e">
        <f>#REF!</f>
        <v>#REF!</v>
      </c>
      <c r="W451" s="86">
        <f t="shared" si="96"/>
        <v>0</v>
      </c>
      <c r="X451" s="86">
        <f t="shared" si="96"/>
        <v>0</v>
      </c>
      <c r="Y451" s="87">
        <f t="shared" si="97"/>
        <v>0</v>
      </c>
      <c r="Z451" s="87">
        <f t="shared" si="98"/>
        <v>0</v>
      </c>
      <c r="AA451" s="87">
        <f t="shared" si="99"/>
        <v>4</v>
      </c>
    </row>
    <row r="452" spans="9:27">
      <c r="I452" s="81" t="e">
        <f>IF(#REF!&lt;&gt;"",#REF!,"")</f>
        <v>#REF!</v>
      </c>
      <c r="J452" s="81" t="e">
        <f t="shared" si="100"/>
        <v>#REF!</v>
      </c>
      <c r="L452" s="82" t="e">
        <f t="shared" si="101"/>
        <v>#REF!</v>
      </c>
      <c r="M452" s="81" t="e">
        <f t="shared" si="91"/>
        <v>#REF!</v>
      </c>
      <c r="N452" s="81" t="e">
        <f t="shared" si="102"/>
        <v>#REF!</v>
      </c>
      <c r="O452" s="81" t="e">
        <f t="shared" si="103"/>
        <v>#REF!</v>
      </c>
      <c r="Q452" s="83" t="str">
        <f t="shared" si="92"/>
        <v/>
      </c>
      <c r="R452" s="84" t="e">
        <f t="shared" si="93"/>
        <v>#REF!</v>
      </c>
      <c r="S452" s="83" t="e">
        <f t="shared" si="93"/>
        <v>#REF!</v>
      </c>
      <c r="T452" s="84" t="e">
        <f t="shared" si="94"/>
        <v>#REF!</v>
      </c>
      <c r="U452" s="84" t="e">
        <f t="shared" si="95"/>
        <v>#REF!</v>
      </c>
      <c r="V452" s="85" t="e">
        <f>#REF!</f>
        <v>#REF!</v>
      </c>
      <c r="W452" s="86">
        <f t="shared" si="96"/>
        <v>0</v>
      </c>
      <c r="X452" s="86">
        <f t="shared" si="96"/>
        <v>0</v>
      </c>
      <c r="Y452" s="87">
        <f t="shared" si="97"/>
        <v>0</v>
      </c>
      <c r="Z452" s="87">
        <f t="shared" si="98"/>
        <v>0</v>
      </c>
      <c r="AA452" s="87">
        <f t="shared" si="99"/>
        <v>4</v>
      </c>
    </row>
    <row r="453" spans="9:27">
      <c r="I453" s="81" t="e">
        <f>IF(#REF!&lt;&gt;"",#REF!,"")</f>
        <v>#REF!</v>
      </c>
      <c r="J453" s="81" t="e">
        <f t="shared" si="100"/>
        <v>#REF!</v>
      </c>
      <c r="L453" s="82" t="e">
        <f t="shared" si="101"/>
        <v>#REF!</v>
      </c>
      <c r="M453" s="81" t="e">
        <f t="shared" si="91"/>
        <v>#REF!</v>
      </c>
      <c r="N453" s="81" t="e">
        <f t="shared" si="102"/>
        <v>#REF!</v>
      </c>
      <c r="O453" s="81" t="e">
        <f t="shared" si="103"/>
        <v>#REF!</v>
      </c>
      <c r="Q453" s="83" t="str">
        <f t="shared" si="92"/>
        <v/>
      </c>
      <c r="R453" s="84" t="e">
        <f t="shared" si="93"/>
        <v>#REF!</v>
      </c>
      <c r="S453" s="83" t="e">
        <f t="shared" si="93"/>
        <v>#REF!</v>
      </c>
      <c r="T453" s="84" t="e">
        <f t="shared" si="94"/>
        <v>#REF!</v>
      </c>
      <c r="U453" s="84" t="e">
        <f t="shared" si="95"/>
        <v>#REF!</v>
      </c>
      <c r="V453" s="85" t="e">
        <f>#REF!</f>
        <v>#REF!</v>
      </c>
      <c r="W453" s="86">
        <f t="shared" si="96"/>
        <v>0</v>
      </c>
      <c r="X453" s="86">
        <f t="shared" si="96"/>
        <v>0</v>
      </c>
      <c r="Y453" s="87">
        <f t="shared" si="97"/>
        <v>0</v>
      </c>
      <c r="Z453" s="87">
        <f t="shared" si="98"/>
        <v>0</v>
      </c>
      <c r="AA453" s="87">
        <f t="shared" si="99"/>
        <v>4</v>
      </c>
    </row>
    <row r="454" spans="9:27">
      <c r="I454" s="81" t="e">
        <f>IF(#REF!&lt;&gt;"",#REF!,"")</f>
        <v>#REF!</v>
      </c>
      <c r="J454" s="81" t="e">
        <f t="shared" si="100"/>
        <v>#REF!</v>
      </c>
      <c r="L454" s="82" t="e">
        <f t="shared" si="101"/>
        <v>#REF!</v>
      </c>
      <c r="M454" s="81" t="e">
        <f t="shared" ref="M454:M517" si="104">IF(OR(J454="D",J454="L",J454="M"),"",I454)</f>
        <v>#REF!</v>
      </c>
      <c r="N454" s="81" t="e">
        <f t="shared" si="102"/>
        <v>#REF!</v>
      </c>
      <c r="O454" s="81" t="e">
        <f t="shared" si="103"/>
        <v>#REF!</v>
      </c>
      <c r="Q454" s="83" t="str">
        <f t="shared" si="92"/>
        <v/>
      </c>
      <c r="R454" s="84" t="e">
        <f t="shared" si="93"/>
        <v>#REF!</v>
      </c>
      <c r="S454" s="83" t="e">
        <f t="shared" si="93"/>
        <v>#REF!</v>
      </c>
      <c r="T454" s="84" t="e">
        <f t="shared" si="94"/>
        <v>#REF!</v>
      </c>
      <c r="U454" s="84" t="e">
        <f t="shared" si="95"/>
        <v>#REF!</v>
      </c>
      <c r="V454" s="85" t="e">
        <f>#REF!</f>
        <v>#REF!</v>
      </c>
      <c r="W454" s="86">
        <f t="shared" si="96"/>
        <v>0</v>
      </c>
      <c r="X454" s="86">
        <f t="shared" si="96"/>
        <v>0</v>
      </c>
      <c r="Y454" s="87">
        <f t="shared" si="97"/>
        <v>0</v>
      </c>
      <c r="Z454" s="87">
        <f t="shared" si="98"/>
        <v>0</v>
      </c>
      <c r="AA454" s="87">
        <f t="shared" si="99"/>
        <v>4</v>
      </c>
    </row>
    <row r="455" spans="9:27">
      <c r="I455" s="81" t="e">
        <f>IF(#REF!&lt;&gt;"",#REF!,"")</f>
        <v>#REF!</v>
      </c>
      <c r="J455" s="81" t="e">
        <f t="shared" si="100"/>
        <v>#REF!</v>
      </c>
      <c r="L455" s="82" t="e">
        <f t="shared" si="101"/>
        <v>#REF!</v>
      </c>
      <c r="M455" s="81" t="e">
        <f t="shared" si="104"/>
        <v>#REF!</v>
      </c>
      <c r="N455" s="81" t="e">
        <f t="shared" si="102"/>
        <v>#REF!</v>
      </c>
      <c r="O455" s="81" t="e">
        <f t="shared" si="103"/>
        <v>#REF!</v>
      </c>
      <c r="Q455" s="83" t="str">
        <f t="shared" si="92"/>
        <v/>
      </c>
      <c r="R455" s="84" t="e">
        <f t="shared" si="93"/>
        <v>#REF!</v>
      </c>
      <c r="S455" s="83" t="e">
        <f t="shared" si="93"/>
        <v>#REF!</v>
      </c>
      <c r="T455" s="84" t="e">
        <f t="shared" si="94"/>
        <v>#REF!</v>
      </c>
      <c r="U455" s="84" t="e">
        <f t="shared" si="95"/>
        <v>#REF!</v>
      </c>
      <c r="V455" s="85" t="e">
        <f>#REF!</f>
        <v>#REF!</v>
      </c>
      <c r="W455" s="86">
        <f t="shared" si="96"/>
        <v>0</v>
      </c>
      <c r="X455" s="86">
        <f t="shared" si="96"/>
        <v>0</v>
      </c>
      <c r="Y455" s="87">
        <f t="shared" si="97"/>
        <v>0</v>
      </c>
      <c r="Z455" s="87">
        <f t="shared" si="98"/>
        <v>0</v>
      </c>
      <c r="AA455" s="87">
        <f t="shared" si="99"/>
        <v>4</v>
      </c>
    </row>
    <row r="456" spans="9:27">
      <c r="I456" s="81" t="e">
        <f>IF(#REF!&lt;&gt;"",#REF!,"")</f>
        <v>#REF!</v>
      </c>
      <c r="J456" s="81" t="e">
        <f t="shared" si="100"/>
        <v>#REF!</v>
      </c>
      <c r="L456" s="82" t="e">
        <f t="shared" si="101"/>
        <v>#REF!</v>
      </c>
      <c r="M456" s="81" t="e">
        <f t="shared" si="104"/>
        <v>#REF!</v>
      </c>
      <c r="N456" s="81" t="e">
        <f t="shared" si="102"/>
        <v>#REF!</v>
      </c>
      <c r="O456" s="81" t="e">
        <f t="shared" si="103"/>
        <v>#REF!</v>
      </c>
      <c r="Q456" s="83" t="str">
        <f t="shared" si="92"/>
        <v/>
      </c>
      <c r="R456" s="84" t="e">
        <f t="shared" si="93"/>
        <v>#REF!</v>
      </c>
      <c r="S456" s="83" t="e">
        <f t="shared" si="93"/>
        <v>#REF!</v>
      </c>
      <c r="T456" s="84" t="e">
        <f t="shared" si="94"/>
        <v>#REF!</v>
      </c>
      <c r="U456" s="84" t="e">
        <f t="shared" si="95"/>
        <v>#REF!</v>
      </c>
      <c r="V456" s="85" t="e">
        <f>#REF!</f>
        <v>#REF!</v>
      </c>
      <c r="W456" s="86">
        <f t="shared" si="96"/>
        <v>0</v>
      </c>
      <c r="X456" s="86">
        <f t="shared" si="96"/>
        <v>0</v>
      </c>
      <c r="Y456" s="87">
        <f t="shared" si="97"/>
        <v>0</v>
      </c>
      <c r="Z456" s="87">
        <f t="shared" si="98"/>
        <v>0</v>
      </c>
      <c r="AA456" s="87">
        <f t="shared" si="99"/>
        <v>4</v>
      </c>
    </row>
    <row r="457" spans="9:27">
      <c r="I457" s="81" t="e">
        <f>IF(#REF!&lt;&gt;"",#REF!,"")</f>
        <v>#REF!</v>
      </c>
      <c r="J457" s="81" t="e">
        <f t="shared" si="100"/>
        <v>#REF!</v>
      </c>
      <c r="L457" s="82" t="e">
        <f t="shared" si="101"/>
        <v>#REF!</v>
      </c>
      <c r="M457" s="81" t="e">
        <f t="shared" si="104"/>
        <v>#REF!</v>
      </c>
      <c r="N457" s="81" t="e">
        <f t="shared" si="102"/>
        <v>#REF!</v>
      </c>
      <c r="O457" s="81" t="e">
        <f t="shared" si="103"/>
        <v>#REF!</v>
      </c>
      <c r="Q457" s="83" t="str">
        <f t="shared" si="92"/>
        <v/>
      </c>
      <c r="R457" s="84" t="e">
        <f t="shared" si="93"/>
        <v>#REF!</v>
      </c>
      <c r="S457" s="83" t="e">
        <f t="shared" si="93"/>
        <v>#REF!</v>
      </c>
      <c r="T457" s="84" t="e">
        <f t="shared" si="94"/>
        <v>#REF!</v>
      </c>
      <c r="U457" s="84" t="e">
        <f t="shared" si="95"/>
        <v>#REF!</v>
      </c>
      <c r="V457" s="85" t="e">
        <f>#REF!</f>
        <v>#REF!</v>
      </c>
      <c r="W457" s="86">
        <f t="shared" si="96"/>
        <v>0</v>
      </c>
      <c r="X457" s="86">
        <f t="shared" si="96"/>
        <v>0</v>
      </c>
      <c r="Y457" s="87">
        <f t="shared" si="97"/>
        <v>0</v>
      </c>
      <c r="Z457" s="87">
        <f t="shared" si="98"/>
        <v>0</v>
      </c>
      <c r="AA457" s="87">
        <f t="shared" si="99"/>
        <v>4</v>
      </c>
    </row>
    <row r="458" spans="9:27">
      <c r="I458" s="81" t="e">
        <f>IF(#REF!&lt;&gt;"",#REF!,"")</f>
        <v>#REF!</v>
      </c>
      <c r="J458" s="81" t="e">
        <f t="shared" si="100"/>
        <v>#REF!</v>
      </c>
      <c r="L458" s="82" t="e">
        <f t="shared" si="101"/>
        <v>#REF!</v>
      </c>
      <c r="M458" s="81" t="e">
        <f t="shared" si="104"/>
        <v>#REF!</v>
      </c>
      <c r="N458" s="81" t="e">
        <f t="shared" si="102"/>
        <v>#REF!</v>
      </c>
      <c r="O458" s="81" t="e">
        <f t="shared" si="103"/>
        <v>#REF!</v>
      </c>
      <c r="Q458" s="83" t="str">
        <f t="shared" si="92"/>
        <v/>
      </c>
      <c r="R458" s="84" t="e">
        <f t="shared" si="93"/>
        <v>#REF!</v>
      </c>
      <c r="S458" s="83" t="e">
        <f t="shared" si="93"/>
        <v>#REF!</v>
      </c>
      <c r="T458" s="84" t="e">
        <f t="shared" si="94"/>
        <v>#REF!</v>
      </c>
      <c r="U458" s="84" t="e">
        <f t="shared" si="95"/>
        <v>#REF!</v>
      </c>
      <c r="V458" s="85" t="e">
        <f>#REF!</f>
        <v>#REF!</v>
      </c>
      <c r="W458" s="86">
        <f t="shared" si="96"/>
        <v>0</v>
      </c>
      <c r="X458" s="86">
        <f t="shared" si="96"/>
        <v>0</v>
      </c>
      <c r="Y458" s="87">
        <f t="shared" si="97"/>
        <v>0</v>
      </c>
      <c r="Z458" s="87">
        <f t="shared" si="98"/>
        <v>0</v>
      </c>
      <c r="AA458" s="87">
        <f t="shared" si="99"/>
        <v>4</v>
      </c>
    </row>
    <row r="459" spans="9:27">
      <c r="I459" s="81" t="e">
        <f>IF(#REF!&lt;&gt;"",#REF!,"")</f>
        <v>#REF!</v>
      </c>
      <c r="J459" s="81" t="e">
        <f t="shared" si="100"/>
        <v>#REF!</v>
      </c>
      <c r="L459" s="82" t="e">
        <f t="shared" si="101"/>
        <v>#REF!</v>
      </c>
      <c r="M459" s="81" t="e">
        <f t="shared" si="104"/>
        <v>#REF!</v>
      </c>
      <c r="N459" s="81" t="e">
        <f t="shared" si="102"/>
        <v>#REF!</v>
      </c>
      <c r="O459" s="81" t="e">
        <f t="shared" si="103"/>
        <v>#REF!</v>
      </c>
      <c r="Q459" s="83" t="str">
        <f t="shared" si="92"/>
        <v/>
      </c>
      <c r="R459" s="84" t="e">
        <f t="shared" si="93"/>
        <v>#REF!</v>
      </c>
      <c r="S459" s="83" t="e">
        <f t="shared" si="93"/>
        <v>#REF!</v>
      </c>
      <c r="T459" s="84" t="e">
        <f t="shared" si="94"/>
        <v>#REF!</v>
      </c>
      <c r="U459" s="84" t="e">
        <f t="shared" si="95"/>
        <v>#REF!</v>
      </c>
      <c r="V459" s="85" t="e">
        <f>#REF!</f>
        <v>#REF!</v>
      </c>
      <c r="W459" s="86">
        <f t="shared" si="96"/>
        <v>0</v>
      </c>
      <c r="X459" s="86">
        <f t="shared" si="96"/>
        <v>0</v>
      </c>
      <c r="Y459" s="87">
        <f t="shared" si="97"/>
        <v>0</v>
      </c>
      <c r="Z459" s="87">
        <f t="shared" si="98"/>
        <v>0</v>
      </c>
      <c r="AA459" s="87">
        <f t="shared" si="99"/>
        <v>4</v>
      </c>
    </row>
    <row r="460" spans="9:27">
      <c r="I460" s="81" t="e">
        <f>IF(#REF!&lt;&gt;"",#REF!,"")</f>
        <v>#REF!</v>
      </c>
      <c r="J460" s="81" t="e">
        <f t="shared" si="100"/>
        <v>#REF!</v>
      </c>
      <c r="L460" s="82" t="e">
        <f t="shared" si="101"/>
        <v>#REF!</v>
      </c>
      <c r="M460" s="81" t="e">
        <f t="shared" si="104"/>
        <v>#REF!</v>
      </c>
      <c r="N460" s="81" t="e">
        <f t="shared" si="102"/>
        <v>#REF!</v>
      </c>
      <c r="O460" s="81" t="e">
        <f t="shared" si="103"/>
        <v>#REF!</v>
      </c>
      <c r="Q460" s="83" t="str">
        <f t="shared" si="92"/>
        <v/>
      </c>
      <c r="R460" s="84" t="e">
        <f t="shared" si="93"/>
        <v>#REF!</v>
      </c>
      <c r="S460" s="83" t="e">
        <f t="shared" si="93"/>
        <v>#REF!</v>
      </c>
      <c r="T460" s="84" t="e">
        <f t="shared" si="94"/>
        <v>#REF!</v>
      </c>
      <c r="U460" s="84" t="e">
        <f t="shared" si="95"/>
        <v>#REF!</v>
      </c>
      <c r="V460" s="85" t="e">
        <f>#REF!</f>
        <v>#REF!</v>
      </c>
      <c r="W460" s="86">
        <f t="shared" si="96"/>
        <v>0</v>
      </c>
      <c r="X460" s="86">
        <f t="shared" si="96"/>
        <v>0</v>
      </c>
      <c r="Y460" s="87">
        <f t="shared" si="97"/>
        <v>0</v>
      </c>
      <c r="Z460" s="87">
        <f t="shared" si="98"/>
        <v>0</v>
      </c>
      <c r="AA460" s="87">
        <f t="shared" si="99"/>
        <v>4</v>
      </c>
    </row>
    <row r="461" spans="9:27">
      <c r="I461" s="81" t="e">
        <f>IF(#REF!&lt;&gt;"",#REF!,"")</f>
        <v>#REF!</v>
      </c>
      <c r="J461" s="81" t="e">
        <f t="shared" si="100"/>
        <v>#REF!</v>
      </c>
      <c r="L461" s="82" t="e">
        <f t="shared" si="101"/>
        <v>#REF!</v>
      </c>
      <c r="M461" s="81" t="e">
        <f t="shared" si="104"/>
        <v>#REF!</v>
      </c>
      <c r="N461" s="81" t="e">
        <f t="shared" si="102"/>
        <v>#REF!</v>
      </c>
      <c r="O461" s="81" t="e">
        <f t="shared" si="103"/>
        <v>#REF!</v>
      </c>
      <c r="Q461" s="83" t="str">
        <f t="shared" si="92"/>
        <v/>
      </c>
      <c r="R461" s="84" t="e">
        <f t="shared" si="93"/>
        <v>#REF!</v>
      </c>
      <c r="S461" s="83" t="e">
        <f t="shared" si="93"/>
        <v>#REF!</v>
      </c>
      <c r="T461" s="84" t="e">
        <f t="shared" si="94"/>
        <v>#REF!</v>
      </c>
      <c r="U461" s="84" t="e">
        <f t="shared" si="95"/>
        <v>#REF!</v>
      </c>
      <c r="V461" s="85" t="e">
        <f>#REF!</f>
        <v>#REF!</v>
      </c>
      <c r="W461" s="86">
        <f t="shared" si="96"/>
        <v>0</v>
      </c>
      <c r="X461" s="86">
        <f t="shared" si="96"/>
        <v>0</v>
      </c>
      <c r="Y461" s="87">
        <f t="shared" si="97"/>
        <v>0</v>
      </c>
      <c r="Z461" s="87">
        <f t="shared" si="98"/>
        <v>0</v>
      </c>
      <c r="AA461" s="87">
        <f t="shared" si="99"/>
        <v>4</v>
      </c>
    </row>
    <row r="462" spans="9:27">
      <c r="I462" s="81" t="e">
        <f>IF(#REF!&lt;&gt;"",#REF!,"")</f>
        <v>#REF!</v>
      </c>
      <c r="J462" s="81" t="e">
        <f t="shared" si="100"/>
        <v>#REF!</v>
      </c>
      <c r="L462" s="82" t="e">
        <f t="shared" si="101"/>
        <v>#REF!</v>
      </c>
      <c r="M462" s="81" t="e">
        <f t="shared" si="104"/>
        <v>#REF!</v>
      </c>
      <c r="N462" s="81" t="e">
        <f t="shared" si="102"/>
        <v>#REF!</v>
      </c>
      <c r="O462" s="81" t="e">
        <f t="shared" si="103"/>
        <v>#REF!</v>
      </c>
      <c r="Q462" s="83" t="str">
        <f t="shared" si="92"/>
        <v/>
      </c>
      <c r="R462" s="84" t="e">
        <f t="shared" si="93"/>
        <v>#REF!</v>
      </c>
      <c r="S462" s="83" t="e">
        <f t="shared" si="93"/>
        <v>#REF!</v>
      </c>
      <c r="T462" s="84" t="e">
        <f t="shared" si="94"/>
        <v>#REF!</v>
      </c>
      <c r="U462" s="84" t="e">
        <f t="shared" si="95"/>
        <v>#REF!</v>
      </c>
      <c r="V462" s="85" t="e">
        <f>#REF!</f>
        <v>#REF!</v>
      </c>
      <c r="W462" s="86">
        <f t="shared" si="96"/>
        <v>0</v>
      </c>
      <c r="X462" s="86">
        <f t="shared" si="96"/>
        <v>0</v>
      </c>
      <c r="Y462" s="87">
        <f t="shared" si="97"/>
        <v>0</v>
      </c>
      <c r="Z462" s="87">
        <f t="shared" si="98"/>
        <v>0</v>
      </c>
      <c r="AA462" s="87">
        <f t="shared" si="99"/>
        <v>4</v>
      </c>
    </row>
    <row r="463" spans="9:27">
      <c r="I463" s="81" t="e">
        <f>IF(#REF!&lt;&gt;"",#REF!,"")</f>
        <v>#REF!</v>
      </c>
      <c r="J463" s="81" t="e">
        <f t="shared" si="100"/>
        <v>#REF!</v>
      </c>
      <c r="L463" s="82" t="e">
        <f t="shared" si="101"/>
        <v>#REF!</v>
      </c>
      <c r="M463" s="81" t="e">
        <f t="shared" si="104"/>
        <v>#REF!</v>
      </c>
      <c r="N463" s="81" t="e">
        <f t="shared" si="102"/>
        <v>#REF!</v>
      </c>
      <c r="O463" s="81" t="e">
        <f t="shared" si="103"/>
        <v>#REF!</v>
      </c>
      <c r="Q463" s="83" t="str">
        <f t="shared" si="92"/>
        <v/>
      </c>
      <c r="R463" s="84" t="e">
        <f t="shared" si="93"/>
        <v>#REF!</v>
      </c>
      <c r="S463" s="83" t="e">
        <f t="shared" si="93"/>
        <v>#REF!</v>
      </c>
      <c r="T463" s="84" t="e">
        <f t="shared" si="94"/>
        <v>#REF!</v>
      </c>
      <c r="U463" s="84" t="e">
        <f t="shared" si="95"/>
        <v>#REF!</v>
      </c>
      <c r="V463" s="85" t="e">
        <f>#REF!</f>
        <v>#REF!</v>
      </c>
      <c r="W463" s="86">
        <f t="shared" si="96"/>
        <v>0</v>
      </c>
      <c r="X463" s="86">
        <f t="shared" si="96"/>
        <v>0</v>
      </c>
      <c r="Y463" s="87">
        <f t="shared" si="97"/>
        <v>0</v>
      </c>
      <c r="Z463" s="87">
        <f t="shared" si="98"/>
        <v>0</v>
      </c>
      <c r="AA463" s="87">
        <f t="shared" si="99"/>
        <v>4</v>
      </c>
    </row>
    <row r="464" spans="9:27">
      <c r="I464" s="81" t="e">
        <f>IF(#REF!&lt;&gt;"",#REF!,"")</f>
        <v>#REF!</v>
      </c>
      <c r="J464" s="81" t="e">
        <f t="shared" si="100"/>
        <v>#REF!</v>
      </c>
      <c r="L464" s="82" t="e">
        <f t="shared" si="101"/>
        <v>#REF!</v>
      </c>
      <c r="M464" s="81" t="e">
        <f t="shared" si="104"/>
        <v>#REF!</v>
      </c>
      <c r="N464" s="81" t="e">
        <f t="shared" si="102"/>
        <v>#REF!</v>
      </c>
      <c r="O464" s="81" t="e">
        <f t="shared" si="103"/>
        <v>#REF!</v>
      </c>
      <c r="Q464" s="83" t="str">
        <f t="shared" si="92"/>
        <v/>
      </c>
      <c r="R464" s="84" t="e">
        <f t="shared" si="93"/>
        <v>#REF!</v>
      </c>
      <c r="S464" s="83" t="e">
        <f t="shared" si="93"/>
        <v>#REF!</v>
      </c>
      <c r="T464" s="84" t="e">
        <f t="shared" si="94"/>
        <v>#REF!</v>
      </c>
      <c r="U464" s="84" t="e">
        <f t="shared" si="95"/>
        <v>#REF!</v>
      </c>
      <c r="V464" s="85" t="e">
        <f>#REF!</f>
        <v>#REF!</v>
      </c>
      <c r="W464" s="86">
        <f t="shared" si="96"/>
        <v>0</v>
      </c>
      <c r="X464" s="86">
        <f t="shared" si="96"/>
        <v>0</v>
      </c>
      <c r="Y464" s="87">
        <f t="shared" si="97"/>
        <v>0</v>
      </c>
      <c r="Z464" s="87">
        <f t="shared" si="98"/>
        <v>0</v>
      </c>
      <c r="AA464" s="87">
        <f t="shared" si="99"/>
        <v>4</v>
      </c>
    </row>
    <row r="465" spans="9:27">
      <c r="I465" s="81" t="e">
        <f>IF(#REF!&lt;&gt;"",#REF!,"")</f>
        <v>#REF!</v>
      </c>
      <c r="J465" s="81" t="e">
        <f t="shared" si="100"/>
        <v>#REF!</v>
      </c>
      <c r="L465" s="82" t="e">
        <f t="shared" si="101"/>
        <v>#REF!</v>
      </c>
      <c r="M465" s="81" t="e">
        <f t="shared" si="104"/>
        <v>#REF!</v>
      </c>
      <c r="N465" s="81" t="e">
        <f t="shared" si="102"/>
        <v>#REF!</v>
      </c>
      <c r="O465" s="81" t="e">
        <f t="shared" si="103"/>
        <v>#REF!</v>
      </c>
      <c r="Q465" s="83" t="str">
        <f t="shared" si="92"/>
        <v/>
      </c>
      <c r="R465" s="84" t="e">
        <f t="shared" si="93"/>
        <v>#REF!</v>
      </c>
      <c r="S465" s="83" t="e">
        <f t="shared" si="93"/>
        <v>#REF!</v>
      </c>
      <c r="T465" s="84" t="e">
        <f t="shared" si="94"/>
        <v>#REF!</v>
      </c>
      <c r="U465" s="84" t="e">
        <f t="shared" si="95"/>
        <v>#REF!</v>
      </c>
      <c r="V465" s="85" t="e">
        <f>#REF!</f>
        <v>#REF!</v>
      </c>
      <c r="W465" s="86">
        <f t="shared" si="96"/>
        <v>0</v>
      </c>
      <c r="X465" s="86">
        <f t="shared" si="96"/>
        <v>0</v>
      </c>
      <c r="Y465" s="87">
        <f t="shared" si="97"/>
        <v>0</v>
      </c>
      <c r="Z465" s="87">
        <f t="shared" si="98"/>
        <v>0</v>
      </c>
      <c r="AA465" s="87">
        <f t="shared" si="99"/>
        <v>4</v>
      </c>
    </row>
    <row r="466" spans="9:27">
      <c r="I466" s="81" t="e">
        <f>IF(#REF!&lt;&gt;"",#REF!,"")</f>
        <v>#REF!</v>
      </c>
      <c r="J466" s="81" t="e">
        <f t="shared" si="100"/>
        <v>#REF!</v>
      </c>
      <c r="L466" s="82" t="e">
        <f t="shared" si="101"/>
        <v>#REF!</v>
      </c>
      <c r="M466" s="81" t="e">
        <f t="shared" si="104"/>
        <v>#REF!</v>
      </c>
      <c r="N466" s="81" t="e">
        <f t="shared" si="102"/>
        <v>#REF!</v>
      </c>
      <c r="O466" s="81" t="e">
        <f t="shared" si="103"/>
        <v>#REF!</v>
      </c>
      <c r="Q466" s="83" t="str">
        <f t="shared" si="92"/>
        <v/>
      </c>
      <c r="R466" s="84" t="e">
        <f t="shared" si="93"/>
        <v>#REF!</v>
      </c>
      <c r="S466" s="83" t="e">
        <f t="shared" si="93"/>
        <v>#REF!</v>
      </c>
      <c r="T466" s="84" t="e">
        <f t="shared" si="94"/>
        <v>#REF!</v>
      </c>
      <c r="U466" s="84" t="e">
        <f t="shared" si="95"/>
        <v>#REF!</v>
      </c>
      <c r="V466" s="85" t="e">
        <f>#REF!</f>
        <v>#REF!</v>
      </c>
      <c r="W466" s="86">
        <f t="shared" si="96"/>
        <v>0</v>
      </c>
      <c r="X466" s="86">
        <f t="shared" si="96"/>
        <v>0</v>
      </c>
      <c r="Y466" s="87">
        <f t="shared" si="97"/>
        <v>0</v>
      </c>
      <c r="Z466" s="87">
        <f t="shared" si="98"/>
        <v>0</v>
      </c>
      <c r="AA466" s="87">
        <f t="shared" si="99"/>
        <v>4</v>
      </c>
    </row>
    <row r="467" spans="9:27">
      <c r="I467" s="81" t="e">
        <f>IF(#REF!&lt;&gt;"",#REF!,"")</f>
        <v>#REF!</v>
      </c>
      <c r="J467" s="81" t="e">
        <f t="shared" si="100"/>
        <v>#REF!</v>
      </c>
      <c r="L467" s="82" t="e">
        <f t="shared" si="101"/>
        <v>#REF!</v>
      </c>
      <c r="M467" s="81" t="e">
        <f t="shared" si="104"/>
        <v>#REF!</v>
      </c>
      <c r="N467" s="81" t="e">
        <f t="shared" si="102"/>
        <v>#REF!</v>
      </c>
      <c r="O467" s="81" t="e">
        <f t="shared" si="103"/>
        <v>#REF!</v>
      </c>
      <c r="Q467" s="83" t="str">
        <f t="shared" si="92"/>
        <v/>
      </c>
      <c r="R467" s="84" t="e">
        <f t="shared" si="93"/>
        <v>#REF!</v>
      </c>
      <c r="S467" s="83" t="e">
        <f t="shared" si="93"/>
        <v>#REF!</v>
      </c>
      <c r="T467" s="84" t="e">
        <f t="shared" si="94"/>
        <v>#REF!</v>
      </c>
      <c r="U467" s="84" t="e">
        <f t="shared" si="95"/>
        <v>#REF!</v>
      </c>
      <c r="V467" s="85" t="e">
        <f>#REF!</f>
        <v>#REF!</v>
      </c>
      <c r="W467" s="86">
        <f t="shared" si="96"/>
        <v>0</v>
      </c>
      <c r="X467" s="86">
        <f t="shared" si="96"/>
        <v>0</v>
      </c>
      <c r="Y467" s="87">
        <f t="shared" si="97"/>
        <v>0</v>
      </c>
      <c r="Z467" s="87">
        <f t="shared" si="98"/>
        <v>0</v>
      </c>
      <c r="AA467" s="87">
        <f t="shared" si="99"/>
        <v>4</v>
      </c>
    </row>
    <row r="468" spans="9:27">
      <c r="I468" s="81" t="e">
        <f>IF(#REF!&lt;&gt;"",#REF!,"")</f>
        <v>#REF!</v>
      </c>
      <c r="J468" s="81" t="e">
        <f t="shared" si="100"/>
        <v>#REF!</v>
      </c>
      <c r="L468" s="82" t="e">
        <f t="shared" si="101"/>
        <v>#REF!</v>
      </c>
      <c r="M468" s="81" t="e">
        <f t="shared" si="104"/>
        <v>#REF!</v>
      </c>
      <c r="N468" s="81" t="e">
        <f t="shared" si="102"/>
        <v>#REF!</v>
      </c>
      <c r="O468" s="81" t="e">
        <f t="shared" si="103"/>
        <v>#REF!</v>
      </c>
      <c r="Q468" s="83" t="str">
        <f t="shared" si="92"/>
        <v/>
      </c>
      <c r="R468" s="84" t="e">
        <f t="shared" si="93"/>
        <v>#REF!</v>
      </c>
      <c r="S468" s="83" t="e">
        <f t="shared" si="93"/>
        <v>#REF!</v>
      </c>
      <c r="T468" s="84" t="e">
        <f t="shared" si="94"/>
        <v>#REF!</v>
      </c>
      <c r="U468" s="84" t="e">
        <f t="shared" si="95"/>
        <v>#REF!</v>
      </c>
      <c r="V468" s="85" t="e">
        <f>#REF!</f>
        <v>#REF!</v>
      </c>
      <c r="W468" s="86">
        <f t="shared" si="96"/>
        <v>0</v>
      </c>
      <c r="X468" s="86">
        <f t="shared" si="96"/>
        <v>0</v>
      </c>
      <c r="Y468" s="87">
        <f t="shared" si="97"/>
        <v>0</v>
      </c>
      <c r="Z468" s="87">
        <f t="shared" si="98"/>
        <v>0</v>
      </c>
      <c r="AA468" s="87">
        <f t="shared" si="99"/>
        <v>4</v>
      </c>
    </row>
    <row r="469" spans="9:27">
      <c r="I469" s="81" t="e">
        <f>IF(#REF!&lt;&gt;"",#REF!,"")</f>
        <v>#REF!</v>
      </c>
      <c r="J469" s="81" t="e">
        <f t="shared" si="100"/>
        <v>#REF!</v>
      </c>
      <c r="L469" s="82" t="e">
        <f t="shared" si="101"/>
        <v>#REF!</v>
      </c>
      <c r="M469" s="81" t="e">
        <f t="shared" si="104"/>
        <v>#REF!</v>
      </c>
      <c r="N469" s="81" t="e">
        <f t="shared" si="102"/>
        <v>#REF!</v>
      </c>
      <c r="O469" s="81" t="e">
        <f t="shared" si="103"/>
        <v>#REF!</v>
      </c>
      <c r="Q469" s="83" t="str">
        <f t="shared" si="92"/>
        <v/>
      </c>
      <c r="R469" s="84" t="e">
        <f t="shared" si="93"/>
        <v>#REF!</v>
      </c>
      <c r="S469" s="83" t="e">
        <f t="shared" si="93"/>
        <v>#REF!</v>
      </c>
      <c r="T469" s="84" t="e">
        <f t="shared" si="94"/>
        <v>#REF!</v>
      </c>
      <c r="U469" s="84" t="e">
        <f t="shared" si="95"/>
        <v>#REF!</v>
      </c>
      <c r="V469" s="85" t="e">
        <f>#REF!</f>
        <v>#REF!</v>
      </c>
      <c r="W469" s="86">
        <f t="shared" si="96"/>
        <v>0</v>
      </c>
      <c r="X469" s="86">
        <f t="shared" si="96"/>
        <v>0</v>
      </c>
      <c r="Y469" s="87">
        <f t="shared" si="97"/>
        <v>0</v>
      </c>
      <c r="Z469" s="87">
        <f t="shared" si="98"/>
        <v>0</v>
      </c>
      <c r="AA469" s="87">
        <f t="shared" si="99"/>
        <v>4</v>
      </c>
    </row>
    <row r="470" spans="9:27">
      <c r="I470" s="81" t="e">
        <f>IF(#REF!&lt;&gt;"",#REF!,"")</f>
        <v>#REF!</v>
      </c>
      <c r="J470" s="81" t="e">
        <f t="shared" si="100"/>
        <v>#REF!</v>
      </c>
      <c r="L470" s="82" t="e">
        <f t="shared" si="101"/>
        <v>#REF!</v>
      </c>
      <c r="M470" s="81" t="e">
        <f t="shared" si="104"/>
        <v>#REF!</v>
      </c>
      <c r="N470" s="81" t="e">
        <f t="shared" si="102"/>
        <v>#REF!</v>
      </c>
      <c r="O470" s="81" t="e">
        <f t="shared" si="103"/>
        <v>#REF!</v>
      </c>
      <c r="Q470" s="83" t="str">
        <f t="shared" si="92"/>
        <v/>
      </c>
      <c r="R470" s="84" t="e">
        <f t="shared" si="93"/>
        <v>#REF!</v>
      </c>
      <c r="S470" s="83" t="e">
        <f t="shared" si="93"/>
        <v>#REF!</v>
      </c>
      <c r="T470" s="84" t="e">
        <f t="shared" si="94"/>
        <v>#REF!</v>
      </c>
      <c r="U470" s="84" t="e">
        <f t="shared" si="95"/>
        <v>#REF!</v>
      </c>
      <c r="V470" s="85" t="e">
        <f>#REF!</f>
        <v>#REF!</v>
      </c>
      <c r="W470" s="86">
        <f t="shared" si="96"/>
        <v>0</v>
      </c>
      <c r="X470" s="86">
        <f t="shared" si="96"/>
        <v>0</v>
      </c>
      <c r="Y470" s="87">
        <f t="shared" si="97"/>
        <v>0</v>
      </c>
      <c r="Z470" s="87">
        <f t="shared" si="98"/>
        <v>0</v>
      </c>
      <c r="AA470" s="87">
        <f t="shared" si="99"/>
        <v>4</v>
      </c>
    </row>
    <row r="471" spans="9:27">
      <c r="I471" s="81" t="e">
        <f>IF(#REF!&lt;&gt;"",#REF!,"")</f>
        <v>#REF!</v>
      </c>
      <c r="J471" s="81" t="e">
        <f t="shared" si="100"/>
        <v>#REF!</v>
      </c>
      <c r="L471" s="82" t="e">
        <f t="shared" si="101"/>
        <v>#REF!</v>
      </c>
      <c r="M471" s="81" t="e">
        <f t="shared" si="104"/>
        <v>#REF!</v>
      </c>
      <c r="N471" s="81" t="e">
        <f t="shared" si="102"/>
        <v>#REF!</v>
      </c>
      <c r="O471" s="81" t="e">
        <f t="shared" si="103"/>
        <v>#REF!</v>
      </c>
      <c r="Q471" s="83" t="str">
        <f t="shared" ref="Q471:Q534" si="105">IF(Z471=0,"",IF(Z471=1,R471&amp;S471,"E99999"))</f>
        <v/>
      </c>
      <c r="R471" s="84" t="e">
        <f t="shared" si="93"/>
        <v>#REF!</v>
      </c>
      <c r="S471" s="83" t="e">
        <f t="shared" si="93"/>
        <v>#REF!</v>
      </c>
      <c r="T471" s="84" t="e">
        <f t="shared" si="94"/>
        <v>#REF!</v>
      </c>
      <c r="U471" s="84" t="e">
        <f t="shared" si="95"/>
        <v>#REF!</v>
      </c>
      <c r="V471" s="85" t="e">
        <f>#REF!</f>
        <v>#REF!</v>
      </c>
      <c r="W471" s="86">
        <f t="shared" si="96"/>
        <v>0</v>
      </c>
      <c r="X471" s="86">
        <f t="shared" si="96"/>
        <v>0</v>
      </c>
      <c r="Y471" s="87">
        <f t="shared" si="97"/>
        <v>0</v>
      </c>
      <c r="Z471" s="87">
        <f t="shared" si="98"/>
        <v>0</v>
      </c>
      <c r="AA471" s="87">
        <f t="shared" si="99"/>
        <v>4</v>
      </c>
    </row>
    <row r="472" spans="9:27">
      <c r="I472" s="81" t="e">
        <f>IF(#REF!&lt;&gt;"",#REF!,"")</f>
        <v>#REF!</v>
      </c>
      <c r="J472" s="81" t="e">
        <f t="shared" si="100"/>
        <v>#REF!</v>
      </c>
      <c r="L472" s="82" t="e">
        <f t="shared" si="101"/>
        <v>#REF!</v>
      </c>
      <c r="M472" s="81" t="e">
        <f t="shared" si="104"/>
        <v>#REF!</v>
      </c>
      <c r="N472" s="81" t="e">
        <f t="shared" si="102"/>
        <v>#REF!</v>
      </c>
      <c r="O472" s="81" t="e">
        <f t="shared" si="103"/>
        <v>#REF!</v>
      </c>
      <c r="Q472" s="83" t="str">
        <f t="shared" si="105"/>
        <v/>
      </c>
      <c r="R472" s="84" t="e">
        <f t="shared" si="93"/>
        <v>#REF!</v>
      </c>
      <c r="S472" s="83" t="e">
        <f t="shared" si="93"/>
        <v>#REF!</v>
      </c>
      <c r="T472" s="84" t="e">
        <f t="shared" si="94"/>
        <v>#REF!</v>
      </c>
      <c r="U472" s="84" t="e">
        <f t="shared" si="95"/>
        <v>#REF!</v>
      </c>
      <c r="V472" s="85" t="e">
        <f>#REF!</f>
        <v>#REF!</v>
      </c>
      <c r="W472" s="86">
        <f t="shared" si="96"/>
        <v>0</v>
      </c>
      <c r="X472" s="86">
        <f t="shared" si="96"/>
        <v>0</v>
      </c>
      <c r="Y472" s="87">
        <f t="shared" si="97"/>
        <v>0</v>
      </c>
      <c r="Z472" s="87">
        <f t="shared" si="98"/>
        <v>0</v>
      </c>
      <c r="AA472" s="87">
        <f t="shared" si="99"/>
        <v>4</v>
      </c>
    </row>
    <row r="473" spans="9:27">
      <c r="I473" s="81" t="e">
        <f>IF(#REF!&lt;&gt;"",#REF!,"")</f>
        <v>#REF!</v>
      </c>
      <c r="J473" s="81" t="e">
        <f t="shared" si="100"/>
        <v>#REF!</v>
      </c>
      <c r="L473" s="82" t="e">
        <f t="shared" si="101"/>
        <v>#REF!</v>
      </c>
      <c r="M473" s="81" t="e">
        <f t="shared" si="104"/>
        <v>#REF!</v>
      </c>
      <c r="N473" s="81" t="e">
        <f t="shared" si="102"/>
        <v>#REF!</v>
      </c>
      <c r="O473" s="81" t="e">
        <f t="shared" si="103"/>
        <v>#REF!</v>
      </c>
      <c r="Q473" s="83" t="str">
        <f t="shared" si="105"/>
        <v/>
      </c>
      <c r="R473" s="84" t="e">
        <f t="shared" si="93"/>
        <v>#REF!</v>
      </c>
      <c r="S473" s="83" t="e">
        <f t="shared" si="93"/>
        <v>#REF!</v>
      </c>
      <c r="T473" s="84" t="e">
        <f t="shared" si="94"/>
        <v>#REF!</v>
      </c>
      <c r="U473" s="84" t="e">
        <f t="shared" si="95"/>
        <v>#REF!</v>
      </c>
      <c r="V473" s="85" t="e">
        <f>#REF!</f>
        <v>#REF!</v>
      </c>
      <c r="W473" s="86">
        <f t="shared" si="96"/>
        <v>0</v>
      </c>
      <c r="X473" s="86">
        <f t="shared" si="96"/>
        <v>0</v>
      </c>
      <c r="Y473" s="87">
        <f t="shared" si="97"/>
        <v>0</v>
      </c>
      <c r="Z473" s="87">
        <f t="shared" si="98"/>
        <v>0</v>
      </c>
      <c r="AA473" s="87">
        <f t="shared" si="99"/>
        <v>4</v>
      </c>
    </row>
    <row r="474" spans="9:27">
      <c r="I474" s="81" t="e">
        <f>IF(#REF!&lt;&gt;"",#REF!,"")</f>
        <v>#REF!</v>
      </c>
      <c r="J474" s="81" t="e">
        <f t="shared" si="100"/>
        <v>#REF!</v>
      </c>
      <c r="L474" s="82" t="e">
        <f t="shared" si="101"/>
        <v>#REF!</v>
      </c>
      <c r="M474" s="81" t="e">
        <f t="shared" si="104"/>
        <v>#REF!</v>
      </c>
      <c r="N474" s="81" t="e">
        <f t="shared" si="102"/>
        <v>#REF!</v>
      </c>
      <c r="O474" s="81" t="e">
        <f t="shared" si="103"/>
        <v>#REF!</v>
      </c>
      <c r="Q474" s="83" t="str">
        <f t="shared" si="105"/>
        <v/>
      </c>
      <c r="R474" s="84" t="e">
        <f t="shared" si="93"/>
        <v>#REF!</v>
      </c>
      <c r="S474" s="83" t="e">
        <f t="shared" si="93"/>
        <v>#REF!</v>
      </c>
      <c r="T474" s="84" t="e">
        <f t="shared" si="94"/>
        <v>#REF!</v>
      </c>
      <c r="U474" s="84" t="e">
        <f t="shared" si="95"/>
        <v>#REF!</v>
      </c>
      <c r="V474" s="85" t="e">
        <f>#REF!</f>
        <v>#REF!</v>
      </c>
      <c r="W474" s="86">
        <f t="shared" si="96"/>
        <v>0</v>
      </c>
      <c r="X474" s="86">
        <f t="shared" si="96"/>
        <v>0</v>
      </c>
      <c r="Y474" s="87">
        <f t="shared" si="97"/>
        <v>0</v>
      </c>
      <c r="Z474" s="87">
        <f t="shared" si="98"/>
        <v>0</v>
      </c>
      <c r="AA474" s="87">
        <f t="shared" si="99"/>
        <v>4</v>
      </c>
    </row>
    <row r="475" spans="9:27">
      <c r="I475" s="81" t="e">
        <f>IF(#REF!&lt;&gt;"",#REF!,"")</f>
        <v>#REF!</v>
      </c>
      <c r="J475" s="81" t="e">
        <f t="shared" si="100"/>
        <v>#REF!</v>
      </c>
      <c r="L475" s="82" t="e">
        <f t="shared" si="101"/>
        <v>#REF!</v>
      </c>
      <c r="M475" s="81" t="e">
        <f t="shared" si="104"/>
        <v>#REF!</v>
      </c>
      <c r="N475" s="81" t="e">
        <f t="shared" si="102"/>
        <v>#REF!</v>
      </c>
      <c r="O475" s="81" t="e">
        <f t="shared" si="103"/>
        <v>#REF!</v>
      </c>
      <c r="Q475" s="83" t="str">
        <f t="shared" si="105"/>
        <v/>
      </c>
      <c r="R475" s="84" t="e">
        <f t="shared" si="93"/>
        <v>#REF!</v>
      </c>
      <c r="S475" s="83" t="e">
        <f t="shared" si="93"/>
        <v>#REF!</v>
      </c>
      <c r="T475" s="84" t="e">
        <f t="shared" si="94"/>
        <v>#REF!</v>
      </c>
      <c r="U475" s="84" t="e">
        <f t="shared" si="95"/>
        <v>#REF!</v>
      </c>
      <c r="V475" s="85" t="e">
        <f>#REF!</f>
        <v>#REF!</v>
      </c>
      <c r="W475" s="86">
        <f t="shared" si="96"/>
        <v>0</v>
      </c>
      <c r="X475" s="86">
        <f t="shared" si="96"/>
        <v>0</v>
      </c>
      <c r="Y475" s="87">
        <f t="shared" si="97"/>
        <v>0</v>
      </c>
      <c r="Z475" s="87">
        <f t="shared" si="98"/>
        <v>0</v>
      </c>
      <c r="AA475" s="87">
        <f t="shared" si="99"/>
        <v>4</v>
      </c>
    </row>
    <row r="476" spans="9:27">
      <c r="I476" s="81" t="e">
        <f>IF(#REF!&lt;&gt;"",#REF!,"")</f>
        <v>#REF!</v>
      </c>
      <c r="J476" s="81" t="e">
        <f t="shared" si="100"/>
        <v>#REF!</v>
      </c>
      <c r="L476" s="82" t="e">
        <f t="shared" si="101"/>
        <v>#REF!</v>
      </c>
      <c r="M476" s="81" t="e">
        <f t="shared" si="104"/>
        <v>#REF!</v>
      </c>
      <c r="N476" s="81" t="e">
        <f t="shared" si="102"/>
        <v>#REF!</v>
      </c>
      <c r="O476" s="81" t="e">
        <f t="shared" si="103"/>
        <v>#REF!</v>
      </c>
      <c r="Q476" s="83" t="str">
        <f t="shared" si="105"/>
        <v/>
      </c>
      <c r="R476" s="84" t="e">
        <f t="shared" si="93"/>
        <v>#REF!</v>
      </c>
      <c r="S476" s="83" t="e">
        <f t="shared" si="93"/>
        <v>#REF!</v>
      </c>
      <c r="T476" s="84" t="e">
        <f t="shared" si="94"/>
        <v>#REF!</v>
      </c>
      <c r="U476" s="84" t="e">
        <f t="shared" si="95"/>
        <v>#REF!</v>
      </c>
      <c r="V476" s="85" t="e">
        <f>#REF!</f>
        <v>#REF!</v>
      </c>
      <c r="W476" s="86">
        <f t="shared" si="96"/>
        <v>0</v>
      </c>
      <c r="X476" s="86">
        <f t="shared" si="96"/>
        <v>0</v>
      </c>
      <c r="Y476" s="87">
        <f t="shared" si="97"/>
        <v>0</v>
      </c>
      <c r="Z476" s="87">
        <f t="shared" si="98"/>
        <v>0</v>
      </c>
      <c r="AA476" s="87">
        <f t="shared" si="99"/>
        <v>4</v>
      </c>
    </row>
    <row r="477" spans="9:27">
      <c r="I477" s="81" t="e">
        <f>IF(#REF!&lt;&gt;"",#REF!,"")</f>
        <v>#REF!</v>
      </c>
      <c r="J477" s="81" t="e">
        <f t="shared" si="100"/>
        <v>#REF!</v>
      </c>
      <c r="L477" s="82" t="e">
        <f t="shared" si="101"/>
        <v>#REF!</v>
      </c>
      <c r="M477" s="81" t="e">
        <f t="shared" si="104"/>
        <v>#REF!</v>
      </c>
      <c r="N477" s="81" t="e">
        <f t="shared" si="102"/>
        <v>#REF!</v>
      </c>
      <c r="O477" s="81" t="e">
        <f t="shared" si="103"/>
        <v>#REF!</v>
      </c>
      <c r="Q477" s="83" t="str">
        <f t="shared" si="105"/>
        <v/>
      </c>
      <c r="R477" s="84" t="e">
        <f t="shared" si="93"/>
        <v>#REF!</v>
      </c>
      <c r="S477" s="83" t="e">
        <f t="shared" si="93"/>
        <v>#REF!</v>
      </c>
      <c r="T477" s="84" t="e">
        <f t="shared" si="94"/>
        <v>#REF!</v>
      </c>
      <c r="U477" s="84" t="e">
        <f t="shared" si="95"/>
        <v>#REF!</v>
      </c>
      <c r="V477" s="85" t="e">
        <f>#REF!</f>
        <v>#REF!</v>
      </c>
      <c r="W477" s="86">
        <f t="shared" si="96"/>
        <v>0</v>
      </c>
      <c r="X477" s="86">
        <f t="shared" si="96"/>
        <v>0</v>
      </c>
      <c r="Y477" s="87">
        <f t="shared" si="97"/>
        <v>0</v>
      </c>
      <c r="Z477" s="87">
        <f t="shared" si="98"/>
        <v>0</v>
      </c>
      <c r="AA477" s="87">
        <f t="shared" si="99"/>
        <v>4</v>
      </c>
    </row>
    <row r="478" spans="9:27">
      <c r="I478" s="81" t="e">
        <f>IF(#REF!&lt;&gt;"",#REF!,"")</f>
        <v>#REF!</v>
      </c>
      <c r="J478" s="81" t="e">
        <f t="shared" si="100"/>
        <v>#REF!</v>
      </c>
      <c r="L478" s="82" t="e">
        <f t="shared" si="101"/>
        <v>#REF!</v>
      </c>
      <c r="M478" s="81" t="e">
        <f t="shared" si="104"/>
        <v>#REF!</v>
      </c>
      <c r="N478" s="81" t="e">
        <f t="shared" si="102"/>
        <v>#REF!</v>
      </c>
      <c r="O478" s="81" t="e">
        <f t="shared" si="103"/>
        <v>#REF!</v>
      </c>
      <c r="Q478" s="83" t="str">
        <f t="shared" si="105"/>
        <v/>
      </c>
      <c r="R478" s="84" t="e">
        <f t="shared" si="93"/>
        <v>#REF!</v>
      </c>
      <c r="S478" s="83" t="e">
        <f t="shared" si="93"/>
        <v>#REF!</v>
      </c>
      <c r="T478" s="84" t="e">
        <f t="shared" si="94"/>
        <v>#REF!</v>
      </c>
      <c r="U478" s="84" t="e">
        <f t="shared" si="95"/>
        <v>#REF!</v>
      </c>
      <c r="V478" s="85" t="e">
        <f>#REF!</f>
        <v>#REF!</v>
      </c>
      <c r="W478" s="86">
        <f t="shared" si="96"/>
        <v>0</v>
      </c>
      <c r="X478" s="86">
        <f t="shared" si="96"/>
        <v>0</v>
      </c>
      <c r="Y478" s="87">
        <f t="shared" si="97"/>
        <v>0</v>
      </c>
      <c r="Z478" s="87">
        <f t="shared" si="98"/>
        <v>0</v>
      </c>
      <c r="AA478" s="87">
        <f t="shared" si="99"/>
        <v>4</v>
      </c>
    </row>
    <row r="479" spans="9:27">
      <c r="I479" s="81" t="e">
        <f>IF(#REF!&lt;&gt;"",#REF!,"")</f>
        <v>#REF!</v>
      </c>
      <c r="J479" s="81" t="e">
        <f t="shared" si="100"/>
        <v>#REF!</v>
      </c>
      <c r="L479" s="82" t="e">
        <f t="shared" si="101"/>
        <v>#REF!</v>
      </c>
      <c r="M479" s="81" t="e">
        <f t="shared" si="104"/>
        <v>#REF!</v>
      </c>
      <c r="N479" s="81" t="e">
        <f t="shared" si="102"/>
        <v>#REF!</v>
      </c>
      <c r="O479" s="81" t="e">
        <f t="shared" si="103"/>
        <v>#REF!</v>
      </c>
      <c r="Q479" s="83" t="str">
        <f t="shared" si="105"/>
        <v/>
      </c>
      <c r="R479" s="84" t="e">
        <f t="shared" si="93"/>
        <v>#REF!</v>
      </c>
      <c r="S479" s="83" t="e">
        <f t="shared" si="93"/>
        <v>#REF!</v>
      </c>
      <c r="T479" s="84" t="e">
        <f t="shared" si="94"/>
        <v>#REF!</v>
      </c>
      <c r="U479" s="84" t="e">
        <f t="shared" si="95"/>
        <v>#REF!</v>
      </c>
      <c r="V479" s="85" t="e">
        <f>#REF!</f>
        <v>#REF!</v>
      </c>
      <c r="W479" s="86">
        <f t="shared" si="96"/>
        <v>0</v>
      </c>
      <c r="X479" s="86">
        <f t="shared" si="96"/>
        <v>0</v>
      </c>
      <c r="Y479" s="87">
        <f t="shared" si="97"/>
        <v>0</v>
      </c>
      <c r="Z479" s="87">
        <f t="shared" si="98"/>
        <v>0</v>
      </c>
      <c r="AA479" s="87">
        <f t="shared" si="99"/>
        <v>4</v>
      </c>
    </row>
    <row r="480" spans="9:27">
      <c r="I480" s="81" t="e">
        <f>IF(#REF!&lt;&gt;"",#REF!,"")</f>
        <v>#REF!</v>
      </c>
      <c r="J480" s="81" t="e">
        <f t="shared" si="100"/>
        <v>#REF!</v>
      </c>
      <c r="L480" s="82" t="e">
        <f t="shared" si="101"/>
        <v>#REF!</v>
      </c>
      <c r="M480" s="81" t="e">
        <f t="shared" si="104"/>
        <v>#REF!</v>
      </c>
      <c r="N480" s="81" t="e">
        <f t="shared" si="102"/>
        <v>#REF!</v>
      </c>
      <c r="O480" s="81" t="e">
        <f t="shared" si="103"/>
        <v>#REF!</v>
      </c>
      <c r="Q480" s="83" t="str">
        <f t="shared" si="105"/>
        <v/>
      </c>
      <c r="R480" s="84" t="e">
        <f t="shared" si="93"/>
        <v>#REF!</v>
      </c>
      <c r="S480" s="83" t="e">
        <f t="shared" si="93"/>
        <v>#REF!</v>
      </c>
      <c r="T480" s="84" t="e">
        <f t="shared" si="94"/>
        <v>#REF!</v>
      </c>
      <c r="U480" s="84" t="e">
        <f t="shared" si="95"/>
        <v>#REF!</v>
      </c>
      <c r="V480" s="85" t="e">
        <f>#REF!</f>
        <v>#REF!</v>
      </c>
      <c r="W480" s="86">
        <f t="shared" si="96"/>
        <v>0</v>
      </c>
      <c r="X480" s="86">
        <f t="shared" si="96"/>
        <v>0</v>
      </c>
      <c r="Y480" s="87">
        <f t="shared" si="97"/>
        <v>0</v>
      </c>
      <c r="Z480" s="87">
        <f t="shared" si="98"/>
        <v>0</v>
      </c>
      <c r="AA480" s="87">
        <f t="shared" si="99"/>
        <v>4</v>
      </c>
    </row>
    <row r="481" spans="9:27">
      <c r="I481" s="81" t="e">
        <f>IF(#REF!&lt;&gt;"",#REF!,"")</f>
        <v>#REF!</v>
      </c>
      <c r="J481" s="81" t="e">
        <f t="shared" si="100"/>
        <v>#REF!</v>
      </c>
      <c r="L481" s="82" t="e">
        <f t="shared" si="101"/>
        <v>#REF!</v>
      </c>
      <c r="M481" s="81" t="e">
        <f t="shared" si="104"/>
        <v>#REF!</v>
      </c>
      <c r="N481" s="81" t="e">
        <f t="shared" si="102"/>
        <v>#REF!</v>
      </c>
      <c r="O481" s="81" t="e">
        <f t="shared" si="103"/>
        <v>#REF!</v>
      </c>
      <c r="Q481" s="83" t="str">
        <f t="shared" si="105"/>
        <v/>
      </c>
      <c r="R481" s="84" t="e">
        <f t="shared" si="93"/>
        <v>#REF!</v>
      </c>
      <c r="S481" s="83" t="e">
        <f t="shared" si="93"/>
        <v>#REF!</v>
      </c>
      <c r="T481" s="84" t="e">
        <f t="shared" si="94"/>
        <v>#REF!</v>
      </c>
      <c r="U481" s="84" t="e">
        <f t="shared" si="95"/>
        <v>#REF!</v>
      </c>
      <c r="V481" s="85" t="e">
        <f>#REF!</f>
        <v>#REF!</v>
      </c>
      <c r="W481" s="86">
        <f t="shared" si="96"/>
        <v>0</v>
      </c>
      <c r="X481" s="86">
        <f t="shared" si="96"/>
        <v>0</v>
      </c>
      <c r="Y481" s="87">
        <f t="shared" si="97"/>
        <v>0</v>
      </c>
      <c r="Z481" s="87">
        <f t="shared" si="98"/>
        <v>0</v>
      </c>
      <c r="AA481" s="87">
        <f t="shared" si="99"/>
        <v>4</v>
      </c>
    </row>
    <row r="482" spans="9:27">
      <c r="I482" s="81" t="e">
        <f>IF(#REF!&lt;&gt;"",#REF!,"")</f>
        <v>#REF!</v>
      </c>
      <c r="J482" s="81" t="e">
        <f t="shared" si="100"/>
        <v>#REF!</v>
      </c>
      <c r="L482" s="82" t="e">
        <f t="shared" si="101"/>
        <v>#REF!</v>
      </c>
      <c r="M482" s="81" t="e">
        <f t="shared" si="104"/>
        <v>#REF!</v>
      </c>
      <c r="N482" s="81" t="e">
        <f t="shared" si="102"/>
        <v>#REF!</v>
      </c>
      <c r="O482" s="81" t="e">
        <f t="shared" si="103"/>
        <v>#REF!</v>
      </c>
      <c r="Q482" s="83" t="str">
        <f t="shared" si="105"/>
        <v/>
      </c>
      <c r="R482" s="84" t="e">
        <f t="shared" si="93"/>
        <v>#REF!</v>
      </c>
      <c r="S482" s="83" t="e">
        <f t="shared" si="93"/>
        <v>#REF!</v>
      </c>
      <c r="T482" s="84" t="e">
        <f t="shared" si="94"/>
        <v>#REF!</v>
      </c>
      <c r="U482" s="84" t="e">
        <f t="shared" si="95"/>
        <v>#REF!</v>
      </c>
      <c r="V482" s="85" t="e">
        <f>#REF!</f>
        <v>#REF!</v>
      </c>
      <c r="W482" s="86">
        <f t="shared" si="96"/>
        <v>0</v>
      </c>
      <c r="X482" s="86">
        <f t="shared" si="96"/>
        <v>0</v>
      </c>
      <c r="Y482" s="87">
        <f t="shared" si="97"/>
        <v>0</v>
      </c>
      <c r="Z482" s="87">
        <f t="shared" si="98"/>
        <v>0</v>
      </c>
      <c r="AA482" s="87">
        <f t="shared" si="99"/>
        <v>4</v>
      </c>
    </row>
    <row r="483" spans="9:27">
      <c r="I483" s="81" t="e">
        <f>IF(#REF!&lt;&gt;"",#REF!,"")</f>
        <v>#REF!</v>
      </c>
      <c r="J483" s="81" t="e">
        <f t="shared" si="100"/>
        <v>#REF!</v>
      </c>
      <c r="L483" s="82" t="e">
        <f t="shared" si="101"/>
        <v>#REF!</v>
      </c>
      <c r="M483" s="81" t="e">
        <f t="shared" si="104"/>
        <v>#REF!</v>
      </c>
      <c r="N483" s="81" t="e">
        <f t="shared" si="102"/>
        <v>#REF!</v>
      </c>
      <c r="O483" s="81" t="e">
        <f t="shared" si="103"/>
        <v>#REF!</v>
      </c>
      <c r="Q483" s="83" t="str">
        <f t="shared" si="105"/>
        <v/>
      </c>
      <c r="R483" s="84" t="e">
        <f t="shared" si="93"/>
        <v>#REF!</v>
      </c>
      <c r="S483" s="83" t="e">
        <f t="shared" si="93"/>
        <v>#REF!</v>
      </c>
      <c r="T483" s="84" t="e">
        <f t="shared" si="94"/>
        <v>#REF!</v>
      </c>
      <c r="U483" s="84" t="e">
        <f t="shared" si="95"/>
        <v>#REF!</v>
      </c>
      <c r="V483" s="85" t="e">
        <f>#REF!</f>
        <v>#REF!</v>
      </c>
      <c r="W483" s="86">
        <f t="shared" si="96"/>
        <v>0</v>
      </c>
      <c r="X483" s="86">
        <f t="shared" si="96"/>
        <v>0</v>
      </c>
      <c r="Y483" s="87">
        <f t="shared" si="97"/>
        <v>0</v>
      </c>
      <c r="Z483" s="87">
        <f t="shared" si="98"/>
        <v>0</v>
      </c>
      <c r="AA483" s="87">
        <f t="shared" si="99"/>
        <v>4</v>
      </c>
    </row>
    <row r="484" spans="9:27">
      <c r="I484" s="81" t="e">
        <f>IF(#REF!&lt;&gt;"",#REF!,"")</f>
        <v>#REF!</v>
      </c>
      <c r="J484" s="81" t="e">
        <f t="shared" si="100"/>
        <v>#REF!</v>
      </c>
      <c r="L484" s="82" t="e">
        <f t="shared" si="101"/>
        <v>#REF!</v>
      </c>
      <c r="M484" s="81" t="e">
        <f t="shared" si="104"/>
        <v>#REF!</v>
      </c>
      <c r="N484" s="81" t="e">
        <f t="shared" si="102"/>
        <v>#REF!</v>
      </c>
      <c r="O484" s="81" t="e">
        <f t="shared" si="103"/>
        <v>#REF!</v>
      </c>
      <c r="Q484" s="83" t="str">
        <f t="shared" si="105"/>
        <v/>
      </c>
      <c r="R484" s="84" t="e">
        <f t="shared" si="93"/>
        <v>#REF!</v>
      </c>
      <c r="S484" s="83" t="e">
        <f t="shared" si="93"/>
        <v>#REF!</v>
      </c>
      <c r="T484" s="84" t="e">
        <f t="shared" si="94"/>
        <v>#REF!</v>
      </c>
      <c r="U484" s="84" t="e">
        <f t="shared" si="95"/>
        <v>#REF!</v>
      </c>
      <c r="V484" s="85" t="e">
        <f>#REF!</f>
        <v>#REF!</v>
      </c>
      <c r="W484" s="86">
        <f t="shared" si="96"/>
        <v>0</v>
      </c>
      <c r="X484" s="86">
        <f t="shared" si="96"/>
        <v>0</v>
      </c>
      <c r="Y484" s="87">
        <f t="shared" si="97"/>
        <v>0</v>
      </c>
      <c r="Z484" s="87">
        <f t="shared" si="98"/>
        <v>0</v>
      </c>
      <c r="AA484" s="87">
        <f t="shared" si="99"/>
        <v>4</v>
      </c>
    </row>
    <row r="485" spans="9:27">
      <c r="I485" s="81" t="e">
        <f>IF(#REF!&lt;&gt;"",#REF!,"")</f>
        <v>#REF!</v>
      </c>
      <c r="J485" s="81" t="e">
        <f t="shared" si="100"/>
        <v>#REF!</v>
      </c>
      <c r="L485" s="82" t="e">
        <f t="shared" si="101"/>
        <v>#REF!</v>
      </c>
      <c r="M485" s="81" t="e">
        <f t="shared" si="104"/>
        <v>#REF!</v>
      </c>
      <c r="N485" s="81" t="e">
        <f t="shared" si="102"/>
        <v>#REF!</v>
      </c>
      <c r="O485" s="81" t="e">
        <f t="shared" si="103"/>
        <v>#REF!</v>
      </c>
      <c r="Q485" s="83" t="str">
        <f t="shared" si="105"/>
        <v/>
      </c>
      <c r="R485" s="84" t="e">
        <f t="shared" si="93"/>
        <v>#REF!</v>
      </c>
      <c r="S485" s="83" t="e">
        <f t="shared" si="93"/>
        <v>#REF!</v>
      </c>
      <c r="T485" s="84" t="e">
        <f t="shared" si="94"/>
        <v>#REF!</v>
      </c>
      <c r="U485" s="84" t="e">
        <f t="shared" si="95"/>
        <v>#REF!</v>
      </c>
      <c r="V485" s="85" t="e">
        <f>#REF!</f>
        <v>#REF!</v>
      </c>
      <c r="W485" s="86">
        <f t="shared" si="96"/>
        <v>0</v>
      </c>
      <c r="X485" s="86">
        <f t="shared" si="96"/>
        <v>0</v>
      </c>
      <c r="Y485" s="87">
        <f t="shared" si="97"/>
        <v>0</v>
      </c>
      <c r="Z485" s="87">
        <f t="shared" si="98"/>
        <v>0</v>
      </c>
      <c r="AA485" s="87">
        <f t="shared" si="99"/>
        <v>4</v>
      </c>
    </row>
    <row r="486" spans="9:27">
      <c r="I486" s="81" t="e">
        <f>IF(#REF!&lt;&gt;"",#REF!,"")</f>
        <v>#REF!</v>
      </c>
      <c r="J486" s="81" t="e">
        <f t="shared" si="100"/>
        <v>#REF!</v>
      </c>
      <c r="L486" s="82" t="e">
        <f t="shared" si="101"/>
        <v>#REF!</v>
      </c>
      <c r="M486" s="81" t="e">
        <f t="shared" si="104"/>
        <v>#REF!</v>
      </c>
      <c r="N486" s="81" t="e">
        <f t="shared" si="102"/>
        <v>#REF!</v>
      </c>
      <c r="O486" s="81" t="e">
        <f t="shared" si="103"/>
        <v>#REF!</v>
      </c>
      <c r="Q486" s="83" t="str">
        <f t="shared" si="105"/>
        <v/>
      </c>
      <c r="R486" s="84" t="e">
        <f t="shared" si="93"/>
        <v>#REF!</v>
      </c>
      <c r="S486" s="83" t="e">
        <f t="shared" si="93"/>
        <v>#REF!</v>
      </c>
      <c r="T486" s="84" t="e">
        <f t="shared" si="94"/>
        <v>#REF!</v>
      </c>
      <c r="U486" s="84" t="e">
        <f t="shared" si="95"/>
        <v>#REF!</v>
      </c>
      <c r="V486" s="85" t="e">
        <f>#REF!</f>
        <v>#REF!</v>
      </c>
      <c r="W486" s="86">
        <f t="shared" si="96"/>
        <v>0</v>
      </c>
      <c r="X486" s="86">
        <f t="shared" si="96"/>
        <v>0</v>
      </c>
      <c r="Y486" s="87">
        <f t="shared" si="97"/>
        <v>0</v>
      </c>
      <c r="Z486" s="87">
        <f t="shared" si="98"/>
        <v>0</v>
      </c>
      <c r="AA486" s="87">
        <f t="shared" si="99"/>
        <v>4</v>
      </c>
    </row>
    <row r="487" spans="9:27">
      <c r="I487" s="81" t="e">
        <f>IF(#REF!&lt;&gt;"",#REF!,"")</f>
        <v>#REF!</v>
      </c>
      <c r="J487" s="81" t="e">
        <f t="shared" si="100"/>
        <v>#REF!</v>
      </c>
      <c r="L487" s="82" t="e">
        <f t="shared" si="101"/>
        <v>#REF!</v>
      </c>
      <c r="M487" s="81" t="e">
        <f t="shared" si="104"/>
        <v>#REF!</v>
      </c>
      <c r="N487" s="81" t="e">
        <f t="shared" si="102"/>
        <v>#REF!</v>
      </c>
      <c r="O487" s="81" t="e">
        <f t="shared" si="103"/>
        <v>#REF!</v>
      </c>
      <c r="Q487" s="83" t="str">
        <f t="shared" si="105"/>
        <v/>
      </c>
      <c r="R487" s="84" t="e">
        <f t="shared" si="93"/>
        <v>#REF!</v>
      </c>
      <c r="S487" s="83" t="e">
        <f t="shared" si="93"/>
        <v>#REF!</v>
      </c>
      <c r="T487" s="84" t="e">
        <f t="shared" si="94"/>
        <v>#REF!</v>
      </c>
      <c r="U487" s="84" t="e">
        <f t="shared" si="95"/>
        <v>#REF!</v>
      </c>
      <c r="V487" s="85" t="e">
        <f>#REF!</f>
        <v>#REF!</v>
      </c>
      <c r="W487" s="86">
        <f t="shared" si="96"/>
        <v>0</v>
      </c>
      <c r="X487" s="86">
        <f t="shared" si="96"/>
        <v>0</v>
      </c>
      <c r="Y487" s="87">
        <f t="shared" si="97"/>
        <v>0</v>
      </c>
      <c r="Z487" s="87">
        <f t="shared" si="98"/>
        <v>0</v>
      </c>
      <c r="AA487" s="87">
        <f t="shared" si="99"/>
        <v>4</v>
      </c>
    </row>
    <row r="488" spans="9:27">
      <c r="I488" s="81" t="e">
        <f>IF(#REF!&lt;&gt;"",#REF!,"")</f>
        <v>#REF!</v>
      </c>
      <c r="J488" s="81" t="e">
        <f t="shared" si="100"/>
        <v>#REF!</v>
      </c>
      <c r="L488" s="82" t="e">
        <f t="shared" si="101"/>
        <v>#REF!</v>
      </c>
      <c r="M488" s="81" t="e">
        <f t="shared" si="104"/>
        <v>#REF!</v>
      </c>
      <c r="N488" s="81" t="e">
        <f t="shared" si="102"/>
        <v>#REF!</v>
      </c>
      <c r="O488" s="81" t="e">
        <f t="shared" si="103"/>
        <v>#REF!</v>
      </c>
      <c r="Q488" s="83" t="str">
        <f t="shared" si="105"/>
        <v/>
      </c>
      <c r="R488" s="84" t="e">
        <f t="shared" si="93"/>
        <v>#REF!</v>
      </c>
      <c r="S488" s="83" t="e">
        <f t="shared" si="93"/>
        <v>#REF!</v>
      </c>
      <c r="T488" s="84" t="e">
        <f t="shared" si="94"/>
        <v>#REF!</v>
      </c>
      <c r="U488" s="84" t="e">
        <f t="shared" si="95"/>
        <v>#REF!</v>
      </c>
      <c r="V488" s="85" t="e">
        <f>#REF!</f>
        <v>#REF!</v>
      </c>
      <c r="W488" s="86">
        <f t="shared" si="96"/>
        <v>0</v>
      </c>
      <c r="X488" s="86">
        <f t="shared" si="96"/>
        <v>0</v>
      </c>
      <c r="Y488" s="87">
        <f t="shared" si="97"/>
        <v>0</v>
      </c>
      <c r="Z488" s="87">
        <f t="shared" si="98"/>
        <v>0</v>
      </c>
      <c r="AA488" s="87">
        <f t="shared" si="99"/>
        <v>4</v>
      </c>
    </row>
    <row r="489" spans="9:27">
      <c r="I489" s="81" t="e">
        <f>IF(#REF!&lt;&gt;"",#REF!,"")</f>
        <v>#REF!</v>
      </c>
      <c r="J489" s="81" t="e">
        <f t="shared" si="100"/>
        <v>#REF!</v>
      </c>
      <c r="L489" s="82" t="e">
        <f t="shared" si="101"/>
        <v>#REF!</v>
      </c>
      <c r="M489" s="81" t="e">
        <f t="shared" si="104"/>
        <v>#REF!</v>
      </c>
      <c r="N489" s="81" t="e">
        <f t="shared" si="102"/>
        <v>#REF!</v>
      </c>
      <c r="O489" s="81" t="e">
        <f t="shared" si="103"/>
        <v>#REF!</v>
      </c>
      <c r="Q489" s="83" t="str">
        <f t="shared" si="105"/>
        <v/>
      </c>
      <c r="R489" s="84" t="e">
        <f t="shared" si="93"/>
        <v>#REF!</v>
      </c>
      <c r="S489" s="83" t="e">
        <f t="shared" si="93"/>
        <v>#REF!</v>
      </c>
      <c r="T489" s="84" t="e">
        <f t="shared" si="94"/>
        <v>#REF!</v>
      </c>
      <c r="U489" s="84" t="e">
        <f t="shared" si="95"/>
        <v>#REF!</v>
      </c>
      <c r="V489" s="85" t="e">
        <f>#REF!</f>
        <v>#REF!</v>
      </c>
      <c r="W489" s="86">
        <f t="shared" si="96"/>
        <v>0</v>
      </c>
      <c r="X489" s="86">
        <f t="shared" si="96"/>
        <v>0</v>
      </c>
      <c r="Y489" s="87">
        <f t="shared" si="97"/>
        <v>0</v>
      </c>
      <c r="Z489" s="87">
        <f t="shared" si="98"/>
        <v>0</v>
      </c>
      <c r="AA489" s="87">
        <f t="shared" si="99"/>
        <v>4</v>
      </c>
    </row>
    <row r="490" spans="9:27">
      <c r="I490" s="81" t="e">
        <f>IF(#REF!&lt;&gt;"",#REF!,"")</f>
        <v>#REF!</v>
      </c>
      <c r="J490" s="81" t="e">
        <f t="shared" si="100"/>
        <v>#REF!</v>
      </c>
      <c r="L490" s="82" t="e">
        <f t="shared" si="101"/>
        <v>#REF!</v>
      </c>
      <c r="M490" s="81" t="e">
        <f t="shared" si="104"/>
        <v>#REF!</v>
      </c>
      <c r="N490" s="81" t="e">
        <f t="shared" si="102"/>
        <v>#REF!</v>
      </c>
      <c r="O490" s="81" t="e">
        <f t="shared" si="103"/>
        <v>#REF!</v>
      </c>
      <c r="Q490" s="83" t="str">
        <f t="shared" si="105"/>
        <v/>
      </c>
      <c r="R490" s="84" t="e">
        <f t="shared" si="93"/>
        <v>#REF!</v>
      </c>
      <c r="S490" s="83" t="e">
        <f t="shared" si="93"/>
        <v>#REF!</v>
      </c>
      <c r="T490" s="84" t="e">
        <f t="shared" si="94"/>
        <v>#REF!</v>
      </c>
      <c r="U490" s="84" t="e">
        <f t="shared" si="95"/>
        <v>#REF!</v>
      </c>
      <c r="V490" s="85" t="e">
        <f>#REF!</f>
        <v>#REF!</v>
      </c>
      <c r="W490" s="86">
        <f t="shared" si="96"/>
        <v>0</v>
      </c>
      <c r="X490" s="86">
        <f t="shared" si="96"/>
        <v>0</v>
      </c>
      <c r="Y490" s="87">
        <f t="shared" si="97"/>
        <v>0</v>
      </c>
      <c r="Z490" s="87">
        <f t="shared" si="98"/>
        <v>0</v>
      </c>
      <c r="AA490" s="87">
        <f t="shared" si="99"/>
        <v>4</v>
      </c>
    </row>
    <row r="491" spans="9:27">
      <c r="I491" s="81" t="e">
        <f>IF(#REF!&lt;&gt;"",#REF!,"")</f>
        <v>#REF!</v>
      </c>
      <c r="J491" s="81" t="e">
        <f t="shared" si="100"/>
        <v>#REF!</v>
      </c>
      <c r="L491" s="82" t="e">
        <f t="shared" si="101"/>
        <v>#REF!</v>
      </c>
      <c r="M491" s="81" t="e">
        <f t="shared" si="104"/>
        <v>#REF!</v>
      </c>
      <c r="N491" s="81" t="e">
        <f t="shared" si="102"/>
        <v>#REF!</v>
      </c>
      <c r="O491" s="81" t="e">
        <f t="shared" si="103"/>
        <v>#REF!</v>
      </c>
      <c r="Q491" s="83" t="str">
        <f t="shared" si="105"/>
        <v/>
      </c>
      <c r="R491" s="84" t="e">
        <f t="shared" si="93"/>
        <v>#REF!</v>
      </c>
      <c r="S491" s="83" t="e">
        <f t="shared" si="93"/>
        <v>#REF!</v>
      </c>
      <c r="T491" s="84" t="e">
        <f t="shared" si="94"/>
        <v>#REF!</v>
      </c>
      <c r="U491" s="84" t="e">
        <f t="shared" si="95"/>
        <v>#REF!</v>
      </c>
      <c r="V491" s="85" t="e">
        <f>#REF!</f>
        <v>#REF!</v>
      </c>
      <c r="W491" s="86">
        <f t="shared" si="96"/>
        <v>0</v>
      </c>
      <c r="X491" s="86">
        <f t="shared" si="96"/>
        <v>0</v>
      </c>
      <c r="Y491" s="87">
        <f t="shared" si="97"/>
        <v>0</v>
      </c>
      <c r="Z491" s="87">
        <f t="shared" si="98"/>
        <v>0</v>
      </c>
      <c r="AA491" s="87">
        <f t="shared" si="99"/>
        <v>4</v>
      </c>
    </row>
    <row r="492" spans="9:27">
      <c r="I492" s="81" t="e">
        <f>IF(#REF!&lt;&gt;"",#REF!,"")</f>
        <v>#REF!</v>
      </c>
      <c r="J492" s="81" t="e">
        <f t="shared" si="100"/>
        <v>#REF!</v>
      </c>
      <c r="L492" s="82" t="e">
        <f t="shared" si="101"/>
        <v>#REF!</v>
      </c>
      <c r="M492" s="81" t="e">
        <f t="shared" si="104"/>
        <v>#REF!</v>
      </c>
      <c r="N492" s="81" t="e">
        <f t="shared" si="102"/>
        <v>#REF!</v>
      </c>
      <c r="O492" s="81" t="e">
        <f t="shared" si="103"/>
        <v>#REF!</v>
      </c>
      <c r="Q492" s="83" t="str">
        <f t="shared" si="105"/>
        <v/>
      </c>
      <c r="R492" s="84" t="e">
        <f t="shared" si="93"/>
        <v>#REF!</v>
      </c>
      <c r="S492" s="83" t="e">
        <f t="shared" si="93"/>
        <v>#REF!</v>
      </c>
      <c r="T492" s="84" t="e">
        <f t="shared" si="94"/>
        <v>#REF!</v>
      </c>
      <c r="U492" s="84" t="e">
        <f t="shared" si="95"/>
        <v>#REF!</v>
      </c>
      <c r="V492" s="85" t="e">
        <f>#REF!</f>
        <v>#REF!</v>
      </c>
      <c r="W492" s="86">
        <f t="shared" si="96"/>
        <v>0</v>
      </c>
      <c r="X492" s="86">
        <f t="shared" si="96"/>
        <v>0</v>
      </c>
      <c r="Y492" s="87">
        <f t="shared" si="97"/>
        <v>0</v>
      </c>
      <c r="Z492" s="87">
        <f t="shared" si="98"/>
        <v>0</v>
      </c>
      <c r="AA492" s="87">
        <f t="shared" si="99"/>
        <v>4</v>
      </c>
    </row>
    <row r="493" spans="9:27">
      <c r="I493" s="81" t="e">
        <f>IF(#REF!&lt;&gt;"",#REF!,"")</f>
        <v>#REF!</v>
      </c>
      <c r="J493" s="81" t="e">
        <f t="shared" si="100"/>
        <v>#REF!</v>
      </c>
      <c r="L493" s="82" t="e">
        <f t="shared" si="101"/>
        <v>#REF!</v>
      </c>
      <c r="M493" s="81" t="e">
        <f t="shared" si="104"/>
        <v>#REF!</v>
      </c>
      <c r="N493" s="81" t="e">
        <f t="shared" si="102"/>
        <v>#REF!</v>
      </c>
      <c r="O493" s="81" t="e">
        <f t="shared" si="103"/>
        <v>#REF!</v>
      </c>
      <c r="Q493" s="83" t="str">
        <f t="shared" si="105"/>
        <v/>
      </c>
      <c r="R493" s="84" t="e">
        <f t="shared" si="93"/>
        <v>#REF!</v>
      </c>
      <c r="S493" s="83" t="e">
        <f t="shared" si="93"/>
        <v>#REF!</v>
      </c>
      <c r="T493" s="84" t="e">
        <f t="shared" si="94"/>
        <v>#REF!</v>
      </c>
      <c r="U493" s="84" t="e">
        <f t="shared" si="95"/>
        <v>#REF!</v>
      </c>
      <c r="V493" s="85" t="e">
        <f>#REF!</f>
        <v>#REF!</v>
      </c>
      <c r="W493" s="86">
        <f t="shared" si="96"/>
        <v>0</v>
      </c>
      <c r="X493" s="86">
        <f t="shared" si="96"/>
        <v>0</v>
      </c>
      <c r="Y493" s="87">
        <f t="shared" si="97"/>
        <v>0</v>
      </c>
      <c r="Z493" s="87">
        <f t="shared" si="98"/>
        <v>0</v>
      </c>
      <c r="AA493" s="87">
        <f t="shared" si="99"/>
        <v>4</v>
      </c>
    </row>
    <row r="494" spans="9:27">
      <c r="I494" s="81" t="e">
        <f>IF(#REF!&lt;&gt;"",#REF!,"")</f>
        <v>#REF!</v>
      </c>
      <c r="J494" s="81" t="e">
        <f t="shared" si="100"/>
        <v>#REF!</v>
      </c>
      <c r="L494" s="82" t="e">
        <f t="shared" si="101"/>
        <v>#REF!</v>
      </c>
      <c r="M494" s="81" t="e">
        <f t="shared" si="104"/>
        <v>#REF!</v>
      </c>
      <c r="N494" s="81" t="e">
        <f t="shared" si="102"/>
        <v>#REF!</v>
      </c>
      <c r="O494" s="81" t="e">
        <f t="shared" si="103"/>
        <v>#REF!</v>
      </c>
      <c r="Q494" s="83" t="str">
        <f t="shared" si="105"/>
        <v/>
      </c>
      <c r="R494" s="84" t="e">
        <f t="shared" si="93"/>
        <v>#REF!</v>
      </c>
      <c r="S494" s="83" t="e">
        <f t="shared" si="93"/>
        <v>#REF!</v>
      </c>
      <c r="T494" s="84" t="e">
        <f t="shared" si="94"/>
        <v>#REF!</v>
      </c>
      <c r="U494" s="84" t="e">
        <f t="shared" si="95"/>
        <v>#REF!</v>
      </c>
      <c r="V494" s="85" t="e">
        <f>#REF!</f>
        <v>#REF!</v>
      </c>
      <c r="W494" s="86">
        <f t="shared" si="96"/>
        <v>0</v>
      </c>
      <c r="X494" s="86">
        <f t="shared" si="96"/>
        <v>0</v>
      </c>
      <c r="Y494" s="87">
        <f t="shared" si="97"/>
        <v>0</v>
      </c>
      <c r="Z494" s="87">
        <f t="shared" si="98"/>
        <v>0</v>
      </c>
      <c r="AA494" s="87">
        <f t="shared" si="99"/>
        <v>4</v>
      </c>
    </row>
    <row r="495" spans="9:27">
      <c r="I495" s="81" t="e">
        <f>IF(#REF!&lt;&gt;"",#REF!,"")</f>
        <v>#REF!</v>
      </c>
      <c r="J495" s="81" t="e">
        <f t="shared" si="100"/>
        <v>#REF!</v>
      </c>
      <c r="L495" s="82" t="e">
        <f t="shared" si="101"/>
        <v>#REF!</v>
      </c>
      <c r="M495" s="81" t="e">
        <f t="shared" si="104"/>
        <v>#REF!</v>
      </c>
      <c r="N495" s="81" t="e">
        <f t="shared" si="102"/>
        <v>#REF!</v>
      </c>
      <c r="O495" s="81" t="e">
        <f t="shared" si="103"/>
        <v>#REF!</v>
      </c>
      <c r="Q495" s="83" t="str">
        <f t="shared" si="105"/>
        <v/>
      </c>
      <c r="R495" s="84" t="e">
        <f t="shared" si="93"/>
        <v>#REF!</v>
      </c>
      <c r="S495" s="83" t="e">
        <f t="shared" si="93"/>
        <v>#REF!</v>
      </c>
      <c r="T495" s="84" t="e">
        <f t="shared" si="94"/>
        <v>#REF!</v>
      </c>
      <c r="U495" s="84" t="e">
        <f t="shared" si="95"/>
        <v>#REF!</v>
      </c>
      <c r="V495" s="85" t="e">
        <f>#REF!</f>
        <v>#REF!</v>
      </c>
      <c r="W495" s="86">
        <f t="shared" si="96"/>
        <v>0</v>
      </c>
      <c r="X495" s="86">
        <f t="shared" si="96"/>
        <v>0</v>
      </c>
      <c r="Y495" s="87">
        <f t="shared" si="97"/>
        <v>0</v>
      </c>
      <c r="Z495" s="87">
        <f t="shared" si="98"/>
        <v>0</v>
      </c>
      <c r="AA495" s="87">
        <f t="shared" si="99"/>
        <v>4</v>
      </c>
    </row>
    <row r="496" spans="9:27">
      <c r="I496" s="81" t="e">
        <f>IF(#REF!&lt;&gt;"",#REF!,"")</f>
        <v>#REF!</v>
      </c>
      <c r="J496" s="81" t="e">
        <f t="shared" si="100"/>
        <v>#REF!</v>
      </c>
      <c r="L496" s="82" t="e">
        <f t="shared" si="101"/>
        <v>#REF!</v>
      </c>
      <c r="M496" s="81" t="e">
        <f t="shared" si="104"/>
        <v>#REF!</v>
      </c>
      <c r="N496" s="81" t="e">
        <f t="shared" si="102"/>
        <v>#REF!</v>
      </c>
      <c r="O496" s="81" t="e">
        <f t="shared" si="103"/>
        <v>#REF!</v>
      </c>
      <c r="Q496" s="83" t="str">
        <f t="shared" si="105"/>
        <v/>
      </c>
      <c r="R496" s="84" t="e">
        <f t="shared" si="93"/>
        <v>#REF!</v>
      </c>
      <c r="S496" s="83" t="e">
        <f t="shared" si="93"/>
        <v>#REF!</v>
      </c>
      <c r="T496" s="84" t="e">
        <f t="shared" si="94"/>
        <v>#REF!</v>
      </c>
      <c r="U496" s="84" t="e">
        <f t="shared" si="95"/>
        <v>#REF!</v>
      </c>
      <c r="V496" s="85" t="e">
        <f>#REF!</f>
        <v>#REF!</v>
      </c>
      <c r="W496" s="86">
        <f t="shared" si="96"/>
        <v>0</v>
      </c>
      <c r="X496" s="86">
        <f t="shared" si="96"/>
        <v>0</v>
      </c>
      <c r="Y496" s="87">
        <f t="shared" si="97"/>
        <v>0</v>
      </c>
      <c r="Z496" s="87">
        <f t="shared" si="98"/>
        <v>0</v>
      </c>
      <c r="AA496" s="87">
        <f t="shared" si="99"/>
        <v>4</v>
      </c>
    </row>
    <row r="497" spans="9:27">
      <c r="I497" s="81" t="e">
        <f>IF(#REF!&lt;&gt;"",#REF!,"")</f>
        <v>#REF!</v>
      </c>
      <c r="J497" s="81" t="e">
        <f t="shared" si="100"/>
        <v>#REF!</v>
      </c>
      <c r="L497" s="82" t="e">
        <f t="shared" si="101"/>
        <v>#REF!</v>
      </c>
      <c r="M497" s="81" t="e">
        <f t="shared" si="104"/>
        <v>#REF!</v>
      </c>
      <c r="N497" s="81" t="e">
        <f t="shared" si="102"/>
        <v>#REF!</v>
      </c>
      <c r="O497" s="81" t="e">
        <f t="shared" si="103"/>
        <v>#REF!</v>
      </c>
      <c r="Q497" s="83" t="str">
        <f t="shared" si="105"/>
        <v/>
      </c>
      <c r="R497" s="84" t="e">
        <f t="shared" si="93"/>
        <v>#REF!</v>
      </c>
      <c r="S497" s="83" t="e">
        <f t="shared" si="93"/>
        <v>#REF!</v>
      </c>
      <c r="T497" s="84" t="e">
        <f t="shared" si="94"/>
        <v>#REF!</v>
      </c>
      <c r="U497" s="84" t="e">
        <f t="shared" si="95"/>
        <v>#REF!</v>
      </c>
      <c r="V497" s="85" t="e">
        <f>#REF!</f>
        <v>#REF!</v>
      </c>
      <c r="W497" s="86">
        <f t="shared" si="96"/>
        <v>0</v>
      </c>
      <c r="X497" s="86">
        <f t="shared" si="96"/>
        <v>0</v>
      </c>
      <c r="Y497" s="87">
        <f t="shared" si="97"/>
        <v>0</v>
      </c>
      <c r="Z497" s="87">
        <f t="shared" si="98"/>
        <v>0</v>
      </c>
      <c r="AA497" s="87">
        <f t="shared" si="99"/>
        <v>4</v>
      </c>
    </row>
    <row r="498" spans="9:27">
      <c r="I498" s="81" t="e">
        <f>IF(#REF!&lt;&gt;"",#REF!,"")</f>
        <v>#REF!</v>
      </c>
      <c r="J498" s="81" t="e">
        <f t="shared" si="100"/>
        <v>#REF!</v>
      </c>
      <c r="L498" s="82" t="e">
        <f t="shared" si="101"/>
        <v>#REF!</v>
      </c>
      <c r="M498" s="81" t="e">
        <f t="shared" si="104"/>
        <v>#REF!</v>
      </c>
      <c r="N498" s="81" t="e">
        <f t="shared" si="102"/>
        <v>#REF!</v>
      </c>
      <c r="O498" s="81" t="e">
        <f t="shared" si="103"/>
        <v>#REF!</v>
      </c>
      <c r="Q498" s="83" t="str">
        <f t="shared" si="105"/>
        <v/>
      </c>
      <c r="R498" s="84" t="e">
        <f t="shared" si="93"/>
        <v>#REF!</v>
      </c>
      <c r="S498" s="83" t="e">
        <f t="shared" si="93"/>
        <v>#REF!</v>
      </c>
      <c r="T498" s="84" t="e">
        <f t="shared" si="94"/>
        <v>#REF!</v>
      </c>
      <c r="U498" s="84" t="e">
        <f t="shared" si="95"/>
        <v>#REF!</v>
      </c>
      <c r="V498" s="85" t="e">
        <f>#REF!</f>
        <v>#REF!</v>
      </c>
      <c r="W498" s="86">
        <f t="shared" si="96"/>
        <v>0</v>
      </c>
      <c r="X498" s="86">
        <f t="shared" si="96"/>
        <v>0</v>
      </c>
      <c r="Y498" s="87">
        <f t="shared" si="97"/>
        <v>0</v>
      </c>
      <c r="Z498" s="87">
        <f t="shared" si="98"/>
        <v>0</v>
      </c>
      <c r="AA498" s="87">
        <f t="shared" si="99"/>
        <v>4</v>
      </c>
    </row>
    <row r="499" spans="9:27">
      <c r="I499" s="81" t="e">
        <f>IF(#REF!&lt;&gt;"",#REF!,"")</f>
        <v>#REF!</v>
      </c>
      <c r="J499" s="81" t="e">
        <f t="shared" si="100"/>
        <v>#REF!</v>
      </c>
      <c r="L499" s="82" t="e">
        <f t="shared" si="101"/>
        <v>#REF!</v>
      </c>
      <c r="M499" s="81" t="e">
        <f t="shared" si="104"/>
        <v>#REF!</v>
      </c>
      <c r="N499" s="81" t="e">
        <f t="shared" si="102"/>
        <v>#REF!</v>
      </c>
      <c r="O499" s="81" t="e">
        <f t="shared" si="103"/>
        <v>#REF!</v>
      </c>
      <c r="Q499" s="83" t="str">
        <f t="shared" si="105"/>
        <v/>
      </c>
      <c r="R499" s="84" t="e">
        <f t="shared" si="93"/>
        <v>#REF!</v>
      </c>
      <c r="S499" s="83" t="e">
        <f t="shared" si="93"/>
        <v>#REF!</v>
      </c>
      <c r="T499" s="84" t="e">
        <f t="shared" si="94"/>
        <v>#REF!</v>
      </c>
      <c r="U499" s="84" t="e">
        <f t="shared" si="95"/>
        <v>#REF!</v>
      </c>
      <c r="V499" s="85" t="e">
        <f>#REF!</f>
        <v>#REF!</v>
      </c>
      <c r="W499" s="86">
        <f t="shared" si="96"/>
        <v>0</v>
      </c>
      <c r="X499" s="86">
        <f t="shared" si="96"/>
        <v>0</v>
      </c>
      <c r="Y499" s="87">
        <f t="shared" si="97"/>
        <v>0</v>
      </c>
      <c r="Z499" s="87">
        <f t="shared" si="98"/>
        <v>0</v>
      </c>
      <c r="AA499" s="87">
        <f t="shared" si="99"/>
        <v>4</v>
      </c>
    </row>
    <row r="500" spans="9:27">
      <c r="I500" s="81" t="e">
        <f>IF(#REF!&lt;&gt;"",#REF!,"")</f>
        <v>#REF!</v>
      </c>
      <c r="J500" s="81" t="e">
        <f t="shared" si="100"/>
        <v>#REF!</v>
      </c>
      <c r="L500" s="82" t="e">
        <f t="shared" si="101"/>
        <v>#REF!</v>
      </c>
      <c r="M500" s="81" t="e">
        <f t="shared" si="104"/>
        <v>#REF!</v>
      </c>
      <c r="N500" s="81" t="e">
        <f t="shared" si="102"/>
        <v>#REF!</v>
      </c>
      <c r="O500" s="81" t="e">
        <f t="shared" si="103"/>
        <v>#REF!</v>
      </c>
      <c r="Q500" s="83" t="str">
        <f t="shared" si="105"/>
        <v/>
      </c>
      <c r="R500" s="84" t="e">
        <f t="shared" si="93"/>
        <v>#REF!</v>
      </c>
      <c r="S500" s="83" t="e">
        <f t="shared" si="93"/>
        <v>#REF!</v>
      </c>
      <c r="T500" s="84" t="e">
        <f t="shared" si="94"/>
        <v>#REF!</v>
      </c>
      <c r="U500" s="84" t="e">
        <f t="shared" si="95"/>
        <v>#REF!</v>
      </c>
      <c r="V500" s="85" t="e">
        <f>#REF!</f>
        <v>#REF!</v>
      </c>
      <c r="W500" s="86">
        <f t="shared" si="96"/>
        <v>0</v>
      </c>
      <c r="X500" s="86">
        <f t="shared" si="96"/>
        <v>0</v>
      </c>
      <c r="Y500" s="87">
        <f t="shared" si="97"/>
        <v>0</v>
      </c>
      <c r="Z500" s="87">
        <f t="shared" si="98"/>
        <v>0</v>
      </c>
      <c r="AA500" s="87">
        <f t="shared" si="99"/>
        <v>4</v>
      </c>
    </row>
    <row r="501" spans="9:27">
      <c r="I501" s="81" t="e">
        <f>IF(#REF!&lt;&gt;"",#REF!,"")</f>
        <v>#REF!</v>
      </c>
      <c r="J501" s="81" t="e">
        <f t="shared" si="100"/>
        <v>#REF!</v>
      </c>
      <c r="L501" s="82" t="e">
        <f t="shared" si="101"/>
        <v>#REF!</v>
      </c>
      <c r="M501" s="81" t="e">
        <f t="shared" si="104"/>
        <v>#REF!</v>
      </c>
      <c r="N501" s="81" t="e">
        <f t="shared" si="102"/>
        <v>#REF!</v>
      </c>
      <c r="O501" s="81" t="e">
        <f t="shared" si="103"/>
        <v>#REF!</v>
      </c>
      <c r="Q501" s="83" t="str">
        <f t="shared" si="105"/>
        <v/>
      </c>
      <c r="R501" s="84" t="e">
        <f t="shared" si="93"/>
        <v>#REF!</v>
      </c>
      <c r="S501" s="83" t="e">
        <f t="shared" si="93"/>
        <v>#REF!</v>
      </c>
      <c r="T501" s="84" t="e">
        <f t="shared" si="94"/>
        <v>#REF!</v>
      </c>
      <c r="U501" s="84" t="e">
        <f t="shared" si="95"/>
        <v>#REF!</v>
      </c>
      <c r="V501" s="85" t="e">
        <f>#REF!</f>
        <v>#REF!</v>
      </c>
      <c r="W501" s="86">
        <f t="shared" si="96"/>
        <v>0</v>
      </c>
      <c r="X501" s="86">
        <f t="shared" si="96"/>
        <v>0</v>
      </c>
      <c r="Y501" s="87">
        <f t="shared" si="97"/>
        <v>0</v>
      </c>
      <c r="Z501" s="87">
        <f t="shared" si="98"/>
        <v>0</v>
      </c>
      <c r="AA501" s="87">
        <f t="shared" si="99"/>
        <v>4</v>
      </c>
    </row>
    <row r="502" spans="9:27">
      <c r="I502" s="81" t="e">
        <f>IF(#REF!&lt;&gt;"",#REF!,"")</f>
        <v>#REF!</v>
      </c>
      <c r="J502" s="81" t="e">
        <f t="shared" si="100"/>
        <v>#REF!</v>
      </c>
      <c r="L502" s="82" t="e">
        <f t="shared" si="101"/>
        <v>#REF!</v>
      </c>
      <c r="M502" s="81" t="e">
        <f t="shared" si="104"/>
        <v>#REF!</v>
      </c>
      <c r="N502" s="81" t="e">
        <f t="shared" si="102"/>
        <v>#REF!</v>
      </c>
      <c r="O502" s="81" t="e">
        <f t="shared" si="103"/>
        <v>#REF!</v>
      </c>
      <c r="Q502" s="83" t="str">
        <f t="shared" si="105"/>
        <v/>
      </c>
      <c r="R502" s="84" t="e">
        <f t="shared" si="93"/>
        <v>#REF!</v>
      </c>
      <c r="S502" s="83" t="e">
        <f t="shared" si="93"/>
        <v>#REF!</v>
      </c>
      <c r="T502" s="84" t="e">
        <f t="shared" si="94"/>
        <v>#REF!</v>
      </c>
      <c r="U502" s="84" t="e">
        <f t="shared" si="95"/>
        <v>#REF!</v>
      </c>
      <c r="V502" s="85" t="e">
        <f>#REF!</f>
        <v>#REF!</v>
      </c>
      <c r="W502" s="86">
        <f t="shared" si="96"/>
        <v>0</v>
      </c>
      <c r="X502" s="86">
        <f t="shared" si="96"/>
        <v>0</v>
      </c>
      <c r="Y502" s="87">
        <f t="shared" si="97"/>
        <v>0</v>
      </c>
      <c r="Z502" s="87">
        <f t="shared" si="98"/>
        <v>0</v>
      </c>
      <c r="AA502" s="87">
        <f t="shared" si="99"/>
        <v>4</v>
      </c>
    </row>
    <row r="503" spans="9:27">
      <c r="I503" s="81" t="e">
        <f>IF(#REF!&lt;&gt;"",#REF!,"")</f>
        <v>#REF!</v>
      </c>
      <c r="J503" s="81" t="e">
        <f t="shared" si="100"/>
        <v>#REF!</v>
      </c>
      <c r="L503" s="82" t="e">
        <f t="shared" si="101"/>
        <v>#REF!</v>
      </c>
      <c r="M503" s="81" t="e">
        <f t="shared" si="104"/>
        <v>#REF!</v>
      </c>
      <c r="N503" s="81" t="e">
        <f t="shared" si="102"/>
        <v>#REF!</v>
      </c>
      <c r="O503" s="81" t="e">
        <f t="shared" si="103"/>
        <v>#REF!</v>
      </c>
      <c r="Q503" s="83" t="str">
        <f t="shared" si="105"/>
        <v/>
      </c>
      <c r="R503" s="84" t="e">
        <f t="shared" si="93"/>
        <v>#REF!</v>
      </c>
      <c r="S503" s="83" t="e">
        <f t="shared" si="93"/>
        <v>#REF!</v>
      </c>
      <c r="T503" s="84" t="e">
        <f t="shared" si="94"/>
        <v>#REF!</v>
      </c>
      <c r="U503" s="84" t="e">
        <f t="shared" si="95"/>
        <v>#REF!</v>
      </c>
      <c r="V503" s="85" t="e">
        <f>#REF!</f>
        <v>#REF!</v>
      </c>
      <c r="W503" s="86">
        <f t="shared" si="96"/>
        <v>0</v>
      </c>
      <c r="X503" s="86">
        <f t="shared" si="96"/>
        <v>0</v>
      </c>
      <c r="Y503" s="87">
        <f t="shared" si="97"/>
        <v>0</v>
      </c>
      <c r="Z503" s="87">
        <f t="shared" si="98"/>
        <v>0</v>
      </c>
      <c r="AA503" s="87">
        <f t="shared" si="99"/>
        <v>4</v>
      </c>
    </row>
    <row r="504" spans="9:27">
      <c r="I504" s="81" t="e">
        <f>IF(#REF!&lt;&gt;"",#REF!,"")</f>
        <v>#REF!</v>
      </c>
      <c r="J504" s="81" t="e">
        <f t="shared" si="100"/>
        <v>#REF!</v>
      </c>
      <c r="L504" s="82" t="e">
        <f t="shared" si="101"/>
        <v>#REF!</v>
      </c>
      <c r="M504" s="81" t="e">
        <f t="shared" si="104"/>
        <v>#REF!</v>
      </c>
      <c r="N504" s="81" t="e">
        <f t="shared" si="102"/>
        <v>#REF!</v>
      </c>
      <c r="O504" s="81" t="e">
        <f t="shared" si="103"/>
        <v>#REF!</v>
      </c>
      <c r="Q504" s="83" t="str">
        <f t="shared" si="105"/>
        <v/>
      </c>
      <c r="R504" s="84" t="e">
        <f t="shared" si="93"/>
        <v>#REF!</v>
      </c>
      <c r="S504" s="83" t="e">
        <f t="shared" si="93"/>
        <v>#REF!</v>
      </c>
      <c r="T504" s="84" t="e">
        <f t="shared" si="94"/>
        <v>#REF!</v>
      </c>
      <c r="U504" s="84" t="e">
        <f t="shared" si="95"/>
        <v>#REF!</v>
      </c>
      <c r="V504" s="85" t="e">
        <f>#REF!</f>
        <v>#REF!</v>
      </c>
      <c r="W504" s="86">
        <f t="shared" si="96"/>
        <v>0</v>
      </c>
      <c r="X504" s="86">
        <f t="shared" si="96"/>
        <v>0</v>
      </c>
      <c r="Y504" s="87">
        <f t="shared" si="97"/>
        <v>0</v>
      </c>
      <c r="Z504" s="87">
        <f t="shared" si="98"/>
        <v>0</v>
      </c>
      <c r="AA504" s="87">
        <f t="shared" si="99"/>
        <v>4</v>
      </c>
    </row>
    <row r="505" spans="9:27">
      <c r="I505" s="81" t="e">
        <f>IF(#REF!&lt;&gt;"",#REF!,"")</f>
        <v>#REF!</v>
      </c>
      <c r="J505" s="81" t="e">
        <f t="shared" si="100"/>
        <v>#REF!</v>
      </c>
      <c r="L505" s="82" t="e">
        <f t="shared" si="101"/>
        <v>#REF!</v>
      </c>
      <c r="M505" s="81" t="e">
        <f t="shared" si="104"/>
        <v>#REF!</v>
      </c>
      <c r="N505" s="81" t="e">
        <f t="shared" si="102"/>
        <v>#REF!</v>
      </c>
      <c r="O505" s="81" t="e">
        <f t="shared" si="103"/>
        <v>#REF!</v>
      </c>
      <c r="Q505" s="83" t="str">
        <f t="shared" si="105"/>
        <v/>
      </c>
      <c r="R505" s="84" t="e">
        <f t="shared" si="93"/>
        <v>#REF!</v>
      </c>
      <c r="S505" s="83" t="e">
        <f t="shared" si="93"/>
        <v>#REF!</v>
      </c>
      <c r="T505" s="84" t="e">
        <f t="shared" si="94"/>
        <v>#REF!</v>
      </c>
      <c r="U505" s="84" t="e">
        <f t="shared" si="95"/>
        <v>#REF!</v>
      </c>
      <c r="V505" s="85" t="e">
        <f>#REF!</f>
        <v>#REF!</v>
      </c>
      <c r="W505" s="86">
        <f t="shared" si="96"/>
        <v>0</v>
      </c>
      <c r="X505" s="86">
        <f t="shared" si="96"/>
        <v>0</v>
      </c>
      <c r="Y505" s="87">
        <f t="shared" si="97"/>
        <v>0</v>
      </c>
      <c r="Z505" s="87">
        <f t="shared" si="98"/>
        <v>0</v>
      </c>
      <c r="AA505" s="87">
        <f t="shared" si="99"/>
        <v>4</v>
      </c>
    </row>
    <row r="506" spans="9:27">
      <c r="I506" s="81" t="e">
        <f>IF(#REF!&lt;&gt;"",#REF!,"")</f>
        <v>#REF!</v>
      </c>
      <c r="J506" s="81" t="e">
        <f t="shared" si="100"/>
        <v>#REF!</v>
      </c>
      <c r="L506" s="82" t="e">
        <f t="shared" si="101"/>
        <v>#REF!</v>
      </c>
      <c r="M506" s="81" t="e">
        <f t="shared" si="104"/>
        <v>#REF!</v>
      </c>
      <c r="N506" s="81" t="e">
        <f t="shared" si="102"/>
        <v>#REF!</v>
      </c>
      <c r="O506" s="81" t="e">
        <f t="shared" si="103"/>
        <v>#REF!</v>
      </c>
      <c r="Q506" s="83" t="str">
        <f t="shared" si="105"/>
        <v/>
      </c>
      <c r="R506" s="84" t="e">
        <f t="shared" si="93"/>
        <v>#REF!</v>
      </c>
      <c r="S506" s="83" t="e">
        <f t="shared" si="93"/>
        <v>#REF!</v>
      </c>
      <c r="T506" s="84" t="e">
        <f t="shared" si="94"/>
        <v>#REF!</v>
      </c>
      <c r="U506" s="84" t="e">
        <f t="shared" si="95"/>
        <v>#REF!</v>
      </c>
      <c r="V506" s="85" t="e">
        <f>#REF!</f>
        <v>#REF!</v>
      </c>
      <c r="W506" s="86">
        <f t="shared" si="96"/>
        <v>0</v>
      </c>
      <c r="X506" s="86">
        <f t="shared" si="96"/>
        <v>0</v>
      </c>
      <c r="Y506" s="87">
        <f t="shared" si="97"/>
        <v>0</v>
      </c>
      <c r="Z506" s="87">
        <f t="shared" si="98"/>
        <v>0</v>
      </c>
      <c r="AA506" s="87">
        <f t="shared" si="99"/>
        <v>4</v>
      </c>
    </row>
    <row r="507" spans="9:27">
      <c r="I507" s="81" t="e">
        <f>IF(#REF!&lt;&gt;"",#REF!,"")</f>
        <v>#REF!</v>
      </c>
      <c r="J507" s="81" t="e">
        <f t="shared" si="100"/>
        <v>#REF!</v>
      </c>
      <c r="L507" s="82" t="e">
        <f t="shared" si="101"/>
        <v>#REF!</v>
      </c>
      <c r="M507" s="81" t="e">
        <f t="shared" si="104"/>
        <v>#REF!</v>
      </c>
      <c r="N507" s="81" t="e">
        <f t="shared" si="102"/>
        <v>#REF!</v>
      </c>
      <c r="O507" s="81" t="e">
        <f t="shared" si="103"/>
        <v>#REF!</v>
      </c>
      <c r="Q507" s="83" t="str">
        <f t="shared" si="105"/>
        <v/>
      </c>
      <c r="R507" s="84" t="e">
        <f t="shared" si="93"/>
        <v>#REF!</v>
      </c>
      <c r="S507" s="83" t="e">
        <f t="shared" si="93"/>
        <v>#REF!</v>
      </c>
      <c r="T507" s="84" t="e">
        <f t="shared" si="94"/>
        <v>#REF!</v>
      </c>
      <c r="U507" s="84" t="e">
        <f t="shared" si="95"/>
        <v>#REF!</v>
      </c>
      <c r="V507" s="85" t="e">
        <f>#REF!</f>
        <v>#REF!</v>
      </c>
      <c r="W507" s="86">
        <f t="shared" si="96"/>
        <v>0</v>
      </c>
      <c r="X507" s="86">
        <f t="shared" si="96"/>
        <v>0</v>
      </c>
      <c r="Y507" s="87">
        <f t="shared" si="97"/>
        <v>0</v>
      </c>
      <c r="Z507" s="87">
        <f t="shared" si="98"/>
        <v>0</v>
      </c>
      <c r="AA507" s="87">
        <f t="shared" si="99"/>
        <v>4</v>
      </c>
    </row>
    <row r="508" spans="9:27">
      <c r="I508" s="81" t="e">
        <f>IF(#REF!&lt;&gt;"",#REF!,"")</f>
        <v>#REF!</v>
      </c>
      <c r="J508" s="81" t="e">
        <f t="shared" si="100"/>
        <v>#REF!</v>
      </c>
      <c r="L508" s="82" t="e">
        <f t="shared" si="101"/>
        <v>#REF!</v>
      </c>
      <c r="M508" s="81" t="e">
        <f t="shared" si="104"/>
        <v>#REF!</v>
      </c>
      <c r="N508" s="81" t="e">
        <f t="shared" si="102"/>
        <v>#REF!</v>
      </c>
      <c r="O508" s="81" t="e">
        <f t="shared" si="103"/>
        <v>#REF!</v>
      </c>
      <c r="Q508" s="83" t="str">
        <f t="shared" si="105"/>
        <v/>
      </c>
      <c r="R508" s="84" t="e">
        <f t="shared" si="93"/>
        <v>#REF!</v>
      </c>
      <c r="S508" s="83" t="e">
        <f t="shared" si="93"/>
        <v>#REF!</v>
      </c>
      <c r="T508" s="84" t="e">
        <f t="shared" si="94"/>
        <v>#REF!</v>
      </c>
      <c r="U508" s="84" t="e">
        <f t="shared" si="95"/>
        <v>#REF!</v>
      </c>
      <c r="V508" s="85" t="e">
        <f>#REF!</f>
        <v>#REF!</v>
      </c>
      <c r="W508" s="86">
        <f t="shared" si="96"/>
        <v>0</v>
      </c>
      <c r="X508" s="86">
        <f t="shared" si="96"/>
        <v>0</v>
      </c>
      <c r="Y508" s="87">
        <f t="shared" si="97"/>
        <v>0</v>
      </c>
      <c r="Z508" s="87">
        <f t="shared" si="98"/>
        <v>0</v>
      </c>
      <c r="AA508" s="87">
        <f t="shared" si="99"/>
        <v>4</v>
      </c>
    </row>
    <row r="509" spans="9:27">
      <c r="I509" s="81" t="e">
        <f>IF(#REF!&lt;&gt;"",#REF!,"")</f>
        <v>#REF!</v>
      </c>
      <c r="J509" s="81" t="e">
        <f t="shared" si="100"/>
        <v>#REF!</v>
      </c>
      <c r="L509" s="82" t="e">
        <f t="shared" si="101"/>
        <v>#REF!</v>
      </c>
      <c r="M509" s="81" t="e">
        <f t="shared" si="104"/>
        <v>#REF!</v>
      </c>
      <c r="N509" s="81" t="e">
        <f t="shared" si="102"/>
        <v>#REF!</v>
      </c>
      <c r="O509" s="81" t="e">
        <f t="shared" si="103"/>
        <v>#REF!</v>
      </c>
      <c r="Q509" s="83" t="str">
        <f t="shared" si="105"/>
        <v/>
      </c>
      <c r="R509" s="84" t="e">
        <f t="shared" si="93"/>
        <v>#REF!</v>
      </c>
      <c r="S509" s="83" t="e">
        <f t="shared" si="93"/>
        <v>#REF!</v>
      </c>
      <c r="T509" s="84" t="e">
        <f t="shared" si="94"/>
        <v>#REF!</v>
      </c>
      <c r="U509" s="84" t="e">
        <f t="shared" si="95"/>
        <v>#REF!</v>
      </c>
      <c r="V509" s="85" t="e">
        <f>#REF!</f>
        <v>#REF!</v>
      </c>
      <c r="W509" s="86">
        <f t="shared" si="96"/>
        <v>0</v>
      </c>
      <c r="X509" s="86">
        <f t="shared" si="96"/>
        <v>0</v>
      </c>
      <c r="Y509" s="87">
        <f t="shared" si="97"/>
        <v>0</v>
      </c>
      <c r="Z509" s="87">
        <f t="shared" si="98"/>
        <v>0</v>
      </c>
      <c r="AA509" s="87">
        <f t="shared" si="99"/>
        <v>4</v>
      </c>
    </row>
    <row r="510" spans="9:27">
      <c r="I510" s="81" t="e">
        <f>IF(#REF!&lt;&gt;"",#REF!,"")</f>
        <v>#REF!</v>
      </c>
      <c r="J510" s="81" t="e">
        <f t="shared" si="100"/>
        <v>#REF!</v>
      </c>
      <c r="L510" s="82" t="e">
        <f t="shared" si="101"/>
        <v>#REF!</v>
      </c>
      <c r="M510" s="81" t="e">
        <f t="shared" si="104"/>
        <v>#REF!</v>
      </c>
      <c r="N510" s="81" t="e">
        <f t="shared" si="102"/>
        <v>#REF!</v>
      </c>
      <c r="O510" s="81" t="e">
        <f t="shared" si="103"/>
        <v>#REF!</v>
      </c>
      <c r="Q510" s="83" t="str">
        <f t="shared" si="105"/>
        <v/>
      </c>
      <c r="R510" s="84" t="e">
        <f t="shared" si="93"/>
        <v>#REF!</v>
      </c>
      <c r="S510" s="83" t="e">
        <f t="shared" si="93"/>
        <v>#REF!</v>
      </c>
      <c r="T510" s="84" t="e">
        <f t="shared" si="94"/>
        <v>#REF!</v>
      </c>
      <c r="U510" s="84" t="e">
        <f t="shared" si="95"/>
        <v>#REF!</v>
      </c>
      <c r="V510" s="85" t="e">
        <f>#REF!</f>
        <v>#REF!</v>
      </c>
      <c r="W510" s="86">
        <f t="shared" si="96"/>
        <v>0</v>
      </c>
      <c r="X510" s="86">
        <f t="shared" si="96"/>
        <v>0</v>
      </c>
      <c r="Y510" s="87">
        <f t="shared" si="97"/>
        <v>0</v>
      </c>
      <c r="Z510" s="87">
        <f t="shared" si="98"/>
        <v>0</v>
      </c>
      <c r="AA510" s="87">
        <f t="shared" si="99"/>
        <v>4</v>
      </c>
    </row>
    <row r="511" spans="9:27">
      <c r="I511" s="81" t="e">
        <f>IF(#REF!&lt;&gt;"",#REF!,"")</f>
        <v>#REF!</v>
      </c>
      <c r="J511" s="81" t="e">
        <f t="shared" si="100"/>
        <v>#REF!</v>
      </c>
      <c r="L511" s="82" t="e">
        <f t="shared" si="101"/>
        <v>#REF!</v>
      </c>
      <c r="M511" s="81" t="e">
        <f t="shared" si="104"/>
        <v>#REF!</v>
      </c>
      <c r="N511" s="81" t="e">
        <f t="shared" si="102"/>
        <v>#REF!</v>
      </c>
      <c r="O511" s="81" t="e">
        <f t="shared" si="103"/>
        <v>#REF!</v>
      </c>
      <c r="Q511" s="83" t="str">
        <f t="shared" si="105"/>
        <v/>
      </c>
      <c r="R511" s="84" t="e">
        <f t="shared" si="93"/>
        <v>#REF!</v>
      </c>
      <c r="S511" s="83" t="e">
        <f t="shared" si="93"/>
        <v>#REF!</v>
      </c>
      <c r="T511" s="84" t="e">
        <f t="shared" si="94"/>
        <v>#REF!</v>
      </c>
      <c r="U511" s="84" t="e">
        <f t="shared" si="95"/>
        <v>#REF!</v>
      </c>
      <c r="V511" s="85" t="e">
        <f>#REF!</f>
        <v>#REF!</v>
      </c>
      <c r="W511" s="86">
        <f t="shared" si="96"/>
        <v>0</v>
      </c>
      <c r="X511" s="86">
        <f t="shared" si="96"/>
        <v>0</v>
      </c>
      <c r="Y511" s="87">
        <f t="shared" si="97"/>
        <v>0</v>
      </c>
      <c r="Z511" s="87">
        <f t="shared" si="98"/>
        <v>0</v>
      </c>
      <c r="AA511" s="87">
        <f t="shared" si="99"/>
        <v>4</v>
      </c>
    </row>
    <row r="512" spans="9:27">
      <c r="I512" s="81" t="e">
        <f>IF(#REF!&lt;&gt;"",#REF!,"")</f>
        <v>#REF!</v>
      </c>
      <c r="J512" s="81" t="e">
        <f t="shared" si="100"/>
        <v>#REF!</v>
      </c>
      <c r="L512" s="82" t="e">
        <f t="shared" si="101"/>
        <v>#REF!</v>
      </c>
      <c r="M512" s="81" t="e">
        <f t="shared" si="104"/>
        <v>#REF!</v>
      </c>
      <c r="N512" s="81" t="e">
        <f t="shared" si="102"/>
        <v>#REF!</v>
      </c>
      <c r="O512" s="81" t="e">
        <f t="shared" si="103"/>
        <v>#REF!</v>
      </c>
      <c r="Q512" s="83" t="str">
        <f t="shared" si="105"/>
        <v/>
      </c>
      <c r="R512" s="84" t="e">
        <f t="shared" ref="R512:S575" si="106">IF(L512="","",L512)</f>
        <v>#REF!</v>
      </c>
      <c r="S512" s="83" t="e">
        <f t="shared" si="106"/>
        <v>#REF!</v>
      </c>
      <c r="T512" s="84" t="e">
        <f t="shared" ref="T512:T575" si="107">IF(W512=1,"",N512)</f>
        <v>#REF!</v>
      </c>
      <c r="U512" s="84" t="e">
        <f t="shared" ref="U512:U575" si="108">IF(OR(W512=1,X512=1),"",O512)</f>
        <v>#REF!</v>
      </c>
      <c r="V512" s="85" t="e">
        <f>#REF!</f>
        <v>#REF!</v>
      </c>
      <c r="W512" s="86">
        <f t="shared" si="96"/>
        <v>0</v>
      </c>
      <c r="X512" s="86">
        <f t="shared" si="96"/>
        <v>0</v>
      </c>
      <c r="Y512" s="87">
        <f t="shared" si="97"/>
        <v>0</v>
      </c>
      <c r="Z512" s="87">
        <f t="shared" si="98"/>
        <v>0</v>
      </c>
      <c r="AA512" s="87">
        <f t="shared" si="99"/>
        <v>4</v>
      </c>
    </row>
    <row r="513" spans="9:27">
      <c r="I513" s="81" t="e">
        <f>IF(#REF!&lt;&gt;"",#REF!,"")</f>
        <v>#REF!</v>
      </c>
      <c r="J513" s="81" t="e">
        <f t="shared" si="100"/>
        <v>#REF!</v>
      </c>
      <c r="L513" s="82" t="e">
        <f t="shared" si="101"/>
        <v>#REF!</v>
      </c>
      <c r="M513" s="81" t="e">
        <f t="shared" si="104"/>
        <v>#REF!</v>
      </c>
      <c r="N513" s="81" t="e">
        <f t="shared" si="102"/>
        <v>#REF!</v>
      </c>
      <c r="O513" s="81" t="e">
        <f t="shared" si="103"/>
        <v>#REF!</v>
      </c>
      <c r="Q513" s="83" t="str">
        <f t="shared" si="105"/>
        <v/>
      </c>
      <c r="R513" s="84" t="e">
        <f t="shared" si="106"/>
        <v>#REF!</v>
      </c>
      <c r="S513" s="83" t="e">
        <f t="shared" si="106"/>
        <v>#REF!</v>
      </c>
      <c r="T513" s="84" t="e">
        <f t="shared" si="107"/>
        <v>#REF!</v>
      </c>
      <c r="U513" s="84" t="e">
        <f t="shared" si="108"/>
        <v>#REF!</v>
      </c>
      <c r="V513" s="85" t="e">
        <f>#REF!</f>
        <v>#REF!</v>
      </c>
      <c r="W513" s="86">
        <f t="shared" ref="W513:X576" si="109">COUNTIFS(R513,"&gt;&lt;")</f>
        <v>0</v>
      </c>
      <c r="X513" s="86">
        <f t="shared" si="109"/>
        <v>0</v>
      </c>
      <c r="Y513" s="87">
        <f t="shared" ref="Y513:Y576" si="110">COUNTIFS(R513:U513,"*")</f>
        <v>0</v>
      </c>
      <c r="Z513" s="87">
        <f t="shared" ref="Z513:Z576" si="111">COUNTIFS(R513:U513,"&gt;&lt;")</f>
        <v>0</v>
      </c>
      <c r="AA513" s="87">
        <f t="shared" ref="AA513:AA576" si="112">COUNTIFS(R513:U513,"&lt;&gt;")</f>
        <v>4</v>
      </c>
    </row>
    <row r="514" spans="9:27">
      <c r="I514" s="81" t="e">
        <f>IF(#REF!&lt;&gt;"",#REF!,"")</f>
        <v>#REF!</v>
      </c>
      <c r="J514" s="81" t="e">
        <f t="shared" si="100"/>
        <v>#REF!</v>
      </c>
      <c r="L514" s="82" t="e">
        <f t="shared" si="101"/>
        <v>#REF!</v>
      </c>
      <c r="M514" s="81" t="e">
        <f t="shared" si="104"/>
        <v>#REF!</v>
      </c>
      <c r="N514" s="81" t="e">
        <f t="shared" si="102"/>
        <v>#REF!</v>
      </c>
      <c r="O514" s="81" t="e">
        <f t="shared" si="103"/>
        <v>#REF!</v>
      </c>
      <c r="Q514" s="83" t="str">
        <f t="shared" si="105"/>
        <v/>
      </c>
      <c r="R514" s="84" t="e">
        <f t="shared" si="106"/>
        <v>#REF!</v>
      </c>
      <c r="S514" s="83" t="e">
        <f t="shared" si="106"/>
        <v>#REF!</v>
      </c>
      <c r="T514" s="84" t="e">
        <f t="shared" si="107"/>
        <v>#REF!</v>
      </c>
      <c r="U514" s="84" t="e">
        <f t="shared" si="108"/>
        <v>#REF!</v>
      </c>
      <c r="V514" s="85" t="e">
        <f>#REF!</f>
        <v>#REF!</v>
      </c>
      <c r="W514" s="86">
        <f t="shared" si="109"/>
        <v>0</v>
      </c>
      <c r="X514" s="86">
        <f t="shared" si="109"/>
        <v>0</v>
      </c>
      <c r="Y514" s="87">
        <f t="shared" si="110"/>
        <v>0</v>
      </c>
      <c r="Z514" s="87">
        <f t="shared" si="111"/>
        <v>0</v>
      </c>
      <c r="AA514" s="87">
        <f t="shared" si="112"/>
        <v>4</v>
      </c>
    </row>
    <row r="515" spans="9:27">
      <c r="I515" s="81" t="e">
        <f>IF(#REF!&lt;&gt;"",#REF!,"")</f>
        <v>#REF!</v>
      </c>
      <c r="J515" s="81" t="e">
        <f t="shared" ref="J515:J578" si="113">LEFT(I515,1)</f>
        <v>#REF!</v>
      </c>
      <c r="L515" s="82" t="e">
        <f t="shared" ref="L515:L578" si="114">IF(OR(J515="E",J515="L",J515="M"),"",I515)</f>
        <v>#REF!</v>
      </c>
      <c r="M515" s="81" t="e">
        <f t="shared" si="104"/>
        <v>#REF!</v>
      </c>
      <c r="N515" s="81" t="e">
        <f t="shared" ref="N515:N578" si="115">IF(OR(J515="D",J515="E",J515="L"),"",I515)</f>
        <v>#REF!</v>
      </c>
      <c r="O515" s="81" t="e">
        <f t="shared" ref="O515:O578" si="116">IF(OR(J515="D",J515="E",J515="M"),"",I515)</f>
        <v>#REF!</v>
      </c>
      <c r="Q515" s="83" t="str">
        <f t="shared" si="105"/>
        <v/>
      </c>
      <c r="R515" s="84" t="e">
        <f t="shared" si="106"/>
        <v>#REF!</v>
      </c>
      <c r="S515" s="83" t="e">
        <f t="shared" si="106"/>
        <v>#REF!</v>
      </c>
      <c r="T515" s="84" t="e">
        <f t="shared" si="107"/>
        <v>#REF!</v>
      </c>
      <c r="U515" s="84" t="e">
        <f t="shared" si="108"/>
        <v>#REF!</v>
      </c>
      <c r="V515" s="85" t="e">
        <f>#REF!</f>
        <v>#REF!</v>
      </c>
      <c r="W515" s="86">
        <f t="shared" si="109"/>
        <v>0</v>
      </c>
      <c r="X515" s="86">
        <f t="shared" si="109"/>
        <v>0</v>
      </c>
      <c r="Y515" s="87">
        <f t="shared" si="110"/>
        <v>0</v>
      </c>
      <c r="Z515" s="87">
        <f t="shared" si="111"/>
        <v>0</v>
      </c>
      <c r="AA515" s="87">
        <f t="shared" si="112"/>
        <v>4</v>
      </c>
    </row>
    <row r="516" spans="9:27">
      <c r="I516" s="81" t="e">
        <f>IF(#REF!&lt;&gt;"",#REF!,"")</f>
        <v>#REF!</v>
      </c>
      <c r="J516" s="81" t="e">
        <f t="shared" si="113"/>
        <v>#REF!</v>
      </c>
      <c r="L516" s="82" t="e">
        <f t="shared" si="114"/>
        <v>#REF!</v>
      </c>
      <c r="M516" s="81" t="e">
        <f t="shared" si="104"/>
        <v>#REF!</v>
      </c>
      <c r="N516" s="81" t="e">
        <f t="shared" si="115"/>
        <v>#REF!</v>
      </c>
      <c r="O516" s="81" t="e">
        <f t="shared" si="116"/>
        <v>#REF!</v>
      </c>
      <c r="Q516" s="83" t="str">
        <f t="shared" si="105"/>
        <v/>
      </c>
      <c r="R516" s="84" t="e">
        <f t="shared" si="106"/>
        <v>#REF!</v>
      </c>
      <c r="S516" s="83" t="e">
        <f t="shared" si="106"/>
        <v>#REF!</v>
      </c>
      <c r="T516" s="84" t="e">
        <f t="shared" si="107"/>
        <v>#REF!</v>
      </c>
      <c r="U516" s="84" t="e">
        <f t="shared" si="108"/>
        <v>#REF!</v>
      </c>
      <c r="V516" s="85" t="e">
        <f>#REF!</f>
        <v>#REF!</v>
      </c>
      <c r="W516" s="86">
        <f t="shared" si="109"/>
        <v>0</v>
      </c>
      <c r="X516" s="86">
        <f t="shared" si="109"/>
        <v>0</v>
      </c>
      <c r="Y516" s="87">
        <f t="shared" si="110"/>
        <v>0</v>
      </c>
      <c r="Z516" s="87">
        <f t="shared" si="111"/>
        <v>0</v>
      </c>
      <c r="AA516" s="87">
        <f t="shared" si="112"/>
        <v>4</v>
      </c>
    </row>
    <row r="517" spans="9:27">
      <c r="I517" s="81" t="e">
        <f>IF(#REF!&lt;&gt;"",#REF!,"")</f>
        <v>#REF!</v>
      </c>
      <c r="J517" s="81" t="e">
        <f t="shared" si="113"/>
        <v>#REF!</v>
      </c>
      <c r="L517" s="82" t="e">
        <f t="shared" si="114"/>
        <v>#REF!</v>
      </c>
      <c r="M517" s="81" t="e">
        <f t="shared" si="104"/>
        <v>#REF!</v>
      </c>
      <c r="N517" s="81" t="e">
        <f t="shared" si="115"/>
        <v>#REF!</v>
      </c>
      <c r="O517" s="81" t="e">
        <f t="shared" si="116"/>
        <v>#REF!</v>
      </c>
      <c r="Q517" s="83" t="str">
        <f t="shared" si="105"/>
        <v/>
      </c>
      <c r="R517" s="84" t="e">
        <f t="shared" si="106"/>
        <v>#REF!</v>
      </c>
      <c r="S517" s="83" t="e">
        <f t="shared" si="106"/>
        <v>#REF!</v>
      </c>
      <c r="T517" s="84" t="e">
        <f t="shared" si="107"/>
        <v>#REF!</v>
      </c>
      <c r="U517" s="84" t="e">
        <f t="shared" si="108"/>
        <v>#REF!</v>
      </c>
      <c r="V517" s="85" t="e">
        <f>#REF!</f>
        <v>#REF!</v>
      </c>
      <c r="W517" s="86">
        <f t="shared" si="109"/>
        <v>0</v>
      </c>
      <c r="X517" s="86">
        <f t="shared" si="109"/>
        <v>0</v>
      </c>
      <c r="Y517" s="87">
        <f t="shared" si="110"/>
        <v>0</v>
      </c>
      <c r="Z517" s="87">
        <f t="shared" si="111"/>
        <v>0</v>
      </c>
      <c r="AA517" s="87">
        <f t="shared" si="112"/>
        <v>4</v>
      </c>
    </row>
    <row r="518" spans="9:27">
      <c r="I518" s="81" t="e">
        <f>IF(#REF!&lt;&gt;"",#REF!,"")</f>
        <v>#REF!</v>
      </c>
      <c r="J518" s="81" t="e">
        <f t="shared" si="113"/>
        <v>#REF!</v>
      </c>
      <c r="L518" s="82" t="e">
        <f t="shared" si="114"/>
        <v>#REF!</v>
      </c>
      <c r="M518" s="81" t="e">
        <f t="shared" ref="M518:M581" si="117">IF(OR(J518="D",J518="L",J518="M"),"",I518)</f>
        <v>#REF!</v>
      </c>
      <c r="N518" s="81" t="e">
        <f t="shared" si="115"/>
        <v>#REF!</v>
      </c>
      <c r="O518" s="81" t="e">
        <f t="shared" si="116"/>
        <v>#REF!</v>
      </c>
      <c r="Q518" s="83" t="str">
        <f t="shared" si="105"/>
        <v/>
      </c>
      <c r="R518" s="84" t="e">
        <f t="shared" si="106"/>
        <v>#REF!</v>
      </c>
      <c r="S518" s="83" t="e">
        <f t="shared" si="106"/>
        <v>#REF!</v>
      </c>
      <c r="T518" s="84" t="e">
        <f t="shared" si="107"/>
        <v>#REF!</v>
      </c>
      <c r="U518" s="84" t="e">
        <f t="shared" si="108"/>
        <v>#REF!</v>
      </c>
      <c r="V518" s="85" t="e">
        <f>#REF!</f>
        <v>#REF!</v>
      </c>
      <c r="W518" s="86">
        <f t="shared" si="109"/>
        <v>0</v>
      </c>
      <c r="X518" s="86">
        <f t="shared" si="109"/>
        <v>0</v>
      </c>
      <c r="Y518" s="87">
        <f t="shared" si="110"/>
        <v>0</v>
      </c>
      <c r="Z518" s="87">
        <f t="shared" si="111"/>
        <v>0</v>
      </c>
      <c r="AA518" s="87">
        <f t="shared" si="112"/>
        <v>4</v>
      </c>
    </row>
    <row r="519" spans="9:27">
      <c r="I519" s="81" t="e">
        <f>IF(#REF!&lt;&gt;"",#REF!,"")</f>
        <v>#REF!</v>
      </c>
      <c r="J519" s="81" t="e">
        <f t="shared" si="113"/>
        <v>#REF!</v>
      </c>
      <c r="L519" s="82" t="e">
        <f t="shared" si="114"/>
        <v>#REF!</v>
      </c>
      <c r="M519" s="81" t="e">
        <f t="shared" si="117"/>
        <v>#REF!</v>
      </c>
      <c r="N519" s="81" t="e">
        <f t="shared" si="115"/>
        <v>#REF!</v>
      </c>
      <c r="O519" s="81" t="e">
        <f t="shared" si="116"/>
        <v>#REF!</v>
      </c>
      <c r="Q519" s="83" t="str">
        <f t="shared" si="105"/>
        <v/>
      </c>
      <c r="R519" s="84" t="e">
        <f t="shared" si="106"/>
        <v>#REF!</v>
      </c>
      <c r="S519" s="83" t="e">
        <f t="shared" si="106"/>
        <v>#REF!</v>
      </c>
      <c r="T519" s="84" t="e">
        <f t="shared" si="107"/>
        <v>#REF!</v>
      </c>
      <c r="U519" s="84" t="e">
        <f t="shared" si="108"/>
        <v>#REF!</v>
      </c>
      <c r="V519" s="85" t="e">
        <f>#REF!</f>
        <v>#REF!</v>
      </c>
      <c r="W519" s="86">
        <f t="shared" si="109"/>
        <v>0</v>
      </c>
      <c r="X519" s="86">
        <f t="shared" si="109"/>
        <v>0</v>
      </c>
      <c r="Y519" s="87">
        <f t="shared" si="110"/>
        <v>0</v>
      </c>
      <c r="Z519" s="87">
        <f t="shared" si="111"/>
        <v>0</v>
      </c>
      <c r="AA519" s="87">
        <f t="shared" si="112"/>
        <v>4</v>
      </c>
    </row>
    <row r="520" spans="9:27">
      <c r="I520" s="81" t="e">
        <f>IF(#REF!&lt;&gt;"",#REF!,"")</f>
        <v>#REF!</v>
      </c>
      <c r="J520" s="81" t="e">
        <f t="shared" si="113"/>
        <v>#REF!</v>
      </c>
      <c r="L520" s="82" t="e">
        <f t="shared" si="114"/>
        <v>#REF!</v>
      </c>
      <c r="M520" s="81" t="e">
        <f t="shared" si="117"/>
        <v>#REF!</v>
      </c>
      <c r="N520" s="81" t="e">
        <f t="shared" si="115"/>
        <v>#REF!</v>
      </c>
      <c r="O520" s="81" t="e">
        <f t="shared" si="116"/>
        <v>#REF!</v>
      </c>
      <c r="Q520" s="83" t="str">
        <f t="shared" si="105"/>
        <v/>
      </c>
      <c r="R520" s="84" t="e">
        <f t="shared" si="106"/>
        <v>#REF!</v>
      </c>
      <c r="S520" s="83" t="e">
        <f t="shared" si="106"/>
        <v>#REF!</v>
      </c>
      <c r="T520" s="84" t="e">
        <f t="shared" si="107"/>
        <v>#REF!</v>
      </c>
      <c r="U520" s="84" t="e">
        <f t="shared" si="108"/>
        <v>#REF!</v>
      </c>
      <c r="V520" s="85" t="e">
        <f>#REF!</f>
        <v>#REF!</v>
      </c>
      <c r="W520" s="86">
        <f t="shared" si="109"/>
        <v>0</v>
      </c>
      <c r="X520" s="86">
        <f t="shared" si="109"/>
        <v>0</v>
      </c>
      <c r="Y520" s="87">
        <f t="shared" si="110"/>
        <v>0</v>
      </c>
      <c r="Z520" s="87">
        <f t="shared" si="111"/>
        <v>0</v>
      </c>
      <c r="AA520" s="87">
        <f t="shared" si="112"/>
        <v>4</v>
      </c>
    </row>
    <row r="521" spans="9:27">
      <c r="I521" s="81" t="e">
        <f>IF(#REF!&lt;&gt;"",#REF!,"")</f>
        <v>#REF!</v>
      </c>
      <c r="J521" s="81" t="e">
        <f t="shared" si="113"/>
        <v>#REF!</v>
      </c>
      <c r="L521" s="82" t="e">
        <f t="shared" si="114"/>
        <v>#REF!</v>
      </c>
      <c r="M521" s="81" t="e">
        <f t="shared" si="117"/>
        <v>#REF!</v>
      </c>
      <c r="N521" s="81" t="e">
        <f t="shared" si="115"/>
        <v>#REF!</v>
      </c>
      <c r="O521" s="81" t="e">
        <f t="shared" si="116"/>
        <v>#REF!</v>
      </c>
      <c r="Q521" s="83" t="str">
        <f t="shared" si="105"/>
        <v/>
      </c>
      <c r="R521" s="84" t="e">
        <f t="shared" si="106"/>
        <v>#REF!</v>
      </c>
      <c r="S521" s="83" t="e">
        <f t="shared" si="106"/>
        <v>#REF!</v>
      </c>
      <c r="T521" s="84" t="e">
        <f t="shared" si="107"/>
        <v>#REF!</v>
      </c>
      <c r="U521" s="84" t="e">
        <f t="shared" si="108"/>
        <v>#REF!</v>
      </c>
      <c r="V521" s="85" t="e">
        <f>#REF!</f>
        <v>#REF!</v>
      </c>
      <c r="W521" s="86">
        <f t="shared" si="109"/>
        <v>0</v>
      </c>
      <c r="X521" s="86">
        <f t="shared" si="109"/>
        <v>0</v>
      </c>
      <c r="Y521" s="87">
        <f t="shared" si="110"/>
        <v>0</v>
      </c>
      <c r="Z521" s="87">
        <f t="shared" si="111"/>
        <v>0</v>
      </c>
      <c r="AA521" s="87">
        <f t="shared" si="112"/>
        <v>4</v>
      </c>
    </row>
    <row r="522" spans="9:27">
      <c r="I522" s="81" t="e">
        <f>IF(#REF!&lt;&gt;"",#REF!,"")</f>
        <v>#REF!</v>
      </c>
      <c r="J522" s="81" t="e">
        <f t="shared" si="113"/>
        <v>#REF!</v>
      </c>
      <c r="L522" s="82" t="e">
        <f t="shared" si="114"/>
        <v>#REF!</v>
      </c>
      <c r="M522" s="81" t="e">
        <f t="shared" si="117"/>
        <v>#REF!</v>
      </c>
      <c r="N522" s="81" t="e">
        <f t="shared" si="115"/>
        <v>#REF!</v>
      </c>
      <c r="O522" s="81" t="e">
        <f t="shared" si="116"/>
        <v>#REF!</v>
      </c>
      <c r="Q522" s="83" t="str">
        <f t="shared" si="105"/>
        <v/>
      </c>
      <c r="R522" s="84" t="e">
        <f t="shared" si="106"/>
        <v>#REF!</v>
      </c>
      <c r="S522" s="83" t="e">
        <f t="shared" si="106"/>
        <v>#REF!</v>
      </c>
      <c r="T522" s="84" t="e">
        <f t="shared" si="107"/>
        <v>#REF!</v>
      </c>
      <c r="U522" s="84" t="e">
        <f t="shared" si="108"/>
        <v>#REF!</v>
      </c>
      <c r="V522" s="85" t="e">
        <f>#REF!</f>
        <v>#REF!</v>
      </c>
      <c r="W522" s="86">
        <f t="shared" si="109"/>
        <v>0</v>
      </c>
      <c r="X522" s="86">
        <f t="shared" si="109"/>
        <v>0</v>
      </c>
      <c r="Y522" s="87">
        <f t="shared" si="110"/>
        <v>0</v>
      </c>
      <c r="Z522" s="87">
        <f t="shared" si="111"/>
        <v>0</v>
      </c>
      <c r="AA522" s="87">
        <f t="shared" si="112"/>
        <v>4</v>
      </c>
    </row>
    <row r="523" spans="9:27">
      <c r="I523" s="81" t="e">
        <f>IF(#REF!&lt;&gt;"",#REF!,"")</f>
        <v>#REF!</v>
      </c>
      <c r="J523" s="81" t="e">
        <f t="shared" si="113"/>
        <v>#REF!</v>
      </c>
      <c r="L523" s="82" t="e">
        <f t="shared" si="114"/>
        <v>#REF!</v>
      </c>
      <c r="M523" s="81" t="e">
        <f t="shared" si="117"/>
        <v>#REF!</v>
      </c>
      <c r="N523" s="81" t="e">
        <f t="shared" si="115"/>
        <v>#REF!</v>
      </c>
      <c r="O523" s="81" t="e">
        <f t="shared" si="116"/>
        <v>#REF!</v>
      </c>
      <c r="Q523" s="83" t="str">
        <f t="shared" si="105"/>
        <v/>
      </c>
      <c r="R523" s="84" t="e">
        <f t="shared" si="106"/>
        <v>#REF!</v>
      </c>
      <c r="S523" s="83" t="e">
        <f t="shared" si="106"/>
        <v>#REF!</v>
      </c>
      <c r="T523" s="84" t="e">
        <f t="shared" si="107"/>
        <v>#REF!</v>
      </c>
      <c r="U523" s="84" t="e">
        <f t="shared" si="108"/>
        <v>#REF!</v>
      </c>
      <c r="V523" s="85" t="e">
        <f>#REF!</f>
        <v>#REF!</v>
      </c>
      <c r="W523" s="86">
        <f t="shared" si="109"/>
        <v>0</v>
      </c>
      <c r="X523" s="86">
        <f t="shared" si="109"/>
        <v>0</v>
      </c>
      <c r="Y523" s="87">
        <f t="shared" si="110"/>
        <v>0</v>
      </c>
      <c r="Z523" s="87">
        <f t="shared" si="111"/>
        <v>0</v>
      </c>
      <c r="AA523" s="87">
        <f t="shared" si="112"/>
        <v>4</v>
      </c>
    </row>
    <row r="524" spans="9:27">
      <c r="I524" s="81" t="e">
        <f>IF(#REF!&lt;&gt;"",#REF!,"")</f>
        <v>#REF!</v>
      </c>
      <c r="J524" s="81" t="e">
        <f t="shared" si="113"/>
        <v>#REF!</v>
      </c>
      <c r="L524" s="82" t="e">
        <f t="shared" si="114"/>
        <v>#REF!</v>
      </c>
      <c r="M524" s="81" t="e">
        <f t="shared" si="117"/>
        <v>#REF!</v>
      </c>
      <c r="N524" s="81" t="e">
        <f t="shared" si="115"/>
        <v>#REF!</v>
      </c>
      <c r="O524" s="81" t="e">
        <f t="shared" si="116"/>
        <v>#REF!</v>
      </c>
      <c r="Q524" s="83" t="str">
        <f t="shared" si="105"/>
        <v/>
      </c>
      <c r="R524" s="84" t="e">
        <f t="shared" si="106"/>
        <v>#REF!</v>
      </c>
      <c r="S524" s="83" t="e">
        <f t="shared" si="106"/>
        <v>#REF!</v>
      </c>
      <c r="T524" s="84" t="e">
        <f t="shared" si="107"/>
        <v>#REF!</v>
      </c>
      <c r="U524" s="84" t="e">
        <f t="shared" si="108"/>
        <v>#REF!</v>
      </c>
      <c r="V524" s="85" t="e">
        <f>#REF!</f>
        <v>#REF!</v>
      </c>
      <c r="W524" s="86">
        <f t="shared" si="109"/>
        <v>0</v>
      </c>
      <c r="X524" s="86">
        <f t="shared" si="109"/>
        <v>0</v>
      </c>
      <c r="Y524" s="87">
        <f t="shared" si="110"/>
        <v>0</v>
      </c>
      <c r="Z524" s="87">
        <f t="shared" si="111"/>
        <v>0</v>
      </c>
      <c r="AA524" s="87">
        <f t="shared" si="112"/>
        <v>4</v>
      </c>
    </row>
    <row r="525" spans="9:27">
      <c r="I525" s="81" t="e">
        <f>IF(#REF!&lt;&gt;"",#REF!,"")</f>
        <v>#REF!</v>
      </c>
      <c r="J525" s="81" t="e">
        <f t="shared" si="113"/>
        <v>#REF!</v>
      </c>
      <c r="L525" s="82" t="e">
        <f t="shared" si="114"/>
        <v>#REF!</v>
      </c>
      <c r="M525" s="81" t="e">
        <f t="shared" si="117"/>
        <v>#REF!</v>
      </c>
      <c r="N525" s="81" t="e">
        <f t="shared" si="115"/>
        <v>#REF!</v>
      </c>
      <c r="O525" s="81" t="e">
        <f t="shared" si="116"/>
        <v>#REF!</v>
      </c>
      <c r="Q525" s="83" t="str">
        <f t="shared" si="105"/>
        <v/>
      </c>
      <c r="R525" s="84" t="e">
        <f t="shared" si="106"/>
        <v>#REF!</v>
      </c>
      <c r="S525" s="83" t="e">
        <f t="shared" si="106"/>
        <v>#REF!</v>
      </c>
      <c r="T525" s="84" t="e">
        <f t="shared" si="107"/>
        <v>#REF!</v>
      </c>
      <c r="U525" s="84" t="e">
        <f t="shared" si="108"/>
        <v>#REF!</v>
      </c>
      <c r="V525" s="85" t="e">
        <f>#REF!</f>
        <v>#REF!</v>
      </c>
      <c r="W525" s="86">
        <f t="shared" si="109"/>
        <v>0</v>
      </c>
      <c r="X525" s="86">
        <f t="shared" si="109"/>
        <v>0</v>
      </c>
      <c r="Y525" s="87">
        <f t="shared" si="110"/>
        <v>0</v>
      </c>
      <c r="Z525" s="87">
        <f t="shared" si="111"/>
        <v>0</v>
      </c>
      <c r="AA525" s="87">
        <f t="shared" si="112"/>
        <v>4</v>
      </c>
    </row>
    <row r="526" spans="9:27">
      <c r="I526" s="81" t="e">
        <f>IF(#REF!&lt;&gt;"",#REF!,"")</f>
        <v>#REF!</v>
      </c>
      <c r="J526" s="81" t="e">
        <f t="shared" si="113"/>
        <v>#REF!</v>
      </c>
      <c r="L526" s="82" t="e">
        <f t="shared" si="114"/>
        <v>#REF!</v>
      </c>
      <c r="M526" s="81" t="e">
        <f t="shared" si="117"/>
        <v>#REF!</v>
      </c>
      <c r="N526" s="81" t="e">
        <f t="shared" si="115"/>
        <v>#REF!</v>
      </c>
      <c r="O526" s="81" t="e">
        <f t="shared" si="116"/>
        <v>#REF!</v>
      </c>
      <c r="Q526" s="83" t="str">
        <f t="shared" si="105"/>
        <v/>
      </c>
      <c r="R526" s="84" t="e">
        <f t="shared" si="106"/>
        <v>#REF!</v>
      </c>
      <c r="S526" s="83" t="e">
        <f t="shared" si="106"/>
        <v>#REF!</v>
      </c>
      <c r="T526" s="84" t="e">
        <f t="shared" si="107"/>
        <v>#REF!</v>
      </c>
      <c r="U526" s="84" t="e">
        <f t="shared" si="108"/>
        <v>#REF!</v>
      </c>
      <c r="V526" s="85" t="e">
        <f>#REF!</f>
        <v>#REF!</v>
      </c>
      <c r="W526" s="86">
        <f t="shared" si="109"/>
        <v>0</v>
      </c>
      <c r="X526" s="86">
        <f t="shared" si="109"/>
        <v>0</v>
      </c>
      <c r="Y526" s="87">
        <f t="shared" si="110"/>
        <v>0</v>
      </c>
      <c r="Z526" s="87">
        <f t="shared" si="111"/>
        <v>0</v>
      </c>
      <c r="AA526" s="87">
        <f t="shared" si="112"/>
        <v>4</v>
      </c>
    </row>
    <row r="527" spans="9:27">
      <c r="I527" s="81" t="e">
        <f>IF(#REF!&lt;&gt;"",#REF!,"")</f>
        <v>#REF!</v>
      </c>
      <c r="J527" s="81" t="e">
        <f t="shared" si="113"/>
        <v>#REF!</v>
      </c>
      <c r="L527" s="82" t="e">
        <f t="shared" si="114"/>
        <v>#REF!</v>
      </c>
      <c r="M527" s="81" t="e">
        <f t="shared" si="117"/>
        <v>#REF!</v>
      </c>
      <c r="N527" s="81" t="e">
        <f t="shared" si="115"/>
        <v>#REF!</v>
      </c>
      <c r="O527" s="81" t="e">
        <f t="shared" si="116"/>
        <v>#REF!</v>
      </c>
      <c r="Q527" s="83" t="str">
        <f t="shared" si="105"/>
        <v/>
      </c>
      <c r="R527" s="84" t="e">
        <f t="shared" si="106"/>
        <v>#REF!</v>
      </c>
      <c r="S527" s="83" t="e">
        <f t="shared" si="106"/>
        <v>#REF!</v>
      </c>
      <c r="T527" s="84" t="e">
        <f t="shared" si="107"/>
        <v>#REF!</v>
      </c>
      <c r="U527" s="84" t="e">
        <f t="shared" si="108"/>
        <v>#REF!</v>
      </c>
      <c r="V527" s="85" t="e">
        <f>#REF!</f>
        <v>#REF!</v>
      </c>
      <c r="W527" s="86">
        <f t="shared" si="109"/>
        <v>0</v>
      </c>
      <c r="X527" s="86">
        <f t="shared" si="109"/>
        <v>0</v>
      </c>
      <c r="Y527" s="87">
        <f t="shared" si="110"/>
        <v>0</v>
      </c>
      <c r="Z527" s="87">
        <f t="shared" si="111"/>
        <v>0</v>
      </c>
      <c r="AA527" s="87">
        <f t="shared" si="112"/>
        <v>4</v>
      </c>
    </row>
    <row r="528" spans="9:27">
      <c r="I528" s="81" t="e">
        <f>IF(#REF!&lt;&gt;"",#REF!,"")</f>
        <v>#REF!</v>
      </c>
      <c r="J528" s="81" t="e">
        <f t="shared" si="113"/>
        <v>#REF!</v>
      </c>
      <c r="L528" s="82" t="e">
        <f t="shared" si="114"/>
        <v>#REF!</v>
      </c>
      <c r="M528" s="81" t="e">
        <f t="shared" si="117"/>
        <v>#REF!</v>
      </c>
      <c r="N528" s="81" t="e">
        <f t="shared" si="115"/>
        <v>#REF!</v>
      </c>
      <c r="O528" s="81" t="e">
        <f t="shared" si="116"/>
        <v>#REF!</v>
      </c>
      <c r="Q528" s="83" t="str">
        <f t="shared" si="105"/>
        <v/>
      </c>
      <c r="R528" s="84" t="e">
        <f t="shared" si="106"/>
        <v>#REF!</v>
      </c>
      <c r="S528" s="83" t="e">
        <f t="shared" si="106"/>
        <v>#REF!</v>
      </c>
      <c r="T528" s="84" t="e">
        <f t="shared" si="107"/>
        <v>#REF!</v>
      </c>
      <c r="U528" s="84" t="e">
        <f t="shared" si="108"/>
        <v>#REF!</v>
      </c>
      <c r="V528" s="85" t="e">
        <f>#REF!</f>
        <v>#REF!</v>
      </c>
      <c r="W528" s="86">
        <f t="shared" si="109"/>
        <v>0</v>
      </c>
      <c r="X528" s="86">
        <f t="shared" si="109"/>
        <v>0</v>
      </c>
      <c r="Y528" s="87">
        <f t="shared" si="110"/>
        <v>0</v>
      </c>
      <c r="Z528" s="87">
        <f t="shared" si="111"/>
        <v>0</v>
      </c>
      <c r="AA528" s="87">
        <f t="shared" si="112"/>
        <v>4</v>
      </c>
    </row>
    <row r="529" spans="9:27">
      <c r="I529" s="81" t="e">
        <f>IF(#REF!&lt;&gt;"",#REF!,"")</f>
        <v>#REF!</v>
      </c>
      <c r="J529" s="81" t="e">
        <f t="shared" si="113"/>
        <v>#REF!</v>
      </c>
      <c r="L529" s="82" t="e">
        <f t="shared" si="114"/>
        <v>#REF!</v>
      </c>
      <c r="M529" s="81" t="e">
        <f t="shared" si="117"/>
        <v>#REF!</v>
      </c>
      <c r="N529" s="81" t="e">
        <f t="shared" si="115"/>
        <v>#REF!</v>
      </c>
      <c r="O529" s="81" t="e">
        <f t="shared" si="116"/>
        <v>#REF!</v>
      </c>
      <c r="Q529" s="83" t="str">
        <f t="shared" si="105"/>
        <v/>
      </c>
      <c r="R529" s="84" t="e">
        <f t="shared" si="106"/>
        <v>#REF!</v>
      </c>
      <c r="S529" s="83" t="e">
        <f t="shared" si="106"/>
        <v>#REF!</v>
      </c>
      <c r="T529" s="84" t="e">
        <f t="shared" si="107"/>
        <v>#REF!</v>
      </c>
      <c r="U529" s="84" t="e">
        <f t="shared" si="108"/>
        <v>#REF!</v>
      </c>
      <c r="V529" s="85" t="e">
        <f>#REF!</f>
        <v>#REF!</v>
      </c>
      <c r="W529" s="86">
        <f t="shared" si="109"/>
        <v>0</v>
      </c>
      <c r="X529" s="86">
        <f t="shared" si="109"/>
        <v>0</v>
      </c>
      <c r="Y529" s="87">
        <f t="shared" si="110"/>
        <v>0</v>
      </c>
      <c r="Z529" s="87">
        <f t="shared" si="111"/>
        <v>0</v>
      </c>
      <c r="AA529" s="87">
        <f t="shared" si="112"/>
        <v>4</v>
      </c>
    </row>
    <row r="530" spans="9:27">
      <c r="I530" s="81" t="e">
        <f>IF(#REF!&lt;&gt;"",#REF!,"")</f>
        <v>#REF!</v>
      </c>
      <c r="J530" s="81" t="e">
        <f t="shared" si="113"/>
        <v>#REF!</v>
      </c>
      <c r="L530" s="82" t="e">
        <f t="shared" si="114"/>
        <v>#REF!</v>
      </c>
      <c r="M530" s="81" t="e">
        <f t="shared" si="117"/>
        <v>#REF!</v>
      </c>
      <c r="N530" s="81" t="e">
        <f t="shared" si="115"/>
        <v>#REF!</v>
      </c>
      <c r="O530" s="81" t="e">
        <f t="shared" si="116"/>
        <v>#REF!</v>
      </c>
      <c r="Q530" s="83" t="str">
        <f t="shared" si="105"/>
        <v/>
      </c>
      <c r="R530" s="84" t="e">
        <f t="shared" si="106"/>
        <v>#REF!</v>
      </c>
      <c r="S530" s="83" t="e">
        <f t="shared" si="106"/>
        <v>#REF!</v>
      </c>
      <c r="T530" s="84" t="e">
        <f t="shared" si="107"/>
        <v>#REF!</v>
      </c>
      <c r="U530" s="84" t="e">
        <f t="shared" si="108"/>
        <v>#REF!</v>
      </c>
      <c r="V530" s="85" t="e">
        <f>#REF!</f>
        <v>#REF!</v>
      </c>
      <c r="W530" s="86">
        <f t="shared" si="109"/>
        <v>0</v>
      </c>
      <c r="X530" s="86">
        <f t="shared" si="109"/>
        <v>0</v>
      </c>
      <c r="Y530" s="87">
        <f t="shared" si="110"/>
        <v>0</v>
      </c>
      <c r="Z530" s="87">
        <f t="shared" si="111"/>
        <v>0</v>
      </c>
      <c r="AA530" s="87">
        <f t="shared" si="112"/>
        <v>4</v>
      </c>
    </row>
    <row r="531" spans="9:27">
      <c r="I531" s="81" t="e">
        <f>IF(#REF!&lt;&gt;"",#REF!,"")</f>
        <v>#REF!</v>
      </c>
      <c r="J531" s="81" t="e">
        <f t="shared" si="113"/>
        <v>#REF!</v>
      </c>
      <c r="L531" s="82" t="e">
        <f t="shared" si="114"/>
        <v>#REF!</v>
      </c>
      <c r="M531" s="81" t="e">
        <f t="shared" si="117"/>
        <v>#REF!</v>
      </c>
      <c r="N531" s="81" t="e">
        <f t="shared" si="115"/>
        <v>#REF!</v>
      </c>
      <c r="O531" s="81" t="e">
        <f t="shared" si="116"/>
        <v>#REF!</v>
      </c>
      <c r="Q531" s="83" t="str">
        <f t="shared" si="105"/>
        <v/>
      </c>
      <c r="R531" s="84" t="e">
        <f t="shared" si="106"/>
        <v>#REF!</v>
      </c>
      <c r="S531" s="83" t="e">
        <f t="shared" si="106"/>
        <v>#REF!</v>
      </c>
      <c r="T531" s="84" t="e">
        <f t="shared" si="107"/>
        <v>#REF!</v>
      </c>
      <c r="U531" s="84" t="e">
        <f t="shared" si="108"/>
        <v>#REF!</v>
      </c>
      <c r="V531" s="85" t="e">
        <f>#REF!</f>
        <v>#REF!</v>
      </c>
      <c r="W531" s="86">
        <f t="shared" si="109"/>
        <v>0</v>
      </c>
      <c r="X531" s="86">
        <f t="shared" si="109"/>
        <v>0</v>
      </c>
      <c r="Y531" s="87">
        <f t="shared" si="110"/>
        <v>0</v>
      </c>
      <c r="Z531" s="87">
        <f t="shared" si="111"/>
        <v>0</v>
      </c>
      <c r="AA531" s="87">
        <f t="shared" si="112"/>
        <v>4</v>
      </c>
    </row>
    <row r="532" spans="9:27">
      <c r="I532" s="81" t="e">
        <f>IF(#REF!&lt;&gt;"",#REF!,"")</f>
        <v>#REF!</v>
      </c>
      <c r="J532" s="81" t="e">
        <f t="shared" si="113"/>
        <v>#REF!</v>
      </c>
      <c r="L532" s="82" t="e">
        <f t="shared" si="114"/>
        <v>#REF!</v>
      </c>
      <c r="M532" s="81" t="e">
        <f t="shared" si="117"/>
        <v>#REF!</v>
      </c>
      <c r="N532" s="81" t="e">
        <f t="shared" si="115"/>
        <v>#REF!</v>
      </c>
      <c r="O532" s="81" t="e">
        <f t="shared" si="116"/>
        <v>#REF!</v>
      </c>
      <c r="Q532" s="83" t="str">
        <f t="shared" si="105"/>
        <v/>
      </c>
      <c r="R532" s="84" t="e">
        <f t="shared" si="106"/>
        <v>#REF!</v>
      </c>
      <c r="S532" s="83" t="e">
        <f t="shared" si="106"/>
        <v>#REF!</v>
      </c>
      <c r="T532" s="84" t="e">
        <f t="shared" si="107"/>
        <v>#REF!</v>
      </c>
      <c r="U532" s="84" t="e">
        <f t="shared" si="108"/>
        <v>#REF!</v>
      </c>
      <c r="V532" s="85" t="e">
        <f>#REF!</f>
        <v>#REF!</v>
      </c>
      <c r="W532" s="86">
        <f t="shared" si="109"/>
        <v>0</v>
      </c>
      <c r="X532" s="86">
        <f t="shared" si="109"/>
        <v>0</v>
      </c>
      <c r="Y532" s="87">
        <f t="shared" si="110"/>
        <v>0</v>
      </c>
      <c r="Z532" s="87">
        <f t="shared" si="111"/>
        <v>0</v>
      </c>
      <c r="AA532" s="87">
        <f t="shared" si="112"/>
        <v>4</v>
      </c>
    </row>
    <row r="533" spans="9:27">
      <c r="I533" s="81" t="e">
        <f>IF(#REF!&lt;&gt;"",#REF!,"")</f>
        <v>#REF!</v>
      </c>
      <c r="J533" s="81" t="e">
        <f t="shared" si="113"/>
        <v>#REF!</v>
      </c>
      <c r="L533" s="82" t="e">
        <f t="shared" si="114"/>
        <v>#REF!</v>
      </c>
      <c r="M533" s="81" t="e">
        <f t="shared" si="117"/>
        <v>#REF!</v>
      </c>
      <c r="N533" s="81" t="e">
        <f t="shared" si="115"/>
        <v>#REF!</v>
      </c>
      <c r="O533" s="81" t="e">
        <f t="shared" si="116"/>
        <v>#REF!</v>
      </c>
      <c r="Q533" s="83" t="str">
        <f t="shared" si="105"/>
        <v/>
      </c>
      <c r="R533" s="84" t="e">
        <f t="shared" si="106"/>
        <v>#REF!</v>
      </c>
      <c r="S533" s="83" t="e">
        <f t="shared" si="106"/>
        <v>#REF!</v>
      </c>
      <c r="T533" s="84" t="e">
        <f t="shared" si="107"/>
        <v>#REF!</v>
      </c>
      <c r="U533" s="84" t="e">
        <f t="shared" si="108"/>
        <v>#REF!</v>
      </c>
      <c r="V533" s="85" t="e">
        <f>#REF!</f>
        <v>#REF!</v>
      </c>
      <c r="W533" s="86">
        <f t="shared" si="109"/>
        <v>0</v>
      </c>
      <c r="X533" s="86">
        <f t="shared" si="109"/>
        <v>0</v>
      </c>
      <c r="Y533" s="87">
        <f t="shared" si="110"/>
        <v>0</v>
      </c>
      <c r="Z533" s="87">
        <f t="shared" si="111"/>
        <v>0</v>
      </c>
      <c r="AA533" s="87">
        <f t="shared" si="112"/>
        <v>4</v>
      </c>
    </row>
    <row r="534" spans="9:27">
      <c r="I534" s="81" t="e">
        <f>IF(#REF!&lt;&gt;"",#REF!,"")</f>
        <v>#REF!</v>
      </c>
      <c r="J534" s="81" t="e">
        <f t="shared" si="113"/>
        <v>#REF!</v>
      </c>
      <c r="L534" s="82" t="e">
        <f t="shared" si="114"/>
        <v>#REF!</v>
      </c>
      <c r="M534" s="81" t="e">
        <f t="shared" si="117"/>
        <v>#REF!</v>
      </c>
      <c r="N534" s="81" t="e">
        <f t="shared" si="115"/>
        <v>#REF!</v>
      </c>
      <c r="O534" s="81" t="e">
        <f t="shared" si="116"/>
        <v>#REF!</v>
      </c>
      <c r="Q534" s="83" t="str">
        <f t="shared" si="105"/>
        <v/>
      </c>
      <c r="R534" s="84" t="e">
        <f t="shared" si="106"/>
        <v>#REF!</v>
      </c>
      <c r="S534" s="83" t="e">
        <f t="shared" si="106"/>
        <v>#REF!</v>
      </c>
      <c r="T534" s="84" t="e">
        <f t="shared" si="107"/>
        <v>#REF!</v>
      </c>
      <c r="U534" s="84" t="e">
        <f t="shared" si="108"/>
        <v>#REF!</v>
      </c>
      <c r="V534" s="85" t="e">
        <f>#REF!</f>
        <v>#REF!</v>
      </c>
      <c r="W534" s="86">
        <f t="shared" si="109"/>
        <v>0</v>
      </c>
      <c r="X534" s="86">
        <f t="shared" si="109"/>
        <v>0</v>
      </c>
      <c r="Y534" s="87">
        <f t="shared" si="110"/>
        <v>0</v>
      </c>
      <c r="Z534" s="87">
        <f t="shared" si="111"/>
        <v>0</v>
      </c>
      <c r="AA534" s="87">
        <f t="shared" si="112"/>
        <v>4</v>
      </c>
    </row>
    <row r="535" spans="9:27">
      <c r="I535" s="81" t="e">
        <f>IF(#REF!&lt;&gt;"",#REF!,"")</f>
        <v>#REF!</v>
      </c>
      <c r="J535" s="81" t="e">
        <f t="shared" si="113"/>
        <v>#REF!</v>
      </c>
      <c r="L535" s="82" t="e">
        <f t="shared" si="114"/>
        <v>#REF!</v>
      </c>
      <c r="M535" s="81" t="e">
        <f t="shared" si="117"/>
        <v>#REF!</v>
      </c>
      <c r="N535" s="81" t="e">
        <f t="shared" si="115"/>
        <v>#REF!</v>
      </c>
      <c r="O535" s="81" t="e">
        <f t="shared" si="116"/>
        <v>#REF!</v>
      </c>
      <c r="Q535" s="83" t="str">
        <f t="shared" ref="Q535:Q598" si="118">IF(Z535=0,"",IF(Z535=1,R535&amp;S535,"E99999"))</f>
        <v/>
      </c>
      <c r="R535" s="84" t="e">
        <f t="shared" si="106"/>
        <v>#REF!</v>
      </c>
      <c r="S535" s="83" t="e">
        <f t="shared" si="106"/>
        <v>#REF!</v>
      </c>
      <c r="T535" s="84" t="e">
        <f t="shared" si="107"/>
        <v>#REF!</v>
      </c>
      <c r="U535" s="84" t="e">
        <f t="shared" si="108"/>
        <v>#REF!</v>
      </c>
      <c r="V535" s="85" t="e">
        <f>#REF!</f>
        <v>#REF!</v>
      </c>
      <c r="W535" s="86">
        <f t="shared" si="109"/>
        <v>0</v>
      </c>
      <c r="X535" s="86">
        <f t="shared" si="109"/>
        <v>0</v>
      </c>
      <c r="Y535" s="87">
        <f t="shared" si="110"/>
        <v>0</v>
      </c>
      <c r="Z535" s="87">
        <f t="shared" si="111"/>
        <v>0</v>
      </c>
      <c r="AA535" s="87">
        <f t="shared" si="112"/>
        <v>4</v>
      </c>
    </row>
    <row r="536" spans="9:27">
      <c r="I536" s="81" t="e">
        <f>IF(#REF!&lt;&gt;"",#REF!,"")</f>
        <v>#REF!</v>
      </c>
      <c r="J536" s="81" t="e">
        <f t="shared" si="113"/>
        <v>#REF!</v>
      </c>
      <c r="L536" s="82" t="e">
        <f t="shared" si="114"/>
        <v>#REF!</v>
      </c>
      <c r="M536" s="81" t="e">
        <f t="shared" si="117"/>
        <v>#REF!</v>
      </c>
      <c r="N536" s="81" t="e">
        <f t="shared" si="115"/>
        <v>#REF!</v>
      </c>
      <c r="O536" s="81" t="e">
        <f t="shared" si="116"/>
        <v>#REF!</v>
      </c>
      <c r="Q536" s="83" t="str">
        <f t="shared" si="118"/>
        <v/>
      </c>
      <c r="R536" s="84" t="e">
        <f t="shared" si="106"/>
        <v>#REF!</v>
      </c>
      <c r="S536" s="83" t="e">
        <f t="shared" si="106"/>
        <v>#REF!</v>
      </c>
      <c r="T536" s="84" t="e">
        <f t="shared" si="107"/>
        <v>#REF!</v>
      </c>
      <c r="U536" s="84" t="e">
        <f t="shared" si="108"/>
        <v>#REF!</v>
      </c>
      <c r="V536" s="85" t="e">
        <f>#REF!</f>
        <v>#REF!</v>
      </c>
      <c r="W536" s="86">
        <f t="shared" si="109"/>
        <v>0</v>
      </c>
      <c r="X536" s="86">
        <f t="shared" si="109"/>
        <v>0</v>
      </c>
      <c r="Y536" s="87">
        <f t="shared" si="110"/>
        <v>0</v>
      </c>
      <c r="Z536" s="87">
        <f t="shared" si="111"/>
        <v>0</v>
      </c>
      <c r="AA536" s="87">
        <f t="shared" si="112"/>
        <v>4</v>
      </c>
    </row>
    <row r="537" spans="9:27">
      <c r="I537" s="81" t="e">
        <f>IF(#REF!&lt;&gt;"",#REF!,"")</f>
        <v>#REF!</v>
      </c>
      <c r="J537" s="81" t="e">
        <f t="shared" si="113"/>
        <v>#REF!</v>
      </c>
      <c r="L537" s="82" t="e">
        <f t="shared" si="114"/>
        <v>#REF!</v>
      </c>
      <c r="M537" s="81" t="e">
        <f t="shared" si="117"/>
        <v>#REF!</v>
      </c>
      <c r="N537" s="81" t="e">
        <f t="shared" si="115"/>
        <v>#REF!</v>
      </c>
      <c r="O537" s="81" t="e">
        <f t="shared" si="116"/>
        <v>#REF!</v>
      </c>
      <c r="Q537" s="83" t="str">
        <f t="shared" si="118"/>
        <v/>
      </c>
      <c r="R537" s="84" t="e">
        <f t="shared" si="106"/>
        <v>#REF!</v>
      </c>
      <c r="S537" s="83" t="e">
        <f t="shared" si="106"/>
        <v>#REF!</v>
      </c>
      <c r="T537" s="84" t="e">
        <f t="shared" si="107"/>
        <v>#REF!</v>
      </c>
      <c r="U537" s="84" t="e">
        <f t="shared" si="108"/>
        <v>#REF!</v>
      </c>
      <c r="V537" s="85" t="e">
        <f>#REF!</f>
        <v>#REF!</v>
      </c>
      <c r="W537" s="86">
        <f t="shared" si="109"/>
        <v>0</v>
      </c>
      <c r="X537" s="86">
        <f t="shared" si="109"/>
        <v>0</v>
      </c>
      <c r="Y537" s="87">
        <f t="shared" si="110"/>
        <v>0</v>
      </c>
      <c r="Z537" s="87">
        <f t="shared" si="111"/>
        <v>0</v>
      </c>
      <c r="AA537" s="87">
        <f t="shared" si="112"/>
        <v>4</v>
      </c>
    </row>
    <row r="538" spans="9:27">
      <c r="I538" s="81" t="e">
        <f>IF(#REF!&lt;&gt;"",#REF!,"")</f>
        <v>#REF!</v>
      </c>
      <c r="J538" s="81" t="e">
        <f t="shared" si="113"/>
        <v>#REF!</v>
      </c>
      <c r="L538" s="82" t="e">
        <f t="shared" si="114"/>
        <v>#REF!</v>
      </c>
      <c r="M538" s="81" t="e">
        <f t="shared" si="117"/>
        <v>#REF!</v>
      </c>
      <c r="N538" s="81" t="e">
        <f t="shared" si="115"/>
        <v>#REF!</v>
      </c>
      <c r="O538" s="81" t="e">
        <f t="shared" si="116"/>
        <v>#REF!</v>
      </c>
      <c r="Q538" s="83" t="str">
        <f t="shared" si="118"/>
        <v/>
      </c>
      <c r="R538" s="84" t="e">
        <f t="shared" si="106"/>
        <v>#REF!</v>
      </c>
      <c r="S538" s="83" t="e">
        <f t="shared" si="106"/>
        <v>#REF!</v>
      </c>
      <c r="T538" s="84" t="e">
        <f t="shared" si="107"/>
        <v>#REF!</v>
      </c>
      <c r="U538" s="84" t="e">
        <f t="shared" si="108"/>
        <v>#REF!</v>
      </c>
      <c r="V538" s="85" t="e">
        <f>#REF!</f>
        <v>#REF!</v>
      </c>
      <c r="W538" s="86">
        <f t="shared" si="109"/>
        <v>0</v>
      </c>
      <c r="X538" s="86">
        <f t="shared" si="109"/>
        <v>0</v>
      </c>
      <c r="Y538" s="87">
        <f t="shared" si="110"/>
        <v>0</v>
      </c>
      <c r="Z538" s="87">
        <f t="shared" si="111"/>
        <v>0</v>
      </c>
      <c r="AA538" s="87">
        <f t="shared" si="112"/>
        <v>4</v>
      </c>
    </row>
    <row r="539" spans="9:27">
      <c r="I539" s="81" t="e">
        <f>IF(#REF!&lt;&gt;"",#REF!,"")</f>
        <v>#REF!</v>
      </c>
      <c r="J539" s="81" t="e">
        <f t="shared" si="113"/>
        <v>#REF!</v>
      </c>
      <c r="L539" s="82" t="e">
        <f t="shared" si="114"/>
        <v>#REF!</v>
      </c>
      <c r="M539" s="81" t="e">
        <f t="shared" si="117"/>
        <v>#REF!</v>
      </c>
      <c r="N539" s="81" t="e">
        <f t="shared" si="115"/>
        <v>#REF!</v>
      </c>
      <c r="O539" s="81" t="e">
        <f t="shared" si="116"/>
        <v>#REF!</v>
      </c>
      <c r="Q539" s="83" t="str">
        <f t="shared" si="118"/>
        <v/>
      </c>
      <c r="R539" s="84" t="e">
        <f t="shared" si="106"/>
        <v>#REF!</v>
      </c>
      <c r="S539" s="83" t="e">
        <f t="shared" si="106"/>
        <v>#REF!</v>
      </c>
      <c r="T539" s="84" t="e">
        <f t="shared" si="107"/>
        <v>#REF!</v>
      </c>
      <c r="U539" s="84" t="e">
        <f t="shared" si="108"/>
        <v>#REF!</v>
      </c>
      <c r="V539" s="85" t="e">
        <f>#REF!</f>
        <v>#REF!</v>
      </c>
      <c r="W539" s="86">
        <f t="shared" si="109"/>
        <v>0</v>
      </c>
      <c r="X539" s="86">
        <f t="shared" si="109"/>
        <v>0</v>
      </c>
      <c r="Y539" s="87">
        <f t="shared" si="110"/>
        <v>0</v>
      </c>
      <c r="Z539" s="87">
        <f t="shared" si="111"/>
        <v>0</v>
      </c>
      <c r="AA539" s="87">
        <f t="shared" si="112"/>
        <v>4</v>
      </c>
    </row>
    <row r="540" spans="9:27">
      <c r="I540" s="81" t="e">
        <f>IF(#REF!&lt;&gt;"",#REF!,"")</f>
        <v>#REF!</v>
      </c>
      <c r="J540" s="81" t="e">
        <f t="shared" si="113"/>
        <v>#REF!</v>
      </c>
      <c r="L540" s="82" t="e">
        <f t="shared" si="114"/>
        <v>#REF!</v>
      </c>
      <c r="M540" s="81" t="e">
        <f t="shared" si="117"/>
        <v>#REF!</v>
      </c>
      <c r="N540" s="81" t="e">
        <f t="shared" si="115"/>
        <v>#REF!</v>
      </c>
      <c r="O540" s="81" t="e">
        <f t="shared" si="116"/>
        <v>#REF!</v>
      </c>
      <c r="Q540" s="83" t="str">
        <f t="shared" si="118"/>
        <v/>
      </c>
      <c r="R540" s="84" t="e">
        <f t="shared" si="106"/>
        <v>#REF!</v>
      </c>
      <c r="S540" s="83" t="e">
        <f t="shared" si="106"/>
        <v>#REF!</v>
      </c>
      <c r="T540" s="84" t="e">
        <f t="shared" si="107"/>
        <v>#REF!</v>
      </c>
      <c r="U540" s="84" t="e">
        <f t="shared" si="108"/>
        <v>#REF!</v>
      </c>
      <c r="V540" s="85" t="e">
        <f>#REF!</f>
        <v>#REF!</v>
      </c>
      <c r="W540" s="86">
        <f t="shared" si="109"/>
        <v>0</v>
      </c>
      <c r="X540" s="86">
        <f t="shared" si="109"/>
        <v>0</v>
      </c>
      <c r="Y540" s="87">
        <f t="shared" si="110"/>
        <v>0</v>
      </c>
      <c r="Z540" s="87">
        <f t="shared" si="111"/>
        <v>0</v>
      </c>
      <c r="AA540" s="87">
        <f t="shared" si="112"/>
        <v>4</v>
      </c>
    </row>
    <row r="541" spans="9:27">
      <c r="I541" s="81" t="e">
        <f>IF(#REF!&lt;&gt;"",#REF!,"")</f>
        <v>#REF!</v>
      </c>
      <c r="J541" s="81" t="e">
        <f t="shared" si="113"/>
        <v>#REF!</v>
      </c>
      <c r="L541" s="82" t="e">
        <f t="shared" si="114"/>
        <v>#REF!</v>
      </c>
      <c r="M541" s="81" t="e">
        <f t="shared" si="117"/>
        <v>#REF!</v>
      </c>
      <c r="N541" s="81" t="e">
        <f t="shared" si="115"/>
        <v>#REF!</v>
      </c>
      <c r="O541" s="81" t="e">
        <f t="shared" si="116"/>
        <v>#REF!</v>
      </c>
      <c r="Q541" s="83" t="str">
        <f t="shared" si="118"/>
        <v/>
      </c>
      <c r="R541" s="84" t="e">
        <f t="shared" si="106"/>
        <v>#REF!</v>
      </c>
      <c r="S541" s="83" t="e">
        <f t="shared" si="106"/>
        <v>#REF!</v>
      </c>
      <c r="T541" s="84" t="e">
        <f t="shared" si="107"/>
        <v>#REF!</v>
      </c>
      <c r="U541" s="84" t="e">
        <f t="shared" si="108"/>
        <v>#REF!</v>
      </c>
      <c r="V541" s="85" t="e">
        <f>#REF!</f>
        <v>#REF!</v>
      </c>
      <c r="W541" s="86">
        <f t="shared" si="109"/>
        <v>0</v>
      </c>
      <c r="X541" s="86">
        <f t="shared" si="109"/>
        <v>0</v>
      </c>
      <c r="Y541" s="87">
        <f t="shared" si="110"/>
        <v>0</v>
      </c>
      <c r="Z541" s="87">
        <f t="shared" si="111"/>
        <v>0</v>
      </c>
      <c r="AA541" s="87">
        <f t="shared" si="112"/>
        <v>4</v>
      </c>
    </row>
    <row r="542" spans="9:27">
      <c r="I542" s="81" t="e">
        <f>IF(#REF!&lt;&gt;"",#REF!,"")</f>
        <v>#REF!</v>
      </c>
      <c r="J542" s="81" t="e">
        <f t="shared" si="113"/>
        <v>#REF!</v>
      </c>
      <c r="L542" s="82" t="e">
        <f t="shared" si="114"/>
        <v>#REF!</v>
      </c>
      <c r="M542" s="81" t="e">
        <f t="shared" si="117"/>
        <v>#REF!</v>
      </c>
      <c r="N542" s="81" t="e">
        <f t="shared" si="115"/>
        <v>#REF!</v>
      </c>
      <c r="O542" s="81" t="e">
        <f t="shared" si="116"/>
        <v>#REF!</v>
      </c>
      <c r="Q542" s="83" t="str">
        <f t="shared" si="118"/>
        <v/>
      </c>
      <c r="R542" s="84" t="e">
        <f t="shared" si="106"/>
        <v>#REF!</v>
      </c>
      <c r="S542" s="83" t="e">
        <f t="shared" si="106"/>
        <v>#REF!</v>
      </c>
      <c r="T542" s="84" t="e">
        <f t="shared" si="107"/>
        <v>#REF!</v>
      </c>
      <c r="U542" s="84" t="e">
        <f t="shared" si="108"/>
        <v>#REF!</v>
      </c>
      <c r="V542" s="85" t="e">
        <f>#REF!</f>
        <v>#REF!</v>
      </c>
      <c r="W542" s="86">
        <f t="shared" si="109"/>
        <v>0</v>
      </c>
      <c r="X542" s="86">
        <f t="shared" si="109"/>
        <v>0</v>
      </c>
      <c r="Y542" s="87">
        <f t="shared" si="110"/>
        <v>0</v>
      </c>
      <c r="Z542" s="87">
        <f t="shared" si="111"/>
        <v>0</v>
      </c>
      <c r="AA542" s="87">
        <f t="shared" si="112"/>
        <v>4</v>
      </c>
    </row>
    <row r="543" spans="9:27">
      <c r="I543" s="81" t="e">
        <f>IF(#REF!&lt;&gt;"",#REF!,"")</f>
        <v>#REF!</v>
      </c>
      <c r="J543" s="81" t="e">
        <f t="shared" si="113"/>
        <v>#REF!</v>
      </c>
      <c r="L543" s="82" t="e">
        <f t="shared" si="114"/>
        <v>#REF!</v>
      </c>
      <c r="M543" s="81" t="e">
        <f t="shared" si="117"/>
        <v>#REF!</v>
      </c>
      <c r="N543" s="81" t="e">
        <f t="shared" si="115"/>
        <v>#REF!</v>
      </c>
      <c r="O543" s="81" t="e">
        <f t="shared" si="116"/>
        <v>#REF!</v>
      </c>
      <c r="Q543" s="83" t="str">
        <f t="shared" si="118"/>
        <v/>
      </c>
      <c r="R543" s="84" t="e">
        <f t="shared" si="106"/>
        <v>#REF!</v>
      </c>
      <c r="S543" s="83" t="e">
        <f t="shared" si="106"/>
        <v>#REF!</v>
      </c>
      <c r="T543" s="84" t="e">
        <f t="shared" si="107"/>
        <v>#REF!</v>
      </c>
      <c r="U543" s="84" t="e">
        <f t="shared" si="108"/>
        <v>#REF!</v>
      </c>
      <c r="V543" s="85" t="e">
        <f>#REF!</f>
        <v>#REF!</v>
      </c>
      <c r="W543" s="86">
        <f t="shared" si="109"/>
        <v>0</v>
      </c>
      <c r="X543" s="86">
        <f t="shared" si="109"/>
        <v>0</v>
      </c>
      <c r="Y543" s="87">
        <f t="shared" si="110"/>
        <v>0</v>
      </c>
      <c r="Z543" s="87">
        <f t="shared" si="111"/>
        <v>0</v>
      </c>
      <c r="AA543" s="87">
        <f t="shared" si="112"/>
        <v>4</v>
      </c>
    </row>
    <row r="544" spans="9:27">
      <c r="I544" s="81" t="e">
        <f>IF(#REF!&lt;&gt;"",#REF!,"")</f>
        <v>#REF!</v>
      </c>
      <c r="J544" s="81" t="e">
        <f t="shared" si="113"/>
        <v>#REF!</v>
      </c>
      <c r="L544" s="82" t="e">
        <f t="shared" si="114"/>
        <v>#REF!</v>
      </c>
      <c r="M544" s="81" t="e">
        <f t="shared" si="117"/>
        <v>#REF!</v>
      </c>
      <c r="N544" s="81" t="e">
        <f t="shared" si="115"/>
        <v>#REF!</v>
      </c>
      <c r="O544" s="81" t="e">
        <f t="shared" si="116"/>
        <v>#REF!</v>
      </c>
      <c r="Q544" s="83" t="str">
        <f t="shared" si="118"/>
        <v/>
      </c>
      <c r="R544" s="84" t="e">
        <f t="shared" si="106"/>
        <v>#REF!</v>
      </c>
      <c r="S544" s="83" t="e">
        <f t="shared" si="106"/>
        <v>#REF!</v>
      </c>
      <c r="T544" s="84" t="e">
        <f t="shared" si="107"/>
        <v>#REF!</v>
      </c>
      <c r="U544" s="84" t="e">
        <f t="shared" si="108"/>
        <v>#REF!</v>
      </c>
      <c r="V544" s="85" t="e">
        <f>#REF!</f>
        <v>#REF!</v>
      </c>
      <c r="W544" s="86">
        <f t="shared" si="109"/>
        <v>0</v>
      </c>
      <c r="X544" s="86">
        <f t="shared" si="109"/>
        <v>0</v>
      </c>
      <c r="Y544" s="87">
        <f t="shared" si="110"/>
        <v>0</v>
      </c>
      <c r="Z544" s="87">
        <f t="shared" si="111"/>
        <v>0</v>
      </c>
      <c r="AA544" s="87">
        <f t="shared" si="112"/>
        <v>4</v>
      </c>
    </row>
    <row r="545" spans="9:27">
      <c r="I545" s="81" t="e">
        <f>IF(#REF!&lt;&gt;"",#REF!,"")</f>
        <v>#REF!</v>
      </c>
      <c r="J545" s="81" t="e">
        <f t="shared" si="113"/>
        <v>#REF!</v>
      </c>
      <c r="L545" s="82" t="e">
        <f t="shared" si="114"/>
        <v>#REF!</v>
      </c>
      <c r="M545" s="81" t="e">
        <f t="shared" si="117"/>
        <v>#REF!</v>
      </c>
      <c r="N545" s="81" t="e">
        <f t="shared" si="115"/>
        <v>#REF!</v>
      </c>
      <c r="O545" s="81" t="e">
        <f t="shared" si="116"/>
        <v>#REF!</v>
      </c>
      <c r="Q545" s="83" t="str">
        <f t="shared" si="118"/>
        <v/>
      </c>
      <c r="R545" s="84" t="e">
        <f t="shared" si="106"/>
        <v>#REF!</v>
      </c>
      <c r="S545" s="83" t="e">
        <f t="shared" si="106"/>
        <v>#REF!</v>
      </c>
      <c r="T545" s="84" t="e">
        <f t="shared" si="107"/>
        <v>#REF!</v>
      </c>
      <c r="U545" s="84" t="e">
        <f t="shared" si="108"/>
        <v>#REF!</v>
      </c>
      <c r="V545" s="85" t="e">
        <f>#REF!</f>
        <v>#REF!</v>
      </c>
      <c r="W545" s="86">
        <f t="shared" si="109"/>
        <v>0</v>
      </c>
      <c r="X545" s="86">
        <f t="shared" si="109"/>
        <v>0</v>
      </c>
      <c r="Y545" s="87">
        <f t="shared" si="110"/>
        <v>0</v>
      </c>
      <c r="Z545" s="87">
        <f t="shared" si="111"/>
        <v>0</v>
      </c>
      <c r="AA545" s="87">
        <f t="shared" si="112"/>
        <v>4</v>
      </c>
    </row>
    <row r="546" spans="9:27">
      <c r="I546" s="81" t="e">
        <f>IF(#REF!&lt;&gt;"",#REF!,"")</f>
        <v>#REF!</v>
      </c>
      <c r="J546" s="81" t="e">
        <f t="shared" si="113"/>
        <v>#REF!</v>
      </c>
      <c r="L546" s="82" t="e">
        <f t="shared" si="114"/>
        <v>#REF!</v>
      </c>
      <c r="M546" s="81" t="e">
        <f t="shared" si="117"/>
        <v>#REF!</v>
      </c>
      <c r="N546" s="81" t="e">
        <f t="shared" si="115"/>
        <v>#REF!</v>
      </c>
      <c r="O546" s="81" t="e">
        <f t="shared" si="116"/>
        <v>#REF!</v>
      </c>
      <c r="Q546" s="83" t="str">
        <f t="shared" si="118"/>
        <v/>
      </c>
      <c r="R546" s="84" t="e">
        <f t="shared" si="106"/>
        <v>#REF!</v>
      </c>
      <c r="S546" s="83" t="e">
        <f t="shared" si="106"/>
        <v>#REF!</v>
      </c>
      <c r="T546" s="84" t="e">
        <f t="shared" si="107"/>
        <v>#REF!</v>
      </c>
      <c r="U546" s="84" t="e">
        <f t="shared" si="108"/>
        <v>#REF!</v>
      </c>
      <c r="V546" s="85" t="e">
        <f>#REF!</f>
        <v>#REF!</v>
      </c>
      <c r="W546" s="86">
        <f t="shared" si="109"/>
        <v>0</v>
      </c>
      <c r="X546" s="86">
        <f t="shared" si="109"/>
        <v>0</v>
      </c>
      <c r="Y546" s="87">
        <f t="shared" si="110"/>
        <v>0</v>
      </c>
      <c r="Z546" s="87">
        <f t="shared" si="111"/>
        <v>0</v>
      </c>
      <c r="AA546" s="87">
        <f t="shared" si="112"/>
        <v>4</v>
      </c>
    </row>
    <row r="547" spans="9:27">
      <c r="I547" s="81" t="e">
        <f>IF(#REF!&lt;&gt;"",#REF!,"")</f>
        <v>#REF!</v>
      </c>
      <c r="J547" s="81" t="e">
        <f t="shared" si="113"/>
        <v>#REF!</v>
      </c>
      <c r="L547" s="82" t="e">
        <f t="shared" si="114"/>
        <v>#REF!</v>
      </c>
      <c r="M547" s="81" t="e">
        <f t="shared" si="117"/>
        <v>#REF!</v>
      </c>
      <c r="N547" s="81" t="e">
        <f t="shared" si="115"/>
        <v>#REF!</v>
      </c>
      <c r="O547" s="81" t="e">
        <f t="shared" si="116"/>
        <v>#REF!</v>
      </c>
      <c r="Q547" s="83" t="str">
        <f t="shared" si="118"/>
        <v/>
      </c>
      <c r="R547" s="84" t="e">
        <f t="shared" si="106"/>
        <v>#REF!</v>
      </c>
      <c r="S547" s="83" t="e">
        <f t="shared" si="106"/>
        <v>#REF!</v>
      </c>
      <c r="T547" s="84" t="e">
        <f t="shared" si="107"/>
        <v>#REF!</v>
      </c>
      <c r="U547" s="84" t="e">
        <f t="shared" si="108"/>
        <v>#REF!</v>
      </c>
      <c r="V547" s="85" t="e">
        <f>#REF!</f>
        <v>#REF!</v>
      </c>
      <c r="W547" s="86">
        <f t="shared" si="109"/>
        <v>0</v>
      </c>
      <c r="X547" s="86">
        <f t="shared" si="109"/>
        <v>0</v>
      </c>
      <c r="Y547" s="87">
        <f t="shared" si="110"/>
        <v>0</v>
      </c>
      <c r="Z547" s="87">
        <f t="shared" si="111"/>
        <v>0</v>
      </c>
      <c r="AA547" s="87">
        <f t="shared" si="112"/>
        <v>4</v>
      </c>
    </row>
    <row r="548" spans="9:27">
      <c r="I548" s="81" t="e">
        <f>IF(#REF!&lt;&gt;"",#REF!,"")</f>
        <v>#REF!</v>
      </c>
      <c r="J548" s="81" t="e">
        <f t="shared" si="113"/>
        <v>#REF!</v>
      </c>
      <c r="L548" s="82" t="e">
        <f t="shared" si="114"/>
        <v>#REF!</v>
      </c>
      <c r="M548" s="81" t="e">
        <f t="shared" si="117"/>
        <v>#REF!</v>
      </c>
      <c r="N548" s="81" t="e">
        <f t="shared" si="115"/>
        <v>#REF!</v>
      </c>
      <c r="O548" s="81" t="e">
        <f t="shared" si="116"/>
        <v>#REF!</v>
      </c>
      <c r="Q548" s="83" t="str">
        <f t="shared" si="118"/>
        <v/>
      </c>
      <c r="R548" s="84" t="e">
        <f t="shared" si="106"/>
        <v>#REF!</v>
      </c>
      <c r="S548" s="83" t="e">
        <f t="shared" si="106"/>
        <v>#REF!</v>
      </c>
      <c r="T548" s="84" t="e">
        <f t="shared" si="107"/>
        <v>#REF!</v>
      </c>
      <c r="U548" s="84" t="e">
        <f t="shared" si="108"/>
        <v>#REF!</v>
      </c>
      <c r="V548" s="85" t="e">
        <f>#REF!</f>
        <v>#REF!</v>
      </c>
      <c r="W548" s="86">
        <f t="shared" si="109"/>
        <v>0</v>
      </c>
      <c r="X548" s="86">
        <f t="shared" si="109"/>
        <v>0</v>
      </c>
      <c r="Y548" s="87">
        <f t="shared" si="110"/>
        <v>0</v>
      </c>
      <c r="Z548" s="87">
        <f t="shared" si="111"/>
        <v>0</v>
      </c>
      <c r="AA548" s="87">
        <f t="shared" si="112"/>
        <v>4</v>
      </c>
    </row>
    <row r="549" spans="9:27">
      <c r="I549" s="81" t="e">
        <f>IF(#REF!&lt;&gt;"",#REF!,"")</f>
        <v>#REF!</v>
      </c>
      <c r="J549" s="81" t="e">
        <f t="shared" si="113"/>
        <v>#REF!</v>
      </c>
      <c r="L549" s="82" t="e">
        <f t="shared" si="114"/>
        <v>#REF!</v>
      </c>
      <c r="M549" s="81" t="e">
        <f t="shared" si="117"/>
        <v>#REF!</v>
      </c>
      <c r="N549" s="81" t="e">
        <f t="shared" si="115"/>
        <v>#REF!</v>
      </c>
      <c r="O549" s="81" t="e">
        <f t="shared" si="116"/>
        <v>#REF!</v>
      </c>
      <c r="Q549" s="83" t="str">
        <f t="shared" si="118"/>
        <v/>
      </c>
      <c r="R549" s="84" t="e">
        <f t="shared" si="106"/>
        <v>#REF!</v>
      </c>
      <c r="S549" s="83" t="e">
        <f t="shared" si="106"/>
        <v>#REF!</v>
      </c>
      <c r="T549" s="84" t="e">
        <f t="shared" si="107"/>
        <v>#REF!</v>
      </c>
      <c r="U549" s="84" t="e">
        <f t="shared" si="108"/>
        <v>#REF!</v>
      </c>
      <c r="V549" s="85" t="e">
        <f>#REF!</f>
        <v>#REF!</v>
      </c>
      <c r="W549" s="86">
        <f t="shared" si="109"/>
        <v>0</v>
      </c>
      <c r="X549" s="86">
        <f t="shared" si="109"/>
        <v>0</v>
      </c>
      <c r="Y549" s="87">
        <f t="shared" si="110"/>
        <v>0</v>
      </c>
      <c r="Z549" s="87">
        <f t="shared" si="111"/>
        <v>0</v>
      </c>
      <c r="AA549" s="87">
        <f t="shared" si="112"/>
        <v>4</v>
      </c>
    </row>
    <row r="550" spans="9:27">
      <c r="I550" s="81" t="e">
        <f>IF(#REF!&lt;&gt;"",#REF!,"")</f>
        <v>#REF!</v>
      </c>
      <c r="J550" s="81" t="e">
        <f t="shared" si="113"/>
        <v>#REF!</v>
      </c>
      <c r="L550" s="82" t="e">
        <f t="shared" si="114"/>
        <v>#REF!</v>
      </c>
      <c r="M550" s="81" t="e">
        <f t="shared" si="117"/>
        <v>#REF!</v>
      </c>
      <c r="N550" s="81" t="e">
        <f t="shared" si="115"/>
        <v>#REF!</v>
      </c>
      <c r="O550" s="81" t="e">
        <f t="shared" si="116"/>
        <v>#REF!</v>
      </c>
      <c r="Q550" s="83" t="str">
        <f t="shared" si="118"/>
        <v/>
      </c>
      <c r="R550" s="84" t="e">
        <f t="shared" si="106"/>
        <v>#REF!</v>
      </c>
      <c r="S550" s="83" t="e">
        <f t="shared" si="106"/>
        <v>#REF!</v>
      </c>
      <c r="T550" s="84" t="e">
        <f t="shared" si="107"/>
        <v>#REF!</v>
      </c>
      <c r="U550" s="84" t="e">
        <f t="shared" si="108"/>
        <v>#REF!</v>
      </c>
      <c r="V550" s="85" t="e">
        <f>#REF!</f>
        <v>#REF!</v>
      </c>
      <c r="W550" s="86">
        <f t="shared" si="109"/>
        <v>0</v>
      </c>
      <c r="X550" s="86">
        <f t="shared" si="109"/>
        <v>0</v>
      </c>
      <c r="Y550" s="87">
        <f t="shared" si="110"/>
        <v>0</v>
      </c>
      <c r="Z550" s="87">
        <f t="shared" si="111"/>
        <v>0</v>
      </c>
      <c r="AA550" s="87">
        <f t="shared" si="112"/>
        <v>4</v>
      </c>
    </row>
    <row r="551" spans="9:27">
      <c r="I551" s="81" t="e">
        <f>IF(#REF!&lt;&gt;"",#REF!,"")</f>
        <v>#REF!</v>
      </c>
      <c r="J551" s="81" t="e">
        <f t="shared" si="113"/>
        <v>#REF!</v>
      </c>
      <c r="L551" s="82" t="e">
        <f t="shared" si="114"/>
        <v>#REF!</v>
      </c>
      <c r="M551" s="81" t="e">
        <f t="shared" si="117"/>
        <v>#REF!</v>
      </c>
      <c r="N551" s="81" t="e">
        <f t="shared" si="115"/>
        <v>#REF!</v>
      </c>
      <c r="O551" s="81" t="e">
        <f t="shared" si="116"/>
        <v>#REF!</v>
      </c>
      <c r="Q551" s="83" t="str">
        <f t="shared" si="118"/>
        <v/>
      </c>
      <c r="R551" s="84" t="e">
        <f t="shared" si="106"/>
        <v>#REF!</v>
      </c>
      <c r="S551" s="83" t="e">
        <f t="shared" si="106"/>
        <v>#REF!</v>
      </c>
      <c r="T551" s="84" t="e">
        <f t="shared" si="107"/>
        <v>#REF!</v>
      </c>
      <c r="U551" s="84" t="e">
        <f t="shared" si="108"/>
        <v>#REF!</v>
      </c>
      <c r="V551" s="85" t="e">
        <f>#REF!</f>
        <v>#REF!</v>
      </c>
      <c r="W551" s="86">
        <f t="shared" si="109"/>
        <v>0</v>
      </c>
      <c r="X551" s="86">
        <f t="shared" si="109"/>
        <v>0</v>
      </c>
      <c r="Y551" s="87">
        <f t="shared" si="110"/>
        <v>0</v>
      </c>
      <c r="Z551" s="87">
        <f t="shared" si="111"/>
        <v>0</v>
      </c>
      <c r="AA551" s="87">
        <f t="shared" si="112"/>
        <v>4</v>
      </c>
    </row>
    <row r="552" spans="9:27">
      <c r="I552" s="81" t="e">
        <f>IF(#REF!&lt;&gt;"",#REF!,"")</f>
        <v>#REF!</v>
      </c>
      <c r="J552" s="81" t="e">
        <f t="shared" si="113"/>
        <v>#REF!</v>
      </c>
      <c r="L552" s="82" t="e">
        <f t="shared" si="114"/>
        <v>#REF!</v>
      </c>
      <c r="M552" s="81" t="e">
        <f t="shared" si="117"/>
        <v>#REF!</v>
      </c>
      <c r="N552" s="81" t="e">
        <f t="shared" si="115"/>
        <v>#REF!</v>
      </c>
      <c r="O552" s="81" t="e">
        <f t="shared" si="116"/>
        <v>#REF!</v>
      </c>
      <c r="Q552" s="83" t="str">
        <f t="shared" si="118"/>
        <v/>
      </c>
      <c r="R552" s="84" t="e">
        <f t="shared" si="106"/>
        <v>#REF!</v>
      </c>
      <c r="S552" s="83" t="e">
        <f t="shared" si="106"/>
        <v>#REF!</v>
      </c>
      <c r="T552" s="84" t="e">
        <f t="shared" si="107"/>
        <v>#REF!</v>
      </c>
      <c r="U552" s="84" t="e">
        <f t="shared" si="108"/>
        <v>#REF!</v>
      </c>
      <c r="V552" s="85" t="e">
        <f>#REF!</f>
        <v>#REF!</v>
      </c>
      <c r="W552" s="86">
        <f t="shared" si="109"/>
        <v>0</v>
      </c>
      <c r="X552" s="86">
        <f t="shared" si="109"/>
        <v>0</v>
      </c>
      <c r="Y552" s="87">
        <f t="shared" si="110"/>
        <v>0</v>
      </c>
      <c r="Z552" s="87">
        <f t="shared" si="111"/>
        <v>0</v>
      </c>
      <c r="AA552" s="87">
        <f t="shared" si="112"/>
        <v>4</v>
      </c>
    </row>
    <row r="553" spans="9:27">
      <c r="I553" s="81" t="e">
        <f>IF(#REF!&lt;&gt;"",#REF!,"")</f>
        <v>#REF!</v>
      </c>
      <c r="J553" s="81" t="e">
        <f t="shared" si="113"/>
        <v>#REF!</v>
      </c>
      <c r="L553" s="82" t="e">
        <f t="shared" si="114"/>
        <v>#REF!</v>
      </c>
      <c r="M553" s="81" t="e">
        <f t="shared" si="117"/>
        <v>#REF!</v>
      </c>
      <c r="N553" s="81" t="e">
        <f t="shared" si="115"/>
        <v>#REF!</v>
      </c>
      <c r="O553" s="81" t="e">
        <f t="shared" si="116"/>
        <v>#REF!</v>
      </c>
      <c r="Q553" s="83" t="str">
        <f t="shared" si="118"/>
        <v/>
      </c>
      <c r="R553" s="84" t="e">
        <f t="shared" si="106"/>
        <v>#REF!</v>
      </c>
      <c r="S553" s="83" t="e">
        <f t="shared" si="106"/>
        <v>#REF!</v>
      </c>
      <c r="T553" s="84" t="e">
        <f t="shared" si="107"/>
        <v>#REF!</v>
      </c>
      <c r="U553" s="84" t="e">
        <f t="shared" si="108"/>
        <v>#REF!</v>
      </c>
      <c r="V553" s="85" t="e">
        <f>#REF!</f>
        <v>#REF!</v>
      </c>
      <c r="W553" s="86">
        <f t="shared" si="109"/>
        <v>0</v>
      </c>
      <c r="X553" s="86">
        <f t="shared" si="109"/>
        <v>0</v>
      </c>
      <c r="Y553" s="87">
        <f t="shared" si="110"/>
        <v>0</v>
      </c>
      <c r="Z553" s="87">
        <f t="shared" si="111"/>
        <v>0</v>
      </c>
      <c r="AA553" s="87">
        <f t="shared" si="112"/>
        <v>4</v>
      </c>
    </row>
    <row r="554" spans="9:27">
      <c r="I554" s="81" t="e">
        <f>IF(#REF!&lt;&gt;"",#REF!,"")</f>
        <v>#REF!</v>
      </c>
      <c r="J554" s="81" t="e">
        <f t="shared" si="113"/>
        <v>#REF!</v>
      </c>
      <c r="L554" s="82" t="e">
        <f t="shared" si="114"/>
        <v>#REF!</v>
      </c>
      <c r="M554" s="81" t="e">
        <f t="shared" si="117"/>
        <v>#REF!</v>
      </c>
      <c r="N554" s="81" t="e">
        <f t="shared" si="115"/>
        <v>#REF!</v>
      </c>
      <c r="O554" s="81" t="e">
        <f t="shared" si="116"/>
        <v>#REF!</v>
      </c>
      <c r="Q554" s="83" t="str">
        <f t="shared" si="118"/>
        <v/>
      </c>
      <c r="R554" s="84" t="e">
        <f t="shared" si="106"/>
        <v>#REF!</v>
      </c>
      <c r="S554" s="83" t="e">
        <f t="shared" si="106"/>
        <v>#REF!</v>
      </c>
      <c r="T554" s="84" t="e">
        <f t="shared" si="107"/>
        <v>#REF!</v>
      </c>
      <c r="U554" s="84" t="e">
        <f t="shared" si="108"/>
        <v>#REF!</v>
      </c>
      <c r="V554" s="85" t="e">
        <f>#REF!</f>
        <v>#REF!</v>
      </c>
      <c r="W554" s="86">
        <f t="shared" si="109"/>
        <v>0</v>
      </c>
      <c r="X554" s="86">
        <f t="shared" si="109"/>
        <v>0</v>
      </c>
      <c r="Y554" s="87">
        <f t="shared" si="110"/>
        <v>0</v>
      </c>
      <c r="Z554" s="87">
        <f t="shared" si="111"/>
        <v>0</v>
      </c>
      <c r="AA554" s="87">
        <f t="shared" si="112"/>
        <v>4</v>
      </c>
    </row>
    <row r="555" spans="9:27">
      <c r="I555" s="81" t="e">
        <f>IF(#REF!&lt;&gt;"",#REF!,"")</f>
        <v>#REF!</v>
      </c>
      <c r="J555" s="81" t="e">
        <f t="shared" si="113"/>
        <v>#REF!</v>
      </c>
      <c r="L555" s="82" t="e">
        <f t="shared" si="114"/>
        <v>#REF!</v>
      </c>
      <c r="M555" s="81" t="e">
        <f t="shared" si="117"/>
        <v>#REF!</v>
      </c>
      <c r="N555" s="81" t="e">
        <f t="shared" si="115"/>
        <v>#REF!</v>
      </c>
      <c r="O555" s="81" t="e">
        <f t="shared" si="116"/>
        <v>#REF!</v>
      </c>
      <c r="Q555" s="83" t="str">
        <f t="shared" si="118"/>
        <v/>
      </c>
      <c r="R555" s="84" t="e">
        <f t="shared" si="106"/>
        <v>#REF!</v>
      </c>
      <c r="S555" s="83" t="e">
        <f t="shared" si="106"/>
        <v>#REF!</v>
      </c>
      <c r="T555" s="84" t="e">
        <f t="shared" si="107"/>
        <v>#REF!</v>
      </c>
      <c r="U555" s="84" t="e">
        <f t="shared" si="108"/>
        <v>#REF!</v>
      </c>
      <c r="V555" s="85" t="e">
        <f>#REF!</f>
        <v>#REF!</v>
      </c>
      <c r="W555" s="86">
        <f t="shared" si="109"/>
        <v>0</v>
      </c>
      <c r="X555" s="86">
        <f t="shared" si="109"/>
        <v>0</v>
      </c>
      <c r="Y555" s="87">
        <f t="shared" si="110"/>
        <v>0</v>
      </c>
      <c r="Z555" s="87">
        <f t="shared" si="111"/>
        <v>0</v>
      </c>
      <c r="AA555" s="87">
        <f t="shared" si="112"/>
        <v>4</v>
      </c>
    </row>
    <row r="556" spans="9:27">
      <c r="I556" s="81" t="e">
        <f>IF(#REF!&lt;&gt;"",#REF!,"")</f>
        <v>#REF!</v>
      </c>
      <c r="J556" s="81" t="e">
        <f t="shared" si="113"/>
        <v>#REF!</v>
      </c>
      <c r="L556" s="82" t="e">
        <f t="shared" si="114"/>
        <v>#REF!</v>
      </c>
      <c r="M556" s="81" t="e">
        <f t="shared" si="117"/>
        <v>#REF!</v>
      </c>
      <c r="N556" s="81" t="e">
        <f t="shared" si="115"/>
        <v>#REF!</v>
      </c>
      <c r="O556" s="81" t="e">
        <f t="shared" si="116"/>
        <v>#REF!</v>
      </c>
      <c r="Q556" s="83" t="str">
        <f t="shared" si="118"/>
        <v/>
      </c>
      <c r="R556" s="84" t="e">
        <f t="shared" si="106"/>
        <v>#REF!</v>
      </c>
      <c r="S556" s="83" t="e">
        <f t="shared" si="106"/>
        <v>#REF!</v>
      </c>
      <c r="T556" s="84" t="e">
        <f t="shared" si="107"/>
        <v>#REF!</v>
      </c>
      <c r="U556" s="84" t="e">
        <f t="shared" si="108"/>
        <v>#REF!</v>
      </c>
      <c r="V556" s="85" t="e">
        <f>#REF!</f>
        <v>#REF!</v>
      </c>
      <c r="W556" s="86">
        <f t="shared" si="109"/>
        <v>0</v>
      </c>
      <c r="X556" s="86">
        <f t="shared" si="109"/>
        <v>0</v>
      </c>
      <c r="Y556" s="87">
        <f t="shared" si="110"/>
        <v>0</v>
      </c>
      <c r="Z556" s="87">
        <f t="shared" si="111"/>
        <v>0</v>
      </c>
      <c r="AA556" s="87">
        <f t="shared" si="112"/>
        <v>4</v>
      </c>
    </row>
    <row r="557" spans="9:27">
      <c r="I557" s="81" t="e">
        <f>IF(#REF!&lt;&gt;"",#REF!,"")</f>
        <v>#REF!</v>
      </c>
      <c r="J557" s="81" t="e">
        <f t="shared" si="113"/>
        <v>#REF!</v>
      </c>
      <c r="L557" s="82" t="e">
        <f t="shared" si="114"/>
        <v>#REF!</v>
      </c>
      <c r="M557" s="81" t="e">
        <f t="shared" si="117"/>
        <v>#REF!</v>
      </c>
      <c r="N557" s="81" t="e">
        <f t="shared" si="115"/>
        <v>#REF!</v>
      </c>
      <c r="O557" s="81" t="e">
        <f t="shared" si="116"/>
        <v>#REF!</v>
      </c>
      <c r="Q557" s="83" t="str">
        <f t="shared" si="118"/>
        <v/>
      </c>
      <c r="R557" s="84" t="e">
        <f t="shared" si="106"/>
        <v>#REF!</v>
      </c>
      <c r="S557" s="83" t="e">
        <f t="shared" si="106"/>
        <v>#REF!</v>
      </c>
      <c r="T557" s="84" t="e">
        <f t="shared" si="107"/>
        <v>#REF!</v>
      </c>
      <c r="U557" s="84" t="e">
        <f t="shared" si="108"/>
        <v>#REF!</v>
      </c>
      <c r="V557" s="85" t="e">
        <f>#REF!</f>
        <v>#REF!</v>
      </c>
      <c r="W557" s="86">
        <f t="shared" si="109"/>
        <v>0</v>
      </c>
      <c r="X557" s="86">
        <f t="shared" si="109"/>
        <v>0</v>
      </c>
      <c r="Y557" s="87">
        <f t="shared" si="110"/>
        <v>0</v>
      </c>
      <c r="Z557" s="87">
        <f t="shared" si="111"/>
        <v>0</v>
      </c>
      <c r="AA557" s="87">
        <f t="shared" si="112"/>
        <v>4</v>
      </c>
    </row>
    <row r="558" spans="9:27">
      <c r="I558" s="81" t="e">
        <f>IF(#REF!&lt;&gt;"",#REF!,"")</f>
        <v>#REF!</v>
      </c>
      <c r="J558" s="81" t="e">
        <f t="shared" si="113"/>
        <v>#REF!</v>
      </c>
      <c r="L558" s="82" t="e">
        <f t="shared" si="114"/>
        <v>#REF!</v>
      </c>
      <c r="M558" s="81" t="e">
        <f t="shared" si="117"/>
        <v>#REF!</v>
      </c>
      <c r="N558" s="81" t="e">
        <f t="shared" si="115"/>
        <v>#REF!</v>
      </c>
      <c r="O558" s="81" t="e">
        <f t="shared" si="116"/>
        <v>#REF!</v>
      </c>
      <c r="Q558" s="83" t="str">
        <f t="shared" si="118"/>
        <v/>
      </c>
      <c r="R558" s="84" t="e">
        <f t="shared" si="106"/>
        <v>#REF!</v>
      </c>
      <c r="S558" s="83" t="e">
        <f t="shared" si="106"/>
        <v>#REF!</v>
      </c>
      <c r="T558" s="84" t="e">
        <f t="shared" si="107"/>
        <v>#REF!</v>
      </c>
      <c r="U558" s="84" t="e">
        <f t="shared" si="108"/>
        <v>#REF!</v>
      </c>
      <c r="V558" s="85" t="e">
        <f>#REF!</f>
        <v>#REF!</v>
      </c>
      <c r="W558" s="86">
        <f t="shared" si="109"/>
        <v>0</v>
      </c>
      <c r="X558" s="86">
        <f t="shared" si="109"/>
        <v>0</v>
      </c>
      <c r="Y558" s="87">
        <f t="shared" si="110"/>
        <v>0</v>
      </c>
      <c r="Z558" s="87">
        <f t="shared" si="111"/>
        <v>0</v>
      </c>
      <c r="AA558" s="87">
        <f t="shared" si="112"/>
        <v>4</v>
      </c>
    </row>
    <row r="559" spans="9:27">
      <c r="I559" s="81" t="e">
        <f>IF(#REF!&lt;&gt;"",#REF!,"")</f>
        <v>#REF!</v>
      </c>
      <c r="J559" s="81" t="e">
        <f t="shared" si="113"/>
        <v>#REF!</v>
      </c>
      <c r="L559" s="82" t="e">
        <f t="shared" si="114"/>
        <v>#REF!</v>
      </c>
      <c r="M559" s="81" t="e">
        <f t="shared" si="117"/>
        <v>#REF!</v>
      </c>
      <c r="N559" s="81" t="e">
        <f t="shared" si="115"/>
        <v>#REF!</v>
      </c>
      <c r="O559" s="81" t="e">
        <f t="shared" si="116"/>
        <v>#REF!</v>
      </c>
      <c r="Q559" s="83" t="str">
        <f t="shared" si="118"/>
        <v/>
      </c>
      <c r="R559" s="84" t="e">
        <f t="shared" si="106"/>
        <v>#REF!</v>
      </c>
      <c r="S559" s="83" t="e">
        <f t="shared" si="106"/>
        <v>#REF!</v>
      </c>
      <c r="T559" s="84" t="e">
        <f t="shared" si="107"/>
        <v>#REF!</v>
      </c>
      <c r="U559" s="84" t="e">
        <f t="shared" si="108"/>
        <v>#REF!</v>
      </c>
      <c r="V559" s="85" t="e">
        <f>#REF!</f>
        <v>#REF!</v>
      </c>
      <c r="W559" s="86">
        <f t="shared" si="109"/>
        <v>0</v>
      </c>
      <c r="X559" s="86">
        <f t="shared" si="109"/>
        <v>0</v>
      </c>
      <c r="Y559" s="87">
        <f t="shared" si="110"/>
        <v>0</v>
      </c>
      <c r="Z559" s="87">
        <f t="shared" si="111"/>
        <v>0</v>
      </c>
      <c r="AA559" s="87">
        <f t="shared" si="112"/>
        <v>4</v>
      </c>
    </row>
    <row r="560" spans="9:27">
      <c r="I560" s="81" t="e">
        <f>IF(#REF!&lt;&gt;"",#REF!,"")</f>
        <v>#REF!</v>
      </c>
      <c r="J560" s="81" t="e">
        <f t="shared" si="113"/>
        <v>#REF!</v>
      </c>
      <c r="L560" s="82" t="e">
        <f t="shared" si="114"/>
        <v>#REF!</v>
      </c>
      <c r="M560" s="81" t="e">
        <f t="shared" si="117"/>
        <v>#REF!</v>
      </c>
      <c r="N560" s="81" t="e">
        <f t="shared" si="115"/>
        <v>#REF!</v>
      </c>
      <c r="O560" s="81" t="e">
        <f t="shared" si="116"/>
        <v>#REF!</v>
      </c>
      <c r="Q560" s="83" t="str">
        <f t="shared" si="118"/>
        <v/>
      </c>
      <c r="R560" s="84" t="e">
        <f t="shared" si="106"/>
        <v>#REF!</v>
      </c>
      <c r="S560" s="83" t="e">
        <f t="shared" si="106"/>
        <v>#REF!</v>
      </c>
      <c r="T560" s="84" t="e">
        <f t="shared" si="107"/>
        <v>#REF!</v>
      </c>
      <c r="U560" s="84" t="e">
        <f t="shared" si="108"/>
        <v>#REF!</v>
      </c>
      <c r="V560" s="85" t="e">
        <f>#REF!</f>
        <v>#REF!</v>
      </c>
      <c r="W560" s="86">
        <f t="shared" si="109"/>
        <v>0</v>
      </c>
      <c r="X560" s="86">
        <f t="shared" si="109"/>
        <v>0</v>
      </c>
      <c r="Y560" s="87">
        <f t="shared" si="110"/>
        <v>0</v>
      </c>
      <c r="Z560" s="87">
        <f t="shared" si="111"/>
        <v>0</v>
      </c>
      <c r="AA560" s="87">
        <f t="shared" si="112"/>
        <v>4</v>
      </c>
    </row>
    <row r="561" spans="9:27">
      <c r="I561" s="81" t="e">
        <f>IF(#REF!&lt;&gt;"",#REF!,"")</f>
        <v>#REF!</v>
      </c>
      <c r="J561" s="81" t="e">
        <f t="shared" si="113"/>
        <v>#REF!</v>
      </c>
      <c r="L561" s="82" t="e">
        <f t="shared" si="114"/>
        <v>#REF!</v>
      </c>
      <c r="M561" s="81" t="e">
        <f t="shared" si="117"/>
        <v>#REF!</v>
      </c>
      <c r="N561" s="81" t="e">
        <f t="shared" si="115"/>
        <v>#REF!</v>
      </c>
      <c r="O561" s="81" t="e">
        <f t="shared" si="116"/>
        <v>#REF!</v>
      </c>
      <c r="Q561" s="83" t="str">
        <f t="shared" si="118"/>
        <v/>
      </c>
      <c r="R561" s="84" t="e">
        <f t="shared" si="106"/>
        <v>#REF!</v>
      </c>
      <c r="S561" s="83" t="e">
        <f t="shared" si="106"/>
        <v>#REF!</v>
      </c>
      <c r="T561" s="84" t="e">
        <f t="shared" si="107"/>
        <v>#REF!</v>
      </c>
      <c r="U561" s="84" t="e">
        <f t="shared" si="108"/>
        <v>#REF!</v>
      </c>
      <c r="V561" s="85" t="e">
        <f>#REF!</f>
        <v>#REF!</v>
      </c>
      <c r="W561" s="86">
        <f t="shared" si="109"/>
        <v>0</v>
      </c>
      <c r="X561" s="86">
        <f t="shared" si="109"/>
        <v>0</v>
      </c>
      <c r="Y561" s="87">
        <f t="shared" si="110"/>
        <v>0</v>
      </c>
      <c r="Z561" s="87">
        <f t="shared" si="111"/>
        <v>0</v>
      </c>
      <c r="AA561" s="87">
        <f t="shared" si="112"/>
        <v>4</v>
      </c>
    </row>
    <row r="562" spans="9:27">
      <c r="I562" s="81" t="e">
        <f>IF(#REF!&lt;&gt;"",#REF!,"")</f>
        <v>#REF!</v>
      </c>
      <c r="J562" s="81" t="e">
        <f t="shared" si="113"/>
        <v>#REF!</v>
      </c>
      <c r="L562" s="82" t="e">
        <f t="shared" si="114"/>
        <v>#REF!</v>
      </c>
      <c r="M562" s="81" t="e">
        <f t="shared" si="117"/>
        <v>#REF!</v>
      </c>
      <c r="N562" s="81" t="e">
        <f t="shared" si="115"/>
        <v>#REF!</v>
      </c>
      <c r="O562" s="81" t="e">
        <f t="shared" si="116"/>
        <v>#REF!</v>
      </c>
      <c r="Q562" s="83" t="str">
        <f t="shared" si="118"/>
        <v/>
      </c>
      <c r="R562" s="84" t="e">
        <f t="shared" si="106"/>
        <v>#REF!</v>
      </c>
      <c r="S562" s="83" t="e">
        <f t="shared" si="106"/>
        <v>#REF!</v>
      </c>
      <c r="T562" s="84" t="e">
        <f t="shared" si="107"/>
        <v>#REF!</v>
      </c>
      <c r="U562" s="84" t="e">
        <f t="shared" si="108"/>
        <v>#REF!</v>
      </c>
      <c r="V562" s="85" t="e">
        <f>#REF!</f>
        <v>#REF!</v>
      </c>
      <c r="W562" s="86">
        <f t="shared" si="109"/>
        <v>0</v>
      </c>
      <c r="X562" s="86">
        <f t="shared" si="109"/>
        <v>0</v>
      </c>
      <c r="Y562" s="87">
        <f t="shared" si="110"/>
        <v>0</v>
      </c>
      <c r="Z562" s="87">
        <f t="shared" si="111"/>
        <v>0</v>
      </c>
      <c r="AA562" s="87">
        <f t="shared" si="112"/>
        <v>4</v>
      </c>
    </row>
    <row r="563" spans="9:27">
      <c r="I563" s="81" t="e">
        <f>IF(#REF!&lt;&gt;"",#REF!,"")</f>
        <v>#REF!</v>
      </c>
      <c r="J563" s="81" t="e">
        <f t="shared" si="113"/>
        <v>#REF!</v>
      </c>
      <c r="L563" s="82" t="e">
        <f t="shared" si="114"/>
        <v>#REF!</v>
      </c>
      <c r="M563" s="81" t="e">
        <f t="shared" si="117"/>
        <v>#REF!</v>
      </c>
      <c r="N563" s="81" t="e">
        <f t="shared" si="115"/>
        <v>#REF!</v>
      </c>
      <c r="O563" s="81" t="e">
        <f t="shared" si="116"/>
        <v>#REF!</v>
      </c>
      <c r="Q563" s="83" t="str">
        <f t="shared" si="118"/>
        <v/>
      </c>
      <c r="R563" s="84" t="e">
        <f t="shared" si="106"/>
        <v>#REF!</v>
      </c>
      <c r="S563" s="83" t="e">
        <f t="shared" si="106"/>
        <v>#REF!</v>
      </c>
      <c r="T563" s="84" t="e">
        <f t="shared" si="107"/>
        <v>#REF!</v>
      </c>
      <c r="U563" s="84" t="e">
        <f t="shared" si="108"/>
        <v>#REF!</v>
      </c>
      <c r="V563" s="85" t="e">
        <f>#REF!</f>
        <v>#REF!</v>
      </c>
      <c r="W563" s="86">
        <f t="shared" si="109"/>
        <v>0</v>
      </c>
      <c r="X563" s="86">
        <f t="shared" si="109"/>
        <v>0</v>
      </c>
      <c r="Y563" s="87">
        <f t="shared" si="110"/>
        <v>0</v>
      </c>
      <c r="Z563" s="87">
        <f t="shared" si="111"/>
        <v>0</v>
      </c>
      <c r="AA563" s="87">
        <f t="shared" si="112"/>
        <v>4</v>
      </c>
    </row>
    <row r="564" spans="9:27">
      <c r="I564" s="81" t="e">
        <f>IF(#REF!&lt;&gt;"",#REF!,"")</f>
        <v>#REF!</v>
      </c>
      <c r="J564" s="81" t="e">
        <f t="shared" si="113"/>
        <v>#REF!</v>
      </c>
      <c r="L564" s="82" t="e">
        <f t="shared" si="114"/>
        <v>#REF!</v>
      </c>
      <c r="M564" s="81" t="e">
        <f t="shared" si="117"/>
        <v>#REF!</v>
      </c>
      <c r="N564" s="81" t="e">
        <f t="shared" si="115"/>
        <v>#REF!</v>
      </c>
      <c r="O564" s="81" t="e">
        <f t="shared" si="116"/>
        <v>#REF!</v>
      </c>
      <c r="Q564" s="83" t="str">
        <f t="shared" si="118"/>
        <v/>
      </c>
      <c r="R564" s="84" t="e">
        <f t="shared" si="106"/>
        <v>#REF!</v>
      </c>
      <c r="S564" s="83" t="e">
        <f t="shared" si="106"/>
        <v>#REF!</v>
      </c>
      <c r="T564" s="84" t="e">
        <f t="shared" si="107"/>
        <v>#REF!</v>
      </c>
      <c r="U564" s="84" t="e">
        <f t="shared" si="108"/>
        <v>#REF!</v>
      </c>
      <c r="V564" s="85" t="e">
        <f>#REF!</f>
        <v>#REF!</v>
      </c>
      <c r="W564" s="86">
        <f t="shared" si="109"/>
        <v>0</v>
      </c>
      <c r="X564" s="86">
        <f t="shared" si="109"/>
        <v>0</v>
      </c>
      <c r="Y564" s="87">
        <f t="shared" si="110"/>
        <v>0</v>
      </c>
      <c r="Z564" s="87">
        <f t="shared" si="111"/>
        <v>0</v>
      </c>
      <c r="AA564" s="87">
        <f t="shared" si="112"/>
        <v>4</v>
      </c>
    </row>
    <row r="565" spans="9:27">
      <c r="I565" s="81" t="e">
        <f>IF(#REF!&lt;&gt;"",#REF!,"")</f>
        <v>#REF!</v>
      </c>
      <c r="J565" s="81" t="e">
        <f t="shared" si="113"/>
        <v>#REF!</v>
      </c>
      <c r="L565" s="82" t="e">
        <f t="shared" si="114"/>
        <v>#REF!</v>
      </c>
      <c r="M565" s="81" t="e">
        <f t="shared" si="117"/>
        <v>#REF!</v>
      </c>
      <c r="N565" s="81" t="e">
        <f t="shared" si="115"/>
        <v>#REF!</v>
      </c>
      <c r="O565" s="81" t="e">
        <f t="shared" si="116"/>
        <v>#REF!</v>
      </c>
      <c r="Q565" s="83" t="str">
        <f t="shared" si="118"/>
        <v/>
      </c>
      <c r="R565" s="84" t="e">
        <f t="shared" si="106"/>
        <v>#REF!</v>
      </c>
      <c r="S565" s="83" t="e">
        <f t="shared" si="106"/>
        <v>#REF!</v>
      </c>
      <c r="T565" s="84" t="e">
        <f t="shared" si="107"/>
        <v>#REF!</v>
      </c>
      <c r="U565" s="84" t="e">
        <f t="shared" si="108"/>
        <v>#REF!</v>
      </c>
      <c r="V565" s="85" t="e">
        <f>#REF!</f>
        <v>#REF!</v>
      </c>
      <c r="W565" s="86">
        <f t="shared" si="109"/>
        <v>0</v>
      </c>
      <c r="X565" s="86">
        <f t="shared" si="109"/>
        <v>0</v>
      </c>
      <c r="Y565" s="87">
        <f t="shared" si="110"/>
        <v>0</v>
      </c>
      <c r="Z565" s="87">
        <f t="shared" si="111"/>
        <v>0</v>
      </c>
      <c r="AA565" s="87">
        <f t="shared" si="112"/>
        <v>4</v>
      </c>
    </row>
    <row r="566" spans="9:27">
      <c r="I566" s="81" t="e">
        <f>IF(#REF!&lt;&gt;"",#REF!,"")</f>
        <v>#REF!</v>
      </c>
      <c r="J566" s="81" t="e">
        <f t="shared" si="113"/>
        <v>#REF!</v>
      </c>
      <c r="L566" s="82" t="e">
        <f t="shared" si="114"/>
        <v>#REF!</v>
      </c>
      <c r="M566" s="81" t="e">
        <f t="shared" si="117"/>
        <v>#REF!</v>
      </c>
      <c r="N566" s="81" t="e">
        <f t="shared" si="115"/>
        <v>#REF!</v>
      </c>
      <c r="O566" s="81" t="e">
        <f t="shared" si="116"/>
        <v>#REF!</v>
      </c>
      <c r="Q566" s="83" t="str">
        <f t="shared" si="118"/>
        <v/>
      </c>
      <c r="R566" s="84" t="e">
        <f t="shared" si="106"/>
        <v>#REF!</v>
      </c>
      <c r="S566" s="83" t="e">
        <f t="shared" si="106"/>
        <v>#REF!</v>
      </c>
      <c r="T566" s="84" t="e">
        <f t="shared" si="107"/>
        <v>#REF!</v>
      </c>
      <c r="U566" s="84" t="e">
        <f t="shared" si="108"/>
        <v>#REF!</v>
      </c>
      <c r="V566" s="85" t="e">
        <f>#REF!</f>
        <v>#REF!</v>
      </c>
      <c r="W566" s="86">
        <f t="shared" si="109"/>
        <v>0</v>
      </c>
      <c r="X566" s="86">
        <f t="shared" si="109"/>
        <v>0</v>
      </c>
      <c r="Y566" s="87">
        <f t="shared" si="110"/>
        <v>0</v>
      </c>
      <c r="Z566" s="87">
        <f t="shared" si="111"/>
        <v>0</v>
      </c>
      <c r="AA566" s="87">
        <f t="shared" si="112"/>
        <v>4</v>
      </c>
    </row>
    <row r="567" spans="9:27">
      <c r="I567" s="81" t="e">
        <f>IF(#REF!&lt;&gt;"",#REF!,"")</f>
        <v>#REF!</v>
      </c>
      <c r="J567" s="81" t="e">
        <f t="shared" si="113"/>
        <v>#REF!</v>
      </c>
      <c r="L567" s="82" t="e">
        <f t="shared" si="114"/>
        <v>#REF!</v>
      </c>
      <c r="M567" s="81" t="e">
        <f t="shared" si="117"/>
        <v>#REF!</v>
      </c>
      <c r="N567" s="81" t="e">
        <f t="shared" si="115"/>
        <v>#REF!</v>
      </c>
      <c r="O567" s="81" t="e">
        <f t="shared" si="116"/>
        <v>#REF!</v>
      </c>
      <c r="Q567" s="83" t="str">
        <f t="shared" si="118"/>
        <v/>
      </c>
      <c r="R567" s="84" t="e">
        <f t="shared" si="106"/>
        <v>#REF!</v>
      </c>
      <c r="S567" s="83" t="e">
        <f t="shared" si="106"/>
        <v>#REF!</v>
      </c>
      <c r="T567" s="84" t="e">
        <f t="shared" si="107"/>
        <v>#REF!</v>
      </c>
      <c r="U567" s="84" t="e">
        <f t="shared" si="108"/>
        <v>#REF!</v>
      </c>
      <c r="V567" s="85" t="e">
        <f>#REF!</f>
        <v>#REF!</v>
      </c>
      <c r="W567" s="86">
        <f t="shared" si="109"/>
        <v>0</v>
      </c>
      <c r="X567" s="86">
        <f t="shared" si="109"/>
        <v>0</v>
      </c>
      <c r="Y567" s="87">
        <f t="shared" si="110"/>
        <v>0</v>
      </c>
      <c r="Z567" s="87">
        <f t="shared" si="111"/>
        <v>0</v>
      </c>
      <c r="AA567" s="87">
        <f t="shared" si="112"/>
        <v>4</v>
      </c>
    </row>
    <row r="568" spans="9:27">
      <c r="I568" s="81" t="e">
        <f>IF(#REF!&lt;&gt;"",#REF!,"")</f>
        <v>#REF!</v>
      </c>
      <c r="J568" s="81" t="e">
        <f t="shared" si="113"/>
        <v>#REF!</v>
      </c>
      <c r="L568" s="82" t="e">
        <f t="shared" si="114"/>
        <v>#REF!</v>
      </c>
      <c r="M568" s="81" t="e">
        <f t="shared" si="117"/>
        <v>#REF!</v>
      </c>
      <c r="N568" s="81" t="e">
        <f t="shared" si="115"/>
        <v>#REF!</v>
      </c>
      <c r="O568" s="81" t="e">
        <f t="shared" si="116"/>
        <v>#REF!</v>
      </c>
      <c r="Q568" s="83" t="str">
        <f t="shared" si="118"/>
        <v/>
      </c>
      <c r="R568" s="84" t="e">
        <f t="shared" si="106"/>
        <v>#REF!</v>
      </c>
      <c r="S568" s="83" t="e">
        <f t="shared" si="106"/>
        <v>#REF!</v>
      </c>
      <c r="T568" s="84" t="e">
        <f t="shared" si="107"/>
        <v>#REF!</v>
      </c>
      <c r="U568" s="84" t="e">
        <f t="shared" si="108"/>
        <v>#REF!</v>
      </c>
      <c r="V568" s="85" t="e">
        <f>#REF!</f>
        <v>#REF!</v>
      </c>
      <c r="W568" s="86">
        <f t="shared" si="109"/>
        <v>0</v>
      </c>
      <c r="X568" s="86">
        <f t="shared" si="109"/>
        <v>0</v>
      </c>
      <c r="Y568" s="87">
        <f t="shared" si="110"/>
        <v>0</v>
      </c>
      <c r="Z568" s="87">
        <f t="shared" si="111"/>
        <v>0</v>
      </c>
      <c r="AA568" s="87">
        <f t="shared" si="112"/>
        <v>4</v>
      </c>
    </row>
    <row r="569" spans="9:27">
      <c r="I569" s="81" t="e">
        <f>IF(#REF!&lt;&gt;"",#REF!,"")</f>
        <v>#REF!</v>
      </c>
      <c r="J569" s="81" t="e">
        <f t="shared" si="113"/>
        <v>#REF!</v>
      </c>
      <c r="L569" s="82" t="e">
        <f t="shared" si="114"/>
        <v>#REF!</v>
      </c>
      <c r="M569" s="81" t="e">
        <f t="shared" si="117"/>
        <v>#REF!</v>
      </c>
      <c r="N569" s="81" t="e">
        <f t="shared" si="115"/>
        <v>#REF!</v>
      </c>
      <c r="O569" s="81" t="e">
        <f t="shared" si="116"/>
        <v>#REF!</v>
      </c>
      <c r="Q569" s="83" t="str">
        <f t="shared" si="118"/>
        <v/>
      </c>
      <c r="R569" s="84" t="e">
        <f t="shared" si="106"/>
        <v>#REF!</v>
      </c>
      <c r="S569" s="83" t="e">
        <f t="shared" si="106"/>
        <v>#REF!</v>
      </c>
      <c r="T569" s="84" t="e">
        <f t="shared" si="107"/>
        <v>#REF!</v>
      </c>
      <c r="U569" s="84" t="e">
        <f t="shared" si="108"/>
        <v>#REF!</v>
      </c>
      <c r="V569" s="85" t="e">
        <f>#REF!</f>
        <v>#REF!</v>
      </c>
      <c r="W569" s="86">
        <f t="shared" si="109"/>
        <v>0</v>
      </c>
      <c r="X569" s="86">
        <f t="shared" si="109"/>
        <v>0</v>
      </c>
      <c r="Y569" s="87">
        <f t="shared" si="110"/>
        <v>0</v>
      </c>
      <c r="Z569" s="87">
        <f t="shared" si="111"/>
        <v>0</v>
      </c>
      <c r="AA569" s="87">
        <f t="shared" si="112"/>
        <v>4</v>
      </c>
    </row>
    <row r="570" spans="9:27">
      <c r="I570" s="81" t="e">
        <f>IF(#REF!&lt;&gt;"",#REF!,"")</f>
        <v>#REF!</v>
      </c>
      <c r="J570" s="81" t="e">
        <f t="shared" si="113"/>
        <v>#REF!</v>
      </c>
      <c r="L570" s="82" t="e">
        <f t="shared" si="114"/>
        <v>#REF!</v>
      </c>
      <c r="M570" s="81" t="e">
        <f t="shared" si="117"/>
        <v>#REF!</v>
      </c>
      <c r="N570" s="81" t="e">
        <f t="shared" si="115"/>
        <v>#REF!</v>
      </c>
      <c r="O570" s="81" t="e">
        <f t="shared" si="116"/>
        <v>#REF!</v>
      </c>
      <c r="Q570" s="83" t="str">
        <f t="shared" si="118"/>
        <v/>
      </c>
      <c r="R570" s="84" t="e">
        <f t="shared" si="106"/>
        <v>#REF!</v>
      </c>
      <c r="S570" s="83" t="e">
        <f t="shared" si="106"/>
        <v>#REF!</v>
      </c>
      <c r="T570" s="84" t="e">
        <f t="shared" si="107"/>
        <v>#REF!</v>
      </c>
      <c r="U570" s="84" t="e">
        <f t="shared" si="108"/>
        <v>#REF!</v>
      </c>
      <c r="V570" s="85" t="e">
        <f>#REF!</f>
        <v>#REF!</v>
      </c>
      <c r="W570" s="86">
        <f t="shared" si="109"/>
        <v>0</v>
      </c>
      <c r="X570" s="86">
        <f t="shared" si="109"/>
        <v>0</v>
      </c>
      <c r="Y570" s="87">
        <f t="shared" si="110"/>
        <v>0</v>
      </c>
      <c r="Z570" s="87">
        <f t="shared" si="111"/>
        <v>0</v>
      </c>
      <c r="AA570" s="87">
        <f t="shared" si="112"/>
        <v>4</v>
      </c>
    </row>
    <row r="571" spans="9:27">
      <c r="I571" s="81" t="e">
        <f>IF(#REF!&lt;&gt;"",#REF!,"")</f>
        <v>#REF!</v>
      </c>
      <c r="J571" s="81" t="e">
        <f t="shared" si="113"/>
        <v>#REF!</v>
      </c>
      <c r="L571" s="82" t="e">
        <f t="shared" si="114"/>
        <v>#REF!</v>
      </c>
      <c r="M571" s="81" t="e">
        <f t="shared" si="117"/>
        <v>#REF!</v>
      </c>
      <c r="N571" s="81" t="e">
        <f t="shared" si="115"/>
        <v>#REF!</v>
      </c>
      <c r="O571" s="81" t="e">
        <f t="shared" si="116"/>
        <v>#REF!</v>
      </c>
      <c r="Q571" s="83" t="str">
        <f t="shared" si="118"/>
        <v/>
      </c>
      <c r="R571" s="84" t="e">
        <f t="shared" si="106"/>
        <v>#REF!</v>
      </c>
      <c r="S571" s="83" t="e">
        <f t="shared" si="106"/>
        <v>#REF!</v>
      </c>
      <c r="T571" s="84" t="e">
        <f t="shared" si="107"/>
        <v>#REF!</v>
      </c>
      <c r="U571" s="84" t="e">
        <f t="shared" si="108"/>
        <v>#REF!</v>
      </c>
      <c r="V571" s="85" t="e">
        <f>#REF!</f>
        <v>#REF!</v>
      </c>
      <c r="W571" s="86">
        <f t="shared" si="109"/>
        <v>0</v>
      </c>
      <c r="X571" s="86">
        <f t="shared" si="109"/>
        <v>0</v>
      </c>
      <c r="Y571" s="87">
        <f t="shared" si="110"/>
        <v>0</v>
      </c>
      <c r="Z571" s="87">
        <f t="shared" si="111"/>
        <v>0</v>
      </c>
      <c r="AA571" s="87">
        <f t="shared" si="112"/>
        <v>4</v>
      </c>
    </row>
    <row r="572" spans="9:27">
      <c r="I572" s="81" t="e">
        <f>IF(#REF!&lt;&gt;"",#REF!,"")</f>
        <v>#REF!</v>
      </c>
      <c r="J572" s="81" t="e">
        <f t="shared" si="113"/>
        <v>#REF!</v>
      </c>
      <c r="L572" s="82" t="e">
        <f t="shared" si="114"/>
        <v>#REF!</v>
      </c>
      <c r="M572" s="81" t="e">
        <f t="shared" si="117"/>
        <v>#REF!</v>
      </c>
      <c r="N572" s="81" t="e">
        <f t="shared" si="115"/>
        <v>#REF!</v>
      </c>
      <c r="O572" s="81" t="e">
        <f t="shared" si="116"/>
        <v>#REF!</v>
      </c>
      <c r="Q572" s="83" t="str">
        <f t="shared" si="118"/>
        <v/>
      </c>
      <c r="R572" s="84" t="e">
        <f t="shared" si="106"/>
        <v>#REF!</v>
      </c>
      <c r="S572" s="83" t="e">
        <f t="shared" si="106"/>
        <v>#REF!</v>
      </c>
      <c r="T572" s="84" t="e">
        <f t="shared" si="107"/>
        <v>#REF!</v>
      </c>
      <c r="U572" s="84" t="e">
        <f t="shared" si="108"/>
        <v>#REF!</v>
      </c>
      <c r="V572" s="85" t="e">
        <f>#REF!</f>
        <v>#REF!</v>
      </c>
      <c r="W572" s="86">
        <f t="shared" si="109"/>
        <v>0</v>
      </c>
      <c r="X572" s="86">
        <f t="shared" si="109"/>
        <v>0</v>
      </c>
      <c r="Y572" s="87">
        <f t="shared" si="110"/>
        <v>0</v>
      </c>
      <c r="Z572" s="87">
        <f t="shared" si="111"/>
        <v>0</v>
      </c>
      <c r="AA572" s="87">
        <f t="shared" si="112"/>
        <v>4</v>
      </c>
    </row>
    <row r="573" spans="9:27">
      <c r="I573" s="81" t="e">
        <f>IF(#REF!&lt;&gt;"",#REF!,"")</f>
        <v>#REF!</v>
      </c>
      <c r="J573" s="81" t="e">
        <f t="shared" si="113"/>
        <v>#REF!</v>
      </c>
      <c r="L573" s="82" t="e">
        <f t="shared" si="114"/>
        <v>#REF!</v>
      </c>
      <c r="M573" s="81" t="e">
        <f t="shared" si="117"/>
        <v>#REF!</v>
      </c>
      <c r="N573" s="81" t="e">
        <f t="shared" si="115"/>
        <v>#REF!</v>
      </c>
      <c r="O573" s="81" t="e">
        <f t="shared" si="116"/>
        <v>#REF!</v>
      </c>
      <c r="Q573" s="83" t="str">
        <f t="shared" si="118"/>
        <v/>
      </c>
      <c r="R573" s="84" t="e">
        <f t="shared" si="106"/>
        <v>#REF!</v>
      </c>
      <c r="S573" s="83" t="e">
        <f t="shared" si="106"/>
        <v>#REF!</v>
      </c>
      <c r="T573" s="84" t="e">
        <f t="shared" si="107"/>
        <v>#REF!</v>
      </c>
      <c r="U573" s="84" t="e">
        <f t="shared" si="108"/>
        <v>#REF!</v>
      </c>
      <c r="V573" s="85" t="e">
        <f>#REF!</f>
        <v>#REF!</v>
      </c>
      <c r="W573" s="86">
        <f t="shared" si="109"/>
        <v>0</v>
      </c>
      <c r="X573" s="86">
        <f t="shared" si="109"/>
        <v>0</v>
      </c>
      <c r="Y573" s="87">
        <f t="shared" si="110"/>
        <v>0</v>
      </c>
      <c r="Z573" s="87">
        <f t="shared" si="111"/>
        <v>0</v>
      </c>
      <c r="AA573" s="87">
        <f t="shared" si="112"/>
        <v>4</v>
      </c>
    </row>
    <row r="574" spans="9:27">
      <c r="I574" s="81" t="e">
        <f>IF(#REF!&lt;&gt;"",#REF!,"")</f>
        <v>#REF!</v>
      </c>
      <c r="J574" s="81" t="e">
        <f t="shared" si="113"/>
        <v>#REF!</v>
      </c>
      <c r="L574" s="82" t="e">
        <f t="shared" si="114"/>
        <v>#REF!</v>
      </c>
      <c r="M574" s="81" t="e">
        <f t="shared" si="117"/>
        <v>#REF!</v>
      </c>
      <c r="N574" s="81" t="e">
        <f t="shared" si="115"/>
        <v>#REF!</v>
      </c>
      <c r="O574" s="81" t="e">
        <f t="shared" si="116"/>
        <v>#REF!</v>
      </c>
      <c r="Q574" s="83" t="str">
        <f t="shared" si="118"/>
        <v/>
      </c>
      <c r="R574" s="84" t="e">
        <f t="shared" si="106"/>
        <v>#REF!</v>
      </c>
      <c r="S574" s="83" t="e">
        <f t="shared" si="106"/>
        <v>#REF!</v>
      </c>
      <c r="T574" s="84" t="e">
        <f t="shared" si="107"/>
        <v>#REF!</v>
      </c>
      <c r="U574" s="84" t="e">
        <f t="shared" si="108"/>
        <v>#REF!</v>
      </c>
      <c r="V574" s="85" t="e">
        <f>#REF!</f>
        <v>#REF!</v>
      </c>
      <c r="W574" s="86">
        <f t="shared" si="109"/>
        <v>0</v>
      </c>
      <c r="X574" s="86">
        <f t="shared" si="109"/>
        <v>0</v>
      </c>
      <c r="Y574" s="87">
        <f t="shared" si="110"/>
        <v>0</v>
      </c>
      <c r="Z574" s="87">
        <f t="shared" si="111"/>
        <v>0</v>
      </c>
      <c r="AA574" s="87">
        <f t="shared" si="112"/>
        <v>4</v>
      </c>
    </row>
    <row r="575" spans="9:27">
      <c r="I575" s="81" t="e">
        <f>IF(#REF!&lt;&gt;"",#REF!,"")</f>
        <v>#REF!</v>
      </c>
      <c r="J575" s="81" t="e">
        <f t="shared" si="113"/>
        <v>#REF!</v>
      </c>
      <c r="L575" s="82" t="e">
        <f t="shared" si="114"/>
        <v>#REF!</v>
      </c>
      <c r="M575" s="81" t="e">
        <f t="shared" si="117"/>
        <v>#REF!</v>
      </c>
      <c r="N575" s="81" t="e">
        <f t="shared" si="115"/>
        <v>#REF!</v>
      </c>
      <c r="O575" s="81" t="e">
        <f t="shared" si="116"/>
        <v>#REF!</v>
      </c>
      <c r="Q575" s="83" t="str">
        <f t="shared" si="118"/>
        <v/>
      </c>
      <c r="R575" s="84" t="e">
        <f t="shared" si="106"/>
        <v>#REF!</v>
      </c>
      <c r="S575" s="83" t="e">
        <f t="shared" si="106"/>
        <v>#REF!</v>
      </c>
      <c r="T575" s="84" t="e">
        <f t="shared" si="107"/>
        <v>#REF!</v>
      </c>
      <c r="U575" s="84" t="e">
        <f t="shared" si="108"/>
        <v>#REF!</v>
      </c>
      <c r="V575" s="85" t="e">
        <f>#REF!</f>
        <v>#REF!</v>
      </c>
      <c r="W575" s="86">
        <f t="shared" si="109"/>
        <v>0</v>
      </c>
      <c r="X575" s="86">
        <f t="shared" si="109"/>
        <v>0</v>
      </c>
      <c r="Y575" s="87">
        <f t="shared" si="110"/>
        <v>0</v>
      </c>
      <c r="Z575" s="87">
        <f t="shared" si="111"/>
        <v>0</v>
      </c>
      <c r="AA575" s="87">
        <f t="shared" si="112"/>
        <v>4</v>
      </c>
    </row>
    <row r="576" spans="9:27">
      <c r="I576" s="81" t="e">
        <f>IF(#REF!&lt;&gt;"",#REF!,"")</f>
        <v>#REF!</v>
      </c>
      <c r="J576" s="81" t="e">
        <f t="shared" si="113"/>
        <v>#REF!</v>
      </c>
      <c r="L576" s="82" t="e">
        <f t="shared" si="114"/>
        <v>#REF!</v>
      </c>
      <c r="M576" s="81" t="e">
        <f t="shared" si="117"/>
        <v>#REF!</v>
      </c>
      <c r="N576" s="81" t="e">
        <f t="shared" si="115"/>
        <v>#REF!</v>
      </c>
      <c r="O576" s="81" t="e">
        <f t="shared" si="116"/>
        <v>#REF!</v>
      </c>
      <c r="Q576" s="83" t="str">
        <f t="shared" si="118"/>
        <v/>
      </c>
      <c r="R576" s="84" t="e">
        <f t="shared" ref="R576:S639" si="119">IF(L576="","",L576)</f>
        <v>#REF!</v>
      </c>
      <c r="S576" s="83" t="e">
        <f t="shared" si="119"/>
        <v>#REF!</v>
      </c>
      <c r="T576" s="84" t="e">
        <f t="shared" ref="T576:T639" si="120">IF(W576=1,"",N576)</f>
        <v>#REF!</v>
      </c>
      <c r="U576" s="84" t="e">
        <f t="shared" ref="U576:U639" si="121">IF(OR(W576=1,X576=1),"",O576)</f>
        <v>#REF!</v>
      </c>
      <c r="V576" s="85" t="e">
        <f>#REF!</f>
        <v>#REF!</v>
      </c>
      <c r="W576" s="86">
        <f t="shared" si="109"/>
        <v>0</v>
      </c>
      <c r="X576" s="86">
        <f t="shared" si="109"/>
        <v>0</v>
      </c>
      <c r="Y576" s="87">
        <f t="shared" si="110"/>
        <v>0</v>
      </c>
      <c r="Z576" s="87">
        <f t="shared" si="111"/>
        <v>0</v>
      </c>
      <c r="AA576" s="87">
        <f t="shared" si="112"/>
        <v>4</v>
      </c>
    </row>
    <row r="577" spans="9:27">
      <c r="I577" s="81" t="e">
        <f>IF(#REF!&lt;&gt;"",#REF!,"")</f>
        <v>#REF!</v>
      </c>
      <c r="J577" s="81" t="e">
        <f t="shared" si="113"/>
        <v>#REF!</v>
      </c>
      <c r="L577" s="82" t="e">
        <f t="shared" si="114"/>
        <v>#REF!</v>
      </c>
      <c r="M577" s="81" t="e">
        <f t="shared" si="117"/>
        <v>#REF!</v>
      </c>
      <c r="N577" s="81" t="e">
        <f t="shared" si="115"/>
        <v>#REF!</v>
      </c>
      <c r="O577" s="81" t="e">
        <f t="shared" si="116"/>
        <v>#REF!</v>
      </c>
      <c r="Q577" s="83" t="str">
        <f t="shared" si="118"/>
        <v/>
      </c>
      <c r="R577" s="84" t="e">
        <f t="shared" si="119"/>
        <v>#REF!</v>
      </c>
      <c r="S577" s="83" t="e">
        <f t="shared" si="119"/>
        <v>#REF!</v>
      </c>
      <c r="T577" s="84" t="e">
        <f t="shared" si="120"/>
        <v>#REF!</v>
      </c>
      <c r="U577" s="84" t="e">
        <f t="shared" si="121"/>
        <v>#REF!</v>
      </c>
      <c r="V577" s="85" t="e">
        <f>#REF!</f>
        <v>#REF!</v>
      </c>
      <c r="W577" s="86">
        <f t="shared" ref="W577:X640" si="122">COUNTIFS(R577,"&gt;&lt;")</f>
        <v>0</v>
      </c>
      <c r="X577" s="86">
        <f t="shared" si="122"/>
        <v>0</v>
      </c>
      <c r="Y577" s="87">
        <f t="shared" ref="Y577:Y640" si="123">COUNTIFS(R577:U577,"*")</f>
        <v>0</v>
      </c>
      <c r="Z577" s="87">
        <f t="shared" ref="Z577:Z640" si="124">COUNTIFS(R577:U577,"&gt;&lt;")</f>
        <v>0</v>
      </c>
      <c r="AA577" s="87">
        <f t="shared" ref="AA577:AA640" si="125">COUNTIFS(R577:U577,"&lt;&gt;")</f>
        <v>4</v>
      </c>
    </row>
    <row r="578" spans="9:27">
      <c r="I578" s="81" t="e">
        <f>IF(#REF!&lt;&gt;"",#REF!,"")</f>
        <v>#REF!</v>
      </c>
      <c r="J578" s="81" t="e">
        <f t="shared" si="113"/>
        <v>#REF!</v>
      </c>
      <c r="L578" s="82" t="e">
        <f t="shared" si="114"/>
        <v>#REF!</v>
      </c>
      <c r="M578" s="81" t="e">
        <f t="shared" si="117"/>
        <v>#REF!</v>
      </c>
      <c r="N578" s="81" t="e">
        <f t="shared" si="115"/>
        <v>#REF!</v>
      </c>
      <c r="O578" s="81" t="e">
        <f t="shared" si="116"/>
        <v>#REF!</v>
      </c>
      <c r="Q578" s="83" t="str">
        <f t="shared" si="118"/>
        <v/>
      </c>
      <c r="R578" s="84" t="e">
        <f t="shared" si="119"/>
        <v>#REF!</v>
      </c>
      <c r="S578" s="83" t="e">
        <f t="shared" si="119"/>
        <v>#REF!</v>
      </c>
      <c r="T578" s="84" t="e">
        <f t="shared" si="120"/>
        <v>#REF!</v>
      </c>
      <c r="U578" s="84" t="e">
        <f t="shared" si="121"/>
        <v>#REF!</v>
      </c>
      <c r="V578" s="85" t="e">
        <f>#REF!</f>
        <v>#REF!</v>
      </c>
      <c r="W578" s="86">
        <f t="shared" si="122"/>
        <v>0</v>
      </c>
      <c r="X578" s="86">
        <f t="shared" si="122"/>
        <v>0</v>
      </c>
      <c r="Y578" s="87">
        <f t="shared" si="123"/>
        <v>0</v>
      </c>
      <c r="Z578" s="87">
        <f t="shared" si="124"/>
        <v>0</v>
      </c>
      <c r="AA578" s="87">
        <f t="shared" si="125"/>
        <v>4</v>
      </c>
    </row>
    <row r="579" spans="9:27">
      <c r="I579" s="81" t="e">
        <f>IF(#REF!&lt;&gt;"",#REF!,"")</f>
        <v>#REF!</v>
      </c>
      <c r="J579" s="81" t="e">
        <f t="shared" ref="J579:J642" si="126">LEFT(I579,1)</f>
        <v>#REF!</v>
      </c>
      <c r="L579" s="82" t="e">
        <f t="shared" ref="L579:L642" si="127">IF(OR(J579="E",J579="L",J579="M"),"",I579)</f>
        <v>#REF!</v>
      </c>
      <c r="M579" s="81" t="e">
        <f t="shared" si="117"/>
        <v>#REF!</v>
      </c>
      <c r="N579" s="81" t="e">
        <f t="shared" ref="N579:N642" si="128">IF(OR(J579="D",J579="E",J579="L"),"",I579)</f>
        <v>#REF!</v>
      </c>
      <c r="O579" s="81" t="e">
        <f t="shared" ref="O579:O642" si="129">IF(OR(J579="D",J579="E",J579="M"),"",I579)</f>
        <v>#REF!</v>
      </c>
      <c r="Q579" s="83" t="str">
        <f t="shared" si="118"/>
        <v/>
      </c>
      <c r="R579" s="84" t="e">
        <f t="shared" si="119"/>
        <v>#REF!</v>
      </c>
      <c r="S579" s="83" t="e">
        <f t="shared" si="119"/>
        <v>#REF!</v>
      </c>
      <c r="T579" s="84" t="e">
        <f t="shared" si="120"/>
        <v>#REF!</v>
      </c>
      <c r="U579" s="84" t="e">
        <f t="shared" si="121"/>
        <v>#REF!</v>
      </c>
      <c r="V579" s="85" t="e">
        <f>#REF!</f>
        <v>#REF!</v>
      </c>
      <c r="W579" s="86">
        <f t="shared" si="122"/>
        <v>0</v>
      </c>
      <c r="X579" s="86">
        <f t="shared" si="122"/>
        <v>0</v>
      </c>
      <c r="Y579" s="87">
        <f t="shared" si="123"/>
        <v>0</v>
      </c>
      <c r="Z579" s="87">
        <f t="shared" si="124"/>
        <v>0</v>
      </c>
      <c r="AA579" s="87">
        <f t="shared" si="125"/>
        <v>4</v>
      </c>
    </row>
    <row r="580" spans="9:27">
      <c r="I580" s="81" t="e">
        <f>IF(#REF!&lt;&gt;"",#REF!,"")</f>
        <v>#REF!</v>
      </c>
      <c r="J580" s="81" t="e">
        <f t="shared" si="126"/>
        <v>#REF!</v>
      </c>
      <c r="L580" s="82" t="e">
        <f t="shared" si="127"/>
        <v>#REF!</v>
      </c>
      <c r="M580" s="81" t="e">
        <f t="shared" si="117"/>
        <v>#REF!</v>
      </c>
      <c r="N580" s="81" t="e">
        <f t="shared" si="128"/>
        <v>#REF!</v>
      </c>
      <c r="O580" s="81" t="e">
        <f t="shared" si="129"/>
        <v>#REF!</v>
      </c>
      <c r="Q580" s="83" t="str">
        <f t="shared" si="118"/>
        <v/>
      </c>
      <c r="R580" s="84" t="e">
        <f t="shared" si="119"/>
        <v>#REF!</v>
      </c>
      <c r="S580" s="83" t="e">
        <f t="shared" si="119"/>
        <v>#REF!</v>
      </c>
      <c r="T580" s="84" t="e">
        <f t="shared" si="120"/>
        <v>#REF!</v>
      </c>
      <c r="U580" s="84" t="e">
        <f t="shared" si="121"/>
        <v>#REF!</v>
      </c>
      <c r="V580" s="85" t="e">
        <f>#REF!</f>
        <v>#REF!</v>
      </c>
      <c r="W580" s="86">
        <f t="shared" si="122"/>
        <v>0</v>
      </c>
      <c r="X580" s="86">
        <f t="shared" si="122"/>
        <v>0</v>
      </c>
      <c r="Y580" s="87">
        <f t="shared" si="123"/>
        <v>0</v>
      </c>
      <c r="Z580" s="87">
        <f t="shared" si="124"/>
        <v>0</v>
      </c>
      <c r="AA580" s="87">
        <f t="shared" si="125"/>
        <v>4</v>
      </c>
    </row>
    <row r="581" spans="9:27">
      <c r="I581" s="81" t="e">
        <f>IF(#REF!&lt;&gt;"",#REF!,"")</f>
        <v>#REF!</v>
      </c>
      <c r="J581" s="81" t="e">
        <f t="shared" si="126"/>
        <v>#REF!</v>
      </c>
      <c r="L581" s="82" t="e">
        <f t="shared" si="127"/>
        <v>#REF!</v>
      </c>
      <c r="M581" s="81" t="e">
        <f t="shared" si="117"/>
        <v>#REF!</v>
      </c>
      <c r="N581" s="81" t="e">
        <f t="shared" si="128"/>
        <v>#REF!</v>
      </c>
      <c r="O581" s="81" t="e">
        <f t="shared" si="129"/>
        <v>#REF!</v>
      </c>
      <c r="Q581" s="83" t="str">
        <f t="shared" si="118"/>
        <v/>
      </c>
      <c r="R581" s="84" t="e">
        <f t="shared" si="119"/>
        <v>#REF!</v>
      </c>
      <c r="S581" s="83" t="e">
        <f t="shared" si="119"/>
        <v>#REF!</v>
      </c>
      <c r="T581" s="84" t="e">
        <f t="shared" si="120"/>
        <v>#REF!</v>
      </c>
      <c r="U581" s="84" t="e">
        <f t="shared" si="121"/>
        <v>#REF!</v>
      </c>
      <c r="V581" s="85" t="e">
        <f>#REF!</f>
        <v>#REF!</v>
      </c>
      <c r="W581" s="86">
        <f t="shared" si="122"/>
        <v>0</v>
      </c>
      <c r="X581" s="86">
        <f t="shared" si="122"/>
        <v>0</v>
      </c>
      <c r="Y581" s="87">
        <f t="shared" si="123"/>
        <v>0</v>
      </c>
      <c r="Z581" s="87">
        <f t="shared" si="124"/>
        <v>0</v>
      </c>
      <c r="AA581" s="87">
        <f t="shared" si="125"/>
        <v>4</v>
      </c>
    </row>
    <row r="582" spans="9:27">
      <c r="I582" s="81" t="e">
        <f>IF(#REF!&lt;&gt;"",#REF!,"")</f>
        <v>#REF!</v>
      </c>
      <c r="J582" s="81" t="e">
        <f t="shared" si="126"/>
        <v>#REF!</v>
      </c>
      <c r="L582" s="82" t="e">
        <f t="shared" si="127"/>
        <v>#REF!</v>
      </c>
      <c r="M582" s="81" t="e">
        <f t="shared" ref="M582:M645" si="130">IF(OR(J582="D",J582="L",J582="M"),"",I582)</f>
        <v>#REF!</v>
      </c>
      <c r="N582" s="81" t="e">
        <f t="shared" si="128"/>
        <v>#REF!</v>
      </c>
      <c r="O582" s="81" t="e">
        <f t="shared" si="129"/>
        <v>#REF!</v>
      </c>
      <c r="Q582" s="83" t="str">
        <f t="shared" si="118"/>
        <v/>
      </c>
      <c r="R582" s="84" t="e">
        <f t="shared" si="119"/>
        <v>#REF!</v>
      </c>
      <c r="S582" s="83" t="e">
        <f t="shared" si="119"/>
        <v>#REF!</v>
      </c>
      <c r="T582" s="84" t="e">
        <f t="shared" si="120"/>
        <v>#REF!</v>
      </c>
      <c r="U582" s="84" t="e">
        <f t="shared" si="121"/>
        <v>#REF!</v>
      </c>
      <c r="V582" s="85" t="e">
        <f>#REF!</f>
        <v>#REF!</v>
      </c>
      <c r="W582" s="86">
        <f t="shared" si="122"/>
        <v>0</v>
      </c>
      <c r="X582" s="86">
        <f t="shared" si="122"/>
        <v>0</v>
      </c>
      <c r="Y582" s="87">
        <f t="shared" si="123"/>
        <v>0</v>
      </c>
      <c r="Z582" s="87">
        <f t="shared" si="124"/>
        <v>0</v>
      </c>
      <c r="AA582" s="87">
        <f t="shared" si="125"/>
        <v>4</v>
      </c>
    </row>
    <row r="583" spans="9:27">
      <c r="I583" s="81" t="e">
        <f>IF(#REF!&lt;&gt;"",#REF!,"")</f>
        <v>#REF!</v>
      </c>
      <c r="J583" s="81" t="e">
        <f t="shared" si="126"/>
        <v>#REF!</v>
      </c>
      <c r="L583" s="82" t="e">
        <f t="shared" si="127"/>
        <v>#REF!</v>
      </c>
      <c r="M583" s="81" t="e">
        <f t="shared" si="130"/>
        <v>#REF!</v>
      </c>
      <c r="N583" s="81" t="e">
        <f t="shared" si="128"/>
        <v>#REF!</v>
      </c>
      <c r="O583" s="81" t="e">
        <f t="shared" si="129"/>
        <v>#REF!</v>
      </c>
      <c r="Q583" s="83" t="str">
        <f t="shared" si="118"/>
        <v/>
      </c>
      <c r="R583" s="84" t="e">
        <f t="shared" si="119"/>
        <v>#REF!</v>
      </c>
      <c r="S583" s="83" t="e">
        <f t="shared" si="119"/>
        <v>#REF!</v>
      </c>
      <c r="T583" s="84" t="e">
        <f t="shared" si="120"/>
        <v>#REF!</v>
      </c>
      <c r="U583" s="84" t="e">
        <f t="shared" si="121"/>
        <v>#REF!</v>
      </c>
      <c r="V583" s="85" t="e">
        <f>#REF!</f>
        <v>#REF!</v>
      </c>
      <c r="W583" s="86">
        <f t="shared" si="122"/>
        <v>0</v>
      </c>
      <c r="X583" s="86">
        <f t="shared" si="122"/>
        <v>0</v>
      </c>
      <c r="Y583" s="87">
        <f t="shared" si="123"/>
        <v>0</v>
      </c>
      <c r="Z583" s="87">
        <f t="shared" si="124"/>
        <v>0</v>
      </c>
      <c r="AA583" s="87">
        <f t="shared" si="125"/>
        <v>4</v>
      </c>
    </row>
    <row r="584" spans="9:27">
      <c r="I584" s="81" t="e">
        <f>IF(#REF!&lt;&gt;"",#REF!,"")</f>
        <v>#REF!</v>
      </c>
      <c r="J584" s="81" t="e">
        <f t="shared" si="126"/>
        <v>#REF!</v>
      </c>
      <c r="L584" s="82" t="e">
        <f t="shared" si="127"/>
        <v>#REF!</v>
      </c>
      <c r="M584" s="81" t="e">
        <f t="shared" si="130"/>
        <v>#REF!</v>
      </c>
      <c r="N584" s="81" t="e">
        <f t="shared" si="128"/>
        <v>#REF!</v>
      </c>
      <c r="O584" s="81" t="e">
        <f t="shared" si="129"/>
        <v>#REF!</v>
      </c>
      <c r="Q584" s="83" t="str">
        <f t="shared" si="118"/>
        <v/>
      </c>
      <c r="R584" s="84" t="e">
        <f t="shared" si="119"/>
        <v>#REF!</v>
      </c>
      <c r="S584" s="83" t="e">
        <f t="shared" si="119"/>
        <v>#REF!</v>
      </c>
      <c r="T584" s="84" t="e">
        <f t="shared" si="120"/>
        <v>#REF!</v>
      </c>
      <c r="U584" s="84" t="e">
        <f t="shared" si="121"/>
        <v>#REF!</v>
      </c>
      <c r="V584" s="85" t="e">
        <f>#REF!</f>
        <v>#REF!</v>
      </c>
      <c r="W584" s="86">
        <f t="shared" si="122"/>
        <v>0</v>
      </c>
      <c r="X584" s="86">
        <f t="shared" si="122"/>
        <v>0</v>
      </c>
      <c r="Y584" s="87">
        <f t="shared" si="123"/>
        <v>0</v>
      </c>
      <c r="Z584" s="87">
        <f t="shared" si="124"/>
        <v>0</v>
      </c>
      <c r="AA584" s="87">
        <f t="shared" si="125"/>
        <v>4</v>
      </c>
    </row>
    <row r="585" spans="9:27">
      <c r="I585" s="81" t="e">
        <f>IF(#REF!&lt;&gt;"",#REF!,"")</f>
        <v>#REF!</v>
      </c>
      <c r="J585" s="81" t="e">
        <f t="shared" si="126"/>
        <v>#REF!</v>
      </c>
      <c r="L585" s="82" t="e">
        <f t="shared" si="127"/>
        <v>#REF!</v>
      </c>
      <c r="M585" s="81" t="e">
        <f t="shared" si="130"/>
        <v>#REF!</v>
      </c>
      <c r="N585" s="81" t="e">
        <f t="shared" si="128"/>
        <v>#REF!</v>
      </c>
      <c r="O585" s="81" t="e">
        <f t="shared" si="129"/>
        <v>#REF!</v>
      </c>
      <c r="Q585" s="83" t="str">
        <f t="shared" si="118"/>
        <v/>
      </c>
      <c r="R585" s="84" t="e">
        <f t="shared" si="119"/>
        <v>#REF!</v>
      </c>
      <c r="S585" s="83" t="e">
        <f t="shared" si="119"/>
        <v>#REF!</v>
      </c>
      <c r="T585" s="84" t="e">
        <f t="shared" si="120"/>
        <v>#REF!</v>
      </c>
      <c r="U585" s="84" t="e">
        <f t="shared" si="121"/>
        <v>#REF!</v>
      </c>
      <c r="V585" s="85" t="e">
        <f>#REF!</f>
        <v>#REF!</v>
      </c>
      <c r="W585" s="86">
        <f t="shared" si="122"/>
        <v>0</v>
      </c>
      <c r="X585" s="86">
        <f t="shared" si="122"/>
        <v>0</v>
      </c>
      <c r="Y585" s="87">
        <f t="shared" si="123"/>
        <v>0</v>
      </c>
      <c r="Z585" s="87">
        <f t="shared" si="124"/>
        <v>0</v>
      </c>
      <c r="AA585" s="87">
        <f t="shared" si="125"/>
        <v>4</v>
      </c>
    </row>
    <row r="586" spans="9:27">
      <c r="I586" s="81" t="e">
        <f>IF(#REF!&lt;&gt;"",#REF!,"")</f>
        <v>#REF!</v>
      </c>
      <c r="J586" s="81" t="e">
        <f t="shared" si="126"/>
        <v>#REF!</v>
      </c>
      <c r="L586" s="82" t="e">
        <f t="shared" si="127"/>
        <v>#REF!</v>
      </c>
      <c r="M586" s="81" t="e">
        <f t="shared" si="130"/>
        <v>#REF!</v>
      </c>
      <c r="N586" s="81" t="e">
        <f t="shared" si="128"/>
        <v>#REF!</v>
      </c>
      <c r="O586" s="81" t="e">
        <f t="shared" si="129"/>
        <v>#REF!</v>
      </c>
      <c r="Q586" s="83" t="str">
        <f t="shared" si="118"/>
        <v/>
      </c>
      <c r="R586" s="84" t="e">
        <f t="shared" si="119"/>
        <v>#REF!</v>
      </c>
      <c r="S586" s="83" t="e">
        <f t="shared" si="119"/>
        <v>#REF!</v>
      </c>
      <c r="T586" s="84" t="e">
        <f t="shared" si="120"/>
        <v>#REF!</v>
      </c>
      <c r="U586" s="84" t="e">
        <f t="shared" si="121"/>
        <v>#REF!</v>
      </c>
      <c r="V586" s="85" t="e">
        <f>#REF!</f>
        <v>#REF!</v>
      </c>
      <c r="W586" s="86">
        <f t="shared" si="122"/>
        <v>0</v>
      </c>
      <c r="X586" s="86">
        <f t="shared" si="122"/>
        <v>0</v>
      </c>
      <c r="Y586" s="87">
        <f t="shared" si="123"/>
        <v>0</v>
      </c>
      <c r="Z586" s="87">
        <f t="shared" si="124"/>
        <v>0</v>
      </c>
      <c r="AA586" s="87">
        <f t="shared" si="125"/>
        <v>4</v>
      </c>
    </row>
    <row r="587" spans="9:27">
      <c r="I587" s="81" t="e">
        <f>IF(#REF!&lt;&gt;"",#REF!,"")</f>
        <v>#REF!</v>
      </c>
      <c r="J587" s="81" t="e">
        <f t="shared" si="126"/>
        <v>#REF!</v>
      </c>
      <c r="L587" s="82" t="e">
        <f t="shared" si="127"/>
        <v>#REF!</v>
      </c>
      <c r="M587" s="81" t="e">
        <f t="shared" si="130"/>
        <v>#REF!</v>
      </c>
      <c r="N587" s="81" t="e">
        <f t="shared" si="128"/>
        <v>#REF!</v>
      </c>
      <c r="O587" s="81" t="e">
        <f t="shared" si="129"/>
        <v>#REF!</v>
      </c>
      <c r="Q587" s="83" t="str">
        <f t="shared" si="118"/>
        <v/>
      </c>
      <c r="R587" s="84" t="e">
        <f t="shared" si="119"/>
        <v>#REF!</v>
      </c>
      <c r="S587" s="83" t="e">
        <f t="shared" si="119"/>
        <v>#REF!</v>
      </c>
      <c r="T587" s="84" t="e">
        <f t="shared" si="120"/>
        <v>#REF!</v>
      </c>
      <c r="U587" s="84" t="e">
        <f t="shared" si="121"/>
        <v>#REF!</v>
      </c>
      <c r="V587" s="85" t="e">
        <f>#REF!</f>
        <v>#REF!</v>
      </c>
      <c r="W587" s="86">
        <f t="shared" si="122"/>
        <v>0</v>
      </c>
      <c r="X587" s="86">
        <f t="shared" si="122"/>
        <v>0</v>
      </c>
      <c r="Y587" s="87">
        <f t="shared" si="123"/>
        <v>0</v>
      </c>
      <c r="Z587" s="87">
        <f t="shared" si="124"/>
        <v>0</v>
      </c>
      <c r="AA587" s="87">
        <f t="shared" si="125"/>
        <v>4</v>
      </c>
    </row>
    <row r="588" spans="9:27">
      <c r="I588" s="81" t="e">
        <f>IF(#REF!&lt;&gt;"",#REF!,"")</f>
        <v>#REF!</v>
      </c>
      <c r="J588" s="81" t="e">
        <f t="shared" si="126"/>
        <v>#REF!</v>
      </c>
      <c r="L588" s="82" t="e">
        <f t="shared" si="127"/>
        <v>#REF!</v>
      </c>
      <c r="M588" s="81" t="e">
        <f t="shared" si="130"/>
        <v>#REF!</v>
      </c>
      <c r="N588" s="81" t="e">
        <f t="shared" si="128"/>
        <v>#REF!</v>
      </c>
      <c r="O588" s="81" t="e">
        <f t="shared" si="129"/>
        <v>#REF!</v>
      </c>
      <c r="Q588" s="83" t="str">
        <f t="shared" si="118"/>
        <v/>
      </c>
      <c r="R588" s="84" t="e">
        <f t="shared" si="119"/>
        <v>#REF!</v>
      </c>
      <c r="S588" s="83" t="e">
        <f t="shared" si="119"/>
        <v>#REF!</v>
      </c>
      <c r="T588" s="84" t="e">
        <f t="shared" si="120"/>
        <v>#REF!</v>
      </c>
      <c r="U588" s="84" t="e">
        <f t="shared" si="121"/>
        <v>#REF!</v>
      </c>
      <c r="V588" s="85" t="e">
        <f>#REF!</f>
        <v>#REF!</v>
      </c>
      <c r="W588" s="86">
        <f t="shared" si="122"/>
        <v>0</v>
      </c>
      <c r="X588" s="86">
        <f t="shared" si="122"/>
        <v>0</v>
      </c>
      <c r="Y588" s="87">
        <f t="shared" si="123"/>
        <v>0</v>
      </c>
      <c r="Z588" s="87">
        <f t="shared" si="124"/>
        <v>0</v>
      </c>
      <c r="AA588" s="87">
        <f t="shared" si="125"/>
        <v>4</v>
      </c>
    </row>
    <row r="589" spans="9:27">
      <c r="I589" s="81" t="e">
        <f>IF(#REF!&lt;&gt;"",#REF!,"")</f>
        <v>#REF!</v>
      </c>
      <c r="J589" s="81" t="e">
        <f t="shared" si="126"/>
        <v>#REF!</v>
      </c>
      <c r="L589" s="82" t="e">
        <f t="shared" si="127"/>
        <v>#REF!</v>
      </c>
      <c r="M589" s="81" t="e">
        <f t="shared" si="130"/>
        <v>#REF!</v>
      </c>
      <c r="N589" s="81" t="e">
        <f t="shared" si="128"/>
        <v>#REF!</v>
      </c>
      <c r="O589" s="81" t="e">
        <f t="shared" si="129"/>
        <v>#REF!</v>
      </c>
      <c r="Q589" s="83" t="str">
        <f t="shared" si="118"/>
        <v/>
      </c>
      <c r="R589" s="84" t="e">
        <f t="shared" si="119"/>
        <v>#REF!</v>
      </c>
      <c r="S589" s="83" t="e">
        <f t="shared" si="119"/>
        <v>#REF!</v>
      </c>
      <c r="T589" s="84" t="e">
        <f t="shared" si="120"/>
        <v>#REF!</v>
      </c>
      <c r="U589" s="84" t="e">
        <f t="shared" si="121"/>
        <v>#REF!</v>
      </c>
      <c r="V589" s="85" t="e">
        <f>#REF!</f>
        <v>#REF!</v>
      </c>
      <c r="W589" s="86">
        <f t="shared" si="122"/>
        <v>0</v>
      </c>
      <c r="X589" s="86">
        <f t="shared" si="122"/>
        <v>0</v>
      </c>
      <c r="Y589" s="87">
        <f t="shared" si="123"/>
        <v>0</v>
      </c>
      <c r="Z589" s="87">
        <f t="shared" si="124"/>
        <v>0</v>
      </c>
      <c r="AA589" s="87">
        <f t="shared" si="125"/>
        <v>4</v>
      </c>
    </row>
    <row r="590" spans="9:27">
      <c r="I590" s="81" t="e">
        <f>IF(#REF!&lt;&gt;"",#REF!,"")</f>
        <v>#REF!</v>
      </c>
      <c r="J590" s="81" t="e">
        <f t="shared" si="126"/>
        <v>#REF!</v>
      </c>
      <c r="L590" s="82" t="e">
        <f t="shared" si="127"/>
        <v>#REF!</v>
      </c>
      <c r="M590" s="81" t="e">
        <f t="shared" si="130"/>
        <v>#REF!</v>
      </c>
      <c r="N590" s="81" t="e">
        <f t="shared" si="128"/>
        <v>#REF!</v>
      </c>
      <c r="O590" s="81" t="e">
        <f t="shared" si="129"/>
        <v>#REF!</v>
      </c>
      <c r="Q590" s="83" t="str">
        <f t="shared" si="118"/>
        <v/>
      </c>
      <c r="R590" s="84" t="e">
        <f t="shared" si="119"/>
        <v>#REF!</v>
      </c>
      <c r="S590" s="83" t="e">
        <f t="shared" si="119"/>
        <v>#REF!</v>
      </c>
      <c r="T590" s="84" t="e">
        <f t="shared" si="120"/>
        <v>#REF!</v>
      </c>
      <c r="U590" s="84" t="e">
        <f t="shared" si="121"/>
        <v>#REF!</v>
      </c>
      <c r="V590" s="85" t="e">
        <f>#REF!</f>
        <v>#REF!</v>
      </c>
      <c r="W590" s="86">
        <f t="shared" si="122"/>
        <v>0</v>
      </c>
      <c r="X590" s="86">
        <f t="shared" si="122"/>
        <v>0</v>
      </c>
      <c r="Y590" s="87">
        <f t="shared" si="123"/>
        <v>0</v>
      </c>
      <c r="Z590" s="87">
        <f t="shared" si="124"/>
        <v>0</v>
      </c>
      <c r="AA590" s="87">
        <f t="shared" si="125"/>
        <v>4</v>
      </c>
    </row>
    <row r="591" spans="9:27">
      <c r="I591" s="81" t="e">
        <f>IF(#REF!&lt;&gt;"",#REF!,"")</f>
        <v>#REF!</v>
      </c>
      <c r="J591" s="81" t="e">
        <f t="shared" si="126"/>
        <v>#REF!</v>
      </c>
      <c r="L591" s="82" t="e">
        <f t="shared" si="127"/>
        <v>#REF!</v>
      </c>
      <c r="M591" s="81" t="e">
        <f t="shared" si="130"/>
        <v>#REF!</v>
      </c>
      <c r="N591" s="81" t="e">
        <f t="shared" si="128"/>
        <v>#REF!</v>
      </c>
      <c r="O591" s="81" t="e">
        <f t="shared" si="129"/>
        <v>#REF!</v>
      </c>
      <c r="Q591" s="83" t="str">
        <f t="shared" si="118"/>
        <v/>
      </c>
      <c r="R591" s="84" t="e">
        <f t="shared" si="119"/>
        <v>#REF!</v>
      </c>
      <c r="S591" s="83" t="e">
        <f t="shared" si="119"/>
        <v>#REF!</v>
      </c>
      <c r="T591" s="84" t="e">
        <f t="shared" si="120"/>
        <v>#REF!</v>
      </c>
      <c r="U591" s="84" t="e">
        <f t="shared" si="121"/>
        <v>#REF!</v>
      </c>
      <c r="V591" s="85" t="e">
        <f>#REF!</f>
        <v>#REF!</v>
      </c>
      <c r="W591" s="86">
        <f t="shared" si="122"/>
        <v>0</v>
      </c>
      <c r="X591" s="86">
        <f t="shared" si="122"/>
        <v>0</v>
      </c>
      <c r="Y591" s="87">
        <f t="shared" si="123"/>
        <v>0</v>
      </c>
      <c r="Z591" s="87">
        <f t="shared" si="124"/>
        <v>0</v>
      </c>
      <c r="AA591" s="87">
        <f t="shared" si="125"/>
        <v>4</v>
      </c>
    </row>
    <row r="592" spans="9:27">
      <c r="I592" s="81" t="e">
        <f>IF(#REF!&lt;&gt;"",#REF!,"")</f>
        <v>#REF!</v>
      </c>
      <c r="J592" s="81" t="e">
        <f t="shared" si="126"/>
        <v>#REF!</v>
      </c>
      <c r="L592" s="82" t="e">
        <f t="shared" si="127"/>
        <v>#REF!</v>
      </c>
      <c r="M592" s="81" t="e">
        <f t="shared" si="130"/>
        <v>#REF!</v>
      </c>
      <c r="N592" s="81" t="e">
        <f t="shared" si="128"/>
        <v>#REF!</v>
      </c>
      <c r="O592" s="81" t="e">
        <f t="shared" si="129"/>
        <v>#REF!</v>
      </c>
      <c r="Q592" s="83" t="str">
        <f t="shared" si="118"/>
        <v/>
      </c>
      <c r="R592" s="84" t="e">
        <f t="shared" si="119"/>
        <v>#REF!</v>
      </c>
      <c r="S592" s="83" t="e">
        <f t="shared" si="119"/>
        <v>#REF!</v>
      </c>
      <c r="T592" s="84" t="e">
        <f t="shared" si="120"/>
        <v>#REF!</v>
      </c>
      <c r="U592" s="84" t="e">
        <f t="shared" si="121"/>
        <v>#REF!</v>
      </c>
      <c r="V592" s="85" t="e">
        <f>#REF!</f>
        <v>#REF!</v>
      </c>
      <c r="W592" s="86">
        <f t="shared" si="122"/>
        <v>0</v>
      </c>
      <c r="X592" s="86">
        <f t="shared" si="122"/>
        <v>0</v>
      </c>
      <c r="Y592" s="87">
        <f t="shared" si="123"/>
        <v>0</v>
      </c>
      <c r="Z592" s="87">
        <f t="shared" si="124"/>
        <v>0</v>
      </c>
      <c r="AA592" s="87">
        <f t="shared" si="125"/>
        <v>4</v>
      </c>
    </row>
    <row r="593" spans="9:27">
      <c r="I593" s="81" t="e">
        <f>IF(#REF!&lt;&gt;"",#REF!,"")</f>
        <v>#REF!</v>
      </c>
      <c r="J593" s="81" t="e">
        <f t="shared" si="126"/>
        <v>#REF!</v>
      </c>
      <c r="L593" s="82" t="e">
        <f t="shared" si="127"/>
        <v>#REF!</v>
      </c>
      <c r="M593" s="81" t="e">
        <f t="shared" si="130"/>
        <v>#REF!</v>
      </c>
      <c r="N593" s="81" t="e">
        <f t="shared" si="128"/>
        <v>#REF!</v>
      </c>
      <c r="O593" s="81" t="e">
        <f t="shared" si="129"/>
        <v>#REF!</v>
      </c>
      <c r="Q593" s="83" t="str">
        <f t="shared" si="118"/>
        <v/>
      </c>
      <c r="R593" s="84" t="e">
        <f t="shared" si="119"/>
        <v>#REF!</v>
      </c>
      <c r="S593" s="83" t="e">
        <f t="shared" si="119"/>
        <v>#REF!</v>
      </c>
      <c r="T593" s="84" t="e">
        <f t="shared" si="120"/>
        <v>#REF!</v>
      </c>
      <c r="U593" s="84" t="e">
        <f t="shared" si="121"/>
        <v>#REF!</v>
      </c>
      <c r="V593" s="85" t="e">
        <f>#REF!</f>
        <v>#REF!</v>
      </c>
      <c r="W593" s="86">
        <f t="shared" si="122"/>
        <v>0</v>
      </c>
      <c r="X593" s="86">
        <f t="shared" si="122"/>
        <v>0</v>
      </c>
      <c r="Y593" s="87">
        <f t="shared" si="123"/>
        <v>0</v>
      </c>
      <c r="Z593" s="87">
        <f t="shared" si="124"/>
        <v>0</v>
      </c>
      <c r="AA593" s="87">
        <f t="shared" si="125"/>
        <v>4</v>
      </c>
    </row>
    <row r="594" spans="9:27">
      <c r="I594" s="81" t="e">
        <f>IF(#REF!&lt;&gt;"",#REF!,"")</f>
        <v>#REF!</v>
      </c>
      <c r="J594" s="81" t="e">
        <f t="shared" si="126"/>
        <v>#REF!</v>
      </c>
      <c r="L594" s="82" t="e">
        <f t="shared" si="127"/>
        <v>#REF!</v>
      </c>
      <c r="M594" s="81" t="e">
        <f t="shared" si="130"/>
        <v>#REF!</v>
      </c>
      <c r="N594" s="81" t="e">
        <f t="shared" si="128"/>
        <v>#REF!</v>
      </c>
      <c r="O594" s="81" t="e">
        <f t="shared" si="129"/>
        <v>#REF!</v>
      </c>
      <c r="Q594" s="83" t="str">
        <f t="shared" si="118"/>
        <v/>
      </c>
      <c r="R594" s="84" t="e">
        <f t="shared" si="119"/>
        <v>#REF!</v>
      </c>
      <c r="S594" s="83" t="e">
        <f t="shared" si="119"/>
        <v>#REF!</v>
      </c>
      <c r="T594" s="84" t="e">
        <f t="shared" si="120"/>
        <v>#REF!</v>
      </c>
      <c r="U594" s="84" t="e">
        <f t="shared" si="121"/>
        <v>#REF!</v>
      </c>
      <c r="V594" s="85" t="e">
        <f>#REF!</f>
        <v>#REF!</v>
      </c>
      <c r="W594" s="86">
        <f t="shared" si="122"/>
        <v>0</v>
      </c>
      <c r="X594" s="86">
        <f t="shared" si="122"/>
        <v>0</v>
      </c>
      <c r="Y594" s="87">
        <f t="shared" si="123"/>
        <v>0</v>
      </c>
      <c r="Z594" s="87">
        <f t="shared" si="124"/>
        <v>0</v>
      </c>
      <c r="AA594" s="87">
        <f t="shared" si="125"/>
        <v>4</v>
      </c>
    </row>
    <row r="595" spans="9:27">
      <c r="I595" s="81" t="e">
        <f>IF(#REF!&lt;&gt;"",#REF!,"")</f>
        <v>#REF!</v>
      </c>
      <c r="J595" s="81" t="e">
        <f t="shared" si="126"/>
        <v>#REF!</v>
      </c>
      <c r="L595" s="82" t="e">
        <f t="shared" si="127"/>
        <v>#REF!</v>
      </c>
      <c r="M595" s="81" t="e">
        <f t="shared" si="130"/>
        <v>#REF!</v>
      </c>
      <c r="N595" s="81" t="e">
        <f t="shared" si="128"/>
        <v>#REF!</v>
      </c>
      <c r="O595" s="81" t="e">
        <f t="shared" si="129"/>
        <v>#REF!</v>
      </c>
      <c r="Q595" s="83" t="str">
        <f t="shared" si="118"/>
        <v/>
      </c>
      <c r="R595" s="84" t="e">
        <f t="shared" si="119"/>
        <v>#REF!</v>
      </c>
      <c r="S595" s="83" t="e">
        <f t="shared" si="119"/>
        <v>#REF!</v>
      </c>
      <c r="T595" s="84" t="e">
        <f t="shared" si="120"/>
        <v>#REF!</v>
      </c>
      <c r="U595" s="84" t="e">
        <f t="shared" si="121"/>
        <v>#REF!</v>
      </c>
      <c r="V595" s="85" t="e">
        <f>#REF!</f>
        <v>#REF!</v>
      </c>
      <c r="W595" s="86">
        <f t="shared" si="122"/>
        <v>0</v>
      </c>
      <c r="X595" s="86">
        <f t="shared" si="122"/>
        <v>0</v>
      </c>
      <c r="Y595" s="87">
        <f t="shared" si="123"/>
        <v>0</v>
      </c>
      <c r="Z595" s="87">
        <f t="shared" si="124"/>
        <v>0</v>
      </c>
      <c r="AA595" s="87">
        <f t="shared" si="125"/>
        <v>4</v>
      </c>
    </row>
    <row r="596" spans="9:27">
      <c r="I596" s="81" t="e">
        <f>IF(#REF!&lt;&gt;"",#REF!,"")</f>
        <v>#REF!</v>
      </c>
      <c r="J596" s="81" t="e">
        <f t="shared" si="126"/>
        <v>#REF!</v>
      </c>
      <c r="L596" s="82" t="e">
        <f t="shared" si="127"/>
        <v>#REF!</v>
      </c>
      <c r="M596" s="81" t="e">
        <f t="shared" si="130"/>
        <v>#REF!</v>
      </c>
      <c r="N596" s="81" t="e">
        <f t="shared" si="128"/>
        <v>#REF!</v>
      </c>
      <c r="O596" s="81" t="e">
        <f t="shared" si="129"/>
        <v>#REF!</v>
      </c>
      <c r="Q596" s="83" t="str">
        <f t="shared" si="118"/>
        <v/>
      </c>
      <c r="R596" s="84" t="e">
        <f t="shared" si="119"/>
        <v>#REF!</v>
      </c>
      <c r="S596" s="83" t="e">
        <f t="shared" si="119"/>
        <v>#REF!</v>
      </c>
      <c r="T596" s="84" t="e">
        <f t="shared" si="120"/>
        <v>#REF!</v>
      </c>
      <c r="U596" s="84" t="e">
        <f t="shared" si="121"/>
        <v>#REF!</v>
      </c>
      <c r="V596" s="85" t="e">
        <f>#REF!</f>
        <v>#REF!</v>
      </c>
      <c r="W596" s="86">
        <f t="shared" si="122"/>
        <v>0</v>
      </c>
      <c r="X596" s="86">
        <f t="shared" si="122"/>
        <v>0</v>
      </c>
      <c r="Y596" s="87">
        <f t="shared" si="123"/>
        <v>0</v>
      </c>
      <c r="Z596" s="87">
        <f t="shared" si="124"/>
        <v>0</v>
      </c>
      <c r="AA596" s="87">
        <f t="shared" si="125"/>
        <v>4</v>
      </c>
    </row>
    <row r="597" spans="9:27">
      <c r="I597" s="81" t="e">
        <f>IF(#REF!&lt;&gt;"",#REF!,"")</f>
        <v>#REF!</v>
      </c>
      <c r="J597" s="81" t="e">
        <f t="shared" si="126"/>
        <v>#REF!</v>
      </c>
      <c r="L597" s="82" t="e">
        <f t="shared" si="127"/>
        <v>#REF!</v>
      </c>
      <c r="M597" s="81" t="e">
        <f t="shared" si="130"/>
        <v>#REF!</v>
      </c>
      <c r="N597" s="81" t="e">
        <f t="shared" si="128"/>
        <v>#REF!</v>
      </c>
      <c r="O597" s="81" t="e">
        <f t="shared" si="129"/>
        <v>#REF!</v>
      </c>
      <c r="Q597" s="83" t="str">
        <f t="shared" si="118"/>
        <v/>
      </c>
      <c r="R597" s="84" t="e">
        <f t="shared" si="119"/>
        <v>#REF!</v>
      </c>
      <c r="S597" s="83" t="e">
        <f t="shared" si="119"/>
        <v>#REF!</v>
      </c>
      <c r="T597" s="84" t="e">
        <f t="shared" si="120"/>
        <v>#REF!</v>
      </c>
      <c r="U597" s="84" t="e">
        <f t="shared" si="121"/>
        <v>#REF!</v>
      </c>
      <c r="V597" s="85" t="e">
        <f>#REF!</f>
        <v>#REF!</v>
      </c>
      <c r="W597" s="86">
        <f t="shared" si="122"/>
        <v>0</v>
      </c>
      <c r="X597" s="86">
        <f t="shared" si="122"/>
        <v>0</v>
      </c>
      <c r="Y597" s="87">
        <f t="shared" si="123"/>
        <v>0</v>
      </c>
      <c r="Z597" s="87">
        <f t="shared" si="124"/>
        <v>0</v>
      </c>
      <c r="AA597" s="87">
        <f t="shared" si="125"/>
        <v>4</v>
      </c>
    </row>
    <row r="598" spans="9:27">
      <c r="I598" s="81" t="e">
        <f>IF(#REF!&lt;&gt;"",#REF!,"")</f>
        <v>#REF!</v>
      </c>
      <c r="J598" s="81" t="e">
        <f t="shared" si="126"/>
        <v>#REF!</v>
      </c>
      <c r="L598" s="82" t="e">
        <f t="shared" si="127"/>
        <v>#REF!</v>
      </c>
      <c r="M598" s="81" t="e">
        <f t="shared" si="130"/>
        <v>#REF!</v>
      </c>
      <c r="N598" s="81" t="e">
        <f t="shared" si="128"/>
        <v>#REF!</v>
      </c>
      <c r="O598" s="81" t="e">
        <f t="shared" si="129"/>
        <v>#REF!</v>
      </c>
      <c r="Q598" s="83" t="str">
        <f t="shared" si="118"/>
        <v/>
      </c>
      <c r="R598" s="84" t="e">
        <f t="shared" si="119"/>
        <v>#REF!</v>
      </c>
      <c r="S598" s="83" t="e">
        <f t="shared" si="119"/>
        <v>#REF!</v>
      </c>
      <c r="T598" s="84" t="e">
        <f t="shared" si="120"/>
        <v>#REF!</v>
      </c>
      <c r="U598" s="84" t="e">
        <f t="shared" si="121"/>
        <v>#REF!</v>
      </c>
      <c r="V598" s="85" t="e">
        <f>#REF!</f>
        <v>#REF!</v>
      </c>
      <c r="W598" s="86">
        <f t="shared" si="122"/>
        <v>0</v>
      </c>
      <c r="X598" s="86">
        <f t="shared" si="122"/>
        <v>0</v>
      </c>
      <c r="Y598" s="87">
        <f t="shared" si="123"/>
        <v>0</v>
      </c>
      <c r="Z598" s="87">
        <f t="shared" si="124"/>
        <v>0</v>
      </c>
      <c r="AA598" s="87">
        <f t="shared" si="125"/>
        <v>4</v>
      </c>
    </row>
    <row r="599" spans="9:27">
      <c r="I599" s="81" t="e">
        <f>IF(#REF!&lt;&gt;"",#REF!,"")</f>
        <v>#REF!</v>
      </c>
      <c r="J599" s="81" t="e">
        <f t="shared" si="126"/>
        <v>#REF!</v>
      </c>
      <c r="L599" s="82" t="e">
        <f t="shared" si="127"/>
        <v>#REF!</v>
      </c>
      <c r="M599" s="81" t="e">
        <f t="shared" si="130"/>
        <v>#REF!</v>
      </c>
      <c r="N599" s="81" t="e">
        <f t="shared" si="128"/>
        <v>#REF!</v>
      </c>
      <c r="O599" s="81" t="e">
        <f t="shared" si="129"/>
        <v>#REF!</v>
      </c>
      <c r="Q599" s="83" t="str">
        <f t="shared" ref="Q599:Q662" si="131">IF(Z599=0,"",IF(Z599=1,R599&amp;S599,"E99999"))</f>
        <v/>
      </c>
      <c r="R599" s="84" t="e">
        <f t="shared" si="119"/>
        <v>#REF!</v>
      </c>
      <c r="S599" s="83" t="e">
        <f t="shared" si="119"/>
        <v>#REF!</v>
      </c>
      <c r="T599" s="84" t="e">
        <f t="shared" si="120"/>
        <v>#REF!</v>
      </c>
      <c r="U599" s="84" t="e">
        <f t="shared" si="121"/>
        <v>#REF!</v>
      </c>
      <c r="V599" s="85" t="e">
        <f>#REF!</f>
        <v>#REF!</v>
      </c>
      <c r="W599" s="86">
        <f t="shared" si="122"/>
        <v>0</v>
      </c>
      <c r="X599" s="86">
        <f t="shared" si="122"/>
        <v>0</v>
      </c>
      <c r="Y599" s="87">
        <f t="shared" si="123"/>
        <v>0</v>
      </c>
      <c r="Z599" s="87">
        <f t="shared" si="124"/>
        <v>0</v>
      </c>
      <c r="AA599" s="87">
        <f t="shared" si="125"/>
        <v>4</v>
      </c>
    </row>
    <row r="600" spans="9:27">
      <c r="I600" s="81" t="e">
        <f>IF(#REF!&lt;&gt;"",#REF!,"")</f>
        <v>#REF!</v>
      </c>
      <c r="J600" s="81" t="e">
        <f t="shared" si="126"/>
        <v>#REF!</v>
      </c>
      <c r="L600" s="82" t="e">
        <f t="shared" si="127"/>
        <v>#REF!</v>
      </c>
      <c r="M600" s="81" t="e">
        <f t="shared" si="130"/>
        <v>#REF!</v>
      </c>
      <c r="N600" s="81" t="e">
        <f t="shared" si="128"/>
        <v>#REF!</v>
      </c>
      <c r="O600" s="81" t="e">
        <f t="shared" si="129"/>
        <v>#REF!</v>
      </c>
      <c r="Q600" s="83" t="str">
        <f t="shared" si="131"/>
        <v/>
      </c>
      <c r="R600" s="84" t="e">
        <f t="shared" si="119"/>
        <v>#REF!</v>
      </c>
      <c r="S600" s="83" t="e">
        <f t="shared" si="119"/>
        <v>#REF!</v>
      </c>
      <c r="T600" s="84" t="e">
        <f t="shared" si="120"/>
        <v>#REF!</v>
      </c>
      <c r="U600" s="84" t="e">
        <f t="shared" si="121"/>
        <v>#REF!</v>
      </c>
      <c r="V600" s="85" t="e">
        <f>#REF!</f>
        <v>#REF!</v>
      </c>
      <c r="W600" s="86">
        <f t="shared" si="122"/>
        <v>0</v>
      </c>
      <c r="X600" s="86">
        <f t="shared" si="122"/>
        <v>0</v>
      </c>
      <c r="Y600" s="87">
        <f t="shared" si="123"/>
        <v>0</v>
      </c>
      <c r="Z600" s="87">
        <f t="shared" si="124"/>
        <v>0</v>
      </c>
      <c r="AA600" s="87">
        <f t="shared" si="125"/>
        <v>4</v>
      </c>
    </row>
    <row r="601" spans="9:27">
      <c r="I601" s="81" t="e">
        <f>IF(#REF!&lt;&gt;"",#REF!,"")</f>
        <v>#REF!</v>
      </c>
      <c r="J601" s="81" t="e">
        <f t="shared" si="126"/>
        <v>#REF!</v>
      </c>
      <c r="L601" s="82" t="e">
        <f t="shared" si="127"/>
        <v>#REF!</v>
      </c>
      <c r="M601" s="81" t="e">
        <f t="shared" si="130"/>
        <v>#REF!</v>
      </c>
      <c r="N601" s="81" t="e">
        <f t="shared" si="128"/>
        <v>#REF!</v>
      </c>
      <c r="O601" s="81" t="e">
        <f t="shared" si="129"/>
        <v>#REF!</v>
      </c>
      <c r="Q601" s="83" t="str">
        <f t="shared" si="131"/>
        <v/>
      </c>
      <c r="R601" s="84" t="e">
        <f t="shared" si="119"/>
        <v>#REF!</v>
      </c>
      <c r="S601" s="83" t="e">
        <f t="shared" si="119"/>
        <v>#REF!</v>
      </c>
      <c r="T601" s="84" t="e">
        <f t="shared" si="120"/>
        <v>#REF!</v>
      </c>
      <c r="U601" s="84" t="e">
        <f t="shared" si="121"/>
        <v>#REF!</v>
      </c>
      <c r="V601" s="85" t="e">
        <f>#REF!</f>
        <v>#REF!</v>
      </c>
      <c r="W601" s="86">
        <f t="shared" si="122"/>
        <v>0</v>
      </c>
      <c r="X601" s="86">
        <f t="shared" si="122"/>
        <v>0</v>
      </c>
      <c r="Y601" s="87">
        <f t="shared" si="123"/>
        <v>0</v>
      </c>
      <c r="Z601" s="87">
        <f t="shared" si="124"/>
        <v>0</v>
      </c>
      <c r="AA601" s="87">
        <f t="shared" si="125"/>
        <v>4</v>
      </c>
    </row>
    <row r="602" spans="9:27">
      <c r="I602" s="81" t="e">
        <f>IF(#REF!&lt;&gt;"",#REF!,"")</f>
        <v>#REF!</v>
      </c>
      <c r="J602" s="81" t="e">
        <f t="shared" si="126"/>
        <v>#REF!</v>
      </c>
      <c r="L602" s="82" t="e">
        <f t="shared" si="127"/>
        <v>#REF!</v>
      </c>
      <c r="M602" s="81" t="e">
        <f t="shared" si="130"/>
        <v>#REF!</v>
      </c>
      <c r="N602" s="81" t="e">
        <f t="shared" si="128"/>
        <v>#REF!</v>
      </c>
      <c r="O602" s="81" t="e">
        <f t="shared" si="129"/>
        <v>#REF!</v>
      </c>
      <c r="Q602" s="83" t="str">
        <f t="shared" si="131"/>
        <v/>
      </c>
      <c r="R602" s="84" t="e">
        <f t="shared" si="119"/>
        <v>#REF!</v>
      </c>
      <c r="S602" s="83" t="e">
        <f t="shared" si="119"/>
        <v>#REF!</v>
      </c>
      <c r="T602" s="84" t="e">
        <f t="shared" si="120"/>
        <v>#REF!</v>
      </c>
      <c r="U602" s="84" t="e">
        <f t="shared" si="121"/>
        <v>#REF!</v>
      </c>
      <c r="V602" s="85" t="e">
        <f>#REF!</f>
        <v>#REF!</v>
      </c>
      <c r="W602" s="86">
        <f t="shared" si="122"/>
        <v>0</v>
      </c>
      <c r="X602" s="86">
        <f t="shared" si="122"/>
        <v>0</v>
      </c>
      <c r="Y602" s="87">
        <f t="shared" si="123"/>
        <v>0</v>
      </c>
      <c r="Z602" s="87">
        <f t="shared" si="124"/>
        <v>0</v>
      </c>
      <c r="AA602" s="87">
        <f t="shared" si="125"/>
        <v>4</v>
      </c>
    </row>
    <row r="603" spans="9:27">
      <c r="I603" s="81" t="e">
        <f>IF(#REF!&lt;&gt;"",#REF!,"")</f>
        <v>#REF!</v>
      </c>
      <c r="J603" s="81" t="e">
        <f t="shared" si="126"/>
        <v>#REF!</v>
      </c>
      <c r="L603" s="82" t="e">
        <f t="shared" si="127"/>
        <v>#REF!</v>
      </c>
      <c r="M603" s="81" t="e">
        <f t="shared" si="130"/>
        <v>#REF!</v>
      </c>
      <c r="N603" s="81" t="e">
        <f t="shared" si="128"/>
        <v>#REF!</v>
      </c>
      <c r="O603" s="81" t="e">
        <f t="shared" si="129"/>
        <v>#REF!</v>
      </c>
      <c r="Q603" s="83" t="str">
        <f t="shared" si="131"/>
        <v/>
      </c>
      <c r="R603" s="84" t="e">
        <f t="shared" si="119"/>
        <v>#REF!</v>
      </c>
      <c r="S603" s="83" t="e">
        <f t="shared" si="119"/>
        <v>#REF!</v>
      </c>
      <c r="T603" s="84" t="e">
        <f t="shared" si="120"/>
        <v>#REF!</v>
      </c>
      <c r="U603" s="84" t="e">
        <f t="shared" si="121"/>
        <v>#REF!</v>
      </c>
      <c r="V603" s="85" t="e">
        <f>#REF!</f>
        <v>#REF!</v>
      </c>
      <c r="W603" s="86">
        <f t="shared" si="122"/>
        <v>0</v>
      </c>
      <c r="X603" s="86">
        <f t="shared" si="122"/>
        <v>0</v>
      </c>
      <c r="Y603" s="87">
        <f t="shared" si="123"/>
        <v>0</v>
      </c>
      <c r="Z603" s="87">
        <f t="shared" si="124"/>
        <v>0</v>
      </c>
      <c r="AA603" s="87">
        <f t="shared" si="125"/>
        <v>4</v>
      </c>
    </row>
    <row r="604" spans="9:27">
      <c r="I604" s="81" t="e">
        <f>IF(#REF!&lt;&gt;"",#REF!,"")</f>
        <v>#REF!</v>
      </c>
      <c r="J604" s="81" t="e">
        <f t="shared" si="126"/>
        <v>#REF!</v>
      </c>
      <c r="L604" s="82" t="e">
        <f t="shared" si="127"/>
        <v>#REF!</v>
      </c>
      <c r="M604" s="81" t="e">
        <f t="shared" si="130"/>
        <v>#REF!</v>
      </c>
      <c r="N604" s="81" t="e">
        <f t="shared" si="128"/>
        <v>#REF!</v>
      </c>
      <c r="O604" s="81" t="e">
        <f t="shared" si="129"/>
        <v>#REF!</v>
      </c>
      <c r="Q604" s="83" t="str">
        <f t="shared" si="131"/>
        <v/>
      </c>
      <c r="R604" s="84" t="e">
        <f t="shared" si="119"/>
        <v>#REF!</v>
      </c>
      <c r="S604" s="83" t="e">
        <f t="shared" si="119"/>
        <v>#REF!</v>
      </c>
      <c r="T604" s="84" t="e">
        <f t="shared" si="120"/>
        <v>#REF!</v>
      </c>
      <c r="U604" s="84" t="e">
        <f t="shared" si="121"/>
        <v>#REF!</v>
      </c>
      <c r="V604" s="85" t="e">
        <f>#REF!</f>
        <v>#REF!</v>
      </c>
      <c r="W604" s="86">
        <f t="shared" si="122"/>
        <v>0</v>
      </c>
      <c r="X604" s="86">
        <f t="shared" si="122"/>
        <v>0</v>
      </c>
      <c r="Y604" s="87">
        <f t="shared" si="123"/>
        <v>0</v>
      </c>
      <c r="Z604" s="87">
        <f t="shared" si="124"/>
        <v>0</v>
      </c>
      <c r="AA604" s="87">
        <f t="shared" si="125"/>
        <v>4</v>
      </c>
    </row>
    <row r="605" spans="9:27">
      <c r="I605" s="81" t="e">
        <f>IF(#REF!&lt;&gt;"",#REF!,"")</f>
        <v>#REF!</v>
      </c>
      <c r="J605" s="81" t="e">
        <f t="shared" si="126"/>
        <v>#REF!</v>
      </c>
      <c r="L605" s="82" t="e">
        <f t="shared" si="127"/>
        <v>#REF!</v>
      </c>
      <c r="M605" s="81" t="e">
        <f t="shared" si="130"/>
        <v>#REF!</v>
      </c>
      <c r="N605" s="81" t="e">
        <f t="shared" si="128"/>
        <v>#REF!</v>
      </c>
      <c r="O605" s="81" t="e">
        <f t="shared" si="129"/>
        <v>#REF!</v>
      </c>
      <c r="Q605" s="83" t="str">
        <f t="shared" si="131"/>
        <v/>
      </c>
      <c r="R605" s="84" t="e">
        <f t="shared" si="119"/>
        <v>#REF!</v>
      </c>
      <c r="S605" s="83" t="e">
        <f t="shared" si="119"/>
        <v>#REF!</v>
      </c>
      <c r="T605" s="84" t="e">
        <f t="shared" si="120"/>
        <v>#REF!</v>
      </c>
      <c r="U605" s="84" t="e">
        <f t="shared" si="121"/>
        <v>#REF!</v>
      </c>
      <c r="V605" s="85" t="e">
        <f>#REF!</f>
        <v>#REF!</v>
      </c>
      <c r="W605" s="86">
        <f t="shared" si="122"/>
        <v>0</v>
      </c>
      <c r="X605" s="86">
        <f t="shared" si="122"/>
        <v>0</v>
      </c>
      <c r="Y605" s="87">
        <f t="shared" si="123"/>
        <v>0</v>
      </c>
      <c r="Z605" s="87">
        <f t="shared" si="124"/>
        <v>0</v>
      </c>
      <c r="AA605" s="87">
        <f t="shared" si="125"/>
        <v>4</v>
      </c>
    </row>
    <row r="606" spans="9:27">
      <c r="I606" s="81" t="e">
        <f>IF(#REF!&lt;&gt;"",#REF!,"")</f>
        <v>#REF!</v>
      </c>
      <c r="J606" s="81" t="e">
        <f t="shared" si="126"/>
        <v>#REF!</v>
      </c>
      <c r="L606" s="82" t="e">
        <f t="shared" si="127"/>
        <v>#REF!</v>
      </c>
      <c r="M606" s="81" t="e">
        <f t="shared" si="130"/>
        <v>#REF!</v>
      </c>
      <c r="N606" s="81" t="e">
        <f t="shared" si="128"/>
        <v>#REF!</v>
      </c>
      <c r="O606" s="81" t="e">
        <f t="shared" si="129"/>
        <v>#REF!</v>
      </c>
      <c r="Q606" s="83" t="str">
        <f t="shared" si="131"/>
        <v/>
      </c>
      <c r="R606" s="84" t="e">
        <f t="shared" si="119"/>
        <v>#REF!</v>
      </c>
      <c r="S606" s="83" t="e">
        <f t="shared" si="119"/>
        <v>#REF!</v>
      </c>
      <c r="T606" s="84" t="e">
        <f t="shared" si="120"/>
        <v>#REF!</v>
      </c>
      <c r="U606" s="84" t="e">
        <f t="shared" si="121"/>
        <v>#REF!</v>
      </c>
      <c r="V606" s="85" t="e">
        <f>#REF!</f>
        <v>#REF!</v>
      </c>
      <c r="W606" s="86">
        <f t="shared" si="122"/>
        <v>0</v>
      </c>
      <c r="X606" s="86">
        <f t="shared" si="122"/>
        <v>0</v>
      </c>
      <c r="Y606" s="87">
        <f t="shared" si="123"/>
        <v>0</v>
      </c>
      <c r="Z606" s="87">
        <f t="shared" si="124"/>
        <v>0</v>
      </c>
      <c r="AA606" s="87">
        <f t="shared" si="125"/>
        <v>4</v>
      </c>
    </row>
    <row r="607" spans="9:27">
      <c r="I607" s="81" t="e">
        <f>IF(#REF!&lt;&gt;"",#REF!,"")</f>
        <v>#REF!</v>
      </c>
      <c r="J607" s="81" t="e">
        <f t="shared" si="126"/>
        <v>#REF!</v>
      </c>
      <c r="L607" s="82" t="e">
        <f t="shared" si="127"/>
        <v>#REF!</v>
      </c>
      <c r="M607" s="81" t="e">
        <f t="shared" si="130"/>
        <v>#REF!</v>
      </c>
      <c r="N607" s="81" t="e">
        <f t="shared" si="128"/>
        <v>#REF!</v>
      </c>
      <c r="O607" s="81" t="e">
        <f t="shared" si="129"/>
        <v>#REF!</v>
      </c>
      <c r="Q607" s="83" t="str">
        <f t="shared" si="131"/>
        <v/>
      </c>
      <c r="R607" s="84" t="e">
        <f t="shared" si="119"/>
        <v>#REF!</v>
      </c>
      <c r="S607" s="83" t="e">
        <f t="shared" si="119"/>
        <v>#REF!</v>
      </c>
      <c r="T607" s="84" t="e">
        <f t="shared" si="120"/>
        <v>#REF!</v>
      </c>
      <c r="U607" s="84" t="e">
        <f t="shared" si="121"/>
        <v>#REF!</v>
      </c>
      <c r="V607" s="85" t="e">
        <f>#REF!</f>
        <v>#REF!</v>
      </c>
      <c r="W607" s="86">
        <f t="shared" si="122"/>
        <v>0</v>
      </c>
      <c r="X607" s="86">
        <f t="shared" si="122"/>
        <v>0</v>
      </c>
      <c r="Y607" s="87">
        <f t="shared" si="123"/>
        <v>0</v>
      </c>
      <c r="Z607" s="87">
        <f t="shared" si="124"/>
        <v>0</v>
      </c>
      <c r="AA607" s="87">
        <f t="shared" si="125"/>
        <v>4</v>
      </c>
    </row>
    <row r="608" spans="9:27">
      <c r="I608" s="81" t="e">
        <f>IF(#REF!&lt;&gt;"",#REF!,"")</f>
        <v>#REF!</v>
      </c>
      <c r="J608" s="81" t="e">
        <f t="shared" si="126"/>
        <v>#REF!</v>
      </c>
      <c r="L608" s="82" t="e">
        <f t="shared" si="127"/>
        <v>#REF!</v>
      </c>
      <c r="M608" s="81" t="e">
        <f t="shared" si="130"/>
        <v>#REF!</v>
      </c>
      <c r="N608" s="81" t="e">
        <f t="shared" si="128"/>
        <v>#REF!</v>
      </c>
      <c r="O608" s="81" t="e">
        <f t="shared" si="129"/>
        <v>#REF!</v>
      </c>
      <c r="Q608" s="83" t="str">
        <f t="shared" si="131"/>
        <v/>
      </c>
      <c r="R608" s="84" t="e">
        <f t="shared" si="119"/>
        <v>#REF!</v>
      </c>
      <c r="S608" s="83" t="e">
        <f t="shared" si="119"/>
        <v>#REF!</v>
      </c>
      <c r="T608" s="84" t="e">
        <f t="shared" si="120"/>
        <v>#REF!</v>
      </c>
      <c r="U608" s="84" t="e">
        <f t="shared" si="121"/>
        <v>#REF!</v>
      </c>
      <c r="V608" s="85" t="e">
        <f>#REF!</f>
        <v>#REF!</v>
      </c>
      <c r="W608" s="86">
        <f t="shared" si="122"/>
        <v>0</v>
      </c>
      <c r="X608" s="86">
        <f t="shared" si="122"/>
        <v>0</v>
      </c>
      <c r="Y608" s="87">
        <f t="shared" si="123"/>
        <v>0</v>
      </c>
      <c r="Z608" s="87">
        <f t="shared" si="124"/>
        <v>0</v>
      </c>
      <c r="AA608" s="87">
        <f t="shared" si="125"/>
        <v>4</v>
      </c>
    </row>
    <row r="609" spans="9:27">
      <c r="I609" s="81" t="e">
        <f>IF(#REF!&lt;&gt;"",#REF!,"")</f>
        <v>#REF!</v>
      </c>
      <c r="J609" s="81" t="e">
        <f t="shared" si="126"/>
        <v>#REF!</v>
      </c>
      <c r="L609" s="82" t="e">
        <f t="shared" si="127"/>
        <v>#REF!</v>
      </c>
      <c r="M609" s="81" t="e">
        <f t="shared" si="130"/>
        <v>#REF!</v>
      </c>
      <c r="N609" s="81" t="e">
        <f t="shared" si="128"/>
        <v>#REF!</v>
      </c>
      <c r="O609" s="81" t="e">
        <f t="shared" si="129"/>
        <v>#REF!</v>
      </c>
      <c r="Q609" s="83" t="str">
        <f t="shared" si="131"/>
        <v/>
      </c>
      <c r="R609" s="84" t="e">
        <f t="shared" si="119"/>
        <v>#REF!</v>
      </c>
      <c r="S609" s="83" t="e">
        <f t="shared" si="119"/>
        <v>#REF!</v>
      </c>
      <c r="T609" s="84" t="e">
        <f t="shared" si="120"/>
        <v>#REF!</v>
      </c>
      <c r="U609" s="84" t="e">
        <f t="shared" si="121"/>
        <v>#REF!</v>
      </c>
      <c r="V609" s="85" t="e">
        <f>#REF!</f>
        <v>#REF!</v>
      </c>
      <c r="W609" s="86">
        <f t="shared" si="122"/>
        <v>0</v>
      </c>
      <c r="X609" s="86">
        <f t="shared" si="122"/>
        <v>0</v>
      </c>
      <c r="Y609" s="87">
        <f t="shared" si="123"/>
        <v>0</v>
      </c>
      <c r="Z609" s="87">
        <f t="shared" si="124"/>
        <v>0</v>
      </c>
      <c r="AA609" s="87">
        <f t="shared" si="125"/>
        <v>4</v>
      </c>
    </row>
    <row r="610" spans="9:27">
      <c r="I610" s="81" t="e">
        <f>IF(#REF!&lt;&gt;"",#REF!,"")</f>
        <v>#REF!</v>
      </c>
      <c r="J610" s="81" t="e">
        <f t="shared" si="126"/>
        <v>#REF!</v>
      </c>
      <c r="L610" s="82" t="e">
        <f t="shared" si="127"/>
        <v>#REF!</v>
      </c>
      <c r="M610" s="81" t="e">
        <f t="shared" si="130"/>
        <v>#REF!</v>
      </c>
      <c r="N610" s="81" t="e">
        <f t="shared" si="128"/>
        <v>#REF!</v>
      </c>
      <c r="O610" s="81" t="e">
        <f t="shared" si="129"/>
        <v>#REF!</v>
      </c>
      <c r="Q610" s="83" t="str">
        <f t="shared" si="131"/>
        <v/>
      </c>
      <c r="R610" s="84" t="e">
        <f t="shared" si="119"/>
        <v>#REF!</v>
      </c>
      <c r="S610" s="83" t="e">
        <f t="shared" si="119"/>
        <v>#REF!</v>
      </c>
      <c r="T610" s="84" t="e">
        <f t="shared" si="120"/>
        <v>#REF!</v>
      </c>
      <c r="U610" s="84" t="e">
        <f t="shared" si="121"/>
        <v>#REF!</v>
      </c>
      <c r="V610" s="85" t="e">
        <f>#REF!</f>
        <v>#REF!</v>
      </c>
      <c r="W610" s="86">
        <f t="shared" si="122"/>
        <v>0</v>
      </c>
      <c r="X610" s="86">
        <f t="shared" si="122"/>
        <v>0</v>
      </c>
      <c r="Y610" s="87">
        <f t="shared" si="123"/>
        <v>0</v>
      </c>
      <c r="Z610" s="87">
        <f t="shared" si="124"/>
        <v>0</v>
      </c>
      <c r="AA610" s="87">
        <f t="shared" si="125"/>
        <v>4</v>
      </c>
    </row>
    <row r="611" spans="9:27">
      <c r="I611" s="81" t="e">
        <f>IF(#REF!&lt;&gt;"",#REF!,"")</f>
        <v>#REF!</v>
      </c>
      <c r="J611" s="81" t="e">
        <f t="shared" si="126"/>
        <v>#REF!</v>
      </c>
      <c r="L611" s="82" t="e">
        <f t="shared" si="127"/>
        <v>#REF!</v>
      </c>
      <c r="M611" s="81" t="e">
        <f t="shared" si="130"/>
        <v>#REF!</v>
      </c>
      <c r="N611" s="81" t="e">
        <f t="shared" si="128"/>
        <v>#REF!</v>
      </c>
      <c r="O611" s="81" t="e">
        <f t="shared" si="129"/>
        <v>#REF!</v>
      </c>
      <c r="Q611" s="83" t="str">
        <f t="shared" si="131"/>
        <v/>
      </c>
      <c r="R611" s="84" t="e">
        <f t="shared" si="119"/>
        <v>#REF!</v>
      </c>
      <c r="S611" s="83" t="e">
        <f t="shared" si="119"/>
        <v>#REF!</v>
      </c>
      <c r="T611" s="84" t="e">
        <f t="shared" si="120"/>
        <v>#REF!</v>
      </c>
      <c r="U611" s="84" t="e">
        <f t="shared" si="121"/>
        <v>#REF!</v>
      </c>
      <c r="V611" s="85" t="e">
        <f>#REF!</f>
        <v>#REF!</v>
      </c>
      <c r="W611" s="86">
        <f t="shared" si="122"/>
        <v>0</v>
      </c>
      <c r="X611" s="86">
        <f t="shared" si="122"/>
        <v>0</v>
      </c>
      <c r="Y611" s="87">
        <f t="shared" si="123"/>
        <v>0</v>
      </c>
      <c r="Z611" s="87">
        <f t="shared" si="124"/>
        <v>0</v>
      </c>
      <c r="AA611" s="87">
        <f t="shared" si="125"/>
        <v>4</v>
      </c>
    </row>
    <row r="612" spans="9:27">
      <c r="I612" s="81" t="e">
        <f>IF(#REF!&lt;&gt;"",#REF!,"")</f>
        <v>#REF!</v>
      </c>
      <c r="J612" s="81" t="e">
        <f t="shared" si="126"/>
        <v>#REF!</v>
      </c>
      <c r="L612" s="82" t="e">
        <f t="shared" si="127"/>
        <v>#REF!</v>
      </c>
      <c r="M612" s="81" t="e">
        <f t="shared" si="130"/>
        <v>#REF!</v>
      </c>
      <c r="N612" s="81" t="e">
        <f t="shared" si="128"/>
        <v>#REF!</v>
      </c>
      <c r="O612" s="81" t="e">
        <f t="shared" si="129"/>
        <v>#REF!</v>
      </c>
      <c r="Q612" s="83" t="str">
        <f t="shared" si="131"/>
        <v/>
      </c>
      <c r="R612" s="84" t="e">
        <f t="shared" si="119"/>
        <v>#REF!</v>
      </c>
      <c r="S612" s="83" t="e">
        <f t="shared" si="119"/>
        <v>#REF!</v>
      </c>
      <c r="T612" s="84" t="e">
        <f t="shared" si="120"/>
        <v>#REF!</v>
      </c>
      <c r="U612" s="84" t="e">
        <f t="shared" si="121"/>
        <v>#REF!</v>
      </c>
      <c r="V612" s="85" t="e">
        <f>#REF!</f>
        <v>#REF!</v>
      </c>
      <c r="W612" s="86">
        <f t="shared" si="122"/>
        <v>0</v>
      </c>
      <c r="X612" s="86">
        <f t="shared" si="122"/>
        <v>0</v>
      </c>
      <c r="Y612" s="87">
        <f t="shared" si="123"/>
        <v>0</v>
      </c>
      <c r="Z612" s="87">
        <f t="shared" si="124"/>
        <v>0</v>
      </c>
      <c r="AA612" s="87">
        <f t="shared" si="125"/>
        <v>4</v>
      </c>
    </row>
    <row r="613" spans="9:27">
      <c r="I613" s="81" t="e">
        <f>IF(#REF!&lt;&gt;"",#REF!,"")</f>
        <v>#REF!</v>
      </c>
      <c r="J613" s="81" t="e">
        <f t="shared" si="126"/>
        <v>#REF!</v>
      </c>
      <c r="L613" s="82" t="e">
        <f t="shared" si="127"/>
        <v>#REF!</v>
      </c>
      <c r="M613" s="81" t="e">
        <f t="shared" si="130"/>
        <v>#REF!</v>
      </c>
      <c r="N613" s="81" t="e">
        <f t="shared" si="128"/>
        <v>#REF!</v>
      </c>
      <c r="O613" s="81" t="e">
        <f t="shared" si="129"/>
        <v>#REF!</v>
      </c>
      <c r="Q613" s="83" t="str">
        <f t="shared" si="131"/>
        <v/>
      </c>
      <c r="R613" s="84" t="e">
        <f t="shared" si="119"/>
        <v>#REF!</v>
      </c>
      <c r="S613" s="83" t="e">
        <f t="shared" si="119"/>
        <v>#REF!</v>
      </c>
      <c r="T613" s="84" t="e">
        <f t="shared" si="120"/>
        <v>#REF!</v>
      </c>
      <c r="U613" s="84" t="e">
        <f t="shared" si="121"/>
        <v>#REF!</v>
      </c>
      <c r="V613" s="85" t="e">
        <f>#REF!</f>
        <v>#REF!</v>
      </c>
      <c r="W613" s="86">
        <f t="shared" si="122"/>
        <v>0</v>
      </c>
      <c r="X613" s="86">
        <f t="shared" si="122"/>
        <v>0</v>
      </c>
      <c r="Y613" s="87">
        <f t="shared" si="123"/>
        <v>0</v>
      </c>
      <c r="Z613" s="87">
        <f t="shared" si="124"/>
        <v>0</v>
      </c>
      <c r="AA613" s="87">
        <f t="shared" si="125"/>
        <v>4</v>
      </c>
    </row>
    <row r="614" spans="9:27">
      <c r="I614" s="81" t="e">
        <f>IF(#REF!&lt;&gt;"",#REF!,"")</f>
        <v>#REF!</v>
      </c>
      <c r="J614" s="81" t="e">
        <f t="shared" si="126"/>
        <v>#REF!</v>
      </c>
      <c r="L614" s="82" t="e">
        <f t="shared" si="127"/>
        <v>#REF!</v>
      </c>
      <c r="M614" s="81" t="e">
        <f t="shared" si="130"/>
        <v>#REF!</v>
      </c>
      <c r="N614" s="81" t="e">
        <f t="shared" si="128"/>
        <v>#REF!</v>
      </c>
      <c r="O614" s="81" t="e">
        <f t="shared" si="129"/>
        <v>#REF!</v>
      </c>
      <c r="Q614" s="83" t="str">
        <f t="shared" si="131"/>
        <v/>
      </c>
      <c r="R614" s="84" t="e">
        <f t="shared" si="119"/>
        <v>#REF!</v>
      </c>
      <c r="S614" s="83" t="e">
        <f t="shared" si="119"/>
        <v>#REF!</v>
      </c>
      <c r="T614" s="84" t="e">
        <f t="shared" si="120"/>
        <v>#REF!</v>
      </c>
      <c r="U614" s="84" t="e">
        <f t="shared" si="121"/>
        <v>#REF!</v>
      </c>
      <c r="V614" s="85" t="e">
        <f>#REF!</f>
        <v>#REF!</v>
      </c>
      <c r="W614" s="86">
        <f t="shared" si="122"/>
        <v>0</v>
      </c>
      <c r="X614" s="86">
        <f t="shared" si="122"/>
        <v>0</v>
      </c>
      <c r="Y614" s="87">
        <f t="shared" si="123"/>
        <v>0</v>
      </c>
      <c r="Z614" s="87">
        <f t="shared" si="124"/>
        <v>0</v>
      </c>
      <c r="AA614" s="87">
        <f t="shared" si="125"/>
        <v>4</v>
      </c>
    </row>
    <row r="615" spans="9:27">
      <c r="I615" s="81" t="e">
        <f>IF(#REF!&lt;&gt;"",#REF!,"")</f>
        <v>#REF!</v>
      </c>
      <c r="J615" s="81" t="e">
        <f t="shared" si="126"/>
        <v>#REF!</v>
      </c>
      <c r="L615" s="82" t="e">
        <f t="shared" si="127"/>
        <v>#REF!</v>
      </c>
      <c r="M615" s="81" t="e">
        <f t="shared" si="130"/>
        <v>#REF!</v>
      </c>
      <c r="N615" s="81" t="e">
        <f t="shared" si="128"/>
        <v>#REF!</v>
      </c>
      <c r="O615" s="81" t="e">
        <f t="shared" si="129"/>
        <v>#REF!</v>
      </c>
      <c r="Q615" s="83" t="str">
        <f t="shared" si="131"/>
        <v/>
      </c>
      <c r="R615" s="84" t="e">
        <f t="shared" si="119"/>
        <v>#REF!</v>
      </c>
      <c r="S615" s="83" t="e">
        <f t="shared" si="119"/>
        <v>#REF!</v>
      </c>
      <c r="T615" s="84" t="e">
        <f t="shared" si="120"/>
        <v>#REF!</v>
      </c>
      <c r="U615" s="84" t="e">
        <f t="shared" si="121"/>
        <v>#REF!</v>
      </c>
      <c r="V615" s="85" t="e">
        <f>#REF!</f>
        <v>#REF!</v>
      </c>
      <c r="W615" s="86">
        <f t="shared" si="122"/>
        <v>0</v>
      </c>
      <c r="X615" s="86">
        <f t="shared" si="122"/>
        <v>0</v>
      </c>
      <c r="Y615" s="87">
        <f t="shared" si="123"/>
        <v>0</v>
      </c>
      <c r="Z615" s="87">
        <f t="shared" si="124"/>
        <v>0</v>
      </c>
      <c r="AA615" s="87">
        <f t="shared" si="125"/>
        <v>4</v>
      </c>
    </row>
    <row r="616" spans="9:27">
      <c r="I616" s="81" t="e">
        <f>IF(#REF!&lt;&gt;"",#REF!,"")</f>
        <v>#REF!</v>
      </c>
      <c r="J616" s="81" t="e">
        <f t="shared" si="126"/>
        <v>#REF!</v>
      </c>
      <c r="L616" s="82" t="e">
        <f t="shared" si="127"/>
        <v>#REF!</v>
      </c>
      <c r="M616" s="81" t="e">
        <f t="shared" si="130"/>
        <v>#REF!</v>
      </c>
      <c r="N616" s="81" t="e">
        <f t="shared" si="128"/>
        <v>#REF!</v>
      </c>
      <c r="O616" s="81" t="e">
        <f t="shared" si="129"/>
        <v>#REF!</v>
      </c>
      <c r="Q616" s="83" t="str">
        <f t="shared" si="131"/>
        <v/>
      </c>
      <c r="R616" s="84" t="e">
        <f t="shared" si="119"/>
        <v>#REF!</v>
      </c>
      <c r="S616" s="83" t="e">
        <f t="shared" si="119"/>
        <v>#REF!</v>
      </c>
      <c r="T616" s="84" t="e">
        <f t="shared" si="120"/>
        <v>#REF!</v>
      </c>
      <c r="U616" s="84" t="e">
        <f t="shared" si="121"/>
        <v>#REF!</v>
      </c>
      <c r="V616" s="85" t="e">
        <f>#REF!</f>
        <v>#REF!</v>
      </c>
      <c r="W616" s="86">
        <f t="shared" si="122"/>
        <v>0</v>
      </c>
      <c r="X616" s="86">
        <f t="shared" si="122"/>
        <v>0</v>
      </c>
      <c r="Y616" s="87">
        <f t="shared" si="123"/>
        <v>0</v>
      </c>
      <c r="Z616" s="87">
        <f t="shared" si="124"/>
        <v>0</v>
      </c>
      <c r="AA616" s="87">
        <f t="shared" si="125"/>
        <v>4</v>
      </c>
    </row>
    <row r="617" spans="9:27">
      <c r="I617" s="81" t="e">
        <f>IF(#REF!&lt;&gt;"",#REF!,"")</f>
        <v>#REF!</v>
      </c>
      <c r="J617" s="81" t="e">
        <f t="shared" si="126"/>
        <v>#REF!</v>
      </c>
      <c r="L617" s="82" t="e">
        <f t="shared" si="127"/>
        <v>#REF!</v>
      </c>
      <c r="M617" s="81" t="e">
        <f t="shared" si="130"/>
        <v>#REF!</v>
      </c>
      <c r="N617" s="81" t="e">
        <f t="shared" si="128"/>
        <v>#REF!</v>
      </c>
      <c r="O617" s="81" t="e">
        <f t="shared" si="129"/>
        <v>#REF!</v>
      </c>
      <c r="Q617" s="83" t="str">
        <f t="shared" si="131"/>
        <v/>
      </c>
      <c r="R617" s="84" t="e">
        <f t="shared" si="119"/>
        <v>#REF!</v>
      </c>
      <c r="S617" s="83" t="e">
        <f t="shared" si="119"/>
        <v>#REF!</v>
      </c>
      <c r="T617" s="84" t="e">
        <f t="shared" si="120"/>
        <v>#REF!</v>
      </c>
      <c r="U617" s="84" t="e">
        <f t="shared" si="121"/>
        <v>#REF!</v>
      </c>
      <c r="V617" s="85" t="e">
        <f>#REF!</f>
        <v>#REF!</v>
      </c>
      <c r="W617" s="86">
        <f t="shared" si="122"/>
        <v>0</v>
      </c>
      <c r="X617" s="86">
        <f t="shared" si="122"/>
        <v>0</v>
      </c>
      <c r="Y617" s="87">
        <f t="shared" si="123"/>
        <v>0</v>
      </c>
      <c r="Z617" s="87">
        <f t="shared" si="124"/>
        <v>0</v>
      </c>
      <c r="AA617" s="87">
        <f t="shared" si="125"/>
        <v>4</v>
      </c>
    </row>
    <row r="618" spans="9:27">
      <c r="I618" s="81" t="e">
        <f>IF(#REF!&lt;&gt;"",#REF!,"")</f>
        <v>#REF!</v>
      </c>
      <c r="J618" s="81" t="e">
        <f t="shared" si="126"/>
        <v>#REF!</v>
      </c>
      <c r="L618" s="82" t="e">
        <f t="shared" si="127"/>
        <v>#REF!</v>
      </c>
      <c r="M618" s="81" t="e">
        <f t="shared" si="130"/>
        <v>#REF!</v>
      </c>
      <c r="N618" s="81" t="e">
        <f t="shared" si="128"/>
        <v>#REF!</v>
      </c>
      <c r="O618" s="81" t="e">
        <f t="shared" si="129"/>
        <v>#REF!</v>
      </c>
      <c r="Q618" s="83" t="str">
        <f t="shared" si="131"/>
        <v/>
      </c>
      <c r="R618" s="84" t="e">
        <f t="shared" si="119"/>
        <v>#REF!</v>
      </c>
      <c r="S618" s="83" t="e">
        <f t="shared" si="119"/>
        <v>#REF!</v>
      </c>
      <c r="T618" s="84" t="e">
        <f t="shared" si="120"/>
        <v>#REF!</v>
      </c>
      <c r="U618" s="84" t="e">
        <f t="shared" si="121"/>
        <v>#REF!</v>
      </c>
      <c r="V618" s="85" t="e">
        <f>#REF!</f>
        <v>#REF!</v>
      </c>
      <c r="W618" s="86">
        <f t="shared" si="122"/>
        <v>0</v>
      </c>
      <c r="X618" s="86">
        <f t="shared" si="122"/>
        <v>0</v>
      </c>
      <c r="Y618" s="87">
        <f t="shared" si="123"/>
        <v>0</v>
      </c>
      <c r="Z618" s="87">
        <f t="shared" si="124"/>
        <v>0</v>
      </c>
      <c r="AA618" s="87">
        <f t="shared" si="125"/>
        <v>4</v>
      </c>
    </row>
    <row r="619" spans="9:27">
      <c r="I619" s="81" t="e">
        <f>IF(#REF!&lt;&gt;"",#REF!,"")</f>
        <v>#REF!</v>
      </c>
      <c r="J619" s="81" t="e">
        <f t="shared" si="126"/>
        <v>#REF!</v>
      </c>
      <c r="L619" s="82" t="e">
        <f t="shared" si="127"/>
        <v>#REF!</v>
      </c>
      <c r="M619" s="81" t="e">
        <f t="shared" si="130"/>
        <v>#REF!</v>
      </c>
      <c r="N619" s="81" t="e">
        <f t="shared" si="128"/>
        <v>#REF!</v>
      </c>
      <c r="O619" s="81" t="e">
        <f t="shared" si="129"/>
        <v>#REF!</v>
      </c>
      <c r="Q619" s="83" t="str">
        <f t="shared" si="131"/>
        <v/>
      </c>
      <c r="R619" s="84" t="e">
        <f t="shared" si="119"/>
        <v>#REF!</v>
      </c>
      <c r="S619" s="83" t="e">
        <f t="shared" si="119"/>
        <v>#REF!</v>
      </c>
      <c r="T619" s="84" t="e">
        <f t="shared" si="120"/>
        <v>#REF!</v>
      </c>
      <c r="U619" s="84" t="e">
        <f t="shared" si="121"/>
        <v>#REF!</v>
      </c>
      <c r="V619" s="85" t="e">
        <f>#REF!</f>
        <v>#REF!</v>
      </c>
      <c r="W619" s="86">
        <f t="shared" si="122"/>
        <v>0</v>
      </c>
      <c r="X619" s="86">
        <f t="shared" si="122"/>
        <v>0</v>
      </c>
      <c r="Y619" s="87">
        <f t="shared" si="123"/>
        <v>0</v>
      </c>
      <c r="Z619" s="87">
        <f t="shared" si="124"/>
        <v>0</v>
      </c>
      <c r="AA619" s="87">
        <f t="shared" si="125"/>
        <v>4</v>
      </c>
    </row>
    <row r="620" spans="9:27">
      <c r="I620" s="81" t="e">
        <f>IF(#REF!&lt;&gt;"",#REF!,"")</f>
        <v>#REF!</v>
      </c>
      <c r="J620" s="81" t="e">
        <f t="shared" si="126"/>
        <v>#REF!</v>
      </c>
      <c r="L620" s="82" t="e">
        <f t="shared" si="127"/>
        <v>#REF!</v>
      </c>
      <c r="M620" s="81" t="e">
        <f t="shared" si="130"/>
        <v>#REF!</v>
      </c>
      <c r="N620" s="81" t="e">
        <f t="shared" si="128"/>
        <v>#REF!</v>
      </c>
      <c r="O620" s="81" t="e">
        <f t="shared" si="129"/>
        <v>#REF!</v>
      </c>
      <c r="Q620" s="83" t="str">
        <f t="shared" si="131"/>
        <v/>
      </c>
      <c r="R620" s="84" t="e">
        <f t="shared" si="119"/>
        <v>#REF!</v>
      </c>
      <c r="S620" s="83" t="e">
        <f t="shared" si="119"/>
        <v>#REF!</v>
      </c>
      <c r="T620" s="84" t="e">
        <f t="shared" si="120"/>
        <v>#REF!</v>
      </c>
      <c r="U620" s="84" t="e">
        <f t="shared" si="121"/>
        <v>#REF!</v>
      </c>
      <c r="V620" s="85" t="e">
        <f>#REF!</f>
        <v>#REF!</v>
      </c>
      <c r="W620" s="86">
        <f t="shared" si="122"/>
        <v>0</v>
      </c>
      <c r="X620" s="86">
        <f t="shared" si="122"/>
        <v>0</v>
      </c>
      <c r="Y620" s="87">
        <f t="shared" si="123"/>
        <v>0</v>
      </c>
      <c r="Z620" s="87">
        <f t="shared" si="124"/>
        <v>0</v>
      </c>
      <c r="AA620" s="87">
        <f t="shared" si="125"/>
        <v>4</v>
      </c>
    </row>
    <row r="621" spans="9:27">
      <c r="I621" s="81" t="e">
        <f>IF(#REF!&lt;&gt;"",#REF!,"")</f>
        <v>#REF!</v>
      </c>
      <c r="J621" s="81" t="e">
        <f t="shared" si="126"/>
        <v>#REF!</v>
      </c>
      <c r="L621" s="82" t="e">
        <f t="shared" si="127"/>
        <v>#REF!</v>
      </c>
      <c r="M621" s="81" t="e">
        <f t="shared" si="130"/>
        <v>#REF!</v>
      </c>
      <c r="N621" s="81" t="e">
        <f t="shared" si="128"/>
        <v>#REF!</v>
      </c>
      <c r="O621" s="81" t="e">
        <f t="shared" si="129"/>
        <v>#REF!</v>
      </c>
      <c r="Q621" s="83" t="str">
        <f t="shared" si="131"/>
        <v/>
      </c>
      <c r="R621" s="84" t="e">
        <f t="shared" si="119"/>
        <v>#REF!</v>
      </c>
      <c r="S621" s="83" t="e">
        <f t="shared" si="119"/>
        <v>#REF!</v>
      </c>
      <c r="T621" s="84" t="e">
        <f t="shared" si="120"/>
        <v>#REF!</v>
      </c>
      <c r="U621" s="84" t="e">
        <f t="shared" si="121"/>
        <v>#REF!</v>
      </c>
      <c r="V621" s="85" t="e">
        <f>#REF!</f>
        <v>#REF!</v>
      </c>
      <c r="W621" s="86">
        <f t="shared" si="122"/>
        <v>0</v>
      </c>
      <c r="X621" s="86">
        <f t="shared" si="122"/>
        <v>0</v>
      </c>
      <c r="Y621" s="87">
        <f t="shared" si="123"/>
        <v>0</v>
      </c>
      <c r="Z621" s="87">
        <f t="shared" si="124"/>
        <v>0</v>
      </c>
      <c r="AA621" s="87">
        <f t="shared" si="125"/>
        <v>4</v>
      </c>
    </row>
    <row r="622" spans="9:27">
      <c r="I622" s="81" t="e">
        <f>IF(#REF!&lt;&gt;"",#REF!,"")</f>
        <v>#REF!</v>
      </c>
      <c r="J622" s="81" t="e">
        <f t="shared" si="126"/>
        <v>#REF!</v>
      </c>
      <c r="L622" s="82" t="e">
        <f t="shared" si="127"/>
        <v>#REF!</v>
      </c>
      <c r="M622" s="81" t="e">
        <f t="shared" si="130"/>
        <v>#REF!</v>
      </c>
      <c r="N622" s="81" t="e">
        <f t="shared" si="128"/>
        <v>#REF!</v>
      </c>
      <c r="O622" s="81" t="e">
        <f t="shared" si="129"/>
        <v>#REF!</v>
      </c>
      <c r="Q622" s="83" t="str">
        <f t="shared" si="131"/>
        <v/>
      </c>
      <c r="R622" s="84" t="e">
        <f t="shared" si="119"/>
        <v>#REF!</v>
      </c>
      <c r="S622" s="83" t="e">
        <f t="shared" si="119"/>
        <v>#REF!</v>
      </c>
      <c r="T622" s="84" t="e">
        <f t="shared" si="120"/>
        <v>#REF!</v>
      </c>
      <c r="U622" s="84" t="e">
        <f t="shared" si="121"/>
        <v>#REF!</v>
      </c>
      <c r="V622" s="85" t="e">
        <f>#REF!</f>
        <v>#REF!</v>
      </c>
      <c r="W622" s="86">
        <f t="shared" si="122"/>
        <v>0</v>
      </c>
      <c r="X622" s="86">
        <f t="shared" si="122"/>
        <v>0</v>
      </c>
      <c r="Y622" s="87">
        <f t="shared" si="123"/>
        <v>0</v>
      </c>
      <c r="Z622" s="87">
        <f t="shared" si="124"/>
        <v>0</v>
      </c>
      <c r="AA622" s="87">
        <f t="shared" si="125"/>
        <v>4</v>
      </c>
    </row>
    <row r="623" spans="9:27">
      <c r="I623" s="81" t="e">
        <f>IF(#REF!&lt;&gt;"",#REF!,"")</f>
        <v>#REF!</v>
      </c>
      <c r="J623" s="81" t="e">
        <f t="shared" si="126"/>
        <v>#REF!</v>
      </c>
      <c r="L623" s="82" t="e">
        <f t="shared" si="127"/>
        <v>#REF!</v>
      </c>
      <c r="M623" s="81" t="e">
        <f t="shared" si="130"/>
        <v>#REF!</v>
      </c>
      <c r="N623" s="81" t="e">
        <f t="shared" si="128"/>
        <v>#REF!</v>
      </c>
      <c r="O623" s="81" t="e">
        <f t="shared" si="129"/>
        <v>#REF!</v>
      </c>
      <c r="Q623" s="83" t="str">
        <f t="shared" si="131"/>
        <v/>
      </c>
      <c r="R623" s="84" t="e">
        <f t="shared" si="119"/>
        <v>#REF!</v>
      </c>
      <c r="S623" s="83" t="e">
        <f t="shared" si="119"/>
        <v>#REF!</v>
      </c>
      <c r="T623" s="84" t="e">
        <f t="shared" si="120"/>
        <v>#REF!</v>
      </c>
      <c r="U623" s="84" t="e">
        <f t="shared" si="121"/>
        <v>#REF!</v>
      </c>
      <c r="V623" s="85" t="e">
        <f>#REF!</f>
        <v>#REF!</v>
      </c>
      <c r="W623" s="86">
        <f t="shared" si="122"/>
        <v>0</v>
      </c>
      <c r="X623" s="86">
        <f t="shared" si="122"/>
        <v>0</v>
      </c>
      <c r="Y623" s="87">
        <f t="shared" si="123"/>
        <v>0</v>
      </c>
      <c r="Z623" s="87">
        <f t="shared" si="124"/>
        <v>0</v>
      </c>
      <c r="AA623" s="87">
        <f t="shared" si="125"/>
        <v>4</v>
      </c>
    </row>
    <row r="624" spans="9:27">
      <c r="I624" s="81" t="e">
        <f>IF(#REF!&lt;&gt;"",#REF!,"")</f>
        <v>#REF!</v>
      </c>
      <c r="J624" s="81" t="e">
        <f t="shared" si="126"/>
        <v>#REF!</v>
      </c>
      <c r="L624" s="82" t="e">
        <f t="shared" si="127"/>
        <v>#REF!</v>
      </c>
      <c r="M624" s="81" t="e">
        <f t="shared" si="130"/>
        <v>#REF!</v>
      </c>
      <c r="N624" s="81" t="e">
        <f t="shared" si="128"/>
        <v>#REF!</v>
      </c>
      <c r="O624" s="81" t="e">
        <f t="shared" si="129"/>
        <v>#REF!</v>
      </c>
      <c r="Q624" s="83" t="str">
        <f t="shared" si="131"/>
        <v/>
      </c>
      <c r="R624" s="84" t="e">
        <f t="shared" si="119"/>
        <v>#REF!</v>
      </c>
      <c r="S624" s="83" t="e">
        <f t="shared" si="119"/>
        <v>#REF!</v>
      </c>
      <c r="T624" s="84" t="e">
        <f t="shared" si="120"/>
        <v>#REF!</v>
      </c>
      <c r="U624" s="84" t="e">
        <f t="shared" si="121"/>
        <v>#REF!</v>
      </c>
      <c r="V624" s="85" t="e">
        <f>#REF!</f>
        <v>#REF!</v>
      </c>
      <c r="W624" s="86">
        <f t="shared" si="122"/>
        <v>0</v>
      </c>
      <c r="X624" s="86">
        <f t="shared" si="122"/>
        <v>0</v>
      </c>
      <c r="Y624" s="87">
        <f t="shared" si="123"/>
        <v>0</v>
      </c>
      <c r="Z624" s="87">
        <f t="shared" si="124"/>
        <v>0</v>
      </c>
      <c r="AA624" s="87">
        <f t="shared" si="125"/>
        <v>4</v>
      </c>
    </row>
    <row r="625" spans="9:27">
      <c r="I625" s="81" t="e">
        <f>IF(#REF!&lt;&gt;"",#REF!,"")</f>
        <v>#REF!</v>
      </c>
      <c r="J625" s="81" t="e">
        <f t="shared" si="126"/>
        <v>#REF!</v>
      </c>
      <c r="L625" s="82" t="e">
        <f t="shared" si="127"/>
        <v>#REF!</v>
      </c>
      <c r="M625" s="81" t="e">
        <f t="shared" si="130"/>
        <v>#REF!</v>
      </c>
      <c r="N625" s="81" t="e">
        <f t="shared" si="128"/>
        <v>#REF!</v>
      </c>
      <c r="O625" s="81" t="e">
        <f t="shared" si="129"/>
        <v>#REF!</v>
      </c>
      <c r="Q625" s="83" t="str">
        <f t="shared" si="131"/>
        <v/>
      </c>
      <c r="R625" s="84" t="e">
        <f t="shared" si="119"/>
        <v>#REF!</v>
      </c>
      <c r="S625" s="83" t="e">
        <f t="shared" si="119"/>
        <v>#REF!</v>
      </c>
      <c r="T625" s="84" t="e">
        <f t="shared" si="120"/>
        <v>#REF!</v>
      </c>
      <c r="U625" s="84" t="e">
        <f t="shared" si="121"/>
        <v>#REF!</v>
      </c>
      <c r="V625" s="85" t="e">
        <f>#REF!</f>
        <v>#REF!</v>
      </c>
      <c r="W625" s="86">
        <f t="shared" si="122"/>
        <v>0</v>
      </c>
      <c r="X625" s="86">
        <f t="shared" si="122"/>
        <v>0</v>
      </c>
      <c r="Y625" s="87">
        <f t="shared" si="123"/>
        <v>0</v>
      </c>
      <c r="Z625" s="87">
        <f t="shared" si="124"/>
        <v>0</v>
      </c>
      <c r="AA625" s="87">
        <f t="shared" si="125"/>
        <v>4</v>
      </c>
    </row>
    <row r="626" spans="9:27">
      <c r="I626" s="81" t="e">
        <f>IF(#REF!&lt;&gt;"",#REF!,"")</f>
        <v>#REF!</v>
      </c>
      <c r="J626" s="81" t="e">
        <f t="shared" si="126"/>
        <v>#REF!</v>
      </c>
      <c r="L626" s="82" t="e">
        <f t="shared" si="127"/>
        <v>#REF!</v>
      </c>
      <c r="M626" s="81" t="e">
        <f t="shared" si="130"/>
        <v>#REF!</v>
      </c>
      <c r="N626" s="81" t="e">
        <f t="shared" si="128"/>
        <v>#REF!</v>
      </c>
      <c r="O626" s="81" t="e">
        <f t="shared" si="129"/>
        <v>#REF!</v>
      </c>
      <c r="Q626" s="83" t="str">
        <f t="shared" si="131"/>
        <v/>
      </c>
      <c r="R626" s="84" t="e">
        <f t="shared" si="119"/>
        <v>#REF!</v>
      </c>
      <c r="S626" s="83" t="e">
        <f t="shared" si="119"/>
        <v>#REF!</v>
      </c>
      <c r="T626" s="84" t="e">
        <f t="shared" si="120"/>
        <v>#REF!</v>
      </c>
      <c r="U626" s="84" t="e">
        <f t="shared" si="121"/>
        <v>#REF!</v>
      </c>
      <c r="V626" s="85" t="e">
        <f>#REF!</f>
        <v>#REF!</v>
      </c>
      <c r="W626" s="86">
        <f t="shared" si="122"/>
        <v>0</v>
      </c>
      <c r="X626" s="86">
        <f t="shared" si="122"/>
        <v>0</v>
      </c>
      <c r="Y626" s="87">
        <f t="shared" si="123"/>
        <v>0</v>
      </c>
      <c r="Z626" s="87">
        <f t="shared" si="124"/>
        <v>0</v>
      </c>
      <c r="AA626" s="87">
        <f t="shared" si="125"/>
        <v>4</v>
      </c>
    </row>
    <row r="627" spans="9:27">
      <c r="I627" s="81" t="e">
        <f>IF(#REF!&lt;&gt;"",#REF!,"")</f>
        <v>#REF!</v>
      </c>
      <c r="J627" s="81" t="e">
        <f t="shared" si="126"/>
        <v>#REF!</v>
      </c>
      <c r="L627" s="82" t="e">
        <f t="shared" si="127"/>
        <v>#REF!</v>
      </c>
      <c r="M627" s="81" t="e">
        <f t="shared" si="130"/>
        <v>#REF!</v>
      </c>
      <c r="N627" s="81" t="e">
        <f t="shared" si="128"/>
        <v>#REF!</v>
      </c>
      <c r="O627" s="81" t="e">
        <f t="shared" si="129"/>
        <v>#REF!</v>
      </c>
      <c r="Q627" s="83" t="str">
        <f t="shared" si="131"/>
        <v/>
      </c>
      <c r="R627" s="84" t="e">
        <f t="shared" si="119"/>
        <v>#REF!</v>
      </c>
      <c r="S627" s="83" t="e">
        <f t="shared" si="119"/>
        <v>#REF!</v>
      </c>
      <c r="T627" s="84" t="e">
        <f t="shared" si="120"/>
        <v>#REF!</v>
      </c>
      <c r="U627" s="84" t="e">
        <f t="shared" si="121"/>
        <v>#REF!</v>
      </c>
      <c r="V627" s="85" t="e">
        <f>#REF!</f>
        <v>#REF!</v>
      </c>
      <c r="W627" s="86">
        <f t="shared" si="122"/>
        <v>0</v>
      </c>
      <c r="X627" s="86">
        <f t="shared" si="122"/>
        <v>0</v>
      </c>
      <c r="Y627" s="87">
        <f t="shared" si="123"/>
        <v>0</v>
      </c>
      <c r="Z627" s="87">
        <f t="shared" si="124"/>
        <v>0</v>
      </c>
      <c r="AA627" s="87">
        <f t="shared" si="125"/>
        <v>4</v>
      </c>
    </row>
    <row r="628" spans="9:27">
      <c r="I628" s="81" t="e">
        <f>IF(#REF!&lt;&gt;"",#REF!,"")</f>
        <v>#REF!</v>
      </c>
      <c r="J628" s="81" t="e">
        <f t="shared" si="126"/>
        <v>#REF!</v>
      </c>
      <c r="L628" s="82" t="e">
        <f t="shared" si="127"/>
        <v>#REF!</v>
      </c>
      <c r="M628" s="81" t="e">
        <f t="shared" si="130"/>
        <v>#REF!</v>
      </c>
      <c r="N628" s="81" t="e">
        <f t="shared" si="128"/>
        <v>#REF!</v>
      </c>
      <c r="O628" s="81" t="e">
        <f t="shared" si="129"/>
        <v>#REF!</v>
      </c>
      <c r="Q628" s="83" t="str">
        <f t="shared" si="131"/>
        <v/>
      </c>
      <c r="R628" s="84" t="e">
        <f t="shared" si="119"/>
        <v>#REF!</v>
      </c>
      <c r="S628" s="83" t="e">
        <f t="shared" si="119"/>
        <v>#REF!</v>
      </c>
      <c r="T628" s="84" t="e">
        <f t="shared" si="120"/>
        <v>#REF!</v>
      </c>
      <c r="U628" s="84" t="e">
        <f t="shared" si="121"/>
        <v>#REF!</v>
      </c>
      <c r="V628" s="85" t="e">
        <f>#REF!</f>
        <v>#REF!</v>
      </c>
      <c r="W628" s="86">
        <f t="shared" si="122"/>
        <v>0</v>
      </c>
      <c r="X628" s="86">
        <f t="shared" si="122"/>
        <v>0</v>
      </c>
      <c r="Y628" s="87">
        <f t="shared" si="123"/>
        <v>0</v>
      </c>
      <c r="Z628" s="87">
        <f t="shared" si="124"/>
        <v>0</v>
      </c>
      <c r="AA628" s="87">
        <f t="shared" si="125"/>
        <v>4</v>
      </c>
    </row>
    <row r="629" spans="9:27">
      <c r="I629" s="81" t="e">
        <f>IF(#REF!&lt;&gt;"",#REF!,"")</f>
        <v>#REF!</v>
      </c>
      <c r="J629" s="81" t="e">
        <f t="shared" si="126"/>
        <v>#REF!</v>
      </c>
      <c r="L629" s="82" t="e">
        <f t="shared" si="127"/>
        <v>#REF!</v>
      </c>
      <c r="M629" s="81" t="e">
        <f t="shared" si="130"/>
        <v>#REF!</v>
      </c>
      <c r="N629" s="81" t="e">
        <f t="shared" si="128"/>
        <v>#REF!</v>
      </c>
      <c r="O629" s="81" t="e">
        <f t="shared" si="129"/>
        <v>#REF!</v>
      </c>
      <c r="Q629" s="83" t="str">
        <f t="shared" si="131"/>
        <v/>
      </c>
      <c r="R629" s="84" t="e">
        <f t="shared" si="119"/>
        <v>#REF!</v>
      </c>
      <c r="S629" s="83" t="e">
        <f t="shared" si="119"/>
        <v>#REF!</v>
      </c>
      <c r="T629" s="84" t="e">
        <f t="shared" si="120"/>
        <v>#REF!</v>
      </c>
      <c r="U629" s="84" t="e">
        <f t="shared" si="121"/>
        <v>#REF!</v>
      </c>
      <c r="V629" s="85" t="e">
        <f>#REF!</f>
        <v>#REF!</v>
      </c>
      <c r="W629" s="86">
        <f t="shared" si="122"/>
        <v>0</v>
      </c>
      <c r="X629" s="86">
        <f t="shared" si="122"/>
        <v>0</v>
      </c>
      <c r="Y629" s="87">
        <f t="shared" si="123"/>
        <v>0</v>
      </c>
      <c r="Z629" s="87">
        <f t="shared" si="124"/>
        <v>0</v>
      </c>
      <c r="AA629" s="87">
        <f t="shared" si="125"/>
        <v>4</v>
      </c>
    </row>
    <row r="630" spans="9:27">
      <c r="I630" s="81" t="e">
        <f>IF(#REF!&lt;&gt;"",#REF!,"")</f>
        <v>#REF!</v>
      </c>
      <c r="J630" s="81" t="e">
        <f t="shared" si="126"/>
        <v>#REF!</v>
      </c>
      <c r="L630" s="82" t="e">
        <f t="shared" si="127"/>
        <v>#REF!</v>
      </c>
      <c r="M630" s="81" t="e">
        <f t="shared" si="130"/>
        <v>#REF!</v>
      </c>
      <c r="N630" s="81" t="e">
        <f t="shared" si="128"/>
        <v>#REF!</v>
      </c>
      <c r="O630" s="81" t="e">
        <f t="shared" si="129"/>
        <v>#REF!</v>
      </c>
      <c r="Q630" s="83" t="str">
        <f t="shared" si="131"/>
        <v/>
      </c>
      <c r="R630" s="84" t="e">
        <f t="shared" si="119"/>
        <v>#REF!</v>
      </c>
      <c r="S630" s="83" t="e">
        <f t="shared" si="119"/>
        <v>#REF!</v>
      </c>
      <c r="T630" s="84" t="e">
        <f t="shared" si="120"/>
        <v>#REF!</v>
      </c>
      <c r="U630" s="84" t="e">
        <f t="shared" si="121"/>
        <v>#REF!</v>
      </c>
      <c r="V630" s="85" t="e">
        <f>#REF!</f>
        <v>#REF!</v>
      </c>
      <c r="W630" s="86">
        <f t="shared" si="122"/>
        <v>0</v>
      </c>
      <c r="X630" s="86">
        <f t="shared" si="122"/>
        <v>0</v>
      </c>
      <c r="Y630" s="87">
        <f t="shared" si="123"/>
        <v>0</v>
      </c>
      <c r="Z630" s="87">
        <f t="shared" si="124"/>
        <v>0</v>
      </c>
      <c r="AA630" s="87">
        <f t="shared" si="125"/>
        <v>4</v>
      </c>
    </row>
    <row r="631" spans="9:27">
      <c r="I631" s="81" t="e">
        <f>IF(#REF!&lt;&gt;"",#REF!,"")</f>
        <v>#REF!</v>
      </c>
      <c r="J631" s="81" t="e">
        <f t="shared" si="126"/>
        <v>#REF!</v>
      </c>
      <c r="L631" s="82" t="e">
        <f t="shared" si="127"/>
        <v>#REF!</v>
      </c>
      <c r="M631" s="81" t="e">
        <f t="shared" si="130"/>
        <v>#REF!</v>
      </c>
      <c r="N631" s="81" t="e">
        <f t="shared" si="128"/>
        <v>#REF!</v>
      </c>
      <c r="O631" s="81" t="e">
        <f t="shared" si="129"/>
        <v>#REF!</v>
      </c>
      <c r="Q631" s="83" t="str">
        <f t="shared" si="131"/>
        <v/>
      </c>
      <c r="R631" s="84" t="e">
        <f t="shared" si="119"/>
        <v>#REF!</v>
      </c>
      <c r="S631" s="83" t="e">
        <f t="shared" si="119"/>
        <v>#REF!</v>
      </c>
      <c r="T631" s="84" t="e">
        <f t="shared" si="120"/>
        <v>#REF!</v>
      </c>
      <c r="U631" s="84" t="e">
        <f t="shared" si="121"/>
        <v>#REF!</v>
      </c>
      <c r="V631" s="85" t="e">
        <f>#REF!</f>
        <v>#REF!</v>
      </c>
      <c r="W631" s="86">
        <f t="shared" si="122"/>
        <v>0</v>
      </c>
      <c r="X631" s="86">
        <f t="shared" si="122"/>
        <v>0</v>
      </c>
      <c r="Y631" s="87">
        <f t="shared" si="123"/>
        <v>0</v>
      </c>
      <c r="Z631" s="87">
        <f t="shared" si="124"/>
        <v>0</v>
      </c>
      <c r="AA631" s="87">
        <f t="shared" si="125"/>
        <v>4</v>
      </c>
    </row>
    <row r="632" spans="9:27">
      <c r="I632" s="81" t="e">
        <f>IF(#REF!&lt;&gt;"",#REF!,"")</f>
        <v>#REF!</v>
      </c>
      <c r="J632" s="81" t="e">
        <f t="shared" si="126"/>
        <v>#REF!</v>
      </c>
      <c r="L632" s="82" t="e">
        <f t="shared" si="127"/>
        <v>#REF!</v>
      </c>
      <c r="M632" s="81" t="e">
        <f t="shared" si="130"/>
        <v>#REF!</v>
      </c>
      <c r="N632" s="81" t="e">
        <f t="shared" si="128"/>
        <v>#REF!</v>
      </c>
      <c r="O632" s="81" t="e">
        <f t="shared" si="129"/>
        <v>#REF!</v>
      </c>
      <c r="Q632" s="83" t="str">
        <f t="shared" si="131"/>
        <v/>
      </c>
      <c r="R632" s="84" t="e">
        <f t="shared" si="119"/>
        <v>#REF!</v>
      </c>
      <c r="S632" s="83" t="e">
        <f t="shared" si="119"/>
        <v>#REF!</v>
      </c>
      <c r="T632" s="84" t="e">
        <f t="shared" si="120"/>
        <v>#REF!</v>
      </c>
      <c r="U632" s="84" t="e">
        <f t="shared" si="121"/>
        <v>#REF!</v>
      </c>
      <c r="V632" s="85" t="e">
        <f>#REF!</f>
        <v>#REF!</v>
      </c>
      <c r="W632" s="86">
        <f t="shared" si="122"/>
        <v>0</v>
      </c>
      <c r="X632" s="86">
        <f t="shared" si="122"/>
        <v>0</v>
      </c>
      <c r="Y632" s="87">
        <f t="shared" si="123"/>
        <v>0</v>
      </c>
      <c r="Z632" s="87">
        <f t="shared" si="124"/>
        <v>0</v>
      </c>
      <c r="AA632" s="87">
        <f t="shared" si="125"/>
        <v>4</v>
      </c>
    </row>
    <row r="633" spans="9:27">
      <c r="I633" s="81" t="e">
        <f>IF(#REF!&lt;&gt;"",#REF!,"")</f>
        <v>#REF!</v>
      </c>
      <c r="J633" s="81" t="e">
        <f t="shared" si="126"/>
        <v>#REF!</v>
      </c>
      <c r="L633" s="82" t="e">
        <f t="shared" si="127"/>
        <v>#REF!</v>
      </c>
      <c r="M633" s="81" t="e">
        <f t="shared" si="130"/>
        <v>#REF!</v>
      </c>
      <c r="N633" s="81" t="e">
        <f t="shared" si="128"/>
        <v>#REF!</v>
      </c>
      <c r="O633" s="81" t="e">
        <f t="shared" si="129"/>
        <v>#REF!</v>
      </c>
      <c r="Q633" s="83" t="str">
        <f t="shared" si="131"/>
        <v/>
      </c>
      <c r="R633" s="84" t="e">
        <f t="shared" si="119"/>
        <v>#REF!</v>
      </c>
      <c r="S633" s="83" t="e">
        <f t="shared" si="119"/>
        <v>#REF!</v>
      </c>
      <c r="T633" s="84" t="e">
        <f t="shared" si="120"/>
        <v>#REF!</v>
      </c>
      <c r="U633" s="84" t="e">
        <f t="shared" si="121"/>
        <v>#REF!</v>
      </c>
      <c r="V633" s="85" t="e">
        <f>#REF!</f>
        <v>#REF!</v>
      </c>
      <c r="W633" s="86">
        <f t="shared" si="122"/>
        <v>0</v>
      </c>
      <c r="X633" s="86">
        <f t="shared" si="122"/>
        <v>0</v>
      </c>
      <c r="Y633" s="87">
        <f t="shared" si="123"/>
        <v>0</v>
      </c>
      <c r="Z633" s="87">
        <f t="shared" si="124"/>
        <v>0</v>
      </c>
      <c r="AA633" s="87">
        <f t="shared" si="125"/>
        <v>4</v>
      </c>
    </row>
    <row r="634" spans="9:27">
      <c r="I634" s="81" t="e">
        <f>IF(#REF!&lt;&gt;"",#REF!,"")</f>
        <v>#REF!</v>
      </c>
      <c r="J634" s="81" t="e">
        <f t="shared" si="126"/>
        <v>#REF!</v>
      </c>
      <c r="L634" s="82" t="e">
        <f t="shared" si="127"/>
        <v>#REF!</v>
      </c>
      <c r="M634" s="81" t="e">
        <f t="shared" si="130"/>
        <v>#REF!</v>
      </c>
      <c r="N634" s="81" t="e">
        <f t="shared" si="128"/>
        <v>#REF!</v>
      </c>
      <c r="O634" s="81" t="e">
        <f t="shared" si="129"/>
        <v>#REF!</v>
      </c>
      <c r="Q634" s="83" t="str">
        <f t="shared" si="131"/>
        <v/>
      </c>
      <c r="R634" s="84" t="e">
        <f t="shared" si="119"/>
        <v>#REF!</v>
      </c>
      <c r="S634" s="83" t="e">
        <f t="shared" si="119"/>
        <v>#REF!</v>
      </c>
      <c r="T634" s="84" t="e">
        <f t="shared" si="120"/>
        <v>#REF!</v>
      </c>
      <c r="U634" s="84" t="e">
        <f t="shared" si="121"/>
        <v>#REF!</v>
      </c>
      <c r="V634" s="85" t="e">
        <f>#REF!</f>
        <v>#REF!</v>
      </c>
      <c r="W634" s="86">
        <f t="shared" si="122"/>
        <v>0</v>
      </c>
      <c r="X634" s="86">
        <f t="shared" si="122"/>
        <v>0</v>
      </c>
      <c r="Y634" s="87">
        <f t="shared" si="123"/>
        <v>0</v>
      </c>
      <c r="Z634" s="87">
        <f t="shared" si="124"/>
        <v>0</v>
      </c>
      <c r="AA634" s="87">
        <f t="shared" si="125"/>
        <v>4</v>
      </c>
    </row>
    <row r="635" spans="9:27">
      <c r="I635" s="81" t="e">
        <f>IF(#REF!&lt;&gt;"",#REF!,"")</f>
        <v>#REF!</v>
      </c>
      <c r="J635" s="81" t="e">
        <f t="shared" si="126"/>
        <v>#REF!</v>
      </c>
      <c r="L635" s="82" t="e">
        <f t="shared" si="127"/>
        <v>#REF!</v>
      </c>
      <c r="M635" s="81" t="e">
        <f t="shared" si="130"/>
        <v>#REF!</v>
      </c>
      <c r="N635" s="81" t="e">
        <f t="shared" si="128"/>
        <v>#REF!</v>
      </c>
      <c r="O635" s="81" t="e">
        <f t="shared" si="129"/>
        <v>#REF!</v>
      </c>
      <c r="Q635" s="83" t="str">
        <f t="shared" si="131"/>
        <v/>
      </c>
      <c r="R635" s="84" t="e">
        <f t="shared" si="119"/>
        <v>#REF!</v>
      </c>
      <c r="S635" s="83" t="e">
        <f t="shared" si="119"/>
        <v>#REF!</v>
      </c>
      <c r="T635" s="84" t="e">
        <f t="shared" si="120"/>
        <v>#REF!</v>
      </c>
      <c r="U635" s="84" t="e">
        <f t="shared" si="121"/>
        <v>#REF!</v>
      </c>
      <c r="V635" s="85" t="e">
        <f>#REF!</f>
        <v>#REF!</v>
      </c>
      <c r="W635" s="86">
        <f t="shared" si="122"/>
        <v>0</v>
      </c>
      <c r="X635" s="86">
        <f t="shared" si="122"/>
        <v>0</v>
      </c>
      <c r="Y635" s="87">
        <f t="shared" si="123"/>
        <v>0</v>
      </c>
      <c r="Z635" s="87">
        <f t="shared" si="124"/>
        <v>0</v>
      </c>
      <c r="AA635" s="87">
        <f t="shared" si="125"/>
        <v>4</v>
      </c>
    </row>
    <row r="636" spans="9:27">
      <c r="I636" s="81" t="e">
        <f>IF(#REF!&lt;&gt;"",#REF!,"")</f>
        <v>#REF!</v>
      </c>
      <c r="J636" s="81" t="e">
        <f t="shared" si="126"/>
        <v>#REF!</v>
      </c>
      <c r="L636" s="82" t="e">
        <f t="shared" si="127"/>
        <v>#REF!</v>
      </c>
      <c r="M636" s="81" t="e">
        <f t="shared" si="130"/>
        <v>#REF!</v>
      </c>
      <c r="N636" s="81" t="e">
        <f t="shared" si="128"/>
        <v>#REF!</v>
      </c>
      <c r="O636" s="81" t="e">
        <f t="shared" si="129"/>
        <v>#REF!</v>
      </c>
      <c r="Q636" s="83" t="str">
        <f t="shared" si="131"/>
        <v/>
      </c>
      <c r="R636" s="84" t="e">
        <f t="shared" si="119"/>
        <v>#REF!</v>
      </c>
      <c r="S636" s="83" t="e">
        <f t="shared" si="119"/>
        <v>#REF!</v>
      </c>
      <c r="T636" s="84" t="e">
        <f t="shared" si="120"/>
        <v>#REF!</v>
      </c>
      <c r="U636" s="84" t="e">
        <f t="shared" si="121"/>
        <v>#REF!</v>
      </c>
      <c r="V636" s="85" t="e">
        <f>#REF!</f>
        <v>#REF!</v>
      </c>
      <c r="W636" s="86">
        <f t="shared" si="122"/>
        <v>0</v>
      </c>
      <c r="X636" s="86">
        <f t="shared" si="122"/>
        <v>0</v>
      </c>
      <c r="Y636" s="87">
        <f t="shared" si="123"/>
        <v>0</v>
      </c>
      <c r="Z636" s="87">
        <f t="shared" si="124"/>
        <v>0</v>
      </c>
      <c r="AA636" s="87">
        <f t="shared" si="125"/>
        <v>4</v>
      </c>
    </row>
    <row r="637" spans="9:27">
      <c r="I637" s="81" t="e">
        <f>IF(#REF!&lt;&gt;"",#REF!,"")</f>
        <v>#REF!</v>
      </c>
      <c r="J637" s="81" t="e">
        <f t="shared" si="126"/>
        <v>#REF!</v>
      </c>
      <c r="L637" s="82" t="e">
        <f t="shared" si="127"/>
        <v>#REF!</v>
      </c>
      <c r="M637" s="81" t="e">
        <f t="shared" si="130"/>
        <v>#REF!</v>
      </c>
      <c r="N637" s="81" t="e">
        <f t="shared" si="128"/>
        <v>#REF!</v>
      </c>
      <c r="O637" s="81" t="e">
        <f t="shared" si="129"/>
        <v>#REF!</v>
      </c>
      <c r="Q637" s="83" t="str">
        <f t="shared" si="131"/>
        <v/>
      </c>
      <c r="R637" s="84" t="e">
        <f t="shared" si="119"/>
        <v>#REF!</v>
      </c>
      <c r="S637" s="83" t="e">
        <f t="shared" si="119"/>
        <v>#REF!</v>
      </c>
      <c r="T637" s="84" t="e">
        <f t="shared" si="120"/>
        <v>#REF!</v>
      </c>
      <c r="U637" s="84" t="e">
        <f t="shared" si="121"/>
        <v>#REF!</v>
      </c>
      <c r="V637" s="85" t="e">
        <f>#REF!</f>
        <v>#REF!</v>
      </c>
      <c r="W637" s="86">
        <f t="shared" si="122"/>
        <v>0</v>
      </c>
      <c r="X637" s="86">
        <f t="shared" si="122"/>
        <v>0</v>
      </c>
      <c r="Y637" s="87">
        <f t="shared" si="123"/>
        <v>0</v>
      </c>
      <c r="Z637" s="87">
        <f t="shared" si="124"/>
        <v>0</v>
      </c>
      <c r="AA637" s="87">
        <f t="shared" si="125"/>
        <v>4</v>
      </c>
    </row>
    <row r="638" spans="9:27">
      <c r="I638" s="81" t="e">
        <f>IF(#REF!&lt;&gt;"",#REF!,"")</f>
        <v>#REF!</v>
      </c>
      <c r="J638" s="81" t="e">
        <f t="shared" si="126"/>
        <v>#REF!</v>
      </c>
      <c r="L638" s="82" t="e">
        <f t="shared" si="127"/>
        <v>#REF!</v>
      </c>
      <c r="M638" s="81" t="e">
        <f t="shared" si="130"/>
        <v>#REF!</v>
      </c>
      <c r="N638" s="81" t="e">
        <f t="shared" si="128"/>
        <v>#REF!</v>
      </c>
      <c r="O638" s="81" t="e">
        <f t="shared" si="129"/>
        <v>#REF!</v>
      </c>
      <c r="Q638" s="83" t="str">
        <f t="shared" si="131"/>
        <v/>
      </c>
      <c r="R638" s="84" t="e">
        <f t="shared" si="119"/>
        <v>#REF!</v>
      </c>
      <c r="S638" s="83" t="e">
        <f t="shared" si="119"/>
        <v>#REF!</v>
      </c>
      <c r="T638" s="84" t="e">
        <f t="shared" si="120"/>
        <v>#REF!</v>
      </c>
      <c r="U638" s="84" t="e">
        <f t="shared" si="121"/>
        <v>#REF!</v>
      </c>
      <c r="V638" s="85" t="e">
        <f>#REF!</f>
        <v>#REF!</v>
      </c>
      <c r="W638" s="86">
        <f t="shared" si="122"/>
        <v>0</v>
      </c>
      <c r="X638" s="86">
        <f t="shared" si="122"/>
        <v>0</v>
      </c>
      <c r="Y638" s="87">
        <f t="shared" si="123"/>
        <v>0</v>
      </c>
      <c r="Z638" s="87">
        <f t="shared" si="124"/>
        <v>0</v>
      </c>
      <c r="AA638" s="87">
        <f t="shared" si="125"/>
        <v>4</v>
      </c>
    </row>
    <row r="639" spans="9:27">
      <c r="I639" s="81" t="e">
        <f>IF(#REF!&lt;&gt;"",#REF!,"")</f>
        <v>#REF!</v>
      </c>
      <c r="J639" s="81" t="e">
        <f t="shared" si="126"/>
        <v>#REF!</v>
      </c>
      <c r="L639" s="82" t="e">
        <f t="shared" si="127"/>
        <v>#REF!</v>
      </c>
      <c r="M639" s="81" t="e">
        <f t="shared" si="130"/>
        <v>#REF!</v>
      </c>
      <c r="N639" s="81" t="e">
        <f t="shared" si="128"/>
        <v>#REF!</v>
      </c>
      <c r="O639" s="81" t="e">
        <f t="shared" si="129"/>
        <v>#REF!</v>
      </c>
      <c r="Q639" s="83" t="str">
        <f t="shared" si="131"/>
        <v/>
      </c>
      <c r="R639" s="84" t="e">
        <f t="shared" si="119"/>
        <v>#REF!</v>
      </c>
      <c r="S639" s="83" t="e">
        <f t="shared" si="119"/>
        <v>#REF!</v>
      </c>
      <c r="T639" s="84" t="e">
        <f t="shared" si="120"/>
        <v>#REF!</v>
      </c>
      <c r="U639" s="84" t="e">
        <f t="shared" si="121"/>
        <v>#REF!</v>
      </c>
      <c r="V639" s="85" t="e">
        <f>#REF!</f>
        <v>#REF!</v>
      </c>
      <c r="W639" s="86">
        <f t="shared" si="122"/>
        <v>0</v>
      </c>
      <c r="X639" s="86">
        <f t="shared" si="122"/>
        <v>0</v>
      </c>
      <c r="Y639" s="87">
        <f t="shared" si="123"/>
        <v>0</v>
      </c>
      <c r="Z639" s="87">
        <f t="shared" si="124"/>
        <v>0</v>
      </c>
      <c r="AA639" s="87">
        <f t="shared" si="125"/>
        <v>4</v>
      </c>
    </row>
    <row r="640" spans="9:27">
      <c r="I640" s="81" t="e">
        <f>IF(#REF!&lt;&gt;"",#REF!,"")</f>
        <v>#REF!</v>
      </c>
      <c r="J640" s="81" t="e">
        <f t="shared" si="126"/>
        <v>#REF!</v>
      </c>
      <c r="L640" s="82" t="e">
        <f t="shared" si="127"/>
        <v>#REF!</v>
      </c>
      <c r="M640" s="81" t="e">
        <f t="shared" si="130"/>
        <v>#REF!</v>
      </c>
      <c r="N640" s="81" t="e">
        <f t="shared" si="128"/>
        <v>#REF!</v>
      </c>
      <c r="O640" s="81" t="e">
        <f t="shared" si="129"/>
        <v>#REF!</v>
      </c>
      <c r="Q640" s="83" t="str">
        <f t="shared" si="131"/>
        <v/>
      </c>
      <c r="R640" s="84" t="e">
        <f t="shared" ref="R640:S703" si="132">IF(L640="","",L640)</f>
        <v>#REF!</v>
      </c>
      <c r="S640" s="83" t="e">
        <f t="shared" si="132"/>
        <v>#REF!</v>
      </c>
      <c r="T640" s="84" t="e">
        <f t="shared" ref="T640:T703" si="133">IF(W640=1,"",N640)</f>
        <v>#REF!</v>
      </c>
      <c r="U640" s="84" t="e">
        <f t="shared" ref="U640:U703" si="134">IF(OR(W640=1,X640=1),"",O640)</f>
        <v>#REF!</v>
      </c>
      <c r="V640" s="85" t="e">
        <f>#REF!</f>
        <v>#REF!</v>
      </c>
      <c r="W640" s="86">
        <f t="shared" si="122"/>
        <v>0</v>
      </c>
      <c r="X640" s="86">
        <f t="shared" si="122"/>
        <v>0</v>
      </c>
      <c r="Y640" s="87">
        <f t="shared" si="123"/>
        <v>0</v>
      </c>
      <c r="Z640" s="87">
        <f t="shared" si="124"/>
        <v>0</v>
      </c>
      <c r="AA640" s="87">
        <f t="shared" si="125"/>
        <v>4</v>
      </c>
    </row>
    <row r="641" spans="9:27">
      <c r="I641" s="81" t="e">
        <f>IF(#REF!&lt;&gt;"",#REF!,"")</f>
        <v>#REF!</v>
      </c>
      <c r="J641" s="81" t="e">
        <f t="shared" si="126"/>
        <v>#REF!</v>
      </c>
      <c r="L641" s="82" t="e">
        <f t="shared" si="127"/>
        <v>#REF!</v>
      </c>
      <c r="M641" s="81" t="e">
        <f t="shared" si="130"/>
        <v>#REF!</v>
      </c>
      <c r="N641" s="81" t="e">
        <f t="shared" si="128"/>
        <v>#REF!</v>
      </c>
      <c r="O641" s="81" t="e">
        <f t="shared" si="129"/>
        <v>#REF!</v>
      </c>
      <c r="Q641" s="83" t="str">
        <f t="shared" si="131"/>
        <v/>
      </c>
      <c r="R641" s="84" t="e">
        <f t="shared" si="132"/>
        <v>#REF!</v>
      </c>
      <c r="S641" s="83" t="e">
        <f t="shared" si="132"/>
        <v>#REF!</v>
      </c>
      <c r="T641" s="84" t="e">
        <f t="shared" si="133"/>
        <v>#REF!</v>
      </c>
      <c r="U641" s="84" t="e">
        <f t="shared" si="134"/>
        <v>#REF!</v>
      </c>
      <c r="V641" s="85" t="e">
        <f>#REF!</f>
        <v>#REF!</v>
      </c>
      <c r="W641" s="86">
        <f t="shared" ref="W641:X704" si="135">COUNTIFS(R641,"&gt;&lt;")</f>
        <v>0</v>
      </c>
      <c r="X641" s="86">
        <f t="shared" si="135"/>
        <v>0</v>
      </c>
      <c r="Y641" s="87">
        <f t="shared" ref="Y641:Y704" si="136">COUNTIFS(R641:U641,"*")</f>
        <v>0</v>
      </c>
      <c r="Z641" s="87">
        <f t="shared" ref="Z641:Z704" si="137">COUNTIFS(R641:U641,"&gt;&lt;")</f>
        <v>0</v>
      </c>
      <c r="AA641" s="87">
        <f t="shared" ref="AA641:AA704" si="138">COUNTIFS(R641:U641,"&lt;&gt;")</f>
        <v>4</v>
      </c>
    </row>
    <row r="642" spans="9:27">
      <c r="I642" s="81" t="e">
        <f>IF(#REF!&lt;&gt;"",#REF!,"")</f>
        <v>#REF!</v>
      </c>
      <c r="J642" s="81" t="e">
        <f t="shared" si="126"/>
        <v>#REF!</v>
      </c>
      <c r="L642" s="82" t="e">
        <f t="shared" si="127"/>
        <v>#REF!</v>
      </c>
      <c r="M642" s="81" t="e">
        <f t="shared" si="130"/>
        <v>#REF!</v>
      </c>
      <c r="N642" s="81" t="e">
        <f t="shared" si="128"/>
        <v>#REF!</v>
      </c>
      <c r="O642" s="81" t="e">
        <f t="shared" si="129"/>
        <v>#REF!</v>
      </c>
      <c r="Q642" s="83" t="str">
        <f t="shared" si="131"/>
        <v/>
      </c>
      <c r="R642" s="84" t="e">
        <f t="shared" si="132"/>
        <v>#REF!</v>
      </c>
      <c r="S642" s="83" t="e">
        <f t="shared" si="132"/>
        <v>#REF!</v>
      </c>
      <c r="T642" s="84" t="e">
        <f t="shared" si="133"/>
        <v>#REF!</v>
      </c>
      <c r="U642" s="84" t="e">
        <f t="shared" si="134"/>
        <v>#REF!</v>
      </c>
      <c r="V642" s="85" t="e">
        <f>#REF!</f>
        <v>#REF!</v>
      </c>
      <c r="W642" s="86">
        <f t="shared" si="135"/>
        <v>0</v>
      </c>
      <c r="X642" s="86">
        <f t="shared" si="135"/>
        <v>0</v>
      </c>
      <c r="Y642" s="87">
        <f t="shared" si="136"/>
        <v>0</v>
      </c>
      <c r="Z642" s="87">
        <f t="shared" si="137"/>
        <v>0</v>
      </c>
      <c r="AA642" s="87">
        <f t="shared" si="138"/>
        <v>4</v>
      </c>
    </row>
    <row r="643" spans="9:27">
      <c r="I643" s="81" t="e">
        <f>IF(#REF!&lt;&gt;"",#REF!,"")</f>
        <v>#REF!</v>
      </c>
      <c r="J643" s="81" t="e">
        <f t="shared" ref="J643:J706" si="139">LEFT(I643,1)</f>
        <v>#REF!</v>
      </c>
      <c r="L643" s="82" t="e">
        <f t="shared" ref="L643:L706" si="140">IF(OR(J643="E",J643="L",J643="M"),"",I643)</f>
        <v>#REF!</v>
      </c>
      <c r="M643" s="81" t="e">
        <f t="shared" si="130"/>
        <v>#REF!</v>
      </c>
      <c r="N643" s="81" t="e">
        <f t="shared" ref="N643:N706" si="141">IF(OR(J643="D",J643="E",J643="L"),"",I643)</f>
        <v>#REF!</v>
      </c>
      <c r="O643" s="81" t="e">
        <f t="shared" ref="O643:O706" si="142">IF(OR(J643="D",J643="E",J643="M"),"",I643)</f>
        <v>#REF!</v>
      </c>
      <c r="Q643" s="83" t="str">
        <f t="shared" si="131"/>
        <v/>
      </c>
      <c r="R643" s="84" t="e">
        <f t="shared" si="132"/>
        <v>#REF!</v>
      </c>
      <c r="S643" s="83" t="e">
        <f t="shared" si="132"/>
        <v>#REF!</v>
      </c>
      <c r="T643" s="84" t="e">
        <f t="shared" si="133"/>
        <v>#REF!</v>
      </c>
      <c r="U643" s="84" t="e">
        <f t="shared" si="134"/>
        <v>#REF!</v>
      </c>
      <c r="V643" s="85" t="e">
        <f>#REF!</f>
        <v>#REF!</v>
      </c>
      <c r="W643" s="86">
        <f t="shared" si="135"/>
        <v>0</v>
      </c>
      <c r="X643" s="86">
        <f t="shared" si="135"/>
        <v>0</v>
      </c>
      <c r="Y643" s="87">
        <f t="shared" si="136"/>
        <v>0</v>
      </c>
      <c r="Z643" s="87">
        <f t="shared" si="137"/>
        <v>0</v>
      </c>
      <c r="AA643" s="87">
        <f t="shared" si="138"/>
        <v>4</v>
      </c>
    </row>
    <row r="644" spans="9:27">
      <c r="I644" s="81" t="e">
        <f>IF(#REF!&lt;&gt;"",#REF!,"")</f>
        <v>#REF!</v>
      </c>
      <c r="J644" s="81" t="e">
        <f t="shared" si="139"/>
        <v>#REF!</v>
      </c>
      <c r="L644" s="82" t="e">
        <f t="shared" si="140"/>
        <v>#REF!</v>
      </c>
      <c r="M644" s="81" t="e">
        <f t="shared" si="130"/>
        <v>#REF!</v>
      </c>
      <c r="N644" s="81" t="e">
        <f t="shared" si="141"/>
        <v>#REF!</v>
      </c>
      <c r="O644" s="81" t="e">
        <f t="shared" si="142"/>
        <v>#REF!</v>
      </c>
      <c r="Q644" s="83" t="str">
        <f t="shared" si="131"/>
        <v/>
      </c>
      <c r="R644" s="84" t="e">
        <f t="shared" si="132"/>
        <v>#REF!</v>
      </c>
      <c r="S644" s="83" t="e">
        <f t="shared" si="132"/>
        <v>#REF!</v>
      </c>
      <c r="T644" s="84" t="e">
        <f t="shared" si="133"/>
        <v>#REF!</v>
      </c>
      <c r="U644" s="84" t="e">
        <f t="shared" si="134"/>
        <v>#REF!</v>
      </c>
      <c r="V644" s="85" t="e">
        <f>#REF!</f>
        <v>#REF!</v>
      </c>
      <c r="W644" s="86">
        <f t="shared" si="135"/>
        <v>0</v>
      </c>
      <c r="X644" s="86">
        <f t="shared" si="135"/>
        <v>0</v>
      </c>
      <c r="Y644" s="87">
        <f t="shared" si="136"/>
        <v>0</v>
      </c>
      <c r="Z644" s="87">
        <f t="shared" si="137"/>
        <v>0</v>
      </c>
      <c r="AA644" s="87">
        <f t="shared" si="138"/>
        <v>4</v>
      </c>
    </row>
    <row r="645" spans="9:27">
      <c r="I645" s="81" t="e">
        <f>IF(#REF!&lt;&gt;"",#REF!,"")</f>
        <v>#REF!</v>
      </c>
      <c r="J645" s="81" t="e">
        <f t="shared" si="139"/>
        <v>#REF!</v>
      </c>
      <c r="L645" s="82" t="e">
        <f t="shared" si="140"/>
        <v>#REF!</v>
      </c>
      <c r="M645" s="81" t="e">
        <f t="shared" si="130"/>
        <v>#REF!</v>
      </c>
      <c r="N645" s="81" t="e">
        <f t="shared" si="141"/>
        <v>#REF!</v>
      </c>
      <c r="O645" s="81" t="e">
        <f t="shared" si="142"/>
        <v>#REF!</v>
      </c>
      <c r="Q645" s="83" t="str">
        <f t="shared" si="131"/>
        <v/>
      </c>
      <c r="R645" s="84" t="e">
        <f t="shared" si="132"/>
        <v>#REF!</v>
      </c>
      <c r="S645" s="83" t="e">
        <f t="shared" si="132"/>
        <v>#REF!</v>
      </c>
      <c r="T645" s="84" t="e">
        <f t="shared" si="133"/>
        <v>#REF!</v>
      </c>
      <c r="U645" s="84" t="e">
        <f t="shared" si="134"/>
        <v>#REF!</v>
      </c>
      <c r="V645" s="85" t="e">
        <f>#REF!</f>
        <v>#REF!</v>
      </c>
      <c r="W645" s="86">
        <f t="shared" si="135"/>
        <v>0</v>
      </c>
      <c r="X645" s="86">
        <f t="shared" si="135"/>
        <v>0</v>
      </c>
      <c r="Y645" s="87">
        <f t="shared" si="136"/>
        <v>0</v>
      </c>
      <c r="Z645" s="87">
        <f t="shared" si="137"/>
        <v>0</v>
      </c>
      <c r="AA645" s="87">
        <f t="shared" si="138"/>
        <v>4</v>
      </c>
    </row>
    <row r="646" spans="9:27">
      <c r="I646" s="81" t="e">
        <f>IF(#REF!&lt;&gt;"",#REF!,"")</f>
        <v>#REF!</v>
      </c>
      <c r="J646" s="81" t="e">
        <f t="shared" si="139"/>
        <v>#REF!</v>
      </c>
      <c r="L646" s="82" t="e">
        <f t="shared" si="140"/>
        <v>#REF!</v>
      </c>
      <c r="M646" s="81" t="e">
        <f t="shared" ref="M646:M709" si="143">IF(OR(J646="D",J646="L",J646="M"),"",I646)</f>
        <v>#REF!</v>
      </c>
      <c r="N646" s="81" t="e">
        <f t="shared" si="141"/>
        <v>#REF!</v>
      </c>
      <c r="O646" s="81" t="e">
        <f t="shared" si="142"/>
        <v>#REF!</v>
      </c>
      <c r="Q646" s="83" t="str">
        <f t="shared" si="131"/>
        <v/>
      </c>
      <c r="R646" s="84" t="e">
        <f t="shared" si="132"/>
        <v>#REF!</v>
      </c>
      <c r="S646" s="83" t="e">
        <f t="shared" si="132"/>
        <v>#REF!</v>
      </c>
      <c r="T646" s="84" t="e">
        <f t="shared" si="133"/>
        <v>#REF!</v>
      </c>
      <c r="U646" s="84" t="e">
        <f t="shared" si="134"/>
        <v>#REF!</v>
      </c>
      <c r="V646" s="85" t="e">
        <f>#REF!</f>
        <v>#REF!</v>
      </c>
      <c r="W646" s="86">
        <f t="shared" si="135"/>
        <v>0</v>
      </c>
      <c r="X646" s="86">
        <f t="shared" si="135"/>
        <v>0</v>
      </c>
      <c r="Y646" s="87">
        <f t="shared" si="136"/>
        <v>0</v>
      </c>
      <c r="Z646" s="87">
        <f t="shared" si="137"/>
        <v>0</v>
      </c>
      <c r="AA646" s="87">
        <f t="shared" si="138"/>
        <v>4</v>
      </c>
    </row>
    <row r="647" spans="9:27">
      <c r="I647" s="81" t="e">
        <f>IF(#REF!&lt;&gt;"",#REF!,"")</f>
        <v>#REF!</v>
      </c>
      <c r="J647" s="81" t="e">
        <f t="shared" si="139"/>
        <v>#REF!</v>
      </c>
      <c r="L647" s="82" t="e">
        <f t="shared" si="140"/>
        <v>#REF!</v>
      </c>
      <c r="M647" s="81" t="e">
        <f t="shared" si="143"/>
        <v>#REF!</v>
      </c>
      <c r="N647" s="81" t="e">
        <f t="shared" si="141"/>
        <v>#REF!</v>
      </c>
      <c r="O647" s="81" t="e">
        <f t="shared" si="142"/>
        <v>#REF!</v>
      </c>
      <c r="Q647" s="83" t="str">
        <f t="shared" si="131"/>
        <v/>
      </c>
      <c r="R647" s="84" t="e">
        <f t="shared" si="132"/>
        <v>#REF!</v>
      </c>
      <c r="S647" s="83" t="e">
        <f t="shared" si="132"/>
        <v>#REF!</v>
      </c>
      <c r="T647" s="84" t="e">
        <f t="shared" si="133"/>
        <v>#REF!</v>
      </c>
      <c r="U647" s="84" t="e">
        <f t="shared" si="134"/>
        <v>#REF!</v>
      </c>
      <c r="V647" s="85" t="e">
        <f>#REF!</f>
        <v>#REF!</v>
      </c>
      <c r="W647" s="86">
        <f t="shared" si="135"/>
        <v>0</v>
      </c>
      <c r="X647" s="86">
        <f t="shared" si="135"/>
        <v>0</v>
      </c>
      <c r="Y647" s="87">
        <f t="shared" si="136"/>
        <v>0</v>
      </c>
      <c r="Z647" s="87">
        <f t="shared" si="137"/>
        <v>0</v>
      </c>
      <c r="AA647" s="87">
        <f t="shared" si="138"/>
        <v>4</v>
      </c>
    </row>
    <row r="648" spans="9:27">
      <c r="I648" s="81" t="e">
        <f>IF(#REF!&lt;&gt;"",#REF!,"")</f>
        <v>#REF!</v>
      </c>
      <c r="J648" s="81" t="e">
        <f t="shared" si="139"/>
        <v>#REF!</v>
      </c>
      <c r="L648" s="82" t="e">
        <f t="shared" si="140"/>
        <v>#REF!</v>
      </c>
      <c r="M648" s="81" t="e">
        <f t="shared" si="143"/>
        <v>#REF!</v>
      </c>
      <c r="N648" s="81" t="e">
        <f t="shared" si="141"/>
        <v>#REF!</v>
      </c>
      <c r="O648" s="81" t="e">
        <f t="shared" si="142"/>
        <v>#REF!</v>
      </c>
      <c r="Q648" s="83" t="str">
        <f t="shared" si="131"/>
        <v/>
      </c>
      <c r="R648" s="84" t="e">
        <f t="shared" si="132"/>
        <v>#REF!</v>
      </c>
      <c r="S648" s="83" t="e">
        <f t="shared" si="132"/>
        <v>#REF!</v>
      </c>
      <c r="T648" s="84" t="e">
        <f t="shared" si="133"/>
        <v>#REF!</v>
      </c>
      <c r="U648" s="84" t="e">
        <f t="shared" si="134"/>
        <v>#REF!</v>
      </c>
      <c r="V648" s="85" t="e">
        <f>#REF!</f>
        <v>#REF!</v>
      </c>
      <c r="W648" s="86">
        <f t="shared" si="135"/>
        <v>0</v>
      </c>
      <c r="X648" s="86">
        <f t="shared" si="135"/>
        <v>0</v>
      </c>
      <c r="Y648" s="87">
        <f t="shared" si="136"/>
        <v>0</v>
      </c>
      <c r="Z648" s="87">
        <f t="shared" si="137"/>
        <v>0</v>
      </c>
      <c r="AA648" s="87">
        <f t="shared" si="138"/>
        <v>4</v>
      </c>
    </row>
    <row r="649" spans="9:27">
      <c r="I649" s="81" t="e">
        <f>IF(#REF!&lt;&gt;"",#REF!,"")</f>
        <v>#REF!</v>
      </c>
      <c r="J649" s="81" t="e">
        <f t="shared" si="139"/>
        <v>#REF!</v>
      </c>
      <c r="L649" s="82" t="e">
        <f t="shared" si="140"/>
        <v>#REF!</v>
      </c>
      <c r="M649" s="81" t="e">
        <f t="shared" si="143"/>
        <v>#REF!</v>
      </c>
      <c r="N649" s="81" t="e">
        <f t="shared" si="141"/>
        <v>#REF!</v>
      </c>
      <c r="O649" s="81" t="e">
        <f t="shared" si="142"/>
        <v>#REF!</v>
      </c>
      <c r="Q649" s="83" t="str">
        <f t="shared" si="131"/>
        <v/>
      </c>
      <c r="R649" s="84" t="e">
        <f t="shared" si="132"/>
        <v>#REF!</v>
      </c>
      <c r="S649" s="83" t="e">
        <f t="shared" si="132"/>
        <v>#REF!</v>
      </c>
      <c r="T649" s="84" t="e">
        <f t="shared" si="133"/>
        <v>#REF!</v>
      </c>
      <c r="U649" s="84" t="e">
        <f t="shared" si="134"/>
        <v>#REF!</v>
      </c>
      <c r="V649" s="85" t="e">
        <f>#REF!</f>
        <v>#REF!</v>
      </c>
      <c r="W649" s="86">
        <f t="shared" si="135"/>
        <v>0</v>
      </c>
      <c r="X649" s="86">
        <f t="shared" si="135"/>
        <v>0</v>
      </c>
      <c r="Y649" s="87">
        <f t="shared" si="136"/>
        <v>0</v>
      </c>
      <c r="Z649" s="87">
        <f t="shared" si="137"/>
        <v>0</v>
      </c>
      <c r="AA649" s="87">
        <f t="shared" si="138"/>
        <v>4</v>
      </c>
    </row>
    <row r="650" spans="9:27">
      <c r="I650" s="81" t="e">
        <f>IF(#REF!&lt;&gt;"",#REF!,"")</f>
        <v>#REF!</v>
      </c>
      <c r="J650" s="81" t="e">
        <f t="shared" si="139"/>
        <v>#REF!</v>
      </c>
      <c r="L650" s="82" t="e">
        <f t="shared" si="140"/>
        <v>#REF!</v>
      </c>
      <c r="M650" s="81" t="e">
        <f t="shared" si="143"/>
        <v>#REF!</v>
      </c>
      <c r="N650" s="81" t="e">
        <f t="shared" si="141"/>
        <v>#REF!</v>
      </c>
      <c r="O650" s="81" t="e">
        <f t="shared" si="142"/>
        <v>#REF!</v>
      </c>
      <c r="Q650" s="83" t="str">
        <f t="shared" si="131"/>
        <v/>
      </c>
      <c r="R650" s="84" t="e">
        <f t="shared" si="132"/>
        <v>#REF!</v>
      </c>
      <c r="S650" s="83" t="e">
        <f t="shared" si="132"/>
        <v>#REF!</v>
      </c>
      <c r="T650" s="84" t="e">
        <f t="shared" si="133"/>
        <v>#REF!</v>
      </c>
      <c r="U650" s="84" t="e">
        <f t="shared" si="134"/>
        <v>#REF!</v>
      </c>
      <c r="V650" s="85" t="e">
        <f>#REF!</f>
        <v>#REF!</v>
      </c>
      <c r="W650" s="86">
        <f t="shared" si="135"/>
        <v>0</v>
      </c>
      <c r="X650" s="86">
        <f t="shared" si="135"/>
        <v>0</v>
      </c>
      <c r="Y650" s="87">
        <f t="shared" si="136"/>
        <v>0</v>
      </c>
      <c r="Z650" s="87">
        <f t="shared" si="137"/>
        <v>0</v>
      </c>
      <c r="AA650" s="87">
        <f t="shared" si="138"/>
        <v>4</v>
      </c>
    </row>
    <row r="651" spans="9:27">
      <c r="I651" s="81" t="e">
        <f>IF(#REF!&lt;&gt;"",#REF!,"")</f>
        <v>#REF!</v>
      </c>
      <c r="J651" s="81" t="e">
        <f t="shared" si="139"/>
        <v>#REF!</v>
      </c>
      <c r="L651" s="82" t="e">
        <f t="shared" si="140"/>
        <v>#REF!</v>
      </c>
      <c r="M651" s="81" t="e">
        <f t="shared" si="143"/>
        <v>#REF!</v>
      </c>
      <c r="N651" s="81" t="e">
        <f t="shared" si="141"/>
        <v>#REF!</v>
      </c>
      <c r="O651" s="81" t="e">
        <f t="shared" si="142"/>
        <v>#REF!</v>
      </c>
      <c r="Q651" s="83" t="str">
        <f t="shared" si="131"/>
        <v/>
      </c>
      <c r="R651" s="84" t="e">
        <f t="shared" si="132"/>
        <v>#REF!</v>
      </c>
      <c r="S651" s="83" t="e">
        <f t="shared" si="132"/>
        <v>#REF!</v>
      </c>
      <c r="T651" s="84" t="e">
        <f t="shared" si="133"/>
        <v>#REF!</v>
      </c>
      <c r="U651" s="84" t="e">
        <f t="shared" si="134"/>
        <v>#REF!</v>
      </c>
      <c r="V651" s="85" t="e">
        <f>#REF!</f>
        <v>#REF!</v>
      </c>
      <c r="W651" s="86">
        <f t="shared" si="135"/>
        <v>0</v>
      </c>
      <c r="X651" s="86">
        <f t="shared" si="135"/>
        <v>0</v>
      </c>
      <c r="Y651" s="87">
        <f t="shared" si="136"/>
        <v>0</v>
      </c>
      <c r="Z651" s="87">
        <f t="shared" si="137"/>
        <v>0</v>
      </c>
      <c r="AA651" s="87">
        <f t="shared" si="138"/>
        <v>4</v>
      </c>
    </row>
    <row r="652" spans="9:27">
      <c r="I652" s="81" t="e">
        <f>IF(#REF!&lt;&gt;"",#REF!,"")</f>
        <v>#REF!</v>
      </c>
      <c r="J652" s="81" t="e">
        <f t="shared" si="139"/>
        <v>#REF!</v>
      </c>
      <c r="L652" s="82" t="e">
        <f t="shared" si="140"/>
        <v>#REF!</v>
      </c>
      <c r="M652" s="81" t="e">
        <f t="shared" si="143"/>
        <v>#REF!</v>
      </c>
      <c r="N652" s="81" t="e">
        <f t="shared" si="141"/>
        <v>#REF!</v>
      </c>
      <c r="O652" s="81" t="e">
        <f t="shared" si="142"/>
        <v>#REF!</v>
      </c>
      <c r="Q652" s="83" t="str">
        <f t="shared" si="131"/>
        <v/>
      </c>
      <c r="R652" s="84" t="e">
        <f t="shared" si="132"/>
        <v>#REF!</v>
      </c>
      <c r="S652" s="83" t="e">
        <f t="shared" si="132"/>
        <v>#REF!</v>
      </c>
      <c r="T652" s="84" t="e">
        <f t="shared" si="133"/>
        <v>#REF!</v>
      </c>
      <c r="U652" s="84" t="e">
        <f t="shared" si="134"/>
        <v>#REF!</v>
      </c>
      <c r="V652" s="85" t="e">
        <f>#REF!</f>
        <v>#REF!</v>
      </c>
      <c r="W652" s="86">
        <f t="shared" si="135"/>
        <v>0</v>
      </c>
      <c r="X652" s="86">
        <f t="shared" si="135"/>
        <v>0</v>
      </c>
      <c r="Y652" s="87">
        <f t="shared" si="136"/>
        <v>0</v>
      </c>
      <c r="Z652" s="87">
        <f t="shared" si="137"/>
        <v>0</v>
      </c>
      <c r="AA652" s="87">
        <f t="shared" si="138"/>
        <v>4</v>
      </c>
    </row>
    <row r="653" spans="9:27">
      <c r="I653" s="81" t="e">
        <f>IF(#REF!&lt;&gt;"",#REF!,"")</f>
        <v>#REF!</v>
      </c>
      <c r="J653" s="81" t="e">
        <f t="shared" si="139"/>
        <v>#REF!</v>
      </c>
      <c r="L653" s="82" t="e">
        <f t="shared" si="140"/>
        <v>#REF!</v>
      </c>
      <c r="M653" s="81" t="e">
        <f t="shared" si="143"/>
        <v>#REF!</v>
      </c>
      <c r="N653" s="81" t="e">
        <f t="shared" si="141"/>
        <v>#REF!</v>
      </c>
      <c r="O653" s="81" t="e">
        <f t="shared" si="142"/>
        <v>#REF!</v>
      </c>
      <c r="Q653" s="83" t="str">
        <f t="shared" si="131"/>
        <v/>
      </c>
      <c r="R653" s="84" t="e">
        <f t="shared" si="132"/>
        <v>#REF!</v>
      </c>
      <c r="S653" s="83" t="e">
        <f t="shared" si="132"/>
        <v>#REF!</v>
      </c>
      <c r="T653" s="84" t="e">
        <f t="shared" si="133"/>
        <v>#REF!</v>
      </c>
      <c r="U653" s="84" t="e">
        <f t="shared" si="134"/>
        <v>#REF!</v>
      </c>
      <c r="V653" s="85" t="e">
        <f>#REF!</f>
        <v>#REF!</v>
      </c>
      <c r="W653" s="86">
        <f t="shared" si="135"/>
        <v>0</v>
      </c>
      <c r="X653" s="86">
        <f t="shared" si="135"/>
        <v>0</v>
      </c>
      <c r="Y653" s="87">
        <f t="shared" si="136"/>
        <v>0</v>
      </c>
      <c r="Z653" s="87">
        <f t="shared" si="137"/>
        <v>0</v>
      </c>
      <c r="AA653" s="87">
        <f t="shared" si="138"/>
        <v>4</v>
      </c>
    </row>
    <row r="654" spans="9:27">
      <c r="I654" s="81" t="e">
        <f>IF(#REF!&lt;&gt;"",#REF!,"")</f>
        <v>#REF!</v>
      </c>
      <c r="J654" s="81" t="e">
        <f t="shared" si="139"/>
        <v>#REF!</v>
      </c>
      <c r="L654" s="82" t="e">
        <f t="shared" si="140"/>
        <v>#REF!</v>
      </c>
      <c r="M654" s="81" t="e">
        <f t="shared" si="143"/>
        <v>#REF!</v>
      </c>
      <c r="N654" s="81" t="e">
        <f t="shared" si="141"/>
        <v>#REF!</v>
      </c>
      <c r="O654" s="81" t="e">
        <f t="shared" si="142"/>
        <v>#REF!</v>
      </c>
      <c r="Q654" s="83" t="str">
        <f t="shared" si="131"/>
        <v/>
      </c>
      <c r="R654" s="84" t="e">
        <f t="shared" si="132"/>
        <v>#REF!</v>
      </c>
      <c r="S654" s="83" t="e">
        <f t="shared" si="132"/>
        <v>#REF!</v>
      </c>
      <c r="T654" s="84" t="e">
        <f t="shared" si="133"/>
        <v>#REF!</v>
      </c>
      <c r="U654" s="84" t="e">
        <f t="shared" si="134"/>
        <v>#REF!</v>
      </c>
      <c r="V654" s="85" t="e">
        <f>#REF!</f>
        <v>#REF!</v>
      </c>
      <c r="W654" s="86">
        <f t="shared" si="135"/>
        <v>0</v>
      </c>
      <c r="X654" s="86">
        <f t="shared" si="135"/>
        <v>0</v>
      </c>
      <c r="Y654" s="87">
        <f t="shared" si="136"/>
        <v>0</v>
      </c>
      <c r="Z654" s="87">
        <f t="shared" si="137"/>
        <v>0</v>
      </c>
      <c r="AA654" s="87">
        <f t="shared" si="138"/>
        <v>4</v>
      </c>
    </row>
    <row r="655" spans="9:27">
      <c r="I655" s="81" t="e">
        <f>IF(#REF!&lt;&gt;"",#REF!,"")</f>
        <v>#REF!</v>
      </c>
      <c r="J655" s="81" t="e">
        <f t="shared" si="139"/>
        <v>#REF!</v>
      </c>
      <c r="L655" s="82" t="e">
        <f t="shared" si="140"/>
        <v>#REF!</v>
      </c>
      <c r="M655" s="81" t="e">
        <f t="shared" si="143"/>
        <v>#REF!</v>
      </c>
      <c r="N655" s="81" t="e">
        <f t="shared" si="141"/>
        <v>#REF!</v>
      </c>
      <c r="O655" s="81" t="e">
        <f t="shared" si="142"/>
        <v>#REF!</v>
      </c>
      <c r="Q655" s="83" t="str">
        <f t="shared" si="131"/>
        <v/>
      </c>
      <c r="R655" s="84" t="e">
        <f t="shared" si="132"/>
        <v>#REF!</v>
      </c>
      <c r="S655" s="83" t="e">
        <f t="shared" si="132"/>
        <v>#REF!</v>
      </c>
      <c r="T655" s="84" t="e">
        <f t="shared" si="133"/>
        <v>#REF!</v>
      </c>
      <c r="U655" s="84" t="e">
        <f t="shared" si="134"/>
        <v>#REF!</v>
      </c>
      <c r="V655" s="85" t="e">
        <f>#REF!</f>
        <v>#REF!</v>
      </c>
      <c r="W655" s="86">
        <f t="shared" si="135"/>
        <v>0</v>
      </c>
      <c r="X655" s="86">
        <f t="shared" si="135"/>
        <v>0</v>
      </c>
      <c r="Y655" s="87">
        <f t="shared" si="136"/>
        <v>0</v>
      </c>
      <c r="Z655" s="87">
        <f t="shared" si="137"/>
        <v>0</v>
      </c>
      <c r="AA655" s="87">
        <f t="shared" si="138"/>
        <v>4</v>
      </c>
    </row>
    <row r="656" spans="9:27">
      <c r="I656" s="81" t="e">
        <f>IF(#REF!&lt;&gt;"",#REF!,"")</f>
        <v>#REF!</v>
      </c>
      <c r="J656" s="81" t="e">
        <f t="shared" si="139"/>
        <v>#REF!</v>
      </c>
      <c r="L656" s="82" t="e">
        <f t="shared" si="140"/>
        <v>#REF!</v>
      </c>
      <c r="M656" s="81" t="e">
        <f t="shared" si="143"/>
        <v>#REF!</v>
      </c>
      <c r="N656" s="81" t="e">
        <f t="shared" si="141"/>
        <v>#REF!</v>
      </c>
      <c r="O656" s="81" t="e">
        <f t="shared" si="142"/>
        <v>#REF!</v>
      </c>
      <c r="Q656" s="83" t="str">
        <f t="shared" si="131"/>
        <v/>
      </c>
      <c r="R656" s="84" t="e">
        <f t="shared" si="132"/>
        <v>#REF!</v>
      </c>
      <c r="S656" s="83" t="e">
        <f t="shared" si="132"/>
        <v>#REF!</v>
      </c>
      <c r="T656" s="84" t="e">
        <f t="shared" si="133"/>
        <v>#REF!</v>
      </c>
      <c r="U656" s="84" t="e">
        <f t="shared" si="134"/>
        <v>#REF!</v>
      </c>
      <c r="V656" s="85" t="e">
        <f>#REF!</f>
        <v>#REF!</v>
      </c>
      <c r="W656" s="86">
        <f t="shared" si="135"/>
        <v>0</v>
      </c>
      <c r="X656" s="86">
        <f t="shared" si="135"/>
        <v>0</v>
      </c>
      <c r="Y656" s="87">
        <f t="shared" si="136"/>
        <v>0</v>
      </c>
      <c r="Z656" s="87">
        <f t="shared" si="137"/>
        <v>0</v>
      </c>
      <c r="AA656" s="87">
        <f t="shared" si="138"/>
        <v>4</v>
      </c>
    </row>
    <row r="657" spans="9:27">
      <c r="I657" s="81" t="e">
        <f>IF(#REF!&lt;&gt;"",#REF!,"")</f>
        <v>#REF!</v>
      </c>
      <c r="J657" s="81" t="e">
        <f t="shared" si="139"/>
        <v>#REF!</v>
      </c>
      <c r="L657" s="82" t="e">
        <f t="shared" si="140"/>
        <v>#REF!</v>
      </c>
      <c r="M657" s="81" t="e">
        <f t="shared" si="143"/>
        <v>#REF!</v>
      </c>
      <c r="N657" s="81" t="e">
        <f t="shared" si="141"/>
        <v>#REF!</v>
      </c>
      <c r="O657" s="81" t="e">
        <f t="shared" si="142"/>
        <v>#REF!</v>
      </c>
      <c r="Q657" s="83" t="str">
        <f t="shared" si="131"/>
        <v/>
      </c>
      <c r="R657" s="84" t="e">
        <f t="shared" si="132"/>
        <v>#REF!</v>
      </c>
      <c r="S657" s="83" t="e">
        <f t="shared" si="132"/>
        <v>#REF!</v>
      </c>
      <c r="T657" s="84" t="e">
        <f t="shared" si="133"/>
        <v>#REF!</v>
      </c>
      <c r="U657" s="84" t="e">
        <f t="shared" si="134"/>
        <v>#REF!</v>
      </c>
      <c r="V657" s="85" t="e">
        <f>#REF!</f>
        <v>#REF!</v>
      </c>
      <c r="W657" s="86">
        <f t="shared" si="135"/>
        <v>0</v>
      </c>
      <c r="X657" s="86">
        <f t="shared" si="135"/>
        <v>0</v>
      </c>
      <c r="Y657" s="87">
        <f t="shared" si="136"/>
        <v>0</v>
      </c>
      <c r="Z657" s="87">
        <f t="shared" si="137"/>
        <v>0</v>
      </c>
      <c r="AA657" s="87">
        <f t="shared" si="138"/>
        <v>4</v>
      </c>
    </row>
    <row r="658" spans="9:27">
      <c r="I658" s="81" t="e">
        <f>IF(#REF!&lt;&gt;"",#REF!,"")</f>
        <v>#REF!</v>
      </c>
      <c r="J658" s="81" t="e">
        <f t="shared" si="139"/>
        <v>#REF!</v>
      </c>
      <c r="L658" s="82" t="e">
        <f t="shared" si="140"/>
        <v>#REF!</v>
      </c>
      <c r="M658" s="81" t="e">
        <f t="shared" si="143"/>
        <v>#REF!</v>
      </c>
      <c r="N658" s="81" t="e">
        <f t="shared" si="141"/>
        <v>#REF!</v>
      </c>
      <c r="O658" s="81" t="e">
        <f t="shared" si="142"/>
        <v>#REF!</v>
      </c>
      <c r="Q658" s="83" t="str">
        <f t="shared" si="131"/>
        <v/>
      </c>
      <c r="R658" s="84" t="e">
        <f t="shared" si="132"/>
        <v>#REF!</v>
      </c>
      <c r="S658" s="83" t="e">
        <f t="shared" si="132"/>
        <v>#REF!</v>
      </c>
      <c r="T658" s="84" t="e">
        <f t="shared" si="133"/>
        <v>#REF!</v>
      </c>
      <c r="U658" s="84" t="e">
        <f t="shared" si="134"/>
        <v>#REF!</v>
      </c>
      <c r="V658" s="85" t="e">
        <f>#REF!</f>
        <v>#REF!</v>
      </c>
      <c r="W658" s="86">
        <f t="shared" si="135"/>
        <v>0</v>
      </c>
      <c r="X658" s="86">
        <f t="shared" si="135"/>
        <v>0</v>
      </c>
      <c r="Y658" s="87">
        <f t="shared" si="136"/>
        <v>0</v>
      </c>
      <c r="Z658" s="87">
        <f t="shared" si="137"/>
        <v>0</v>
      </c>
      <c r="AA658" s="87">
        <f t="shared" si="138"/>
        <v>4</v>
      </c>
    </row>
    <row r="659" spans="9:27">
      <c r="I659" s="81" t="e">
        <f>IF(#REF!&lt;&gt;"",#REF!,"")</f>
        <v>#REF!</v>
      </c>
      <c r="J659" s="81" t="e">
        <f t="shared" si="139"/>
        <v>#REF!</v>
      </c>
      <c r="L659" s="82" t="e">
        <f t="shared" si="140"/>
        <v>#REF!</v>
      </c>
      <c r="M659" s="81" t="e">
        <f t="shared" si="143"/>
        <v>#REF!</v>
      </c>
      <c r="N659" s="81" t="e">
        <f t="shared" si="141"/>
        <v>#REF!</v>
      </c>
      <c r="O659" s="81" t="e">
        <f t="shared" si="142"/>
        <v>#REF!</v>
      </c>
      <c r="Q659" s="83" t="str">
        <f t="shared" si="131"/>
        <v/>
      </c>
      <c r="R659" s="84" t="e">
        <f t="shared" si="132"/>
        <v>#REF!</v>
      </c>
      <c r="S659" s="83" t="e">
        <f t="shared" si="132"/>
        <v>#REF!</v>
      </c>
      <c r="T659" s="84" t="e">
        <f t="shared" si="133"/>
        <v>#REF!</v>
      </c>
      <c r="U659" s="84" t="e">
        <f t="shared" si="134"/>
        <v>#REF!</v>
      </c>
      <c r="V659" s="85" t="e">
        <f>#REF!</f>
        <v>#REF!</v>
      </c>
      <c r="W659" s="86">
        <f t="shared" si="135"/>
        <v>0</v>
      </c>
      <c r="X659" s="86">
        <f t="shared" si="135"/>
        <v>0</v>
      </c>
      <c r="Y659" s="87">
        <f t="shared" si="136"/>
        <v>0</v>
      </c>
      <c r="Z659" s="87">
        <f t="shared" si="137"/>
        <v>0</v>
      </c>
      <c r="AA659" s="87">
        <f t="shared" si="138"/>
        <v>4</v>
      </c>
    </row>
    <row r="660" spans="9:27">
      <c r="I660" s="81" t="e">
        <f>IF(#REF!&lt;&gt;"",#REF!,"")</f>
        <v>#REF!</v>
      </c>
      <c r="J660" s="81" t="e">
        <f t="shared" si="139"/>
        <v>#REF!</v>
      </c>
      <c r="L660" s="82" t="e">
        <f t="shared" si="140"/>
        <v>#REF!</v>
      </c>
      <c r="M660" s="81" t="e">
        <f t="shared" si="143"/>
        <v>#REF!</v>
      </c>
      <c r="N660" s="81" t="e">
        <f t="shared" si="141"/>
        <v>#REF!</v>
      </c>
      <c r="O660" s="81" t="e">
        <f t="shared" si="142"/>
        <v>#REF!</v>
      </c>
      <c r="Q660" s="83" t="str">
        <f t="shared" si="131"/>
        <v/>
      </c>
      <c r="R660" s="84" t="e">
        <f t="shared" si="132"/>
        <v>#REF!</v>
      </c>
      <c r="S660" s="83" t="e">
        <f t="shared" si="132"/>
        <v>#REF!</v>
      </c>
      <c r="T660" s="84" t="e">
        <f t="shared" si="133"/>
        <v>#REF!</v>
      </c>
      <c r="U660" s="84" t="e">
        <f t="shared" si="134"/>
        <v>#REF!</v>
      </c>
      <c r="V660" s="85" t="e">
        <f>#REF!</f>
        <v>#REF!</v>
      </c>
      <c r="W660" s="86">
        <f t="shared" si="135"/>
        <v>0</v>
      </c>
      <c r="X660" s="86">
        <f t="shared" si="135"/>
        <v>0</v>
      </c>
      <c r="Y660" s="87">
        <f t="shared" si="136"/>
        <v>0</v>
      </c>
      <c r="Z660" s="87">
        <f t="shared" si="137"/>
        <v>0</v>
      </c>
      <c r="AA660" s="87">
        <f t="shared" si="138"/>
        <v>4</v>
      </c>
    </row>
    <row r="661" spans="9:27">
      <c r="I661" s="81" t="e">
        <f>IF(#REF!&lt;&gt;"",#REF!,"")</f>
        <v>#REF!</v>
      </c>
      <c r="J661" s="81" t="e">
        <f t="shared" si="139"/>
        <v>#REF!</v>
      </c>
      <c r="L661" s="82" t="e">
        <f t="shared" si="140"/>
        <v>#REF!</v>
      </c>
      <c r="M661" s="81" t="e">
        <f t="shared" si="143"/>
        <v>#REF!</v>
      </c>
      <c r="N661" s="81" t="e">
        <f t="shared" si="141"/>
        <v>#REF!</v>
      </c>
      <c r="O661" s="81" t="e">
        <f t="shared" si="142"/>
        <v>#REF!</v>
      </c>
      <c r="Q661" s="83" t="str">
        <f t="shared" si="131"/>
        <v/>
      </c>
      <c r="R661" s="84" t="e">
        <f t="shared" si="132"/>
        <v>#REF!</v>
      </c>
      <c r="S661" s="83" t="e">
        <f t="shared" si="132"/>
        <v>#REF!</v>
      </c>
      <c r="T661" s="84" t="e">
        <f t="shared" si="133"/>
        <v>#REF!</v>
      </c>
      <c r="U661" s="84" t="e">
        <f t="shared" si="134"/>
        <v>#REF!</v>
      </c>
      <c r="V661" s="85" t="e">
        <f>#REF!</f>
        <v>#REF!</v>
      </c>
      <c r="W661" s="86">
        <f t="shared" si="135"/>
        <v>0</v>
      </c>
      <c r="X661" s="86">
        <f t="shared" si="135"/>
        <v>0</v>
      </c>
      <c r="Y661" s="87">
        <f t="shared" si="136"/>
        <v>0</v>
      </c>
      <c r="Z661" s="87">
        <f t="shared" si="137"/>
        <v>0</v>
      </c>
      <c r="AA661" s="87">
        <f t="shared" si="138"/>
        <v>4</v>
      </c>
    </row>
    <row r="662" spans="9:27">
      <c r="I662" s="81" t="e">
        <f>IF(#REF!&lt;&gt;"",#REF!,"")</f>
        <v>#REF!</v>
      </c>
      <c r="J662" s="81" t="e">
        <f t="shared" si="139"/>
        <v>#REF!</v>
      </c>
      <c r="L662" s="82" t="e">
        <f t="shared" si="140"/>
        <v>#REF!</v>
      </c>
      <c r="M662" s="81" t="e">
        <f t="shared" si="143"/>
        <v>#REF!</v>
      </c>
      <c r="N662" s="81" t="e">
        <f t="shared" si="141"/>
        <v>#REF!</v>
      </c>
      <c r="O662" s="81" t="e">
        <f t="shared" si="142"/>
        <v>#REF!</v>
      </c>
      <c r="Q662" s="83" t="str">
        <f t="shared" si="131"/>
        <v/>
      </c>
      <c r="R662" s="84" t="e">
        <f t="shared" si="132"/>
        <v>#REF!</v>
      </c>
      <c r="S662" s="83" t="e">
        <f t="shared" si="132"/>
        <v>#REF!</v>
      </c>
      <c r="T662" s="84" t="e">
        <f t="shared" si="133"/>
        <v>#REF!</v>
      </c>
      <c r="U662" s="84" t="e">
        <f t="shared" si="134"/>
        <v>#REF!</v>
      </c>
      <c r="V662" s="85" t="e">
        <f>#REF!</f>
        <v>#REF!</v>
      </c>
      <c r="W662" s="86">
        <f t="shared" si="135"/>
        <v>0</v>
      </c>
      <c r="X662" s="86">
        <f t="shared" si="135"/>
        <v>0</v>
      </c>
      <c r="Y662" s="87">
        <f t="shared" si="136"/>
        <v>0</v>
      </c>
      <c r="Z662" s="87">
        <f t="shared" si="137"/>
        <v>0</v>
      </c>
      <c r="AA662" s="87">
        <f t="shared" si="138"/>
        <v>4</v>
      </c>
    </row>
    <row r="663" spans="9:27">
      <c r="I663" s="81" t="e">
        <f>IF(#REF!&lt;&gt;"",#REF!,"")</f>
        <v>#REF!</v>
      </c>
      <c r="J663" s="81" t="e">
        <f t="shared" si="139"/>
        <v>#REF!</v>
      </c>
      <c r="L663" s="82" t="e">
        <f t="shared" si="140"/>
        <v>#REF!</v>
      </c>
      <c r="M663" s="81" t="e">
        <f t="shared" si="143"/>
        <v>#REF!</v>
      </c>
      <c r="N663" s="81" t="e">
        <f t="shared" si="141"/>
        <v>#REF!</v>
      </c>
      <c r="O663" s="81" t="e">
        <f t="shared" si="142"/>
        <v>#REF!</v>
      </c>
      <c r="Q663" s="83" t="str">
        <f t="shared" ref="Q663:Q726" si="144">IF(Z663=0,"",IF(Z663=1,R663&amp;S663,"E99999"))</f>
        <v/>
      </c>
      <c r="R663" s="84" t="e">
        <f t="shared" si="132"/>
        <v>#REF!</v>
      </c>
      <c r="S663" s="83" t="e">
        <f t="shared" si="132"/>
        <v>#REF!</v>
      </c>
      <c r="T663" s="84" t="e">
        <f t="shared" si="133"/>
        <v>#REF!</v>
      </c>
      <c r="U663" s="84" t="e">
        <f t="shared" si="134"/>
        <v>#REF!</v>
      </c>
      <c r="V663" s="85" t="e">
        <f>#REF!</f>
        <v>#REF!</v>
      </c>
      <c r="W663" s="86">
        <f t="shared" si="135"/>
        <v>0</v>
      </c>
      <c r="X663" s="86">
        <f t="shared" si="135"/>
        <v>0</v>
      </c>
      <c r="Y663" s="87">
        <f t="shared" si="136"/>
        <v>0</v>
      </c>
      <c r="Z663" s="87">
        <f t="shared" si="137"/>
        <v>0</v>
      </c>
      <c r="AA663" s="87">
        <f t="shared" si="138"/>
        <v>4</v>
      </c>
    </row>
    <row r="664" spans="9:27">
      <c r="I664" s="81" t="e">
        <f>IF(#REF!&lt;&gt;"",#REF!,"")</f>
        <v>#REF!</v>
      </c>
      <c r="J664" s="81" t="e">
        <f t="shared" si="139"/>
        <v>#REF!</v>
      </c>
      <c r="L664" s="82" t="e">
        <f t="shared" si="140"/>
        <v>#REF!</v>
      </c>
      <c r="M664" s="81" t="e">
        <f t="shared" si="143"/>
        <v>#REF!</v>
      </c>
      <c r="N664" s="81" t="e">
        <f t="shared" si="141"/>
        <v>#REF!</v>
      </c>
      <c r="O664" s="81" t="e">
        <f t="shared" si="142"/>
        <v>#REF!</v>
      </c>
      <c r="Q664" s="83" t="str">
        <f t="shared" si="144"/>
        <v/>
      </c>
      <c r="R664" s="84" t="e">
        <f t="shared" si="132"/>
        <v>#REF!</v>
      </c>
      <c r="S664" s="83" t="e">
        <f t="shared" si="132"/>
        <v>#REF!</v>
      </c>
      <c r="T664" s="84" t="e">
        <f t="shared" si="133"/>
        <v>#REF!</v>
      </c>
      <c r="U664" s="84" t="e">
        <f t="shared" si="134"/>
        <v>#REF!</v>
      </c>
      <c r="V664" s="85" t="e">
        <f>#REF!</f>
        <v>#REF!</v>
      </c>
      <c r="W664" s="86">
        <f t="shared" si="135"/>
        <v>0</v>
      </c>
      <c r="X664" s="86">
        <f t="shared" si="135"/>
        <v>0</v>
      </c>
      <c r="Y664" s="87">
        <f t="shared" si="136"/>
        <v>0</v>
      </c>
      <c r="Z664" s="87">
        <f t="shared" si="137"/>
        <v>0</v>
      </c>
      <c r="AA664" s="87">
        <f t="shared" si="138"/>
        <v>4</v>
      </c>
    </row>
    <row r="665" spans="9:27">
      <c r="I665" s="81" t="e">
        <f>IF(#REF!&lt;&gt;"",#REF!,"")</f>
        <v>#REF!</v>
      </c>
      <c r="J665" s="81" t="e">
        <f t="shared" si="139"/>
        <v>#REF!</v>
      </c>
      <c r="L665" s="82" t="e">
        <f t="shared" si="140"/>
        <v>#REF!</v>
      </c>
      <c r="M665" s="81" t="e">
        <f t="shared" si="143"/>
        <v>#REF!</v>
      </c>
      <c r="N665" s="81" t="e">
        <f t="shared" si="141"/>
        <v>#REF!</v>
      </c>
      <c r="O665" s="81" t="e">
        <f t="shared" si="142"/>
        <v>#REF!</v>
      </c>
      <c r="Q665" s="83" t="str">
        <f t="shared" si="144"/>
        <v/>
      </c>
      <c r="R665" s="84" t="e">
        <f t="shared" si="132"/>
        <v>#REF!</v>
      </c>
      <c r="S665" s="83" t="e">
        <f t="shared" si="132"/>
        <v>#REF!</v>
      </c>
      <c r="T665" s="84" t="e">
        <f t="shared" si="133"/>
        <v>#REF!</v>
      </c>
      <c r="U665" s="84" t="e">
        <f t="shared" si="134"/>
        <v>#REF!</v>
      </c>
      <c r="V665" s="85" t="e">
        <f>#REF!</f>
        <v>#REF!</v>
      </c>
      <c r="W665" s="86">
        <f t="shared" si="135"/>
        <v>0</v>
      </c>
      <c r="X665" s="86">
        <f t="shared" si="135"/>
        <v>0</v>
      </c>
      <c r="Y665" s="87">
        <f t="shared" si="136"/>
        <v>0</v>
      </c>
      <c r="Z665" s="87">
        <f t="shared" si="137"/>
        <v>0</v>
      </c>
      <c r="AA665" s="87">
        <f t="shared" si="138"/>
        <v>4</v>
      </c>
    </row>
    <row r="666" spans="9:27">
      <c r="I666" s="81" t="e">
        <f>IF(#REF!&lt;&gt;"",#REF!,"")</f>
        <v>#REF!</v>
      </c>
      <c r="J666" s="81" t="e">
        <f t="shared" si="139"/>
        <v>#REF!</v>
      </c>
      <c r="L666" s="82" t="e">
        <f t="shared" si="140"/>
        <v>#REF!</v>
      </c>
      <c r="M666" s="81" t="e">
        <f t="shared" si="143"/>
        <v>#REF!</v>
      </c>
      <c r="N666" s="81" t="e">
        <f t="shared" si="141"/>
        <v>#REF!</v>
      </c>
      <c r="O666" s="81" t="e">
        <f t="shared" si="142"/>
        <v>#REF!</v>
      </c>
      <c r="Q666" s="83" t="str">
        <f t="shared" si="144"/>
        <v/>
      </c>
      <c r="R666" s="84" t="e">
        <f t="shared" si="132"/>
        <v>#REF!</v>
      </c>
      <c r="S666" s="83" t="e">
        <f t="shared" si="132"/>
        <v>#REF!</v>
      </c>
      <c r="T666" s="84" t="e">
        <f t="shared" si="133"/>
        <v>#REF!</v>
      </c>
      <c r="U666" s="84" t="e">
        <f t="shared" si="134"/>
        <v>#REF!</v>
      </c>
      <c r="V666" s="85" t="e">
        <f>#REF!</f>
        <v>#REF!</v>
      </c>
      <c r="W666" s="86">
        <f t="shared" si="135"/>
        <v>0</v>
      </c>
      <c r="X666" s="86">
        <f t="shared" si="135"/>
        <v>0</v>
      </c>
      <c r="Y666" s="87">
        <f t="shared" si="136"/>
        <v>0</v>
      </c>
      <c r="Z666" s="87">
        <f t="shared" si="137"/>
        <v>0</v>
      </c>
      <c r="AA666" s="87">
        <f t="shared" si="138"/>
        <v>4</v>
      </c>
    </row>
    <row r="667" spans="9:27">
      <c r="I667" s="81" t="e">
        <f>IF(#REF!&lt;&gt;"",#REF!,"")</f>
        <v>#REF!</v>
      </c>
      <c r="J667" s="81" t="e">
        <f t="shared" si="139"/>
        <v>#REF!</v>
      </c>
      <c r="L667" s="82" t="e">
        <f t="shared" si="140"/>
        <v>#REF!</v>
      </c>
      <c r="M667" s="81" t="e">
        <f t="shared" si="143"/>
        <v>#REF!</v>
      </c>
      <c r="N667" s="81" t="e">
        <f t="shared" si="141"/>
        <v>#REF!</v>
      </c>
      <c r="O667" s="81" t="e">
        <f t="shared" si="142"/>
        <v>#REF!</v>
      </c>
      <c r="Q667" s="83" t="str">
        <f t="shared" si="144"/>
        <v/>
      </c>
      <c r="R667" s="84" t="e">
        <f t="shared" si="132"/>
        <v>#REF!</v>
      </c>
      <c r="S667" s="83" t="e">
        <f t="shared" si="132"/>
        <v>#REF!</v>
      </c>
      <c r="T667" s="84" t="e">
        <f t="shared" si="133"/>
        <v>#REF!</v>
      </c>
      <c r="U667" s="84" t="e">
        <f t="shared" si="134"/>
        <v>#REF!</v>
      </c>
      <c r="V667" s="85" t="e">
        <f>#REF!</f>
        <v>#REF!</v>
      </c>
      <c r="W667" s="86">
        <f t="shared" si="135"/>
        <v>0</v>
      </c>
      <c r="X667" s="86">
        <f t="shared" si="135"/>
        <v>0</v>
      </c>
      <c r="Y667" s="87">
        <f t="shared" si="136"/>
        <v>0</v>
      </c>
      <c r="Z667" s="87">
        <f t="shared" si="137"/>
        <v>0</v>
      </c>
      <c r="AA667" s="87">
        <f t="shared" si="138"/>
        <v>4</v>
      </c>
    </row>
    <row r="668" spans="9:27">
      <c r="I668" s="81" t="e">
        <f>IF(#REF!&lt;&gt;"",#REF!,"")</f>
        <v>#REF!</v>
      </c>
      <c r="J668" s="81" t="e">
        <f t="shared" si="139"/>
        <v>#REF!</v>
      </c>
      <c r="L668" s="82" t="e">
        <f t="shared" si="140"/>
        <v>#REF!</v>
      </c>
      <c r="M668" s="81" t="e">
        <f t="shared" si="143"/>
        <v>#REF!</v>
      </c>
      <c r="N668" s="81" t="e">
        <f t="shared" si="141"/>
        <v>#REF!</v>
      </c>
      <c r="O668" s="81" t="e">
        <f t="shared" si="142"/>
        <v>#REF!</v>
      </c>
      <c r="Q668" s="83" t="str">
        <f t="shared" si="144"/>
        <v/>
      </c>
      <c r="R668" s="84" t="e">
        <f t="shared" si="132"/>
        <v>#REF!</v>
      </c>
      <c r="S668" s="83" t="e">
        <f t="shared" si="132"/>
        <v>#REF!</v>
      </c>
      <c r="T668" s="84" t="e">
        <f t="shared" si="133"/>
        <v>#REF!</v>
      </c>
      <c r="U668" s="84" t="e">
        <f t="shared" si="134"/>
        <v>#REF!</v>
      </c>
      <c r="V668" s="85" t="e">
        <f>#REF!</f>
        <v>#REF!</v>
      </c>
      <c r="W668" s="86">
        <f t="shared" si="135"/>
        <v>0</v>
      </c>
      <c r="X668" s="86">
        <f t="shared" si="135"/>
        <v>0</v>
      </c>
      <c r="Y668" s="87">
        <f t="shared" si="136"/>
        <v>0</v>
      </c>
      <c r="Z668" s="87">
        <f t="shared" si="137"/>
        <v>0</v>
      </c>
      <c r="AA668" s="87">
        <f t="shared" si="138"/>
        <v>4</v>
      </c>
    </row>
    <row r="669" spans="9:27">
      <c r="I669" s="81" t="e">
        <f>IF(#REF!&lt;&gt;"",#REF!,"")</f>
        <v>#REF!</v>
      </c>
      <c r="J669" s="81" t="e">
        <f t="shared" si="139"/>
        <v>#REF!</v>
      </c>
      <c r="L669" s="82" t="e">
        <f t="shared" si="140"/>
        <v>#REF!</v>
      </c>
      <c r="M669" s="81" t="e">
        <f t="shared" si="143"/>
        <v>#REF!</v>
      </c>
      <c r="N669" s="81" t="e">
        <f t="shared" si="141"/>
        <v>#REF!</v>
      </c>
      <c r="O669" s="81" t="e">
        <f t="shared" si="142"/>
        <v>#REF!</v>
      </c>
      <c r="Q669" s="83" t="str">
        <f t="shared" si="144"/>
        <v/>
      </c>
      <c r="R669" s="84" t="e">
        <f t="shared" si="132"/>
        <v>#REF!</v>
      </c>
      <c r="S669" s="83" t="e">
        <f t="shared" si="132"/>
        <v>#REF!</v>
      </c>
      <c r="T669" s="84" t="e">
        <f t="shared" si="133"/>
        <v>#REF!</v>
      </c>
      <c r="U669" s="84" t="e">
        <f t="shared" si="134"/>
        <v>#REF!</v>
      </c>
      <c r="V669" s="85" t="e">
        <f>#REF!</f>
        <v>#REF!</v>
      </c>
      <c r="W669" s="86">
        <f t="shared" si="135"/>
        <v>0</v>
      </c>
      <c r="X669" s="86">
        <f t="shared" si="135"/>
        <v>0</v>
      </c>
      <c r="Y669" s="87">
        <f t="shared" si="136"/>
        <v>0</v>
      </c>
      <c r="Z669" s="87">
        <f t="shared" si="137"/>
        <v>0</v>
      </c>
      <c r="AA669" s="87">
        <f t="shared" si="138"/>
        <v>4</v>
      </c>
    </row>
    <row r="670" spans="9:27">
      <c r="I670" s="81" t="e">
        <f>IF(#REF!&lt;&gt;"",#REF!,"")</f>
        <v>#REF!</v>
      </c>
      <c r="J670" s="81" t="e">
        <f t="shared" si="139"/>
        <v>#REF!</v>
      </c>
      <c r="L670" s="82" t="e">
        <f t="shared" si="140"/>
        <v>#REF!</v>
      </c>
      <c r="M670" s="81" t="e">
        <f t="shared" si="143"/>
        <v>#REF!</v>
      </c>
      <c r="N670" s="81" t="e">
        <f t="shared" si="141"/>
        <v>#REF!</v>
      </c>
      <c r="O670" s="81" t="e">
        <f t="shared" si="142"/>
        <v>#REF!</v>
      </c>
      <c r="Q670" s="83" t="str">
        <f t="shared" si="144"/>
        <v/>
      </c>
      <c r="R670" s="84" t="e">
        <f t="shared" si="132"/>
        <v>#REF!</v>
      </c>
      <c r="S670" s="83" t="e">
        <f t="shared" si="132"/>
        <v>#REF!</v>
      </c>
      <c r="T670" s="84" t="e">
        <f t="shared" si="133"/>
        <v>#REF!</v>
      </c>
      <c r="U670" s="84" t="e">
        <f t="shared" si="134"/>
        <v>#REF!</v>
      </c>
      <c r="V670" s="85" t="e">
        <f>#REF!</f>
        <v>#REF!</v>
      </c>
      <c r="W670" s="86">
        <f t="shared" si="135"/>
        <v>0</v>
      </c>
      <c r="X670" s="86">
        <f t="shared" si="135"/>
        <v>0</v>
      </c>
      <c r="Y670" s="87">
        <f t="shared" si="136"/>
        <v>0</v>
      </c>
      <c r="Z670" s="87">
        <f t="shared" si="137"/>
        <v>0</v>
      </c>
      <c r="AA670" s="87">
        <f t="shared" si="138"/>
        <v>4</v>
      </c>
    </row>
    <row r="671" spans="9:27">
      <c r="I671" s="81" t="e">
        <f>IF(#REF!&lt;&gt;"",#REF!,"")</f>
        <v>#REF!</v>
      </c>
      <c r="J671" s="81" t="e">
        <f t="shared" si="139"/>
        <v>#REF!</v>
      </c>
      <c r="L671" s="82" t="e">
        <f t="shared" si="140"/>
        <v>#REF!</v>
      </c>
      <c r="M671" s="81" t="e">
        <f t="shared" si="143"/>
        <v>#REF!</v>
      </c>
      <c r="N671" s="81" t="e">
        <f t="shared" si="141"/>
        <v>#REF!</v>
      </c>
      <c r="O671" s="81" t="e">
        <f t="shared" si="142"/>
        <v>#REF!</v>
      </c>
      <c r="Q671" s="83" t="str">
        <f t="shared" si="144"/>
        <v/>
      </c>
      <c r="R671" s="84" t="e">
        <f t="shared" si="132"/>
        <v>#REF!</v>
      </c>
      <c r="S671" s="83" t="e">
        <f t="shared" si="132"/>
        <v>#REF!</v>
      </c>
      <c r="T671" s="84" t="e">
        <f t="shared" si="133"/>
        <v>#REF!</v>
      </c>
      <c r="U671" s="84" t="e">
        <f t="shared" si="134"/>
        <v>#REF!</v>
      </c>
      <c r="V671" s="85" t="e">
        <f>#REF!</f>
        <v>#REF!</v>
      </c>
      <c r="W671" s="86">
        <f t="shared" si="135"/>
        <v>0</v>
      </c>
      <c r="X671" s="86">
        <f t="shared" si="135"/>
        <v>0</v>
      </c>
      <c r="Y671" s="87">
        <f t="shared" si="136"/>
        <v>0</v>
      </c>
      <c r="Z671" s="87">
        <f t="shared" si="137"/>
        <v>0</v>
      </c>
      <c r="AA671" s="87">
        <f t="shared" si="138"/>
        <v>4</v>
      </c>
    </row>
    <row r="672" spans="9:27">
      <c r="I672" s="81" t="e">
        <f>IF(#REF!&lt;&gt;"",#REF!,"")</f>
        <v>#REF!</v>
      </c>
      <c r="J672" s="81" t="e">
        <f t="shared" si="139"/>
        <v>#REF!</v>
      </c>
      <c r="L672" s="82" t="e">
        <f t="shared" si="140"/>
        <v>#REF!</v>
      </c>
      <c r="M672" s="81" t="e">
        <f t="shared" si="143"/>
        <v>#REF!</v>
      </c>
      <c r="N672" s="81" t="e">
        <f t="shared" si="141"/>
        <v>#REF!</v>
      </c>
      <c r="O672" s="81" t="e">
        <f t="shared" si="142"/>
        <v>#REF!</v>
      </c>
      <c r="Q672" s="83" t="str">
        <f t="shared" si="144"/>
        <v/>
      </c>
      <c r="R672" s="84" t="e">
        <f t="shared" si="132"/>
        <v>#REF!</v>
      </c>
      <c r="S672" s="83" t="e">
        <f t="shared" si="132"/>
        <v>#REF!</v>
      </c>
      <c r="T672" s="84" t="e">
        <f t="shared" si="133"/>
        <v>#REF!</v>
      </c>
      <c r="U672" s="84" t="e">
        <f t="shared" si="134"/>
        <v>#REF!</v>
      </c>
      <c r="V672" s="85" t="e">
        <f>#REF!</f>
        <v>#REF!</v>
      </c>
      <c r="W672" s="86">
        <f t="shared" si="135"/>
        <v>0</v>
      </c>
      <c r="X672" s="86">
        <f t="shared" si="135"/>
        <v>0</v>
      </c>
      <c r="Y672" s="87">
        <f t="shared" si="136"/>
        <v>0</v>
      </c>
      <c r="Z672" s="87">
        <f t="shared" si="137"/>
        <v>0</v>
      </c>
      <c r="AA672" s="87">
        <f t="shared" si="138"/>
        <v>4</v>
      </c>
    </row>
    <row r="673" spans="9:27">
      <c r="I673" s="81" t="e">
        <f>IF(#REF!&lt;&gt;"",#REF!,"")</f>
        <v>#REF!</v>
      </c>
      <c r="J673" s="81" t="e">
        <f t="shared" si="139"/>
        <v>#REF!</v>
      </c>
      <c r="L673" s="82" t="e">
        <f t="shared" si="140"/>
        <v>#REF!</v>
      </c>
      <c r="M673" s="81" t="e">
        <f t="shared" si="143"/>
        <v>#REF!</v>
      </c>
      <c r="N673" s="81" t="e">
        <f t="shared" si="141"/>
        <v>#REF!</v>
      </c>
      <c r="O673" s="81" t="e">
        <f t="shared" si="142"/>
        <v>#REF!</v>
      </c>
      <c r="Q673" s="83" t="str">
        <f t="shared" si="144"/>
        <v/>
      </c>
      <c r="R673" s="84" t="e">
        <f t="shared" si="132"/>
        <v>#REF!</v>
      </c>
      <c r="S673" s="83" t="e">
        <f t="shared" si="132"/>
        <v>#REF!</v>
      </c>
      <c r="T673" s="84" t="e">
        <f t="shared" si="133"/>
        <v>#REF!</v>
      </c>
      <c r="U673" s="84" t="e">
        <f t="shared" si="134"/>
        <v>#REF!</v>
      </c>
      <c r="V673" s="85" t="e">
        <f>#REF!</f>
        <v>#REF!</v>
      </c>
      <c r="W673" s="86">
        <f t="shared" si="135"/>
        <v>0</v>
      </c>
      <c r="X673" s="86">
        <f t="shared" si="135"/>
        <v>0</v>
      </c>
      <c r="Y673" s="87">
        <f t="shared" si="136"/>
        <v>0</v>
      </c>
      <c r="Z673" s="87">
        <f t="shared" si="137"/>
        <v>0</v>
      </c>
      <c r="AA673" s="87">
        <f t="shared" si="138"/>
        <v>4</v>
      </c>
    </row>
    <row r="674" spans="9:27">
      <c r="I674" s="81" t="e">
        <f>IF(#REF!&lt;&gt;"",#REF!,"")</f>
        <v>#REF!</v>
      </c>
      <c r="J674" s="81" t="e">
        <f t="shared" si="139"/>
        <v>#REF!</v>
      </c>
      <c r="L674" s="82" t="e">
        <f t="shared" si="140"/>
        <v>#REF!</v>
      </c>
      <c r="M674" s="81" t="e">
        <f t="shared" si="143"/>
        <v>#REF!</v>
      </c>
      <c r="N674" s="81" t="e">
        <f t="shared" si="141"/>
        <v>#REF!</v>
      </c>
      <c r="O674" s="81" t="e">
        <f t="shared" si="142"/>
        <v>#REF!</v>
      </c>
      <c r="Q674" s="83" t="str">
        <f t="shared" si="144"/>
        <v/>
      </c>
      <c r="R674" s="84" t="e">
        <f t="shared" si="132"/>
        <v>#REF!</v>
      </c>
      <c r="S674" s="83" t="e">
        <f t="shared" si="132"/>
        <v>#REF!</v>
      </c>
      <c r="T674" s="84" t="e">
        <f t="shared" si="133"/>
        <v>#REF!</v>
      </c>
      <c r="U674" s="84" t="e">
        <f t="shared" si="134"/>
        <v>#REF!</v>
      </c>
      <c r="V674" s="85" t="e">
        <f>#REF!</f>
        <v>#REF!</v>
      </c>
      <c r="W674" s="86">
        <f t="shared" si="135"/>
        <v>0</v>
      </c>
      <c r="X674" s="86">
        <f t="shared" si="135"/>
        <v>0</v>
      </c>
      <c r="Y674" s="87">
        <f t="shared" si="136"/>
        <v>0</v>
      </c>
      <c r="Z674" s="87">
        <f t="shared" si="137"/>
        <v>0</v>
      </c>
      <c r="AA674" s="87">
        <f t="shared" si="138"/>
        <v>4</v>
      </c>
    </row>
    <row r="675" spans="9:27">
      <c r="I675" s="81" t="e">
        <f>IF(#REF!&lt;&gt;"",#REF!,"")</f>
        <v>#REF!</v>
      </c>
      <c r="J675" s="81" t="e">
        <f t="shared" si="139"/>
        <v>#REF!</v>
      </c>
      <c r="L675" s="82" t="e">
        <f t="shared" si="140"/>
        <v>#REF!</v>
      </c>
      <c r="M675" s="81" t="e">
        <f t="shared" si="143"/>
        <v>#REF!</v>
      </c>
      <c r="N675" s="81" t="e">
        <f t="shared" si="141"/>
        <v>#REF!</v>
      </c>
      <c r="O675" s="81" t="e">
        <f t="shared" si="142"/>
        <v>#REF!</v>
      </c>
      <c r="Q675" s="83" t="str">
        <f t="shared" si="144"/>
        <v/>
      </c>
      <c r="R675" s="84" t="e">
        <f t="shared" si="132"/>
        <v>#REF!</v>
      </c>
      <c r="S675" s="83" t="e">
        <f t="shared" si="132"/>
        <v>#REF!</v>
      </c>
      <c r="T675" s="84" t="e">
        <f t="shared" si="133"/>
        <v>#REF!</v>
      </c>
      <c r="U675" s="84" t="e">
        <f t="shared" si="134"/>
        <v>#REF!</v>
      </c>
      <c r="V675" s="85" t="e">
        <f>#REF!</f>
        <v>#REF!</v>
      </c>
      <c r="W675" s="86">
        <f t="shared" si="135"/>
        <v>0</v>
      </c>
      <c r="X675" s="86">
        <f t="shared" si="135"/>
        <v>0</v>
      </c>
      <c r="Y675" s="87">
        <f t="shared" si="136"/>
        <v>0</v>
      </c>
      <c r="Z675" s="87">
        <f t="shared" si="137"/>
        <v>0</v>
      </c>
      <c r="AA675" s="87">
        <f t="shared" si="138"/>
        <v>4</v>
      </c>
    </row>
    <row r="676" spans="9:27">
      <c r="I676" s="81" t="e">
        <f>IF(#REF!&lt;&gt;"",#REF!,"")</f>
        <v>#REF!</v>
      </c>
      <c r="J676" s="81" t="e">
        <f t="shared" si="139"/>
        <v>#REF!</v>
      </c>
      <c r="L676" s="82" t="e">
        <f t="shared" si="140"/>
        <v>#REF!</v>
      </c>
      <c r="M676" s="81" t="e">
        <f t="shared" si="143"/>
        <v>#REF!</v>
      </c>
      <c r="N676" s="81" t="e">
        <f t="shared" si="141"/>
        <v>#REF!</v>
      </c>
      <c r="O676" s="81" t="e">
        <f t="shared" si="142"/>
        <v>#REF!</v>
      </c>
      <c r="Q676" s="83" t="str">
        <f t="shared" si="144"/>
        <v/>
      </c>
      <c r="R676" s="84" t="e">
        <f t="shared" si="132"/>
        <v>#REF!</v>
      </c>
      <c r="S676" s="83" t="e">
        <f t="shared" si="132"/>
        <v>#REF!</v>
      </c>
      <c r="T676" s="84" t="e">
        <f t="shared" si="133"/>
        <v>#REF!</v>
      </c>
      <c r="U676" s="84" t="e">
        <f t="shared" si="134"/>
        <v>#REF!</v>
      </c>
      <c r="V676" s="85" t="e">
        <f>#REF!</f>
        <v>#REF!</v>
      </c>
      <c r="W676" s="86">
        <f t="shared" si="135"/>
        <v>0</v>
      </c>
      <c r="X676" s="86">
        <f t="shared" si="135"/>
        <v>0</v>
      </c>
      <c r="Y676" s="87">
        <f t="shared" si="136"/>
        <v>0</v>
      </c>
      <c r="Z676" s="87">
        <f t="shared" si="137"/>
        <v>0</v>
      </c>
      <c r="AA676" s="87">
        <f t="shared" si="138"/>
        <v>4</v>
      </c>
    </row>
    <row r="677" spans="9:27">
      <c r="I677" s="81" t="e">
        <f>IF(#REF!&lt;&gt;"",#REF!,"")</f>
        <v>#REF!</v>
      </c>
      <c r="J677" s="81" t="e">
        <f t="shared" si="139"/>
        <v>#REF!</v>
      </c>
      <c r="L677" s="82" t="e">
        <f t="shared" si="140"/>
        <v>#REF!</v>
      </c>
      <c r="M677" s="81" t="e">
        <f t="shared" si="143"/>
        <v>#REF!</v>
      </c>
      <c r="N677" s="81" t="e">
        <f t="shared" si="141"/>
        <v>#REF!</v>
      </c>
      <c r="O677" s="81" t="e">
        <f t="shared" si="142"/>
        <v>#REF!</v>
      </c>
      <c r="Q677" s="83" t="str">
        <f t="shared" si="144"/>
        <v/>
      </c>
      <c r="R677" s="84" t="e">
        <f t="shared" si="132"/>
        <v>#REF!</v>
      </c>
      <c r="S677" s="83" t="e">
        <f t="shared" si="132"/>
        <v>#REF!</v>
      </c>
      <c r="T677" s="84" t="e">
        <f t="shared" si="133"/>
        <v>#REF!</v>
      </c>
      <c r="U677" s="84" t="e">
        <f t="shared" si="134"/>
        <v>#REF!</v>
      </c>
      <c r="V677" s="85" t="e">
        <f>#REF!</f>
        <v>#REF!</v>
      </c>
      <c r="W677" s="86">
        <f t="shared" si="135"/>
        <v>0</v>
      </c>
      <c r="X677" s="86">
        <f t="shared" si="135"/>
        <v>0</v>
      </c>
      <c r="Y677" s="87">
        <f t="shared" si="136"/>
        <v>0</v>
      </c>
      <c r="Z677" s="87">
        <f t="shared" si="137"/>
        <v>0</v>
      </c>
      <c r="AA677" s="87">
        <f t="shared" si="138"/>
        <v>4</v>
      </c>
    </row>
    <row r="678" spans="9:27">
      <c r="I678" s="81" t="e">
        <f>IF(#REF!&lt;&gt;"",#REF!,"")</f>
        <v>#REF!</v>
      </c>
      <c r="J678" s="81" t="e">
        <f t="shared" si="139"/>
        <v>#REF!</v>
      </c>
      <c r="L678" s="82" t="e">
        <f t="shared" si="140"/>
        <v>#REF!</v>
      </c>
      <c r="M678" s="81" t="e">
        <f t="shared" si="143"/>
        <v>#REF!</v>
      </c>
      <c r="N678" s="81" t="e">
        <f t="shared" si="141"/>
        <v>#REF!</v>
      </c>
      <c r="O678" s="81" t="e">
        <f t="shared" si="142"/>
        <v>#REF!</v>
      </c>
      <c r="Q678" s="83" t="str">
        <f t="shared" si="144"/>
        <v/>
      </c>
      <c r="R678" s="84" t="e">
        <f t="shared" si="132"/>
        <v>#REF!</v>
      </c>
      <c r="S678" s="83" t="e">
        <f t="shared" si="132"/>
        <v>#REF!</v>
      </c>
      <c r="T678" s="84" t="e">
        <f t="shared" si="133"/>
        <v>#REF!</v>
      </c>
      <c r="U678" s="84" t="e">
        <f t="shared" si="134"/>
        <v>#REF!</v>
      </c>
      <c r="V678" s="85" t="e">
        <f>#REF!</f>
        <v>#REF!</v>
      </c>
      <c r="W678" s="86">
        <f t="shared" si="135"/>
        <v>0</v>
      </c>
      <c r="X678" s="86">
        <f t="shared" si="135"/>
        <v>0</v>
      </c>
      <c r="Y678" s="87">
        <f t="shared" si="136"/>
        <v>0</v>
      </c>
      <c r="Z678" s="87">
        <f t="shared" si="137"/>
        <v>0</v>
      </c>
      <c r="AA678" s="87">
        <f t="shared" si="138"/>
        <v>4</v>
      </c>
    </row>
    <row r="679" spans="9:27">
      <c r="I679" s="81" t="e">
        <f>IF(#REF!&lt;&gt;"",#REF!,"")</f>
        <v>#REF!</v>
      </c>
      <c r="J679" s="81" t="e">
        <f t="shared" si="139"/>
        <v>#REF!</v>
      </c>
      <c r="L679" s="82" t="e">
        <f t="shared" si="140"/>
        <v>#REF!</v>
      </c>
      <c r="M679" s="81" t="e">
        <f t="shared" si="143"/>
        <v>#REF!</v>
      </c>
      <c r="N679" s="81" t="e">
        <f t="shared" si="141"/>
        <v>#REF!</v>
      </c>
      <c r="O679" s="81" t="e">
        <f t="shared" si="142"/>
        <v>#REF!</v>
      </c>
      <c r="Q679" s="83" t="str">
        <f t="shared" si="144"/>
        <v/>
      </c>
      <c r="R679" s="84" t="e">
        <f t="shared" si="132"/>
        <v>#REF!</v>
      </c>
      <c r="S679" s="83" t="e">
        <f t="shared" si="132"/>
        <v>#REF!</v>
      </c>
      <c r="T679" s="84" t="e">
        <f t="shared" si="133"/>
        <v>#REF!</v>
      </c>
      <c r="U679" s="84" t="e">
        <f t="shared" si="134"/>
        <v>#REF!</v>
      </c>
      <c r="V679" s="85" t="e">
        <f>#REF!</f>
        <v>#REF!</v>
      </c>
      <c r="W679" s="86">
        <f t="shared" si="135"/>
        <v>0</v>
      </c>
      <c r="X679" s="86">
        <f t="shared" si="135"/>
        <v>0</v>
      </c>
      <c r="Y679" s="87">
        <f t="shared" si="136"/>
        <v>0</v>
      </c>
      <c r="Z679" s="87">
        <f t="shared" si="137"/>
        <v>0</v>
      </c>
      <c r="AA679" s="87">
        <f t="shared" si="138"/>
        <v>4</v>
      </c>
    </row>
    <row r="680" spans="9:27">
      <c r="I680" s="81" t="e">
        <f>IF(#REF!&lt;&gt;"",#REF!,"")</f>
        <v>#REF!</v>
      </c>
      <c r="J680" s="81" t="e">
        <f t="shared" si="139"/>
        <v>#REF!</v>
      </c>
      <c r="L680" s="82" t="e">
        <f t="shared" si="140"/>
        <v>#REF!</v>
      </c>
      <c r="M680" s="81" t="e">
        <f t="shared" si="143"/>
        <v>#REF!</v>
      </c>
      <c r="N680" s="81" t="e">
        <f t="shared" si="141"/>
        <v>#REF!</v>
      </c>
      <c r="O680" s="81" t="e">
        <f t="shared" si="142"/>
        <v>#REF!</v>
      </c>
      <c r="Q680" s="83" t="str">
        <f t="shared" si="144"/>
        <v/>
      </c>
      <c r="R680" s="84" t="e">
        <f t="shared" si="132"/>
        <v>#REF!</v>
      </c>
      <c r="S680" s="83" t="e">
        <f t="shared" si="132"/>
        <v>#REF!</v>
      </c>
      <c r="T680" s="84" t="e">
        <f t="shared" si="133"/>
        <v>#REF!</v>
      </c>
      <c r="U680" s="84" t="e">
        <f t="shared" si="134"/>
        <v>#REF!</v>
      </c>
      <c r="V680" s="85" t="e">
        <f>#REF!</f>
        <v>#REF!</v>
      </c>
      <c r="W680" s="86">
        <f t="shared" si="135"/>
        <v>0</v>
      </c>
      <c r="X680" s="86">
        <f t="shared" si="135"/>
        <v>0</v>
      </c>
      <c r="Y680" s="87">
        <f t="shared" si="136"/>
        <v>0</v>
      </c>
      <c r="Z680" s="87">
        <f t="shared" si="137"/>
        <v>0</v>
      </c>
      <c r="AA680" s="87">
        <f t="shared" si="138"/>
        <v>4</v>
      </c>
    </row>
    <row r="681" spans="9:27">
      <c r="I681" s="81" t="e">
        <f>IF(#REF!&lt;&gt;"",#REF!,"")</f>
        <v>#REF!</v>
      </c>
      <c r="J681" s="81" t="e">
        <f t="shared" si="139"/>
        <v>#REF!</v>
      </c>
      <c r="L681" s="82" t="e">
        <f t="shared" si="140"/>
        <v>#REF!</v>
      </c>
      <c r="M681" s="81" t="e">
        <f t="shared" si="143"/>
        <v>#REF!</v>
      </c>
      <c r="N681" s="81" t="e">
        <f t="shared" si="141"/>
        <v>#REF!</v>
      </c>
      <c r="O681" s="81" t="e">
        <f t="shared" si="142"/>
        <v>#REF!</v>
      </c>
      <c r="Q681" s="83" t="str">
        <f t="shared" si="144"/>
        <v/>
      </c>
      <c r="R681" s="84" t="e">
        <f t="shared" si="132"/>
        <v>#REF!</v>
      </c>
      <c r="S681" s="83" t="e">
        <f t="shared" si="132"/>
        <v>#REF!</v>
      </c>
      <c r="T681" s="84" t="e">
        <f t="shared" si="133"/>
        <v>#REF!</v>
      </c>
      <c r="U681" s="84" t="e">
        <f t="shared" si="134"/>
        <v>#REF!</v>
      </c>
      <c r="V681" s="85" t="e">
        <f>#REF!</f>
        <v>#REF!</v>
      </c>
      <c r="W681" s="86">
        <f t="shared" si="135"/>
        <v>0</v>
      </c>
      <c r="X681" s="86">
        <f t="shared" si="135"/>
        <v>0</v>
      </c>
      <c r="Y681" s="87">
        <f t="shared" si="136"/>
        <v>0</v>
      </c>
      <c r="Z681" s="87">
        <f t="shared" si="137"/>
        <v>0</v>
      </c>
      <c r="AA681" s="87">
        <f t="shared" si="138"/>
        <v>4</v>
      </c>
    </row>
    <row r="682" spans="9:27">
      <c r="I682" s="81" t="e">
        <f>IF(#REF!&lt;&gt;"",#REF!,"")</f>
        <v>#REF!</v>
      </c>
      <c r="J682" s="81" t="e">
        <f t="shared" si="139"/>
        <v>#REF!</v>
      </c>
      <c r="L682" s="82" t="e">
        <f t="shared" si="140"/>
        <v>#REF!</v>
      </c>
      <c r="M682" s="81" t="e">
        <f t="shared" si="143"/>
        <v>#REF!</v>
      </c>
      <c r="N682" s="81" t="e">
        <f t="shared" si="141"/>
        <v>#REF!</v>
      </c>
      <c r="O682" s="81" t="e">
        <f t="shared" si="142"/>
        <v>#REF!</v>
      </c>
      <c r="Q682" s="83" t="str">
        <f t="shared" si="144"/>
        <v/>
      </c>
      <c r="R682" s="84" t="e">
        <f t="shared" si="132"/>
        <v>#REF!</v>
      </c>
      <c r="S682" s="83" t="e">
        <f t="shared" si="132"/>
        <v>#REF!</v>
      </c>
      <c r="T682" s="84" t="e">
        <f t="shared" si="133"/>
        <v>#REF!</v>
      </c>
      <c r="U682" s="84" t="e">
        <f t="shared" si="134"/>
        <v>#REF!</v>
      </c>
      <c r="V682" s="85" t="e">
        <f>#REF!</f>
        <v>#REF!</v>
      </c>
      <c r="W682" s="86">
        <f t="shared" si="135"/>
        <v>0</v>
      </c>
      <c r="X682" s="86">
        <f t="shared" si="135"/>
        <v>0</v>
      </c>
      <c r="Y682" s="87">
        <f t="shared" si="136"/>
        <v>0</v>
      </c>
      <c r="Z682" s="87">
        <f t="shared" si="137"/>
        <v>0</v>
      </c>
      <c r="AA682" s="87">
        <f t="shared" si="138"/>
        <v>4</v>
      </c>
    </row>
    <row r="683" spans="9:27">
      <c r="I683" s="81" t="e">
        <f>IF(#REF!&lt;&gt;"",#REF!,"")</f>
        <v>#REF!</v>
      </c>
      <c r="J683" s="81" t="e">
        <f t="shared" si="139"/>
        <v>#REF!</v>
      </c>
      <c r="L683" s="82" t="e">
        <f t="shared" si="140"/>
        <v>#REF!</v>
      </c>
      <c r="M683" s="81" t="e">
        <f t="shared" si="143"/>
        <v>#REF!</v>
      </c>
      <c r="N683" s="81" t="e">
        <f t="shared" si="141"/>
        <v>#REF!</v>
      </c>
      <c r="O683" s="81" t="e">
        <f t="shared" si="142"/>
        <v>#REF!</v>
      </c>
      <c r="Q683" s="83" t="str">
        <f t="shared" si="144"/>
        <v/>
      </c>
      <c r="R683" s="84" t="e">
        <f t="shared" si="132"/>
        <v>#REF!</v>
      </c>
      <c r="S683" s="83" t="e">
        <f t="shared" si="132"/>
        <v>#REF!</v>
      </c>
      <c r="T683" s="84" t="e">
        <f t="shared" si="133"/>
        <v>#REF!</v>
      </c>
      <c r="U683" s="84" t="e">
        <f t="shared" si="134"/>
        <v>#REF!</v>
      </c>
      <c r="V683" s="85" t="e">
        <f>#REF!</f>
        <v>#REF!</v>
      </c>
      <c r="W683" s="86">
        <f t="shared" si="135"/>
        <v>0</v>
      </c>
      <c r="X683" s="86">
        <f t="shared" si="135"/>
        <v>0</v>
      </c>
      <c r="Y683" s="87">
        <f t="shared" si="136"/>
        <v>0</v>
      </c>
      <c r="Z683" s="87">
        <f t="shared" si="137"/>
        <v>0</v>
      </c>
      <c r="AA683" s="87">
        <f t="shared" si="138"/>
        <v>4</v>
      </c>
    </row>
    <row r="684" spans="9:27">
      <c r="I684" s="81" t="e">
        <f>IF(#REF!&lt;&gt;"",#REF!,"")</f>
        <v>#REF!</v>
      </c>
      <c r="J684" s="81" t="e">
        <f t="shared" si="139"/>
        <v>#REF!</v>
      </c>
      <c r="L684" s="82" t="e">
        <f t="shared" si="140"/>
        <v>#REF!</v>
      </c>
      <c r="M684" s="81" t="e">
        <f t="shared" si="143"/>
        <v>#REF!</v>
      </c>
      <c r="N684" s="81" t="e">
        <f t="shared" si="141"/>
        <v>#REF!</v>
      </c>
      <c r="O684" s="81" t="e">
        <f t="shared" si="142"/>
        <v>#REF!</v>
      </c>
      <c r="Q684" s="83" t="str">
        <f t="shared" si="144"/>
        <v/>
      </c>
      <c r="R684" s="84" t="e">
        <f t="shared" si="132"/>
        <v>#REF!</v>
      </c>
      <c r="S684" s="83" t="e">
        <f t="shared" si="132"/>
        <v>#REF!</v>
      </c>
      <c r="T684" s="84" t="e">
        <f t="shared" si="133"/>
        <v>#REF!</v>
      </c>
      <c r="U684" s="84" t="e">
        <f t="shared" si="134"/>
        <v>#REF!</v>
      </c>
      <c r="V684" s="85" t="e">
        <f>#REF!</f>
        <v>#REF!</v>
      </c>
      <c r="W684" s="86">
        <f t="shared" si="135"/>
        <v>0</v>
      </c>
      <c r="X684" s="86">
        <f t="shared" si="135"/>
        <v>0</v>
      </c>
      <c r="Y684" s="87">
        <f t="shared" si="136"/>
        <v>0</v>
      </c>
      <c r="Z684" s="87">
        <f t="shared" si="137"/>
        <v>0</v>
      </c>
      <c r="AA684" s="87">
        <f t="shared" si="138"/>
        <v>4</v>
      </c>
    </row>
    <row r="685" spans="9:27">
      <c r="I685" s="81" t="e">
        <f>IF(#REF!&lt;&gt;"",#REF!,"")</f>
        <v>#REF!</v>
      </c>
      <c r="J685" s="81" t="e">
        <f t="shared" si="139"/>
        <v>#REF!</v>
      </c>
      <c r="L685" s="82" t="e">
        <f t="shared" si="140"/>
        <v>#REF!</v>
      </c>
      <c r="M685" s="81" t="e">
        <f t="shared" si="143"/>
        <v>#REF!</v>
      </c>
      <c r="N685" s="81" t="e">
        <f t="shared" si="141"/>
        <v>#REF!</v>
      </c>
      <c r="O685" s="81" t="e">
        <f t="shared" si="142"/>
        <v>#REF!</v>
      </c>
      <c r="Q685" s="83" t="str">
        <f t="shared" si="144"/>
        <v/>
      </c>
      <c r="R685" s="84" t="e">
        <f t="shared" si="132"/>
        <v>#REF!</v>
      </c>
      <c r="S685" s="83" t="e">
        <f t="shared" si="132"/>
        <v>#REF!</v>
      </c>
      <c r="T685" s="84" t="e">
        <f t="shared" si="133"/>
        <v>#REF!</v>
      </c>
      <c r="U685" s="84" t="e">
        <f t="shared" si="134"/>
        <v>#REF!</v>
      </c>
      <c r="V685" s="85" t="e">
        <f>#REF!</f>
        <v>#REF!</v>
      </c>
      <c r="W685" s="86">
        <f t="shared" si="135"/>
        <v>0</v>
      </c>
      <c r="X685" s="86">
        <f t="shared" si="135"/>
        <v>0</v>
      </c>
      <c r="Y685" s="87">
        <f t="shared" si="136"/>
        <v>0</v>
      </c>
      <c r="Z685" s="87">
        <f t="shared" si="137"/>
        <v>0</v>
      </c>
      <c r="AA685" s="87">
        <f t="shared" si="138"/>
        <v>4</v>
      </c>
    </row>
    <row r="686" spans="9:27">
      <c r="I686" s="81" t="e">
        <f>IF(#REF!&lt;&gt;"",#REF!,"")</f>
        <v>#REF!</v>
      </c>
      <c r="J686" s="81" t="e">
        <f t="shared" si="139"/>
        <v>#REF!</v>
      </c>
      <c r="L686" s="82" t="e">
        <f t="shared" si="140"/>
        <v>#REF!</v>
      </c>
      <c r="M686" s="81" t="e">
        <f t="shared" si="143"/>
        <v>#REF!</v>
      </c>
      <c r="N686" s="81" t="e">
        <f t="shared" si="141"/>
        <v>#REF!</v>
      </c>
      <c r="O686" s="81" t="e">
        <f t="shared" si="142"/>
        <v>#REF!</v>
      </c>
      <c r="Q686" s="83" t="str">
        <f t="shared" si="144"/>
        <v/>
      </c>
      <c r="R686" s="84" t="e">
        <f t="shared" si="132"/>
        <v>#REF!</v>
      </c>
      <c r="S686" s="83" t="e">
        <f t="shared" si="132"/>
        <v>#REF!</v>
      </c>
      <c r="T686" s="84" t="e">
        <f t="shared" si="133"/>
        <v>#REF!</v>
      </c>
      <c r="U686" s="84" t="e">
        <f t="shared" si="134"/>
        <v>#REF!</v>
      </c>
      <c r="V686" s="85" t="e">
        <f>#REF!</f>
        <v>#REF!</v>
      </c>
      <c r="W686" s="86">
        <f t="shared" si="135"/>
        <v>0</v>
      </c>
      <c r="X686" s="86">
        <f t="shared" si="135"/>
        <v>0</v>
      </c>
      <c r="Y686" s="87">
        <f t="shared" si="136"/>
        <v>0</v>
      </c>
      <c r="Z686" s="87">
        <f t="shared" si="137"/>
        <v>0</v>
      </c>
      <c r="AA686" s="87">
        <f t="shared" si="138"/>
        <v>4</v>
      </c>
    </row>
    <row r="687" spans="9:27">
      <c r="I687" s="81" t="e">
        <f>IF(#REF!&lt;&gt;"",#REF!,"")</f>
        <v>#REF!</v>
      </c>
      <c r="J687" s="81" t="e">
        <f t="shared" si="139"/>
        <v>#REF!</v>
      </c>
      <c r="L687" s="82" t="e">
        <f t="shared" si="140"/>
        <v>#REF!</v>
      </c>
      <c r="M687" s="81" t="e">
        <f t="shared" si="143"/>
        <v>#REF!</v>
      </c>
      <c r="N687" s="81" t="e">
        <f t="shared" si="141"/>
        <v>#REF!</v>
      </c>
      <c r="O687" s="81" t="e">
        <f t="shared" si="142"/>
        <v>#REF!</v>
      </c>
      <c r="Q687" s="83" t="str">
        <f t="shared" si="144"/>
        <v/>
      </c>
      <c r="R687" s="84" t="e">
        <f t="shared" si="132"/>
        <v>#REF!</v>
      </c>
      <c r="S687" s="83" t="e">
        <f t="shared" si="132"/>
        <v>#REF!</v>
      </c>
      <c r="T687" s="84" t="e">
        <f t="shared" si="133"/>
        <v>#REF!</v>
      </c>
      <c r="U687" s="84" t="e">
        <f t="shared" si="134"/>
        <v>#REF!</v>
      </c>
      <c r="V687" s="85" t="e">
        <f>#REF!</f>
        <v>#REF!</v>
      </c>
      <c r="W687" s="86">
        <f t="shared" si="135"/>
        <v>0</v>
      </c>
      <c r="X687" s="86">
        <f t="shared" si="135"/>
        <v>0</v>
      </c>
      <c r="Y687" s="87">
        <f t="shared" si="136"/>
        <v>0</v>
      </c>
      <c r="Z687" s="87">
        <f t="shared" si="137"/>
        <v>0</v>
      </c>
      <c r="AA687" s="87">
        <f t="shared" si="138"/>
        <v>4</v>
      </c>
    </row>
    <row r="688" spans="9:27">
      <c r="I688" s="81" t="e">
        <f>IF(#REF!&lt;&gt;"",#REF!,"")</f>
        <v>#REF!</v>
      </c>
      <c r="J688" s="81" t="e">
        <f t="shared" si="139"/>
        <v>#REF!</v>
      </c>
      <c r="L688" s="82" t="e">
        <f t="shared" si="140"/>
        <v>#REF!</v>
      </c>
      <c r="M688" s="81" t="e">
        <f t="shared" si="143"/>
        <v>#REF!</v>
      </c>
      <c r="N688" s="81" t="e">
        <f t="shared" si="141"/>
        <v>#REF!</v>
      </c>
      <c r="O688" s="81" t="e">
        <f t="shared" si="142"/>
        <v>#REF!</v>
      </c>
      <c r="Q688" s="83" t="str">
        <f t="shared" si="144"/>
        <v/>
      </c>
      <c r="R688" s="84" t="e">
        <f t="shared" si="132"/>
        <v>#REF!</v>
      </c>
      <c r="S688" s="83" t="e">
        <f t="shared" si="132"/>
        <v>#REF!</v>
      </c>
      <c r="T688" s="84" t="e">
        <f t="shared" si="133"/>
        <v>#REF!</v>
      </c>
      <c r="U688" s="84" t="e">
        <f t="shared" si="134"/>
        <v>#REF!</v>
      </c>
      <c r="V688" s="85" t="e">
        <f>#REF!</f>
        <v>#REF!</v>
      </c>
      <c r="W688" s="86">
        <f t="shared" si="135"/>
        <v>0</v>
      </c>
      <c r="X688" s="86">
        <f t="shared" si="135"/>
        <v>0</v>
      </c>
      <c r="Y688" s="87">
        <f t="shared" si="136"/>
        <v>0</v>
      </c>
      <c r="Z688" s="87">
        <f t="shared" si="137"/>
        <v>0</v>
      </c>
      <c r="AA688" s="87">
        <f t="shared" si="138"/>
        <v>4</v>
      </c>
    </row>
    <row r="689" spans="9:27">
      <c r="I689" s="81" t="e">
        <f>IF(#REF!&lt;&gt;"",#REF!,"")</f>
        <v>#REF!</v>
      </c>
      <c r="J689" s="81" t="e">
        <f t="shared" si="139"/>
        <v>#REF!</v>
      </c>
      <c r="L689" s="82" t="e">
        <f t="shared" si="140"/>
        <v>#REF!</v>
      </c>
      <c r="M689" s="81" t="e">
        <f t="shared" si="143"/>
        <v>#REF!</v>
      </c>
      <c r="N689" s="81" t="e">
        <f t="shared" si="141"/>
        <v>#REF!</v>
      </c>
      <c r="O689" s="81" t="e">
        <f t="shared" si="142"/>
        <v>#REF!</v>
      </c>
      <c r="Q689" s="83" t="str">
        <f t="shared" si="144"/>
        <v/>
      </c>
      <c r="R689" s="84" t="e">
        <f t="shared" si="132"/>
        <v>#REF!</v>
      </c>
      <c r="S689" s="83" t="e">
        <f t="shared" si="132"/>
        <v>#REF!</v>
      </c>
      <c r="T689" s="84" t="e">
        <f t="shared" si="133"/>
        <v>#REF!</v>
      </c>
      <c r="U689" s="84" t="e">
        <f t="shared" si="134"/>
        <v>#REF!</v>
      </c>
      <c r="V689" s="85" t="e">
        <f>#REF!</f>
        <v>#REF!</v>
      </c>
      <c r="W689" s="86">
        <f t="shared" si="135"/>
        <v>0</v>
      </c>
      <c r="X689" s="86">
        <f t="shared" si="135"/>
        <v>0</v>
      </c>
      <c r="Y689" s="87">
        <f t="shared" si="136"/>
        <v>0</v>
      </c>
      <c r="Z689" s="87">
        <f t="shared" si="137"/>
        <v>0</v>
      </c>
      <c r="AA689" s="87">
        <f t="shared" si="138"/>
        <v>4</v>
      </c>
    </row>
    <row r="690" spans="9:27">
      <c r="I690" s="81" t="e">
        <f>IF(#REF!&lt;&gt;"",#REF!,"")</f>
        <v>#REF!</v>
      </c>
      <c r="J690" s="81" t="e">
        <f t="shared" si="139"/>
        <v>#REF!</v>
      </c>
      <c r="L690" s="82" t="e">
        <f t="shared" si="140"/>
        <v>#REF!</v>
      </c>
      <c r="M690" s="81" t="e">
        <f t="shared" si="143"/>
        <v>#REF!</v>
      </c>
      <c r="N690" s="81" t="e">
        <f t="shared" si="141"/>
        <v>#REF!</v>
      </c>
      <c r="O690" s="81" t="e">
        <f t="shared" si="142"/>
        <v>#REF!</v>
      </c>
      <c r="Q690" s="83" t="str">
        <f t="shared" si="144"/>
        <v/>
      </c>
      <c r="R690" s="84" t="e">
        <f t="shared" si="132"/>
        <v>#REF!</v>
      </c>
      <c r="S690" s="83" t="e">
        <f t="shared" si="132"/>
        <v>#REF!</v>
      </c>
      <c r="T690" s="84" t="e">
        <f t="shared" si="133"/>
        <v>#REF!</v>
      </c>
      <c r="U690" s="84" t="e">
        <f t="shared" si="134"/>
        <v>#REF!</v>
      </c>
      <c r="V690" s="85" t="e">
        <f>#REF!</f>
        <v>#REF!</v>
      </c>
      <c r="W690" s="86">
        <f t="shared" si="135"/>
        <v>0</v>
      </c>
      <c r="X690" s="86">
        <f t="shared" si="135"/>
        <v>0</v>
      </c>
      <c r="Y690" s="87">
        <f t="shared" si="136"/>
        <v>0</v>
      </c>
      <c r="Z690" s="87">
        <f t="shared" si="137"/>
        <v>0</v>
      </c>
      <c r="AA690" s="87">
        <f t="shared" si="138"/>
        <v>4</v>
      </c>
    </row>
    <row r="691" spans="9:27">
      <c r="I691" s="81" t="e">
        <f>IF(#REF!&lt;&gt;"",#REF!,"")</f>
        <v>#REF!</v>
      </c>
      <c r="J691" s="81" t="e">
        <f t="shared" si="139"/>
        <v>#REF!</v>
      </c>
      <c r="L691" s="82" t="e">
        <f t="shared" si="140"/>
        <v>#REF!</v>
      </c>
      <c r="M691" s="81" t="e">
        <f t="shared" si="143"/>
        <v>#REF!</v>
      </c>
      <c r="N691" s="81" t="e">
        <f t="shared" si="141"/>
        <v>#REF!</v>
      </c>
      <c r="O691" s="81" t="e">
        <f t="shared" si="142"/>
        <v>#REF!</v>
      </c>
      <c r="Q691" s="83" t="str">
        <f t="shared" si="144"/>
        <v/>
      </c>
      <c r="R691" s="84" t="e">
        <f t="shared" si="132"/>
        <v>#REF!</v>
      </c>
      <c r="S691" s="83" t="e">
        <f t="shared" si="132"/>
        <v>#REF!</v>
      </c>
      <c r="T691" s="84" t="e">
        <f t="shared" si="133"/>
        <v>#REF!</v>
      </c>
      <c r="U691" s="84" t="e">
        <f t="shared" si="134"/>
        <v>#REF!</v>
      </c>
      <c r="V691" s="85" t="e">
        <f>#REF!</f>
        <v>#REF!</v>
      </c>
      <c r="W691" s="86">
        <f t="shared" si="135"/>
        <v>0</v>
      </c>
      <c r="X691" s="86">
        <f t="shared" si="135"/>
        <v>0</v>
      </c>
      <c r="Y691" s="87">
        <f t="shared" si="136"/>
        <v>0</v>
      </c>
      <c r="Z691" s="87">
        <f t="shared" si="137"/>
        <v>0</v>
      </c>
      <c r="AA691" s="87">
        <f t="shared" si="138"/>
        <v>4</v>
      </c>
    </row>
    <row r="692" spans="9:27">
      <c r="I692" s="81" t="e">
        <f>IF(#REF!&lt;&gt;"",#REF!,"")</f>
        <v>#REF!</v>
      </c>
      <c r="J692" s="81" t="e">
        <f t="shared" si="139"/>
        <v>#REF!</v>
      </c>
      <c r="L692" s="82" t="e">
        <f t="shared" si="140"/>
        <v>#REF!</v>
      </c>
      <c r="M692" s="81" t="e">
        <f t="shared" si="143"/>
        <v>#REF!</v>
      </c>
      <c r="N692" s="81" t="e">
        <f t="shared" si="141"/>
        <v>#REF!</v>
      </c>
      <c r="O692" s="81" t="e">
        <f t="shared" si="142"/>
        <v>#REF!</v>
      </c>
      <c r="Q692" s="83" t="str">
        <f t="shared" si="144"/>
        <v/>
      </c>
      <c r="R692" s="84" t="e">
        <f t="shared" si="132"/>
        <v>#REF!</v>
      </c>
      <c r="S692" s="83" t="e">
        <f t="shared" si="132"/>
        <v>#REF!</v>
      </c>
      <c r="T692" s="84" t="e">
        <f t="shared" si="133"/>
        <v>#REF!</v>
      </c>
      <c r="U692" s="84" t="e">
        <f t="shared" si="134"/>
        <v>#REF!</v>
      </c>
      <c r="V692" s="85" t="e">
        <f>#REF!</f>
        <v>#REF!</v>
      </c>
      <c r="W692" s="86">
        <f t="shared" si="135"/>
        <v>0</v>
      </c>
      <c r="X692" s="86">
        <f t="shared" si="135"/>
        <v>0</v>
      </c>
      <c r="Y692" s="87">
        <f t="shared" si="136"/>
        <v>0</v>
      </c>
      <c r="Z692" s="87">
        <f t="shared" si="137"/>
        <v>0</v>
      </c>
      <c r="AA692" s="87">
        <f t="shared" si="138"/>
        <v>4</v>
      </c>
    </row>
    <row r="693" spans="9:27">
      <c r="I693" s="81" t="e">
        <f>IF(#REF!&lt;&gt;"",#REF!,"")</f>
        <v>#REF!</v>
      </c>
      <c r="J693" s="81" t="e">
        <f t="shared" si="139"/>
        <v>#REF!</v>
      </c>
      <c r="L693" s="82" t="e">
        <f t="shared" si="140"/>
        <v>#REF!</v>
      </c>
      <c r="M693" s="81" t="e">
        <f t="shared" si="143"/>
        <v>#REF!</v>
      </c>
      <c r="N693" s="81" t="e">
        <f t="shared" si="141"/>
        <v>#REF!</v>
      </c>
      <c r="O693" s="81" t="e">
        <f t="shared" si="142"/>
        <v>#REF!</v>
      </c>
      <c r="Q693" s="83" t="str">
        <f t="shared" si="144"/>
        <v/>
      </c>
      <c r="R693" s="84" t="e">
        <f t="shared" si="132"/>
        <v>#REF!</v>
      </c>
      <c r="S693" s="83" t="e">
        <f t="shared" si="132"/>
        <v>#REF!</v>
      </c>
      <c r="T693" s="84" t="e">
        <f t="shared" si="133"/>
        <v>#REF!</v>
      </c>
      <c r="U693" s="84" t="e">
        <f t="shared" si="134"/>
        <v>#REF!</v>
      </c>
      <c r="V693" s="85" t="e">
        <f>#REF!</f>
        <v>#REF!</v>
      </c>
      <c r="W693" s="86">
        <f t="shared" si="135"/>
        <v>0</v>
      </c>
      <c r="X693" s="86">
        <f t="shared" si="135"/>
        <v>0</v>
      </c>
      <c r="Y693" s="87">
        <f t="shared" si="136"/>
        <v>0</v>
      </c>
      <c r="Z693" s="87">
        <f t="shared" si="137"/>
        <v>0</v>
      </c>
      <c r="AA693" s="87">
        <f t="shared" si="138"/>
        <v>4</v>
      </c>
    </row>
    <row r="694" spans="9:27">
      <c r="I694" s="81" t="e">
        <f>IF(#REF!&lt;&gt;"",#REF!,"")</f>
        <v>#REF!</v>
      </c>
      <c r="J694" s="81" t="e">
        <f t="shared" si="139"/>
        <v>#REF!</v>
      </c>
      <c r="L694" s="82" t="e">
        <f t="shared" si="140"/>
        <v>#REF!</v>
      </c>
      <c r="M694" s="81" t="e">
        <f t="shared" si="143"/>
        <v>#REF!</v>
      </c>
      <c r="N694" s="81" t="e">
        <f t="shared" si="141"/>
        <v>#REF!</v>
      </c>
      <c r="O694" s="81" t="e">
        <f t="shared" si="142"/>
        <v>#REF!</v>
      </c>
      <c r="Q694" s="83" t="str">
        <f t="shared" si="144"/>
        <v/>
      </c>
      <c r="R694" s="84" t="e">
        <f t="shared" si="132"/>
        <v>#REF!</v>
      </c>
      <c r="S694" s="83" t="e">
        <f t="shared" si="132"/>
        <v>#REF!</v>
      </c>
      <c r="T694" s="84" t="e">
        <f t="shared" si="133"/>
        <v>#REF!</v>
      </c>
      <c r="U694" s="84" t="e">
        <f t="shared" si="134"/>
        <v>#REF!</v>
      </c>
      <c r="V694" s="85" t="e">
        <f>#REF!</f>
        <v>#REF!</v>
      </c>
      <c r="W694" s="86">
        <f t="shared" si="135"/>
        <v>0</v>
      </c>
      <c r="X694" s="86">
        <f t="shared" si="135"/>
        <v>0</v>
      </c>
      <c r="Y694" s="87">
        <f t="shared" si="136"/>
        <v>0</v>
      </c>
      <c r="Z694" s="87">
        <f t="shared" si="137"/>
        <v>0</v>
      </c>
      <c r="AA694" s="87">
        <f t="shared" si="138"/>
        <v>4</v>
      </c>
    </row>
    <row r="695" spans="9:27">
      <c r="I695" s="81" t="e">
        <f>IF(#REF!&lt;&gt;"",#REF!,"")</f>
        <v>#REF!</v>
      </c>
      <c r="J695" s="81" t="e">
        <f t="shared" si="139"/>
        <v>#REF!</v>
      </c>
      <c r="L695" s="82" t="e">
        <f t="shared" si="140"/>
        <v>#REF!</v>
      </c>
      <c r="M695" s="81" t="e">
        <f t="shared" si="143"/>
        <v>#REF!</v>
      </c>
      <c r="N695" s="81" t="e">
        <f t="shared" si="141"/>
        <v>#REF!</v>
      </c>
      <c r="O695" s="81" t="e">
        <f t="shared" si="142"/>
        <v>#REF!</v>
      </c>
      <c r="Q695" s="83" t="str">
        <f t="shared" si="144"/>
        <v/>
      </c>
      <c r="R695" s="84" t="e">
        <f t="shared" si="132"/>
        <v>#REF!</v>
      </c>
      <c r="S695" s="83" t="e">
        <f t="shared" si="132"/>
        <v>#REF!</v>
      </c>
      <c r="T695" s="84" t="e">
        <f t="shared" si="133"/>
        <v>#REF!</v>
      </c>
      <c r="U695" s="84" t="e">
        <f t="shared" si="134"/>
        <v>#REF!</v>
      </c>
      <c r="V695" s="85" t="e">
        <f>#REF!</f>
        <v>#REF!</v>
      </c>
      <c r="W695" s="86">
        <f t="shared" si="135"/>
        <v>0</v>
      </c>
      <c r="X695" s="86">
        <f t="shared" si="135"/>
        <v>0</v>
      </c>
      <c r="Y695" s="87">
        <f t="shared" si="136"/>
        <v>0</v>
      </c>
      <c r="Z695" s="87">
        <f t="shared" si="137"/>
        <v>0</v>
      </c>
      <c r="AA695" s="87">
        <f t="shared" si="138"/>
        <v>4</v>
      </c>
    </row>
    <row r="696" spans="9:27">
      <c r="I696" s="81" t="e">
        <f>IF(#REF!&lt;&gt;"",#REF!,"")</f>
        <v>#REF!</v>
      </c>
      <c r="J696" s="81" t="e">
        <f t="shared" si="139"/>
        <v>#REF!</v>
      </c>
      <c r="L696" s="82" t="e">
        <f t="shared" si="140"/>
        <v>#REF!</v>
      </c>
      <c r="M696" s="81" t="e">
        <f t="shared" si="143"/>
        <v>#REF!</v>
      </c>
      <c r="N696" s="81" t="e">
        <f t="shared" si="141"/>
        <v>#REF!</v>
      </c>
      <c r="O696" s="81" t="e">
        <f t="shared" si="142"/>
        <v>#REF!</v>
      </c>
      <c r="Q696" s="83" t="str">
        <f t="shared" si="144"/>
        <v/>
      </c>
      <c r="R696" s="84" t="e">
        <f t="shared" si="132"/>
        <v>#REF!</v>
      </c>
      <c r="S696" s="83" t="e">
        <f t="shared" si="132"/>
        <v>#REF!</v>
      </c>
      <c r="T696" s="84" t="e">
        <f t="shared" si="133"/>
        <v>#REF!</v>
      </c>
      <c r="U696" s="84" t="e">
        <f t="shared" si="134"/>
        <v>#REF!</v>
      </c>
      <c r="V696" s="85" t="e">
        <f>#REF!</f>
        <v>#REF!</v>
      </c>
      <c r="W696" s="86">
        <f t="shared" si="135"/>
        <v>0</v>
      </c>
      <c r="X696" s="86">
        <f t="shared" si="135"/>
        <v>0</v>
      </c>
      <c r="Y696" s="87">
        <f t="shared" si="136"/>
        <v>0</v>
      </c>
      <c r="Z696" s="87">
        <f t="shared" si="137"/>
        <v>0</v>
      </c>
      <c r="AA696" s="87">
        <f t="shared" si="138"/>
        <v>4</v>
      </c>
    </row>
    <row r="697" spans="9:27">
      <c r="I697" s="81" t="e">
        <f>IF(#REF!&lt;&gt;"",#REF!,"")</f>
        <v>#REF!</v>
      </c>
      <c r="J697" s="81" t="e">
        <f t="shared" si="139"/>
        <v>#REF!</v>
      </c>
      <c r="L697" s="82" t="e">
        <f t="shared" si="140"/>
        <v>#REF!</v>
      </c>
      <c r="M697" s="81" t="e">
        <f t="shared" si="143"/>
        <v>#REF!</v>
      </c>
      <c r="N697" s="81" t="e">
        <f t="shared" si="141"/>
        <v>#REF!</v>
      </c>
      <c r="O697" s="81" t="e">
        <f t="shared" si="142"/>
        <v>#REF!</v>
      </c>
      <c r="Q697" s="83" t="str">
        <f t="shared" si="144"/>
        <v/>
      </c>
      <c r="R697" s="84" t="e">
        <f t="shared" si="132"/>
        <v>#REF!</v>
      </c>
      <c r="S697" s="83" t="e">
        <f t="shared" si="132"/>
        <v>#REF!</v>
      </c>
      <c r="T697" s="84" t="e">
        <f t="shared" si="133"/>
        <v>#REF!</v>
      </c>
      <c r="U697" s="84" t="e">
        <f t="shared" si="134"/>
        <v>#REF!</v>
      </c>
      <c r="V697" s="85" t="e">
        <f>#REF!</f>
        <v>#REF!</v>
      </c>
      <c r="W697" s="86">
        <f t="shared" si="135"/>
        <v>0</v>
      </c>
      <c r="X697" s="86">
        <f t="shared" si="135"/>
        <v>0</v>
      </c>
      <c r="Y697" s="87">
        <f t="shared" si="136"/>
        <v>0</v>
      </c>
      <c r="Z697" s="87">
        <f t="shared" si="137"/>
        <v>0</v>
      </c>
      <c r="AA697" s="87">
        <f t="shared" si="138"/>
        <v>4</v>
      </c>
    </row>
    <row r="698" spans="9:27">
      <c r="I698" s="81" t="e">
        <f>IF(#REF!&lt;&gt;"",#REF!,"")</f>
        <v>#REF!</v>
      </c>
      <c r="J698" s="81" t="e">
        <f t="shared" si="139"/>
        <v>#REF!</v>
      </c>
      <c r="L698" s="82" t="e">
        <f t="shared" si="140"/>
        <v>#REF!</v>
      </c>
      <c r="M698" s="81" t="e">
        <f t="shared" si="143"/>
        <v>#REF!</v>
      </c>
      <c r="N698" s="81" t="e">
        <f t="shared" si="141"/>
        <v>#REF!</v>
      </c>
      <c r="O698" s="81" t="e">
        <f t="shared" si="142"/>
        <v>#REF!</v>
      </c>
      <c r="Q698" s="83" t="str">
        <f t="shared" si="144"/>
        <v/>
      </c>
      <c r="R698" s="84" t="e">
        <f t="shared" si="132"/>
        <v>#REF!</v>
      </c>
      <c r="S698" s="83" t="e">
        <f t="shared" si="132"/>
        <v>#REF!</v>
      </c>
      <c r="T698" s="84" t="e">
        <f t="shared" si="133"/>
        <v>#REF!</v>
      </c>
      <c r="U698" s="84" t="e">
        <f t="shared" si="134"/>
        <v>#REF!</v>
      </c>
      <c r="V698" s="85" t="e">
        <f>#REF!</f>
        <v>#REF!</v>
      </c>
      <c r="W698" s="86">
        <f t="shared" si="135"/>
        <v>0</v>
      </c>
      <c r="X698" s="86">
        <f t="shared" si="135"/>
        <v>0</v>
      </c>
      <c r="Y698" s="87">
        <f t="shared" si="136"/>
        <v>0</v>
      </c>
      <c r="Z698" s="87">
        <f t="shared" si="137"/>
        <v>0</v>
      </c>
      <c r="AA698" s="87">
        <f t="shared" si="138"/>
        <v>4</v>
      </c>
    </row>
    <row r="699" spans="9:27">
      <c r="I699" s="81" t="e">
        <f>IF(#REF!&lt;&gt;"",#REF!,"")</f>
        <v>#REF!</v>
      </c>
      <c r="J699" s="81" t="e">
        <f t="shared" si="139"/>
        <v>#REF!</v>
      </c>
      <c r="L699" s="82" t="e">
        <f t="shared" si="140"/>
        <v>#REF!</v>
      </c>
      <c r="M699" s="81" t="e">
        <f t="shared" si="143"/>
        <v>#REF!</v>
      </c>
      <c r="N699" s="81" t="e">
        <f t="shared" si="141"/>
        <v>#REF!</v>
      </c>
      <c r="O699" s="81" t="e">
        <f t="shared" si="142"/>
        <v>#REF!</v>
      </c>
      <c r="Q699" s="83" t="str">
        <f t="shared" si="144"/>
        <v/>
      </c>
      <c r="R699" s="84" t="e">
        <f t="shared" si="132"/>
        <v>#REF!</v>
      </c>
      <c r="S699" s="83" t="e">
        <f t="shared" si="132"/>
        <v>#REF!</v>
      </c>
      <c r="T699" s="84" t="e">
        <f t="shared" si="133"/>
        <v>#REF!</v>
      </c>
      <c r="U699" s="84" t="e">
        <f t="shared" si="134"/>
        <v>#REF!</v>
      </c>
      <c r="V699" s="85" t="e">
        <f>#REF!</f>
        <v>#REF!</v>
      </c>
      <c r="W699" s="86">
        <f t="shared" si="135"/>
        <v>0</v>
      </c>
      <c r="X699" s="86">
        <f t="shared" si="135"/>
        <v>0</v>
      </c>
      <c r="Y699" s="87">
        <f t="shared" si="136"/>
        <v>0</v>
      </c>
      <c r="Z699" s="87">
        <f t="shared" si="137"/>
        <v>0</v>
      </c>
      <c r="AA699" s="87">
        <f t="shared" si="138"/>
        <v>4</v>
      </c>
    </row>
    <row r="700" spans="9:27">
      <c r="I700" s="81" t="e">
        <f>IF(#REF!&lt;&gt;"",#REF!,"")</f>
        <v>#REF!</v>
      </c>
      <c r="J700" s="81" t="e">
        <f t="shared" si="139"/>
        <v>#REF!</v>
      </c>
      <c r="L700" s="82" t="e">
        <f t="shared" si="140"/>
        <v>#REF!</v>
      </c>
      <c r="M700" s="81" t="e">
        <f t="shared" si="143"/>
        <v>#REF!</v>
      </c>
      <c r="N700" s="81" t="e">
        <f t="shared" si="141"/>
        <v>#REF!</v>
      </c>
      <c r="O700" s="81" t="e">
        <f t="shared" si="142"/>
        <v>#REF!</v>
      </c>
      <c r="Q700" s="83" t="str">
        <f t="shared" si="144"/>
        <v/>
      </c>
      <c r="R700" s="84" t="e">
        <f t="shared" si="132"/>
        <v>#REF!</v>
      </c>
      <c r="S700" s="83" t="e">
        <f t="shared" si="132"/>
        <v>#REF!</v>
      </c>
      <c r="T700" s="84" t="e">
        <f t="shared" si="133"/>
        <v>#REF!</v>
      </c>
      <c r="U700" s="84" t="e">
        <f t="shared" si="134"/>
        <v>#REF!</v>
      </c>
      <c r="V700" s="85" t="e">
        <f>#REF!</f>
        <v>#REF!</v>
      </c>
      <c r="W700" s="86">
        <f t="shared" si="135"/>
        <v>0</v>
      </c>
      <c r="X700" s="86">
        <f t="shared" si="135"/>
        <v>0</v>
      </c>
      <c r="Y700" s="87">
        <f t="shared" si="136"/>
        <v>0</v>
      </c>
      <c r="Z700" s="87">
        <f t="shared" si="137"/>
        <v>0</v>
      </c>
      <c r="AA700" s="87">
        <f t="shared" si="138"/>
        <v>4</v>
      </c>
    </row>
    <row r="701" spans="9:27">
      <c r="I701" s="81" t="e">
        <f>IF(#REF!&lt;&gt;"",#REF!,"")</f>
        <v>#REF!</v>
      </c>
      <c r="J701" s="81" t="e">
        <f t="shared" si="139"/>
        <v>#REF!</v>
      </c>
      <c r="L701" s="82" t="e">
        <f t="shared" si="140"/>
        <v>#REF!</v>
      </c>
      <c r="M701" s="81" t="e">
        <f t="shared" si="143"/>
        <v>#REF!</v>
      </c>
      <c r="N701" s="81" t="e">
        <f t="shared" si="141"/>
        <v>#REF!</v>
      </c>
      <c r="O701" s="81" t="e">
        <f t="shared" si="142"/>
        <v>#REF!</v>
      </c>
      <c r="Q701" s="83" t="str">
        <f t="shared" si="144"/>
        <v/>
      </c>
      <c r="R701" s="84" t="e">
        <f t="shared" si="132"/>
        <v>#REF!</v>
      </c>
      <c r="S701" s="83" t="e">
        <f t="shared" si="132"/>
        <v>#REF!</v>
      </c>
      <c r="T701" s="84" t="e">
        <f t="shared" si="133"/>
        <v>#REF!</v>
      </c>
      <c r="U701" s="84" t="e">
        <f t="shared" si="134"/>
        <v>#REF!</v>
      </c>
      <c r="V701" s="85" t="e">
        <f>#REF!</f>
        <v>#REF!</v>
      </c>
      <c r="W701" s="86">
        <f t="shared" si="135"/>
        <v>0</v>
      </c>
      <c r="X701" s="86">
        <f t="shared" si="135"/>
        <v>0</v>
      </c>
      <c r="Y701" s="87">
        <f t="shared" si="136"/>
        <v>0</v>
      </c>
      <c r="Z701" s="87">
        <f t="shared" si="137"/>
        <v>0</v>
      </c>
      <c r="AA701" s="87">
        <f t="shared" si="138"/>
        <v>4</v>
      </c>
    </row>
    <row r="702" spans="9:27">
      <c r="I702" s="81" t="e">
        <f>IF(#REF!&lt;&gt;"",#REF!,"")</f>
        <v>#REF!</v>
      </c>
      <c r="J702" s="81" t="e">
        <f t="shared" si="139"/>
        <v>#REF!</v>
      </c>
      <c r="L702" s="82" t="e">
        <f t="shared" si="140"/>
        <v>#REF!</v>
      </c>
      <c r="M702" s="81" t="e">
        <f t="shared" si="143"/>
        <v>#REF!</v>
      </c>
      <c r="N702" s="81" t="e">
        <f t="shared" si="141"/>
        <v>#REF!</v>
      </c>
      <c r="O702" s="81" t="e">
        <f t="shared" si="142"/>
        <v>#REF!</v>
      </c>
      <c r="Q702" s="83" t="str">
        <f t="shared" si="144"/>
        <v/>
      </c>
      <c r="R702" s="84" t="e">
        <f t="shared" si="132"/>
        <v>#REF!</v>
      </c>
      <c r="S702" s="83" t="e">
        <f t="shared" si="132"/>
        <v>#REF!</v>
      </c>
      <c r="T702" s="84" t="e">
        <f t="shared" si="133"/>
        <v>#REF!</v>
      </c>
      <c r="U702" s="84" t="e">
        <f t="shared" si="134"/>
        <v>#REF!</v>
      </c>
      <c r="V702" s="85" t="e">
        <f>#REF!</f>
        <v>#REF!</v>
      </c>
      <c r="W702" s="86">
        <f t="shared" si="135"/>
        <v>0</v>
      </c>
      <c r="X702" s="86">
        <f t="shared" si="135"/>
        <v>0</v>
      </c>
      <c r="Y702" s="87">
        <f t="shared" si="136"/>
        <v>0</v>
      </c>
      <c r="Z702" s="87">
        <f t="shared" si="137"/>
        <v>0</v>
      </c>
      <c r="AA702" s="87">
        <f t="shared" si="138"/>
        <v>4</v>
      </c>
    </row>
    <row r="703" spans="9:27">
      <c r="I703" s="81" t="e">
        <f>IF(#REF!&lt;&gt;"",#REF!,"")</f>
        <v>#REF!</v>
      </c>
      <c r="J703" s="81" t="e">
        <f t="shared" si="139"/>
        <v>#REF!</v>
      </c>
      <c r="L703" s="82" t="e">
        <f t="shared" si="140"/>
        <v>#REF!</v>
      </c>
      <c r="M703" s="81" t="e">
        <f t="shared" si="143"/>
        <v>#REF!</v>
      </c>
      <c r="N703" s="81" t="e">
        <f t="shared" si="141"/>
        <v>#REF!</v>
      </c>
      <c r="O703" s="81" t="e">
        <f t="shared" si="142"/>
        <v>#REF!</v>
      </c>
      <c r="Q703" s="83" t="str">
        <f t="shared" si="144"/>
        <v/>
      </c>
      <c r="R703" s="84" t="e">
        <f t="shared" si="132"/>
        <v>#REF!</v>
      </c>
      <c r="S703" s="83" t="e">
        <f t="shared" si="132"/>
        <v>#REF!</v>
      </c>
      <c r="T703" s="84" t="e">
        <f t="shared" si="133"/>
        <v>#REF!</v>
      </c>
      <c r="U703" s="84" t="e">
        <f t="shared" si="134"/>
        <v>#REF!</v>
      </c>
      <c r="V703" s="85" t="e">
        <f>#REF!</f>
        <v>#REF!</v>
      </c>
      <c r="W703" s="86">
        <f t="shared" si="135"/>
        <v>0</v>
      </c>
      <c r="X703" s="86">
        <f t="shared" si="135"/>
        <v>0</v>
      </c>
      <c r="Y703" s="87">
        <f t="shared" si="136"/>
        <v>0</v>
      </c>
      <c r="Z703" s="87">
        <f t="shared" si="137"/>
        <v>0</v>
      </c>
      <c r="AA703" s="87">
        <f t="shared" si="138"/>
        <v>4</v>
      </c>
    </row>
    <row r="704" spans="9:27">
      <c r="I704" s="81" t="e">
        <f>IF(#REF!&lt;&gt;"",#REF!,"")</f>
        <v>#REF!</v>
      </c>
      <c r="J704" s="81" t="e">
        <f t="shared" si="139"/>
        <v>#REF!</v>
      </c>
      <c r="L704" s="82" t="e">
        <f t="shared" si="140"/>
        <v>#REF!</v>
      </c>
      <c r="M704" s="81" t="e">
        <f t="shared" si="143"/>
        <v>#REF!</v>
      </c>
      <c r="N704" s="81" t="e">
        <f t="shared" si="141"/>
        <v>#REF!</v>
      </c>
      <c r="O704" s="81" t="e">
        <f t="shared" si="142"/>
        <v>#REF!</v>
      </c>
      <c r="Q704" s="83" t="str">
        <f t="shared" si="144"/>
        <v/>
      </c>
      <c r="R704" s="84" t="e">
        <f t="shared" ref="R704:S767" si="145">IF(L704="","",L704)</f>
        <v>#REF!</v>
      </c>
      <c r="S704" s="83" t="e">
        <f t="shared" si="145"/>
        <v>#REF!</v>
      </c>
      <c r="T704" s="84" t="e">
        <f t="shared" ref="T704:T767" si="146">IF(W704=1,"",N704)</f>
        <v>#REF!</v>
      </c>
      <c r="U704" s="84" t="e">
        <f t="shared" ref="U704:U767" si="147">IF(OR(W704=1,X704=1),"",O704)</f>
        <v>#REF!</v>
      </c>
      <c r="V704" s="85" t="e">
        <f>#REF!</f>
        <v>#REF!</v>
      </c>
      <c r="W704" s="86">
        <f t="shared" si="135"/>
        <v>0</v>
      </c>
      <c r="X704" s="86">
        <f t="shared" si="135"/>
        <v>0</v>
      </c>
      <c r="Y704" s="87">
        <f t="shared" si="136"/>
        <v>0</v>
      </c>
      <c r="Z704" s="87">
        <f t="shared" si="137"/>
        <v>0</v>
      </c>
      <c r="AA704" s="87">
        <f t="shared" si="138"/>
        <v>4</v>
      </c>
    </row>
    <row r="705" spans="9:27">
      <c r="I705" s="81" t="e">
        <f>IF(#REF!&lt;&gt;"",#REF!,"")</f>
        <v>#REF!</v>
      </c>
      <c r="J705" s="81" t="e">
        <f t="shared" si="139"/>
        <v>#REF!</v>
      </c>
      <c r="L705" s="82" t="e">
        <f t="shared" si="140"/>
        <v>#REF!</v>
      </c>
      <c r="M705" s="81" t="e">
        <f t="shared" si="143"/>
        <v>#REF!</v>
      </c>
      <c r="N705" s="81" t="e">
        <f t="shared" si="141"/>
        <v>#REF!</v>
      </c>
      <c r="O705" s="81" t="e">
        <f t="shared" si="142"/>
        <v>#REF!</v>
      </c>
      <c r="Q705" s="83" t="str">
        <f t="shared" si="144"/>
        <v/>
      </c>
      <c r="R705" s="84" t="e">
        <f t="shared" si="145"/>
        <v>#REF!</v>
      </c>
      <c r="S705" s="83" t="e">
        <f t="shared" si="145"/>
        <v>#REF!</v>
      </c>
      <c r="T705" s="84" t="e">
        <f t="shared" si="146"/>
        <v>#REF!</v>
      </c>
      <c r="U705" s="84" t="e">
        <f t="shared" si="147"/>
        <v>#REF!</v>
      </c>
      <c r="V705" s="85" t="e">
        <f>#REF!</f>
        <v>#REF!</v>
      </c>
      <c r="W705" s="86">
        <f t="shared" ref="W705:X768" si="148">COUNTIFS(R705,"&gt;&lt;")</f>
        <v>0</v>
      </c>
      <c r="X705" s="86">
        <f t="shared" si="148"/>
        <v>0</v>
      </c>
      <c r="Y705" s="87">
        <f t="shared" ref="Y705:Y768" si="149">COUNTIFS(R705:U705,"*")</f>
        <v>0</v>
      </c>
      <c r="Z705" s="87">
        <f t="shared" ref="Z705:Z768" si="150">COUNTIFS(R705:U705,"&gt;&lt;")</f>
        <v>0</v>
      </c>
      <c r="AA705" s="87">
        <f t="shared" ref="AA705:AA768" si="151">COUNTIFS(R705:U705,"&lt;&gt;")</f>
        <v>4</v>
      </c>
    </row>
    <row r="706" spans="9:27">
      <c r="I706" s="81" t="e">
        <f>IF(#REF!&lt;&gt;"",#REF!,"")</f>
        <v>#REF!</v>
      </c>
      <c r="J706" s="81" t="e">
        <f t="shared" si="139"/>
        <v>#REF!</v>
      </c>
      <c r="L706" s="82" t="e">
        <f t="shared" si="140"/>
        <v>#REF!</v>
      </c>
      <c r="M706" s="81" t="e">
        <f t="shared" si="143"/>
        <v>#REF!</v>
      </c>
      <c r="N706" s="81" t="e">
        <f t="shared" si="141"/>
        <v>#REF!</v>
      </c>
      <c r="O706" s="81" t="e">
        <f t="shared" si="142"/>
        <v>#REF!</v>
      </c>
      <c r="Q706" s="83" t="str">
        <f t="shared" si="144"/>
        <v/>
      </c>
      <c r="R706" s="84" t="e">
        <f t="shared" si="145"/>
        <v>#REF!</v>
      </c>
      <c r="S706" s="83" t="e">
        <f t="shared" si="145"/>
        <v>#REF!</v>
      </c>
      <c r="T706" s="84" t="e">
        <f t="shared" si="146"/>
        <v>#REF!</v>
      </c>
      <c r="U706" s="84" t="e">
        <f t="shared" si="147"/>
        <v>#REF!</v>
      </c>
      <c r="V706" s="85" t="e">
        <f>#REF!</f>
        <v>#REF!</v>
      </c>
      <c r="W706" s="86">
        <f t="shared" si="148"/>
        <v>0</v>
      </c>
      <c r="X706" s="86">
        <f t="shared" si="148"/>
        <v>0</v>
      </c>
      <c r="Y706" s="87">
        <f t="shared" si="149"/>
        <v>0</v>
      </c>
      <c r="Z706" s="87">
        <f t="shared" si="150"/>
        <v>0</v>
      </c>
      <c r="AA706" s="87">
        <f t="shared" si="151"/>
        <v>4</v>
      </c>
    </row>
    <row r="707" spans="9:27">
      <c r="I707" s="81" t="e">
        <f>IF(#REF!&lt;&gt;"",#REF!,"")</f>
        <v>#REF!</v>
      </c>
      <c r="J707" s="81" t="e">
        <f t="shared" ref="J707:J770" si="152">LEFT(I707,1)</f>
        <v>#REF!</v>
      </c>
      <c r="L707" s="82" t="e">
        <f t="shared" ref="L707:L770" si="153">IF(OR(J707="E",J707="L",J707="M"),"",I707)</f>
        <v>#REF!</v>
      </c>
      <c r="M707" s="81" t="e">
        <f t="shared" si="143"/>
        <v>#REF!</v>
      </c>
      <c r="N707" s="81" t="e">
        <f t="shared" ref="N707:N770" si="154">IF(OR(J707="D",J707="E",J707="L"),"",I707)</f>
        <v>#REF!</v>
      </c>
      <c r="O707" s="81" t="e">
        <f t="shared" ref="O707:O770" si="155">IF(OR(J707="D",J707="E",J707="M"),"",I707)</f>
        <v>#REF!</v>
      </c>
      <c r="Q707" s="83" t="str">
        <f t="shared" si="144"/>
        <v/>
      </c>
      <c r="R707" s="84" t="e">
        <f t="shared" si="145"/>
        <v>#REF!</v>
      </c>
      <c r="S707" s="83" t="e">
        <f t="shared" si="145"/>
        <v>#REF!</v>
      </c>
      <c r="T707" s="84" t="e">
        <f t="shared" si="146"/>
        <v>#REF!</v>
      </c>
      <c r="U707" s="84" t="e">
        <f t="shared" si="147"/>
        <v>#REF!</v>
      </c>
      <c r="V707" s="85" t="e">
        <f>#REF!</f>
        <v>#REF!</v>
      </c>
      <c r="W707" s="86">
        <f t="shared" si="148"/>
        <v>0</v>
      </c>
      <c r="X707" s="86">
        <f t="shared" si="148"/>
        <v>0</v>
      </c>
      <c r="Y707" s="87">
        <f t="shared" si="149"/>
        <v>0</v>
      </c>
      <c r="Z707" s="87">
        <f t="shared" si="150"/>
        <v>0</v>
      </c>
      <c r="AA707" s="87">
        <f t="shared" si="151"/>
        <v>4</v>
      </c>
    </row>
    <row r="708" spans="9:27">
      <c r="I708" s="81" t="e">
        <f>IF(#REF!&lt;&gt;"",#REF!,"")</f>
        <v>#REF!</v>
      </c>
      <c r="J708" s="81" t="e">
        <f t="shared" si="152"/>
        <v>#REF!</v>
      </c>
      <c r="L708" s="82" t="e">
        <f t="shared" si="153"/>
        <v>#REF!</v>
      </c>
      <c r="M708" s="81" t="e">
        <f t="shared" si="143"/>
        <v>#REF!</v>
      </c>
      <c r="N708" s="81" t="e">
        <f t="shared" si="154"/>
        <v>#REF!</v>
      </c>
      <c r="O708" s="81" t="e">
        <f t="shared" si="155"/>
        <v>#REF!</v>
      </c>
      <c r="Q708" s="83" t="str">
        <f t="shared" si="144"/>
        <v/>
      </c>
      <c r="R708" s="84" t="e">
        <f t="shared" si="145"/>
        <v>#REF!</v>
      </c>
      <c r="S708" s="83" t="e">
        <f t="shared" si="145"/>
        <v>#REF!</v>
      </c>
      <c r="T708" s="84" t="e">
        <f t="shared" si="146"/>
        <v>#REF!</v>
      </c>
      <c r="U708" s="84" t="e">
        <f t="shared" si="147"/>
        <v>#REF!</v>
      </c>
      <c r="V708" s="85" t="e">
        <f>#REF!</f>
        <v>#REF!</v>
      </c>
      <c r="W708" s="86">
        <f t="shared" si="148"/>
        <v>0</v>
      </c>
      <c r="X708" s="86">
        <f t="shared" si="148"/>
        <v>0</v>
      </c>
      <c r="Y708" s="87">
        <f t="shared" si="149"/>
        <v>0</v>
      </c>
      <c r="Z708" s="87">
        <f t="shared" si="150"/>
        <v>0</v>
      </c>
      <c r="AA708" s="87">
        <f t="shared" si="151"/>
        <v>4</v>
      </c>
    </row>
    <row r="709" spans="9:27">
      <c r="I709" s="81" t="e">
        <f>IF(#REF!&lt;&gt;"",#REF!,"")</f>
        <v>#REF!</v>
      </c>
      <c r="J709" s="81" t="e">
        <f t="shared" si="152"/>
        <v>#REF!</v>
      </c>
      <c r="L709" s="82" t="e">
        <f t="shared" si="153"/>
        <v>#REF!</v>
      </c>
      <c r="M709" s="81" t="e">
        <f t="shared" si="143"/>
        <v>#REF!</v>
      </c>
      <c r="N709" s="81" t="e">
        <f t="shared" si="154"/>
        <v>#REF!</v>
      </c>
      <c r="O709" s="81" t="e">
        <f t="shared" si="155"/>
        <v>#REF!</v>
      </c>
      <c r="Q709" s="83" t="str">
        <f t="shared" si="144"/>
        <v/>
      </c>
      <c r="R709" s="84" t="e">
        <f t="shared" si="145"/>
        <v>#REF!</v>
      </c>
      <c r="S709" s="83" t="e">
        <f t="shared" si="145"/>
        <v>#REF!</v>
      </c>
      <c r="T709" s="84" t="e">
        <f t="shared" si="146"/>
        <v>#REF!</v>
      </c>
      <c r="U709" s="84" t="e">
        <f t="shared" si="147"/>
        <v>#REF!</v>
      </c>
      <c r="V709" s="85" t="e">
        <f>#REF!</f>
        <v>#REF!</v>
      </c>
      <c r="W709" s="86">
        <f t="shared" si="148"/>
        <v>0</v>
      </c>
      <c r="X709" s="86">
        <f t="shared" si="148"/>
        <v>0</v>
      </c>
      <c r="Y709" s="87">
        <f t="shared" si="149"/>
        <v>0</v>
      </c>
      <c r="Z709" s="87">
        <f t="shared" si="150"/>
        <v>0</v>
      </c>
      <c r="AA709" s="87">
        <f t="shared" si="151"/>
        <v>4</v>
      </c>
    </row>
    <row r="710" spans="9:27">
      <c r="I710" s="81" t="e">
        <f>IF(#REF!&lt;&gt;"",#REF!,"")</f>
        <v>#REF!</v>
      </c>
      <c r="J710" s="81" t="e">
        <f t="shared" si="152"/>
        <v>#REF!</v>
      </c>
      <c r="L710" s="82" t="e">
        <f t="shared" si="153"/>
        <v>#REF!</v>
      </c>
      <c r="M710" s="81" t="e">
        <f t="shared" ref="M710:M773" si="156">IF(OR(J710="D",J710="L",J710="M"),"",I710)</f>
        <v>#REF!</v>
      </c>
      <c r="N710" s="81" t="e">
        <f t="shared" si="154"/>
        <v>#REF!</v>
      </c>
      <c r="O710" s="81" t="e">
        <f t="shared" si="155"/>
        <v>#REF!</v>
      </c>
      <c r="Q710" s="83" t="str">
        <f t="shared" si="144"/>
        <v/>
      </c>
      <c r="R710" s="84" t="e">
        <f t="shared" si="145"/>
        <v>#REF!</v>
      </c>
      <c r="S710" s="83" t="e">
        <f t="shared" si="145"/>
        <v>#REF!</v>
      </c>
      <c r="T710" s="84" t="e">
        <f t="shared" si="146"/>
        <v>#REF!</v>
      </c>
      <c r="U710" s="84" t="e">
        <f t="shared" si="147"/>
        <v>#REF!</v>
      </c>
      <c r="V710" s="85" t="e">
        <f>#REF!</f>
        <v>#REF!</v>
      </c>
      <c r="W710" s="86">
        <f t="shared" si="148"/>
        <v>0</v>
      </c>
      <c r="X710" s="86">
        <f t="shared" si="148"/>
        <v>0</v>
      </c>
      <c r="Y710" s="87">
        <f t="shared" si="149"/>
        <v>0</v>
      </c>
      <c r="Z710" s="87">
        <f t="shared" si="150"/>
        <v>0</v>
      </c>
      <c r="AA710" s="87">
        <f t="shared" si="151"/>
        <v>4</v>
      </c>
    </row>
    <row r="711" spans="9:27">
      <c r="I711" s="81" t="e">
        <f>IF(#REF!&lt;&gt;"",#REF!,"")</f>
        <v>#REF!</v>
      </c>
      <c r="J711" s="81" t="e">
        <f t="shared" si="152"/>
        <v>#REF!</v>
      </c>
      <c r="L711" s="82" t="e">
        <f t="shared" si="153"/>
        <v>#REF!</v>
      </c>
      <c r="M711" s="81" t="e">
        <f t="shared" si="156"/>
        <v>#REF!</v>
      </c>
      <c r="N711" s="81" t="e">
        <f t="shared" si="154"/>
        <v>#REF!</v>
      </c>
      <c r="O711" s="81" t="e">
        <f t="shared" si="155"/>
        <v>#REF!</v>
      </c>
      <c r="Q711" s="83" t="str">
        <f t="shared" si="144"/>
        <v/>
      </c>
      <c r="R711" s="84" t="e">
        <f t="shared" si="145"/>
        <v>#REF!</v>
      </c>
      <c r="S711" s="83" t="e">
        <f t="shared" si="145"/>
        <v>#REF!</v>
      </c>
      <c r="T711" s="84" t="e">
        <f t="shared" si="146"/>
        <v>#REF!</v>
      </c>
      <c r="U711" s="84" t="e">
        <f t="shared" si="147"/>
        <v>#REF!</v>
      </c>
      <c r="V711" s="85" t="e">
        <f>#REF!</f>
        <v>#REF!</v>
      </c>
      <c r="W711" s="86">
        <f t="shared" si="148"/>
        <v>0</v>
      </c>
      <c r="X711" s="86">
        <f t="shared" si="148"/>
        <v>0</v>
      </c>
      <c r="Y711" s="87">
        <f t="shared" si="149"/>
        <v>0</v>
      </c>
      <c r="Z711" s="87">
        <f t="shared" si="150"/>
        <v>0</v>
      </c>
      <c r="AA711" s="87">
        <f t="shared" si="151"/>
        <v>4</v>
      </c>
    </row>
    <row r="712" spans="9:27">
      <c r="I712" s="81" t="e">
        <f>IF(#REF!&lt;&gt;"",#REF!,"")</f>
        <v>#REF!</v>
      </c>
      <c r="J712" s="81" t="e">
        <f t="shared" si="152"/>
        <v>#REF!</v>
      </c>
      <c r="L712" s="82" t="e">
        <f t="shared" si="153"/>
        <v>#REF!</v>
      </c>
      <c r="M712" s="81" t="e">
        <f t="shared" si="156"/>
        <v>#REF!</v>
      </c>
      <c r="N712" s="81" t="e">
        <f t="shared" si="154"/>
        <v>#REF!</v>
      </c>
      <c r="O712" s="81" t="e">
        <f t="shared" si="155"/>
        <v>#REF!</v>
      </c>
      <c r="Q712" s="83" t="str">
        <f t="shared" si="144"/>
        <v/>
      </c>
      <c r="R712" s="84" t="e">
        <f t="shared" si="145"/>
        <v>#REF!</v>
      </c>
      <c r="S712" s="83" t="e">
        <f t="shared" si="145"/>
        <v>#REF!</v>
      </c>
      <c r="T712" s="84" t="e">
        <f t="shared" si="146"/>
        <v>#REF!</v>
      </c>
      <c r="U712" s="84" t="e">
        <f t="shared" si="147"/>
        <v>#REF!</v>
      </c>
      <c r="V712" s="85" t="e">
        <f>#REF!</f>
        <v>#REF!</v>
      </c>
      <c r="W712" s="86">
        <f t="shared" si="148"/>
        <v>0</v>
      </c>
      <c r="X712" s="86">
        <f t="shared" si="148"/>
        <v>0</v>
      </c>
      <c r="Y712" s="87">
        <f t="shared" si="149"/>
        <v>0</v>
      </c>
      <c r="Z712" s="87">
        <f t="shared" si="150"/>
        <v>0</v>
      </c>
      <c r="AA712" s="87">
        <f t="shared" si="151"/>
        <v>4</v>
      </c>
    </row>
    <row r="713" spans="9:27">
      <c r="I713" s="81" t="e">
        <f>IF(#REF!&lt;&gt;"",#REF!,"")</f>
        <v>#REF!</v>
      </c>
      <c r="J713" s="81" t="e">
        <f t="shared" si="152"/>
        <v>#REF!</v>
      </c>
      <c r="L713" s="82" t="e">
        <f t="shared" si="153"/>
        <v>#REF!</v>
      </c>
      <c r="M713" s="81" t="e">
        <f t="shared" si="156"/>
        <v>#REF!</v>
      </c>
      <c r="N713" s="81" t="e">
        <f t="shared" si="154"/>
        <v>#REF!</v>
      </c>
      <c r="O713" s="81" t="e">
        <f t="shared" si="155"/>
        <v>#REF!</v>
      </c>
      <c r="Q713" s="83" t="str">
        <f t="shared" si="144"/>
        <v/>
      </c>
      <c r="R713" s="84" t="e">
        <f t="shared" si="145"/>
        <v>#REF!</v>
      </c>
      <c r="S713" s="83" t="e">
        <f t="shared" si="145"/>
        <v>#REF!</v>
      </c>
      <c r="T713" s="84" t="e">
        <f t="shared" si="146"/>
        <v>#REF!</v>
      </c>
      <c r="U713" s="84" t="e">
        <f t="shared" si="147"/>
        <v>#REF!</v>
      </c>
      <c r="V713" s="85" t="e">
        <f>#REF!</f>
        <v>#REF!</v>
      </c>
      <c r="W713" s="86">
        <f t="shared" si="148"/>
        <v>0</v>
      </c>
      <c r="X713" s="86">
        <f t="shared" si="148"/>
        <v>0</v>
      </c>
      <c r="Y713" s="87">
        <f t="shared" si="149"/>
        <v>0</v>
      </c>
      <c r="Z713" s="87">
        <f t="shared" si="150"/>
        <v>0</v>
      </c>
      <c r="AA713" s="87">
        <f t="shared" si="151"/>
        <v>4</v>
      </c>
    </row>
    <row r="714" spans="9:27">
      <c r="I714" s="81" t="e">
        <f>IF(#REF!&lt;&gt;"",#REF!,"")</f>
        <v>#REF!</v>
      </c>
      <c r="J714" s="81" t="e">
        <f t="shared" si="152"/>
        <v>#REF!</v>
      </c>
      <c r="L714" s="82" t="e">
        <f t="shared" si="153"/>
        <v>#REF!</v>
      </c>
      <c r="M714" s="81" t="e">
        <f t="shared" si="156"/>
        <v>#REF!</v>
      </c>
      <c r="N714" s="81" t="e">
        <f t="shared" si="154"/>
        <v>#REF!</v>
      </c>
      <c r="O714" s="81" t="e">
        <f t="shared" si="155"/>
        <v>#REF!</v>
      </c>
      <c r="Q714" s="83" t="str">
        <f t="shared" si="144"/>
        <v/>
      </c>
      <c r="R714" s="84" t="e">
        <f t="shared" si="145"/>
        <v>#REF!</v>
      </c>
      <c r="S714" s="83" t="e">
        <f t="shared" si="145"/>
        <v>#REF!</v>
      </c>
      <c r="T714" s="84" t="e">
        <f t="shared" si="146"/>
        <v>#REF!</v>
      </c>
      <c r="U714" s="84" t="e">
        <f t="shared" si="147"/>
        <v>#REF!</v>
      </c>
      <c r="V714" s="85" t="e">
        <f>#REF!</f>
        <v>#REF!</v>
      </c>
      <c r="W714" s="86">
        <f t="shared" si="148"/>
        <v>0</v>
      </c>
      <c r="X714" s="86">
        <f t="shared" si="148"/>
        <v>0</v>
      </c>
      <c r="Y714" s="87">
        <f t="shared" si="149"/>
        <v>0</v>
      </c>
      <c r="Z714" s="87">
        <f t="shared" si="150"/>
        <v>0</v>
      </c>
      <c r="AA714" s="87">
        <f t="shared" si="151"/>
        <v>4</v>
      </c>
    </row>
    <row r="715" spans="9:27">
      <c r="I715" s="81" t="e">
        <f>IF(#REF!&lt;&gt;"",#REF!,"")</f>
        <v>#REF!</v>
      </c>
      <c r="J715" s="81" t="e">
        <f t="shared" si="152"/>
        <v>#REF!</v>
      </c>
      <c r="L715" s="82" t="e">
        <f t="shared" si="153"/>
        <v>#REF!</v>
      </c>
      <c r="M715" s="81" t="e">
        <f t="shared" si="156"/>
        <v>#REF!</v>
      </c>
      <c r="N715" s="81" t="e">
        <f t="shared" si="154"/>
        <v>#REF!</v>
      </c>
      <c r="O715" s="81" t="e">
        <f t="shared" si="155"/>
        <v>#REF!</v>
      </c>
      <c r="Q715" s="83" t="str">
        <f t="shared" si="144"/>
        <v/>
      </c>
      <c r="R715" s="84" t="e">
        <f t="shared" si="145"/>
        <v>#REF!</v>
      </c>
      <c r="S715" s="83" t="e">
        <f t="shared" si="145"/>
        <v>#REF!</v>
      </c>
      <c r="T715" s="84" t="e">
        <f t="shared" si="146"/>
        <v>#REF!</v>
      </c>
      <c r="U715" s="84" t="e">
        <f t="shared" si="147"/>
        <v>#REF!</v>
      </c>
      <c r="V715" s="85" t="e">
        <f>#REF!</f>
        <v>#REF!</v>
      </c>
      <c r="W715" s="86">
        <f t="shared" si="148"/>
        <v>0</v>
      </c>
      <c r="X715" s="86">
        <f t="shared" si="148"/>
        <v>0</v>
      </c>
      <c r="Y715" s="87">
        <f t="shared" si="149"/>
        <v>0</v>
      </c>
      <c r="Z715" s="87">
        <f t="shared" si="150"/>
        <v>0</v>
      </c>
      <c r="AA715" s="87">
        <f t="shared" si="151"/>
        <v>4</v>
      </c>
    </row>
    <row r="716" spans="9:27">
      <c r="I716" s="81" t="e">
        <f>IF(#REF!&lt;&gt;"",#REF!,"")</f>
        <v>#REF!</v>
      </c>
      <c r="J716" s="81" t="e">
        <f t="shared" si="152"/>
        <v>#REF!</v>
      </c>
      <c r="L716" s="82" t="e">
        <f t="shared" si="153"/>
        <v>#REF!</v>
      </c>
      <c r="M716" s="81" t="e">
        <f t="shared" si="156"/>
        <v>#REF!</v>
      </c>
      <c r="N716" s="81" t="e">
        <f t="shared" si="154"/>
        <v>#REF!</v>
      </c>
      <c r="O716" s="81" t="e">
        <f t="shared" si="155"/>
        <v>#REF!</v>
      </c>
      <c r="Q716" s="83" t="str">
        <f t="shared" si="144"/>
        <v/>
      </c>
      <c r="R716" s="84" t="e">
        <f t="shared" si="145"/>
        <v>#REF!</v>
      </c>
      <c r="S716" s="83" t="e">
        <f t="shared" si="145"/>
        <v>#REF!</v>
      </c>
      <c r="T716" s="84" t="e">
        <f t="shared" si="146"/>
        <v>#REF!</v>
      </c>
      <c r="U716" s="84" t="e">
        <f t="shared" si="147"/>
        <v>#REF!</v>
      </c>
      <c r="V716" s="85" t="e">
        <f>#REF!</f>
        <v>#REF!</v>
      </c>
      <c r="W716" s="86">
        <f t="shared" si="148"/>
        <v>0</v>
      </c>
      <c r="X716" s="86">
        <f t="shared" si="148"/>
        <v>0</v>
      </c>
      <c r="Y716" s="87">
        <f t="shared" si="149"/>
        <v>0</v>
      </c>
      <c r="Z716" s="87">
        <f t="shared" si="150"/>
        <v>0</v>
      </c>
      <c r="AA716" s="87">
        <f t="shared" si="151"/>
        <v>4</v>
      </c>
    </row>
    <row r="717" spans="9:27">
      <c r="I717" s="81" t="e">
        <f>IF(#REF!&lt;&gt;"",#REF!,"")</f>
        <v>#REF!</v>
      </c>
      <c r="J717" s="81" t="e">
        <f t="shared" si="152"/>
        <v>#REF!</v>
      </c>
      <c r="L717" s="82" t="e">
        <f t="shared" si="153"/>
        <v>#REF!</v>
      </c>
      <c r="M717" s="81" t="e">
        <f t="shared" si="156"/>
        <v>#REF!</v>
      </c>
      <c r="N717" s="81" t="e">
        <f t="shared" si="154"/>
        <v>#REF!</v>
      </c>
      <c r="O717" s="81" t="e">
        <f t="shared" si="155"/>
        <v>#REF!</v>
      </c>
      <c r="Q717" s="83" t="str">
        <f t="shared" si="144"/>
        <v/>
      </c>
      <c r="R717" s="84" t="e">
        <f t="shared" si="145"/>
        <v>#REF!</v>
      </c>
      <c r="S717" s="83" t="e">
        <f t="shared" si="145"/>
        <v>#REF!</v>
      </c>
      <c r="T717" s="84" t="e">
        <f t="shared" si="146"/>
        <v>#REF!</v>
      </c>
      <c r="U717" s="84" t="e">
        <f t="shared" si="147"/>
        <v>#REF!</v>
      </c>
      <c r="V717" s="85" t="e">
        <f>#REF!</f>
        <v>#REF!</v>
      </c>
      <c r="W717" s="86">
        <f t="shared" si="148"/>
        <v>0</v>
      </c>
      <c r="X717" s="86">
        <f t="shared" si="148"/>
        <v>0</v>
      </c>
      <c r="Y717" s="87">
        <f t="shared" si="149"/>
        <v>0</v>
      </c>
      <c r="Z717" s="87">
        <f t="shared" si="150"/>
        <v>0</v>
      </c>
      <c r="AA717" s="87">
        <f t="shared" si="151"/>
        <v>4</v>
      </c>
    </row>
    <row r="718" spans="9:27">
      <c r="I718" s="81" t="e">
        <f>IF(#REF!&lt;&gt;"",#REF!,"")</f>
        <v>#REF!</v>
      </c>
      <c r="J718" s="81" t="e">
        <f t="shared" si="152"/>
        <v>#REF!</v>
      </c>
      <c r="L718" s="82" t="e">
        <f t="shared" si="153"/>
        <v>#REF!</v>
      </c>
      <c r="M718" s="81" t="e">
        <f t="shared" si="156"/>
        <v>#REF!</v>
      </c>
      <c r="N718" s="81" t="e">
        <f t="shared" si="154"/>
        <v>#REF!</v>
      </c>
      <c r="O718" s="81" t="e">
        <f t="shared" si="155"/>
        <v>#REF!</v>
      </c>
      <c r="Q718" s="83" t="str">
        <f t="shared" si="144"/>
        <v/>
      </c>
      <c r="R718" s="84" t="e">
        <f t="shared" si="145"/>
        <v>#REF!</v>
      </c>
      <c r="S718" s="83" t="e">
        <f t="shared" si="145"/>
        <v>#REF!</v>
      </c>
      <c r="T718" s="84" t="e">
        <f t="shared" si="146"/>
        <v>#REF!</v>
      </c>
      <c r="U718" s="84" t="e">
        <f t="shared" si="147"/>
        <v>#REF!</v>
      </c>
      <c r="V718" s="85" t="e">
        <f>#REF!</f>
        <v>#REF!</v>
      </c>
      <c r="W718" s="86">
        <f t="shared" si="148"/>
        <v>0</v>
      </c>
      <c r="X718" s="86">
        <f t="shared" si="148"/>
        <v>0</v>
      </c>
      <c r="Y718" s="87">
        <f t="shared" si="149"/>
        <v>0</v>
      </c>
      <c r="Z718" s="87">
        <f t="shared" si="150"/>
        <v>0</v>
      </c>
      <c r="AA718" s="87">
        <f t="shared" si="151"/>
        <v>4</v>
      </c>
    </row>
    <row r="719" spans="9:27">
      <c r="I719" s="81" t="e">
        <f>IF(#REF!&lt;&gt;"",#REF!,"")</f>
        <v>#REF!</v>
      </c>
      <c r="J719" s="81" t="e">
        <f t="shared" si="152"/>
        <v>#REF!</v>
      </c>
      <c r="L719" s="82" t="e">
        <f t="shared" si="153"/>
        <v>#REF!</v>
      </c>
      <c r="M719" s="81" t="e">
        <f t="shared" si="156"/>
        <v>#REF!</v>
      </c>
      <c r="N719" s="81" t="e">
        <f t="shared" si="154"/>
        <v>#REF!</v>
      </c>
      <c r="O719" s="81" t="e">
        <f t="shared" si="155"/>
        <v>#REF!</v>
      </c>
      <c r="Q719" s="83" t="str">
        <f t="shared" si="144"/>
        <v/>
      </c>
      <c r="R719" s="84" t="e">
        <f t="shared" si="145"/>
        <v>#REF!</v>
      </c>
      <c r="S719" s="83" t="e">
        <f t="shared" si="145"/>
        <v>#REF!</v>
      </c>
      <c r="T719" s="84" t="e">
        <f t="shared" si="146"/>
        <v>#REF!</v>
      </c>
      <c r="U719" s="84" t="e">
        <f t="shared" si="147"/>
        <v>#REF!</v>
      </c>
      <c r="V719" s="85" t="e">
        <f>#REF!</f>
        <v>#REF!</v>
      </c>
      <c r="W719" s="86">
        <f t="shared" si="148"/>
        <v>0</v>
      </c>
      <c r="X719" s="86">
        <f t="shared" si="148"/>
        <v>0</v>
      </c>
      <c r="Y719" s="87">
        <f t="shared" si="149"/>
        <v>0</v>
      </c>
      <c r="Z719" s="87">
        <f t="shared" si="150"/>
        <v>0</v>
      </c>
      <c r="AA719" s="87">
        <f t="shared" si="151"/>
        <v>4</v>
      </c>
    </row>
    <row r="720" spans="9:27">
      <c r="I720" s="81" t="e">
        <f>IF(#REF!&lt;&gt;"",#REF!,"")</f>
        <v>#REF!</v>
      </c>
      <c r="J720" s="81" t="e">
        <f t="shared" si="152"/>
        <v>#REF!</v>
      </c>
      <c r="L720" s="82" t="e">
        <f t="shared" si="153"/>
        <v>#REF!</v>
      </c>
      <c r="M720" s="81" t="e">
        <f t="shared" si="156"/>
        <v>#REF!</v>
      </c>
      <c r="N720" s="81" t="e">
        <f t="shared" si="154"/>
        <v>#REF!</v>
      </c>
      <c r="O720" s="81" t="e">
        <f t="shared" si="155"/>
        <v>#REF!</v>
      </c>
      <c r="Q720" s="83" t="str">
        <f t="shared" si="144"/>
        <v/>
      </c>
      <c r="R720" s="84" t="e">
        <f t="shared" si="145"/>
        <v>#REF!</v>
      </c>
      <c r="S720" s="83" t="e">
        <f t="shared" si="145"/>
        <v>#REF!</v>
      </c>
      <c r="T720" s="84" t="e">
        <f t="shared" si="146"/>
        <v>#REF!</v>
      </c>
      <c r="U720" s="84" t="e">
        <f t="shared" si="147"/>
        <v>#REF!</v>
      </c>
      <c r="V720" s="85" t="e">
        <f>#REF!</f>
        <v>#REF!</v>
      </c>
      <c r="W720" s="86">
        <f t="shared" si="148"/>
        <v>0</v>
      </c>
      <c r="X720" s="86">
        <f t="shared" si="148"/>
        <v>0</v>
      </c>
      <c r="Y720" s="87">
        <f t="shared" si="149"/>
        <v>0</v>
      </c>
      <c r="Z720" s="87">
        <f t="shared" si="150"/>
        <v>0</v>
      </c>
      <c r="AA720" s="87">
        <f t="shared" si="151"/>
        <v>4</v>
      </c>
    </row>
    <row r="721" spans="9:27">
      <c r="I721" s="81" t="e">
        <f>IF(#REF!&lt;&gt;"",#REF!,"")</f>
        <v>#REF!</v>
      </c>
      <c r="J721" s="81" t="e">
        <f t="shared" si="152"/>
        <v>#REF!</v>
      </c>
      <c r="L721" s="82" t="e">
        <f t="shared" si="153"/>
        <v>#REF!</v>
      </c>
      <c r="M721" s="81" t="e">
        <f t="shared" si="156"/>
        <v>#REF!</v>
      </c>
      <c r="N721" s="81" t="e">
        <f t="shared" si="154"/>
        <v>#REF!</v>
      </c>
      <c r="O721" s="81" t="e">
        <f t="shared" si="155"/>
        <v>#REF!</v>
      </c>
      <c r="Q721" s="83" t="str">
        <f t="shared" si="144"/>
        <v/>
      </c>
      <c r="R721" s="84" t="e">
        <f t="shared" si="145"/>
        <v>#REF!</v>
      </c>
      <c r="S721" s="83" t="e">
        <f t="shared" si="145"/>
        <v>#REF!</v>
      </c>
      <c r="T721" s="84" t="e">
        <f t="shared" si="146"/>
        <v>#REF!</v>
      </c>
      <c r="U721" s="84" t="e">
        <f t="shared" si="147"/>
        <v>#REF!</v>
      </c>
      <c r="V721" s="85" t="e">
        <f>#REF!</f>
        <v>#REF!</v>
      </c>
      <c r="W721" s="86">
        <f t="shared" si="148"/>
        <v>0</v>
      </c>
      <c r="X721" s="86">
        <f t="shared" si="148"/>
        <v>0</v>
      </c>
      <c r="Y721" s="87">
        <f t="shared" si="149"/>
        <v>0</v>
      </c>
      <c r="Z721" s="87">
        <f t="shared" si="150"/>
        <v>0</v>
      </c>
      <c r="AA721" s="87">
        <f t="shared" si="151"/>
        <v>4</v>
      </c>
    </row>
    <row r="722" spans="9:27">
      <c r="I722" s="81" t="e">
        <f>IF(#REF!&lt;&gt;"",#REF!,"")</f>
        <v>#REF!</v>
      </c>
      <c r="J722" s="81" t="e">
        <f t="shared" si="152"/>
        <v>#REF!</v>
      </c>
      <c r="L722" s="82" t="e">
        <f t="shared" si="153"/>
        <v>#REF!</v>
      </c>
      <c r="M722" s="81" t="e">
        <f t="shared" si="156"/>
        <v>#REF!</v>
      </c>
      <c r="N722" s="81" t="e">
        <f t="shared" si="154"/>
        <v>#REF!</v>
      </c>
      <c r="O722" s="81" t="e">
        <f t="shared" si="155"/>
        <v>#REF!</v>
      </c>
      <c r="Q722" s="83" t="str">
        <f t="shared" si="144"/>
        <v/>
      </c>
      <c r="R722" s="84" t="e">
        <f t="shared" si="145"/>
        <v>#REF!</v>
      </c>
      <c r="S722" s="83" t="e">
        <f t="shared" si="145"/>
        <v>#REF!</v>
      </c>
      <c r="T722" s="84" t="e">
        <f t="shared" si="146"/>
        <v>#REF!</v>
      </c>
      <c r="U722" s="84" t="e">
        <f t="shared" si="147"/>
        <v>#REF!</v>
      </c>
      <c r="V722" s="85" t="e">
        <f>#REF!</f>
        <v>#REF!</v>
      </c>
      <c r="W722" s="86">
        <f t="shared" si="148"/>
        <v>0</v>
      </c>
      <c r="X722" s="86">
        <f t="shared" si="148"/>
        <v>0</v>
      </c>
      <c r="Y722" s="87">
        <f t="shared" si="149"/>
        <v>0</v>
      </c>
      <c r="Z722" s="87">
        <f t="shared" si="150"/>
        <v>0</v>
      </c>
      <c r="AA722" s="87">
        <f t="shared" si="151"/>
        <v>4</v>
      </c>
    </row>
    <row r="723" spans="9:27">
      <c r="I723" s="81" t="e">
        <f>IF(#REF!&lt;&gt;"",#REF!,"")</f>
        <v>#REF!</v>
      </c>
      <c r="J723" s="81" t="e">
        <f t="shared" si="152"/>
        <v>#REF!</v>
      </c>
      <c r="L723" s="82" t="e">
        <f t="shared" si="153"/>
        <v>#REF!</v>
      </c>
      <c r="M723" s="81" t="e">
        <f t="shared" si="156"/>
        <v>#REF!</v>
      </c>
      <c r="N723" s="81" t="e">
        <f t="shared" si="154"/>
        <v>#REF!</v>
      </c>
      <c r="O723" s="81" t="e">
        <f t="shared" si="155"/>
        <v>#REF!</v>
      </c>
      <c r="Q723" s="83" t="str">
        <f t="shared" si="144"/>
        <v/>
      </c>
      <c r="R723" s="84" t="e">
        <f t="shared" si="145"/>
        <v>#REF!</v>
      </c>
      <c r="S723" s="83" t="e">
        <f t="shared" si="145"/>
        <v>#REF!</v>
      </c>
      <c r="T723" s="84" t="e">
        <f t="shared" si="146"/>
        <v>#REF!</v>
      </c>
      <c r="U723" s="84" t="e">
        <f t="shared" si="147"/>
        <v>#REF!</v>
      </c>
      <c r="V723" s="85" t="e">
        <f>#REF!</f>
        <v>#REF!</v>
      </c>
      <c r="W723" s="86">
        <f t="shared" si="148"/>
        <v>0</v>
      </c>
      <c r="X723" s="86">
        <f t="shared" si="148"/>
        <v>0</v>
      </c>
      <c r="Y723" s="87">
        <f t="shared" si="149"/>
        <v>0</v>
      </c>
      <c r="Z723" s="87">
        <f t="shared" si="150"/>
        <v>0</v>
      </c>
      <c r="AA723" s="87">
        <f t="shared" si="151"/>
        <v>4</v>
      </c>
    </row>
    <row r="724" spans="9:27">
      <c r="I724" s="81" t="e">
        <f>IF(#REF!&lt;&gt;"",#REF!,"")</f>
        <v>#REF!</v>
      </c>
      <c r="J724" s="81" t="e">
        <f t="shared" si="152"/>
        <v>#REF!</v>
      </c>
      <c r="L724" s="82" t="e">
        <f t="shared" si="153"/>
        <v>#REF!</v>
      </c>
      <c r="M724" s="81" t="e">
        <f t="shared" si="156"/>
        <v>#REF!</v>
      </c>
      <c r="N724" s="81" t="e">
        <f t="shared" si="154"/>
        <v>#REF!</v>
      </c>
      <c r="O724" s="81" t="e">
        <f t="shared" si="155"/>
        <v>#REF!</v>
      </c>
      <c r="Q724" s="83" t="str">
        <f t="shared" si="144"/>
        <v/>
      </c>
      <c r="R724" s="84" t="e">
        <f t="shared" si="145"/>
        <v>#REF!</v>
      </c>
      <c r="S724" s="83" t="e">
        <f t="shared" si="145"/>
        <v>#REF!</v>
      </c>
      <c r="T724" s="84" t="e">
        <f t="shared" si="146"/>
        <v>#REF!</v>
      </c>
      <c r="U724" s="84" t="e">
        <f t="shared" si="147"/>
        <v>#REF!</v>
      </c>
      <c r="V724" s="85" t="e">
        <f>#REF!</f>
        <v>#REF!</v>
      </c>
      <c r="W724" s="86">
        <f t="shared" si="148"/>
        <v>0</v>
      </c>
      <c r="X724" s="86">
        <f t="shared" si="148"/>
        <v>0</v>
      </c>
      <c r="Y724" s="87">
        <f t="shared" si="149"/>
        <v>0</v>
      </c>
      <c r="Z724" s="87">
        <f t="shared" si="150"/>
        <v>0</v>
      </c>
      <c r="AA724" s="87">
        <f t="shared" si="151"/>
        <v>4</v>
      </c>
    </row>
    <row r="725" spans="9:27">
      <c r="I725" s="81" t="e">
        <f>IF(#REF!&lt;&gt;"",#REF!,"")</f>
        <v>#REF!</v>
      </c>
      <c r="J725" s="81" t="e">
        <f t="shared" si="152"/>
        <v>#REF!</v>
      </c>
      <c r="L725" s="82" t="e">
        <f t="shared" si="153"/>
        <v>#REF!</v>
      </c>
      <c r="M725" s="81" t="e">
        <f t="shared" si="156"/>
        <v>#REF!</v>
      </c>
      <c r="N725" s="81" t="e">
        <f t="shared" si="154"/>
        <v>#REF!</v>
      </c>
      <c r="O725" s="81" t="e">
        <f t="shared" si="155"/>
        <v>#REF!</v>
      </c>
      <c r="Q725" s="83" t="str">
        <f t="shared" si="144"/>
        <v/>
      </c>
      <c r="R725" s="84" t="e">
        <f t="shared" si="145"/>
        <v>#REF!</v>
      </c>
      <c r="S725" s="83" t="e">
        <f t="shared" si="145"/>
        <v>#REF!</v>
      </c>
      <c r="T725" s="84" t="e">
        <f t="shared" si="146"/>
        <v>#REF!</v>
      </c>
      <c r="U725" s="84" t="e">
        <f t="shared" si="147"/>
        <v>#REF!</v>
      </c>
      <c r="V725" s="85" t="e">
        <f>#REF!</f>
        <v>#REF!</v>
      </c>
      <c r="W725" s="86">
        <f t="shared" si="148"/>
        <v>0</v>
      </c>
      <c r="X725" s="86">
        <f t="shared" si="148"/>
        <v>0</v>
      </c>
      <c r="Y725" s="87">
        <f t="shared" si="149"/>
        <v>0</v>
      </c>
      <c r="Z725" s="87">
        <f t="shared" si="150"/>
        <v>0</v>
      </c>
      <c r="AA725" s="87">
        <f t="shared" si="151"/>
        <v>4</v>
      </c>
    </row>
    <row r="726" spans="9:27">
      <c r="I726" s="81" t="e">
        <f>IF(#REF!&lt;&gt;"",#REF!,"")</f>
        <v>#REF!</v>
      </c>
      <c r="J726" s="81" t="e">
        <f t="shared" si="152"/>
        <v>#REF!</v>
      </c>
      <c r="L726" s="82" t="e">
        <f t="shared" si="153"/>
        <v>#REF!</v>
      </c>
      <c r="M726" s="81" t="e">
        <f t="shared" si="156"/>
        <v>#REF!</v>
      </c>
      <c r="N726" s="81" t="e">
        <f t="shared" si="154"/>
        <v>#REF!</v>
      </c>
      <c r="O726" s="81" t="e">
        <f t="shared" si="155"/>
        <v>#REF!</v>
      </c>
      <c r="Q726" s="83" t="str">
        <f t="shared" si="144"/>
        <v/>
      </c>
      <c r="R726" s="84" t="e">
        <f t="shared" si="145"/>
        <v>#REF!</v>
      </c>
      <c r="S726" s="83" t="e">
        <f t="shared" si="145"/>
        <v>#REF!</v>
      </c>
      <c r="T726" s="84" t="e">
        <f t="shared" si="146"/>
        <v>#REF!</v>
      </c>
      <c r="U726" s="84" t="e">
        <f t="shared" si="147"/>
        <v>#REF!</v>
      </c>
      <c r="V726" s="85" t="e">
        <f>#REF!</f>
        <v>#REF!</v>
      </c>
      <c r="W726" s="86">
        <f t="shared" si="148"/>
        <v>0</v>
      </c>
      <c r="X726" s="86">
        <f t="shared" si="148"/>
        <v>0</v>
      </c>
      <c r="Y726" s="87">
        <f t="shared" si="149"/>
        <v>0</v>
      </c>
      <c r="Z726" s="87">
        <f t="shared" si="150"/>
        <v>0</v>
      </c>
      <c r="AA726" s="87">
        <f t="shared" si="151"/>
        <v>4</v>
      </c>
    </row>
    <row r="727" spans="9:27">
      <c r="I727" s="81" t="e">
        <f>IF(#REF!&lt;&gt;"",#REF!,"")</f>
        <v>#REF!</v>
      </c>
      <c r="J727" s="81" t="e">
        <f t="shared" si="152"/>
        <v>#REF!</v>
      </c>
      <c r="L727" s="82" t="e">
        <f t="shared" si="153"/>
        <v>#REF!</v>
      </c>
      <c r="M727" s="81" t="e">
        <f t="shared" si="156"/>
        <v>#REF!</v>
      </c>
      <c r="N727" s="81" t="e">
        <f t="shared" si="154"/>
        <v>#REF!</v>
      </c>
      <c r="O727" s="81" t="e">
        <f t="shared" si="155"/>
        <v>#REF!</v>
      </c>
      <c r="Q727" s="83" t="str">
        <f t="shared" ref="Q727:Q790" si="157">IF(Z727=0,"",IF(Z727=1,R727&amp;S727,"E99999"))</f>
        <v/>
      </c>
      <c r="R727" s="84" t="e">
        <f t="shared" si="145"/>
        <v>#REF!</v>
      </c>
      <c r="S727" s="83" t="e">
        <f t="shared" si="145"/>
        <v>#REF!</v>
      </c>
      <c r="T727" s="84" t="e">
        <f t="shared" si="146"/>
        <v>#REF!</v>
      </c>
      <c r="U727" s="84" t="e">
        <f t="shared" si="147"/>
        <v>#REF!</v>
      </c>
      <c r="V727" s="85" t="e">
        <f>#REF!</f>
        <v>#REF!</v>
      </c>
      <c r="W727" s="86">
        <f t="shared" si="148"/>
        <v>0</v>
      </c>
      <c r="X727" s="86">
        <f t="shared" si="148"/>
        <v>0</v>
      </c>
      <c r="Y727" s="87">
        <f t="shared" si="149"/>
        <v>0</v>
      </c>
      <c r="Z727" s="87">
        <f t="shared" si="150"/>
        <v>0</v>
      </c>
      <c r="AA727" s="87">
        <f t="shared" si="151"/>
        <v>4</v>
      </c>
    </row>
    <row r="728" spans="9:27">
      <c r="I728" s="81" t="e">
        <f>IF(#REF!&lt;&gt;"",#REF!,"")</f>
        <v>#REF!</v>
      </c>
      <c r="J728" s="81" t="e">
        <f t="shared" si="152"/>
        <v>#REF!</v>
      </c>
      <c r="L728" s="82" t="e">
        <f t="shared" si="153"/>
        <v>#REF!</v>
      </c>
      <c r="M728" s="81" t="e">
        <f t="shared" si="156"/>
        <v>#REF!</v>
      </c>
      <c r="N728" s="81" t="e">
        <f t="shared" si="154"/>
        <v>#REF!</v>
      </c>
      <c r="O728" s="81" t="e">
        <f t="shared" si="155"/>
        <v>#REF!</v>
      </c>
      <c r="Q728" s="83" t="str">
        <f t="shared" si="157"/>
        <v/>
      </c>
      <c r="R728" s="84" t="e">
        <f t="shared" si="145"/>
        <v>#REF!</v>
      </c>
      <c r="S728" s="83" t="e">
        <f t="shared" si="145"/>
        <v>#REF!</v>
      </c>
      <c r="T728" s="84" t="e">
        <f t="shared" si="146"/>
        <v>#REF!</v>
      </c>
      <c r="U728" s="84" t="e">
        <f t="shared" si="147"/>
        <v>#REF!</v>
      </c>
      <c r="V728" s="85" t="e">
        <f>#REF!</f>
        <v>#REF!</v>
      </c>
      <c r="W728" s="86">
        <f t="shared" si="148"/>
        <v>0</v>
      </c>
      <c r="X728" s="86">
        <f t="shared" si="148"/>
        <v>0</v>
      </c>
      <c r="Y728" s="87">
        <f t="shared" si="149"/>
        <v>0</v>
      </c>
      <c r="Z728" s="87">
        <f t="shared" si="150"/>
        <v>0</v>
      </c>
      <c r="AA728" s="87">
        <f t="shared" si="151"/>
        <v>4</v>
      </c>
    </row>
    <row r="729" spans="9:27">
      <c r="I729" s="81" t="e">
        <f>IF(#REF!&lt;&gt;"",#REF!,"")</f>
        <v>#REF!</v>
      </c>
      <c r="J729" s="81" t="e">
        <f t="shared" si="152"/>
        <v>#REF!</v>
      </c>
      <c r="L729" s="82" t="e">
        <f t="shared" si="153"/>
        <v>#REF!</v>
      </c>
      <c r="M729" s="81" t="e">
        <f t="shared" si="156"/>
        <v>#REF!</v>
      </c>
      <c r="N729" s="81" t="e">
        <f t="shared" si="154"/>
        <v>#REF!</v>
      </c>
      <c r="O729" s="81" t="e">
        <f t="shared" si="155"/>
        <v>#REF!</v>
      </c>
      <c r="Q729" s="83" t="str">
        <f t="shared" si="157"/>
        <v/>
      </c>
      <c r="R729" s="84" t="e">
        <f t="shared" si="145"/>
        <v>#REF!</v>
      </c>
      <c r="S729" s="83" t="e">
        <f t="shared" si="145"/>
        <v>#REF!</v>
      </c>
      <c r="T729" s="84" t="e">
        <f t="shared" si="146"/>
        <v>#REF!</v>
      </c>
      <c r="U729" s="84" t="e">
        <f t="shared" si="147"/>
        <v>#REF!</v>
      </c>
      <c r="V729" s="85" t="e">
        <f>#REF!</f>
        <v>#REF!</v>
      </c>
      <c r="W729" s="86">
        <f t="shared" si="148"/>
        <v>0</v>
      </c>
      <c r="X729" s="86">
        <f t="shared" si="148"/>
        <v>0</v>
      </c>
      <c r="Y729" s="87">
        <f t="shared" si="149"/>
        <v>0</v>
      </c>
      <c r="Z729" s="87">
        <f t="shared" si="150"/>
        <v>0</v>
      </c>
      <c r="AA729" s="87">
        <f t="shared" si="151"/>
        <v>4</v>
      </c>
    </row>
    <row r="730" spans="9:27">
      <c r="I730" s="81" t="e">
        <f>IF(#REF!&lt;&gt;"",#REF!,"")</f>
        <v>#REF!</v>
      </c>
      <c r="J730" s="81" t="e">
        <f t="shared" si="152"/>
        <v>#REF!</v>
      </c>
      <c r="L730" s="82" t="e">
        <f t="shared" si="153"/>
        <v>#REF!</v>
      </c>
      <c r="M730" s="81" t="e">
        <f t="shared" si="156"/>
        <v>#REF!</v>
      </c>
      <c r="N730" s="81" t="e">
        <f t="shared" si="154"/>
        <v>#REF!</v>
      </c>
      <c r="O730" s="81" t="e">
        <f t="shared" si="155"/>
        <v>#REF!</v>
      </c>
      <c r="Q730" s="83" t="str">
        <f t="shared" si="157"/>
        <v/>
      </c>
      <c r="R730" s="84" t="e">
        <f t="shared" si="145"/>
        <v>#REF!</v>
      </c>
      <c r="S730" s="83" t="e">
        <f t="shared" si="145"/>
        <v>#REF!</v>
      </c>
      <c r="T730" s="84" t="e">
        <f t="shared" si="146"/>
        <v>#REF!</v>
      </c>
      <c r="U730" s="84" t="e">
        <f t="shared" si="147"/>
        <v>#REF!</v>
      </c>
      <c r="V730" s="85" t="e">
        <f>#REF!</f>
        <v>#REF!</v>
      </c>
      <c r="W730" s="86">
        <f t="shared" si="148"/>
        <v>0</v>
      </c>
      <c r="X730" s="86">
        <f t="shared" si="148"/>
        <v>0</v>
      </c>
      <c r="Y730" s="87">
        <f t="shared" si="149"/>
        <v>0</v>
      </c>
      <c r="Z730" s="87">
        <f t="shared" si="150"/>
        <v>0</v>
      </c>
      <c r="AA730" s="87">
        <f t="shared" si="151"/>
        <v>4</v>
      </c>
    </row>
    <row r="731" spans="9:27">
      <c r="I731" s="81" t="e">
        <f>IF(#REF!&lt;&gt;"",#REF!,"")</f>
        <v>#REF!</v>
      </c>
      <c r="J731" s="81" t="e">
        <f t="shared" si="152"/>
        <v>#REF!</v>
      </c>
      <c r="L731" s="82" t="e">
        <f t="shared" si="153"/>
        <v>#REF!</v>
      </c>
      <c r="M731" s="81" t="e">
        <f t="shared" si="156"/>
        <v>#REF!</v>
      </c>
      <c r="N731" s="81" t="e">
        <f t="shared" si="154"/>
        <v>#REF!</v>
      </c>
      <c r="O731" s="81" t="e">
        <f t="shared" si="155"/>
        <v>#REF!</v>
      </c>
      <c r="Q731" s="83" t="str">
        <f t="shared" si="157"/>
        <v/>
      </c>
      <c r="R731" s="84" t="e">
        <f t="shared" si="145"/>
        <v>#REF!</v>
      </c>
      <c r="S731" s="83" t="e">
        <f t="shared" si="145"/>
        <v>#REF!</v>
      </c>
      <c r="T731" s="84" t="e">
        <f t="shared" si="146"/>
        <v>#REF!</v>
      </c>
      <c r="U731" s="84" t="e">
        <f t="shared" si="147"/>
        <v>#REF!</v>
      </c>
      <c r="V731" s="85" t="e">
        <f>#REF!</f>
        <v>#REF!</v>
      </c>
      <c r="W731" s="86">
        <f t="shared" si="148"/>
        <v>0</v>
      </c>
      <c r="X731" s="86">
        <f t="shared" si="148"/>
        <v>0</v>
      </c>
      <c r="Y731" s="87">
        <f t="shared" si="149"/>
        <v>0</v>
      </c>
      <c r="Z731" s="87">
        <f t="shared" si="150"/>
        <v>0</v>
      </c>
      <c r="AA731" s="87">
        <f t="shared" si="151"/>
        <v>4</v>
      </c>
    </row>
    <row r="732" spans="9:27">
      <c r="I732" s="81" t="e">
        <f>IF(#REF!&lt;&gt;"",#REF!,"")</f>
        <v>#REF!</v>
      </c>
      <c r="J732" s="81" t="e">
        <f t="shared" si="152"/>
        <v>#REF!</v>
      </c>
      <c r="L732" s="82" t="e">
        <f t="shared" si="153"/>
        <v>#REF!</v>
      </c>
      <c r="M732" s="81" t="e">
        <f t="shared" si="156"/>
        <v>#REF!</v>
      </c>
      <c r="N732" s="81" t="e">
        <f t="shared" si="154"/>
        <v>#REF!</v>
      </c>
      <c r="O732" s="81" t="e">
        <f t="shared" si="155"/>
        <v>#REF!</v>
      </c>
      <c r="Q732" s="83" t="str">
        <f t="shared" si="157"/>
        <v/>
      </c>
      <c r="R732" s="84" t="e">
        <f t="shared" si="145"/>
        <v>#REF!</v>
      </c>
      <c r="S732" s="83" t="e">
        <f t="shared" si="145"/>
        <v>#REF!</v>
      </c>
      <c r="T732" s="84" t="e">
        <f t="shared" si="146"/>
        <v>#REF!</v>
      </c>
      <c r="U732" s="84" t="e">
        <f t="shared" si="147"/>
        <v>#REF!</v>
      </c>
      <c r="V732" s="85" t="e">
        <f>#REF!</f>
        <v>#REF!</v>
      </c>
      <c r="W732" s="86">
        <f t="shared" si="148"/>
        <v>0</v>
      </c>
      <c r="X732" s="86">
        <f t="shared" si="148"/>
        <v>0</v>
      </c>
      <c r="Y732" s="87">
        <f t="shared" si="149"/>
        <v>0</v>
      </c>
      <c r="Z732" s="87">
        <f t="shared" si="150"/>
        <v>0</v>
      </c>
      <c r="AA732" s="87">
        <f t="shared" si="151"/>
        <v>4</v>
      </c>
    </row>
    <row r="733" spans="9:27">
      <c r="I733" s="81" t="e">
        <f>IF(#REF!&lt;&gt;"",#REF!,"")</f>
        <v>#REF!</v>
      </c>
      <c r="J733" s="81" t="e">
        <f t="shared" si="152"/>
        <v>#REF!</v>
      </c>
      <c r="L733" s="82" t="e">
        <f t="shared" si="153"/>
        <v>#REF!</v>
      </c>
      <c r="M733" s="81" t="e">
        <f t="shared" si="156"/>
        <v>#REF!</v>
      </c>
      <c r="N733" s="81" t="e">
        <f t="shared" si="154"/>
        <v>#REF!</v>
      </c>
      <c r="O733" s="81" t="e">
        <f t="shared" si="155"/>
        <v>#REF!</v>
      </c>
      <c r="Q733" s="83" t="str">
        <f t="shared" si="157"/>
        <v/>
      </c>
      <c r="R733" s="84" t="e">
        <f t="shared" si="145"/>
        <v>#REF!</v>
      </c>
      <c r="S733" s="83" t="e">
        <f t="shared" si="145"/>
        <v>#REF!</v>
      </c>
      <c r="T733" s="84" t="e">
        <f t="shared" si="146"/>
        <v>#REF!</v>
      </c>
      <c r="U733" s="84" t="e">
        <f t="shared" si="147"/>
        <v>#REF!</v>
      </c>
      <c r="V733" s="85" t="e">
        <f>#REF!</f>
        <v>#REF!</v>
      </c>
      <c r="W733" s="86">
        <f t="shared" si="148"/>
        <v>0</v>
      </c>
      <c r="X733" s="86">
        <f t="shared" si="148"/>
        <v>0</v>
      </c>
      <c r="Y733" s="87">
        <f t="shared" si="149"/>
        <v>0</v>
      </c>
      <c r="Z733" s="87">
        <f t="shared" si="150"/>
        <v>0</v>
      </c>
      <c r="AA733" s="87">
        <f t="shared" si="151"/>
        <v>4</v>
      </c>
    </row>
    <row r="734" spans="9:27">
      <c r="I734" s="81" t="e">
        <f>IF(#REF!&lt;&gt;"",#REF!,"")</f>
        <v>#REF!</v>
      </c>
      <c r="J734" s="81" t="e">
        <f t="shared" si="152"/>
        <v>#REF!</v>
      </c>
      <c r="L734" s="82" t="e">
        <f t="shared" si="153"/>
        <v>#REF!</v>
      </c>
      <c r="M734" s="81" t="e">
        <f t="shared" si="156"/>
        <v>#REF!</v>
      </c>
      <c r="N734" s="81" t="e">
        <f t="shared" si="154"/>
        <v>#REF!</v>
      </c>
      <c r="O734" s="81" t="e">
        <f t="shared" si="155"/>
        <v>#REF!</v>
      </c>
      <c r="Q734" s="83" t="str">
        <f t="shared" si="157"/>
        <v/>
      </c>
      <c r="R734" s="84" t="e">
        <f t="shared" si="145"/>
        <v>#REF!</v>
      </c>
      <c r="S734" s="83" t="e">
        <f t="shared" si="145"/>
        <v>#REF!</v>
      </c>
      <c r="T734" s="84" t="e">
        <f t="shared" si="146"/>
        <v>#REF!</v>
      </c>
      <c r="U734" s="84" t="e">
        <f t="shared" si="147"/>
        <v>#REF!</v>
      </c>
      <c r="V734" s="85" t="e">
        <f>#REF!</f>
        <v>#REF!</v>
      </c>
      <c r="W734" s="86">
        <f t="shared" si="148"/>
        <v>0</v>
      </c>
      <c r="X734" s="86">
        <f t="shared" si="148"/>
        <v>0</v>
      </c>
      <c r="Y734" s="87">
        <f t="shared" si="149"/>
        <v>0</v>
      </c>
      <c r="Z734" s="87">
        <f t="shared" si="150"/>
        <v>0</v>
      </c>
      <c r="AA734" s="87">
        <f t="shared" si="151"/>
        <v>4</v>
      </c>
    </row>
    <row r="735" spans="9:27">
      <c r="I735" s="81" t="e">
        <f>IF(#REF!&lt;&gt;"",#REF!,"")</f>
        <v>#REF!</v>
      </c>
      <c r="J735" s="81" t="e">
        <f t="shared" si="152"/>
        <v>#REF!</v>
      </c>
      <c r="L735" s="82" t="e">
        <f t="shared" si="153"/>
        <v>#REF!</v>
      </c>
      <c r="M735" s="81" t="e">
        <f t="shared" si="156"/>
        <v>#REF!</v>
      </c>
      <c r="N735" s="81" t="e">
        <f t="shared" si="154"/>
        <v>#REF!</v>
      </c>
      <c r="O735" s="81" t="e">
        <f t="shared" si="155"/>
        <v>#REF!</v>
      </c>
      <c r="Q735" s="83" t="str">
        <f t="shared" si="157"/>
        <v/>
      </c>
      <c r="R735" s="84" t="e">
        <f t="shared" si="145"/>
        <v>#REF!</v>
      </c>
      <c r="S735" s="83" t="e">
        <f t="shared" si="145"/>
        <v>#REF!</v>
      </c>
      <c r="T735" s="84" t="e">
        <f t="shared" si="146"/>
        <v>#REF!</v>
      </c>
      <c r="U735" s="84" t="e">
        <f t="shared" si="147"/>
        <v>#REF!</v>
      </c>
      <c r="V735" s="85" t="e">
        <f>#REF!</f>
        <v>#REF!</v>
      </c>
      <c r="W735" s="86">
        <f t="shared" si="148"/>
        <v>0</v>
      </c>
      <c r="X735" s="86">
        <f t="shared" si="148"/>
        <v>0</v>
      </c>
      <c r="Y735" s="87">
        <f t="shared" si="149"/>
        <v>0</v>
      </c>
      <c r="Z735" s="87">
        <f t="shared" si="150"/>
        <v>0</v>
      </c>
      <c r="AA735" s="87">
        <f t="shared" si="151"/>
        <v>4</v>
      </c>
    </row>
    <row r="736" spans="9:27">
      <c r="I736" s="81" t="e">
        <f>IF(#REF!&lt;&gt;"",#REF!,"")</f>
        <v>#REF!</v>
      </c>
      <c r="J736" s="81" t="e">
        <f t="shared" si="152"/>
        <v>#REF!</v>
      </c>
      <c r="L736" s="82" t="e">
        <f t="shared" si="153"/>
        <v>#REF!</v>
      </c>
      <c r="M736" s="81" t="e">
        <f t="shared" si="156"/>
        <v>#REF!</v>
      </c>
      <c r="N736" s="81" t="e">
        <f t="shared" si="154"/>
        <v>#REF!</v>
      </c>
      <c r="O736" s="81" t="e">
        <f t="shared" si="155"/>
        <v>#REF!</v>
      </c>
      <c r="Q736" s="83" t="str">
        <f t="shared" si="157"/>
        <v/>
      </c>
      <c r="R736" s="84" t="e">
        <f t="shared" si="145"/>
        <v>#REF!</v>
      </c>
      <c r="S736" s="83" t="e">
        <f t="shared" si="145"/>
        <v>#REF!</v>
      </c>
      <c r="T736" s="84" t="e">
        <f t="shared" si="146"/>
        <v>#REF!</v>
      </c>
      <c r="U736" s="84" t="e">
        <f t="shared" si="147"/>
        <v>#REF!</v>
      </c>
      <c r="V736" s="85" t="e">
        <f>#REF!</f>
        <v>#REF!</v>
      </c>
      <c r="W736" s="86">
        <f t="shared" si="148"/>
        <v>0</v>
      </c>
      <c r="X736" s="86">
        <f t="shared" si="148"/>
        <v>0</v>
      </c>
      <c r="Y736" s="87">
        <f t="shared" si="149"/>
        <v>0</v>
      </c>
      <c r="Z736" s="87">
        <f t="shared" si="150"/>
        <v>0</v>
      </c>
      <c r="AA736" s="87">
        <f t="shared" si="151"/>
        <v>4</v>
      </c>
    </row>
    <row r="737" spans="9:27">
      <c r="I737" s="81" t="e">
        <f>IF(#REF!&lt;&gt;"",#REF!,"")</f>
        <v>#REF!</v>
      </c>
      <c r="J737" s="81" t="e">
        <f t="shared" si="152"/>
        <v>#REF!</v>
      </c>
      <c r="L737" s="82" t="e">
        <f t="shared" si="153"/>
        <v>#REF!</v>
      </c>
      <c r="M737" s="81" t="e">
        <f t="shared" si="156"/>
        <v>#REF!</v>
      </c>
      <c r="N737" s="81" t="e">
        <f t="shared" si="154"/>
        <v>#REF!</v>
      </c>
      <c r="O737" s="81" t="e">
        <f t="shared" si="155"/>
        <v>#REF!</v>
      </c>
      <c r="Q737" s="83" t="str">
        <f t="shared" si="157"/>
        <v/>
      </c>
      <c r="R737" s="84" t="e">
        <f t="shared" si="145"/>
        <v>#REF!</v>
      </c>
      <c r="S737" s="83" t="e">
        <f t="shared" si="145"/>
        <v>#REF!</v>
      </c>
      <c r="T737" s="84" t="e">
        <f t="shared" si="146"/>
        <v>#REF!</v>
      </c>
      <c r="U737" s="84" t="e">
        <f t="shared" si="147"/>
        <v>#REF!</v>
      </c>
      <c r="V737" s="85" t="e">
        <f>#REF!</f>
        <v>#REF!</v>
      </c>
      <c r="W737" s="86">
        <f t="shared" si="148"/>
        <v>0</v>
      </c>
      <c r="X737" s="86">
        <f t="shared" si="148"/>
        <v>0</v>
      </c>
      <c r="Y737" s="87">
        <f t="shared" si="149"/>
        <v>0</v>
      </c>
      <c r="Z737" s="87">
        <f t="shared" si="150"/>
        <v>0</v>
      </c>
      <c r="AA737" s="87">
        <f t="shared" si="151"/>
        <v>4</v>
      </c>
    </row>
    <row r="738" spans="9:27">
      <c r="I738" s="81" t="e">
        <f>IF(#REF!&lt;&gt;"",#REF!,"")</f>
        <v>#REF!</v>
      </c>
      <c r="J738" s="81" t="e">
        <f t="shared" si="152"/>
        <v>#REF!</v>
      </c>
      <c r="L738" s="82" t="e">
        <f t="shared" si="153"/>
        <v>#REF!</v>
      </c>
      <c r="M738" s="81" t="e">
        <f t="shared" si="156"/>
        <v>#REF!</v>
      </c>
      <c r="N738" s="81" t="e">
        <f t="shared" si="154"/>
        <v>#REF!</v>
      </c>
      <c r="O738" s="81" t="e">
        <f t="shared" si="155"/>
        <v>#REF!</v>
      </c>
      <c r="Q738" s="83" t="str">
        <f t="shared" si="157"/>
        <v/>
      </c>
      <c r="R738" s="84" t="e">
        <f t="shared" si="145"/>
        <v>#REF!</v>
      </c>
      <c r="S738" s="83" t="e">
        <f t="shared" si="145"/>
        <v>#REF!</v>
      </c>
      <c r="T738" s="84" t="e">
        <f t="shared" si="146"/>
        <v>#REF!</v>
      </c>
      <c r="U738" s="84" t="e">
        <f t="shared" si="147"/>
        <v>#REF!</v>
      </c>
      <c r="V738" s="85" t="e">
        <f>#REF!</f>
        <v>#REF!</v>
      </c>
      <c r="W738" s="86">
        <f t="shared" si="148"/>
        <v>0</v>
      </c>
      <c r="X738" s="86">
        <f t="shared" si="148"/>
        <v>0</v>
      </c>
      <c r="Y738" s="87">
        <f t="shared" si="149"/>
        <v>0</v>
      </c>
      <c r="Z738" s="87">
        <f t="shared" si="150"/>
        <v>0</v>
      </c>
      <c r="AA738" s="87">
        <f t="shared" si="151"/>
        <v>4</v>
      </c>
    </row>
    <row r="739" spans="9:27">
      <c r="I739" s="81" t="e">
        <f>IF(#REF!&lt;&gt;"",#REF!,"")</f>
        <v>#REF!</v>
      </c>
      <c r="J739" s="81" t="e">
        <f t="shared" si="152"/>
        <v>#REF!</v>
      </c>
      <c r="L739" s="82" t="e">
        <f t="shared" si="153"/>
        <v>#REF!</v>
      </c>
      <c r="M739" s="81" t="e">
        <f t="shared" si="156"/>
        <v>#REF!</v>
      </c>
      <c r="N739" s="81" t="e">
        <f t="shared" si="154"/>
        <v>#REF!</v>
      </c>
      <c r="O739" s="81" t="e">
        <f t="shared" si="155"/>
        <v>#REF!</v>
      </c>
      <c r="Q739" s="83" t="str">
        <f t="shared" si="157"/>
        <v/>
      </c>
      <c r="R739" s="84" t="e">
        <f t="shared" si="145"/>
        <v>#REF!</v>
      </c>
      <c r="S739" s="83" t="e">
        <f t="shared" si="145"/>
        <v>#REF!</v>
      </c>
      <c r="T739" s="84" t="e">
        <f t="shared" si="146"/>
        <v>#REF!</v>
      </c>
      <c r="U739" s="84" t="e">
        <f t="shared" si="147"/>
        <v>#REF!</v>
      </c>
      <c r="V739" s="85" t="e">
        <f>#REF!</f>
        <v>#REF!</v>
      </c>
      <c r="W739" s="86">
        <f t="shared" si="148"/>
        <v>0</v>
      </c>
      <c r="X739" s="86">
        <f t="shared" si="148"/>
        <v>0</v>
      </c>
      <c r="Y739" s="87">
        <f t="shared" si="149"/>
        <v>0</v>
      </c>
      <c r="Z739" s="87">
        <f t="shared" si="150"/>
        <v>0</v>
      </c>
      <c r="AA739" s="87">
        <f t="shared" si="151"/>
        <v>4</v>
      </c>
    </row>
    <row r="740" spans="9:27">
      <c r="I740" s="81" t="e">
        <f>IF(#REF!&lt;&gt;"",#REF!,"")</f>
        <v>#REF!</v>
      </c>
      <c r="J740" s="81" t="e">
        <f t="shared" si="152"/>
        <v>#REF!</v>
      </c>
      <c r="L740" s="82" t="e">
        <f t="shared" si="153"/>
        <v>#REF!</v>
      </c>
      <c r="M740" s="81" t="e">
        <f t="shared" si="156"/>
        <v>#REF!</v>
      </c>
      <c r="N740" s="81" t="e">
        <f t="shared" si="154"/>
        <v>#REF!</v>
      </c>
      <c r="O740" s="81" t="e">
        <f t="shared" si="155"/>
        <v>#REF!</v>
      </c>
      <c r="Q740" s="83" t="str">
        <f t="shared" si="157"/>
        <v/>
      </c>
      <c r="R740" s="84" t="e">
        <f t="shared" si="145"/>
        <v>#REF!</v>
      </c>
      <c r="S740" s="83" t="e">
        <f t="shared" si="145"/>
        <v>#REF!</v>
      </c>
      <c r="T740" s="84" t="e">
        <f t="shared" si="146"/>
        <v>#REF!</v>
      </c>
      <c r="U740" s="84" t="e">
        <f t="shared" si="147"/>
        <v>#REF!</v>
      </c>
      <c r="V740" s="85" t="e">
        <f>#REF!</f>
        <v>#REF!</v>
      </c>
      <c r="W740" s="86">
        <f t="shared" si="148"/>
        <v>0</v>
      </c>
      <c r="X740" s="86">
        <f t="shared" si="148"/>
        <v>0</v>
      </c>
      <c r="Y740" s="87">
        <f t="shared" si="149"/>
        <v>0</v>
      </c>
      <c r="Z740" s="87">
        <f t="shared" si="150"/>
        <v>0</v>
      </c>
      <c r="AA740" s="87">
        <f t="shared" si="151"/>
        <v>4</v>
      </c>
    </row>
    <row r="741" spans="9:27">
      <c r="I741" s="81" t="e">
        <f>IF(#REF!&lt;&gt;"",#REF!,"")</f>
        <v>#REF!</v>
      </c>
      <c r="J741" s="81" t="e">
        <f t="shared" si="152"/>
        <v>#REF!</v>
      </c>
      <c r="L741" s="82" t="e">
        <f t="shared" si="153"/>
        <v>#REF!</v>
      </c>
      <c r="M741" s="81" t="e">
        <f t="shared" si="156"/>
        <v>#REF!</v>
      </c>
      <c r="N741" s="81" t="e">
        <f t="shared" si="154"/>
        <v>#REF!</v>
      </c>
      <c r="O741" s="81" t="e">
        <f t="shared" si="155"/>
        <v>#REF!</v>
      </c>
      <c r="Q741" s="83" t="str">
        <f t="shared" si="157"/>
        <v/>
      </c>
      <c r="R741" s="84" t="e">
        <f t="shared" si="145"/>
        <v>#REF!</v>
      </c>
      <c r="S741" s="83" t="e">
        <f t="shared" si="145"/>
        <v>#REF!</v>
      </c>
      <c r="T741" s="84" t="e">
        <f t="shared" si="146"/>
        <v>#REF!</v>
      </c>
      <c r="U741" s="84" t="e">
        <f t="shared" si="147"/>
        <v>#REF!</v>
      </c>
      <c r="V741" s="85" t="e">
        <f>#REF!</f>
        <v>#REF!</v>
      </c>
      <c r="W741" s="86">
        <f t="shared" si="148"/>
        <v>0</v>
      </c>
      <c r="X741" s="86">
        <f t="shared" si="148"/>
        <v>0</v>
      </c>
      <c r="Y741" s="87">
        <f t="shared" si="149"/>
        <v>0</v>
      </c>
      <c r="Z741" s="87">
        <f t="shared" si="150"/>
        <v>0</v>
      </c>
      <c r="AA741" s="87">
        <f t="shared" si="151"/>
        <v>4</v>
      </c>
    </row>
    <row r="742" spans="9:27">
      <c r="I742" s="81" t="e">
        <f>IF(#REF!&lt;&gt;"",#REF!,"")</f>
        <v>#REF!</v>
      </c>
      <c r="J742" s="81" t="e">
        <f t="shared" si="152"/>
        <v>#REF!</v>
      </c>
      <c r="L742" s="82" t="e">
        <f t="shared" si="153"/>
        <v>#REF!</v>
      </c>
      <c r="M742" s="81" t="e">
        <f t="shared" si="156"/>
        <v>#REF!</v>
      </c>
      <c r="N742" s="81" t="e">
        <f t="shared" si="154"/>
        <v>#REF!</v>
      </c>
      <c r="O742" s="81" t="e">
        <f t="shared" si="155"/>
        <v>#REF!</v>
      </c>
      <c r="Q742" s="83" t="str">
        <f t="shared" si="157"/>
        <v/>
      </c>
      <c r="R742" s="84" t="e">
        <f t="shared" si="145"/>
        <v>#REF!</v>
      </c>
      <c r="S742" s="83" t="e">
        <f t="shared" si="145"/>
        <v>#REF!</v>
      </c>
      <c r="T742" s="84" t="e">
        <f t="shared" si="146"/>
        <v>#REF!</v>
      </c>
      <c r="U742" s="84" t="e">
        <f t="shared" si="147"/>
        <v>#REF!</v>
      </c>
      <c r="V742" s="85" t="e">
        <f>#REF!</f>
        <v>#REF!</v>
      </c>
      <c r="W742" s="86">
        <f t="shared" si="148"/>
        <v>0</v>
      </c>
      <c r="X742" s="86">
        <f t="shared" si="148"/>
        <v>0</v>
      </c>
      <c r="Y742" s="87">
        <f t="shared" si="149"/>
        <v>0</v>
      </c>
      <c r="Z742" s="87">
        <f t="shared" si="150"/>
        <v>0</v>
      </c>
      <c r="AA742" s="87">
        <f t="shared" si="151"/>
        <v>4</v>
      </c>
    </row>
    <row r="743" spans="9:27">
      <c r="I743" s="81" t="e">
        <f>IF(#REF!&lt;&gt;"",#REF!,"")</f>
        <v>#REF!</v>
      </c>
      <c r="J743" s="81" t="e">
        <f t="shared" si="152"/>
        <v>#REF!</v>
      </c>
      <c r="L743" s="82" t="e">
        <f t="shared" si="153"/>
        <v>#REF!</v>
      </c>
      <c r="M743" s="81" t="e">
        <f t="shared" si="156"/>
        <v>#REF!</v>
      </c>
      <c r="N743" s="81" t="e">
        <f t="shared" si="154"/>
        <v>#REF!</v>
      </c>
      <c r="O743" s="81" t="e">
        <f t="shared" si="155"/>
        <v>#REF!</v>
      </c>
      <c r="Q743" s="83" t="str">
        <f t="shared" si="157"/>
        <v/>
      </c>
      <c r="R743" s="84" t="e">
        <f t="shared" si="145"/>
        <v>#REF!</v>
      </c>
      <c r="S743" s="83" t="e">
        <f t="shared" si="145"/>
        <v>#REF!</v>
      </c>
      <c r="T743" s="84" t="e">
        <f t="shared" si="146"/>
        <v>#REF!</v>
      </c>
      <c r="U743" s="84" t="e">
        <f t="shared" si="147"/>
        <v>#REF!</v>
      </c>
      <c r="V743" s="85" t="e">
        <f>#REF!</f>
        <v>#REF!</v>
      </c>
      <c r="W743" s="86">
        <f t="shared" si="148"/>
        <v>0</v>
      </c>
      <c r="X743" s="86">
        <f t="shared" si="148"/>
        <v>0</v>
      </c>
      <c r="Y743" s="87">
        <f t="shared" si="149"/>
        <v>0</v>
      </c>
      <c r="Z743" s="87">
        <f t="shared" si="150"/>
        <v>0</v>
      </c>
      <c r="AA743" s="87">
        <f t="shared" si="151"/>
        <v>4</v>
      </c>
    </row>
    <row r="744" spans="9:27">
      <c r="I744" s="81" t="e">
        <f>IF(#REF!&lt;&gt;"",#REF!,"")</f>
        <v>#REF!</v>
      </c>
      <c r="J744" s="81" t="e">
        <f t="shared" si="152"/>
        <v>#REF!</v>
      </c>
      <c r="L744" s="82" t="e">
        <f t="shared" si="153"/>
        <v>#REF!</v>
      </c>
      <c r="M744" s="81" t="e">
        <f t="shared" si="156"/>
        <v>#REF!</v>
      </c>
      <c r="N744" s="81" t="e">
        <f t="shared" si="154"/>
        <v>#REF!</v>
      </c>
      <c r="O744" s="81" t="e">
        <f t="shared" si="155"/>
        <v>#REF!</v>
      </c>
      <c r="Q744" s="83" t="str">
        <f t="shared" si="157"/>
        <v/>
      </c>
      <c r="R744" s="84" t="e">
        <f t="shared" si="145"/>
        <v>#REF!</v>
      </c>
      <c r="S744" s="83" t="e">
        <f t="shared" si="145"/>
        <v>#REF!</v>
      </c>
      <c r="T744" s="84" t="e">
        <f t="shared" si="146"/>
        <v>#REF!</v>
      </c>
      <c r="U744" s="84" t="e">
        <f t="shared" si="147"/>
        <v>#REF!</v>
      </c>
      <c r="V744" s="85" t="e">
        <f>#REF!</f>
        <v>#REF!</v>
      </c>
      <c r="W744" s="86">
        <f t="shared" si="148"/>
        <v>0</v>
      </c>
      <c r="X744" s="86">
        <f t="shared" si="148"/>
        <v>0</v>
      </c>
      <c r="Y744" s="87">
        <f t="shared" si="149"/>
        <v>0</v>
      </c>
      <c r="Z744" s="87">
        <f t="shared" si="150"/>
        <v>0</v>
      </c>
      <c r="AA744" s="87">
        <f t="shared" si="151"/>
        <v>4</v>
      </c>
    </row>
    <row r="745" spans="9:27">
      <c r="I745" s="81" t="e">
        <f>IF(#REF!&lt;&gt;"",#REF!,"")</f>
        <v>#REF!</v>
      </c>
      <c r="J745" s="81" t="e">
        <f t="shared" si="152"/>
        <v>#REF!</v>
      </c>
      <c r="L745" s="82" t="e">
        <f t="shared" si="153"/>
        <v>#REF!</v>
      </c>
      <c r="M745" s="81" t="e">
        <f t="shared" si="156"/>
        <v>#REF!</v>
      </c>
      <c r="N745" s="81" t="e">
        <f t="shared" si="154"/>
        <v>#REF!</v>
      </c>
      <c r="O745" s="81" t="e">
        <f t="shared" si="155"/>
        <v>#REF!</v>
      </c>
      <c r="Q745" s="83" t="str">
        <f t="shared" si="157"/>
        <v/>
      </c>
      <c r="R745" s="84" t="e">
        <f t="shared" si="145"/>
        <v>#REF!</v>
      </c>
      <c r="S745" s="83" t="e">
        <f t="shared" si="145"/>
        <v>#REF!</v>
      </c>
      <c r="T745" s="84" t="e">
        <f t="shared" si="146"/>
        <v>#REF!</v>
      </c>
      <c r="U745" s="84" t="e">
        <f t="shared" si="147"/>
        <v>#REF!</v>
      </c>
      <c r="V745" s="85" t="e">
        <f>#REF!</f>
        <v>#REF!</v>
      </c>
      <c r="W745" s="86">
        <f t="shared" si="148"/>
        <v>0</v>
      </c>
      <c r="X745" s="86">
        <f t="shared" si="148"/>
        <v>0</v>
      </c>
      <c r="Y745" s="87">
        <f t="shared" si="149"/>
        <v>0</v>
      </c>
      <c r="Z745" s="87">
        <f t="shared" si="150"/>
        <v>0</v>
      </c>
      <c r="AA745" s="87">
        <f t="shared" si="151"/>
        <v>4</v>
      </c>
    </row>
    <row r="746" spans="9:27">
      <c r="I746" s="81" t="e">
        <f>IF(#REF!&lt;&gt;"",#REF!,"")</f>
        <v>#REF!</v>
      </c>
      <c r="J746" s="81" t="e">
        <f t="shared" si="152"/>
        <v>#REF!</v>
      </c>
      <c r="L746" s="82" t="e">
        <f t="shared" si="153"/>
        <v>#REF!</v>
      </c>
      <c r="M746" s="81" t="e">
        <f t="shared" si="156"/>
        <v>#REF!</v>
      </c>
      <c r="N746" s="81" t="e">
        <f t="shared" si="154"/>
        <v>#REF!</v>
      </c>
      <c r="O746" s="81" t="e">
        <f t="shared" si="155"/>
        <v>#REF!</v>
      </c>
      <c r="Q746" s="83" t="str">
        <f t="shared" si="157"/>
        <v/>
      </c>
      <c r="R746" s="84" t="e">
        <f t="shared" si="145"/>
        <v>#REF!</v>
      </c>
      <c r="S746" s="83" t="e">
        <f t="shared" si="145"/>
        <v>#REF!</v>
      </c>
      <c r="T746" s="84" t="e">
        <f t="shared" si="146"/>
        <v>#REF!</v>
      </c>
      <c r="U746" s="84" t="e">
        <f t="shared" si="147"/>
        <v>#REF!</v>
      </c>
      <c r="V746" s="85" t="e">
        <f>#REF!</f>
        <v>#REF!</v>
      </c>
      <c r="W746" s="86">
        <f t="shared" si="148"/>
        <v>0</v>
      </c>
      <c r="X746" s="86">
        <f t="shared" si="148"/>
        <v>0</v>
      </c>
      <c r="Y746" s="87">
        <f t="shared" si="149"/>
        <v>0</v>
      </c>
      <c r="Z746" s="87">
        <f t="shared" si="150"/>
        <v>0</v>
      </c>
      <c r="AA746" s="87">
        <f t="shared" si="151"/>
        <v>4</v>
      </c>
    </row>
    <row r="747" spans="9:27">
      <c r="I747" s="81" t="e">
        <f>IF(#REF!&lt;&gt;"",#REF!,"")</f>
        <v>#REF!</v>
      </c>
      <c r="J747" s="81" t="e">
        <f t="shared" si="152"/>
        <v>#REF!</v>
      </c>
      <c r="L747" s="82" t="e">
        <f t="shared" si="153"/>
        <v>#REF!</v>
      </c>
      <c r="M747" s="81" t="e">
        <f t="shared" si="156"/>
        <v>#REF!</v>
      </c>
      <c r="N747" s="81" t="e">
        <f t="shared" si="154"/>
        <v>#REF!</v>
      </c>
      <c r="O747" s="81" t="e">
        <f t="shared" si="155"/>
        <v>#REF!</v>
      </c>
      <c r="Q747" s="83" t="str">
        <f t="shared" si="157"/>
        <v/>
      </c>
      <c r="R747" s="84" t="e">
        <f t="shared" si="145"/>
        <v>#REF!</v>
      </c>
      <c r="S747" s="83" t="e">
        <f t="shared" si="145"/>
        <v>#REF!</v>
      </c>
      <c r="T747" s="84" t="e">
        <f t="shared" si="146"/>
        <v>#REF!</v>
      </c>
      <c r="U747" s="84" t="e">
        <f t="shared" si="147"/>
        <v>#REF!</v>
      </c>
      <c r="V747" s="85" t="e">
        <f>#REF!</f>
        <v>#REF!</v>
      </c>
      <c r="W747" s="86">
        <f t="shared" si="148"/>
        <v>0</v>
      </c>
      <c r="X747" s="86">
        <f t="shared" si="148"/>
        <v>0</v>
      </c>
      <c r="Y747" s="87">
        <f t="shared" si="149"/>
        <v>0</v>
      </c>
      <c r="Z747" s="87">
        <f t="shared" si="150"/>
        <v>0</v>
      </c>
      <c r="AA747" s="87">
        <f t="shared" si="151"/>
        <v>4</v>
      </c>
    </row>
    <row r="748" spans="9:27">
      <c r="I748" s="81" t="e">
        <f>IF(#REF!&lt;&gt;"",#REF!,"")</f>
        <v>#REF!</v>
      </c>
      <c r="J748" s="81" t="e">
        <f t="shared" si="152"/>
        <v>#REF!</v>
      </c>
      <c r="L748" s="82" t="e">
        <f t="shared" si="153"/>
        <v>#REF!</v>
      </c>
      <c r="M748" s="81" t="e">
        <f t="shared" si="156"/>
        <v>#REF!</v>
      </c>
      <c r="N748" s="81" t="e">
        <f t="shared" si="154"/>
        <v>#REF!</v>
      </c>
      <c r="O748" s="81" t="e">
        <f t="shared" si="155"/>
        <v>#REF!</v>
      </c>
      <c r="Q748" s="83" t="str">
        <f t="shared" si="157"/>
        <v/>
      </c>
      <c r="R748" s="84" t="e">
        <f t="shared" si="145"/>
        <v>#REF!</v>
      </c>
      <c r="S748" s="83" t="e">
        <f t="shared" si="145"/>
        <v>#REF!</v>
      </c>
      <c r="T748" s="84" t="e">
        <f t="shared" si="146"/>
        <v>#REF!</v>
      </c>
      <c r="U748" s="84" t="e">
        <f t="shared" si="147"/>
        <v>#REF!</v>
      </c>
      <c r="V748" s="85" t="e">
        <f>#REF!</f>
        <v>#REF!</v>
      </c>
      <c r="W748" s="86">
        <f t="shared" si="148"/>
        <v>0</v>
      </c>
      <c r="X748" s="86">
        <f t="shared" si="148"/>
        <v>0</v>
      </c>
      <c r="Y748" s="87">
        <f t="shared" si="149"/>
        <v>0</v>
      </c>
      <c r="Z748" s="87">
        <f t="shared" si="150"/>
        <v>0</v>
      </c>
      <c r="AA748" s="87">
        <f t="shared" si="151"/>
        <v>4</v>
      </c>
    </row>
    <row r="749" spans="9:27">
      <c r="I749" s="81" t="e">
        <f>IF(#REF!&lt;&gt;"",#REF!,"")</f>
        <v>#REF!</v>
      </c>
      <c r="J749" s="81" t="e">
        <f t="shared" si="152"/>
        <v>#REF!</v>
      </c>
      <c r="L749" s="82" t="e">
        <f t="shared" si="153"/>
        <v>#REF!</v>
      </c>
      <c r="M749" s="81" t="e">
        <f t="shared" si="156"/>
        <v>#REF!</v>
      </c>
      <c r="N749" s="81" t="e">
        <f t="shared" si="154"/>
        <v>#REF!</v>
      </c>
      <c r="O749" s="81" t="e">
        <f t="shared" si="155"/>
        <v>#REF!</v>
      </c>
      <c r="Q749" s="83" t="str">
        <f t="shared" si="157"/>
        <v/>
      </c>
      <c r="R749" s="84" t="e">
        <f t="shared" si="145"/>
        <v>#REF!</v>
      </c>
      <c r="S749" s="83" t="e">
        <f t="shared" si="145"/>
        <v>#REF!</v>
      </c>
      <c r="T749" s="84" t="e">
        <f t="shared" si="146"/>
        <v>#REF!</v>
      </c>
      <c r="U749" s="84" t="e">
        <f t="shared" si="147"/>
        <v>#REF!</v>
      </c>
      <c r="V749" s="85" t="e">
        <f>#REF!</f>
        <v>#REF!</v>
      </c>
      <c r="W749" s="86">
        <f t="shared" si="148"/>
        <v>0</v>
      </c>
      <c r="X749" s="86">
        <f t="shared" si="148"/>
        <v>0</v>
      </c>
      <c r="Y749" s="87">
        <f t="shared" si="149"/>
        <v>0</v>
      </c>
      <c r="Z749" s="87">
        <f t="shared" si="150"/>
        <v>0</v>
      </c>
      <c r="AA749" s="87">
        <f t="shared" si="151"/>
        <v>4</v>
      </c>
    </row>
    <row r="750" spans="9:27">
      <c r="I750" s="81" t="e">
        <f>IF(#REF!&lt;&gt;"",#REF!,"")</f>
        <v>#REF!</v>
      </c>
      <c r="J750" s="81" t="e">
        <f t="shared" si="152"/>
        <v>#REF!</v>
      </c>
      <c r="L750" s="82" t="e">
        <f t="shared" si="153"/>
        <v>#REF!</v>
      </c>
      <c r="M750" s="81" t="e">
        <f t="shared" si="156"/>
        <v>#REF!</v>
      </c>
      <c r="N750" s="81" t="e">
        <f t="shared" si="154"/>
        <v>#REF!</v>
      </c>
      <c r="O750" s="81" t="e">
        <f t="shared" si="155"/>
        <v>#REF!</v>
      </c>
      <c r="Q750" s="83" t="str">
        <f t="shared" si="157"/>
        <v/>
      </c>
      <c r="R750" s="84" t="e">
        <f t="shared" si="145"/>
        <v>#REF!</v>
      </c>
      <c r="S750" s="83" t="e">
        <f t="shared" si="145"/>
        <v>#REF!</v>
      </c>
      <c r="T750" s="84" t="e">
        <f t="shared" si="146"/>
        <v>#REF!</v>
      </c>
      <c r="U750" s="84" t="e">
        <f t="shared" si="147"/>
        <v>#REF!</v>
      </c>
      <c r="V750" s="85" t="e">
        <f>#REF!</f>
        <v>#REF!</v>
      </c>
      <c r="W750" s="86">
        <f t="shared" si="148"/>
        <v>0</v>
      </c>
      <c r="X750" s="86">
        <f t="shared" si="148"/>
        <v>0</v>
      </c>
      <c r="Y750" s="87">
        <f t="shared" si="149"/>
        <v>0</v>
      </c>
      <c r="Z750" s="87">
        <f t="shared" si="150"/>
        <v>0</v>
      </c>
      <c r="AA750" s="87">
        <f t="shared" si="151"/>
        <v>4</v>
      </c>
    </row>
    <row r="751" spans="9:27">
      <c r="I751" s="81" t="e">
        <f>IF(#REF!&lt;&gt;"",#REF!,"")</f>
        <v>#REF!</v>
      </c>
      <c r="J751" s="81" t="e">
        <f t="shared" si="152"/>
        <v>#REF!</v>
      </c>
      <c r="L751" s="82" t="e">
        <f t="shared" si="153"/>
        <v>#REF!</v>
      </c>
      <c r="M751" s="81" t="e">
        <f t="shared" si="156"/>
        <v>#REF!</v>
      </c>
      <c r="N751" s="81" t="e">
        <f t="shared" si="154"/>
        <v>#REF!</v>
      </c>
      <c r="O751" s="81" t="e">
        <f t="shared" si="155"/>
        <v>#REF!</v>
      </c>
      <c r="Q751" s="83" t="str">
        <f t="shared" si="157"/>
        <v/>
      </c>
      <c r="R751" s="84" t="e">
        <f t="shared" si="145"/>
        <v>#REF!</v>
      </c>
      <c r="S751" s="83" t="e">
        <f t="shared" si="145"/>
        <v>#REF!</v>
      </c>
      <c r="T751" s="84" t="e">
        <f t="shared" si="146"/>
        <v>#REF!</v>
      </c>
      <c r="U751" s="84" t="e">
        <f t="shared" si="147"/>
        <v>#REF!</v>
      </c>
      <c r="V751" s="85" t="e">
        <f>#REF!</f>
        <v>#REF!</v>
      </c>
      <c r="W751" s="86">
        <f t="shared" si="148"/>
        <v>0</v>
      </c>
      <c r="X751" s="86">
        <f t="shared" si="148"/>
        <v>0</v>
      </c>
      <c r="Y751" s="87">
        <f t="shared" si="149"/>
        <v>0</v>
      </c>
      <c r="Z751" s="87">
        <f t="shared" si="150"/>
        <v>0</v>
      </c>
      <c r="AA751" s="87">
        <f t="shared" si="151"/>
        <v>4</v>
      </c>
    </row>
    <row r="752" spans="9:27">
      <c r="I752" s="81" t="e">
        <f>IF(#REF!&lt;&gt;"",#REF!,"")</f>
        <v>#REF!</v>
      </c>
      <c r="J752" s="81" t="e">
        <f t="shared" si="152"/>
        <v>#REF!</v>
      </c>
      <c r="L752" s="82" t="e">
        <f t="shared" si="153"/>
        <v>#REF!</v>
      </c>
      <c r="M752" s="81" t="e">
        <f t="shared" si="156"/>
        <v>#REF!</v>
      </c>
      <c r="N752" s="81" t="e">
        <f t="shared" si="154"/>
        <v>#REF!</v>
      </c>
      <c r="O752" s="81" t="e">
        <f t="shared" si="155"/>
        <v>#REF!</v>
      </c>
      <c r="Q752" s="83" t="str">
        <f t="shared" si="157"/>
        <v/>
      </c>
      <c r="R752" s="84" t="e">
        <f t="shared" si="145"/>
        <v>#REF!</v>
      </c>
      <c r="S752" s="83" t="e">
        <f t="shared" si="145"/>
        <v>#REF!</v>
      </c>
      <c r="T752" s="84" t="e">
        <f t="shared" si="146"/>
        <v>#REF!</v>
      </c>
      <c r="U752" s="84" t="e">
        <f t="shared" si="147"/>
        <v>#REF!</v>
      </c>
      <c r="V752" s="85" t="e">
        <f>#REF!</f>
        <v>#REF!</v>
      </c>
      <c r="W752" s="86">
        <f t="shared" si="148"/>
        <v>0</v>
      </c>
      <c r="X752" s="86">
        <f t="shared" si="148"/>
        <v>0</v>
      </c>
      <c r="Y752" s="87">
        <f t="shared" si="149"/>
        <v>0</v>
      </c>
      <c r="Z752" s="87">
        <f t="shared" si="150"/>
        <v>0</v>
      </c>
      <c r="AA752" s="87">
        <f t="shared" si="151"/>
        <v>4</v>
      </c>
    </row>
    <row r="753" spans="9:27">
      <c r="I753" s="81" t="e">
        <f>IF(#REF!&lt;&gt;"",#REF!,"")</f>
        <v>#REF!</v>
      </c>
      <c r="J753" s="81" t="e">
        <f t="shared" si="152"/>
        <v>#REF!</v>
      </c>
      <c r="L753" s="82" t="e">
        <f t="shared" si="153"/>
        <v>#REF!</v>
      </c>
      <c r="M753" s="81" t="e">
        <f t="shared" si="156"/>
        <v>#REF!</v>
      </c>
      <c r="N753" s="81" t="e">
        <f t="shared" si="154"/>
        <v>#REF!</v>
      </c>
      <c r="O753" s="81" t="e">
        <f t="shared" si="155"/>
        <v>#REF!</v>
      </c>
      <c r="Q753" s="83" t="str">
        <f t="shared" si="157"/>
        <v/>
      </c>
      <c r="R753" s="84" t="e">
        <f t="shared" si="145"/>
        <v>#REF!</v>
      </c>
      <c r="S753" s="83" t="e">
        <f t="shared" si="145"/>
        <v>#REF!</v>
      </c>
      <c r="T753" s="84" t="e">
        <f t="shared" si="146"/>
        <v>#REF!</v>
      </c>
      <c r="U753" s="84" t="e">
        <f t="shared" si="147"/>
        <v>#REF!</v>
      </c>
      <c r="V753" s="85" t="e">
        <f>#REF!</f>
        <v>#REF!</v>
      </c>
      <c r="W753" s="86">
        <f t="shared" si="148"/>
        <v>0</v>
      </c>
      <c r="X753" s="86">
        <f t="shared" si="148"/>
        <v>0</v>
      </c>
      <c r="Y753" s="87">
        <f t="shared" si="149"/>
        <v>0</v>
      </c>
      <c r="Z753" s="87">
        <f t="shared" si="150"/>
        <v>0</v>
      </c>
      <c r="AA753" s="87">
        <f t="shared" si="151"/>
        <v>4</v>
      </c>
    </row>
    <row r="754" spans="9:27">
      <c r="I754" s="81" t="e">
        <f>IF(#REF!&lt;&gt;"",#REF!,"")</f>
        <v>#REF!</v>
      </c>
      <c r="J754" s="81" t="e">
        <f t="shared" si="152"/>
        <v>#REF!</v>
      </c>
      <c r="L754" s="82" t="e">
        <f t="shared" si="153"/>
        <v>#REF!</v>
      </c>
      <c r="M754" s="81" t="e">
        <f t="shared" si="156"/>
        <v>#REF!</v>
      </c>
      <c r="N754" s="81" t="e">
        <f t="shared" si="154"/>
        <v>#REF!</v>
      </c>
      <c r="O754" s="81" t="e">
        <f t="shared" si="155"/>
        <v>#REF!</v>
      </c>
      <c r="Q754" s="83" t="str">
        <f t="shared" si="157"/>
        <v/>
      </c>
      <c r="R754" s="84" t="e">
        <f t="shared" si="145"/>
        <v>#REF!</v>
      </c>
      <c r="S754" s="83" t="e">
        <f t="shared" si="145"/>
        <v>#REF!</v>
      </c>
      <c r="T754" s="84" t="e">
        <f t="shared" si="146"/>
        <v>#REF!</v>
      </c>
      <c r="U754" s="84" t="e">
        <f t="shared" si="147"/>
        <v>#REF!</v>
      </c>
      <c r="V754" s="85" t="e">
        <f>#REF!</f>
        <v>#REF!</v>
      </c>
      <c r="W754" s="86">
        <f t="shared" si="148"/>
        <v>0</v>
      </c>
      <c r="X754" s="86">
        <f t="shared" si="148"/>
        <v>0</v>
      </c>
      <c r="Y754" s="87">
        <f t="shared" si="149"/>
        <v>0</v>
      </c>
      <c r="Z754" s="87">
        <f t="shared" si="150"/>
        <v>0</v>
      </c>
      <c r="AA754" s="87">
        <f t="shared" si="151"/>
        <v>4</v>
      </c>
    </row>
    <row r="755" spans="9:27">
      <c r="I755" s="81" t="e">
        <f>IF(#REF!&lt;&gt;"",#REF!,"")</f>
        <v>#REF!</v>
      </c>
      <c r="J755" s="81" t="e">
        <f t="shared" si="152"/>
        <v>#REF!</v>
      </c>
      <c r="L755" s="82" t="e">
        <f t="shared" si="153"/>
        <v>#REF!</v>
      </c>
      <c r="M755" s="81" t="e">
        <f t="shared" si="156"/>
        <v>#REF!</v>
      </c>
      <c r="N755" s="81" t="e">
        <f t="shared" si="154"/>
        <v>#REF!</v>
      </c>
      <c r="O755" s="81" t="e">
        <f t="shared" si="155"/>
        <v>#REF!</v>
      </c>
      <c r="Q755" s="83" t="str">
        <f t="shared" si="157"/>
        <v/>
      </c>
      <c r="R755" s="84" t="e">
        <f t="shared" si="145"/>
        <v>#REF!</v>
      </c>
      <c r="S755" s="83" t="e">
        <f t="shared" si="145"/>
        <v>#REF!</v>
      </c>
      <c r="T755" s="84" t="e">
        <f t="shared" si="146"/>
        <v>#REF!</v>
      </c>
      <c r="U755" s="84" t="e">
        <f t="shared" si="147"/>
        <v>#REF!</v>
      </c>
      <c r="V755" s="85" t="e">
        <f>#REF!</f>
        <v>#REF!</v>
      </c>
      <c r="W755" s="86">
        <f t="shared" si="148"/>
        <v>0</v>
      </c>
      <c r="X755" s="86">
        <f t="shared" si="148"/>
        <v>0</v>
      </c>
      <c r="Y755" s="87">
        <f t="shared" si="149"/>
        <v>0</v>
      </c>
      <c r="Z755" s="87">
        <f t="shared" si="150"/>
        <v>0</v>
      </c>
      <c r="AA755" s="87">
        <f t="shared" si="151"/>
        <v>4</v>
      </c>
    </row>
    <row r="756" spans="9:27">
      <c r="I756" s="81" t="e">
        <f>IF(#REF!&lt;&gt;"",#REF!,"")</f>
        <v>#REF!</v>
      </c>
      <c r="J756" s="81" t="e">
        <f t="shared" si="152"/>
        <v>#REF!</v>
      </c>
      <c r="L756" s="82" t="e">
        <f t="shared" si="153"/>
        <v>#REF!</v>
      </c>
      <c r="M756" s="81" t="e">
        <f t="shared" si="156"/>
        <v>#REF!</v>
      </c>
      <c r="N756" s="81" t="e">
        <f t="shared" si="154"/>
        <v>#REF!</v>
      </c>
      <c r="O756" s="81" t="e">
        <f t="shared" si="155"/>
        <v>#REF!</v>
      </c>
      <c r="Q756" s="83" t="str">
        <f t="shared" si="157"/>
        <v/>
      </c>
      <c r="R756" s="84" t="e">
        <f t="shared" si="145"/>
        <v>#REF!</v>
      </c>
      <c r="S756" s="83" t="e">
        <f t="shared" si="145"/>
        <v>#REF!</v>
      </c>
      <c r="T756" s="84" t="e">
        <f t="shared" si="146"/>
        <v>#REF!</v>
      </c>
      <c r="U756" s="84" t="e">
        <f t="shared" si="147"/>
        <v>#REF!</v>
      </c>
      <c r="V756" s="85" t="e">
        <f>#REF!</f>
        <v>#REF!</v>
      </c>
      <c r="W756" s="86">
        <f t="shared" si="148"/>
        <v>0</v>
      </c>
      <c r="X756" s="86">
        <f t="shared" si="148"/>
        <v>0</v>
      </c>
      <c r="Y756" s="87">
        <f t="shared" si="149"/>
        <v>0</v>
      </c>
      <c r="Z756" s="87">
        <f t="shared" si="150"/>
        <v>0</v>
      </c>
      <c r="AA756" s="87">
        <f t="shared" si="151"/>
        <v>4</v>
      </c>
    </row>
    <row r="757" spans="9:27">
      <c r="I757" s="81" t="e">
        <f>IF(#REF!&lt;&gt;"",#REF!,"")</f>
        <v>#REF!</v>
      </c>
      <c r="J757" s="81" t="e">
        <f t="shared" si="152"/>
        <v>#REF!</v>
      </c>
      <c r="L757" s="82" t="e">
        <f t="shared" si="153"/>
        <v>#REF!</v>
      </c>
      <c r="M757" s="81" t="e">
        <f t="shared" si="156"/>
        <v>#REF!</v>
      </c>
      <c r="N757" s="81" t="e">
        <f t="shared" si="154"/>
        <v>#REF!</v>
      </c>
      <c r="O757" s="81" t="e">
        <f t="shared" si="155"/>
        <v>#REF!</v>
      </c>
      <c r="Q757" s="83" t="str">
        <f t="shared" si="157"/>
        <v/>
      </c>
      <c r="R757" s="84" t="e">
        <f t="shared" si="145"/>
        <v>#REF!</v>
      </c>
      <c r="S757" s="83" t="e">
        <f t="shared" si="145"/>
        <v>#REF!</v>
      </c>
      <c r="T757" s="84" t="e">
        <f t="shared" si="146"/>
        <v>#REF!</v>
      </c>
      <c r="U757" s="84" t="e">
        <f t="shared" si="147"/>
        <v>#REF!</v>
      </c>
      <c r="V757" s="85" t="e">
        <f>#REF!</f>
        <v>#REF!</v>
      </c>
      <c r="W757" s="86">
        <f t="shared" si="148"/>
        <v>0</v>
      </c>
      <c r="X757" s="86">
        <f t="shared" si="148"/>
        <v>0</v>
      </c>
      <c r="Y757" s="87">
        <f t="shared" si="149"/>
        <v>0</v>
      </c>
      <c r="Z757" s="87">
        <f t="shared" si="150"/>
        <v>0</v>
      </c>
      <c r="AA757" s="87">
        <f t="shared" si="151"/>
        <v>4</v>
      </c>
    </row>
    <row r="758" spans="9:27">
      <c r="I758" s="81" t="e">
        <f>IF(#REF!&lt;&gt;"",#REF!,"")</f>
        <v>#REF!</v>
      </c>
      <c r="J758" s="81" t="e">
        <f t="shared" si="152"/>
        <v>#REF!</v>
      </c>
      <c r="L758" s="82" t="e">
        <f t="shared" si="153"/>
        <v>#REF!</v>
      </c>
      <c r="M758" s="81" t="e">
        <f t="shared" si="156"/>
        <v>#REF!</v>
      </c>
      <c r="N758" s="81" t="e">
        <f t="shared" si="154"/>
        <v>#REF!</v>
      </c>
      <c r="O758" s="81" t="e">
        <f t="shared" si="155"/>
        <v>#REF!</v>
      </c>
      <c r="Q758" s="83" t="str">
        <f t="shared" si="157"/>
        <v/>
      </c>
      <c r="R758" s="84" t="e">
        <f t="shared" si="145"/>
        <v>#REF!</v>
      </c>
      <c r="S758" s="83" t="e">
        <f t="shared" si="145"/>
        <v>#REF!</v>
      </c>
      <c r="T758" s="84" t="e">
        <f t="shared" si="146"/>
        <v>#REF!</v>
      </c>
      <c r="U758" s="84" t="e">
        <f t="shared" si="147"/>
        <v>#REF!</v>
      </c>
      <c r="V758" s="85" t="e">
        <f>#REF!</f>
        <v>#REF!</v>
      </c>
      <c r="W758" s="86">
        <f t="shared" si="148"/>
        <v>0</v>
      </c>
      <c r="X758" s="86">
        <f t="shared" si="148"/>
        <v>0</v>
      </c>
      <c r="Y758" s="87">
        <f t="shared" si="149"/>
        <v>0</v>
      </c>
      <c r="Z758" s="87">
        <f t="shared" si="150"/>
        <v>0</v>
      </c>
      <c r="AA758" s="87">
        <f t="shared" si="151"/>
        <v>4</v>
      </c>
    </row>
    <row r="759" spans="9:27">
      <c r="I759" s="81" t="e">
        <f>IF(#REF!&lt;&gt;"",#REF!,"")</f>
        <v>#REF!</v>
      </c>
      <c r="J759" s="81" t="e">
        <f t="shared" si="152"/>
        <v>#REF!</v>
      </c>
      <c r="L759" s="82" t="e">
        <f t="shared" si="153"/>
        <v>#REF!</v>
      </c>
      <c r="M759" s="81" t="e">
        <f t="shared" si="156"/>
        <v>#REF!</v>
      </c>
      <c r="N759" s="81" t="e">
        <f t="shared" si="154"/>
        <v>#REF!</v>
      </c>
      <c r="O759" s="81" t="e">
        <f t="shared" si="155"/>
        <v>#REF!</v>
      </c>
      <c r="Q759" s="83" t="str">
        <f t="shared" si="157"/>
        <v/>
      </c>
      <c r="R759" s="84" t="e">
        <f t="shared" si="145"/>
        <v>#REF!</v>
      </c>
      <c r="S759" s="83" t="e">
        <f t="shared" si="145"/>
        <v>#REF!</v>
      </c>
      <c r="T759" s="84" t="e">
        <f t="shared" si="146"/>
        <v>#REF!</v>
      </c>
      <c r="U759" s="84" t="e">
        <f t="shared" si="147"/>
        <v>#REF!</v>
      </c>
      <c r="V759" s="85" t="e">
        <f>#REF!</f>
        <v>#REF!</v>
      </c>
      <c r="W759" s="86">
        <f t="shared" si="148"/>
        <v>0</v>
      </c>
      <c r="X759" s="86">
        <f t="shared" si="148"/>
        <v>0</v>
      </c>
      <c r="Y759" s="87">
        <f t="shared" si="149"/>
        <v>0</v>
      </c>
      <c r="Z759" s="87">
        <f t="shared" si="150"/>
        <v>0</v>
      </c>
      <c r="AA759" s="87">
        <f t="shared" si="151"/>
        <v>4</v>
      </c>
    </row>
    <row r="760" spans="9:27">
      <c r="I760" s="81" t="e">
        <f>IF(#REF!&lt;&gt;"",#REF!,"")</f>
        <v>#REF!</v>
      </c>
      <c r="J760" s="81" t="e">
        <f t="shared" si="152"/>
        <v>#REF!</v>
      </c>
      <c r="L760" s="82" t="e">
        <f t="shared" si="153"/>
        <v>#REF!</v>
      </c>
      <c r="M760" s="81" t="e">
        <f t="shared" si="156"/>
        <v>#REF!</v>
      </c>
      <c r="N760" s="81" t="e">
        <f t="shared" si="154"/>
        <v>#REF!</v>
      </c>
      <c r="O760" s="81" t="e">
        <f t="shared" si="155"/>
        <v>#REF!</v>
      </c>
      <c r="Q760" s="83" t="str">
        <f t="shared" si="157"/>
        <v/>
      </c>
      <c r="R760" s="84" t="e">
        <f t="shared" si="145"/>
        <v>#REF!</v>
      </c>
      <c r="S760" s="83" t="e">
        <f t="shared" si="145"/>
        <v>#REF!</v>
      </c>
      <c r="T760" s="84" t="e">
        <f t="shared" si="146"/>
        <v>#REF!</v>
      </c>
      <c r="U760" s="84" t="e">
        <f t="shared" si="147"/>
        <v>#REF!</v>
      </c>
      <c r="V760" s="85" t="e">
        <f>#REF!</f>
        <v>#REF!</v>
      </c>
      <c r="W760" s="86">
        <f t="shared" si="148"/>
        <v>0</v>
      </c>
      <c r="X760" s="86">
        <f t="shared" si="148"/>
        <v>0</v>
      </c>
      <c r="Y760" s="87">
        <f t="shared" si="149"/>
        <v>0</v>
      </c>
      <c r="Z760" s="87">
        <f t="shared" si="150"/>
        <v>0</v>
      </c>
      <c r="AA760" s="87">
        <f t="shared" si="151"/>
        <v>4</v>
      </c>
    </row>
    <row r="761" spans="9:27">
      <c r="I761" s="81" t="e">
        <f>IF(#REF!&lt;&gt;"",#REF!,"")</f>
        <v>#REF!</v>
      </c>
      <c r="J761" s="81" t="e">
        <f t="shared" si="152"/>
        <v>#REF!</v>
      </c>
      <c r="L761" s="82" t="e">
        <f t="shared" si="153"/>
        <v>#REF!</v>
      </c>
      <c r="M761" s="81" t="e">
        <f t="shared" si="156"/>
        <v>#REF!</v>
      </c>
      <c r="N761" s="81" t="e">
        <f t="shared" si="154"/>
        <v>#REF!</v>
      </c>
      <c r="O761" s="81" t="e">
        <f t="shared" si="155"/>
        <v>#REF!</v>
      </c>
      <c r="Q761" s="83" t="str">
        <f t="shared" si="157"/>
        <v/>
      </c>
      <c r="R761" s="84" t="e">
        <f t="shared" si="145"/>
        <v>#REF!</v>
      </c>
      <c r="S761" s="83" t="e">
        <f t="shared" si="145"/>
        <v>#REF!</v>
      </c>
      <c r="T761" s="84" t="e">
        <f t="shared" si="146"/>
        <v>#REF!</v>
      </c>
      <c r="U761" s="84" t="e">
        <f t="shared" si="147"/>
        <v>#REF!</v>
      </c>
      <c r="V761" s="85" t="e">
        <f>#REF!</f>
        <v>#REF!</v>
      </c>
      <c r="W761" s="86">
        <f t="shared" si="148"/>
        <v>0</v>
      </c>
      <c r="X761" s="86">
        <f t="shared" si="148"/>
        <v>0</v>
      </c>
      <c r="Y761" s="87">
        <f t="shared" si="149"/>
        <v>0</v>
      </c>
      <c r="Z761" s="87">
        <f t="shared" si="150"/>
        <v>0</v>
      </c>
      <c r="AA761" s="87">
        <f t="shared" si="151"/>
        <v>4</v>
      </c>
    </row>
    <row r="762" spans="9:27">
      <c r="I762" s="81" t="e">
        <f>IF(#REF!&lt;&gt;"",#REF!,"")</f>
        <v>#REF!</v>
      </c>
      <c r="J762" s="81" t="e">
        <f t="shared" si="152"/>
        <v>#REF!</v>
      </c>
      <c r="L762" s="82" t="e">
        <f t="shared" si="153"/>
        <v>#REF!</v>
      </c>
      <c r="M762" s="81" t="e">
        <f t="shared" si="156"/>
        <v>#REF!</v>
      </c>
      <c r="N762" s="81" t="e">
        <f t="shared" si="154"/>
        <v>#REF!</v>
      </c>
      <c r="O762" s="81" t="e">
        <f t="shared" si="155"/>
        <v>#REF!</v>
      </c>
      <c r="Q762" s="83" t="str">
        <f t="shared" si="157"/>
        <v/>
      </c>
      <c r="R762" s="84" t="e">
        <f t="shared" si="145"/>
        <v>#REF!</v>
      </c>
      <c r="S762" s="83" t="e">
        <f t="shared" si="145"/>
        <v>#REF!</v>
      </c>
      <c r="T762" s="84" t="e">
        <f t="shared" si="146"/>
        <v>#REF!</v>
      </c>
      <c r="U762" s="84" t="e">
        <f t="shared" si="147"/>
        <v>#REF!</v>
      </c>
      <c r="V762" s="85" t="e">
        <f>#REF!</f>
        <v>#REF!</v>
      </c>
      <c r="W762" s="86">
        <f t="shared" si="148"/>
        <v>0</v>
      </c>
      <c r="X762" s="86">
        <f t="shared" si="148"/>
        <v>0</v>
      </c>
      <c r="Y762" s="87">
        <f t="shared" si="149"/>
        <v>0</v>
      </c>
      <c r="Z762" s="87">
        <f t="shared" si="150"/>
        <v>0</v>
      </c>
      <c r="AA762" s="87">
        <f t="shared" si="151"/>
        <v>4</v>
      </c>
    </row>
    <row r="763" spans="9:27">
      <c r="I763" s="81" t="e">
        <f>IF(#REF!&lt;&gt;"",#REF!,"")</f>
        <v>#REF!</v>
      </c>
      <c r="J763" s="81" t="e">
        <f t="shared" si="152"/>
        <v>#REF!</v>
      </c>
      <c r="L763" s="82" t="e">
        <f t="shared" si="153"/>
        <v>#REF!</v>
      </c>
      <c r="M763" s="81" t="e">
        <f t="shared" si="156"/>
        <v>#REF!</v>
      </c>
      <c r="N763" s="81" t="e">
        <f t="shared" si="154"/>
        <v>#REF!</v>
      </c>
      <c r="O763" s="81" t="e">
        <f t="shared" si="155"/>
        <v>#REF!</v>
      </c>
      <c r="Q763" s="83" t="str">
        <f t="shared" si="157"/>
        <v/>
      </c>
      <c r="R763" s="84" t="e">
        <f t="shared" si="145"/>
        <v>#REF!</v>
      </c>
      <c r="S763" s="83" t="e">
        <f t="shared" si="145"/>
        <v>#REF!</v>
      </c>
      <c r="T763" s="84" t="e">
        <f t="shared" si="146"/>
        <v>#REF!</v>
      </c>
      <c r="U763" s="84" t="e">
        <f t="shared" si="147"/>
        <v>#REF!</v>
      </c>
      <c r="V763" s="85" t="e">
        <f>#REF!</f>
        <v>#REF!</v>
      </c>
      <c r="W763" s="86">
        <f t="shared" si="148"/>
        <v>0</v>
      </c>
      <c r="X763" s="86">
        <f t="shared" si="148"/>
        <v>0</v>
      </c>
      <c r="Y763" s="87">
        <f t="shared" si="149"/>
        <v>0</v>
      </c>
      <c r="Z763" s="87">
        <f t="shared" si="150"/>
        <v>0</v>
      </c>
      <c r="AA763" s="87">
        <f t="shared" si="151"/>
        <v>4</v>
      </c>
    </row>
    <row r="764" spans="9:27">
      <c r="I764" s="81" t="e">
        <f>IF(#REF!&lt;&gt;"",#REF!,"")</f>
        <v>#REF!</v>
      </c>
      <c r="J764" s="81" t="e">
        <f t="shared" si="152"/>
        <v>#REF!</v>
      </c>
      <c r="L764" s="82" t="e">
        <f t="shared" si="153"/>
        <v>#REF!</v>
      </c>
      <c r="M764" s="81" t="e">
        <f t="shared" si="156"/>
        <v>#REF!</v>
      </c>
      <c r="N764" s="81" t="e">
        <f t="shared" si="154"/>
        <v>#REF!</v>
      </c>
      <c r="O764" s="81" t="e">
        <f t="shared" si="155"/>
        <v>#REF!</v>
      </c>
      <c r="Q764" s="83" t="str">
        <f t="shared" si="157"/>
        <v/>
      </c>
      <c r="R764" s="84" t="e">
        <f t="shared" si="145"/>
        <v>#REF!</v>
      </c>
      <c r="S764" s="83" t="e">
        <f t="shared" si="145"/>
        <v>#REF!</v>
      </c>
      <c r="T764" s="84" t="e">
        <f t="shared" si="146"/>
        <v>#REF!</v>
      </c>
      <c r="U764" s="84" t="e">
        <f t="shared" si="147"/>
        <v>#REF!</v>
      </c>
      <c r="V764" s="85" t="e">
        <f>#REF!</f>
        <v>#REF!</v>
      </c>
      <c r="W764" s="86">
        <f t="shared" si="148"/>
        <v>0</v>
      </c>
      <c r="X764" s="86">
        <f t="shared" si="148"/>
        <v>0</v>
      </c>
      <c r="Y764" s="87">
        <f t="shared" si="149"/>
        <v>0</v>
      </c>
      <c r="Z764" s="87">
        <f t="shared" si="150"/>
        <v>0</v>
      </c>
      <c r="AA764" s="87">
        <f t="shared" si="151"/>
        <v>4</v>
      </c>
    </row>
    <row r="765" spans="9:27">
      <c r="I765" s="81" t="e">
        <f>IF(#REF!&lt;&gt;"",#REF!,"")</f>
        <v>#REF!</v>
      </c>
      <c r="J765" s="81" t="e">
        <f t="shared" si="152"/>
        <v>#REF!</v>
      </c>
      <c r="L765" s="82" t="e">
        <f t="shared" si="153"/>
        <v>#REF!</v>
      </c>
      <c r="M765" s="81" t="e">
        <f t="shared" si="156"/>
        <v>#REF!</v>
      </c>
      <c r="N765" s="81" t="e">
        <f t="shared" si="154"/>
        <v>#REF!</v>
      </c>
      <c r="O765" s="81" t="e">
        <f t="shared" si="155"/>
        <v>#REF!</v>
      </c>
      <c r="Q765" s="83" t="str">
        <f t="shared" si="157"/>
        <v/>
      </c>
      <c r="R765" s="84" t="e">
        <f t="shared" si="145"/>
        <v>#REF!</v>
      </c>
      <c r="S765" s="83" t="e">
        <f t="shared" si="145"/>
        <v>#REF!</v>
      </c>
      <c r="T765" s="84" t="e">
        <f t="shared" si="146"/>
        <v>#REF!</v>
      </c>
      <c r="U765" s="84" t="e">
        <f t="shared" si="147"/>
        <v>#REF!</v>
      </c>
      <c r="V765" s="85" t="e">
        <f>#REF!</f>
        <v>#REF!</v>
      </c>
      <c r="W765" s="86">
        <f t="shared" si="148"/>
        <v>0</v>
      </c>
      <c r="X765" s="86">
        <f t="shared" si="148"/>
        <v>0</v>
      </c>
      <c r="Y765" s="87">
        <f t="shared" si="149"/>
        <v>0</v>
      </c>
      <c r="Z765" s="87">
        <f t="shared" si="150"/>
        <v>0</v>
      </c>
      <c r="AA765" s="87">
        <f t="shared" si="151"/>
        <v>4</v>
      </c>
    </row>
    <row r="766" spans="9:27">
      <c r="I766" s="81" t="e">
        <f>IF(#REF!&lt;&gt;"",#REF!,"")</f>
        <v>#REF!</v>
      </c>
      <c r="J766" s="81" t="e">
        <f t="shared" si="152"/>
        <v>#REF!</v>
      </c>
      <c r="L766" s="82" t="e">
        <f t="shared" si="153"/>
        <v>#REF!</v>
      </c>
      <c r="M766" s="81" t="e">
        <f t="shared" si="156"/>
        <v>#REF!</v>
      </c>
      <c r="N766" s="81" t="e">
        <f t="shared" si="154"/>
        <v>#REF!</v>
      </c>
      <c r="O766" s="81" t="e">
        <f t="shared" si="155"/>
        <v>#REF!</v>
      </c>
      <c r="Q766" s="83" t="str">
        <f t="shared" si="157"/>
        <v/>
      </c>
      <c r="R766" s="84" t="e">
        <f t="shared" si="145"/>
        <v>#REF!</v>
      </c>
      <c r="S766" s="83" t="e">
        <f t="shared" si="145"/>
        <v>#REF!</v>
      </c>
      <c r="T766" s="84" t="e">
        <f t="shared" si="146"/>
        <v>#REF!</v>
      </c>
      <c r="U766" s="84" t="e">
        <f t="shared" si="147"/>
        <v>#REF!</v>
      </c>
      <c r="V766" s="85" t="e">
        <f>#REF!</f>
        <v>#REF!</v>
      </c>
      <c r="W766" s="86">
        <f t="shared" si="148"/>
        <v>0</v>
      </c>
      <c r="X766" s="86">
        <f t="shared" si="148"/>
        <v>0</v>
      </c>
      <c r="Y766" s="87">
        <f t="shared" si="149"/>
        <v>0</v>
      </c>
      <c r="Z766" s="87">
        <f t="shared" si="150"/>
        <v>0</v>
      </c>
      <c r="AA766" s="87">
        <f t="shared" si="151"/>
        <v>4</v>
      </c>
    </row>
    <row r="767" spans="9:27">
      <c r="I767" s="81" t="e">
        <f>IF(#REF!&lt;&gt;"",#REF!,"")</f>
        <v>#REF!</v>
      </c>
      <c r="J767" s="81" t="e">
        <f t="shared" si="152"/>
        <v>#REF!</v>
      </c>
      <c r="L767" s="82" t="e">
        <f t="shared" si="153"/>
        <v>#REF!</v>
      </c>
      <c r="M767" s="81" t="e">
        <f t="shared" si="156"/>
        <v>#REF!</v>
      </c>
      <c r="N767" s="81" t="e">
        <f t="shared" si="154"/>
        <v>#REF!</v>
      </c>
      <c r="O767" s="81" t="e">
        <f t="shared" si="155"/>
        <v>#REF!</v>
      </c>
      <c r="Q767" s="83" t="str">
        <f t="shared" si="157"/>
        <v/>
      </c>
      <c r="R767" s="84" t="e">
        <f t="shared" si="145"/>
        <v>#REF!</v>
      </c>
      <c r="S767" s="83" t="e">
        <f t="shared" si="145"/>
        <v>#REF!</v>
      </c>
      <c r="T767" s="84" t="e">
        <f t="shared" si="146"/>
        <v>#REF!</v>
      </c>
      <c r="U767" s="84" t="e">
        <f t="shared" si="147"/>
        <v>#REF!</v>
      </c>
      <c r="V767" s="85" t="e">
        <f>#REF!</f>
        <v>#REF!</v>
      </c>
      <c r="W767" s="86">
        <f t="shared" si="148"/>
        <v>0</v>
      </c>
      <c r="X767" s="86">
        <f t="shared" si="148"/>
        <v>0</v>
      </c>
      <c r="Y767" s="87">
        <f t="shared" si="149"/>
        <v>0</v>
      </c>
      <c r="Z767" s="87">
        <f t="shared" si="150"/>
        <v>0</v>
      </c>
      <c r="AA767" s="87">
        <f t="shared" si="151"/>
        <v>4</v>
      </c>
    </row>
    <row r="768" spans="9:27">
      <c r="I768" s="81" t="e">
        <f>IF(#REF!&lt;&gt;"",#REF!,"")</f>
        <v>#REF!</v>
      </c>
      <c r="J768" s="81" t="e">
        <f t="shared" si="152"/>
        <v>#REF!</v>
      </c>
      <c r="L768" s="82" t="e">
        <f t="shared" si="153"/>
        <v>#REF!</v>
      </c>
      <c r="M768" s="81" t="e">
        <f t="shared" si="156"/>
        <v>#REF!</v>
      </c>
      <c r="N768" s="81" t="e">
        <f t="shared" si="154"/>
        <v>#REF!</v>
      </c>
      <c r="O768" s="81" t="e">
        <f t="shared" si="155"/>
        <v>#REF!</v>
      </c>
      <c r="Q768" s="83" t="str">
        <f t="shared" si="157"/>
        <v/>
      </c>
      <c r="R768" s="84" t="e">
        <f t="shared" ref="R768:S831" si="158">IF(L768="","",L768)</f>
        <v>#REF!</v>
      </c>
      <c r="S768" s="83" t="e">
        <f t="shared" si="158"/>
        <v>#REF!</v>
      </c>
      <c r="T768" s="84" t="e">
        <f t="shared" ref="T768:T831" si="159">IF(W768=1,"",N768)</f>
        <v>#REF!</v>
      </c>
      <c r="U768" s="84" t="e">
        <f t="shared" ref="U768:U831" si="160">IF(OR(W768=1,X768=1),"",O768)</f>
        <v>#REF!</v>
      </c>
      <c r="V768" s="85" t="e">
        <f>#REF!</f>
        <v>#REF!</v>
      </c>
      <c r="W768" s="86">
        <f t="shared" si="148"/>
        <v>0</v>
      </c>
      <c r="X768" s="86">
        <f t="shared" si="148"/>
        <v>0</v>
      </c>
      <c r="Y768" s="87">
        <f t="shared" si="149"/>
        <v>0</v>
      </c>
      <c r="Z768" s="87">
        <f t="shared" si="150"/>
        <v>0</v>
      </c>
      <c r="AA768" s="87">
        <f t="shared" si="151"/>
        <v>4</v>
      </c>
    </row>
    <row r="769" spans="9:27">
      <c r="I769" s="81" t="e">
        <f>IF(#REF!&lt;&gt;"",#REF!,"")</f>
        <v>#REF!</v>
      </c>
      <c r="J769" s="81" t="e">
        <f t="shared" si="152"/>
        <v>#REF!</v>
      </c>
      <c r="L769" s="82" t="e">
        <f t="shared" si="153"/>
        <v>#REF!</v>
      </c>
      <c r="M769" s="81" t="e">
        <f t="shared" si="156"/>
        <v>#REF!</v>
      </c>
      <c r="N769" s="81" t="e">
        <f t="shared" si="154"/>
        <v>#REF!</v>
      </c>
      <c r="O769" s="81" t="e">
        <f t="shared" si="155"/>
        <v>#REF!</v>
      </c>
      <c r="Q769" s="83" t="str">
        <f t="shared" si="157"/>
        <v/>
      </c>
      <c r="R769" s="84" t="e">
        <f t="shared" si="158"/>
        <v>#REF!</v>
      </c>
      <c r="S769" s="83" t="e">
        <f t="shared" si="158"/>
        <v>#REF!</v>
      </c>
      <c r="T769" s="84" t="e">
        <f t="shared" si="159"/>
        <v>#REF!</v>
      </c>
      <c r="U769" s="84" t="e">
        <f t="shared" si="160"/>
        <v>#REF!</v>
      </c>
      <c r="V769" s="85" t="e">
        <f>#REF!</f>
        <v>#REF!</v>
      </c>
      <c r="W769" s="86">
        <f t="shared" ref="W769:X832" si="161">COUNTIFS(R769,"&gt;&lt;")</f>
        <v>0</v>
      </c>
      <c r="X769" s="86">
        <f t="shared" si="161"/>
        <v>0</v>
      </c>
      <c r="Y769" s="87">
        <f t="shared" ref="Y769:Y832" si="162">COUNTIFS(R769:U769,"*")</f>
        <v>0</v>
      </c>
      <c r="Z769" s="87">
        <f t="shared" ref="Z769:Z832" si="163">COUNTIFS(R769:U769,"&gt;&lt;")</f>
        <v>0</v>
      </c>
      <c r="AA769" s="87">
        <f t="shared" ref="AA769:AA832" si="164">COUNTIFS(R769:U769,"&lt;&gt;")</f>
        <v>4</v>
      </c>
    </row>
    <row r="770" spans="9:27">
      <c r="I770" s="81" t="e">
        <f>IF(#REF!&lt;&gt;"",#REF!,"")</f>
        <v>#REF!</v>
      </c>
      <c r="J770" s="81" t="e">
        <f t="shared" si="152"/>
        <v>#REF!</v>
      </c>
      <c r="L770" s="82" t="e">
        <f t="shared" si="153"/>
        <v>#REF!</v>
      </c>
      <c r="M770" s="81" t="e">
        <f t="shared" si="156"/>
        <v>#REF!</v>
      </c>
      <c r="N770" s="81" t="e">
        <f t="shared" si="154"/>
        <v>#REF!</v>
      </c>
      <c r="O770" s="81" t="e">
        <f t="shared" si="155"/>
        <v>#REF!</v>
      </c>
      <c r="Q770" s="83" t="str">
        <f t="shared" si="157"/>
        <v/>
      </c>
      <c r="R770" s="84" t="e">
        <f t="shared" si="158"/>
        <v>#REF!</v>
      </c>
      <c r="S770" s="83" t="e">
        <f t="shared" si="158"/>
        <v>#REF!</v>
      </c>
      <c r="T770" s="84" t="e">
        <f t="shared" si="159"/>
        <v>#REF!</v>
      </c>
      <c r="U770" s="84" t="e">
        <f t="shared" si="160"/>
        <v>#REF!</v>
      </c>
      <c r="V770" s="85" t="e">
        <f>#REF!</f>
        <v>#REF!</v>
      </c>
      <c r="W770" s="86">
        <f t="shared" si="161"/>
        <v>0</v>
      </c>
      <c r="X770" s="86">
        <f t="shared" si="161"/>
        <v>0</v>
      </c>
      <c r="Y770" s="87">
        <f t="shared" si="162"/>
        <v>0</v>
      </c>
      <c r="Z770" s="87">
        <f t="shared" si="163"/>
        <v>0</v>
      </c>
      <c r="AA770" s="87">
        <f t="shared" si="164"/>
        <v>4</v>
      </c>
    </row>
    <row r="771" spans="9:27">
      <c r="I771" s="81" t="e">
        <f>IF(#REF!&lt;&gt;"",#REF!,"")</f>
        <v>#REF!</v>
      </c>
      <c r="J771" s="81" t="e">
        <f t="shared" ref="J771:J834" si="165">LEFT(I771,1)</f>
        <v>#REF!</v>
      </c>
      <c r="L771" s="82" t="e">
        <f t="shared" ref="L771:L834" si="166">IF(OR(J771="E",J771="L",J771="M"),"",I771)</f>
        <v>#REF!</v>
      </c>
      <c r="M771" s="81" t="e">
        <f t="shared" si="156"/>
        <v>#REF!</v>
      </c>
      <c r="N771" s="81" t="e">
        <f t="shared" ref="N771:N834" si="167">IF(OR(J771="D",J771="E",J771="L"),"",I771)</f>
        <v>#REF!</v>
      </c>
      <c r="O771" s="81" t="e">
        <f t="shared" ref="O771:O834" si="168">IF(OR(J771="D",J771="E",J771="M"),"",I771)</f>
        <v>#REF!</v>
      </c>
      <c r="Q771" s="83" t="str">
        <f t="shared" si="157"/>
        <v/>
      </c>
      <c r="R771" s="84" t="e">
        <f t="shared" si="158"/>
        <v>#REF!</v>
      </c>
      <c r="S771" s="83" t="e">
        <f t="shared" si="158"/>
        <v>#REF!</v>
      </c>
      <c r="T771" s="84" t="e">
        <f t="shared" si="159"/>
        <v>#REF!</v>
      </c>
      <c r="U771" s="84" t="e">
        <f t="shared" si="160"/>
        <v>#REF!</v>
      </c>
      <c r="V771" s="85" t="e">
        <f>#REF!</f>
        <v>#REF!</v>
      </c>
      <c r="W771" s="86">
        <f t="shared" si="161"/>
        <v>0</v>
      </c>
      <c r="X771" s="86">
        <f t="shared" si="161"/>
        <v>0</v>
      </c>
      <c r="Y771" s="87">
        <f t="shared" si="162"/>
        <v>0</v>
      </c>
      <c r="Z771" s="87">
        <f t="shared" si="163"/>
        <v>0</v>
      </c>
      <c r="AA771" s="87">
        <f t="shared" si="164"/>
        <v>4</v>
      </c>
    </row>
    <row r="772" spans="9:27">
      <c r="I772" s="81" t="e">
        <f>IF(#REF!&lt;&gt;"",#REF!,"")</f>
        <v>#REF!</v>
      </c>
      <c r="J772" s="81" t="e">
        <f t="shared" si="165"/>
        <v>#REF!</v>
      </c>
      <c r="L772" s="82" t="e">
        <f t="shared" si="166"/>
        <v>#REF!</v>
      </c>
      <c r="M772" s="81" t="e">
        <f t="shared" si="156"/>
        <v>#REF!</v>
      </c>
      <c r="N772" s="81" t="e">
        <f t="shared" si="167"/>
        <v>#REF!</v>
      </c>
      <c r="O772" s="81" t="e">
        <f t="shared" si="168"/>
        <v>#REF!</v>
      </c>
      <c r="Q772" s="83" t="str">
        <f t="shared" si="157"/>
        <v/>
      </c>
      <c r="R772" s="84" t="e">
        <f t="shared" si="158"/>
        <v>#REF!</v>
      </c>
      <c r="S772" s="83" t="e">
        <f t="shared" si="158"/>
        <v>#REF!</v>
      </c>
      <c r="T772" s="84" t="e">
        <f t="shared" si="159"/>
        <v>#REF!</v>
      </c>
      <c r="U772" s="84" t="e">
        <f t="shared" si="160"/>
        <v>#REF!</v>
      </c>
      <c r="V772" s="85" t="e">
        <f>#REF!</f>
        <v>#REF!</v>
      </c>
      <c r="W772" s="86">
        <f t="shared" si="161"/>
        <v>0</v>
      </c>
      <c r="X772" s="86">
        <f t="shared" si="161"/>
        <v>0</v>
      </c>
      <c r="Y772" s="87">
        <f t="shared" si="162"/>
        <v>0</v>
      </c>
      <c r="Z772" s="87">
        <f t="shared" si="163"/>
        <v>0</v>
      </c>
      <c r="AA772" s="87">
        <f t="shared" si="164"/>
        <v>4</v>
      </c>
    </row>
    <row r="773" spans="9:27">
      <c r="I773" s="81" t="e">
        <f>IF(#REF!&lt;&gt;"",#REF!,"")</f>
        <v>#REF!</v>
      </c>
      <c r="J773" s="81" t="e">
        <f t="shared" si="165"/>
        <v>#REF!</v>
      </c>
      <c r="L773" s="82" t="e">
        <f t="shared" si="166"/>
        <v>#REF!</v>
      </c>
      <c r="M773" s="81" t="e">
        <f t="shared" si="156"/>
        <v>#REF!</v>
      </c>
      <c r="N773" s="81" t="e">
        <f t="shared" si="167"/>
        <v>#REF!</v>
      </c>
      <c r="O773" s="81" t="e">
        <f t="shared" si="168"/>
        <v>#REF!</v>
      </c>
      <c r="Q773" s="83" t="str">
        <f t="shared" si="157"/>
        <v/>
      </c>
      <c r="R773" s="84" t="e">
        <f t="shared" si="158"/>
        <v>#REF!</v>
      </c>
      <c r="S773" s="83" t="e">
        <f t="shared" si="158"/>
        <v>#REF!</v>
      </c>
      <c r="T773" s="84" t="e">
        <f t="shared" si="159"/>
        <v>#REF!</v>
      </c>
      <c r="U773" s="84" t="e">
        <f t="shared" si="160"/>
        <v>#REF!</v>
      </c>
      <c r="V773" s="85" t="e">
        <f>#REF!</f>
        <v>#REF!</v>
      </c>
      <c r="W773" s="86">
        <f t="shared" si="161"/>
        <v>0</v>
      </c>
      <c r="X773" s="86">
        <f t="shared" si="161"/>
        <v>0</v>
      </c>
      <c r="Y773" s="87">
        <f t="shared" si="162"/>
        <v>0</v>
      </c>
      <c r="Z773" s="87">
        <f t="shared" si="163"/>
        <v>0</v>
      </c>
      <c r="AA773" s="87">
        <f t="shared" si="164"/>
        <v>4</v>
      </c>
    </row>
    <row r="774" spans="9:27">
      <c r="I774" s="81" t="e">
        <f>IF(#REF!&lt;&gt;"",#REF!,"")</f>
        <v>#REF!</v>
      </c>
      <c r="J774" s="81" t="e">
        <f t="shared" si="165"/>
        <v>#REF!</v>
      </c>
      <c r="L774" s="82" t="e">
        <f t="shared" si="166"/>
        <v>#REF!</v>
      </c>
      <c r="M774" s="81" t="e">
        <f t="shared" ref="M774:M837" si="169">IF(OR(J774="D",J774="L",J774="M"),"",I774)</f>
        <v>#REF!</v>
      </c>
      <c r="N774" s="81" t="e">
        <f t="shared" si="167"/>
        <v>#REF!</v>
      </c>
      <c r="O774" s="81" t="e">
        <f t="shared" si="168"/>
        <v>#REF!</v>
      </c>
      <c r="Q774" s="83" t="str">
        <f t="shared" si="157"/>
        <v/>
      </c>
      <c r="R774" s="84" t="e">
        <f t="shared" si="158"/>
        <v>#REF!</v>
      </c>
      <c r="S774" s="83" t="e">
        <f t="shared" si="158"/>
        <v>#REF!</v>
      </c>
      <c r="T774" s="84" t="e">
        <f t="shared" si="159"/>
        <v>#REF!</v>
      </c>
      <c r="U774" s="84" t="e">
        <f t="shared" si="160"/>
        <v>#REF!</v>
      </c>
      <c r="V774" s="85" t="e">
        <f>#REF!</f>
        <v>#REF!</v>
      </c>
      <c r="W774" s="86">
        <f t="shared" si="161"/>
        <v>0</v>
      </c>
      <c r="X774" s="86">
        <f t="shared" si="161"/>
        <v>0</v>
      </c>
      <c r="Y774" s="87">
        <f t="shared" si="162"/>
        <v>0</v>
      </c>
      <c r="Z774" s="87">
        <f t="shared" si="163"/>
        <v>0</v>
      </c>
      <c r="AA774" s="87">
        <f t="shared" si="164"/>
        <v>4</v>
      </c>
    </row>
    <row r="775" spans="9:27">
      <c r="I775" s="81" t="e">
        <f>IF(#REF!&lt;&gt;"",#REF!,"")</f>
        <v>#REF!</v>
      </c>
      <c r="J775" s="81" t="e">
        <f t="shared" si="165"/>
        <v>#REF!</v>
      </c>
      <c r="L775" s="82" t="e">
        <f t="shared" si="166"/>
        <v>#REF!</v>
      </c>
      <c r="M775" s="81" t="e">
        <f t="shared" si="169"/>
        <v>#REF!</v>
      </c>
      <c r="N775" s="81" t="e">
        <f t="shared" si="167"/>
        <v>#REF!</v>
      </c>
      <c r="O775" s="81" t="e">
        <f t="shared" si="168"/>
        <v>#REF!</v>
      </c>
      <c r="Q775" s="83" t="str">
        <f t="shared" si="157"/>
        <v/>
      </c>
      <c r="R775" s="84" t="e">
        <f t="shared" si="158"/>
        <v>#REF!</v>
      </c>
      <c r="S775" s="83" t="e">
        <f t="shared" si="158"/>
        <v>#REF!</v>
      </c>
      <c r="T775" s="84" t="e">
        <f t="shared" si="159"/>
        <v>#REF!</v>
      </c>
      <c r="U775" s="84" t="e">
        <f t="shared" si="160"/>
        <v>#REF!</v>
      </c>
      <c r="V775" s="85" t="e">
        <f>#REF!</f>
        <v>#REF!</v>
      </c>
      <c r="W775" s="86">
        <f t="shared" si="161"/>
        <v>0</v>
      </c>
      <c r="X775" s="86">
        <f t="shared" si="161"/>
        <v>0</v>
      </c>
      <c r="Y775" s="87">
        <f t="shared" si="162"/>
        <v>0</v>
      </c>
      <c r="Z775" s="87">
        <f t="shared" si="163"/>
        <v>0</v>
      </c>
      <c r="AA775" s="87">
        <f t="shared" si="164"/>
        <v>4</v>
      </c>
    </row>
    <row r="776" spans="9:27">
      <c r="I776" s="81" t="e">
        <f>IF(#REF!&lt;&gt;"",#REF!,"")</f>
        <v>#REF!</v>
      </c>
      <c r="J776" s="81" t="e">
        <f t="shared" si="165"/>
        <v>#REF!</v>
      </c>
      <c r="L776" s="82" t="e">
        <f t="shared" si="166"/>
        <v>#REF!</v>
      </c>
      <c r="M776" s="81" t="e">
        <f t="shared" si="169"/>
        <v>#REF!</v>
      </c>
      <c r="N776" s="81" t="e">
        <f t="shared" si="167"/>
        <v>#REF!</v>
      </c>
      <c r="O776" s="81" t="e">
        <f t="shared" si="168"/>
        <v>#REF!</v>
      </c>
      <c r="Q776" s="83" t="str">
        <f t="shared" si="157"/>
        <v/>
      </c>
      <c r="R776" s="84" t="e">
        <f t="shared" si="158"/>
        <v>#REF!</v>
      </c>
      <c r="S776" s="83" t="e">
        <f t="shared" si="158"/>
        <v>#REF!</v>
      </c>
      <c r="T776" s="84" t="e">
        <f t="shared" si="159"/>
        <v>#REF!</v>
      </c>
      <c r="U776" s="84" t="e">
        <f t="shared" si="160"/>
        <v>#REF!</v>
      </c>
      <c r="V776" s="85" t="e">
        <f>#REF!</f>
        <v>#REF!</v>
      </c>
      <c r="W776" s="86">
        <f t="shared" si="161"/>
        <v>0</v>
      </c>
      <c r="X776" s="86">
        <f t="shared" si="161"/>
        <v>0</v>
      </c>
      <c r="Y776" s="87">
        <f t="shared" si="162"/>
        <v>0</v>
      </c>
      <c r="Z776" s="87">
        <f t="shared" si="163"/>
        <v>0</v>
      </c>
      <c r="AA776" s="87">
        <f t="shared" si="164"/>
        <v>4</v>
      </c>
    </row>
    <row r="777" spans="9:27">
      <c r="I777" s="81" t="e">
        <f>IF(#REF!&lt;&gt;"",#REF!,"")</f>
        <v>#REF!</v>
      </c>
      <c r="J777" s="81" t="e">
        <f t="shared" si="165"/>
        <v>#REF!</v>
      </c>
      <c r="L777" s="82" t="e">
        <f t="shared" si="166"/>
        <v>#REF!</v>
      </c>
      <c r="M777" s="81" t="e">
        <f t="shared" si="169"/>
        <v>#REF!</v>
      </c>
      <c r="N777" s="81" t="e">
        <f t="shared" si="167"/>
        <v>#REF!</v>
      </c>
      <c r="O777" s="81" t="e">
        <f t="shared" si="168"/>
        <v>#REF!</v>
      </c>
      <c r="Q777" s="83" t="str">
        <f t="shared" si="157"/>
        <v/>
      </c>
      <c r="R777" s="84" t="e">
        <f t="shared" si="158"/>
        <v>#REF!</v>
      </c>
      <c r="S777" s="83" t="e">
        <f t="shared" si="158"/>
        <v>#REF!</v>
      </c>
      <c r="T777" s="84" t="e">
        <f t="shared" si="159"/>
        <v>#REF!</v>
      </c>
      <c r="U777" s="84" t="e">
        <f t="shared" si="160"/>
        <v>#REF!</v>
      </c>
      <c r="V777" s="85" t="e">
        <f>#REF!</f>
        <v>#REF!</v>
      </c>
      <c r="W777" s="86">
        <f t="shared" si="161"/>
        <v>0</v>
      </c>
      <c r="X777" s="86">
        <f t="shared" si="161"/>
        <v>0</v>
      </c>
      <c r="Y777" s="87">
        <f t="shared" si="162"/>
        <v>0</v>
      </c>
      <c r="Z777" s="87">
        <f t="shared" si="163"/>
        <v>0</v>
      </c>
      <c r="AA777" s="87">
        <f t="shared" si="164"/>
        <v>4</v>
      </c>
    </row>
    <row r="778" spans="9:27">
      <c r="I778" s="81" t="e">
        <f>IF(#REF!&lt;&gt;"",#REF!,"")</f>
        <v>#REF!</v>
      </c>
      <c r="J778" s="81" t="e">
        <f t="shared" si="165"/>
        <v>#REF!</v>
      </c>
      <c r="L778" s="82" t="e">
        <f t="shared" si="166"/>
        <v>#REF!</v>
      </c>
      <c r="M778" s="81" t="e">
        <f t="shared" si="169"/>
        <v>#REF!</v>
      </c>
      <c r="N778" s="81" t="e">
        <f t="shared" si="167"/>
        <v>#REF!</v>
      </c>
      <c r="O778" s="81" t="e">
        <f t="shared" si="168"/>
        <v>#REF!</v>
      </c>
      <c r="Q778" s="83" t="str">
        <f t="shared" si="157"/>
        <v/>
      </c>
      <c r="R778" s="84" t="e">
        <f t="shared" si="158"/>
        <v>#REF!</v>
      </c>
      <c r="S778" s="83" t="e">
        <f t="shared" si="158"/>
        <v>#REF!</v>
      </c>
      <c r="T778" s="84" t="e">
        <f t="shared" si="159"/>
        <v>#REF!</v>
      </c>
      <c r="U778" s="84" t="e">
        <f t="shared" si="160"/>
        <v>#REF!</v>
      </c>
      <c r="V778" s="85" t="e">
        <f>#REF!</f>
        <v>#REF!</v>
      </c>
      <c r="W778" s="86">
        <f t="shared" si="161"/>
        <v>0</v>
      </c>
      <c r="X778" s="86">
        <f t="shared" si="161"/>
        <v>0</v>
      </c>
      <c r="Y778" s="87">
        <f t="shared" si="162"/>
        <v>0</v>
      </c>
      <c r="Z778" s="87">
        <f t="shared" si="163"/>
        <v>0</v>
      </c>
      <c r="AA778" s="87">
        <f t="shared" si="164"/>
        <v>4</v>
      </c>
    </row>
    <row r="779" spans="9:27">
      <c r="I779" s="81" t="e">
        <f>IF(#REF!&lt;&gt;"",#REF!,"")</f>
        <v>#REF!</v>
      </c>
      <c r="J779" s="81" t="e">
        <f t="shared" si="165"/>
        <v>#REF!</v>
      </c>
      <c r="L779" s="82" t="e">
        <f t="shared" si="166"/>
        <v>#REF!</v>
      </c>
      <c r="M779" s="81" t="e">
        <f t="shared" si="169"/>
        <v>#REF!</v>
      </c>
      <c r="N779" s="81" t="e">
        <f t="shared" si="167"/>
        <v>#REF!</v>
      </c>
      <c r="O779" s="81" t="e">
        <f t="shared" si="168"/>
        <v>#REF!</v>
      </c>
      <c r="Q779" s="83" t="str">
        <f t="shared" si="157"/>
        <v/>
      </c>
      <c r="R779" s="84" t="e">
        <f t="shared" si="158"/>
        <v>#REF!</v>
      </c>
      <c r="S779" s="83" t="e">
        <f t="shared" si="158"/>
        <v>#REF!</v>
      </c>
      <c r="T779" s="84" t="e">
        <f t="shared" si="159"/>
        <v>#REF!</v>
      </c>
      <c r="U779" s="84" t="e">
        <f t="shared" si="160"/>
        <v>#REF!</v>
      </c>
      <c r="V779" s="85" t="e">
        <f>#REF!</f>
        <v>#REF!</v>
      </c>
      <c r="W779" s="86">
        <f t="shared" si="161"/>
        <v>0</v>
      </c>
      <c r="X779" s="86">
        <f t="shared" si="161"/>
        <v>0</v>
      </c>
      <c r="Y779" s="87">
        <f t="shared" si="162"/>
        <v>0</v>
      </c>
      <c r="Z779" s="87">
        <f t="shared" si="163"/>
        <v>0</v>
      </c>
      <c r="AA779" s="87">
        <f t="shared" si="164"/>
        <v>4</v>
      </c>
    </row>
    <row r="780" spans="9:27">
      <c r="I780" s="81" t="e">
        <f>IF(#REF!&lt;&gt;"",#REF!,"")</f>
        <v>#REF!</v>
      </c>
      <c r="J780" s="81" t="e">
        <f t="shared" si="165"/>
        <v>#REF!</v>
      </c>
      <c r="L780" s="82" t="e">
        <f t="shared" si="166"/>
        <v>#REF!</v>
      </c>
      <c r="M780" s="81" t="e">
        <f t="shared" si="169"/>
        <v>#REF!</v>
      </c>
      <c r="N780" s="81" t="e">
        <f t="shared" si="167"/>
        <v>#REF!</v>
      </c>
      <c r="O780" s="81" t="e">
        <f t="shared" si="168"/>
        <v>#REF!</v>
      </c>
      <c r="Q780" s="83" t="str">
        <f t="shared" si="157"/>
        <v/>
      </c>
      <c r="R780" s="84" t="e">
        <f t="shared" si="158"/>
        <v>#REF!</v>
      </c>
      <c r="S780" s="83" t="e">
        <f t="shared" si="158"/>
        <v>#REF!</v>
      </c>
      <c r="T780" s="84" t="e">
        <f t="shared" si="159"/>
        <v>#REF!</v>
      </c>
      <c r="U780" s="84" t="e">
        <f t="shared" si="160"/>
        <v>#REF!</v>
      </c>
      <c r="V780" s="85" t="e">
        <f>#REF!</f>
        <v>#REF!</v>
      </c>
      <c r="W780" s="86">
        <f t="shared" si="161"/>
        <v>0</v>
      </c>
      <c r="X780" s="86">
        <f t="shared" si="161"/>
        <v>0</v>
      </c>
      <c r="Y780" s="87">
        <f t="shared" si="162"/>
        <v>0</v>
      </c>
      <c r="Z780" s="87">
        <f t="shared" si="163"/>
        <v>0</v>
      </c>
      <c r="AA780" s="87">
        <f t="shared" si="164"/>
        <v>4</v>
      </c>
    </row>
    <row r="781" spans="9:27">
      <c r="I781" s="81" t="e">
        <f>IF(#REF!&lt;&gt;"",#REF!,"")</f>
        <v>#REF!</v>
      </c>
      <c r="J781" s="81" t="e">
        <f t="shared" si="165"/>
        <v>#REF!</v>
      </c>
      <c r="L781" s="82" t="e">
        <f t="shared" si="166"/>
        <v>#REF!</v>
      </c>
      <c r="M781" s="81" t="e">
        <f t="shared" si="169"/>
        <v>#REF!</v>
      </c>
      <c r="N781" s="81" t="e">
        <f t="shared" si="167"/>
        <v>#REF!</v>
      </c>
      <c r="O781" s="81" t="e">
        <f t="shared" si="168"/>
        <v>#REF!</v>
      </c>
      <c r="Q781" s="83" t="str">
        <f t="shared" si="157"/>
        <v/>
      </c>
      <c r="R781" s="84" t="e">
        <f t="shared" si="158"/>
        <v>#REF!</v>
      </c>
      <c r="S781" s="83" t="e">
        <f t="shared" si="158"/>
        <v>#REF!</v>
      </c>
      <c r="T781" s="84" t="e">
        <f t="shared" si="159"/>
        <v>#REF!</v>
      </c>
      <c r="U781" s="84" t="e">
        <f t="shared" si="160"/>
        <v>#REF!</v>
      </c>
      <c r="V781" s="85" t="e">
        <f>#REF!</f>
        <v>#REF!</v>
      </c>
      <c r="W781" s="86">
        <f t="shared" si="161"/>
        <v>0</v>
      </c>
      <c r="X781" s="86">
        <f t="shared" si="161"/>
        <v>0</v>
      </c>
      <c r="Y781" s="87">
        <f t="shared" si="162"/>
        <v>0</v>
      </c>
      <c r="Z781" s="87">
        <f t="shared" si="163"/>
        <v>0</v>
      </c>
      <c r="AA781" s="87">
        <f t="shared" si="164"/>
        <v>4</v>
      </c>
    </row>
    <row r="782" spans="9:27">
      <c r="I782" s="81" t="e">
        <f>IF(#REF!&lt;&gt;"",#REF!,"")</f>
        <v>#REF!</v>
      </c>
      <c r="J782" s="81" t="e">
        <f t="shared" si="165"/>
        <v>#REF!</v>
      </c>
      <c r="L782" s="82" t="e">
        <f t="shared" si="166"/>
        <v>#REF!</v>
      </c>
      <c r="M782" s="81" t="e">
        <f t="shared" si="169"/>
        <v>#REF!</v>
      </c>
      <c r="N782" s="81" t="e">
        <f t="shared" si="167"/>
        <v>#REF!</v>
      </c>
      <c r="O782" s="81" t="e">
        <f t="shared" si="168"/>
        <v>#REF!</v>
      </c>
      <c r="Q782" s="83" t="str">
        <f t="shared" si="157"/>
        <v/>
      </c>
      <c r="R782" s="84" t="e">
        <f t="shared" si="158"/>
        <v>#REF!</v>
      </c>
      <c r="S782" s="83" t="e">
        <f t="shared" si="158"/>
        <v>#REF!</v>
      </c>
      <c r="T782" s="84" t="e">
        <f t="shared" si="159"/>
        <v>#REF!</v>
      </c>
      <c r="U782" s="84" t="e">
        <f t="shared" si="160"/>
        <v>#REF!</v>
      </c>
      <c r="V782" s="85" t="e">
        <f>#REF!</f>
        <v>#REF!</v>
      </c>
      <c r="W782" s="86">
        <f t="shared" si="161"/>
        <v>0</v>
      </c>
      <c r="X782" s="86">
        <f t="shared" si="161"/>
        <v>0</v>
      </c>
      <c r="Y782" s="87">
        <f t="shared" si="162"/>
        <v>0</v>
      </c>
      <c r="Z782" s="87">
        <f t="shared" si="163"/>
        <v>0</v>
      </c>
      <c r="AA782" s="87">
        <f t="shared" si="164"/>
        <v>4</v>
      </c>
    </row>
    <row r="783" spans="9:27">
      <c r="I783" s="81" t="e">
        <f>IF(#REF!&lt;&gt;"",#REF!,"")</f>
        <v>#REF!</v>
      </c>
      <c r="J783" s="81" t="e">
        <f t="shared" si="165"/>
        <v>#REF!</v>
      </c>
      <c r="L783" s="82" t="e">
        <f t="shared" si="166"/>
        <v>#REF!</v>
      </c>
      <c r="M783" s="81" t="e">
        <f t="shared" si="169"/>
        <v>#REF!</v>
      </c>
      <c r="N783" s="81" t="e">
        <f t="shared" si="167"/>
        <v>#REF!</v>
      </c>
      <c r="O783" s="81" t="e">
        <f t="shared" si="168"/>
        <v>#REF!</v>
      </c>
      <c r="Q783" s="83" t="str">
        <f t="shared" si="157"/>
        <v/>
      </c>
      <c r="R783" s="84" t="e">
        <f t="shared" si="158"/>
        <v>#REF!</v>
      </c>
      <c r="S783" s="83" t="e">
        <f t="shared" si="158"/>
        <v>#REF!</v>
      </c>
      <c r="T783" s="84" t="e">
        <f t="shared" si="159"/>
        <v>#REF!</v>
      </c>
      <c r="U783" s="84" t="e">
        <f t="shared" si="160"/>
        <v>#REF!</v>
      </c>
      <c r="V783" s="85" t="e">
        <f>#REF!</f>
        <v>#REF!</v>
      </c>
      <c r="W783" s="86">
        <f t="shared" si="161"/>
        <v>0</v>
      </c>
      <c r="X783" s="86">
        <f t="shared" si="161"/>
        <v>0</v>
      </c>
      <c r="Y783" s="87">
        <f t="shared" si="162"/>
        <v>0</v>
      </c>
      <c r="Z783" s="87">
        <f t="shared" si="163"/>
        <v>0</v>
      </c>
      <c r="AA783" s="87">
        <f t="shared" si="164"/>
        <v>4</v>
      </c>
    </row>
    <row r="784" spans="9:27">
      <c r="I784" s="81" t="e">
        <f>IF(#REF!&lt;&gt;"",#REF!,"")</f>
        <v>#REF!</v>
      </c>
      <c r="J784" s="81" t="e">
        <f t="shared" si="165"/>
        <v>#REF!</v>
      </c>
      <c r="L784" s="82" t="e">
        <f t="shared" si="166"/>
        <v>#REF!</v>
      </c>
      <c r="M784" s="81" t="e">
        <f t="shared" si="169"/>
        <v>#REF!</v>
      </c>
      <c r="N784" s="81" t="e">
        <f t="shared" si="167"/>
        <v>#REF!</v>
      </c>
      <c r="O784" s="81" t="e">
        <f t="shared" si="168"/>
        <v>#REF!</v>
      </c>
      <c r="Q784" s="83" t="str">
        <f t="shared" si="157"/>
        <v/>
      </c>
      <c r="R784" s="84" t="e">
        <f t="shared" si="158"/>
        <v>#REF!</v>
      </c>
      <c r="S784" s="83" t="e">
        <f t="shared" si="158"/>
        <v>#REF!</v>
      </c>
      <c r="T784" s="84" t="e">
        <f t="shared" si="159"/>
        <v>#REF!</v>
      </c>
      <c r="U784" s="84" t="e">
        <f t="shared" si="160"/>
        <v>#REF!</v>
      </c>
      <c r="V784" s="85" t="e">
        <f>#REF!</f>
        <v>#REF!</v>
      </c>
      <c r="W784" s="86">
        <f t="shared" si="161"/>
        <v>0</v>
      </c>
      <c r="X784" s="86">
        <f t="shared" si="161"/>
        <v>0</v>
      </c>
      <c r="Y784" s="87">
        <f t="shared" si="162"/>
        <v>0</v>
      </c>
      <c r="Z784" s="87">
        <f t="shared" si="163"/>
        <v>0</v>
      </c>
      <c r="AA784" s="87">
        <f t="shared" si="164"/>
        <v>4</v>
      </c>
    </row>
    <row r="785" spans="9:27">
      <c r="I785" s="81" t="e">
        <f>IF(#REF!&lt;&gt;"",#REF!,"")</f>
        <v>#REF!</v>
      </c>
      <c r="J785" s="81" t="e">
        <f t="shared" si="165"/>
        <v>#REF!</v>
      </c>
      <c r="L785" s="82" t="e">
        <f t="shared" si="166"/>
        <v>#REF!</v>
      </c>
      <c r="M785" s="81" t="e">
        <f t="shared" si="169"/>
        <v>#REF!</v>
      </c>
      <c r="N785" s="81" t="e">
        <f t="shared" si="167"/>
        <v>#REF!</v>
      </c>
      <c r="O785" s="81" t="e">
        <f t="shared" si="168"/>
        <v>#REF!</v>
      </c>
      <c r="Q785" s="83" t="str">
        <f t="shared" si="157"/>
        <v/>
      </c>
      <c r="R785" s="84" t="e">
        <f t="shared" si="158"/>
        <v>#REF!</v>
      </c>
      <c r="S785" s="83" t="e">
        <f t="shared" si="158"/>
        <v>#REF!</v>
      </c>
      <c r="T785" s="84" t="e">
        <f t="shared" si="159"/>
        <v>#REF!</v>
      </c>
      <c r="U785" s="84" t="e">
        <f t="shared" si="160"/>
        <v>#REF!</v>
      </c>
      <c r="V785" s="85" t="e">
        <f>#REF!</f>
        <v>#REF!</v>
      </c>
      <c r="W785" s="86">
        <f t="shared" si="161"/>
        <v>0</v>
      </c>
      <c r="X785" s="86">
        <f t="shared" si="161"/>
        <v>0</v>
      </c>
      <c r="Y785" s="87">
        <f t="shared" si="162"/>
        <v>0</v>
      </c>
      <c r="Z785" s="87">
        <f t="shared" si="163"/>
        <v>0</v>
      </c>
      <c r="AA785" s="87">
        <f t="shared" si="164"/>
        <v>4</v>
      </c>
    </row>
    <row r="786" spans="9:27">
      <c r="I786" s="81" t="e">
        <f>IF(#REF!&lt;&gt;"",#REF!,"")</f>
        <v>#REF!</v>
      </c>
      <c r="J786" s="81" t="e">
        <f t="shared" si="165"/>
        <v>#REF!</v>
      </c>
      <c r="L786" s="82" t="e">
        <f t="shared" si="166"/>
        <v>#REF!</v>
      </c>
      <c r="M786" s="81" t="e">
        <f t="shared" si="169"/>
        <v>#REF!</v>
      </c>
      <c r="N786" s="81" t="e">
        <f t="shared" si="167"/>
        <v>#REF!</v>
      </c>
      <c r="O786" s="81" t="e">
        <f t="shared" si="168"/>
        <v>#REF!</v>
      </c>
      <c r="Q786" s="83" t="str">
        <f t="shared" si="157"/>
        <v/>
      </c>
      <c r="R786" s="84" t="e">
        <f t="shared" si="158"/>
        <v>#REF!</v>
      </c>
      <c r="S786" s="83" t="e">
        <f t="shared" si="158"/>
        <v>#REF!</v>
      </c>
      <c r="T786" s="84" t="e">
        <f t="shared" si="159"/>
        <v>#REF!</v>
      </c>
      <c r="U786" s="84" t="e">
        <f t="shared" si="160"/>
        <v>#REF!</v>
      </c>
      <c r="V786" s="85" t="e">
        <f>#REF!</f>
        <v>#REF!</v>
      </c>
      <c r="W786" s="86">
        <f t="shared" si="161"/>
        <v>0</v>
      </c>
      <c r="X786" s="86">
        <f t="shared" si="161"/>
        <v>0</v>
      </c>
      <c r="Y786" s="87">
        <f t="shared" si="162"/>
        <v>0</v>
      </c>
      <c r="Z786" s="87">
        <f t="shared" si="163"/>
        <v>0</v>
      </c>
      <c r="AA786" s="87">
        <f t="shared" si="164"/>
        <v>4</v>
      </c>
    </row>
    <row r="787" spans="9:27">
      <c r="I787" s="81" t="e">
        <f>IF(#REF!&lt;&gt;"",#REF!,"")</f>
        <v>#REF!</v>
      </c>
      <c r="J787" s="81" t="e">
        <f t="shared" si="165"/>
        <v>#REF!</v>
      </c>
      <c r="L787" s="82" t="e">
        <f t="shared" si="166"/>
        <v>#REF!</v>
      </c>
      <c r="M787" s="81" t="e">
        <f t="shared" si="169"/>
        <v>#REF!</v>
      </c>
      <c r="N787" s="81" t="e">
        <f t="shared" si="167"/>
        <v>#REF!</v>
      </c>
      <c r="O787" s="81" t="e">
        <f t="shared" si="168"/>
        <v>#REF!</v>
      </c>
      <c r="Q787" s="83" t="str">
        <f t="shared" si="157"/>
        <v/>
      </c>
      <c r="R787" s="84" t="e">
        <f t="shared" si="158"/>
        <v>#REF!</v>
      </c>
      <c r="S787" s="83" t="e">
        <f t="shared" si="158"/>
        <v>#REF!</v>
      </c>
      <c r="T787" s="84" t="e">
        <f t="shared" si="159"/>
        <v>#REF!</v>
      </c>
      <c r="U787" s="84" t="e">
        <f t="shared" si="160"/>
        <v>#REF!</v>
      </c>
      <c r="V787" s="85" t="e">
        <f>#REF!</f>
        <v>#REF!</v>
      </c>
      <c r="W787" s="86">
        <f t="shared" si="161"/>
        <v>0</v>
      </c>
      <c r="X787" s="86">
        <f t="shared" si="161"/>
        <v>0</v>
      </c>
      <c r="Y787" s="87">
        <f t="shared" si="162"/>
        <v>0</v>
      </c>
      <c r="Z787" s="87">
        <f t="shared" si="163"/>
        <v>0</v>
      </c>
      <c r="AA787" s="87">
        <f t="shared" si="164"/>
        <v>4</v>
      </c>
    </row>
    <row r="788" spans="9:27">
      <c r="I788" s="81" t="e">
        <f>IF(#REF!&lt;&gt;"",#REF!,"")</f>
        <v>#REF!</v>
      </c>
      <c r="J788" s="81" t="e">
        <f t="shared" si="165"/>
        <v>#REF!</v>
      </c>
      <c r="L788" s="82" t="e">
        <f t="shared" si="166"/>
        <v>#REF!</v>
      </c>
      <c r="M788" s="81" t="e">
        <f t="shared" si="169"/>
        <v>#REF!</v>
      </c>
      <c r="N788" s="81" t="e">
        <f t="shared" si="167"/>
        <v>#REF!</v>
      </c>
      <c r="O788" s="81" t="e">
        <f t="shared" si="168"/>
        <v>#REF!</v>
      </c>
      <c r="Q788" s="83" t="str">
        <f t="shared" si="157"/>
        <v/>
      </c>
      <c r="R788" s="84" t="e">
        <f t="shared" si="158"/>
        <v>#REF!</v>
      </c>
      <c r="S788" s="83" t="e">
        <f t="shared" si="158"/>
        <v>#REF!</v>
      </c>
      <c r="T788" s="84" t="e">
        <f t="shared" si="159"/>
        <v>#REF!</v>
      </c>
      <c r="U788" s="84" t="e">
        <f t="shared" si="160"/>
        <v>#REF!</v>
      </c>
      <c r="V788" s="85" t="e">
        <f>#REF!</f>
        <v>#REF!</v>
      </c>
      <c r="W788" s="86">
        <f t="shared" si="161"/>
        <v>0</v>
      </c>
      <c r="X788" s="86">
        <f t="shared" si="161"/>
        <v>0</v>
      </c>
      <c r="Y788" s="87">
        <f t="shared" si="162"/>
        <v>0</v>
      </c>
      <c r="Z788" s="87">
        <f t="shared" si="163"/>
        <v>0</v>
      </c>
      <c r="AA788" s="87">
        <f t="shared" si="164"/>
        <v>4</v>
      </c>
    </row>
    <row r="789" spans="9:27">
      <c r="I789" s="81" t="e">
        <f>IF(#REF!&lt;&gt;"",#REF!,"")</f>
        <v>#REF!</v>
      </c>
      <c r="J789" s="81" t="e">
        <f t="shared" si="165"/>
        <v>#REF!</v>
      </c>
      <c r="L789" s="82" t="e">
        <f t="shared" si="166"/>
        <v>#REF!</v>
      </c>
      <c r="M789" s="81" t="e">
        <f t="shared" si="169"/>
        <v>#REF!</v>
      </c>
      <c r="N789" s="81" t="e">
        <f t="shared" si="167"/>
        <v>#REF!</v>
      </c>
      <c r="O789" s="81" t="e">
        <f t="shared" si="168"/>
        <v>#REF!</v>
      </c>
      <c r="Q789" s="83" t="str">
        <f t="shared" si="157"/>
        <v/>
      </c>
      <c r="R789" s="84" t="e">
        <f t="shared" si="158"/>
        <v>#REF!</v>
      </c>
      <c r="S789" s="83" t="e">
        <f t="shared" si="158"/>
        <v>#REF!</v>
      </c>
      <c r="T789" s="84" t="e">
        <f t="shared" si="159"/>
        <v>#REF!</v>
      </c>
      <c r="U789" s="84" t="e">
        <f t="shared" si="160"/>
        <v>#REF!</v>
      </c>
      <c r="V789" s="85" t="e">
        <f>#REF!</f>
        <v>#REF!</v>
      </c>
      <c r="W789" s="86">
        <f t="shared" si="161"/>
        <v>0</v>
      </c>
      <c r="X789" s="86">
        <f t="shared" si="161"/>
        <v>0</v>
      </c>
      <c r="Y789" s="87">
        <f t="shared" si="162"/>
        <v>0</v>
      </c>
      <c r="Z789" s="87">
        <f t="shared" si="163"/>
        <v>0</v>
      </c>
      <c r="AA789" s="87">
        <f t="shared" si="164"/>
        <v>4</v>
      </c>
    </row>
    <row r="790" spans="9:27">
      <c r="I790" s="81" t="e">
        <f>IF(#REF!&lt;&gt;"",#REF!,"")</f>
        <v>#REF!</v>
      </c>
      <c r="J790" s="81" t="e">
        <f t="shared" si="165"/>
        <v>#REF!</v>
      </c>
      <c r="L790" s="82" t="e">
        <f t="shared" si="166"/>
        <v>#REF!</v>
      </c>
      <c r="M790" s="81" t="e">
        <f t="shared" si="169"/>
        <v>#REF!</v>
      </c>
      <c r="N790" s="81" t="e">
        <f t="shared" si="167"/>
        <v>#REF!</v>
      </c>
      <c r="O790" s="81" t="e">
        <f t="shared" si="168"/>
        <v>#REF!</v>
      </c>
      <c r="Q790" s="83" t="str">
        <f t="shared" si="157"/>
        <v/>
      </c>
      <c r="R790" s="84" t="e">
        <f t="shared" si="158"/>
        <v>#REF!</v>
      </c>
      <c r="S790" s="83" t="e">
        <f t="shared" si="158"/>
        <v>#REF!</v>
      </c>
      <c r="T790" s="84" t="e">
        <f t="shared" si="159"/>
        <v>#REF!</v>
      </c>
      <c r="U790" s="84" t="e">
        <f t="shared" si="160"/>
        <v>#REF!</v>
      </c>
      <c r="V790" s="85" t="e">
        <f>#REF!</f>
        <v>#REF!</v>
      </c>
      <c r="W790" s="86">
        <f t="shared" si="161"/>
        <v>0</v>
      </c>
      <c r="X790" s="86">
        <f t="shared" si="161"/>
        <v>0</v>
      </c>
      <c r="Y790" s="87">
        <f t="shared" si="162"/>
        <v>0</v>
      </c>
      <c r="Z790" s="87">
        <f t="shared" si="163"/>
        <v>0</v>
      </c>
      <c r="AA790" s="87">
        <f t="shared" si="164"/>
        <v>4</v>
      </c>
    </row>
    <row r="791" spans="9:27">
      <c r="I791" s="81" t="e">
        <f>IF(#REF!&lt;&gt;"",#REF!,"")</f>
        <v>#REF!</v>
      </c>
      <c r="J791" s="81" t="e">
        <f t="shared" si="165"/>
        <v>#REF!</v>
      </c>
      <c r="L791" s="82" t="e">
        <f t="shared" si="166"/>
        <v>#REF!</v>
      </c>
      <c r="M791" s="81" t="e">
        <f t="shared" si="169"/>
        <v>#REF!</v>
      </c>
      <c r="N791" s="81" t="e">
        <f t="shared" si="167"/>
        <v>#REF!</v>
      </c>
      <c r="O791" s="81" t="e">
        <f t="shared" si="168"/>
        <v>#REF!</v>
      </c>
      <c r="Q791" s="83" t="str">
        <f t="shared" ref="Q791:Q854" si="170">IF(Z791=0,"",IF(Z791=1,R791&amp;S791,"E99999"))</f>
        <v/>
      </c>
      <c r="R791" s="84" t="e">
        <f t="shared" si="158"/>
        <v>#REF!</v>
      </c>
      <c r="S791" s="83" t="e">
        <f t="shared" si="158"/>
        <v>#REF!</v>
      </c>
      <c r="T791" s="84" t="e">
        <f t="shared" si="159"/>
        <v>#REF!</v>
      </c>
      <c r="U791" s="84" t="e">
        <f t="shared" si="160"/>
        <v>#REF!</v>
      </c>
      <c r="V791" s="85" t="e">
        <f>#REF!</f>
        <v>#REF!</v>
      </c>
      <c r="W791" s="86">
        <f t="shared" si="161"/>
        <v>0</v>
      </c>
      <c r="X791" s="86">
        <f t="shared" si="161"/>
        <v>0</v>
      </c>
      <c r="Y791" s="87">
        <f t="shared" si="162"/>
        <v>0</v>
      </c>
      <c r="Z791" s="87">
        <f t="shared" si="163"/>
        <v>0</v>
      </c>
      <c r="AA791" s="87">
        <f t="shared" si="164"/>
        <v>4</v>
      </c>
    </row>
    <row r="792" spans="9:27">
      <c r="I792" s="81" t="e">
        <f>IF(#REF!&lt;&gt;"",#REF!,"")</f>
        <v>#REF!</v>
      </c>
      <c r="J792" s="81" t="e">
        <f t="shared" si="165"/>
        <v>#REF!</v>
      </c>
      <c r="L792" s="82" t="e">
        <f t="shared" si="166"/>
        <v>#REF!</v>
      </c>
      <c r="M792" s="81" t="e">
        <f t="shared" si="169"/>
        <v>#REF!</v>
      </c>
      <c r="N792" s="81" t="e">
        <f t="shared" si="167"/>
        <v>#REF!</v>
      </c>
      <c r="O792" s="81" t="e">
        <f t="shared" si="168"/>
        <v>#REF!</v>
      </c>
      <c r="Q792" s="83" t="str">
        <f t="shared" si="170"/>
        <v/>
      </c>
      <c r="R792" s="84" t="e">
        <f t="shared" si="158"/>
        <v>#REF!</v>
      </c>
      <c r="S792" s="83" t="e">
        <f t="shared" si="158"/>
        <v>#REF!</v>
      </c>
      <c r="T792" s="84" t="e">
        <f t="shared" si="159"/>
        <v>#REF!</v>
      </c>
      <c r="U792" s="84" t="e">
        <f t="shared" si="160"/>
        <v>#REF!</v>
      </c>
      <c r="V792" s="85" t="e">
        <f>#REF!</f>
        <v>#REF!</v>
      </c>
      <c r="W792" s="86">
        <f t="shared" si="161"/>
        <v>0</v>
      </c>
      <c r="X792" s="86">
        <f t="shared" si="161"/>
        <v>0</v>
      </c>
      <c r="Y792" s="87">
        <f t="shared" si="162"/>
        <v>0</v>
      </c>
      <c r="Z792" s="87">
        <f t="shared" si="163"/>
        <v>0</v>
      </c>
      <c r="AA792" s="87">
        <f t="shared" si="164"/>
        <v>4</v>
      </c>
    </row>
    <row r="793" spans="9:27">
      <c r="I793" s="81" t="e">
        <f>IF(#REF!&lt;&gt;"",#REF!,"")</f>
        <v>#REF!</v>
      </c>
      <c r="J793" s="81" t="e">
        <f t="shared" si="165"/>
        <v>#REF!</v>
      </c>
      <c r="L793" s="82" t="e">
        <f t="shared" si="166"/>
        <v>#REF!</v>
      </c>
      <c r="M793" s="81" t="e">
        <f t="shared" si="169"/>
        <v>#REF!</v>
      </c>
      <c r="N793" s="81" t="e">
        <f t="shared" si="167"/>
        <v>#REF!</v>
      </c>
      <c r="O793" s="81" t="e">
        <f t="shared" si="168"/>
        <v>#REF!</v>
      </c>
      <c r="Q793" s="83" t="str">
        <f t="shared" si="170"/>
        <v/>
      </c>
      <c r="R793" s="84" t="e">
        <f t="shared" si="158"/>
        <v>#REF!</v>
      </c>
      <c r="S793" s="83" t="e">
        <f t="shared" si="158"/>
        <v>#REF!</v>
      </c>
      <c r="T793" s="84" t="e">
        <f t="shared" si="159"/>
        <v>#REF!</v>
      </c>
      <c r="U793" s="84" t="e">
        <f t="shared" si="160"/>
        <v>#REF!</v>
      </c>
      <c r="V793" s="85" t="e">
        <f>#REF!</f>
        <v>#REF!</v>
      </c>
      <c r="W793" s="86">
        <f t="shared" si="161"/>
        <v>0</v>
      </c>
      <c r="X793" s="86">
        <f t="shared" si="161"/>
        <v>0</v>
      </c>
      <c r="Y793" s="87">
        <f t="shared" si="162"/>
        <v>0</v>
      </c>
      <c r="Z793" s="87">
        <f t="shared" si="163"/>
        <v>0</v>
      </c>
      <c r="AA793" s="87">
        <f t="shared" si="164"/>
        <v>4</v>
      </c>
    </row>
    <row r="794" spans="9:27">
      <c r="I794" s="81" t="e">
        <f>IF(#REF!&lt;&gt;"",#REF!,"")</f>
        <v>#REF!</v>
      </c>
      <c r="J794" s="81" t="e">
        <f t="shared" si="165"/>
        <v>#REF!</v>
      </c>
      <c r="L794" s="82" t="e">
        <f t="shared" si="166"/>
        <v>#REF!</v>
      </c>
      <c r="M794" s="81" t="e">
        <f t="shared" si="169"/>
        <v>#REF!</v>
      </c>
      <c r="N794" s="81" t="e">
        <f t="shared" si="167"/>
        <v>#REF!</v>
      </c>
      <c r="O794" s="81" t="e">
        <f t="shared" si="168"/>
        <v>#REF!</v>
      </c>
      <c r="Q794" s="83" t="str">
        <f t="shared" si="170"/>
        <v/>
      </c>
      <c r="R794" s="84" t="e">
        <f t="shared" si="158"/>
        <v>#REF!</v>
      </c>
      <c r="S794" s="83" t="e">
        <f t="shared" si="158"/>
        <v>#REF!</v>
      </c>
      <c r="T794" s="84" t="e">
        <f t="shared" si="159"/>
        <v>#REF!</v>
      </c>
      <c r="U794" s="84" t="e">
        <f t="shared" si="160"/>
        <v>#REF!</v>
      </c>
      <c r="V794" s="85" t="e">
        <f>#REF!</f>
        <v>#REF!</v>
      </c>
      <c r="W794" s="86">
        <f t="shared" si="161"/>
        <v>0</v>
      </c>
      <c r="X794" s="86">
        <f t="shared" si="161"/>
        <v>0</v>
      </c>
      <c r="Y794" s="87">
        <f t="shared" si="162"/>
        <v>0</v>
      </c>
      <c r="Z794" s="87">
        <f t="shared" si="163"/>
        <v>0</v>
      </c>
      <c r="AA794" s="87">
        <f t="shared" si="164"/>
        <v>4</v>
      </c>
    </row>
    <row r="795" spans="9:27">
      <c r="I795" s="81" t="e">
        <f>IF(#REF!&lt;&gt;"",#REF!,"")</f>
        <v>#REF!</v>
      </c>
      <c r="J795" s="81" t="e">
        <f t="shared" si="165"/>
        <v>#REF!</v>
      </c>
      <c r="L795" s="82" t="e">
        <f t="shared" si="166"/>
        <v>#REF!</v>
      </c>
      <c r="M795" s="81" t="e">
        <f t="shared" si="169"/>
        <v>#REF!</v>
      </c>
      <c r="N795" s="81" t="e">
        <f t="shared" si="167"/>
        <v>#REF!</v>
      </c>
      <c r="O795" s="81" t="e">
        <f t="shared" si="168"/>
        <v>#REF!</v>
      </c>
      <c r="Q795" s="83" t="str">
        <f t="shared" si="170"/>
        <v/>
      </c>
      <c r="R795" s="84" t="e">
        <f t="shared" si="158"/>
        <v>#REF!</v>
      </c>
      <c r="S795" s="83" t="e">
        <f t="shared" si="158"/>
        <v>#REF!</v>
      </c>
      <c r="T795" s="84" t="e">
        <f t="shared" si="159"/>
        <v>#REF!</v>
      </c>
      <c r="U795" s="84" t="e">
        <f t="shared" si="160"/>
        <v>#REF!</v>
      </c>
      <c r="V795" s="85" t="e">
        <f>#REF!</f>
        <v>#REF!</v>
      </c>
      <c r="W795" s="86">
        <f t="shared" si="161"/>
        <v>0</v>
      </c>
      <c r="X795" s="86">
        <f t="shared" si="161"/>
        <v>0</v>
      </c>
      <c r="Y795" s="87">
        <f t="shared" si="162"/>
        <v>0</v>
      </c>
      <c r="Z795" s="87">
        <f t="shared" si="163"/>
        <v>0</v>
      </c>
      <c r="AA795" s="87">
        <f t="shared" si="164"/>
        <v>4</v>
      </c>
    </row>
    <row r="796" spans="9:27">
      <c r="I796" s="81" t="e">
        <f>IF(#REF!&lt;&gt;"",#REF!,"")</f>
        <v>#REF!</v>
      </c>
      <c r="J796" s="81" t="e">
        <f t="shared" si="165"/>
        <v>#REF!</v>
      </c>
      <c r="L796" s="82" t="e">
        <f t="shared" si="166"/>
        <v>#REF!</v>
      </c>
      <c r="M796" s="81" t="e">
        <f t="shared" si="169"/>
        <v>#REF!</v>
      </c>
      <c r="N796" s="81" t="e">
        <f t="shared" si="167"/>
        <v>#REF!</v>
      </c>
      <c r="O796" s="81" t="e">
        <f t="shared" si="168"/>
        <v>#REF!</v>
      </c>
      <c r="Q796" s="83" t="str">
        <f t="shared" si="170"/>
        <v/>
      </c>
      <c r="R796" s="84" t="e">
        <f t="shared" si="158"/>
        <v>#REF!</v>
      </c>
      <c r="S796" s="83" t="e">
        <f t="shared" si="158"/>
        <v>#REF!</v>
      </c>
      <c r="T796" s="84" t="e">
        <f t="shared" si="159"/>
        <v>#REF!</v>
      </c>
      <c r="U796" s="84" t="e">
        <f t="shared" si="160"/>
        <v>#REF!</v>
      </c>
      <c r="V796" s="85" t="e">
        <f>#REF!</f>
        <v>#REF!</v>
      </c>
      <c r="W796" s="86">
        <f t="shared" si="161"/>
        <v>0</v>
      </c>
      <c r="X796" s="86">
        <f t="shared" si="161"/>
        <v>0</v>
      </c>
      <c r="Y796" s="87">
        <f t="shared" si="162"/>
        <v>0</v>
      </c>
      <c r="Z796" s="87">
        <f t="shared" si="163"/>
        <v>0</v>
      </c>
      <c r="AA796" s="87">
        <f t="shared" si="164"/>
        <v>4</v>
      </c>
    </row>
    <row r="797" spans="9:27">
      <c r="I797" s="81" t="e">
        <f>IF(#REF!&lt;&gt;"",#REF!,"")</f>
        <v>#REF!</v>
      </c>
      <c r="J797" s="81" t="e">
        <f t="shared" si="165"/>
        <v>#REF!</v>
      </c>
      <c r="L797" s="82" t="e">
        <f t="shared" si="166"/>
        <v>#REF!</v>
      </c>
      <c r="M797" s="81" t="e">
        <f t="shared" si="169"/>
        <v>#REF!</v>
      </c>
      <c r="N797" s="81" t="e">
        <f t="shared" si="167"/>
        <v>#REF!</v>
      </c>
      <c r="O797" s="81" t="e">
        <f t="shared" si="168"/>
        <v>#REF!</v>
      </c>
      <c r="Q797" s="83" t="str">
        <f t="shared" si="170"/>
        <v/>
      </c>
      <c r="R797" s="84" t="e">
        <f t="shared" si="158"/>
        <v>#REF!</v>
      </c>
      <c r="S797" s="83" t="e">
        <f t="shared" si="158"/>
        <v>#REF!</v>
      </c>
      <c r="T797" s="84" t="e">
        <f t="shared" si="159"/>
        <v>#REF!</v>
      </c>
      <c r="U797" s="84" t="e">
        <f t="shared" si="160"/>
        <v>#REF!</v>
      </c>
      <c r="V797" s="85" t="e">
        <f>#REF!</f>
        <v>#REF!</v>
      </c>
      <c r="W797" s="86">
        <f t="shared" si="161"/>
        <v>0</v>
      </c>
      <c r="X797" s="86">
        <f t="shared" si="161"/>
        <v>0</v>
      </c>
      <c r="Y797" s="87">
        <f t="shared" si="162"/>
        <v>0</v>
      </c>
      <c r="Z797" s="87">
        <f t="shared" si="163"/>
        <v>0</v>
      </c>
      <c r="AA797" s="87">
        <f t="shared" si="164"/>
        <v>4</v>
      </c>
    </row>
    <row r="798" spans="9:27">
      <c r="I798" s="81" t="e">
        <f>IF(#REF!&lt;&gt;"",#REF!,"")</f>
        <v>#REF!</v>
      </c>
      <c r="J798" s="81" t="e">
        <f t="shared" si="165"/>
        <v>#REF!</v>
      </c>
      <c r="L798" s="82" t="e">
        <f t="shared" si="166"/>
        <v>#REF!</v>
      </c>
      <c r="M798" s="81" t="e">
        <f t="shared" si="169"/>
        <v>#REF!</v>
      </c>
      <c r="N798" s="81" t="e">
        <f t="shared" si="167"/>
        <v>#REF!</v>
      </c>
      <c r="O798" s="81" t="e">
        <f t="shared" si="168"/>
        <v>#REF!</v>
      </c>
      <c r="Q798" s="83" t="str">
        <f t="shared" si="170"/>
        <v/>
      </c>
      <c r="R798" s="84" t="e">
        <f t="shared" si="158"/>
        <v>#REF!</v>
      </c>
      <c r="S798" s="83" t="e">
        <f t="shared" si="158"/>
        <v>#REF!</v>
      </c>
      <c r="T798" s="84" t="e">
        <f t="shared" si="159"/>
        <v>#REF!</v>
      </c>
      <c r="U798" s="84" t="e">
        <f t="shared" si="160"/>
        <v>#REF!</v>
      </c>
      <c r="V798" s="85" t="e">
        <f>#REF!</f>
        <v>#REF!</v>
      </c>
      <c r="W798" s="86">
        <f t="shared" si="161"/>
        <v>0</v>
      </c>
      <c r="X798" s="86">
        <f t="shared" si="161"/>
        <v>0</v>
      </c>
      <c r="Y798" s="87">
        <f t="shared" si="162"/>
        <v>0</v>
      </c>
      <c r="Z798" s="87">
        <f t="shared" si="163"/>
        <v>0</v>
      </c>
      <c r="AA798" s="87">
        <f t="shared" si="164"/>
        <v>4</v>
      </c>
    </row>
    <row r="799" spans="9:27">
      <c r="I799" s="81" t="e">
        <f>IF(#REF!&lt;&gt;"",#REF!,"")</f>
        <v>#REF!</v>
      </c>
      <c r="J799" s="81" t="e">
        <f t="shared" si="165"/>
        <v>#REF!</v>
      </c>
      <c r="L799" s="82" t="e">
        <f t="shared" si="166"/>
        <v>#REF!</v>
      </c>
      <c r="M799" s="81" t="e">
        <f t="shared" si="169"/>
        <v>#REF!</v>
      </c>
      <c r="N799" s="81" t="e">
        <f t="shared" si="167"/>
        <v>#REF!</v>
      </c>
      <c r="O799" s="81" t="e">
        <f t="shared" si="168"/>
        <v>#REF!</v>
      </c>
      <c r="Q799" s="83" t="str">
        <f t="shared" si="170"/>
        <v/>
      </c>
      <c r="R799" s="84" t="e">
        <f t="shared" si="158"/>
        <v>#REF!</v>
      </c>
      <c r="S799" s="83" t="e">
        <f t="shared" si="158"/>
        <v>#REF!</v>
      </c>
      <c r="T799" s="84" t="e">
        <f t="shared" si="159"/>
        <v>#REF!</v>
      </c>
      <c r="U799" s="84" t="e">
        <f t="shared" si="160"/>
        <v>#REF!</v>
      </c>
      <c r="V799" s="85" t="e">
        <f>#REF!</f>
        <v>#REF!</v>
      </c>
      <c r="W799" s="86">
        <f t="shared" si="161"/>
        <v>0</v>
      </c>
      <c r="X799" s="86">
        <f t="shared" si="161"/>
        <v>0</v>
      </c>
      <c r="Y799" s="87">
        <f t="shared" si="162"/>
        <v>0</v>
      </c>
      <c r="Z799" s="87">
        <f t="shared" si="163"/>
        <v>0</v>
      </c>
      <c r="AA799" s="87">
        <f t="shared" si="164"/>
        <v>4</v>
      </c>
    </row>
    <row r="800" spans="9:27">
      <c r="I800" s="81" t="e">
        <f>IF(#REF!&lt;&gt;"",#REF!,"")</f>
        <v>#REF!</v>
      </c>
      <c r="J800" s="81" t="e">
        <f t="shared" si="165"/>
        <v>#REF!</v>
      </c>
      <c r="L800" s="82" t="e">
        <f t="shared" si="166"/>
        <v>#REF!</v>
      </c>
      <c r="M800" s="81" t="e">
        <f t="shared" si="169"/>
        <v>#REF!</v>
      </c>
      <c r="N800" s="81" t="e">
        <f t="shared" si="167"/>
        <v>#REF!</v>
      </c>
      <c r="O800" s="81" t="e">
        <f t="shared" si="168"/>
        <v>#REF!</v>
      </c>
      <c r="Q800" s="83" t="str">
        <f t="shared" si="170"/>
        <v/>
      </c>
      <c r="R800" s="84" t="e">
        <f t="shared" si="158"/>
        <v>#REF!</v>
      </c>
      <c r="S800" s="83" t="e">
        <f t="shared" si="158"/>
        <v>#REF!</v>
      </c>
      <c r="T800" s="84" t="e">
        <f t="shared" si="159"/>
        <v>#REF!</v>
      </c>
      <c r="U800" s="84" t="e">
        <f t="shared" si="160"/>
        <v>#REF!</v>
      </c>
      <c r="V800" s="85" t="e">
        <f>#REF!</f>
        <v>#REF!</v>
      </c>
      <c r="W800" s="86">
        <f t="shared" si="161"/>
        <v>0</v>
      </c>
      <c r="X800" s="86">
        <f t="shared" si="161"/>
        <v>0</v>
      </c>
      <c r="Y800" s="87">
        <f t="shared" si="162"/>
        <v>0</v>
      </c>
      <c r="Z800" s="87">
        <f t="shared" si="163"/>
        <v>0</v>
      </c>
      <c r="AA800" s="87">
        <f t="shared" si="164"/>
        <v>4</v>
      </c>
    </row>
    <row r="801" spans="9:27">
      <c r="I801" s="81" t="e">
        <f>IF(#REF!&lt;&gt;"",#REF!,"")</f>
        <v>#REF!</v>
      </c>
      <c r="J801" s="81" t="e">
        <f t="shared" si="165"/>
        <v>#REF!</v>
      </c>
      <c r="L801" s="82" t="e">
        <f t="shared" si="166"/>
        <v>#REF!</v>
      </c>
      <c r="M801" s="81" t="e">
        <f t="shared" si="169"/>
        <v>#REF!</v>
      </c>
      <c r="N801" s="81" t="e">
        <f t="shared" si="167"/>
        <v>#REF!</v>
      </c>
      <c r="O801" s="81" t="e">
        <f t="shared" si="168"/>
        <v>#REF!</v>
      </c>
      <c r="Q801" s="83" t="str">
        <f t="shared" si="170"/>
        <v/>
      </c>
      <c r="R801" s="84" t="e">
        <f t="shared" si="158"/>
        <v>#REF!</v>
      </c>
      <c r="S801" s="83" t="e">
        <f t="shared" si="158"/>
        <v>#REF!</v>
      </c>
      <c r="T801" s="84" t="e">
        <f t="shared" si="159"/>
        <v>#REF!</v>
      </c>
      <c r="U801" s="84" t="e">
        <f t="shared" si="160"/>
        <v>#REF!</v>
      </c>
      <c r="V801" s="85" t="e">
        <f>#REF!</f>
        <v>#REF!</v>
      </c>
      <c r="W801" s="86">
        <f t="shared" si="161"/>
        <v>0</v>
      </c>
      <c r="X801" s="86">
        <f t="shared" si="161"/>
        <v>0</v>
      </c>
      <c r="Y801" s="87">
        <f t="shared" si="162"/>
        <v>0</v>
      </c>
      <c r="Z801" s="87">
        <f t="shared" si="163"/>
        <v>0</v>
      </c>
      <c r="AA801" s="87">
        <f t="shared" si="164"/>
        <v>4</v>
      </c>
    </row>
    <row r="802" spans="9:27">
      <c r="I802" s="81" t="e">
        <f>IF(#REF!&lt;&gt;"",#REF!,"")</f>
        <v>#REF!</v>
      </c>
      <c r="J802" s="81" t="e">
        <f t="shared" si="165"/>
        <v>#REF!</v>
      </c>
      <c r="L802" s="82" t="e">
        <f t="shared" si="166"/>
        <v>#REF!</v>
      </c>
      <c r="M802" s="81" t="e">
        <f t="shared" si="169"/>
        <v>#REF!</v>
      </c>
      <c r="N802" s="81" t="e">
        <f t="shared" si="167"/>
        <v>#REF!</v>
      </c>
      <c r="O802" s="81" t="e">
        <f t="shared" si="168"/>
        <v>#REF!</v>
      </c>
      <c r="Q802" s="83" t="str">
        <f t="shared" si="170"/>
        <v/>
      </c>
      <c r="R802" s="84" t="e">
        <f t="shared" si="158"/>
        <v>#REF!</v>
      </c>
      <c r="S802" s="83" t="e">
        <f t="shared" si="158"/>
        <v>#REF!</v>
      </c>
      <c r="T802" s="84" t="e">
        <f t="shared" si="159"/>
        <v>#REF!</v>
      </c>
      <c r="U802" s="84" t="e">
        <f t="shared" si="160"/>
        <v>#REF!</v>
      </c>
      <c r="V802" s="85" t="e">
        <f>#REF!</f>
        <v>#REF!</v>
      </c>
      <c r="W802" s="86">
        <f t="shared" si="161"/>
        <v>0</v>
      </c>
      <c r="X802" s="86">
        <f t="shared" si="161"/>
        <v>0</v>
      </c>
      <c r="Y802" s="87">
        <f t="shared" si="162"/>
        <v>0</v>
      </c>
      <c r="Z802" s="87">
        <f t="shared" si="163"/>
        <v>0</v>
      </c>
      <c r="AA802" s="87">
        <f t="shared" si="164"/>
        <v>4</v>
      </c>
    </row>
    <row r="803" spans="9:27">
      <c r="I803" s="81" t="e">
        <f>IF(#REF!&lt;&gt;"",#REF!,"")</f>
        <v>#REF!</v>
      </c>
      <c r="J803" s="81" t="e">
        <f t="shared" si="165"/>
        <v>#REF!</v>
      </c>
      <c r="L803" s="82" t="e">
        <f t="shared" si="166"/>
        <v>#REF!</v>
      </c>
      <c r="M803" s="81" t="e">
        <f t="shared" si="169"/>
        <v>#REF!</v>
      </c>
      <c r="N803" s="81" t="e">
        <f t="shared" si="167"/>
        <v>#REF!</v>
      </c>
      <c r="O803" s="81" t="e">
        <f t="shared" si="168"/>
        <v>#REF!</v>
      </c>
      <c r="Q803" s="83" t="str">
        <f t="shared" si="170"/>
        <v/>
      </c>
      <c r="R803" s="84" t="e">
        <f t="shared" si="158"/>
        <v>#REF!</v>
      </c>
      <c r="S803" s="83" t="e">
        <f t="shared" si="158"/>
        <v>#REF!</v>
      </c>
      <c r="T803" s="84" t="e">
        <f t="shared" si="159"/>
        <v>#REF!</v>
      </c>
      <c r="U803" s="84" t="e">
        <f t="shared" si="160"/>
        <v>#REF!</v>
      </c>
      <c r="V803" s="85" t="e">
        <f>#REF!</f>
        <v>#REF!</v>
      </c>
      <c r="W803" s="86">
        <f t="shared" si="161"/>
        <v>0</v>
      </c>
      <c r="X803" s="86">
        <f t="shared" si="161"/>
        <v>0</v>
      </c>
      <c r="Y803" s="87">
        <f t="shared" si="162"/>
        <v>0</v>
      </c>
      <c r="Z803" s="87">
        <f t="shared" si="163"/>
        <v>0</v>
      </c>
      <c r="AA803" s="87">
        <f t="shared" si="164"/>
        <v>4</v>
      </c>
    </row>
    <row r="804" spans="9:27">
      <c r="I804" s="81" t="e">
        <f>IF(#REF!&lt;&gt;"",#REF!,"")</f>
        <v>#REF!</v>
      </c>
      <c r="J804" s="81" t="e">
        <f t="shared" si="165"/>
        <v>#REF!</v>
      </c>
      <c r="L804" s="82" t="e">
        <f t="shared" si="166"/>
        <v>#REF!</v>
      </c>
      <c r="M804" s="81" t="e">
        <f t="shared" si="169"/>
        <v>#REF!</v>
      </c>
      <c r="N804" s="81" t="e">
        <f t="shared" si="167"/>
        <v>#REF!</v>
      </c>
      <c r="O804" s="81" t="e">
        <f t="shared" si="168"/>
        <v>#REF!</v>
      </c>
      <c r="Q804" s="83" t="str">
        <f t="shared" si="170"/>
        <v/>
      </c>
      <c r="R804" s="84" t="e">
        <f t="shared" si="158"/>
        <v>#REF!</v>
      </c>
      <c r="S804" s="83" t="e">
        <f t="shared" si="158"/>
        <v>#REF!</v>
      </c>
      <c r="T804" s="84" t="e">
        <f t="shared" si="159"/>
        <v>#REF!</v>
      </c>
      <c r="U804" s="84" t="e">
        <f t="shared" si="160"/>
        <v>#REF!</v>
      </c>
      <c r="V804" s="85" t="e">
        <f>#REF!</f>
        <v>#REF!</v>
      </c>
      <c r="W804" s="86">
        <f t="shared" si="161"/>
        <v>0</v>
      </c>
      <c r="X804" s="86">
        <f t="shared" si="161"/>
        <v>0</v>
      </c>
      <c r="Y804" s="87">
        <f t="shared" si="162"/>
        <v>0</v>
      </c>
      <c r="Z804" s="87">
        <f t="shared" si="163"/>
        <v>0</v>
      </c>
      <c r="AA804" s="87">
        <f t="shared" si="164"/>
        <v>4</v>
      </c>
    </row>
    <row r="805" spans="9:27">
      <c r="I805" s="81" t="e">
        <f>IF(#REF!&lt;&gt;"",#REF!,"")</f>
        <v>#REF!</v>
      </c>
      <c r="J805" s="81" t="e">
        <f t="shared" si="165"/>
        <v>#REF!</v>
      </c>
      <c r="L805" s="82" t="e">
        <f t="shared" si="166"/>
        <v>#REF!</v>
      </c>
      <c r="M805" s="81" t="e">
        <f t="shared" si="169"/>
        <v>#REF!</v>
      </c>
      <c r="N805" s="81" t="e">
        <f t="shared" si="167"/>
        <v>#REF!</v>
      </c>
      <c r="O805" s="81" t="e">
        <f t="shared" si="168"/>
        <v>#REF!</v>
      </c>
      <c r="Q805" s="83" t="str">
        <f t="shared" si="170"/>
        <v/>
      </c>
      <c r="R805" s="84" t="e">
        <f t="shared" si="158"/>
        <v>#REF!</v>
      </c>
      <c r="S805" s="83" t="e">
        <f t="shared" si="158"/>
        <v>#REF!</v>
      </c>
      <c r="T805" s="84" t="e">
        <f t="shared" si="159"/>
        <v>#REF!</v>
      </c>
      <c r="U805" s="84" t="e">
        <f t="shared" si="160"/>
        <v>#REF!</v>
      </c>
      <c r="V805" s="85" t="e">
        <f>#REF!</f>
        <v>#REF!</v>
      </c>
      <c r="W805" s="86">
        <f t="shared" si="161"/>
        <v>0</v>
      </c>
      <c r="X805" s="86">
        <f t="shared" si="161"/>
        <v>0</v>
      </c>
      <c r="Y805" s="87">
        <f t="shared" si="162"/>
        <v>0</v>
      </c>
      <c r="Z805" s="87">
        <f t="shared" si="163"/>
        <v>0</v>
      </c>
      <c r="AA805" s="87">
        <f t="shared" si="164"/>
        <v>4</v>
      </c>
    </row>
    <row r="806" spans="9:27">
      <c r="I806" s="81" t="e">
        <f>IF(#REF!&lt;&gt;"",#REF!,"")</f>
        <v>#REF!</v>
      </c>
      <c r="J806" s="81" t="e">
        <f t="shared" si="165"/>
        <v>#REF!</v>
      </c>
      <c r="L806" s="82" t="e">
        <f t="shared" si="166"/>
        <v>#REF!</v>
      </c>
      <c r="M806" s="81" t="e">
        <f t="shared" si="169"/>
        <v>#REF!</v>
      </c>
      <c r="N806" s="81" t="e">
        <f t="shared" si="167"/>
        <v>#REF!</v>
      </c>
      <c r="O806" s="81" t="e">
        <f t="shared" si="168"/>
        <v>#REF!</v>
      </c>
      <c r="Q806" s="83" t="str">
        <f t="shared" si="170"/>
        <v/>
      </c>
      <c r="R806" s="84" t="e">
        <f t="shared" si="158"/>
        <v>#REF!</v>
      </c>
      <c r="S806" s="83" t="e">
        <f t="shared" si="158"/>
        <v>#REF!</v>
      </c>
      <c r="T806" s="84" t="e">
        <f t="shared" si="159"/>
        <v>#REF!</v>
      </c>
      <c r="U806" s="84" t="e">
        <f t="shared" si="160"/>
        <v>#REF!</v>
      </c>
      <c r="V806" s="85" t="e">
        <f>#REF!</f>
        <v>#REF!</v>
      </c>
      <c r="W806" s="86">
        <f t="shared" si="161"/>
        <v>0</v>
      </c>
      <c r="X806" s="86">
        <f t="shared" si="161"/>
        <v>0</v>
      </c>
      <c r="Y806" s="87">
        <f t="shared" si="162"/>
        <v>0</v>
      </c>
      <c r="Z806" s="87">
        <f t="shared" si="163"/>
        <v>0</v>
      </c>
      <c r="AA806" s="87">
        <f t="shared" si="164"/>
        <v>4</v>
      </c>
    </row>
    <row r="807" spans="9:27">
      <c r="I807" s="81" t="e">
        <f>IF(#REF!&lt;&gt;"",#REF!,"")</f>
        <v>#REF!</v>
      </c>
      <c r="J807" s="81" t="e">
        <f t="shared" si="165"/>
        <v>#REF!</v>
      </c>
      <c r="L807" s="82" t="e">
        <f t="shared" si="166"/>
        <v>#REF!</v>
      </c>
      <c r="M807" s="81" t="e">
        <f t="shared" si="169"/>
        <v>#REF!</v>
      </c>
      <c r="N807" s="81" t="e">
        <f t="shared" si="167"/>
        <v>#REF!</v>
      </c>
      <c r="O807" s="81" t="e">
        <f t="shared" si="168"/>
        <v>#REF!</v>
      </c>
      <c r="Q807" s="83" t="str">
        <f t="shared" si="170"/>
        <v/>
      </c>
      <c r="R807" s="84" t="e">
        <f t="shared" si="158"/>
        <v>#REF!</v>
      </c>
      <c r="S807" s="83" t="e">
        <f t="shared" si="158"/>
        <v>#REF!</v>
      </c>
      <c r="T807" s="84" t="e">
        <f t="shared" si="159"/>
        <v>#REF!</v>
      </c>
      <c r="U807" s="84" t="e">
        <f t="shared" si="160"/>
        <v>#REF!</v>
      </c>
      <c r="V807" s="85" t="e">
        <f>#REF!</f>
        <v>#REF!</v>
      </c>
      <c r="W807" s="86">
        <f t="shared" si="161"/>
        <v>0</v>
      </c>
      <c r="X807" s="86">
        <f t="shared" si="161"/>
        <v>0</v>
      </c>
      <c r="Y807" s="87">
        <f t="shared" si="162"/>
        <v>0</v>
      </c>
      <c r="Z807" s="87">
        <f t="shared" si="163"/>
        <v>0</v>
      </c>
      <c r="AA807" s="87">
        <f t="shared" si="164"/>
        <v>4</v>
      </c>
    </row>
    <row r="808" spans="9:27">
      <c r="I808" s="81" t="e">
        <f>IF(#REF!&lt;&gt;"",#REF!,"")</f>
        <v>#REF!</v>
      </c>
      <c r="J808" s="81" t="e">
        <f t="shared" si="165"/>
        <v>#REF!</v>
      </c>
      <c r="L808" s="82" t="e">
        <f t="shared" si="166"/>
        <v>#REF!</v>
      </c>
      <c r="M808" s="81" t="e">
        <f t="shared" si="169"/>
        <v>#REF!</v>
      </c>
      <c r="N808" s="81" t="e">
        <f t="shared" si="167"/>
        <v>#REF!</v>
      </c>
      <c r="O808" s="81" t="e">
        <f t="shared" si="168"/>
        <v>#REF!</v>
      </c>
      <c r="Q808" s="83" t="str">
        <f t="shared" si="170"/>
        <v/>
      </c>
      <c r="R808" s="84" t="e">
        <f t="shared" si="158"/>
        <v>#REF!</v>
      </c>
      <c r="S808" s="83" t="e">
        <f t="shared" si="158"/>
        <v>#REF!</v>
      </c>
      <c r="T808" s="84" t="e">
        <f t="shared" si="159"/>
        <v>#REF!</v>
      </c>
      <c r="U808" s="84" t="e">
        <f t="shared" si="160"/>
        <v>#REF!</v>
      </c>
      <c r="V808" s="85" t="e">
        <f>#REF!</f>
        <v>#REF!</v>
      </c>
      <c r="W808" s="86">
        <f t="shared" si="161"/>
        <v>0</v>
      </c>
      <c r="X808" s="86">
        <f t="shared" si="161"/>
        <v>0</v>
      </c>
      <c r="Y808" s="87">
        <f t="shared" si="162"/>
        <v>0</v>
      </c>
      <c r="Z808" s="87">
        <f t="shared" si="163"/>
        <v>0</v>
      </c>
      <c r="AA808" s="87">
        <f t="shared" si="164"/>
        <v>4</v>
      </c>
    </row>
    <row r="809" spans="9:27">
      <c r="I809" s="81" t="e">
        <f>IF(#REF!&lt;&gt;"",#REF!,"")</f>
        <v>#REF!</v>
      </c>
      <c r="J809" s="81" t="e">
        <f t="shared" si="165"/>
        <v>#REF!</v>
      </c>
      <c r="L809" s="82" t="e">
        <f t="shared" si="166"/>
        <v>#REF!</v>
      </c>
      <c r="M809" s="81" t="e">
        <f t="shared" si="169"/>
        <v>#REF!</v>
      </c>
      <c r="N809" s="81" t="e">
        <f t="shared" si="167"/>
        <v>#REF!</v>
      </c>
      <c r="O809" s="81" t="e">
        <f t="shared" si="168"/>
        <v>#REF!</v>
      </c>
      <c r="Q809" s="83" t="str">
        <f t="shared" si="170"/>
        <v/>
      </c>
      <c r="R809" s="84" t="e">
        <f t="shared" si="158"/>
        <v>#REF!</v>
      </c>
      <c r="S809" s="83" t="e">
        <f t="shared" si="158"/>
        <v>#REF!</v>
      </c>
      <c r="T809" s="84" t="e">
        <f t="shared" si="159"/>
        <v>#REF!</v>
      </c>
      <c r="U809" s="84" t="e">
        <f t="shared" si="160"/>
        <v>#REF!</v>
      </c>
      <c r="V809" s="85" t="e">
        <f>#REF!</f>
        <v>#REF!</v>
      </c>
      <c r="W809" s="86">
        <f t="shared" si="161"/>
        <v>0</v>
      </c>
      <c r="X809" s="86">
        <f t="shared" si="161"/>
        <v>0</v>
      </c>
      <c r="Y809" s="87">
        <f t="shared" si="162"/>
        <v>0</v>
      </c>
      <c r="Z809" s="87">
        <f t="shared" si="163"/>
        <v>0</v>
      </c>
      <c r="AA809" s="87">
        <f t="shared" si="164"/>
        <v>4</v>
      </c>
    </row>
    <row r="810" spans="9:27">
      <c r="I810" s="81" t="e">
        <f>IF(#REF!&lt;&gt;"",#REF!,"")</f>
        <v>#REF!</v>
      </c>
      <c r="J810" s="81" t="e">
        <f t="shared" si="165"/>
        <v>#REF!</v>
      </c>
      <c r="L810" s="82" t="e">
        <f t="shared" si="166"/>
        <v>#REF!</v>
      </c>
      <c r="M810" s="81" t="e">
        <f t="shared" si="169"/>
        <v>#REF!</v>
      </c>
      <c r="N810" s="81" t="e">
        <f t="shared" si="167"/>
        <v>#REF!</v>
      </c>
      <c r="O810" s="81" t="e">
        <f t="shared" si="168"/>
        <v>#REF!</v>
      </c>
      <c r="Q810" s="83" t="str">
        <f t="shared" si="170"/>
        <v/>
      </c>
      <c r="R810" s="84" t="e">
        <f t="shared" si="158"/>
        <v>#REF!</v>
      </c>
      <c r="S810" s="83" t="e">
        <f t="shared" si="158"/>
        <v>#REF!</v>
      </c>
      <c r="T810" s="84" t="e">
        <f t="shared" si="159"/>
        <v>#REF!</v>
      </c>
      <c r="U810" s="84" t="e">
        <f t="shared" si="160"/>
        <v>#REF!</v>
      </c>
      <c r="V810" s="85" t="e">
        <f>#REF!</f>
        <v>#REF!</v>
      </c>
      <c r="W810" s="86">
        <f t="shared" si="161"/>
        <v>0</v>
      </c>
      <c r="X810" s="86">
        <f t="shared" si="161"/>
        <v>0</v>
      </c>
      <c r="Y810" s="87">
        <f t="shared" si="162"/>
        <v>0</v>
      </c>
      <c r="Z810" s="87">
        <f t="shared" si="163"/>
        <v>0</v>
      </c>
      <c r="AA810" s="87">
        <f t="shared" si="164"/>
        <v>4</v>
      </c>
    </row>
    <row r="811" spans="9:27">
      <c r="I811" s="81" t="e">
        <f>IF(#REF!&lt;&gt;"",#REF!,"")</f>
        <v>#REF!</v>
      </c>
      <c r="J811" s="81" t="e">
        <f t="shared" si="165"/>
        <v>#REF!</v>
      </c>
      <c r="L811" s="82" t="e">
        <f t="shared" si="166"/>
        <v>#REF!</v>
      </c>
      <c r="M811" s="81" t="e">
        <f t="shared" si="169"/>
        <v>#REF!</v>
      </c>
      <c r="N811" s="81" t="e">
        <f t="shared" si="167"/>
        <v>#REF!</v>
      </c>
      <c r="O811" s="81" t="e">
        <f t="shared" si="168"/>
        <v>#REF!</v>
      </c>
      <c r="Q811" s="83" t="str">
        <f t="shared" si="170"/>
        <v/>
      </c>
      <c r="R811" s="84" t="e">
        <f t="shared" si="158"/>
        <v>#REF!</v>
      </c>
      <c r="S811" s="83" t="e">
        <f t="shared" si="158"/>
        <v>#REF!</v>
      </c>
      <c r="T811" s="84" t="e">
        <f t="shared" si="159"/>
        <v>#REF!</v>
      </c>
      <c r="U811" s="84" t="e">
        <f t="shared" si="160"/>
        <v>#REF!</v>
      </c>
      <c r="V811" s="85" t="e">
        <f>#REF!</f>
        <v>#REF!</v>
      </c>
      <c r="W811" s="86">
        <f t="shared" si="161"/>
        <v>0</v>
      </c>
      <c r="X811" s="86">
        <f t="shared" si="161"/>
        <v>0</v>
      </c>
      <c r="Y811" s="87">
        <f t="shared" si="162"/>
        <v>0</v>
      </c>
      <c r="Z811" s="87">
        <f t="shared" si="163"/>
        <v>0</v>
      </c>
      <c r="AA811" s="87">
        <f t="shared" si="164"/>
        <v>4</v>
      </c>
    </row>
    <row r="812" spans="9:27">
      <c r="I812" s="81" t="e">
        <f>IF(#REF!&lt;&gt;"",#REF!,"")</f>
        <v>#REF!</v>
      </c>
      <c r="J812" s="81" t="e">
        <f t="shared" si="165"/>
        <v>#REF!</v>
      </c>
      <c r="L812" s="82" t="e">
        <f t="shared" si="166"/>
        <v>#REF!</v>
      </c>
      <c r="M812" s="81" t="e">
        <f t="shared" si="169"/>
        <v>#REF!</v>
      </c>
      <c r="N812" s="81" t="e">
        <f t="shared" si="167"/>
        <v>#REF!</v>
      </c>
      <c r="O812" s="81" t="e">
        <f t="shared" si="168"/>
        <v>#REF!</v>
      </c>
      <c r="Q812" s="83" t="str">
        <f t="shared" si="170"/>
        <v/>
      </c>
      <c r="R812" s="84" t="e">
        <f t="shared" si="158"/>
        <v>#REF!</v>
      </c>
      <c r="S812" s="83" t="e">
        <f t="shared" si="158"/>
        <v>#REF!</v>
      </c>
      <c r="T812" s="84" t="e">
        <f t="shared" si="159"/>
        <v>#REF!</v>
      </c>
      <c r="U812" s="84" t="e">
        <f t="shared" si="160"/>
        <v>#REF!</v>
      </c>
      <c r="V812" s="85" t="e">
        <f>#REF!</f>
        <v>#REF!</v>
      </c>
      <c r="W812" s="86">
        <f t="shared" si="161"/>
        <v>0</v>
      </c>
      <c r="X812" s="86">
        <f t="shared" si="161"/>
        <v>0</v>
      </c>
      <c r="Y812" s="87">
        <f t="shared" si="162"/>
        <v>0</v>
      </c>
      <c r="Z812" s="87">
        <f t="shared" si="163"/>
        <v>0</v>
      </c>
      <c r="AA812" s="87">
        <f t="shared" si="164"/>
        <v>4</v>
      </c>
    </row>
    <row r="813" spans="9:27">
      <c r="I813" s="81" t="e">
        <f>IF(#REF!&lt;&gt;"",#REF!,"")</f>
        <v>#REF!</v>
      </c>
      <c r="J813" s="81" t="e">
        <f t="shared" si="165"/>
        <v>#REF!</v>
      </c>
      <c r="L813" s="82" t="e">
        <f t="shared" si="166"/>
        <v>#REF!</v>
      </c>
      <c r="M813" s="81" t="e">
        <f t="shared" si="169"/>
        <v>#REF!</v>
      </c>
      <c r="N813" s="81" t="e">
        <f t="shared" si="167"/>
        <v>#REF!</v>
      </c>
      <c r="O813" s="81" t="e">
        <f t="shared" si="168"/>
        <v>#REF!</v>
      </c>
      <c r="Q813" s="83" t="str">
        <f t="shared" si="170"/>
        <v/>
      </c>
      <c r="R813" s="84" t="e">
        <f t="shared" si="158"/>
        <v>#REF!</v>
      </c>
      <c r="S813" s="83" t="e">
        <f t="shared" si="158"/>
        <v>#REF!</v>
      </c>
      <c r="T813" s="84" t="e">
        <f t="shared" si="159"/>
        <v>#REF!</v>
      </c>
      <c r="U813" s="84" t="e">
        <f t="shared" si="160"/>
        <v>#REF!</v>
      </c>
      <c r="V813" s="85" t="e">
        <f>#REF!</f>
        <v>#REF!</v>
      </c>
      <c r="W813" s="86">
        <f t="shared" si="161"/>
        <v>0</v>
      </c>
      <c r="X813" s="86">
        <f t="shared" si="161"/>
        <v>0</v>
      </c>
      <c r="Y813" s="87">
        <f t="shared" si="162"/>
        <v>0</v>
      </c>
      <c r="Z813" s="87">
        <f t="shared" si="163"/>
        <v>0</v>
      </c>
      <c r="AA813" s="87">
        <f t="shared" si="164"/>
        <v>4</v>
      </c>
    </row>
    <row r="814" spans="9:27">
      <c r="I814" s="81" t="e">
        <f>IF(#REF!&lt;&gt;"",#REF!,"")</f>
        <v>#REF!</v>
      </c>
      <c r="J814" s="81" t="e">
        <f t="shared" si="165"/>
        <v>#REF!</v>
      </c>
      <c r="L814" s="82" t="e">
        <f t="shared" si="166"/>
        <v>#REF!</v>
      </c>
      <c r="M814" s="81" t="e">
        <f t="shared" si="169"/>
        <v>#REF!</v>
      </c>
      <c r="N814" s="81" t="e">
        <f t="shared" si="167"/>
        <v>#REF!</v>
      </c>
      <c r="O814" s="81" t="e">
        <f t="shared" si="168"/>
        <v>#REF!</v>
      </c>
      <c r="Q814" s="83" t="str">
        <f t="shared" si="170"/>
        <v/>
      </c>
      <c r="R814" s="84" t="e">
        <f t="shared" si="158"/>
        <v>#REF!</v>
      </c>
      <c r="S814" s="83" t="e">
        <f t="shared" si="158"/>
        <v>#REF!</v>
      </c>
      <c r="T814" s="84" t="e">
        <f t="shared" si="159"/>
        <v>#REF!</v>
      </c>
      <c r="U814" s="84" t="e">
        <f t="shared" si="160"/>
        <v>#REF!</v>
      </c>
      <c r="V814" s="85" t="e">
        <f>#REF!</f>
        <v>#REF!</v>
      </c>
      <c r="W814" s="86">
        <f t="shared" si="161"/>
        <v>0</v>
      </c>
      <c r="X814" s="86">
        <f t="shared" si="161"/>
        <v>0</v>
      </c>
      <c r="Y814" s="87">
        <f t="shared" si="162"/>
        <v>0</v>
      </c>
      <c r="Z814" s="87">
        <f t="shared" si="163"/>
        <v>0</v>
      </c>
      <c r="AA814" s="87">
        <f t="shared" si="164"/>
        <v>4</v>
      </c>
    </row>
    <row r="815" spans="9:27">
      <c r="I815" s="81" t="e">
        <f>IF(#REF!&lt;&gt;"",#REF!,"")</f>
        <v>#REF!</v>
      </c>
      <c r="J815" s="81" t="e">
        <f t="shared" si="165"/>
        <v>#REF!</v>
      </c>
      <c r="L815" s="82" t="e">
        <f t="shared" si="166"/>
        <v>#REF!</v>
      </c>
      <c r="M815" s="81" t="e">
        <f t="shared" si="169"/>
        <v>#REF!</v>
      </c>
      <c r="N815" s="81" t="e">
        <f t="shared" si="167"/>
        <v>#REF!</v>
      </c>
      <c r="O815" s="81" t="e">
        <f t="shared" si="168"/>
        <v>#REF!</v>
      </c>
      <c r="Q815" s="83" t="str">
        <f t="shared" si="170"/>
        <v/>
      </c>
      <c r="R815" s="84" t="e">
        <f t="shared" si="158"/>
        <v>#REF!</v>
      </c>
      <c r="S815" s="83" t="e">
        <f t="shared" si="158"/>
        <v>#REF!</v>
      </c>
      <c r="T815" s="84" t="e">
        <f t="shared" si="159"/>
        <v>#REF!</v>
      </c>
      <c r="U815" s="84" t="e">
        <f t="shared" si="160"/>
        <v>#REF!</v>
      </c>
      <c r="V815" s="85" t="e">
        <f>#REF!</f>
        <v>#REF!</v>
      </c>
      <c r="W815" s="86">
        <f t="shared" si="161"/>
        <v>0</v>
      </c>
      <c r="X815" s="86">
        <f t="shared" si="161"/>
        <v>0</v>
      </c>
      <c r="Y815" s="87">
        <f t="shared" si="162"/>
        <v>0</v>
      </c>
      <c r="Z815" s="87">
        <f t="shared" si="163"/>
        <v>0</v>
      </c>
      <c r="AA815" s="87">
        <f t="shared" si="164"/>
        <v>4</v>
      </c>
    </row>
    <row r="816" spans="9:27">
      <c r="I816" s="81" t="e">
        <f>IF(#REF!&lt;&gt;"",#REF!,"")</f>
        <v>#REF!</v>
      </c>
      <c r="J816" s="81" t="e">
        <f t="shared" si="165"/>
        <v>#REF!</v>
      </c>
      <c r="L816" s="82" t="e">
        <f t="shared" si="166"/>
        <v>#REF!</v>
      </c>
      <c r="M816" s="81" t="e">
        <f t="shared" si="169"/>
        <v>#REF!</v>
      </c>
      <c r="N816" s="81" t="e">
        <f t="shared" si="167"/>
        <v>#REF!</v>
      </c>
      <c r="O816" s="81" t="e">
        <f t="shared" si="168"/>
        <v>#REF!</v>
      </c>
      <c r="Q816" s="83" t="str">
        <f t="shared" si="170"/>
        <v/>
      </c>
      <c r="R816" s="84" t="e">
        <f t="shared" si="158"/>
        <v>#REF!</v>
      </c>
      <c r="S816" s="83" t="e">
        <f t="shared" si="158"/>
        <v>#REF!</v>
      </c>
      <c r="T816" s="84" t="e">
        <f t="shared" si="159"/>
        <v>#REF!</v>
      </c>
      <c r="U816" s="84" t="e">
        <f t="shared" si="160"/>
        <v>#REF!</v>
      </c>
      <c r="V816" s="85" t="e">
        <f>#REF!</f>
        <v>#REF!</v>
      </c>
      <c r="W816" s="86">
        <f t="shared" si="161"/>
        <v>0</v>
      </c>
      <c r="X816" s="86">
        <f t="shared" si="161"/>
        <v>0</v>
      </c>
      <c r="Y816" s="87">
        <f t="shared" si="162"/>
        <v>0</v>
      </c>
      <c r="Z816" s="87">
        <f t="shared" si="163"/>
        <v>0</v>
      </c>
      <c r="AA816" s="87">
        <f t="shared" si="164"/>
        <v>4</v>
      </c>
    </row>
    <row r="817" spans="9:27">
      <c r="I817" s="81" t="e">
        <f>IF(#REF!&lt;&gt;"",#REF!,"")</f>
        <v>#REF!</v>
      </c>
      <c r="J817" s="81" t="e">
        <f t="shared" si="165"/>
        <v>#REF!</v>
      </c>
      <c r="L817" s="82" t="e">
        <f t="shared" si="166"/>
        <v>#REF!</v>
      </c>
      <c r="M817" s="81" t="e">
        <f t="shared" si="169"/>
        <v>#REF!</v>
      </c>
      <c r="N817" s="81" t="e">
        <f t="shared" si="167"/>
        <v>#REF!</v>
      </c>
      <c r="O817" s="81" t="e">
        <f t="shared" si="168"/>
        <v>#REF!</v>
      </c>
      <c r="Q817" s="83" t="str">
        <f t="shared" si="170"/>
        <v/>
      </c>
      <c r="R817" s="84" t="e">
        <f t="shared" si="158"/>
        <v>#REF!</v>
      </c>
      <c r="S817" s="83" t="e">
        <f t="shared" si="158"/>
        <v>#REF!</v>
      </c>
      <c r="T817" s="84" t="e">
        <f t="shared" si="159"/>
        <v>#REF!</v>
      </c>
      <c r="U817" s="84" t="e">
        <f t="shared" si="160"/>
        <v>#REF!</v>
      </c>
      <c r="V817" s="85" t="e">
        <f>#REF!</f>
        <v>#REF!</v>
      </c>
      <c r="W817" s="86">
        <f t="shared" si="161"/>
        <v>0</v>
      </c>
      <c r="X817" s="86">
        <f t="shared" si="161"/>
        <v>0</v>
      </c>
      <c r="Y817" s="87">
        <f t="shared" si="162"/>
        <v>0</v>
      </c>
      <c r="Z817" s="87">
        <f t="shared" si="163"/>
        <v>0</v>
      </c>
      <c r="AA817" s="87">
        <f t="shared" si="164"/>
        <v>4</v>
      </c>
    </row>
    <row r="818" spans="9:27">
      <c r="I818" s="81" t="e">
        <f>IF(#REF!&lt;&gt;"",#REF!,"")</f>
        <v>#REF!</v>
      </c>
      <c r="J818" s="81" t="e">
        <f t="shared" si="165"/>
        <v>#REF!</v>
      </c>
      <c r="L818" s="82" t="e">
        <f t="shared" si="166"/>
        <v>#REF!</v>
      </c>
      <c r="M818" s="81" t="e">
        <f t="shared" si="169"/>
        <v>#REF!</v>
      </c>
      <c r="N818" s="81" t="e">
        <f t="shared" si="167"/>
        <v>#REF!</v>
      </c>
      <c r="O818" s="81" t="e">
        <f t="shared" si="168"/>
        <v>#REF!</v>
      </c>
      <c r="Q818" s="83" t="str">
        <f t="shared" si="170"/>
        <v/>
      </c>
      <c r="R818" s="84" t="e">
        <f t="shared" si="158"/>
        <v>#REF!</v>
      </c>
      <c r="S818" s="83" t="e">
        <f t="shared" si="158"/>
        <v>#REF!</v>
      </c>
      <c r="T818" s="84" t="e">
        <f t="shared" si="159"/>
        <v>#REF!</v>
      </c>
      <c r="U818" s="84" t="e">
        <f t="shared" si="160"/>
        <v>#REF!</v>
      </c>
      <c r="V818" s="85" t="e">
        <f>#REF!</f>
        <v>#REF!</v>
      </c>
      <c r="W818" s="86">
        <f t="shared" si="161"/>
        <v>0</v>
      </c>
      <c r="X818" s="86">
        <f t="shared" si="161"/>
        <v>0</v>
      </c>
      <c r="Y818" s="87">
        <f t="shared" si="162"/>
        <v>0</v>
      </c>
      <c r="Z818" s="87">
        <f t="shared" si="163"/>
        <v>0</v>
      </c>
      <c r="AA818" s="87">
        <f t="shared" si="164"/>
        <v>4</v>
      </c>
    </row>
    <row r="819" spans="9:27">
      <c r="I819" s="81" t="e">
        <f>IF(#REF!&lt;&gt;"",#REF!,"")</f>
        <v>#REF!</v>
      </c>
      <c r="J819" s="81" t="e">
        <f t="shared" si="165"/>
        <v>#REF!</v>
      </c>
      <c r="L819" s="82" t="e">
        <f t="shared" si="166"/>
        <v>#REF!</v>
      </c>
      <c r="M819" s="81" t="e">
        <f t="shared" si="169"/>
        <v>#REF!</v>
      </c>
      <c r="N819" s="81" t="e">
        <f t="shared" si="167"/>
        <v>#REF!</v>
      </c>
      <c r="O819" s="81" t="e">
        <f t="shared" si="168"/>
        <v>#REF!</v>
      </c>
      <c r="Q819" s="83" t="str">
        <f t="shared" si="170"/>
        <v/>
      </c>
      <c r="R819" s="84" t="e">
        <f t="shared" si="158"/>
        <v>#REF!</v>
      </c>
      <c r="S819" s="83" t="e">
        <f t="shared" si="158"/>
        <v>#REF!</v>
      </c>
      <c r="T819" s="84" t="e">
        <f t="shared" si="159"/>
        <v>#REF!</v>
      </c>
      <c r="U819" s="84" t="e">
        <f t="shared" si="160"/>
        <v>#REF!</v>
      </c>
      <c r="V819" s="85" t="e">
        <f>#REF!</f>
        <v>#REF!</v>
      </c>
      <c r="W819" s="86">
        <f t="shared" si="161"/>
        <v>0</v>
      </c>
      <c r="X819" s="86">
        <f t="shared" si="161"/>
        <v>0</v>
      </c>
      <c r="Y819" s="87">
        <f t="shared" si="162"/>
        <v>0</v>
      </c>
      <c r="Z819" s="87">
        <f t="shared" si="163"/>
        <v>0</v>
      </c>
      <c r="AA819" s="87">
        <f t="shared" si="164"/>
        <v>4</v>
      </c>
    </row>
    <row r="820" spans="9:27">
      <c r="I820" s="81" t="e">
        <f>IF(#REF!&lt;&gt;"",#REF!,"")</f>
        <v>#REF!</v>
      </c>
      <c r="J820" s="81" t="e">
        <f t="shared" si="165"/>
        <v>#REF!</v>
      </c>
      <c r="L820" s="82" t="e">
        <f t="shared" si="166"/>
        <v>#REF!</v>
      </c>
      <c r="M820" s="81" t="e">
        <f t="shared" si="169"/>
        <v>#REF!</v>
      </c>
      <c r="N820" s="81" t="e">
        <f t="shared" si="167"/>
        <v>#REF!</v>
      </c>
      <c r="O820" s="81" t="e">
        <f t="shared" si="168"/>
        <v>#REF!</v>
      </c>
      <c r="Q820" s="83" t="str">
        <f t="shared" si="170"/>
        <v/>
      </c>
      <c r="R820" s="84" t="e">
        <f t="shared" si="158"/>
        <v>#REF!</v>
      </c>
      <c r="S820" s="83" t="e">
        <f t="shared" si="158"/>
        <v>#REF!</v>
      </c>
      <c r="T820" s="84" t="e">
        <f t="shared" si="159"/>
        <v>#REF!</v>
      </c>
      <c r="U820" s="84" t="e">
        <f t="shared" si="160"/>
        <v>#REF!</v>
      </c>
      <c r="V820" s="85" t="e">
        <f>#REF!</f>
        <v>#REF!</v>
      </c>
      <c r="W820" s="86">
        <f t="shared" si="161"/>
        <v>0</v>
      </c>
      <c r="X820" s="86">
        <f t="shared" si="161"/>
        <v>0</v>
      </c>
      <c r="Y820" s="87">
        <f t="shared" si="162"/>
        <v>0</v>
      </c>
      <c r="Z820" s="87">
        <f t="shared" si="163"/>
        <v>0</v>
      </c>
      <c r="AA820" s="87">
        <f t="shared" si="164"/>
        <v>4</v>
      </c>
    </row>
    <row r="821" spans="9:27">
      <c r="I821" s="81" t="e">
        <f>IF(#REF!&lt;&gt;"",#REF!,"")</f>
        <v>#REF!</v>
      </c>
      <c r="J821" s="81" t="e">
        <f t="shared" si="165"/>
        <v>#REF!</v>
      </c>
      <c r="L821" s="82" t="e">
        <f t="shared" si="166"/>
        <v>#REF!</v>
      </c>
      <c r="M821" s="81" t="e">
        <f t="shared" si="169"/>
        <v>#REF!</v>
      </c>
      <c r="N821" s="81" t="e">
        <f t="shared" si="167"/>
        <v>#REF!</v>
      </c>
      <c r="O821" s="81" t="e">
        <f t="shared" si="168"/>
        <v>#REF!</v>
      </c>
      <c r="Q821" s="83" t="str">
        <f t="shared" si="170"/>
        <v/>
      </c>
      <c r="R821" s="84" t="e">
        <f t="shared" si="158"/>
        <v>#REF!</v>
      </c>
      <c r="S821" s="83" t="e">
        <f t="shared" si="158"/>
        <v>#REF!</v>
      </c>
      <c r="T821" s="84" t="e">
        <f t="shared" si="159"/>
        <v>#REF!</v>
      </c>
      <c r="U821" s="84" t="e">
        <f t="shared" si="160"/>
        <v>#REF!</v>
      </c>
      <c r="V821" s="85" t="e">
        <f>#REF!</f>
        <v>#REF!</v>
      </c>
      <c r="W821" s="86">
        <f t="shared" si="161"/>
        <v>0</v>
      </c>
      <c r="X821" s="86">
        <f t="shared" si="161"/>
        <v>0</v>
      </c>
      <c r="Y821" s="87">
        <f t="shared" si="162"/>
        <v>0</v>
      </c>
      <c r="Z821" s="87">
        <f t="shared" si="163"/>
        <v>0</v>
      </c>
      <c r="AA821" s="87">
        <f t="shared" si="164"/>
        <v>4</v>
      </c>
    </row>
    <row r="822" spans="9:27">
      <c r="I822" s="81" t="e">
        <f>IF(#REF!&lt;&gt;"",#REF!,"")</f>
        <v>#REF!</v>
      </c>
      <c r="J822" s="81" t="e">
        <f t="shared" si="165"/>
        <v>#REF!</v>
      </c>
      <c r="L822" s="82" t="e">
        <f t="shared" si="166"/>
        <v>#REF!</v>
      </c>
      <c r="M822" s="81" t="e">
        <f t="shared" si="169"/>
        <v>#REF!</v>
      </c>
      <c r="N822" s="81" t="e">
        <f t="shared" si="167"/>
        <v>#REF!</v>
      </c>
      <c r="O822" s="81" t="e">
        <f t="shared" si="168"/>
        <v>#REF!</v>
      </c>
      <c r="Q822" s="83" t="str">
        <f t="shared" si="170"/>
        <v/>
      </c>
      <c r="R822" s="84" t="e">
        <f t="shared" si="158"/>
        <v>#REF!</v>
      </c>
      <c r="S822" s="83" t="e">
        <f t="shared" si="158"/>
        <v>#REF!</v>
      </c>
      <c r="T822" s="84" t="e">
        <f t="shared" si="159"/>
        <v>#REF!</v>
      </c>
      <c r="U822" s="84" t="e">
        <f t="shared" si="160"/>
        <v>#REF!</v>
      </c>
      <c r="V822" s="85" t="e">
        <f>#REF!</f>
        <v>#REF!</v>
      </c>
      <c r="W822" s="86">
        <f t="shared" si="161"/>
        <v>0</v>
      </c>
      <c r="X822" s="86">
        <f t="shared" si="161"/>
        <v>0</v>
      </c>
      <c r="Y822" s="87">
        <f t="shared" si="162"/>
        <v>0</v>
      </c>
      <c r="Z822" s="87">
        <f t="shared" si="163"/>
        <v>0</v>
      </c>
      <c r="AA822" s="87">
        <f t="shared" si="164"/>
        <v>4</v>
      </c>
    </row>
    <row r="823" spans="9:27">
      <c r="I823" s="81" t="e">
        <f>IF(#REF!&lt;&gt;"",#REF!,"")</f>
        <v>#REF!</v>
      </c>
      <c r="J823" s="81" t="e">
        <f t="shared" si="165"/>
        <v>#REF!</v>
      </c>
      <c r="L823" s="82" t="e">
        <f t="shared" si="166"/>
        <v>#REF!</v>
      </c>
      <c r="M823" s="81" t="e">
        <f t="shared" si="169"/>
        <v>#REF!</v>
      </c>
      <c r="N823" s="81" t="e">
        <f t="shared" si="167"/>
        <v>#REF!</v>
      </c>
      <c r="O823" s="81" t="e">
        <f t="shared" si="168"/>
        <v>#REF!</v>
      </c>
      <c r="Q823" s="83" t="str">
        <f t="shared" si="170"/>
        <v/>
      </c>
      <c r="R823" s="84" t="e">
        <f t="shared" si="158"/>
        <v>#REF!</v>
      </c>
      <c r="S823" s="83" t="e">
        <f t="shared" si="158"/>
        <v>#REF!</v>
      </c>
      <c r="T823" s="84" t="e">
        <f t="shared" si="159"/>
        <v>#REF!</v>
      </c>
      <c r="U823" s="84" t="e">
        <f t="shared" si="160"/>
        <v>#REF!</v>
      </c>
      <c r="V823" s="85" t="e">
        <f>#REF!</f>
        <v>#REF!</v>
      </c>
      <c r="W823" s="86">
        <f t="shared" si="161"/>
        <v>0</v>
      </c>
      <c r="X823" s="86">
        <f t="shared" si="161"/>
        <v>0</v>
      </c>
      <c r="Y823" s="87">
        <f t="shared" si="162"/>
        <v>0</v>
      </c>
      <c r="Z823" s="87">
        <f t="shared" si="163"/>
        <v>0</v>
      </c>
      <c r="AA823" s="87">
        <f t="shared" si="164"/>
        <v>4</v>
      </c>
    </row>
    <row r="824" spans="9:27">
      <c r="I824" s="81" t="e">
        <f>IF(#REF!&lt;&gt;"",#REF!,"")</f>
        <v>#REF!</v>
      </c>
      <c r="J824" s="81" t="e">
        <f t="shared" si="165"/>
        <v>#REF!</v>
      </c>
      <c r="L824" s="82" t="e">
        <f t="shared" si="166"/>
        <v>#REF!</v>
      </c>
      <c r="M824" s="81" t="e">
        <f t="shared" si="169"/>
        <v>#REF!</v>
      </c>
      <c r="N824" s="81" t="e">
        <f t="shared" si="167"/>
        <v>#REF!</v>
      </c>
      <c r="O824" s="81" t="e">
        <f t="shared" si="168"/>
        <v>#REF!</v>
      </c>
      <c r="Q824" s="83" t="str">
        <f t="shared" si="170"/>
        <v/>
      </c>
      <c r="R824" s="84" t="e">
        <f t="shared" si="158"/>
        <v>#REF!</v>
      </c>
      <c r="S824" s="83" t="e">
        <f t="shared" si="158"/>
        <v>#REF!</v>
      </c>
      <c r="T824" s="84" t="e">
        <f t="shared" si="159"/>
        <v>#REF!</v>
      </c>
      <c r="U824" s="84" t="e">
        <f t="shared" si="160"/>
        <v>#REF!</v>
      </c>
      <c r="V824" s="85" t="e">
        <f>#REF!</f>
        <v>#REF!</v>
      </c>
      <c r="W824" s="86">
        <f t="shared" si="161"/>
        <v>0</v>
      </c>
      <c r="X824" s="86">
        <f t="shared" si="161"/>
        <v>0</v>
      </c>
      <c r="Y824" s="87">
        <f t="shared" si="162"/>
        <v>0</v>
      </c>
      <c r="Z824" s="87">
        <f t="shared" si="163"/>
        <v>0</v>
      </c>
      <c r="AA824" s="87">
        <f t="shared" si="164"/>
        <v>4</v>
      </c>
    </row>
    <row r="825" spans="9:27">
      <c r="I825" s="81" t="e">
        <f>IF(#REF!&lt;&gt;"",#REF!,"")</f>
        <v>#REF!</v>
      </c>
      <c r="J825" s="81" t="e">
        <f t="shared" si="165"/>
        <v>#REF!</v>
      </c>
      <c r="L825" s="82" t="e">
        <f t="shared" si="166"/>
        <v>#REF!</v>
      </c>
      <c r="M825" s="81" t="e">
        <f t="shared" si="169"/>
        <v>#REF!</v>
      </c>
      <c r="N825" s="81" t="e">
        <f t="shared" si="167"/>
        <v>#REF!</v>
      </c>
      <c r="O825" s="81" t="e">
        <f t="shared" si="168"/>
        <v>#REF!</v>
      </c>
      <c r="Q825" s="83" t="str">
        <f t="shared" si="170"/>
        <v/>
      </c>
      <c r="R825" s="84" t="e">
        <f t="shared" si="158"/>
        <v>#REF!</v>
      </c>
      <c r="S825" s="83" t="e">
        <f t="shared" si="158"/>
        <v>#REF!</v>
      </c>
      <c r="T825" s="84" t="e">
        <f t="shared" si="159"/>
        <v>#REF!</v>
      </c>
      <c r="U825" s="84" t="e">
        <f t="shared" si="160"/>
        <v>#REF!</v>
      </c>
      <c r="V825" s="85" t="e">
        <f>#REF!</f>
        <v>#REF!</v>
      </c>
      <c r="W825" s="86">
        <f t="shared" si="161"/>
        <v>0</v>
      </c>
      <c r="X825" s="86">
        <f t="shared" si="161"/>
        <v>0</v>
      </c>
      <c r="Y825" s="87">
        <f t="shared" si="162"/>
        <v>0</v>
      </c>
      <c r="Z825" s="87">
        <f t="shared" si="163"/>
        <v>0</v>
      </c>
      <c r="AA825" s="87">
        <f t="shared" si="164"/>
        <v>4</v>
      </c>
    </row>
    <row r="826" spans="9:27">
      <c r="I826" s="81" t="e">
        <f>IF(#REF!&lt;&gt;"",#REF!,"")</f>
        <v>#REF!</v>
      </c>
      <c r="J826" s="81" t="e">
        <f t="shared" si="165"/>
        <v>#REF!</v>
      </c>
      <c r="L826" s="82" t="e">
        <f t="shared" si="166"/>
        <v>#REF!</v>
      </c>
      <c r="M826" s="81" t="e">
        <f t="shared" si="169"/>
        <v>#REF!</v>
      </c>
      <c r="N826" s="81" t="e">
        <f t="shared" si="167"/>
        <v>#REF!</v>
      </c>
      <c r="O826" s="81" t="e">
        <f t="shared" si="168"/>
        <v>#REF!</v>
      </c>
      <c r="Q826" s="83" t="str">
        <f t="shared" si="170"/>
        <v/>
      </c>
      <c r="R826" s="84" t="e">
        <f t="shared" si="158"/>
        <v>#REF!</v>
      </c>
      <c r="S826" s="83" t="e">
        <f t="shared" si="158"/>
        <v>#REF!</v>
      </c>
      <c r="T826" s="84" t="e">
        <f t="shared" si="159"/>
        <v>#REF!</v>
      </c>
      <c r="U826" s="84" t="e">
        <f t="shared" si="160"/>
        <v>#REF!</v>
      </c>
      <c r="V826" s="85" t="e">
        <f>#REF!</f>
        <v>#REF!</v>
      </c>
      <c r="W826" s="86">
        <f t="shared" si="161"/>
        <v>0</v>
      </c>
      <c r="X826" s="86">
        <f t="shared" si="161"/>
        <v>0</v>
      </c>
      <c r="Y826" s="87">
        <f t="shared" si="162"/>
        <v>0</v>
      </c>
      <c r="Z826" s="87">
        <f t="shared" si="163"/>
        <v>0</v>
      </c>
      <c r="AA826" s="87">
        <f t="shared" si="164"/>
        <v>4</v>
      </c>
    </row>
    <row r="827" spans="9:27">
      <c r="I827" s="81" t="e">
        <f>IF(#REF!&lt;&gt;"",#REF!,"")</f>
        <v>#REF!</v>
      </c>
      <c r="J827" s="81" t="e">
        <f t="shared" si="165"/>
        <v>#REF!</v>
      </c>
      <c r="L827" s="82" t="e">
        <f t="shared" si="166"/>
        <v>#REF!</v>
      </c>
      <c r="M827" s="81" t="e">
        <f t="shared" si="169"/>
        <v>#REF!</v>
      </c>
      <c r="N827" s="81" t="e">
        <f t="shared" si="167"/>
        <v>#REF!</v>
      </c>
      <c r="O827" s="81" t="e">
        <f t="shared" si="168"/>
        <v>#REF!</v>
      </c>
      <c r="Q827" s="83" t="str">
        <f t="shared" si="170"/>
        <v/>
      </c>
      <c r="R827" s="84" t="e">
        <f t="shared" si="158"/>
        <v>#REF!</v>
      </c>
      <c r="S827" s="83" t="e">
        <f t="shared" si="158"/>
        <v>#REF!</v>
      </c>
      <c r="T827" s="84" t="e">
        <f t="shared" si="159"/>
        <v>#REF!</v>
      </c>
      <c r="U827" s="84" t="e">
        <f t="shared" si="160"/>
        <v>#REF!</v>
      </c>
      <c r="V827" s="85" t="e">
        <f>#REF!</f>
        <v>#REF!</v>
      </c>
      <c r="W827" s="86">
        <f t="shared" si="161"/>
        <v>0</v>
      </c>
      <c r="X827" s="86">
        <f t="shared" si="161"/>
        <v>0</v>
      </c>
      <c r="Y827" s="87">
        <f t="shared" si="162"/>
        <v>0</v>
      </c>
      <c r="Z827" s="87">
        <f t="shared" si="163"/>
        <v>0</v>
      </c>
      <c r="AA827" s="87">
        <f t="shared" si="164"/>
        <v>4</v>
      </c>
    </row>
    <row r="828" spans="9:27">
      <c r="I828" s="81" t="e">
        <f>IF(#REF!&lt;&gt;"",#REF!,"")</f>
        <v>#REF!</v>
      </c>
      <c r="J828" s="81" t="e">
        <f t="shared" si="165"/>
        <v>#REF!</v>
      </c>
      <c r="L828" s="82" t="e">
        <f t="shared" si="166"/>
        <v>#REF!</v>
      </c>
      <c r="M828" s="81" t="e">
        <f t="shared" si="169"/>
        <v>#REF!</v>
      </c>
      <c r="N828" s="81" t="e">
        <f t="shared" si="167"/>
        <v>#REF!</v>
      </c>
      <c r="O828" s="81" t="e">
        <f t="shared" si="168"/>
        <v>#REF!</v>
      </c>
      <c r="Q828" s="83" t="str">
        <f t="shared" si="170"/>
        <v/>
      </c>
      <c r="R828" s="84" t="e">
        <f t="shared" si="158"/>
        <v>#REF!</v>
      </c>
      <c r="S828" s="83" t="e">
        <f t="shared" si="158"/>
        <v>#REF!</v>
      </c>
      <c r="T828" s="84" t="e">
        <f t="shared" si="159"/>
        <v>#REF!</v>
      </c>
      <c r="U828" s="84" t="e">
        <f t="shared" si="160"/>
        <v>#REF!</v>
      </c>
      <c r="V828" s="85" t="e">
        <f>#REF!</f>
        <v>#REF!</v>
      </c>
      <c r="W828" s="86">
        <f t="shared" si="161"/>
        <v>0</v>
      </c>
      <c r="X828" s="86">
        <f t="shared" si="161"/>
        <v>0</v>
      </c>
      <c r="Y828" s="87">
        <f t="shared" si="162"/>
        <v>0</v>
      </c>
      <c r="Z828" s="87">
        <f t="shared" si="163"/>
        <v>0</v>
      </c>
      <c r="AA828" s="87">
        <f t="shared" si="164"/>
        <v>4</v>
      </c>
    </row>
    <row r="829" spans="9:27">
      <c r="I829" s="81" t="e">
        <f>IF(#REF!&lt;&gt;"",#REF!,"")</f>
        <v>#REF!</v>
      </c>
      <c r="J829" s="81" t="e">
        <f t="shared" si="165"/>
        <v>#REF!</v>
      </c>
      <c r="L829" s="82" t="e">
        <f t="shared" si="166"/>
        <v>#REF!</v>
      </c>
      <c r="M829" s="81" t="e">
        <f t="shared" si="169"/>
        <v>#REF!</v>
      </c>
      <c r="N829" s="81" t="e">
        <f t="shared" si="167"/>
        <v>#REF!</v>
      </c>
      <c r="O829" s="81" t="e">
        <f t="shared" si="168"/>
        <v>#REF!</v>
      </c>
      <c r="Q829" s="83" t="str">
        <f t="shared" si="170"/>
        <v/>
      </c>
      <c r="R829" s="84" t="e">
        <f t="shared" si="158"/>
        <v>#REF!</v>
      </c>
      <c r="S829" s="83" t="e">
        <f t="shared" si="158"/>
        <v>#REF!</v>
      </c>
      <c r="T829" s="84" t="e">
        <f t="shared" si="159"/>
        <v>#REF!</v>
      </c>
      <c r="U829" s="84" t="e">
        <f t="shared" si="160"/>
        <v>#REF!</v>
      </c>
      <c r="V829" s="85" t="e">
        <f>#REF!</f>
        <v>#REF!</v>
      </c>
      <c r="W829" s="86">
        <f t="shared" si="161"/>
        <v>0</v>
      </c>
      <c r="X829" s="86">
        <f t="shared" si="161"/>
        <v>0</v>
      </c>
      <c r="Y829" s="87">
        <f t="shared" si="162"/>
        <v>0</v>
      </c>
      <c r="Z829" s="87">
        <f t="shared" si="163"/>
        <v>0</v>
      </c>
      <c r="AA829" s="87">
        <f t="shared" si="164"/>
        <v>4</v>
      </c>
    </row>
    <row r="830" spans="9:27">
      <c r="I830" s="81" t="e">
        <f>IF(#REF!&lt;&gt;"",#REF!,"")</f>
        <v>#REF!</v>
      </c>
      <c r="J830" s="81" t="e">
        <f t="shared" si="165"/>
        <v>#REF!</v>
      </c>
      <c r="L830" s="82" t="e">
        <f t="shared" si="166"/>
        <v>#REF!</v>
      </c>
      <c r="M830" s="81" t="e">
        <f t="shared" si="169"/>
        <v>#REF!</v>
      </c>
      <c r="N830" s="81" t="e">
        <f t="shared" si="167"/>
        <v>#REF!</v>
      </c>
      <c r="O830" s="81" t="e">
        <f t="shared" si="168"/>
        <v>#REF!</v>
      </c>
      <c r="Q830" s="83" t="str">
        <f t="shared" si="170"/>
        <v/>
      </c>
      <c r="R830" s="84" t="e">
        <f t="shared" si="158"/>
        <v>#REF!</v>
      </c>
      <c r="S830" s="83" t="e">
        <f t="shared" si="158"/>
        <v>#REF!</v>
      </c>
      <c r="T830" s="84" t="e">
        <f t="shared" si="159"/>
        <v>#REF!</v>
      </c>
      <c r="U830" s="84" t="e">
        <f t="shared" si="160"/>
        <v>#REF!</v>
      </c>
      <c r="V830" s="85" t="e">
        <f>#REF!</f>
        <v>#REF!</v>
      </c>
      <c r="W830" s="86">
        <f t="shared" si="161"/>
        <v>0</v>
      </c>
      <c r="X830" s="86">
        <f t="shared" si="161"/>
        <v>0</v>
      </c>
      <c r="Y830" s="87">
        <f t="shared" si="162"/>
        <v>0</v>
      </c>
      <c r="Z830" s="87">
        <f t="shared" si="163"/>
        <v>0</v>
      </c>
      <c r="AA830" s="87">
        <f t="shared" si="164"/>
        <v>4</v>
      </c>
    </row>
    <row r="831" spans="9:27">
      <c r="I831" s="81" t="e">
        <f>IF(#REF!&lt;&gt;"",#REF!,"")</f>
        <v>#REF!</v>
      </c>
      <c r="J831" s="81" t="e">
        <f t="shared" si="165"/>
        <v>#REF!</v>
      </c>
      <c r="L831" s="82" t="e">
        <f t="shared" si="166"/>
        <v>#REF!</v>
      </c>
      <c r="M831" s="81" t="e">
        <f t="shared" si="169"/>
        <v>#REF!</v>
      </c>
      <c r="N831" s="81" t="e">
        <f t="shared" si="167"/>
        <v>#REF!</v>
      </c>
      <c r="O831" s="81" t="e">
        <f t="shared" si="168"/>
        <v>#REF!</v>
      </c>
      <c r="Q831" s="83" t="str">
        <f t="shared" si="170"/>
        <v/>
      </c>
      <c r="R831" s="84" t="e">
        <f t="shared" si="158"/>
        <v>#REF!</v>
      </c>
      <c r="S831" s="83" t="e">
        <f t="shared" si="158"/>
        <v>#REF!</v>
      </c>
      <c r="T831" s="84" t="e">
        <f t="shared" si="159"/>
        <v>#REF!</v>
      </c>
      <c r="U831" s="84" t="e">
        <f t="shared" si="160"/>
        <v>#REF!</v>
      </c>
      <c r="V831" s="85" t="e">
        <f>#REF!</f>
        <v>#REF!</v>
      </c>
      <c r="W831" s="86">
        <f t="shared" si="161"/>
        <v>0</v>
      </c>
      <c r="X831" s="86">
        <f t="shared" si="161"/>
        <v>0</v>
      </c>
      <c r="Y831" s="87">
        <f t="shared" si="162"/>
        <v>0</v>
      </c>
      <c r="Z831" s="87">
        <f t="shared" si="163"/>
        <v>0</v>
      </c>
      <c r="AA831" s="87">
        <f t="shared" si="164"/>
        <v>4</v>
      </c>
    </row>
    <row r="832" spans="9:27">
      <c r="I832" s="81" t="e">
        <f>IF(#REF!&lt;&gt;"",#REF!,"")</f>
        <v>#REF!</v>
      </c>
      <c r="J832" s="81" t="e">
        <f t="shared" si="165"/>
        <v>#REF!</v>
      </c>
      <c r="L832" s="82" t="e">
        <f t="shared" si="166"/>
        <v>#REF!</v>
      </c>
      <c r="M832" s="81" t="e">
        <f t="shared" si="169"/>
        <v>#REF!</v>
      </c>
      <c r="N832" s="81" t="e">
        <f t="shared" si="167"/>
        <v>#REF!</v>
      </c>
      <c r="O832" s="81" t="e">
        <f t="shared" si="168"/>
        <v>#REF!</v>
      </c>
      <c r="Q832" s="83" t="str">
        <f t="shared" si="170"/>
        <v/>
      </c>
      <c r="R832" s="84" t="e">
        <f t="shared" ref="R832:S895" si="171">IF(L832="","",L832)</f>
        <v>#REF!</v>
      </c>
      <c r="S832" s="83" t="e">
        <f t="shared" si="171"/>
        <v>#REF!</v>
      </c>
      <c r="T832" s="84" t="e">
        <f t="shared" ref="T832:T895" si="172">IF(W832=1,"",N832)</f>
        <v>#REF!</v>
      </c>
      <c r="U832" s="84" t="e">
        <f t="shared" ref="U832:U895" si="173">IF(OR(W832=1,X832=1),"",O832)</f>
        <v>#REF!</v>
      </c>
      <c r="V832" s="85" t="e">
        <f>#REF!</f>
        <v>#REF!</v>
      </c>
      <c r="W832" s="86">
        <f t="shared" si="161"/>
        <v>0</v>
      </c>
      <c r="X832" s="86">
        <f t="shared" si="161"/>
        <v>0</v>
      </c>
      <c r="Y832" s="87">
        <f t="shared" si="162"/>
        <v>0</v>
      </c>
      <c r="Z832" s="87">
        <f t="shared" si="163"/>
        <v>0</v>
      </c>
      <c r="AA832" s="87">
        <f t="shared" si="164"/>
        <v>4</v>
      </c>
    </row>
    <row r="833" spans="9:27">
      <c r="I833" s="81" t="e">
        <f>IF(#REF!&lt;&gt;"",#REF!,"")</f>
        <v>#REF!</v>
      </c>
      <c r="J833" s="81" t="e">
        <f t="shared" si="165"/>
        <v>#REF!</v>
      </c>
      <c r="L833" s="82" t="e">
        <f t="shared" si="166"/>
        <v>#REF!</v>
      </c>
      <c r="M833" s="81" t="e">
        <f t="shared" si="169"/>
        <v>#REF!</v>
      </c>
      <c r="N833" s="81" t="e">
        <f t="shared" si="167"/>
        <v>#REF!</v>
      </c>
      <c r="O833" s="81" t="e">
        <f t="shared" si="168"/>
        <v>#REF!</v>
      </c>
      <c r="Q833" s="83" t="str">
        <f t="shared" si="170"/>
        <v/>
      </c>
      <c r="R833" s="84" t="e">
        <f t="shared" si="171"/>
        <v>#REF!</v>
      </c>
      <c r="S833" s="83" t="e">
        <f t="shared" si="171"/>
        <v>#REF!</v>
      </c>
      <c r="T833" s="84" t="e">
        <f t="shared" si="172"/>
        <v>#REF!</v>
      </c>
      <c r="U833" s="84" t="e">
        <f t="shared" si="173"/>
        <v>#REF!</v>
      </c>
      <c r="V833" s="85" t="e">
        <f>#REF!</f>
        <v>#REF!</v>
      </c>
      <c r="W833" s="86">
        <f t="shared" ref="W833:X896" si="174">COUNTIFS(R833,"&gt;&lt;")</f>
        <v>0</v>
      </c>
      <c r="X833" s="86">
        <f t="shared" si="174"/>
        <v>0</v>
      </c>
      <c r="Y833" s="87">
        <f t="shared" ref="Y833:Y896" si="175">COUNTIFS(R833:U833,"*")</f>
        <v>0</v>
      </c>
      <c r="Z833" s="87">
        <f t="shared" ref="Z833:Z896" si="176">COUNTIFS(R833:U833,"&gt;&lt;")</f>
        <v>0</v>
      </c>
      <c r="AA833" s="87">
        <f t="shared" ref="AA833:AA896" si="177">COUNTIFS(R833:U833,"&lt;&gt;")</f>
        <v>4</v>
      </c>
    </row>
    <row r="834" spans="9:27">
      <c r="I834" s="81" t="e">
        <f>IF(#REF!&lt;&gt;"",#REF!,"")</f>
        <v>#REF!</v>
      </c>
      <c r="J834" s="81" t="e">
        <f t="shared" si="165"/>
        <v>#REF!</v>
      </c>
      <c r="L834" s="82" t="e">
        <f t="shared" si="166"/>
        <v>#REF!</v>
      </c>
      <c r="M834" s="81" t="e">
        <f t="shared" si="169"/>
        <v>#REF!</v>
      </c>
      <c r="N834" s="81" t="e">
        <f t="shared" si="167"/>
        <v>#REF!</v>
      </c>
      <c r="O834" s="81" t="e">
        <f t="shared" si="168"/>
        <v>#REF!</v>
      </c>
      <c r="Q834" s="83" t="str">
        <f t="shared" si="170"/>
        <v/>
      </c>
      <c r="R834" s="84" t="e">
        <f t="shared" si="171"/>
        <v>#REF!</v>
      </c>
      <c r="S834" s="83" t="e">
        <f t="shared" si="171"/>
        <v>#REF!</v>
      </c>
      <c r="T834" s="84" t="e">
        <f t="shared" si="172"/>
        <v>#REF!</v>
      </c>
      <c r="U834" s="84" t="e">
        <f t="shared" si="173"/>
        <v>#REF!</v>
      </c>
      <c r="V834" s="85" t="e">
        <f>#REF!</f>
        <v>#REF!</v>
      </c>
      <c r="W834" s="86">
        <f t="shared" si="174"/>
        <v>0</v>
      </c>
      <c r="X834" s="86">
        <f t="shared" si="174"/>
        <v>0</v>
      </c>
      <c r="Y834" s="87">
        <f t="shared" si="175"/>
        <v>0</v>
      </c>
      <c r="Z834" s="87">
        <f t="shared" si="176"/>
        <v>0</v>
      </c>
      <c r="AA834" s="87">
        <f t="shared" si="177"/>
        <v>4</v>
      </c>
    </row>
    <row r="835" spans="9:27">
      <c r="I835" s="81" t="e">
        <f>IF(#REF!&lt;&gt;"",#REF!,"")</f>
        <v>#REF!</v>
      </c>
      <c r="J835" s="81" t="e">
        <f t="shared" ref="J835:J898" si="178">LEFT(I835,1)</f>
        <v>#REF!</v>
      </c>
      <c r="L835" s="82" t="e">
        <f t="shared" ref="L835:L898" si="179">IF(OR(J835="E",J835="L",J835="M"),"",I835)</f>
        <v>#REF!</v>
      </c>
      <c r="M835" s="81" t="e">
        <f t="shared" si="169"/>
        <v>#REF!</v>
      </c>
      <c r="N835" s="81" t="e">
        <f t="shared" ref="N835:N898" si="180">IF(OR(J835="D",J835="E",J835="L"),"",I835)</f>
        <v>#REF!</v>
      </c>
      <c r="O835" s="81" t="e">
        <f t="shared" ref="O835:O898" si="181">IF(OR(J835="D",J835="E",J835="M"),"",I835)</f>
        <v>#REF!</v>
      </c>
      <c r="Q835" s="83" t="str">
        <f t="shared" si="170"/>
        <v/>
      </c>
      <c r="R835" s="84" t="e">
        <f t="shared" si="171"/>
        <v>#REF!</v>
      </c>
      <c r="S835" s="83" t="e">
        <f t="shared" si="171"/>
        <v>#REF!</v>
      </c>
      <c r="T835" s="84" t="e">
        <f t="shared" si="172"/>
        <v>#REF!</v>
      </c>
      <c r="U835" s="84" t="e">
        <f t="shared" si="173"/>
        <v>#REF!</v>
      </c>
      <c r="V835" s="85" t="e">
        <f>#REF!</f>
        <v>#REF!</v>
      </c>
      <c r="W835" s="86">
        <f t="shared" si="174"/>
        <v>0</v>
      </c>
      <c r="X835" s="86">
        <f t="shared" si="174"/>
        <v>0</v>
      </c>
      <c r="Y835" s="87">
        <f t="shared" si="175"/>
        <v>0</v>
      </c>
      <c r="Z835" s="87">
        <f t="shared" si="176"/>
        <v>0</v>
      </c>
      <c r="AA835" s="87">
        <f t="shared" si="177"/>
        <v>4</v>
      </c>
    </row>
    <row r="836" spans="9:27">
      <c r="I836" s="81" t="e">
        <f>IF(#REF!&lt;&gt;"",#REF!,"")</f>
        <v>#REF!</v>
      </c>
      <c r="J836" s="81" t="e">
        <f t="shared" si="178"/>
        <v>#REF!</v>
      </c>
      <c r="L836" s="82" t="e">
        <f t="shared" si="179"/>
        <v>#REF!</v>
      </c>
      <c r="M836" s="81" t="e">
        <f t="shared" si="169"/>
        <v>#REF!</v>
      </c>
      <c r="N836" s="81" t="e">
        <f t="shared" si="180"/>
        <v>#REF!</v>
      </c>
      <c r="O836" s="81" t="e">
        <f t="shared" si="181"/>
        <v>#REF!</v>
      </c>
      <c r="Q836" s="83" t="str">
        <f t="shared" si="170"/>
        <v/>
      </c>
      <c r="R836" s="84" t="e">
        <f t="shared" si="171"/>
        <v>#REF!</v>
      </c>
      <c r="S836" s="83" t="e">
        <f t="shared" si="171"/>
        <v>#REF!</v>
      </c>
      <c r="T836" s="84" t="e">
        <f t="shared" si="172"/>
        <v>#REF!</v>
      </c>
      <c r="U836" s="84" t="e">
        <f t="shared" si="173"/>
        <v>#REF!</v>
      </c>
      <c r="V836" s="85" t="e">
        <f>#REF!</f>
        <v>#REF!</v>
      </c>
      <c r="W836" s="86">
        <f t="shared" si="174"/>
        <v>0</v>
      </c>
      <c r="X836" s="86">
        <f t="shared" si="174"/>
        <v>0</v>
      </c>
      <c r="Y836" s="87">
        <f t="shared" si="175"/>
        <v>0</v>
      </c>
      <c r="Z836" s="87">
        <f t="shared" si="176"/>
        <v>0</v>
      </c>
      <c r="AA836" s="87">
        <f t="shared" si="177"/>
        <v>4</v>
      </c>
    </row>
    <row r="837" spans="9:27">
      <c r="I837" s="81" t="e">
        <f>IF(#REF!&lt;&gt;"",#REF!,"")</f>
        <v>#REF!</v>
      </c>
      <c r="J837" s="81" t="e">
        <f t="shared" si="178"/>
        <v>#REF!</v>
      </c>
      <c r="L837" s="82" t="e">
        <f t="shared" si="179"/>
        <v>#REF!</v>
      </c>
      <c r="M837" s="81" t="e">
        <f t="shared" si="169"/>
        <v>#REF!</v>
      </c>
      <c r="N837" s="81" t="e">
        <f t="shared" si="180"/>
        <v>#REF!</v>
      </c>
      <c r="O837" s="81" t="e">
        <f t="shared" si="181"/>
        <v>#REF!</v>
      </c>
      <c r="Q837" s="83" t="str">
        <f t="shared" si="170"/>
        <v/>
      </c>
      <c r="R837" s="84" t="e">
        <f t="shared" si="171"/>
        <v>#REF!</v>
      </c>
      <c r="S837" s="83" t="e">
        <f t="shared" si="171"/>
        <v>#REF!</v>
      </c>
      <c r="T837" s="84" t="e">
        <f t="shared" si="172"/>
        <v>#REF!</v>
      </c>
      <c r="U837" s="84" t="e">
        <f t="shared" si="173"/>
        <v>#REF!</v>
      </c>
      <c r="V837" s="85" t="e">
        <f>#REF!</f>
        <v>#REF!</v>
      </c>
      <c r="W837" s="86">
        <f t="shared" si="174"/>
        <v>0</v>
      </c>
      <c r="X837" s="86">
        <f t="shared" si="174"/>
        <v>0</v>
      </c>
      <c r="Y837" s="87">
        <f t="shared" si="175"/>
        <v>0</v>
      </c>
      <c r="Z837" s="87">
        <f t="shared" si="176"/>
        <v>0</v>
      </c>
      <c r="AA837" s="87">
        <f t="shared" si="177"/>
        <v>4</v>
      </c>
    </row>
    <row r="838" spans="9:27">
      <c r="I838" s="81" t="e">
        <f>IF(#REF!&lt;&gt;"",#REF!,"")</f>
        <v>#REF!</v>
      </c>
      <c r="J838" s="81" t="e">
        <f t="shared" si="178"/>
        <v>#REF!</v>
      </c>
      <c r="L838" s="82" t="e">
        <f t="shared" si="179"/>
        <v>#REF!</v>
      </c>
      <c r="M838" s="81" t="e">
        <f t="shared" ref="M838:M901" si="182">IF(OR(J838="D",J838="L",J838="M"),"",I838)</f>
        <v>#REF!</v>
      </c>
      <c r="N838" s="81" t="e">
        <f t="shared" si="180"/>
        <v>#REF!</v>
      </c>
      <c r="O838" s="81" t="e">
        <f t="shared" si="181"/>
        <v>#REF!</v>
      </c>
      <c r="Q838" s="83" t="str">
        <f t="shared" si="170"/>
        <v/>
      </c>
      <c r="R838" s="84" t="e">
        <f t="shared" si="171"/>
        <v>#REF!</v>
      </c>
      <c r="S838" s="83" t="e">
        <f t="shared" si="171"/>
        <v>#REF!</v>
      </c>
      <c r="T838" s="84" t="e">
        <f t="shared" si="172"/>
        <v>#REF!</v>
      </c>
      <c r="U838" s="84" t="e">
        <f t="shared" si="173"/>
        <v>#REF!</v>
      </c>
      <c r="V838" s="85" t="e">
        <f>#REF!</f>
        <v>#REF!</v>
      </c>
      <c r="W838" s="86">
        <f t="shared" si="174"/>
        <v>0</v>
      </c>
      <c r="X838" s="86">
        <f t="shared" si="174"/>
        <v>0</v>
      </c>
      <c r="Y838" s="87">
        <f t="shared" si="175"/>
        <v>0</v>
      </c>
      <c r="Z838" s="87">
        <f t="shared" si="176"/>
        <v>0</v>
      </c>
      <c r="AA838" s="87">
        <f t="shared" si="177"/>
        <v>4</v>
      </c>
    </row>
    <row r="839" spans="9:27">
      <c r="I839" s="81" t="e">
        <f>IF(#REF!&lt;&gt;"",#REF!,"")</f>
        <v>#REF!</v>
      </c>
      <c r="J839" s="81" t="e">
        <f t="shared" si="178"/>
        <v>#REF!</v>
      </c>
      <c r="L839" s="82" t="e">
        <f t="shared" si="179"/>
        <v>#REF!</v>
      </c>
      <c r="M839" s="81" t="e">
        <f t="shared" si="182"/>
        <v>#REF!</v>
      </c>
      <c r="N839" s="81" t="e">
        <f t="shared" si="180"/>
        <v>#REF!</v>
      </c>
      <c r="O839" s="81" t="e">
        <f t="shared" si="181"/>
        <v>#REF!</v>
      </c>
      <c r="Q839" s="83" t="str">
        <f t="shared" si="170"/>
        <v/>
      </c>
      <c r="R839" s="84" t="e">
        <f t="shared" si="171"/>
        <v>#REF!</v>
      </c>
      <c r="S839" s="83" t="e">
        <f t="shared" si="171"/>
        <v>#REF!</v>
      </c>
      <c r="T839" s="84" t="e">
        <f t="shared" si="172"/>
        <v>#REF!</v>
      </c>
      <c r="U839" s="84" t="e">
        <f t="shared" si="173"/>
        <v>#REF!</v>
      </c>
      <c r="V839" s="85" t="e">
        <f>#REF!</f>
        <v>#REF!</v>
      </c>
      <c r="W839" s="86">
        <f t="shared" si="174"/>
        <v>0</v>
      </c>
      <c r="X839" s="86">
        <f t="shared" si="174"/>
        <v>0</v>
      </c>
      <c r="Y839" s="87">
        <f t="shared" si="175"/>
        <v>0</v>
      </c>
      <c r="Z839" s="87">
        <f t="shared" si="176"/>
        <v>0</v>
      </c>
      <c r="AA839" s="87">
        <f t="shared" si="177"/>
        <v>4</v>
      </c>
    </row>
    <row r="840" spans="9:27">
      <c r="I840" s="81" t="e">
        <f>IF(#REF!&lt;&gt;"",#REF!,"")</f>
        <v>#REF!</v>
      </c>
      <c r="J840" s="81" t="e">
        <f t="shared" si="178"/>
        <v>#REF!</v>
      </c>
      <c r="L840" s="82" t="e">
        <f t="shared" si="179"/>
        <v>#REF!</v>
      </c>
      <c r="M840" s="81" t="e">
        <f t="shared" si="182"/>
        <v>#REF!</v>
      </c>
      <c r="N840" s="81" t="e">
        <f t="shared" si="180"/>
        <v>#REF!</v>
      </c>
      <c r="O840" s="81" t="e">
        <f t="shared" si="181"/>
        <v>#REF!</v>
      </c>
      <c r="Q840" s="83" t="str">
        <f t="shared" si="170"/>
        <v/>
      </c>
      <c r="R840" s="84" t="e">
        <f t="shared" si="171"/>
        <v>#REF!</v>
      </c>
      <c r="S840" s="83" t="e">
        <f t="shared" si="171"/>
        <v>#REF!</v>
      </c>
      <c r="T840" s="84" t="e">
        <f t="shared" si="172"/>
        <v>#REF!</v>
      </c>
      <c r="U840" s="84" t="e">
        <f t="shared" si="173"/>
        <v>#REF!</v>
      </c>
      <c r="V840" s="85" t="e">
        <f>#REF!</f>
        <v>#REF!</v>
      </c>
      <c r="W840" s="86">
        <f t="shared" si="174"/>
        <v>0</v>
      </c>
      <c r="X840" s="86">
        <f t="shared" si="174"/>
        <v>0</v>
      </c>
      <c r="Y840" s="87">
        <f t="shared" si="175"/>
        <v>0</v>
      </c>
      <c r="Z840" s="87">
        <f t="shared" si="176"/>
        <v>0</v>
      </c>
      <c r="AA840" s="87">
        <f t="shared" si="177"/>
        <v>4</v>
      </c>
    </row>
    <row r="841" spans="9:27">
      <c r="I841" s="81" t="e">
        <f>IF(#REF!&lt;&gt;"",#REF!,"")</f>
        <v>#REF!</v>
      </c>
      <c r="J841" s="81" t="e">
        <f t="shared" si="178"/>
        <v>#REF!</v>
      </c>
      <c r="L841" s="82" t="e">
        <f t="shared" si="179"/>
        <v>#REF!</v>
      </c>
      <c r="M841" s="81" t="e">
        <f t="shared" si="182"/>
        <v>#REF!</v>
      </c>
      <c r="N841" s="81" t="e">
        <f t="shared" si="180"/>
        <v>#REF!</v>
      </c>
      <c r="O841" s="81" t="e">
        <f t="shared" si="181"/>
        <v>#REF!</v>
      </c>
      <c r="Q841" s="83" t="str">
        <f t="shared" si="170"/>
        <v/>
      </c>
      <c r="R841" s="84" t="e">
        <f t="shared" si="171"/>
        <v>#REF!</v>
      </c>
      <c r="S841" s="83" t="e">
        <f t="shared" si="171"/>
        <v>#REF!</v>
      </c>
      <c r="T841" s="84" t="e">
        <f t="shared" si="172"/>
        <v>#REF!</v>
      </c>
      <c r="U841" s="84" t="e">
        <f t="shared" si="173"/>
        <v>#REF!</v>
      </c>
      <c r="V841" s="85" t="e">
        <f>#REF!</f>
        <v>#REF!</v>
      </c>
      <c r="W841" s="86">
        <f t="shared" si="174"/>
        <v>0</v>
      </c>
      <c r="X841" s="86">
        <f t="shared" si="174"/>
        <v>0</v>
      </c>
      <c r="Y841" s="87">
        <f t="shared" si="175"/>
        <v>0</v>
      </c>
      <c r="Z841" s="87">
        <f t="shared" si="176"/>
        <v>0</v>
      </c>
      <c r="AA841" s="87">
        <f t="shared" si="177"/>
        <v>4</v>
      </c>
    </row>
    <row r="842" spans="9:27">
      <c r="I842" s="81" t="e">
        <f>IF(#REF!&lt;&gt;"",#REF!,"")</f>
        <v>#REF!</v>
      </c>
      <c r="J842" s="81" t="e">
        <f t="shared" si="178"/>
        <v>#REF!</v>
      </c>
      <c r="L842" s="82" t="e">
        <f t="shared" si="179"/>
        <v>#REF!</v>
      </c>
      <c r="M842" s="81" t="e">
        <f t="shared" si="182"/>
        <v>#REF!</v>
      </c>
      <c r="N842" s="81" t="e">
        <f t="shared" si="180"/>
        <v>#REF!</v>
      </c>
      <c r="O842" s="81" t="e">
        <f t="shared" si="181"/>
        <v>#REF!</v>
      </c>
      <c r="Q842" s="83" t="str">
        <f t="shared" si="170"/>
        <v/>
      </c>
      <c r="R842" s="84" t="e">
        <f t="shared" si="171"/>
        <v>#REF!</v>
      </c>
      <c r="S842" s="83" t="e">
        <f t="shared" si="171"/>
        <v>#REF!</v>
      </c>
      <c r="T842" s="84" t="e">
        <f t="shared" si="172"/>
        <v>#REF!</v>
      </c>
      <c r="U842" s="84" t="e">
        <f t="shared" si="173"/>
        <v>#REF!</v>
      </c>
      <c r="V842" s="85" t="e">
        <f>#REF!</f>
        <v>#REF!</v>
      </c>
      <c r="W842" s="86">
        <f t="shared" si="174"/>
        <v>0</v>
      </c>
      <c r="X842" s="86">
        <f t="shared" si="174"/>
        <v>0</v>
      </c>
      <c r="Y842" s="87">
        <f t="shared" si="175"/>
        <v>0</v>
      </c>
      <c r="Z842" s="87">
        <f t="shared" si="176"/>
        <v>0</v>
      </c>
      <c r="AA842" s="87">
        <f t="shared" si="177"/>
        <v>4</v>
      </c>
    </row>
    <row r="843" spans="9:27">
      <c r="I843" s="81" t="e">
        <f>IF(#REF!&lt;&gt;"",#REF!,"")</f>
        <v>#REF!</v>
      </c>
      <c r="J843" s="81" t="e">
        <f t="shared" si="178"/>
        <v>#REF!</v>
      </c>
      <c r="L843" s="82" t="e">
        <f t="shared" si="179"/>
        <v>#REF!</v>
      </c>
      <c r="M843" s="81" t="e">
        <f t="shared" si="182"/>
        <v>#REF!</v>
      </c>
      <c r="N843" s="81" t="e">
        <f t="shared" si="180"/>
        <v>#REF!</v>
      </c>
      <c r="O843" s="81" t="e">
        <f t="shared" si="181"/>
        <v>#REF!</v>
      </c>
      <c r="Q843" s="83" t="str">
        <f t="shared" si="170"/>
        <v/>
      </c>
      <c r="R843" s="84" t="e">
        <f t="shared" si="171"/>
        <v>#REF!</v>
      </c>
      <c r="S843" s="83" t="e">
        <f t="shared" si="171"/>
        <v>#REF!</v>
      </c>
      <c r="T843" s="84" t="e">
        <f t="shared" si="172"/>
        <v>#REF!</v>
      </c>
      <c r="U843" s="84" t="e">
        <f t="shared" si="173"/>
        <v>#REF!</v>
      </c>
      <c r="V843" s="85" t="e">
        <f>#REF!</f>
        <v>#REF!</v>
      </c>
      <c r="W843" s="86">
        <f t="shared" si="174"/>
        <v>0</v>
      </c>
      <c r="X843" s="86">
        <f t="shared" si="174"/>
        <v>0</v>
      </c>
      <c r="Y843" s="87">
        <f t="shared" si="175"/>
        <v>0</v>
      </c>
      <c r="Z843" s="87">
        <f t="shared" si="176"/>
        <v>0</v>
      </c>
      <c r="AA843" s="87">
        <f t="shared" si="177"/>
        <v>4</v>
      </c>
    </row>
    <row r="844" spans="9:27">
      <c r="I844" s="81" t="e">
        <f>IF(#REF!&lt;&gt;"",#REF!,"")</f>
        <v>#REF!</v>
      </c>
      <c r="J844" s="81" t="e">
        <f t="shared" si="178"/>
        <v>#REF!</v>
      </c>
      <c r="L844" s="82" t="e">
        <f t="shared" si="179"/>
        <v>#REF!</v>
      </c>
      <c r="M844" s="81" t="e">
        <f t="shared" si="182"/>
        <v>#REF!</v>
      </c>
      <c r="N844" s="81" t="e">
        <f t="shared" si="180"/>
        <v>#REF!</v>
      </c>
      <c r="O844" s="81" t="e">
        <f t="shared" si="181"/>
        <v>#REF!</v>
      </c>
      <c r="Q844" s="83" t="str">
        <f t="shared" si="170"/>
        <v/>
      </c>
      <c r="R844" s="84" t="e">
        <f t="shared" si="171"/>
        <v>#REF!</v>
      </c>
      <c r="S844" s="83" t="e">
        <f t="shared" si="171"/>
        <v>#REF!</v>
      </c>
      <c r="T844" s="84" t="e">
        <f t="shared" si="172"/>
        <v>#REF!</v>
      </c>
      <c r="U844" s="84" t="e">
        <f t="shared" si="173"/>
        <v>#REF!</v>
      </c>
      <c r="V844" s="85" t="e">
        <f>#REF!</f>
        <v>#REF!</v>
      </c>
      <c r="W844" s="86">
        <f t="shared" si="174"/>
        <v>0</v>
      </c>
      <c r="X844" s="86">
        <f t="shared" si="174"/>
        <v>0</v>
      </c>
      <c r="Y844" s="87">
        <f t="shared" si="175"/>
        <v>0</v>
      </c>
      <c r="Z844" s="87">
        <f t="shared" si="176"/>
        <v>0</v>
      </c>
      <c r="AA844" s="87">
        <f t="shared" si="177"/>
        <v>4</v>
      </c>
    </row>
    <row r="845" spans="9:27">
      <c r="I845" s="81" t="e">
        <f>IF(#REF!&lt;&gt;"",#REF!,"")</f>
        <v>#REF!</v>
      </c>
      <c r="J845" s="81" t="e">
        <f t="shared" si="178"/>
        <v>#REF!</v>
      </c>
      <c r="L845" s="82" t="e">
        <f t="shared" si="179"/>
        <v>#REF!</v>
      </c>
      <c r="M845" s="81" t="e">
        <f t="shared" si="182"/>
        <v>#REF!</v>
      </c>
      <c r="N845" s="81" t="e">
        <f t="shared" si="180"/>
        <v>#REF!</v>
      </c>
      <c r="O845" s="81" t="e">
        <f t="shared" si="181"/>
        <v>#REF!</v>
      </c>
      <c r="Q845" s="83" t="str">
        <f t="shared" si="170"/>
        <v/>
      </c>
      <c r="R845" s="84" t="e">
        <f t="shared" si="171"/>
        <v>#REF!</v>
      </c>
      <c r="S845" s="83" t="e">
        <f t="shared" si="171"/>
        <v>#REF!</v>
      </c>
      <c r="T845" s="84" t="e">
        <f t="shared" si="172"/>
        <v>#REF!</v>
      </c>
      <c r="U845" s="84" t="e">
        <f t="shared" si="173"/>
        <v>#REF!</v>
      </c>
      <c r="V845" s="85" t="e">
        <f>#REF!</f>
        <v>#REF!</v>
      </c>
      <c r="W845" s="86">
        <f t="shared" si="174"/>
        <v>0</v>
      </c>
      <c r="X845" s="86">
        <f t="shared" si="174"/>
        <v>0</v>
      </c>
      <c r="Y845" s="87">
        <f t="shared" si="175"/>
        <v>0</v>
      </c>
      <c r="Z845" s="87">
        <f t="shared" si="176"/>
        <v>0</v>
      </c>
      <c r="AA845" s="87">
        <f t="shared" si="177"/>
        <v>4</v>
      </c>
    </row>
    <row r="846" spans="9:27">
      <c r="I846" s="81" t="e">
        <f>IF(#REF!&lt;&gt;"",#REF!,"")</f>
        <v>#REF!</v>
      </c>
      <c r="J846" s="81" t="e">
        <f t="shared" si="178"/>
        <v>#REF!</v>
      </c>
      <c r="L846" s="82" t="e">
        <f t="shared" si="179"/>
        <v>#REF!</v>
      </c>
      <c r="M846" s="81" t="e">
        <f t="shared" si="182"/>
        <v>#REF!</v>
      </c>
      <c r="N846" s="81" t="e">
        <f t="shared" si="180"/>
        <v>#REF!</v>
      </c>
      <c r="O846" s="81" t="e">
        <f t="shared" si="181"/>
        <v>#REF!</v>
      </c>
      <c r="Q846" s="83" t="str">
        <f t="shared" si="170"/>
        <v/>
      </c>
      <c r="R846" s="84" t="e">
        <f t="shared" si="171"/>
        <v>#REF!</v>
      </c>
      <c r="S846" s="83" t="e">
        <f t="shared" si="171"/>
        <v>#REF!</v>
      </c>
      <c r="T846" s="84" t="e">
        <f t="shared" si="172"/>
        <v>#REF!</v>
      </c>
      <c r="U846" s="84" t="e">
        <f t="shared" si="173"/>
        <v>#REF!</v>
      </c>
      <c r="V846" s="85" t="e">
        <f>#REF!</f>
        <v>#REF!</v>
      </c>
      <c r="W846" s="86">
        <f t="shared" si="174"/>
        <v>0</v>
      </c>
      <c r="X846" s="86">
        <f t="shared" si="174"/>
        <v>0</v>
      </c>
      <c r="Y846" s="87">
        <f t="shared" si="175"/>
        <v>0</v>
      </c>
      <c r="Z846" s="87">
        <f t="shared" si="176"/>
        <v>0</v>
      </c>
      <c r="AA846" s="87">
        <f t="shared" si="177"/>
        <v>4</v>
      </c>
    </row>
    <row r="847" spans="9:27">
      <c r="I847" s="81" t="e">
        <f>IF(#REF!&lt;&gt;"",#REF!,"")</f>
        <v>#REF!</v>
      </c>
      <c r="J847" s="81" t="e">
        <f t="shared" si="178"/>
        <v>#REF!</v>
      </c>
      <c r="L847" s="82" t="e">
        <f t="shared" si="179"/>
        <v>#REF!</v>
      </c>
      <c r="M847" s="81" t="e">
        <f t="shared" si="182"/>
        <v>#REF!</v>
      </c>
      <c r="N847" s="81" t="e">
        <f t="shared" si="180"/>
        <v>#REF!</v>
      </c>
      <c r="O847" s="81" t="e">
        <f t="shared" si="181"/>
        <v>#REF!</v>
      </c>
      <c r="Q847" s="83" t="str">
        <f t="shared" si="170"/>
        <v/>
      </c>
      <c r="R847" s="84" t="e">
        <f t="shared" si="171"/>
        <v>#REF!</v>
      </c>
      <c r="S847" s="83" t="e">
        <f t="shared" si="171"/>
        <v>#REF!</v>
      </c>
      <c r="T847" s="84" t="e">
        <f t="shared" si="172"/>
        <v>#REF!</v>
      </c>
      <c r="U847" s="84" t="e">
        <f t="shared" si="173"/>
        <v>#REF!</v>
      </c>
      <c r="V847" s="85" t="e">
        <f>#REF!</f>
        <v>#REF!</v>
      </c>
      <c r="W847" s="86">
        <f t="shared" si="174"/>
        <v>0</v>
      </c>
      <c r="X847" s="86">
        <f t="shared" si="174"/>
        <v>0</v>
      </c>
      <c r="Y847" s="87">
        <f t="shared" si="175"/>
        <v>0</v>
      </c>
      <c r="Z847" s="87">
        <f t="shared" si="176"/>
        <v>0</v>
      </c>
      <c r="AA847" s="87">
        <f t="shared" si="177"/>
        <v>4</v>
      </c>
    </row>
    <row r="848" spans="9:27">
      <c r="I848" s="81" t="e">
        <f>IF(#REF!&lt;&gt;"",#REF!,"")</f>
        <v>#REF!</v>
      </c>
      <c r="J848" s="81" t="e">
        <f t="shared" si="178"/>
        <v>#REF!</v>
      </c>
      <c r="L848" s="82" t="e">
        <f t="shared" si="179"/>
        <v>#REF!</v>
      </c>
      <c r="M848" s="81" t="e">
        <f t="shared" si="182"/>
        <v>#REF!</v>
      </c>
      <c r="N848" s="81" t="e">
        <f t="shared" si="180"/>
        <v>#REF!</v>
      </c>
      <c r="O848" s="81" t="e">
        <f t="shared" si="181"/>
        <v>#REF!</v>
      </c>
      <c r="Q848" s="83" t="str">
        <f t="shared" si="170"/>
        <v/>
      </c>
      <c r="R848" s="84" t="e">
        <f t="shared" si="171"/>
        <v>#REF!</v>
      </c>
      <c r="S848" s="83" t="e">
        <f t="shared" si="171"/>
        <v>#REF!</v>
      </c>
      <c r="T848" s="84" t="e">
        <f t="shared" si="172"/>
        <v>#REF!</v>
      </c>
      <c r="U848" s="84" t="e">
        <f t="shared" si="173"/>
        <v>#REF!</v>
      </c>
      <c r="V848" s="85" t="e">
        <f>#REF!</f>
        <v>#REF!</v>
      </c>
      <c r="W848" s="86">
        <f t="shared" si="174"/>
        <v>0</v>
      </c>
      <c r="X848" s="86">
        <f t="shared" si="174"/>
        <v>0</v>
      </c>
      <c r="Y848" s="87">
        <f t="shared" si="175"/>
        <v>0</v>
      </c>
      <c r="Z848" s="87">
        <f t="shared" si="176"/>
        <v>0</v>
      </c>
      <c r="AA848" s="87">
        <f t="shared" si="177"/>
        <v>4</v>
      </c>
    </row>
    <row r="849" spans="9:27">
      <c r="I849" s="81" t="e">
        <f>IF(#REF!&lt;&gt;"",#REF!,"")</f>
        <v>#REF!</v>
      </c>
      <c r="J849" s="81" t="e">
        <f t="shared" si="178"/>
        <v>#REF!</v>
      </c>
      <c r="L849" s="82" t="e">
        <f t="shared" si="179"/>
        <v>#REF!</v>
      </c>
      <c r="M849" s="81" t="e">
        <f t="shared" si="182"/>
        <v>#REF!</v>
      </c>
      <c r="N849" s="81" t="e">
        <f t="shared" si="180"/>
        <v>#REF!</v>
      </c>
      <c r="O849" s="81" t="e">
        <f t="shared" si="181"/>
        <v>#REF!</v>
      </c>
      <c r="Q849" s="83" t="str">
        <f t="shared" si="170"/>
        <v/>
      </c>
      <c r="R849" s="84" t="e">
        <f t="shared" si="171"/>
        <v>#REF!</v>
      </c>
      <c r="S849" s="83" t="e">
        <f t="shared" si="171"/>
        <v>#REF!</v>
      </c>
      <c r="T849" s="84" t="e">
        <f t="shared" si="172"/>
        <v>#REF!</v>
      </c>
      <c r="U849" s="84" t="e">
        <f t="shared" si="173"/>
        <v>#REF!</v>
      </c>
      <c r="V849" s="85" t="e">
        <f>#REF!</f>
        <v>#REF!</v>
      </c>
      <c r="W849" s="86">
        <f t="shared" si="174"/>
        <v>0</v>
      </c>
      <c r="X849" s="86">
        <f t="shared" si="174"/>
        <v>0</v>
      </c>
      <c r="Y849" s="87">
        <f t="shared" si="175"/>
        <v>0</v>
      </c>
      <c r="Z849" s="87">
        <f t="shared" si="176"/>
        <v>0</v>
      </c>
      <c r="AA849" s="87">
        <f t="shared" si="177"/>
        <v>4</v>
      </c>
    </row>
    <row r="850" spans="9:27">
      <c r="I850" s="81" t="e">
        <f>IF(#REF!&lt;&gt;"",#REF!,"")</f>
        <v>#REF!</v>
      </c>
      <c r="J850" s="81" t="e">
        <f t="shared" si="178"/>
        <v>#REF!</v>
      </c>
      <c r="L850" s="82" t="e">
        <f t="shared" si="179"/>
        <v>#REF!</v>
      </c>
      <c r="M850" s="81" t="e">
        <f t="shared" si="182"/>
        <v>#REF!</v>
      </c>
      <c r="N850" s="81" t="e">
        <f t="shared" si="180"/>
        <v>#REF!</v>
      </c>
      <c r="O850" s="81" t="e">
        <f t="shared" si="181"/>
        <v>#REF!</v>
      </c>
      <c r="Q850" s="83" t="str">
        <f t="shared" si="170"/>
        <v/>
      </c>
      <c r="R850" s="84" t="e">
        <f t="shared" si="171"/>
        <v>#REF!</v>
      </c>
      <c r="S850" s="83" t="e">
        <f t="shared" si="171"/>
        <v>#REF!</v>
      </c>
      <c r="T850" s="84" t="e">
        <f t="shared" si="172"/>
        <v>#REF!</v>
      </c>
      <c r="U850" s="84" t="e">
        <f t="shared" si="173"/>
        <v>#REF!</v>
      </c>
      <c r="V850" s="85" t="e">
        <f>#REF!</f>
        <v>#REF!</v>
      </c>
      <c r="W850" s="86">
        <f t="shared" si="174"/>
        <v>0</v>
      </c>
      <c r="X850" s="86">
        <f t="shared" si="174"/>
        <v>0</v>
      </c>
      <c r="Y850" s="87">
        <f t="shared" si="175"/>
        <v>0</v>
      </c>
      <c r="Z850" s="87">
        <f t="shared" si="176"/>
        <v>0</v>
      </c>
      <c r="AA850" s="87">
        <f t="shared" si="177"/>
        <v>4</v>
      </c>
    </row>
    <row r="851" spans="9:27">
      <c r="I851" s="81" t="e">
        <f>IF(#REF!&lt;&gt;"",#REF!,"")</f>
        <v>#REF!</v>
      </c>
      <c r="J851" s="81" t="e">
        <f t="shared" si="178"/>
        <v>#REF!</v>
      </c>
      <c r="L851" s="82" t="e">
        <f t="shared" si="179"/>
        <v>#REF!</v>
      </c>
      <c r="M851" s="81" t="e">
        <f t="shared" si="182"/>
        <v>#REF!</v>
      </c>
      <c r="N851" s="81" t="e">
        <f t="shared" si="180"/>
        <v>#REF!</v>
      </c>
      <c r="O851" s="81" t="e">
        <f t="shared" si="181"/>
        <v>#REF!</v>
      </c>
      <c r="Q851" s="83" t="str">
        <f t="shared" si="170"/>
        <v/>
      </c>
      <c r="R851" s="84" t="e">
        <f t="shared" si="171"/>
        <v>#REF!</v>
      </c>
      <c r="S851" s="83" t="e">
        <f t="shared" si="171"/>
        <v>#REF!</v>
      </c>
      <c r="T851" s="84" t="e">
        <f t="shared" si="172"/>
        <v>#REF!</v>
      </c>
      <c r="U851" s="84" t="e">
        <f t="shared" si="173"/>
        <v>#REF!</v>
      </c>
      <c r="V851" s="85" t="e">
        <f>#REF!</f>
        <v>#REF!</v>
      </c>
      <c r="W851" s="86">
        <f t="shared" si="174"/>
        <v>0</v>
      </c>
      <c r="X851" s="86">
        <f t="shared" si="174"/>
        <v>0</v>
      </c>
      <c r="Y851" s="87">
        <f t="shared" si="175"/>
        <v>0</v>
      </c>
      <c r="Z851" s="87">
        <f t="shared" si="176"/>
        <v>0</v>
      </c>
      <c r="AA851" s="87">
        <f t="shared" si="177"/>
        <v>4</v>
      </c>
    </row>
    <row r="852" spans="9:27">
      <c r="I852" s="81" t="e">
        <f>IF(#REF!&lt;&gt;"",#REF!,"")</f>
        <v>#REF!</v>
      </c>
      <c r="J852" s="81" t="e">
        <f t="shared" si="178"/>
        <v>#REF!</v>
      </c>
      <c r="L852" s="82" t="e">
        <f t="shared" si="179"/>
        <v>#REF!</v>
      </c>
      <c r="M852" s="81" t="e">
        <f t="shared" si="182"/>
        <v>#REF!</v>
      </c>
      <c r="N852" s="81" t="e">
        <f t="shared" si="180"/>
        <v>#REF!</v>
      </c>
      <c r="O852" s="81" t="e">
        <f t="shared" si="181"/>
        <v>#REF!</v>
      </c>
      <c r="Q852" s="83" t="str">
        <f t="shared" si="170"/>
        <v/>
      </c>
      <c r="R852" s="84" t="e">
        <f t="shared" si="171"/>
        <v>#REF!</v>
      </c>
      <c r="S852" s="83" t="e">
        <f t="shared" si="171"/>
        <v>#REF!</v>
      </c>
      <c r="T852" s="84" t="e">
        <f t="shared" si="172"/>
        <v>#REF!</v>
      </c>
      <c r="U852" s="84" t="e">
        <f t="shared" si="173"/>
        <v>#REF!</v>
      </c>
      <c r="V852" s="85" t="e">
        <f>#REF!</f>
        <v>#REF!</v>
      </c>
      <c r="W852" s="86">
        <f t="shared" si="174"/>
        <v>0</v>
      </c>
      <c r="X852" s="86">
        <f t="shared" si="174"/>
        <v>0</v>
      </c>
      <c r="Y852" s="87">
        <f t="shared" si="175"/>
        <v>0</v>
      </c>
      <c r="Z852" s="87">
        <f t="shared" si="176"/>
        <v>0</v>
      </c>
      <c r="AA852" s="87">
        <f t="shared" si="177"/>
        <v>4</v>
      </c>
    </row>
    <row r="853" spans="9:27">
      <c r="I853" s="81" t="e">
        <f>IF(#REF!&lt;&gt;"",#REF!,"")</f>
        <v>#REF!</v>
      </c>
      <c r="J853" s="81" t="e">
        <f t="shared" si="178"/>
        <v>#REF!</v>
      </c>
      <c r="L853" s="82" t="e">
        <f t="shared" si="179"/>
        <v>#REF!</v>
      </c>
      <c r="M853" s="81" t="e">
        <f t="shared" si="182"/>
        <v>#REF!</v>
      </c>
      <c r="N853" s="81" t="e">
        <f t="shared" si="180"/>
        <v>#REF!</v>
      </c>
      <c r="O853" s="81" t="e">
        <f t="shared" si="181"/>
        <v>#REF!</v>
      </c>
      <c r="Q853" s="83" t="str">
        <f t="shared" si="170"/>
        <v/>
      </c>
      <c r="R853" s="84" t="e">
        <f t="shared" si="171"/>
        <v>#REF!</v>
      </c>
      <c r="S853" s="83" t="e">
        <f t="shared" si="171"/>
        <v>#REF!</v>
      </c>
      <c r="T853" s="84" t="e">
        <f t="shared" si="172"/>
        <v>#REF!</v>
      </c>
      <c r="U853" s="84" t="e">
        <f t="shared" si="173"/>
        <v>#REF!</v>
      </c>
      <c r="V853" s="85" t="e">
        <f>#REF!</f>
        <v>#REF!</v>
      </c>
      <c r="W853" s="86">
        <f t="shared" si="174"/>
        <v>0</v>
      </c>
      <c r="X853" s="86">
        <f t="shared" si="174"/>
        <v>0</v>
      </c>
      <c r="Y853" s="87">
        <f t="shared" si="175"/>
        <v>0</v>
      </c>
      <c r="Z853" s="87">
        <f t="shared" si="176"/>
        <v>0</v>
      </c>
      <c r="AA853" s="87">
        <f t="shared" si="177"/>
        <v>4</v>
      </c>
    </row>
    <row r="854" spans="9:27">
      <c r="I854" s="81" t="e">
        <f>IF(#REF!&lt;&gt;"",#REF!,"")</f>
        <v>#REF!</v>
      </c>
      <c r="J854" s="81" t="e">
        <f t="shared" si="178"/>
        <v>#REF!</v>
      </c>
      <c r="L854" s="82" t="e">
        <f t="shared" si="179"/>
        <v>#REF!</v>
      </c>
      <c r="M854" s="81" t="e">
        <f t="shared" si="182"/>
        <v>#REF!</v>
      </c>
      <c r="N854" s="81" t="e">
        <f t="shared" si="180"/>
        <v>#REF!</v>
      </c>
      <c r="O854" s="81" t="e">
        <f t="shared" si="181"/>
        <v>#REF!</v>
      </c>
      <c r="Q854" s="83" t="str">
        <f t="shared" si="170"/>
        <v/>
      </c>
      <c r="R854" s="84" t="e">
        <f t="shared" si="171"/>
        <v>#REF!</v>
      </c>
      <c r="S854" s="83" t="e">
        <f t="shared" si="171"/>
        <v>#REF!</v>
      </c>
      <c r="T854" s="84" t="e">
        <f t="shared" si="172"/>
        <v>#REF!</v>
      </c>
      <c r="U854" s="84" t="e">
        <f t="shared" si="173"/>
        <v>#REF!</v>
      </c>
      <c r="V854" s="85" t="e">
        <f>#REF!</f>
        <v>#REF!</v>
      </c>
      <c r="W854" s="86">
        <f t="shared" si="174"/>
        <v>0</v>
      </c>
      <c r="X854" s="86">
        <f t="shared" si="174"/>
        <v>0</v>
      </c>
      <c r="Y854" s="87">
        <f t="shared" si="175"/>
        <v>0</v>
      </c>
      <c r="Z854" s="87">
        <f t="shared" si="176"/>
        <v>0</v>
      </c>
      <c r="AA854" s="87">
        <f t="shared" si="177"/>
        <v>4</v>
      </c>
    </row>
    <row r="855" spans="9:27">
      <c r="I855" s="81" t="e">
        <f>IF(#REF!&lt;&gt;"",#REF!,"")</f>
        <v>#REF!</v>
      </c>
      <c r="J855" s="81" t="e">
        <f t="shared" si="178"/>
        <v>#REF!</v>
      </c>
      <c r="L855" s="82" t="e">
        <f t="shared" si="179"/>
        <v>#REF!</v>
      </c>
      <c r="M855" s="81" t="e">
        <f t="shared" si="182"/>
        <v>#REF!</v>
      </c>
      <c r="N855" s="81" t="e">
        <f t="shared" si="180"/>
        <v>#REF!</v>
      </c>
      <c r="O855" s="81" t="e">
        <f t="shared" si="181"/>
        <v>#REF!</v>
      </c>
      <c r="Q855" s="83" t="str">
        <f t="shared" ref="Q855:Q918" si="183">IF(Z855=0,"",IF(Z855=1,R855&amp;S855,"E99999"))</f>
        <v/>
      </c>
      <c r="R855" s="84" t="e">
        <f t="shared" si="171"/>
        <v>#REF!</v>
      </c>
      <c r="S855" s="83" t="e">
        <f t="shared" si="171"/>
        <v>#REF!</v>
      </c>
      <c r="T855" s="84" t="e">
        <f t="shared" si="172"/>
        <v>#REF!</v>
      </c>
      <c r="U855" s="84" t="e">
        <f t="shared" si="173"/>
        <v>#REF!</v>
      </c>
      <c r="V855" s="85" t="e">
        <f>#REF!</f>
        <v>#REF!</v>
      </c>
      <c r="W855" s="86">
        <f t="shared" si="174"/>
        <v>0</v>
      </c>
      <c r="X855" s="86">
        <f t="shared" si="174"/>
        <v>0</v>
      </c>
      <c r="Y855" s="87">
        <f t="shared" si="175"/>
        <v>0</v>
      </c>
      <c r="Z855" s="87">
        <f t="shared" si="176"/>
        <v>0</v>
      </c>
      <c r="AA855" s="87">
        <f t="shared" si="177"/>
        <v>4</v>
      </c>
    </row>
    <row r="856" spans="9:27">
      <c r="I856" s="81" t="e">
        <f>IF(#REF!&lt;&gt;"",#REF!,"")</f>
        <v>#REF!</v>
      </c>
      <c r="J856" s="81" t="e">
        <f t="shared" si="178"/>
        <v>#REF!</v>
      </c>
      <c r="L856" s="82" t="e">
        <f t="shared" si="179"/>
        <v>#REF!</v>
      </c>
      <c r="M856" s="81" t="e">
        <f t="shared" si="182"/>
        <v>#REF!</v>
      </c>
      <c r="N856" s="81" t="e">
        <f t="shared" si="180"/>
        <v>#REF!</v>
      </c>
      <c r="O856" s="81" t="e">
        <f t="shared" si="181"/>
        <v>#REF!</v>
      </c>
      <c r="Q856" s="83" t="str">
        <f t="shared" si="183"/>
        <v/>
      </c>
      <c r="R856" s="84" t="e">
        <f t="shared" si="171"/>
        <v>#REF!</v>
      </c>
      <c r="S856" s="83" t="e">
        <f t="shared" si="171"/>
        <v>#REF!</v>
      </c>
      <c r="T856" s="84" t="e">
        <f t="shared" si="172"/>
        <v>#REF!</v>
      </c>
      <c r="U856" s="84" t="e">
        <f t="shared" si="173"/>
        <v>#REF!</v>
      </c>
      <c r="V856" s="85" t="e">
        <f>#REF!</f>
        <v>#REF!</v>
      </c>
      <c r="W856" s="86">
        <f t="shared" si="174"/>
        <v>0</v>
      </c>
      <c r="X856" s="86">
        <f t="shared" si="174"/>
        <v>0</v>
      </c>
      <c r="Y856" s="87">
        <f t="shared" si="175"/>
        <v>0</v>
      </c>
      <c r="Z856" s="87">
        <f t="shared" si="176"/>
        <v>0</v>
      </c>
      <c r="AA856" s="87">
        <f t="shared" si="177"/>
        <v>4</v>
      </c>
    </row>
    <row r="857" spans="9:27">
      <c r="I857" s="81" t="e">
        <f>IF(#REF!&lt;&gt;"",#REF!,"")</f>
        <v>#REF!</v>
      </c>
      <c r="J857" s="81" t="e">
        <f t="shared" si="178"/>
        <v>#REF!</v>
      </c>
      <c r="L857" s="82" t="e">
        <f t="shared" si="179"/>
        <v>#REF!</v>
      </c>
      <c r="M857" s="81" t="e">
        <f t="shared" si="182"/>
        <v>#REF!</v>
      </c>
      <c r="N857" s="81" t="e">
        <f t="shared" si="180"/>
        <v>#REF!</v>
      </c>
      <c r="O857" s="81" t="e">
        <f t="shared" si="181"/>
        <v>#REF!</v>
      </c>
      <c r="Q857" s="83" t="str">
        <f t="shared" si="183"/>
        <v/>
      </c>
      <c r="R857" s="84" t="e">
        <f t="shared" si="171"/>
        <v>#REF!</v>
      </c>
      <c r="S857" s="83" t="e">
        <f t="shared" si="171"/>
        <v>#REF!</v>
      </c>
      <c r="T857" s="84" t="e">
        <f t="shared" si="172"/>
        <v>#REF!</v>
      </c>
      <c r="U857" s="84" t="e">
        <f t="shared" si="173"/>
        <v>#REF!</v>
      </c>
      <c r="V857" s="85" t="e">
        <f>#REF!</f>
        <v>#REF!</v>
      </c>
      <c r="W857" s="86">
        <f t="shared" si="174"/>
        <v>0</v>
      </c>
      <c r="X857" s="86">
        <f t="shared" si="174"/>
        <v>0</v>
      </c>
      <c r="Y857" s="87">
        <f t="shared" si="175"/>
        <v>0</v>
      </c>
      <c r="Z857" s="87">
        <f t="shared" si="176"/>
        <v>0</v>
      </c>
      <c r="AA857" s="87">
        <f t="shared" si="177"/>
        <v>4</v>
      </c>
    </row>
    <row r="858" spans="9:27">
      <c r="I858" s="81" t="e">
        <f>IF(#REF!&lt;&gt;"",#REF!,"")</f>
        <v>#REF!</v>
      </c>
      <c r="J858" s="81" t="e">
        <f t="shared" si="178"/>
        <v>#REF!</v>
      </c>
      <c r="L858" s="82" t="e">
        <f t="shared" si="179"/>
        <v>#REF!</v>
      </c>
      <c r="M858" s="81" t="e">
        <f t="shared" si="182"/>
        <v>#REF!</v>
      </c>
      <c r="N858" s="81" t="e">
        <f t="shared" si="180"/>
        <v>#REF!</v>
      </c>
      <c r="O858" s="81" t="e">
        <f t="shared" si="181"/>
        <v>#REF!</v>
      </c>
      <c r="Q858" s="83" t="str">
        <f t="shared" si="183"/>
        <v/>
      </c>
      <c r="R858" s="84" t="e">
        <f t="shared" si="171"/>
        <v>#REF!</v>
      </c>
      <c r="S858" s="83" t="e">
        <f t="shared" si="171"/>
        <v>#REF!</v>
      </c>
      <c r="T858" s="84" t="e">
        <f t="shared" si="172"/>
        <v>#REF!</v>
      </c>
      <c r="U858" s="84" t="e">
        <f t="shared" si="173"/>
        <v>#REF!</v>
      </c>
      <c r="V858" s="85" t="e">
        <f>#REF!</f>
        <v>#REF!</v>
      </c>
      <c r="W858" s="86">
        <f t="shared" si="174"/>
        <v>0</v>
      </c>
      <c r="X858" s="86">
        <f t="shared" si="174"/>
        <v>0</v>
      </c>
      <c r="Y858" s="87">
        <f t="shared" si="175"/>
        <v>0</v>
      </c>
      <c r="Z858" s="87">
        <f t="shared" si="176"/>
        <v>0</v>
      </c>
      <c r="AA858" s="87">
        <f t="shared" si="177"/>
        <v>4</v>
      </c>
    </row>
    <row r="859" spans="9:27">
      <c r="I859" s="81" t="e">
        <f>IF(#REF!&lt;&gt;"",#REF!,"")</f>
        <v>#REF!</v>
      </c>
      <c r="J859" s="81" t="e">
        <f t="shared" si="178"/>
        <v>#REF!</v>
      </c>
      <c r="L859" s="82" t="e">
        <f t="shared" si="179"/>
        <v>#REF!</v>
      </c>
      <c r="M859" s="81" t="e">
        <f t="shared" si="182"/>
        <v>#REF!</v>
      </c>
      <c r="N859" s="81" t="e">
        <f t="shared" si="180"/>
        <v>#REF!</v>
      </c>
      <c r="O859" s="81" t="e">
        <f t="shared" si="181"/>
        <v>#REF!</v>
      </c>
      <c r="Q859" s="83" t="str">
        <f t="shared" si="183"/>
        <v/>
      </c>
      <c r="R859" s="84" t="e">
        <f t="shared" si="171"/>
        <v>#REF!</v>
      </c>
      <c r="S859" s="83" t="e">
        <f t="shared" si="171"/>
        <v>#REF!</v>
      </c>
      <c r="T859" s="84" t="e">
        <f t="shared" si="172"/>
        <v>#REF!</v>
      </c>
      <c r="U859" s="84" t="e">
        <f t="shared" si="173"/>
        <v>#REF!</v>
      </c>
      <c r="V859" s="85" t="e">
        <f>#REF!</f>
        <v>#REF!</v>
      </c>
      <c r="W859" s="86">
        <f t="shared" si="174"/>
        <v>0</v>
      </c>
      <c r="X859" s="86">
        <f t="shared" si="174"/>
        <v>0</v>
      </c>
      <c r="Y859" s="87">
        <f t="shared" si="175"/>
        <v>0</v>
      </c>
      <c r="Z859" s="87">
        <f t="shared" si="176"/>
        <v>0</v>
      </c>
      <c r="AA859" s="87">
        <f t="shared" si="177"/>
        <v>4</v>
      </c>
    </row>
    <row r="860" spans="9:27">
      <c r="I860" s="81" t="e">
        <f>IF(#REF!&lt;&gt;"",#REF!,"")</f>
        <v>#REF!</v>
      </c>
      <c r="J860" s="81" t="e">
        <f t="shared" si="178"/>
        <v>#REF!</v>
      </c>
      <c r="L860" s="82" t="e">
        <f t="shared" si="179"/>
        <v>#REF!</v>
      </c>
      <c r="M860" s="81" t="e">
        <f t="shared" si="182"/>
        <v>#REF!</v>
      </c>
      <c r="N860" s="81" t="e">
        <f t="shared" si="180"/>
        <v>#REF!</v>
      </c>
      <c r="O860" s="81" t="e">
        <f t="shared" si="181"/>
        <v>#REF!</v>
      </c>
      <c r="Q860" s="83" t="str">
        <f t="shared" si="183"/>
        <v/>
      </c>
      <c r="R860" s="84" t="e">
        <f t="shared" si="171"/>
        <v>#REF!</v>
      </c>
      <c r="S860" s="83" t="e">
        <f t="shared" si="171"/>
        <v>#REF!</v>
      </c>
      <c r="T860" s="84" t="e">
        <f t="shared" si="172"/>
        <v>#REF!</v>
      </c>
      <c r="U860" s="84" t="e">
        <f t="shared" si="173"/>
        <v>#REF!</v>
      </c>
      <c r="V860" s="85" t="e">
        <f>#REF!</f>
        <v>#REF!</v>
      </c>
      <c r="W860" s="86">
        <f t="shared" si="174"/>
        <v>0</v>
      </c>
      <c r="X860" s="86">
        <f t="shared" si="174"/>
        <v>0</v>
      </c>
      <c r="Y860" s="87">
        <f t="shared" si="175"/>
        <v>0</v>
      </c>
      <c r="Z860" s="87">
        <f t="shared" si="176"/>
        <v>0</v>
      </c>
      <c r="AA860" s="87">
        <f t="shared" si="177"/>
        <v>4</v>
      </c>
    </row>
    <row r="861" spans="9:27">
      <c r="I861" s="81" t="e">
        <f>IF(#REF!&lt;&gt;"",#REF!,"")</f>
        <v>#REF!</v>
      </c>
      <c r="J861" s="81" t="e">
        <f t="shared" si="178"/>
        <v>#REF!</v>
      </c>
      <c r="L861" s="82" t="e">
        <f t="shared" si="179"/>
        <v>#REF!</v>
      </c>
      <c r="M861" s="81" t="e">
        <f t="shared" si="182"/>
        <v>#REF!</v>
      </c>
      <c r="N861" s="81" t="e">
        <f t="shared" si="180"/>
        <v>#REF!</v>
      </c>
      <c r="O861" s="81" t="e">
        <f t="shared" si="181"/>
        <v>#REF!</v>
      </c>
      <c r="Q861" s="83" t="str">
        <f t="shared" si="183"/>
        <v/>
      </c>
      <c r="R861" s="84" t="e">
        <f t="shared" si="171"/>
        <v>#REF!</v>
      </c>
      <c r="S861" s="83" t="e">
        <f t="shared" si="171"/>
        <v>#REF!</v>
      </c>
      <c r="T861" s="84" t="e">
        <f t="shared" si="172"/>
        <v>#REF!</v>
      </c>
      <c r="U861" s="84" t="e">
        <f t="shared" si="173"/>
        <v>#REF!</v>
      </c>
      <c r="V861" s="85" t="e">
        <f>#REF!</f>
        <v>#REF!</v>
      </c>
      <c r="W861" s="86">
        <f t="shared" si="174"/>
        <v>0</v>
      </c>
      <c r="X861" s="86">
        <f t="shared" si="174"/>
        <v>0</v>
      </c>
      <c r="Y861" s="87">
        <f t="shared" si="175"/>
        <v>0</v>
      </c>
      <c r="Z861" s="87">
        <f t="shared" si="176"/>
        <v>0</v>
      </c>
      <c r="AA861" s="87">
        <f t="shared" si="177"/>
        <v>4</v>
      </c>
    </row>
    <row r="862" spans="9:27">
      <c r="I862" s="81" t="e">
        <f>IF(#REF!&lt;&gt;"",#REF!,"")</f>
        <v>#REF!</v>
      </c>
      <c r="J862" s="81" t="e">
        <f t="shared" si="178"/>
        <v>#REF!</v>
      </c>
      <c r="L862" s="82" t="e">
        <f t="shared" si="179"/>
        <v>#REF!</v>
      </c>
      <c r="M862" s="81" t="e">
        <f t="shared" si="182"/>
        <v>#REF!</v>
      </c>
      <c r="N862" s="81" t="e">
        <f t="shared" si="180"/>
        <v>#REF!</v>
      </c>
      <c r="O862" s="81" t="e">
        <f t="shared" si="181"/>
        <v>#REF!</v>
      </c>
      <c r="Q862" s="83" t="str">
        <f t="shared" si="183"/>
        <v/>
      </c>
      <c r="R862" s="84" t="e">
        <f t="shared" si="171"/>
        <v>#REF!</v>
      </c>
      <c r="S862" s="83" t="e">
        <f t="shared" si="171"/>
        <v>#REF!</v>
      </c>
      <c r="T862" s="84" t="e">
        <f t="shared" si="172"/>
        <v>#REF!</v>
      </c>
      <c r="U862" s="84" t="e">
        <f t="shared" si="173"/>
        <v>#REF!</v>
      </c>
      <c r="V862" s="85" t="e">
        <f>#REF!</f>
        <v>#REF!</v>
      </c>
      <c r="W862" s="86">
        <f t="shared" si="174"/>
        <v>0</v>
      </c>
      <c r="X862" s="86">
        <f t="shared" si="174"/>
        <v>0</v>
      </c>
      <c r="Y862" s="87">
        <f t="shared" si="175"/>
        <v>0</v>
      </c>
      <c r="Z862" s="87">
        <f t="shared" si="176"/>
        <v>0</v>
      </c>
      <c r="AA862" s="87">
        <f t="shared" si="177"/>
        <v>4</v>
      </c>
    </row>
    <row r="863" spans="9:27">
      <c r="I863" s="81" t="e">
        <f>IF(#REF!&lt;&gt;"",#REF!,"")</f>
        <v>#REF!</v>
      </c>
      <c r="J863" s="81" t="e">
        <f t="shared" si="178"/>
        <v>#REF!</v>
      </c>
      <c r="L863" s="82" t="e">
        <f t="shared" si="179"/>
        <v>#REF!</v>
      </c>
      <c r="M863" s="81" t="e">
        <f t="shared" si="182"/>
        <v>#REF!</v>
      </c>
      <c r="N863" s="81" t="e">
        <f t="shared" si="180"/>
        <v>#REF!</v>
      </c>
      <c r="O863" s="81" t="e">
        <f t="shared" si="181"/>
        <v>#REF!</v>
      </c>
      <c r="Q863" s="83" t="str">
        <f t="shared" si="183"/>
        <v/>
      </c>
      <c r="R863" s="84" t="e">
        <f t="shared" si="171"/>
        <v>#REF!</v>
      </c>
      <c r="S863" s="83" t="e">
        <f t="shared" si="171"/>
        <v>#REF!</v>
      </c>
      <c r="T863" s="84" t="e">
        <f t="shared" si="172"/>
        <v>#REF!</v>
      </c>
      <c r="U863" s="84" t="e">
        <f t="shared" si="173"/>
        <v>#REF!</v>
      </c>
      <c r="V863" s="85" t="e">
        <f>#REF!</f>
        <v>#REF!</v>
      </c>
      <c r="W863" s="86">
        <f t="shared" si="174"/>
        <v>0</v>
      </c>
      <c r="X863" s="86">
        <f t="shared" si="174"/>
        <v>0</v>
      </c>
      <c r="Y863" s="87">
        <f t="shared" si="175"/>
        <v>0</v>
      </c>
      <c r="Z863" s="87">
        <f t="shared" si="176"/>
        <v>0</v>
      </c>
      <c r="AA863" s="87">
        <f t="shared" si="177"/>
        <v>4</v>
      </c>
    </row>
    <row r="864" spans="9:27">
      <c r="I864" s="81" t="e">
        <f>IF(#REF!&lt;&gt;"",#REF!,"")</f>
        <v>#REF!</v>
      </c>
      <c r="J864" s="81" t="e">
        <f t="shared" si="178"/>
        <v>#REF!</v>
      </c>
      <c r="L864" s="82" t="e">
        <f t="shared" si="179"/>
        <v>#REF!</v>
      </c>
      <c r="M864" s="81" t="e">
        <f t="shared" si="182"/>
        <v>#REF!</v>
      </c>
      <c r="N864" s="81" t="e">
        <f t="shared" si="180"/>
        <v>#REF!</v>
      </c>
      <c r="O864" s="81" t="e">
        <f t="shared" si="181"/>
        <v>#REF!</v>
      </c>
      <c r="Q864" s="83" t="str">
        <f t="shared" si="183"/>
        <v/>
      </c>
      <c r="R864" s="84" t="e">
        <f t="shared" si="171"/>
        <v>#REF!</v>
      </c>
      <c r="S864" s="83" t="e">
        <f t="shared" si="171"/>
        <v>#REF!</v>
      </c>
      <c r="T864" s="84" t="e">
        <f t="shared" si="172"/>
        <v>#REF!</v>
      </c>
      <c r="U864" s="84" t="e">
        <f t="shared" si="173"/>
        <v>#REF!</v>
      </c>
      <c r="V864" s="85" t="e">
        <f>#REF!</f>
        <v>#REF!</v>
      </c>
      <c r="W864" s="86">
        <f t="shared" si="174"/>
        <v>0</v>
      </c>
      <c r="X864" s="86">
        <f t="shared" si="174"/>
        <v>0</v>
      </c>
      <c r="Y864" s="87">
        <f t="shared" si="175"/>
        <v>0</v>
      </c>
      <c r="Z864" s="87">
        <f t="shared" si="176"/>
        <v>0</v>
      </c>
      <c r="AA864" s="87">
        <f t="shared" si="177"/>
        <v>4</v>
      </c>
    </row>
    <row r="865" spans="9:27">
      <c r="I865" s="81" t="e">
        <f>IF(#REF!&lt;&gt;"",#REF!,"")</f>
        <v>#REF!</v>
      </c>
      <c r="J865" s="81" t="e">
        <f t="shared" si="178"/>
        <v>#REF!</v>
      </c>
      <c r="L865" s="82" t="e">
        <f t="shared" si="179"/>
        <v>#REF!</v>
      </c>
      <c r="M865" s="81" t="e">
        <f t="shared" si="182"/>
        <v>#REF!</v>
      </c>
      <c r="N865" s="81" t="e">
        <f t="shared" si="180"/>
        <v>#REF!</v>
      </c>
      <c r="O865" s="81" t="e">
        <f t="shared" si="181"/>
        <v>#REF!</v>
      </c>
      <c r="Q865" s="83" t="str">
        <f t="shared" si="183"/>
        <v/>
      </c>
      <c r="R865" s="84" t="e">
        <f t="shared" si="171"/>
        <v>#REF!</v>
      </c>
      <c r="S865" s="83" t="e">
        <f t="shared" si="171"/>
        <v>#REF!</v>
      </c>
      <c r="T865" s="84" t="e">
        <f t="shared" si="172"/>
        <v>#REF!</v>
      </c>
      <c r="U865" s="84" t="e">
        <f t="shared" si="173"/>
        <v>#REF!</v>
      </c>
      <c r="V865" s="85" t="e">
        <f>#REF!</f>
        <v>#REF!</v>
      </c>
      <c r="W865" s="86">
        <f t="shared" si="174"/>
        <v>0</v>
      </c>
      <c r="X865" s="86">
        <f t="shared" si="174"/>
        <v>0</v>
      </c>
      <c r="Y865" s="87">
        <f t="shared" si="175"/>
        <v>0</v>
      </c>
      <c r="Z865" s="87">
        <f t="shared" si="176"/>
        <v>0</v>
      </c>
      <c r="AA865" s="87">
        <f t="shared" si="177"/>
        <v>4</v>
      </c>
    </row>
    <row r="866" spans="9:27">
      <c r="I866" s="81" t="e">
        <f>IF(#REF!&lt;&gt;"",#REF!,"")</f>
        <v>#REF!</v>
      </c>
      <c r="J866" s="81" t="e">
        <f t="shared" si="178"/>
        <v>#REF!</v>
      </c>
      <c r="L866" s="82" t="e">
        <f t="shared" si="179"/>
        <v>#REF!</v>
      </c>
      <c r="M866" s="81" t="e">
        <f t="shared" si="182"/>
        <v>#REF!</v>
      </c>
      <c r="N866" s="81" t="e">
        <f t="shared" si="180"/>
        <v>#REF!</v>
      </c>
      <c r="O866" s="81" t="e">
        <f t="shared" si="181"/>
        <v>#REF!</v>
      </c>
      <c r="Q866" s="83" t="str">
        <f t="shared" si="183"/>
        <v/>
      </c>
      <c r="R866" s="84" t="e">
        <f t="shared" si="171"/>
        <v>#REF!</v>
      </c>
      <c r="S866" s="83" t="e">
        <f t="shared" si="171"/>
        <v>#REF!</v>
      </c>
      <c r="T866" s="84" t="e">
        <f t="shared" si="172"/>
        <v>#REF!</v>
      </c>
      <c r="U866" s="84" t="e">
        <f t="shared" si="173"/>
        <v>#REF!</v>
      </c>
      <c r="V866" s="85" t="e">
        <f>#REF!</f>
        <v>#REF!</v>
      </c>
      <c r="W866" s="86">
        <f t="shared" si="174"/>
        <v>0</v>
      </c>
      <c r="X866" s="86">
        <f t="shared" si="174"/>
        <v>0</v>
      </c>
      <c r="Y866" s="87">
        <f t="shared" si="175"/>
        <v>0</v>
      </c>
      <c r="Z866" s="87">
        <f t="shared" si="176"/>
        <v>0</v>
      </c>
      <c r="AA866" s="87">
        <f t="shared" si="177"/>
        <v>4</v>
      </c>
    </row>
    <row r="867" spans="9:27">
      <c r="I867" s="81" t="e">
        <f>IF(#REF!&lt;&gt;"",#REF!,"")</f>
        <v>#REF!</v>
      </c>
      <c r="J867" s="81" t="e">
        <f t="shared" si="178"/>
        <v>#REF!</v>
      </c>
      <c r="L867" s="82" t="e">
        <f t="shared" si="179"/>
        <v>#REF!</v>
      </c>
      <c r="M867" s="81" t="e">
        <f t="shared" si="182"/>
        <v>#REF!</v>
      </c>
      <c r="N867" s="81" t="e">
        <f t="shared" si="180"/>
        <v>#REF!</v>
      </c>
      <c r="O867" s="81" t="e">
        <f t="shared" si="181"/>
        <v>#REF!</v>
      </c>
      <c r="Q867" s="83" t="str">
        <f t="shared" si="183"/>
        <v/>
      </c>
      <c r="R867" s="84" t="e">
        <f t="shared" si="171"/>
        <v>#REF!</v>
      </c>
      <c r="S867" s="83" t="e">
        <f t="shared" si="171"/>
        <v>#REF!</v>
      </c>
      <c r="T867" s="84" t="e">
        <f t="shared" si="172"/>
        <v>#REF!</v>
      </c>
      <c r="U867" s="84" t="e">
        <f t="shared" si="173"/>
        <v>#REF!</v>
      </c>
      <c r="V867" s="85" t="e">
        <f>#REF!</f>
        <v>#REF!</v>
      </c>
      <c r="W867" s="86">
        <f t="shared" si="174"/>
        <v>0</v>
      </c>
      <c r="X867" s="86">
        <f t="shared" si="174"/>
        <v>0</v>
      </c>
      <c r="Y867" s="87">
        <f t="shared" si="175"/>
        <v>0</v>
      </c>
      <c r="Z867" s="87">
        <f t="shared" si="176"/>
        <v>0</v>
      </c>
      <c r="AA867" s="87">
        <f t="shared" si="177"/>
        <v>4</v>
      </c>
    </row>
    <row r="868" spans="9:27">
      <c r="I868" s="81" t="e">
        <f>IF(#REF!&lt;&gt;"",#REF!,"")</f>
        <v>#REF!</v>
      </c>
      <c r="J868" s="81" t="e">
        <f t="shared" si="178"/>
        <v>#REF!</v>
      </c>
      <c r="L868" s="82" t="e">
        <f t="shared" si="179"/>
        <v>#REF!</v>
      </c>
      <c r="M868" s="81" t="e">
        <f t="shared" si="182"/>
        <v>#REF!</v>
      </c>
      <c r="N868" s="81" t="e">
        <f t="shared" si="180"/>
        <v>#REF!</v>
      </c>
      <c r="O868" s="81" t="e">
        <f t="shared" si="181"/>
        <v>#REF!</v>
      </c>
      <c r="Q868" s="83" t="str">
        <f t="shared" si="183"/>
        <v/>
      </c>
      <c r="R868" s="84" t="e">
        <f t="shared" si="171"/>
        <v>#REF!</v>
      </c>
      <c r="S868" s="83" t="e">
        <f t="shared" si="171"/>
        <v>#REF!</v>
      </c>
      <c r="T868" s="84" t="e">
        <f t="shared" si="172"/>
        <v>#REF!</v>
      </c>
      <c r="U868" s="84" t="e">
        <f t="shared" si="173"/>
        <v>#REF!</v>
      </c>
      <c r="V868" s="85" t="e">
        <f>#REF!</f>
        <v>#REF!</v>
      </c>
      <c r="W868" s="86">
        <f t="shared" si="174"/>
        <v>0</v>
      </c>
      <c r="X868" s="86">
        <f t="shared" si="174"/>
        <v>0</v>
      </c>
      <c r="Y868" s="87">
        <f t="shared" si="175"/>
        <v>0</v>
      </c>
      <c r="Z868" s="87">
        <f t="shared" si="176"/>
        <v>0</v>
      </c>
      <c r="AA868" s="87">
        <f t="shared" si="177"/>
        <v>4</v>
      </c>
    </row>
    <row r="869" spans="9:27">
      <c r="I869" s="81" t="e">
        <f>IF(#REF!&lt;&gt;"",#REF!,"")</f>
        <v>#REF!</v>
      </c>
      <c r="J869" s="81" t="e">
        <f t="shared" si="178"/>
        <v>#REF!</v>
      </c>
      <c r="L869" s="82" t="e">
        <f t="shared" si="179"/>
        <v>#REF!</v>
      </c>
      <c r="M869" s="81" t="e">
        <f t="shared" si="182"/>
        <v>#REF!</v>
      </c>
      <c r="N869" s="81" t="e">
        <f t="shared" si="180"/>
        <v>#REF!</v>
      </c>
      <c r="O869" s="81" t="e">
        <f t="shared" si="181"/>
        <v>#REF!</v>
      </c>
      <c r="Q869" s="83" t="str">
        <f t="shared" si="183"/>
        <v/>
      </c>
      <c r="R869" s="84" t="e">
        <f t="shared" si="171"/>
        <v>#REF!</v>
      </c>
      <c r="S869" s="83" t="e">
        <f t="shared" si="171"/>
        <v>#REF!</v>
      </c>
      <c r="T869" s="84" t="e">
        <f t="shared" si="172"/>
        <v>#REF!</v>
      </c>
      <c r="U869" s="84" t="e">
        <f t="shared" si="173"/>
        <v>#REF!</v>
      </c>
      <c r="V869" s="85" t="e">
        <f>#REF!</f>
        <v>#REF!</v>
      </c>
      <c r="W869" s="86">
        <f t="shared" si="174"/>
        <v>0</v>
      </c>
      <c r="X869" s="86">
        <f t="shared" si="174"/>
        <v>0</v>
      </c>
      <c r="Y869" s="87">
        <f t="shared" si="175"/>
        <v>0</v>
      </c>
      <c r="Z869" s="87">
        <f t="shared" si="176"/>
        <v>0</v>
      </c>
      <c r="AA869" s="87">
        <f t="shared" si="177"/>
        <v>4</v>
      </c>
    </row>
    <row r="870" spans="9:27">
      <c r="I870" s="81" t="e">
        <f>IF(#REF!&lt;&gt;"",#REF!,"")</f>
        <v>#REF!</v>
      </c>
      <c r="J870" s="81" t="e">
        <f t="shared" si="178"/>
        <v>#REF!</v>
      </c>
      <c r="L870" s="82" t="e">
        <f t="shared" si="179"/>
        <v>#REF!</v>
      </c>
      <c r="M870" s="81" t="e">
        <f t="shared" si="182"/>
        <v>#REF!</v>
      </c>
      <c r="N870" s="81" t="e">
        <f t="shared" si="180"/>
        <v>#REF!</v>
      </c>
      <c r="O870" s="81" t="e">
        <f t="shared" si="181"/>
        <v>#REF!</v>
      </c>
      <c r="Q870" s="83" t="str">
        <f t="shared" si="183"/>
        <v/>
      </c>
      <c r="R870" s="84" t="e">
        <f t="shared" si="171"/>
        <v>#REF!</v>
      </c>
      <c r="S870" s="83" t="e">
        <f t="shared" si="171"/>
        <v>#REF!</v>
      </c>
      <c r="T870" s="84" t="e">
        <f t="shared" si="172"/>
        <v>#REF!</v>
      </c>
      <c r="U870" s="84" t="e">
        <f t="shared" si="173"/>
        <v>#REF!</v>
      </c>
      <c r="V870" s="85" t="e">
        <f>#REF!</f>
        <v>#REF!</v>
      </c>
      <c r="W870" s="86">
        <f t="shared" si="174"/>
        <v>0</v>
      </c>
      <c r="X870" s="86">
        <f t="shared" si="174"/>
        <v>0</v>
      </c>
      <c r="Y870" s="87">
        <f t="shared" si="175"/>
        <v>0</v>
      </c>
      <c r="Z870" s="87">
        <f t="shared" si="176"/>
        <v>0</v>
      </c>
      <c r="AA870" s="87">
        <f t="shared" si="177"/>
        <v>4</v>
      </c>
    </row>
    <row r="871" spans="9:27">
      <c r="I871" s="81" t="e">
        <f>IF(#REF!&lt;&gt;"",#REF!,"")</f>
        <v>#REF!</v>
      </c>
      <c r="J871" s="81" t="e">
        <f t="shared" si="178"/>
        <v>#REF!</v>
      </c>
      <c r="L871" s="82" t="e">
        <f t="shared" si="179"/>
        <v>#REF!</v>
      </c>
      <c r="M871" s="81" t="e">
        <f t="shared" si="182"/>
        <v>#REF!</v>
      </c>
      <c r="N871" s="81" t="e">
        <f t="shared" si="180"/>
        <v>#REF!</v>
      </c>
      <c r="O871" s="81" t="e">
        <f t="shared" si="181"/>
        <v>#REF!</v>
      </c>
      <c r="Q871" s="83" t="str">
        <f t="shared" si="183"/>
        <v/>
      </c>
      <c r="R871" s="84" t="e">
        <f t="shared" si="171"/>
        <v>#REF!</v>
      </c>
      <c r="S871" s="83" t="e">
        <f t="shared" si="171"/>
        <v>#REF!</v>
      </c>
      <c r="T871" s="84" t="e">
        <f t="shared" si="172"/>
        <v>#REF!</v>
      </c>
      <c r="U871" s="84" t="e">
        <f t="shared" si="173"/>
        <v>#REF!</v>
      </c>
      <c r="V871" s="85" t="e">
        <f>#REF!</f>
        <v>#REF!</v>
      </c>
      <c r="W871" s="86">
        <f t="shared" si="174"/>
        <v>0</v>
      </c>
      <c r="X871" s="86">
        <f t="shared" si="174"/>
        <v>0</v>
      </c>
      <c r="Y871" s="87">
        <f t="shared" si="175"/>
        <v>0</v>
      </c>
      <c r="Z871" s="87">
        <f t="shared" si="176"/>
        <v>0</v>
      </c>
      <c r="AA871" s="87">
        <f t="shared" si="177"/>
        <v>4</v>
      </c>
    </row>
    <row r="872" spans="9:27">
      <c r="I872" s="81" t="e">
        <f>IF(#REF!&lt;&gt;"",#REF!,"")</f>
        <v>#REF!</v>
      </c>
      <c r="J872" s="81" t="e">
        <f t="shared" si="178"/>
        <v>#REF!</v>
      </c>
      <c r="L872" s="82" t="e">
        <f t="shared" si="179"/>
        <v>#REF!</v>
      </c>
      <c r="M872" s="81" t="e">
        <f t="shared" si="182"/>
        <v>#REF!</v>
      </c>
      <c r="N872" s="81" t="e">
        <f t="shared" si="180"/>
        <v>#REF!</v>
      </c>
      <c r="O872" s="81" t="e">
        <f t="shared" si="181"/>
        <v>#REF!</v>
      </c>
      <c r="Q872" s="83" t="str">
        <f t="shared" si="183"/>
        <v/>
      </c>
      <c r="R872" s="84" t="e">
        <f t="shared" si="171"/>
        <v>#REF!</v>
      </c>
      <c r="S872" s="83" t="e">
        <f t="shared" si="171"/>
        <v>#REF!</v>
      </c>
      <c r="T872" s="84" t="e">
        <f t="shared" si="172"/>
        <v>#REF!</v>
      </c>
      <c r="U872" s="84" t="e">
        <f t="shared" si="173"/>
        <v>#REF!</v>
      </c>
      <c r="V872" s="85" t="e">
        <f>#REF!</f>
        <v>#REF!</v>
      </c>
      <c r="W872" s="86">
        <f t="shared" si="174"/>
        <v>0</v>
      </c>
      <c r="X872" s="86">
        <f t="shared" si="174"/>
        <v>0</v>
      </c>
      <c r="Y872" s="87">
        <f t="shared" si="175"/>
        <v>0</v>
      </c>
      <c r="Z872" s="87">
        <f t="shared" si="176"/>
        <v>0</v>
      </c>
      <c r="AA872" s="87">
        <f t="shared" si="177"/>
        <v>4</v>
      </c>
    </row>
    <row r="873" spans="9:27">
      <c r="I873" s="81" t="e">
        <f>IF(#REF!&lt;&gt;"",#REF!,"")</f>
        <v>#REF!</v>
      </c>
      <c r="J873" s="81" t="e">
        <f t="shared" si="178"/>
        <v>#REF!</v>
      </c>
      <c r="L873" s="82" t="e">
        <f t="shared" si="179"/>
        <v>#REF!</v>
      </c>
      <c r="M873" s="81" t="e">
        <f t="shared" si="182"/>
        <v>#REF!</v>
      </c>
      <c r="N873" s="81" t="e">
        <f t="shared" si="180"/>
        <v>#REF!</v>
      </c>
      <c r="O873" s="81" t="e">
        <f t="shared" si="181"/>
        <v>#REF!</v>
      </c>
      <c r="Q873" s="83" t="str">
        <f t="shared" si="183"/>
        <v/>
      </c>
      <c r="R873" s="84" t="e">
        <f t="shared" si="171"/>
        <v>#REF!</v>
      </c>
      <c r="S873" s="83" t="e">
        <f t="shared" si="171"/>
        <v>#REF!</v>
      </c>
      <c r="T873" s="84" t="e">
        <f t="shared" si="172"/>
        <v>#REF!</v>
      </c>
      <c r="U873" s="84" t="e">
        <f t="shared" si="173"/>
        <v>#REF!</v>
      </c>
      <c r="V873" s="85" t="e">
        <f>#REF!</f>
        <v>#REF!</v>
      </c>
      <c r="W873" s="86">
        <f t="shared" si="174"/>
        <v>0</v>
      </c>
      <c r="X873" s="86">
        <f t="shared" si="174"/>
        <v>0</v>
      </c>
      <c r="Y873" s="87">
        <f t="shared" si="175"/>
        <v>0</v>
      </c>
      <c r="Z873" s="87">
        <f t="shared" si="176"/>
        <v>0</v>
      </c>
      <c r="AA873" s="87">
        <f t="shared" si="177"/>
        <v>4</v>
      </c>
    </row>
    <row r="874" spans="9:27">
      <c r="I874" s="81" t="e">
        <f>IF(#REF!&lt;&gt;"",#REF!,"")</f>
        <v>#REF!</v>
      </c>
      <c r="J874" s="81" t="e">
        <f t="shared" si="178"/>
        <v>#REF!</v>
      </c>
      <c r="L874" s="82" t="e">
        <f t="shared" si="179"/>
        <v>#REF!</v>
      </c>
      <c r="M874" s="81" t="e">
        <f t="shared" si="182"/>
        <v>#REF!</v>
      </c>
      <c r="N874" s="81" t="e">
        <f t="shared" si="180"/>
        <v>#REF!</v>
      </c>
      <c r="O874" s="81" t="e">
        <f t="shared" si="181"/>
        <v>#REF!</v>
      </c>
      <c r="Q874" s="83" t="str">
        <f t="shared" si="183"/>
        <v/>
      </c>
      <c r="R874" s="84" t="e">
        <f t="shared" si="171"/>
        <v>#REF!</v>
      </c>
      <c r="S874" s="83" t="e">
        <f t="shared" si="171"/>
        <v>#REF!</v>
      </c>
      <c r="T874" s="84" t="e">
        <f t="shared" si="172"/>
        <v>#REF!</v>
      </c>
      <c r="U874" s="84" t="e">
        <f t="shared" si="173"/>
        <v>#REF!</v>
      </c>
      <c r="V874" s="85" t="e">
        <f>#REF!</f>
        <v>#REF!</v>
      </c>
      <c r="W874" s="86">
        <f t="shared" si="174"/>
        <v>0</v>
      </c>
      <c r="X874" s="86">
        <f t="shared" si="174"/>
        <v>0</v>
      </c>
      <c r="Y874" s="87">
        <f t="shared" si="175"/>
        <v>0</v>
      </c>
      <c r="Z874" s="87">
        <f t="shared" si="176"/>
        <v>0</v>
      </c>
      <c r="AA874" s="87">
        <f t="shared" si="177"/>
        <v>4</v>
      </c>
    </row>
    <row r="875" spans="9:27">
      <c r="I875" s="81" t="e">
        <f>IF(#REF!&lt;&gt;"",#REF!,"")</f>
        <v>#REF!</v>
      </c>
      <c r="J875" s="81" t="e">
        <f t="shared" si="178"/>
        <v>#REF!</v>
      </c>
      <c r="L875" s="82" t="e">
        <f t="shared" si="179"/>
        <v>#REF!</v>
      </c>
      <c r="M875" s="81" t="e">
        <f t="shared" si="182"/>
        <v>#REF!</v>
      </c>
      <c r="N875" s="81" t="e">
        <f t="shared" si="180"/>
        <v>#REF!</v>
      </c>
      <c r="O875" s="81" t="e">
        <f t="shared" si="181"/>
        <v>#REF!</v>
      </c>
      <c r="Q875" s="83" t="str">
        <f t="shared" si="183"/>
        <v/>
      </c>
      <c r="R875" s="84" t="e">
        <f t="shared" si="171"/>
        <v>#REF!</v>
      </c>
      <c r="S875" s="83" t="e">
        <f t="shared" si="171"/>
        <v>#REF!</v>
      </c>
      <c r="T875" s="84" t="e">
        <f t="shared" si="172"/>
        <v>#REF!</v>
      </c>
      <c r="U875" s="84" t="e">
        <f t="shared" si="173"/>
        <v>#REF!</v>
      </c>
      <c r="V875" s="85" t="e">
        <f>#REF!</f>
        <v>#REF!</v>
      </c>
      <c r="W875" s="86">
        <f t="shared" si="174"/>
        <v>0</v>
      </c>
      <c r="X875" s="86">
        <f t="shared" si="174"/>
        <v>0</v>
      </c>
      <c r="Y875" s="87">
        <f t="shared" si="175"/>
        <v>0</v>
      </c>
      <c r="Z875" s="87">
        <f t="shared" si="176"/>
        <v>0</v>
      </c>
      <c r="AA875" s="87">
        <f t="shared" si="177"/>
        <v>4</v>
      </c>
    </row>
    <row r="876" spans="9:27">
      <c r="I876" s="81" t="e">
        <f>IF(#REF!&lt;&gt;"",#REF!,"")</f>
        <v>#REF!</v>
      </c>
      <c r="J876" s="81" t="e">
        <f t="shared" si="178"/>
        <v>#REF!</v>
      </c>
      <c r="L876" s="82" t="e">
        <f t="shared" si="179"/>
        <v>#REF!</v>
      </c>
      <c r="M876" s="81" t="e">
        <f t="shared" si="182"/>
        <v>#REF!</v>
      </c>
      <c r="N876" s="81" t="e">
        <f t="shared" si="180"/>
        <v>#REF!</v>
      </c>
      <c r="O876" s="81" t="e">
        <f t="shared" si="181"/>
        <v>#REF!</v>
      </c>
      <c r="Q876" s="83" t="str">
        <f t="shared" si="183"/>
        <v/>
      </c>
      <c r="R876" s="84" t="e">
        <f t="shared" si="171"/>
        <v>#REF!</v>
      </c>
      <c r="S876" s="83" t="e">
        <f t="shared" si="171"/>
        <v>#REF!</v>
      </c>
      <c r="T876" s="84" t="e">
        <f t="shared" si="172"/>
        <v>#REF!</v>
      </c>
      <c r="U876" s="84" t="e">
        <f t="shared" si="173"/>
        <v>#REF!</v>
      </c>
      <c r="V876" s="85" t="e">
        <f>#REF!</f>
        <v>#REF!</v>
      </c>
      <c r="W876" s="86">
        <f t="shared" si="174"/>
        <v>0</v>
      </c>
      <c r="X876" s="86">
        <f t="shared" si="174"/>
        <v>0</v>
      </c>
      <c r="Y876" s="87">
        <f t="shared" si="175"/>
        <v>0</v>
      </c>
      <c r="Z876" s="87">
        <f t="shared" si="176"/>
        <v>0</v>
      </c>
      <c r="AA876" s="87">
        <f t="shared" si="177"/>
        <v>4</v>
      </c>
    </row>
    <row r="877" spans="9:27">
      <c r="I877" s="81" t="e">
        <f>IF(#REF!&lt;&gt;"",#REF!,"")</f>
        <v>#REF!</v>
      </c>
      <c r="J877" s="81" t="e">
        <f t="shared" si="178"/>
        <v>#REF!</v>
      </c>
      <c r="L877" s="82" t="e">
        <f t="shared" si="179"/>
        <v>#REF!</v>
      </c>
      <c r="M877" s="81" t="e">
        <f t="shared" si="182"/>
        <v>#REF!</v>
      </c>
      <c r="N877" s="81" t="e">
        <f t="shared" si="180"/>
        <v>#REF!</v>
      </c>
      <c r="O877" s="81" t="e">
        <f t="shared" si="181"/>
        <v>#REF!</v>
      </c>
      <c r="Q877" s="83" t="str">
        <f t="shared" si="183"/>
        <v/>
      </c>
      <c r="R877" s="84" t="e">
        <f t="shared" si="171"/>
        <v>#REF!</v>
      </c>
      <c r="S877" s="83" t="e">
        <f t="shared" si="171"/>
        <v>#REF!</v>
      </c>
      <c r="T877" s="84" t="e">
        <f t="shared" si="172"/>
        <v>#REF!</v>
      </c>
      <c r="U877" s="84" t="e">
        <f t="shared" si="173"/>
        <v>#REF!</v>
      </c>
      <c r="V877" s="85" t="e">
        <f>#REF!</f>
        <v>#REF!</v>
      </c>
      <c r="W877" s="86">
        <f t="shared" si="174"/>
        <v>0</v>
      </c>
      <c r="X877" s="86">
        <f t="shared" si="174"/>
        <v>0</v>
      </c>
      <c r="Y877" s="87">
        <f t="shared" si="175"/>
        <v>0</v>
      </c>
      <c r="Z877" s="87">
        <f t="shared" si="176"/>
        <v>0</v>
      </c>
      <c r="AA877" s="87">
        <f t="shared" si="177"/>
        <v>4</v>
      </c>
    </row>
    <row r="878" spans="9:27">
      <c r="I878" s="81" t="e">
        <f>IF(#REF!&lt;&gt;"",#REF!,"")</f>
        <v>#REF!</v>
      </c>
      <c r="J878" s="81" t="e">
        <f t="shared" si="178"/>
        <v>#REF!</v>
      </c>
      <c r="L878" s="82" t="e">
        <f t="shared" si="179"/>
        <v>#REF!</v>
      </c>
      <c r="M878" s="81" t="e">
        <f t="shared" si="182"/>
        <v>#REF!</v>
      </c>
      <c r="N878" s="81" t="e">
        <f t="shared" si="180"/>
        <v>#REF!</v>
      </c>
      <c r="O878" s="81" t="e">
        <f t="shared" si="181"/>
        <v>#REF!</v>
      </c>
      <c r="Q878" s="83" t="str">
        <f t="shared" si="183"/>
        <v/>
      </c>
      <c r="R878" s="84" t="e">
        <f t="shared" si="171"/>
        <v>#REF!</v>
      </c>
      <c r="S878" s="83" t="e">
        <f t="shared" si="171"/>
        <v>#REF!</v>
      </c>
      <c r="T878" s="84" t="e">
        <f t="shared" si="172"/>
        <v>#REF!</v>
      </c>
      <c r="U878" s="84" t="e">
        <f t="shared" si="173"/>
        <v>#REF!</v>
      </c>
      <c r="V878" s="85" t="e">
        <f>#REF!</f>
        <v>#REF!</v>
      </c>
      <c r="W878" s="86">
        <f t="shared" si="174"/>
        <v>0</v>
      </c>
      <c r="X878" s="86">
        <f t="shared" si="174"/>
        <v>0</v>
      </c>
      <c r="Y878" s="87">
        <f t="shared" si="175"/>
        <v>0</v>
      </c>
      <c r="Z878" s="87">
        <f t="shared" si="176"/>
        <v>0</v>
      </c>
      <c r="AA878" s="87">
        <f t="shared" si="177"/>
        <v>4</v>
      </c>
    </row>
    <row r="879" spans="9:27">
      <c r="I879" s="81" t="e">
        <f>IF(#REF!&lt;&gt;"",#REF!,"")</f>
        <v>#REF!</v>
      </c>
      <c r="J879" s="81" t="e">
        <f t="shared" si="178"/>
        <v>#REF!</v>
      </c>
      <c r="L879" s="82" t="e">
        <f t="shared" si="179"/>
        <v>#REF!</v>
      </c>
      <c r="M879" s="81" t="e">
        <f t="shared" si="182"/>
        <v>#REF!</v>
      </c>
      <c r="N879" s="81" t="e">
        <f t="shared" si="180"/>
        <v>#REF!</v>
      </c>
      <c r="O879" s="81" t="e">
        <f t="shared" si="181"/>
        <v>#REF!</v>
      </c>
      <c r="Q879" s="83" t="str">
        <f t="shared" si="183"/>
        <v/>
      </c>
      <c r="R879" s="84" t="e">
        <f t="shared" si="171"/>
        <v>#REF!</v>
      </c>
      <c r="S879" s="83" t="e">
        <f t="shared" si="171"/>
        <v>#REF!</v>
      </c>
      <c r="T879" s="84" t="e">
        <f t="shared" si="172"/>
        <v>#REF!</v>
      </c>
      <c r="U879" s="84" t="e">
        <f t="shared" si="173"/>
        <v>#REF!</v>
      </c>
      <c r="V879" s="85" t="e">
        <f>#REF!</f>
        <v>#REF!</v>
      </c>
      <c r="W879" s="86">
        <f t="shared" si="174"/>
        <v>0</v>
      </c>
      <c r="X879" s="86">
        <f t="shared" si="174"/>
        <v>0</v>
      </c>
      <c r="Y879" s="87">
        <f t="shared" si="175"/>
        <v>0</v>
      </c>
      <c r="Z879" s="87">
        <f t="shared" si="176"/>
        <v>0</v>
      </c>
      <c r="AA879" s="87">
        <f t="shared" si="177"/>
        <v>4</v>
      </c>
    </row>
    <row r="880" spans="9:27">
      <c r="I880" s="81" t="e">
        <f>IF(#REF!&lt;&gt;"",#REF!,"")</f>
        <v>#REF!</v>
      </c>
      <c r="J880" s="81" t="e">
        <f t="shared" si="178"/>
        <v>#REF!</v>
      </c>
      <c r="L880" s="82" t="e">
        <f t="shared" si="179"/>
        <v>#REF!</v>
      </c>
      <c r="M880" s="81" t="e">
        <f t="shared" si="182"/>
        <v>#REF!</v>
      </c>
      <c r="N880" s="81" t="e">
        <f t="shared" si="180"/>
        <v>#REF!</v>
      </c>
      <c r="O880" s="81" t="e">
        <f t="shared" si="181"/>
        <v>#REF!</v>
      </c>
      <c r="Q880" s="83" t="str">
        <f t="shared" si="183"/>
        <v/>
      </c>
      <c r="R880" s="84" t="e">
        <f t="shared" si="171"/>
        <v>#REF!</v>
      </c>
      <c r="S880" s="83" t="e">
        <f t="shared" si="171"/>
        <v>#REF!</v>
      </c>
      <c r="T880" s="84" t="e">
        <f t="shared" si="172"/>
        <v>#REF!</v>
      </c>
      <c r="U880" s="84" t="e">
        <f t="shared" si="173"/>
        <v>#REF!</v>
      </c>
      <c r="V880" s="85" t="e">
        <f>#REF!</f>
        <v>#REF!</v>
      </c>
      <c r="W880" s="86">
        <f t="shared" si="174"/>
        <v>0</v>
      </c>
      <c r="X880" s="86">
        <f t="shared" si="174"/>
        <v>0</v>
      </c>
      <c r="Y880" s="87">
        <f t="shared" si="175"/>
        <v>0</v>
      </c>
      <c r="Z880" s="87">
        <f t="shared" si="176"/>
        <v>0</v>
      </c>
      <c r="AA880" s="87">
        <f t="shared" si="177"/>
        <v>4</v>
      </c>
    </row>
    <row r="881" spans="9:27">
      <c r="I881" s="81" t="e">
        <f>IF(#REF!&lt;&gt;"",#REF!,"")</f>
        <v>#REF!</v>
      </c>
      <c r="J881" s="81" t="e">
        <f t="shared" si="178"/>
        <v>#REF!</v>
      </c>
      <c r="L881" s="82" t="e">
        <f t="shared" si="179"/>
        <v>#REF!</v>
      </c>
      <c r="M881" s="81" t="e">
        <f t="shared" si="182"/>
        <v>#REF!</v>
      </c>
      <c r="N881" s="81" t="e">
        <f t="shared" si="180"/>
        <v>#REF!</v>
      </c>
      <c r="O881" s="81" t="e">
        <f t="shared" si="181"/>
        <v>#REF!</v>
      </c>
      <c r="Q881" s="83" t="str">
        <f t="shared" si="183"/>
        <v/>
      </c>
      <c r="R881" s="84" t="e">
        <f t="shared" si="171"/>
        <v>#REF!</v>
      </c>
      <c r="S881" s="83" t="e">
        <f t="shared" si="171"/>
        <v>#REF!</v>
      </c>
      <c r="T881" s="84" t="e">
        <f t="shared" si="172"/>
        <v>#REF!</v>
      </c>
      <c r="U881" s="84" t="e">
        <f t="shared" si="173"/>
        <v>#REF!</v>
      </c>
      <c r="V881" s="85" t="e">
        <f>#REF!</f>
        <v>#REF!</v>
      </c>
      <c r="W881" s="86">
        <f t="shared" si="174"/>
        <v>0</v>
      </c>
      <c r="X881" s="86">
        <f t="shared" si="174"/>
        <v>0</v>
      </c>
      <c r="Y881" s="87">
        <f t="shared" si="175"/>
        <v>0</v>
      </c>
      <c r="Z881" s="87">
        <f t="shared" si="176"/>
        <v>0</v>
      </c>
      <c r="AA881" s="87">
        <f t="shared" si="177"/>
        <v>4</v>
      </c>
    </row>
    <row r="882" spans="9:27">
      <c r="I882" s="81" t="e">
        <f>IF(#REF!&lt;&gt;"",#REF!,"")</f>
        <v>#REF!</v>
      </c>
      <c r="J882" s="81" t="e">
        <f t="shared" si="178"/>
        <v>#REF!</v>
      </c>
      <c r="L882" s="82" t="e">
        <f t="shared" si="179"/>
        <v>#REF!</v>
      </c>
      <c r="M882" s="81" t="e">
        <f t="shared" si="182"/>
        <v>#REF!</v>
      </c>
      <c r="N882" s="81" t="e">
        <f t="shared" si="180"/>
        <v>#REF!</v>
      </c>
      <c r="O882" s="81" t="e">
        <f t="shared" si="181"/>
        <v>#REF!</v>
      </c>
      <c r="Q882" s="83" t="str">
        <f t="shared" si="183"/>
        <v/>
      </c>
      <c r="R882" s="84" t="e">
        <f t="shared" si="171"/>
        <v>#REF!</v>
      </c>
      <c r="S882" s="83" t="e">
        <f t="shared" si="171"/>
        <v>#REF!</v>
      </c>
      <c r="T882" s="84" t="e">
        <f t="shared" si="172"/>
        <v>#REF!</v>
      </c>
      <c r="U882" s="84" t="e">
        <f t="shared" si="173"/>
        <v>#REF!</v>
      </c>
      <c r="V882" s="85" t="e">
        <f>#REF!</f>
        <v>#REF!</v>
      </c>
      <c r="W882" s="86">
        <f t="shared" si="174"/>
        <v>0</v>
      </c>
      <c r="X882" s="86">
        <f t="shared" si="174"/>
        <v>0</v>
      </c>
      <c r="Y882" s="87">
        <f t="shared" si="175"/>
        <v>0</v>
      </c>
      <c r="Z882" s="87">
        <f t="shared" si="176"/>
        <v>0</v>
      </c>
      <c r="AA882" s="87">
        <f t="shared" si="177"/>
        <v>4</v>
      </c>
    </row>
    <row r="883" spans="9:27">
      <c r="I883" s="81" t="e">
        <f>IF(#REF!&lt;&gt;"",#REF!,"")</f>
        <v>#REF!</v>
      </c>
      <c r="J883" s="81" t="e">
        <f t="shared" si="178"/>
        <v>#REF!</v>
      </c>
      <c r="L883" s="82" t="e">
        <f t="shared" si="179"/>
        <v>#REF!</v>
      </c>
      <c r="M883" s="81" t="e">
        <f t="shared" si="182"/>
        <v>#REF!</v>
      </c>
      <c r="N883" s="81" t="e">
        <f t="shared" si="180"/>
        <v>#REF!</v>
      </c>
      <c r="O883" s="81" t="e">
        <f t="shared" si="181"/>
        <v>#REF!</v>
      </c>
      <c r="Q883" s="83" t="str">
        <f t="shared" si="183"/>
        <v/>
      </c>
      <c r="R883" s="84" t="e">
        <f t="shared" si="171"/>
        <v>#REF!</v>
      </c>
      <c r="S883" s="83" t="e">
        <f t="shared" si="171"/>
        <v>#REF!</v>
      </c>
      <c r="T883" s="84" t="e">
        <f t="shared" si="172"/>
        <v>#REF!</v>
      </c>
      <c r="U883" s="84" t="e">
        <f t="shared" si="173"/>
        <v>#REF!</v>
      </c>
      <c r="V883" s="85" t="e">
        <f>#REF!</f>
        <v>#REF!</v>
      </c>
      <c r="W883" s="86">
        <f t="shared" si="174"/>
        <v>0</v>
      </c>
      <c r="X883" s="86">
        <f t="shared" si="174"/>
        <v>0</v>
      </c>
      <c r="Y883" s="87">
        <f t="shared" si="175"/>
        <v>0</v>
      </c>
      <c r="Z883" s="87">
        <f t="shared" si="176"/>
        <v>0</v>
      </c>
      <c r="AA883" s="87">
        <f t="shared" si="177"/>
        <v>4</v>
      </c>
    </row>
    <row r="884" spans="9:27">
      <c r="I884" s="81" t="e">
        <f>IF(#REF!&lt;&gt;"",#REF!,"")</f>
        <v>#REF!</v>
      </c>
      <c r="J884" s="81" t="e">
        <f t="shared" si="178"/>
        <v>#REF!</v>
      </c>
      <c r="L884" s="82" t="e">
        <f t="shared" si="179"/>
        <v>#REF!</v>
      </c>
      <c r="M884" s="81" t="e">
        <f t="shared" si="182"/>
        <v>#REF!</v>
      </c>
      <c r="N884" s="81" t="e">
        <f t="shared" si="180"/>
        <v>#REF!</v>
      </c>
      <c r="O884" s="81" t="e">
        <f t="shared" si="181"/>
        <v>#REF!</v>
      </c>
      <c r="Q884" s="83" t="str">
        <f t="shared" si="183"/>
        <v/>
      </c>
      <c r="R884" s="84" t="e">
        <f t="shared" si="171"/>
        <v>#REF!</v>
      </c>
      <c r="S884" s="83" t="e">
        <f t="shared" si="171"/>
        <v>#REF!</v>
      </c>
      <c r="T884" s="84" t="e">
        <f t="shared" si="172"/>
        <v>#REF!</v>
      </c>
      <c r="U884" s="84" t="e">
        <f t="shared" si="173"/>
        <v>#REF!</v>
      </c>
      <c r="V884" s="85" t="e">
        <f>#REF!</f>
        <v>#REF!</v>
      </c>
      <c r="W884" s="86">
        <f t="shared" si="174"/>
        <v>0</v>
      </c>
      <c r="X884" s="86">
        <f t="shared" si="174"/>
        <v>0</v>
      </c>
      <c r="Y884" s="87">
        <f t="shared" si="175"/>
        <v>0</v>
      </c>
      <c r="Z884" s="87">
        <f t="shared" si="176"/>
        <v>0</v>
      </c>
      <c r="AA884" s="87">
        <f t="shared" si="177"/>
        <v>4</v>
      </c>
    </row>
    <row r="885" spans="9:27">
      <c r="I885" s="81" t="e">
        <f>IF(#REF!&lt;&gt;"",#REF!,"")</f>
        <v>#REF!</v>
      </c>
      <c r="J885" s="81" t="e">
        <f t="shared" si="178"/>
        <v>#REF!</v>
      </c>
      <c r="L885" s="82" t="e">
        <f t="shared" si="179"/>
        <v>#REF!</v>
      </c>
      <c r="M885" s="81" t="e">
        <f t="shared" si="182"/>
        <v>#REF!</v>
      </c>
      <c r="N885" s="81" t="e">
        <f t="shared" si="180"/>
        <v>#REF!</v>
      </c>
      <c r="O885" s="81" t="e">
        <f t="shared" si="181"/>
        <v>#REF!</v>
      </c>
      <c r="Q885" s="83" t="str">
        <f t="shared" si="183"/>
        <v/>
      </c>
      <c r="R885" s="84" t="e">
        <f t="shared" si="171"/>
        <v>#REF!</v>
      </c>
      <c r="S885" s="83" t="e">
        <f t="shared" si="171"/>
        <v>#REF!</v>
      </c>
      <c r="T885" s="84" t="e">
        <f t="shared" si="172"/>
        <v>#REF!</v>
      </c>
      <c r="U885" s="84" t="e">
        <f t="shared" si="173"/>
        <v>#REF!</v>
      </c>
      <c r="V885" s="85" t="e">
        <f>#REF!</f>
        <v>#REF!</v>
      </c>
      <c r="W885" s="86">
        <f t="shared" si="174"/>
        <v>0</v>
      </c>
      <c r="X885" s="86">
        <f t="shared" si="174"/>
        <v>0</v>
      </c>
      <c r="Y885" s="87">
        <f t="shared" si="175"/>
        <v>0</v>
      </c>
      <c r="Z885" s="87">
        <f t="shared" si="176"/>
        <v>0</v>
      </c>
      <c r="AA885" s="87">
        <f t="shared" si="177"/>
        <v>4</v>
      </c>
    </row>
    <row r="886" spans="9:27">
      <c r="I886" s="81" t="e">
        <f>IF(#REF!&lt;&gt;"",#REF!,"")</f>
        <v>#REF!</v>
      </c>
      <c r="J886" s="81" t="e">
        <f t="shared" si="178"/>
        <v>#REF!</v>
      </c>
      <c r="L886" s="82" t="e">
        <f t="shared" si="179"/>
        <v>#REF!</v>
      </c>
      <c r="M886" s="81" t="e">
        <f t="shared" si="182"/>
        <v>#REF!</v>
      </c>
      <c r="N886" s="81" t="e">
        <f t="shared" si="180"/>
        <v>#REF!</v>
      </c>
      <c r="O886" s="81" t="e">
        <f t="shared" si="181"/>
        <v>#REF!</v>
      </c>
      <c r="Q886" s="83" t="str">
        <f t="shared" si="183"/>
        <v/>
      </c>
      <c r="R886" s="84" t="e">
        <f t="shared" si="171"/>
        <v>#REF!</v>
      </c>
      <c r="S886" s="83" t="e">
        <f t="shared" si="171"/>
        <v>#REF!</v>
      </c>
      <c r="T886" s="84" t="e">
        <f t="shared" si="172"/>
        <v>#REF!</v>
      </c>
      <c r="U886" s="84" t="e">
        <f t="shared" si="173"/>
        <v>#REF!</v>
      </c>
      <c r="V886" s="85" t="e">
        <f>#REF!</f>
        <v>#REF!</v>
      </c>
      <c r="W886" s="86">
        <f t="shared" si="174"/>
        <v>0</v>
      </c>
      <c r="X886" s="86">
        <f t="shared" si="174"/>
        <v>0</v>
      </c>
      <c r="Y886" s="87">
        <f t="shared" si="175"/>
        <v>0</v>
      </c>
      <c r="Z886" s="87">
        <f t="shared" si="176"/>
        <v>0</v>
      </c>
      <c r="AA886" s="87">
        <f t="shared" si="177"/>
        <v>4</v>
      </c>
    </row>
    <row r="887" spans="9:27">
      <c r="I887" s="81" t="e">
        <f>IF(#REF!&lt;&gt;"",#REF!,"")</f>
        <v>#REF!</v>
      </c>
      <c r="J887" s="81" t="e">
        <f t="shared" si="178"/>
        <v>#REF!</v>
      </c>
      <c r="L887" s="82" t="e">
        <f t="shared" si="179"/>
        <v>#REF!</v>
      </c>
      <c r="M887" s="81" t="e">
        <f t="shared" si="182"/>
        <v>#REF!</v>
      </c>
      <c r="N887" s="81" t="e">
        <f t="shared" si="180"/>
        <v>#REF!</v>
      </c>
      <c r="O887" s="81" t="e">
        <f t="shared" si="181"/>
        <v>#REF!</v>
      </c>
      <c r="Q887" s="83" t="str">
        <f t="shared" si="183"/>
        <v/>
      </c>
      <c r="R887" s="84" t="e">
        <f t="shared" si="171"/>
        <v>#REF!</v>
      </c>
      <c r="S887" s="83" t="e">
        <f t="shared" si="171"/>
        <v>#REF!</v>
      </c>
      <c r="T887" s="84" t="e">
        <f t="shared" si="172"/>
        <v>#REF!</v>
      </c>
      <c r="U887" s="84" t="e">
        <f t="shared" si="173"/>
        <v>#REF!</v>
      </c>
      <c r="V887" s="85" t="e">
        <f>#REF!</f>
        <v>#REF!</v>
      </c>
      <c r="W887" s="86">
        <f t="shared" si="174"/>
        <v>0</v>
      </c>
      <c r="X887" s="86">
        <f t="shared" si="174"/>
        <v>0</v>
      </c>
      <c r="Y887" s="87">
        <f t="shared" si="175"/>
        <v>0</v>
      </c>
      <c r="Z887" s="87">
        <f t="shared" si="176"/>
        <v>0</v>
      </c>
      <c r="AA887" s="87">
        <f t="shared" si="177"/>
        <v>4</v>
      </c>
    </row>
    <row r="888" spans="9:27">
      <c r="I888" s="81" t="e">
        <f>IF(#REF!&lt;&gt;"",#REF!,"")</f>
        <v>#REF!</v>
      </c>
      <c r="J888" s="81" t="e">
        <f t="shared" si="178"/>
        <v>#REF!</v>
      </c>
      <c r="L888" s="82" t="e">
        <f t="shared" si="179"/>
        <v>#REF!</v>
      </c>
      <c r="M888" s="81" t="e">
        <f t="shared" si="182"/>
        <v>#REF!</v>
      </c>
      <c r="N888" s="81" t="e">
        <f t="shared" si="180"/>
        <v>#REF!</v>
      </c>
      <c r="O888" s="81" t="e">
        <f t="shared" si="181"/>
        <v>#REF!</v>
      </c>
      <c r="Q888" s="83" t="str">
        <f t="shared" si="183"/>
        <v/>
      </c>
      <c r="R888" s="84" t="e">
        <f t="shared" si="171"/>
        <v>#REF!</v>
      </c>
      <c r="S888" s="83" t="e">
        <f t="shared" si="171"/>
        <v>#REF!</v>
      </c>
      <c r="T888" s="84" t="e">
        <f t="shared" si="172"/>
        <v>#REF!</v>
      </c>
      <c r="U888" s="84" t="e">
        <f t="shared" si="173"/>
        <v>#REF!</v>
      </c>
      <c r="V888" s="85" t="e">
        <f>#REF!</f>
        <v>#REF!</v>
      </c>
      <c r="W888" s="86">
        <f t="shared" si="174"/>
        <v>0</v>
      </c>
      <c r="X888" s="86">
        <f t="shared" si="174"/>
        <v>0</v>
      </c>
      <c r="Y888" s="87">
        <f t="shared" si="175"/>
        <v>0</v>
      </c>
      <c r="Z888" s="87">
        <f t="shared" si="176"/>
        <v>0</v>
      </c>
      <c r="AA888" s="87">
        <f t="shared" si="177"/>
        <v>4</v>
      </c>
    </row>
    <row r="889" spans="9:27">
      <c r="I889" s="81" t="e">
        <f>IF(#REF!&lt;&gt;"",#REF!,"")</f>
        <v>#REF!</v>
      </c>
      <c r="J889" s="81" t="e">
        <f t="shared" si="178"/>
        <v>#REF!</v>
      </c>
      <c r="L889" s="82" t="e">
        <f t="shared" si="179"/>
        <v>#REF!</v>
      </c>
      <c r="M889" s="81" t="e">
        <f t="shared" si="182"/>
        <v>#REF!</v>
      </c>
      <c r="N889" s="81" t="e">
        <f t="shared" si="180"/>
        <v>#REF!</v>
      </c>
      <c r="O889" s="81" t="e">
        <f t="shared" si="181"/>
        <v>#REF!</v>
      </c>
      <c r="Q889" s="83" t="str">
        <f t="shared" si="183"/>
        <v/>
      </c>
      <c r="R889" s="84" t="e">
        <f t="shared" si="171"/>
        <v>#REF!</v>
      </c>
      <c r="S889" s="83" t="e">
        <f t="shared" si="171"/>
        <v>#REF!</v>
      </c>
      <c r="T889" s="84" t="e">
        <f t="shared" si="172"/>
        <v>#REF!</v>
      </c>
      <c r="U889" s="84" t="e">
        <f t="shared" si="173"/>
        <v>#REF!</v>
      </c>
      <c r="V889" s="85" t="e">
        <f>#REF!</f>
        <v>#REF!</v>
      </c>
      <c r="W889" s="86">
        <f t="shared" si="174"/>
        <v>0</v>
      </c>
      <c r="X889" s="86">
        <f t="shared" si="174"/>
        <v>0</v>
      </c>
      <c r="Y889" s="87">
        <f t="shared" si="175"/>
        <v>0</v>
      </c>
      <c r="Z889" s="87">
        <f t="shared" si="176"/>
        <v>0</v>
      </c>
      <c r="AA889" s="87">
        <f t="shared" si="177"/>
        <v>4</v>
      </c>
    </row>
    <row r="890" spans="9:27">
      <c r="I890" s="81" t="e">
        <f>IF(#REF!&lt;&gt;"",#REF!,"")</f>
        <v>#REF!</v>
      </c>
      <c r="J890" s="81" t="e">
        <f t="shared" si="178"/>
        <v>#REF!</v>
      </c>
      <c r="L890" s="82" t="e">
        <f t="shared" si="179"/>
        <v>#REF!</v>
      </c>
      <c r="M890" s="81" t="e">
        <f t="shared" si="182"/>
        <v>#REF!</v>
      </c>
      <c r="N890" s="81" t="e">
        <f t="shared" si="180"/>
        <v>#REF!</v>
      </c>
      <c r="O890" s="81" t="e">
        <f t="shared" si="181"/>
        <v>#REF!</v>
      </c>
      <c r="Q890" s="83" t="str">
        <f t="shared" si="183"/>
        <v/>
      </c>
      <c r="R890" s="84" t="e">
        <f t="shared" si="171"/>
        <v>#REF!</v>
      </c>
      <c r="S890" s="83" t="e">
        <f t="shared" si="171"/>
        <v>#REF!</v>
      </c>
      <c r="T890" s="84" t="e">
        <f t="shared" si="172"/>
        <v>#REF!</v>
      </c>
      <c r="U890" s="84" t="e">
        <f t="shared" si="173"/>
        <v>#REF!</v>
      </c>
      <c r="V890" s="85" t="e">
        <f>#REF!</f>
        <v>#REF!</v>
      </c>
      <c r="W890" s="86">
        <f t="shared" si="174"/>
        <v>0</v>
      </c>
      <c r="X890" s="86">
        <f t="shared" si="174"/>
        <v>0</v>
      </c>
      <c r="Y890" s="87">
        <f t="shared" si="175"/>
        <v>0</v>
      </c>
      <c r="Z890" s="87">
        <f t="shared" si="176"/>
        <v>0</v>
      </c>
      <c r="AA890" s="87">
        <f t="shared" si="177"/>
        <v>4</v>
      </c>
    </row>
    <row r="891" spans="9:27">
      <c r="I891" s="81" t="e">
        <f>IF(#REF!&lt;&gt;"",#REF!,"")</f>
        <v>#REF!</v>
      </c>
      <c r="J891" s="81" t="e">
        <f t="shared" si="178"/>
        <v>#REF!</v>
      </c>
      <c r="L891" s="82" t="e">
        <f t="shared" si="179"/>
        <v>#REF!</v>
      </c>
      <c r="M891" s="81" t="e">
        <f t="shared" si="182"/>
        <v>#REF!</v>
      </c>
      <c r="N891" s="81" t="e">
        <f t="shared" si="180"/>
        <v>#REF!</v>
      </c>
      <c r="O891" s="81" t="e">
        <f t="shared" si="181"/>
        <v>#REF!</v>
      </c>
      <c r="Q891" s="83" t="str">
        <f t="shared" si="183"/>
        <v/>
      </c>
      <c r="R891" s="84" t="e">
        <f t="shared" si="171"/>
        <v>#REF!</v>
      </c>
      <c r="S891" s="83" t="e">
        <f t="shared" si="171"/>
        <v>#REF!</v>
      </c>
      <c r="T891" s="84" t="e">
        <f t="shared" si="172"/>
        <v>#REF!</v>
      </c>
      <c r="U891" s="84" t="e">
        <f t="shared" si="173"/>
        <v>#REF!</v>
      </c>
      <c r="V891" s="85" t="e">
        <f>#REF!</f>
        <v>#REF!</v>
      </c>
      <c r="W891" s="86">
        <f t="shared" si="174"/>
        <v>0</v>
      </c>
      <c r="X891" s="86">
        <f t="shared" si="174"/>
        <v>0</v>
      </c>
      <c r="Y891" s="87">
        <f t="shared" si="175"/>
        <v>0</v>
      </c>
      <c r="Z891" s="87">
        <f t="shared" si="176"/>
        <v>0</v>
      </c>
      <c r="AA891" s="87">
        <f t="shared" si="177"/>
        <v>4</v>
      </c>
    </row>
    <row r="892" spans="9:27">
      <c r="I892" s="81" t="e">
        <f>IF(#REF!&lt;&gt;"",#REF!,"")</f>
        <v>#REF!</v>
      </c>
      <c r="J892" s="81" t="e">
        <f t="shared" si="178"/>
        <v>#REF!</v>
      </c>
      <c r="L892" s="82" t="e">
        <f t="shared" si="179"/>
        <v>#REF!</v>
      </c>
      <c r="M892" s="81" t="e">
        <f t="shared" si="182"/>
        <v>#REF!</v>
      </c>
      <c r="N892" s="81" t="e">
        <f t="shared" si="180"/>
        <v>#REF!</v>
      </c>
      <c r="O892" s="81" t="e">
        <f t="shared" si="181"/>
        <v>#REF!</v>
      </c>
      <c r="Q892" s="83" t="str">
        <f t="shared" si="183"/>
        <v/>
      </c>
      <c r="R892" s="84" t="e">
        <f t="shared" si="171"/>
        <v>#REF!</v>
      </c>
      <c r="S892" s="83" t="e">
        <f t="shared" si="171"/>
        <v>#REF!</v>
      </c>
      <c r="T892" s="84" t="e">
        <f t="shared" si="172"/>
        <v>#REF!</v>
      </c>
      <c r="U892" s="84" t="e">
        <f t="shared" si="173"/>
        <v>#REF!</v>
      </c>
      <c r="V892" s="85" t="e">
        <f>#REF!</f>
        <v>#REF!</v>
      </c>
      <c r="W892" s="86">
        <f t="shared" si="174"/>
        <v>0</v>
      </c>
      <c r="X892" s="86">
        <f t="shared" si="174"/>
        <v>0</v>
      </c>
      <c r="Y892" s="87">
        <f t="shared" si="175"/>
        <v>0</v>
      </c>
      <c r="Z892" s="87">
        <f t="shared" si="176"/>
        <v>0</v>
      </c>
      <c r="AA892" s="87">
        <f t="shared" si="177"/>
        <v>4</v>
      </c>
    </row>
    <row r="893" spans="9:27">
      <c r="I893" s="81" t="e">
        <f>IF(#REF!&lt;&gt;"",#REF!,"")</f>
        <v>#REF!</v>
      </c>
      <c r="J893" s="81" t="e">
        <f t="shared" si="178"/>
        <v>#REF!</v>
      </c>
      <c r="L893" s="82" t="e">
        <f t="shared" si="179"/>
        <v>#REF!</v>
      </c>
      <c r="M893" s="81" t="e">
        <f t="shared" si="182"/>
        <v>#REF!</v>
      </c>
      <c r="N893" s="81" t="e">
        <f t="shared" si="180"/>
        <v>#REF!</v>
      </c>
      <c r="O893" s="81" t="e">
        <f t="shared" si="181"/>
        <v>#REF!</v>
      </c>
      <c r="Q893" s="83" t="str">
        <f t="shared" si="183"/>
        <v/>
      </c>
      <c r="R893" s="84" t="e">
        <f t="shared" si="171"/>
        <v>#REF!</v>
      </c>
      <c r="S893" s="83" t="e">
        <f t="shared" si="171"/>
        <v>#REF!</v>
      </c>
      <c r="T893" s="84" t="e">
        <f t="shared" si="172"/>
        <v>#REF!</v>
      </c>
      <c r="U893" s="84" t="e">
        <f t="shared" si="173"/>
        <v>#REF!</v>
      </c>
      <c r="V893" s="85" t="e">
        <f>#REF!</f>
        <v>#REF!</v>
      </c>
      <c r="W893" s="86">
        <f t="shared" si="174"/>
        <v>0</v>
      </c>
      <c r="X893" s="86">
        <f t="shared" si="174"/>
        <v>0</v>
      </c>
      <c r="Y893" s="87">
        <f t="shared" si="175"/>
        <v>0</v>
      </c>
      <c r="Z893" s="87">
        <f t="shared" si="176"/>
        <v>0</v>
      </c>
      <c r="AA893" s="87">
        <f t="shared" si="177"/>
        <v>4</v>
      </c>
    </row>
    <row r="894" spans="9:27">
      <c r="I894" s="81" t="e">
        <f>IF(#REF!&lt;&gt;"",#REF!,"")</f>
        <v>#REF!</v>
      </c>
      <c r="J894" s="81" t="e">
        <f t="shared" si="178"/>
        <v>#REF!</v>
      </c>
      <c r="L894" s="82" t="e">
        <f t="shared" si="179"/>
        <v>#REF!</v>
      </c>
      <c r="M894" s="81" t="e">
        <f t="shared" si="182"/>
        <v>#REF!</v>
      </c>
      <c r="N894" s="81" t="e">
        <f t="shared" si="180"/>
        <v>#REF!</v>
      </c>
      <c r="O894" s="81" t="e">
        <f t="shared" si="181"/>
        <v>#REF!</v>
      </c>
      <c r="Q894" s="83" t="str">
        <f t="shared" si="183"/>
        <v/>
      </c>
      <c r="R894" s="84" t="e">
        <f t="shared" si="171"/>
        <v>#REF!</v>
      </c>
      <c r="S894" s="83" t="e">
        <f t="shared" si="171"/>
        <v>#REF!</v>
      </c>
      <c r="T894" s="84" t="e">
        <f t="shared" si="172"/>
        <v>#REF!</v>
      </c>
      <c r="U894" s="84" t="e">
        <f t="shared" si="173"/>
        <v>#REF!</v>
      </c>
      <c r="V894" s="85" t="e">
        <f>#REF!</f>
        <v>#REF!</v>
      </c>
      <c r="W894" s="86">
        <f t="shared" si="174"/>
        <v>0</v>
      </c>
      <c r="X894" s="86">
        <f t="shared" si="174"/>
        <v>0</v>
      </c>
      <c r="Y894" s="87">
        <f t="shared" si="175"/>
        <v>0</v>
      </c>
      <c r="Z894" s="87">
        <f t="shared" si="176"/>
        <v>0</v>
      </c>
      <c r="AA894" s="87">
        <f t="shared" si="177"/>
        <v>4</v>
      </c>
    </row>
    <row r="895" spans="9:27">
      <c r="I895" s="81" t="e">
        <f>IF(#REF!&lt;&gt;"",#REF!,"")</f>
        <v>#REF!</v>
      </c>
      <c r="J895" s="81" t="e">
        <f t="shared" si="178"/>
        <v>#REF!</v>
      </c>
      <c r="L895" s="82" t="e">
        <f t="shared" si="179"/>
        <v>#REF!</v>
      </c>
      <c r="M895" s="81" t="e">
        <f t="shared" si="182"/>
        <v>#REF!</v>
      </c>
      <c r="N895" s="81" t="e">
        <f t="shared" si="180"/>
        <v>#REF!</v>
      </c>
      <c r="O895" s="81" t="e">
        <f t="shared" si="181"/>
        <v>#REF!</v>
      </c>
      <c r="Q895" s="83" t="str">
        <f t="shared" si="183"/>
        <v/>
      </c>
      <c r="R895" s="84" t="e">
        <f t="shared" si="171"/>
        <v>#REF!</v>
      </c>
      <c r="S895" s="83" t="e">
        <f t="shared" si="171"/>
        <v>#REF!</v>
      </c>
      <c r="T895" s="84" t="e">
        <f t="shared" si="172"/>
        <v>#REF!</v>
      </c>
      <c r="U895" s="84" t="e">
        <f t="shared" si="173"/>
        <v>#REF!</v>
      </c>
      <c r="V895" s="85" t="e">
        <f>#REF!</f>
        <v>#REF!</v>
      </c>
      <c r="W895" s="86">
        <f t="shared" si="174"/>
        <v>0</v>
      </c>
      <c r="X895" s="86">
        <f t="shared" si="174"/>
        <v>0</v>
      </c>
      <c r="Y895" s="87">
        <f t="shared" si="175"/>
        <v>0</v>
      </c>
      <c r="Z895" s="87">
        <f t="shared" si="176"/>
        <v>0</v>
      </c>
      <c r="AA895" s="87">
        <f t="shared" si="177"/>
        <v>4</v>
      </c>
    </row>
    <row r="896" spans="9:27">
      <c r="I896" s="81" t="e">
        <f>IF(#REF!&lt;&gt;"",#REF!,"")</f>
        <v>#REF!</v>
      </c>
      <c r="J896" s="81" t="e">
        <f t="shared" si="178"/>
        <v>#REF!</v>
      </c>
      <c r="L896" s="82" t="e">
        <f t="shared" si="179"/>
        <v>#REF!</v>
      </c>
      <c r="M896" s="81" t="e">
        <f t="shared" si="182"/>
        <v>#REF!</v>
      </c>
      <c r="N896" s="81" t="e">
        <f t="shared" si="180"/>
        <v>#REF!</v>
      </c>
      <c r="O896" s="81" t="e">
        <f t="shared" si="181"/>
        <v>#REF!</v>
      </c>
      <c r="Q896" s="83" t="str">
        <f t="shared" si="183"/>
        <v/>
      </c>
      <c r="R896" s="84" t="e">
        <f t="shared" ref="R896:S959" si="184">IF(L896="","",L896)</f>
        <v>#REF!</v>
      </c>
      <c r="S896" s="83" t="e">
        <f t="shared" si="184"/>
        <v>#REF!</v>
      </c>
      <c r="T896" s="84" t="e">
        <f t="shared" ref="T896:T959" si="185">IF(W896=1,"",N896)</f>
        <v>#REF!</v>
      </c>
      <c r="U896" s="84" t="e">
        <f t="shared" ref="U896:U959" si="186">IF(OR(W896=1,X896=1),"",O896)</f>
        <v>#REF!</v>
      </c>
      <c r="V896" s="85" t="e">
        <f>#REF!</f>
        <v>#REF!</v>
      </c>
      <c r="W896" s="86">
        <f t="shared" si="174"/>
        <v>0</v>
      </c>
      <c r="X896" s="86">
        <f t="shared" si="174"/>
        <v>0</v>
      </c>
      <c r="Y896" s="87">
        <f t="shared" si="175"/>
        <v>0</v>
      </c>
      <c r="Z896" s="87">
        <f t="shared" si="176"/>
        <v>0</v>
      </c>
      <c r="AA896" s="87">
        <f t="shared" si="177"/>
        <v>4</v>
      </c>
    </row>
    <row r="897" spans="9:27">
      <c r="I897" s="81" t="e">
        <f>IF(#REF!&lt;&gt;"",#REF!,"")</f>
        <v>#REF!</v>
      </c>
      <c r="J897" s="81" t="e">
        <f t="shared" si="178"/>
        <v>#REF!</v>
      </c>
      <c r="L897" s="82" t="e">
        <f t="shared" si="179"/>
        <v>#REF!</v>
      </c>
      <c r="M897" s="81" t="e">
        <f t="shared" si="182"/>
        <v>#REF!</v>
      </c>
      <c r="N897" s="81" t="e">
        <f t="shared" si="180"/>
        <v>#REF!</v>
      </c>
      <c r="O897" s="81" t="e">
        <f t="shared" si="181"/>
        <v>#REF!</v>
      </c>
      <c r="Q897" s="83" t="str">
        <f t="shared" si="183"/>
        <v/>
      </c>
      <c r="R897" s="84" t="e">
        <f t="shared" si="184"/>
        <v>#REF!</v>
      </c>
      <c r="S897" s="83" t="e">
        <f t="shared" si="184"/>
        <v>#REF!</v>
      </c>
      <c r="T897" s="84" t="e">
        <f t="shared" si="185"/>
        <v>#REF!</v>
      </c>
      <c r="U897" s="84" t="e">
        <f t="shared" si="186"/>
        <v>#REF!</v>
      </c>
      <c r="V897" s="85" t="e">
        <f>#REF!</f>
        <v>#REF!</v>
      </c>
      <c r="W897" s="86">
        <f t="shared" ref="W897:X960" si="187">COUNTIFS(R897,"&gt;&lt;")</f>
        <v>0</v>
      </c>
      <c r="X897" s="86">
        <f t="shared" si="187"/>
        <v>0</v>
      </c>
      <c r="Y897" s="87">
        <f t="shared" ref="Y897:Y960" si="188">COUNTIFS(R897:U897,"*")</f>
        <v>0</v>
      </c>
      <c r="Z897" s="87">
        <f t="shared" ref="Z897:Z960" si="189">COUNTIFS(R897:U897,"&gt;&lt;")</f>
        <v>0</v>
      </c>
      <c r="AA897" s="87">
        <f t="shared" ref="AA897:AA960" si="190">COUNTIFS(R897:U897,"&lt;&gt;")</f>
        <v>4</v>
      </c>
    </row>
    <row r="898" spans="9:27">
      <c r="I898" s="81" t="e">
        <f>IF(#REF!&lt;&gt;"",#REF!,"")</f>
        <v>#REF!</v>
      </c>
      <c r="J898" s="81" t="e">
        <f t="shared" si="178"/>
        <v>#REF!</v>
      </c>
      <c r="L898" s="82" t="e">
        <f t="shared" si="179"/>
        <v>#REF!</v>
      </c>
      <c r="M898" s="81" t="e">
        <f t="shared" si="182"/>
        <v>#REF!</v>
      </c>
      <c r="N898" s="81" t="e">
        <f t="shared" si="180"/>
        <v>#REF!</v>
      </c>
      <c r="O898" s="81" t="e">
        <f t="shared" si="181"/>
        <v>#REF!</v>
      </c>
      <c r="Q898" s="83" t="str">
        <f t="shared" si="183"/>
        <v/>
      </c>
      <c r="R898" s="84" t="e">
        <f t="shared" si="184"/>
        <v>#REF!</v>
      </c>
      <c r="S898" s="83" t="e">
        <f t="shared" si="184"/>
        <v>#REF!</v>
      </c>
      <c r="T898" s="84" t="e">
        <f t="shared" si="185"/>
        <v>#REF!</v>
      </c>
      <c r="U898" s="84" t="e">
        <f t="shared" si="186"/>
        <v>#REF!</v>
      </c>
      <c r="V898" s="85" t="e">
        <f>#REF!</f>
        <v>#REF!</v>
      </c>
      <c r="W898" s="86">
        <f t="shared" si="187"/>
        <v>0</v>
      </c>
      <c r="X898" s="86">
        <f t="shared" si="187"/>
        <v>0</v>
      </c>
      <c r="Y898" s="87">
        <f t="shared" si="188"/>
        <v>0</v>
      </c>
      <c r="Z898" s="87">
        <f t="shared" si="189"/>
        <v>0</v>
      </c>
      <c r="AA898" s="87">
        <f t="shared" si="190"/>
        <v>4</v>
      </c>
    </row>
    <row r="899" spans="9:27">
      <c r="I899" s="81" t="e">
        <f>IF(#REF!&lt;&gt;"",#REF!,"")</f>
        <v>#REF!</v>
      </c>
      <c r="J899" s="81" t="e">
        <f t="shared" ref="J899:J962" si="191">LEFT(I899,1)</f>
        <v>#REF!</v>
      </c>
      <c r="L899" s="82" t="e">
        <f t="shared" ref="L899:L962" si="192">IF(OR(J899="E",J899="L",J899="M"),"",I899)</f>
        <v>#REF!</v>
      </c>
      <c r="M899" s="81" t="e">
        <f t="shared" si="182"/>
        <v>#REF!</v>
      </c>
      <c r="N899" s="81" t="e">
        <f t="shared" ref="N899:N962" si="193">IF(OR(J899="D",J899="E",J899="L"),"",I899)</f>
        <v>#REF!</v>
      </c>
      <c r="O899" s="81" t="e">
        <f t="shared" ref="O899:O962" si="194">IF(OR(J899="D",J899="E",J899="M"),"",I899)</f>
        <v>#REF!</v>
      </c>
      <c r="Q899" s="83" t="str">
        <f t="shared" si="183"/>
        <v/>
      </c>
      <c r="R899" s="84" t="e">
        <f t="shared" si="184"/>
        <v>#REF!</v>
      </c>
      <c r="S899" s="83" t="e">
        <f t="shared" si="184"/>
        <v>#REF!</v>
      </c>
      <c r="T899" s="84" t="e">
        <f t="shared" si="185"/>
        <v>#REF!</v>
      </c>
      <c r="U899" s="84" t="e">
        <f t="shared" si="186"/>
        <v>#REF!</v>
      </c>
      <c r="V899" s="85" t="e">
        <f>#REF!</f>
        <v>#REF!</v>
      </c>
      <c r="W899" s="86">
        <f t="shared" si="187"/>
        <v>0</v>
      </c>
      <c r="X899" s="86">
        <f t="shared" si="187"/>
        <v>0</v>
      </c>
      <c r="Y899" s="87">
        <f t="shared" si="188"/>
        <v>0</v>
      </c>
      <c r="Z899" s="87">
        <f t="shared" si="189"/>
        <v>0</v>
      </c>
      <c r="AA899" s="87">
        <f t="shared" si="190"/>
        <v>4</v>
      </c>
    </row>
    <row r="900" spans="9:27">
      <c r="I900" s="81" t="e">
        <f>IF(#REF!&lt;&gt;"",#REF!,"")</f>
        <v>#REF!</v>
      </c>
      <c r="J900" s="81" t="e">
        <f t="shared" si="191"/>
        <v>#REF!</v>
      </c>
      <c r="L900" s="82" t="e">
        <f t="shared" si="192"/>
        <v>#REF!</v>
      </c>
      <c r="M900" s="81" t="e">
        <f t="shared" si="182"/>
        <v>#REF!</v>
      </c>
      <c r="N900" s="81" t="e">
        <f t="shared" si="193"/>
        <v>#REF!</v>
      </c>
      <c r="O900" s="81" t="e">
        <f t="shared" si="194"/>
        <v>#REF!</v>
      </c>
      <c r="Q900" s="83" t="str">
        <f t="shared" si="183"/>
        <v/>
      </c>
      <c r="R900" s="84" t="e">
        <f t="shared" si="184"/>
        <v>#REF!</v>
      </c>
      <c r="S900" s="83" t="e">
        <f t="shared" si="184"/>
        <v>#REF!</v>
      </c>
      <c r="T900" s="84" t="e">
        <f t="shared" si="185"/>
        <v>#REF!</v>
      </c>
      <c r="U900" s="84" t="e">
        <f t="shared" si="186"/>
        <v>#REF!</v>
      </c>
      <c r="V900" s="85" t="e">
        <f>#REF!</f>
        <v>#REF!</v>
      </c>
      <c r="W900" s="86">
        <f t="shared" si="187"/>
        <v>0</v>
      </c>
      <c r="X900" s="86">
        <f t="shared" si="187"/>
        <v>0</v>
      </c>
      <c r="Y900" s="87">
        <f t="shared" si="188"/>
        <v>0</v>
      </c>
      <c r="Z900" s="87">
        <f t="shared" si="189"/>
        <v>0</v>
      </c>
      <c r="AA900" s="87">
        <f t="shared" si="190"/>
        <v>4</v>
      </c>
    </row>
    <row r="901" spans="9:27">
      <c r="I901" s="81" t="e">
        <f>IF(#REF!&lt;&gt;"",#REF!,"")</f>
        <v>#REF!</v>
      </c>
      <c r="J901" s="81" t="e">
        <f t="shared" si="191"/>
        <v>#REF!</v>
      </c>
      <c r="L901" s="82" t="e">
        <f t="shared" si="192"/>
        <v>#REF!</v>
      </c>
      <c r="M901" s="81" t="e">
        <f t="shared" si="182"/>
        <v>#REF!</v>
      </c>
      <c r="N901" s="81" t="e">
        <f t="shared" si="193"/>
        <v>#REF!</v>
      </c>
      <c r="O901" s="81" t="e">
        <f t="shared" si="194"/>
        <v>#REF!</v>
      </c>
      <c r="Q901" s="83" t="str">
        <f t="shared" si="183"/>
        <v/>
      </c>
      <c r="R901" s="84" t="e">
        <f t="shared" si="184"/>
        <v>#REF!</v>
      </c>
      <c r="S901" s="83" t="e">
        <f t="shared" si="184"/>
        <v>#REF!</v>
      </c>
      <c r="T901" s="84" t="e">
        <f t="shared" si="185"/>
        <v>#REF!</v>
      </c>
      <c r="U901" s="84" t="e">
        <f t="shared" si="186"/>
        <v>#REF!</v>
      </c>
      <c r="V901" s="85" t="e">
        <f>#REF!</f>
        <v>#REF!</v>
      </c>
      <c r="W901" s="86">
        <f t="shared" si="187"/>
        <v>0</v>
      </c>
      <c r="X901" s="86">
        <f t="shared" si="187"/>
        <v>0</v>
      </c>
      <c r="Y901" s="87">
        <f t="shared" si="188"/>
        <v>0</v>
      </c>
      <c r="Z901" s="87">
        <f t="shared" si="189"/>
        <v>0</v>
      </c>
      <c r="AA901" s="87">
        <f t="shared" si="190"/>
        <v>4</v>
      </c>
    </row>
    <row r="902" spans="9:27">
      <c r="I902" s="81" t="e">
        <f>IF(#REF!&lt;&gt;"",#REF!,"")</f>
        <v>#REF!</v>
      </c>
      <c r="J902" s="81" t="e">
        <f t="shared" si="191"/>
        <v>#REF!</v>
      </c>
      <c r="L902" s="82" t="e">
        <f t="shared" si="192"/>
        <v>#REF!</v>
      </c>
      <c r="M902" s="81" t="e">
        <f t="shared" ref="M902:M965" si="195">IF(OR(J902="D",J902="L",J902="M"),"",I902)</f>
        <v>#REF!</v>
      </c>
      <c r="N902" s="81" t="e">
        <f t="shared" si="193"/>
        <v>#REF!</v>
      </c>
      <c r="O902" s="81" t="e">
        <f t="shared" si="194"/>
        <v>#REF!</v>
      </c>
      <c r="Q902" s="83" t="str">
        <f t="shared" si="183"/>
        <v/>
      </c>
      <c r="R902" s="84" t="e">
        <f t="shared" si="184"/>
        <v>#REF!</v>
      </c>
      <c r="S902" s="83" t="e">
        <f t="shared" si="184"/>
        <v>#REF!</v>
      </c>
      <c r="T902" s="84" t="e">
        <f t="shared" si="185"/>
        <v>#REF!</v>
      </c>
      <c r="U902" s="84" t="e">
        <f t="shared" si="186"/>
        <v>#REF!</v>
      </c>
      <c r="V902" s="85" t="e">
        <f>#REF!</f>
        <v>#REF!</v>
      </c>
      <c r="W902" s="86">
        <f t="shared" si="187"/>
        <v>0</v>
      </c>
      <c r="X902" s="86">
        <f t="shared" si="187"/>
        <v>0</v>
      </c>
      <c r="Y902" s="87">
        <f t="shared" si="188"/>
        <v>0</v>
      </c>
      <c r="Z902" s="87">
        <f t="shared" si="189"/>
        <v>0</v>
      </c>
      <c r="AA902" s="87">
        <f t="shared" si="190"/>
        <v>4</v>
      </c>
    </row>
    <row r="903" spans="9:27">
      <c r="I903" s="81" t="e">
        <f>IF(#REF!&lt;&gt;"",#REF!,"")</f>
        <v>#REF!</v>
      </c>
      <c r="J903" s="81" t="e">
        <f t="shared" si="191"/>
        <v>#REF!</v>
      </c>
      <c r="L903" s="82" t="e">
        <f t="shared" si="192"/>
        <v>#REF!</v>
      </c>
      <c r="M903" s="81" t="e">
        <f t="shared" si="195"/>
        <v>#REF!</v>
      </c>
      <c r="N903" s="81" t="e">
        <f t="shared" si="193"/>
        <v>#REF!</v>
      </c>
      <c r="O903" s="81" t="e">
        <f t="shared" si="194"/>
        <v>#REF!</v>
      </c>
      <c r="Q903" s="83" t="str">
        <f t="shared" si="183"/>
        <v/>
      </c>
      <c r="R903" s="84" t="e">
        <f t="shared" si="184"/>
        <v>#REF!</v>
      </c>
      <c r="S903" s="83" t="e">
        <f t="shared" si="184"/>
        <v>#REF!</v>
      </c>
      <c r="T903" s="84" t="e">
        <f t="shared" si="185"/>
        <v>#REF!</v>
      </c>
      <c r="U903" s="84" t="e">
        <f t="shared" si="186"/>
        <v>#REF!</v>
      </c>
      <c r="V903" s="85" t="e">
        <f>#REF!</f>
        <v>#REF!</v>
      </c>
      <c r="W903" s="86">
        <f t="shared" si="187"/>
        <v>0</v>
      </c>
      <c r="X903" s="86">
        <f t="shared" si="187"/>
        <v>0</v>
      </c>
      <c r="Y903" s="87">
        <f t="shared" si="188"/>
        <v>0</v>
      </c>
      <c r="Z903" s="87">
        <f t="shared" si="189"/>
        <v>0</v>
      </c>
      <c r="AA903" s="87">
        <f t="shared" si="190"/>
        <v>4</v>
      </c>
    </row>
    <row r="904" spans="9:27">
      <c r="I904" s="81" t="e">
        <f>IF(#REF!&lt;&gt;"",#REF!,"")</f>
        <v>#REF!</v>
      </c>
      <c r="J904" s="81" t="e">
        <f t="shared" si="191"/>
        <v>#REF!</v>
      </c>
      <c r="L904" s="82" t="e">
        <f t="shared" si="192"/>
        <v>#REF!</v>
      </c>
      <c r="M904" s="81" t="e">
        <f t="shared" si="195"/>
        <v>#REF!</v>
      </c>
      <c r="N904" s="81" t="e">
        <f t="shared" si="193"/>
        <v>#REF!</v>
      </c>
      <c r="O904" s="81" t="e">
        <f t="shared" si="194"/>
        <v>#REF!</v>
      </c>
      <c r="Q904" s="83" t="str">
        <f t="shared" si="183"/>
        <v/>
      </c>
      <c r="R904" s="84" t="e">
        <f t="shared" si="184"/>
        <v>#REF!</v>
      </c>
      <c r="S904" s="83" t="e">
        <f t="shared" si="184"/>
        <v>#REF!</v>
      </c>
      <c r="T904" s="84" t="e">
        <f t="shared" si="185"/>
        <v>#REF!</v>
      </c>
      <c r="U904" s="84" t="e">
        <f t="shared" si="186"/>
        <v>#REF!</v>
      </c>
      <c r="V904" s="85" t="e">
        <f>#REF!</f>
        <v>#REF!</v>
      </c>
      <c r="W904" s="86">
        <f t="shared" si="187"/>
        <v>0</v>
      </c>
      <c r="X904" s="86">
        <f t="shared" si="187"/>
        <v>0</v>
      </c>
      <c r="Y904" s="87">
        <f t="shared" si="188"/>
        <v>0</v>
      </c>
      <c r="Z904" s="87">
        <f t="shared" si="189"/>
        <v>0</v>
      </c>
      <c r="AA904" s="87">
        <f t="shared" si="190"/>
        <v>4</v>
      </c>
    </row>
    <row r="905" spans="9:27">
      <c r="I905" s="81" t="e">
        <f>IF(#REF!&lt;&gt;"",#REF!,"")</f>
        <v>#REF!</v>
      </c>
      <c r="J905" s="81" t="e">
        <f t="shared" si="191"/>
        <v>#REF!</v>
      </c>
      <c r="L905" s="82" t="e">
        <f t="shared" si="192"/>
        <v>#REF!</v>
      </c>
      <c r="M905" s="81" t="e">
        <f t="shared" si="195"/>
        <v>#REF!</v>
      </c>
      <c r="N905" s="81" t="e">
        <f t="shared" si="193"/>
        <v>#REF!</v>
      </c>
      <c r="O905" s="81" t="e">
        <f t="shared" si="194"/>
        <v>#REF!</v>
      </c>
      <c r="Q905" s="83" t="str">
        <f t="shared" si="183"/>
        <v/>
      </c>
      <c r="R905" s="84" t="e">
        <f t="shared" si="184"/>
        <v>#REF!</v>
      </c>
      <c r="S905" s="83" t="e">
        <f t="shared" si="184"/>
        <v>#REF!</v>
      </c>
      <c r="T905" s="84" t="e">
        <f t="shared" si="185"/>
        <v>#REF!</v>
      </c>
      <c r="U905" s="84" t="e">
        <f t="shared" si="186"/>
        <v>#REF!</v>
      </c>
      <c r="V905" s="85" t="e">
        <f>#REF!</f>
        <v>#REF!</v>
      </c>
      <c r="W905" s="86">
        <f t="shared" si="187"/>
        <v>0</v>
      </c>
      <c r="X905" s="86">
        <f t="shared" si="187"/>
        <v>0</v>
      </c>
      <c r="Y905" s="87">
        <f t="shared" si="188"/>
        <v>0</v>
      </c>
      <c r="Z905" s="87">
        <f t="shared" si="189"/>
        <v>0</v>
      </c>
      <c r="AA905" s="87">
        <f t="shared" si="190"/>
        <v>4</v>
      </c>
    </row>
    <row r="906" spans="9:27">
      <c r="I906" s="81" t="e">
        <f>IF(#REF!&lt;&gt;"",#REF!,"")</f>
        <v>#REF!</v>
      </c>
      <c r="J906" s="81" t="e">
        <f t="shared" si="191"/>
        <v>#REF!</v>
      </c>
      <c r="L906" s="82" t="e">
        <f t="shared" si="192"/>
        <v>#REF!</v>
      </c>
      <c r="M906" s="81" t="e">
        <f t="shared" si="195"/>
        <v>#REF!</v>
      </c>
      <c r="N906" s="81" t="e">
        <f t="shared" si="193"/>
        <v>#REF!</v>
      </c>
      <c r="O906" s="81" t="e">
        <f t="shared" si="194"/>
        <v>#REF!</v>
      </c>
      <c r="Q906" s="83" t="str">
        <f t="shared" si="183"/>
        <v/>
      </c>
      <c r="R906" s="84" t="e">
        <f t="shared" si="184"/>
        <v>#REF!</v>
      </c>
      <c r="S906" s="83" t="e">
        <f t="shared" si="184"/>
        <v>#REF!</v>
      </c>
      <c r="T906" s="84" t="e">
        <f t="shared" si="185"/>
        <v>#REF!</v>
      </c>
      <c r="U906" s="84" t="e">
        <f t="shared" si="186"/>
        <v>#REF!</v>
      </c>
      <c r="V906" s="85" t="e">
        <f>#REF!</f>
        <v>#REF!</v>
      </c>
      <c r="W906" s="86">
        <f t="shared" si="187"/>
        <v>0</v>
      </c>
      <c r="X906" s="86">
        <f t="shared" si="187"/>
        <v>0</v>
      </c>
      <c r="Y906" s="87">
        <f t="shared" si="188"/>
        <v>0</v>
      </c>
      <c r="Z906" s="87">
        <f t="shared" si="189"/>
        <v>0</v>
      </c>
      <c r="AA906" s="87">
        <f t="shared" si="190"/>
        <v>4</v>
      </c>
    </row>
    <row r="907" spans="9:27">
      <c r="I907" s="81" t="e">
        <f>IF(#REF!&lt;&gt;"",#REF!,"")</f>
        <v>#REF!</v>
      </c>
      <c r="J907" s="81" t="e">
        <f t="shared" si="191"/>
        <v>#REF!</v>
      </c>
      <c r="L907" s="82" t="e">
        <f t="shared" si="192"/>
        <v>#REF!</v>
      </c>
      <c r="M907" s="81" t="e">
        <f t="shared" si="195"/>
        <v>#REF!</v>
      </c>
      <c r="N907" s="81" t="e">
        <f t="shared" si="193"/>
        <v>#REF!</v>
      </c>
      <c r="O907" s="81" t="e">
        <f t="shared" si="194"/>
        <v>#REF!</v>
      </c>
      <c r="Q907" s="83" t="str">
        <f t="shared" si="183"/>
        <v/>
      </c>
      <c r="R907" s="84" t="e">
        <f t="shared" si="184"/>
        <v>#REF!</v>
      </c>
      <c r="S907" s="83" t="e">
        <f t="shared" si="184"/>
        <v>#REF!</v>
      </c>
      <c r="T907" s="84" t="e">
        <f t="shared" si="185"/>
        <v>#REF!</v>
      </c>
      <c r="U907" s="84" t="e">
        <f t="shared" si="186"/>
        <v>#REF!</v>
      </c>
      <c r="V907" s="85" t="e">
        <f>#REF!</f>
        <v>#REF!</v>
      </c>
      <c r="W907" s="86">
        <f t="shared" si="187"/>
        <v>0</v>
      </c>
      <c r="X907" s="86">
        <f t="shared" si="187"/>
        <v>0</v>
      </c>
      <c r="Y907" s="87">
        <f t="shared" si="188"/>
        <v>0</v>
      </c>
      <c r="Z907" s="87">
        <f t="shared" si="189"/>
        <v>0</v>
      </c>
      <c r="AA907" s="87">
        <f t="shared" si="190"/>
        <v>4</v>
      </c>
    </row>
    <row r="908" spans="9:27">
      <c r="I908" s="81" t="e">
        <f>IF(#REF!&lt;&gt;"",#REF!,"")</f>
        <v>#REF!</v>
      </c>
      <c r="J908" s="81" t="e">
        <f t="shared" si="191"/>
        <v>#REF!</v>
      </c>
      <c r="L908" s="82" t="e">
        <f t="shared" si="192"/>
        <v>#REF!</v>
      </c>
      <c r="M908" s="81" t="e">
        <f t="shared" si="195"/>
        <v>#REF!</v>
      </c>
      <c r="N908" s="81" t="e">
        <f t="shared" si="193"/>
        <v>#REF!</v>
      </c>
      <c r="O908" s="81" t="e">
        <f t="shared" si="194"/>
        <v>#REF!</v>
      </c>
      <c r="Q908" s="83" t="str">
        <f t="shared" si="183"/>
        <v/>
      </c>
      <c r="R908" s="84" t="e">
        <f t="shared" si="184"/>
        <v>#REF!</v>
      </c>
      <c r="S908" s="83" t="e">
        <f t="shared" si="184"/>
        <v>#REF!</v>
      </c>
      <c r="T908" s="84" t="e">
        <f t="shared" si="185"/>
        <v>#REF!</v>
      </c>
      <c r="U908" s="84" t="e">
        <f t="shared" si="186"/>
        <v>#REF!</v>
      </c>
      <c r="V908" s="85" t="e">
        <f>#REF!</f>
        <v>#REF!</v>
      </c>
      <c r="W908" s="86">
        <f t="shared" si="187"/>
        <v>0</v>
      </c>
      <c r="X908" s="86">
        <f t="shared" si="187"/>
        <v>0</v>
      </c>
      <c r="Y908" s="87">
        <f t="shared" si="188"/>
        <v>0</v>
      </c>
      <c r="Z908" s="87">
        <f t="shared" si="189"/>
        <v>0</v>
      </c>
      <c r="AA908" s="87">
        <f t="shared" si="190"/>
        <v>4</v>
      </c>
    </row>
    <row r="909" spans="9:27">
      <c r="I909" s="81" t="e">
        <f>IF(#REF!&lt;&gt;"",#REF!,"")</f>
        <v>#REF!</v>
      </c>
      <c r="J909" s="81" t="e">
        <f t="shared" si="191"/>
        <v>#REF!</v>
      </c>
      <c r="L909" s="82" t="e">
        <f t="shared" si="192"/>
        <v>#REF!</v>
      </c>
      <c r="M909" s="81" t="e">
        <f t="shared" si="195"/>
        <v>#REF!</v>
      </c>
      <c r="N909" s="81" t="e">
        <f t="shared" si="193"/>
        <v>#REF!</v>
      </c>
      <c r="O909" s="81" t="e">
        <f t="shared" si="194"/>
        <v>#REF!</v>
      </c>
      <c r="Q909" s="83" t="str">
        <f t="shared" si="183"/>
        <v/>
      </c>
      <c r="R909" s="84" t="e">
        <f t="shared" si="184"/>
        <v>#REF!</v>
      </c>
      <c r="S909" s="83" t="e">
        <f t="shared" si="184"/>
        <v>#REF!</v>
      </c>
      <c r="T909" s="84" t="e">
        <f t="shared" si="185"/>
        <v>#REF!</v>
      </c>
      <c r="U909" s="84" t="e">
        <f t="shared" si="186"/>
        <v>#REF!</v>
      </c>
      <c r="V909" s="85" t="e">
        <f>#REF!</f>
        <v>#REF!</v>
      </c>
      <c r="W909" s="86">
        <f t="shared" si="187"/>
        <v>0</v>
      </c>
      <c r="X909" s="86">
        <f t="shared" si="187"/>
        <v>0</v>
      </c>
      <c r="Y909" s="87">
        <f t="shared" si="188"/>
        <v>0</v>
      </c>
      <c r="Z909" s="87">
        <f t="shared" si="189"/>
        <v>0</v>
      </c>
      <c r="AA909" s="87">
        <f t="shared" si="190"/>
        <v>4</v>
      </c>
    </row>
    <row r="910" spans="9:27">
      <c r="I910" s="81" t="e">
        <f>IF(#REF!&lt;&gt;"",#REF!,"")</f>
        <v>#REF!</v>
      </c>
      <c r="J910" s="81" t="e">
        <f t="shared" si="191"/>
        <v>#REF!</v>
      </c>
      <c r="L910" s="82" t="e">
        <f t="shared" si="192"/>
        <v>#REF!</v>
      </c>
      <c r="M910" s="81" t="e">
        <f t="shared" si="195"/>
        <v>#REF!</v>
      </c>
      <c r="N910" s="81" t="e">
        <f t="shared" si="193"/>
        <v>#REF!</v>
      </c>
      <c r="O910" s="81" t="e">
        <f t="shared" si="194"/>
        <v>#REF!</v>
      </c>
      <c r="Q910" s="83" t="str">
        <f t="shared" si="183"/>
        <v/>
      </c>
      <c r="R910" s="84" t="e">
        <f t="shared" si="184"/>
        <v>#REF!</v>
      </c>
      <c r="S910" s="83" t="e">
        <f t="shared" si="184"/>
        <v>#REF!</v>
      </c>
      <c r="T910" s="84" t="e">
        <f t="shared" si="185"/>
        <v>#REF!</v>
      </c>
      <c r="U910" s="84" t="e">
        <f t="shared" si="186"/>
        <v>#REF!</v>
      </c>
      <c r="V910" s="85" t="e">
        <f>#REF!</f>
        <v>#REF!</v>
      </c>
      <c r="W910" s="86">
        <f t="shared" si="187"/>
        <v>0</v>
      </c>
      <c r="X910" s="86">
        <f t="shared" si="187"/>
        <v>0</v>
      </c>
      <c r="Y910" s="87">
        <f t="shared" si="188"/>
        <v>0</v>
      </c>
      <c r="Z910" s="87">
        <f t="shared" si="189"/>
        <v>0</v>
      </c>
      <c r="AA910" s="87">
        <f t="shared" si="190"/>
        <v>4</v>
      </c>
    </row>
    <row r="911" spans="9:27">
      <c r="I911" s="81" t="e">
        <f>IF(#REF!&lt;&gt;"",#REF!,"")</f>
        <v>#REF!</v>
      </c>
      <c r="J911" s="81" t="e">
        <f t="shared" si="191"/>
        <v>#REF!</v>
      </c>
      <c r="L911" s="82" t="e">
        <f t="shared" si="192"/>
        <v>#REF!</v>
      </c>
      <c r="M911" s="81" t="e">
        <f t="shared" si="195"/>
        <v>#REF!</v>
      </c>
      <c r="N911" s="81" t="e">
        <f t="shared" si="193"/>
        <v>#REF!</v>
      </c>
      <c r="O911" s="81" t="e">
        <f t="shared" si="194"/>
        <v>#REF!</v>
      </c>
      <c r="Q911" s="83" t="str">
        <f t="shared" si="183"/>
        <v/>
      </c>
      <c r="R911" s="84" t="e">
        <f t="shared" si="184"/>
        <v>#REF!</v>
      </c>
      <c r="S911" s="83" t="e">
        <f t="shared" si="184"/>
        <v>#REF!</v>
      </c>
      <c r="T911" s="84" t="e">
        <f t="shared" si="185"/>
        <v>#REF!</v>
      </c>
      <c r="U911" s="84" t="e">
        <f t="shared" si="186"/>
        <v>#REF!</v>
      </c>
      <c r="V911" s="85" t="e">
        <f>#REF!</f>
        <v>#REF!</v>
      </c>
      <c r="W911" s="86">
        <f t="shared" si="187"/>
        <v>0</v>
      </c>
      <c r="X911" s="86">
        <f t="shared" si="187"/>
        <v>0</v>
      </c>
      <c r="Y911" s="87">
        <f t="shared" si="188"/>
        <v>0</v>
      </c>
      <c r="Z911" s="87">
        <f t="shared" si="189"/>
        <v>0</v>
      </c>
      <c r="AA911" s="87">
        <f t="shared" si="190"/>
        <v>4</v>
      </c>
    </row>
    <row r="912" spans="9:27">
      <c r="I912" s="81" t="e">
        <f>IF(#REF!&lt;&gt;"",#REF!,"")</f>
        <v>#REF!</v>
      </c>
      <c r="J912" s="81" t="e">
        <f t="shared" si="191"/>
        <v>#REF!</v>
      </c>
      <c r="L912" s="82" t="e">
        <f t="shared" si="192"/>
        <v>#REF!</v>
      </c>
      <c r="M912" s="81" t="e">
        <f t="shared" si="195"/>
        <v>#REF!</v>
      </c>
      <c r="N912" s="81" t="e">
        <f t="shared" si="193"/>
        <v>#REF!</v>
      </c>
      <c r="O912" s="81" t="e">
        <f t="shared" si="194"/>
        <v>#REF!</v>
      </c>
      <c r="Q912" s="83" t="str">
        <f t="shared" si="183"/>
        <v/>
      </c>
      <c r="R912" s="84" t="e">
        <f t="shared" si="184"/>
        <v>#REF!</v>
      </c>
      <c r="S912" s="83" t="e">
        <f t="shared" si="184"/>
        <v>#REF!</v>
      </c>
      <c r="T912" s="84" t="e">
        <f t="shared" si="185"/>
        <v>#REF!</v>
      </c>
      <c r="U912" s="84" t="e">
        <f t="shared" si="186"/>
        <v>#REF!</v>
      </c>
      <c r="V912" s="85" t="e">
        <f>#REF!</f>
        <v>#REF!</v>
      </c>
      <c r="W912" s="86">
        <f t="shared" si="187"/>
        <v>0</v>
      </c>
      <c r="X912" s="86">
        <f t="shared" si="187"/>
        <v>0</v>
      </c>
      <c r="Y912" s="87">
        <f t="shared" si="188"/>
        <v>0</v>
      </c>
      <c r="Z912" s="87">
        <f t="shared" si="189"/>
        <v>0</v>
      </c>
      <c r="AA912" s="87">
        <f t="shared" si="190"/>
        <v>4</v>
      </c>
    </row>
    <row r="913" spans="9:27">
      <c r="I913" s="81" t="e">
        <f>IF(#REF!&lt;&gt;"",#REF!,"")</f>
        <v>#REF!</v>
      </c>
      <c r="J913" s="81" t="e">
        <f t="shared" si="191"/>
        <v>#REF!</v>
      </c>
      <c r="L913" s="82" t="e">
        <f t="shared" si="192"/>
        <v>#REF!</v>
      </c>
      <c r="M913" s="81" t="e">
        <f t="shared" si="195"/>
        <v>#REF!</v>
      </c>
      <c r="N913" s="81" t="e">
        <f t="shared" si="193"/>
        <v>#REF!</v>
      </c>
      <c r="O913" s="81" t="e">
        <f t="shared" si="194"/>
        <v>#REF!</v>
      </c>
      <c r="Q913" s="83" t="str">
        <f t="shared" si="183"/>
        <v/>
      </c>
      <c r="R913" s="84" t="e">
        <f t="shared" si="184"/>
        <v>#REF!</v>
      </c>
      <c r="S913" s="83" t="e">
        <f t="shared" si="184"/>
        <v>#REF!</v>
      </c>
      <c r="T913" s="84" t="e">
        <f t="shared" si="185"/>
        <v>#REF!</v>
      </c>
      <c r="U913" s="84" t="e">
        <f t="shared" si="186"/>
        <v>#REF!</v>
      </c>
      <c r="V913" s="85" t="e">
        <f>#REF!</f>
        <v>#REF!</v>
      </c>
      <c r="W913" s="86">
        <f t="shared" si="187"/>
        <v>0</v>
      </c>
      <c r="X913" s="86">
        <f t="shared" si="187"/>
        <v>0</v>
      </c>
      <c r="Y913" s="87">
        <f t="shared" si="188"/>
        <v>0</v>
      </c>
      <c r="Z913" s="87">
        <f t="shared" si="189"/>
        <v>0</v>
      </c>
      <c r="AA913" s="87">
        <f t="shared" si="190"/>
        <v>4</v>
      </c>
    </row>
    <row r="914" spans="9:27">
      <c r="I914" s="81" t="e">
        <f>IF(#REF!&lt;&gt;"",#REF!,"")</f>
        <v>#REF!</v>
      </c>
      <c r="J914" s="81" t="e">
        <f t="shared" si="191"/>
        <v>#REF!</v>
      </c>
      <c r="L914" s="82" t="e">
        <f t="shared" si="192"/>
        <v>#REF!</v>
      </c>
      <c r="M914" s="81" t="e">
        <f t="shared" si="195"/>
        <v>#REF!</v>
      </c>
      <c r="N914" s="81" t="e">
        <f t="shared" si="193"/>
        <v>#REF!</v>
      </c>
      <c r="O914" s="81" t="e">
        <f t="shared" si="194"/>
        <v>#REF!</v>
      </c>
      <c r="Q914" s="83" t="str">
        <f t="shared" si="183"/>
        <v/>
      </c>
      <c r="R914" s="84" t="e">
        <f t="shared" si="184"/>
        <v>#REF!</v>
      </c>
      <c r="S914" s="83" t="e">
        <f t="shared" si="184"/>
        <v>#REF!</v>
      </c>
      <c r="T914" s="84" t="e">
        <f t="shared" si="185"/>
        <v>#REF!</v>
      </c>
      <c r="U914" s="84" t="e">
        <f t="shared" si="186"/>
        <v>#REF!</v>
      </c>
      <c r="V914" s="85" t="e">
        <f>#REF!</f>
        <v>#REF!</v>
      </c>
      <c r="W914" s="86">
        <f t="shared" si="187"/>
        <v>0</v>
      </c>
      <c r="X914" s="86">
        <f t="shared" si="187"/>
        <v>0</v>
      </c>
      <c r="Y914" s="87">
        <f t="shared" si="188"/>
        <v>0</v>
      </c>
      <c r="Z914" s="87">
        <f t="shared" si="189"/>
        <v>0</v>
      </c>
      <c r="AA914" s="87">
        <f t="shared" si="190"/>
        <v>4</v>
      </c>
    </row>
    <row r="915" spans="9:27">
      <c r="I915" s="81" t="e">
        <f>IF(#REF!&lt;&gt;"",#REF!,"")</f>
        <v>#REF!</v>
      </c>
      <c r="J915" s="81" t="e">
        <f t="shared" si="191"/>
        <v>#REF!</v>
      </c>
      <c r="L915" s="82" t="e">
        <f t="shared" si="192"/>
        <v>#REF!</v>
      </c>
      <c r="M915" s="81" t="e">
        <f t="shared" si="195"/>
        <v>#REF!</v>
      </c>
      <c r="N915" s="81" t="e">
        <f t="shared" si="193"/>
        <v>#REF!</v>
      </c>
      <c r="O915" s="81" t="e">
        <f t="shared" si="194"/>
        <v>#REF!</v>
      </c>
      <c r="Q915" s="83" t="str">
        <f t="shared" si="183"/>
        <v/>
      </c>
      <c r="R915" s="84" t="e">
        <f t="shared" si="184"/>
        <v>#REF!</v>
      </c>
      <c r="S915" s="83" t="e">
        <f t="shared" si="184"/>
        <v>#REF!</v>
      </c>
      <c r="T915" s="84" t="e">
        <f t="shared" si="185"/>
        <v>#REF!</v>
      </c>
      <c r="U915" s="84" t="e">
        <f t="shared" si="186"/>
        <v>#REF!</v>
      </c>
      <c r="V915" s="85" t="e">
        <f>#REF!</f>
        <v>#REF!</v>
      </c>
      <c r="W915" s="86">
        <f t="shared" si="187"/>
        <v>0</v>
      </c>
      <c r="X915" s="86">
        <f t="shared" si="187"/>
        <v>0</v>
      </c>
      <c r="Y915" s="87">
        <f t="shared" si="188"/>
        <v>0</v>
      </c>
      <c r="Z915" s="87">
        <f t="shared" si="189"/>
        <v>0</v>
      </c>
      <c r="AA915" s="87">
        <f t="shared" si="190"/>
        <v>4</v>
      </c>
    </row>
    <row r="916" spans="9:27">
      <c r="I916" s="81" t="e">
        <f>IF(#REF!&lt;&gt;"",#REF!,"")</f>
        <v>#REF!</v>
      </c>
      <c r="J916" s="81" t="e">
        <f t="shared" si="191"/>
        <v>#REF!</v>
      </c>
      <c r="L916" s="82" t="e">
        <f t="shared" si="192"/>
        <v>#REF!</v>
      </c>
      <c r="M916" s="81" t="e">
        <f t="shared" si="195"/>
        <v>#REF!</v>
      </c>
      <c r="N916" s="81" t="e">
        <f t="shared" si="193"/>
        <v>#REF!</v>
      </c>
      <c r="O916" s="81" t="e">
        <f t="shared" si="194"/>
        <v>#REF!</v>
      </c>
      <c r="Q916" s="83" t="str">
        <f t="shared" si="183"/>
        <v/>
      </c>
      <c r="R916" s="84" t="e">
        <f t="shared" si="184"/>
        <v>#REF!</v>
      </c>
      <c r="S916" s="83" t="e">
        <f t="shared" si="184"/>
        <v>#REF!</v>
      </c>
      <c r="T916" s="84" t="e">
        <f t="shared" si="185"/>
        <v>#REF!</v>
      </c>
      <c r="U916" s="84" t="e">
        <f t="shared" si="186"/>
        <v>#REF!</v>
      </c>
      <c r="V916" s="85" t="e">
        <f>#REF!</f>
        <v>#REF!</v>
      </c>
      <c r="W916" s="86">
        <f t="shared" si="187"/>
        <v>0</v>
      </c>
      <c r="X916" s="86">
        <f t="shared" si="187"/>
        <v>0</v>
      </c>
      <c r="Y916" s="87">
        <f t="shared" si="188"/>
        <v>0</v>
      </c>
      <c r="Z916" s="87">
        <f t="shared" si="189"/>
        <v>0</v>
      </c>
      <c r="AA916" s="87">
        <f t="shared" si="190"/>
        <v>4</v>
      </c>
    </row>
    <row r="917" spans="9:27">
      <c r="I917" s="81" t="e">
        <f>IF(#REF!&lt;&gt;"",#REF!,"")</f>
        <v>#REF!</v>
      </c>
      <c r="J917" s="81" t="e">
        <f t="shared" si="191"/>
        <v>#REF!</v>
      </c>
      <c r="L917" s="82" t="e">
        <f t="shared" si="192"/>
        <v>#REF!</v>
      </c>
      <c r="M917" s="81" t="e">
        <f t="shared" si="195"/>
        <v>#REF!</v>
      </c>
      <c r="N917" s="81" t="e">
        <f t="shared" si="193"/>
        <v>#REF!</v>
      </c>
      <c r="O917" s="81" t="e">
        <f t="shared" si="194"/>
        <v>#REF!</v>
      </c>
      <c r="Q917" s="83" t="str">
        <f t="shared" si="183"/>
        <v/>
      </c>
      <c r="R917" s="84" t="e">
        <f t="shared" si="184"/>
        <v>#REF!</v>
      </c>
      <c r="S917" s="83" t="e">
        <f t="shared" si="184"/>
        <v>#REF!</v>
      </c>
      <c r="T917" s="84" t="e">
        <f t="shared" si="185"/>
        <v>#REF!</v>
      </c>
      <c r="U917" s="84" t="e">
        <f t="shared" si="186"/>
        <v>#REF!</v>
      </c>
      <c r="V917" s="85" t="e">
        <f>#REF!</f>
        <v>#REF!</v>
      </c>
      <c r="W917" s="86">
        <f t="shared" si="187"/>
        <v>0</v>
      </c>
      <c r="X917" s="86">
        <f t="shared" si="187"/>
        <v>0</v>
      </c>
      <c r="Y917" s="87">
        <f t="shared" si="188"/>
        <v>0</v>
      </c>
      <c r="Z917" s="87">
        <f t="shared" si="189"/>
        <v>0</v>
      </c>
      <c r="AA917" s="87">
        <f t="shared" si="190"/>
        <v>4</v>
      </c>
    </row>
    <row r="918" spans="9:27">
      <c r="I918" s="81" t="e">
        <f>IF(#REF!&lt;&gt;"",#REF!,"")</f>
        <v>#REF!</v>
      </c>
      <c r="J918" s="81" t="e">
        <f t="shared" si="191"/>
        <v>#REF!</v>
      </c>
      <c r="L918" s="82" t="e">
        <f t="shared" si="192"/>
        <v>#REF!</v>
      </c>
      <c r="M918" s="81" t="e">
        <f t="shared" si="195"/>
        <v>#REF!</v>
      </c>
      <c r="N918" s="81" t="e">
        <f t="shared" si="193"/>
        <v>#REF!</v>
      </c>
      <c r="O918" s="81" t="e">
        <f t="shared" si="194"/>
        <v>#REF!</v>
      </c>
      <c r="Q918" s="83" t="str">
        <f t="shared" si="183"/>
        <v/>
      </c>
      <c r="R918" s="84" t="e">
        <f t="shared" si="184"/>
        <v>#REF!</v>
      </c>
      <c r="S918" s="83" t="e">
        <f t="shared" si="184"/>
        <v>#REF!</v>
      </c>
      <c r="T918" s="84" t="e">
        <f t="shared" si="185"/>
        <v>#REF!</v>
      </c>
      <c r="U918" s="84" t="e">
        <f t="shared" si="186"/>
        <v>#REF!</v>
      </c>
      <c r="V918" s="85" t="e">
        <f>#REF!</f>
        <v>#REF!</v>
      </c>
      <c r="W918" s="86">
        <f t="shared" si="187"/>
        <v>0</v>
      </c>
      <c r="X918" s="86">
        <f t="shared" si="187"/>
        <v>0</v>
      </c>
      <c r="Y918" s="87">
        <f t="shared" si="188"/>
        <v>0</v>
      </c>
      <c r="Z918" s="87">
        <f t="shared" si="189"/>
        <v>0</v>
      </c>
      <c r="AA918" s="87">
        <f t="shared" si="190"/>
        <v>4</v>
      </c>
    </row>
    <row r="919" spans="9:27">
      <c r="I919" s="81" t="e">
        <f>IF(#REF!&lt;&gt;"",#REF!,"")</f>
        <v>#REF!</v>
      </c>
      <c r="J919" s="81" t="e">
        <f t="shared" si="191"/>
        <v>#REF!</v>
      </c>
      <c r="L919" s="82" t="e">
        <f t="shared" si="192"/>
        <v>#REF!</v>
      </c>
      <c r="M919" s="81" t="e">
        <f t="shared" si="195"/>
        <v>#REF!</v>
      </c>
      <c r="N919" s="81" t="e">
        <f t="shared" si="193"/>
        <v>#REF!</v>
      </c>
      <c r="O919" s="81" t="e">
        <f t="shared" si="194"/>
        <v>#REF!</v>
      </c>
      <c r="Q919" s="83" t="str">
        <f t="shared" ref="Q919:Q982" si="196">IF(Z919=0,"",IF(Z919=1,R919&amp;S919,"E99999"))</f>
        <v/>
      </c>
      <c r="R919" s="84" t="e">
        <f t="shared" si="184"/>
        <v>#REF!</v>
      </c>
      <c r="S919" s="83" t="e">
        <f t="shared" si="184"/>
        <v>#REF!</v>
      </c>
      <c r="T919" s="84" t="e">
        <f t="shared" si="185"/>
        <v>#REF!</v>
      </c>
      <c r="U919" s="84" t="e">
        <f t="shared" si="186"/>
        <v>#REF!</v>
      </c>
      <c r="V919" s="85" t="e">
        <f>#REF!</f>
        <v>#REF!</v>
      </c>
      <c r="W919" s="86">
        <f t="shared" si="187"/>
        <v>0</v>
      </c>
      <c r="X919" s="86">
        <f t="shared" si="187"/>
        <v>0</v>
      </c>
      <c r="Y919" s="87">
        <f t="shared" si="188"/>
        <v>0</v>
      </c>
      <c r="Z919" s="87">
        <f t="shared" si="189"/>
        <v>0</v>
      </c>
      <c r="AA919" s="87">
        <f t="shared" si="190"/>
        <v>4</v>
      </c>
    </row>
    <row r="920" spans="9:27">
      <c r="I920" s="81" t="e">
        <f>IF(#REF!&lt;&gt;"",#REF!,"")</f>
        <v>#REF!</v>
      </c>
      <c r="J920" s="81" t="e">
        <f t="shared" si="191"/>
        <v>#REF!</v>
      </c>
      <c r="L920" s="82" t="e">
        <f t="shared" si="192"/>
        <v>#REF!</v>
      </c>
      <c r="M920" s="81" t="e">
        <f t="shared" si="195"/>
        <v>#REF!</v>
      </c>
      <c r="N920" s="81" t="e">
        <f t="shared" si="193"/>
        <v>#REF!</v>
      </c>
      <c r="O920" s="81" t="e">
        <f t="shared" si="194"/>
        <v>#REF!</v>
      </c>
      <c r="Q920" s="83" t="str">
        <f t="shared" si="196"/>
        <v/>
      </c>
      <c r="R920" s="84" t="e">
        <f t="shared" si="184"/>
        <v>#REF!</v>
      </c>
      <c r="S920" s="83" t="e">
        <f t="shared" si="184"/>
        <v>#REF!</v>
      </c>
      <c r="T920" s="84" t="e">
        <f t="shared" si="185"/>
        <v>#REF!</v>
      </c>
      <c r="U920" s="84" t="e">
        <f t="shared" si="186"/>
        <v>#REF!</v>
      </c>
      <c r="V920" s="85" t="e">
        <f>#REF!</f>
        <v>#REF!</v>
      </c>
      <c r="W920" s="86">
        <f t="shared" si="187"/>
        <v>0</v>
      </c>
      <c r="X920" s="86">
        <f t="shared" si="187"/>
        <v>0</v>
      </c>
      <c r="Y920" s="87">
        <f t="shared" si="188"/>
        <v>0</v>
      </c>
      <c r="Z920" s="87">
        <f t="shared" si="189"/>
        <v>0</v>
      </c>
      <c r="AA920" s="87">
        <f t="shared" si="190"/>
        <v>4</v>
      </c>
    </row>
    <row r="921" spans="9:27">
      <c r="I921" s="81" t="e">
        <f>IF(#REF!&lt;&gt;"",#REF!,"")</f>
        <v>#REF!</v>
      </c>
      <c r="J921" s="81" t="e">
        <f t="shared" si="191"/>
        <v>#REF!</v>
      </c>
      <c r="L921" s="82" t="e">
        <f t="shared" si="192"/>
        <v>#REF!</v>
      </c>
      <c r="M921" s="81" t="e">
        <f t="shared" si="195"/>
        <v>#REF!</v>
      </c>
      <c r="N921" s="81" t="e">
        <f t="shared" si="193"/>
        <v>#REF!</v>
      </c>
      <c r="O921" s="81" t="e">
        <f t="shared" si="194"/>
        <v>#REF!</v>
      </c>
      <c r="Q921" s="83" t="str">
        <f t="shared" si="196"/>
        <v/>
      </c>
      <c r="R921" s="84" t="e">
        <f t="shared" si="184"/>
        <v>#REF!</v>
      </c>
      <c r="S921" s="83" t="e">
        <f t="shared" si="184"/>
        <v>#REF!</v>
      </c>
      <c r="T921" s="84" t="e">
        <f t="shared" si="185"/>
        <v>#REF!</v>
      </c>
      <c r="U921" s="84" t="e">
        <f t="shared" si="186"/>
        <v>#REF!</v>
      </c>
      <c r="V921" s="85" t="e">
        <f>#REF!</f>
        <v>#REF!</v>
      </c>
      <c r="W921" s="86">
        <f t="shared" si="187"/>
        <v>0</v>
      </c>
      <c r="X921" s="86">
        <f t="shared" si="187"/>
        <v>0</v>
      </c>
      <c r="Y921" s="87">
        <f t="shared" si="188"/>
        <v>0</v>
      </c>
      <c r="Z921" s="87">
        <f t="shared" si="189"/>
        <v>0</v>
      </c>
      <c r="AA921" s="87">
        <f t="shared" si="190"/>
        <v>4</v>
      </c>
    </row>
    <row r="922" spans="9:27">
      <c r="I922" s="81" t="e">
        <f>IF(#REF!&lt;&gt;"",#REF!,"")</f>
        <v>#REF!</v>
      </c>
      <c r="J922" s="81" t="e">
        <f t="shared" si="191"/>
        <v>#REF!</v>
      </c>
      <c r="L922" s="82" t="e">
        <f t="shared" si="192"/>
        <v>#REF!</v>
      </c>
      <c r="M922" s="81" t="e">
        <f t="shared" si="195"/>
        <v>#REF!</v>
      </c>
      <c r="N922" s="81" t="e">
        <f t="shared" si="193"/>
        <v>#REF!</v>
      </c>
      <c r="O922" s="81" t="e">
        <f t="shared" si="194"/>
        <v>#REF!</v>
      </c>
      <c r="Q922" s="83" t="str">
        <f t="shared" si="196"/>
        <v/>
      </c>
      <c r="R922" s="84" t="e">
        <f t="shared" si="184"/>
        <v>#REF!</v>
      </c>
      <c r="S922" s="83" t="e">
        <f t="shared" si="184"/>
        <v>#REF!</v>
      </c>
      <c r="T922" s="84" t="e">
        <f t="shared" si="185"/>
        <v>#REF!</v>
      </c>
      <c r="U922" s="84" t="e">
        <f t="shared" si="186"/>
        <v>#REF!</v>
      </c>
      <c r="V922" s="85" t="e">
        <f>#REF!</f>
        <v>#REF!</v>
      </c>
      <c r="W922" s="86">
        <f t="shared" si="187"/>
        <v>0</v>
      </c>
      <c r="X922" s="86">
        <f t="shared" si="187"/>
        <v>0</v>
      </c>
      <c r="Y922" s="87">
        <f t="shared" si="188"/>
        <v>0</v>
      </c>
      <c r="Z922" s="87">
        <f t="shared" si="189"/>
        <v>0</v>
      </c>
      <c r="AA922" s="87">
        <f t="shared" si="190"/>
        <v>4</v>
      </c>
    </row>
    <row r="923" spans="9:27">
      <c r="I923" s="81" t="e">
        <f>IF(#REF!&lt;&gt;"",#REF!,"")</f>
        <v>#REF!</v>
      </c>
      <c r="J923" s="81" t="e">
        <f t="shared" si="191"/>
        <v>#REF!</v>
      </c>
      <c r="L923" s="82" t="e">
        <f t="shared" si="192"/>
        <v>#REF!</v>
      </c>
      <c r="M923" s="81" t="e">
        <f t="shared" si="195"/>
        <v>#REF!</v>
      </c>
      <c r="N923" s="81" t="e">
        <f t="shared" si="193"/>
        <v>#REF!</v>
      </c>
      <c r="O923" s="81" t="e">
        <f t="shared" si="194"/>
        <v>#REF!</v>
      </c>
      <c r="Q923" s="83" t="str">
        <f t="shared" si="196"/>
        <v/>
      </c>
      <c r="R923" s="84" t="e">
        <f t="shared" si="184"/>
        <v>#REF!</v>
      </c>
      <c r="S923" s="83" t="e">
        <f t="shared" si="184"/>
        <v>#REF!</v>
      </c>
      <c r="T923" s="84" t="e">
        <f t="shared" si="185"/>
        <v>#REF!</v>
      </c>
      <c r="U923" s="84" t="e">
        <f t="shared" si="186"/>
        <v>#REF!</v>
      </c>
      <c r="V923" s="85" t="e">
        <f>#REF!</f>
        <v>#REF!</v>
      </c>
      <c r="W923" s="86">
        <f t="shared" si="187"/>
        <v>0</v>
      </c>
      <c r="X923" s="86">
        <f t="shared" si="187"/>
        <v>0</v>
      </c>
      <c r="Y923" s="87">
        <f t="shared" si="188"/>
        <v>0</v>
      </c>
      <c r="Z923" s="87">
        <f t="shared" si="189"/>
        <v>0</v>
      </c>
      <c r="AA923" s="87">
        <f t="shared" si="190"/>
        <v>4</v>
      </c>
    </row>
    <row r="924" spans="9:27">
      <c r="I924" s="81" t="e">
        <f>IF(#REF!&lt;&gt;"",#REF!,"")</f>
        <v>#REF!</v>
      </c>
      <c r="J924" s="81" t="e">
        <f t="shared" si="191"/>
        <v>#REF!</v>
      </c>
      <c r="L924" s="82" t="e">
        <f t="shared" si="192"/>
        <v>#REF!</v>
      </c>
      <c r="M924" s="81" t="e">
        <f t="shared" si="195"/>
        <v>#REF!</v>
      </c>
      <c r="N924" s="81" t="e">
        <f t="shared" si="193"/>
        <v>#REF!</v>
      </c>
      <c r="O924" s="81" t="e">
        <f t="shared" si="194"/>
        <v>#REF!</v>
      </c>
      <c r="Q924" s="83" t="str">
        <f t="shared" si="196"/>
        <v/>
      </c>
      <c r="R924" s="84" t="e">
        <f t="shared" si="184"/>
        <v>#REF!</v>
      </c>
      <c r="S924" s="83" t="e">
        <f t="shared" si="184"/>
        <v>#REF!</v>
      </c>
      <c r="T924" s="84" t="e">
        <f t="shared" si="185"/>
        <v>#REF!</v>
      </c>
      <c r="U924" s="84" t="e">
        <f t="shared" si="186"/>
        <v>#REF!</v>
      </c>
      <c r="V924" s="85" t="e">
        <f>#REF!</f>
        <v>#REF!</v>
      </c>
      <c r="W924" s="86">
        <f t="shared" si="187"/>
        <v>0</v>
      </c>
      <c r="X924" s="86">
        <f t="shared" si="187"/>
        <v>0</v>
      </c>
      <c r="Y924" s="87">
        <f t="shared" si="188"/>
        <v>0</v>
      </c>
      <c r="Z924" s="87">
        <f t="shared" si="189"/>
        <v>0</v>
      </c>
      <c r="AA924" s="87">
        <f t="shared" si="190"/>
        <v>4</v>
      </c>
    </row>
    <row r="925" spans="9:27">
      <c r="I925" s="81" t="e">
        <f>IF(#REF!&lt;&gt;"",#REF!,"")</f>
        <v>#REF!</v>
      </c>
      <c r="J925" s="81" t="e">
        <f t="shared" si="191"/>
        <v>#REF!</v>
      </c>
      <c r="L925" s="82" t="e">
        <f t="shared" si="192"/>
        <v>#REF!</v>
      </c>
      <c r="M925" s="81" t="e">
        <f t="shared" si="195"/>
        <v>#REF!</v>
      </c>
      <c r="N925" s="81" t="e">
        <f t="shared" si="193"/>
        <v>#REF!</v>
      </c>
      <c r="O925" s="81" t="e">
        <f t="shared" si="194"/>
        <v>#REF!</v>
      </c>
      <c r="Q925" s="83" t="str">
        <f t="shared" si="196"/>
        <v/>
      </c>
      <c r="R925" s="84" t="e">
        <f t="shared" si="184"/>
        <v>#REF!</v>
      </c>
      <c r="S925" s="83" t="e">
        <f t="shared" si="184"/>
        <v>#REF!</v>
      </c>
      <c r="T925" s="84" t="e">
        <f t="shared" si="185"/>
        <v>#REF!</v>
      </c>
      <c r="U925" s="84" t="e">
        <f t="shared" si="186"/>
        <v>#REF!</v>
      </c>
      <c r="V925" s="85" t="e">
        <f>#REF!</f>
        <v>#REF!</v>
      </c>
      <c r="W925" s="86">
        <f t="shared" si="187"/>
        <v>0</v>
      </c>
      <c r="X925" s="86">
        <f t="shared" si="187"/>
        <v>0</v>
      </c>
      <c r="Y925" s="87">
        <f t="shared" si="188"/>
        <v>0</v>
      </c>
      <c r="Z925" s="87">
        <f t="shared" si="189"/>
        <v>0</v>
      </c>
      <c r="AA925" s="87">
        <f t="shared" si="190"/>
        <v>4</v>
      </c>
    </row>
    <row r="926" spans="9:27">
      <c r="I926" s="81" t="e">
        <f>IF(#REF!&lt;&gt;"",#REF!,"")</f>
        <v>#REF!</v>
      </c>
      <c r="J926" s="81" t="e">
        <f t="shared" si="191"/>
        <v>#REF!</v>
      </c>
      <c r="L926" s="82" t="e">
        <f t="shared" si="192"/>
        <v>#REF!</v>
      </c>
      <c r="M926" s="81" t="e">
        <f t="shared" si="195"/>
        <v>#REF!</v>
      </c>
      <c r="N926" s="81" t="e">
        <f t="shared" si="193"/>
        <v>#REF!</v>
      </c>
      <c r="O926" s="81" t="e">
        <f t="shared" si="194"/>
        <v>#REF!</v>
      </c>
      <c r="Q926" s="83" t="str">
        <f t="shared" si="196"/>
        <v/>
      </c>
      <c r="R926" s="84" t="e">
        <f t="shared" si="184"/>
        <v>#REF!</v>
      </c>
      <c r="S926" s="83" t="e">
        <f t="shared" si="184"/>
        <v>#REF!</v>
      </c>
      <c r="T926" s="84" t="e">
        <f t="shared" si="185"/>
        <v>#REF!</v>
      </c>
      <c r="U926" s="84" t="e">
        <f t="shared" si="186"/>
        <v>#REF!</v>
      </c>
      <c r="V926" s="85" t="e">
        <f>#REF!</f>
        <v>#REF!</v>
      </c>
      <c r="W926" s="86">
        <f t="shared" si="187"/>
        <v>0</v>
      </c>
      <c r="X926" s="86">
        <f t="shared" si="187"/>
        <v>0</v>
      </c>
      <c r="Y926" s="87">
        <f t="shared" si="188"/>
        <v>0</v>
      </c>
      <c r="Z926" s="87">
        <f t="shared" si="189"/>
        <v>0</v>
      </c>
      <c r="AA926" s="87">
        <f t="shared" si="190"/>
        <v>4</v>
      </c>
    </row>
    <row r="927" spans="9:27">
      <c r="I927" s="81" t="e">
        <f>IF(#REF!&lt;&gt;"",#REF!,"")</f>
        <v>#REF!</v>
      </c>
      <c r="J927" s="81" t="e">
        <f t="shared" si="191"/>
        <v>#REF!</v>
      </c>
      <c r="L927" s="82" t="e">
        <f t="shared" si="192"/>
        <v>#REF!</v>
      </c>
      <c r="M927" s="81" t="e">
        <f t="shared" si="195"/>
        <v>#REF!</v>
      </c>
      <c r="N927" s="81" t="e">
        <f t="shared" si="193"/>
        <v>#REF!</v>
      </c>
      <c r="O927" s="81" t="e">
        <f t="shared" si="194"/>
        <v>#REF!</v>
      </c>
      <c r="Q927" s="83" t="str">
        <f t="shared" si="196"/>
        <v/>
      </c>
      <c r="R927" s="84" t="e">
        <f t="shared" si="184"/>
        <v>#REF!</v>
      </c>
      <c r="S927" s="83" t="e">
        <f t="shared" si="184"/>
        <v>#REF!</v>
      </c>
      <c r="T927" s="84" t="e">
        <f t="shared" si="185"/>
        <v>#REF!</v>
      </c>
      <c r="U927" s="84" t="e">
        <f t="shared" si="186"/>
        <v>#REF!</v>
      </c>
      <c r="V927" s="85" t="e">
        <f>#REF!</f>
        <v>#REF!</v>
      </c>
      <c r="W927" s="86">
        <f t="shared" si="187"/>
        <v>0</v>
      </c>
      <c r="X927" s="86">
        <f t="shared" si="187"/>
        <v>0</v>
      </c>
      <c r="Y927" s="87">
        <f t="shared" si="188"/>
        <v>0</v>
      </c>
      <c r="Z927" s="87">
        <f t="shared" si="189"/>
        <v>0</v>
      </c>
      <c r="AA927" s="87">
        <f t="shared" si="190"/>
        <v>4</v>
      </c>
    </row>
    <row r="928" spans="9:27">
      <c r="I928" s="81" t="e">
        <f>IF(#REF!&lt;&gt;"",#REF!,"")</f>
        <v>#REF!</v>
      </c>
      <c r="J928" s="81" t="e">
        <f t="shared" si="191"/>
        <v>#REF!</v>
      </c>
      <c r="L928" s="82" t="e">
        <f t="shared" si="192"/>
        <v>#REF!</v>
      </c>
      <c r="M928" s="81" t="e">
        <f t="shared" si="195"/>
        <v>#REF!</v>
      </c>
      <c r="N928" s="81" t="e">
        <f t="shared" si="193"/>
        <v>#REF!</v>
      </c>
      <c r="O928" s="81" t="e">
        <f t="shared" si="194"/>
        <v>#REF!</v>
      </c>
      <c r="Q928" s="83" t="str">
        <f t="shared" si="196"/>
        <v/>
      </c>
      <c r="R928" s="84" t="e">
        <f t="shared" si="184"/>
        <v>#REF!</v>
      </c>
      <c r="S928" s="83" t="e">
        <f t="shared" si="184"/>
        <v>#REF!</v>
      </c>
      <c r="T928" s="84" t="e">
        <f t="shared" si="185"/>
        <v>#REF!</v>
      </c>
      <c r="U928" s="84" t="e">
        <f t="shared" si="186"/>
        <v>#REF!</v>
      </c>
      <c r="V928" s="85" t="e">
        <f>#REF!</f>
        <v>#REF!</v>
      </c>
      <c r="W928" s="86">
        <f t="shared" si="187"/>
        <v>0</v>
      </c>
      <c r="X928" s="86">
        <f t="shared" si="187"/>
        <v>0</v>
      </c>
      <c r="Y928" s="87">
        <f t="shared" si="188"/>
        <v>0</v>
      </c>
      <c r="Z928" s="87">
        <f t="shared" si="189"/>
        <v>0</v>
      </c>
      <c r="AA928" s="87">
        <f t="shared" si="190"/>
        <v>4</v>
      </c>
    </row>
    <row r="929" spans="9:27">
      <c r="I929" s="81" t="e">
        <f>IF(#REF!&lt;&gt;"",#REF!,"")</f>
        <v>#REF!</v>
      </c>
      <c r="J929" s="81" t="e">
        <f t="shared" si="191"/>
        <v>#REF!</v>
      </c>
      <c r="L929" s="82" t="e">
        <f t="shared" si="192"/>
        <v>#REF!</v>
      </c>
      <c r="M929" s="81" t="e">
        <f t="shared" si="195"/>
        <v>#REF!</v>
      </c>
      <c r="N929" s="81" t="e">
        <f t="shared" si="193"/>
        <v>#REF!</v>
      </c>
      <c r="O929" s="81" t="e">
        <f t="shared" si="194"/>
        <v>#REF!</v>
      </c>
      <c r="Q929" s="83" t="str">
        <f t="shared" si="196"/>
        <v/>
      </c>
      <c r="R929" s="84" t="e">
        <f t="shared" si="184"/>
        <v>#REF!</v>
      </c>
      <c r="S929" s="83" t="e">
        <f t="shared" si="184"/>
        <v>#REF!</v>
      </c>
      <c r="T929" s="84" t="e">
        <f t="shared" si="185"/>
        <v>#REF!</v>
      </c>
      <c r="U929" s="84" t="e">
        <f t="shared" si="186"/>
        <v>#REF!</v>
      </c>
      <c r="V929" s="85" t="e">
        <f>#REF!</f>
        <v>#REF!</v>
      </c>
      <c r="W929" s="86">
        <f t="shared" si="187"/>
        <v>0</v>
      </c>
      <c r="X929" s="86">
        <f t="shared" si="187"/>
        <v>0</v>
      </c>
      <c r="Y929" s="87">
        <f t="shared" si="188"/>
        <v>0</v>
      </c>
      <c r="Z929" s="87">
        <f t="shared" si="189"/>
        <v>0</v>
      </c>
      <c r="AA929" s="87">
        <f t="shared" si="190"/>
        <v>4</v>
      </c>
    </row>
    <row r="930" spans="9:27">
      <c r="I930" s="81" t="e">
        <f>IF(#REF!&lt;&gt;"",#REF!,"")</f>
        <v>#REF!</v>
      </c>
      <c r="J930" s="81" t="e">
        <f t="shared" si="191"/>
        <v>#REF!</v>
      </c>
      <c r="L930" s="82" t="e">
        <f t="shared" si="192"/>
        <v>#REF!</v>
      </c>
      <c r="M930" s="81" t="e">
        <f t="shared" si="195"/>
        <v>#REF!</v>
      </c>
      <c r="N930" s="81" t="e">
        <f t="shared" si="193"/>
        <v>#REF!</v>
      </c>
      <c r="O930" s="81" t="e">
        <f t="shared" si="194"/>
        <v>#REF!</v>
      </c>
      <c r="Q930" s="83" t="str">
        <f t="shared" si="196"/>
        <v/>
      </c>
      <c r="R930" s="84" t="e">
        <f t="shared" si="184"/>
        <v>#REF!</v>
      </c>
      <c r="S930" s="83" t="e">
        <f t="shared" si="184"/>
        <v>#REF!</v>
      </c>
      <c r="T930" s="84" t="e">
        <f t="shared" si="185"/>
        <v>#REF!</v>
      </c>
      <c r="U930" s="84" t="e">
        <f t="shared" si="186"/>
        <v>#REF!</v>
      </c>
      <c r="V930" s="85" t="e">
        <f>#REF!</f>
        <v>#REF!</v>
      </c>
      <c r="W930" s="86">
        <f t="shared" si="187"/>
        <v>0</v>
      </c>
      <c r="X930" s="86">
        <f t="shared" si="187"/>
        <v>0</v>
      </c>
      <c r="Y930" s="87">
        <f t="shared" si="188"/>
        <v>0</v>
      </c>
      <c r="Z930" s="87">
        <f t="shared" si="189"/>
        <v>0</v>
      </c>
      <c r="AA930" s="87">
        <f t="shared" si="190"/>
        <v>4</v>
      </c>
    </row>
    <row r="931" spans="9:27">
      <c r="I931" s="81" t="e">
        <f>IF(#REF!&lt;&gt;"",#REF!,"")</f>
        <v>#REF!</v>
      </c>
      <c r="J931" s="81" t="e">
        <f t="shared" si="191"/>
        <v>#REF!</v>
      </c>
      <c r="L931" s="82" t="e">
        <f t="shared" si="192"/>
        <v>#REF!</v>
      </c>
      <c r="M931" s="81" t="e">
        <f t="shared" si="195"/>
        <v>#REF!</v>
      </c>
      <c r="N931" s="81" t="e">
        <f t="shared" si="193"/>
        <v>#REF!</v>
      </c>
      <c r="O931" s="81" t="e">
        <f t="shared" si="194"/>
        <v>#REF!</v>
      </c>
      <c r="Q931" s="83" t="str">
        <f t="shared" si="196"/>
        <v/>
      </c>
      <c r="R931" s="84" t="e">
        <f t="shared" si="184"/>
        <v>#REF!</v>
      </c>
      <c r="S931" s="83" t="e">
        <f t="shared" si="184"/>
        <v>#REF!</v>
      </c>
      <c r="T931" s="84" t="e">
        <f t="shared" si="185"/>
        <v>#REF!</v>
      </c>
      <c r="U931" s="84" t="e">
        <f t="shared" si="186"/>
        <v>#REF!</v>
      </c>
      <c r="V931" s="85" t="e">
        <f>#REF!</f>
        <v>#REF!</v>
      </c>
      <c r="W931" s="86">
        <f t="shared" si="187"/>
        <v>0</v>
      </c>
      <c r="X931" s="86">
        <f t="shared" si="187"/>
        <v>0</v>
      </c>
      <c r="Y931" s="87">
        <f t="shared" si="188"/>
        <v>0</v>
      </c>
      <c r="Z931" s="87">
        <f t="shared" si="189"/>
        <v>0</v>
      </c>
      <c r="AA931" s="87">
        <f t="shared" si="190"/>
        <v>4</v>
      </c>
    </row>
    <row r="932" spans="9:27">
      <c r="I932" s="81" t="e">
        <f>IF(#REF!&lt;&gt;"",#REF!,"")</f>
        <v>#REF!</v>
      </c>
      <c r="J932" s="81" t="e">
        <f t="shared" si="191"/>
        <v>#REF!</v>
      </c>
      <c r="L932" s="82" t="e">
        <f t="shared" si="192"/>
        <v>#REF!</v>
      </c>
      <c r="M932" s="81" t="e">
        <f t="shared" si="195"/>
        <v>#REF!</v>
      </c>
      <c r="N932" s="81" t="e">
        <f t="shared" si="193"/>
        <v>#REF!</v>
      </c>
      <c r="O932" s="81" t="e">
        <f t="shared" si="194"/>
        <v>#REF!</v>
      </c>
      <c r="Q932" s="83" t="str">
        <f t="shared" si="196"/>
        <v/>
      </c>
      <c r="R932" s="84" t="e">
        <f t="shared" si="184"/>
        <v>#REF!</v>
      </c>
      <c r="S932" s="83" t="e">
        <f t="shared" si="184"/>
        <v>#REF!</v>
      </c>
      <c r="T932" s="84" t="e">
        <f t="shared" si="185"/>
        <v>#REF!</v>
      </c>
      <c r="U932" s="84" t="e">
        <f t="shared" si="186"/>
        <v>#REF!</v>
      </c>
      <c r="V932" s="85" t="e">
        <f>#REF!</f>
        <v>#REF!</v>
      </c>
      <c r="W932" s="86">
        <f t="shared" si="187"/>
        <v>0</v>
      </c>
      <c r="X932" s="86">
        <f t="shared" si="187"/>
        <v>0</v>
      </c>
      <c r="Y932" s="87">
        <f t="shared" si="188"/>
        <v>0</v>
      </c>
      <c r="Z932" s="87">
        <f t="shared" si="189"/>
        <v>0</v>
      </c>
      <c r="AA932" s="87">
        <f t="shared" si="190"/>
        <v>4</v>
      </c>
    </row>
    <row r="933" spans="9:27">
      <c r="I933" s="81" t="e">
        <f>IF(#REF!&lt;&gt;"",#REF!,"")</f>
        <v>#REF!</v>
      </c>
      <c r="J933" s="81" t="e">
        <f t="shared" si="191"/>
        <v>#REF!</v>
      </c>
      <c r="L933" s="82" t="e">
        <f t="shared" si="192"/>
        <v>#REF!</v>
      </c>
      <c r="M933" s="81" t="e">
        <f t="shared" si="195"/>
        <v>#REF!</v>
      </c>
      <c r="N933" s="81" t="e">
        <f t="shared" si="193"/>
        <v>#REF!</v>
      </c>
      <c r="O933" s="81" t="e">
        <f t="shared" si="194"/>
        <v>#REF!</v>
      </c>
      <c r="Q933" s="83" t="str">
        <f t="shared" si="196"/>
        <v/>
      </c>
      <c r="R933" s="84" t="e">
        <f t="shared" si="184"/>
        <v>#REF!</v>
      </c>
      <c r="S933" s="83" t="e">
        <f t="shared" si="184"/>
        <v>#REF!</v>
      </c>
      <c r="T933" s="84" t="e">
        <f t="shared" si="185"/>
        <v>#REF!</v>
      </c>
      <c r="U933" s="84" t="e">
        <f t="shared" si="186"/>
        <v>#REF!</v>
      </c>
      <c r="V933" s="85" t="e">
        <f>#REF!</f>
        <v>#REF!</v>
      </c>
      <c r="W933" s="86">
        <f t="shared" si="187"/>
        <v>0</v>
      </c>
      <c r="X933" s="86">
        <f t="shared" si="187"/>
        <v>0</v>
      </c>
      <c r="Y933" s="87">
        <f t="shared" si="188"/>
        <v>0</v>
      </c>
      <c r="Z933" s="87">
        <f t="shared" si="189"/>
        <v>0</v>
      </c>
      <c r="AA933" s="87">
        <f t="shared" si="190"/>
        <v>4</v>
      </c>
    </row>
    <row r="934" spans="9:27">
      <c r="I934" s="81" t="e">
        <f>IF(#REF!&lt;&gt;"",#REF!,"")</f>
        <v>#REF!</v>
      </c>
      <c r="J934" s="81" t="e">
        <f t="shared" si="191"/>
        <v>#REF!</v>
      </c>
      <c r="L934" s="82" t="e">
        <f t="shared" si="192"/>
        <v>#REF!</v>
      </c>
      <c r="M934" s="81" t="e">
        <f t="shared" si="195"/>
        <v>#REF!</v>
      </c>
      <c r="N934" s="81" t="e">
        <f t="shared" si="193"/>
        <v>#REF!</v>
      </c>
      <c r="O934" s="81" t="e">
        <f t="shared" si="194"/>
        <v>#REF!</v>
      </c>
      <c r="Q934" s="83" t="str">
        <f t="shared" si="196"/>
        <v/>
      </c>
      <c r="R934" s="84" t="e">
        <f t="shared" si="184"/>
        <v>#REF!</v>
      </c>
      <c r="S934" s="83" t="e">
        <f t="shared" si="184"/>
        <v>#REF!</v>
      </c>
      <c r="T934" s="84" t="e">
        <f t="shared" si="185"/>
        <v>#REF!</v>
      </c>
      <c r="U934" s="84" t="e">
        <f t="shared" si="186"/>
        <v>#REF!</v>
      </c>
      <c r="V934" s="85" t="e">
        <f>#REF!</f>
        <v>#REF!</v>
      </c>
      <c r="W934" s="86">
        <f t="shared" si="187"/>
        <v>0</v>
      </c>
      <c r="X934" s="86">
        <f t="shared" si="187"/>
        <v>0</v>
      </c>
      <c r="Y934" s="87">
        <f t="shared" si="188"/>
        <v>0</v>
      </c>
      <c r="Z934" s="87">
        <f t="shared" si="189"/>
        <v>0</v>
      </c>
      <c r="AA934" s="87">
        <f t="shared" si="190"/>
        <v>4</v>
      </c>
    </row>
    <row r="935" spans="9:27">
      <c r="I935" s="81" t="e">
        <f>IF(#REF!&lt;&gt;"",#REF!,"")</f>
        <v>#REF!</v>
      </c>
      <c r="J935" s="81" t="e">
        <f t="shared" si="191"/>
        <v>#REF!</v>
      </c>
      <c r="L935" s="82" t="e">
        <f t="shared" si="192"/>
        <v>#REF!</v>
      </c>
      <c r="M935" s="81" t="e">
        <f t="shared" si="195"/>
        <v>#REF!</v>
      </c>
      <c r="N935" s="81" t="e">
        <f t="shared" si="193"/>
        <v>#REF!</v>
      </c>
      <c r="O935" s="81" t="e">
        <f t="shared" si="194"/>
        <v>#REF!</v>
      </c>
      <c r="Q935" s="83" t="str">
        <f t="shared" si="196"/>
        <v/>
      </c>
      <c r="R935" s="84" t="e">
        <f t="shared" si="184"/>
        <v>#REF!</v>
      </c>
      <c r="S935" s="83" t="e">
        <f t="shared" si="184"/>
        <v>#REF!</v>
      </c>
      <c r="T935" s="84" t="e">
        <f t="shared" si="185"/>
        <v>#REF!</v>
      </c>
      <c r="U935" s="84" t="e">
        <f t="shared" si="186"/>
        <v>#REF!</v>
      </c>
      <c r="V935" s="85" t="e">
        <f>#REF!</f>
        <v>#REF!</v>
      </c>
      <c r="W935" s="86">
        <f t="shared" si="187"/>
        <v>0</v>
      </c>
      <c r="X935" s="86">
        <f t="shared" si="187"/>
        <v>0</v>
      </c>
      <c r="Y935" s="87">
        <f t="shared" si="188"/>
        <v>0</v>
      </c>
      <c r="Z935" s="87">
        <f t="shared" si="189"/>
        <v>0</v>
      </c>
      <c r="AA935" s="87">
        <f t="shared" si="190"/>
        <v>4</v>
      </c>
    </row>
    <row r="936" spans="9:27">
      <c r="I936" s="81" t="e">
        <f>IF(#REF!&lt;&gt;"",#REF!,"")</f>
        <v>#REF!</v>
      </c>
      <c r="J936" s="81" t="e">
        <f t="shared" si="191"/>
        <v>#REF!</v>
      </c>
      <c r="L936" s="82" t="e">
        <f t="shared" si="192"/>
        <v>#REF!</v>
      </c>
      <c r="M936" s="81" t="e">
        <f t="shared" si="195"/>
        <v>#REF!</v>
      </c>
      <c r="N936" s="81" t="e">
        <f t="shared" si="193"/>
        <v>#REF!</v>
      </c>
      <c r="O936" s="81" t="e">
        <f t="shared" si="194"/>
        <v>#REF!</v>
      </c>
      <c r="Q936" s="83" t="str">
        <f t="shared" si="196"/>
        <v/>
      </c>
      <c r="R936" s="84" t="e">
        <f t="shared" si="184"/>
        <v>#REF!</v>
      </c>
      <c r="S936" s="83" t="e">
        <f t="shared" si="184"/>
        <v>#REF!</v>
      </c>
      <c r="T936" s="84" t="e">
        <f t="shared" si="185"/>
        <v>#REF!</v>
      </c>
      <c r="U936" s="84" t="e">
        <f t="shared" si="186"/>
        <v>#REF!</v>
      </c>
      <c r="V936" s="85" t="e">
        <f>#REF!</f>
        <v>#REF!</v>
      </c>
      <c r="W936" s="86">
        <f t="shared" si="187"/>
        <v>0</v>
      </c>
      <c r="X936" s="86">
        <f t="shared" si="187"/>
        <v>0</v>
      </c>
      <c r="Y936" s="87">
        <f t="shared" si="188"/>
        <v>0</v>
      </c>
      <c r="Z936" s="87">
        <f t="shared" si="189"/>
        <v>0</v>
      </c>
      <c r="AA936" s="87">
        <f t="shared" si="190"/>
        <v>4</v>
      </c>
    </row>
    <row r="937" spans="9:27">
      <c r="I937" s="81" t="e">
        <f>IF(#REF!&lt;&gt;"",#REF!,"")</f>
        <v>#REF!</v>
      </c>
      <c r="J937" s="81" t="e">
        <f t="shared" si="191"/>
        <v>#REF!</v>
      </c>
      <c r="L937" s="82" t="e">
        <f t="shared" si="192"/>
        <v>#REF!</v>
      </c>
      <c r="M937" s="81" t="e">
        <f t="shared" si="195"/>
        <v>#REF!</v>
      </c>
      <c r="N937" s="81" t="e">
        <f t="shared" si="193"/>
        <v>#REF!</v>
      </c>
      <c r="O937" s="81" t="e">
        <f t="shared" si="194"/>
        <v>#REF!</v>
      </c>
      <c r="Q937" s="83" t="str">
        <f t="shared" si="196"/>
        <v/>
      </c>
      <c r="R937" s="84" t="e">
        <f t="shared" si="184"/>
        <v>#REF!</v>
      </c>
      <c r="S937" s="83" t="e">
        <f t="shared" si="184"/>
        <v>#REF!</v>
      </c>
      <c r="T937" s="84" t="e">
        <f t="shared" si="185"/>
        <v>#REF!</v>
      </c>
      <c r="U937" s="84" t="e">
        <f t="shared" si="186"/>
        <v>#REF!</v>
      </c>
      <c r="V937" s="85" t="e">
        <f>#REF!</f>
        <v>#REF!</v>
      </c>
      <c r="W937" s="86">
        <f t="shared" si="187"/>
        <v>0</v>
      </c>
      <c r="X937" s="86">
        <f t="shared" si="187"/>
        <v>0</v>
      </c>
      <c r="Y937" s="87">
        <f t="shared" si="188"/>
        <v>0</v>
      </c>
      <c r="Z937" s="87">
        <f t="shared" si="189"/>
        <v>0</v>
      </c>
      <c r="AA937" s="87">
        <f t="shared" si="190"/>
        <v>4</v>
      </c>
    </row>
    <row r="938" spans="9:27">
      <c r="I938" s="81" t="e">
        <f>IF(#REF!&lt;&gt;"",#REF!,"")</f>
        <v>#REF!</v>
      </c>
      <c r="J938" s="81" t="e">
        <f t="shared" si="191"/>
        <v>#REF!</v>
      </c>
      <c r="L938" s="82" t="e">
        <f t="shared" si="192"/>
        <v>#REF!</v>
      </c>
      <c r="M938" s="81" t="e">
        <f t="shared" si="195"/>
        <v>#REF!</v>
      </c>
      <c r="N938" s="81" t="e">
        <f t="shared" si="193"/>
        <v>#REF!</v>
      </c>
      <c r="O938" s="81" t="e">
        <f t="shared" si="194"/>
        <v>#REF!</v>
      </c>
      <c r="Q938" s="83" t="str">
        <f t="shared" si="196"/>
        <v/>
      </c>
      <c r="R938" s="84" t="e">
        <f t="shared" si="184"/>
        <v>#REF!</v>
      </c>
      <c r="S938" s="83" t="e">
        <f t="shared" si="184"/>
        <v>#REF!</v>
      </c>
      <c r="T938" s="84" t="e">
        <f t="shared" si="185"/>
        <v>#REF!</v>
      </c>
      <c r="U938" s="84" t="e">
        <f t="shared" si="186"/>
        <v>#REF!</v>
      </c>
      <c r="V938" s="85" t="e">
        <f>#REF!</f>
        <v>#REF!</v>
      </c>
      <c r="W938" s="86">
        <f t="shared" si="187"/>
        <v>0</v>
      </c>
      <c r="X938" s="86">
        <f t="shared" si="187"/>
        <v>0</v>
      </c>
      <c r="Y938" s="87">
        <f t="shared" si="188"/>
        <v>0</v>
      </c>
      <c r="Z938" s="87">
        <f t="shared" si="189"/>
        <v>0</v>
      </c>
      <c r="AA938" s="87">
        <f t="shared" si="190"/>
        <v>4</v>
      </c>
    </row>
    <row r="939" spans="9:27">
      <c r="I939" s="81" t="e">
        <f>IF(#REF!&lt;&gt;"",#REF!,"")</f>
        <v>#REF!</v>
      </c>
      <c r="J939" s="81" t="e">
        <f t="shared" si="191"/>
        <v>#REF!</v>
      </c>
      <c r="L939" s="82" t="e">
        <f t="shared" si="192"/>
        <v>#REF!</v>
      </c>
      <c r="M939" s="81" t="e">
        <f t="shared" si="195"/>
        <v>#REF!</v>
      </c>
      <c r="N939" s="81" t="e">
        <f t="shared" si="193"/>
        <v>#REF!</v>
      </c>
      <c r="O939" s="81" t="e">
        <f t="shared" si="194"/>
        <v>#REF!</v>
      </c>
      <c r="Q939" s="83" t="str">
        <f t="shared" si="196"/>
        <v/>
      </c>
      <c r="R939" s="84" t="e">
        <f t="shared" si="184"/>
        <v>#REF!</v>
      </c>
      <c r="S939" s="83" t="e">
        <f t="shared" si="184"/>
        <v>#REF!</v>
      </c>
      <c r="T939" s="84" t="e">
        <f t="shared" si="185"/>
        <v>#REF!</v>
      </c>
      <c r="U939" s="84" t="e">
        <f t="shared" si="186"/>
        <v>#REF!</v>
      </c>
      <c r="V939" s="85" t="e">
        <f>#REF!</f>
        <v>#REF!</v>
      </c>
      <c r="W939" s="86">
        <f t="shared" si="187"/>
        <v>0</v>
      </c>
      <c r="X939" s="86">
        <f t="shared" si="187"/>
        <v>0</v>
      </c>
      <c r="Y939" s="87">
        <f t="shared" si="188"/>
        <v>0</v>
      </c>
      <c r="Z939" s="87">
        <f t="shared" si="189"/>
        <v>0</v>
      </c>
      <c r="AA939" s="87">
        <f t="shared" si="190"/>
        <v>4</v>
      </c>
    </row>
    <row r="940" spans="9:27">
      <c r="I940" s="81" t="e">
        <f>IF(#REF!&lt;&gt;"",#REF!,"")</f>
        <v>#REF!</v>
      </c>
      <c r="J940" s="81" t="e">
        <f t="shared" si="191"/>
        <v>#REF!</v>
      </c>
      <c r="L940" s="82" t="e">
        <f t="shared" si="192"/>
        <v>#REF!</v>
      </c>
      <c r="M940" s="81" t="e">
        <f t="shared" si="195"/>
        <v>#REF!</v>
      </c>
      <c r="N940" s="81" t="e">
        <f t="shared" si="193"/>
        <v>#REF!</v>
      </c>
      <c r="O940" s="81" t="e">
        <f t="shared" si="194"/>
        <v>#REF!</v>
      </c>
      <c r="Q940" s="83" t="str">
        <f t="shared" si="196"/>
        <v/>
      </c>
      <c r="R940" s="84" t="e">
        <f t="shared" si="184"/>
        <v>#REF!</v>
      </c>
      <c r="S940" s="83" t="e">
        <f t="shared" si="184"/>
        <v>#REF!</v>
      </c>
      <c r="T940" s="84" t="e">
        <f t="shared" si="185"/>
        <v>#REF!</v>
      </c>
      <c r="U940" s="84" t="e">
        <f t="shared" si="186"/>
        <v>#REF!</v>
      </c>
      <c r="V940" s="85" t="e">
        <f>#REF!</f>
        <v>#REF!</v>
      </c>
      <c r="W940" s="86">
        <f t="shared" si="187"/>
        <v>0</v>
      </c>
      <c r="X940" s="86">
        <f t="shared" si="187"/>
        <v>0</v>
      </c>
      <c r="Y940" s="87">
        <f t="shared" si="188"/>
        <v>0</v>
      </c>
      <c r="Z940" s="87">
        <f t="shared" si="189"/>
        <v>0</v>
      </c>
      <c r="AA940" s="87">
        <f t="shared" si="190"/>
        <v>4</v>
      </c>
    </row>
    <row r="941" spans="9:27">
      <c r="I941" s="81" t="e">
        <f>IF(#REF!&lt;&gt;"",#REF!,"")</f>
        <v>#REF!</v>
      </c>
      <c r="J941" s="81" t="e">
        <f t="shared" si="191"/>
        <v>#REF!</v>
      </c>
      <c r="L941" s="82" t="e">
        <f t="shared" si="192"/>
        <v>#REF!</v>
      </c>
      <c r="M941" s="81" t="e">
        <f t="shared" si="195"/>
        <v>#REF!</v>
      </c>
      <c r="N941" s="81" t="e">
        <f t="shared" si="193"/>
        <v>#REF!</v>
      </c>
      <c r="O941" s="81" t="e">
        <f t="shared" si="194"/>
        <v>#REF!</v>
      </c>
      <c r="Q941" s="83" t="str">
        <f t="shared" si="196"/>
        <v/>
      </c>
      <c r="R941" s="84" t="e">
        <f t="shared" si="184"/>
        <v>#REF!</v>
      </c>
      <c r="S941" s="83" t="e">
        <f t="shared" si="184"/>
        <v>#REF!</v>
      </c>
      <c r="T941" s="84" t="e">
        <f t="shared" si="185"/>
        <v>#REF!</v>
      </c>
      <c r="U941" s="84" t="e">
        <f t="shared" si="186"/>
        <v>#REF!</v>
      </c>
      <c r="V941" s="85" t="e">
        <f>#REF!</f>
        <v>#REF!</v>
      </c>
      <c r="W941" s="86">
        <f t="shared" si="187"/>
        <v>0</v>
      </c>
      <c r="X941" s="86">
        <f t="shared" si="187"/>
        <v>0</v>
      </c>
      <c r="Y941" s="87">
        <f t="shared" si="188"/>
        <v>0</v>
      </c>
      <c r="Z941" s="87">
        <f t="shared" si="189"/>
        <v>0</v>
      </c>
      <c r="AA941" s="87">
        <f t="shared" si="190"/>
        <v>4</v>
      </c>
    </row>
    <row r="942" spans="9:27">
      <c r="I942" s="81" t="e">
        <f>IF(#REF!&lt;&gt;"",#REF!,"")</f>
        <v>#REF!</v>
      </c>
      <c r="J942" s="81" t="e">
        <f t="shared" si="191"/>
        <v>#REF!</v>
      </c>
      <c r="L942" s="82" t="e">
        <f t="shared" si="192"/>
        <v>#REF!</v>
      </c>
      <c r="M942" s="81" t="e">
        <f t="shared" si="195"/>
        <v>#REF!</v>
      </c>
      <c r="N942" s="81" t="e">
        <f t="shared" si="193"/>
        <v>#REF!</v>
      </c>
      <c r="O942" s="81" t="e">
        <f t="shared" si="194"/>
        <v>#REF!</v>
      </c>
      <c r="Q942" s="83" t="str">
        <f t="shared" si="196"/>
        <v/>
      </c>
      <c r="R942" s="84" t="e">
        <f t="shared" si="184"/>
        <v>#REF!</v>
      </c>
      <c r="S942" s="83" t="e">
        <f t="shared" si="184"/>
        <v>#REF!</v>
      </c>
      <c r="T942" s="84" t="e">
        <f t="shared" si="185"/>
        <v>#REF!</v>
      </c>
      <c r="U942" s="84" t="e">
        <f t="shared" si="186"/>
        <v>#REF!</v>
      </c>
      <c r="V942" s="85" t="e">
        <f>#REF!</f>
        <v>#REF!</v>
      </c>
      <c r="W942" s="86">
        <f t="shared" si="187"/>
        <v>0</v>
      </c>
      <c r="X942" s="86">
        <f t="shared" si="187"/>
        <v>0</v>
      </c>
      <c r="Y942" s="87">
        <f t="shared" si="188"/>
        <v>0</v>
      </c>
      <c r="Z942" s="87">
        <f t="shared" si="189"/>
        <v>0</v>
      </c>
      <c r="AA942" s="87">
        <f t="shared" si="190"/>
        <v>4</v>
      </c>
    </row>
    <row r="943" spans="9:27">
      <c r="I943" s="81" t="e">
        <f>IF(#REF!&lt;&gt;"",#REF!,"")</f>
        <v>#REF!</v>
      </c>
      <c r="J943" s="81" t="e">
        <f t="shared" si="191"/>
        <v>#REF!</v>
      </c>
      <c r="L943" s="82" t="e">
        <f t="shared" si="192"/>
        <v>#REF!</v>
      </c>
      <c r="M943" s="81" t="e">
        <f t="shared" si="195"/>
        <v>#REF!</v>
      </c>
      <c r="N943" s="81" t="e">
        <f t="shared" si="193"/>
        <v>#REF!</v>
      </c>
      <c r="O943" s="81" t="e">
        <f t="shared" si="194"/>
        <v>#REF!</v>
      </c>
      <c r="Q943" s="83" t="str">
        <f t="shared" si="196"/>
        <v/>
      </c>
      <c r="R943" s="84" t="e">
        <f t="shared" si="184"/>
        <v>#REF!</v>
      </c>
      <c r="S943" s="83" t="e">
        <f t="shared" si="184"/>
        <v>#REF!</v>
      </c>
      <c r="T943" s="84" t="e">
        <f t="shared" si="185"/>
        <v>#REF!</v>
      </c>
      <c r="U943" s="84" t="e">
        <f t="shared" si="186"/>
        <v>#REF!</v>
      </c>
      <c r="V943" s="85" t="e">
        <f>#REF!</f>
        <v>#REF!</v>
      </c>
      <c r="W943" s="86">
        <f t="shared" si="187"/>
        <v>0</v>
      </c>
      <c r="X943" s="86">
        <f t="shared" si="187"/>
        <v>0</v>
      </c>
      <c r="Y943" s="87">
        <f t="shared" si="188"/>
        <v>0</v>
      </c>
      <c r="Z943" s="87">
        <f t="shared" si="189"/>
        <v>0</v>
      </c>
      <c r="AA943" s="87">
        <f t="shared" si="190"/>
        <v>4</v>
      </c>
    </row>
    <row r="944" spans="9:27">
      <c r="I944" s="81" t="e">
        <f>IF(#REF!&lt;&gt;"",#REF!,"")</f>
        <v>#REF!</v>
      </c>
      <c r="J944" s="81" t="e">
        <f t="shared" si="191"/>
        <v>#REF!</v>
      </c>
      <c r="L944" s="82" t="e">
        <f t="shared" si="192"/>
        <v>#REF!</v>
      </c>
      <c r="M944" s="81" t="e">
        <f t="shared" si="195"/>
        <v>#REF!</v>
      </c>
      <c r="N944" s="81" t="e">
        <f t="shared" si="193"/>
        <v>#REF!</v>
      </c>
      <c r="O944" s="81" t="e">
        <f t="shared" si="194"/>
        <v>#REF!</v>
      </c>
      <c r="Q944" s="83" t="str">
        <f t="shared" si="196"/>
        <v/>
      </c>
      <c r="R944" s="84" t="e">
        <f t="shared" si="184"/>
        <v>#REF!</v>
      </c>
      <c r="S944" s="83" t="e">
        <f t="shared" si="184"/>
        <v>#REF!</v>
      </c>
      <c r="T944" s="84" t="e">
        <f t="shared" si="185"/>
        <v>#REF!</v>
      </c>
      <c r="U944" s="84" t="e">
        <f t="shared" si="186"/>
        <v>#REF!</v>
      </c>
      <c r="V944" s="85" t="e">
        <f>#REF!</f>
        <v>#REF!</v>
      </c>
      <c r="W944" s="86">
        <f t="shared" si="187"/>
        <v>0</v>
      </c>
      <c r="X944" s="86">
        <f t="shared" si="187"/>
        <v>0</v>
      </c>
      <c r="Y944" s="87">
        <f t="shared" si="188"/>
        <v>0</v>
      </c>
      <c r="Z944" s="87">
        <f t="shared" si="189"/>
        <v>0</v>
      </c>
      <c r="AA944" s="87">
        <f t="shared" si="190"/>
        <v>4</v>
      </c>
    </row>
    <row r="945" spans="9:27">
      <c r="I945" s="81" t="e">
        <f>IF(#REF!&lt;&gt;"",#REF!,"")</f>
        <v>#REF!</v>
      </c>
      <c r="J945" s="81" t="e">
        <f t="shared" si="191"/>
        <v>#REF!</v>
      </c>
      <c r="L945" s="82" t="e">
        <f t="shared" si="192"/>
        <v>#REF!</v>
      </c>
      <c r="M945" s="81" t="e">
        <f t="shared" si="195"/>
        <v>#REF!</v>
      </c>
      <c r="N945" s="81" t="e">
        <f t="shared" si="193"/>
        <v>#REF!</v>
      </c>
      <c r="O945" s="81" t="e">
        <f t="shared" si="194"/>
        <v>#REF!</v>
      </c>
      <c r="Q945" s="83" t="str">
        <f t="shared" si="196"/>
        <v/>
      </c>
      <c r="R945" s="84" t="e">
        <f t="shared" si="184"/>
        <v>#REF!</v>
      </c>
      <c r="S945" s="83" t="e">
        <f t="shared" si="184"/>
        <v>#REF!</v>
      </c>
      <c r="T945" s="84" t="e">
        <f t="shared" si="185"/>
        <v>#REF!</v>
      </c>
      <c r="U945" s="84" t="e">
        <f t="shared" si="186"/>
        <v>#REF!</v>
      </c>
      <c r="V945" s="85" t="e">
        <f>#REF!</f>
        <v>#REF!</v>
      </c>
      <c r="W945" s="86">
        <f t="shared" si="187"/>
        <v>0</v>
      </c>
      <c r="X945" s="86">
        <f t="shared" si="187"/>
        <v>0</v>
      </c>
      <c r="Y945" s="87">
        <f t="shared" si="188"/>
        <v>0</v>
      </c>
      <c r="Z945" s="87">
        <f t="shared" si="189"/>
        <v>0</v>
      </c>
      <c r="AA945" s="87">
        <f t="shared" si="190"/>
        <v>4</v>
      </c>
    </row>
    <row r="946" spans="9:27">
      <c r="I946" s="81" t="e">
        <f>IF(#REF!&lt;&gt;"",#REF!,"")</f>
        <v>#REF!</v>
      </c>
      <c r="J946" s="81" t="e">
        <f t="shared" si="191"/>
        <v>#REF!</v>
      </c>
      <c r="L946" s="82" t="e">
        <f t="shared" si="192"/>
        <v>#REF!</v>
      </c>
      <c r="M946" s="81" t="e">
        <f t="shared" si="195"/>
        <v>#REF!</v>
      </c>
      <c r="N946" s="81" t="e">
        <f t="shared" si="193"/>
        <v>#REF!</v>
      </c>
      <c r="O946" s="81" t="e">
        <f t="shared" si="194"/>
        <v>#REF!</v>
      </c>
      <c r="Q946" s="83" t="str">
        <f t="shared" si="196"/>
        <v/>
      </c>
      <c r="R946" s="84" t="e">
        <f t="shared" si="184"/>
        <v>#REF!</v>
      </c>
      <c r="S946" s="83" t="e">
        <f t="shared" si="184"/>
        <v>#REF!</v>
      </c>
      <c r="T946" s="84" t="e">
        <f t="shared" si="185"/>
        <v>#REF!</v>
      </c>
      <c r="U946" s="84" t="e">
        <f t="shared" si="186"/>
        <v>#REF!</v>
      </c>
      <c r="V946" s="85" t="e">
        <f>#REF!</f>
        <v>#REF!</v>
      </c>
      <c r="W946" s="86">
        <f t="shared" si="187"/>
        <v>0</v>
      </c>
      <c r="X946" s="86">
        <f t="shared" si="187"/>
        <v>0</v>
      </c>
      <c r="Y946" s="87">
        <f t="shared" si="188"/>
        <v>0</v>
      </c>
      <c r="Z946" s="87">
        <f t="shared" si="189"/>
        <v>0</v>
      </c>
      <c r="AA946" s="87">
        <f t="shared" si="190"/>
        <v>4</v>
      </c>
    </row>
    <row r="947" spans="9:27">
      <c r="I947" s="81" t="e">
        <f>IF(#REF!&lt;&gt;"",#REF!,"")</f>
        <v>#REF!</v>
      </c>
      <c r="J947" s="81" t="e">
        <f t="shared" si="191"/>
        <v>#REF!</v>
      </c>
      <c r="L947" s="82" t="e">
        <f t="shared" si="192"/>
        <v>#REF!</v>
      </c>
      <c r="M947" s="81" t="e">
        <f t="shared" si="195"/>
        <v>#REF!</v>
      </c>
      <c r="N947" s="81" t="e">
        <f t="shared" si="193"/>
        <v>#REF!</v>
      </c>
      <c r="O947" s="81" t="e">
        <f t="shared" si="194"/>
        <v>#REF!</v>
      </c>
      <c r="Q947" s="83" t="str">
        <f t="shared" si="196"/>
        <v/>
      </c>
      <c r="R947" s="84" t="e">
        <f t="shared" si="184"/>
        <v>#REF!</v>
      </c>
      <c r="S947" s="83" t="e">
        <f t="shared" si="184"/>
        <v>#REF!</v>
      </c>
      <c r="T947" s="84" t="e">
        <f t="shared" si="185"/>
        <v>#REF!</v>
      </c>
      <c r="U947" s="84" t="e">
        <f t="shared" si="186"/>
        <v>#REF!</v>
      </c>
      <c r="V947" s="85" t="e">
        <f>#REF!</f>
        <v>#REF!</v>
      </c>
      <c r="W947" s="86">
        <f t="shared" si="187"/>
        <v>0</v>
      </c>
      <c r="X947" s="86">
        <f t="shared" si="187"/>
        <v>0</v>
      </c>
      <c r="Y947" s="87">
        <f t="shared" si="188"/>
        <v>0</v>
      </c>
      <c r="Z947" s="87">
        <f t="shared" si="189"/>
        <v>0</v>
      </c>
      <c r="AA947" s="87">
        <f t="shared" si="190"/>
        <v>4</v>
      </c>
    </row>
    <row r="948" spans="9:27">
      <c r="I948" s="81" t="e">
        <f>IF(#REF!&lt;&gt;"",#REF!,"")</f>
        <v>#REF!</v>
      </c>
      <c r="J948" s="81" t="e">
        <f t="shared" si="191"/>
        <v>#REF!</v>
      </c>
      <c r="L948" s="82" t="e">
        <f t="shared" si="192"/>
        <v>#REF!</v>
      </c>
      <c r="M948" s="81" t="e">
        <f t="shared" si="195"/>
        <v>#REF!</v>
      </c>
      <c r="N948" s="81" t="e">
        <f t="shared" si="193"/>
        <v>#REF!</v>
      </c>
      <c r="O948" s="81" t="e">
        <f t="shared" si="194"/>
        <v>#REF!</v>
      </c>
      <c r="Q948" s="83" t="str">
        <f t="shared" si="196"/>
        <v/>
      </c>
      <c r="R948" s="84" t="e">
        <f t="shared" si="184"/>
        <v>#REF!</v>
      </c>
      <c r="S948" s="83" t="e">
        <f t="shared" si="184"/>
        <v>#REF!</v>
      </c>
      <c r="T948" s="84" t="e">
        <f t="shared" si="185"/>
        <v>#REF!</v>
      </c>
      <c r="U948" s="84" t="e">
        <f t="shared" si="186"/>
        <v>#REF!</v>
      </c>
      <c r="V948" s="85" t="e">
        <f>#REF!</f>
        <v>#REF!</v>
      </c>
      <c r="W948" s="86">
        <f t="shared" si="187"/>
        <v>0</v>
      </c>
      <c r="X948" s="86">
        <f t="shared" si="187"/>
        <v>0</v>
      </c>
      <c r="Y948" s="87">
        <f t="shared" si="188"/>
        <v>0</v>
      </c>
      <c r="Z948" s="87">
        <f t="shared" si="189"/>
        <v>0</v>
      </c>
      <c r="AA948" s="87">
        <f t="shared" si="190"/>
        <v>4</v>
      </c>
    </row>
    <row r="949" spans="9:27">
      <c r="I949" s="81" t="e">
        <f>IF(#REF!&lt;&gt;"",#REF!,"")</f>
        <v>#REF!</v>
      </c>
      <c r="J949" s="81" t="e">
        <f t="shared" si="191"/>
        <v>#REF!</v>
      </c>
      <c r="L949" s="82" t="e">
        <f t="shared" si="192"/>
        <v>#REF!</v>
      </c>
      <c r="M949" s="81" t="e">
        <f t="shared" si="195"/>
        <v>#REF!</v>
      </c>
      <c r="N949" s="81" t="e">
        <f t="shared" si="193"/>
        <v>#REF!</v>
      </c>
      <c r="O949" s="81" t="e">
        <f t="shared" si="194"/>
        <v>#REF!</v>
      </c>
      <c r="Q949" s="83" t="str">
        <f t="shared" si="196"/>
        <v/>
      </c>
      <c r="R949" s="84" t="e">
        <f t="shared" si="184"/>
        <v>#REF!</v>
      </c>
      <c r="S949" s="83" t="e">
        <f t="shared" si="184"/>
        <v>#REF!</v>
      </c>
      <c r="T949" s="84" t="e">
        <f t="shared" si="185"/>
        <v>#REF!</v>
      </c>
      <c r="U949" s="84" t="e">
        <f t="shared" si="186"/>
        <v>#REF!</v>
      </c>
      <c r="V949" s="85" t="e">
        <f>#REF!</f>
        <v>#REF!</v>
      </c>
      <c r="W949" s="86">
        <f t="shared" si="187"/>
        <v>0</v>
      </c>
      <c r="X949" s="86">
        <f t="shared" si="187"/>
        <v>0</v>
      </c>
      <c r="Y949" s="87">
        <f t="shared" si="188"/>
        <v>0</v>
      </c>
      <c r="Z949" s="87">
        <f t="shared" si="189"/>
        <v>0</v>
      </c>
      <c r="AA949" s="87">
        <f t="shared" si="190"/>
        <v>4</v>
      </c>
    </row>
    <row r="950" spans="9:27">
      <c r="I950" s="81" t="e">
        <f>IF(#REF!&lt;&gt;"",#REF!,"")</f>
        <v>#REF!</v>
      </c>
      <c r="J950" s="81" t="e">
        <f t="shared" si="191"/>
        <v>#REF!</v>
      </c>
      <c r="L950" s="82" t="e">
        <f t="shared" si="192"/>
        <v>#REF!</v>
      </c>
      <c r="M950" s="81" t="e">
        <f t="shared" si="195"/>
        <v>#REF!</v>
      </c>
      <c r="N950" s="81" t="e">
        <f t="shared" si="193"/>
        <v>#REF!</v>
      </c>
      <c r="O950" s="81" t="e">
        <f t="shared" si="194"/>
        <v>#REF!</v>
      </c>
      <c r="Q950" s="83" t="str">
        <f t="shared" si="196"/>
        <v/>
      </c>
      <c r="R950" s="84" t="e">
        <f t="shared" si="184"/>
        <v>#REF!</v>
      </c>
      <c r="S950" s="83" t="e">
        <f t="shared" si="184"/>
        <v>#REF!</v>
      </c>
      <c r="T950" s="84" t="e">
        <f t="shared" si="185"/>
        <v>#REF!</v>
      </c>
      <c r="U950" s="84" t="e">
        <f t="shared" si="186"/>
        <v>#REF!</v>
      </c>
      <c r="V950" s="85" t="e">
        <f>#REF!</f>
        <v>#REF!</v>
      </c>
      <c r="W950" s="86">
        <f t="shared" si="187"/>
        <v>0</v>
      </c>
      <c r="X950" s="86">
        <f t="shared" si="187"/>
        <v>0</v>
      </c>
      <c r="Y950" s="87">
        <f t="shared" si="188"/>
        <v>0</v>
      </c>
      <c r="Z950" s="87">
        <f t="shared" si="189"/>
        <v>0</v>
      </c>
      <c r="AA950" s="87">
        <f t="shared" si="190"/>
        <v>4</v>
      </c>
    </row>
    <row r="951" spans="9:27">
      <c r="I951" s="81" t="e">
        <f>IF(#REF!&lt;&gt;"",#REF!,"")</f>
        <v>#REF!</v>
      </c>
      <c r="J951" s="81" t="e">
        <f t="shared" si="191"/>
        <v>#REF!</v>
      </c>
      <c r="L951" s="82" t="e">
        <f t="shared" si="192"/>
        <v>#REF!</v>
      </c>
      <c r="M951" s="81" t="e">
        <f t="shared" si="195"/>
        <v>#REF!</v>
      </c>
      <c r="N951" s="81" t="e">
        <f t="shared" si="193"/>
        <v>#REF!</v>
      </c>
      <c r="O951" s="81" t="e">
        <f t="shared" si="194"/>
        <v>#REF!</v>
      </c>
      <c r="Q951" s="83" t="str">
        <f t="shared" si="196"/>
        <v/>
      </c>
      <c r="R951" s="84" t="e">
        <f t="shared" si="184"/>
        <v>#REF!</v>
      </c>
      <c r="S951" s="83" t="e">
        <f t="shared" si="184"/>
        <v>#REF!</v>
      </c>
      <c r="T951" s="84" t="e">
        <f t="shared" si="185"/>
        <v>#REF!</v>
      </c>
      <c r="U951" s="84" t="e">
        <f t="shared" si="186"/>
        <v>#REF!</v>
      </c>
      <c r="V951" s="85" t="e">
        <f>#REF!</f>
        <v>#REF!</v>
      </c>
      <c r="W951" s="86">
        <f t="shared" si="187"/>
        <v>0</v>
      </c>
      <c r="X951" s="86">
        <f t="shared" si="187"/>
        <v>0</v>
      </c>
      <c r="Y951" s="87">
        <f t="shared" si="188"/>
        <v>0</v>
      </c>
      <c r="Z951" s="87">
        <f t="shared" si="189"/>
        <v>0</v>
      </c>
      <c r="AA951" s="87">
        <f t="shared" si="190"/>
        <v>4</v>
      </c>
    </row>
    <row r="952" spans="9:27">
      <c r="I952" s="81" t="e">
        <f>IF(#REF!&lt;&gt;"",#REF!,"")</f>
        <v>#REF!</v>
      </c>
      <c r="J952" s="81" t="e">
        <f t="shared" si="191"/>
        <v>#REF!</v>
      </c>
      <c r="L952" s="82" t="e">
        <f t="shared" si="192"/>
        <v>#REF!</v>
      </c>
      <c r="M952" s="81" t="e">
        <f t="shared" si="195"/>
        <v>#REF!</v>
      </c>
      <c r="N952" s="81" t="e">
        <f t="shared" si="193"/>
        <v>#REF!</v>
      </c>
      <c r="O952" s="81" t="e">
        <f t="shared" si="194"/>
        <v>#REF!</v>
      </c>
      <c r="Q952" s="83" t="str">
        <f t="shared" si="196"/>
        <v/>
      </c>
      <c r="R952" s="84" t="e">
        <f t="shared" si="184"/>
        <v>#REF!</v>
      </c>
      <c r="S952" s="83" t="e">
        <f t="shared" si="184"/>
        <v>#REF!</v>
      </c>
      <c r="T952" s="84" t="e">
        <f t="shared" si="185"/>
        <v>#REF!</v>
      </c>
      <c r="U952" s="84" t="e">
        <f t="shared" si="186"/>
        <v>#REF!</v>
      </c>
      <c r="V952" s="85" t="e">
        <f>#REF!</f>
        <v>#REF!</v>
      </c>
      <c r="W952" s="86">
        <f t="shared" si="187"/>
        <v>0</v>
      </c>
      <c r="X952" s="86">
        <f t="shared" si="187"/>
        <v>0</v>
      </c>
      <c r="Y952" s="87">
        <f t="shared" si="188"/>
        <v>0</v>
      </c>
      <c r="Z952" s="87">
        <f t="shared" si="189"/>
        <v>0</v>
      </c>
      <c r="AA952" s="87">
        <f t="shared" si="190"/>
        <v>4</v>
      </c>
    </row>
    <row r="953" spans="9:27">
      <c r="I953" s="81" t="e">
        <f>IF(#REF!&lt;&gt;"",#REF!,"")</f>
        <v>#REF!</v>
      </c>
      <c r="J953" s="81" t="e">
        <f t="shared" si="191"/>
        <v>#REF!</v>
      </c>
      <c r="L953" s="82" t="e">
        <f t="shared" si="192"/>
        <v>#REF!</v>
      </c>
      <c r="M953" s="81" t="e">
        <f t="shared" si="195"/>
        <v>#REF!</v>
      </c>
      <c r="N953" s="81" t="e">
        <f t="shared" si="193"/>
        <v>#REF!</v>
      </c>
      <c r="O953" s="81" t="e">
        <f t="shared" si="194"/>
        <v>#REF!</v>
      </c>
      <c r="Q953" s="83" t="str">
        <f t="shared" si="196"/>
        <v/>
      </c>
      <c r="R953" s="84" t="e">
        <f t="shared" si="184"/>
        <v>#REF!</v>
      </c>
      <c r="S953" s="83" t="e">
        <f t="shared" si="184"/>
        <v>#REF!</v>
      </c>
      <c r="T953" s="84" t="e">
        <f t="shared" si="185"/>
        <v>#REF!</v>
      </c>
      <c r="U953" s="84" t="e">
        <f t="shared" si="186"/>
        <v>#REF!</v>
      </c>
      <c r="V953" s="85" t="e">
        <f>#REF!</f>
        <v>#REF!</v>
      </c>
      <c r="W953" s="86">
        <f t="shared" si="187"/>
        <v>0</v>
      </c>
      <c r="X953" s="86">
        <f t="shared" si="187"/>
        <v>0</v>
      </c>
      <c r="Y953" s="87">
        <f t="shared" si="188"/>
        <v>0</v>
      </c>
      <c r="Z953" s="87">
        <f t="shared" si="189"/>
        <v>0</v>
      </c>
      <c r="AA953" s="87">
        <f t="shared" si="190"/>
        <v>4</v>
      </c>
    </row>
    <row r="954" spans="9:27">
      <c r="I954" s="81" t="e">
        <f>IF(#REF!&lt;&gt;"",#REF!,"")</f>
        <v>#REF!</v>
      </c>
      <c r="J954" s="81" t="e">
        <f t="shared" si="191"/>
        <v>#REF!</v>
      </c>
      <c r="L954" s="82" t="e">
        <f t="shared" si="192"/>
        <v>#REF!</v>
      </c>
      <c r="M954" s="81" t="e">
        <f t="shared" si="195"/>
        <v>#REF!</v>
      </c>
      <c r="N954" s="81" t="e">
        <f t="shared" si="193"/>
        <v>#REF!</v>
      </c>
      <c r="O954" s="81" t="e">
        <f t="shared" si="194"/>
        <v>#REF!</v>
      </c>
      <c r="Q954" s="83" t="str">
        <f t="shared" si="196"/>
        <v/>
      </c>
      <c r="R954" s="84" t="e">
        <f t="shared" si="184"/>
        <v>#REF!</v>
      </c>
      <c r="S954" s="83" t="e">
        <f t="shared" si="184"/>
        <v>#REF!</v>
      </c>
      <c r="T954" s="84" t="e">
        <f t="shared" si="185"/>
        <v>#REF!</v>
      </c>
      <c r="U954" s="84" t="e">
        <f t="shared" si="186"/>
        <v>#REF!</v>
      </c>
      <c r="V954" s="85" t="e">
        <f>#REF!</f>
        <v>#REF!</v>
      </c>
      <c r="W954" s="86">
        <f t="shared" si="187"/>
        <v>0</v>
      </c>
      <c r="X954" s="86">
        <f t="shared" si="187"/>
        <v>0</v>
      </c>
      <c r="Y954" s="87">
        <f t="shared" si="188"/>
        <v>0</v>
      </c>
      <c r="Z954" s="87">
        <f t="shared" si="189"/>
        <v>0</v>
      </c>
      <c r="AA954" s="87">
        <f t="shared" si="190"/>
        <v>4</v>
      </c>
    </row>
    <row r="955" spans="9:27">
      <c r="I955" s="81" t="e">
        <f>IF(#REF!&lt;&gt;"",#REF!,"")</f>
        <v>#REF!</v>
      </c>
      <c r="J955" s="81" t="e">
        <f t="shared" si="191"/>
        <v>#REF!</v>
      </c>
      <c r="L955" s="82" t="e">
        <f t="shared" si="192"/>
        <v>#REF!</v>
      </c>
      <c r="M955" s="81" t="e">
        <f t="shared" si="195"/>
        <v>#REF!</v>
      </c>
      <c r="N955" s="81" t="e">
        <f t="shared" si="193"/>
        <v>#REF!</v>
      </c>
      <c r="O955" s="81" t="e">
        <f t="shared" si="194"/>
        <v>#REF!</v>
      </c>
      <c r="Q955" s="83" t="str">
        <f t="shared" si="196"/>
        <v/>
      </c>
      <c r="R955" s="84" t="e">
        <f t="shared" si="184"/>
        <v>#REF!</v>
      </c>
      <c r="S955" s="83" t="e">
        <f t="shared" si="184"/>
        <v>#REF!</v>
      </c>
      <c r="T955" s="84" t="e">
        <f t="shared" si="185"/>
        <v>#REF!</v>
      </c>
      <c r="U955" s="84" t="e">
        <f t="shared" si="186"/>
        <v>#REF!</v>
      </c>
      <c r="V955" s="85" t="e">
        <f>#REF!</f>
        <v>#REF!</v>
      </c>
      <c r="W955" s="86">
        <f t="shared" si="187"/>
        <v>0</v>
      </c>
      <c r="X955" s="86">
        <f t="shared" si="187"/>
        <v>0</v>
      </c>
      <c r="Y955" s="87">
        <f t="shared" si="188"/>
        <v>0</v>
      </c>
      <c r="Z955" s="87">
        <f t="shared" si="189"/>
        <v>0</v>
      </c>
      <c r="AA955" s="87">
        <f t="shared" si="190"/>
        <v>4</v>
      </c>
    </row>
    <row r="956" spans="9:27">
      <c r="I956" s="81" t="e">
        <f>IF(#REF!&lt;&gt;"",#REF!,"")</f>
        <v>#REF!</v>
      </c>
      <c r="J956" s="81" t="e">
        <f t="shared" si="191"/>
        <v>#REF!</v>
      </c>
      <c r="L956" s="82" t="e">
        <f t="shared" si="192"/>
        <v>#REF!</v>
      </c>
      <c r="M956" s="81" t="e">
        <f t="shared" si="195"/>
        <v>#REF!</v>
      </c>
      <c r="N956" s="81" t="e">
        <f t="shared" si="193"/>
        <v>#REF!</v>
      </c>
      <c r="O956" s="81" t="e">
        <f t="shared" si="194"/>
        <v>#REF!</v>
      </c>
      <c r="Q956" s="83" t="str">
        <f t="shared" si="196"/>
        <v/>
      </c>
      <c r="R956" s="84" t="e">
        <f t="shared" si="184"/>
        <v>#REF!</v>
      </c>
      <c r="S956" s="83" t="e">
        <f t="shared" si="184"/>
        <v>#REF!</v>
      </c>
      <c r="T956" s="84" t="e">
        <f t="shared" si="185"/>
        <v>#REF!</v>
      </c>
      <c r="U956" s="84" t="e">
        <f t="shared" si="186"/>
        <v>#REF!</v>
      </c>
      <c r="V956" s="85" t="e">
        <f>#REF!</f>
        <v>#REF!</v>
      </c>
      <c r="W956" s="86">
        <f t="shared" si="187"/>
        <v>0</v>
      </c>
      <c r="X956" s="86">
        <f t="shared" si="187"/>
        <v>0</v>
      </c>
      <c r="Y956" s="87">
        <f t="shared" si="188"/>
        <v>0</v>
      </c>
      <c r="Z956" s="87">
        <f t="shared" si="189"/>
        <v>0</v>
      </c>
      <c r="AA956" s="87">
        <f t="shared" si="190"/>
        <v>4</v>
      </c>
    </row>
    <row r="957" spans="9:27">
      <c r="I957" s="81" t="e">
        <f>IF(#REF!&lt;&gt;"",#REF!,"")</f>
        <v>#REF!</v>
      </c>
      <c r="J957" s="81" t="e">
        <f t="shared" si="191"/>
        <v>#REF!</v>
      </c>
      <c r="L957" s="82" t="e">
        <f t="shared" si="192"/>
        <v>#REF!</v>
      </c>
      <c r="M957" s="81" t="e">
        <f t="shared" si="195"/>
        <v>#REF!</v>
      </c>
      <c r="N957" s="81" t="e">
        <f t="shared" si="193"/>
        <v>#REF!</v>
      </c>
      <c r="O957" s="81" t="e">
        <f t="shared" si="194"/>
        <v>#REF!</v>
      </c>
      <c r="Q957" s="83" t="str">
        <f t="shared" si="196"/>
        <v/>
      </c>
      <c r="R957" s="84" t="e">
        <f t="shared" si="184"/>
        <v>#REF!</v>
      </c>
      <c r="S957" s="83" t="e">
        <f t="shared" si="184"/>
        <v>#REF!</v>
      </c>
      <c r="T957" s="84" t="e">
        <f t="shared" si="185"/>
        <v>#REF!</v>
      </c>
      <c r="U957" s="84" t="e">
        <f t="shared" si="186"/>
        <v>#REF!</v>
      </c>
      <c r="V957" s="85" t="e">
        <f>#REF!</f>
        <v>#REF!</v>
      </c>
      <c r="W957" s="86">
        <f t="shared" si="187"/>
        <v>0</v>
      </c>
      <c r="X957" s="86">
        <f t="shared" si="187"/>
        <v>0</v>
      </c>
      <c r="Y957" s="87">
        <f t="shared" si="188"/>
        <v>0</v>
      </c>
      <c r="Z957" s="87">
        <f t="shared" si="189"/>
        <v>0</v>
      </c>
      <c r="AA957" s="87">
        <f t="shared" si="190"/>
        <v>4</v>
      </c>
    </row>
    <row r="958" spans="9:27">
      <c r="I958" s="81" t="e">
        <f>IF(#REF!&lt;&gt;"",#REF!,"")</f>
        <v>#REF!</v>
      </c>
      <c r="J958" s="81" t="e">
        <f t="shared" si="191"/>
        <v>#REF!</v>
      </c>
      <c r="L958" s="82" t="e">
        <f t="shared" si="192"/>
        <v>#REF!</v>
      </c>
      <c r="M958" s="81" t="e">
        <f t="shared" si="195"/>
        <v>#REF!</v>
      </c>
      <c r="N958" s="81" t="e">
        <f t="shared" si="193"/>
        <v>#REF!</v>
      </c>
      <c r="O958" s="81" t="e">
        <f t="shared" si="194"/>
        <v>#REF!</v>
      </c>
      <c r="Q958" s="83" t="str">
        <f t="shared" si="196"/>
        <v/>
      </c>
      <c r="R958" s="84" t="e">
        <f t="shared" si="184"/>
        <v>#REF!</v>
      </c>
      <c r="S958" s="83" t="e">
        <f t="shared" si="184"/>
        <v>#REF!</v>
      </c>
      <c r="T958" s="84" t="e">
        <f t="shared" si="185"/>
        <v>#REF!</v>
      </c>
      <c r="U958" s="84" t="e">
        <f t="shared" si="186"/>
        <v>#REF!</v>
      </c>
      <c r="V958" s="85" t="e">
        <f>#REF!</f>
        <v>#REF!</v>
      </c>
      <c r="W958" s="86">
        <f t="shared" si="187"/>
        <v>0</v>
      </c>
      <c r="X958" s="86">
        <f t="shared" si="187"/>
        <v>0</v>
      </c>
      <c r="Y958" s="87">
        <f t="shared" si="188"/>
        <v>0</v>
      </c>
      <c r="Z958" s="87">
        <f t="shared" si="189"/>
        <v>0</v>
      </c>
      <c r="AA958" s="87">
        <f t="shared" si="190"/>
        <v>4</v>
      </c>
    </row>
    <row r="959" spans="9:27">
      <c r="I959" s="81" t="e">
        <f>IF(#REF!&lt;&gt;"",#REF!,"")</f>
        <v>#REF!</v>
      </c>
      <c r="J959" s="81" t="e">
        <f t="shared" si="191"/>
        <v>#REF!</v>
      </c>
      <c r="L959" s="82" t="e">
        <f t="shared" si="192"/>
        <v>#REF!</v>
      </c>
      <c r="M959" s="81" t="e">
        <f t="shared" si="195"/>
        <v>#REF!</v>
      </c>
      <c r="N959" s="81" t="e">
        <f t="shared" si="193"/>
        <v>#REF!</v>
      </c>
      <c r="O959" s="81" t="e">
        <f t="shared" si="194"/>
        <v>#REF!</v>
      </c>
      <c r="Q959" s="83" t="str">
        <f t="shared" si="196"/>
        <v/>
      </c>
      <c r="R959" s="84" t="e">
        <f t="shared" si="184"/>
        <v>#REF!</v>
      </c>
      <c r="S959" s="83" t="e">
        <f t="shared" si="184"/>
        <v>#REF!</v>
      </c>
      <c r="T959" s="84" t="e">
        <f t="shared" si="185"/>
        <v>#REF!</v>
      </c>
      <c r="U959" s="84" t="e">
        <f t="shared" si="186"/>
        <v>#REF!</v>
      </c>
      <c r="V959" s="85" t="e">
        <f>#REF!</f>
        <v>#REF!</v>
      </c>
      <c r="W959" s="86">
        <f t="shared" si="187"/>
        <v>0</v>
      </c>
      <c r="X959" s="86">
        <f t="shared" si="187"/>
        <v>0</v>
      </c>
      <c r="Y959" s="87">
        <f t="shared" si="188"/>
        <v>0</v>
      </c>
      <c r="Z959" s="87">
        <f t="shared" si="189"/>
        <v>0</v>
      </c>
      <c r="AA959" s="87">
        <f t="shared" si="190"/>
        <v>4</v>
      </c>
    </row>
    <row r="960" spans="9:27">
      <c r="I960" s="81" t="e">
        <f>IF(#REF!&lt;&gt;"",#REF!,"")</f>
        <v>#REF!</v>
      </c>
      <c r="J960" s="81" t="e">
        <f t="shared" si="191"/>
        <v>#REF!</v>
      </c>
      <c r="L960" s="82" t="e">
        <f t="shared" si="192"/>
        <v>#REF!</v>
      </c>
      <c r="M960" s="81" t="e">
        <f t="shared" si="195"/>
        <v>#REF!</v>
      </c>
      <c r="N960" s="81" t="e">
        <f t="shared" si="193"/>
        <v>#REF!</v>
      </c>
      <c r="O960" s="81" t="e">
        <f t="shared" si="194"/>
        <v>#REF!</v>
      </c>
      <c r="Q960" s="83" t="str">
        <f t="shared" si="196"/>
        <v/>
      </c>
      <c r="R960" s="84" t="e">
        <f t="shared" ref="R960:S986" si="197">IF(L960="","",L960)</f>
        <v>#REF!</v>
      </c>
      <c r="S960" s="83" t="e">
        <f t="shared" si="197"/>
        <v>#REF!</v>
      </c>
      <c r="T960" s="84" t="e">
        <f t="shared" ref="T960:T986" si="198">IF(W960=1,"",N960)</f>
        <v>#REF!</v>
      </c>
      <c r="U960" s="84" t="e">
        <f t="shared" ref="U960:U986" si="199">IF(OR(W960=1,X960=1),"",O960)</f>
        <v>#REF!</v>
      </c>
      <c r="V960" s="85" t="e">
        <f>#REF!</f>
        <v>#REF!</v>
      </c>
      <c r="W960" s="86">
        <f t="shared" si="187"/>
        <v>0</v>
      </c>
      <c r="X960" s="86">
        <f t="shared" si="187"/>
        <v>0</v>
      </c>
      <c r="Y960" s="87">
        <f t="shared" si="188"/>
        <v>0</v>
      </c>
      <c r="Z960" s="87">
        <f t="shared" si="189"/>
        <v>0</v>
      </c>
      <c r="AA960" s="87">
        <f t="shared" si="190"/>
        <v>4</v>
      </c>
    </row>
    <row r="961" spans="9:27">
      <c r="I961" s="81" t="e">
        <f>IF(#REF!&lt;&gt;"",#REF!,"")</f>
        <v>#REF!</v>
      </c>
      <c r="J961" s="81" t="e">
        <f t="shared" si="191"/>
        <v>#REF!</v>
      </c>
      <c r="L961" s="82" t="e">
        <f t="shared" si="192"/>
        <v>#REF!</v>
      </c>
      <c r="M961" s="81" t="e">
        <f t="shared" si="195"/>
        <v>#REF!</v>
      </c>
      <c r="N961" s="81" t="e">
        <f t="shared" si="193"/>
        <v>#REF!</v>
      </c>
      <c r="O961" s="81" t="e">
        <f t="shared" si="194"/>
        <v>#REF!</v>
      </c>
      <c r="Q961" s="83" t="str">
        <f t="shared" si="196"/>
        <v/>
      </c>
      <c r="R961" s="84" t="e">
        <f t="shared" si="197"/>
        <v>#REF!</v>
      </c>
      <c r="S961" s="83" t="e">
        <f t="shared" si="197"/>
        <v>#REF!</v>
      </c>
      <c r="T961" s="84" t="e">
        <f t="shared" si="198"/>
        <v>#REF!</v>
      </c>
      <c r="U961" s="84" t="e">
        <f t="shared" si="199"/>
        <v>#REF!</v>
      </c>
      <c r="V961" s="85" t="e">
        <f>#REF!</f>
        <v>#REF!</v>
      </c>
      <c r="W961" s="86">
        <f t="shared" ref="W961:X986" si="200">COUNTIFS(R961,"&gt;&lt;")</f>
        <v>0</v>
      </c>
      <c r="X961" s="86">
        <f t="shared" si="200"/>
        <v>0</v>
      </c>
      <c r="Y961" s="87">
        <f t="shared" ref="Y961:Y986" si="201">COUNTIFS(R961:U961,"*")</f>
        <v>0</v>
      </c>
      <c r="Z961" s="87">
        <f t="shared" ref="Z961:Z986" si="202">COUNTIFS(R961:U961,"&gt;&lt;")</f>
        <v>0</v>
      </c>
      <c r="AA961" s="87">
        <f t="shared" ref="AA961:AA986" si="203">COUNTIFS(R961:U961,"&lt;&gt;")</f>
        <v>4</v>
      </c>
    </row>
    <row r="962" spans="9:27">
      <c r="I962" s="81" t="e">
        <f>IF(#REF!&lt;&gt;"",#REF!,"")</f>
        <v>#REF!</v>
      </c>
      <c r="J962" s="81" t="e">
        <f t="shared" si="191"/>
        <v>#REF!</v>
      </c>
      <c r="L962" s="82" t="e">
        <f t="shared" si="192"/>
        <v>#REF!</v>
      </c>
      <c r="M962" s="81" t="e">
        <f t="shared" si="195"/>
        <v>#REF!</v>
      </c>
      <c r="N962" s="81" t="e">
        <f t="shared" si="193"/>
        <v>#REF!</v>
      </c>
      <c r="O962" s="81" t="e">
        <f t="shared" si="194"/>
        <v>#REF!</v>
      </c>
      <c r="Q962" s="83" t="str">
        <f t="shared" si="196"/>
        <v/>
      </c>
      <c r="R962" s="84" t="e">
        <f t="shared" si="197"/>
        <v>#REF!</v>
      </c>
      <c r="S962" s="83" t="e">
        <f t="shared" si="197"/>
        <v>#REF!</v>
      </c>
      <c r="T962" s="84" t="e">
        <f t="shared" si="198"/>
        <v>#REF!</v>
      </c>
      <c r="U962" s="84" t="e">
        <f t="shared" si="199"/>
        <v>#REF!</v>
      </c>
      <c r="V962" s="85" t="e">
        <f>#REF!</f>
        <v>#REF!</v>
      </c>
      <c r="W962" s="86">
        <f t="shared" si="200"/>
        <v>0</v>
      </c>
      <c r="X962" s="86">
        <f t="shared" si="200"/>
        <v>0</v>
      </c>
      <c r="Y962" s="87">
        <f t="shared" si="201"/>
        <v>0</v>
      </c>
      <c r="Z962" s="87">
        <f t="shared" si="202"/>
        <v>0</v>
      </c>
      <c r="AA962" s="87">
        <f t="shared" si="203"/>
        <v>4</v>
      </c>
    </row>
    <row r="963" spans="9:27">
      <c r="I963" s="81" t="e">
        <f>IF(#REF!&lt;&gt;"",#REF!,"")</f>
        <v>#REF!</v>
      </c>
      <c r="J963" s="81" t="e">
        <f t="shared" ref="J963:J988" si="204">LEFT(I963,1)</f>
        <v>#REF!</v>
      </c>
      <c r="L963" s="82" t="e">
        <f t="shared" ref="L963:L986" si="205">IF(OR(J963="E",J963="L",J963="M"),"",I963)</f>
        <v>#REF!</v>
      </c>
      <c r="M963" s="81" t="e">
        <f t="shared" si="195"/>
        <v>#REF!</v>
      </c>
      <c r="N963" s="81" t="e">
        <f t="shared" ref="N963:N986" si="206">IF(OR(J963="D",J963="E",J963="L"),"",I963)</f>
        <v>#REF!</v>
      </c>
      <c r="O963" s="81" t="e">
        <f t="shared" ref="O963:O986" si="207">IF(OR(J963="D",J963="E",J963="M"),"",I963)</f>
        <v>#REF!</v>
      </c>
      <c r="Q963" s="83" t="str">
        <f t="shared" si="196"/>
        <v/>
      </c>
      <c r="R963" s="84" t="e">
        <f t="shared" si="197"/>
        <v>#REF!</v>
      </c>
      <c r="S963" s="83" t="e">
        <f t="shared" si="197"/>
        <v>#REF!</v>
      </c>
      <c r="T963" s="84" t="e">
        <f t="shared" si="198"/>
        <v>#REF!</v>
      </c>
      <c r="U963" s="84" t="e">
        <f t="shared" si="199"/>
        <v>#REF!</v>
      </c>
      <c r="V963" s="85" t="e">
        <f>#REF!</f>
        <v>#REF!</v>
      </c>
      <c r="W963" s="86">
        <f t="shared" si="200"/>
        <v>0</v>
      </c>
      <c r="X963" s="86">
        <f t="shared" si="200"/>
        <v>0</v>
      </c>
      <c r="Y963" s="87">
        <f t="shared" si="201"/>
        <v>0</v>
      </c>
      <c r="Z963" s="87">
        <f t="shared" si="202"/>
        <v>0</v>
      </c>
      <c r="AA963" s="87">
        <f t="shared" si="203"/>
        <v>4</v>
      </c>
    </row>
    <row r="964" spans="9:27">
      <c r="I964" s="81" t="e">
        <f>IF(#REF!&lt;&gt;"",#REF!,"")</f>
        <v>#REF!</v>
      </c>
      <c r="J964" s="81" t="e">
        <f t="shared" si="204"/>
        <v>#REF!</v>
      </c>
      <c r="L964" s="82" t="e">
        <f t="shared" si="205"/>
        <v>#REF!</v>
      </c>
      <c r="M964" s="81" t="e">
        <f t="shared" si="195"/>
        <v>#REF!</v>
      </c>
      <c r="N964" s="81" t="e">
        <f t="shared" si="206"/>
        <v>#REF!</v>
      </c>
      <c r="O964" s="81" t="e">
        <f t="shared" si="207"/>
        <v>#REF!</v>
      </c>
      <c r="Q964" s="83" t="str">
        <f t="shared" si="196"/>
        <v/>
      </c>
      <c r="R964" s="84" t="e">
        <f t="shared" si="197"/>
        <v>#REF!</v>
      </c>
      <c r="S964" s="83" t="e">
        <f t="shared" si="197"/>
        <v>#REF!</v>
      </c>
      <c r="T964" s="84" t="e">
        <f t="shared" si="198"/>
        <v>#REF!</v>
      </c>
      <c r="U964" s="84" t="e">
        <f t="shared" si="199"/>
        <v>#REF!</v>
      </c>
      <c r="V964" s="85" t="e">
        <f>#REF!</f>
        <v>#REF!</v>
      </c>
      <c r="W964" s="86">
        <f t="shared" si="200"/>
        <v>0</v>
      </c>
      <c r="X964" s="86">
        <f t="shared" si="200"/>
        <v>0</v>
      </c>
      <c r="Y964" s="87">
        <f t="shared" si="201"/>
        <v>0</v>
      </c>
      <c r="Z964" s="87">
        <f t="shared" si="202"/>
        <v>0</v>
      </c>
      <c r="AA964" s="87">
        <f t="shared" si="203"/>
        <v>4</v>
      </c>
    </row>
    <row r="965" spans="9:27">
      <c r="I965" s="81" t="e">
        <f>IF(#REF!&lt;&gt;"",#REF!,"")</f>
        <v>#REF!</v>
      </c>
      <c r="J965" s="81" t="e">
        <f t="shared" si="204"/>
        <v>#REF!</v>
      </c>
      <c r="L965" s="82" t="e">
        <f t="shared" si="205"/>
        <v>#REF!</v>
      </c>
      <c r="M965" s="81" t="e">
        <f t="shared" si="195"/>
        <v>#REF!</v>
      </c>
      <c r="N965" s="81" t="e">
        <f t="shared" si="206"/>
        <v>#REF!</v>
      </c>
      <c r="O965" s="81" t="e">
        <f t="shared" si="207"/>
        <v>#REF!</v>
      </c>
      <c r="Q965" s="83" t="str">
        <f t="shared" si="196"/>
        <v/>
      </c>
      <c r="R965" s="84" t="e">
        <f t="shared" si="197"/>
        <v>#REF!</v>
      </c>
      <c r="S965" s="83" t="e">
        <f t="shared" si="197"/>
        <v>#REF!</v>
      </c>
      <c r="T965" s="84" t="e">
        <f t="shared" si="198"/>
        <v>#REF!</v>
      </c>
      <c r="U965" s="84" t="e">
        <f t="shared" si="199"/>
        <v>#REF!</v>
      </c>
      <c r="V965" s="85" t="e">
        <f>#REF!</f>
        <v>#REF!</v>
      </c>
      <c r="W965" s="86">
        <f t="shared" si="200"/>
        <v>0</v>
      </c>
      <c r="X965" s="86">
        <f t="shared" si="200"/>
        <v>0</v>
      </c>
      <c r="Y965" s="87">
        <f t="shared" si="201"/>
        <v>0</v>
      </c>
      <c r="Z965" s="87">
        <f t="shared" si="202"/>
        <v>0</v>
      </c>
      <c r="AA965" s="87">
        <f t="shared" si="203"/>
        <v>4</v>
      </c>
    </row>
    <row r="966" spans="9:27">
      <c r="I966" s="81" t="e">
        <f>IF(#REF!&lt;&gt;"",#REF!,"")</f>
        <v>#REF!</v>
      </c>
      <c r="J966" s="81" t="e">
        <f t="shared" si="204"/>
        <v>#REF!</v>
      </c>
      <c r="L966" s="82" t="e">
        <f t="shared" si="205"/>
        <v>#REF!</v>
      </c>
      <c r="M966" s="81" t="e">
        <f t="shared" ref="M966:M986" si="208">IF(OR(J966="D",J966="L",J966="M"),"",I966)</f>
        <v>#REF!</v>
      </c>
      <c r="N966" s="81" t="e">
        <f t="shared" si="206"/>
        <v>#REF!</v>
      </c>
      <c r="O966" s="81" t="e">
        <f t="shared" si="207"/>
        <v>#REF!</v>
      </c>
      <c r="Q966" s="83" t="str">
        <f t="shared" si="196"/>
        <v/>
      </c>
      <c r="R966" s="84" t="e">
        <f t="shared" si="197"/>
        <v>#REF!</v>
      </c>
      <c r="S966" s="83" t="e">
        <f t="shared" si="197"/>
        <v>#REF!</v>
      </c>
      <c r="T966" s="84" t="e">
        <f t="shared" si="198"/>
        <v>#REF!</v>
      </c>
      <c r="U966" s="84" t="e">
        <f t="shared" si="199"/>
        <v>#REF!</v>
      </c>
      <c r="V966" s="85" t="e">
        <f>#REF!</f>
        <v>#REF!</v>
      </c>
      <c r="W966" s="86">
        <f t="shared" si="200"/>
        <v>0</v>
      </c>
      <c r="X966" s="86">
        <f t="shared" si="200"/>
        <v>0</v>
      </c>
      <c r="Y966" s="87">
        <f t="shared" si="201"/>
        <v>0</v>
      </c>
      <c r="Z966" s="87">
        <f t="shared" si="202"/>
        <v>0</v>
      </c>
      <c r="AA966" s="87">
        <f t="shared" si="203"/>
        <v>4</v>
      </c>
    </row>
    <row r="967" spans="9:27">
      <c r="I967" s="81" t="e">
        <f>IF(#REF!&lt;&gt;"",#REF!,"")</f>
        <v>#REF!</v>
      </c>
      <c r="J967" s="81" t="e">
        <f t="shared" si="204"/>
        <v>#REF!</v>
      </c>
      <c r="L967" s="82" t="e">
        <f t="shared" si="205"/>
        <v>#REF!</v>
      </c>
      <c r="M967" s="81" t="e">
        <f t="shared" si="208"/>
        <v>#REF!</v>
      </c>
      <c r="N967" s="81" t="e">
        <f t="shared" si="206"/>
        <v>#REF!</v>
      </c>
      <c r="O967" s="81" t="e">
        <f t="shared" si="207"/>
        <v>#REF!</v>
      </c>
      <c r="Q967" s="83" t="str">
        <f t="shared" si="196"/>
        <v/>
      </c>
      <c r="R967" s="84" t="e">
        <f t="shared" si="197"/>
        <v>#REF!</v>
      </c>
      <c r="S967" s="83" t="e">
        <f t="shared" si="197"/>
        <v>#REF!</v>
      </c>
      <c r="T967" s="84" t="e">
        <f t="shared" si="198"/>
        <v>#REF!</v>
      </c>
      <c r="U967" s="84" t="e">
        <f t="shared" si="199"/>
        <v>#REF!</v>
      </c>
      <c r="V967" s="85" t="e">
        <f>#REF!</f>
        <v>#REF!</v>
      </c>
      <c r="W967" s="86">
        <f t="shared" si="200"/>
        <v>0</v>
      </c>
      <c r="X967" s="86">
        <f t="shared" si="200"/>
        <v>0</v>
      </c>
      <c r="Y967" s="87">
        <f t="shared" si="201"/>
        <v>0</v>
      </c>
      <c r="Z967" s="87">
        <f t="shared" si="202"/>
        <v>0</v>
      </c>
      <c r="AA967" s="87">
        <f t="shared" si="203"/>
        <v>4</v>
      </c>
    </row>
    <row r="968" spans="9:27">
      <c r="I968" s="81" t="e">
        <f>IF(#REF!&lt;&gt;"",#REF!,"")</f>
        <v>#REF!</v>
      </c>
      <c r="J968" s="81" t="e">
        <f t="shared" si="204"/>
        <v>#REF!</v>
      </c>
      <c r="L968" s="82" t="e">
        <f t="shared" si="205"/>
        <v>#REF!</v>
      </c>
      <c r="M968" s="81" t="e">
        <f t="shared" si="208"/>
        <v>#REF!</v>
      </c>
      <c r="N968" s="81" t="e">
        <f t="shared" si="206"/>
        <v>#REF!</v>
      </c>
      <c r="O968" s="81" t="e">
        <f t="shared" si="207"/>
        <v>#REF!</v>
      </c>
      <c r="Q968" s="83" t="str">
        <f t="shared" si="196"/>
        <v/>
      </c>
      <c r="R968" s="84" t="e">
        <f t="shared" si="197"/>
        <v>#REF!</v>
      </c>
      <c r="S968" s="83" t="e">
        <f t="shared" si="197"/>
        <v>#REF!</v>
      </c>
      <c r="T968" s="84" t="e">
        <f t="shared" si="198"/>
        <v>#REF!</v>
      </c>
      <c r="U968" s="84" t="e">
        <f t="shared" si="199"/>
        <v>#REF!</v>
      </c>
      <c r="V968" s="85" t="e">
        <f>#REF!</f>
        <v>#REF!</v>
      </c>
      <c r="W968" s="86">
        <f t="shared" si="200"/>
        <v>0</v>
      </c>
      <c r="X968" s="86">
        <f t="shared" si="200"/>
        <v>0</v>
      </c>
      <c r="Y968" s="87">
        <f t="shared" si="201"/>
        <v>0</v>
      </c>
      <c r="Z968" s="87">
        <f t="shared" si="202"/>
        <v>0</v>
      </c>
      <c r="AA968" s="87">
        <f t="shared" si="203"/>
        <v>4</v>
      </c>
    </row>
    <row r="969" spans="9:27">
      <c r="I969" s="81" t="e">
        <f>IF(#REF!&lt;&gt;"",#REF!,"")</f>
        <v>#REF!</v>
      </c>
      <c r="J969" s="81" t="e">
        <f t="shared" si="204"/>
        <v>#REF!</v>
      </c>
      <c r="L969" s="82" t="e">
        <f t="shared" si="205"/>
        <v>#REF!</v>
      </c>
      <c r="M969" s="81" t="e">
        <f t="shared" si="208"/>
        <v>#REF!</v>
      </c>
      <c r="N969" s="81" t="e">
        <f t="shared" si="206"/>
        <v>#REF!</v>
      </c>
      <c r="O969" s="81" t="e">
        <f t="shared" si="207"/>
        <v>#REF!</v>
      </c>
      <c r="Q969" s="83" t="str">
        <f t="shared" si="196"/>
        <v/>
      </c>
      <c r="R969" s="84" t="e">
        <f t="shared" si="197"/>
        <v>#REF!</v>
      </c>
      <c r="S969" s="83" t="e">
        <f t="shared" si="197"/>
        <v>#REF!</v>
      </c>
      <c r="T969" s="84" t="e">
        <f t="shared" si="198"/>
        <v>#REF!</v>
      </c>
      <c r="U969" s="84" t="e">
        <f t="shared" si="199"/>
        <v>#REF!</v>
      </c>
      <c r="V969" s="85" t="e">
        <f>#REF!</f>
        <v>#REF!</v>
      </c>
      <c r="W969" s="86">
        <f t="shared" si="200"/>
        <v>0</v>
      </c>
      <c r="X969" s="86">
        <f t="shared" si="200"/>
        <v>0</v>
      </c>
      <c r="Y969" s="87">
        <f t="shared" si="201"/>
        <v>0</v>
      </c>
      <c r="Z969" s="87">
        <f t="shared" si="202"/>
        <v>0</v>
      </c>
      <c r="AA969" s="87">
        <f t="shared" si="203"/>
        <v>4</v>
      </c>
    </row>
    <row r="970" spans="9:27">
      <c r="I970" s="81" t="e">
        <f>IF(#REF!&lt;&gt;"",#REF!,"")</f>
        <v>#REF!</v>
      </c>
      <c r="J970" s="81" t="e">
        <f t="shared" si="204"/>
        <v>#REF!</v>
      </c>
      <c r="L970" s="82" t="e">
        <f t="shared" si="205"/>
        <v>#REF!</v>
      </c>
      <c r="M970" s="81" t="e">
        <f t="shared" si="208"/>
        <v>#REF!</v>
      </c>
      <c r="N970" s="81" t="e">
        <f t="shared" si="206"/>
        <v>#REF!</v>
      </c>
      <c r="O970" s="81" t="e">
        <f t="shared" si="207"/>
        <v>#REF!</v>
      </c>
      <c r="Q970" s="83" t="str">
        <f t="shared" si="196"/>
        <v/>
      </c>
      <c r="R970" s="84" t="e">
        <f t="shared" si="197"/>
        <v>#REF!</v>
      </c>
      <c r="S970" s="83" t="e">
        <f t="shared" si="197"/>
        <v>#REF!</v>
      </c>
      <c r="T970" s="84" t="e">
        <f t="shared" si="198"/>
        <v>#REF!</v>
      </c>
      <c r="U970" s="84" t="e">
        <f t="shared" si="199"/>
        <v>#REF!</v>
      </c>
      <c r="V970" s="85" t="e">
        <f>#REF!</f>
        <v>#REF!</v>
      </c>
      <c r="W970" s="86">
        <f t="shared" si="200"/>
        <v>0</v>
      </c>
      <c r="X970" s="86">
        <f t="shared" si="200"/>
        <v>0</v>
      </c>
      <c r="Y970" s="87">
        <f t="shared" si="201"/>
        <v>0</v>
      </c>
      <c r="Z970" s="87">
        <f t="shared" si="202"/>
        <v>0</v>
      </c>
      <c r="AA970" s="87">
        <f t="shared" si="203"/>
        <v>4</v>
      </c>
    </row>
    <row r="971" spans="9:27">
      <c r="I971" s="81" t="e">
        <f>IF(#REF!&lt;&gt;"",#REF!,"")</f>
        <v>#REF!</v>
      </c>
      <c r="J971" s="81" t="e">
        <f t="shared" si="204"/>
        <v>#REF!</v>
      </c>
      <c r="L971" s="82" t="e">
        <f t="shared" si="205"/>
        <v>#REF!</v>
      </c>
      <c r="M971" s="81" t="e">
        <f t="shared" si="208"/>
        <v>#REF!</v>
      </c>
      <c r="N971" s="81" t="e">
        <f t="shared" si="206"/>
        <v>#REF!</v>
      </c>
      <c r="O971" s="81" t="e">
        <f t="shared" si="207"/>
        <v>#REF!</v>
      </c>
      <c r="Q971" s="83" t="str">
        <f t="shared" si="196"/>
        <v/>
      </c>
      <c r="R971" s="84" t="e">
        <f t="shared" si="197"/>
        <v>#REF!</v>
      </c>
      <c r="S971" s="83" t="e">
        <f t="shared" si="197"/>
        <v>#REF!</v>
      </c>
      <c r="T971" s="84" t="e">
        <f t="shared" si="198"/>
        <v>#REF!</v>
      </c>
      <c r="U971" s="84" t="e">
        <f t="shared" si="199"/>
        <v>#REF!</v>
      </c>
      <c r="V971" s="85" t="e">
        <f>#REF!</f>
        <v>#REF!</v>
      </c>
      <c r="W971" s="86">
        <f t="shared" si="200"/>
        <v>0</v>
      </c>
      <c r="X971" s="86">
        <f t="shared" si="200"/>
        <v>0</v>
      </c>
      <c r="Y971" s="87">
        <f t="shared" si="201"/>
        <v>0</v>
      </c>
      <c r="Z971" s="87">
        <f t="shared" si="202"/>
        <v>0</v>
      </c>
      <c r="AA971" s="87">
        <f t="shared" si="203"/>
        <v>4</v>
      </c>
    </row>
    <row r="972" spans="9:27">
      <c r="I972" s="81" t="e">
        <f>IF(#REF!&lt;&gt;"",#REF!,"")</f>
        <v>#REF!</v>
      </c>
      <c r="J972" s="81" t="e">
        <f t="shared" si="204"/>
        <v>#REF!</v>
      </c>
      <c r="L972" s="82" t="e">
        <f t="shared" si="205"/>
        <v>#REF!</v>
      </c>
      <c r="M972" s="81" t="e">
        <f t="shared" si="208"/>
        <v>#REF!</v>
      </c>
      <c r="N972" s="81" t="e">
        <f t="shared" si="206"/>
        <v>#REF!</v>
      </c>
      <c r="O972" s="81" t="e">
        <f t="shared" si="207"/>
        <v>#REF!</v>
      </c>
      <c r="Q972" s="83" t="str">
        <f t="shared" si="196"/>
        <v/>
      </c>
      <c r="R972" s="84" t="e">
        <f t="shared" si="197"/>
        <v>#REF!</v>
      </c>
      <c r="S972" s="83" t="e">
        <f t="shared" si="197"/>
        <v>#REF!</v>
      </c>
      <c r="T972" s="84" t="e">
        <f t="shared" si="198"/>
        <v>#REF!</v>
      </c>
      <c r="U972" s="84" t="e">
        <f t="shared" si="199"/>
        <v>#REF!</v>
      </c>
      <c r="V972" s="85" t="e">
        <f>#REF!</f>
        <v>#REF!</v>
      </c>
      <c r="W972" s="86">
        <f t="shared" si="200"/>
        <v>0</v>
      </c>
      <c r="X972" s="86">
        <f t="shared" si="200"/>
        <v>0</v>
      </c>
      <c r="Y972" s="87">
        <f t="shared" si="201"/>
        <v>0</v>
      </c>
      <c r="Z972" s="87">
        <f t="shared" si="202"/>
        <v>0</v>
      </c>
      <c r="AA972" s="87">
        <f t="shared" si="203"/>
        <v>4</v>
      </c>
    </row>
    <row r="973" spans="9:27">
      <c r="I973" s="81" t="e">
        <f>IF(#REF!&lt;&gt;"",#REF!,"")</f>
        <v>#REF!</v>
      </c>
      <c r="J973" s="81" t="e">
        <f t="shared" si="204"/>
        <v>#REF!</v>
      </c>
      <c r="L973" s="82" t="e">
        <f t="shared" si="205"/>
        <v>#REF!</v>
      </c>
      <c r="M973" s="81" t="e">
        <f t="shared" si="208"/>
        <v>#REF!</v>
      </c>
      <c r="N973" s="81" t="e">
        <f t="shared" si="206"/>
        <v>#REF!</v>
      </c>
      <c r="O973" s="81" t="e">
        <f t="shared" si="207"/>
        <v>#REF!</v>
      </c>
      <c r="Q973" s="83" t="str">
        <f t="shared" si="196"/>
        <v/>
      </c>
      <c r="R973" s="84" t="e">
        <f t="shared" si="197"/>
        <v>#REF!</v>
      </c>
      <c r="S973" s="83" t="e">
        <f t="shared" si="197"/>
        <v>#REF!</v>
      </c>
      <c r="T973" s="84" t="e">
        <f t="shared" si="198"/>
        <v>#REF!</v>
      </c>
      <c r="U973" s="84" t="e">
        <f t="shared" si="199"/>
        <v>#REF!</v>
      </c>
      <c r="V973" s="85" t="e">
        <f>#REF!</f>
        <v>#REF!</v>
      </c>
      <c r="W973" s="86">
        <f t="shared" si="200"/>
        <v>0</v>
      </c>
      <c r="X973" s="86">
        <f t="shared" si="200"/>
        <v>0</v>
      </c>
      <c r="Y973" s="87">
        <f t="shared" si="201"/>
        <v>0</v>
      </c>
      <c r="Z973" s="87">
        <f t="shared" si="202"/>
        <v>0</v>
      </c>
      <c r="AA973" s="87">
        <f t="shared" si="203"/>
        <v>4</v>
      </c>
    </row>
    <row r="974" spans="9:27">
      <c r="I974" s="81" t="e">
        <f>IF(#REF!&lt;&gt;"",#REF!,"")</f>
        <v>#REF!</v>
      </c>
      <c r="J974" s="81" t="e">
        <f t="shared" si="204"/>
        <v>#REF!</v>
      </c>
      <c r="L974" s="82" t="e">
        <f t="shared" si="205"/>
        <v>#REF!</v>
      </c>
      <c r="M974" s="81" t="e">
        <f t="shared" si="208"/>
        <v>#REF!</v>
      </c>
      <c r="N974" s="81" t="e">
        <f t="shared" si="206"/>
        <v>#REF!</v>
      </c>
      <c r="O974" s="81" t="e">
        <f t="shared" si="207"/>
        <v>#REF!</v>
      </c>
      <c r="Q974" s="83" t="str">
        <f t="shared" si="196"/>
        <v/>
      </c>
      <c r="R974" s="84" t="e">
        <f t="shared" si="197"/>
        <v>#REF!</v>
      </c>
      <c r="S974" s="83" t="e">
        <f t="shared" si="197"/>
        <v>#REF!</v>
      </c>
      <c r="T974" s="84" t="e">
        <f t="shared" si="198"/>
        <v>#REF!</v>
      </c>
      <c r="U974" s="84" t="e">
        <f t="shared" si="199"/>
        <v>#REF!</v>
      </c>
      <c r="V974" s="85" t="e">
        <f>#REF!</f>
        <v>#REF!</v>
      </c>
      <c r="W974" s="86">
        <f t="shared" si="200"/>
        <v>0</v>
      </c>
      <c r="X974" s="86">
        <f t="shared" si="200"/>
        <v>0</v>
      </c>
      <c r="Y974" s="87">
        <f t="shared" si="201"/>
        <v>0</v>
      </c>
      <c r="Z974" s="87">
        <f t="shared" si="202"/>
        <v>0</v>
      </c>
      <c r="AA974" s="87">
        <f t="shared" si="203"/>
        <v>4</v>
      </c>
    </row>
    <row r="975" spans="9:27">
      <c r="I975" s="81" t="e">
        <f>IF(#REF!&lt;&gt;"",#REF!,"")</f>
        <v>#REF!</v>
      </c>
      <c r="J975" s="81" t="e">
        <f t="shared" si="204"/>
        <v>#REF!</v>
      </c>
      <c r="L975" s="82" t="e">
        <f t="shared" si="205"/>
        <v>#REF!</v>
      </c>
      <c r="M975" s="81" t="e">
        <f t="shared" si="208"/>
        <v>#REF!</v>
      </c>
      <c r="N975" s="81" t="e">
        <f t="shared" si="206"/>
        <v>#REF!</v>
      </c>
      <c r="O975" s="81" t="e">
        <f t="shared" si="207"/>
        <v>#REF!</v>
      </c>
      <c r="Q975" s="83" t="str">
        <f t="shared" si="196"/>
        <v/>
      </c>
      <c r="R975" s="84" t="e">
        <f t="shared" si="197"/>
        <v>#REF!</v>
      </c>
      <c r="S975" s="83" t="e">
        <f t="shared" si="197"/>
        <v>#REF!</v>
      </c>
      <c r="T975" s="84" t="e">
        <f t="shared" si="198"/>
        <v>#REF!</v>
      </c>
      <c r="U975" s="84" t="e">
        <f t="shared" si="199"/>
        <v>#REF!</v>
      </c>
      <c r="V975" s="85" t="e">
        <f>#REF!</f>
        <v>#REF!</v>
      </c>
      <c r="W975" s="86">
        <f t="shared" si="200"/>
        <v>0</v>
      </c>
      <c r="X975" s="86">
        <f t="shared" si="200"/>
        <v>0</v>
      </c>
      <c r="Y975" s="87">
        <f t="shared" si="201"/>
        <v>0</v>
      </c>
      <c r="Z975" s="87">
        <f t="shared" si="202"/>
        <v>0</v>
      </c>
      <c r="AA975" s="87">
        <f t="shared" si="203"/>
        <v>4</v>
      </c>
    </row>
    <row r="976" spans="9:27">
      <c r="I976" s="81" t="e">
        <f>IF(#REF!&lt;&gt;"",#REF!,"")</f>
        <v>#REF!</v>
      </c>
      <c r="J976" s="81" t="e">
        <f t="shared" si="204"/>
        <v>#REF!</v>
      </c>
      <c r="L976" s="82" t="e">
        <f t="shared" si="205"/>
        <v>#REF!</v>
      </c>
      <c r="M976" s="81" t="e">
        <f t="shared" si="208"/>
        <v>#REF!</v>
      </c>
      <c r="N976" s="81" t="e">
        <f t="shared" si="206"/>
        <v>#REF!</v>
      </c>
      <c r="O976" s="81" t="e">
        <f t="shared" si="207"/>
        <v>#REF!</v>
      </c>
      <c r="Q976" s="83" t="str">
        <f t="shared" si="196"/>
        <v/>
      </c>
      <c r="R976" s="84" t="e">
        <f t="shared" si="197"/>
        <v>#REF!</v>
      </c>
      <c r="S976" s="83" t="e">
        <f t="shared" si="197"/>
        <v>#REF!</v>
      </c>
      <c r="T976" s="84" t="e">
        <f t="shared" si="198"/>
        <v>#REF!</v>
      </c>
      <c r="U976" s="84" t="e">
        <f t="shared" si="199"/>
        <v>#REF!</v>
      </c>
      <c r="V976" s="85" t="e">
        <f>#REF!</f>
        <v>#REF!</v>
      </c>
      <c r="W976" s="86">
        <f t="shared" si="200"/>
        <v>0</v>
      </c>
      <c r="X976" s="86">
        <f t="shared" si="200"/>
        <v>0</v>
      </c>
      <c r="Y976" s="87">
        <f t="shared" si="201"/>
        <v>0</v>
      </c>
      <c r="Z976" s="87">
        <f t="shared" si="202"/>
        <v>0</v>
      </c>
      <c r="AA976" s="87">
        <f t="shared" si="203"/>
        <v>4</v>
      </c>
    </row>
    <row r="977" spans="9:27">
      <c r="I977" s="81" t="e">
        <f>IF(#REF!&lt;&gt;"",#REF!,"")</f>
        <v>#REF!</v>
      </c>
      <c r="J977" s="81" t="e">
        <f t="shared" si="204"/>
        <v>#REF!</v>
      </c>
      <c r="L977" s="82" t="e">
        <f t="shared" si="205"/>
        <v>#REF!</v>
      </c>
      <c r="M977" s="81" t="e">
        <f t="shared" si="208"/>
        <v>#REF!</v>
      </c>
      <c r="N977" s="81" t="e">
        <f t="shared" si="206"/>
        <v>#REF!</v>
      </c>
      <c r="O977" s="81" t="e">
        <f t="shared" si="207"/>
        <v>#REF!</v>
      </c>
      <c r="Q977" s="83" t="str">
        <f t="shared" si="196"/>
        <v/>
      </c>
      <c r="R977" s="84" t="e">
        <f t="shared" si="197"/>
        <v>#REF!</v>
      </c>
      <c r="S977" s="83" t="e">
        <f t="shared" si="197"/>
        <v>#REF!</v>
      </c>
      <c r="T977" s="84" t="e">
        <f t="shared" si="198"/>
        <v>#REF!</v>
      </c>
      <c r="U977" s="84" t="e">
        <f t="shared" si="199"/>
        <v>#REF!</v>
      </c>
      <c r="V977" s="85" t="e">
        <f>#REF!</f>
        <v>#REF!</v>
      </c>
      <c r="W977" s="86">
        <f t="shared" si="200"/>
        <v>0</v>
      </c>
      <c r="X977" s="86">
        <f t="shared" si="200"/>
        <v>0</v>
      </c>
      <c r="Y977" s="87">
        <f t="shared" si="201"/>
        <v>0</v>
      </c>
      <c r="Z977" s="87">
        <f t="shared" si="202"/>
        <v>0</v>
      </c>
      <c r="AA977" s="87">
        <f t="shared" si="203"/>
        <v>4</v>
      </c>
    </row>
    <row r="978" spans="9:27">
      <c r="I978" s="81" t="e">
        <f>IF(#REF!&lt;&gt;"",#REF!,"")</f>
        <v>#REF!</v>
      </c>
      <c r="J978" s="81" t="e">
        <f t="shared" si="204"/>
        <v>#REF!</v>
      </c>
      <c r="L978" s="82" t="e">
        <f t="shared" si="205"/>
        <v>#REF!</v>
      </c>
      <c r="M978" s="81" t="e">
        <f t="shared" si="208"/>
        <v>#REF!</v>
      </c>
      <c r="N978" s="81" t="e">
        <f t="shared" si="206"/>
        <v>#REF!</v>
      </c>
      <c r="O978" s="81" t="e">
        <f t="shared" si="207"/>
        <v>#REF!</v>
      </c>
      <c r="Q978" s="83" t="str">
        <f t="shared" si="196"/>
        <v/>
      </c>
      <c r="R978" s="84" t="e">
        <f t="shared" si="197"/>
        <v>#REF!</v>
      </c>
      <c r="S978" s="83" t="e">
        <f t="shared" si="197"/>
        <v>#REF!</v>
      </c>
      <c r="T978" s="84" t="e">
        <f t="shared" si="198"/>
        <v>#REF!</v>
      </c>
      <c r="U978" s="84" t="e">
        <f t="shared" si="199"/>
        <v>#REF!</v>
      </c>
      <c r="V978" s="85" t="e">
        <f>#REF!</f>
        <v>#REF!</v>
      </c>
      <c r="W978" s="86">
        <f t="shared" si="200"/>
        <v>0</v>
      </c>
      <c r="X978" s="86">
        <f t="shared" si="200"/>
        <v>0</v>
      </c>
      <c r="Y978" s="87">
        <f t="shared" si="201"/>
        <v>0</v>
      </c>
      <c r="Z978" s="87">
        <f t="shared" si="202"/>
        <v>0</v>
      </c>
      <c r="AA978" s="87">
        <f t="shared" si="203"/>
        <v>4</v>
      </c>
    </row>
    <row r="979" spans="9:27">
      <c r="I979" s="81" t="e">
        <f>IF(#REF!&lt;&gt;"",#REF!,"")</f>
        <v>#REF!</v>
      </c>
      <c r="J979" s="81" t="e">
        <f t="shared" si="204"/>
        <v>#REF!</v>
      </c>
      <c r="L979" s="82" t="e">
        <f t="shared" si="205"/>
        <v>#REF!</v>
      </c>
      <c r="M979" s="81" t="e">
        <f t="shared" si="208"/>
        <v>#REF!</v>
      </c>
      <c r="N979" s="81" t="e">
        <f t="shared" si="206"/>
        <v>#REF!</v>
      </c>
      <c r="O979" s="81" t="e">
        <f t="shared" si="207"/>
        <v>#REF!</v>
      </c>
      <c r="Q979" s="83" t="str">
        <f t="shared" si="196"/>
        <v/>
      </c>
      <c r="R979" s="84" t="e">
        <f t="shared" si="197"/>
        <v>#REF!</v>
      </c>
      <c r="S979" s="83" t="e">
        <f t="shared" si="197"/>
        <v>#REF!</v>
      </c>
      <c r="T979" s="84" t="e">
        <f t="shared" si="198"/>
        <v>#REF!</v>
      </c>
      <c r="U979" s="84" t="e">
        <f t="shared" si="199"/>
        <v>#REF!</v>
      </c>
      <c r="V979" s="85" t="e">
        <f>#REF!</f>
        <v>#REF!</v>
      </c>
      <c r="W979" s="86">
        <f t="shared" si="200"/>
        <v>0</v>
      </c>
      <c r="X979" s="86">
        <f t="shared" si="200"/>
        <v>0</v>
      </c>
      <c r="Y979" s="87">
        <f t="shared" si="201"/>
        <v>0</v>
      </c>
      <c r="Z979" s="87">
        <f t="shared" si="202"/>
        <v>0</v>
      </c>
      <c r="AA979" s="87">
        <f t="shared" si="203"/>
        <v>4</v>
      </c>
    </row>
    <row r="980" spans="9:27">
      <c r="I980" s="81" t="e">
        <f>IF(#REF!&lt;&gt;"",#REF!,"")</f>
        <v>#REF!</v>
      </c>
      <c r="J980" s="81" t="e">
        <f t="shared" si="204"/>
        <v>#REF!</v>
      </c>
      <c r="L980" s="82" t="e">
        <f t="shared" si="205"/>
        <v>#REF!</v>
      </c>
      <c r="M980" s="81" t="e">
        <f t="shared" si="208"/>
        <v>#REF!</v>
      </c>
      <c r="N980" s="81" t="e">
        <f t="shared" si="206"/>
        <v>#REF!</v>
      </c>
      <c r="O980" s="81" t="e">
        <f t="shared" si="207"/>
        <v>#REF!</v>
      </c>
      <c r="Q980" s="83" t="str">
        <f t="shared" si="196"/>
        <v/>
      </c>
      <c r="R980" s="84" t="e">
        <f t="shared" si="197"/>
        <v>#REF!</v>
      </c>
      <c r="S980" s="83" t="e">
        <f t="shared" si="197"/>
        <v>#REF!</v>
      </c>
      <c r="T980" s="84" t="e">
        <f t="shared" si="198"/>
        <v>#REF!</v>
      </c>
      <c r="U980" s="84" t="e">
        <f t="shared" si="199"/>
        <v>#REF!</v>
      </c>
      <c r="V980" s="85" t="e">
        <f>#REF!</f>
        <v>#REF!</v>
      </c>
      <c r="W980" s="86">
        <f t="shared" si="200"/>
        <v>0</v>
      </c>
      <c r="X980" s="86">
        <f t="shared" si="200"/>
        <v>0</v>
      </c>
      <c r="Y980" s="87">
        <f t="shared" si="201"/>
        <v>0</v>
      </c>
      <c r="Z980" s="87">
        <f t="shared" si="202"/>
        <v>0</v>
      </c>
      <c r="AA980" s="87">
        <f t="shared" si="203"/>
        <v>4</v>
      </c>
    </row>
    <row r="981" spans="9:27">
      <c r="I981" s="81" t="e">
        <f>IF(#REF!&lt;&gt;"",#REF!,"")</f>
        <v>#REF!</v>
      </c>
      <c r="J981" s="81" t="e">
        <f t="shared" si="204"/>
        <v>#REF!</v>
      </c>
      <c r="L981" s="82" t="e">
        <f t="shared" si="205"/>
        <v>#REF!</v>
      </c>
      <c r="M981" s="81" t="e">
        <f t="shared" si="208"/>
        <v>#REF!</v>
      </c>
      <c r="N981" s="81" t="e">
        <f t="shared" si="206"/>
        <v>#REF!</v>
      </c>
      <c r="O981" s="81" t="e">
        <f t="shared" si="207"/>
        <v>#REF!</v>
      </c>
      <c r="Q981" s="83" t="str">
        <f t="shared" si="196"/>
        <v/>
      </c>
      <c r="R981" s="84" t="e">
        <f t="shared" si="197"/>
        <v>#REF!</v>
      </c>
      <c r="S981" s="83" t="e">
        <f t="shared" si="197"/>
        <v>#REF!</v>
      </c>
      <c r="T981" s="84" t="e">
        <f t="shared" si="198"/>
        <v>#REF!</v>
      </c>
      <c r="U981" s="84" t="e">
        <f t="shared" si="199"/>
        <v>#REF!</v>
      </c>
      <c r="V981" s="85" t="e">
        <f>#REF!</f>
        <v>#REF!</v>
      </c>
      <c r="W981" s="86">
        <f t="shared" si="200"/>
        <v>0</v>
      </c>
      <c r="X981" s="86">
        <f t="shared" si="200"/>
        <v>0</v>
      </c>
      <c r="Y981" s="87">
        <f t="shared" si="201"/>
        <v>0</v>
      </c>
      <c r="Z981" s="87">
        <f t="shared" si="202"/>
        <v>0</v>
      </c>
      <c r="AA981" s="87">
        <f t="shared" si="203"/>
        <v>4</v>
      </c>
    </row>
    <row r="982" spans="9:27">
      <c r="I982" s="81" t="e">
        <f>IF(#REF!&lt;&gt;"",#REF!,"")</f>
        <v>#REF!</v>
      </c>
      <c r="J982" s="81" t="e">
        <f t="shared" si="204"/>
        <v>#REF!</v>
      </c>
      <c r="L982" s="82" t="e">
        <f t="shared" si="205"/>
        <v>#REF!</v>
      </c>
      <c r="M982" s="81" t="e">
        <f t="shared" si="208"/>
        <v>#REF!</v>
      </c>
      <c r="N982" s="81" t="e">
        <f t="shared" si="206"/>
        <v>#REF!</v>
      </c>
      <c r="O982" s="81" t="e">
        <f t="shared" si="207"/>
        <v>#REF!</v>
      </c>
      <c r="Q982" s="83" t="str">
        <f t="shared" si="196"/>
        <v/>
      </c>
      <c r="R982" s="84" t="e">
        <f t="shared" si="197"/>
        <v>#REF!</v>
      </c>
      <c r="S982" s="83" t="e">
        <f t="shared" si="197"/>
        <v>#REF!</v>
      </c>
      <c r="T982" s="84" t="e">
        <f t="shared" si="198"/>
        <v>#REF!</v>
      </c>
      <c r="U982" s="84" t="e">
        <f t="shared" si="199"/>
        <v>#REF!</v>
      </c>
      <c r="V982" s="85" t="e">
        <f>#REF!</f>
        <v>#REF!</v>
      </c>
      <c r="W982" s="86">
        <f t="shared" si="200"/>
        <v>0</v>
      </c>
      <c r="X982" s="86">
        <f t="shared" si="200"/>
        <v>0</v>
      </c>
      <c r="Y982" s="87">
        <f t="shared" si="201"/>
        <v>0</v>
      </c>
      <c r="Z982" s="87">
        <f t="shared" si="202"/>
        <v>0</v>
      </c>
      <c r="AA982" s="87">
        <f t="shared" si="203"/>
        <v>4</v>
      </c>
    </row>
    <row r="983" spans="9:27">
      <c r="I983" s="81" t="e">
        <f>IF(#REF!&lt;&gt;"",#REF!,"")</f>
        <v>#REF!</v>
      </c>
      <c r="J983" s="81" t="e">
        <f t="shared" si="204"/>
        <v>#REF!</v>
      </c>
      <c r="L983" s="82" t="e">
        <f t="shared" si="205"/>
        <v>#REF!</v>
      </c>
      <c r="M983" s="81" t="e">
        <f t="shared" si="208"/>
        <v>#REF!</v>
      </c>
      <c r="N983" s="81" t="e">
        <f t="shared" si="206"/>
        <v>#REF!</v>
      </c>
      <c r="O983" s="81" t="e">
        <f t="shared" si="207"/>
        <v>#REF!</v>
      </c>
      <c r="Q983" s="83" t="str">
        <f t="shared" ref="Q983:Q986" si="209">IF(Z983=0,"",IF(Z983=1,R983&amp;S983,"E99999"))</f>
        <v/>
      </c>
      <c r="R983" s="84" t="e">
        <f t="shared" si="197"/>
        <v>#REF!</v>
      </c>
      <c r="S983" s="83" t="e">
        <f t="shared" si="197"/>
        <v>#REF!</v>
      </c>
      <c r="T983" s="84" t="e">
        <f t="shared" si="198"/>
        <v>#REF!</v>
      </c>
      <c r="U983" s="84" t="e">
        <f t="shared" si="199"/>
        <v>#REF!</v>
      </c>
      <c r="V983" s="85" t="e">
        <f>#REF!</f>
        <v>#REF!</v>
      </c>
      <c r="W983" s="86">
        <f t="shared" si="200"/>
        <v>0</v>
      </c>
      <c r="X983" s="86">
        <f t="shared" si="200"/>
        <v>0</v>
      </c>
      <c r="Y983" s="87">
        <f t="shared" si="201"/>
        <v>0</v>
      </c>
      <c r="Z983" s="87">
        <f t="shared" si="202"/>
        <v>0</v>
      </c>
      <c r="AA983" s="87">
        <f t="shared" si="203"/>
        <v>4</v>
      </c>
    </row>
    <row r="984" spans="9:27">
      <c r="I984" s="81" t="e">
        <f>IF(#REF!&lt;&gt;"",#REF!,"")</f>
        <v>#REF!</v>
      </c>
      <c r="J984" s="81" t="e">
        <f t="shared" si="204"/>
        <v>#REF!</v>
      </c>
      <c r="L984" s="82" t="e">
        <f t="shared" si="205"/>
        <v>#REF!</v>
      </c>
      <c r="M984" s="81" t="e">
        <f t="shared" si="208"/>
        <v>#REF!</v>
      </c>
      <c r="N984" s="81" t="e">
        <f t="shared" si="206"/>
        <v>#REF!</v>
      </c>
      <c r="O984" s="81" t="e">
        <f t="shared" si="207"/>
        <v>#REF!</v>
      </c>
      <c r="Q984" s="83" t="str">
        <f t="shared" si="209"/>
        <v/>
      </c>
      <c r="R984" s="84" t="e">
        <f t="shared" si="197"/>
        <v>#REF!</v>
      </c>
      <c r="S984" s="83" t="e">
        <f t="shared" si="197"/>
        <v>#REF!</v>
      </c>
      <c r="T984" s="84" t="e">
        <f t="shared" si="198"/>
        <v>#REF!</v>
      </c>
      <c r="U984" s="84" t="e">
        <f t="shared" si="199"/>
        <v>#REF!</v>
      </c>
      <c r="V984" s="85" t="e">
        <f>#REF!</f>
        <v>#REF!</v>
      </c>
      <c r="W984" s="86">
        <f t="shared" si="200"/>
        <v>0</v>
      </c>
      <c r="X984" s="86">
        <f t="shared" si="200"/>
        <v>0</v>
      </c>
      <c r="Y984" s="87">
        <f t="shared" si="201"/>
        <v>0</v>
      </c>
      <c r="Z984" s="87">
        <f t="shared" si="202"/>
        <v>0</v>
      </c>
      <c r="AA984" s="87">
        <f t="shared" si="203"/>
        <v>4</v>
      </c>
    </row>
    <row r="985" spans="9:27">
      <c r="I985" s="81" t="e">
        <f>IF(#REF!&lt;&gt;"",#REF!,"")</f>
        <v>#REF!</v>
      </c>
      <c r="J985" s="81" t="e">
        <f t="shared" si="204"/>
        <v>#REF!</v>
      </c>
      <c r="L985" s="82" t="e">
        <f t="shared" si="205"/>
        <v>#REF!</v>
      </c>
      <c r="M985" s="81" t="e">
        <f t="shared" si="208"/>
        <v>#REF!</v>
      </c>
      <c r="N985" s="81" t="e">
        <f t="shared" si="206"/>
        <v>#REF!</v>
      </c>
      <c r="O985" s="81" t="e">
        <f t="shared" si="207"/>
        <v>#REF!</v>
      </c>
      <c r="Q985" s="83" t="str">
        <f t="shared" si="209"/>
        <v/>
      </c>
      <c r="R985" s="84" t="e">
        <f t="shared" si="197"/>
        <v>#REF!</v>
      </c>
      <c r="S985" s="83" t="e">
        <f t="shared" si="197"/>
        <v>#REF!</v>
      </c>
      <c r="T985" s="84" t="e">
        <f t="shared" si="198"/>
        <v>#REF!</v>
      </c>
      <c r="U985" s="84" t="e">
        <f t="shared" si="199"/>
        <v>#REF!</v>
      </c>
      <c r="V985" s="85" t="e">
        <f>#REF!</f>
        <v>#REF!</v>
      </c>
      <c r="W985" s="86">
        <f t="shared" si="200"/>
        <v>0</v>
      </c>
      <c r="X985" s="86">
        <f t="shared" si="200"/>
        <v>0</v>
      </c>
      <c r="Y985" s="87">
        <f t="shared" si="201"/>
        <v>0</v>
      </c>
      <c r="Z985" s="87">
        <f t="shared" si="202"/>
        <v>0</v>
      </c>
      <c r="AA985" s="87">
        <f t="shared" si="203"/>
        <v>4</v>
      </c>
    </row>
    <row r="986" spans="9:27">
      <c r="I986" s="81" t="e">
        <f>IF(#REF!&lt;&gt;"",#REF!,"")</f>
        <v>#REF!</v>
      </c>
      <c r="J986" s="81" t="e">
        <f t="shared" si="204"/>
        <v>#REF!</v>
      </c>
      <c r="L986" s="82" t="e">
        <f t="shared" si="205"/>
        <v>#REF!</v>
      </c>
      <c r="M986" s="81" t="e">
        <f t="shared" si="208"/>
        <v>#REF!</v>
      </c>
      <c r="N986" s="81" t="e">
        <f t="shared" si="206"/>
        <v>#REF!</v>
      </c>
      <c r="O986" s="81" t="e">
        <f t="shared" si="207"/>
        <v>#REF!</v>
      </c>
      <c r="Q986" s="83" t="str">
        <f t="shared" si="209"/>
        <v/>
      </c>
      <c r="R986" s="84" t="e">
        <f t="shared" si="197"/>
        <v>#REF!</v>
      </c>
      <c r="S986" s="83" t="e">
        <f t="shared" si="197"/>
        <v>#REF!</v>
      </c>
      <c r="T986" s="84" t="e">
        <f t="shared" si="198"/>
        <v>#REF!</v>
      </c>
      <c r="U986" s="84" t="e">
        <f t="shared" si="199"/>
        <v>#REF!</v>
      </c>
      <c r="V986" s="85" t="e">
        <f>#REF!</f>
        <v>#REF!</v>
      </c>
      <c r="W986" s="86">
        <f t="shared" si="200"/>
        <v>0</v>
      </c>
      <c r="X986" s="86">
        <f t="shared" si="200"/>
        <v>0</v>
      </c>
      <c r="Y986" s="87">
        <f t="shared" si="201"/>
        <v>0</v>
      </c>
      <c r="Z986" s="87">
        <f t="shared" si="202"/>
        <v>0</v>
      </c>
      <c r="AA986" s="87">
        <f t="shared" si="203"/>
        <v>4</v>
      </c>
    </row>
    <row r="987" spans="9:27">
      <c r="I987" s="81" t="e">
        <f>IF(#REF!&lt;&gt;"",#REF!,"")</f>
        <v>#REF!</v>
      </c>
      <c r="J987" s="81" t="e">
        <f t="shared" si="204"/>
        <v>#REF!</v>
      </c>
    </row>
    <row r="988" spans="9:27">
      <c r="I988" s="81" t="e">
        <f>IF(#REF!&lt;&gt;"",#REF!,"")</f>
        <v>#REF!</v>
      </c>
      <c r="J988" s="81" t="e">
        <f t="shared" si="204"/>
        <v>#REF!</v>
      </c>
    </row>
  </sheetData>
  <autoFilter ref="A1:AA1" xr:uid="{00000000-0009-0000-0000-000006000000}"/>
  <phoneticPr fontId="5"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1</vt:i4>
      </vt:variant>
    </vt:vector>
  </HeadingPairs>
  <TitlesOfParts>
    <vt:vector size="10" baseType="lpstr">
      <vt:lpstr>갑지</vt:lpstr>
      <vt:lpstr>내역서(표준단가)</vt:lpstr>
      <vt:lpstr>주요물량산출서</vt:lpstr>
      <vt:lpstr>공사수립계획서</vt:lpstr>
      <vt:lpstr>내역서업로드</vt:lpstr>
      <vt:lpstr>Upload</vt:lpstr>
      <vt:lpstr>할증기준</vt:lpstr>
      <vt:lpstr>Upload(참조) (2)</vt:lpstr>
      <vt:lpstr>Upload(참조)</vt:lpstr>
      <vt:lpstr>공사수립계획서!Print_Area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2025-02-10T00:15:06Z</dcterms:modified>
</cp:coreProperties>
</file>
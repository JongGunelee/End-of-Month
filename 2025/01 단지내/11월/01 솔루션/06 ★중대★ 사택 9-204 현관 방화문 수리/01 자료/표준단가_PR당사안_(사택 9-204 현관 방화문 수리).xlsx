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04\06 작업폴더\02 사택 9-204 현관 방화문 수리\01 자료\"/>
    </mc:Choice>
  </mc:AlternateContent>
  <xr:revisionPtr revIDLastSave="0" documentId="13_ncr:1_{45B34B0A-73C5-4484-BDE9-66334C4DFCF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9" r:id="rId1"/>
    <sheet name="내역서(표준단가)" sheetId="4" r:id="rId2"/>
    <sheet name="시중가 근거서류" sheetId="8" r:id="rId3"/>
    <sheet name="Upload" sheetId="1" r:id="rId4"/>
    <sheet name="upload(시중가)" sheetId="7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9" l="1"/>
  <c r="J21" i="9"/>
  <c r="J19" i="9"/>
  <c r="J18" i="9"/>
  <c r="J29" i="9"/>
  <c r="F2" i="1"/>
  <c r="E2" i="1"/>
  <c r="D2" i="1"/>
  <c r="C2" i="1"/>
  <c r="B2" i="1"/>
  <c r="J22" i="9" l="1"/>
  <c r="J24" i="9"/>
  <c r="J23" i="9"/>
  <c r="J26" i="9"/>
  <c r="J25" i="9"/>
  <c r="J27" i="9" s="1"/>
  <c r="U6" i="4"/>
  <c r="S6" i="4"/>
  <c r="Q6" i="4"/>
  <c r="O6" i="4"/>
  <c r="J28" i="9" l="1"/>
  <c r="J20" i="9" s="1"/>
  <c r="V6" i="4"/>
  <c r="Q5" i="4"/>
  <c r="J30" i="9" l="1"/>
  <c r="U5" i="4"/>
  <c r="S5" i="4"/>
  <c r="O5" i="4"/>
  <c r="A5" i="4"/>
  <c r="A2" i="1" s="1"/>
  <c r="M32" i="9" l="1"/>
  <c r="B15" i="9" s="1"/>
  <c r="V5" i="4"/>
  <c r="O7" i="4" l="1"/>
  <c r="Q7" i="4"/>
  <c r="S7" i="4"/>
  <c r="U7" i="4"/>
  <c r="V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<sst xmlns="http://schemas.openxmlformats.org/spreadsheetml/2006/main" count="144" uniqueCount="125">
  <si>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</si>
  <si>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</si>
  <si>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</si>
  <si>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</si>
  <si>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</si>
  <si>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</si>
  <si>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</si>
  <si>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</si>
  <si>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</si>
  <si>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</si>
  <si>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</si>
  <si>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</si>
  <si>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</si>
  <si>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</si>
  <si>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</si>
  <si>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</si>
  <si>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</si>
  <si>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</si>
  <si>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</si>
  <si>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</si>
  <si>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</si>
  <si>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</si>
  <si>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</si>
  <si>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</si>
  <si>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</si>
  <si>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</si>
  <si>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</si>
  <si>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</si>
  <si>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</si>
  <si>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</si>
  <si>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</si>
  <si>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</si>
  <si>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2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</si>
  <si>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</si>
  <si>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</si>
  <si>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</si>
  <si>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</si>
  <si>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</si>
  <si>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</si>
  <si>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</si>
  <si>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</si>
  <si>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</si>
  <si>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</si>
  <si>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</si>
  <si>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</si>
  <si>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</si>
  <si>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</si>
  <si>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</si>
  <si>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</si>
  <si>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2" type="noConversion"/>
  </si>
  <si>
    <t>시중노임단가, 특별인부</t>
    <phoneticPr fontId="12" type="noConversion"/>
  </si>
  <si>
    <t>set</t>
    <phoneticPr fontId="12" type="noConversion"/>
  </si>
  <si>
    <t>L002</t>
    <phoneticPr fontId="12" type="noConversion"/>
  </si>
  <si>
    <t>화기감시자</t>
    <phoneticPr fontId="12" type="noConversion"/>
  </si>
  <si>
    <t>현관 방화문 보수</t>
    <phoneticPr fontId="12" type="noConversion"/>
  </si>
  <si>
    <t>전문업체 견적, 세금계산서 첨부예정</t>
    <phoneticPr fontId="12" type="noConversion"/>
  </si>
  <si>
    <t>전문업체 견적서 참조, 세금계산서 첨부 예정</t>
    <phoneticPr fontId="12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</si>
  <si>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</si>
  <si>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</si>
  <si>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</si>
  <si>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</si>
  <si>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</si>
  <si>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</si>
  <si>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</si>
  <si>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</si>
  <si>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</si>
  <si>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</si>
  <si>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</si>
  <si>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</si>
  <si>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</si>
  <si>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2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</si>
  <si>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</si>
  <si>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</si>
  <si>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</si>
  <si>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</si>
  <si>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</si>
  <si>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</si>
  <si>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</si>
  <si>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</si>
  <si>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</si>
  <si>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</si>
  <si>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</si>
  <si>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</si>
  <si>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</si>
  <si>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</si>
  <si>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</si>
  <si>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2" type="noConversion"/>
  </si>
  <si>
    <t>구          분</t>
    <phoneticPr fontId="52" type="noConversion"/>
  </si>
  <si>
    <t>수량</t>
    <phoneticPr fontId="52" type="noConversion"/>
  </si>
  <si>
    <t>단위</t>
    <phoneticPr fontId="52" type="noConversion"/>
  </si>
  <si>
    <t>금    액</t>
    <phoneticPr fontId="52" type="noConversion"/>
  </si>
  <si>
    <t>비    고</t>
    <phoneticPr fontId="52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</si>
  <si>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</si>
  <si>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</si>
  <si>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</si>
  <si>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</si>
  <si>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</si>
  <si>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</si>
  <si>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</si>
  <si>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</si>
  <si>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</si>
  <si>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</si>
  <si>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</si>
  <si>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</si>
  <si>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</si>
  <si>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</si>
  <si>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</si>
  <si>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</si>
  <si>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</si>
  <si>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</si>
  <si>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</si>
  <si>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</si>
  <si>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</si>
  <si>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</si>
  <si>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</si>
  <si>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</si>
  <si>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</si>
  <si>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</si>
  <si>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</si>
  <si>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</si>
  <si>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</si>
  <si>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</si>
  <si>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</si>
  <si>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사택 9-204 현관 방화문 수리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</si>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</sst>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_-* #,##0.0_-;\-* #,##0.0_-;_-* &quot;-&quot;_-;_-@_-"/>
    <numFmt numFmtId="184" formatCode="#,##0_ "/>
    <numFmt numFmtId="185" formatCode="&quot;공사명:&quot;\ @"/>
    <numFmt numFmtId="186" formatCode="0.000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182" fontId="11" fillId="5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49" fontId="28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176" fontId="25" fillId="6" borderId="2" xfId="1" applyFont="1" applyFill="1" applyBorder="1" applyAlignment="1">
      <alignment horizontal="center" vertical="center" wrapText="1"/>
    </xf>
    <xf numFmtId="176" fontId="25" fillId="0" borderId="2" xfId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49" fontId="30" fillId="7" borderId="2" xfId="0" applyNumberFormat="1" applyFont="1" applyFill="1" applyBorder="1" applyAlignment="1">
      <alignment horizontal="center" vertical="center" wrapText="1"/>
    </xf>
    <xf numFmtId="176" fontId="31" fillId="0" borderId="2" xfId="18" applyFont="1" applyBorder="1" applyAlignment="1">
      <alignment horizontal="center" vertical="center"/>
    </xf>
    <xf numFmtId="176" fontId="25" fillId="0" borderId="2" xfId="18" applyFont="1" applyBorder="1" applyAlignment="1">
      <alignment horizontal="center" vertical="center"/>
    </xf>
    <xf numFmtId="0" fontId="32" fillId="9" borderId="0" xfId="0" applyFont="1" applyFill="1">
      <alignment vertical="center"/>
    </xf>
    <xf numFmtId="0" fontId="32" fillId="0" borderId="0" xfId="0" applyFont="1">
      <alignment vertical="center"/>
    </xf>
    <xf numFmtId="176" fontId="33" fillId="9" borderId="0" xfId="0" applyNumberFormat="1" applyFont="1" applyFill="1">
      <alignment vertical="center"/>
    </xf>
    <xf numFmtId="0" fontId="33" fillId="0" borderId="0" xfId="0" applyFont="1">
      <alignment vertical="center"/>
    </xf>
    <xf numFmtId="176" fontId="33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6" fontId="25" fillId="0" borderId="0" xfId="0" applyNumberFormat="1" applyFont="1">
      <alignment vertical="center"/>
    </xf>
    <xf numFmtId="0" fontId="34" fillId="0" borderId="0" xfId="0" applyFont="1">
      <alignment vertical="center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180" fontId="23" fillId="0" borderId="0" xfId="1" applyNumberFormat="1" applyFont="1" applyAlignment="1">
      <alignment horizontal="center" vertical="center"/>
    </xf>
    <xf numFmtId="49" fontId="11" fillId="2" borderId="13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183" fontId="25" fillId="0" borderId="0" xfId="1" applyNumberFormat="1" applyFont="1" applyFill="1" applyBorder="1" applyAlignment="1">
      <alignment horizontal="center" vertical="center"/>
    </xf>
    <xf numFmtId="176" fontId="36" fillId="0" borderId="0" xfId="1" applyFont="1" applyBorder="1">
      <alignment vertical="center"/>
    </xf>
    <xf numFmtId="0" fontId="37" fillId="5" borderId="2" xfId="3" applyFont="1" applyFill="1" applyBorder="1" applyAlignment="1">
      <alignment horizontal="center" vertical="center" shrinkToFit="1"/>
    </xf>
    <xf numFmtId="176" fontId="38" fillId="5" borderId="2" xfId="1" applyFont="1" applyFill="1" applyBorder="1" applyAlignment="1">
      <alignment horizontal="center" vertical="center"/>
    </xf>
    <xf numFmtId="176" fontId="35" fillId="5" borderId="2" xfId="1" applyFont="1" applyFill="1" applyBorder="1" applyAlignment="1">
      <alignment vertical="center"/>
    </xf>
    <xf numFmtId="0" fontId="25" fillId="6" borderId="2" xfId="0" applyFont="1" applyFill="1" applyBorder="1" applyAlignment="1">
      <alignment horizontal="center" vertical="center"/>
    </xf>
    <xf numFmtId="176" fontId="28" fillId="5" borderId="2" xfId="1" applyFont="1" applyFill="1" applyBorder="1" applyAlignment="1">
      <alignment horizontal="center" vertical="center" wrapText="1"/>
    </xf>
    <xf numFmtId="182" fontId="28" fillId="5" borderId="2" xfId="0" applyNumberFormat="1" applyFont="1" applyFill="1" applyBorder="1" applyAlignment="1">
      <alignment horizontal="right" vertical="center" wrapText="1"/>
    </xf>
    <xf numFmtId="9" fontId="25" fillId="0" borderId="2" xfId="0" applyNumberFormat="1" applyFont="1" applyBorder="1" applyAlignment="1">
      <alignment horizontal="center" vertical="center"/>
    </xf>
    <xf numFmtId="176" fontId="35" fillId="6" borderId="2" xfId="1" applyFont="1" applyFill="1" applyBorder="1" applyAlignment="1">
      <alignment horizontal="center" vertical="center" wrapText="1"/>
    </xf>
    <xf numFmtId="184" fontId="25" fillId="5" borderId="2" xfId="0" applyNumberFormat="1" applyFont="1" applyFill="1" applyBorder="1">
      <alignment vertical="center"/>
    </xf>
    <xf numFmtId="0" fontId="40" fillId="0" borderId="0" xfId="30" applyFont="1">
      <alignment vertical="center"/>
    </xf>
    <xf numFmtId="0" fontId="39" fillId="0" borderId="17" xfId="29" applyFont="1" applyBorder="1" applyAlignment="1">
      <alignment horizontal="center" vertical="center"/>
    </xf>
    <xf numFmtId="0" fontId="39" fillId="0" borderId="0" xfId="29" applyFont="1" applyAlignment="1">
      <alignment horizontal="center" vertical="center"/>
    </xf>
    <xf numFmtId="0" fontId="39" fillId="0" borderId="18" xfId="29" applyFont="1" applyBorder="1" applyAlignment="1">
      <alignment horizontal="center" vertical="center"/>
    </xf>
    <xf numFmtId="0" fontId="42" fillId="0" borderId="17" xfId="29" applyFont="1" applyBorder="1" applyAlignment="1">
      <alignment horizontal="left" vertical="center"/>
    </xf>
    <xf numFmtId="0" fontId="43" fillId="0" borderId="0" xfId="29" applyFont="1" applyAlignment="1">
      <alignment vertical="center"/>
    </xf>
    <xf numFmtId="0" fontId="43" fillId="0" borderId="0" xfId="29" applyFont="1" applyAlignment="1">
      <alignment horizontal="left" vertical="center" textRotation="1"/>
    </xf>
    <xf numFmtId="0" fontId="44" fillId="0" borderId="0" xfId="29" applyFont="1" applyAlignment="1">
      <alignment horizontal="centerContinuous" vertical="center"/>
    </xf>
    <xf numFmtId="0" fontId="44" fillId="0" borderId="18" xfId="29" applyFont="1" applyBorder="1" applyAlignment="1">
      <alignment vertical="center"/>
    </xf>
    <xf numFmtId="0" fontId="45" fillId="0" borderId="17" xfId="29" applyFont="1" applyBorder="1" applyAlignment="1">
      <alignment horizontal="left" vertical="center" indent="2"/>
    </xf>
    <xf numFmtId="0" fontId="40" fillId="0" borderId="19" xfId="29" applyFont="1" applyBorder="1" applyAlignment="1">
      <alignment vertical="center"/>
    </xf>
    <xf numFmtId="0" fontId="40" fillId="0" borderId="0" xfId="29" applyFont="1" applyAlignment="1">
      <alignment vertical="center"/>
    </xf>
    <xf numFmtId="0" fontId="44" fillId="0" borderId="18" xfId="29" applyFont="1" applyBorder="1" applyAlignment="1">
      <alignment horizontal="right" vertical="center"/>
    </xf>
    <xf numFmtId="0" fontId="45" fillId="0" borderId="17" xfId="29" applyFont="1" applyBorder="1" applyAlignment="1">
      <alignment vertical="center"/>
    </xf>
    <xf numFmtId="0" fontId="45" fillId="0" borderId="0" xfId="29" applyFont="1" applyAlignment="1">
      <alignment vertical="center"/>
    </xf>
    <xf numFmtId="0" fontId="44" fillId="0" borderId="0" xfId="29" applyFont="1" applyAlignment="1">
      <alignment horizontal="right" vertical="center"/>
    </xf>
    <xf numFmtId="0" fontId="45" fillId="0" borderId="18" xfId="29" applyFont="1" applyBorder="1" applyAlignment="1">
      <alignment vertical="center"/>
    </xf>
    <xf numFmtId="0" fontId="40" fillId="0" borderId="21" xfId="29" applyFont="1" applyBorder="1" applyAlignment="1">
      <alignment horizontal="center" vertical="center"/>
    </xf>
    <xf numFmtId="0" fontId="40" fillId="0" borderId="22" xfId="29" applyFont="1" applyBorder="1" applyAlignment="1">
      <alignment horizontal="center" vertical="center"/>
    </xf>
    <xf numFmtId="0" fontId="40" fillId="0" borderId="6" xfId="29" applyFont="1" applyBorder="1" applyAlignment="1">
      <alignment horizontal="center" vertical="center"/>
    </xf>
    <xf numFmtId="0" fontId="40" fillId="0" borderId="24" xfId="29" applyFont="1" applyBorder="1" applyAlignment="1">
      <alignment horizontal="center" vertical="center"/>
    </xf>
    <xf numFmtId="0" fontId="40" fillId="0" borderId="2" xfId="29" applyFont="1" applyBorder="1" applyAlignment="1">
      <alignment horizontal="center" vertical="center"/>
    </xf>
    <xf numFmtId="0" fontId="48" fillId="0" borderId="8" xfId="29" applyFont="1" applyBorder="1" applyAlignment="1">
      <alignment horizontal="center" vertical="center"/>
    </xf>
    <xf numFmtId="0" fontId="40" fillId="0" borderId="32" xfId="29" applyFont="1" applyBorder="1" applyAlignment="1">
      <alignment horizontal="center" vertical="center"/>
    </xf>
    <xf numFmtId="0" fontId="40" fillId="0" borderId="33" xfId="29" applyFont="1" applyBorder="1" applyAlignment="1">
      <alignment horizontal="center" vertical="center"/>
    </xf>
    <xf numFmtId="0" fontId="40" fillId="0" borderId="17" xfId="29" applyFont="1" applyBorder="1" applyAlignment="1">
      <alignment horizontal="center" vertical="center"/>
    </xf>
    <xf numFmtId="0" fontId="40" fillId="0" borderId="0" xfId="29" applyFont="1" applyAlignment="1">
      <alignment horizontal="center" vertical="center"/>
    </xf>
    <xf numFmtId="0" fontId="40" fillId="0" borderId="0" xfId="29" applyFont="1" applyAlignment="1">
      <alignment horizontal="left" vertical="center" indent="1"/>
    </xf>
    <xf numFmtId="0" fontId="44" fillId="0" borderId="0" xfId="29" applyFont="1" applyAlignment="1">
      <alignment vertical="center"/>
    </xf>
    <xf numFmtId="0" fontId="40" fillId="0" borderId="17" xfId="29" applyFont="1" applyBorder="1" applyAlignment="1">
      <alignment vertical="center"/>
    </xf>
    <xf numFmtId="0" fontId="40" fillId="0" borderId="18" xfId="29" applyFont="1" applyBorder="1" applyAlignment="1">
      <alignment vertical="center"/>
    </xf>
    <xf numFmtId="0" fontId="45" fillId="0" borderId="17" xfId="29" applyFont="1" applyBorder="1" applyAlignment="1">
      <alignment horizontal="left" vertical="center" indent="1"/>
    </xf>
    <xf numFmtId="0" fontId="50" fillId="0" borderId="0" xfId="29" applyFont="1" applyAlignment="1">
      <alignment vertical="center"/>
    </xf>
    <xf numFmtId="0" fontId="50" fillId="12" borderId="34" xfId="29" applyFont="1" applyFill="1" applyBorder="1" applyAlignment="1">
      <alignment horizontal="center" vertical="center"/>
    </xf>
    <xf numFmtId="0" fontId="50" fillId="12" borderId="35" xfId="29" applyFont="1" applyFill="1" applyBorder="1" applyAlignment="1">
      <alignment horizontal="center" vertical="center"/>
    </xf>
    <xf numFmtId="3" fontId="50" fillId="12" borderId="35" xfId="29" applyNumberFormat="1" applyFont="1" applyFill="1" applyBorder="1" applyAlignment="1">
      <alignment horizontal="center" vertical="center"/>
    </xf>
    <xf numFmtId="0" fontId="40" fillId="0" borderId="39" xfId="29" applyFont="1" applyBorder="1" applyAlignment="1">
      <alignment horizontal="center" vertical="center"/>
    </xf>
    <xf numFmtId="0" fontId="40" fillId="0" borderId="43" xfId="29" applyFont="1" applyBorder="1" applyAlignment="1">
      <alignment horizontal="center" vertical="center"/>
    </xf>
    <xf numFmtId="0" fontId="40" fillId="0" borderId="49" xfId="32" applyFont="1" applyBorder="1" applyAlignment="1">
      <alignment horizontal="center" vertical="center"/>
    </xf>
    <xf numFmtId="176" fontId="40" fillId="0" borderId="0" xfId="30" applyNumberFormat="1" applyFont="1">
      <alignment vertical="center"/>
    </xf>
    <xf numFmtId="0" fontId="40" fillId="0" borderId="53" xfId="32" applyFont="1" applyBorder="1" applyAlignment="1">
      <alignment horizontal="left" vertical="center" wrapText="1" indent="1"/>
    </xf>
    <xf numFmtId="0" fontId="44" fillId="0" borderId="58" xfId="32" applyFont="1" applyBorder="1" applyAlignment="1">
      <alignment horizontal="center" vertical="center"/>
    </xf>
    <xf numFmtId="186" fontId="44" fillId="0" borderId="58" xfId="32" applyNumberFormat="1" applyFont="1" applyBorder="1" applyAlignment="1">
      <alignment horizontal="center" vertical="center"/>
    </xf>
    <xf numFmtId="177" fontId="40" fillId="0" borderId="0" xfId="30" applyNumberFormat="1" applyFont="1">
      <alignment vertical="center"/>
    </xf>
    <xf numFmtId="2" fontId="44" fillId="0" borderId="60" xfId="32" applyNumberFormat="1" applyFont="1" applyBorder="1" applyAlignment="1">
      <alignment horizontal="center" vertical="center"/>
    </xf>
    <xf numFmtId="0" fontId="44" fillId="0" borderId="63" xfId="32" applyFont="1" applyBorder="1" applyAlignment="1">
      <alignment horizontal="center" vertical="center"/>
    </xf>
    <xf numFmtId="0" fontId="40" fillId="0" borderId="65" xfId="29" applyFont="1" applyBorder="1" applyAlignment="1">
      <alignment horizontal="center" vertical="center"/>
    </xf>
    <xf numFmtId="0" fontId="40" fillId="0" borderId="66" xfId="32" applyFont="1" applyBorder="1" applyAlignment="1">
      <alignment horizontal="left" vertical="center" wrapText="1" indent="1"/>
    </xf>
    <xf numFmtId="1" fontId="44" fillId="0" borderId="67" xfId="32" applyNumberFormat="1" applyFont="1" applyBorder="1" applyAlignment="1">
      <alignment horizontal="center" vertical="center"/>
    </xf>
    <xf numFmtId="0" fontId="44" fillId="0" borderId="67" xfId="32" applyFont="1" applyBorder="1" applyAlignment="1">
      <alignment horizontal="center" vertical="center"/>
    </xf>
    <xf numFmtId="0" fontId="44" fillId="0" borderId="71" xfId="32" applyFont="1" applyBorder="1" applyAlignment="1">
      <alignment horizontal="center" vertical="center"/>
    </xf>
    <xf numFmtId="176" fontId="40" fillId="0" borderId="0" xfId="33" applyFont="1">
      <alignment vertical="center"/>
    </xf>
    <xf numFmtId="176" fontId="54" fillId="13" borderId="36" xfId="29" applyNumberFormat="1" applyFont="1" applyFill="1" applyBorder="1" applyAlignment="1">
      <alignment horizontal="right" vertical="center"/>
    </xf>
    <xf numFmtId="0" fontId="54" fillId="13" borderId="36" xfId="29" applyFont="1" applyFill="1" applyBorder="1" applyAlignment="1">
      <alignment horizontal="right" vertical="center"/>
    </xf>
    <xf numFmtId="176" fontId="54" fillId="13" borderId="73" xfId="33" applyFont="1" applyFill="1" applyBorder="1" applyAlignment="1">
      <alignment horizontal="right" vertical="center"/>
    </xf>
    <xf numFmtId="179" fontId="40" fillId="0" borderId="0" xfId="35" applyFont="1" applyAlignment="1">
      <alignment vertical="center"/>
    </xf>
    <xf numFmtId="49" fontId="44" fillId="0" borderId="17" xfId="29" applyNumberFormat="1" applyFont="1" applyBorder="1" applyAlignment="1">
      <alignment horizontal="left" vertical="center" indent="1"/>
    </xf>
    <xf numFmtId="49" fontId="40" fillId="0" borderId="0" xfId="29" applyNumberFormat="1" applyFont="1" applyAlignment="1">
      <alignment vertical="center"/>
    </xf>
    <xf numFmtId="49" fontId="40" fillId="0" borderId="18" xfId="29" applyNumberFormat="1" applyFont="1" applyBorder="1" applyAlignment="1">
      <alignment vertical="center"/>
    </xf>
    <xf numFmtId="49" fontId="40" fillId="0" borderId="17" xfId="29" applyNumberFormat="1" applyFont="1" applyBorder="1" applyAlignment="1">
      <alignment vertical="center"/>
    </xf>
    <xf numFmtId="0" fontId="45" fillId="0" borderId="0" xfId="32" applyFont="1" applyAlignment="1">
      <alignment horizontal="left" vertical="center"/>
    </xf>
    <xf numFmtId="0" fontId="45" fillId="0" borderId="18" xfId="32" applyFont="1" applyBorder="1" applyAlignment="1">
      <alignment horizontal="left" vertical="center"/>
    </xf>
    <xf numFmtId="49" fontId="40" fillId="0" borderId="75" xfId="29" applyNumberFormat="1" applyFont="1" applyBorder="1" applyAlignment="1">
      <alignment vertical="center"/>
    </xf>
    <xf numFmtId="49" fontId="40" fillId="0" borderId="76" xfId="29" applyNumberFormat="1" applyFont="1" applyBorder="1" applyAlignment="1">
      <alignment vertical="center"/>
    </xf>
    <xf numFmtId="49" fontId="40" fillId="0" borderId="77" xfId="29" applyNumberFormat="1" applyFont="1" applyBorder="1" applyAlignment="1">
      <alignment vertical="center"/>
    </xf>
    <xf numFmtId="0" fontId="45" fillId="0" borderId="19" xfId="29" applyFont="1" applyFill="1" applyBorder="1" applyAlignment="1">
      <alignment vertical="center"/>
    </xf>
    <xf numFmtId="0" fontId="40" fillId="0" borderId="19" xfId="29" applyFont="1" applyFill="1" applyBorder="1" applyAlignment="1">
      <alignment vertical="center"/>
    </xf>
    <xf numFmtId="0" fontId="40" fillId="0" borderId="20" xfId="29" applyFont="1" applyFill="1" applyBorder="1" applyAlignment="1">
      <alignment horizontal="right" vertical="center"/>
    </xf>
    <xf numFmtId="0" fontId="40" fillId="0" borderId="21" xfId="29" applyFont="1" applyFill="1" applyBorder="1" applyAlignment="1">
      <alignment horizontal="center" vertical="center"/>
    </xf>
    <xf numFmtId="0" fontId="40" fillId="0" borderId="40" xfId="32" applyFont="1" applyFill="1" applyBorder="1" applyAlignment="1">
      <alignment horizontal="center" vertical="center"/>
    </xf>
    <xf numFmtId="0" fontId="40" fillId="0" borderId="42" xfId="32" applyFont="1" applyFill="1" applyBorder="1" applyAlignment="1">
      <alignment horizontal="center" vertical="center"/>
    </xf>
    <xf numFmtId="0" fontId="40" fillId="0" borderId="47" xfId="32" applyFont="1" applyFill="1" applyBorder="1" applyAlignment="1">
      <alignment horizontal="center" vertical="center"/>
    </xf>
    <xf numFmtId="0" fontId="44" fillId="0" borderId="54" xfId="32" applyFont="1" applyFill="1" applyBorder="1" applyAlignment="1">
      <alignment horizontal="center" vertical="center"/>
    </xf>
    <xf numFmtId="0" fontId="44" fillId="0" borderId="67" xfId="32" applyFont="1" applyBorder="1" applyAlignment="1">
      <alignment horizontal="left" vertical="center" wrapText="1" indent="1"/>
    </xf>
    <xf numFmtId="0" fontId="44" fillId="0" borderId="68" xfId="32" applyFont="1" applyBorder="1" applyAlignment="1">
      <alignment horizontal="left" vertical="center" wrapText="1" indent="1"/>
    </xf>
    <xf numFmtId="0" fontId="44" fillId="0" borderId="69" xfId="32" applyFont="1" applyBorder="1" applyAlignment="1">
      <alignment horizontal="left" vertical="center" wrapText="1" indent="1"/>
    </xf>
    <xf numFmtId="176" fontId="40" fillId="0" borderId="67" xfId="33" applyFont="1" applyFill="1" applyBorder="1" applyAlignment="1">
      <alignment horizontal="right" vertical="center"/>
    </xf>
    <xf numFmtId="176" fontId="40" fillId="0" borderId="68" xfId="33" applyFont="1" applyFill="1" applyBorder="1" applyAlignment="1">
      <alignment horizontal="right" vertical="center"/>
    </xf>
    <xf numFmtId="176" fontId="40" fillId="0" borderId="69" xfId="33" applyFont="1" applyFill="1" applyBorder="1" applyAlignment="1">
      <alignment horizontal="right" vertical="center"/>
    </xf>
    <xf numFmtId="176" fontId="40" fillId="0" borderId="67" xfId="34" applyFont="1" applyFill="1" applyBorder="1" applyAlignment="1">
      <alignment horizontal="left" vertical="center"/>
    </xf>
    <xf numFmtId="176" fontId="40" fillId="0" borderId="70" xfId="34" applyFont="1" applyFill="1" applyBorder="1" applyAlignment="1">
      <alignment horizontal="left" vertical="center"/>
    </xf>
    <xf numFmtId="0" fontId="54" fillId="13" borderId="72" xfId="29" applyFont="1" applyFill="1" applyBorder="1" applyAlignment="1">
      <alignment horizontal="center" vertical="center"/>
    </xf>
    <xf numFmtId="0" fontId="54" fillId="13" borderId="36" xfId="29" applyFont="1" applyFill="1" applyBorder="1" applyAlignment="1">
      <alignment horizontal="center" vertical="center"/>
    </xf>
    <xf numFmtId="0" fontId="54" fillId="13" borderId="73" xfId="29" applyFont="1" applyFill="1" applyBorder="1" applyAlignment="1">
      <alignment horizontal="center" vertical="center"/>
    </xf>
    <xf numFmtId="9" fontId="54" fillId="13" borderId="74" xfId="2" applyFont="1" applyFill="1" applyBorder="1" applyAlignment="1">
      <alignment horizontal="center" vertical="center"/>
    </xf>
    <xf numFmtId="9" fontId="54" fillId="13" borderId="38" xfId="2" applyFont="1" applyFill="1" applyBorder="1" applyAlignment="1">
      <alignment horizontal="center" vertical="center"/>
    </xf>
    <xf numFmtId="176" fontId="40" fillId="0" borderId="49" xfId="33" applyFont="1" applyFill="1" applyBorder="1" applyAlignment="1">
      <alignment horizontal="right" vertical="center"/>
    </xf>
    <xf numFmtId="176" fontId="40" fillId="0" borderId="50" xfId="33" applyFont="1" applyFill="1" applyBorder="1" applyAlignment="1">
      <alignment horizontal="right" vertical="center"/>
    </xf>
    <xf numFmtId="176" fontId="40" fillId="0" borderId="51" xfId="33" applyFont="1" applyFill="1" applyBorder="1" applyAlignment="1">
      <alignment horizontal="right" vertical="center"/>
    </xf>
    <xf numFmtId="176" fontId="40" fillId="0" borderId="49" xfId="34" applyFont="1" applyFill="1" applyBorder="1" applyAlignment="1">
      <alignment horizontal="left" vertical="center"/>
    </xf>
    <xf numFmtId="176" fontId="40" fillId="0" borderId="52" xfId="34" applyFont="1" applyFill="1" applyBorder="1" applyAlignment="1">
      <alignment horizontal="left" vertical="center"/>
    </xf>
    <xf numFmtId="176" fontId="53" fillId="0" borderId="67" xfId="34" applyFont="1" applyBorder="1" applyAlignment="1">
      <alignment horizontal="left" vertical="center"/>
    </xf>
    <xf numFmtId="176" fontId="53" fillId="0" borderId="70" xfId="34" applyFont="1" applyBorder="1" applyAlignment="1">
      <alignment horizontal="left" vertical="center"/>
    </xf>
    <xf numFmtId="0" fontId="44" fillId="0" borderId="60" xfId="32" applyFont="1" applyBorder="1" applyAlignment="1">
      <alignment horizontal="left" vertical="center" wrapText="1" indent="1"/>
    </xf>
    <xf numFmtId="0" fontId="44" fillId="0" borderId="61" xfId="32" applyFont="1" applyBorder="1" applyAlignment="1">
      <alignment horizontal="left" vertical="center" wrapText="1" indent="1"/>
    </xf>
    <xf numFmtId="0" fontId="44" fillId="0" borderId="62" xfId="32" applyFont="1" applyBorder="1" applyAlignment="1">
      <alignment horizontal="left" vertical="center" wrapText="1" indent="1"/>
    </xf>
    <xf numFmtId="176" fontId="40" fillId="0" borderId="60" xfId="33" applyFont="1" applyFill="1" applyBorder="1" applyAlignment="1">
      <alignment horizontal="right" vertical="center"/>
    </xf>
    <xf numFmtId="176" fontId="40" fillId="0" borderId="61" xfId="33" applyFont="1" applyFill="1" applyBorder="1" applyAlignment="1">
      <alignment horizontal="right" vertical="center"/>
    </xf>
    <xf numFmtId="176" fontId="40" fillId="0" borderId="62" xfId="33" applyFont="1" applyFill="1" applyBorder="1" applyAlignment="1">
      <alignment horizontal="right" vertical="center"/>
    </xf>
    <xf numFmtId="176" fontId="40" fillId="0" borderId="58" xfId="34" applyFont="1" applyFill="1" applyBorder="1" applyAlignment="1">
      <alignment horizontal="left" vertical="center"/>
    </xf>
    <xf numFmtId="176" fontId="40" fillId="0" borderId="26" xfId="34" applyFont="1" applyFill="1" applyBorder="1" applyAlignment="1">
      <alignment horizontal="left" vertical="center"/>
    </xf>
    <xf numFmtId="176" fontId="40" fillId="0" borderId="60" xfId="34" applyFont="1" applyFill="1" applyBorder="1" applyAlignment="1">
      <alignment horizontal="left" vertical="center"/>
    </xf>
    <xf numFmtId="176" fontId="40" fillId="0" borderId="64" xfId="34" applyFont="1" applyFill="1" applyBorder="1" applyAlignment="1">
      <alignment horizontal="left" vertical="center"/>
    </xf>
    <xf numFmtId="0" fontId="44" fillId="0" borderId="58" xfId="32" applyFont="1" applyBorder="1" applyAlignment="1">
      <alignment horizontal="left" vertical="center" wrapText="1" indent="1"/>
    </xf>
    <xf numFmtId="0" fontId="44" fillId="0" borderId="4" xfId="32" applyFont="1" applyBorder="1" applyAlignment="1">
      <alignment horizontal="left" vertical="center" wrapText="1" indent="1"/>
    </xf>
    <xf numFmtId="0" fontId="44" fillId="0" borderId="59" xfId="32" applyFont="1" applyBorder="1" applyAlignment="1">
      <alignment horizontal="left" vertical="center" wrapText="1" indent="1"/>
    </xf>
    <xf numFmtId="176" fontId="40" fillId="0" borderId="58" xfId="33" applyFont="1" applyFill="1" applyBorder="1" applyAlignment="1">
      <alignment horizontal="right" vertical="center"/>
    </xf>
    <xf numFmtId="176" fontId="40" fillId="0" borderId="4" xfId="33" applyFont="1" applyFill="1" applyBorder="1" applyAlignment="1">
      <alignment horizontal="right" vertical="center"/>
    </xf>
    <xf numFmtId="176" fontId="40" fillId="0" borderId="59" xfId="33" applyFont="1" applyFill="1" applyBorder="1" applyAlignment="1">
      <alignment horizontal="right" vertical="center"/>
    </xf>
    <xf numFmtId="0" fontId="44" fillId="0" borderId="54" xfId="32" applyFont="1" applyFill="1" applyBorder="1" applyAlignment="1">
      <alignment horizontal="left" vertical="center" wrapText="1" indent="1"/>
    </xf>
    <xf numFmtId="0" fontId="44" fillId="0" borderId="55" xfId="32" applyFont="1" applyFill="1" applyBorder="1" applyAlignment="1">
      <alignment horizontal="left" vertical="center" wrapText="1" indent="1"/>
    </xf>
    <xf numFmtId="0" fontId="44" fillId="0" borderId="56" xfId="32" applyFont="1" applyFill="1" applyBorder="1" applyAlignment="1">
      <alignment horizontal="left" vertical="center" wrapText="1" indent="1"/>
    </xf>
    <xf numFmtId="176" fontId="40" fillId="0" borderId="54" xfId="33" applyFont="1" applyFill="1" applyBorder="1" applyAlignment="1">
      <alignment horizontal="right" vertical="center"/>
    </xf>
    <xf numFmtId="176" fontId="40" fillId="0" borderId="55" xfId="33" applyFont="1" applyFill="1" applyBorder="1" applyAlignment="1">
      <alignment horizontal="right" vertical="center"/>
    </xf>
    <xf numFmtId="176" fontId="40" fillId="0" borderId="56" xfId="33" applyFont="1" applyFill="1" applyBorder="1" applyAlignment="1">
      <alignment horizontal="right" vertical="center"/>
    </xf>
    <xf numFmtId="176" fontId="40" fillId="0" borderId="54" xfId="34" applyFont="1" applyBorder="1" applyAlignment="1">
      <alignment horizontal="left" vertical="center"/>
    </xf>
    <xf numFmtId="176" fontId="40" fillId="0" borderId="57" xfId="34" applyFont="1" applyBorder="1" applyAlignment="1">
      <alignment horizontal="left" vertical="center"/>
    </xf>
    <xf numFmtId="0" fontId="40" fillId="0" borderId="44" xfId="32" applyFont="1" applyFill="1" applyBorder="1" applyAlignment="1">
      <alignment horizontal="center" vertical="center" wrapText="1"/>
    </xf>
    <xf numFmtId="0" fontId="40" fillId="0" borderId="45" xfId="32" applyFont="1" applyFill="1" applyBorder="1" applyAlignment="1">
      <alignment horizontal="center" vertical="center" wrapText="1"/>
    </xf>
    <xf numFmtId="0" fontId="40" fillId="0" borderId="46" xfId="32" applyFont="1" applyFill="1" applyBorder="1" applyAlignment="1">
      <alignment horizontal="center" vertical="center" wrapText="1"/>
    </xf>
    <xf numFmtId="176" fontId="40" fillId="0" borderId="44" xfId="33" applyFont="1" applyFill="1" applyBorder="1" applyAlignment="1">
      <alignment horizontal="right" vertical="center"/>
    </xf>
    <xf numFmtId="176" fontId="40" fillId="0" borderId="45" xfId="33" applyFont="1" applyFill="1" applyBorder="1" applyAlignment="1">
      <alignment horizontal="right" vertical="center"/>
    </xf>
    <xf numFmtId="176" fontId="40" fillId="0" borderId="46" xfId="33" applyFont="1" applyFill="1" applyBorder="1" applyAlignment="1">
      <alignment horizontal="right" vertical="center"/>
    </xf>
    <xf numFmtId="176" fontId="40" fillId="0" borderId="44" xfId="34" applyFont="1" applyBorder="1" applyAlignment="1">
      <alignment horizontal="left" vertical="center"/>
    </xf>
    <xf numFmtId="176" fontId="40" fillId="0" borderId="48" xfId="34" applyFont="1" applyBorder="1" applyAlignment="1">
      <alignment horizontal="left" vertical="center"/>
    </xf>
    <xf numFmtId="0" fontId="40" fillId="0" borderId="44" xfId="32" applyFont="1" applyBorder="1" applyAlignment="1">
      <alignment horizontal="center" vertical="center" wrapText="1"/>
    </xf>
    <xf numFmtId="0" fontId="40" fillId="0" borderId="45" xfId="32" applyFont="1" applyBorder="1" applyAlignment="1">
      <alignment horizontal="center" vertical="center" wrapText="1"/>
    </xf>
    <xf numFmtId="0" fontId="40" fillId="0" borderId="46" xfId="32" applyFont="1" applyBorder="1" applyAlignment="1">
      <alignment horizontal="center" vertical="center" wrapText="1"/>
    </xf>
    <xf numFmtId="176" fontId="40" fillId="0" borderId="49" xfId="33" applyFont="1" applyBorder="1" applyAlignment="1">
      <alignment horizontal="center" vertical="center"/>
    </xf>
    <xf numFmtId="176" fontId="40" fillId="0" borderId="50" xfId="33" applyFont="1" applyBorder="1" applyAlignment="1">
      <alignment horizontal="center" vertical="center"/>
    </xf>
    <xf numFmtId="176" fontId="40" fillId="0" borderId="51" xfId="33" applyFont="1" applyBorder="1" applyAlignment="1">
      <alignment horizontal="center" vertical="center"/>
    </xf>
    <xf numFmtId="176" fontId="40" fillId="0" borderId="49" xfId="34" applyFont="1" applyBorder="1" applyAlignment="1">
      <alignment horizontal="left" vertical="center"/>
    </xf>
    <xf numFmtId="176" fontId="40" fillId="0" borderId="52" xfId="34" applyFont="1" applyBorder="1" applyAlignment="1">
      <alignment horizontal="left" vertical="center"/>
    </xf>
    <xf numFmtId="0" fontId="51" fillId="11" borderId="0" xfId="31" applyFont="1" applyFill="1" applyAlignment="1">
      <alignment horizontal="left" vertical="center"/>
    </xf>
    <xf numFmtId="0" fontId="51" fillId="11" borderId="18" xfId="31" applyFont="1" applyFill="1" applyBorder="1" applyAlignment="1">
      <alignment horizontal="left" vertical="center"/>
    </xf>
    <xf numFmtId="0" fontId="40" fillId="0" borderId="0" xfId="29" applyFont="1" applyAlignment="1">
      <alignment horizontal="right" vertical="center"/>
    </xf>
    <xf numFmtId="0" fontId="40" fillId="0" borderId="18" xfId="29" applyFont="1" applyBorder="1" applyAlignment="1">
      <alignment horizontal="right" vertical="center"/>
    </xf>
    <xf numFmtId="0" fontId="40" fillId="0" borderId="40" xfId="32" applyFont="1" applyFill="1" applyBorder="1" applyAlignment="1">
      <alignment horizontal="center" vertical="center" wrapText="1"/>
    </xf>
    <xf numFmtId="0" fontId="40" fillId="0" borderId="21" xfId="32" applyFont="1" applyFill="1" applyBorder="1" applyAlignment="1">
      <alignment horizontal="center" vertical="center" wrapText="1"/>
    </xf>
    <xf numFmtId="0" fontId="40" fillId="0" borderId="41" xfId="32" applyFont="1" applyFill="1" applyBorder="1" applyAlignment="1">
      <alignment horizontal="center" vertical="center" wrapText="1"/>
    </xf>
    <xf numFmtId="176" fontId="40" fillId="0" borderId="42" xfId="33" applyFont="1" applyFill="1" applyBorder="1" applyAlignment="1">
      <alignment horizontal="right" vertical="center"/>
    </xf>
    <xf numFmtId="176" fontId="40" fillId="0" borderId="40" xfId="32" applyNumberFormat="1" applyFont="1" applyBorder="1" applyAlignment="1">
      <alignment horizontal="left" vertical="center"/>
    </xf>
    <xf numFmtId="176" fontId="40" fillId="0" borderId="22" xfId="32" applyNumberFormat="1" applyFont="1" applyBorder="1" applyAlignment="1">
      <alignment horizontal="left" vertical="center"/>
    </xf>
    <xf numFmtId="0" fontId="50" fillId="12" borderId="35" xfId="29" applyFont="1" applyFill="1" applyBorder="1" applyAlignment="1">
      <alignment horizontal="center" vertical="center"/>
    </xf>
    <xf numFmtId="0" fontId="50" fillId="12" borderId="36" xfId="29" applyFont="1" applyFill="1" applyBorder="1" applyAlignment="1">
      <alignment horizontal="center" vertical="center"/>
    </xf>
    <xf numFmtId="0" fontId="50" fillId="12" borderId="37" xfId="29" applyFont="1" applyFill="1" applyBorder="1" applyAlignment="1">
      <alignment horizontal="center" vertical="center"/>
    </xf>
    <xf numFmtId="3" fontId="50" fillId="12" borderId="35" xfId="29" applyNumberFormat="1" applyFont="1" applyFill="1" applyBorder="1" applyAlignment="1">
      <alignment horizontal="center" vertical="center"/>
    </xf>
    <xf numFmtId="3" fontId="50" fillId="12" borderId="36" xfId="29" applyNumberFormat="1" applyFont="1" applyFill="1" applyBorder="1" applyAlignment="1">
      <alignment horizontal="center" vertical="center"/>
    </xf>
    <xf numFmtId="3" fontId="50" fillId="12" borderId="37" xfId="29" applyNumberFormat="1" applyFont="1" applyFill="1" applyBorder="1" applyAlignment="1">
      <alignment horizontal="center" vertical="center"/>
    </xf>
    <xf numFmtId="0" fontId="50" fillId="12" borderId="38" xfId="29" applyFont="1" applyFill="1" applyBorder="1" applyAlignment="1">
      <alignment horizontal="center" vertical="center"/>
    </xf>
    <xf numFmtId="185" fontId="49" fillId="11" borderId="0" xfId="29" applyNumberFormat="1" applyFont="1" applyFill="1" applyAlignment="1">
      <alignment horizontal="left" vertical="center"/>
    </xf>
    <xf numFmtId="0" fontId="39" fillId="0" borderId="14" xfId="29" applyFont="1" applyBorder="1" applyAlignment="1">
      <alignment horizontal="center" vertical="center"/>
    </xf>
    <xf numFmtId="0" fontId="39" fillId="0" borderId="15" xfId="29" applyFont="1" applyBorder="1" applyAlignment="1">
      <alignment horizontal="center" vertical="center"/>
    </xf>
    <xf numFmtId="0" fontId="39" fillId="0" borderId="16" xfId="29" applyFont="1" applyBorder="1" applyAlignment="1">
      <alignment horizontal="center" vertical="center"/>
    </xf>
    <xf numFmtId="0" fontId="41" fillId="0" borderId="17" xfId="29" applyFont="1" applyBorder="1" applyAlignment="1" applyProtection="1">
      <alignment horizontal="center" vertical="center"/>
      <protection locked="0"/>
    </xf>
    <xf numFmtId="0" fontId="41" fillId="0" borderId="0" xfId="29" applyFont="1" applyAlignment="1" applyProtection="1">
      <alignment horizontal="center" vertical="center"/>
      <protection locked="0"/>
    </xf>
    <xf numFmtId="0" fontId="41" fillId="0" borderId="18" xfId="29" applyFont="1" applyBorder="1" applyAlignment="1" applyProtection="1">
      <alignment horizontal="center" vertical="center"/>
      <protection locked="0"/>
    </xf>
    <xf numFmtId="0" fontId="40" fillId="10" borderId="20" xfId="29" applyFont="1" applyFill="1" applyBorder="1" applyAlignment="1">
      <alignment horizontal="center" vertical="center"/>
    </xf>
    <xf numFmtId="0" fontId="40" fillId="10" borderId="21" xfId="29" applyFont="1" applyFill="1" applyBorder="1" applyAlignment="1">
      <alignment horizontal="center" vertical="center"/>
    </xf>
    <xf numFmtId="0" fontId="40" fillId="10" borderId="22" xfId="29" applyFont="1" applyFill="1" applyBorder="1" applyAlignment="1">
      <alignment horizontal="center" vertical="center"/>
    </xf>
    <xf numFmtId="0" fontId="40" fillId="0" borderId="23" xfId="29" applyFont="1" applyBorder="1" applyAlignment="1">
      <alignment horizontal="center" vertical="center" wrapText="1"/>
    </xf>
    <xf numFmtId="0" fontId="40" fillId="0" borderId="27" xfId="29" applyFont="1" applyBorder="1" applyAlignment="1">
      <alignment horizontal="center" vertical="center"/>
    </xf>
    <xf numFmtId="0" fontId="40" fillId="0" borderId="31" xfId="29" applyFont="1" applyBorder="1" applyAlignment="1">
      <alignment horizontal="center" vertical="center"/>
    </xf>
    <xf numFmtId="0" fontId="40" fillId="0" borderId="25" xfId="29" applyFont="1" applyBorder="1" applyAlignment="1">
      <alignment horizontal="center" vertical="center"/>
    </xf>
    <xf numFmtId="0" fontId="40" fillId="0" borderId="4" xfId="29" applyFont="1" applyBorder="1" applyAlignment="1">
      <alignment horizontal="center" vertical="center"/>
    </xf>
    <xf numFmtId="0" fontId="40" fillId="0" borderId="26" xfId="29" applyFont="1" applyBorder="1" applyAlignment="1">
      <alignment horizontal="center" vertical="center"/>
    </xf>
    <xf numFmtId="0" fontId="47" fillId="0" borderId="25" xfId="29" applyFont="1" applyBorder="1" applyAlignment="1">
      <alignment horizontal="center" vertical="center"/>
    </xf>
    <xf numFmtId="0" fontId="45" fillId="0" borderId="4" xfId="29" applyFont="1" applyBorder="1" applyAlignment="1">
      <alignment horizontal="center" vertical="center"/>
    </xf>
    <xf numFmtId="0" fontId="45" fillId="0" borderId="5" xfId="29" applyFont="1" applyBorder="1" applyAlignment="1">
      <alignment horizontal="center" vertical="center"/>
    </xf>
    <xf numFmtId="0" fontId="47" fillId="0" borderId="3" xfId="29" applyFont="1" applyBorder="1" applyAlignment="1">
      <alignment horizontal="center" vertical="center"/>
    </xf>
    <xf numFmtId="0" fontId="45" fillId="0" borderId="26" xfId="29" applyFont="1" applyBorder="1" applyAlignment="1">
      <alignment horizontal="center" vertical="center"/>
    </xf>
    <xf numFmtId="0" fontId="40" fillId="0" borderId="25" xfId="29" applyFont="1" applyBorder="1" applyAlignment="1">
      <alignment horizontal="left" vertical="center" indent="1"/>
    </xf>
    <xf numFmtId="0" fontId="40" fillId="0" borderId="4" xfId="29" applyFont="1" applyBorder="1" applyAlignment="1">
      <alignment horizontal="left" vertical="center" indent="1"/>
    </xf>
    <xf numFmtId="0" fontId="40" fillId="0" borderId="26" xfId="29" applyFont="1" applyBorder="1" applyAlignment="1">
      <alignment horizontal="left" vertical="center" indent="1"/>
    </xf>
    <xf numFmtId="0" fontId="40" fillId="0" borderId="3" xfId="29" applyFont="1" applyBorder="1" applyAlignment="1">
      <alignment horizontal="center" vertical="center"/>
    </xf>
    <xf numFmtId="0" fontId="40" fillId="0" borderId="28" xfId="29" applyFont="1" applyBorder="1" applyAlignment="1">
      <alignment horizontal="center" vertical="center"/>
    </xf>
    <xf numFmtId="0" fontId="40" fillId="0" borderId="29" xfId="29" applyFont="1" applyBorder="1" applyAlignment="1">
      <alignment horizontal="center" vertical="center"/>
    </xf>
    <xf numFmtId="0" fontId="40" fillId="0" borderId="30" xfId="29" applyFont="1" applyBorder="1" applyAlignment="1">
      <alignment horizontal="center" vertical="center"/>
    </xf>
    <xf numFmtId="0" fontId="40" fillId="0" borderId="28" xfId="29" applyFont="1" applyBorder="1" applyAlignment="1">
      <alignment horizontal="left" vertical="center" indent="1"/>
    </xf>
    <xf numFmtId="0" fontId="40" fillId="0" borderId="29" xfId="29" applyFont="1" applyBorder="1" applyAlignment="1">
      <alignment horizontal="left" vertical="center" indent="1"/>
    </xf>
    <xf numFmtId="0" fontId="40" fillId="0" borderId="30" xfId="29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CE516727-BCAD-4670-B700-2F2D0E5B3A48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591A8B6E-A22D-45B3-B1B2-9731FDC1A37A}"/>
    <cellStyle name="쉼표 [0] 3" xfId="14" xr:uid="{8F7BE219-40E1-4BBB-A9BD-02188B74B2A3}"/>
    <cellStyle name="쉼표 [0] 4" xfId="27" xr:uid="{CC0B73B0-7462-4D01-B0C9-D11C17A5C7E0}"/>
    <cellStyle name="쉼표 [0] 5" xfId="33" xr:uid="{6827C5FA-982D-4AE2-AA36-A823014B048B}"/>
    <cellStyle name="쉼표 [0] 5 2" xfId="35" xr:uid="{8DE75BF4-8A31-403E-BC65-64557477196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FD6B5F60-743A-433E-AEA6-AAF4A769D4E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29D7022E-AC9C-498E-8E7A-1F49D4FACE44}"/>
    <cellStyle name="표준_P456 공장 및 복지동 전면 유리창 청소건 라상혁님_1129(최종)" xfId="32" xr:uid="{3F3D0E07-567C-41A5-909B-B5ED6E17CBF9}"/>
    <cellStyle name="표준_S&amp;D_MAIN VALVE_최빈_2" xfId="29" xr:uid="{712A9E9A-ACF2-4303-95F4-8F57FA71E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A69C88-D0C9-47D1-B72F-288C666E6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</xdr:row>
      <xdr:rowOff>190499</xdr:rowOff>
    </xdr:from>
    <xdr:to>
      <xdr:col>9</xdr:col>
      <xdr:colOff>266701</xdr:colOff>
      <xdr:row>45</xdr:row>
      <xdr:rowOff>28574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161926" y="400049"/>
          <a:ext cx="6743700" cy="90582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457200</xdr:colOff>
      <xdr:row>3</xdr:row>
      <xdr:rowOff>161925</xdr:rowOff>
    </xdr:from>
    <xdr:to>
      <xdr:col>8</xdr:col>
      <xdr:colOff>524715</xdr:colOff>
      <xdr:row>44</xdr:row>
      <xdr:rowOff>29756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B220953-99BF-4BF7-B426-D55EEFFE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90575"/>
          <a:ext cx="6020640" cy="8459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5488-F23C-4CC9-8B04-6B9416EC04C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>
      <c r="A3" s="209" t="s">
        <v>57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>
      <c r="A4" s="59" t="s">
        <v>58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>
      <c r="A5" s="64"/>
      <c r="B5" s="120" t="s">
        <v>124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>
      <c r="A7" s="212" t="s">
        <v>59</v>
      </c>
      <c r="B7" s="213"/>
      <c r="C7" s="214"/>
      <c r="D7" s="122">
        <v>2025</v>
      </c>
      <c r="E7" s="72" t="s">
        <v>60</v>
      </c>
      <c r="F7" s="123">
        <v>8</v>
      </c>
      <c r="G7" s="72" t="s">
        <v>61</v>
      </c>
      <c r="H7" s="123">
        <v>4</v>
      </c>
      <c r="I7" s="72" t="s">
        <v>62</v>
      </c>
      <c r="J7" s="73"/>
      <c r="K7" s="215" t="s">
        <v>63</v>
      </c>
      <c r="L7" s="74" t="s">
        <v>64</v>
      </c>
      <c r="M7" s="74" t="s">
        <v>65</v>
      </c>
      <c r="N7" s="74" t="s">
        <v>66</v>
      </c>
      <c r="O7" s="75" t="s">
        <v>67</v>
      </c>
    </row>
    <row r="8" spans="1:15" ht="23.25" customHeight="1">
      <c r="A8" s="218" t="s">
        <v>68</v>
      </c>
      <c r="B8" s="219"/>
      <c r="C8" s="220"/>
      <c r="D8" s="221" t="s">
        <v>69</v>
      </c>
      <c r="E8" s="222"/>
      <c r="F8" s="222"/>
      <c r="G8" s="223"/>
      <c r="H8" s="224" t="s">
        <v>70</v>
      </c>
      <c r="I8" s="222"/>
      <c r="J8" s="225"/>
      <c r="K8" s="216"/>
      <c r="L8" s="76" t="s">
        <v>71</v>
      </c>
      <c r="M8" s="76" t="s">
        <v>72</v>
      </c>
      <c r="N8" s="76" t="s">
        <v>73</v>
      </c>
      <c r="O8" s="77" t="s">
        <v>74</v>
      </c>
    </row>
    <row r="9" spans="1:15" ht="23.25" customHeight="1">
      <c r="A9" s="218" t="s">
        <v>75</v>
      </c>
      <c r="B9" s="219"/>
      <c r="C9" s="220"/>
      <c r="D9" s="226" t="s">
        <v>76</v>
      </c>
      <c r="E9" s="227"/>
      <c r="F9" s="227"/>
      <c r="G9" s="227"/>
      <c r="H9" s="227"/>
      <c r="I9" s="227"/>
      <c r="J9" s="228"/>
      <c r="K9" s="216"/>
      <c r="L9" s="76" t="s">
        <v>77</v>
      </c>
      <c r="M9" s="229" t="s">
        <v>78</v>
      </c>
      <c r="N9" s="219"/>
      <c r="O9" s="220"/>
    </row>
    <row r="10" spans="1:15" ht="23.25" customHeight="1" thickBot="1">
      <c r="A10" s="230" t="s">
        <v>79</v>
      </c>
      <c r="B10" s="231"/>
      <c r="C10" s="232"/>
      <c r="D10" s="233" t="s">
        <v>80</v>
      </c>
      <c r="E10" s="234"/>
      <c r="F10" s="234"/>
      <c r="G10" s="234"/>
      <c r="H10" s="234"/>
      <c r="I10" s="234"/>
      <c r="J10" s="235"/>
      <c r="K10" s="217"/>
      <c r="L10" s="78" t="s">
        <v>81</v>
      </c>
      <c r="M10" s="78" t="s">
        <v>82</v>
      </c>
      <c r="N10" s="78" t="s">
        <v>83</v>
      </c>
      <c r="O10" s="79" t="s">
        <v>84</v>
      </c>
    </row>
    <row r="11" spans="1:15" ht="21.75" customHeight="1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>
      <c r="A13" s="86"/>
      <c r="B13" s="205" t="s">
        <v>123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85</v>
      </c>
      <c r="O13" s="85"/>
    </row>
    <row r="14" spans="1:15" ht="9" customHeight="1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>
      <c r="A15" s="86"/>
      <c r="B15" s="188" t="str">
        <f>"견 적 금 액 : 一金"&amp;NUMBERSTRING(M32,1) &amp; "원정""(\"&amp; TEXT(M32,"#,###")&amp;"원) [VAT 별도]"</f>
        <v>견 적 금 액 : 一金일백일십만육천일백칠십오원정"(\1,106,175원)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>
      <c r="A17" s="88" t="s">
        <v>86</v>
      </c>
      <c r="B17" s="198" t="s">
        <v>87</v>
      </c>
      <c r="C17" s="199"/>
      <c r="D17" s="199"/>
      <c r="E17" s="199"/>
      <c r="F17" s="199"/>
      <c r="G17" s="200"/>
      <c r="H17" s="89" t="s">
        <v>88</v>
      </c>
      <c r="I17" s="90" t="s">
        <v>89</v>
      </c>
      <c r="J17" s="201" t="s">
        <v>90</v>
      </c>
      <c r="K17" s="202"/>
      <c r="L17" s="202"/>
      <c r="M17" s="203"/>
      <c r="N17" s="198" t="s">
        <v>91</v>
      </c>
      <c r="O17" s="204"/>
    </row>
    <row r="18" spans="1:17" ht="28.5" customHeight="1">
      <c r="A18" s="91">
        <v>1</v>
      </c>
      <c r="B18" s="192" t="s">
        <v>92</v>
      </c>
      <c r="C18" s="193"/>
      <c r="D18" s="193"/>
      <c r="E18" s="193"/>
      <c r="F18" s="193"/>
      <c r="G18" s="194"/>
      <c r="H18" s="124">
        <v>1</v>
      </c>
      <c r="I18" s="125" t="s">
        <v>6</v>
      </c>
      <c r="J18" s="195">
        <f>IFERROR(LOOKUP(2, 1/(TRIM('내역서(표준단가)'!O4:O100)&lt;&gt;""), '내역서(표준단가)'!O4:O100), "-")</f>
        <v>800000</v>
      </c>
      <c r="K18" s="195"/>
      <c r="L18" s="195"/>
      <c r="M18" s="195"/>
      <c r="N18" s="196"/>
      <c r="O18" s="197"/>
    </row>
    <row r="19" spans="1:17" ht="28.5" customHeight="1">
      <c r="A19" s="92">
        <v>2</v>
      </c>
      <c r="B19" s="172" t="s">
        <v>93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1/(TRIM('내역서(표준단가)'!Q4:Q100)&lt;&gt;""), '내역서(표준단가)'!Q4:Q100), "-")</f>
        <v>167081</v>
      </c>
      <c r="K19" s="176"/>
      <c r="L19" s="176"/>
      <c r="M19" s="177"/>
      <c r="N19" s="178"/>
      <c r="O19" s="179"/>
    </row>
    <row r="20" spans="1:17" ht="28.5" customHeight="1">
      <c r="A20" s="92">
        <v>3</v>
      </c>
      <c r="B20" s="180" t="s">
        <v>94</v>
      </c>
      <c r="C20" s="181"/>
      <c r="D20" s="181"/>
      <c r="E20" s="181"/>
      <c r="F20" s="181"/>
      <c r="G20" s="182"/>
      <c r="H20" s="93">
        <v>1</v>
      </c>
      <c r="I20" s="93" t="s">
        <v>6</v>
      </c>
      <c r="J20" s="183">
        <f>IFERROR(SUM(J21:M29),"-")</f>
        <v>51920.518527774999</v>
      </c>
      <c r="K20" s="184"/>
      <c r="L20" s="184"/>
      <c r="M20" s="185"/>
      <c r="N20" s="186"/>
      <c r="O20" s="187"/>
      <c r="P20" s="94"/>
    </row>
    <row r="21" spans="1:17" ht="28.5" customHeight="1">
      <c r="A21" s="91"/>
      <c r="B21" s="95"/>
      <c r="C21" s="164" t="s">
        <v>95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96</v>
      </c>
      <c r="O21" s="171"/>
    </row>
    <row r="22" spans="1:17" ht="28.5" customHeight="1">
      <c r="A22" s="91"/>
      <c r="B22" s="95"/>
      <c r="C22" s="158" t="s">
        <v>97</v>
      </c>
      <c r="D22" s="159"/>
      <c r="E22" s="159"/>
      <c r="F22" s="159"/>
      <c r="G22" s="160"/>
      <c r="H22" s="96">
        <v>3.11</v>
      </c>
      <c r="I22" s="96" t="s">
        <v>98</v>
      </c>
      <c r="J22" s="161">
        <f>IFERROR((J18+J19)*H22%,"-")</f>
        <v>30076.219099999998</v>
      </c>
      <c r="K22" s="162"/>
      <c r="L22" s="162"/>
      <c r="M22" s="163"/>
      <c r="N22" s="154" t="s">
        <v>99</v>
      </c>
      <c r="O22" s="155"/>
    </row>
    <row r="23" spans="1:17" ht="28.5" customHeight="1">
      <c r="A23" s="91"/>
      <c r="B23" s="95"/>
      <c r="C23" s="158" t="s">
        <v>100</v>
      </c>
      <c r="D23" s="159"/>
      <c r="E23" s="159"/>
      <c r="F23" s="159"/>
      <c r="G23" s="160"/>
      <c r="H23" s="96">
        <v>3.56</v>
      </c>
      <c r="I23" s="96" t="s">
        <v>101</v>
      </c>
      <c r="J23" s="161">
        <f>IFERROR(J19*H23%,"-")</f>
        <v>5948.0835999999999</v>
      </c>
      <c r="K23" s="162"/>
      <c r="L23" s="162"/>
      <c r="M23" s="163"/>
      <c r="N23" s="154" t="s">
        <v>102</v>
      </c>
      <c r="O23" s="155"/>
    </row>
    <row r="24" spans="1:17" ht="28.5" customHeight="1">
      <c r="A24" s="91"/>
      <c r="B24" s="95"/>
      <c r="C24" s="158" t="s">
        <v>103</v>
      </c>
      <c r="D24" s="159"/>
      <c r="E24" s="159"/>
      <c r="F24" s="159"/>
      <c r="G24" s="160"/>
      <c r="H24" s="96">
        <v>1.01</v>
      </c>
      <c r="I24" s="96" t="s">
        <v>101</v>
      </c>
      <c r="J24" s="161">
        <f>IFERROR(J19*H24%,"-")</f>
        <v>1687.5181</v>
      </c>
      <c r="K24" s="162"/>
      <c r="L24" s="162"/>
      <c r="M24" s="163"/>
      <c r="N24" s="154" t="s">
        <v>104</v>
      </c>
      <c r="O24" s="155"/>
    </row>
    <row r="25" spans="1:17" ht="28.5" customHeight="1">
      <c r="A25" s="91"/>
      <c r="B25" s="95"/>
      <c r="C25" s="158" t="s">
        <v>105</v>
      </c>
      <c r="D25" s="159"/>
      <c r="E25" s="159"/>
      <c r="F25" s="159"/>
      <c r="G25" s="160"/>
      <c r="H25" s="97">
        <v>3.5449999999999999</v>
      </c>
      <c r="I25" s="96" t="s">
        <v>101</v>
      </c>
      <c r="J25" s="161">
        <f>IFERROR(J19*H25%,"-")</f>
        <v>5923.0214500000002</v>
      </c>
      <c r="K25" s="162"/>
      <c r="L25" s="162"/>
      <c r="M25" s="163"/>
      <c r="N25" s="154" t="s">
        <v>106</v>
      </c>
      <c r="O25" s="155"/>
      <c r="Q25" s="94"/>
    </row>
    <row r="26" spans="1:17" ht="28.5" customHeight="1">
      <c r="A26" s="91"/>
      <c r="B26" s="95"/>
      <c r="C26" s="158" t="s">
        <v>107</v>
      </c>
      <c r="D26" s="159"/>
      <c r="E26" s="159"/>
      <c r="F26" s="159"/>
      <c r="G26" s="160"/>
      <c r="H26" s="96">
        <v>4.5</v>
      </c>
      <c r="I26" s="96" t="s">
        <v>101</v>
      </c>
      <c r="J26" s="161">
        <f>IFERROR(J19*H26%,"-")</f>
        <v>7518.6449999999995</v>
      </c>
      <c r="K26" s="162"/>
      <c r="L26" s="162"/>
      <c r="M26" s="163"/>
      <c r="N26" s="154" t="s">
        <v>108</v>
      </c>
      <c r="O26" s="155"/>
      <c r="Q26" s="98"/>
    </row>
    <row r="27" spans="1:17" ht="28.5" customHeight="1">
      <c r="A27" s="91"/>
      <c r="B27" s="95"/>
      <c r="C27" s="148" t="s">
        <v>109</v>
      </c>
      <c r="D27" s="149"/>
      <c r="E27" s="149"/>
      <c r="F27" s="149"/>
      <c r="G27" s="150"/>
      <c r="H27" s="99">
        <v>12.95</v>
      </c>
      <c r="I27" s="100" t="s">
        <v>101</v>
      </c>
      <c r="J27" s="151">
        <f>IFERROR($H$27*J25%,"-")</f>
        <v>767.03127777500004</v>
      </c>
      <c r="K27" s="152"/>
      <c r="L27" s="152"/>
      <c r="M27" s="153"/>
      <c r="N27" s="154" t="s">
        <v>110</v>
      </c>
      <c r="O27" s="155"/>
    </row>
    <row r="28" spans="1:17" ht="28.5" customHeight="1">
      <c r="A28" s="91"/>
      <c r="B28" s="95"/>
      <c r="C28" s="148" t="s">
        <v>111</v>
      </c>
      <c r="D28" s="149"/>
      <c r="E28" s="149"/>
      <c r="F28" s="149"/>
      <c r="G28" s="150"/>
      <c r="H28" s="99">
        <v>8.1000000000000003E-2</v>
      </c>
      <c r="I28" s="100" t="s">
        <v>101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112</v>
      </c>
      <c r="O28" s="157"/>
    </row>
    <row r="29" spans="1:17" ht="28.5" customHeight="1">
      <c r="A29" s="101"/>
      <c r="B29" s="102"/>
      <c r="C29" s="128" t="s">
        <v>113</v>
      </c>
      <c r="D29" s="129"/>
      <c r="E29" s="129"/>
      <c r="F29" s="129"/>
      <c r="G29" s="130"/>
      <c r="H29" s="103">
        <v>1</v>
      </c>
      <c r="I29" s="104" t="s">
        <v>114</v>
      </c>
      <c r="J29" s="131">
        <f>34*0</f>
        <v>0</v>
      </c>
      <c r="K29" s="132"/>
      <c r="L29" s="132"/>
      <c r="M29" s="133"/>
      <c r="N29" s="134" t="s">
        <v>115</v>
      </c>
      <c r="O29" s="135"/>
    </row>
    <row r="30" spans="1:17" ht="28.5" customHeight="1">
      <c r="A30" s="101">
        <v>4</v>
      </c>
      <c r="B30" s="102"/>
      <c r="C30" s="128" t="s">
        <v>116</v>
      </c>
      <c r="D30" s="129"/>
      <c r="E30" s="129"/>
      <c r="F30" s="129"/>
      <c r="G30" s="130"/>
      <c r="H30" s="104">
        <v>5</v>
      </c>
      <c r="I30" s="105" t="s">
        <v>117</v>
      </c>
      <c r="J30" s="141">
        <f>IFERROR(IF(ISNUMBER(H30), SUM(J18:M20) * (H30 / 100), "-"), "-")</f>
        <v>50950.075926388752</v>
      </c>
      <c r="K30" s="142"/>
      <c r="L30" s="142"/>
      <c r="M30" s="143"/>
      <c r="N30" s="144" t="s">
        <v>118</v>
      </c>
      <c r="O30" s="145"/>
    </row>
    <row r="31" spans="1:17" ht="28.5" customHeight="1" thickBot="1">
      <c r="A31" s="101">
        <v>5</v>
      </c>
      <c r="B31" s="102"/>
      <c r="C31" s="128" t="s">
        <v>119</v>
      </c>
      <c r="D31" s="129"/>
      <c r="E31" s="129"/>
      <c r="F31" s="129"/>
      <c r="G31" s="130"/>
      <c r="H31" s="104">
        <v>7.5</v>
      </c>
      <c r="I31" s="105" t="s">
        <v>101</v>
      </c>
      <c r="J31" s="131">
        <f>IFERROR(SUM(J18:M20, J30) * (H31 / 100), "-")+-44022</f>
        <v>36224.369584062268</v>
      </c>
      <c r="K31" s="132"/>
      <c r="L31" s="132"/>
      <c r="M31" s="133"/>
      <c r="N31" s="146" t="s">
        <v>120</v>
      </c>
      <c r="O31" s="147"/>
      <c r="Q31" s="106"/>
    </row>
    <row r="32" spans="1:17" ht="28.5" customHeight="1" thickBot="1">
      <c r="A32" s="136" t="s">
        <v>121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1106175</v>
      </c>
      <c r="N32" s="139"/>
      <c r="O32" s="140"/>
      <c r="P32" s="110"/>
    </row>
    <row r="33" spans="1:15">
      <c r="A33" s="111" t="s">
        <v>122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>
      <c r="M42" s="106"/>
    </row>
    <row r="43" spans="1:15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70" zoomScaleNormal="70" workbookViewId="0">
      <selection activeCell="N18" sqref="N18"/>
    </sheetView>
  </sheetViews>
  <sheetFormatPr defaultColWidth="9" defaultRowHeight="12.75"/>
  <cols>
    <col min="1" max="1" width="17.5" style="35" bestFit="1" customWidth="1"/>
    <col min="2" max="5" width="18.5" style="35" hidden="1" customWidth="1"/>
    <col min="6" max="6" width="13.875" style="5" hidden="1" customWidth="1"/>
    <col min="7" max="7" width="14.5" style="5" hidden="1" customWidth="1"/>
    <col min="8" max="8" width="16.625" style="5" hidden="1" customWidth="1"/>
    <col min="9" max="9" width="11.5" style="5" hidden="1" customWidth="1"/>
    <col min="10" max="10" width="33.5" style="5" bestFit="1" customWidth="1"/>
    <col min="11" max="11" width="25" style="5" bestFit="1" customWidth="1"/>
    <col min="12" max="12" width="9.625" style="5" bestFit="1" customWidth="1"/>
    <col min="13" max="13" width="7.625" style="5" customWidth="1"/>
    <col min="14" max="14" width="10.125" style="5" bestFit="1" customWidth="1"/>
    <col min="15" max="15" width="11.75" style="5" customWidth="1"/>
    <col min="16" max="16" width="9.625" style="5" customWidth="1"/>
    <col min="17" max="17" width="12.25" style="5" bestFit="1" customWidth="1"/>
    <col min="18" max="18" width="8.5" style="5" hidden="1" customWidth="1"/>
    <col min="19" max="19" width="9.875" style="5" hidden="1" customWidth="1"/>
    <col min="20" max="21" width="8.5" style="5" hidden="1" customWidth="1"/>
    <col min="22" max="22" width="12.25" style="5" bestFit="1" customWidth="1"/>
    <col min="23" max="23" width="19.375" style="6" bestFit="1" customWidth="1"/>
    <col min="24" max="24" width="8.5" style="5" bestFit="1" customWidth="1"/>
    <col min="25" max="16384" width="9" style="5"/>
  </cols>
  <sheetData>
    <row r="1" spans="1:24" ht="30" customHeight="1">
      <c r="A1" s="236"/>
      <c r="B1" s="236"/>
      <c r="C1" s="236"/>
      <c r="D1" s="236"/>
      <c r="E1" s="236"/>
      <c r="F1" s="236"/>
      <c r="G1" s="236"/>
      <c r="H1" s="236"/>
      <c r="I1" s="236"/>
      <c r="N1" s="6"/>
      <c r="O1" s="4" t="s">
        <v>9</v>
      </c>
      <c r="Q1" s="4" t="s">
        <v>9</v>
      </c>
      <c r="S1" s="4" t="s">
        <v>9</v>
      </c>
      <c r="U1" s="4" t="s">
        <v>9</v>
      </c>
    </row>
    <row r="2" spans="1:24" ht="30" customHeight="1" thickBot="1">
      <c r="A2" s="236"/>
      <c r="B2" s="236"/>
      <c r="C2" s="236"/>
      <c r="D2" s="236"/>
      <c r="E2" s="236"/>
      <c r="F2" s="236"/>
      <c r="G2" s="236"/>
      <c r="H2" s="236"/>
      <c r="I2" s="236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30" customHeight="1">
      <c r="A3" s="9"/>
      <c r="B3" s="9"/>
      <c r="C3" s="9"/>
      <c r="D3" s="9"/>
      <c r="E3" s="9"/>
      <c r="F3" s="9" t="s">
        <v>10</v>
      </c>
      <c r="G3" s="10"/>
      <c r="H3" s="10"/>
      <c r="I3" s="10"/>
      <c r="J3" s="245" t="s">
        <v>11</v>
      </c>
      <c r="K3" s="245"/>
      <c r="L3" s="245" t="s">
        <v>12</v>
      </c>
      <c r="M3" s="245" t="s">
        <v>13</v>
      </c>
      <c r="N3" s="241" t="s">
        <v>14</v>
      </c>
      <c r="O3" s="241"/>
      <c r="P3" s="241" t="s">
        <v>15</v>
      </c>
      <c r="Q3" s="241"/>
      <c r="R3" s="242" t="s">
        <v>16</v>
      </c>
      <c r="S3" s="242"/>
      <c r="T3" s="242" t="s">
        <v>17</v>
      </c>
      <c r="U3" s="242"/>
      <c r="V3" s="243" t="s">
        <v>18</v>
      </c>
      <c r="W3" s="239" t="s">
        <v>19</v>
      </c>
      <c r="X3" s="237" t="s">
        <v>8</v>
      </c>
    </row>
    <row r="4" spans="1:24" ht="30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46"/>
      <c r="M4" s="246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4"/>
      <c r="W4" s="240"/>
      <c r="X4" s="238"/>
    </row>
    <row r="5" spans="1:24" s="25" customFormat="1" ht="30" customHeight="1">
      <c r="A5" s="17" t="str">
        <f t="shared" ref="A5" si="0">F5&amp;G5&amp;H5&amp;I5</f>
        <v>L002</v>
      </c>
      <c r="B5" s="49"/>
      <c r="C5" s="49"/>
      <c r="D5" s="49"/>
      <c r="E5" s="49"/>
      <c r="F5" s="19"/>
      <c r="G5" s="13"/>
      <c r="H5" s="13"/>
      <c r="I5" s="19" t="s">
        <v>52</v>
      </c>
      <c r="J5" s="20" t="s">
        <v>53</v>
      </c>
      <c r="K5" s="46" t="s">
        <v>50</v>
      </c>
      <c r="L5" s="47" t="s">
        <v>32</v>
      </c>
      <c r="M5" s="48">
        <v>1</v>
      </c>
      <c r="N5" s="50"/>
      <c r="O5" s="21">
        <f t="shared" ref="O5" si="1">SUM(N5:N5)*M5*$O$2</f>
        <v>0</v>
      </c>
      <c r="P5" s="51">
        <v>167081</v>
      </c>
      <c r="Q5" s="53">
        <f>M5*P5</f>
        <v>167081</v>
      </c>
      <c r="R5" s="22"/>
      <c r="S5" s="21">
        <f t="shared" ref="S5:S6" si="2">R5*M5*$S$2</f>
        <v>0</v>
      </c>
      <c r="T5" s="22"/>
      <c r="U5" s="21">
        <f t="shared" ref="U5:U6" si="3">T5*M5*$U$2</f>
        <v>0</v>
      </c>
      <c r="V5" s="23">
        <f t="shared" ref="V5:V6" si="4">SUM(O5+Q5)+S5+U5</f>
        <v>167081</v>
      </c>
      <c r="W5" s="52"/>
      <c r="X5" s="24"/>
    </row>
    <row r="6" spans="1:24" s="25" customFormat="1" ht="30" customHeight="1">
      <c r="A6" s="17">
        <v>999999</v>
      </c>
      <c r="B6" s="18"/>
      <c r="C6" s="18"/>
      <c r="D6" s="18"/>
      <c r="E6" s="18"/>
      <c r="F6" s="26"/>
      <c r="G6" s="13"/>
      <c r="H6" s="13"/>
      <c r="I6" s="19"/>
      <c r="J6" s="20" t="s">
        <v>54</v>
      </c>
      <c r="K6" s="20" t="s">
        <v>56</v>
      </c>
      <c r="L6" s="27" t="s">
        <v>51</v>
      </c>
      <c r="M6" s="28">
        <v>1</v>
      </c>
      <c r="N6" s="54">
        <v>800000</v>
      </c>
      <c r="O6" s="21">
        <f>M6*N6</f>
        <v>800000</v>
      </c>
      <c r="P6" s="3"/>
      <c r="Q6" s="21">
        <f>M6*P6</f>
        <v>0</v>
      </c>
      <c r="R6" s="22"/>
      <c r="S6" s="21">
        <f t="shared" si="2"/>
        <v>0</v>
      </c>
      <c r="T6" s="22"/>
      <c r="U6" s="21">
        <f t="shared" si="3"/>
        <v>0</v>
      </c>
      <c r="V6" s="23">
        <f t="shared" si="4"/>
        <v>800000</v>
      </c>
      <c r="W6" s="28"/>
      <c r="X6" s="24"/>
    </row>
    <row r="7" spans="1:24" s="30" customFormat="1" ht="30" customHeight="1">
      <c r="A7" s="29"/>
      <c r="B7" s="29"/>
      <c r="C7" s="29"/>
      <c r="D7" s="29"/>
      <c r="E7" s="29"/>
      <c r="O7" s="31">
        <f>SUM(O5:O6)</f>
        <v>800000</v>
      </c>
      <c r="P7" s="32"/>
      <c r="Q7" s="31">
        <f>SUM(Q5:Q6)</f>
        <v>167081</v>
      </c>
      <c r="R7" s="32"/>
      <c r="S7" s="31">
        <f>SUM(S5:S6)</f>
        <v>0</v>
      </c>
      <c r="T7" s="32"/>
      <c r="U7" s="31">
        <f>SUM(U5:U6)</f>
        <v>0</v>
      </c>
      <c r="V7" s="33">
        <f>SUM(V5:V6)</f>
        <v>967081</v>
      </c>
      <c r="W7" s="34"/>
    </row>
    <row r="11" spans="1:24" ht="19.899999999999999" customHeight="1">
      <c r="Q11" s="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topLeftCell="A4" workbookViewId="0">
      <selection activeCell="M27" sqref="M27"/>
    </sheetView>
  </sheetViews>
  <sheetFormatPr defaultRowHeight="16.5"/>
  <cols>
    <col min="1" max="4" width="9" style="37"/>
    <col min="5" max="5" width="15.125" style="37" customWidth="1"/>
  </cols>
  <sheetData/>
  <phoneticPr fontId="1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A2" sqref="A2"/>
    </sheetView>
  </sheetViews>
  <sheetFormatPr defaultColWidth="9" defaultRowHeight="16.5"/>
  <cols>
    <col min="1" max="1" width="25.125" style="40" customWidth="1"/>
    <col min="2" max="2" width="16.25" style="40" customWidth="1"/>
    <col min="3" max="3" width="22.375" style="40" customWidth="1"/>
    <col min="4" max="4" width="24.125" style="40" customWidth="1"/>
    <col min="5" max="5" width="13" style="40" customWidth="1"/>
    <col min="6" max="6" width="7.5" style="40" customWidth="1"/>
    <col min="7" max="16384" width="9" style="37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38" t="str">
        <f>'내역서(표준단가)'!A5</f>
        <v>L002</v>
      </c>
      <c r="B2" s="39">
        <f>'내역서(표준단가)'!F5</f>
        <v>0</v>
      </c>
      <c r="C2" s="39">
        <f>'내역서(표준단가)'!G5</f>
        <v>0</v>
      </c>
      <c r="D2" s="39">
        <f>'내역서(표준단가)'!H5</f>
        <v>0</v>
      </c>
      <c r="E2" s="39" t="str">
        <f>'내역서(표준단가)'!I5</f>
        <v>L002</v>
      </c>
      <c r="F2" s="39">
        <f>'내역서(표준단가)'!M5</f>
        <v>1</v>
      </c>
    </row>
  </sheetData>
  <phoneticPr fontId="1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2"/>
  <sheetViews>
    <sheetView zoomScale="90" zoomScaleNormal="90" workbookViewId="0">
      <selection activeCell="I15" sqref="I15"/>
    </sheetView>
  </sheetViews>
  <sheetFormatPr defaultRowHeight="16.5"/>
  <cols>
    <col min="1" max="1" width="11.125" style="37" customWidth="1"/>
    <col min="2" max="2" width="13.375" style="37" customWidth="1"/>
    <col min="3" max="3" width="38.75" style="37" customWidth="1"/>
    <col min="4" max="4" width="28.75" style="37" customWidth="1"/>
    <col min="5" max="5" width="5" style="37" customWidth="1"/>
    <col min="6" max="6" width="6.25" style="37" customWidth="1"/>
    <col min="7" max="7" width="10" style="37" customWidth="1"/>
    <col min="8" max="8" width="11.875" style="37" customWidth="1"/>
    <col min="9" max="9" width="10" style="37" customWidth="1"/>
    <col min="10" max="10" width="11.875" style="37" customWidth="1"/>
    <col min="11" max="11" width="10" style="37" customWidth="1"/>
    <col min="12" max="12" width="11.875" style="37" customWidth="1"/>
    <col min="13" max="13" width="10" style="37" customWidth="1"/>
    <col min="14" max="14" width="11.875" style="37" customWidth="1"/>
    <col min="15" max="15" width="9.125" style="37" customWidth="1"/>
    <col min="16" max="16" width="11.5" style="37" customWidth="1"/>
    <col min="17" max="17" width="11.75" style="37" customWidth="1"/>
    <col min="18" max="18" width="17.875" style="37" customWidth="1"/>
  </cols>
  <sheetData>
    <row r="1" spans="1:18" s="37" customFormat="1" ht="18" customHeight="1">
      <c r="A1" s="1" t="s">
        <v>33</v>
      </c>
      <c r="B1" s="41" t="s">
        <v>34</v>
      </c>
      <c r="C1" s="41" t="s">
        <v>35</v>
      </c>
      <c r="D1" s="41" t="s">
        <v>36</v>
      </c>
      <c r="E1" s="41" t="s">
        <v>31</v>
      </c>
      <c r="F1" s="41" t="s">
        <v>5</v>
      </c>
      <c r="G1" s="41" t="s">
        <v>37</v>
      </c>
      <c r="H1" s="41" t="s">
        <v>38</v>
      </c>
      <c r="I1" s="41" t="s">
        <v>39</v>
      </c>
      <c r="J1" s="41" t="s">
        <v>40</v>
      </c>
      <c r="K1" s="41" t="s">
        <v>41</v>
      </c>
      <c r="L1" s="41" t="s">
        <v>42</v>
      </c>
      <c r="M1" s="41" t="s">
        <v>43</v>
      </c>
      <c r="N1" s="41" t="s">
        <v>44</v>
      </c>
      <c r="O1" s="41" t="s">
        <v>45</v>
      </c>
      <c r="P1" s="41" t="s">
        <v>46</v>
      </c>
      <c r="Q1" s="41" t="s">
        <v>47</v>
      </c>
      <c r="R1" s="41" t="s">
        <v>48</v>
      </c>
    </row>
    <row r="2" spans="1:18" s="37" customFormat="1">
      <c r="A2" s="42">
        <v>999999</v>
      </c>
      <c r="B2" s="43" t="s">
        <v>49</v>
      </c>
      <c r="C2" s="20" t="s">
        <v>54</v>
      </c>
      <c r="D2" s="20" t="s">
        <v>55</v>
      </c>
      <c r="E2" s="42" t="s">
        <v>51</v>
      </c>
      <c r="F2" s="44">
        <v>1</v>
      </c>
      <c r="G2" s="45">
        <v>800000</v>
      </c>
      <c r="H2" s="45"/>
      <c r="I2" s="45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</vt:lpstr>
      <vt:lpstr>upload(시중가)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2025-08-04T04:39:15Z</dcterms:modified>
</cp:coreProperties>
</file>
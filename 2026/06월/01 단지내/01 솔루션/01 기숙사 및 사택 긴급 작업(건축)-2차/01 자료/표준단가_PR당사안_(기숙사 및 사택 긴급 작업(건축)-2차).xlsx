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22\04 PR당사안\"/>
    </mc:Choice>
  </mc:AlternateContent>
  <xr:revisionPtr revIDLastSave="0" documentId="13_ncr:1_{BC01E4EC-A36D-4953-AEA0-02419F64F79E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4" i="20" l="1"/>
  <c r="J23" i="20"/>
  <c r="J26" i="20"/>
  <c r="J25" i="20"/>
  <c r="J27" i="20" s="1"/>
  <c r="J22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<sst xmlns="http://schemas.openxmlformats.org/spreadsheetml/2006/main" count="168" uniqueCount="139">
  <si>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</si>
  <si>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</si>
  <si>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</si>
  <si>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</si>
  <si>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</si>
  <si>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</si>
  <si>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</si>
  <si>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</si>
  <si>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</si>
  <si>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</si>
  <si>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</si>
  <si>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</si>
  <si>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</si>
  <si>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</si>
  <si>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</si>
  <si>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</si>
  <si>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</si>
  <si>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</si>
  <si>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</si>
  <si>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</si>
  <si>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</si>
  <si>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</si>
  <si>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</si>
  <si>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</si>
  <si>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</si>
  <si>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</si>
  <si>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</si>
  <si>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</si>
  <si>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</si>
  <si>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</si>
  <si>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</si>
  <si>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</si>
  <si>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</si>
  <si>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</si>
  <si>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</si>
  <si>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</si>
  <si>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</si>
  <si>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</si>
  <si>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</si>
  <si>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</si>
  <si>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</si>
  <si>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</si>
  <si>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</si>
  <si>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</si>
  <si>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</si>
  <si>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</si>
  <si>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</si>
  <si>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</si>
  <si>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</si>
  <si>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</si>
  <si>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</si>
  <si>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</si>
  <si>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</si>
  <si>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</si>
  <si>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</si>
  <si>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</si>
  <si>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</si>
  <si>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</si>
  <si>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</si>
  <si>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</si>
  <si>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</si>
  <si>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</si>
  <si>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</si>
  <si>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</si>
  <si>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</si>
  <si>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</si>
  <si>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</si>
  <si>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</si>
  <si>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</si>
  <si>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</si>
  <si>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</si>
  <si>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</si>
  <si>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</si>
  <si>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</si>
  <si>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</si>
  <si>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</si>
  <si>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</si>
  <si>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</si>
  <si>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</si>
  <si>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</si>
  <si>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</si>
  <si>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</si>
  <si>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</si>
  <si>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</si>
  <si>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</si>
  <si>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</si>
  <si>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</si>
  <si>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</si>
  <si>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</si>
  <si>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</si>
  <si>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</si>
  <si>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</si>
  <si>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</si>
  <si>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</si>
  <si>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</si>
  <si>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</si>
  <si>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</si>
  <si>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</si>
  <si>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</si>
  <si>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</si>
  <si>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</si>
  <si>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</si>
  <si>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</si>
  <si>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</si>
  <si>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</si>
  <si>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</si>
  <si>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</si>
  <si>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</si>
  <si>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</si>
  <si>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</si>
  <si>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</si>
  <si>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</si>
  <si>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</si>
  <si>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</si>
  <si>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</si>
  <si>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</si>
  <si>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</si>
  <si>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</si>
  <si>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</si>
  <si>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</si>
  <si>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</si>
  <si>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</si>
  <si>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</si>
  <si>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</si>
  <si>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</si>
  <si>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</si>
  <si>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</si>
  <si>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</si>
  <si>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</si>
  <si>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</si>
  <si>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</si>
  <si>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</si>
  <si>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</si>
  <si>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</si>
  <si>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</si>
  <si>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</si>
  <si>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</si>
  <si>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서 현</t>
    <phoneticPr fontId="15" type="noConversion"/>
  </si>
  <si>
    <t>기숙사 및 사택 긴급 작업(건축)-2차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</si>
</sst>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176" fontId="36" fillId="0" borderId="0" xfId="1" applyFont="1" applyAlignment="1">
      <alignment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E932BA9D-804E-4F03-83DC-E95FB334DE9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7A9C8F36-1596-4F8C-8258-CF44FF01A26D}"/>
    <cellStyle name="쉼표 [0] 3" xfId="14" xr:uid="{00000000-0005-0000-0000-00000D000000}"/>
    <cellStyle name="쉼표 [0] 4" xfId="17" xr:uid="{00000000-0005-0000-0000-00000E000000}"/>
    <cellStyle name="쉼표 [0] 5" xfId="32" xr:uid="{46A13ABD-DD48-42EF-8C82-7BA4A3F095E8}"/>
    <cellStyle name="쉼표 [0] 5 2" xfId="34" xr:uid="{C2ADB941-8384-4A4F-A54E-A538191F6867}"/>
    <cellStyle name="표준" xfId="0" builtinId="0"/>
    <cellStyle name="표준 10 10 2" xfId="3" xr:uid="{00000000-0005-0000-0000-000011000000}"/>
    <cellStyle name="표준 10 2" xfId="29" xr:uid="{643CF07A-E70D-46D7-8ED4-9B483D841730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43FE5EBE-13B7-43CC-9916-1728326E08A8}"/>
    <cellStyle name="표준_P456 공장 및 복지동 전면 유리창 청소건 라상혁님_1129(최종)" xfId="31" xr:uid="{C50434AF-5102-403F-98F1-96B2B950D7A4}"/>
    <cellStyle name="표준_S&amp;D_MAIN VALVE_최빈_2" xfId="28" xr:uid="{531DDBE0-E334-45EB-B250-178A503F498C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080558-C382-4408-A342-AD5507F22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B43-D554-4786-971F-D6C3D85FFF3A}">
  <sheetPr>
    <tabColor rgb="FF0000FF"/>
  </sheetPr>
  <dimension ref="A1:Q43"/>
  <sheetViews>
    <sheetView tabSelected="1" view="pageBreakPreview" topLeftCell="A8" zoomScale="85" zoomScaleNormal="85" zoomScaleSheetLayoutView="85" workbookViewId="0">
      <selection activeCell="B14" sqref="B14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201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204" t="s">
        <v>71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136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207" t="s">
        <v>73</v>
      </c>
      <c r="B7" s="208"/>
      <c r="C7" s="209"/>
      <c r="D7" s="117">
        <v>2026</v>
      </c>
      <c r="E7" s="67" t="s">
        <v>74</v>
      </c>
      <c r="F7" s="118">
        <v>4</v>
      </c>
      <c r="G7" s="67" t="s">
        <v>75</v>
      </c>
      <c r="H7" s="118">
        <v>22</v>
      </c>
      <c r="I7" s="67" t="s">
        <v>76</v>
      </c>
      <c r="J7" s="68"/>
      <c r="K7" s="210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213" t="s">
        <v>82</v>
      </c>
      <c r="B8" s="214"/>
      <c r="C8" s="215"/>
      <c r="D8" s="216" t="s">
        <v>83</v>
      </c>
      <c r="E8" s="217"/>
      <c r="F8" s="217"/>
      <c r="G8" s="218"/>
      <c r="H8" s="219" t="s">
        <v>84</v>
      </c>
      <c r="I8" s="217"/>
      <c r="J8" s="220"/>
      <c r="K8" s="211"/>
      <c r="L8" s="71" t="s">
        <v>85</v>
      </c>
      <c r="M8" s="71" t="s">
        <v>86</v>
      </c>
      <c r="N8" s="71" t="s">
        <v>87</v>
      </c>
      <c r="O8" s="72" t="s">
        <v>137</v>
      </c>
    </row>
    <row r="9" spans="1:15" ht="23.25" customHeight="1">
      <c r="A9" s="213" t="s">
        <v>88</v>
      </c>
      <c r="B9" s="214"/>
      <c r="C9" s="215"/>
      <c r="D9" s="221" t="s">
        <v>89</v>
      </c>
      <c r="E9" s="222"/>
      <c r="F9" s="222"/>
      <c r="G9" s="222"/>
      <c r="H9" s="222"/>
      <c r="I9" s="222"/>
      <c r="J9" s="223"/>
      <c r="K9" s="211"/>
      <c r="L9" s="71" t="s">
        <v>90</v>
      </c>
      <c r="M9" s="224" t="s">
        <v>91</v>
      </c>
      <c r="N9" s="214"/>
      <c r="O9" s="215"/>
    </row>
    <row r="10" spans="1:15" ht="23.25" customHeight="1" thickBot="1">
      <c r="A10" s="225" t="s">
        <v>92</v>
      </c>
      <c r="B10" s="226"/>
      <c r="C10" s="227"/>
      <c r="D10" s="228" t="s">
        <v>93</v>
      </c>
      <c r="E10" s="229"/>
      <c r="F10" s="229"/>
      <c r="G10" s="229"/>
      <c r="H10" s="229"/>
      <c r="I10" s="229"/>
      <c r="J10" s="230"/>
      <c r="K10" s="212"/>
      <c r="L10" s="73" t="s">
        <v>94</v>
      </c>
      <c r="M10" s="73" t="s">
        <v>95</v>
      </c>
      <c r="N10" s="73" t="s">
        <v>96</v>
      </c>
      <c r="O10" s="74" t="s">
        <v>97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200" t="s">
        <v>138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2" t="s">
        <v>98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83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85"/>
      <c r="L16" s="185"/>
      <c r="M16" s="185"/>
      <c r="N16" s="185"/>
      <c r="O16" s="186"/>
    </row>
    <row r="17" spans="1:17" ht="27.75" customHeight="1" thickBot="1">
      <c r="A17" s="83" t="s">
        <v>99</v>
      </c>
      <c r="B17" s="193" t="s">
        <v>100</v>
      </c>
      <c r="C17" s="194"/>
      <c r="D17" s="194"/>
      <c r="E17" s="194"/>
      <c r="F17" s="194"/>
      <c r="G17" s="195"/>
      <c r="H17" s="84" t="s">
        <v>101</v>
      </c>
      <c r="I17" s="85" t="s">
        <v>102</v>
      </c>
      <c r="J17" s="196" t="s">
        <v>103</v>
      </c>
      <c r="K17" s="197"/>
      <c r="L17" s="197"/>
      <c r="M17" s="198"/>
      <c r="N17" s="193" t="s">
        <v>104</v>
      </c>
      <c r="O17" s="199"/>
    </row>
    <row r="18" spans="1:17" ht="28.5" customHeight="1">
      <c r="A18" s="86">
        <v>1</v>
      </c>
      <c r="B18" s="187" t="s">
        <v>105</v>
      </c>
      <c r="C18" s="188"/>
      <c r="D18" s="188"/>
      <c r="E18" s="188"/>
      <c r="F18" s="188"/>
      <c r="G18" s="189"/>
      <c r="H18" s="119">
        <v>1</v>
      </c>
      <c r="I18" s="120" t="s">
        <v>7</v>
      </c>
      <c r="J18" s="190">
        <f>IFERROR(LOOKUP(2, 1/(TRIM('내역서(표준단가)'!O4:O100)&lt;&gt;""), '내역서(표준단가)'!O4:O100), "-")</f>
        <v>437864</v>
      </c>
      <c r="K18" s="190"/>
      <c r="L18" s="190"/>
      <c r="M18" s="190"/>
      <c r="N18" s="191"/>
      <c r="O18" s="192"/>
    </row>
    <row r="19" spans="1:17" ht="28.5" customHeight="1">
      <c r="A19" s="87">
        <v>2</v>
      </c>
      <c r="B19" s="167" t="s">
        <v>106</v>
      </c>
      <c r="C19" s="168"/>
      <c r="D19" s="168"/>
      <c r="E19" s="168"/>
      <c r="F19" s="168"/>
      <c r="G19" s="169"/>
      <c r="H19" s="121">
        <v>1</v>
      </c>
      <c r="I19" s="121" t="s">
        <v>7</v>
      </c>
      <c r="J19" s="170">
        <f>IFERROR(LOOKUP(2, 1/(TRIM('내역서(표준단가)'!Q4:Q100)&lt;&gt;""), '내역서(표준단가)'!Q4:Q100), "-")</f>
        <v>3365014</v>
      </c>
      <c r="K19" s="171"/>
      <c r="L19" s="171"/>
      <c r="M19" s="172"/>
      <c r="N19" s="173"/>
      <c r="O19" s="174"/>
    </row>
    <row r="20" spans="1:17" ht="28.5" customHeight="1">
      <c r="A20" s="87">
        <v>3</v>
      </c>
      <c r="B20" s="175" t="s">
        <v>107</v>
      </c>
      <c r="C20" s="176"/>
      <c r="D20" s="176"/>
      <c r="E20" s="176"/>
      <c r="F20" s="176"/>
      <c r="G20" s="177"/>
      <c r="H20" s="88">
        <v>1</v>
      </c>
      <c r="I20" s="88" t="s">
        <v>7</v>
      </c>
      <c r="J20" s="178">
        <f>IFERROR(SUM(J21:M29),"-")</f>
        <v>558214.04404585005</v>
      </c>
      <c r="K20" s="179"/>
      <c r="L20" s="179"/>
      <c r="M20" s="180"/>
      <c r="N20" s="181"/>
      <c r="O20" s="182"/>
      <c r="P20" s="89"/>
    </row>
    <row r="21" spans="1:17" ht="28.5" customHeight="1">
      <c r="A21" s="86"/>
      <c r="B21" s="90"/>
      <c r="C21" s="159" t="s">
        <v>108</v>
      </c>
      <c r="D21" s="160"/>
      <c r="E21" s="160"/>
      <c r="F21" s="160"/>
      <c r="G21" s="161"/>
      <c r="H21" s="122">
        <v>1</v>
      </c>
      <c r="I21" s="122" t="s">
        <v>7</v>
      </c>
      <c r="J21" s="16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3"/>
      <c r="L21" s="163"/>
      <c r="M21" s="164"/>
      <c r="N21" s="165" t="s">
        <v>109</v>
      </c>
      <c r="O21" s="166"/>
    </row>
    <row r="22" spans="1:17" ht="28.5" customHeight="1">
      <c r="A22" s="86"/>
      <c r="B22" s="90"/>
      <c r="C22" s="153" t="s">
        <v>110</v>
      </c>
      <c r="D22" s="154"/>
      <c r="E22" s="154"/>
      <c r="F22" s="154"/>
      <c r="G22" s="155"/>
      <c r="H22" s="91">
        <v>3.11</v>
      </c>
      <c r="I22" s="91" t="s">
        <v>111</v>
      </c>
      <c r="J22" s="156">
        <f>IFERROR((J18+J19)*H22%,"-")</f>
        <v>118269.5058</v>
      </c>
      <c r="K22" s="157"/>
      <c r="L22" s="157"/>
      <c r="M22" s="158"/>
      <c r="N22" s="149" t="s">
        <v>112</v>
      </c>
      <c r="O22" s="150"/>
    </row>
    <row r="23" spans="1:17" ht="28.5" customHeight="1">
      <c r="A23" s="86"/>
      <c r="B23" s="90"/>
      <c r="C23" s="153" t="s">
        <v>113</v>
      </c>
      <c r="D23" s="154"/>
      <c r="E23" s="154"/>
      <c r="F23" s="154"/>
      <c r="G23" s="155"/>
      <c r="H23" s="91">
        <v>3.56</v>
      </c>
      <c r="I23" s="91" t="s">
        <v>114</v>
      </c>
      <c r="J23" s="156">
        <f>IFERROR(J19*H23%,"-")</f>
        <v>119794.4984</v>
      </c>
      <c r="K23" s="157"/>
      <c r="L23" s="157"/>
      <c r="M23" s="158"/>
      <c r="N23" s="149" t="s">
        <v>115</v>
      </c>
      <c r="O23" s="150"/>
    </row>
    <row r="24" spans="1:17" ht="28.5" customHeight="1">
      <c r="A24" s="86"/>
      <c r="B24" s="90"/>
      <c r="C24" s="153" t="s">
        <v>116</v>
      </c>
      <c r="D24" s="154"/>
      <c r="E24" s="154"/>
      <c r="F24" s="154"/>
      <c r="G24" s="155"/>
      <c r="H24" s="91">
        <v>1.01</v>
      </c>
      <c r="I24" s="91" t="s">
        <v>114</v>
      </c>
      <c r="J24" s="156">
        <f>IFERROR(J19*H24%,"-")</f>
        <v>33986.6414</v>
      </c>
      <c r="K24" s="157"/>
      <c r="L24" s="157"/>
      <c r="M24" s="158"/>
      <c r="N24" s="149" t="s">
        <v>117</v>
      </c>
      <c r="O24" s="150"/>
    </row>
    <row r="25" spans="1:17" ht="28.5" customHeight="1">
      <c r="A25" s="86"/>
      <c r="B25" s="90"/>
      <c r="C25" s="153" t="s">
        <v>118</v>
      </c>
      <c r="D25" s="154"/>
      <c r="E25" s="154"/>
      <c r="F25" s="154"/>
      <c r="G25" s="155"/>
      <c r="H25" s="92">
        <v>3.5449999999999999</v>
      </c>
      <c r="I25" s="91" t="s">
        <v>114</v>
      </c>
      <c r="J25" s="156">
        <f>IFERROR(J19*H25%,"-")</f>
        <v>119289.74630000001</v>
      </c>
      <c r="K25" s="157"/>
      <c r="L25" s="157"/>
      <c r="M25" s="158"/>
      <c r="N25" s="149" t="s">
        <v>119</v>
      </c>
      <c r="O25" s="150"/>
      <c r="Q25" s="89"/>
    </row>
    <row r="26" spans="1:17" ht="28.5" customHeight="1">
      <c r="A26" s="86"/>
      <c r="B26" s="90"/>
      <c r="C26" s="153" t="s">
        <v>120</v>
      </c>
      <c r="D26" s="154"/>
      <c r="E26" s="154"/>
      <c r="F26" s="154"/>
      <c r="G26" s="155"/>
      <c r="H26" s="91">
        <v>4.5</v>
      </c>
      <c r="I26" s="91" t="s">
        <v>114</v>
      </c>
      <c r="J26" s="156">
        <f>IFERROR(J19*H26%,"-")</f>
        <v>151425.63</v>
      </c>
      <c r="K26" s="157"/>
      <c r="L26" s="157"/>
      <c r="M26" s="158"/>
      <c r="N26" s="149" t="s">
        <v>121</v>
      </c>
      <c r="O26" s="150"/>
      <c r="Q26" s="93"/>
    </row>
    <row r="27" spans="1:17" ht="28.5" customHeight="1">
      <c r="A27" s="86"/>
      <c r="B27" s="90"/>
      <c r="C27" s="143" t="s">
        <v>122</v>
      </c>
      <c r="D27" s="144"/>
      <c r="E27" s="144"/>
      <c r="F27" s="144"/>
      <c r="G27" s="145"/>
      <c r="H27" s="94">
        <v>12.95</v>
      </c>
      <c r="I27" s="95" t="s">
        <v>114</v>
      </c>
      <c r="J27" s="146">
        <f>IFERROR($H$27*J25%,"-")</f>
        <v>15448.022145850002</v>
      </c>
      <c r="K27" s="147"/>
      <c r="L27" s="147"/>
      <c r="M27" s="148"/>
      <c r="N27" s="149" t="s">
        <v>123</v>
      </c>
      <c r="O27" s="150"/>
    </row>
    <row r="28" spans="1:17" ht="28.5" customHeight="1">
      <c r="A28" s="86"/>
      <c r="B28" s="90"/>
      <c r="C28" s="143" t="s">
        <v>124</v>
      </c>
      <c r="D28" s="144"/>
      <c r="E28" s="144"/>
      <c r="F28" s="144"/>
      <c r="G28" s="145"/>
      <c r="H28" s="94">
        <v>8.1000000000000003E-2</v>
      </c>
      <c r="I28" s="95" t="s">
        <v>114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125</v>
      </c>
      <c r="O28" s="152"/>
    </row>
    <row r="29" spans="1:17" ht="28.5" customHeight="1">
      <c r="A29" s="96"/>
      <c r="B29" s="97"/>
      <c r="C29" s="123" t="s">
        <v>126</v>
      </c>
      <c r="D29" s="124"/>
      <c r="E29" s="124"/>
      <c r="F29" s="124"/>
      <c r="G29" s="125"/>
      <c r="H29" s="98">
        <v>1</v>
      </c>
      <c r="I29" s="99" t="s">
        <v>127</v>
      </c>
      <c r="J29" s="126">
        <f>34*0</f>
        <v>0</v>
      </c>
      <c r="K29" s="127"/>
      <c r="L29" s="127"/>
      <c r="M29" s="128"/>
      <c r="N29" s="129" t="s">
        <v>128</v>
      </c>
      <c r="O29" s="130"/>
    </row>
    <row r="30" spans="1:17" ht="28.5" customHeight="1">
      <c r="A30" s="96">
        <v>4</v>
      </c>
      <c r="B30" s="97"/>
      <c r="C30" s="123" t="s">
        <v>129</v>
      </c>
      <c r="D30" s="124"/>
      <c r="E30" s="124"/>
      <c r="F30" s="124"/>
      <c r="G30" s="125"/>
      <c r="H30" s="99">
        <v>5</v>
      </c>
      <c r="I30" s="100" t="s">
        <v>130</v>
      </c>
      <c r="J30" s="136">
        <f>IFERROR(IF(ISNUMBER(H30), SUM(J18:M20) * (H30 / 100), "-"), "-")</f>
        <v>218054.6022022925</v>
      </c>
      <c r="K30" s="137"/>
      <c r="L30" s="137"/>
      <c r="M30" s="138"/>
      <c r="N30" s="139" t="s">
        <v>131</v>
      </c>
      <c r="O30" s="140"/>
    </row>
    <row r="31" spans="1:17" ht="28.5" customHeight="1" thickBot="1">
      <c r="A31" s="96">
        <v>5</v>
      </c>
      <c r="B31" s="97"/>
      <c r="C31" s="123" t="s">
        <v>132</v>
      </c>
      <c r="D31" s="124"/>
      <c r="E31" s="124"/>
      <c r="F31" s="124"/>
      <c r="G31" s="125"/>
      <c r="H31" s="99">
        <v>7.5</v>
      </c>
      <c r="I31" s="100" t="s">
        <v>114</v>
      </c>
      <c r="J31" s="126">
        <f>IFERROR(SUM(J18:M20, J30) * (H31 / 100), "-")+-24882</f>
        <v>318553.99846861063</v>
      </c>
      <c r="K31" s="127"/>
      <c r="L31" s="127"/>
      <c r="M31" s="128"/>
      <c r="N31" s="141" t="s">
        <v>133</v>
      </c>
      <c r="O31" s="142"/>
      <c r="Q31" s="101"/>
    </row>
    <row r="32" spans="1:17" ht="28.5" customHeight="1" thickBot="1">
      <c r="A32" s="131" t="s">
        <v>134</v>
      </c>
      <c r="B32" s="132"/>
      <c r="C32" s="132"/>
      <c r="D32" s="132"/>
      <c r="E32" s="132"/>
      <c r="F32" s="132"/>
      <c r="G32" s="132"/>
      <c r="H32" s="132"/>
      <c r="I32" s="133"/>
      <c r="J32" s="102"/>
      <c r="K32" s="103"/>
      <c r="L32" s="103"/>
      <c r="M32" s="104">
        <f>IFERROR(ROUNDDOWN(SUM(J18:M20)+J30+J31,0),"-")</f>
        <v>4897700</v>
      </c>
      <c r="N32" s="134"/>
      <c r="O32" s="135"/>
      <c r="P32" s="105"/>
    </row>
    <row r="33" spans="1:15">
      <c r="A33" s="106" t="s">
        <v>135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6"/>
      <c r="B1" s="236"/>
      <c r="C1" s="236"/>
      <c r="D1" s="236"/>
      <c r="E1" s="236"/>
      <c r="F1" s="236"/>
      <c r="G1" s="236"/>
      <c r="H1" s="236"/>
      <c r="I1" s="236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6"/>
      <c r="B2" s="236"/>
      <c r="C2" s="236"/>
      <c r="D2" s="236"/>
      <c r="E2" s="236"/>
      <c r="F2" s="236"/>
      <c r="G2" s="236"/>
      <c r="H2" s="236"/>
      <c r="I2" s="236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7" t="s">
        <v>33</v>
      </c>
      <c r="K3" s="237"/>
      <c r="L3" s="237" t="s">
        <v>34</v>
      </c>
      <c r="M3" s="237" t="s">
        <v>35</v>
      </c>
      <c r="N3" s="239" t="s">
        <v>36</v>
      </c>
      <c r="O3" s="239"/>
      <c r="P3" s="239" t="s">
        <v>37</v>
      </c>
      <c r="Q3" s="239"/>
      <c r="R3" s="240" t="s">
        <v>38</v>
      </c>
      <c r="S3" s="240"/>
      <c r="T3" s="240" t="s">
        <v>39</v>
      </c>
      <c r="U3" s="240"/>
      <c r="V3" s="241" t="s">
        <v>40</v>
      </c>
      <c r="W3" s="243" t="s">
        <v>41</v>
      </c>
      <c r="X3" s="234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8"/>
      <c r="M4" s="238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2"/>
      <c r="W4" s="244"/>
      <c r="X4" s="235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</row>
    <row r="16" spans="1:24" ht="30" customHeight="1">
      <c r="J16" s="231"/>
      <c r="K16" s="231"/>
      <c r="L16" s="231"/>
      <c r="M16" s="42"/>
      <c r="N16" s="48"/>
      <c r="V16" s="20" t="s">
        <v>53</v>
      </c>
    </row>
    <row r="17" spans="10:22" ht="30" customHeight="1">
      <c r="J17" s="231"/>
      <c r="K17" s="231"/>
      <c r="L17" s="231"/>
      <c r="M17" s="42"/>
      <c r="N17" s="48"/>
      <c r="V17" s="20" t="s">
        <v>53</v>
      </c>
    </row>
    <row r="18" spans="10:22" ht="30" customHeight="1">
      <c r="J18" s="231"/>
      <c r="K18" s="231"/>
      <c r="L18" s="231"/>
      <c r="M18" s="42"/>
      <c r="N18" s="48"/>
      <c r="V18" s="20" t="s">
        <v>53</v>
      </c>
    </row>
    <row r="19" spans="10:22" ht="30" customHeight="1">
      <c r="J19" s="232"/>
      <c r="K19" s="232"/>
      <c r="L19" s="232"/>
      <c r="M19" s="41"/>
    </row>
    <row r="20" spans="10:22" ht="30" customHeight="1">
      <c r="J20" s="233"/>
      <c r="K20" s="232"/>
      <c r="L20" s="232"/>
      <c r="M20" s="41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2026-04-22T08:01:11Z</dcterms:modified>
</cp:coreProperties>
</file>
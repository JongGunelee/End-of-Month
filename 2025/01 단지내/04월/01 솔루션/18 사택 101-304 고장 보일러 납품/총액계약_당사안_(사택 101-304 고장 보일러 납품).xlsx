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3 당사안\"/>
    </mc:Choice>
  </mc:AlternateContent>
  <xr:revisionPtr revIDLastSave="0" documentId="13_ncr:1_{204C4A45-240D-49F1-9926-564F04EEE82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1" r:id="rId1"/>
  </sheets>
  <definedNames>
    <definedName name="_xlnm.Print_Area" localSheetId="0">갑지!$A$1:$R$32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K30" i="1"/>
  <c r="K29" i="1"/>
  <c r="K28" i="1"/>
  <c r="K27" i="1"/>
  <c r="K26" i="1"/>
  <c r="K25" i="1"/>
  <c r="K13" i="1"/>
  <c r="K12" i="1"/>
  <c r="K11" i="1"/>
  <c r="K9" i="1" l="1"/>
  <c r="D9" i="1" l="1"/>
</calcChain>
</file>

<file path=xl/sharedStrings.xml><?xml version="1.0" encoding="utf-8"?>
<sst xmlns="http://schemas.openxmlformats.org/spreadsheetml/2006/main" count="48" uniqueCount="39">
  <si>
    <t>823-9444       FAX 823-9511</t>
  </si>
  <si>
    <t>거꾸로ECO콘덴싱L20-27H</t>
  </si>
  <si>
    <t xml:space="preserve"> 에스앤아이코퍼레이션시스템 귀하</t>
  </si>
  <si>
    <t>101동 304호</t>
  </si>
  <si>
    <t>업      태</t>
  </si>
  <si>
    <t>KGD-500B</t>
  </si>
  <si>
    <t>NCTR-7700</t>
  </si>
  <si>
    <t>주      소</t>
  </si>
  <si>
    <t>상      호</t>
  </si>
  <si>
    <t xml:space="preserve">  ※ 설치비포함</t>
  </si>
  <si>
    <t>보일러,버너,배관자재,에어컨</t>
  </si>
  <si>
    <t>314-19-99933</t>
  </si>
  <si>
    <t xml:space="preserve"> 대전광역시 유성구 계룡로 16번길 48, 1층(구암동)</t>
  </si>
  <si>
    <t xml:space="preserve"> 견        적        서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</si>
  <si>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</si>
  <si>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수 량</t>
  </si>
  <si>
    <t>번 호</t>
  </si>
  <si>
    <t xml:space="preserve">  </t>
  </si>
  <si>
    <t>합 계</t>
  </si>
  <si>
    <t>도소매</t>
  </si>
  <si>
    <t>가스보일러</t>
  </si>
  <si>
    <t>성   명</t>
  </si>
  <si>
    <t xml:space="preserve">  김 태 용</t>
  </si>
  <si>
    <t>전 화 번 호</t>
  </si>
  <si>
    <t>비   고</t>
  </si>
  <si>
    <t>품     명</t>
  </si>
  <si>
    <t>기 타 사 항</t>
  </si>
  <si>
    <t>세    액</t>
  </si>
  <si>
    <t>등 록 번 호</t>
  </si>
  <si>
    <t>가스누설경보기</t>
  </si>
  <si>
    <t>합 계 금 액</t>
  </si>
  <si>
    <t>온도조절기</t>
  </si>
  <si>
    <t>귀뚜라미산업</t>
  </si>
  <si>
    <t>종   목</t>
  </si>
  <si>
    <t>단    가</t>
  </si>
  <si>
    <t>공 급 가 액</t>
  </si>
  <si>
    <t>규     격</t>
  </si>
  <si>
    <t>3/1</t>
  </si>
  <si>
    <t xml:space="preserve"> 2025  년   3  월    4  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</si>
</sst>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rgb="FF000000"/>
      <name val="맑은 고딕"/>
    </font>
    <font>
      <sz val="11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11" fillId="0" borderId="0">
      <alignment vertical="center"/>
    </xf>
    <xf numFmtId="0" fontId="1" fillId="0" borderId="0" xfId="0" applyFont="1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2" applyFont="1">
      <alignment vertical="center"/>
    </xf>
    <xf numFmtId="0" fontId="3" fillId="0" borderId="2" xfId="2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" fillId="0" borderId="0" xfId="2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1" fontId="3" fillId="0" borderId="10" xfId="1" applyFont="1" applyBorder="1" applyAlignment="1">
      <alignment horizontal="right" vertical="center" wrapText="1"/>
    </xf>
    <xf numFmtId="41" fontId="3" fillId="0" borderId="8" xfId="1" applyFont="1" applyBorder="1" applyAlignment="1">
      <alignment horizontal="right" vertical="center" wrapText="1"/>
    </xf>
    <xf numFmtId="41" fontId="3" fillId="0" borderId="9" xfId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1" fontId="3" fillId="0" borderId="7" xfId="1" applyFont="1" applyBorder="1" applyAlignment="1">
      <alignment horizontal="right" vertical="center" wrapText="1"/>
    </xf>
    <xf numFmtId="41" fontId="3" fillId="0" borderId="3" xfId="1" applyFont="1" applyBorder="1" applyAlignment="1">
      <alignment horizontal="right" vertical="center" wrapText="1"/>
    </xf>
    <xf numFmtId="41" fontId="3" fillId="0" borderId="4" xfId="1" applyFont="1" applyBorder="1" applyAlignment="1">
      <alignment horizontal="right" vertical="center" wrapText="1"/>
    </xf>
    <xf numFmtId="41" fontId="3" fillId="0" borderId="7" xfId="0" applyNumberFormat="1" applyFont="1" applyBorder="1" applyAlignment="1">
      <alignment horizontal="right" vertical="center" wrapText="1"/>
    </xf>
    <xf numFmtId="41" fontId="3" fillId="0" borderId="3" xfId="0" applyNumberFormat="1" applyFont="1" applyBorder="1" applyAlignment="1">
      <alignment horizontal="right" vertical="center" wrapText="1"/>
    </xf>
    <xf numFmtId="41" fontId="3" fillId="0" borderId="4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" fillId="0" borderId="0" xfId="2">
      <alignment vertical="center"/>
    </xf>
    <xf numFmtId="0" fontId="5" fillId="0" borderId="0" xfId="0" applyFont="1" applyAlignment="1">
      <alignment horizontal="center" vertical="center"/>
    </xf>
    <xf numFmtId="41" fontId="3" fillId="0" borderId="11" xfId="1" applyFont="1" applyBorder="1" applyAlignment="1">
      <alignment horizontal="center" vertical="center" wrapText="1"/>
    </xf>
    <xf numFmtId="41" fontId="3" fillId="0" borderId="12" xfId="1" applyFont="1" applyBorder="1" applyAlignment="1">
      <alignment horizontal="center" vertical="center" wrapText="1"/>
    </xf>
    <xf numFmtId="41" fontId="3" fillId="0" borderId="13" xfId="1" applyFont="1" applyBorder="1" applyAlignment="1">
      <alignment horizontal="center" vertical="center" wrapText="1"/>
    </xf>
    <xf numFmtId="49" fontId="3" fillId="0" borderId="0" xfId="2" applyNumberFormat="1" applyFont="1" applyBorder="1" applyAlignment="1">
      <alignment horizontal="center" vertical="center"/>
    </xf>
    <xf numFmtId="49" fontId="2" fillId="0" borderId="0" xfId="2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shrinkToFit="1"/>
    </xf>
    <xf numFmtId="0" fontId="2" fillId="0" borderId="14" xfId="0" applyFont="1" applyBorder="1" applyAlignment="1">
      <alignment horizontal="left" vertical="center" shrinkToFit="1"/>
    </xf>
    <xf numFmtId="41" fontId="3" fillId="0" borderId="14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18" xfId="0" applyFont="1" applyBorder="1">
      <alignment vertical="center"/>
    </xf>
    <xf numFmtId="0" fontId="3" fillId="0" borderId="2" xfId="2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228600</xdr:rowOff>
    </xdr:from>
    <xdr:to>
      <xdr:col>17</xdr:col>
      <xdr:colOff>1158240</xdr:colOff>
      <xdr:row>4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692640" y="937260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32"/>
  <sheetViews>
    <sheetView tabSelected="1" topLeftCell="A6" zoomScaleNormal="100" zoomScaleSheetLayoutView="100" workbookViewId="0">
      <selection activeCell="F31" sqref="F31:J31"/>
    </sheetView>
  </sheetViews>
  <sheetFormatPr defaultColWidth="8.75" defaultRowHeight="24" x14ac:dyDescent="0.3"/>
  <cols>
    <col min="1" max="1" width="9.75" style="8" customWidth="1"/>
    <col min="2" max="3" width="10.125" style="2" customWidth="1"/>
    <col min="4" max="5" width="16.125" style="2" customWidth="1"/>
    <col min="6" max="6" width="10.875" style="2" bestFit="1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7.25" style="2" customWidth="1"/>
    <col min="19" max="19" width="8.75" style="9" bestFit="1" customWidth="1"/>
    <col min="20" max="16384" width="8.75" style="2"/>
  </cols>
  <sheetData>
    <row r="1" spans="1:19" s="1" customFormat="1" ht="42.6" customHeight="1" x14ac:dyDescent="0.3">
      <c r="A1" s="42" t="s">
        <v>13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9"/>
    </row>
    <row r="2" spans="1:19" s="1" customFormat="1" ht="13.15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9"/>
    </row>
    <row r="3" spans="1:19" s="1" customFormat="1" ht="30" customHeight="1" x14ac:dyDescent="0.3">
      <c r="A3" s="40" t="s">
        <v>2</v>
      </c>
      <c r="B3" s="40"/>
      <c r="C3" s="40"/>
      <c r="D3" s="40"/>
      <c r="E3" s="40"/>
      <c r="F3" s="34" t="s">
        <v>28</v>
      </c>
      <c r="G3" s="38"/>
      <c r="H3" s="34"/>
      <c r="I3" s="34" t="s">
        <v>11</v>
      </c>
      <c r="J3" s="34"/>
      <c r="K3" s="34"/>
      <c r="L3" s="34"/>
      <c r="M3" s="34"/>
      <c r="N3" s="34"/>
      <c r="O3" s="34"/>
      <c r="P3" s="34"/>
      <c r="Q3" s="34"/>
      <c r="R3" s="34"/>
      <c r="S3" s="9"/>
    </row>
    <row r="4" spans="1:19" s="1" customFormat="1" ht="30" customHeight="1" x14ac:dyDescent="0.3">
      <c r="A4" s="40"/>
      <c r="B4" s="40"/>
      <c r="C4" s="40"/>
      <c r="D4" s="40"/>
      <c r="E4" s="40"/>
      <c r="F4" s="34" t="s">
        <v>8</v>
      </c>
      <c r="G4" s="35"/>
      <c r="H4" s="34"/>
      <c r="I4" s="34" t="s">
        <v>32</v>
      </c>
      <c r="J4" s="34"/>
      <c r="K4" s="34"/>
      <c r="L4" s="34"/>
      <c r="M4" s="34"/>
      <c r="N4" s="34" t="s">
        <v>21</v>
      </c>
      <c r="O4" s="34"/>
      <c r="P4" s="34"/>
      <c r="Q4" s="41" t="s">
        <v>22</v>
      </c>
      <c r="R4" s="41"/>
      <c r="S4" s="9"/>
    </row>
    <row r="5" spans="1:19" s="1" customFormat="1" ht="30" customHeight="1" x14ac:dyDescent="0.3">
      <c r="A5" s="33" t="s">
        <v>38</v>
      </c>
      <c r="B5" s="33"/>
      <c r="C5" s="33"/>
      <c r="D5" s="33"/>
      <c r="E5" s="33"/>
      <c r="F5" s="34" t="s">
        <v>7</v>
      </c>
      <c r="G5" s="38"/>
      <c r="H5" s="34"/>
      <c r="I5" s="34" t="s">
        <v>12</v>
      </c>
      <c r="J5" s="34"/>
      <c r="K5" s="34"/>
      <c r="L5" s="34"/>
      <c r="M5" s="34"/>
      <c r="N5" s="34"/>
      <c r="O5" s="34"/>
      <c r="P5" s="34"/>
      <c r="Q5" s="34"/>
      <c r="R5" s="34"/>
      <c r="S5" s="9"/>
    </row>
    <row r="6" spans="1:19" s="1" customFormat="1" ht="30" customHeight="1" x14ac:dyDescent="0.3">
      <c r="A6" s="39"/>
      <c r="B6" s="39"/>
      <c r="C6" s="39"/>
      <c r="D6" s="39"/>
      <c r="E6" s="39"/>
      <c r="F6" s="34" t="s">
        <v>4</v>
      </c>
      <c r="G6" s="35"/>
      <c r="H6" s="34"/>
      <c r="I6" s="34" t="s">
        <v>19</v>
      </c>
      <c r="J6" s="34"/>
      <c r="K6" s="34" t="s">
        <v>33</v>
      </c>
      <c r="L6" s="34"/>
      <c r="M6" s="34"/>
      <c r="N6" s="34" t="s">
        <v>10</v>
      </c>
      <c r="O6" s="34"/>
      <c r="P6" s="34"/>
      <c r="Q6" s="34"/>
      <c r="R6" s="34"/>
      <c r="S6" s="9"/>
    </row>
    <row r="7" spans="1:19" s="1" customFormat="1" ht="30" customHeight="1" x14ac:dyDescent="0.3">
      <c r="A7" s="33" t="s">
        <v>14</v>
      </c>
      <c r="B7" s="33"/>
      <c r="C7" s="33"/>
      <c r="D7" s="33"/>
      <c r="E7" s="33"/>
      <c r="F7" s="34" t="s">
        <v>23</v>
      </c>
      <c r="G7" s="35"/>
      <c r="H7" s="34"/>
      <c r="I7" s="34" t="s">
        <v>0</v>
      </c>
      <c r="J7" s="34"/>
      <c r="K7" s="34"/>
      <c r="L7" s="34"/>
      <c r="M7" s="34"/>
      <c r="N7" s="34"/>
      <c r="O7" s="34"/>
      <c r="P7" s="34"/>
      <c r="Q7" s="34"/>
      <c r="R7" s="34"/>
      <c r="S7" s="9"/>
    </row>
    <row r="8" spans="1:19" s="1" customFormat="1" ht="13.9" customHeight="1" x14ac:dyDescent="0.3">
      <c r="A8" s="36" t="s">
        <v>17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/>
      <c r="Q8" s="37"/>
      <c r="R8" s="37"/>
      <c r="S8" s="9"/>
    </row>
    <row r="9" spans="1:19" s="3" customFormat="1" ht="30" customHeight="1" x14ac:dyDescent="0.3">
      <c r="A9" s="35" t="s">
        <v>30</v>
      </c>
      <c r="B9" s="35"/>
      <c r="C9" s="35"/>
      <c r="D9" s="49" t="str">
        <f>"일금 "&amp;NUMBERSTRING((K31+O31),1)&amp;"원정"</f>
        <v>일금 영원정</v>
      </c>
      <c r="E9" s="50"/>
      <c r="F9" s="50"/>
      <c r="G9" s="50"/>
      <c r="H9" s="50"/>
      <c r="I9" s="50"/>
      <c r="J9" s="50"/>
      <c r="K9" s="51">
        <f>K31+O31</f>
        <v>0</v>
      </c>
      <c r="L9" s="52"/>
      <c r="M9" s="52"/>
      <c r="N9" s="52"/>
      <c r="O9" s="52"/>
      <c r="P9" s="52"/>
      <c r="Q9" s="52"/>
      <c r="R9" s="53"/>
      <c r="S9" s="10"/>
    </row>
    <row r="10" spans="1:19" s="3" customFormat="1" ht="30" customHeight="1" x14ac:dyDescent="0.3">
      <c r="A10" s="7" t="s">
        <v>16</v>
      </c>
      <c r="B10" s="31" t="s">
        <v>25</v>
      </c>
      <c r="C10" s="32"/>
      <c r="D10" s="19" t="s">
        <v>36</v>
      </c>
      <c r="E10" s="20"/>
      <c r="F10" s="4" t="s">
        <v>15</v>
      </c>
      <c r="G10" s="19" t="s">
        <v>34</v>
      </c>
      <c r="H10" s="27"/>
      <c r="I10" s="27"/>
      <c r="J10" s="20"/>
      <c r="K10" s="19" t="s">
        <v>35</v>
      </c>
      <c r="L10" s="27"/>
      <c r="M10" s="27"/>
      <c r="N10" s="20"/>
      <c r="O10" s="19" t="s">
        <v>27</v>
      </c>
      <c r="P10" s="27"/>
      <c r="Q10" s="20"/>
      <c r="R10" s="54" t="s">
        <v>24</v>
      </c>
      <c r="S10" s="10"/>
    </row>
    <row r="11" spans="1:19" s="3" customFormat="1" ht="30" customHeight="1" x14ac:dyDescent="0.3">
      <c r="A11" s="7">
        <v>1</v>
      </c>
      <c r="B11" s="28" t="s">
        <v>20</v>
      </c>
      <c r="C11" s="29"/>
      <c r="D11" s="30" t="s">
        <v>1</v>
      </c>
      <c r="E11" s="29"/>
      <c r="F11" s="4">
        <v>1</v>
      </c>
      <c r="G11" s="21">
        <v>950000</v>
      </c>
      <c r="H11" s="22"/>
      <c r="I11" s="22"/>
      <c r="J11" s="23"/>
      <c r="K11" s="24">
        <f>F11*G11</f>
        <v>950000</v>
      </c>
      <c r="L11" s="25"/>
      <c r="M11" s="25"/>
      <c r="N11" s="26"/>
      <c r="O11" s="21"/>
      <c r="P11" s="22"/>
      <c r="Q11" s="23"/>
      <c r="R11" s="54" t="s">
        <v>3</v>
      </c>
      <c r="S11" s="47" t="s">
        <v>37</v>
      </c>
    </row>
    <row r="12" spans="1:19" s="3" customFormat="1" ht="30" customHeight="1" x14ac:dyDescent="0.3">
      <c r="A12" s="7">
        <v>2</v>
      </c>
      <c r="B12" s="28" t="s">
        <v>29</v>
      </c>
      <c r="C12" s="29"/>
      <c r="D12" s="30" t="s">
        <v>5</v>
      </c>
      <c r="E12" s="29"/>
      <c r="F12" s="4">
        <v>1</v>
      </c>
      <c r="G12" s="21">
        <v>0</v>
      </c>
      <c r="H12" s="22"/>
      <c r="I12" s="22"/>
      <c r="J12" s="23"/>
      <c r="K12" s="24">
        <f t="shared" ref="K12:K13" si="0">F12*G12</f>
        <v>0</v>
      </c>
      <c r="L12" s="25"/>
      <c r="M12" s="25"/>
      <c r="N12" s="26"/>
      <c r="O12" s="21"/>
      <c r="P12" s="22"/>
      <c r="Q12" s="23"/>
      <c r="R12" s="54"/>
      <c r="S12" s="48"/>
    </row>
    <row r="13" spans="1:19" s="3" customFormat="1" ht="30" customHeight="1" x14ac:dyDescent="0.3">
      <c r="A13" s="7">
        <v>3</v>
      </c>
      <c r="B13" s="28" t="s">
        <v>31</v>
      </c>
      <c r="C13" s="29"/>
      <c r="D13" s="30" t="s">
        <v>6</v>
      </c>
      <c r="E13" s="29"/>
      <c r="F13" s="4">
        <v>1</v>
      </c>
      <c r="G13" s="21">
        <v>50000</v>
      </c>
      <c r="H13" s="22"/>
      <c r="I13" s="22"/>
      <c r="J13" s="23"/>
      <c r="K13" s="24">
        <f t="shared" si="0"/>
        <v>50000</v>
      </c>
      <c r="L13" s="25"/>
      <c r="M13" s="25"/>
      <c r="N13" s="26"/>
      <c r="O13" s="21"/>
      <c r="P13" s="22"/>
      <c r="Q13" s="23"/>
      <c r="R13" s="54"/>
      <c r="S13" s="48"/>
    </row>
    <row r="14" spans="1:19" s="3" customFormat="1" ht="30" customHeight="1" x14ac:dyDescent="0.3">
      <c r="A14" s="7"/>
      <c r="B14" s="28"/>
      <c r="C14" s="29"/>
      <c r="D14" s="30"/>
      <c r="E14" s="29"/>
      <c r="F14" s="4"/>
      <c r="G14" s="21"/>
      <c r="H14" s="22"/>
      <c r="I14" s="22"/>
      <c r="J14" s="23"/>
      <c r="K14" s="24"/>
      <c r="L14" s="25"/>
      <c r="M14" s="25"/>
      <c r="N14" s="26"/>
      <c r="O14" s="21"/>
      <c r="P14" s="22"/>
      <c r="Q14" s="23"/>
      <c r="R14" s="54"/>
      <c r="S14" s="48"/>
    </row>
    <row r="15" spans="1:19" s="3" customFormat="1" ht="30" customHeight="1" x14ac:dyDescent="0.3">
      <c r="A15" s="7"/>
      <c r="B15" s="28"/>
      <c r="C15" s="29"/>
      <c r="D15" s="30"/>
      <c r="E15" s="29"/>
      <c r="F15" s="4"/>
      <c r="G15" s="21"/>
      <c r="H15" s="22"/>
      <c r="I15" s="22"/>
      <c r="J15" s="23"/>
      <c r="K15" s="24"/>
      <c r="L15" s="25"/>
      <c r="M15" s="25"/>
      <c r="N15" s="26"/>
      <c r="O15" s="21"/>
      <c r="P15" s="22"/>
      <c r="Q15" s="23"/>
      <c r="R15" s="54"/>
      <c r="S15" s="48"/>
    </row>
    <row r="16" spans="1:19" s="3" customFormat="1" ht="30" customHeight="1" x14ac:dyDescent="0.3">
      <c r="A16" s="7"/>
      <c r="B16" s="28"/>
      <c r="C16" s="29"/>
      <c r="D16" s="30"/>
      <c r="E16" s="29"/>
      <c r="F16" s="4"/>
      <c r="G16" s="21"/>
      <c r="H16" s="22"/>
      <c r="I16" s="22"/>
      <c r="J16" s="23"/>
      <c r="K16" s="24"/>
      <c r="L16" s="25"/>
      <c r="M16" s="25"/>
      <c r="N16" s="26"/>
      <c r="O16" s="21"/>
      <c r="P16" s="22"/>
      <c r="Q16" s="23"/>
      <c r="R16" s="54"/>
      <c r="S16" s="48"/>
    </row>
    <row r="17" spans="1:19" s="3" customFormat="1" ht="30" customHeight="1" x14ac:dyDescent="0.3">
      <c r="A17" s="7"/>
      <c r="B17" s="28"/>
      <c r="C17" s="29"/>
      <c r="D17" s="30"/>
      <c r="E17" s="29"/>
      <c r="F17" s="4"/>
      <c r="G17" s="21"/>
      <c r="H17" s="22"/>
      <c r="I17" s="22"/>
      <c r="J17" s="23"/>
      <c r="K17" s="24"/>
      <c r="L17" s="25"/>
      <c r="M17" s="25"/>
      <c r="N17" s="26"/>
      <c r="O17" s="21"/>
      <c r="P17" s="22"/>
      <c r="Q17" s="23"/>
      <c r="R17" s="54"/>
      <c r="S17" s="48"/>
    </row>
    <row r="18" spans="1:19" s="3" customFormat="1" ht="30" customHeight="1" x14ac:dyDescent="0.3">
      <c r="A18" s="7"/>
      <c r="B18" s="28"/>
      <c r="C18" s="29"/>
      <c r="D18" s="30"/>
      <c r="E18" s="29"/>
      <c r="F18" s="4"/>
      <c r="G18" s="21"/>
      <c r="H18" s="22"/>
      <c r="I18" s="22"/>
      <c r="J18" s="23"/>
      <c r="K18" s="24"/>
      <c r="L18" s="25"/>
      <c r="M18" s="25"/>
      <c r="N18" s="26"/>
      <c r="O18" s="21"/>
      <c r="P18" s="22"/>
      <c r="Q18" s="23"/>
      <c r="R18" s="54"/>
      <c r="S18" s="48"/>
    </row>
    <row r="19" spans="1:19" s="3" customFormat="1" ht="30" customHeight="1" x14ac:dyDescent="0.3">
      <c r="A19" s="7"/>
      <c r="B19" s="28"/>
      <c r="C19" s="29"/>
      <c r="D19" s="30"/>
      <c r="E19" s="29"/>
      <c r="F19" s="4"/>
      <c r="G19" s="21"/>
      <c r="H19" s="22"/>
      <c r="I19" s="22"/>
      <c r="J19" s="23"/>
      <c r="K19" s="24"/>
      <c r="L19" s="25"/>
      <c r="M19" s="25"/>
      <c r="N19" s="26"/>
      <c r="O19" s="21"/>
      <c r="P19" s="22"/>
      <c r="Q19" s="23"/>
      <c r="R19" s="54"/>
      <c r="S19" s="48"/>
    </row>
    <row r="20" spans="1:19" s="3" customFormat="1" ht="30" customHeight="1" x14ac:dyDescent="0.3">
      <c r="A20" s="7"/>
      <c r="B20" s="28"/>
      <c r="C20" s="29"/>
      <c r="D20" s="30"/>
      <c r="E20" s="29"/>
      <c r="F20" s="4"/>
      <c r="G20" s="21"/>
      <c r="H20" s="22"/>
      <c r="I20" s="22"/>
      <c r="J20" s="23"/>
      <c r="K20" s="24"/>
      <c r="L20" s="25"/>
      <c r="M20" s="25"/>
      <c r="N20" s="26"/>
      <c r="O20" s="21"/>
      <c r="P20" s="22"/>
      <c r="Q20" s="23"/>
      <c r="R20" s="54"/>
      <c r="S20" s="48"/>
    </row>
    <row r="21" spans="1:19" s="3" customFormat="1" ht="30" customHeight="1" x14ac:dyDescent="0.3">
      <c r="A21" s="7"/>
      <c r="B21" s="28"/>
      <c r="C21" s="29"/>
      <c r="D21" s="30"/>
      <c r="E21" s="29"/>
      <c r="F21" s="4"/>
      <c r="G21" s="21"/>
      <c r="H21" s="22"/>
      <c r="I21" s="22"/>
      <c r="J21" s="23"/>
      <c r="K21" s="24"/>
      <c r="L21" s="25"/>
      <c r="M21" s="25"/>
      <c r="N21" s="26"/>
      <c r="O21" s="21"/>
      <c r="P21" s="22"/>
      <c r="Q21" s="23"/>
      <c r="R21" s="54"/>
      <c r="S21" s="48"/>
    </row>
    <row r="22" spans="1:19" s="3" customFormat="1" ht="30" customHeight="1" x14ac:dyDescent="0.3">
      <c r="A22" s="7"/>
      <c r="B22" s="28"/>
      <c r="C22" s="29"/>
      <c r="D22" s="30"/>
      <c r="E22" s="29"/>
      <c r="F22" s="4"/>
      <c r="G22" s="21"/>
      <c r="H22" s="22"/>
      <c r="I22" s="22"/>
      <c r="J22" s="23"/>
      <c r="K22" s="24"/>
      <c r="L22" s="25"/>
      <c r="M22" s="25"/>
      <c r="N22" s="26"/>
      <c r="O22" s="21"/>
      <c r="P22" s="22"/>
      <c r="Q22" s="23"/>
      <c r="R22" s="54"/>
      <c r="S22" s="48"/>
    </row>
    <row r="23" spans="1:19" s="3" customFormat="1" ht="30" customHeight="1" x14ac:dyDescent="0.3">
      <c r="A23" s="7"/>
      <c r="B23" s="28"/>
      <c r="C23" s="29"/>
      <c r="D23" s="30"/>
      <c r="E23" s="29"/>
      <c r="F23" s="4"/>
      <c r="G23" s="21"/>
      <c r="H23" s="22"/>
      <c r="I23" s="22"/>
      <c r="J23" s="23"/>
      <c r="K23" s="24"/>
      <c r="L23" s="25"/>
      <c r="M23" s="25"/>
      <c r="N23" s="26"/>
      <c r="O23" s="21"/>
      <c r="P23" s="22"/>
      <c r="Q23" s="23"/>
      <c r="R23" s="54"/>
      <c r="S23" s="48"/>
    </row>
    <row r="24" spans="1:19" s="3" customFormat="1" ht="30" customHeight="1" x14ac:dyDescent="0.3">
      <c r="A24" s="7"/>
      <c r="B24" s="28"/>
      <c r="C24" s="29"/>
      <c r="D24" s="30"/>
      <c r="E24" s="29"/>
      <c r="F24" s="4"/>
      <c r="G24" s="21"/>
      <c r="H24" s="22"/>
      <c r="I24" s="22"/>
      <c r="J24" s="23"/>
      <c r="K24" s="24"/>
      <c r="L24" s="25"/>
      <c r="M24" s="25"/>
      <c r="N24" s="26"/>
      <c r="O24" s="21"/>
      <c r="P24" s="22"/>
      <c r="Q24" s="23"/>
      <c r="R24" s="54"/>
      <c r="S24" s="48"/>
    </row>
    <row r="25" spans="1:19" s="3" customFormat="1" ht="30" hidden="1" customHeight="1" x14ac:dyDescent="0.3">
      <c r="A25" s="7"/>
      <c r="B25" s="27"/>
      <c r="C25" s="20"/>
      <c r="D25" s="19"/>
      <c r="E25" s="20"/>
      <c r="F25" s="4"/>
      <c r="G25" s="21"/>
      <c r="H25" s="22"/>
      <c r="I25" s="22"/>
      <c r="J25" s="23"/>
      <c r="K25" s="24">
        <f t="shared" ref="K25:K30" si="1">F25*G25</f>
        <v>0</v>
      </c>
      <c r="L25" s="25"/>
      <c r="M25" s="25"/>
      <c r="N25" s="26"/>
      <c r="O25" s="21"/>
      <c r="P25" s="22"/>
      <c r="Q25" s="23"/>
      <c r="R25" s="54" t="s">
        <v>17</v>
      </c>
    </row>
    <row r="26" spans="1:19" s="3" customFormat="1" ht="30" hidden="1" customHeight="1" x14ac:dyDescent="0.3">
      <c r="A26" s="7"/>
      <c r="B26" s="27"/>
      <c r="C26" s="20"/>
      <c r="D26" s="19"/>
      <c r="E26" s="20"/>
      <c r="F26" s="4"/>
      <c r="G26" s="21"/>
      <c r="H26" s="22"/>
      <c r="I26" s="22"/>
      <c r="J26" s="23"/>
      <c r="K26" s="24">
        <f t="shared" si="1"/>
        <v>0</v>
      </c>
      <c r="L26" s="25"/>
      <c r="M26" s="25"/>
      <c r="N26" s="26"/>
      <c r="O26" s="21"/>
      <c r="P26" s="22"/>
      <c r="Q26" s="23"/>
      <c r="R26" s="54" t="s">
        <v>17</v>
      </c>
    </row>
    <row r="27" spans="1:19" s="3" customFormat="1" ht="30" hidden="1" customHeight="1" x14ac:dyDescent="0.3">
      <c r="A27" s="7"/>
      <c r="B27" s="27"/>
      <c r="C27" s="20"/>
      <c r="D27" s="19"/>
      <c r="E27" s="20"/>
      <c r="F27" s="4"/>
      <c r="G27" s="21"/>
      <c r="H27" s="22"/>
      <c r="I27" s="22"/>
      <c r="J27" s="23"/>
      <c r="K27" s="24">
        <f t="shared" si="1"/>
        <v>0</v>
      </c>
      <c r="L27" s="25"/>
      <c r="M27" s="25"/>
      <c r="N27" s="26"/>
      <c r="O27" s="21"/>
      <c r="P27" s="22"/>
      <c r="Q27" s="23"/>
      <c r="R27" s="54" t="s">
        <v>17</v>
      </c>
    </row>
    <row r="28" spans="1:19" s="3" customFormat="1" ht="30" hidden="1" customHeight="1" x14ac:dyDescent="0.3">
      <c r="A28" s="7"/>
      <c r="B28" s="27"/>
      <c r="C28" s="20"/>
      <c r="D28" s="19"/>
      <c r="E28" s="20"/>
      <c r="F28" s="4"/>
      <c r="G28" s="21"/>
      <c r="H28" s="22"/>
      <c r="I28" s="22"/>
      <c r="J28" s="23"/>
      <c r="K28" s="24">
        <f t="shared" si="1"/>
        <v>0</v>
      </c>
      <c r="L28" s="25"/>
      <c r="M28" s="25"/>
      <c r="N28" s="26"/>
      <c r="O28" s="21"/>
      <c r="P28" s="22"/>
      <c r="Q28" s="23"/>
      <c r="R28" s="54" t="s">
        <v>17</v>
      </c>
    </row>
    <row r="29" spans="1:19" s="3" customFormat="1" ht="30" hidden="1" customHeight="1" x14ac:dyDescent="0.3">
      <c r="A29" s="7"/>
      <c r="B29" s="27"/>
      <c r="C29" s="20"/>
      <c r="D29" s="19"/>
      <c r="E29" s="20"/>
      <c r="F29" s="4"/>
      <c r="G29" s="21"/>
      <c r="H29" s="22"/>
      <c r="I29" s="22"/>
      <c r="J29" s="23"/>
      <c r="K29" s="24">
        <f t="shared" si="1"/>
        <v>0</v>
      </c>
      <c r="L29" s="25"/>
      <c r="M29" s="25"/>
      <c r="N29" s="26"/>
      <c r="O29" s="21" t="s">
        <v>17</v>
      </c>
      <c r="P29" s="22"/>
      <c r="Q29" s="23"/>
      <c r="R29" s="54" t="s">
        <v>17</v>
      </c>
    </row>
    <row r="30" spans="1:19" s="3" customFormat="1" ht="30" hidden="1" customHeight="1" x14ac:dyDescent="0.3">
      <c r="A30" s="7"/>
      <c r="B30" s="17"/>
      <c r="C30" s="18"/>
      <c r="D30" s="19"/>
      <c r="E30" s="20"/>
      <c r="F30" s="4"/>
      <c r="G30" s="21"/>
      <c r="H30" s="22"/>
      <c r="I30" s="22"/>
      <c r="J30" s="23"/>
      <c r="K30" s="24">
        <f t="shared" si="1"/>
        <v>0</v>
      </c>
      <c r="L30" s="25"/>
      <c r="M30" s="25"/>
      <c r="N30" s="26"/>
      <c r="O30" s="21"/>
      <c r="P30" s="22"/>
      <c r="Q30" s="23"/>
      <c r="R30" s="54" t="s">
        <v>17</v>
      </c>
    </row>
    <row r="31" spans="1:19" s="3" customFormat="1" ht="30" customHeight="1" x14ac:dyDescent="0.3">
      <c r="A31" s="7" t="s">
        <v>18</v>
      </c>
      <c r="B31" s="11"/>
      <c r="C31" s="12"/>
      <c r="D31" s="13" t="s">
        <v>17</v>
      </c>
      <c r="E31" s="12"/>
      <c r="F31" s="44">
        <f>SUM(G11:J24)</f>
        <v>1000000</v>
      </c>
      <c r="G31" s="45"/>
      <c r="H31" s="45"/>
      <c r="I31" s="45"/>
      <c r="J31" s="46"/>
      <c r="K31" s="14"/>
      <c r="L31" s="15"/>
      <c r="M31" s="15"/>
      <c r="N31" s="16"/>
      <c r="O31" s="14"/>
      <c r="P31" s="15"/>
      <c r="Q31" s="16"/>
      <c r="R31" s="55" t="s">
        <v>17</v>
      </c>
    </row>
    <row r="32" spans="1:19" s="5" customFormat="1" ht="45" customHeight="1" x14ac:dyDescent="0.3">
      <c r="A32" s="6"/>
      <c r="B32" s="6" t="s">
        <v>26</v>
      </c>
      <c r="C32" s="6"/>
      <c r="D32" s="56" t="s">
        <v>9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</row>
  </sheetData>
  <mergeCells count="136">
    <mergeCell ref="B21:C21"/>
    <mergeCell ref="D21:E21"/>
    <mergeCell ref="G21:J21"/>
    <mergeCell ref="K21:N21"/>
    <mergeCell ref="O21:Q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D32:R32"/>
    <mergeCell ref="B31:C31"/>
    <mergeCell ref="D31:E31"/>
    <mergeCell ref="K31:N31"/>
    <mergeCell ref="O31:Q31"/>
    <mergeCell ref="F31:J31"/>
  </mergeCells>
  <phoneticPr fontId="12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2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갑지</vt:lpstr>
      <vt:lpstr>갑지!Print_Area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71</cp:revision>
  <cp:lastPrinted>2024-11-26T07:28:34Z</cp:lastPrinted>
  <dcterms:created xsi:type="dcterms:W3CDTF">2020-02-03T04:33:40Z</dcterms:created>
  <dcterms:modified xsi:type="dcterms:W3CDTF">2025-03-10T01:06:35Z</dcterms:modified>
  <cp:version>1300.0100.01</cp:version>
</cp:coreProperties>
</file>
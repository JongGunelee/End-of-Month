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1 솔루션\250804\06 작업폴더\02 사택 9-204 현관 방화문 수리\"/>
    </mc:Choice>
  </mc:AlternateContent>
  <xr:revisionPtr revIDLastSave="0" documentId="13_ncr:1_{A4ECA4BF-97AC-467E-B326-483F4A4C910D}" xr6:coauthVersionLast="47" xr6:coauthVersionMax="47" xr10:uidLastSave="{00000000-0000-0000-0000-000000000000}"/>
  <bookViews>
    <workbookView xWindow="-60" yWindow="-60" windowWidth="28920" windowHeight="16320" xr2:uid="{00000000-000D-0000-FFFF-FFFF00000000}"/>
  </bookViews>
  <sheets>
    <sheet name="갑지" sheetId="5" r:id="rId1"/>
    <sheet name="내역서(표준단가)" sheetId="4" r:id="rId2"/>
    <sheet name="시중가 근거서류" sheetId="8" r:id="rId3"/>
    <sheet name="Upload" sheetId="1" r:id="rId4"/>
    <sheet name="upload(시중가)" sheetId="7" r:id="rId5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1" l="1"/>
  <c r="E2" i="1"/>
  <c r="D2" i="1"/>
  <c r="C2" i="1"/>
  <c r="B2" i="1"/>
  <c r="U6" i="4" l="1"/>
  <c r="S6" i="4"/>
  <c r="Q6" i="4"/>
  <c r="O6" i="4"/>
  <c r="V6" i="4" l="1"/>
  <c r="Q5" i="4"/>
  <c r="U5" i="4" l="1"/>
  <c r="S5" i="4"/>
  <c r="O5" i="4"/>
  <c r="A5" i="4"/>
  <c r="A2" i="1" s="1"/>
  <c r="V5" i="4" l="1"/>
  <c r="O7" i="4" l="1"/>
  <c r="F16" i="5" s="1"/>
  <c r="Q7" i="4"/>
  <c r="F17" i="5" s="1"/>
  <c r="S7" i="4"/>
  <c r="U7" i="4"/>
  <c r="F18" i="5" l="1"/>
  <c r="F26" i="5"/>
  <c r="F21" i="5"/>
  <c r="F25" i="5"/>
  <c r="F24" i="5"/>
  <c r="F22" i="5"/>
  <c r="F23" i="5" s="1"/>
  <c r="V7" i="4"/>
  <c r="F27" i="5" l="1"/>
  <c r="F19" i="5" l="1"/>
  <c r="F28" i="5" l="1"/>
  <c r="F30" i="5" s="1"/>
  <c r="F31" i="5" s="1"/>
  <c r="B12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<sst xmlns="http://schemas.openxmlformats.org/spreadsheetml/2006/main" count="131" uniqueCount="110">
  <si>
    <t>구분</t>
  </si>
  <si>
    <t>표준단가</t>
  </si>
  <si>
    <t>표준품셈</t>
  </si>
  <si>
    <t>물가정보</t>
  </si>
  <si>
    <t>노임단가</t>
  </si>
  <si>
    <t>수량</t>
  </si>
  <si>
    <t>견 적 서</t>
    <phoneticPr fontId="17" type="noConversion"/>
  </si>
  <si>
    <t xml:space="preserve">금액: </t>
    <phoneticPr fontId="17" type="noConversion"/>
  </si>
  <si>
    <t>원정</t>
    <phoneticPr fontId="19" type="noConversion"/>
  </si>
  <si>
    <t xml:space="preserve">  </t>
  </si>
  <si>
    <t>NO</t>
  </si>
  <si>
    <t>품명</t>
    <phoneticPr fontId="19" type="noConversion"/>
  </si>
  <si>
    <t>규격</t>
    <phoneticPr fontId="19" type="noConversion"/>
  </si>
  <si>
    <t>수량</t>
    <phoneticPr fontId="19" type="noConversion"/>
  </si>
  <si>
    <t>단위</t>
    <phoneticPr fontId="19" type="noConversion"/>
  </si>
  <si>
    <t>금액</t>
    <phoneticPr fontId="19" type="noConversion"/>
  </si>
  <si>
    <t>비고</t>
    <phoneticPr fontId="19" type="noConversion"/>
  </si>
  <si>
    <t>직접비</t>
    <phoneticPr fontId="17" type="noConversion"/>
  </si>
  <si>
    <t>재료비</t>
    <phoneticPr fontId="17" type="noConversion"/>
  </si>
  <si>
    <t>노무비</t>
    <phoneticPr fontId="19" type="noConversion"/>
  </si>
  <si>
    <t>기계/기타경비</t>
    <phoneticPr fontId="17" type="noConversion"/>
  </si>
  <si>
    <t>소계</t>
    <phoneticPr fontId="17" type="noConversion"/>
  </si>
  <si>
    <t>간접비</t>
    <phoneticPr fontId="17" type="noConversion"/>
  </si>
  <si>
    <t>  국민연금</t>
    <phoneticPr fontId="19" type="noConversion"/>
  </si>
  <si>
    <t> 노무비*4.5%</t>
    <phoneticPr fontId="19" type="noConversion"/>
  </si>
  <si>
    <t>식</t>
    <phoneticPr fontId="19" type="noConversion"/>
  </si>
  <si>
    <t>모든공사에 적용</t>
    <phoneticPr fontId="19" type="noConversion"/>
  </si>
  <si>
    <t>  건강보험료</t>
    <phoneticPr fontId="19" type="noConversion"/>
  </si>
  <si>
    <t>모든공사에 적용</t>
    <phoneticPr fontId="19" type="noConversion"/>
  </si>
  <si>
    <t>  장기요양보험료</t>
    <phoneticPr fontId="19" type="noConversion"/>
  </si>
  <si>
    <t>  고용보험료</t>
    <phoneticPr fontId="19" type="noConversion"/>
  </si>
  <si>
    <t>  산재보험료</t>
    <phoneticPr fontId="19" type="noConversion"/>
  </si>
  <si>
    <t xml:space="preserve">  산업안전보건관리비</t>
    <phoneticPr fontId="19" type="noConversion"/>
  </si>
  <si>
    <t>소계</t>
    <phoneticPr fontId="17" type="noConversion"/>
  </si>
  <si>
    <t>합계(단수조정)</t>
    <phoneticPr fontId="17" type="noConversion"/>
  </si>
  <si>
    <t>VAT별도</t>
    <phoneticPr fontId="19" type="noConversion"/>
  </si>
  <si>
    <t>★ 작성방법</t>
    <phoneticPr fontId="11" type="noConversion"/>
  </si>
  <si>
    <t>일반관리비/이윤</t>
    <phoneticPr fontId="19" type="noConversion"/>
  </si>
  <si>
    <t> (노무비+간접공사비)*5%</t>
    <phoneticPr fontId="19" type="noConversion"/>
  </si>
  <si>
    <t>등록번호</t>
    <phoneticPr fontId="13" type="noConversion"/>
  </si>
  <si>
    <t>종 목</t>
    <phoneticPr fontId="13" type="noConversion"/>
  </si>
  <si>
    <t>TEL, FAX</t>
    <phoneticPr fontId="13" type="noConversion"/>
  </si>
  <si>
    <t>상 호</t>
    <phoneticPr fontId="13" type="noConversion"/>
  </si>
  <si>
    <t>대표 이사</t>
    <phoneticPr fontId="13" type="noConversion"/>
  </si>
  <si>
    <t>사업장</t>
    <phoneticPr fontId="13" type="noConversion"/>
  </si>
  <si>
    <t>업 태</t>
    <phoneticPr fontId="13" type="noConversion"/>
  </si>
  <si>
    <t>할증기준</t>
    <phoneticPr fontId="11" type="noConversion"/>
  </si>
  <si>
    <t> 노무비*1.01%</t>
    <phoneticPr fontId="19" type="noConversion"/>
  </si>
  <si>
    <t xml:space="preserve"> 수신인 : 주식회사 에스엔아이 코퍼레이션</t>
    <phoneticPr fontId="17" type="noConversion"/>
  </si>
  <si>
    <t> 노무비*3.545%</t>
    <phoneticPr fontId="19" type="noConversion"/>
  </si>
  <si>
    <t> 건강보험료*12.95%</t>
    <phoneticPr fontId="19" type="noConversion"/>
  </si>
  <si>
    <t> 노무비*3.56%</t>
    <phoneticPr fontId="19" type="noConversion"/>
  </si>
  <si>
    <t>314-86-35718</t>
    <phoneticPr fontId="11" type="noConversion"/>
  </si>
  <si>
    <t>㈜일성건축</t>
    <phoneticPr fontId="11" type="noConversion"/>
  </si>
  <si>
    <t>상 석 희</t>
    <phoneticPr fontId="11" type="noConversion"/>
  </si>
  <si>
    <t>대전 서구 도마6길 107 (도마동)</t>
    <phoneticPr fontId="11" type="noConversion"/>
  </si>
  <si>
    <t>건설업</t>
    <phoneticPr fontId="11" type="noConversion"/>
  </si>
  <si>
    <t>실내건축,인테리어공사</t>
    <phoneticPr fontId="11" type="noConversion"/>
  </si>
  <si>
    <t>042)527-0995, 042)527-0996</t>
    <phoneticPr fontId="11" type="noConversion"/>
  </si>
  <si>
    <r>
      <rPr>
        <b/>
        <sz val="10"/>
        <color rgb="FF000000"/>
        <rFont val="LG스마트체 Regular"/>
        <family val="3"/>
        <charset val="129"/>
      </rPr>
      <t>▼낙찰율</t>
    </r>
    <phoneticPr fontId="13" type="noConversion"/>
  </si>
  <si>
    <r>
      <rPr>
        <b/>
        <sz val="10"/>
        <color rgb="FF000000"/>
        <rFont val="LG스마트체 Regular"/>
        <family val="3"/>
        <charset val="129"/>
      </rPr>
      <t>▶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LG스마트체 Regular"/>
        <family val="3"/>
        <charset val="129"/>
      </rPr>
      <t>표준</t>
    </r>
    <r>
      <rPr>
        <b/>
        <sz val="10"/>
        <color rgb="FF000000"/>
        <rFont val="Arial"/>
        <family val="2"/>
      </rPr>
      <t xml:space="preserve"> Code(</t>
    </r>
    <r>
      <rPr>
        <b/>
        <sz val="10"/>
        <color rgb="FF000000"/>
        <rFont val="LG스마트체 Regular"/>
        <family val="3"/>
        <charset val="129"/>
      </rPr>
      <t>표준단가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LG스마트체 Regular"/>
        <family val="3"/>
        <charset val="129"/>
      </rPr>
      <t>품셈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LG스마트체 Regular"/>
        <family val="3"/>
        <charset val="129"/>
      </rPr>
      <t>물정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LG스마트체 Regular"/>
        <family val="3"/>
        <charset val="129"/>
      </rPr>
      <t>노임</t>
    </r>
    <r>
      <rPr>
        <b/>
        <sz val="10"/>
        <color rgb="FF000000"/>
        <rFont val="Arial"/>
        <family val="2"/>
      </rPr>
      <t xml:space="preserve">) </t>
    </r>
    <r>
      <rPr>
        <b/>
        <sz val="10"/>
        <color rgb="FF000000"/>
        <rFont val="LG스마트체 Regular"/>
        <family val="3"/>
        <charset val="129"/>
      </rPr>
      <t>순서별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LG스마트체 Regular"/>
        <family val="3"/>
        <charset val="129"/>
      </rPr>
      <t>입력</t>
    </r>
    <r>
      <rPr>
        <b/>
        <sz val="10"/>
        <color rgb="FF000000"/>
        <rFont val="Arial"/>
        <family val="2"/>
      </rPr>
      <t xml:space="preserve">(Upload </t>
    </r>
    <r>
      <rPr>
        <b/>
        <sz val="10"/>
        <color rgb="FF000000"/>
        <rFont val="LG스마트체 Regular"/>
        <family val="3"/>
        <charset val="129"/>
      </rPr>
      <t>자동반영</t>
    </r>
    <r>
      <rPr>
        <b/>
        <sz val="10"/>
        <color rgb="FF000000"/>
        <rFont val="Arial"/>
        <family val="2"/>
      </rPr>
      <t>)</t>
    </r>
    <phoneticPr fontId="11" type="noConversion"/>
  </si>
  <si>
    <r>
      <rPr>
        <b/>
        <sz val="10"/>
        <color rgb="FF000000"/>
        <rFont val="LG스마트체 Regular"/>
        <family val="3"/>
        <charset val="129"/>
      </rPr>
      <t>주요내역</t>
    </r>
    <phoneticPr fontId="11" type="noConversion"/>
  </si>
  <si>
    <r>
      <rPr>
        <b/>
        <sz val="10"/>
        <color rgb="FF000000"/>
        <rFont val="LG스마트체 Regular"/>
        <family val="3"/>
        <charset val="129"/>
      </rPr>
      <t>단위</t>
    </r>
  </si>
  <si>
    <r>
      <rPr>
        <b/>
        <sz val="10"/>
        <color rgb="FF000000"/>
        <rFont val="LG스마트체 Regular"/>
        <family val="3"/>
        <charset val="129"/>
      </rPr>
      <t>수량</t>
    </r>
  </si>
  <si>
    <r>
      <rPr>
        <b/>
        <sz val="10"/>
        <color rgb="FF000000"/>
        <rFont val="LG스마트체 Regular"/>
        <family val="3"/>
        <charset val="129"/>
      </rPr>
      <t>재료비</t>
    </r>
    <phoneticPr fontId="13" type="noConversion"/>
  </si>
  <si>
    <r>
      <rPr>
        <b/>
        <sz val="10"/>
        <color rgb="FF000000"/>
        <rFont val="LG스마트체 Regular"/>
        <family val="3"/>
        <charset val="129"/>
      </rPr>
      <t>노무비</t>
    </r>
    <phoneticPr fontId="13" type="noConversion"/>
  </si>
  <si>
    <r>
      <rPr>
        <b/>
        <sz val="10"/>
        <color rgb="FF000000"/>
        <rFont val="LG스마트체 Regular"/>
        <family val="3"/>
        <charset val="129"/>
      </rPr>
      <t>기계경비</t>
    </r>
  </si>
  <si>
    <r>
      <rPr>
        <b/>
        <sz val="10"/>
        <color rgb="FF000000"/>
        <rFont val="LG스마트체 Regular"/>
        <family val="3"/>
        <charset val="129"/>
      </rPr>
      <t>기타경비</t>
    </r>
    <r>
      <rPr>
        <b/>
        <sz val="10"/>
        <color rgb="FF000000"/>
        <rFont val="Arial"/>
        <family val="2"/>
      </rPr>
      <t>(</t>
    </r>
    <r>
      <rPr>
        <b/>
        <sz val="10"/>
        <color rgb="FF000000"/>
        <rFont val="LG스마트체 Regular"/>
        <family val="3"/>
        <charset val="129"/>
      </rPr>
      <t>부자재비</t>
    </r>
    <r>
      <rPr>
        <b/>
        <sz val="10"/>
        <color rgb="FF000000"/>
        <rFont val="Arial"/>
        <family val="2"/>
      </rPr>
      <t>)</t>
    </r>
  </si>
  <si>
    <r>
      <rPr>
        <b/>
        <sz val="10"/>
        <color rgb="FF000000"/>
        <rFont val="LG스마트체 Regular"/>
        <family val="3"/>
        <charset val="129"/>
      </rPr>
      <t>합계</t>
    </r>
    <phoneticPr fontId="13" type="noConversion"/>
  </si>
  <si>
    <r>
      <rPr>
        <b/>
        <sz val="10"/>
        <color rgb="FF000000"/>
        <rFont val="LG스마트체 Regular"/>
        <family val="3"/>
        <charset val="129"/>
      </rPr>
      <t>노무비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LG스마트체 Regular"/>
        <family val="3"/>
        <charset val="129"/>
      </rPr>
      <t>할증</t>
    </r>
    <phoneticPr fontId="11" type="noConversion"/>
  </si>
  <si>
    <r>
      <rPr>
        <b/>
        <sz val="10"/>
        <color rgb="FF000000"/>
        <rFont val="LG스마트체 Regular"/>
        <family val="3"/>
        <charset val="129"/>
      </rPr>
      <t>합계</t>
    </r>
    <phoneticPr fontId="11" type="noConversion"/>
  </si>
  <si>
    <r>
      <rPr>
        <b/>
        <sz val="10"/>
        <color rgb="FF000000"/>
        <rFont val="LG스마트체 Regular"/>
        <family val="3"/>
        <charset val="129"/>
      </rPr>
      <t>표준단가</t>
    </r>
    <r>
      <rPr>
        <b/>
        <sz val="10"/>
        <color rgb="FF000000"/>
        <rFont val="Arial"/>
        <family val="2"/>
      </rPr>
      <t xml:space="preserve"> D</t>
    </r>
    <phoneticPr fontId="11" type="noConversion"/>
  </si>
  <si>
    <r>
      <rPr>
        <b/>
        <sz val="10"/>
        <color rgb="FF000000"/>
        <rFont val="LG스마트체 Regular"/>
        <family val="3"/>
        <charset val="129"/>
      </rPr>
      <t>표준품셈</t>
    </r>
    <r>
      <rPr>
        <b/>
        <sz val="10"/>
        <color rgb="FF000000"/>
        <rFont val="Arial"/>
        <family val="2"/>
      </rPr>
      <t xml:space="preserve"> E</t>
    </r>
    <phoneticPr fontId="11" type="noConversion"/>
  </si>
  <si>
    <r>
      <rPr>
        <b/>
        <sz val="10"/>
        <color rgb="FF000000"/>
        <rFont val="LG스마트체 Regular"/>
        <family val="3"/>
        <charset val="129"/>
      </rPr>
      <t>물가정보</t>
    </r>
    <r>
      <rPr>
        <b/>
        <sz val="10"/>
        <color rgb="FF000000"/>
        <rFont val="Arial"/>
        <family val="2"/>
      </rPr>
      <t xml:space="preserve"> M</t>
    </r>
    <phoneticPr fontId="11" type="noConversion"/>
  </si>
  <si>
    <r>
      <rPr>
        <b/>
        <sz val="10"/>
        <color rgb="FF000000"/>
        <rFont val="LG스마트체 Regular"/>
        <family val="3"/>
        <charset val="129"/>
      </rPr>
      <t>노임단가</t>
    </r>
    <r>
      <rPr>
        <b/>
        <sz val="10"/>
        <color rgb="FF000000"/>
        <rFont val="Arial"/>
        <family val="2"/>
      </rPr>
      <t xml:space="preserve"> L</t>
    </r>
    <phoneticPr fontId="11" type="noConversion"/>
  </si>
  <si>
    <r>
      <rPr>
        <b/>
        <sz val="10"/>
        <color rgb="FF000000"/>
        <rFont val="LG스마트체 Regular"/>
        <family val="3"/>
        <charset val="129"/>
      </rPr>
      <t>품목</t>
    </r>
    <phoneticPr fontId="11" type="noConversion"/>
  </si>
  <si>
    <r>
      <rPr>
        <b/>
        <sz val="10"/>
        <color rgb="FF000000"/>
        <rFont val="LG스마트체 Regular"/>
        <family val="3"/>
        <charset val="129"/>
      </rPr>
      <t>규격</t>
    </r>
    <phoneticPr fontId="11" type="noConversion"/>
  </si>
  <si>
    <r>
      <rPr>
        <b/>
        <sz val="10"/>
        <color rgb="FF000000"/>
        <rFont val="LG스마트체 Regular"/>
        <family val="3"/>
        <charset val="129"/>
      </rPr>
      <t>품셈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LG스마트체 Regular"/>
        <family val="3"/>
        <charset val="129"/>
      </rPr>
      <t>표단</t>
    </r>
    <phoneticPr fontId="11" type="noConversion"/>
  </si>
  <si>
    <r>
      <rPr>
        <b/>
        <sz val="10"/>
        <color rgb="FF000000"/>
        <rFont val="LG스마트체 Regular"/>
        <family val="3"/>
        <charset val="129"/>
      </rPr>
      <t>금액</t>
    </r>
  </si>
  <si>
    <r>
      <rPr>
        <b/>
        <sz val="10"/>
        <color rgb="FF000000"/>
        <rFont val="LG스마트체 Regular"/>
        <family val="3"/>
        <charset val="129"/>
      </rPr>
      <t>단가</t>
    </r>
    <phoneticPr fontId="13" type="noConversion"/>
  </si>
  <si>
    <r>
      <rPr>
        <b/>
        <sz val="10"/>
        <color rgb="FF000000"/>
        <rFont val="LG스마트체 Regular"/>
        <family val="3"/>
        <charset val="129"/>
      </rPr>
      <t>단가</t>
    </r>
  </si>
  <si>
    <t>단위</t>
  </si>
  <si>
    <t>인</t>
    <phoneticPr fontId="11" type="noConversion"/>
  </si>
  <si>
    <t>표준내역코드</t>
  </si>
  <si>
    <t>세부공종</t>
  </si>
  <si>
    <t>품명</t>
  </si>
  <si>
    <t>규격</t>
  </si>
  <si>
    <t>재료비단가</t>
  </si>
  <si>
    <t>재료비소계</t>
  </si>
  <si>
    <t>노무비단가</t>
  </si>
  <si>
    <t>노무비소계</t>
  </si>
  <si>
    <t>기계경비단가</t>
  </si>
  <si>
    <t>기계경비소계</t>
  </si>
  <si>
    <t>기타경비단가</t>
  </si>
  <si>
    <t>기타경비소계</t>
  </si>
  <si>
    <t>할증코드</t>
  </si>
  <si>
    <t>재료비할증율</t>
  </si>
  <si>
    <t>노무비할증율</t>
  </si>
  <si>
    <t>할증내용</t>
  </si>
  <si>
    <t>영선,건축</t>
    <phoneticPr fontId="11" type="noConversion"/>
  </si>
  <si>
    <t>시중노임단가, 특별인부</t>
    <phoneticPr fontId="11" type="noConversion"/>
  </si>
  <si>
    <t> (재료비+노무비)*3.11%</t>
    <phoneticPr fontId="19" type="noConversion"/>
  </si>
  <si>
    <t>set</t>
    <phoneticPr fontId="11" type="noConversion"/>
  </si>
  <si>
    <t xml:space="preserve"> 견적일 : 2025년  07월  28일</t>
    <phoneticPr fontId="17" type="noConversion"/>
  </si>
  <si>
    <t>L002</t>
    <phoneticPr fontId="11" type="noConversion"/>
  </si>
  <si>
    <t xml:space="preserve"> 공사명 : 사택 9-204 방화문 보수</t>
    <phoneticPr fontId="17" type="noConversion"/>
  </si>
  <si>
    <t>화기감시자</t>
    <phoneticPr fontId="11" type="noConversion"/>
  </si>
  <si>
    <t>현관 방화문 보수</t>
    <phoneticPr fontId="11" type="noConversion"/>
  </si>
  <si>
    <t>전문업체 견적, 세금계산서 첨부예정</t>
    <phoneticPr fontId="11" type="noConversion"/>
  </si>
  <si>
    <t>전문업체 견적서 참조, 세금계산서 첨부 예정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</si>
</sst>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76" formatCode="_(&quot;₩&quot;* #,##0_);_(&quot;₩&quot;* \(#,##0\);_(&quot;₩&quot;* &quot;-&quot;_);_(@_)"/>
    <numFmt numFmtId="177" formatCode="_(* #,##0_);_(* \(#,##0\);_(* &quot;-&quot;_);_(@_)"/>
    <numFmt numFmtId="178" formatCode="_ * #,##0_ ;_ * \-#,##0_ ;_ * &quot;-&quot;_ ;_ @_ "/>
    <numFmt numFmtId="179" formatCode="###,#00,000"/>
    <numFmt numFmtId="180" formatCode="_-* #,##0_-;&quot;₩&quot;\!\-* #,##0_-;_-* &quot;-&quot;_-;_-@_-"/>
    <numFmt numFmtId="181" formatCode="#"/>
    <numFmt numFmtId="182" formatCode="0.0%"/>
    <numFmt numFmtId="183" formatCode="###,###,###,##0"/>
    <numFmt numFmtId="184" formatCode="_-* #,##0.0_-;\-* #,##0.0_-;_-* &quot;-&quot;_-;_-@_-"/>
    <numFmt numFmtId="185" formatCode="#,##0_ "/>
  </numFmts>
  <fonts count="46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9"/>
      <color rgb="FF000000"/>
      <name val="Malgun Gothic"/>
      <family val="3"/>
      <charset val="129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11"/>
      <name val="바탕체"/>
      <family val="1"/>
      <charset val="129"/>
    </font>
    <font>
      <sz val="8"/>
      <name val="바탕체"/>
      <family val="1"/>
      <charset val="129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b/>
      <sz val="9"/>
      <color rgb="FF000000"/>
      <name val="Malgun Gothic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b/>
      <sz val="26"/>
      <color rgb="FF000000"/>
      <name val="LG스마트체 Regular"/>
      <family val="3"/>
      <charset val="129"/>
    </font>
    <font>
      <sz val="10"/>
      <color rgb="FF000000"/>
      <name val="LG스마트체 Regular"/>
      <family val="3"/>
      <charset val="129"/>
    </font>
    <font>
      <sz val="10"/>
      <color rgb="FF000000"/>
      <name val="맑은 고딕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LG스마트체 Regular"/>
      <family val="3"/>
      <charset val="129"/>
    </font>
    <font>
      <sz val="10"/>
      <color rgb="FF000000"/>
      <name val="돋움"/>
      <family val="3"/>
      <charset val="129"/>
    </font>
    <font>
      <sz val="10"/>
      <color rgb="FF000000"/>
      <name val="Malgun Gothic"/>
      <family val="3"/>
      <charset val="129"/>
    </font>
    <font>
      <sz val="9"/>
      <color rgb="FF000000"/>
      <name val="Arial"/>
      <family val="2"/>
    </font>
    <font>
      <b/>
      <sz val="10"/>
      <color rgb="FF000000"/>
      <name val="Malgun Gothic"/>
      <family val="3"/>
      <charset val="129"/>
    </font>
    <font>
      <sz val="10"/>
      <color rgb="FF000000"/>
      <name val="맑은 고딕"/>
      <family val="2"/>
      <charset val="129"/>
    </font>
    <font>
      <sz val="12"/>
      <color rgb="FF000000"/>
      <name val="Arial"/>
      <family val="2"/>
    </font>
    <font>
      <b/>
      <sz val="12"/>
      <color rgb="FF000000"/>
      <name val="Arial"/>
      <family val="2"/>
    </font>
    <font>
      <sz val="11"/>
      <color rgb="FF000000"/>
      <name val="맑은 고딕"/>
      <family val="2"/>
      <scheme val="minor"/>
    </font>
    <font>
      <sz val="10"/>
      <name val="Arial"/>
      <family val="2"/>
    </font>
    <font>
      <sz val="10"/>
      <color rgb="FF000000"/>
      <name val="맑은 고딕"/>
      <family val="2"/>
      <scheme val="minor"/>
    </font>
    <font>
      <sz val="10"/>
      <name val="맑은 고딕"/>
      <family val="3"/>
      <charset val="129"/>
    </font>
    <font>
      <sz val="10"/>
      <name val="맑은 고딕"/>
      <family val="2"/>
      <charset val="129"/>
    </font>
  </fonts>
  <fills count="11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34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/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rgb="FFDCDBDA"/>
      </right>
      <top style="thin">
        <color rgb="FFDCDBDA"/>
      </top>
      <bottom style="thin">
        <color rgb="FFDCDBDA"/>
      </bottom>
      <diagonal/>
    </border>
  </borders>
  <cellStyleXfs count="31">
    <xf numFmtId="0" fontId="0" fillId="0" borderId="0">
      <alignment vertical="center"/>
    </xf>
    <xf numFmtId="177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0" fontId="14" fillId="0" borderId="0"/>
    <xf numFmtId="177" fontId="9" fillId="0" borderId="0" applyFont="0" applyFill="0" applyBorder="0" applyAlignment="0" applyProtection="0">
      <alignment vertical="center"/>
    </xf>
    <xf numFmtId="178" fontId="15" fillId="0" borderId="0" applyFont="0" applyFill="0" applyBorder="0" applyAlignment="0" applyProtection="0"/>
    <xf numFmtId="0" fontId="16" fillId="0" borderId="0"/>
    <xf numFmtId="180" fontId="16" fillId="0" borderId="0" applyFont="0" applyFill="0" applyBorder="0" applyAlignment="0" applyProtection="0"/>
    <xf numFmtId="0" fontId="9" fillId="0" borderId="0">
      <alignment vertical="center"/>
    </xf>
    <xf numFmtId="9" fontId="15" fillId="0" borderId="0" applyFont="0" applyFill="0" applyBorder="0" applyAlignment="0" applyProtection="0"/>
    <xf numFmtId="0" fontId="14" fillId="0" borderId="0"/>
    <xf numFmtId="0" fontId="24" fillId="0" borderId="0"/>
    <xf numFmtId="176" fontId="24" fillId="0" borderId="0" applyFont="0" applyFill="0" applyBorder="0" applyAlignment="0" applyProtection="0"/>
    <xf numFmtId="177" fontId="24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7" fillId="0" borderId="0">
      <alignment vertical="center"/>
    </xf>
    <xf numFmtId="177" fontId="7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0" fontId="5" fillId="0" borderId="0">
      <alignment vertical="center"/>
    </xf>
    <xf numFmtId="177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4" fillId="0" borderId="0">
      <alignment vertical="center"/>
    </xf>
    <xf numFmtId="177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77" fontId="1" fillId="0" borderId="0" applyFont="0" applyFill="0" applyBorder="0" applyAlignment="0" applyProtection="0">
      <alignment vertical="center"/>
    </xf>
    <xf numFmtId="0" fontId="1" fillId="0" borderId="0">
      <alignment vertical="center"/>
    </xf>
  </cellStyleXfs>
  <cellXfs count="142">
    <xf numFmtId="0" fontId="0" fillId="0" borderId="0" xfId="0">
      <alignment vertical="center"/>
    </xf>
    <xf numFmtId="49" fontId="10" fillId="2" borderId="1" xfId="0" applyNumberFormat="1" applyFont="1" applyFill="1" applyBorder="1" applyAlignment="1">
      <alignment horizontal="center" vertical="center" wrapText="1"/>
    </xf>
    <xf numFmtId="0" fontId="18" fillId="0" borderId="7" xfId="6" applyFont="1" applyBorder="1" applyAlignment="1">
      <alignment horizontal="right" vertical="center"/>
    </xf>
    <xf numFmtId="49" fontId="20" fillId="2" borderId="0" xfId="0" applyNumberFormat="1" applyFont="1" applyFill="1" applyAlignment="1">
      <alignment horizontal="center" vertical="center" wrapText="1"/>
    </xf>
    <xf numFmtId="183" fontId="10" fillId="5" borderId="3" xfId="0" applyNumberFormat="1" applyFont="1" applyFill="1" applyBorder="1" applyAlignment="1">
      <alignment horizontal="right" vertical="center" wrapText="1"/>
    </xf>
    <xf numFmtId="0" fontId="25" fillId="0" borderId="0" xfId="6" applyFont="1" applyAlignment="1">
      <alignment vertical="center"/>
    </xf>
    <xf numFmtId="0" fontId="26" fillId="0" borderId="0" xfId="3" applyFont="1"/>
    <xf numFmtId="0" fontId="27" fillId="0" borderId="0" xfId="3" applyFont="1"/>
    <xf numFmtId="0" fontId="28" fillId="0" borderId="0" xfId="6" applyFont="1" applyAlignment="1">
      <alignment vertical="center"/>
    </xf>
    <xf numFmtId="0" fontId="18" fillId="0" borderId="4" xfId="6" applyFont="1" applyBorder="1" applyAlignment="1">
      <alignment vertical="center"/>
    </xf>
    <xf numFmtId="0" fontId="28" fillId="0" borderId="5" xfId="6" applyFont="1" applyBorder="1" applyAlignment="1">
      <alignment horizontal="center" vertical="center"/>
    </xf>
    <xf numFmtId="0" fontId="18" fillId="0" borderId="6" xfId="6" applyFont="1" applyBorder="1" applyAlignment="1">
      <alignment horizontal="right" vertical="center"/>
    </xf>
    <xf numFmtId="0" fontId="18" fillId="5" borderId="25" xfId="6" applyFont="1" applyFill="1" applyBorder="1" applyAlignment="1">
      <alignment horizontal="center" vertical="center"/>
    </xf>
    <xf numFmtId="0" fontId="18" fillId="5" borderId="26" xfId="6" applyFont="1" applyFill="1" applyBorder="1" applyAlignment="1">
      <alignment vertical="center" shrinkToFit="1"/>
    </xf>
    <xf numFmtId="0" fontId="18" fillId="5" borderId="2" xfId="6" applyFont="1" applyFill="1" applyBorder="1" applyAlignment="1">
      <alignment horizontal="center" vertical="center"/>
    </xf>
    <xf numFmtId="0" fontId="18" fillId="5" borderId="27" xfId="6" applyFont="1" applyFill="1" applyBorder="1" applyAlignment="1">
      <alignment vertical="center" shrinkToFit="1"/>
    </xf>
    <xf numFmtId="0" fontId="29" fillId="0" borderId="0" xfId="6" applyFont="1" applyAlignment="1">
      <alignment vertical="center" shrinkToFit="1"/>
    </xf>
    <xf numFmtId="0" fontId="18" fillId="5" borderId="2" xfId="6" applyFont="1" applyFill="1" applyBorder="1" applyAlignment="1">
      <alignment horizontal="center" vertical="center" shrinkToFit="1"/>
    </xf>
    <xf numFmtId="0" fontId="18" fillId="0" borderId="2" xfId="6" applyFont="1" applyBorder="1" applyAlignment="1">
      <alignment horizontal="center" vertical="center"/>
    </xf>
    <xf numFmtId="0" fontId="18" fillId="0" borderId="27" xfId="6" applyFont="1" applyBorder="1" applyAlignment="1">
      <alignment vertical="center"/>
    </xf>
    <xf numFmtId="0" fontId="28" fillId="0" borderId="0" xfId="6" applyFont="1" applyAlignment="1">
      <alignment horizontal="center" vertical="center" shrinkToFit="1"/>
    </xf>
    <xf numFmtId="0" fontId="18" fillId="0" borderId="28" xfId="6" applyFont="1" applyBorder="1" applyAlignment="1">
      <alignment horizontal="center" vertical="center" shrinkToFit="1"/>
    </xf>
    <xf numFmtId="0" fontId="18" fillId="0" borderId="29" xfId="6" applyFont="1" applyBorder="1" applyAlignment="1">
      <alignment vertical="center" shrinkToFit="1"/>
    </xf>
    <xf numFmtId="0" fontId="29" fillId="0" borderId="7" xfId="6" applyFont="1" applyBorder="1" applyAlignment="1">
      <alignment vertical="center"/>
    </xf>
    <xf numFmtId="179" fontId="28" fillId="0" borderId="7" xfId="6" applyNumberFormat="1" applyFont="1" applyBorder="1" applyAlignment="1">
      <alignment vertical="center"/>
    </xf>
    <xf numFmtId="0" fontId="28" fillId="0" borderId="0" xfId="6" applyFont="1" applyAlignment="1">
      <alignment vertical="center" shrinkToFit="1"/>
    </xf>
    <xf numFmtId="0" fontId="18" fillId="0" borderId="8" xfId="6" applyFont="1" applyBorder="1" applyAlignment="1">
      <alignment horizontal="center" vertical="center"/>
    </xf>
    <xf numFmtId="0" fontId="18" fillId="0" borderId="9" xfId="6" applyFont="1" applyBorder="1" applyAlignment="1">
      <alignment horizontal="center" vertical="center"/>
    </xf>
    <xf numFmtId="0" fontId="18" fillId="0" borderId="10" xfId="6" applyFont="1" applyBorder="1" applyAlignment="1">
      <alignment horizontal="center" vertical="center"/>
    </xf>
    <xf numFmtId="0" fontId="30" fillId="0" borderId="11" xfId="6" applyFont="1" applyBorder="1" applyAlignment="1">
      <alignment horizontal="center" vertical="center"/>
    </xf>
    <xf numFmtId="0" fontId="18" fillId="0" borderId="12" xfId="6" applyFont="1" applyBorder="1" applyAlignment="1">
      <alignment vertical="center"/>
    </xf>
    <xf numFmtId="0" fontId="30" fillId="0" borderId="12" xfId="6" applyFont="1" applyBorder="1" applyAlignment="1">
      <alignment vertical="center"/>
    </xf>
    <xf numFmtId="1" fontId="30" fillId="0" borderId="12" xfId="6" applyNumberFormat="1" applyFont="1" applyBorder="1" applyAlignment="1">
      <alignment horizontal="center" vertical="center"/>
    </xf>
    <xf numFmtId="180" fontId="30" fillId="0" borderId="12" xfId="7" applyFont="1" applyBorder="1" applyAlignment="1">
      <alignment horizontal="right" vertical="center"/>
    </xf>
    <xf numFmtId="0" fontId="30" fillId="0" borderId="13" xfId="6" applyFont="1" applyBorder="1" applyAlignment="1">
      <alignment vertical="center"/>
    </xf>
    <xf numFmtId="0" fontId="30" fillId="0" borderId="14" xfId="6" applyFont="1" applyBorder="1" applyAlignment="1">
      <alignment horizontal="center" vertical="center"/>
    </xf>
    <xf numFmtId="0" fontId="30" fillId="0" borderId="15" xfId="6" applyFont="1" applyBorder="1" applyAlignment="1">
      <alignment horizontal="center" vertical="center"/>
    </xf>
    <xf numFmtId="0" fontId="30" fillId="0" borderId="15" xfId="3" applyFont="1" applyBorder="1" applyAlignment="1">
      <alignment horizontal="center" vertical="center"/>
    </xf>
    <xf numFmtId="1" fontId="30" fillId="0" borderId="15" xfId="6" applyNumberFormat="1" applyFont="1" applyBorder="1" applyAlignment="1">
      <alignment horizontal="center" vertical="center"/>
    </xf>
    <xf numFmtId="180" fontId="30" fillId="0" borderId="15" xfId="7" applyFont="1" applyBorder="1" applyAlignment="1">
      <alignment horizontal="right" vertical="center"/>
    </xf>
    <xf numFmtId="0" fontId="30" fillId="0" borderId="16" xfId="6" quotePrefix="1" applyFont="1" applyBorder="1" applyAlignment="1">
      <alignment vertical="center"/>
    </xf>
    <xf numFmtId="0" fontId="30" fillId="0" borderId="16" xfId="6" applyFont="1" applyBorder="1" applyAlignment="1">
      <alignment vertical="center"/>
    </xf>
    <xf numFmtId="0" fontId="18" fillId="8" borderId="15" xfId="6" applyFont="1" applyFill="1" applyBorder="1" applyAlignment="1">
      <alignment vertical="center"/>
    </xf>
    <xf numFmtId="1" fontId="18" fillId="8" borderId="15" xfId="6" applyNumberFormat="1" applyFont="1" applyFill="1" applyBorder="1" applyAlignment="1">
      <alignment horizontal="center" vertical="center"/>
    </xf>
    <xf numFmtId="180" fontId="18" fillId="8" borderId="15" xfId="7" applyFont="1" applyFill="1" applyBorder="1" applyAlignment="1">
      <alignment horizontal="right" vertical="center"/>
    </xf>
    <xf numFmtId="0" fontId="18" fillId="0" borderId="15" xfId="6" applyFont="1" applyBorder="1" applyAlignment="1">
      <alignment vertical="center"/>
    </xf>
    <xf numFmtId="0" fontId="30" fillId="0" borderId="15" xfId="6" applyFont="1" applyBorder="1" applyAlignment="1">
      <alignment vertical="center"/>
    </xf>
    <xf numFmtId="180" fontId="18" fillId="0" borderId="15" xfId="7" applyFont="1" applyFill="1" applyBorder="1" applyAlignment="1">
      <alignment horizontal="right" vertical="center"/>
    </xf>
    <xf numFmtId="0" fontId="30" fillId="0" borderId="15" xfId="8" applyFont="1" applyBorder="1" applyAlignment="1">
      <alignment horizontal="center" vertical="center"/>
    </xf>
    <xf numFmtId="178" fontId="30" fillId="0" borderId="15" xfId="5" applyFont="1" applyFill="1" applyBorder="1" applyAlignment="1">
      <alignment horizontal="right" vertical="center"/>
    </xf>
    <xf numFmtId="0" fontId="30" fillId="5" borderId="15" xfId="8" applyFont="1" applyFill="1" applyBorder="1" applyAlignment="1">
      <alignment horizontal="center" vertical="center"/>
    </xf>
    <xf numFmtId="0" fontId="30" fillId="5" borderId="15" xfId="6" applyFont="1" applyFill="1" applyBorder="1" applyAlignment="1">
      <alignment vertical="center"/>
    </xf>
    <xf numFmtId="0" fontId="30" fillId="5" borderId="15" xfId="6" applyFont="1" applyFill="1" applyBorder="1" applyAlignment="1">
      <alignment horizontal="center" vertical="center"/>
    </xf>
    <xf numFmtId="178" fontId="30" fillId="5" borderId="15" xfId="5" applyFont="1" applyFill="1" applyBorder="1" applyAlignment="1">
      <alignment horizontal="right" vertical="center"/>
    </xf>
    <xf numFmtId="0" fontId="30" fillId="5" borderId="16" xfId="6" applyFont="1" applyFill="1" applyBorder="1" applyAlignment="1">
      <alignment vertical="center"/>
    </xf>
    <xf numFmtId="0" fontId="30" fillId="0" borderId="15" xfId="3" applyFont="1" applyBorder="1" applyAlignment="1">
      <alignment horizontal="left" vertical="center"/>
    </xf>
    <xf numFmtId="9" fontId="18" fillId="8" borderId="15" xfId="3" applyNumberFormat="1" applyFont="1" applyFill="1" applyBorder="1" applyAlignment="1">
      <alignment horizontal="right" vertical="center"/>
    </xf>
    <xf numFmtId="1" fontId="18" fillId="8" borderId="15" xfId="9" applyNumberFormat="1" applyFont="1" applyFill="1" applyBorder="1" applyAlignment="1">
      <alignment horizontal="center" vertical="center"/>
    </xf>
    <xf numFmtId="177" fontId="18" fillId="8" borderId="15" xfId="7" applyNumberFormat="1" applyFont="1" applyFill="1" applyBorder="1" applyAlignment="1">
      <alignment horizontal="right" vertical="center"/>
    </xf>
    <xf numFmtId="9" fontId="30" fillId="0" borderId="15" xfId="3" applyNumberFormat="1" applyFont="1" applyBorder="1" applyAlignment="1">
      <alignment horizontal="right" vertical="center"/>
    </xf>
    <xf numFmtId="1" fontId="30" fillId="0" borderId="15" xfId="9" applyNumberFormat="1" applyFont="1" applyFill="1" applyBorder="1" applyAlignment="1">
      <alignment horizontal="center" vertical="center"/>
    </xf>
    <xf numFmtId="177" fontId="18" fillId="0" borderId="15" xfId="7" applyNumberFormat="1" applyFont="1" applyFill="1" applyBorder="1" applyAlignment="1">
      <alignment horizontal="right" vertical="center"/>
    </xf>
    <xf numFmtId="0" fontId="30" fillId="0" borderId="15" xfId="3" applyFont="1" applyBorder="1" applyAlignment="1">
      <alignment vertical="center"/>
    </xf>
    <xf numFmtId="180" fontId="30" fillId="5" borderId="15" xfId="7" applyFont="1" applyFill="1" applyBorder="1" applyAlignment="1">
      <alignment horizontal="right" vertical="center"/>
    </xf>
    <xf numFmtId="180" fontId="18" fillId="8" borderId="0" xfId="3" applyNumberFormat="1" applyFont="1" applyFill="1" applyAlignment="1">
      <alignment vertical="center"/>
    </xf>
    <xf numFmtId="0" fontId="18" fillId="0" borderId="17" xfId="6" applyFont="1" applyBorder="1" applyAlignment="1">
      <alignment horizontal="center" vertical="center" textRotation="255"/>
    </xf>
    <xf numFmtId="0" fontId="18" fillId="0" borderId="18" xfId="6" applyFont="1" applyBorder="1" applyAlignment="1">
      <alignment vertical="top"/>
    </xf>
    <xf numFmtId="0" fontId="30" fillId="0" borderId="19" xfId="6" applyFont="1" applyBorder="1" applyAlignment="1">
      <alignment vertical="center"/>
    </xf>
    <xf numFmtId="0" fontId="30" fillId="0" borderId="19" xfId="6" applyFont="1" applyBorder="1" applyAlignment="1">
      <alignment horizontal="right" vertical="center"/>
    </xf>
    <xf numFmtId="0" fontId="30" fillId="0" borderId="20" xfId="6" applyFont="1" applyBorder="1" applyAlignment="1">
      <alignment vertical="center"/>
    </xf>
    <xf numFmtId="0" fontId="18" fillId="0" borderId="0" xfId="10" applyFont="1"/>
    <xf numFmtId="0" fontId="31" fillId="0" borderId="0" xfId="0" applyFont="1" applyAlignment="1">
      <alignment horizontal="center" vertical="center"/>
    </xf>
    <xf numFmtId="0" fontId="32" fillId="0" borderId="0" xfId="0" applyFont="1">
      <alignment vertical="center"/>
    </xf>
    <xf numFmtId="0" fontId="32" fillId="0" borderId="0" xfId="0" applyFont="1" applyAlignment="1">
      <alignment horizontal="center" vertical="center"/>
    </xf>
    <xf numFmtId="9" fontId="31" fillId="0" borderId="0" xfId="0" applyNumberFormat="1" applyFont="1" applyAlignment="1">
      <alignment horizontal="center" vertical="center"/>
    </xf>
    <xf numFmtId="182" fontId="31" fillId="3" borderId="0" xfId="2" applyNumberFormat="1" applyFont="1" applyFill="1" applyAlignment="1">
      <alignment horizontal="center" vertical="center"/>
    </xf>
    <xf numFmtId="0" fontId="31" fillId="9" borderId="24" xfId="0" applyFont="1" applyFill="1" applyBorder="1">
      <alignment vertical="center"/>
    </xf>
    <xf numFmtId="0" fontId="31" fillId="9" borderId="21" xfId="0" applyFont="1" applyFill="1" applyBorder="1">
      <alignment vertical="center"/>
    </xf>
    <xf numFmtId="0" fontId="31" fillId="4" borderId="22" xfId="0" applyFont="1" applyFill="1" applyBorder="1" applyAlignment="1">
      <alignment horizontal="center" vertical="center"/>
    </xf>
    <xf numFmtId="0" fontId="31" fillId="4" borderId="6" xfId="0" applyFont="1" applyFill="1" applyBorder="1" applyAlignment="1">
      <alignment horizontal="center" vertical="center"/>
    </xf>
    <xf numFmtId="0" fontId="31" fillId="7" borderId="3" xfId="0" applyFont="1" applyFill="1" applyBorder="1" applyAlignment="1">
      <alignment horizontal="center" vertical="center"/>
    </xf>
    <xf numFmtId="0" fontId="31" fillId="4" borderId="3" xfId="3" applyFont="1" applyFill="1" applyBorder="1" applyAlignment="1">
      <alignment horizontal="center" vertical="center"/>
    </xf>
    <xf numFmtId="177" fontId="31" fillId="4" borderId="3" xfId="4" applyFont="1" applyFill="1" applyBorder="1" applyAlignment="1">
      <alignment horizontal="center" vertical="center"/>
    </xf>
    <xf numFmtId="178" fontId="31" fillId="4" borderId="3" xfId="5" applyFont="1" applyFill="1" applyBorder="1" applyAlignment="1">
      <alignment horizontal="center" vertical="center"/>
    </xf>
    <xf numFmtId="0" fontId="32" fillId="6" borderId="22" xfId="0" applyFont="1" applyFill="1" applyBorder="1" applyAlignment="1">
      <alignment horizontal="center" vertical="center"/>
    </xf>
    <xf numFmtId="0" fontId="32" fillId="6" borderId="6" xfId="0" applyFont="1" applyFill="1" applyBorder="1" applyAlignment="1">
      <alignment horizontal="center" vertical="center"/>
    </xf>
    <xf numFmtId="49" fontId="35" fillId="7" borderId="3" xfId="0" applyNumberFormat="1" applyFont="1" applyFill="1" applyBorder="1" applyAlignment="1">
      <alignment horizontal="center" vertical="center" wrapText="1"/>
    </xf>
    <xf numFmtId="49" fontId="35" fillId="5" borderId="3" xfId="0" applyNumberFormat="1" applyFont="1" applyFill="1" applyBorder="1" applyAlignment="1">
      <alignment horizontal="center" vertical="center" wrapText="1"/>
    </xf>
    <xf numFmtId="177" fontId="32" fillId="6" borderId="3" xfId="1" applyFont="1" applyFill="1" applyBorder="1" applyAlignment="1">
      <alignment horizontal="center" vertical="center" wrapText="1"/>
    </xf>
    <xf numFmtId="177" fontId="32" fillId="0" borderId="3" xfId="1" applyFont="1" applyFill="1" applyBorder="1" applyAlignment="1">
      <alignment horizontal="center" vertical="center" wrapText="1"/>
    </xf>
    <xf numFmtId="177" fontId="32" fillId="5" borderId="3" xfId="1" applyFont="1" applyFill="1" applyBorder="1" applyAlignment="1">
      <alignment horizontal="center" vertical="center" wrapText="1"/>
    </xf>
    <xf numFmtId="0" fontId="36" fillId="0" borderId="23" xfId="0" applyFont="1" applyBorder="1" applyAlignment="1">
      <alignment horizontal="center" vertical="center"/>
    </xf>
    <xf numFmtId="0" fontId="36" fillId="0" borderId="0" xfId="0" applyFont="1">
      <alignment vertical="center"/>
    </xf>
    <xf numFmtId="49" fontId="37" fillId="7" borderId="3" xfId="0" applyNumberFormat="1" applyFont="1" applyFill="1" applyBorder="1" applyAlignment="1">
      <alignment horizontal="center" vertical="center" wrapText="1"/>
    </xf>
    <xf numFmtId="177" fontId="38" fillId="0" borderId="3" xfId="20" applyFont="1" applyBorder="1" applyAlignment="1">
      <alignment horizontal="center" vertical="center"/>
    </xf>
    <xf numFmtId="177" fontId="32" fillId="0" borderId="3" xfId="20" applyFont="1" applyBorder="1" applyAlignment="1">
      <alignment horizontal="center" vertical="center"/>
    </xf>
    <xf numFmtId="0" fontId="39" fillId="10" borderId="0" xfId="0" applyFont="1" applyFill="1">
      <alignment vertical="center"/>
    </xf>
    <xf numFmtId="0" fontId="39" fillId="0" borderId="0" xfId="0" applyFont="1">
      <alignment vertical="center"/>
    </xf>
    <xf numFmtId="177" fontId="40" fillId="10" borderId="0" xfId="0" applyNumberFormat="1" applyFont="1" applyFill="1">
      <alignment vertical="center"/>
    </xf>
    <xf numFmtId="0" fontId="40" fillId="0" borderId="0" xfId="0" applyFont="1">
      <alignment vertical="center"/>
    </xf>
    <xf numFmtId="177" fontId="40" fillId="0" borderId="0" xfId="0" applyNumberFormat="1" applyFont="1">
      <alignment vertical="center"/>
    </xf>
    <xf numFmtId="0" fontId="39" fillId="0" borderId="0" xfId="0" applyFont="1" applyAlignment="1">
      <alignment horizontal="center" vertical="center"/>
    </xf>
    <xf numFmtId="0" fontId="31" fillId="5" borderId="0" xfId="0" applyFont="1" applyFill="1">
      <alignment vertical="center"/>
    </xf>
    <xf numFmtId="177" fontId="32" fillId="0" borderId="0" xfId="0" applyNumberFormat="1" applyFont="1">
      <alignment vertical="center"/>
    </xf>
    <xf numFmtId="0" fontId="41" fillId="0" borderId="0" xfId="0" applyFont="1">
      <alignment vertical="center"/>
    </xf>
    <xf numFmtId="181" fontId="28" fillId="7" borderId="1" xfId="1" applyNumberFormat="1" applyFont="1" applyFill="1" applyBorder="1" applyAlignment="1">
      <alignment horizontal="center" vertical="center"/>
    </xf>
    <xf numFmtId="181" fontId="28" fillId="0" borderId="1" xfId="1" applyNumberFormat="1" applyFont="1" applyBorder="1" applyAlignment="1">
      <alignment horizontal="center" vertical="center"/>
    </xf>
    <xf numFmtId="181" fontId="28" fillId="0" borderId="0" xfId="1" applyNumberFormat="1" applyFont="1" applyAlignment="1">
      <alignment horizontal="center" vertical="center"/>
    </xf>
    <xf numFmtId="49" fontId="10" fillId="2" borderId="33" xfId="0" applyNumberFormat="1" applyFont="1" applyFill="1" applyBorder="1" applyAlignment="1">
      <alignment horizontal="center" vertical="center" wrapText="1"/>
    </xf>
    <xf numFmtId="0" fontId="43" fillId="0" borderId="0" xfId="0" applyFont="1" applyAlignment="1">
      <alignment horizontal="center" vertical="center"/>
    </xf>
    <xf numFmtId="0" fontId="43" fillId="0" borderId="0" xfId="0" applyFont="1">
      <alignment vertical="center"/>
    </xf>
    <xf numFmtId="184" fontId="32" fillId="0" borderId="0" xfId="1" applyNumberFormat="1" applyFont="1" applyFill="1" applyBorder="1" applyAlignment="1">
      <alignment horizontal="center" vertical="center"/>
    </xf>
    <xf numFmtId="177" fontId="43" fillId="0" borderId="0" xfId="1" applyFont="1" applyBorder="1">
      <alignment vertical="center"/>
    </xf>
    <xf numFmtId="0" fontId="44" fillId="5" borderId="3" xfId="3" applyFont="1" applyFill="1" applyBorder="1" applyAlignment="1">
      <alignment horizontal="center" vertical="center" shrinkToFit="1"/>
    </xf>
    <xf numFmtId="177" fontId="45" fillId="5" borderId="3" xfId="1" applyFont="1" applyFill="1" applyBorder="1" applyAlignment="1">
      <alignment horizontal="center" vertical="center"/>
    </xf>
    <xf numFmtId="177" fontId="42" fillId="5" borderId="3" xfId="1" applyFont="1" applyFill="1" applyBorder="1" applyAlignment="1">
      <alignment vertical="center"/>
    </xf>
    <xf numFmtId="0" fontId="32" fillId="6" borderId="3" xfId="0" applyFont="1" applyFill="1" applyBorder="1" applyAlignment="1">
      <alignment horizontal="center" vertical="center"/>
    </xf>
    <xf numFmtId="177" fontId="35" fillId="5" borderId="3" xfId="1" applyFont="1" applyFill="1" applyBorder="1" applyAlignment="1">
      <alignment horizontal="center" vertical="center" wrapText="1"/>
    </xf>
    <xf numFmtId="183" fontId="35" fillId="5" borderId="3" xfId="0" applyNumberFormat="1" applyFont="1" applyFill="1" applyBorder="1" applyAlignment="1">
      <alignment horizontal="right" vertical="center" wrapText="1"/>
    </xf>
    <xf numFmtId="9" fontId="32" fillId="0" borderId="3" xfId="0" applyNumberFormat="1" applyFont="1" applyBorder="1" applyAlignment="1">
      <alignment horizontal="center" vertical="center"/>
    </xf>
    <xf numFmtId="177" fontId="42" fillId="6" borderId="3" xfId="1" applyFont="1" applyFill="1" applyBorder="1" applyAlignment="1">
      <alignment horizontal="center" vertical="center" wrapText="1"/>
    </xf>
    <xf numFmtId="185" fontId="32" fillId="5" borderId="3" xfId="0" applyNumberFormat="1" applyFont="1" applyFill="1" applyBorder="1">
      <alignment vertical="center"/>
    </xf>
    <xf numFmtId="0" fontId="25" fillId="0" borderId="0" xfId="6" applyFont="1" applyAlignment="1">
      <alignment horizontal="center" vertical="center"/>
    </xf>
    <xf numFmtId="0" fontId="29" fillId="0" borderId="0" xfId="6" applyFont="1" applyAlignment="1">
      <alignment vertical="center"/>
    </xf>
    <xf numFmtId="0" fontId="28" fillId="0" borderId="0" xfId="6" applyFont="1" applyAlignment="1">
      <alignment vertical="center"/>
    </xf>
    <xf numFmtId="0" fontId="18" fillId="0" borderId="4" xfId="6" applyFont="1" applyBorder="1" applyAlignment="1">
      <alignment vertical="center"/>
    </xf>
    <xf numFmtId="0" fontId="18" fillId="0" borderId="5" xfId="6" applyFont="1" applyBorder="1" applyAlignment="1">
      <alignment vertical="center"/>
    </xf>
    <xf numFmtId="0" fontId="18" fillId="0" borderId="6" xfId="6" applyFont="1" applyBorder="1" applyAlignment="1">
      <alignment vertical="center"/>
    </xf>
    <xf numFmtId="0" fontId="18" fillId="0" borderId="4" xfId="6" applyFont="1" applyBorder="1" applyAlignment="1">
      <alignment vertical="center" wrapText="1"/>
    </xf>
    <xf numFmtId="0" fontId="18" fillId="0" borderId="5" xfId="6" applyFont="1" applyBorder="1" applyAlignment="1">
      <alignment vertical="center" wrapText="1"/>
    </xf>
    <xf numFmtId="0" fontId="18" fillId="0" borderId="6" xfId="6" applyFont="1" applyBorder="1" applyAlignment="1">
      <alignment vertical="center" wrapText="1"/>
    </xf>
    <xf numFmtId="0" fontId="31" fillId="0" borderId="0" xfId="0" applyFont="1" applyAlignment="1">
      <alignment horizontal="center" vertical="center"/>
    </xf>
    <xf numFmtId="0" fontId="34" fillId="0" borderId="31" xfId="0" applyFont="1" applyBorder="1" applyAlignment="1">
      <alignment horizontal="center" vertical="center"/>
    </xf>
    <xf numFmtId="0" fontId="32" fillId="0" borderId="32" xfId="0" applyFont="1" applyBorder="1" applyAlignment="1">
      <alignment horizontal="center" vertical="center"/>
    </xf>
    <xf numFmtId="0" fontId="31" fillId="9" borderId="30" xfId="0" applyFont="1" applyFill="1" applyBorder="1" applyAlignment="1">
      <alignment horizontal="center" vertical="center"/>
    </xf>
    <xf numFmtId="0" fontId="31" fillId="9" borderId="4" xfId="0" applyFont="1" applyFill="1" applyBorder="1" applyAlignment="1">
      <alignment horizontal="center" vertical="center"/>
    </xf>
    <xf numFmtId="177" fontId="31" fillId="4" borderId="21" xfId="4" applyFont="1" applyFill="1" applyBorder="1" applyAlignment="1">
      <alignment horizontal="center" vertical="center"/>
    </xf>
    <xf numFmtId="178" fontId="31" fillId="4" borderId="21" xfId="5" applyFont="1" applyFill="1" applyBorder="1" applyAlignment="1">
      <alignment horizontal="center" vertical="center"/>
    </xf>
    <xf numFmtId="0" fontId="31" fillId="4" borderId="21" xfId="0" applyFont="1" applyFill="1" applyBorder="1" applyAlignment="1">
      <alignment horizontal="center" vertical="center"/>
    </xf>
    <xf numFmtId="0" fontId="31" fillId="4" borderId="3" xfId="0" applyFont="1" applyFill="1" applyBorder="1" applyAlignment="1">
      <alignment horizontal="center" vertical="center"/>
    </xf>
    <xf numFmtId="0" fontId="31" fillId="4" borderId="21" xfId="3" applyFont="1" applyFill="1" applyBorder="1" applyAlignment="1">
      <alignment horizontal="center" vertical="center"/>
    </xf>
    <xf numFmtId="0" fontId="31" fillId="4" borderId="3" xfId="3" applyFont="1" applyFill="1" applyBorder="1" applyAlignment="1">
      <alignment horizontal="center" vertical="center"/>
    </xf>
  </cellXfs>
  <cellStyles count="31">
    <cellStyle name="백분율" xfId="2" builtinId="5"/>
    <cellStyle name="백분율 2 64" xfId="9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8" xr:uid="{9DE5560C-89D3-4234-A527-EA49B53D4971}"/>
    <cellStyle name="쉼표 [0] 2 2 29" xfId="13" xr:uid="{00000000-0005-0000-0000-000005000000}"/>
    <cellStyle name="쉼표 [0] 2 3" xfId="27" xr:uid="{84145116-34A3-4978-AA23-E773F15D72CE}"/>
    <cellStyle name="쉼표 [0] 2 4" xfId="20" xr:uid="{C58DB114-3DFC-48BF-B279-68E81CF1801D}"/>
    <cellStyle name="쉼표 [0] 2 4 2" xfId="23" xr:uid="{3070FDD1-D076-4267-9734-55DC834440C4}"/>
    <cellStyle name="쉼표 [0] 2 4 3" xfId="26" xr:uid="{466D6A9D-2A7A-4571-B4E2-02F547DF6FB9}"/>
    <cellStyle name="쉼표 [0] 3" xfId="16" xr:uid="{8F7BE219-40E1-4BBB-A9BD-02188B74B2A3}"/>
    <cellStyle name="쉼표 [0] 4" xfId="29" xr:uid="{CC0B73B0-7462-4D01-B0C9-D11C17A5C7E0}"/>
    <cellStyle name="쉼표 [0]_봉강빌딩신축공사" xfId="7" xr:uid="{00000000-0005-0000-0000-000006000000}"/>
    <cellStyle name="통화 [0] 2 2" xfId="12" xr:uid="{00000000-0005-0000-0000-000007000000}"/>
    <cellStyle name="표준" xfId="0" builtinId="0"/>
    <cellStyle name="표준 10 10 2" xfId="3" xr:uid="{00000000-0005-0000-0000-000009000000}"/>
    <cellStyle name="표준 10 31" xfId="11" xr:uid="{00000000-0005-0000-0000-00000A000000}"/>
    <cellStyle name="표준 2" xfId="8" xr:uid="{00000000-0005-0000-0000-00000B000000}"/>
    <cellStyle name="표준 2 10 5" xfId="10" xr:uid="{00000000-0005-0000-0000-00000C000000}"/>
    <cellStyle name="표준 3" xfId="14" xr:uid="{00000000-0005-0000-0000-00000D000000}"/>
    <cellStyle name="표준 4" xfId="15" xr:uid="{08D43F33-5EF4-4FAF-B422-8A71947BBD29}"/>
    <cellStyle name="표준 4 2" xfId="30" xr:uid="{A898D59C-3907-4A75-B1F7-B14959F506CD}"/>
    <cellStyle name="표준 5" xfId="17" xr:uid="{B39ACF8E-5B1E-4331-957C-34579729CB23}"/>
    <cellStyle name="표준 7" xfId="19" xr:uid="{770BEF39-67CB-4F3D-B0A1-B9F2AC9B03D6}"/>
    <cellStyle name="표준 7 2" xfId="21" xr:uid="{BBDF599D-71D4-4FB2-A99A-2A9C80AF2F9D}"/>
    <cellStyle name="표준 7 2 2" xfId="24" xr:uid="{BCA625FF-3FCE-40BD-81AF-FBF4F681E961}"/>
    <cellStyle name="표준 7 3" xfId="22" xr:uid="{A72D0E51-CAF5-48A9-AF10-3C24C6DC4809}"/>
    <cellStyle name="표준 7 4" xfId="25" xr:uid="{E41D2D8C-4847-4DF4-B71B-D261D8C7B5A5}"/>
    <cellStyle name="표준 7 5" xfId="28" xr:uid="{45A185AB-D45B-4577-8C95-A6E8E02BCB48}"/>
    <cellStyle name="표준_봉강빌딩신축공사" xfId="6" xr:uid="{00000000-0005-0000-0000-00000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" name="Picture 6" descr="도장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3" name="Picture 1" descr="세원도장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" name="Picture 6" descr="도장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5" name="Picture 1" descr="세원도장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6" name="Picture 6" descr="도장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" name="Picture 6" descr="도장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" name="Picture 6" descr="도장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" name="Picture 6" descr="도장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8" name="Picture 6" descr="도장">
          <a:extLst>
            <a:ext uri="{FF2B5EF4-FFF2-40B4-BE49-F238E27FC236}">
              <a16:creationId xmlns:a16="http://schemas.microsoft.com/office/drawing/2014/main" id="{58F3E340-E599-46BE-9E8C-FA96064F77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1" name="Picture 1" descr="세원도장">
          <a:extLst>
            <a:ext uri="{FF2B5EF4-FFF2-40B4-BE49-F238E27FC236}">
              <a16:creationId xmlns:a16="http://schemas.microsoft.com/office/drawing/2014/main" id="{BFD26053-C86C-454F-BAAE-C22BD44A94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" name="Picture 6" descr="도장">
          <a:extLst>
            <a:ext uri="{FF2B5EF4-FFF2-40B4-BE49-F238E27FC236}">
              <a16:creationId xmlns:a16="http://schemas.microsoft.com/office/drawing/2014/main" id="{EB347FB3-564D-4B15-9EBC-B07BC58EB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3" name="Picture 1" descr="세원도장">
          <a:extLst>
            <a:ext uri="{FF2B5EF4-FFF2-40B4-BE49-F238E27FC236}">
              <a16:creationId xmlns:a16="http://schemas.microsoft.com/office/drawing/2014/main" id="{B0ACC25C-A4C6-482A-80E1-3B27B1DCEC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4" name="Picture 1" descr="세원도장">
          <a:extLst>
            <a:ext uri="{FF2B5EF4-FFF2-40B4-BE49-F238E27FC236}">
              <a16:creationId xmlns:a16="http://schemas.microsoft.com/office/drawing/2014/main" id="{9FD6EC32-C5A1-471A-BA27-6604E1161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5" name="Picture 1" descr="세원도장">
          <a:extLst>
            <a:ext uri="{FF2B5EF4-FFF2-40B4-BE49-F238E27FC236}">
              <a16:creationId xmlns:a16="http://schemas.microsoft.com/office/drawing/2014/main" id="{C025AE9D-6D75-4C0B-8D39-B52F57D41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6" name="Picture 1" descr="세원도장">
          <a:extLst>
            <a:ext uri="{FF2B5EF4-FFF2-40B4-BE49-F238E27FC236}">
              <a16:creationId xmlns:a16="http://schemas.microsoft.com/office/drawing/2014/main" id="{3DB1C1D3-5E0E-48D9-8440-A0F822117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7" name="Picture 1" descr="세원도장">
          <a:extLst>
            <a:ext uri="{FF2B5EF4-FFF2-40B4-BE49-F238E27FC236}">
              <a16:creationId xmlns:a16="http://schemas.microsoft.com/office/drawing/2014/main" id="{4725828D-394F-41BF-B914-794E488910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8" name="Picture 1" descr="세원도장">
          <a:extLst>
            <a:ext uri="{FF2B5EF4-FFF2-40B4-BE49-F238E27FC236}">
              <a16:creationId xmlns:a16="http://schemas.microsoft.com/office/drawing/2014/main" id="{89DC7C37-23EB-42F3-AFCB-BCC68DE446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9" name="Picture 1" descr="세원도장">
          <a:extLst>
            <a:ext uri="{FF2B5EF4-FFF2-40B4-BE49-F238E27FC236}">
              <a16:creationId xmlns:a16="http://schemas.microsoft.com/office/drawing/2014/main" id="{E44C58A3-246E-4D32-B978-6FBC162FC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0" name="Picture 1" descr="세원도장">
          <a:extLst>
            <a:ext uri="{FF2B5EF4-FFF2-40B4-BE49-F238E27FC236}">
              <a16:creationId xmlns:a16="http://schemas.microsoft.com/office/drawing/2014/main" id="{5EE48E27-9484-4AF6-BAF4-E237DD04B5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1" name="Picture 1" descr="세원도장">
          <a:extLst>
            <a:ext uri="{FF2B5EF4-FFF2-40B4-BE49-F238E27FC236}">
              <a16:creationId xmlns:a16="http://schemas.microsoft.com/office/drawing/2014/main" id="{D7569884-D0FA-4298-A9F7-2F8EA32586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2" name="Picture 1" descr="세원도장">
          <a:extLst>
            <a:ext uri="{FF2B5EF4-FFF2-40B4-BE49-F238E27FC236}">
              <a16:creationId xmlns:a16="http://schemas.microsoft.com/office/drawing/2014/main" id="{D6D71E39-AE40-4897-B67E-4DC47E051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3" name="Picture 1" descr="세원도장">
          <a:extLst>
            <a:ext uri="{FF2B5EF4-FFF2-40B4-BE49-F238E27FC236}">
              <a16:creationId xmlns:a16="http://schemas.microsoft.com/office/drawing/2014/main" id="{8A6A7AA3-8F11-4252-A916-4910E00B3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4" name="Picture 1" descr="세원도장">
          <a:extLst>
            <a:ext uri="{FF2B5EF4-FFF2-40B4-BE49-F238E27FC236}">
              <a16:creationId xmlns:a16="http://schemas.microsoft.com/office/drawing/2014/main" id="{954762A1-D062-42BE-BB04-A042C39AA4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5" name="Picture 1" descr="세원도장">
          <a:extLst>
            <a:ext uri="{FF2B5EF4-FFF2-40B4-BE49-F238E27FC236}">
              <a16:creationId xmlns:a16="http://schemas.microsoft.com/office/drawing/2014/main" id="{DB13B384-02D2-4A89-BABB-F0AAAE9DE1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6" name="Picture 1" descr="세원도장">
          <a:extLst>
            <a:ext uri="{FF2B5EF4-FFF2-40B4-BE49-F238E27FC236}">
              <a16:creationId xmlns:a16="http://schemas.microsoft.com/office/drawing/2014/main" id="{58266D4E-D6D1-41BA-8021-F45C27F1B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7" name="Picture 1" descr="세원도장">
          <a:extLst>
            <a:ext uri="{FF2B5EF4-FFF2-40B4-BE49-F238E27FC236}">
              <a16:creationId xmlns:a16="http://schemas.microsoft.com/office/drawing/2014/main" id="{9EF17E01-878E-45A1-8E21-32C0F8911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8" name="Picture 1" descr="세원도장">
          <a:extLst>
            <a:ext uri="{FF2B5EF4-FFF2-40B4-BE49-F238E27FC236}">
              <a16:creationId xmlns:a16="http://schemas.microsoft.com/office/drawing/2014/main" id="{6E2D99E9-30AE-4708-B321-B4EE6083CD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9" name="Picture 1" descr="세원도장">
          <a:extLst>
            <a:ext uri="{FF2B5EF4-FFF2-40B4-BE49-F238E27FC236}">
              <a16:creationId xmlns:a16="http://schemas.microsoft.com/office/drawing/2014/main" id="{1DE30400-F6C4-433B-9528-AB2FF1C77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30" name="Picture 1" descr="세원도장">
          <a:extLst>
            <a:ext uri="{FF2B5EF4-FFF2-40B4-BE49-F238E27FC236}">
              <a16:creationId xmlns:a16="http://schemas.microsoft.com/office/drawing/2014/main" id="{64B389D0-D427-4BE4-ADEC-297FE3946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31" name="Picture 1" descr="세원도장">
          <a:extLst>
            <a:ext uri="{FF2B5EF4-FFF2-40B4-BE49-F238E27FC236}">
              <a16:creationId xmlns:a16="http://schemas.microsoft.com/office/drawing/2014/main" id="{DAB75B71-B2B3-4422-985B-372E94B02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32" name="Picture 1" descr="세원도장">
          <a:extLst>
            <a:ext uri="{FF2B5EF4-FFF2-40B4-BE49-F238E27FC236}">
              <a16:creationId xmlns:a16="http://schemas.microsoft.com/office/drawing/2014/main" id="{D0B769DC-8325-403A-921F-393C1FC82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33" name="Picture 1" descr="세원도장">
          <a:extLst>
            <a:ext uri="{FF2B5EF4-FFF2-40B4-BE49-F238E27FC236}">
              <a16:creationId xmlns:a16="http://schemas.microsoft.com/office/drawing/2014/main" id="{8BF8F784-9BCC-4B37-8359-D7EA98F30B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34" name="Picture 1" descr="세원도장">
          <a:extLst>
            <a:ext uri="{FF2B5EF4-FFF2-40B4-BE49-F238E27FC236}">
              <a16:creationId xmlns:a16="http://schemas.microsoft.com/office/drawing/2014/main" id="{30C40510-27D0-4954-853C-90BAB02D0E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35" name="Picture 1" descr="세원도장">
          <a:extLst>
            <a:ext uri="{FF2B5EF4-FFF2-40B4-BE49-F238E27FC236}">
              <a16:creationId xmlns:a16="http://schemas.microsoft.com/office/drawing/2014/main" id="{F2CF8535-B92B-4423-8225-AF99190B1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6" name="Picture 6" descr="도장">
          <a:extLst>
            <a:ext uri="{FF2B5EF4-FFF2-40B4-BE49-F238E27FC236}">
              <a16:creationId xmlns:a16="http://schemas.microsoft.com/office/drawing/2014/main" id="{36E5D8DF-282B-4AFB-9369-75E391C13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37" name="Picture 1" descr="세원도장">
          <a:extLst>
            <a:ext uri="{FF2B5EF4-FFF2-40B4-BE49-F238E27FC236}">
              <a16:creationId xmlns:a16="http://schemas.microsoft.com/office/drawing/2014/main" id="{E832764B-732E-4A88-A739-BDD2449AF8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8" name="Picture 6" descr="도장">
          <a:extLst>
            <a:ext uri="{FF2B5EF4-FFF2-40B4-BE49-F238E27FC236}">
              <a16:creationId xmlns:a16="http://schemas.microsoft.com/office/drawing/2014/main" id="{B87FA265-8E5E-480B-A3F2-69DC37F170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39" name="Picture 1" descr="세원도장">
          <a:extLst>
            <a:ext uri="{FF2B5EF4-FFF2-40B4-BE49-F238E27FC236}">
              <a16:creationId xmlns:a16="http://schemas.microsoft.com/office/drawing/2014/main" id="{F6C26153-CD90-476A-BFCA-A3CE30B113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0" name="Picture 6" descr="도장">
          <a:extLst>
            <a:ext uri="{FF2B5EF4-FFF2-40B4-BE49-F238E27FC236}">
              <a16:creationId xmlns:a16="http://schemas.microsoft.com/office/drawing/2014/main" id="{0D360081-209A-49ED-9C8F-91B0D45128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1" name="Picture 6" descr="도장">
          <a:extLst>
            <a:ext uri="{FF2B5EF4-FFF2-40B4-BE49-F238E27FC236}">
              <a16:creationId xmlns:a16="http://schemas.microsoft.com/office/drawing/2014/main" id="{8A8E1C8F-C925-41E1-A4A6-29679FB531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2" name="Picture 6" descr="도장">
          <a:extLst>
            <a:ext uri="{FF2B5EF4-FFF2-40B4-BE49-F238E27FC236}">
              <a16:creationId xmlns:a16="http://schemas.microsoft.com/office/drawing/2014/main" id="{0364B22F-A0B2-409E-AB28-C930DBFEB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3" name="Picture 6" descr="도장">
          <a:extLst>
            <a:ext uri="{FF2B5EF4-FFF2-40B4-BE49-F238E27FC236}">
              <a16:creationId xmlns:a16="http://schemas.microsoft.com/office/drawing/2014/main" id="{8AC2503E-024C-44E1-90FD-DDCBC3EFAE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4" name="Picture 6" descr="도장">
          <a:extLst>
            <a:ext uri="{FF2B5EF4-FFF2-40B4-BE49-F238E27FC236}">
              <a16:creationId xmlns:a16="http://schemas.microsoft.com/office/drawing/2014/main" id="{9C10EB2C-6EA8-45BD-A0BC-9C5BC48AA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45" name="Picture 1" descr="세원도장">
          <a:extLst>
            <a:ext uri="{FF2B5EF4-FFF2-40B4-BE49-F238E27FC236}">
              <a16:creationId xmlns:a16="http://schemas.microsoft.com/office/drawing/2014/main" id="{00D1DDBB-AD45-4E44-BF68-CE1EA1EAD2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6" name="Picture 6" descr="도장">
          <a:extLst>
            <a:ext uri="{FF2B5EF4-FFF2-40B4-BE49-F238E27FC236}">
              <a16:creationId xmlns:a16="http://schemas.microsoft.com/office/drawing/2014/main" id="{34472790-6475-47E3-A06A-262CE3FE2D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47" name="Picture 1" descr="세원도장">
          <a:extLst>
            <a:ext uri="{FF2B5EF4-FFF2-40B4-BE49-F238E27FC236}">
              <a16:creationId xmlns:a16="http://schemas.microsoft.com/office/drawing/2014/main" id="{4F6FB9E9-4CC3-4C5E-91AC-6EB7792C1E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48" name="Picture 1" descr="세원도장">
          <a:extLst>
            <a:ext uri="{FF2B5EF4-FFF2-40B4-BE49-F238E27FC236}">
              <a16:creationId xmlns:a16="http://schemas.microsoft.com/office/drawing/2014/main" id="{202516F6-3335-4CF7-B049-55CEBD9EC0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49" name="Picture 1" descr="세원도장">
          <a:extLst>
            <a:ext uri="{FF2B5EF4-FFF2-40B4-BE49-F238E27FC236}">
              <a16:creationId xmlns:a16="http://schemas.microsoft.com/office/drawing/2014/main" id="{B1093FD1-2980-41D3-859A-6CE645BE2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50" name="Picture 1" descr="세원도장">
          <a:extLst>
            <a:ext uri="{FF2B5EF4-FFF2-40B4-BE49-F238E27FC236}">
              <a16:creationId xmlns:a16="http://schemas.microsoft.com/office/drawing/2014/main" id="{D9592157-FDD7-4C21-B4B9-44337520B5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51" name="Picture 1" descr="세원도장">
          <a:extLst>
            <a:ext uri="{FF2B5EF4-FFF2-40B4-BE49-F238E27FC236}">
              <a16:creationId xmlns:a16="http://schemas.microsoft.com/office/drawing/2014/main" id="{DBFF5F32-7AEA-4009-8317-4C62DE9470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2" name="Picture 1" descr="세원도장">
          <a:extLst>
            <a:ext uri="{FF2B5EF4-FFF2-40B4-BE49-F238E27FC236}">
              <a16:creationId xmlns:a16="http://schemas.microsoft.com/office/drawing/2014/main" id="{426F5045-B9EA-479F-BF55-BCA6739673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3" name="Picture 1" descr="세원도장">
          <a:extLst>
            <a:ext uri="{FF2B5EF4-FFF2-40B4-BE49-F238E27FC236}">
              <a16:creationId xmlns:a16="http://schemas.microsoft.com/office/drawing/2014/main" id="{98FDE52D-2CEE-40AC-9D40-20E6EC116C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4" name="Picture 1" descr="세원도장">
          <a:extLst>
            <a:ext uri="{FF2B5EF4-FFF2-40B4-BE49-F238E27FC236}">
              <a16:creationId xmlns:a16="http://schemas.microsoft.com/office/drawing/2014/main" id="{58905083-0D49-41C2-A6E8-3CC0EE506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5" name="Picture 1" descr="세원도장">
          <a:extLst>
            <a:ext uri="{FF2B5EF4-FFF2-40B4-BE49-F238E27FC236}">
              <a16:creationId xmlns:a16="http://schemas.microsoft.com/office/drawing/2014/main" id="{79925FA0-10EF-4738-8560-FD0B4ED00B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6" name="Picture 1" descr="세원도장">
          <a:extLst>
            <a:ext uri="{FF2B5EF4-FFF2-40B4-BE49-F238E27FC236}">
              <a16:creationId xmlns:a16="http://schemas.microsoft.com/office/drawing/2014/main" id="{B45AF68E-E086-4275-BD9B-1D362E532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7" name="Picture 1" descr="세원도장">
          <a:extLst>
            <a:ext uri="{FF2B5EF4-FFF2-40B4-BE49-F238E27FC236}">
              <a16:creationId xmlns:a16="http://schemas.microsoft.com/office/drawing/2014/main" id="{91C30C8D-412A-4320-B790-2152646DF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8" name="Picture 1" descr="세원도장">
          <a:extLst>
            <a:ext uri="{FF2B5EF4-FFF2-40B4-BE49-F238E27FC236}">
              <a16:creationId xmlns:a16="http://schemas.microsoft.com/office/drawing/2014/main" id="{58FF05B5-A94B-4155-87A2-7BF77EF1D8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9" name="Picture 1" descr="세원도장">
          <a:extLst>
            <a:ext uri="{FF2B5EF4-FFF2-40B4-BE49-F238E27FC236}">
              <a16:creationId xmlns:a16="http://schemas.microsoft.com/office/drawing/2014/main" id="{425971EC-1351-4861-A73F-FA984FD1E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60" name="Picture 1" descr="세원도장">
          <a:extLst>
            <a:ext uri="{FF2B5EF4-FFF2-40B4-BE49-F238E27FC236}">
              <a16:creationId xmlns:a16="http://schemas.microsoft.com/office/drawing/2014/main" id="{F1C4241F-0E15-4217-B984-EC6D2A294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61" name="Picture 1" descr="세원도장">
          <a:extLst>
            <a:ext uri="{FF2B5EF4-FFF2-40B4-BE49-F238E27FC236}">
              <a16:creationId xmlns:a16="http://schemas.microsoft.com/office/drawing/2014/main" id="{52DD8E77-DCD7-49D1-A6D5-C06F5F353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62" name="Picture 1" descr="세원도장">
          <a:extLst>
            <a:ext uri="{FF2B5EF4-FFF2-40B4-BE49-F238E27FC236}">
              <a16:creationId xmlns:a16="http://schemas.microsoft.com/office/drawing/2014/main" id="{3DAF327B-D985-4425-96E1-9E4AA6233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63" name="Picture 1" descr="세원도장">
          <a:extLst>
            <a:ext uri="{FF2B5EF4-FFF2-40B4-BE49-F238E27FC236}">
              <a16:creationId xmlns:a16="http://schemas.microsoft.com/office/drawing/2014/main" id="{10F7F231-286B-4162-87FC-B7BB3D1DB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64" name="Picture 1" descr="세원도장">
          <a:extLst>
            <a:ext uri="{FF2B5EF4-FFF2-40B4-BE49-F238E27FC236}">
              <a16:creationId xmlns:a16="http://schemas.microsoft.com/office/drawing/2014/main" id="{7803E51A-39CE-41C6-A305-B48BABE81F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65" name="Picture 1" descr="세원도장">
          <a:extLst>
            <a:ext uri="{FF2B5EF4-FFF2-40B4-BE49-F238E27FC236}">
              <a16:creationId xmlns:a16="http://schemas.microsoft.com/office/drawing/2014/main" id="{D0C929EA-52BE-4E0C-A70D-81EA999F30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66" name="Picture 1" descr="세원도장">
          <a:extLst>
            <a:ext uri="{FF2B5EF4-FFF2-40B4-BE49-F238E27FC236}">
              <a16:creationId xmlns:a16="http://schemas.microsoft.com/office/drawing/2014/main" id="{588B6B4C-D21F-4952-B8D8-8932F5650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67" name="Picture 1" descr="세원도장">
          <a:extLst>
            <a:ext uri="{FF2B5EF4-FFF2-40B4-BE49-F238E27FC236}">
              <a16:creationId xmlns:a16="http://schemas.microsoft.com/office/drawing/2014/main" id="{A420B6B8-D29B-4A92-B6A3-DADFE6E133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68" name="Picture 1" descr="세원도장">
          <a:extLst>
            <a:ext uri="{FF2B5EF4-FFF2-40B4-BE49-F238E27FC236}">
              <a16:creationId xmlns:a16="http://schemas.microsoft.com/office/drawing/2014/main" id="{4B1ED88C-D99A-47D5-B35D-0F4C5D6E3B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69" name="Picture 1" descr="세원도장">
          <a:extLst>
            <a:ext uri="{FF2B5EF4-FFF2-40B4-BE49-F238E27FC236}">
              <a16:creationId xmlns:a16="http://schemas.microsoft.com/office/drawing/2014/main" id="{CF05C864-8446-40E4-AB30-895CDA1774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0" name="Picture 6" descr="도장">
          <a:extLst>
            <a:ext uri="{FF2B5EF4-FFF2-40B4-BE49-F238E27FC236}">
              <a16:creationId xmlns:a16="http://schemas.microsoft.com/office/drawing/2014/main" id="{963B62DC-E534-43FD-B562-4E35C9E74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1" name="Picture 1" descr="세원도장">
          <a:extLst>
            <a:ext uri="{FF2B5EF4-FFF2-40B4-BE49-F238E27FC236}">
              <a16:creationId xmlns:a16="http://schemas.microsoft.com/office/drawing/2014/main" id="{0468753B-EC5D-4D2C-9EF5-52BB0BBE5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2" name="Picture 6" descr="도장">
          <a:extLst>
            <a:ext uri="{FF2B5EF4-FFF2-40B4-BE49-F238E27FC236}">
              <a16:creationId xmlns:a16="http://schemas.microsoft.com/office/drawing/2014/main" id="{14FA63F9-4DF2-4FE3-94B6-8EB84EC36E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3" name="Picture 1" descr="세원도장">
          <a:extLst>
            <a:ext uri="{FF2B5EF4-FFF2-40B4-BE49-F238E27FC236}">
              <a16:creationId xmlns:a16="http://schemas.microsoft.com/office/drawing/2014/main" id="{EC991305-C3CA-4EF4-AAFD-DCE38C5A29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4" name="Picture 1" descr="세원도장">
          <a:extLst>
            <a:ext uri="{FF2B5EF4-FFF2-40B4-BE49-F238E27FC236}">
              <a16:creationId xmlns:a16="http://schemas.microsoft.com/office/drawing/2014/main" id="{9D85CB60-7F15-4C6F-A4AD-0030B9FD27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5" name="Picture 1" descr="세원도장">
          <a:extLst>
            <a:ext uri="{FF2B5EF4-FFF2-40B4-BE49-F238E27FC236}">
              <a16:creationId xmlns:a16="http://schemas.microsoft.com/office/drawing/2014/main" id="{6C046020-B4D4-4BE8-8FD4-A910DA1FAA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6" name="Picture 1" descr="세원도장">
          <a:extLst>
            <a:ext uri="{FF2B5EF4-FFF2-40B4-BE49-F238E27FC236}">
              <a16:creationId xmlns:a16="http://schemas.microsoft.com/office/drawing/2014/main" id="{6DCDEEA6-4AF0-4679-AFB8-3C45339804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7" name="Picture 1" descr="세원도장">
          <a:extLst>
            <a:ext uri="{FF2B5EF4-FFF2-40B4-BE49-F238E27FC236}">
              <a16:creationId xmlns:a16="http://schemas.microsoft.com/office/drawing/2014/main" id="{C1C9DBCD-9DAA-44CA-8689-E7770167D2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8" name="Picture 1" descr="세원도장">
          <a:extLst>
            <a:ext uri="{FF2B5EF4-FFF2-40B4-BE49-F238E27FC236}">
              <a16:creationId xmlns:a16="http://schemas.microsoft.com/office/drawing/2014/main" id="{04572688-08B2-481B-B684-A6908302E5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9" name="Picture 1" descr="세원도장">
          <a:extLst>
            <a:ext uri="{FF2B5EF4-FFF2-40B4-BE49-F238E27FC236}">
              <a16:creationId xmlns:a16="http://schemas.microsoft.com/office/drawing/2014/main" id="{57B85ECD-AB2E-4AA2-80CF-F7028EC590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0" name="Picture 1" descr="세원도장">
          <a:extLst>
            <a:ext uri="{FF2B5EF4-FFF2-40B4-BE49-F238E27FC236}">
              <a16:creationId xmlns:a16="http://schemas.microsoft.com/office/drawing/2014/main" id="{1E85B33F-E4FC-4FAF-BD59-7F18615926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1" name="Picture 1" descr="세원도장">
          <a:extLst>
            <a:ext uri="{FF2B5EF4-FFF2-40B4-BE49-F238E27FC236}">
              <a16:creationId xmlns:a16="http://schemas.microsoft.com/office/drawing/2014/main" id="{324C4B55-4A51-4DCE-BCB5-DDF388E59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2" name="Picture 1" descr="세원도장">
          <a:extLst>
            <a:ext uri="{FF2B5EF4-FFF2-40B4-BE49-F238E27FC236}">
              <a16:creationId xmlns:a16="http://schemas.microsoft.com/office/drawing/2014/main" id="{DCC4F479-45BA-4CFC-ABA5-A83BBA1F8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3" name="Picture 1" descr="세원도장">
          <a:extLst>
            <a:ext uri="{FF2B5EF4-FFF2-40B4-BE49-F238E27FC236}">
              <a16:creationId xmlns:a16="http://schemas.microsoft.com/office/drawing/2014/main" id="{CD8D305C-EC69-4858-AB70-8170AA5639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4" name="Picture 1" descr="세원도장">
          <a:extLst>
            <a:ext uri="{FF2B5EF4-FFF2-40B4-BE49-F238E27FC236}">
              <a16:creationId xmlns:a16="http://schemas.microsoft.com/office/drawing/2014/main" id="{22DDF8EE-3E26-4171-8732-AE556380F9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5" name="Picture 1" descr="세원도장">
          <a:extLst>
            <a:ext uri="{FF2B5EF4-FFF2-40B4-BE49-F238E27FC236}">
              <a16:creationId xmlns:a16="http://schemas.microsoft.com/office/drawing/2014/main" id="{E2AB7C2F-EFAC-4C58-B6D0-022A8CD708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6" name="Picture 1" descr="세원도장">
          <a:extLst>
            <a:ext uri="{FF2B5EF4-FFF2-40B4-BE49-F238E27FC236}">
              <a16:creationId xmlns:a16="http://schemas.microsoft.com/office/drawing/2014/main" id="{F9397D94-93A3-49E6-A208-D673C3A479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7" name="Picture 1" descr="세원도장">
          <a:extLst>
            <a:ext uri="{FF2B5EF4-FFF2-40B4-BE49-F238E27FC236}">
              <a16:creationId xmlns:a16="http://schemas.microsoft.com/office/drawing/2014/main" id="{8123E8B4-A1DE-4C47-B4E2-67FF23B253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8" name="Picture 1" descr="세원도장">
          <a:extLst>
            <a:ext uri="{FF2B5EF4-FFF2-40B4-BE49-F238E27FC236}">
              <a16:creationId xmlns:a16="http://schemas.microsoft.com/office/drawing/2014/main" id="{8F924FED-9869-466F-AF6E-62E735A37D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9" name="Picture 1" descr="세원도장">
          <a:extLst>
            <a:ext uri="{FF2B5EF4-FFF2-40B4-BE49-F238E27FC236}">
              <a16:creationId xmlns:a16="http://schemas.microsoft.com/office/drawing/2014/main" id="{4A5B6436-7E66-4C2E-B005-A061C8232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90" name="Picture 1" descr="세원도장">
          <a:extLst>
            <a:ext uri="{FF2B5EF4-FFF2-40B4-BE49-F238E27FC236}">
              <a16:creationId xmlns:a16="http://schemas.microsoft.com/office/drawing/2014/main" id="{40ADFC0D-539D-49E3-BD30-F692CAFC02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91" name="Picture 1" descr="세원도장">
          <a:extLst>
            <a:ext uri="{FF2B5EF4-FFF2-40B4-BE49-F238E27FC236}">
              <a16:creationId xmlns:a16="http://schemas.microsoft.com/office/drawing/2014/main" id="{2EE42A78-B3C9-4E0A-B2D7-70E93A0E26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92" name="Picture 1" descr="세원도장">
          <a:extLst>
            <a:ext uri="{FF2B5EF4-FFF2-40B4-BE49-F238E27FC236}">
              <a16:creationId xmlns:a16="http://schemas.microsoft.com/office/drawing/2014/main" id="{EE7FC3C8-4E3C-4927-89D8-FBF418AF9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93" name="Picture 1" descr="세원도장">
          <a:extLst>
            <a:ext uri="{FF2B5EF4-FFF2-40B4-BE49-F238E27FC236}">
              <a16:creationId xmlns:a16="http://schemas.microsoft.com/office/drawing/2014/main" id="{6295CE8B-20A5-440D-8D7F-79E4810B50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94" name="Picture 1" descr="세원도장">
          <a:extLst>
            <a:ext uri="{FF2B5EF4-FFF2-40B4-BE49-F238E27FC236}">
              <a16:creationId xmlns:a16="http://schemas.microsoft.com/office/drawing/2014/main" id="{36ABFAC6-BB4F-462B-ACD3-474AA9642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95" name="Picture 1" descr="세원도장">
          <a:extLst>
            <a:ext uri="{FF2B5EF4-FFF2-40B4-BE49-F238E27FC236}">
              <a16:creationId xmlns:a16="http://schemas.microsoft.com/office/drawing/2014/main" id="{B071CEEA-55F9-410A-B0FB-64E3ED50A5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762000</xdr:colOff>
      <xdr:row>5</xdr:row>
      <xdr:rowOff>217714</xdr:rowOff>
    </xdr:from>
    <xdr:to>
      <xdr:col>6</xdr:col>
      <xdr:colOff>1445264</xdr:colOff>
      <xdr:row>7</xdr:row>
      <xdr:rowOff>190500</xdr:rowOff>
    </xdr:to>
    <xdr:pic>
      <xdr:nvPicPr>
        <xdr:cNvPr id="96" name="Picture 2">
          <a:extLst>
            <a:ext uri="{FF2B5EF4-FFF2-40B4-BE49-F238E27FC236}">
              <a16:creationId xmlns:a16="http://schemas.microsoft.com/office/drawing/2014/main" id="{EB6EED97-5D40-4EA3-8628-073E98298E6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clrChange>
            <a:clrFrom>
              <a:srgbClr val="F3F7FF"/>
            </a:clrFrom>
            <a:clrTo>
              <a:srgbClr val="F3F7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5999" t="6516" r="1" b="16889"/>
        <a:stretch/>
      </xdr:blipFill>
      <xdr:spPr bwMode="auto">
        <a:xfrm>
          <a:off x="8775700" y="1589314"/>
          <a:ext cx="683264" cy="65858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7" name="Picture 6" descr="도장">
          <a:extLst>
            <a:ext uri="{FF2B5EF4-FFF2-40B4-BE49-F238E27FC236}">
              <a16:creationId xmlns:a16="http://schemas.microsoft.com/office/drawing/2014/main" id="{42F43338-9981-4CA1-BB94-B3396B4B8E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98" name="Picture 1" descr="세원도장">
          <a:extLst>
            <a:ext uri="{FF2B5EF4-FFF2-40B4-BE49-F238E27FC236}">
              <a16:creationId xmlns:a16="http://schemas.microsoft.com/office/drawing/2014/main" id="{BB22A8EB-B6E2-4207-BC19-E9720A098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9" name="Picture 6" descr="도장">
          <a:extLst>
            <a:ext uri="{FF2B5EF4-FFF2-40B4-BE49-F238E27FC236}">
              <a16:creationId xmlns:a16="http://schemas.microsoft.com/office/drawing/2014/main" id="{20A67D42-24E5-477B-B084-046732CDBF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100" name="Picture 1" descr="세원도장">
          <a:extLst>
            <a:ext uri="{FF2B5EF4-FFF2-40B4-BE49-F238E27FC236}">
              <a16:creationId xmlns:a16="http://schemas.microsoft.com/office/drawing/2014/main" id="{F4C89B1E-BB9F-4A15-B847-E19F44409F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1" name="Picture 6" descr="도장">
          <a:extLst>
            <a:ext uri="{FF2B5EF4-FFF2-40B4-BE49-F238E27FC236}">
              <a16:creationId xmlns:a16="http://schemas.microsoft.com/office/drawing/2014/main" id="{00CF2B0A-5D4B-4AB3-9565-75DC0E345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2" name="Picture 6" descr="도장">
          <a:extLst>
            <a:ext uri="{FF2B5EF4-FFF2-40B4-BE49-F238E27FC236}">
              <a16:creationId xmlns:a16="http://schemas.microsoft.com/office/drawing/2014/main" id="{EC37C49D-A7CF-4467-9F4F-25F4E236F4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3" name="Picture 6" descr="도장">
          <a:extLst>
            <a:ext uri="{FF2B5EF4-FFF2-40B4-BE49-F238E27FC236}">
              <a16:creationId xmlns:a16="http://schemas.microsoft.com/office/drawing/2014/main" id="{C323D8D0-29FB-4282-B6A9-BF1306E871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4" name="Picture 6" descr="도장">
          <a:extLst>
            <a:ext uri="{FF2B5EF4-FFF2-40B4-BE49-F238E27FC236}">
              <a16:creationId xmlns:a16="http://schemas.microsoft.com/office/drawing/2014/main" id="{BA4632F1-2CF8-4095-A74B-F27D89CE60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5" name="Picture 6" descr="도장">
          <a:extLst>
            <a:ext uri="{FF2B5EF4-FFF2-40B4-BE49-F238E27FC236}">
              <a16:creationId xmlns:a16="http://schemas.microsoft.com/office/drawing/2014/main" id="{0E9C3B37-625A-4484-B2A5-0BEDCCA0BF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106" name="Picture 1" descr="세원도장">
          <a:extLst>
            <a:ext uri="{FF2B5EF4-FFF2-40B4-BE49-F238E27FC236}">
              <a16:creationId xmlns:a16="http://schemas.microsoft.com/office/drawing/2014/main" id="{83D298DD-5E7E-4C48-9D3C-8F85FD770F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7" name="Picture 6" descr="도장">
          <a:extLst>
            <a:ext uri="{FF2B5EF4-FFF2-40B4-BE49-F238E27FC236}">
              <a16:creationId xmlns:a16="http://schemas.microsoft.com/office/drawing/2014/main" id="{5302F66E-7976-4FF0-810D-E95EA4AB68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108" name="Picture 1" descr="세원도장">
          <a:extLst>
            <a:ext uri="{FF2B5EF4-FFF2-40B4-BE49-F238E27FC236}">
              <a16:creationId xmlns:a16="http://schemas.microsoft.com/office/drawing/2014/main" id="{C95DE69F-04C1-4C00-90B5-8963F76B13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9" name="Picture 6" descr="도장">
          <a:extLst>
            <a:ext uri="{FF2B5EF4-FFF2-40B4-BE49-F238E27FC236}">
              <a16:creationId xmlns:a16="http://schemas.microsoft.com/office/drawing/2014/main" id="{34A66773-CA8D-4842-AA6C-7448F14E22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0" name="Picture 6" descr="도장">
          <a:extLst>
            <a:ext uri="{FF2B5EF4-FFF2-40B4-BE49-F238E27FC236}">
              <a16:creationId xmlns:a16="http://schemas.microsoft.com/office/drawing/2014/main" id="{1B168C20-AE47-42C6-A3FA-BC39C582C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1" name="Picture 6" descr="도장">
          <a:extLst>
            <a:ext uri="{FF2B5EF4-FFF2-40B4-BE49-F238E27FC236}">
              <a16:creationId xmlns:a16="http://schemas.microsoft.com/office/drawing/2014/main" id="{21DD1395-3BFA-48A1-BA24-F7C00A7F81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2" name="Picture 6" descr="도장">
          <a:extLst>
            <a:ext uri="{FF2B5EF4-FFF2-40B4-BE49-F238E27FC236}">
              <a16:creationId xmlns:a16="http://schemas.microsoft.com/office/drawing/2014/main" id="{32A92A93-D90E-416C-BE8C-BA482BB80A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161926</xdr:colOff>
      <xdr:row>1</xdr:row>
      <xdr:rowOff>190499</xdr:rowOff>
    </xdr:from>
    <xdr:to>
      <xdr:col>9</xdr:col>
      <xdr:colOff>266701</xdr:colOff>
      <xdr:row>45</xdr:row>
      <xdr:rowOff>28574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0A42E8A7-AEC3-411C-BF24-ED6EA7CCA788}"/>
            </a:ext>
          </a:extLst>
        </xdr:cNvPr>
        <xdr:cNvSpPr/>
      </xdr:nvSpPr>
      <xdr:spPr>
        <a:xfrm>
          <a:off x="161926" y="400049"/>
          <a:ext cx="6743700" cy="9058275"/>
        </a:xfrm>
        <a:prstGeom prst="rect">
          <a:avLst/>
        </a:prstGeom>
        <a:solidFill>
          <a:schemeClr val="bg2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&lt;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첨부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_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전문업체 견적서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&gt;</a:t>
          </a:r>
        </a:p>
        <a:p>
          <a:pPr algn="l"/>
          <a:endParaRPr lang="en-US" altLang="ko-KR" sz="1100" b="1">
            <a:solidFill>
              <a:schemeClr val="tx1"/>
            </a:solidFill>
            <a:latin typeface="LG스마트체 Regular" panose="020B0600000101010101" pitchFamily="50" charset="-127"/>
            <a:ea typeface="LG스마트체 Regular" panose="020B0600000101010101" pitchFamily="50" charset="-127"/>
          </a:endParaRPr>
        </a:p>
      </xdr:txBody>
    </xdr:sp>
    <xdr:clientData/>
  </xdr:twoCellAnchor>
  <xdr:twoCellAnchor editAs="oneCell">
    <xdr:from>
      <xdr:col>0</xdr:col>
      <xdr:colOff>457200</xdr:colOff>
      <xdr:row>3</xdr:row>
      <xdr:rowOff>161925</xdr:rowOff>
    </xdr:from>
    <xdr:to>
      <xdr:col>8</xdr:col>
      <xdr:colOff>524715</xdr:colOff>
      <xdr:row>44</xdr:row>
      <xdr:rowOff>29756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EB220953-99BF-4BF7-B426-D55EEFFEEF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7200" y="790575"/>
          <a:ext cx="6020640" cy="845938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2:I34"/>
  <sheetViews>
    <sheetView showGridLines="0" tabSelected="1" topLeftCell="A11" zoomScale="85" zoomScaleNormal="85" workbookViewId="0">
      <selection activeCell="K21" sqref="J21:K21"/>
    </sheetView>
  </sheetViews>
  <sheetFormatPr defaultColWidth="9" defaultRowHeight="13.5"/>
  <cols>
    <col min="1" max="1" width="9.875" style="6" customWidth="1"/>
    <col min="2" max="2" width="24.25" style="6" customWidth="1"/>
    <col min="3" max="3" width="27" style="6" customWidth="1"/>
    <col min="4" max="5" width="9" style="6"/>
    <col min="6" max="6" width="23.5" style="6" customWidth="1"/>
    <col min="7" max="7" width="44.75" style="6" customWidth="1"/>
    <col min="8" max="8" width="11.25" style="6" customWidth="1"/>
    <col min="9" max="9" width="9" style="6"/>
    <col min="10" max="16384" width="9" style="7"/>
  </cols>
  <sheetData>
    <row r="2" spans="1:9" ht="33">
      <c r="A2" s="122" t="s">
        <v>6</v>
      </c>
      <c r="B2" s="122"/>
      <c r="C2" s="122"/>
      <c r="D2" s="122"/>
      <c r="E2" s="122"/>
      <c r="F2" s="122"/>
      <c r="G2" s="122"/>
      <c r="H2" s="5"/>
    </row>
    <row r="3" spans="1:9" ht="14.25">
      <c r="A3" s="8"/>
      <c r="B3" s="8"/>
      <c r="C3" s="8"/>
      <c r="D3" s="8"/>
      <c r="E3" s="8"/>
      <c r="F3" s="8"/>
      <c r="G3" s="8"/>
      <c r="H3" s="8"/>
    </row>
    <row r="4" spans="1:9" ht="14.25">
      <c r="A4" s="8"/>
      <c r="B4" s="8"/>
      <c r="C4" s="8"/>
      <c r="D4" s="8"/>
      <c r="E4" s="8"/>
      <c r="H4" s="8"/>
    </row>
    <row r="5" spans="1:9" ht="27" customHeight="1">
      <c r="A5" s="9" t="s">
        <v>48</v>
      </c>
      <c r="B5" s="10"/>
      <c r="C5" s="11"/>
      <c r="D5" s="8"/>
      <c r="E5" s="8"/>
      <c r="F5" s="12" t="s">
        <v>39</v>
      </c>
      <c r="G5" s="13" t="s">
        <v>52</v>
      </c>
      <c r="H5" s="8"/>
    </row>
    <row r="6" spans="1:9" ht="27" customHeight="1">
      <c r="A6" s="8"/>
      <c r="B6" s="8"/>
      <c r="C6" s="8"/>
      <c r="D6" s="8"/>
      <c r="E6" s="8"/>
      <c r="F6" s="14" t="s">
        <v>42</v>
      </c>
      <c r="G6" s="15" t="s">
        <v>53</v>
      </c>
      <c r="H6" s="8"/>
    </row>
    <row r="7" spans="1:9" ht="27" customHeight="1">
      <c r="A7" s="128" t="s">
        <v>105</v>
      </c>
      <c r="B7" s="129"/>
      <c r="C7" s="130"/>
      <c r="D7" s="8"/>
      <c r="E7" s="16"/>
      <c r="F7" s="17" t="s">
        <v>43</v>
      </c>
      <c r="G7" s="15" t="s">
        <v>54</v>
      </c>
      <c r="H7" s="8"/>
    </row>
    <row r="8" spans="1:9" ht="27" customHeight="1">
      <c r="A8" s="8"/>
      <c r="B8" s="8"/>
      <c r="C8" s="8"/>
      <c r="D8" s="8"/>
      <c r="E8" s="8"/>
      <c r="F8" s="14" t="s">
        <v>44</v>
      </c>
      <c r="G8" s="15" t="s">
        <v>55</v>
      </c>
      <c r="H8" s="8"/>
    </row>
    <row r="9" spans="1:9" ht="27" customHeight="1">
      <c r="A9" s="125" t="s">
        <v>103</v>
      </c>
      <c r="B9" s="126"/>
      <c r="C9" s="127"/>
      <c r="D9" s="8"/>
      <c r="E9" s="8"/>
      <c r="F9" s="14" t="s">
        <v>45</v>
      </c>
      <c r="G9" s="15" t="s">
        <v>56</v>
      </c>
      <c r="H9" s="8"/>
    </row>
    <row r="10" spans="1:9" ht="27" customHeight="1">
      <c r="A10" s="8"/>
      <c r="B10" s="8"/>
      <c r="C10" s="8"/>
      <c r="D10" s="8"/>
      <c r="E10" s="8"/>
      <c r="F10" s="18" t="s">
        <v>40</v>
      </c>
      <c r="G10" s="19" t="s">
        <v>57</v>
      </c>
      <c r="H10" s="8"/>
      <c r="I10" s="8"/>
    </row>
    <row r="11" spans="1:9" ht="27" customHeight="1">
      <c r="A11" s="123"/>
      <c r="B11" s="124"/>
      <c r="C11" s="124"/>
      <c r="D11" s="8"/>
      <c r="E11" s="20"/>
      <c r="F11" s="21" t="s">
        <v>41</v>
      </c>
      <c r="G11" s="22" t="s">
        <v>58</v>
      </c>
      <c r="H11" s="20"/>
    </row>
    <row r="12" spans="1:9" ht="18.75" thickBot="1">
      <c r="A12" s="23" t="s">
        <v>7</v>
      </c>
      <c r="B12" s="23" t="str">
        <f>NUMBERSTRING(F31,1)</f>
        <v>일백이만구천</v>
      </c>
      <c r="C12" s="24"/>
      <c r="D12" s="2" t="s">
        <v>8</v>
      </c>
      <c r="E12" s="2" t="s">
        <v>9</v>
      </c>
      <c r="F12" s="2" t="s">
        <v>9</v>
      </c>
      <c r="G12" s="2"/>
      <c r="H12" s="25"/>
    </row>
    <row r="13" spans="1:9" ht="15.75" thickTop="1" thickBot="1">
      <c r="A13" s="8"/>
      <c r="B13" s="8"/>
      <c r="C13" s="8"/>
      <c r="D13" s="8"/>
      <c r="E13" s="8"/>
      <c r="F13" s="8"/>
      <c r="G13" s="8"/>
      <c r="H13" s="25"/>
    </row>
    <row r="14" spans="1:9" ht="33" customHeight="1" thickBot="1">
      <c r="A14" s="26" t="s">
        <v>10</v>
      </c>
      <c r="B14" s="27" t="s">
        <v>11</v>
      </c>
      <c r="C14" s="27" t="s">
        <v>12</v>
      </c>
      <c r="D14" s="27" t="s">
        <v>13</v>
      </c>
      <c r="E14" s="27" t="s">
        <v>14</v>
      </c>
      <c r="F14" s="27" t="s">
        <v>15</v>
      </c>
      <c r="G14" s="28" t="s">
        <v>16</v>
      </c>
      <c r="H14" s="25"/>
    </row>
    <row r="15" spans="1:9" ht="33" customHeight="1" thickTop="1">
      <c r="A15" s="29"/>
      <c r="B15" s="30" t="s">
        <v>17</v>
      </c>
      <c r="C15" s="31"/>
      <c r="D15" s="32"/>
      <c r="E15" s="32"/>
      <c r="F15" s="33"/>
      <c r="G15" s="34"/>
    </row>
    <row r="16" spans="1:9" ht="33" customHeight="1">
      <c r="A16" s="35"/>
      <c r="B16" s="36" t="s">
        <v>18</v>
      </c>
      <c r="C16" s="37"/>
      <c r="D16" s="38"/>
      <c r="E16" s="38"/>
      <c r="F16" s="39">
        <f>'내역서(표준단가)'!O7</f>
        <v>800000</v>
      </c>
      <c r="G16" s="40"/>
    </row>
    <row r="17" spans="1:9" ht="33" customHeight="1">
      <c r="A17" s="35"/>
      <c r="B17" s="36" t="s">
        <v>19</v>
      </c>
      <c r="C17" s="37"/>
      <c r="D17" s="38"/>
      <c r="E17" s="38"/>
      <c r="F17" s="39">
        <f>'내역서(표준단가)'!Q7</f>
        <v>167081</v>
      </c>
      <c r="G17" s="41"/>
      <c r="H17" s="7"/>
      <c r="I17" s="7"/>
    </row>
    <row r="18" spans="1:9" ht="33" customHeight="1">
      <c r="A18" s="35"/>
      <c r="B18" s="36" t="s">
        <v>20</v>
      </c>
      <c r="C18" s="37"/>
      <c r="D18" s="38"/>
      <c r="E18" s="38"/>
      <c r="F18" s="39">
        <f>'내역서(표준단가)'!S7+'내역서(표준단가)'!U7</f>
        <v>0</v>
      </c>
      <c r="G18" s="41"/>
      <c r="H18" s="7"/>
      <c r="I18" s="7"/>
    </row>
    <row r="19" spans="1:9" ht="33" customHeight="1">
      <c r="A19" s="35"/>
      <c r="B19" s="42" t="s">
        <v>21</v>
      </c>
      <c r="C19" s="42"/>
      <c r="D19" s="43"/>
      <c r="E19" s="43"/>
      <c r="F19" s="44">
        <f>F16+F17+F18</f>
        <v>967081</v>
      </c>
      <c r="G19" s="41"/>
      <c r="H19" s="7"/>
      <c r="I19" s="7"/>
    </row>
    <row r="20" spans="1:9" ht="33" customHeight="1">
      <c r="A20" s="35"/>
      <c r="B20" s="45" t="s">
        <v>22</v>
      </c>
      <c r="C20" s="46"/>
      <c r="D20" s="38"/>
      <c r="E20" s="38"/>
      <c r="F20" s="47"/>
      <c r="G20" s="41"/>
      <c r="H20" s="7"/>
      <c r="I20" s="7"/>
    </row>
    <row r="21" spans="1:9" ht="33" customHeight="1">
      <c r="A21" s="35"/>
      <c r="B21" s="48" t="s">
        <v>23</v>
      </c>
      <c r="C21" s="46" t="s">
        <v>24</v>
      </c>
      <c r="D21" s="36">
        <v>1</v>
      </c>
      <c r="E21" s="36" t="s">
        <v>25</v>
      </c>
      <c r="F21" s="49">
        <f>F17*4.5%</f>
        <v>7518.6449999999995</v>
      </c>
      <c r="G21" s="41" t="s">
        <v>26</v>
      </c>
      <c r="H21" s="7"/>
      <c r="I21" s="7"/>
    </row>
    <row r="22" spans="1:9" ht="33" customHeight="1">
      <c r="A22" s="35"/>
      <c r="B22" s="50" t="s">
        <v>27</v>
      </c>
      <c r="C22" s="51" t="s">
        <v>49</v>
      </c>
      <c r="D22" s="52">
        <v>1</v>
      </c>
      <c r="E22" s="52" t="s">
        <v>25</v>
      </c>
      <c r="F22" s="53">
        <f>F17*3.545%</f>
        <v>5923.0214500000002</v>
      </c>
      <c r="G22" s="54" t="s">
        <v>28</v>
      </c>
      <c r="H22" s="7"/>
      <c r="I22" s="7"/>
    </row>
    <row r="23" spans="1:9" ht="33" customHeight="1">
      <c r="A23" s="35"/>
      <c r="B23" s="48" t="s">
        <v>29</v>
      </c>
      <c r="C23" s="46" t="s">
        <v>50</v>
      </c>
      <c r="D23" s="36">
        <v>1</v>
      </c>
      <c r="E23" s="36" t="s">
        <v>25</v>
      </c>
      <c r="F23" s="49">
        <f>F22*12.95%</f>
        <v>767.03127777500004</v>
      </c>
      <c r="G23" s="41" t="s">
        <v>28</v>
      </c>
      <c r="H23" s="7"/>
      <c r="I23" s="7"/>
    </row>
    <row r="24" spans="1:9" ht="33" customHeight="1">
      <c r="A24" s="35"/>
      <c r="B24" s="48" t="s">
        <v>30</v>
      </c>
      <c r="C24" s="46" t="s">
        <v>47</v>
      </c>
      <c r="D24" s="36">
        <v>1</v>
      </c>
      <c r="E24" s="36" t="s">
        <v>25</v>
      </c>
      <c r="F24" s="49">
        <f>F17*1.01%</f>
        <v>1687.5181</v>
      </c>
      <c r="G24" s="41" t="s">
        <v>28</v>
      </c>
      <c r="H24" s="7"/>
      <c r="I24" s="7"/>
    </row>
    <row r="25" spans="1:9" ht="33" customHeight="1">
      <c r="A25" s="35"/>
      <c r="B25" s="48" t="s">
        <v>31</v>
      </c>
      <c r="C25" s="46" t="s">
        <v>51</v>
      </c>
      <c r="D25" s="36">
        <v>1</v>
      </c>
      <c r="E25" s="36" t="s">
        <v>25</v>
      </c>
      <c r="F25" s="49">
        <f>F17*3.56%</f>
        <v>5948.0835999999999</v>
      </c>
      <c r="G25" s="41" t="s">
        <v>28</v>
      </c>
      <c r="H25" s="7"/>
      <c r="I25" s="7"/>
    </row>
    <row r="26" spans="1:9" ht="33" customHeight="1">
      <c r="A26" s="35"/>
      <c r="B26" s="48" t="s">
        <v>32</v>
      </c>
      <c r="C26" s="55" t="s">
        <v>101</v>
      </c>
      <c r="D26" s="36">
        <v>1</v>
      </c>
      <c r="E26" s="36" t="s">
        <v>25</v>
      </c>
      <c r="F26" s="49">
        <f>(F16+F17)*3.11%</f>
        <v>30076.219099999998</v>
      </c>
      <c r="G26" s="41" t="s">
        <v>26</v>
      </c>
      <c r="H26" s="7"/>
      <c r="I26" s="7"/>
    </row>
    <row r="27" spans="1:9" ht="33" customHeight="1">
      <c r="A27" s="35"/>
      <c r="B27" s="48" t="s">
        <v>37</v>
      </c>
      <c r="C27" s="55" t="s">
        <v>38</v>
      </c>
      <c r="D27" s="36">
        <v>1</v>
      </c>
      <c r="E27" s="36" t="s">
        <v>25</v>
      </c>
      <c r="F27" s="49">
        <f>SUM(F17+F21+F22+F23+F24+F25+F26)*5%</f>
        <v>10950.07592638875</v>
      </c>
      <c r="G27" s="41"/>
      <c r="H27" s="7"/>
      <c r="I27" s="7"/>
    </row>
    <row r="28" spans="1:9" ht="33" customHeight="1">
      <c r="A28" s="35"/>
      <c r="B28" s="42" t="s">
        <v>33</v>
      </c>
      <c r="C28" s="56"/>
      <c r="D28" s="57"/>
      <c r="E28" s="43"/>
      <c r="F28" s="58">
        <f>F21+F22+F23+F24+F25+F26+F27</f>
        <v>62870.594454163751</v>
      </c>
      <c r="G28" s="41"/>
      <c r="H28" s="7"/>
      <c r="I28" s="7"/>
    </row>
    <row r="29" spans="1:9" ht="33" customHeight="1">
      <c r="A29" s="35"/>
      <c r="B29" s="46"/>
      <c r="C29" s="59"/>
      <c r="D29" s="60"/>
      <c r="E29" s="38"/>
      <c r="F29" s="61"/>
      <c r="G29" s="41"/>
      <c r="H29" s="7"/>
      <c r="I29" s="7"/>
    </row>
    <row r="30" spans="1:9" ht="33" customHeight="1">
      <c r="A30" s="35"/>
      <c r="B30" s="62"/>
      <c r="C30" s="59"/>
      <c r="D30" s="60"/>
      <c r="E30" s="38"/>
      <c r="F30" s="63">
        <f>F19+F28+F29</f>
        <v>1029951.5944541638</v>
      </c>
      <c r="G30" s="41"/>
      <c r="H30" s="7"/>
      <c r="I30" s="7"/>
    </row>
    <row r="31" spans="1:9" ht="33" customHeight="1">
      <c r="A31" s="35"/>
      <c r="B31" s="42" t="s">
        <v>34</v>
      </c>
      <c r="C31" s="42"/>
      <c r="D31" s="43"/>
      <c r="E31" s="43"/>
      <c r="F31" s="64">
        <f>ROUNDDOWN(F30,-3)</f>
        <v>1029000</v>
      </c>
      <c r="G31" s="41"/>
      <c r="H31" s="7"/>
      <c r="I31" s="7"/>
    </row>
    <row r="32" spans="1:9" ht="33" customHeight="1" thickBot="1">
      <c r="A32" s="65"/>
      <c r="B32" s="66" t="s">
        <v>35</v>
      </c>
      <c r="C32" s="67"/>
      <c r="D32" s="67"/>
      <c r="E32" s="67"/>
      <c r="F32" s="68"/>
      <c r="G32" s="69"/>
      <c r="H32" s="7"/>
      <c r="I32" s="7"/>
    </row>
    <row r="33" spans="2:2" s="7" customFormat="1" ht="15.75">
      <c r="B33" s="70"/>
    </row>
    <row r="34" spans="2:2" s="7" customFormat="1" ht="15.75">
      <c r="B34" s="70"/>
    </row>
  </sheetData>
  <mergeCells count="4">
    <mergeCell ref="A2:G2"/>
    <mergeCell ref="A11:C11"/>
    <mergeCell ref="A9:C9"/>
    <mergeCell ref="A7:C7"/>
  </mergeCells>
  <phoneticPr fontId="11" type="noConversion"/>
  <pageMargins left="0.31496062992125984" right="0.19685039370078741" top="0.94488188976377963" bottom="0.55118110236220474" header="0.31496062992125984" footer="0.31496062992125984"/>
  <pageSetup paperSize="9" scale="6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FF00"/>
    <pageSetUpPr fitToPage="1"/>
  </sheetPr>
  <dimension ref="A1:X11"/>
  <sheetViews>
    <sheetView showGridLines="0" zoomScale="70" zoomScaleNormal="70" workbookViewId="0">
      <selection activeCell="N18" sqref="N18"/>
    </sheetView>
  </sheetViews>
  <sheetFormatPr defaultColWidth="9" defaultRowHeight="12.75"/>
  <cols>
    <col min="1" max="1" width="17.5" style="102" bestFit="1" customWidth="1"/>
    <col min="2" max="5" width="18.5" style="102" hidden="1" customWidth="1"/>
    <col min="6" max="6" width="13.875" style="72" hidden="1" customWidth="1"/>
    <col min="7" max="7" width="14.5" style="72" hidden="1" customWidth="1"/>
    <col min="8" max="8" width="16.625" style="72" hidden="1" customWidth="1"/>
    <col min="9" max="9" width="11.5" style="72" hidden="1" customWidth="1"/>
    <col min="10" max="10" width="33.5" style="72" bestFit="1" customWidth="1"/>
    <col min="11" max="11" width="25" style="72" bestFit="1" customWidth="1"/>
    <col min="12" max="12" width="9.625" style="72" bestFit="1" customWidth="1"/>
    <col min="13" max="13" width="7.625" style="72" customWidth="1"/>
    <col min="14" max="14" width="10.125" style="72" bestFit="1" customWidth="1"/>
    <col min="15" max="15" width="11.75" style="72" customWidth="1"/>
    <col min="16" max="16" width="9.625" style="72" customWidth="1"/>
    <col min="17" max="17" width="12.25" style="72" bestFit="1" customWidth="1"/>
    <col min="18" max="18" width="8.5" style="72" hidden="1" customWidth="1"/>
    <col min="19" max="19" width="9.875" style="72" hidden="1" customWidth="1"/>
    <col min="20" max="21" width="8.5" style="72" hidden="1" customWidth="1"/>
    <col min="22" max="22" width="12.25" style="72" bestFit="1" customWidth="1"/>
    <col min="23" max="23" width="19.375" style="73" bestFit="1" customWidth="1"/>
    <col min="24" max="24" width="8.5" style="72" bestFit="1" customWidth="1"/>
    <col min="25" max="16384" width="9" style="72"/>
  </cols>
  <sheetData>
    <row r="1" spans="1:24" ht="30" customHeight="1">
      <c r="A1" s="131"/>
      <c r="B1" s="131"/>
      <c r="C1" s="131"/>
      <c r="D1" s="131"/>
      <c r="E1" s="131"/>
      <c r="F1" s="131"/>
      <c r="G1" s="131"/>
      <c r="H1" s="131"/>
      <c r="I1" s="131"/>
      <c r="N1" s="73"/>
      <c r="O1" s="71" t="s">
        <v>59</v>
      </c>
      <c r="Q1" s="71" t="s">
        <v>59</v>
      </c>
      <c r="S1" s="71" t="s">
        <v>59</v>
      </c>
      <c r="U1" s="71" t="s">
        <v>59</v>
      </c>
    </row>
    <row r="2" spans="1:24" ht="30" customHeight="1" thickBot="1">
      <c r="A2" s="131"/>
      <c r="B2" s="131"/>
      <c r="C2" s="131"/>
      <c r="D2" s="131"/>
      <c r="E2" s="131"/>
      <c r="F2" s="131"/>
      <c r="G2" s="131"/>
      <c r="H2" s="131"/>
      <c r="I2" s="131"/>
      <c r="N2" s="74"/>
      <c r="O2" s="75">
        <v>0.83499999999999996</v>
      </c>
      <c r="Q2" s="75">
        <v>0.83499999999999996</v>
      </c>
      <c r="S2" s="75">
        <v>0.83499999999999996</v>
      </c>
      <c r="U2" s="75">
        <v>0.83499999999999996</v>
      </c>
    </row>
    <row r="3" spans="1:24" ht="30" customHeight="1">
      <c r="A3" s="76"/>
      <c r="B3" s="76"/>
      <c r="C3" s="76"/>
      <c r="D3" s="76"/>
      <c r="E3" s="76"/>
      <c r="F3" s="76" t="s">
        <v>60</v>
      </c>
      <c r="G3" s="77"/>
      <c r="H3" s="77"/>
      <c r="I3" s="77"/>
      <c r="J3" s="140" t="s">
        <v>61</v>
      </c>
      <c r="K3" s="140"/>
      <c r="L3" s="140" t="s">
        <v>62</v>
      </c>
      <c r="M3" s="140" t="s">
        <v>63</v>
      </c>
      <c r="N3" s="136" t="s">
        <v>64</v>
      </c>
      <c r="O3" s="136"/>
      <c r="P3" s="136" t="s">
        <v>65</v>
      </c>
      <c r="Q3" s="136"/>
      <c r="R3" s="137" t="s">
        <v>66</v>
      </c>
      <c r="S3" s="137"/>
      <c r="T3" s="137" t="s">
        <v>67</v>
      </c>
      <c r="U3" s="137"/>
      <c r="V3" s="138" t="s">
        <v>68</v>
      </c>
      <c r="W3" s="134" t="s">
        <v>69</v>
      </c>
      <c r="X3" s="132" t="s">
        <v>46</v>
      </c>
    </row>
    <row r="4" spans="1:24" ht="30" customHeight="1">
      <c r="A4" s="78" t="s">
        <v>70</v>
      </c>
      <c r="B4" s="79"/>
      <c r="C4" s="79"/>
      <c r="D4" s="79"/>
      <c r="E4" s="79"/>
      <c r="F4" s="80" t="s">
        <v>71</v>
      </c>
      <c r="G4" s="80" t="s">
        <v>72</v>
      </c>
      <c r="H4" s="80" t="s">
        <v>73</v>
      </c>
      <c r="I4" s="80" t="s">
        <v>74</v>
      </c>
      <c r="J4" s="81" t="s">
        <v>75</v>
      </c>
      <c r="K4" s="81" t="s">
        <v>76</v>
      </c>
      <c r="L4" s="141"/>
      <c r="M4" s="141"/>
      <c r="N4" s="82" t="s">
        <v>77</v>
      </c>
      <c r="O4" s="83" t="s">
        <v>78</v>
      </c>
      <c r="P4" s="82" t="s">
        <v>79</v>
      </c>
      <c r="Q4" s="83" t="s">
        <v>78</v>
      </c>
      <c r="R4" s="83" t="s">
        <v>80</v>
      </c>
      <c r="S4" s="83" t="s">
        <v>78</v>
      </c>
      <c r="T4" s="83" t="s">
        <v>80</v>
      </c>
      <c r="U4" s="83" t="s">
        <v>78</v>
      </c>
      <c r="V4" s="139"/>
      <c r="W4" s="135"/>
      <c r="X4" s="133"/>
    </row>
    <row r="5" spans="1:24" s="92" customFormat="1" ht="30" customHeight="1">
      <c r="A5" s="84" t="str">
        <f t="shared" ref="A5" si="0">F5&amp;G5&amp;H5&amp;I5</f>
        <v>L002</v>
      </c>
      <c r="B5" s="116"/>
      <c r="C5" s="116"/>
      <c r="D5" s="116"/>
      <c r="E5" s="116"/>
      <c r="F5" s="86"/>
      <c r="G5" s="80"/>
      <c r="H5" s="80"/>
      <c r="I5" s="86" t="s">
        <v>104</v>
      </c>
      <c r="J5" s="87" t="s">
        <v>106</v>
      </c>
      <c r="K5" s="113" t="s">
        <v>100</v>
      </c>
      <c r="L5" s="114" t="s">
        <v>82</v>
      </c>
      <c r="M5" s="115">
        <v>1</v>
      </c>
      <c r="N5" s="117"/>
      <c r="O5" s="88">
        <f t="shared" ref="O5" si="1">SUM(N5:N5)*M5*$O$2</f>
        <v>0</v>
      </c>
      <c r="P5" s="118">
        <v>167081</v>
      </c>
      <c r="Q5" s="120">
        <f>M5*P5</f>
        <v>167081</v>
      </c>
      <c r="R5" s="89"/>
      <c r="S5" s="88">
        <f t="shared" ref="S5:S6" si="2">R5*M5*$S$2</f>
        <v>0</v>
      </c>
      <c r="T5" s="89"/>
      <c r="U5" s="88">
        <f t="shared" ref="U5:U6" si="3">T5*M5*$U$2</f>
        <v>0</v>
      </c>
      <c r="V5" s="90">
        <f t="shared" ref="V5:V6" si="4">SUM(O5+Q5)+S5+U5</f>
        <v>167081</v>
      </c>
      <c r="W5" s="119"/>
      <c r="X5" s="91"/>
    </row>
    <row r="6" spans="1:24" s="92" customFormat="1" ht="30" customHeight="1">
      <c r="A6" s="84">
        <v>999999</v>
      </c>
      <c r="B6" s="85"/>
      <c r="C6" s="85"/>
      <c r="D6" s="85"/>
      <c r="E6" s="85"/>
      <c r="F6" s="93"/>
      <c r="G6" s="80"/>
      <c r="H6" s="80"/>
      <c r="I6" s="86"/>
      <c r="J6" s="87" t="s">
        <v>107</v>
      </c>
      <c r="K6" s="87" t="s">
        <v>109</v>
      </c>
      <c r="L6" s="94" t="s">
        <v>102</v>
      </c>
      <c r="M6" s="95">
        <v>1</v>
      </c>
      <c r="N6" s="121">
        <v>800000</v>
      </c>
      <c r="O6" s="88">
        <f>M6*N6</f>
        <v>800000</v>
      </c>
      <c r="P6" s="4"/>
      <c r="Q6" s="88">
        <f>M6*P6</f>
        <v>0</v>
      </c>
      <c r="R6" s="89"/>
      <c r="S6" s="88">
        <f t="shared" si="2"/>
        <v>0</v>
      </c>
      <c r="T6" s="89"/>
      <c r="U6" s="88">
        <f t="shared" si="3"/>
        <v>0</v>
      </c>
      <c r="V6" s="90">
        <f t="shared" si="4"/>
        <v>800000</v>
      </c>
      <c r="W6" s="95"/>
      <c r="X6" s="91"/>
    </row>
    <row r="7" spans="1:24" s="97" customFormat="1" ht="30" customHeight="1">
      <c r="A7" s="96"/>
      <c r="B7" s="96"/>
      <c r="C7" s="96"/>
      <c r="D7" s="96"/>
      <c r="E7" s="96"/>
      <c r="O7" s="98">
        <f>SUM(O5:O6)</f>
        <v>800000</v>
      </c>
      <c r="P7" s="99"/>
      <c r="Q7" s="98">
        <f>SUM(Q5:Q6)</f>
        <v>167081</v>
      </c>
      <c r="R7" s="99"/>
      <c r="S7" s="98">
        <f>SUM(S5:S6)</f>
        <v>0</v>
      </c>
      <c r="T7" s="99"/>
      <c r="U7" s="98">
        <f>SUM(U5:U6)</f>
        <v>0</v>
      </c>
      <c r="V7" s="100">
        <f>SUM(V5:V6)</f>
        <v>967081</v>
      </c>
      <c r="W7" s="101"/>
    </row>
    <row r="11" spans="1:24" ht="19.899999999999999" customHeight="1">
      <c r="Q11" s="103"/>
    </row>
  </sheetData>
  <mergeCells count="12">
    <mergeCell ref="A1:I1"/>
    <mergeCell ref="X3:X4"/>
    <mergeCell ref="A2:I2"/>
    <mergeCell ref="W3:W4"/>
    <mergeCell ref="P3:Q3"/>
    <mergeCell ref="R3:S3"/>
    <mergeCell ref="T3:U3"/>
    <mergeCell ref="V3:V4"/>
    <mergeCell ref="L3:L4"/>
    <mergeCell ref="M3:M4"/>
    <mergeCell ref="N3:O3"/>
    <mergeCell ref="J3:K3"/>
  </mergeCells>
  <phoneticPr fontId="11" type="noConversion"/>
  <pageMargins left="0.7" right="0.7" top="0.75" bottom="0.75" header="0.3" footer="0.3"/>
  <pageSetup paperSize="9" scale="36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B5508F-A991-4DB5-A6D6-9DE59856C886}">
  <dimension ref="A1:E1"/>
  <sheetViews>
    <sheetView topLeftCell="A4" workbookViewId="0">
      <selection activeCell="M27" sqref="M27"/>
    </sheetView>
  </sheetViews>
  <sheetFormatPr defaultRowHeight="16.5"/>
  <cols>
    <col min="1" max="4" width="9" style="104"/>
    <col min="5" max="5" width="15.125" style="104" customWidth="1"/>
  </cols>
  <sheetData/>
  <phoneticPr fontId="11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H2"/>
  <sheetViews>
    <sheetView showGridLines="0" zoomScaleNormal="100" workbookViewId="0">
      <selection activeCell="A2" sqref="A2"/>
    </sheetView>
  </sheetViews>
  <sheetFormatPr defaultColWidth="9" defaultRowHeight="16.5"/>
  <cols>
    <col min="1" max="1" width="25.125" style="107" customWidth="1"/>
    <col min="2" max="2" width="16.25" style="107" customWidth="1"/>
    <col min="3" max="3" width="22.375" style="107" customWidth="1"/>
    <col min="4" max="4" width="24.125" style="107" customWidth="1"/>
    <col min="5" max="5" width="13" style="107" customWidth="1"/>
    <col min="6" max="6" width="7.5" style="107" customWidth="1"/>
    <col min="7" max="16384" width="9" style="104"/>
  </cols>
  <sheetData>
    <row r="1" spans="1:8" ht="1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3" t="s">
        <v>36</v>
      </c>
    </row>
    <row r="2" spans="1:8">
      <c r="A2" s="105" t="str">
        <f>'내역서(표준단가)'!A5</f>
        <v>L002</v>
      </c>
      <c r="B2" s="106">
        <f>'내역서(표준단가)'!F5</f>
        <v>0</v>
      </c>
      <c r="C2" s="106">
        <f>'내역서(표준단가)'!G5</f>
        <v>0</v>
      </c>
      <c r="D2" s="106">
        <f>'내역서(표준단가)'!H5</f>
        <v>0</v>
      </c>
      <c r="E2" s="106" t="str">
        <f>'내역서(표준단가)'!I5</f>
        <v>L002</v>
      </c>
      <c r="F2" s="106">
        <f>'내역서(표준단가)'!M5</f>
        <v>1</v>
      </c>
    </row>
  </sheetData>
  <phoneticPr fontId="11" type="noConversion"/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9985B6-C405-4DA6-A400-274A7331B310}">
  <dimension ref="A1:R2"/>
  <sheetViews>
    <sheetView zoomScale="90" zoomScaleNormal="90" workbookViewId="0">
      <selection activeCell="I15" sqref="I15"/>
    </sheetView>
  </sheetViews>
  <sheetFormatPr defaultRowHeight="16.5"/>
  <cols>
    <col min="1" max="1" width="11.125" style="104" customWidth="1"/>
    <col min="2" max="2" width="13.375" style="104" customWidth="1"/>
    <col min="3" max="3" width="38.75" style="104" customWidth="1"/>
    <col min="4" max="4" width="28.75" style="104" customWidth="1"/>
    <col min="5" max="5" width="5" style="104" customWidth="1"/>
    <col min="6" max="6" width="6.25" style="104" customWidth="1"/>
    <col min="7" max="7" width="10" style="104" customWidth="1"/>
    <col min="8" max="8" width="11.875" style="104" customWidth="1"/>
    <col min="9" max="9" width="10" style="104" customWidth="1"/>
    <col min="10" max="10" width="11.875" style="104" customWidth="1"/>
    <col min="11" max="11" width="10" style="104" customWidth="1"/>
    <col min="12" max="12" width="11.875" style="104" customWidth="1"/>
    <col min="13" max="13" width="10" style="104" customWidth="1"/>
    <col min="14" max="14" width="11.875" style="104" customWidth="1"/>
    <col min="15" max="15" width="9.125" style="104" customWidth="1"/>
    <col min="16" max="16" width="11.5" style="104" customWidth="1"/>
    <col min="17" max="17" width="11.75" style="104" customWidth="1"/>
    <col min="18" max="18" width="17.875" style="104" customWidth="1"/>
  </cols>
  <sheetData>
    <row r="1" spans="1:18" s="104" customFormat="1" ht="18" customHeight="1">
      <c r="A1" s="1" t="s">
        <v>83</v>
      </c>
      <c r="B1" s="108" t="s">
        <v>84</v>
      </c>
      <c r="C1" s="108" t="s">
        <v>85</v>
      </c>
      <c r="D1" s="108" t="s">
        <v>86</v>
      </c>
      <c r="E1" s="108" t="s">
        <v>81</v>
      </c>
      <c r="F1" s="108" t="s">
        <v>5</v>
      </c>
      <c r="G1" s="108" t="s">
        <v>87</v>
      </c>
      <c r="H1" s="108" t="s">
        <v>88</v>
      </c>
      <c r="I1" s="108" t="s">
        <v>89</v>
      </c>
      <c r="J1" s="108" t="s">
        <v>90</v>
      </c>
      <c r="K1" s="108" t="s">
        <v>91</v>
      </c>
      <c r="L1" s="108" t="s">
        <v>92</v>
      </c>
      <c r="M1" s="108" t="s">
        <v>93</v>
      </c>
      <c r="N1" s="108" t="s">
        <v>94</v>
      </c>
      <c r="O1" s="108" t="s">
        <v>95</v>
      </c>
      <c r="P1" s="108" t="s">
        <v>96</v>
      </c>
      <c r="Q1" s="108" t="s">
        <v>97</v>
      </c>
      <c r="R1" s="108" t="s">
        <v>98</v>
      </c>
    </row>
    <row r="2" spans="1:18" s="104" customFormat="1">
      <c r="A2" s="109">
        <v>999999</v>
      </c>
      <c r="B2" s="110" t="s">
        <v>99</v>
      </c>
      <c r="C2" s="87" t="s">
        <v>107</v>
      </c>
      <c r="D2" s="87" t="s">
        <v>108</v>
      </c>
      <c r="E2" s="109" t="s">
        <v>102</v>
      </c>
      <c r="F2" s="111">
        <v>1</v>
      </c>
      <c r="G2" s="112">
        <v>800000</v>
      </c>
      <c r="H2" s="112"/>
      <c r="I2" s="112"/>
    </row>
  </sheetData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갑지</vt:lpstr>
      <vt:lpstr>내역서(표준단가)</vt:lpstr>
      <vt:lpstr>시중가 근거서류</vt:lpstr>
      <vt:lpstr>Upload</vt:lpstr>
      <vt:lpstr>upload(시중가)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lastPrinted>2024-01-06T06:05:11Z</cp:lastPrinted>
  <dcterms:created xsi:type="dcterms:W3CDTF">2020-09-15T23:52:51Z</dcterms:created>
  <dcterms:modified xsi:type="dcterms:W3CDTF">2025-08-04T04:39:11Z</dcterms:modified>
</cp:coreProperties>
</file>
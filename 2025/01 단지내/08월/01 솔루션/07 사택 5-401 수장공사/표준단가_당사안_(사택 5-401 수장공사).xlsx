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2 사택 5-401 수장공사\"/>
    </mc:Choice>
  </mc:AlternateContent>
  <xr:revisionPtr revIDLastSave="0" documentId="13_ncr:1_{AD2270BC-5A59-494F-82A2-8F43E98C9C1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7" i="4"/>
  <c r="O7" i="4"/>
  <c r="Q7" i="4"/>
  <c r="S7" i="4"/>
  <c r="U7" i="4"/>
  <c r="A8" i="4"/>
  <c r="O8" i="4"/>
  <c r="Q8" i="4"/>
  <c r="S8" i="4"/>
  <c r="U8" i="4"/>
  <c r="V7" i="4" l="1"/>
  <c r="V8" i="4"/>
  <c r="D13" i="9"/>
  <c r="F2" i="1"/>
  <c r="E2" i="1"/>
  <c r="D2" i="1"/>
  <c r="C2" i="1"/>
  <c r="B2" i="1"/>
  <c r="U5" i="4" l="1"/>
  <c r="S5" i="4"/>
  <c r="Q5" i="4"/>
  <c r="O5" i="4"/>
  <c r="A5" i="4"/>
  <c r="A2" i="1" s="1"/>
  <c r="V5" i="4" l="1"/>
  <c r="U9" i="4"/>
  <c r="S9" i="4"/>
  <c r="Q9" i="4"/>
  <c r="O9" i="4"/>
  <c r="A9" i="4"/>
  <c r="A6" i="1" s="1"/>
  <c r="U6" i="4"/>
  <c r="S6" i="4"/>
  <c r="Q6" i="4"/>
  <c r="O6" i="4"/>
  <c r="A6" i="4"/>
  <c r="A3" i="1" s="1"/>
  <c r="V9" i="4" l="1"/>
  <c r="V6" i="4"/>
  <c r="L32" i="9" l="1"/>
  <c r="J32" i="9"/>
  <c r="H31" i="9"/>
  <c r="H32" i="9" s="1"/>
  <c r="L30" i="9"/>
  <c r="J30" i="9"/>
  <c r="L18" i="9"/>
  <c r="J18" i="9"/>
  <c r="D18" i="9"/>
  <c r="H14" i="9"/>
  <c r="F14" i="9"/>
  <c r="L13" i="9"/>
  <c r="J13" i="9"/>
  <c r="H5" i="9"/>
  <c r="F5" i="9"/>
  <c r="J33" i="9" l="1"/>
  <c r="N14" i="9"/>
  <c r="L33" i="9"/>
  <c r="F30" i="9"/>
  <c r="H18" i="9"/>
  <c r="F13" i="9"/>
  <c r="H30" i="9"/>
  <c r="H13" i="9"/>
  <c r="N31" i="9"/>
  <c r="N32" i="9" s="1"/>
  <c r="N5" i="9"/>
  <c r="F18" i="9"/>
  <c r="N18" i="9" l="1"/>
  <c r="F33" i="9"/>
  <c r="H33" i="9"/>
  <c r="N13" i="9"/>
  <c r="N30" i="9"/>
  <c r="N33" i="9" l="1"/>
  <c r="Q10" i="4" l="1"/>
  <c r="F17" i="5" s="1"/>
  <c r="U10" i="4" l="1"/>
  <c r="O10" i="4"/>
  <c r="S10" i="4"/>
  <c r="F16" i="5" l="1"/>
  <c r="F26" i="5" s="1"/>
  <c r="F18" i="5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<sst xmlns="http://schemas.openxmlformats.org/spreadsheetml/2006/main" count="204" uniqueCount="151">
  <si>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</si>
  <si>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</si>
  <si>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</si>
  <si>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</si>
  <si>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</si>
  <si>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</si>
  <si>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</si>
  <si>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</si>
  <si>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</si>
  <si>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</si>
  <si>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</si>
  <si>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</si>
  <si>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</si>
  <si>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</si>
  <si>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</si>
  <si>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</si>
  <si>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</si>
  <si>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</si>
  <si>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</si>
  <si>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</si>
  <si>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</si>
  <si>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</si>
  <si>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</si>
  <si>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</si>
  <si>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</si>
  <si>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</si>
  <si>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</si>
  <si>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</si>
  <si>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</si>
  <si>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</si>
  <si>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</si>
  <si>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</si>
  <si>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</si>
  <si>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</si>
  <si>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</si>
  <si>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</si>
  <si>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</si>
  <si>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</si>
  <si>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</si>
  <si>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</si>
  <si>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</si>
  <si>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</si>
  <si>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</si>
  <si>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</si>
  <si>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</si>
  <si>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</si>
  <si>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</si>
  <si>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</si>
  <si>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</si>
  <si>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</si>
  <si>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</si>
  <si>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</si>
  <si>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</si>
  <si>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</si>
  <si>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</si>
  <si>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</si>
  <si>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</si>
  <si>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</si>
  <si>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</si>
  <si>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</si>
  <si>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</si>
  <si>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</si>
  <si>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</si>
  <si>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</si>
  <si>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</si>
  <si>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</si>
  <si>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</si>
  <si>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</si>
  <si>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</si>
  <si>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</si>
  <si>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</si>
  <si>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</si>
  <si>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</si>
  <si>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</si>
  <si>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</si>
  <si>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</si>
  <si>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</si>
  <si>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</si>
  <si>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</si>
  <si>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</si>
  <si>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</si>
  <si>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</si>
  <si>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</si>
  <si>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</si>
  <si>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</si>
  <si>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</si>
  <si>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</si>
  <si>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</si>
  <si>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</si>
  <si>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</si>
  <si>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</si>
  <si>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</si>
  <si>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</si>
  <si>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</si>
  <si>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</si>
  <si>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</si>
  <si>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</si>
  <si>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</si>
  <si>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</si>
  <si>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</si>
  <si>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</si>
  <si>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</si>
  <si>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</si>
  <si>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</si>
  <si>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</si>
  <si>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</si>
  <si>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</si>
  <si>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</si>
  <si>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</si>
  <si>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</si>
  <si>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</si>
  <si>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</si>
  <si>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</si>
  <si>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</si>
  <si>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</si>
  <si>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</si>
  <si>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</si>
  <si>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</si>
  <si>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</si>
  <si>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</si>
  <si>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</si>
  <si>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</si>
  <si>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</si>
  <si>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</si>
  <si>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</si>
  <si>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</si>
  <si>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</si>
  <si>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</si>
  <si>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</si>
  <si>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</si>
  <si>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</si>
  <si>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</si>
  <si>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</si>
  <si>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</si>
  <si>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</si>
  <si>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</si>
  <si>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</si>
  <si>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</si>
  <si>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</si>
  <si>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</si>
  <si>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</si>
  <si>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</si>
  <si>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</si>
  <si>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</si>
  <si>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</si>
  <si>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 견적일 : 2025 년  06월  24일</t>
    <phoneticPr fontId="11" type="noConversion"/>
  </si>
  <si>
    <t>사택 5-401 수장공사</t>
    <phoneticPr fontId="5" type="noConversion"/>
  </si>
  <si>
    <t xml:space="preserve"> 공사명 : 사택 5-401 수장공사</t>
    <phoneticPr fontId="11" type="noConversion"/>
  </si>
  <si>
    <t>일당 시공량-61㎡ 적산정보 500p 참조,시공총량26.1/일당61=0.4297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</si>
  <si>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소요량38/16.51=2.301R/L</t>
    </r>
    <phoneticPr fontId="5" type="noConversion"/>
  </si>
  <si>
    <t>일당 시공량-벽 46㎡, 적산정보 500p 참조,시공총량38/일당46=0.8261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</si>
</sst>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90" fontId="24" fillId="5" borderId="31" xfId="13" applyNumberFormat="1" applyFont="1" applyFill="1" applyBorder="1" applyAlignment="1">
      <alignment horizontal="center" vertical="center" wrapText="1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M18" sqref="M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4" t="s">
        <v>6</v>
      </c>
      <c r="B2" s="164"/>
      <c r="C2" s="164"/>
      <c r="D2" s="164"/>
      <c r="E2" s="164"/>
      <c r="F2" s="164"/>
      <c r="G2" s="164"/>
      <c r="H2" s="2"/>
    </row>
    <row r="3" spans="1:9" ht="14.25" x14ac:dyDescent="0.2">
      <c r="A3" s="126"/>
      <c r="B3" s="126"/>
      <c r="C3" s="126"/>
      <c r="D3" s="126"/>
      <c r="E3" s="126"/>
      <c r="F3" s="126"/>
      <c r="G3" s="126"/>
      <c r="H3" s="126"/>
    </row>
    <row r="4" spans="1:9" ht="14.25" x14ac:dyDescent="0.2">
      <c r="A4" s="126"/>
      <c r="B4" s="126"/>
      <c r="C4" s="126"/>
      <c r="D4" s="126"/>
      <c r="E4" s="126"/>
      <c r="H4" s="126"/>
    </row>
    <row r="5" spans="1:9" ht="27" customHeight="1" x14ac:dyDescent="0.2">
      <c r="A5" s="127" t="s">
        <v>48</v>
      </c>
      <c r="B5" s="4"/>
      <c r="C5" s="5"/>
      <c r="D5" s="126"/>
      <c r="E5" s="126"/>
      <c r="F5" s="6" t="s">
        <v>38</v>
      </c>
      <c r="G5" s="7" t="s">
        <v>52</v>
      </c>
      <c r="H5" s="126"/>
    </row>
    <row r="6" spans="1:9" ht="27" customHeight="1" x14ac:dyDescent="0.2">
      <c r="A6" s="126"/>
      <c r="B6" s="126"/>
      <c r="C6" s="126"/>
      <c r="D6" s="126"/>
      <c r="E6" s="126"/>
      <c r="F6" s="8" t="s">
        <v>41</v>
      </c>
      <c r="G6" s="9" t="s">
        <v>53</v>
      </c>
      <c r="H6" s="126"/>
    </row>
    <row r="7" spans="1:9" ht="27" customHeight="1" x14ac:dyDescent="0.2">
      <c r="A7" s="167" t="s">
        <v>147</v>
      </c>
      <c r="B7" s="168"/>
      <c r="C7" s="169"/>
      <c r="D7" s="126"/>
      <c r="E7" s="10"/>
      <c r="F7" s="11" t="s">
        <v>42</v>
      </c>
      <c r="G7" s="9" t="s">
        <v>54</v>
      </c>
      <c r="H7" s="126"/>
    </row>
    <row r="8" spans="1:9" ht="27" customHeight="1" x14ac:dyDescent="0.2">
      <c r="A8" s="126"/>
      <c r="B8" s="126"/>
      <c r="C8" s="126"/>
      <c r="D8" s="126"/>
      <c r="E8" s="126"/>
      <c r="F8" s="8" t="s">
        <v>43</v>
      </c>
      <c r="G8" s="9" t="s">
        <v>55</v>
      </c>
      <c r="H8" s="126"/>
    </row>
    <row r="9" spans="1:9" ht="27" customHeight="1" x14ac:dyDescent="0.2">
      <c r="A9" s="167" t="s">
        <v>145</v>
      </c>
      <c r="B9" s="168"/>
      <c r="C9" s="169"/>
      <c r="D9" s="126"/>
      <c r="E9" s="126"/>
      <c r="F9" s="8" t="s">
        <v>44</v>
      </c>
      <c r="G9" s="9" t="s">
        <v>56</v>
      </c>
      <c r="H9" s="126"/>
    </row>
    <row r="10" spans="1:9" ht="27" customHeight="1" x14ac:dyDescent="0.2">
      <c r="A10" s="126"/>
      <c r="B10" s="126"/>
      <c r="C10" s="126"/>
      <c r="D10" s="126"/>
      <c r="E10" s="126"/>
      <c r="F10" s="12" t="s">
        <v>39</v>
      </c>
      <c r="G10" s="13" t="s">
        <v>57</v>
      </c>
      <c r="H10" s="126"/>
      <c r="I10" s="126"/>
    </row>
    <row r="11" spans="1:9" ht="27" customHeight="1" x14ac:dyDescent="0.2">
      <c r="A11" s="165"/>
      <c r="B11" s="166"/>
      <c r="C11" s="166"/>
      <c r="D11" s="126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일백사십사만칠천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6"/>
      <c r="B13" s="126"/>
      <c r="C13" s="126"/>
      <c r="D13" s="126"/>
      <c r="E13" s="126"/>
      <c r="F13" s="126"/>
      <c r="G13" s="12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'내역서(표준단가)'!O10</f>
        <v>323471.40149999998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'내역서(표준단가)'!Q10</f>
        <v>913046.99575999985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1236518.3972599998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41087.114809199993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32367.515999691997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4191.5933219601138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9221.7746571759981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32504.473049055996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133</v>
      </c>
      <c r="D26" s="30">
        <v>1</v>
      </c>
      <c r="E26" s="30" t="s">
        <v>25</v>
      </c>
      <c r="F26" s="43">
        <f>(F16+F17)*3.11%</f>
        <v>38455.722154785988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53543.759487593488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211371.95347946358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1447890.3507394632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1447000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R13" sqref="R13"/>
    </sheetView>
  </sheetViews>
  <sheetFormatPr defaultColWidth="9" defaultRowHeight="38.1" customHeight="1" x14ac:dyDescent="0.3"/>
  <cols>
    <col min="1" max="1" width="22.625" style="156" bestFit="1" customWidth="1"/>
    <col min="2" max="5" width="4.625" style="156" hidden="1" customWidth="1"/>
    <col min="6" max="6" width="9" style="143" hidden="1" customWidth="1"/>
    <col min="7" max="9" width="12.625" style="143" hidden="1" customWidth="1"/>
    <col min="10" max="11" width="30.625" style="138" customWidth="1"/>
    <col min="12" max="12" width="12.375" style="143" bestFit="1" customWidth="1"/>
    <col min="13" max="13" width="7.625" style="143" bestFit="1" customWidth="1"/>
    <col min="14" max="14" width="10.625" style="143" bestFit="1" customWidth="1"/>
    <col min="15" max="15" width="13.25" style="143" bestFit="1" customWidth="1"/>
    <col min="16" max="16" width="12" style="143" bestFit="1" customWidth="1"/>
    <col min="17" max="17" width="15.625" style="143" bestFit="1" customWidth="1"/>
    <col min="18" max="18" width="9" style="143" customWidth="1"/>
    <col min="19" max="19" width="8.75" style="143" bestFit="1" customWidth="1"/>
    <col min="20" max="20" width="10.5" style="143" customWidth="1"/>
    <col min="21" max="21" width="8.75" style="143" bestFit="1" customWidth="1"/>
    <col min="22" max="22" width="15.625" style="143" bestFit="1" customWidth="1"/>
    <col min="23" max="23" width="15.5" style="66" bestFit="1" customWidth="1"/>
    <col min="24" max="24" width="8.5" style="143" bestFit="1" customWidth="1"/>
    <col min="25" max="16384" width="9" style="143"/>
  </cols>
  <sheetData>
    <row r="1" spans="1:24" ht="19.899999999999999" customHeight="1" x14ac:dyDescent="0.3">
      <c r="A1" s="170"/>
      <c r="B1" s="170"/>
      <c r="C1" s="170"/>
      <c r="D1" s="170"/>
      <c r="E1" s="170"/>
      <c r="F1" s="170"/>
      <c r="G1" s="170"/>
      <c r="H1" s="170"/>
      <c r="I1" s="170"/>
      <c r="N1" s="66"/>
      <c r="O1" s="141" t="s">
        <v>100</v>
      </c>
      <c r="Q1" s="141" t="s">
        <v>100</v>
      </c>
      <c r="S1" s="141" t="s">
        <v>100</v>
      </c>
      <c r="U1" s="141" t="s">
        <v>100</v>
      </c>
    </row>
    <row r="2" spans="1:24" ht="19.899999999999999" customHeight="1" thickBot="1" x14ac:dyDescent="0.35">
      <c r="A2" s="170"/>
      <c r="B2" s="170"/>
      <c r="C2" s="170"/>
      <c r="D2" s="170"/>
      <c r="E2" s="170"/>
      <c r="F2" s="170"/>
      <c r="G2" s="170"/>
      <c r="H2" s="170"/>
      <c r="I2" s="170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4"/>
      <c r="B3" s="145"/>
      <c r="C3" s="145"/>
      <c r="D3" s="145"/>
      <c r="E3" s="145"/>
      <c r="F3" s="145" t="s">
        <v>101</v>
      </c>
      <c r="G3" s="145"/>
      <c r="H3" s="145"/>
      <c r="I3" s="145"/>
      <c r="J3" s="181" t="s">
        <v>102</v>
      </c>
      <c r="K3" s="181"/>
      <c r="L3" s="179" t="s">
        <v>47</v>
      </c>
      <c r="M3" s="179" t="s">
        <v>5</v>
      </c>
      <c r="N3" s="175" t="s">
        <v>103</v>
      </c>
      <c r="O3" s="175"/>
      <c r="P3" s="175" t="s">
        <v>104</v>
      </c>
      <c r="Q3" s="175"/>
      <c r="R3" s="176" t="s">
        <v>105</v>
      </c>
      <c r="S3" s="176"/>
      <c r="T3" s="176" t="s">
        <v>106</v>
      </c>
      <c r="U3" s="176"/>
      <c r="V3" s="177" t="s">
        <v>107</v>
      </c>
      <c r="W3" s="173" t="s">
        <v>108</v>
      </c>
      <c r="X3" s="171" t="s">
        <v>45</v>
      </c>
    </row>
    <row r="4" spans="1:24" ht="19.899999999999999" customHeight="1" x14ac:dyDescent="0.3">
      <c r="A4" s="69" t="s">
        <v>109</v>
      </c>
      <c r="B4" s="142"/>
      <c r="C4" s="142"/>
      <c r="D4" s="142"/>
      <c r="E4" s="142"/>
      <c r="F4" s="70" t="s">
        <v>110</v>
      </c>
      <c r="G4" s="70" t="s">
        <v>111</v>
      </c>
      <c r="H4" s="70" t="s">
        <v>112</v>
      </c>
      <c r="I4" s="70" t="s">
        <v>113</v>
      </c>
      <c r="J4" s="139" t="s">
        <v>114</v>
      </c>
      <c r="K4" s="139" t="s">
        <v>115</v>
      </c>
      <c r="L4" s="180"/>
      <c r="M4" s="180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78"/>
      <c r="W4" s="174"/>
      <c r="X4" s="172"/>
    </row>
    <row r="5" spans="1:24" s="146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138</v>
      </c>
      <c r="I5" s="103"/>
      <c r="J5" s="137" t="s">
        <v>139</v>
      </c>
      <c r="K5" s="137" t="s">
        <v>149</v>
      </c>
      <c r="L5" s="121" t="s">
        <v>144</v>
      </c>
      <c r="M5" s="136">
        <v>2.3010000000000002</v>
      </c>
      <c r="N5" s="157">
        <v>20900</v>
      </c>
      <c r="O5" s="132">
        <f t="shared" ref="O5" si="1">SUM(N5:N5)*M5*$O$2</f>
        <v>40155.9015</v>
      </c>
      <c r="P5" s="131"/>
      <c r="Q5" s="132">
        <f t="shared" ref="Q5" si="2">(P5*M5)*$Q$2</f>
        <v>0</v>
      </c>
      <c r="R5" s="133"/>
      <c r="S5" s="132">
        <f t="shared" ref="S5" si="3">R5*M5*$S$2</f>
        <v>0</v>
      </c>
      <c r="T5" s="133"/>
      <c r="U5" s="132">
        <f t="shared" ref="U5" si="4">T5*M5*$U$2</f>
        <v>0</v>
      </c>
      <c r="V5" s="77">
        <f t="shared" ref="V5" si="5">SUM(O5+Q5)+S5+U5</f>
        <v>40155.9015</v>
      </c>
      <c r="W5" s="120"/>
      <c r="X5" s="78"/>
    </row>
    <row r="6" spans="1:24" s="146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37" t="s">
        <v>122</v>
      </c>
      <c r="K6" s="137" t="s">
        <v>150</v>
      </c>
      <c r="L6" s="75" t="s">
        <v>121</v>
      </c>
      <c r="M6" s="136">
        <v>0.82599999999999996</v>
      </c>
      <c r="N6" s="134"/>
      <c r="O6" s="132">
        <f t="shared" ref="O6" si="7">SUM(N6:N6)*M6*$O$2</f>
        <v>0</v>
      </c>
      <c r="P6" s="131">
        <v>487076</v>
      </c>
      <c r="Q6" s="132">
        <f t="shared" ref="Q6" si="8">(P6*M6)*$Q$2</f>
        <v>335941.18795999995</v>
      </c>
      <c r="R6" s="133"/>
      <c r="S6" s="132">
        <f t="shared" ref="S6" si="9">R6*M6*$S$2</f>
        <v>0</v>
      </c>
      <c r="T6" s="133"/>
      <c r="U6" s="132">
        <f t="shared" ref="U6" si="10">T6*M6*$U$2</f>
        <v>0</v>
      </c>
      <c r="V6" s="77">
        <f t="shared" ref="V6" si="11">SUM(O6+Q6)+S6+U6</f>
        <v>335941.18795999995</v>
      </c>
      <c r="W6" s="120"/>
      <c r="X6" s="78"/>
    </row>
    <row r="7" spans="1:24" s="146" customFormat="1" ht="38.1" customHeight="1" x14ac:dyDescent="0.3">
      <c r="A7" s="73" t="str">
        <f t="shared" ref="A7" si="12">F7&amp;G7&amp;H7&amp;I7</f>
        <v>M020809012520101</v>
      </c>
      <c r="B7" s="109"/>
      <c r="C7" s="109"/>
      <c r="D7" s="109"/>
      <c r="E7" s="109"/>
      <c r="F7" s="103"/>
      <c r="G7" s="74"/>
      <c r="H7" s="74" t="s">
        <v>134</v>
      </c>
      <c r="I7" s="103"/>
      <c r="J7" s="137" t="s">
        <v>135</v>
      </c>
      <c r="K7" s="137" t="s">
        <v>136</v>
      </c>
      <c r="L7" s="121" t="s">
        <v>137</v>
      </c>
      <c r="M7" s="136">
        <v>26.1</v>
      </c>
      <c r="N7" s="135">
        <v>13000</v>
      </c>
      <c r="O7" s="132">
        <f t="shared" ref="O7:O8" si="13">SUM(N7:N7)*M7*$O$2</f>
        <v>283315.5</v>
      </c>
      <c r="P7" s="131"/>
      <c r="Q7" s="132">
        <f t="shared" ref="Q7:Q9" si="14">(P7*M7)*$Q$2</f>
        <v>0</v>
      </c>
      <c r="R7" s="133"/>
      <c r="S7" s="132">
        <f t="shared" ref="S7:S9" si="15">R7*M7*$S$2</f>
        <v>0</v>
      </c>
      <c r="T7" s="133"/>
      <c r="U7" s="132">
        <f t="shared" ref="U7:U9" si="16">T7*M7*$U$2</f>
        <v>0</v>
      </c>
      <c r="V7" s="77">
        <f t="shared" ref="V7:V9" si="17">SUM(O7+Q7)+S7+U7</f>
        <v>283315.5</v>
      </c>
      <c r="W7" s="120"/>
      <c r="X7" s="78"/>
    </row>
    <row r="8" spans="1:24" s="146" customFormat="1" ht="38.1" customHeight="1" x14ac:dyDescent="0.3">
      <c r="A8" s="73" t="str">
        <f t="shared" ref="A8:A9" si="18">F8&amp;G8&amp;H8&amp;I8</f>
        <v>E00000803071260401</v>
      </c>
      <c r="B8" s="109"/>
      <c r="C8" s="109"/>
      <c r="D8" s="109"/>
      <c r="E8" s="109"/>
      <c r="F8" s="103"/>
      <c r="G8" s="74" t="s">
        <v>123</v>
      </c>
      <c r="H8" s="74"/>
      <c r="I8" s="103"/>
      <c r="J8" s="137" t="s">
        <v>124</v>
      </c>
      <c r="K8" s="137" t="s">
        <v>148</v>
      </c>
      <c r="L8" s="75" t="s">
        <v>121</v>
      </c>
      <c r="M8" s="136">
        <v>0.43</v>
      </c>
      <c r="N8" s="134"/>
      <c r="O8" s="132">
        <f t="shared" si="13"/>
        <v>0</v>
      </c>
      <c r="P8" s="131">
        <v>487076</v>
      </c>
      <c r="Q8" s="132">
        <f t="shared" si="14"/>
        <v>174884.6378</v>
      </c>
      <c r="R8" s="133"/>
      <c r="S8" s="132">
        <f t="shared" si="15"/>
        <v>0</v>
      </c>
      <c r="T8" s="133"/>
      <c r="U8" s="132">
        <f t="shared" si="16"/>
        <v>0</v>
      </c>
      <c r="V8" s="77">
        <f t="shared" si="17"/>
        <v>174884.6378</v>
      </c>
      <c r="W8" s="120"/>
      <c r="X8" s="78"/>
    </row>
    <row r="9" spans="1:24" s="146" customFormat="1" ht="38.1" customHeight="1" x14ac:dyDescent="0.3">
      <c r="A9" s="73" t="str">
        <f t="shared" si="18"/>
        <v>E00000801011510701</v>
      </c>
      <c r="B9" s="109"/>
      <c r="C9" s="109"/>
      <c r="D9" s="109"/>
      <c r="E9" s="109"/>
      <c r="F9" s="103"/>
      <c r="G9" s="74" t="s">
        <v>143</v>
      </c>
      <c r="H9" s="74"/>
      <c r="I9" s="103"/>
      <c r="J9" s="148" t="s">
        <v>140</v>
      </c>
      <c r="K9" s="148" t="s">
        <v>141</v>
      </c>
      <c r="L9" s="149" t="s">
        <v>142</v>
      </c>
      <c r="M9" s="136">
        <v>97</v>
      </c>
      <c r="N9" s="147"/>
      <c r="O9" s="76">
        <f t="shared" ref="O9" si="19">SUM(N9:N9)*M9*$O$2</f>
        <v>0</v>
      </c>
      <c r="P9" s="158">
        <v>4966</v>
      </c>
      <c r="Q9" s="76">
        <f t="shared" si="14"/>
        <v>402221.17</v>
      </c>
      <c r="R9" s="77"/>
      <c r="S9" s="76">
        <f t="shared" si="15"/>
        <v>0</v>
      </c>
      <c r="T9" s="77"/>
      <c r="U9" s="76">
        <f t="shared" si="16"/>
        <v>0</v>
      </c>
      <c r="V9" s="77">
        <f t="shared" si="17"/>
        <v>402221.17</v>
      </c>
      <c r="W9" s="120"/>
      <c r="X9" s="78"/>
    </row>
    <row r="10" spans="1:24" s="155" customFormat="1" ht="38.1" customHeight="1" x14ac:dyDescent="0.3">
      <c r="A10" s="150"/>
      <c r="B10" s="151"/>
      <c r="C10" s="151"/>
      <c r="D10" s="151"/>
      <c r="E10" s="151"/>
      <c r="F10" s="151"/>
      <c r="G10" s="151"/>
      <c r="H10" s="151"/>
      <c r="I10" s="151"/>
      <c r="J10" s="140"/>
      <c r="K10" s="140"/>
      <c r="L10" s="151"/>
      <c r="M10" s="151"/>
      <c r="N10" s="151"/>
      <c r="O10" s="152">
        <f>SUM(O5:O9)</f>
        <v>323471.40149999998</v>
      </c>
      <c r="P10" s="153"/>
      <c r="Q10" s="152">
        <f>SUM(Q5:Q9)</f>
        <v>913046.99575999985</v>
      </c>
      <c r="R10" s="153"/>
      <c r="S10" s="152">
        <f>SUM(S5:S9)</f>
        <v>0</v>
      </c>
      <c r="T10" s="153"/>
      <c r="U10" s="152">
        <f>SUM(U5:U9)</f>
        <v>0</v>
      </c>
      <c r="V10" s="154">
        <f>SUM(V5:V9)</f>
        <v>1236518.39726</v>
      </c>
      <c r="W10" s="112"/>
      <c r="X10" s="1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N41" sqref="N41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193" t="s">
        <v>59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 x14ac:dyDescent="0.3">
      <c r="A2" s="194" t="s">
        <v>60</v>
      </c>
      <c r="B2" s="195" t="s">
        <v>61</v>
      </c>
      <c r="C2" s="196" t="s">
        <v>47</v>
      </c>
      <c r="D2" s="196" t="s">
        <v>62</v>
      </c>
      <c r="E2" s="198" t="s">
        <v>63</v>
      </c>
      <c r="F2" s="195"/>
      <c r="G2" s="195" t="s">
        <v>64</v>
      </c>
      <c r="H2" s="195"/>
      <c r="I2" s="199" t="s">
        <v>65</v>
      </c>
      <c r="J2" s="200"/>
      <c r="K2" s="199" t="s">
        <v>66</v>
      </c>
      <c r="L2" s="200"/>
      <c r="M2" s="198" t="s">
        <v>67</v>
      </c>
      <c r="N2" s="195"/>
      <c r="O2" s="201" t="s">
        <v>68</v>
      </c>
    </row>
    <row r="3" spans="1:15" ht="15" customHeight="1" x14ac:dyDescent="0.3">
      <c r="A3" s="194"/>
      <c r="B3" s="195"/>
      <c r="C3" s="197"/>
      <c r="D3" s="197"/>
      <c r="E3" s="128" t="s">
        <v>69</v>
      </c>
      <c r="F3" s="128" t="s">
        <v>70</v>
      </c>
      <c r="G3" s="80" t="s">
        <v>69</v>
      </c>
      <c r="H3" s="128" t="s">
        <v>71</v>
      </c>
      <c r="I3" s="128"/>
      <c r="J3" s="128"/>
      <c r="K3" s="80" t="s">
        <v>69</v>
      </c>
      <c r="L3" s="128" t="s">
        <v>71</v>
      </c>
      <c r="M3" s="80" t="s">
        <v>69</v>
      </c>
      <c r="N3" s="128" t="s">
        <v>71</v>
      </c>
      <c r="O3" s="202"/>
    </row>
    <row r="4" spans="1:15" ht="15" customHeight="1" x14ac:dyDescent="0.3">
      <c r="A4" s="191" t="s">
        <v>146</v>
      </c>
      <c r="B4" s="192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83" t="s">
        <v>72</v>
      </c>
      <c r="B5" s="160" t="s">
        <v>73</v>
      </c>
      <c r="C5" s="161" t="s">
        <v>74</v>
      </c>
      <c r="D5" s="162">
        <v>38</v>
      </c>
      <c r="E5" s="163">
        <v>1057</v>
      </c>
      <c r="F5" s="163">
        <f t="shared" ref="F5" si="0">D5*E5</f>
        <v>40166</v>
      </c>
      <c r="G5" s="163">
        <v>8839.9</v>
      </c>
      <c r="H5" s="163">
        <f t="shared" ref="H5" si="1">D5*G5</f>
        <v>335916.2</v>
      </c>
      <c r="I5" s="163"/>
      <c r="J5" s="163"/>
      <c r="K5" s="163"/>
      <c r="L5" s="163"/>
      <c r="M5" s="163"/>
      <c r="N5" s="163">
        <f>F5+H5+J5+L5</f>
        <v>376082.2</v>
      </c>
      <c r="O5" s="185" t="s">
        <v>131</v>
      </c>
    </row>
    <row r="6" spans="1:15" ht="15" customHeight="1" x14ac:dyDescent="0.3">
      <c r="A6" s="184"/>
      <c r="B6" s="82" t="s">
        <v>75</v>
      </c>
      <c r="C6" s="83" t="s">
        <v>74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186"/>
    </row>
    <row r="7" spans="1:15" ht="15" customHeight="1" x14ac:dyDescent="0.3">
      <c r="A7" s="184"/>
      <c r="B7" s="82" t="s">
        <v>76</v>
      </c>
      <c r="C7" s="83" t="s">
        <v>74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186"/>
    </row>
    <row r="8" spans="1:15" ht="15" customHeight="1" x14ac:dyDescent="0.3">
      <c r="A8" s="184"/>
      <c r="B8" s="82" t="s">
        <v>77</v>
      </c>
      <c r="C8" s="83" t="s">
        <v>74</v>
      </c>
      <c r="D8" s="84"/>
      <c r="E8" s="85"/>
      <c r="F8" s="85"/>
      <c r="G8" s="85"/>
      <c r="H8" s="85"/>
      <c r="I8" s="85"/>
      <c r="J8" s="85"/>
      <c r="K8" s="85"/>
      <c r="L8" s="85"/>
      <c r="M8" s="85"/>
      <c r="N8" s="85"/>
      <c r="O8" s="186"/>
    </row>
    <row r="9" spans="1:15" ht="15" customHeight="1" x14ac:dyDescent="0.3">
      <c r="A9" s="184"/>
      <c r="B9" s="82" t="s">
        <v>78</v>
      </c>
      <c r="C9" s="83" t="s">
        <v>74</v>
      </c>
      <c r="D9" s="84"/>
      <c r="E9" s="85"/>
      <c r="F9" s="85"/>
      <c r="G9" s="85"/>
      <c r="H9" s="85"/>
      <c r="I9" s="85"/>
      <c r="J9" s="85"/>
      <c r="K9" s="85"/>
      <c r="L9" s="85"/>
      <c r="M9" s="85"/>
      <c r="N9" s="85"/>
      <c r="O9" s="186"/>
    </row>
    <row r="10" spans="1:15" ht="15" customHeight="1" x14ac:dyDescent="0.3">
      <c r="A10" s="184"/>
      <c r="B10" s="82" t="s">
        <v>79</v>
      </c>
      <c r="C10" s="83" t="s">
        <v>74</v>
      </c>
      <c r="D10" s="84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186"/>
    </row>
    <row r="11" spans="1:15" ht="15" customHeight="1" x14ac:dyDescent="0.3">
      <c r="A11" s="184"/>
      <c r="B11" s="82" t="s">
        <v>80</v>
      </c>
      <c r="C11" s="83" t="s">
        <v>74</v>
      </c>
      <c r="D11" s="84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186"/>
    </row>
    <row r="12" spans="1:15" ht="15" customHeight="1" x14ac:dyDescent="0.3">
      <c r="A12" s="184"/>
      <c r="B12" s="82" t="s">
        <v>81</v>
      </c>
      <c r="C12" s="83" t="s">
        <v>74</v>
      </c>
      <c r="D12" s="86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186"/>
    </row>
    <row r="13" spans="1:15" ht="15" customHeight="1" x14ac:dyDescent="0.3">
      <c r="A13" s="113" t="s">
        <v>82</v>
      </c>
      <c r="B13" s="114"/>
      <c r="C13" s="115"/>
      <c r="D13" s="123">
        <f>SUM(D5:D12)</f>
        <v>38</v>
      </c>
      <c r="E13" s="116"/>
      <c r="F13" s="116">
        <f>SUM(F5:F12)</f>
        <v>40166</v>
      </c>
      <c r="G13" s="116"/>
      <c r="H13" s="116">
        <f>SUM(H5:H12)</f>
        <v>335916.2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376082.2</v>
      </c>
      <c r="O13" s="116"/>
    </row>
    <row r="14" spans="1:15" ht="15" customHeight="1" x14ac:dyDescent="0.3">
      <c r="A14" s="187" t="s">
        <v>132</v>
      </c>
      <c r="B14" s="160" t="s">
        <v>83</v>
      </c>
      <c r="C14" s="161" t="s">
        <v>74</v>
      </c>
      <c r="D14" s="162">
        <v>26.1</v>
      </c>
      <c r="E14" s="163">
        <v>10855</v>
      </c>
      <c r="F14" s="163">
        <f>D14*E14</f>
        <v>283315.5</v>
      </c>
      <c r="G14" s="163">
        <v>6668.1</v>
      </c>
      <c r="H14" s="163">
        <f>D14*G14</f>
        <v>174037.41000000003</v>
      </c>
      <c r="I14" s="163"/>
      <c r="J14" s="163"/>
      <c r="K14" s="163"/>
      <c r="L14" s="163"/>
      <c r="M14" s="163"/>
      <c r="N14" s="163">
        <f t="shared" ref="N14" si="2">F14+H14+J14+L14</f>
        <v>457352.91000000003</v>
      </c>
      <c r="O14" s="186"/>
    </row>
    <row r="15" spans="1:15" ht="15" customHeight="1" x14ac:dyDescent="0.3">
      <c r="A15" s="187"/>
      <c r="B15" s="82" t="s">
        <v>84</v>
      </c>
      <c r="C15" s="83" t="s">
        <v>74</v>
      </c>
      <c r="D15" s="159"/>
      <c r="E15" s="85"/>
      <c r="F15" s="122"/>
      <c r="G15" s="85"/>
      <c r="H15" s="122"/>
      <c r="I15" s="122"/>
      <c r="J15" s="122"/>
      <c r="K15" s="85"/>
      <c r="L15" s="122"/>
      <c r="M15" s="85"/>
      <c r="N15" s="122"/>
      <c r="O15" s="186"/>
    </row>
    <row r="16" spans="1:15" ht="15" customHeight="1" x14ac:dyDescent="0.3">
      <c r="A16" s="187"/>
      <c r="B16" s="82" t="s">
        <v>85</v>
      </c>
      <c r="C16" s="83" t="s">
        <v>74</v>
      </c>
      <c r="D16" s="159"/>
      <c r="E16" s="85"/>
      <c r="F16" s="122"/>
      <c r="G16" s="85"/>
      <c r="H16" s="122"/>
      <c r="I16" s="122"/>
      <c r="J16" s="122"/>
      <c r="K16" s="85"/>
      <c r="L16" s="122"/>
      <c r="M16" s="85"/>
      <c r="N16" s="122"/>
      <c r="O16" s="186"/>
    </row>
    <row r="17" spans="1:15" ht="15" customHeight="1" x14ac:dyDescent="0.3">
      <c r="A17" s="188"/>
      <c r="B17" s="82" t="s">
        <v>86</v>
      </c>
      <c r="C17" s="83" t="s">
        <v>74</v>
      </c>
      <c r="D17" s="159"/>
      <c r="E17" s="85"/>
      <c r="F17" s="122"/>
      <c r="G17" s="85"/>
      <c r="H17" s="122"/>
      <c r="I17" s="122"/>
      <c r="J17" s="122"/>
      <c r="K17" s="85"/>
      <c r="L17" s="122"/>
      <c r="M17" s="85"/>
      <c r="N17" s="122"/>
      <c r="O17" s="189"/>
    </row>
    <row r="18" spans="1:15" ht="15" customHeight="1" x14ac:dyDescent="0.3">
      <c r="A18" s="104" t="s">
        <v>82</v>
      </c>
      <c r="B18" s="87"/>
      <c r="C18" s="91"/>
      <c r="D18" s="123">
        <f>SUM(D14:D17)</f>
        <v>26.1</v>
      </c>
      <c r="E18" s="90"/>
      <c r="F18" s="90">
        <f>SUM(F14:F17)</f>
        <v>283315.5</v>
      </c>
      <c r="G18" s="90"/>
      <c r="H18" s="90">
        <f>SUM(H14:H17)</f>
        <v>174037.41000000003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457352.91000000003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4" t="s">
        <v>130</v>
      </c>
      <c r="B20" s="129" t="s">
        <v>127</v>
      </c>
      <c r="C20" s="129" t="s">
        <v>126</v>
      </c>
      <c r="D20" s="117"/>
      <c r="E20" s="85"/>
      <c r="F20" s="122"/>
      <c r="G20" s="85"/>
      <c r="H20" s="85"/>
      <c r="I20" s="85"/>
      <c r="J20" s="85"/>
      <c r="K20" s="85"/>
      <c r="L20" s="85"/>
      <c r="M20" s="85"/>
      <c r="N20" s="125"/>
      <c r="O20" s="85"/>
    </row>
    <row r="21" spans="1:15" ht="15" customHeight="1" x14ac:dyDescent="0.3">
      <c r="A21" s="190" t="s">
        <v>88</v>
      </c>
      <c r="B21" s="92" t="s">
        <v>89</v>
      </c>
      <c r="C21" s="93" t="s">
        <v>74</v>
      </c>
      <c r="D21" s="94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85"/>
    </row>
    <row r="22" spans="1:15" ht="15" customHeight="1" x14ac:dyDescent="0.3">
      <c r="A22" s="190"/>
      <c r="B22" s="92" t="s">
        <v>90</v>
      </c>
      <c r="C22" s="93" t="s">
        <v>74</v>
      </c>
      <c r="D22" s="94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85"/>
    </row>
    <row r="23" spans="1:15" ht="15" customHeight="1" x14ac:dyDescent="0.3">
      <c r="A23" s="190" t="s">
        <v>91</v>
      </c>
      <c r="B23" s="92" t="s">
        <v>89</v>
      </c>
      <c r="C23" s="93" t="s">
        <v>74</v>
      </c>
      <c r="D23" s="9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85"/>
    </row>
    <row r="24" spans="1:15" ht="15" customHeight="1" x14ac:dyDescent="0.3">
      <c r="A24" s="190"/>
      <c r="B24" s="92" t="s">
        <v>90</v>
      </c>
      <c r="C24" s="93" t="s">
        <v>74</v>
      </c>
      <c r="D24" s="94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85"/>
    </row>
    <row r="25" spans="1:15" ht="15" customHeight="1" x14ac:dyDescent="0.3">
      <c r="A25" s="130" t="s">
        <v>128</v>
      </c>
      <c r="B25" s="129" t="s">
        <v>129</v>
      </c>
      <c r="C25" s="129" t="s">
        <v>126</v>
      </c>
      <c r="D25" s="117"/>
      <c r="E25" s="85"/>
      <c r="F25" s="125"/>
      <c r="G25" s="85"/>
      <c r="H25" s="85"/>
      <c r="I25" s="85"/>
      <c r="J25" s="85"/>
      <c r="K25" s="85"/>
      <c r="L25" s="85"/>
      <c r="M25" s="85"/>
      <c r="N25" s="125"/>
      <c r="O25" s="85"/>
    </row>
    <row r="26" spans="1:15" ht="15" customHeight="1" x14ac:dyDescent="0.3">
      <c r="A26" s="182" t="s">
        <v>92</v>
      </c>
      <c r="B26" s="92" t="s">
        <v>93</v>
      </c>
      <c r="C26" s="93" t="s">
        <v>74</v>
      </c>
      <c r="D26" s="94"/>
      <c r="E26" s="85"/>
      <c r="F26" s="85"/>
      <c r="G26" s="85"/>
      <c r="H26" s="85"/>
      <c r="I26" s="85"/>
      <c r="J26" s="85"/>
      <c r="K26" s="85"/>
      <c r="L26" s="122"/>
      <c r="M26" s="85"/>
      <c r="N26" s="122"/>
      <c r="O26" s="85"/>
    </row>
    <row r="27" spans="1:15" ht="15" customHeight="1" x14ac:dyDescent="0.3">
      <c r="A27" s="182"/>
      <c r="B27" s="92" t="s">
        <v>94</v>
      </c>
      <c r="C27" s="93" t="s">
        <v>74</v>
      </c>
      <c r="D27" s="94"/>
      <c r="E27" s="85"/>
      <c r="F27" s="85"/>
      <c r="G27" s="85"/>
      <c r="H27" s="85"/>
      <c r="I27" s="85"/>
      <c r="J27" s="85"/>
      <c r="K27" s="85"/>
      <c r="L27" s="122"/>
      <c r="M27" s="85"/>
      <c r="N27" s="122"/>
      <c r="O27" s="85"/>
    </row>
    <row r="28" spans="1:15" ht="15" customHeight="1" x14ac:dyDescent="0.3">
      <c r="A28" s="182" t="s">
        <v>95</v>
      </c>
      <c r="B28" s="92" t="s">
        <v>93</v>
      </c>
      <c r="C28" s="93" t="s">
        <v>74</v>
      </c>
      <c r="D28" s="119"/>
      <c r="E28" s="85"/>
      <c r="F28" s="85"/>
      <c r="G28" s="85"/>
      <c r="H28" s="85"/>
      <c r="I28" s="85"/>
      <c r="J28" s="85"/>
      <c r="K28" s="85"/>
      <c r="L28" s="122"/>
      <c r="M28" s="85"/>
      <c r="N28" s="122"/>
      <c r="O28" s="85"/>
    </row>
    <row r="29" spans="1:15" ht="15" customHeight="1" x14ac:dyDescent="0.3">
      <c r="A29" s="182"/>
      <c r="B29" s="92" t="s">
        <v>96</v>
      </c>
      <c r="C29" s="93" t="s">
        <v>74</v>
      </c>
      <c r="D29" s="119"/>
      <c r="E29" s="85"/>
      <c r="F29" s="85"/>
      <c r="G29" s="85"/>
      <c r="H29" s="85"/>
      <c r="I29" s="85"/>
      <c r="J29" s="85"/>
      <c r="K29" s="85"/>
      <c r="L29" s="122"/>
      <c r="M29" s="85"/>
      <c r="N29" s="122"/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0</v>
      </c>
      <c r="G30" s="90"/>
      <c r="H30" s="90">
        <f>SUM(H19:H29)</f>
        <v>0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0</v>
      </c>
      <c r="O30" s="90"/>
    </row>
    <row r="31" spans="1:15" ht="15" customHeight="1" x14ac:dyDescent="0.3">
      <c r="A31" s="111" t="s">
        <v>97</v>
      </c>
      <c r="B31" s="160" t="s">
        <v>98</v>
      </c>
      <c r="C31" s="161" t="s">
        <v>74</v>
      </c>
      <c r="D31" s="162">
        <v>97</v>
      </c>
      <c r="E31" s="163"/>
      <c r="F31" s="163"/>
      <c r="G31" s="163">
        <v>4147</v>
      </c>
      <c r="H31" s="163">
        <f>D31*G31</f>
        <v>402259</v>
      </c>
      <c r="I31" s="163"/>
      <c r="J31" s="163"/>
      <c r="K31" s="163"/>
      <c r="L31" s="163"/>
      <c r="M31" s="163"/>
      <c r="N31" s="163">
        <f>F31+H31+J31+L31</f>
        <v>402259</v>
      </c>
      <c r="O31" s="97" t="s">
        <v>99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3">SUM(J31:J31)</f>
        <v>0</v>
      </c>
      <c r="K32" s="90"/>
      <c r="L32" s="90">
        <f t="shared" si="3"/>
        <v>0</v>
      </c>
      <c r="M32" s="90"/>
      <c r="N32" s="90">
        <f t="shared" si="3"/>
        <v>402259</v>
      </c>
      <c r="O32" s="99"/>
    </row>
    <row r="33" spans="1:15" ht="15" customHeight="1" x14ac:dyDescent="0.3">
      <c r="A33" s="104" t="s">
        <v>125</v>
      </c>
      <c r="B33" s="87"/>
      <c r="C33" s="88"/>
      <c r="D33" s="98"/>
      <c r="E33" s="100"/>
      <c r="F33" s="101">
        <f>F13+F18+F30+F32</f>
        <v>323481.5</v>
      </c>
      <c r="G33" s="101"/>
      <c r="H33" s="101">
        <f>H13+H18+H30+H32</f>
        <v>912212.6100000001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1235694.1100000001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F23" sqref="F2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2.3010000000000002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0.82599999999999996</v>
      </c>
    </row>
    <row r="4" spans="1:6" x14ac:dyDescent="0.3">
      <c r="A4" s="107" t="str">
        <f>'내역서(표준단가)'!A7</f>
        <v>M020809012520101</v>
      </c>
      <c r="B4" s="108">
        <f>'내역서(표준단가)'!F7</f>
        <v>0</v>
      </c>
      <c r="C4" s="108">
        <f>'내역서(표준단가)'!G7</f>
        <v>0</v>
      </c>
      <c r="D4" s="108" t="str">
        <f>'내역서(표준단가)'!H7</f>
        <v>M020809012520101</v>
      </c>
      <c r="E4" s="108">
        <f>'내역서(표준단가)'!I7</f>
        <v>0</v>
      </c>
      <c r="F4" s="118">
        <f>'내역서(표준단가)'!M7</f>
        <v>26.1</v>
      </c>
    </row>
    <row r="5" spans="1:6" x14ac:dyDescent="0.3">
      <c r="A5" s="107" t="str">
        <f>'내역서(표준단가)'!A8</f>
        <v>E00000803071260401</v>
      </c>
      <c r="B5" s="108">
        <f>'내역서(표준단가)'!F8</f>
        <v>0</v>
      </c>
      <c r="C5" s="108" t="str">
        <f>'내역서(표준단가)'!G8</f>
        <v>E00000803071260401</v>
      </c>
      <c r="D5" s="108">
        <f>'내역서(표준단가)'!H8</f>
        <v>0</v>
      </c>
      <c r="E5" s="108">
        <f>'내역서(표준단가)'!I8</f>
        <v>0</v>
      </c>
      <c r="F5" s="118">
        <f>'내역서(표준단가)'!M8</f>
        <v>0.43</v>
      </c>
    </row>
    <row r="6" spans="1:6" x14ac:dyDescent="0.3">
      <c r="A6" s="107" t="str">
        <f>'내역서(표준단가)'!A9</f>
        <v>E00000801011510701</v>
      </c>
      <c r="B6" s="108">
        <f>'내역서(표준단가)'!F9</f>
        <v>0</v>
      </c>
      <c r="C6" s="108" t="str">
        <f>'내역서(표준단가)'!G9</f>
        <v>E00000801011510701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2025-06-26T01:07:49Z</dcterms:modified>
</cp:coreProperties>
</file>
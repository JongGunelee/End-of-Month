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7 사택 9-204 앞베란다 다용도실 1개소 단열\01 자료\"/>
    </mc:Choice>
  </mc:AlternateContent>
  <xr:revisionPtr revIDLastSave="0" documentId="13_ncr:1_{A443CB20-3C9B-4351-8E08-AA0478477D3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J22" i="6" l="1"/>
  <c r="J23" i="6"/>
  <c r="J26" i="6"/>
  <c r="J24" i="6"/>
  <c r="J25" i="6"/>
  <c r="J27" i="6" s="1"/>
  <c r="V5" i="4"/>
  <c r="V9" i="4"/>
  <c r="V6" i="4"/>
  <c r="V7" i="4"/>
  <c r="V8" i="4"/>
  <c r="J28" i="6" l="1"/>
  <c r="J20" i="6" s="1"/>
  <c r="U10" i="4"/>
  <c r="Q10" i="4"/>
  <c r="J30" i="6" l="1"/>
  <c r="S10" i="4"/>
  <c r="M32" i="6" l="1"/>
  <c r="B15" i="6" s="1"/>
  <c r="V10" i="4"/>
  <c r="O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<sst xmlns="http://schemas.openxmlformats.org/spreadsheetml/2006/main" count="134" uniqueCount="114">
  <si>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</si>
  <si>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</si>
  <si>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</si>
  <si>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</si>
  <si>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</si>
  <si>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</si>
  <si>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</si>
  <si>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</si>
  <si>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</si>
  <si>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</si>
  <si>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</si>
  <si>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</si>
  <si>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</si>
  <si>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</si>
  <si>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</si>
  <si>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</si>
  <si>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</si>
  <si>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</si>
  <si>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</si>
  <si>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</si>
  <si>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</si>
  <si>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</si>
  <si>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</si>
  <si>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</si>
  <si>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</si>
  <si>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</si>
  <si>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</si>
  <si>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</si>
  <si>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</si>
  <si>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</si>
  <si>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</si>
  <si>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E00000801011510201</t>
  </si>
  <si>
    <t>건출물 현장정리 및 자재 및 폐기물 반입 반출</t>
    <phoneticPr fontId="11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</si>
  <si>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</si>
  <si>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</si>
  <si>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</si>
  <si>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</si>
  <si>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</si>
  <si>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</si>
  <si>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</si>
  <si>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</si>
  <si>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</si>
  <si>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</si>
  <si>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</si>
  <si>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</si>
  <si>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</si>
  <si>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</si>
  <si>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</si>
  <si>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</si>
  <si>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</si>
  <si>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</si>
  <si>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</si>
  <si>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</si>
  <si>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</si>
  <si>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</si>
  <si>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</si>
  <si>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</si>
  <si>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</si>
  <si>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</si>
  <si>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</si>
  <si>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</si>
  <si>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</si>
  <si>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</si>
  <si>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</si>
  <si>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</si>
  <si>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</si>
  <si>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</si>
  <si>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</si>
  <si>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</si>
  <si>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</si>
  <si>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</si>
  <si>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</si>
  <si>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</si>
  <si>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</si>
  <si>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</si>
  <si>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</si>
  <si>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</si>
  <si>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</si>
  <si>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</si>
  <si>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</si>
  <si>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</si>
  <si>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</si>
  <si>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</si>
  <si>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</si>
  <si>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</si>
  <si>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</si>
  <si>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</si>
  <si>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</si>
  <si>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</si>
  <si>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</si>
  <si>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</si>
  <si>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</si>
  <si>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</si>
  <si>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</si>
  <si>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</si>
  <si>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</si>
  <si>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</si>
  <si>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</si>
  <si>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</si>
  <si>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</si>
  <si>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</si>
  <si>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</si>
  <si>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</si>
  <si>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</si>
  <si>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</si>
  <si>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</si>
  <si>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</si>
  <si>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</si>
  <si>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</si>
  <si>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</si>
  <si>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</si>
  <si>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</si>
  <si>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9-204 앞베란다 다용도실 1개소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</si>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</sst>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26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/>
    </xf>
    <xf numFmtId="49" fontId="22" fillId="10" borderId="2" xfId="29" applyNumberFormat="1" applyFont="1" applyFill="1" applyBorder="1" applyAlignment="1">
      <alignment horizontal="center" vertical="center" wrapText="1"/>
    </xf>
    <xf numFmtId="0" fontId="25" fillId="10" borderId="2" xfId="29" applyFont="1" applyFill="1" applyBorder="1" applyAlignment="1">
      <alignment horizontal="center" vertical="center"/>
    </xf>
    <xf numFmtId="0" fontId="22" fillId="11" borderId="2" xfId="29" applyFont="1" applyFill="1" applyBorder="1" applyAlignment="1">
      <alignment horizontal="center" vertical="center"/>
    </xf>
    <xf numFmtId="0" fontId="22" fillId="10" borderId="2" xfId="29" applyFont="1" applyFill="1" applyBorder="1" applyAlignment="1">
      <alignment horizontal="center" vertical="center"/>
    </xf>
    <xf numFmtId="182" fontId="22" fillId="11" borderId="2" xfId="29" applyNumberFormat="1" applyFont="1" applyFill="1" applyBorder="1" applyAlignment="1">
      <alignment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29" applyNumberFormat="1" applyFont="1" applyBorder="1" applyAlignment="1">
      <alignment horizontal="center" vertical="center" wrapText="1"/>
    </xf>
    <xf numFmtId="49" fontId="22" fillId="10" borderId="2" xfId="29" applyNumberFormat="1" applyFont="1" applyFill="1" applyBorder="1" applyAlignment="1">
      <alignment horizontal="center" vertical="center"/>
    </xf>
    <xf numFmtId="176" fontId="22" fillId="11" borderId="2" xfId="30" applyFont="1" applyFill="1" applyBorder="1" applyAlignment="1">
      <alignment vertical="center" wrapText="1"/>
    </xf>
    <xf numFmtId="176" fontId="22" fillId="11" borderId="2" xfId="30" applyFont="1" applyFill="1" applyBorder="1">
      <alignment vertical="center"/>
    </xf>
    <xf numFmtId="0" fontId="23" fillId="0" borderId="0" xfId="0" applyFont="1">
      <alignment vertical="center"/>
    </xf>
    <xf numFmtId="183" fontId="22" fillId="11" borderId="2" xfId="29" applyNumberFormat="1" applyFont="1" applyFill="1" applyBorder="1" applyAlignment="1">
      <alignment horizontal="right" vertical="center"/>
    </xf>
    <xf numFmtId="183" fontId="22" fillId="6" borderId="2" xfId="1" applyNumberFormat="1" applyFont="1" applyFill="1" applyBorder="1" applyAlignment="1">
      <alignment horizontal="right" vertical="center" wrapText="1"/>
    </xf>
    <xf numFmtId="183" fontId="22" fillId="11" borderId="2" xfId="30" applyNumberFormat="1" applyFont="1" applyFill="1" applyBorder="1" applyAlignment="1">
      <alignment horizontal="right" vertical="center"/>
    </xf>
    <xf numFmtId="183" fontId="22" fillId="0" borderId="2" xfId="1" applyNumberFormat="1" applyFont="1" applyFill="1" applyBorder="1" applyAlignment="1">
      <alignment horizontal="right" vertical="center" wrapText="1"/>
    </xf>
    <xf numFmtId="183" fontId="22" fillId="11" borderId="2" xfId="29" applyNumberFormat="1" applyFont="1" applyFill="1" applyBorder="1" applyAlignment="1">
      <alignment horizontal="right" vertical="center" wrapText="1"/>
    </xf>
    <xf numFmtId="49" fontId="22" fillId="11" borderId="2" xfId="29" applyNumberFormat="1" applyFont="1" applyFill="1" applyBorder="1" applyAlignment="1">
      <alignment horizontal="center" vertical="center"/>
    </xf>
    <xf numFmtId="49" fontId="22" fillId="11" borderId="2" xfId="29" applyNumberFormat="1" applyFont="1" applyFill="1" applyBorder="1" applyAlignment="1">
      <alignment horizontal="center" vertical="center" wrapText="1"/>
    </xf>
    <xf numFmtId="49" fontId="22" fillId="11" borderId="2" xfId="30" applyNumberFormat="1" applyFont="1" applyFill="1" applyBorder="1" applyAlignment="1">
      <alignment horizontal="center" vertical="center"/>
    </xf>
    <xf numFmtId="184" fontId="22" fillId="5" borderId="2" xfId="1" applyNumberFormat="1" applyFont="1" applyFill="1" applyBorder="1" applyAlignment="1">
      <alignment horizontal="center" vertical="center"/>
    </xf>
    <xf numFmtId="184" fontId="22" fillId="5" borderId="2" xfId="18" applyNumberFormat="1" applyFont="1" applyFill="1" applyBorder="1" applyAlignment="1">
      <alignment horizontal="center" vertical="center"/>
    </xf>
    <xf numFmtId="184" fontId="22" fillId="0" borderId="2" xfId="18" applyNumberFormat="1" applyFon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22" fillId="6" borderId="2" xfId="0" applyFont="1" applyFill="1" applyBorder="1" applyAlignment="1">
      <alignment horizontal="center" vertical="center"/>
    </xf>
    <xf numFmtId="0" fontId="29" fillId="0" borderId="0" xfId="32" applyFont="1">
      <alignment vertical="center"/>
    </xf>
    <xf numFmtId="0" fontId="28" fillId="0" borderId="16" xfId="31" applyFont="1" applyBorder="1" applyAlignment="1">
      <alignment horizontal="center" vertical="center"/>
    </xf>
    <xf numFmtId="0" fontId="28" fillId="0" borderId="0" xfId="31" applyFont="1" applyAlignment="1">
      <alignment horizontal="center" vertical="center"/>
    </xf>
    <xf numFmtId="0" fontId="28" fillId="0" borderId="17" xfId="31" applyFont="1" applyBorder="1" applyAlignment="1">
      <alignment horizontal="center" vertical="center"/>
    </xf>
    <xf numFmtId="0" fontId="31" fillId="0" borderId="16" xfId="31" applyFont="1" applyBorder="1" applyAlignment="1">
      <alignment horizontal="left" vertical="center"/>
    </xf>
    <xf numFmtId="0" fontId="32" fillId="0" borderId="0" xfId="31" applyFont="1" applyAlignment="1">
      <alignment vertical="center"/>
    </xf>
    <xf numFmtId="0" fontId="32" fillId="0" borderId="0" xfId="31" applyFont="1" applyAlignment="1">
      <alignment horizontal="left" vertical="center" textRotation="1"/>
    </xf>
    <xf numFmtId="0" fontId="33" fillId="0" borderId="0" xfId="31" applyFont="1" applyAlignment="1">
      <alignment horizontal="centerContinuous" vertical="center"/>
    </xf>
    <xf numFmtId="0" fontId="33" fillId="0" borderId="17" xfId="31" applyFont="1" applyBorder="1" applyAlignment="1">
      <alignment vertical="center"/>
    </xf>
    <xf numFmtId="0" fontId="34" fillId="0" borderId="16" xfId="31" applyFont="1" applyBorder="1" applyAlignment="1">
      <alignment horizontal="left" vertical="center" indent="2"/>
    </xf>
    <xf numFmtId="0" fontId="29" fillId="0" borderId="18" xfId="31" applyFont="1" applyBorder="1" applyAlignment="1">
      <alignment vertical="center"/>
    </xf>
    <xf numFmtId="0" fontId="29" fillId="0" borderId="0" xfId="31" applyFont="1" applyAlignment="1">
      <alignment vertical="center"/>
    </xf>
    <xf numFmtId="0" fontId="33" fillId="0" borderId="17" xfId="31" applyFont="1" applyBorder="1" applyAlignment="1">
      <alignment horizontal="right" vertical="center"/>
    </xf>
    <xf numFmtId="0" fontId="34" fillId="0" borderId="16" xfId="31" applyFont="1" applyBorder="1" applyAlignment="1">
      <alignment vertical="center"/>
    </xf>
    <xf numFmtId="0" fontId="34" fillId="0" borderId="0" xfId="31" applyFont="1" applyAlignment="1">
      <alignment vertical="center"/>
    </xf>
    <xf numFmtId="0" fontId="33" fillId="0" borderId="0" xfId="31" applyFont="1" applyAlignment="1">
      <alignment horizontal="right" vertical="center"/>
    </xf>
    <xf numFmtId="0" fontId="34" fillId="0" borderId="17" xfId="31" applyFont="1" applyBorder="1" applyAlignment="1">
      <alignment vertical="center"/>
    </xf>
    <xf numFmtId="0" fontId="29" fillId="0" borderId="20" xfId="31" applyFont="1" applyBorder="1" applyAlignment="1">
      <alignment horizontal="center" vertical="center"/>
    </xf>
    <xf numFmtId="0" fontId="29" fillId="0" borderId="21" xfId="31" applyFont="1" applyBorder="1" applyAlignment="1">
      <alignment horizontal="center" vertical="center"/>
    </xf>
    <xf numFmtId="0" fontId="29" fillId="0" borderId="6" xfId="31" applyFont="1" applyBorder="1" applyAlignment="1">
      <alignment horizontal="center" vertical="center"/>
    </xf>
    <xf numFmtId="0" fontId="29" fillId="0" borderId="23" xfId="31" applyFont="1" applyBorder="1" applyAlignment="1">
      <alignment horizontal="center" vertical="center"/>
    </xf>
    <xf numFmtId="0" fontId="29" fillId="0" borderId="2" xfId="31" applyFont="1" applyBorder="1" applyAlignment="1">
      <alignment horizontal="center" vertical="center"/>
    </xf>
    <xf numFmtId="0" fontId="37" fillId="0" borderId="8" xfId="31" applyFont="1" applyBorder="1" applyAlignment="1">
      <alignment horizontal="center" vertical="center"/>
    </xf>
    <xf numFmtId="0" fontId="29" fillId="0" borderId="31" xfId="31" applyFont="1" applyBorder="1" applyAlignment="1">
      <alignment horizontal="center" vertical="center"/>
    </xf>
    <xf numFmtId="0" fontId="29" fillId="0" borderId="32" xfId="31" applyFont="1" applyBorder="1" applyAlignment="1">
      <alignment horizontal="center" vertical="center"/>
    </xf>
    <xf numFmtId="0" fontId="29" fillId="0" borderId="16" xfId="31" applyFont="1" applyBorder="1" applyAlignment="1">
      <alignment horizontal="center" vertical="center"/>
    </xf>
    <xf numFmtId="0" fontId="29" fillId="0" borderId="0" xfId="31" applyFont="1" applyAlignment="1">
      <alignment horizontal="center" vertical="center"/>
    </xf>
    <xf numFmtId="0" fontId="29" fillId="0" borderId="0" xfId="31" applyFont="1" applyAlignment="1">
      <alignment horizontal="left" vertical="center" indent="1"/>
    </xf>
    <xf numFmtId="0" fontId="33" fillId="0" borderId="0" xfId="31" applyFont="1" applyAlignment="1">
      <alignment vertical="center"/>
    </xf>
    <xf numFmtId="0" fontId="29" fillId="0" borderId="16" xfId="31" applyFont="1" applyBorder="1" applyAlignment="1">
      <alignment vertical="center"/>
    </xf>
    <xf numFmtId="0" fontId="29" fillId="0" borderId="17" xfId="31" applyFont="1" applyBorder="1" applyAlignment="1">
      <alignment vertical="center"/>
    </xf>
    <xf numFmtId="0" fontId="34" fillId="0" borderId="16" xfId="31" applyFont="1" applyBorder="1" applyAlignment="1">
      <alignment horizontal="left" vertical="center" indent="1"/>
    </xf>
    <xf numFmtId="0" fontId="39" fillId="0" borderId="0" xfId="31" applyFont="1" applyAlignment="1">
      <alignment vertical="center"/>
    </xf>
    <xf numFmtId="0" fontId="39" fillId="13" borderId="33" xfId="31" applyFont="1" applyFill="1" applyBorder="1" applyAlignment="1">
      <alignment horizontal="center" vertical="center"/>
    </xf>
    <xf numFmtId="0" fontId="39" fillId="13" borderId="34" xfId="31" applyFont="1" applyFill="1" applyBorder="1" applyAlignment="1">
      <alignment horizontal="center" vertical="center"/>
    </xf>
    <xf numFmtId="3" fontId="39" fillId="13" borderId="34" xfId="31" applyNumberFormat="1" applyFont="1" applyFill="1" applyBorder="1" applyAlignment="1">
      <alignment horizontal="center" vertical="center"/>
    </xf>
    <xf numFmtId="0" fontId="29" fillId="0" borderId="38" xfId="31" applyFont="1" applyBorder="1" applyAlignment="1">
      <alignment horizontal="center" vertical="center"/>
    </xf>
    <xf numFmtId="0" fontId="29" fillId="0" borderId="42" xfId="31" applyFont="1" applyBorder="1" applyAlignment="1">
      <alignment horizontal="center" vertical="center"/>
    </xf>
    <xf numFmtId="0" fontId="29" fillId="0" borderId="48" xfId="34" applyFont="1" applyBorder="1" applyAlignment="1">
      <alignment horizontal="center" vertical="center"/>
    </xf>
    <xf numFmtId="176" fontId="29" fillId="0" borderId="0" xfId="32" applyNumberFormat="1" applyFont="1">
      <alignment vertical="center"/>
    </xf>
    <xf numFmtId="0" fontId="29" fillId="0" borderId="52" xfId="34" applyFont="1" applyBorder="1" applyAlignment="1">
      <alignment horizontal="left" vertical="center" wrapText="1" indent="1"/>
    </xf>
    <xf numFmtId="0" fontId="33" fillId="0" borderId="57" xfId="34" applyFont="1" applyBorder="1" applyAlignment="1">
      <alignment horizontal="center" vertical="center"/>
    </xf>
    <xf numFmtId="184" fontId="33" fillId="0" borderId="57" xfId="34" applyNumberFormat="1" applyFont="1" applyBorder="1" applyAlignment="1">
      <alignment horizontal="center" vertical="center"/>
    </xf>
    <xf numFmtId="177" fontId="29" fillId="0" borderId="0" xfId="32" applyNumberFormat="1" applyFont="1">
      <alignment vertical="center"/>
    </xf>
    <xf numFmtId="2" fontId="33" fillId="0" borderId="59" xfId="34" applyNumberFormat="1" applyFont="1" applyBorder="1" applyAlignment="1">
      <alignment horizontal="center" vertical="center"/>
    </xf>
    <xf numFmtId="0" fontId="33" fillId="0" borderId="62" xfId="34" applyFont="1" applyBorder="1" applyAlignment="1">
      <alignment horizontal="center" vertical="center"/>
    </xf>
    <xf numFmtId="0" fontId="29" fillId="0" borderId="64" xfId="31" applyFont="1" applyBorder="1" applyAlignment="1">
      <alignment horizontal="center" vertical="center"/>
    </xf>
    <xf numFmtId="0" fontId="29" fillId="0" borderId="65" xfId="34" applyFont="1" applyBorder="1" applyAlignment="1">
      <alignment horizontal="left" vertical="center" wrapText="1" indent="1"/>
    </xf>
    <xf numFmtId="1" fontId="33" fillId="0" borderId="66" xfId="34" applyNumberFormat="1" applyFont="1" applyBorder="1" applyAlignment="1">
      <alignment horizontal="center" vertical="center"/>
    </xf>
    <xf numFmtId="0" fontId="33" fillId="0" borderId="66" xfId="34" applyFont="1" applyBorder="1" applyAlignment="1">
      <alignment horizontal="center" vertical="center"/>
    </xf>
    <xf numFmtId="0" fontId="33" fillId="0" borderId="70" xfId="34" applyFont="1" applyBorder="1" applyAlignment="1">
      <alignment horizontal="center" vertical="center"/>
    </xf>
    <xf numFmtId="176" fontId="29" fillId="0" borderId="0" xfId="35" applyFont="1">
      <alignment vertical="center"/>
    </xf>
    <xf numFmtId="176" fontId="43" fillId="14" borderId="35" xfId="31" applyNumberFormat="1" applyFont="1" applyFill="1" applyBorder="1" applyAlignment="1">
      <alignment horizontal="right" vertical="center"/>
    </xf>
    <xf numFmtId="0" fontId="43" fillId="14" borderId="35" xfId="31" applyFont="1" applyFill="1" applyBorder="1" applyAlignment="1">
      <alignment horizontal="right" vertical="center"/>
    </xf>
    <xf numFmtId="176" fontId="43" fillId="14" borderId="72" xfId="35" applyFont="1" applyFill="1" applyBorder="1" applyAlignment="1">
      <alignment horizontal="right" vertical="center"/>
    </xf>
    <xf numFmtId="179" fontId="29" fillId="0" borderId="0" xfId="37" applyFont="1" applyAlignment="1">
      <alignment vertical="center"/>
    </xf>
    <xf numFmtId="49" fontId="33" fillId="0" borderId="16" xfId="31" applyNumberFormat="1" applyFont="1" applyBorder="1" applyAlignment="1">
      <alignment horizontal="left" vertical="center" indent="1"/>
    </xf>
    <xf numFmtId="49" fontId="29" fillId="0" borderId="0" xfId="31" applyNumberFormat="1" applyFont="1" applyAlignment="1">
      <alignment vertical="center"/>
    </xf>
    <xf numFmtId="49" fontId="29" fillId="0" borderId="17" xfId="31" applyNumberFormat="1" applyFont="1" applyBorder="1" applyAlignment="1">
      <alignment vertical="center"/>
    </xf>
    <xf numFmtId="49" fontId="29" fillId="0" borderId="16" xfId="31" applyNumberFormat="1" applyFont="1" applyBorder="1" applyAlignment="1">
      <alignment vertical="center"/>
    </xf>
    <xf numFmtId="0" fontId="34" fillId="0" borderId="0" xfId="34" applyFont="1" applyAlignment="1">
      <alignment horizontal="left" vertical="center"/>
    </xf>
    <xf numFmtId="0" fontId="34" fillId="0" borderId="17" xfId="34" applyFont="1" applyBorder="1" applyAlignment="1">
      <alignment horizontal="left" vertical="center"/>
    </xf>
    <xf numFmtId="49" fontId="29" fillId="0" borderId="74" xfId="31" applyNumberFormat="1" applyFont="1" applyBorder="1" applyAlignment="1">
      <alignment vertical="center"/>
    </xf>
    <xf numFmtId="49" fontId="29" fillId="0" borderId="75" xfId="31" applyNumberFormat="1" applyFont="1" applyBorder="1" applyAlignment="1">
      <alignment vertical="center"/>
    </xf>
    <xf numFmtId="49" fontId="29" fillId="0" borderId="76" xfId="31" applyNumberFormat="1" applyFont="1" applyBorder="1" applyAlignment="1">
      <alignment vertical="center"/>
    </xf>
    <xf numFmtId="0" fontId="34" fillId="0" borderId="18" xfId="31" applyFont="1" applyFill="1" applyBorder="1" applyAlignment="1">
      <alignment vertical="center"/>
    </xf>
    <xf numFmtId="0" fontId="29" fillId="0" borderId="18" xfId="31" applyFont="1" applyFill="1" applyBorder="1" applyAlignment="1">
      <alignment vertical="center"/>
    </xf>
    <xf numFmtId="0" fontId="29" fillId="0" borderId="19" xfId="31" applyFont="1" applyFill="1" applyBorder="1" applyAlignment="1">
      <alignment horizontal="right" vertical="center"/>
    </xf>
    <xf numFmtId="0" fontId="29" fillId="0" borderId="20" xfId="31" applyFont="1" applyFill="1" applyBorder="1" applyAlignment="1">
      <alignment horizontal="center" vertical="center"/>
    </xf>
    <xf numFmtId="0" fontId="29" fillId="0" borderId="39" xfId="34" applyFont="1" applyFill="1" applyBorder="1" applyAlignment="1">
      <alignment horizontal="center" vertical="center"/>
    </xf>
    <xf numFmtId="0" fontId="29" fillId="0" borderId="41" xfId="34" applyFont="1" applyFill="1" applyBorder="1" applyAlignment="1">
      <alignment horizontal="center" vertical="center"/>
    </xf>
    <xf numFmtId="0" fontId="29" fillId="0" borderId="46" xfId="34" applyFont="1" applyFill="1" applyBorder="1" applyAlignment="1">
      <alignment horizontal="center" vertical="center"/>
    </xf>
    <xf numFmtId="0" fontId="33" fillId="0" borderId="53" xfId="34" applyFont="1" applyFill="1" applyBorder="1" applyAlignment="1">
      <alignment horizontal="center" vertical="center"/>
    </xf>
    <xf numFmtId="0" fontId="33" fillId="0" borderId="66" xfId="34" applyFont="1" applyBorder="1" applyAlignment="1">
      <alignment horizontal="left" vertical="center" wrapText="1" indent="1"/>
    </xf>
    <xf numFmtId="0" fontId="33" fillId="0" borderId="67" xfId="34" applyFont="1" applyBorder="1" applyAlignment="1">
      <alignment horizontal="left" vertical="center" wrapText="1" indent="1"/>
    </xf>
    <xf numFmtId="0" fontId="33" fillId="0" borderId="68" xfId="34" applyFont="1" applyBorder="1" applyAlignment="1">
      <alignment horizontal="left" vertical="center" wrapText="1" indent="1"/>
    </xf>
    <xf numFmtId="176" fontId="29" fillId="0" borderId="66" xfId="35" applyFont="1" applyFill="1" applyBorder="1" applyAlignment="1">
      <alignment horizontal="right" vertical="center"/>
    </xf>
    <xf numFmtId="176" fontId="29" fillId="0" borderId="67" xfId="35" applyFont="1" applyFill="1" applyBorder="1" applyAlignment="1">
      <alignment horizontal="right" vertical="center"/>
    </xf>
    <xf numFmtId="176" fontId="29" fillId="0" borderId="68" xfId="35" applyFont="1" applyFill="1" applyBorder="1" applyAlignment="1">
      <alignment horizontal="right" vertical="center"/>
    </xf>
    <xf numFmtId="176" fontId="29" fillId="0" borderId="66" xfId="36" applyFont="1" applyFill="1" applyBorder="1" applyAlignment="1">
      <alignment horizontal="left" vertical="center"/>
    </xf>
    <xf numFmtId="176" fontId="29" fillId="0" borderId="69" xfId="36" applyFont="1" applyFill="1" applyBorder="1" applyAlignment="1">
      <alignment horizontal="left" vertical="center"/>
    </xf>
    <xf numFmtId="0" fontId="43" fillId="14" borderId="71" xfId="31" applyFont="1" applyFill="1" applyBorder="1" applyAlignment="1">
      <alignment horizontal="center" vertical="center"/>
    </xf>
    <xf numFmtId="0" fontId="43" fillId="14" borderId="35" xfId="31" applyFont="1" applyFill="1" applyBorder="1" applyAlignment="1">
      <alignment horizontal="center" vertical="center"/>
    </xf>
    <xf numFmtId="0" fontId="43" fillId="14" borderId="72" xfId="31" applyFont="1" applyFill="1" applyBorder="1" applyAlignment="1">
      <alignment horizontal="center" vertical="center"/>
    </xf>
    <xf numFmtId="9" fontId="43" fillId="14" borderId="73" xfId="2" applyFont="1" applyFill="1" applyBorder="1" applyAlignment="1">
      <alignment horizontal="center" vertical="center"/>
    </xf>
    <xf numFmtId="9" fontId="43" fillId="14" borderId="37" xfId="2" applyFont="1" applyFill="1" applyBorder="1" applyAlignment="1">
      <alignment horizontal="center" vertical="center"/>
    </xf>
    <xf numFmtId="176" fontId="29" fillId="0" borderId="48" xfId="35" applyFont="1" applyFill="1" applyBorder="1" applyAlignment="1">
      <alignment horizontal="right" vertical="center"/>
    </xf>
    <xf numFmtId="176" fontId="29" fillId="0" borderId="49" xfId="35" applyFont="1" applyFill="1" applyBorder="1" applyAlignment="1">
      <alignment horizontal="right" vertical="center"/>
    </xf>
    <xf numFmtId="176" fontId="29" fillId="0" borderId="50" xfId="35" applyFont="1" applyFill="1" applyBorder="1" applyAlignment="1">
      <alignment horizontal="right" vertical="center"/>
    </xf>
    <xf numFmtId="176" fontId="29" fillId="0" borderId="48" xfId="36" applyFont="1" applyFill="1" applyBorder="1" applyAlignment="1">
      <alignment horizontal="left" vertical="center"/>
    </xf>
    <xf numFmtId="176" fontId="29" fillId="0" borderId="51" xfId="36" applyFont="1" applyFill="1" applyBorder="1" applyAlignment="1">
      <alignment horizontal="left" vertical="center"/>
    </xf>
    <xf numFmtId="176" fontId="42" fillId="0" borderId="66" xfId="36" applyFont="1" applyBorder="1" applyAlignment="1">
      <alignment horizontal="left" vertical="center"/>
    </xf>
    <xf numFmtId="176" fontId="42" fillId="0" borderId="69" xfId="36" applyFont="1" applyBorder="1" applyAlignment="1">
      <alignment horizontal="left" vertical="center"/>
    </xf>
    <xf numFmtId="0" fontId="33" fillId="0" borderId="59" xfId="34" applyFont="1" applyBorder="1" applyAlignment="1">
      <alignment horizontal="left" vertical="center" wrapText="1" indent="1"/>
    </xf>
    <xf numFmtId="0" fontId="33" fillId="0" borderId="60" xfId="34" applyFont="1" applyBorder="1" applyAlignment="1">
      <alignment horizontal="left" vertical="center" wrapText="1" indent="1"/>
    </xf>
    <xf numFmtId="0" fontId="33" fillId="0" borderId="61" xfId="34" applyFont="1" applyBorder="1" applyAlignment="1">
      <alignment horizontal="left" vertical="center" wrapText="1" indent="1"/>
    </xf>
    <xf numFmtId="176" fontId="29" fillId="0" borderId="59" xfId="35" applyFont="1" applyFill="1" applyBorder="1" applyAlignment="1">
      <alignment horizontal="right" vertical="center"/>
    </xf>
    <xf numFmtId="176" fontId="29" fillId="0" borderId="60" xfId="35" applyFont="1" applyFill="1" applyBorder="1" applyAlignment="1">
      <alignment horizontal="right" vertical="center"/>
    </xf>
    <xf numFmtId="176" fontId="29" fillId="0" borderId="61" xfId="35" applyFont="1" applyFill="1" applyBorder="1" applyAlignment="1">
      <alignment horizontal="right" vertical="center"/>
    </xf>
    <xf numFmtId="176" fontId="29" fillId="0" borderId="57" xfId="36" applyFont="1" applyFill="1" applyBorder="1" applyAlignment="1">
      <alignment horizontal="left" vertical="center"/>
    </xf>
    <xf numFmtId="176" fontId="29" fillId="0" borderId="25" xfId="36" applyFont="1" applyFill="1" applyBorder="1" applyAlignment="1">
      <alignment horizontal="left" vertical="center"/>
    </xf>
    <xf numFmtId="176" fontId="29" fillId="0" borderId="59" xfId="36" applyFont="1" applyFill="1" applyBorder="1" applyAlignment="1">
      <alignment horizontal="left" vertical="center"/>
    </xf>
    <xf numFmtId="176" fontId="29" fillId="0" borderId="63" xfId="36" applyFont="1" applyFill="1" applyBorder="1" applyAlignment="1">
      <alignment horizontal="left" vertical="center"/>
    </xf>
    <xf numFmtId="0" fontId="33" fillId="0" borderId="57" xfId="34" applyFont="1" applyBorder="1" applyAlignment="1">
      <alignment horizontal="left" vertical="center" wrapText="1" indent="1"/>
    </xf>
    <xf numFmtId="0" fontId="33" fillId="0" borderId="4" xfId="34" applyFont="1" applyBorder="1" applyAlignment="1">
      <alignment horizontal="left" vertical="center" wrapText="1" indent="1"/>
    </xf>
    <xf numFmtId="0" fontId="33" fillId="0" borderId="58" xfId="34" applyFont="1" applyBorder="1" applyAlignment="1">
      <alignment horizontal="left" vertical="center" wrapText="1" indent="1"/>
    </xf>
    <xf numFmtId="176" fontId="29" fillId="0" borderId="57" xfId="35" applyFont="1" applyFill="1" applyBorder="1" applyAlignment="1">
      <alignment horizontal="right" vertical="center"/>
    </xf>
    <xf numFmtId="176" fontId="29" fillId="0" borderId="4" xfId="35" applyFont="1" applyFill="1" applyBorder="1" applyAlignment="1">
      <alignment horizontal="right" vertical="center"/>
    </xf>
    <xf numFmtId="176" fontId="29" fillId="0" borderId="58" xfId="35" applyFont="1" applyFill="1" applyBorder="1" applyAlignment="1">
      <alignment horizontal="right" vertical="center"/>
    </xf>
    <xf numFmtId="0" fontId="33" fillId="0" borderId="53" xfId="34" applyFont="1" applyFill="1" applyBorder="1" applyAlignment="1">
      <alignment horizontal="left" vertical="center" wrapText="1" indent="1"/>
    </xf>
    <xf numFmtId="0" fontId="33" fillId="0" borderId="54" xfId="34" applyFont="1" applyFill="1" applyBorder="1" applyAlignment="1">
      <alignment horizontal="left" vertical="center" wrapText="1" indent="1"/>
    </xf>
    <xf numFmtId="0" fontId="33" fillId="0" borderId="55" xfId="34" applyFont="1" applyFill="1" applyBorder="1" applyAlignment="1">
      <alignment horizontal="left" vertical="center" wrapText="1" indent="1"/>
    </xf>
    <xf numFmtId="176" fontId="29" fillId="0" borderId="53" xfId="35" applyFont="1" applyFill="1" applyBorder="1" applyAlignment="1">
      <alignment horizontal="right" vertical="center"/>
    </xf>
    <xf numFmtId="176" fontId="29" fillId="0" borderId="54" xfId="35" applyFont="1" applyFill="1" applyBorder="1" applyAlignment="1">
      <alignment horizontal="right" vertical="center"/>
    </xf>
    <xf numFmtId="176" fontId="29" fillId="0" borderId="55" xfId="35" applyFont="1" applyFill="1" applyBorder="1" applyAlignment="1">
      <alignment horizontal="right" vertical="center"/>
    </xf>
    <xf numFmtId="176" fontId="29" fillId="0" borderId="53" xfId="36" applyFont="1" applyBorder="1" applyAlignment="1">
      <alignment horizontal="left" vertical="center"/>
    </xf>
    <xf numFmtId="176" fontId="29" fillId="0" borderId="56" xfId="36" applyFont="1" applyBorder="1" applyAlignment="1">
      <alignment horizontal="left" vertical="center"/>
    </xf>
    <xf numFmtId="0" fontId="29" fillId="0" borderId="43" xfId="34" applyFont="1" applyFill="1" applyBorder="1" applyAlignment="1">
      <alignment horizontal="center" vertical="center" wrapText="1"/>
    </xf>
    <xf numFmtId="0" fontId="29" fillId="0" borderId="44" xfId="34" applyFont="1" applyFill="1" applyBorder="1" applyAlignment="1">
      <alignment horizontal="center" vertical="center" wrapText="1"/>
    </xf>
    <xf numFmtId="0" fontId="29" fillId="0" borderId="45" xfId="34" applyFont="1" applyFill="1" applyBorder="1" applyAlignment="1">
      <alignment horizontal="center" vertical="center" wrapText="1"/>
    </xf>
    <xf numFmtId="176" fontId="29" fillId="0" borderId="43" xfId="35" applyFont="1" applyFill="1" applyBorder="1" applyAlignment="1">
      <alignment horizontal="right" vertical="center"/>
    </xf>
    <xf numFmtId="176" fontId="29" fillId="0" borderId="44" xfId="35" applyFont="1" applyFill="1" applyBorder="1" applyAlignment="1">
      <alignment horizontal="right" vertical="center"/>
    </xf>
    <xf numFmtId="176" fontId="29" fillId="0" borderId="45" xfId="35" applyFont="1" applyFill="1" applyBorder="1" applyAlignment="1">
      <alignment horizontal="right" vertical="center"/>
    </xf>
    <xf numFmtId="176" fontId="29" fillId="0" borderId="43" xfId="36" applyFont="1" applyBorder="1" applyAlignment="1">
      <alignment horizontal="left" vertical="center"/>
    </xf>
    <xf numFmtId="176" fontId="29" fillId="0" borderId="47" xfId="36" applyFont="1" applyBorder="1" applyAlignment="1">
      <alignment horizontal="left" vertical="center"/>
    </xf>
    <xf numFmtId="0" fontId="29" fillId="0" borderId="43" xfId="34" applyFont="1" applyBorder="1" applyAlignment="1">
      <alignment horizontal="center" vertical="center" wrapText="1"/>
    </xf>
    <xf numFmtId="0" fontId="29" fillId="0" borderId="44" xfId="34" applyFont="1" applyBorder="1" applyAlignment="1">
      <alignment horizontal="center" vertical="center" wrapText="1"/>
    </xf>
    <xf numFmtId="0" fontId="29" fillId="0" borderId="45" xfId="34" applyFont="1" applyBorder="1" applyAlignment="1">
      <alignment horizontal="center" vertical="center" wrapText="1"/>
    </xf>
    <xf numFmtId="176" fontId="29" fillId="0" borderId="48" xfId="35" applyFont="1" applyBorder="1" applyAlignment="1">
      <alignment horizontal="center" vertical="center"/>
    </xf>
    <xf numFmtId="176" fontId="29" fillId="0" borderId="49" xfId="35" applyFont="1" applyBorder="1" applyAlignment="1">
      <alignment horizontal="center" vertical="center"/>
    </xf>
    <xf numFmtId="176" fontId="29" fillId="0" borderId="50" xfId="35" applyFont="1" applyBorder="1" applyAlignment="1">
      <alignment horizontal="center" vertical="center"/>
    </xf>
    <xf numFmtId="176" fontId="29" fillId="0" borderId="48" xfId="36" applyFont="1" applyBorder="1" applyAlignment="1">
      <alignment horizontal="left" vertical="center"/>
    </xf>
    <xf numFmtId="176" fontId="29" fillId="0" borderId="51" xfId="36" applyFont="1" applyBorder="1" applyAlignment="1">
      <alignment horizontal="left" vertical="center"/>
    </xf>
    <xf numFmtId="0" fontId="40" fillId="12" borderId="0" xfId="33" applyFont="1" applyFill="1" applyAlignment="1">
      <alignment horizontal="left" vertical="center"/>
    </xf>
    <xf numFmtId="0" fontId="40" fillId="12" borderId="17" xfId="33" applyFont="1" applyFill="1" applyBorder="1" applyAlignment="1">
      <alignment horizontal="left" vertical="center"/>
    </xf>
    <xf numFmtId="0" fontId="29" fillId="0" borderId="0" xfId="31" applyFont="1" applyAlignment="1">
      <alignment horizontal="right" vertical="center"/>
    </xf>
    <xf numFmtId="0" fontId="29" fillId="0" borderId="17" xfId="31" applyFont="1" applyBorder="1" applyAlignment="1">
      <alignment horizontal="right" vertical="center"/>
    </xf>
    <xf numFmtId="0" fontId="29" fillId="0" borderId="39" xfId="34" applyFont="1" applyFill="1" applyBorder="1" applyAlignment="1">
      <alignment horizontal="center" vertical="center" wrapText="1"/>
    </xf>
    <xf numFmtId="0" fontId="29" fillId="0" borderId="20" xfId="34" applyFont="1" applyFill="1" applyBorder="1" applyAlignment="1">
      <alignment horizontal="center" vertical="center" wrapText="1"/>
    </xf>
    <xf numFmtId="0" fontId="29" fillId="0" borderId="40" xfId="34" applyFont="1" applyFill="1" applyBorder="1" applyAlignment="1">
      <alignment horizontal="center" vertical="center" wrapText="1"/>
    </xf>
    <xf numFmtId="176" fontId="29" fillId="0" borderId="41" xfId="35" applyFont="1" applyFill="1" applyBorder="1" applyAlignment="1">
      <alignment horizontal="right" vertical="center"/>
    </xf>
    <xf numFmtId="176" fontId="29" fillId="0" borderId="39" xfId="34" applyNumberFormat="1" applyFont="1" applyBorder="1" applyAlignment="1">
      <alignment horizontal="left" vertical="center"/>
    </xf>
    <xf numFmtId="176" fontId="29" fillId="0" borderId="21" xfId="34" applyNumberFormat="1" applyFont="1" applyBorder="1" applyAlignment="1">
      <alignment horizontal="left" vertical="center"/>
    </xf>
    <xf numFmtId="0" fontId="39" fillId="13" borderId="34" xfId="31" applyFont="1" applyFill="1" applyBorder="1" applyAlignment="1">
      <alignment horizontal="center" vertical="center"/>
    </xf>
    <xf numFmtId="0" fontId="39" fillId="13" borderId="35" xfId="31" applyFont="1" applyFill="1" applyBorder="1" applyAlignment="1">
      <alignment horizontal="center" vertical="center"/>
    </xf>
    <xf numFmtId="0" fontId="39" fillId="13" borderId="36" xfId="31" applyFont="1" applyFill="1" applyBorder="1" applyAlignment="1">
      <alignment horizontal="center" vertical="center"/>
    </xf>
    <xf numFmtId="3" fontId="39" fillId="13" borderId="34" xfId="31" applyNumberFormat="1" applyFont="1" applyFill="1" applyBorder="1" applyAlignment="1">
      <alignment horizontal="center" vertical="center"/>
    </xf>
    <xf numFmtId="3" fontId="39" fillId="13" borderId="35" xfId="31" applyNumberFormat="1" applyFont="1" applyFill="1" applyBorder="1" applyAlignment="1">
      <alignment horizontal="center" vertical="center"/>
    </xf>
    <xf numFmtId="3" fontId="39" fillId="13" borderId="36" xfId="31" applyNumberFormat="1" applyFont="1" applyFill="1" applyBorder="1" applyAlignment="1">
      <alignment horizontal="center" vertical="center"/>
    </xf>
    <xf numFmtId="0" fontId="39" fillId="13" borderId="37" xfId="31" applyFont="1" applyFill="1" applyBorder="1" applyAlignment="1">
      <alignment horizontal="center" vertical="center"/>
    </xf>
    <xf numFmtId="185" fontId="38" fillId="12" borderId="0" xfId="31" applyNumberFormat="1" applyFont="1" applyFill="1" applyAlignment="1">
      <alignment horizontal="left" vertical="center"/>
    </xf>
    <xf numFmtId="0" fontId="28" fillId="0" borderId="13" xfId="31" applyFont="1" applyBorder="1" applyAlignment="1">
      <alignment horizontal="center" vertical="center"/>
    </xf>
    <xf numFmtId="0" fontId="28" fillId="0" borderId="14" xfId="31" applyFont="1" applyBorder="1" applyAlignment="1">
      <alignment horizontal="center" vertical="center"/>
    </xf>
    <xf numFmtId="0" fontId="28" fillId="0" borderId="15" xfId="31" applyFont="1" applyBorder="1" applyAlignment="1">
      <alignment horizontal="center" vertical="center"/>
    </xf>
    <xf numFmtId="0" fontId="30" fillId="0" borderId="16" xfId="31" applyFont="1" applyBorder="1" applyAlignment="1" applyProtection="1">
      <alignment horizontal="center" vertical="center"/>
      <protection locked="0"/>
    </xf>
    <xf numFmtId="0" fontId="30" fillId="0" borderId="0" xfId="31" applyFont="1" applyAlignment="1" applyProtection="1">
      <alignment horizontal="center" vertical="center"/>
      <protection locked="0"/>
    </xf>
    <xf numFmtId="0" fontId="30" fillId="0" borderId="17" xfId="31" applyFont="1" applyBorder="1" applyAlignment="1" applyProtection="1">
      <alignment horizontal="center" vertical="center"/>
      <protection locked="0"/>
    </xf>
    <xf numFmtId="0" fontId="29" fillId="11" borderId="19" xfId="31" applyFont="1" applyFill="1" applyBorder="1" applyAlignment="1">
      <alignment horizontal="center" vertical="center"/>
    </xf>
    <xf numFmtId="0" fontId="29" fillId="11" borderId="20" xfId="31" applyFont="1" applyFill="1" applyBorder="1" applyAlignment="1">
      <alignment horizontal="center" vertical="center"/>
    </xf>
    <xf numFmtId="0" fontId="29" fillId="11" borderId="21" xfId="31" applyFont="1" applyFill="1" applyBorder="1" applyAlignment="1">
      <alignment horizontal="center" vertical="center"/>
    </xf>
    <xf numFmtId="0" fontId="29" fillId="0" borderId="22" xfId="31" applyFont="1" applyBorder="1" applyAlignment="1">
      <alignment horizontal="center" vertical="center" wrapText="1"/>
    </xf>
    <xf numFmtId="0" fontId="29" fillId="0" borderId="26" xfId="31" applyFont="1" applyBorder="1" applyAlignment="1">
      <alignment horizontal="center" vertical="center"/>
    </xf>
    <xf numFmtId="0" fontId="29" fillId="0" borderId="30" xfId="31" applyFont="1" applyBorder="1" applyAlignment="1">
      <alignment horizontal="center" vertical="center"/>
    </xf>
    <xf numFmtId="0" fontId="29" fillId="0" borderId="24" xfId="31" applyFont="1" applyBorder="1" applyAlignment="1">
      <alignment horizontal="center" vertical="center"/>
    </xf>
    <xf numFmtId="0" fontId="29" fillId="0" borderId="4" xfId="31" applyFont="1" applyBorder="1" applyAlignment="1">
      <alignment horizontal="center" vertical="center"/>
    </xf>
    <xf numFmtId="0" fontId="29" fillId="0" borderId="25" xfId="31" applyFont="1" applyBorder="1" applyAlignment="1">
      <alignment horizontal="center" vertical="center"/>
    </xf>
    <xf numFmtId="0" fontId="36" fillId="0" borderId="24" xfId="31" applyFont="1" applyBorder="1" applyAlignment="1">
      <alignment horizontal="center" vertical="center"/>
    </xf>
    <xf numFmtId="0" fontId="34" fillId="0" borderId="4" xfId="31" applyFont="1" applyBorder="1" applyAlignment="1">
      <alignment horizontal="center" vertical="center"/>
    </xf>
    <xf numFmtId="0" fontId="34" fillId="0" borderId="5" xfId="31" applyFont="1" applyBorder="1" applyAlignment="1">
      <alignment horizontal="center" vertical="center"/>
    </xf>
    <xf numFmtId="0" fontId="36" fillId="0" borderId="3" xfId="31" applyFont="1" applyBorder="1" applyAlignment="1">
      <alignment horizontal="center" vertical="center"/>
    </xf>
    <xf numFmtId="0" fontId="34" fillId="0" borderId="25" xfId="31" applyFont="1" applyBorder="1" applyAlignment="1">
      <alignment horizontal="center" vertical="center"/>
    </xf>
    <xf numFmtId="0" fontId="29" fillId="0" borderId="24" xfId="31" applyFont="1" applyBorder="1" applyAlignment="1">
      <alignment horizontal="left" vertical="center" indent="1"/>
    </xf>
    <xf numFmtId="0" fontId="29" fillId="0" borderId="4" xfId="31" applyFont="1" applyBorder="1" applyAlignment="1">
      <alignment horizontal="left" vertical="center" indent="1"/>
    </xf>
    <xf numFmtId="0" fontId="29" fillId="0" borderId="25" xfId="31" applyFont="1" applyBorder="1" applyAlignment="1">
      <alignment horizontal="left" vertical="center" indent="1"/>
    </xf>
    <xf numFmtId="0" fontId="29" fillId="0" borderId="3" xfId="31" applyFont="1" applyBorder="1" applyAlignment="1">
      <alignment horizontal="center" vertical="center"/>
    </xf>
    <xf numFmtId="0" fontId="29" fillId="0" borderId="27" xfId="31" applyFont="1" applyBorder="1" applyAlignment="1">
      <alignment horizontal="center" vertical="center"/>
    </xf>
    <xf numFmtId="0" fontId="29" fillId="0" borderId="28" xfId="31" applyFont="1" applyBorder="1" applyAlignment="1">
      <alignment horizontal="center" vertical="center"/>
    </xf>
    <xf numFmtId="0" fontId="29" fillId="0" borderId="29" xfId="31" applyFont="1" applyBorder="1" applyAlignment="1">
      <alignment horizontal="center" vertical="center"/>
    </xf>
    <xf numFmtId="0" fontId="29" fillId="0" borderId="27" xfId="31" applyFont="1" applyBorder="1" applyAlignment="1">
      <alignment horizontal="left" vertical="center" indent="1"/>
    </xf>
    <xf numFmtId="0" fontId="29" fillId="0" borderId="28" xfId="31" applyFont="1" applyBorder="1" applyAlignment="1">
      <alignment horizontal="left" vertical="center" indent="1"/>
    </xf>
    <xf numFmtId="0" fontId="29" fillId="0" borderId="29" xfId="31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D3D5AB18-A72F-4523-BB4D-718B3AF38CC9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659D4024-E9EF-4B4E-BCBE-E7483B1FC103}"/>
    <cellStyle name="쉼표 [0] 3" xfId="14" xr:uid="{8F7BE219-40E1-4BBB-A9BD-02188B74B2A3}"/>
    <cellStyle name="쉼표 [0] 4" xfId="27" xr:uid="{CC0B73B0-7462-4D01-B0C9-D11C17A5C7E0}"/>
    <cellStyle name="쉼표 [0] 5" xfId="35" xr:uid="{E8D48031-F373-4C70-92B5-02C80101B128}"/>
    <cellStyle name="쉼표 [0] 5 2" xfId="37" xr:uid="{69D46552-2F70-4726-B863-CEC7972E8721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10848E46-4E8F-4213-9564-19855414F30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7BFD9BAB-10EE-4ECF-A9BE-D7563A475BFF}"/>
    <cellStyle name="표준_P456 공장 및 복지동 전면 유리창 청소건 라상혁님_1129(최종)" xfId="34" xr:uid="{D7EE4F4F-35B6-44C0-948D-12C9F956FAA2}"/>
    <cellStyle name="표준_S&amp;D_MAIN VALVE_최빈_2" xfId="31" xr:uid="{FB21DCC2-A4C8-4DEA-89CF-A4FFDF3103A3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45132C-8A61-4D95-BA88-F847396E0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29AA-38F1-4BDB-A1C9-C19A29A8F10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2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213" t="s">
        <v>48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/>
    </row>
    <row r="4" spans="1:15" ht="16.5" customHeight="1">
      <c r="A4" s="63" t="s">
        <v>49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113</v>
      </c>
      <c r="C5" s="124"/>
      <c r="D5" s="124"/>
      <c r="E5" s="124"/>
      <c r="F5" s="124"/>
      <c r="G5" s="125"/>
      <c r="H5" s="125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216" t="s">
        <v>50</v>
      </c>
      <c r="B7" s="217"/>
      <c r="C7" s="218"/>
      <c r="D7" s="126">
        <v>2025</v>
      </c>
      <c r="E7" s="76" t="s">
        <v>51</v>
      </c>
      <c r="F7" s="127">
        <v>6</v>
      </c>
      <c r="G7" s="76" t="s">
        <v>52</v>
      </c>
      <c r="H7" s="127">
        <v>26</v>
      </c>
      <c r="I7" s="76" t="s">
        <v>53</v>
      </c>
      <c r="J7" s="77"/>
      <c r="K7" s="219" t="s">
        <v>54</v>
      </c>
      <c r="L7" s="78" t="s">
        <v>55</v>
      </c>
      <c r="M7" s="78" t="s">
        <v>56</v>
      </c>
      <c r="N7" s="78" t="s">
        <v>57</v>
      </c>
      <c r="O7" s="79" t="s">
        <v>58</v>
      </c>
    </row>
    <row r="8" spans="1:15" ht="23.25" customHeight="1">
      <c r="A8" s="222" t="s">
        <v>59</v>
      </c>
      <c r="B8" s="223"/>
      <c r="C8" s="224"/>
      <c r="D8" s="225" t="s">
        <v>60</v>
      </c>
      <c r="E8" s="226"/>
      <c r="F8" s="226"/>
      <c r="G8" s="227"/>
      <c r="H8" s="228" t="s">
        <v>61</v>
      </c>
      <c r="I8" s="226"/>
      <c r="J8" s="229"/>
      <c r="K8" s="220"/>
      <c r="L8" s="80" t="s">
        <v>62</v>
      </c>
      <c r="M8" s="80" t="s">
        <v>63</v>
      </c>
      <c r="N8" s="80" t="s">
        <v>64</v>
      </c>
      <c r="O8" s="81" t="s">
        <v>65</v>
      </c>
    </row>
    <row r="9" spans="1:15" ht="23.25" customHeight="1">
      <c r="A9" s="222" t="s">
        <v>66</v>
      </c>
      <c r="B9" s="223"/>
      <c r="C9" s="224"/>
      <c r="D9" s="230" t="s">
        <v>67</v>
      </c>
      <c r="E9" s="231"/>
      <c r="F9" s="231"/>
      <c r="G9" s="231"/>
      <c r="H9" s="231"/>
      <c r="I9" s="231"/>
      <c r="J9" s="232"/>
      <c r="K9" s="220"/>
      <c r="L9" s="80" t="s">
        <v>68</v>
      </c>
      <c r="M9" s="233" t="s">
        <v>69</v>
      </c>
      <c r="N9" s="223"/>
      <c r="O9" s="224"/>
    </row>
    <row r="10" spans="1:15" ht="23.25" customHeight="1" thickBot="1">
      <c r="A10" s="234" t="s">
        <v>70</v>
      </c>
      <c r="B10" s="235"/>
      <c r="C10" s="236"/>
      <c r="D10" s="237" t="s">
        <v>71</v>
      </c>
      <c r="E10" s="238"/>
      <c r="F10" s="238"/>
      <c r="G10" s="238"/>
      <c r="H10" s="238"/>
      <c r="I10" s="238"/>
      <c r="J10" s="239"/>
      <c r="K10" s="221"/>
      <c r="L10" s="82" t="s">
        <v>72</v>
      </c>
      <c r="M10" s="82" t="s">
        <v>73</v>
      </c>
      <c r="N10" s="82" t="s">
        <v>74</v>
      </c>
      <c r="O10" s="83" t="s">
        <v>75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209" t="s">
        <v>112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91" t="s">
        <v>76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92" t="str">
        <f>"견 적 금 액 : 一金"&amp;NUMBERSTRING(M32,1) &amp; "원정""(\"&amp; TEXT(M32,"#,###")&amp;"원) [VAT 별도]"</f>
        <v>견 적 금 액 : 一金일백오만사천오백칠십오원정"(\1,054,575원) [VAT 별도]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3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94"/>
      <c r="L16" s="194"/>
      <c r="M16" s="194"/>
      <c r="N16" s="194"/>
      <c r="O16" s="195"/>
    </row>
    <row r="17" spans="1:17" ht="27.75" customHeight="1" thickBot="1">
      <c r="A17" s="92" t="s">
        <v>77</v>
      </c>
      <c r="B17" s="202" t="s">
        <v>78</v>
      </c>
      <c r="C17" s="203"/>
      <c r="D17" s="203"/>
      <c r="E17" s="203"/>
      <c r="F17" s="203"/>
      <c r="G17" s="204"/>
      <c r="H17" s="93" t="s">
        <v>79</v>
      </c>
      <c r="I17" s="94" t="s">
        <v>80</v>
      </c>
      <c r="J17" s="205" t="s">
        <v>81</v>
      </c>
      <c r="K17" s="206"/>
      <c r="L17" s="206"/>
      <c r="M17" s="207"/>
      <c r="N17" s="202" t="s">
        <v>82</v>
      </c>
      <c r="O17" s="208"/>
    </row>
    <row r="18" spans="1:17" ht="28.5" customHeight="1">
      <c r="A18" s="95">
        <v>1</v>
      </c>
      <c r="B18" s="196" t="s">
        <v>14</v>
      </c>
      <c r="C18" s="197"/>
      <c r="D18" s="197"/>
      <c r="E18" s="197"/>
      <c r="F18" s="197"/>
      <c r="G18" s="198"/>
      <c r="H18" s="128">
        <v>1</v>
      </c>
      <c r="I18" s="129" t="s">
        <v>6</v>
      </c>
      <c r="J18" s="199">
        <f>IFERROR(LOOKUP(2, 1/(TRIM('내역서(표준단가)'!O4:O100)&lt;&gt;""), '내역서(표준단가)'!O4:O100), "-")</f>
        <v>153640</v>
      </c>
      <c r="K18" s="199"/>
      <c r="L18" s="199"/>
      <c r="M18" s="199"/>
      <c r="N18" s="200"/>
      <c r="O18" s="201"/>
    </row>
    <row r="19" spans="1:17" ht="28.5" customHeight="1">
      <c r="A19" s="96">
        <v>2</v>
      </c>
      <c r="B19" s="176" t="s">
        <v>15</v>
      </c>
      <c r="C19" s="177"/>
      <c r="D19" s="177"/>
      <c r="E19" s="177"/>
      <c r="F19" s="177"/>
      <c r="G19" s="178"/>
      <c r="H19" s="130">
        <v>1</v>
      </c>
      <c r="I19" s="130" t="s">
        <v>6</v>
      </c>
      <c r="J19" s="179">
        <f>IFERROR(LOOKUP(2, 1/(TRIM('내역서(표준단가)'!Q4:Q100)&lt;&gt;""), '내역서(표준단가)'!Q4:Q100), "-")</f>
        <v>674506.97275249998</v>
      </c>
      <c r="K19" s="180"/>
      <c r="L19" s="180"/>
      <c r="M19" s="181"/>
      <c r="N19" s="182"/>
      <c r="O19" s="183"/>
    </row>
    <row r="20" spans="1:17" ht="28.5" customHeight="1">
      <c r="A20" s="96">
        <v>3</v>
      </c>
      <c r="B20" s="184" t="s">
        <v>83</v>
      </c>
      <c r="C20" s="185"/>
      <c r="D20" s="185"/>
      <c r="E20" s="185"/>
      <c r="F20" s="185"/>
      <c r="G20" s="186"/>
      <c r="H20" s="97">
        <v>1</v>
      </c>
      <c r="I20" s="97" t="s">
        <v>6</v>
      </c>
      <c r="J20" s="187">
        <f>IFERROR(SUM(J21:M29),"-")</f>
        <v>113940.93521316847</v>
      </c>
      <c r="K20" s="188"/>
      <c r="L20" s="188"/>
      <c r="M20" s="189"/>
      <c r="N20" s="190"/>
      <c r="O20" s="191"/>
      <c r="P20" s="98"/>
    </row>
    <row r="21" spans="1:17" ht="28.5" customHeight="1">
      <c r="A21" s="95"/>
      <c r="B21" s="99"/>
      <c r="C21" s="168" t="s">
        <v>84</v>
      </c>
      <c r="D21" s="169"/>
      <c r="E21" s="169"/>
      <c r="F21" s="169"/>
      <c r="G21" s="170"/>
      <c r="H21" s="131">
        <v>1</v>
      </c>
      <c r="I21" s="131" t="s">
        <v>6</v>
      </c>
      <c r="J21" s="17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2"/>
      <c r="L21" s="172"/>
      <c r="M21" s="173"/>
      <c r="N21" s="174" t="s">
        <v>85</v>
      </c>
      <c r="O21" s="175"/>
    </row>
    <row r="22" spans="1:17" ht="28.5" customHeight="1">
      <c r="A22" s="95"/>
      <c r="B22" s="99"/>
      <c r="C22" s="162" t="s">
        <v>86</v>
      </c>
      <c r="D22" s="163"/>
      <c r="E22" s="163"/>
      <c r="F22" s="163"/>
      <c r="G22" s="164"/>
      <c r="H22" s="100">
        <v>3.11</v>
      </c>
      <c r="I22" s="100" t="s">
        <v>87</v>
      </c>
      <c r="J22" s="165">
        <f>IFERROR((J18+J19)*H22%,"-")</f>
        <v>25755.370852602748</v>
      </c>
      <c r="K22" s="166"/>
      <c r="L22" s="166"/>
      <c r="M22" s="167"/>
      <c r="N22" s="158" t="s">
        <v>88</v>
      </c>
      <c r="O22" s="159"/>
    </row>
    <row r="23" spans="1:17" ht="28.5" customHeight="1">
      <c r="A23" s="95"/>
      <c r="B23" s="99"/>
      <c r="C23" s="162" t="s">
        <v>89</v>
      </c>
      <c r="D23" s="163"/>
      <c r="E23" s="163"/>
      <c r="F23" s="163"/>
      <c r="G23" s="164"/>
      <c r="H23" s="100">
        <v>3.56</v>
      </c>
      <c r="I23" s="100" t="s">
        <v>90</v>
      </c>
      <c r="J23" s="165">
        <f>IFERROR(J19*H23%,"-")</f>
        <v>24012.448229989001</v>
      </c>
      <c r="K23" s="166"/>
      <c r="L23" s="166"/>
      <c r="M23" s="167"/>
      <c r="N23" s="158" t="s">
        <v>91</v>
      </c>
      <c r="O23" s="159"/>
    </row>
    <row r="24" spans="1:17" ht="28.5" customHeight="1">
      <c r="A24" s="95"/>
      <c r="B24" s="99"/>
      <c r="C24" s="162" t="s">
        <v>92</v>
      </c>
      <c r="D24" s="163"/>
      <c r="E24" s="163"/>
      <c r="F24" s="163"/>
      <c r="G24" s="164"/>
      <c r="H24" s="100">
        <v>1.01</v>
      </c>
      <c r="I24" s="100" t="s">
        <v>90</v>
      </c>
      <c r="J24" s="165">
        <f>IFERROR(J19*H24%,"-")</f>
        <v>6812.5204248002492</v>
      </c>
      <c r="K24" s="166"/>
      <c r="L24" s="166"/>
      <c r="M24" s="167"/>
      <c r="N24" s="158" t="s">
        <v>93</v>
      </c>
      <c r="O24" s="159"/>
    </row>
    <row r="25" spans="1:17" ht="28.5" customHeight="1">
      <c r="A25" s="95"/>
      <c r="B25" s="99"/>
      <c r="C25" s="162" t="s">
        <v>94</v>
      </c>
      <c r="D25" s="163"/>
      <c r="E25" s="163"/>
      <c r="F25" s="163"/>
      <c r="G25" s="164"/>
      <c r="H25" s="101">
        <v>3.5449999999999999</v>
      </c>
      <c r="I25" s="100" t="s">
        <v>90</v>
      </c>
      <c r="J25" s="165">
        <f>IFERROR(J19*H25%,"-")</f>
        <v>23911.272184076126</v>
      </c>
      <c r="K25" s="166"/>
      <c r="L25" s="166"/>
      <c r="M25" s="167"/>
      <c r="N25" s="158" t="s">
        <v>95</v>
      </c>
      <c r="O25" s="159"/>
      <c r="Q25" s="98"/>
    </row>
    <row r="26" spans="1:17" ht="28.5" customHeight="1">
      <c r="A26" s="95"/>
      <c r="B26" s="99"/>
      <c r="C26" s="162" t="s">
        <v>96</v>
      </c>
      <c r="D26" s="163"/>
      <c r="E26" s="163"/>
      <c r="F26" s="163"/>
      <c r="G26" s="164"/>
      <c r="H26" s="100">
        <v>4.5</v>
      </c>
      <c r="I26" s="100" t="s">
        <v>90</v>
      </c>
      <c r="J26" s="165">
        <f>IFERROR(J19*H26%,"-")</f>
        <v>30352.813773862497</v>
      </c>
      <c r="K26" s="166"/>
      <c r="L26" s="166"/>
      <c r="M26" s="167"/>
      <c r="N26" s="158" t="s">
        <v>97</v>
      </c>
      <c r="O26" s="159"/>
      <c r="Q26" s="102"/>
    </row>
    <row r="27" spans="1:17" ht="28.5" customHeight="1">
      <c r="A27" s="95"/>
      <c r="B27" s="99"/>
      <c r="C27" s="152" t="s">
        <v>98</v>
      </c>
      <c r="D27" s="153"/>
      <c r="E27" s="153"/>
      <c r="F27" s="153"/>
      <c r="G27" s="154"/>
      <c r="H27" s="103">
        <v>12.95</v>
      </c>
      <c r="I27" s="104" t="s">
        <v>90</v>
      </c>
      <c r="J27" s="155">
        <f>IFERROR($H$27*J25%,"-")</f>
        <v>3096.509747837858</v>
      </c>
      <c r="K27" s="156"/>
      <c r="L27" s="156"/>
      <c r="M27" s="157"/>
      <c r="N27" s="158" t="s">
        <v>99</v>
      </c>
      <c r="O27" s="159"/>
    </row>
    <row r="28" spans="1:17" ht="28.5" customHeight="1">
      <c r="A28" s="95"/>
      <c r="B28" s="99"/>
      <c r="C28" s="152" t="s">
        <v>100</v>
      </c>
      <c r="D28" s="153"/>
      <c r="E28" s="153"/>
      <c r="F28" s="153"/>
      <c r="G28" s="154"/>
      <c r="H28" s="103">
        <v>8.1000000000000003E-2</v>
      </c>
      <c r="I28" s="104" t="s">
        <v>90</v>
      </c>
      <c r="J28" s="155" t="str">
        <f>IFERROR(IF(SUM(J21:J27,J18:J19)&gt;=10000000,SUM(J21:J27,J18:J19)*H28%,"-"),"-")</f>
        <v>-</v>
      </c>
      <c r="K28" s="156"/>
      <c r="L28" s="156"/>
      <c r="M28" s="157"/>
      <c r="N28" s="160" t="s">
        <v>101</v>
      </c>
      <c r="O28" s="161"/>
    </row>
    <row r="29" spans="1:17" ht="28.5" customHeight="1">
      <c r="A29" s="105"/>
      <c r="B29" s="106"/>
      <c r="C29" s="132" t="s">
        <v>102</v>
      </c>
      <c r="D29" s="133"/>
      <c r="E29" s="133"/>
      <c r="F29" s="133"/>
      <c r="G29" s="134"/>
      <c r="H29" s="107">
        <v>1</v>
      </c>
      <c r="I29" s="108" t="s">
        <v>103</v>
      </c>
      <c r="J29" s="135">
        <f>34*0</f>
        <v>0</v>
      </c>
      <c r="K29" s="136"/>
      <c r="L29" s="136"/>
      <c r="M29" s="137"/>
      <c r="N29" s="138" t="s">
        <v>104</v>
      </c>
      <c r="O29" s="139"/>
    </row>
    <row r="30" spans="1:17" ht="28.5" customHeight="1">
      <c r="A30" s="105">
        <v>4</v>
      </c>
      <c r="B30" s="106"/>
      <c r="C30" s="132" t="s">
        <v>105</v>
      </c>
      <c r="D30" s="133"/>
      <c r="E30" s="133"/>
      <c r="F30" s="133"/>
      <c r="G30" s="134"/>
      <c r="H30" s="108">
        <v>5</v>
      </c>
      <c r="I30" s="109" t="s">
        <v>106</v>
      </c>
      <c r="J30" s="145">
        <f>IFERROR(IF(ISNUMBER(H30), SUM(J18:M20) * (H30 / 100), "-"), "-")</f>
        <v>47104.395398283428</v>
      </c>
      <c r="K30" s="146"/>
      <c r="L30" s="146"/>
      <c r="M30" s="147"/>
      <c r="N30" s="148" t="s">
        <v>107</v>
      </c>
      <c r="O30" s="149"/>
    </row>
    <row r="31" spans="1:17" ht="28.5" customHeight="1" thickBot="1">
      <c r="A31" s="105">
        <v>5</v>
      </c>
      <c r="B31" s="106"/>
      <c r="C31" s="132" t="s">
        <v>108</v>
      </c>
      <c r="D31" s="133"/>
      <c r="E31" s="133"/>
      <c r="F31" s="133"/>
      <c r="G31" s="134"/>
      <c r="H31" s="108">
        <v>7.5</v>
      </c>
      <c r="I31" s="109" t="s">
        <v>90</v>
      </c>
      <c r="J31" s="135">
        <f>IFERROR(SUM(J18:M20, J30) * (H31 / 100), "-")+-8806</f>
        <v>65383.422752296392</v>
      </c>
      <c r="K31" s="136"/>
      <c r="L31" s="136"/>
      <c r="M31" s="137"/>
      <c r="N31" s="150" t="s">
        <v>109</v>
      </c>
      <c r="O31" s="151"/>
      <c r="Q31" s="110"/>
    </row>
    <row r="32" spans="1:17" ht="28.5" customHeight="1" thickBot="1">
      <c r="A32" s="140" t="s">
        <v>110</v>
      </c>
      <c r="B32" s="141"/>
      <c r="C32" s="141"/>
      <c r="D32" s="141"/>
      <c r="E32" s="141"/>
      <c r="F32" s="141"/>
      <c r="G32" s="141"/>
      <c r="H32" s="141"/>
      <c r="I32" s="142"/>
      <c r="J32" s="111"/>
      <c r="K32" s="112"/>
      <c r="L32" s="112"/>
      <c r="M32" s="113">
        <f>IFERROR(ROUNDDOWN(SUM(J18:M20)+J30+J31,0),"-")</f>
        <v>1054575</v>
      </c>
      <c r="N32" s="143"/>
      <c r="O32" s="144"/>
      <c r="P32" s="114"/>
    </row>
    <row r="33" spans="1:15">
      <c r="A33" s="115" t="s">
        <v>111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56" bestFit="1" customWidth="1"/>
    <col min="2" max="5" width="17.625" style="56" hidden="1" customWidth="1"/>
    <col min="6" max="9" width="17.625" style="47" hidden="1" customWidth="1"/>
    <col min="10" max="10" width="42.625" style="43" customWidth="1"/>
    <col min="11" max="11" width="30.625" style="43" customWidth="1"/>
    <col min="12" max="12" width="12" style="47" bestFit="1" customWidth="1"/>
    <col min="13" max="13" width="6.625" style="47" customWidth="1"/>
    <col min="14" max="14" width="10.25" style="47" bestFit="1" customWidth="1"/>
    <col min="15" max="15" width="13.25" style="47" bestFit="1" customWidth="1"/>
    <col min="16" max="16" width="9.875" style="47" customWidth="1"/>
    <col min="17" max="17" width="13.25" style="47" bestFit="1" customWidth="1"/>
    <col min="18" max="18" width="6.375" style="47" customWidth="1"/>
    <col min="19" max="19" width="8.75" style="47" bestFit="1" customWidth="1"/>
    <col min="20" max="20" width="6.375" style="47" customWidth="1"/>
    <col min="21" max="21" width="8.75" style="47" bestFit="1" customWidth="1"/>
    <col min="22" max="22" width="14.75" style="47" customWidth="1"/>
    <col min="23" max="23" width="10.625" style="2" bestFit="1" customWidth="1"/>
    <col min="24" max="24" width="8.5" style="47" bestFit="1" customWidth="1"/>
    <col min="25" max="16384" width="9" style="47"/>
  </cols>
  <sheetData>
    <row r="1" spans="1:24" ht="19.899999999999999" customHeight="1">
      <c r="A1" s="240"/>
      <c r="B1" s="240"/>
      <c r="C1" s="240"/>
      <c r="D1" s="240"/>
      <c r="E1" s="240"/>
      <c r="F1" s="240"/>
      <c r="G1" s="240"/>
      <c r="H1" s="240"/>
      <c r="I1" s="240"/>
      <c r="N1" s="2"/>
      <c r="O1" s="46" t="s">
        <v>10</v>
      </c>
      <c r="Q1" s="46" t="s">
        <v>10</v>
      </c>
      <c r="S1" s="46" t="s">
        <v>10</v>
      </c>
      <c r="U1" s="46" t="s">
        <v>10</v>
      </c>
    </row>
    <row r="2" spans="1:24" ht="19.899999999999999" customHeight="1" thickBot="1">
      <c r="A2" s="240"/>
      <c r="B2" s="240"/>
      <c r="C2" s="240"/>
      <c r="D2" s="240"/>
      <c r="E2" s="240"/>
      <c r="F2" s="240"/>
      <c r="G2" s="240"/>
      <c r="H2" s="240"/>
      <c r="I2" s="240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48"/>
      <c r="B3" s="48"/>
      <c r="C3" s="48"/>
      <c r="D3" s="48"/>
      <c r="E3" s="48"/>
      <c r="F3" s="48" t="s">
        <v>11</v>
      </c>
      <c r="G3" s="49"/>
      <c r="H3" s="49"/>
      <c r="I3" s="49"/>
      <c r="J3" s="251" t="s">
        <v>12</v>
      </c>
      <c r="K3" s="251"/>
      <c r="L3" s="249" t="s">
        <v>13</v>
      </c>
      <c r="M3" s="249" t="s">
        <v>5</v>
      </c>
      <c r="N3" s="245" t="s">
        <v>14</v>
      </c>
      <c r="O3" s="245"/>
      <c r="P3" s="245" t="s">
        <v>15</v>
      </c>
      <c r="Q3" s="245"/>
      <c r="R3" s="246" t="s">
        <v>16</v>
      </c>
      <c r="S3" s="246"/>
      <c r="T3" s="246" t="s">
        <v>17</v>
      </c>
      <c r="U3" s="246"/>
      <c r="V3" s="247" t="s">
        <v>18</v>
      </c>
      <c r="W3" s="243" t="s">
        <v>19</v>
      </c>
      <c r="X3" s="241" t="s">
        <v>7</v>
      </c>
    </row>
    <row r="4" spans="1:24" ht="19.899999999999999" customHeight="1">
      <c r="A4" s="5" t="s">
        <v>20</v>
      </c>
      <c r="B4" s="6"/>
      <c r="C4" s="6"/>
      <c r="D4" s="6"/>
      <c r="E4" s="6"/>
      <c r="F4" s="7" t="s">
        <v>21</v>
      </c>
      <c r="G4" s="7" t="s">
        <v>22</v>
      </c>
      <c r="H4" s="7" t="s">
        <v>23</v>
      </c>
      <c r="I4" s="7" t="s">
        <v>24</v>
      </c>
      <c r="J4" s="44" t="s">
        <v>25</v>
      </c>
      <c r="K4" s="44" t="s">
        <v>26</v>
      </c>
      <c r="L4" s="250"/>
      <c r="M4" s="250"/>
      <c r="N4" s="8" t="s">
        <v>27</v>
      </c>
      <c r="O4" s="9" t="s">
        <v>28</v>
      </c>
      <c r="P4" s="8" t="s">
        <v>29</v>
      </c>
      <c r="Q4" s="9" t="s">
        <v>28</v>
      </c>
      <c r="R4" s="9" t="s">
        <v>30</v>
      </c>
      <c r="S4" s="9" t="s">
        <v>28</v>
      </c>
      <c r="T4" s="9" t="s">
        <v>30</v>
      </c>
      <c r="U4" s="9" t="s">
        <v>28</v>
      </c>
      <c r="V4" s="248"/>
      <c r="W4" s="244"/>
      <c r="X4" s="242"/>
    </row>
    <row r="5" spans="1:24" s="50" customFormat="1" ht="38.1" customHeight="1">
      <c r="A5" s="10" t="str">
        <f t="shared" ref="A5:A9" si="0">F5&amp;G5&amp;H5&amp;I5</f>
        <v>E00000801011510201</v>
      </c>
      <c r="B5" s="58"/>
      <c r="C5" s="58"/>
      <c r="D5" s="58"/>
      <c r="E5" s="58"/>
      <c r="F5" s="21"/>
      <c r="G5" s="24" t="s">
        <v>31</v>
      </c>
      <c r="H5" s="22"/>
      <c r="I5" s="22"/>
      <c r="J5" s="27" t="s">
        <v>32</v>
      </c>
      <c r="K5" s="27" t="s">
        <v>33</v>
      </c>
      <c r="L5" s="37" t="s">
        <v>34</v>
      </c>
      <c r="M5" s="40">
        <v>8</v>
      </c>
      <c r="N5" s="32"/>
      <c r="O5" s="33">
        <f t="shared" ref="O5:O9" si="1">SUM(N5:N5)*M5*$O$2</f>
        <v>0</v>
      </c>
      <c r="P5" s="34">
        <v>21520</v>
      </c>
      <c r="Q5" s="33">
        <f t="shared" ref="Q5:Q8" si="2">(P5*M5)*$Q$2</f>
        <v>143753.60000000001</v>
      </c>
      <c r="R5" s="35"/>
      <c r="S5" s="33">
        <f t="shared" ref="S5:S9" si="3">R5*M5*$S$2</f>
        <v>0</v>
      </c>
      <c r="T5" s="35"/>
      <c r="U5" s="33">
        <f t="shared" ref="U5:U9" si="4">T5*M5*$U$2</f>
        <v>0</v>
      </c>
      <c r="V5" s="13">
        <f t="shared" ref="V5:V9" si="5">SUM(O5+Q5)+S5+U5</f>
        <v>143753.60000000001</v>
      </c>
      <c r="W5" s="14"/>
      <c r="X5" s="15"/>
    </row>
    <row r="6" spans="1:24" s="50" customFormat="1" ht="38.1" customHeight="1">
      <c r="A6" s="10" t="str">
        <f t="shared" si="0"/>
        <v>M020750510120102</v>
      </c>
      <c r="B6" s="58"/>
      <c r="C6" s="58"/>
      <c r="D6" s="58"/>
      <c r="E6" s="58"/>
      <c r="F6" s="21"/>
      <c r="G6" s="22"/>
      <c r="H6" s="24" t="s">
        <v>35</v>
      </c>
      <c r="I6" s="22"/>
      <c r="J6" s="27" t="s">
        <v>36</v>
      </c>
      <c r="K6" s="27" t="s">
        <v>37</v>
      </c>
      <c r="L6" s="37" t="s">
        <v>38</v>
      </c>
      <c r="M6" s="40">
        <v>10</v>
      </c>
      <c r="N6" s="34">
        <v>6400</v>
      </c>
      <c r="O6" s="33">
        <f t="shared" si="1"/>
        <v>53440</v>
      </c>
      <c r="P6" s="36"/>
      <c r="Q6" s="33">
        <f t="shared" si="2"/>
        <v>0</v>
      </c>
      <c r="R6" s="35"/>
      <c r="S6" s="33">
        <f t="shared" si="3"/>
        <v>0</v>
      </c>
      <c r="T6" s="35"/>
      <c r="U6" s="33">
        <f t="shared" si="4"/>
        <v>0</v>
      </c>
      <c r="V6" s="13">
        <f t="shared" si="5"/>
        <v>53440</v>
      </c>
      <c r="W6" s="14"/>
      <c r="X6" s="15"/>
    </row>
    <row r="7" spans="1:24" s="50" customFormat="1" ht="38.1" customHeight="1">
      <c r="A7" s="10" t="str">
        <f t="shared" si="0"/>
        <v>M020750510130104</v>
      </c>
      <c r="B7" s="58"/>
      <c r="C7" s="58"/>
      <c r="D7" s="58"/>
      <c r="E7" s="58"/>
      <c r="F7" s="21"/>
      <c r="G7" s="24"/>
      <c r="H7" s="24" t="s">
        <v>39</v>
      </c>
      <c r="I7" s="24"/>
      <c r="J7" s="27" t="s">
        <v>40</v>
      </c>
      <c r="K7" s="27" t="s">
        <v>41</v>
      </c>
      <c r="L7" s="37" t="s">
        <v>38</v>
      </c>
      <c r="M7" s="40">
        <v>10</v>
      </c>
      <c r="N7" s="34">
        <v>12000</v>
      </c>
      <c r="O7" s="33">
        <f t="shared" si="1"/>
        <v>100200</v>
      </c>
      <c r="P7" s="36"/>
      <c r="Q7" s="33">
        <f t="shared" si="2"/>
        <v>0</v>
      </c>
      <c r="R7" s="35"/>
      <c r="S7" s="33">
        <f t="shared" si="3"/>
        <v>0</v>
      </c>
      <c r="T7" s="35"/>
      <c r="U7" s="33">
        <f t="shared" si="4"/>
        <v>0</v>
      </c>
      <c r="V7" s="13">
        <f t="shared" si="5"/>
        <v>100200</v>
      </c>
      <c r="W7" s="14"/>
      <c r="X7" s="15"/>
    </row>
    <row r="8" spans="1:24" s="50" customFormat="1" ht="38.1" customHeight="1">
      <c r="A8" s="10" t="str">
        <f t="shared" si="0"/>
        <v>E00000803066470202</v>
      </c>
      <c r="B8" s="58"/>
      <c r="C8" s="58"/>
      <c r="D8" s="58"/>
      <c r="E8" s="58"/>
      <c r="F8" s="28"/>
      <c r="G8" s="24" t="s">
        <v>42</v>
      </c>
      <c r="H8" s="24"/>
      <c r="I8" s="28"/>
      <c r="J8" s="27" t="s">
        <v>43</v>
      </c>
      <c r="K8" s="27" t="s">
        <v>47</v>
      </c>
      <c r="L8" s="38" t="s">
        <v>44</v>
      </c>
      <c r="M8" s="41">
        <v>0.57150000000000001</v>
      </c>
      <c r="N8" s="29"/>
      <c r="O8" s="11">
        <f t="shared" si="1"/>
        <v>0</v>
      </c>
      <c r="P8" s="30">
        <v>652621</v>
      </c>
      <c r="Q8" s="11">
        <f t="shared" si="2"/>
        <v>311432.37275249994</v>
      </c>
      <c r="R8" s="12"/>
      <c r="S8" s="11">
        <f t="shared" si="3"/>
        <v>0</v>
      </c>
      <c r="T8" s="12"/>
      <c r="U8" s="11">
        <f t="shared" si="4"/>
        <v>0</v>
      </c>
      <c r="V8" s="13">
        <f t="shared" si="5"/>
        <v>311432.37275249994</v>
      </c>
      <c r="W8" s="14"/>
      <c r="X8" s="15"/>
    </row>
    <row r="9" spans="1:24" s="50" customFormat="1" ht="38.1" customHeight="1">
      <c r="A9" s="10" t="str">
        <f t="shared" si="0"/>
        <v>L003</v>
      </c>
      <c r="B9" s="58"/>
      <c r="C9" s="58"/>
      <c r="D9" s="58"/>
      <c r="E9" s="58"/>
      <c r="F9" s="21"/>
      <c r="G9" s="22"/>
      <c r="H9" s="22"/>
      <c r="I9" s="21" t="s">
        <v>8</v>
      </c>
      <c r="J9" s="26" t="s">
        <v>9</v>
      </c>
      <c r="K9" s="27" t="s">
        <v>45</v>
      </c>
      <c r="L9" s="39" t="s">
        <v>46</v>
      </c>
      <c r="M9" s="42">
        <v>1</v>
      </c>
      <c r="N9" s="23"/>
      <c r="O9" s="11">
        <f t="shared" si="1"/>
        <v>0</v>
      </c>
      <c r="P9" s="25">
        <v>219321</v>
      </c>
      <c r="Q9" s="11">
        <f t="shared" ref="Q9" si="6">M9*P9</f>
        <v>219321</v>
      </c>
      <c r="R9" s="12"/>
      <c r="S9" s="11">
        <f t="shared" si="3"/>
        <v>0</v>
      </c>
      <c r="T9" s="12"/>
      <c r="U9" s="11">
        <f t="shared" si="4"/>
        <v>0</v>
      </c>
      <c r="V9" s="13">
        <f t="shared" si="5"/>
        <v>219321</v>
      </c>
      <c r="W9" s="20"/>
      <c r="X9" s="15"/>
    </row>
    <row r="10" spans="1:24" s="52" customFormat="1" ht="38.1" customHeight="1">
      <c r="A10" s="51"/>
      <c r="B10" s="51"/>
      <c r="C10" s="51"/>
      <c r="D10" s="51"/>
      <c r="E10" s="51"/>
      <c r="J10" s="45"/>
      <c r="K10" s="45"/>
      <c r="O10" s="53">
        <f>SUM(O5:O9)</f>
        <v>153640</v>
      </c>
      <c r="P10" s="54"/>
      <c r="Q10" s="53">
        <f>SUM(Q5:Q9)</f>
        <v>674506.97275249998</v>
      </c>
      <c r="R10" s="54"/>
      <c r="S10" s="53">
        <f>SUM(S5:S9)</f>
        <v>0</v>
      </c>
      <c r="T10" s="54"/>
      <c r="U10" s="53">
        <f>SUM(U5:U9)</f>
        <v>0</v>
      </c>
      <c r="V10" s="55">
        <f>SUM(V5:V9)</f>
        <v>828146.97275249986</v>
      </c>
      <c r="W10" s="16"/>
    </row>
    <row r="14" spans="1:24" ht="38.1" customHeight="1">
      <c r="Q14" s="5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1"/>
  </cols>
  <sheetData>
    <row r="1" spans="1:6" ht="18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>
      <c r="A2" s="18" t="str">
        <f>'내역서(표준단가)'!A5</f>
        <v>E00000801011510201</v>
      </c>
      <c r="B2" s="19">
        <f>'내역서(표준단가)'!F5</f>
        <v>0</v>
      </c>
      <c r="C2" s="19" t="str">
        <f>'내역서(표준단가)'!G5</f>
        <v>E00000801011510201</v>
      </c>
      <c r="D2" s="19">
        <f>'내역서(표준단가)'!H5</f>
        <v>0</v>
      </c>
      <c r="E2" s="19">
        <f>'내역서(표준단가)'!I5</f>
        <v>0</v>
      </c>
      <c r="F2" s="19">
        <f>'내역서(표준단가)'!M5</f>
        <v>8</v>
      </c>
    </row>
    <row r="3" spans="1:6">
      <c r="A3" s="18" t="str">
        <f>'내역서(표준단가)'!A6</f>
        <v>M020750510120102</v>
      </c>
      <c r="B3" s="19">
        <f>'내역서(표준단가)'!F6</f>
        <v>0</v>
      </c>
      <c r="C3" s="19">
        <f>'내역서(표준단가)'!G6</f>
        <v>0</v>
      </c>
      <c r="D3" s="19" t="str">
        <f>'내역서(표준단가)'!H6</f>
        <v>M020750510120102</v>
      </c>
      <c r="E3" s="19">
        <f>'내역서(표준단가)'!I6</f>
        <v>0</v>
      </c>
      <c r="F3" s="19">
        <f>'내역서(표준단가)'!M6</f>
        <v>10</v>
      </c>
    </row>
    <row r="4" spans="1:6">
      <c r="A4" s="18" t="str">
        <f>'내역서(표준단가)'!A7</f>
        <v>M020750510130104</v>
      </c>
      <c r="B4" s="19">
        <f>'내역서(표준단가)'!F7</f>
        <v>0</v>
      </c>
      <c r="C4" s="19">
        <f>'내역서(표준단가)'!G7</f>
        <v>0</v>
      </c>
      <c r="D4" s="19" t="str">
        <f>'내역서(표준단가)'!H7</f>
        <v>M020750510130104</v>
      </c>
      <c r="E4" s="19">
        <f>'내역서(표준단가)'!I7</f>
        <v>0</v>
      </c>
      <c r="F4" s="19">
        <f>'내역서(표준단가)'!M7</f>
        <v>10</v>
      </c>
    </row>
    <row r="5" spans="1:6">
      <c r="A5" s="18" t="str">
        <f>'내역서(표준단가)'!A8</f>
        <v>E00000803066470202</v>
      </c>
      <c r="B5" s="19">
        <f>'내역서(표준단가)'!F8</f>
        <v>0</v>
      </c>
      <c r="C5" s="19" t="str">
        <f>'내역서(표준단가)'!G8</f>
        <v>E00000803066470202</v>
      </c>
      <c r="D5" s="19">
        <f>'내역서(표준단가)'!H8</f>
        <v>0</v>
      </c>
      <c r="E5" s="19">
        <f>'내역서(표준단가)'!I8</f>
        <v>0</v>
      </c>
      <c r="F5" s="19">
        <f>'내역서(표준단가)'!M8</f>
        <v>0.57150000000000001</v>
      </c>
    </row>
    <row r="6" spans="1:6">
      <c r="A6" s="18" t="str">
        <f>'내역서(표준단가)'!A9</f>
        <v>L003</v>
      </c>
      <c r="B6" s="19">
        <f>'내역서(표준단가)'!F9</f>
        <v>0</v>
      </c>
      <c r="C6" s="19">
        <f>'내역서(표준단가)'!G9</f>
        <v>0</v>
      </c>
      <c r="D6" s="19">
        <f>'내역서(표준단가)'!H9</f>
        <v>0</v>
      </c>
      <c r="E6" s="19" t="str">
        <f>'내역서(표준단가)'!I9</f>
        <v>L003</v>
      </c>
      <c r="F6" s="19">
        <f>'내역서(표준단가)'!M9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2025-06-26T01:08:08Z</dcterms:modified>
</cp:coreProperties>
</file>
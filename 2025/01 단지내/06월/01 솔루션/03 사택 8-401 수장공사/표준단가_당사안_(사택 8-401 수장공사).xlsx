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07\06 작업폴더\01 사택 8-401 수장공사\"/>
    </mc:Choice>
  </mc:AlternateContent>
  <xr:revisionPtr revIDLastSave="0" documentId="13_ncr:1_{E040B028-FFB0-4E1A-8C18-497705877526}" xr6:coauthVersionLast="47" xr6:coauthVersionMax="47" xr10:uidLastSave="{00000000-0000-0000-0000-000000000000}"/>
  <bookViews>
    <workbookView xWindow="390" yWindow="39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2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F17" i="5" s="1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<sst xmlns="http://schemas.openxmlformats.org/spreadsheetml/2006/main" count="240" uniqueCount="172">
  <si>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</si>
  <si>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</si>
  <si>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</si>
  <si>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</si>
  <si>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</si>
  <si>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</si>
  <si>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</si>
  <si>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</si>
  <si>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</si>
  <si>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</si>
  <si>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</si>
  <si>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</si>
  <si>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</si>
  <si>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</si>
  <si>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</si>
  <si>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</si>
  <si>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</si>
  <si>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</si>
  <si>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</si>
  <si>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</si>
  <si>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</si>
  <si>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</si>
  <si>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</si>
  <si>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</si>
  <si>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</si>
  <si>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</si>
  <si>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</si>
  <si>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</si>
  <si>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</si>
  <si>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</si>
  <si>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</si>
  <si>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</si>
  <si>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</si>
  <si>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</si>
  <si>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</si>
  <si>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</si>
  <si>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</si>
  <si>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</si>
  <si>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</si>
  <si>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</si>
  <si>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</si>
  <si>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</si>
  <si>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</si>
  <si>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</si>
  <si>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</si>
  <si>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</si>
  <si>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</si>
  <si>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</si>
  <si>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</si>
  <si>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</si>
  <si>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</si>
  <si>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</si>
  <si>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</si>
  <si>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</si>
  <si>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</si>
  <si>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</si>
  <si>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</si>
  <si>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</si>
  <si>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</si>
  <si>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</si>
  <si>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</si>
  <si>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</si>
  <si>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</si>
  <si>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</si>
  <si>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</si>
  <si>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</si>
  <si>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</si>
  <si>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</si>
  <si>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</si>
  <si>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</si>
  <si>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</si>
  <si>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</si>
  <si>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</si>
  <si>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</si>
  <si>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</si>
  <si>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</si>
  <si>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</si>
  <si>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</si>
  <si>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</si>
  <si>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</si>
  <si>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</si>
  <si>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</si>
  <si>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</si>
  <si>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</si>
  <si>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</si>
  <si>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</si>
  <si>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</si>
  <si>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</si>
  <si>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</si>
  <si>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</si>
  <si>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</si>
  <si>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</si>
  <si>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</si>
  <si>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</si>
  <si>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</si>
  <si>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</si>
  <si>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</si>
  <si>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</si>
  <si>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</si>
  <si>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</si>
  <si>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</si>
  <si>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</si>
  <si>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</si>
  <si>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</si>
  <si>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</si>
  <si>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</si>
  <si>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</si>
  <si>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</si>
  <si>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</si>
  <si>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</si>
  <si>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</si>
  <si>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</si>
  <si>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</si>
  <si>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</si>
  <si>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</si>
  <si>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</si>
  <si>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</si>
  <si>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</si>
  <si>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</si>
  <si>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</si>
  <si>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</si>
  <si>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</si>
  <si>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</si>
  <si>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</si>
  <si>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</si>
  <si>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</si>
  <si>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</si>
  <si>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</si>
  <si>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</si>
  <si>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</si>
  <si>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</si>
  <si>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</si>
  <si>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</si>
  <si>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</si>
  <si>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</si>
  <si>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</si>
  <si>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</si>
  <si>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</si>
  <si>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</si>
  <si>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</si>
  <si>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</si>
  <si>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</si>
  <si>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</si>
  <si>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</si>
  <si>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</si>
  <si>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</si>
  <si>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</si>
  <si>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</si>
  <si>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</si>
  <si>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</si>
  <si>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</si>
  <si>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</si>
  <si>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</si>
  <si>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</si>
  <si>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</si>
  <si>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</si>
  <si>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</si>
  <si>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</si>
  <si>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</si>
  <si>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</si>
  <si>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</si>
  <si>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</si>
  <si>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</si>
  <si>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</si>
  <si>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</si>
  <si>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</si>
  <si>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</si>
  <si>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</si>
  <si>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</si>
  <si>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 xml:space="preserve"> 공사명 : 사택 8-401 수장공사</t>
    <phoneticPr fontId="11" type="noConversion"/>
  </si>
  <si>
    <t>사택 8-401 수장공사</t>
    <phoneticPr fontId="5" type="noConversion"/>
  </si>
  <si>
    <t xml:space="preserve"> 견적일 : 2025 년  04월  05일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</si>
</sst>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0" sqref="K1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">
      <c r="A3" s="132"/>
      <c r="B3" s="132"/>
      <c r="C3" s="132"/>
      <c r="D3" s="132"/>
      <c r="E3" s="132"/>
      <c r="F3" s="132"/>
      <c r="G3" s="132"/>
      <c r="H3" s="132"/>
    </row>
    <row r="4" spans="1:9" ht="14.25" x14ac:dyDescent="0.2">
      <c r="A4" s="132"/>
      <c r="B4" s="132"/>
      <c r="C4" s="132"/>
      <c r="D4" s="132"/>
      <c r="E4" s="132"/>
      <c r="H4" s="132"/>
    </row>
    <row r="5" spans="1:9" ht="27" customHeight="1" x14ac:dyDescent="0.2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 x14ac:dyDescent="0.2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 x14ac:dyDescent="0.2">
      <c r="A7" s="173" t="s">
        <v>169</v>
      </c>
      <c r="B7" s="174"/>
      <c r="C7" s="175"/>
      <c r="D7" s="132"/>
      <c r="E7" s="10"/>
      <c r="F7" s="11" t="s">
        <v>43</v>
      </c>
      <c r="G7" s="9" t="s">
        <v>55</v>
      </c>
      <c r="H7" s="132"/>
    </row>
    <row r="8" spans="1:9" ht="27" customHeight="1" x14ac:dyDescent="0.2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 x14ac:dyDescent="0.2">
      <c r="A9" s="173" t="s">
        <v>171</v>
      </c>
      <c r="B9" s="174"/>
      <c r="C9" s="175"/>
      <c r="D9" s="132"/>
      <c r="E9" s="132"/>
      <c r="F9" s="8" t="s">
        <v>45</v>
      </c>
      <c r="G9" s="9" t="s">
        <v>57</v>
      </c>
      <c r="H9" s="132"/>
    </row>
    <row r="10" spans="1:9" ht="27" customHeight="1" x14ac:dyDescent="0.2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 x14ac:dyDescent="0.2">
      <c r="A11" s="171"/>
      <c r="B11" s="172"/>
      <c r="C11" s="172"/>
      <c r="D11" s="132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오백일십팔만삼천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897493.73800000001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상세내역!H33</f>
        <v>3495769.15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4393262.8880000003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157309.61174999998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123925.01636750001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16048.289619591251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35307.268414999999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124449.38174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128722.60261840002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204076.56602552457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789838.73653601576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5183101.624536016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5183000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66"/>
      <c r="O1" s="151" t="s">
        <v>100</v>
      </c>
      <c r="Q1" s="151" t="s">
        <v>100</v>
      </c>
      <c r="S1" s="151" t="s">
        <v>100</v>
      </c>
      <c r="U1" s="151" t="s">
        <v>100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4"/>
      <c r="B3" s="155"/>
      <c r="C3" s="155"/>
      <c r="D3" s="155"/>
      <c r="E3" s="155"/>
      <c r="F3" s="155" t="s">
        <v>101</v>
      </c>
      <c r="G3" s="155"/>
      <c r="H3" s="155"/>
      <c r="I3" s="155"/>
      <c r="J3" s="187" t="s">
        <v>102</v>
      </c>
      <c r="K3" s="187"/>
      <c r="L3" s="185" t="s">
        <v>48</v>
      </c>
      <c r="M3" s="185" t="s">
        <v>5</v>
      </c>
      <c r="N3" s="181" t="s">
        <v>103</v>
      </c>
      <c r="O3" s="181"/>
      <c r="P3" s="181" t="s">
        <v>104</v>
      </c>
      <c r="Q3" s="181"/>
      <c r="R3" s="182" t="s">
        <v>105</v>
      </c>
      <c r="S3" s="182"/>
      <c r="T3" s="182" t="s">
        <v>106</v>
      </c>
      <c r="U3" s="182"/>
      <c r="V3" s="183" t="s">
        <v>107</v>
      </c>
      <c r="W3" s="179" t="s">
        <v>108</v>
      </c>
      <c r="X3" s="177" t="s">
        <v>46</v>
      </c>
    </row>
    <row r="4" spans="1:24" ht="19.899999999999999" customHeight="1" x14ac:dyDescent="0.3">
      <c r="A4" s="69" t="s">
        <v>109</v>
      </c>
      <c r="B4" s="152"/>
      <c r="C4" s="152"/>
      <c r="D4" s="152"/>
      <c r="E4" s="152"/>
      <c r="F4" s="70" t="s">
        <v>110</v>
      </c>
      <c r="G4" s="70" t="s">
        <v>111</v>
      </c>
      <c r="H4" s="70" t="s">
        <v>112</v>
      </c>
      <c r="I4" s="70" t="s">
        <v>113</v>
      </c>
      <c r="J4" s="148" t="s">
        <v>114</v>
      </c>
      <c r="K4" s="148" t="s">
        <v>115</v>
      </c>
      <c r="L4" s="186"/>
      <c r="M4" s="186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4"/>
      <c r="W4" s="180"/>
      <c r="X4" s="178"/>
    </row>
    <row r="5" spans="1:24" s="156" customFormat="1" ht="38.1" customHeight="1" x14ac:dyDescent="0.3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155</v>
      </c>
      <c r="I5" s="103"/>
      <c r="J5" s="146" t="s">
        <v>156</v>
      </c>
      <c r="K5" s="146" t="s">
        <v>165</v>
      </c>
      <c r="L5" s="123" t="s">
        <v>164</v>
      </c>
      <c r="M5" s="145">
        <v>11.992000000000001</v>
      </c>
      <c r="N5" s="168">
        <v>20900</v>
      </c>
      <c r="O5" s="140">
        <f t="shared" ref="O5" si="1">SUM(N5:N5)*M5*$O$2</f>
        <v>209278.38800000001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209278.38800000001</v>
      </c>
      <c r="W5" s="122"/>
      <c r="X5" s="78"/>
    </row>
    <row r="6" spans="1:24" s="156" customFormat="1" ht="38.1" customHeight="1" x14ac:dyDescent="0.3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6" t="s">
        <v>122</v>
      </c>
      <c r="K6" s="146" t="s">
        <v>166</v>
      </c>
      <c r="L6" s="75" t="s">
        <v>121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 x14ac:dyDescent="0.3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6" t="s">
        <v>123</v>
      </c>
      <c r="K7" s="146" t="s">
        <v>167</v>
      </c>
      <c r="L7" s="75" t="s">
        <v>121</v>
      </c>
      <c r="M7" s="145">
        <v>1.7709999999999999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720280.68265999993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720280.68265999993</v>
      </c>
      <c r="W7" s="122"/>
      <c r="X7" s="78"/>
    </row>
    <row r="8" spans="1:24" s="156" customFormat="1" ht="38.1" customHeight="1" x14ac:dyDescent="0.3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158</v>
      </c>
      <c r="I8" s="103"/>
      <c r="J8" s="146" t="s">
        <v>159</v>
      </c>
      <c r="K8" s="146" t="s">
        <v>160</v>
      </c>
      <c r="L8" s="123" t="s">
        <v>157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 x14ac:dyDescent="0.3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6" t="s">
        <v>125</v>
      </c>
      <c r="K9" s="146" t="s">
        <v>168</v>
      </c>
      <c r="L9" s="75" t="s">
        <v>121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 x14ac:dyDescent="0.3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150</v>
      </c>
      <c r="I10" s="103"/>
      <c r="J10" s="149" t="s">
        <v>149</v>
      </c>
      <c r="K10" s="149" t="s">
        <v>144</v>
      </c>
      <c r="L10" s="136" t="s">
        <v>143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 x14ac:dyDescent="0.3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6" t="s">
        <v>127</v>
      </c>
      <c r="K11" s="146" t="s">
        <v>128</v>
      </c>
      <c r="L11" s="123" t="s">
        <v>141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 x14ac:dyDescent="0.3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6" t="s">
        <v>131</v>
      </c>
      <c r="K12" s="146" t="s">
        <v>132</v>
      </c>
      <c r="L12" s="123" t="s">
        <v>129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 x14ac:dyDescent="0.3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145</v>
      </c>
      <c r="I13" s="103"/>
      <c r="J13" s="149" t="s">
        <v>146</v>
      </c>
      <c r="K13" s="149" t="s">
        <v>147</v>
      </c>
      <c r="L13" s="136" t="s">
        <v>143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 x14ac:dyDescent="0.3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6" t="s">
        <v>134</v>
      </c>
      <c r="K14" s="146" t="s">
        <v>135</v>
      </c>
      <c r="L14" s="123" t="s">
        <v>129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 x14ac:dyDescent="0.3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6" t="s">
        <v>137</v>
      </c>
      <c r="K15" s="146" t="s">
        <v>132</v>
      </c>
      <c r="L15" s="123" t="s">
        <v>129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 x14ac:dyDescent="0.3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6" t="s">
        <v>138</v>
      </c>
      <c r="K16" s="146" t="s">
        <v>135</v>
      </c>
      <c r="L16" s="123" t="s">
        <v>129</v>
      </c>
      <c r="M16" s="145">
        <v>1.1000000000000001</v>
      </c>
      <c r="N16" s="157"/>
      <c r="O16" s="76">
        <f t="shared" si="12"/>
        <v>0</v>
      </c>
      <c r="P16" s="158">
        <v>2422</v>
      </c>
      <c r="Q16" s="76">
        <f t="shared" si="2"/>
        <v>2224.607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2224.607</v>
      </c>
      <c r="W16" s="122"/>
      <c r="X16" s="78"/>
    </row>
    <row r="17" spans="1:24" s="156" customFormat="1" ht="38.1" customHeight="1" x14ac:dyDescent="0.3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6" t="s">
        <v>140</v>
      </c>
      <c r="K17" s="146" t="s">
        <v>132</v>
      </c>
      <c r="L17" s="123" t="s">
        <v>129</v>
      </c>
      <c r="M17" s="145">
        <v>1.1000000000000001</v>
      </c>
      <c r="N17" s="124"/>
      <c r="O17" s="76">
        <f t="shared" si="12"/>
        <v>0</v>
      </c>
      <c r="P17" s="158">
        <v>5677</v>
      </c>
      <c r="Q17" s="76">
        <f t="shared" si="2"/>
        <v>5214.3245000000006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5214.3245000000006</v>
      </c>
      <c r="W17" s="122"/>
      <c r="X17" s="78"/>
    </row>
    <row r="18" spans="1:24" s="156" customFormat="1" ht="38.1" customHeight="1" x14ac:dyDescent="0.3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9" t="s">
        <v>153</v>
      </c>
      <c r="K18" s="159" t="s">
        <v>162</v>
      </c>
      <c r="L18" s="160" t="s">
        <v>154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 x14ac:dyDescent="0.3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897493.73800000001</v>
      </c>
      <c r="P19" s="164"/>
      <c r="Q19" s="163">
        <f>SUM(Q5:Q18)</f>
        <v>3489621.2138039996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4387114.951804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Q15" sqref="Q15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190" t="s">
        <v>60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6" ht="15" customHeight="1" x14ac:dyDescent="0.3">
      <c r="A2" s="191" t="s">
        <v>61</v>
      </c>
      <c r="B2" s="192" t="s">
        <v>62</v>
      </c>
      <c r="C2" s="193" t="s">
        <v>48</v>
      </c>
      <c r="D2" s="193" t="s">
        <v>63</v>
      </c>
      <c r="E2" s="195" t="s">
        <v>64</v>
      </c>
      <c r="F2" s="192"/>
      <c r="G2" s="192" t="s">
        <v>65</v>
      </c>
      <c r="H2" s="192"/>
      <c r="I2" s="196" t="s">
        <v>66</v>
      </c>
      <c r="J2" s="197"/>
      <c r="K2" s="196" t="s">
        <v>67</v>
      </c>
      <c r="L2" s="197"/>
      <c r="M2" s="195" t="s">
        <v>68</v>
      </c>
      <c r="N2" s="192"/>
      <c r="O2" s="198" t="s">
        <v>69</v>
      </c>
    </row>
    <row r="3" spans="1:16" ht="15" customHeight="1" x14ac:dyDescent="0.3">
      <c r="A3" s="191"/>
      <c r="B3" s="192"/>
      <c r="C3" s="194"/>
      <c r="D3" s="194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199"/>
    </row>
    <row r="4" spans="1:16" ht="15" customHeight="1" x14ac:dyDescent="0.3">
      <c r="A4" s="188" t="s">
        <v>170</v>
      </c>
      <c r="B4" s="189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201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203" t="s">
        <v>151</v>
      </c>
    </row>
    <row r="6" spans="1:16" ht="15" customHeight="1" x14ac:dyDescent="0.3">
      <c r="A6" s="202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204"/>
    </row>
    <row r="7" spans="1:16" ht="15" customHeight="1" x14ac:dyDescent="0.3">
      <c r="A7" s="202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204"/>
      <c r="P7" s="120"/>
    </row>
    <row r="8" spans="1:16" ht="15" customHeight="1" x14ac:dyDescent="0.3">
      <c r="A8" s="202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204"/>
    </row>
    <row r="9" spans="1:16" ht="15" customHeight="1" x14ac:dyDescent="0.3">
      <c r="A9" s="202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204"/>
    </row>
    <row r="10" spans="1:16" ht="15" customHeight="1" x14ac:dyDescent="0.3">
      <c r="A10" s="202"/>
      <c r="B10" s="82" t="s">
        <v>80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204"/>
    </row>
    <row r="11" spans="1:16" ht="15" customHeight="1" x14ac:dyDescent="0.3">
      <c r="A11" s="202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204"/>
    </row>
    <row r="12" spans="1:16" ht="15" customHeight="1" x14ac:dyDescent="0.3">
      <c r="A12" s="202"/>
      <c r="B12" s="82" t="s">
        <v>82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204"/>
    </row>
    <row r="13" spans="1:16" ht="15" customHeight="1" x14ac:dyDescent="0.3">
      <c r="A13" s="113" t="s">
        <v>83</v>
      </c>
      <c r="B13" s="114"/>
      <c r="C13" s="115"/>
      <c r="D13" s="116">
        <v>198</v>
      </c>
      <c r="E13" s="125"/>
      <c r="F13" s="117">
        <f>SUM(F5:F12)</f>
        <v>209286</v>
      </c>
      <c r="G13" s="117"/>
      <c r="H13" s="117">
        <f>SUM(H5:H12)</f>
        <v>1922505.1999999997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2131791.1999999997</v>
      </c>
      <c r="O13" s="117"/>
    </row>
    <row r="14" spans="1:16" ht="15" customHeight="1" x14ac:dyDescent="0.3">
      <c r="A14" s="205" t="s">
        <v>152</v>
      </c>
      <c r="B14" s="82" t="s">
        <v>84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204"/>
    </row>
    <row r="15" spans="1:16" ht="15" customHeight="1" x14ac:dyDescent="0.3">
      <c r="A15" s="205"/>
      <c r="B15" s="82" t="s">
        <v>85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204"/>
    </row>
    <row r="16" spans="1:16" ht="15" customHeight="1" x14ac:dyDescent="0.3">
      <c r="A16" s="205"/>
      <c r="B16" s="82" t="s">
        <v>86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204"/>
    </row>
    <row r="17" spans="1:15" ht="15" customHeight="1" x14ac:dyDescent="0.3">
      <c r="A17" s="206"/>
      <c r="B17" s="82" t="s">
        <v>87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207"/>
    </row>
    <row r="18" spans="1:15" ht="15" customHeight="1" x14ac:dyDescent="0.3">
      <c r="A18" s="104" t="s">
        <v>83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 x14ac:dyDescent="0.3">
      <c r="A19" s="110" t="s">
        <v>88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9" t="s">
        <v>148</v>
      </c>
      <c r="B20" s="137" t="s">
        <v>144</v>
      </c>
      <c r="C20" s="137" t="s">
        <v>143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 x14ac:dyDescent="0.3">
      <c r="A21" s="200" t="s">
        <v>89</v>
      </c>
      <c r="B21" s="92" t="s">
        <v>90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 x14ac:dyDescent="0.3">
      <c r="A22" s="200"/>
      <c r="B22" s="92" t="s">
        <v>91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 x14ac:dyDescent="0.3">
      <c r="A23" s="200" t="s">
        <v>92</v>
      </c>
      <c r="B23" s="92" t="s">
        <v>90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 x14ac:dyDescent="0.3">
      <c r="A24" s="200"/>
      <c r="B24" s="92" t="s">
        <v>91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 x14ac:dyDescent="0.3">
      <c r="A25" s="138" t="s">
        <v>146</v>
      </c>
      <c r="B25" s="137" t="s">
        <v>147</v>
      </c>
      <c r="C25" s="137" t="s">
        <v>143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 x14ac:dyDescent="0.3">
      <c r="A26" s="200" t="s">
        <v>93</v>
      </c>
      <c r="B26" s="92" t="s">
        <v>94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 x14ac:dyDescent="0.3">
      <c r="A27" s="200"/>
      <c r="B27" s="92" t="s">
        <v>95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 x14ac:dyDescent="0.3">
      <c r="A28" s="200" t="s">
        <v>96</v>
      </c>
      <c r="B28" s="92" t="s">
        <v>94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 x14ac:dyDescent="0.3">
      <c r="A29" s="200"/>
      <c r="B29" s="92" t="s">
        <v>97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 x14ac:dyDescent="0.3">
      <c r="A30" s="104" t="s">
        <v>83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 x14ac:dyDescent="0.3">
      <c r="A31" s="111" t="s">
        <v>98</v>
      </c>
      <c r="B31" s="82" t="s">
        <v>161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99</v>
      </c>
    </row>
    <row r="32" spans="1:15" ht="15" customHeight="1" x14ac:dyDescent="0.3">
      <c r="A32" s="105" t="s">
        <v>83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 x14ac:dyDescent="0.3">
      <c r="A33" s="104" t="s">
        <v>142</v>
      </c>
      <c r="B33" s="87"/>
      <c r="C33" s="88"/>
      <c r="D33" s="98"/>
      <c r="E33" s="100"/>
      <c r="F33" s="101">
        <f>F13+F18+F30+F32</f>
        <v>897502.4</v>
      </c>
      <c r="G33" s="101"/>
      <c r="H33" s="101">
        <f>H13+H18+H30+H32</f>
        <v>3495769.15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4393271.5499999989</v>
      </c>
      <c r="O33" s="100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11.992000000000001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1.7709999999999999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1.1000000000000001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1.1000000000000001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2025-04-07T03:28:54Z</dcterms:modified>
</cp:coreProperties>
</file>
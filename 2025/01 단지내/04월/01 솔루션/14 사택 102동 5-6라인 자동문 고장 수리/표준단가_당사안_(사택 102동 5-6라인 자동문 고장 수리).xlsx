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4 사택 102동 5-6라인 자동문 고장 수리\"/>
    </mc:Choice>
  </mc:AlternateContent>
  <xr:revisionPtr revIDLastSave="0" documentId="13_ncr:1_{9A31589E-9C4B-40FD-B096-A132C00ECAE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6" r:id="rId3"/>
    <sheet name="Upload(시중가)" sheetId="14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/>
  <c r="E2" i="1"/>
  <c r="D2" i="1"/>
  <c r="C2" i="1"/>
  <c r="B2" i="1"/>
  <c r="U7" i="4"/>
  <c r="S7" i="4"/>
  <c r="Q7" i="4"/>
  <c r="O7" i="4"/>
  <c r="A7" i="4"/>
  <c r="U6" i="4"/>
  <c r="S6" i="4"/>
  <c r="Q6" i="4"/>
  <c r="O6" i="4"/>
  <c r="A6" i="4"/>
  <c r="A3" i="1" s="1"/>
  <c r="U5" i="4"/>
  <c r="S5" i="4"/>
  <c r="Q5" i="4"/>
  <c r="O5" i="4"/>
  <c r="A5" i="4"/>
  <c r="A2" i="1" s="1"/>
  <c r="V7" i="4" l="1"/>
  <c r="V5" i="4"/>
  <c r="V6" i="4"/>
  <c r="A8" i="4"/>
  <c r="U8" i="4"/>
  <c r="S8" i="4"/>
  <c r="Q8" i="4"/>
  <c r="O8" i="4"/>
  <c r="V8" i="4" l="1"/>
  <c r="U9" i="4" l="1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<sst xmlns="http://schemas.openxmlformats.org/spreadsheetml/2006/main" count="134" uniqueCount="109">
  <si>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</si>
  <si>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</si>
  <si>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</si>
  <si>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</si>
  <si>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</si>
  <si>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</si>
  <si>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</si>
  <si>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</si>
  <si>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</si>
  <si>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</si>
  <si>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</si>
  <si>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</si>
  <si>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</si>
  <si>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</si>
  <si>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</si>
  <si>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</si>
  <si>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</si>
  <si>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</si>
  <si>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</si>
  <si>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</si>
  <si>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</si>
  <si>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</si>
  <si>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</si>
  <si>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</si>
  <si>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 노무비*4.5%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</si>
  <si>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</si>
  <si>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</si>
  <si>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</si>
  <si>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</si>
  <si>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</si>
  <si>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</si>
  <si>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</si>
  <si>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</si>
  <si>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</si>
  <si>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</si>
  <si>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</si>
  <si>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</si>
  <si>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</si>
  <si>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</si>
  <si>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</si>
  <si>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</si>
  <si>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</si>
  <si>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</si>
  <si>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</si>
  <si>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</si>
  <si>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</si>
  <si>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</si>
  <si>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</si>
  <si>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</si>
  <si>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</si>
  <si>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</si>
  <si>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</si>
  <si>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</si>
  <si>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</si>
  <si>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</si>
  <si>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</si>
  <si>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</si>
  <si>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</si>
  <si>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</si>
  <si>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</si>
  <si>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</si>
  <si>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</si>
  <si>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</si>
  <si>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</si>
  <si>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5" type="noConversion"/>
  </si>
  <si>
    <t> 노무비*3.545%</t>
    <phoneticPr fontId="17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</si>
  <si>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</si>
  <si>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</si>
  <si>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</si>
  <si>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</si>
  <si>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</si>
  <si>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</si>
  <si>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</si>
  <si>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</si>
  <si>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</si>
  <si>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인</t>
    <phoneticPr fontId="9" type="noConversion"/>
  </si>
  <si>
    <t>L002</t>
  </si>
  <si>
    <t>영선,건축</t>
    <phoneticPr fontId="9" type="noConversion"/>
  </si>
  <si>
    <t>단가</t>
    <phoneticPr fontId="11" type="noConversion"/>
  </si>
  <si>
    <t>시중노임단가</t>
    <phoneticPr fontId="9" type="noConversion"/>
  </si>
  <si>
    <t>set</t>
    <phoneticPr fontId="9" type="noConversion"/>
  </si>
  <si>
    <t xml:space="preserve">시중가 </t>
    <phoneticPr fontId="9" type="noConversion"/>
  </si>
  <si>
    <t>L003</t>
    <phoneticPr fontId="9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</si>
  <si>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</si>
  <si>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</si>
  <si>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</si>
  <si>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</si>
  <si>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</si>
  <si>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</si>
  <si>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</si>
  <si>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</si>
  <si>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</si>
  <si>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</si>
  <si>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</si>
  <si>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</si>
  <si>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</si>
  <si>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</si>
  <si>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</si>
  <si>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</si>
  <si>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</si>
  <si>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</si>
  <si>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</si>
  <si>
    <t> (재료비+노무비)*3.11%</t>
    <phoneticPr fontId="17" type="noConversion"/>
  </si>
  <si>
    <t xml:space="preserve"> 공사명 : 사택 102동 5,6라인 자동문 보수</t>
    <phoneticPr fontId="15" type="noConversion"/>
  </si>
  <si>
    <t xml:space="preserve"> 견적일 : 2025년  03월  10일</t>
    <phoneticPr fontId="15" type="noConversion"/>
  </si>
  <si>
    <t>102동 5,6라인 자동동 보수, 전문업체 견적서</t>
    <phoneticPr fontId="9" type="noConversion"/>
  </si>
  <si>
    <t>특별인부</t>
    <phoneticPr fontId="9" type="noConversion"/>
  </si>
  <si>
    <t>보통인부</t>
    <phoneticPr fontId="9" type="noConversion"/>
  </si>
  <si>
    <t>자동문 보수, 전문업체 견적서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</si>
</sst>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0.0_);[Red]\(0.0\)"/>
    <numFmt numFmtId="186" formatCode="#,##0_ "/>
  </numFmts>
  <fonts count="3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2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7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24" fillId="0" borderId="0" xfId="6" applyFont="1" applyAlignment="1">
      <alignment vertical="center"/>
    </xf>
    <xf numFmtId="0" fontId="25" fillId="0" borderId="0" xfId="3" applyFont="1"/>
    <xf numFmtId="0" fontId="26" fillId="0" borderId="0" xfId="3" applyFont="1"/>
    <xf numFmtId="0" fontId="27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27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8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7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8" fillId="0" borderId="7" xfId="6" applyFont="1" applyBorder="1" applyAlignment="1">
      <alignment vertical="center"/>
    </xf>
    <xf numFmtId="179" fontId="27" fillId="0" borderId="7" xfId="6" applyNumberFormat="1" applyFont="1" applyBorder="1" applyAlignment="1">
      <alignment vertical="center"/>
    </xf>
    <xf numFmtId="0" fontId="27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9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9" fillId="0" borderId="12" xfId="6" applyFont="1" applyBorder="1" applyAlignment="1">
      <alignment vertical="center"/>
    </xf>
    <xf numFmtId="1" fontId="29" fillId="0" borderId="12" xfId="6" applyNumberFormat="1" applyFont="1" applyBorder="1" applyAlignment="1">
      <alignment horizontal="center" vertical="center"/>
    </xf>
    <xf numFmtId="180" fontId="29" fillId="0" borderId="12" xfId="7" applyFont="1" applyBorder="1" applyAlignment="1">
      <alignment horizontal="right" vertical="center"/>
    </xf>
    <xf numFmtId="0" fontId="29" fillId="0" borderId="13" xfId="6" applyFont="1" applyBorder="1" applyAlignment="1">
      <alignment vertical="center"/>
    </xf>
    <xf numFmtId="0" fontId="29" fillId="0" borderId="14" xfId="6" applyFont="1" applyBorder="1" applyAlignment="1">
      <alignment horizontal="center" vertical="center"/>
    </xf>
    <xf numFmtId="0" fontId="29" fillId="0" borderId="15" xfId="6" applyFont="1" applyBorder="1" applyAlignment="1">
      <alignment horizontal="center" vertical="center"/>
    </xf>
    <xf numFmtId="0" fontId="29" fillId="0" borderId="15" xfId="3" applyFont="1" applyBorder="1" applyAlignment="1">
      <alignment horizontal="center" vertical="center"/>
    </xf>
    <xf numFmtId="1" fontId="29" fillId="0" borderId="15" xfId="6" applyNumberFormat="1" applyFont="1" applyBorder="1" applyAlignment="1">
      <alignment horizontal="center" vertical="center"/>
    </xf>
    <xf numFmtId="180" fontId="29" fillId="0" borderId="15" xfId="7" applyFont="1" applyBorder="1" applyAlignment="1">
      <alignment horizontal="right" vertical="center"/>
    </xf>
    <xf numFmtId="0" fontId="29" fillId="0" borderId="16" xfId="6" quotePrefix="1" applyFont="1" applyBorder="1" applyAlignment="1">
      <alignment vertical="center"/>
    </xf>
    <xf numFmtId="0" fontId="29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9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9" fillId="0" borderId="15" xfId="8" applyFont="1" applyBorder="1" applyAlignment="1">
      <alignment horizontal="center" vertical="center"/>
    </xf>
    <xf numFmtId="178" fontId="29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vertical="center"/>
    </xf>
    <xf numFmtId="0" fontId="29" fillId="5" borderId="15" xfId="6" applyFont="1" applyFill="1" applyBorder="1" applyAlignment="1">
      <alignment horizontal="center" vertical="center"/>
    </xf>
    <xf numFmtId="178" fontId="29" fillId="5" borderId="15" xfId="5" applyFont="1" applyFill="1" applyBorder="1" applyAlignment="1">
      <alignment horizontal="right" vertical="center"/>
    </xf>
    <xf numFmtId="0" fontId="29" fillId="5" borderId="16" xfId="6" applyFont="1" applyFill="1" applyBorder="1" applyAlignment="1">
      <alignment vertical="center"/>
    </xf>
    <xf numFmtId="0" fontId="29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9" fillId="0" borderId="15" xfId="3" applyNumberFormat="1" applyFont="1" applyBorder="1" applyAlignment="1">
      <alignment horizontal="right" vertical="center"/>
    </xf>
    <xf numFmtId="1" fontId="29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9" fillId="0" borderId="15" xfId="3" applyFont="1" applyBorder="1" applyAlignment="1">
      <alignment vertical="center"/>
    </xf>
    <xf numFmtId="180" fontId="29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9" fillId="0" borderId="19" xfId="6" applyFont="1" applyBorder="1" applyAlignment="1">
      <alignment vertical="center"/>
    </xf>
    <xf numFmtId="0" fontId="29" fillId="0" borderId="19" xfId="6" applyFont="1" applyBorder="1" applyAlignment="1">
      <alignment horizontal="right" vertical="center"/>
    </xf>
    <xf numFmtId="0" fontId="29" fillId="0" borderId="20" xfId="6" applyFont="1" applyBorder="1" applyAlignment="1">
      <alignment vertical="center"/>
    </xf>
    <xf numFmtId="0" fontId="16" fillId="0" borderId="0" xfId="10" applyFont="1"/>
    <xf numFmtId="0" fontId="34" fillId="0" borderId="0" xfId="0" applyFont="1">
      <alignment vertical="center"/>
    </xf>
    <xf numFmtId="177" fontId="31" fillId="0" borderId="0" xfId="1" applyFont="1" applyFill="1" applyBorder="1" applyAlignment="1">
      <alignment horizontal="center" vertical="center"/>
    </xf>
    <xf numFmtId="0" fontId="31" fillId="0" borderId="0" xfId="3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183" fontId="23" fillId="0" borderId="0" xfId="1" applyNumberFormat="1" applyFont="1" applyFill="1" applyBorder="1" applyAlignment="1">
      <alignment horizontal="center" vertical="center"/>
    </xf>
    <xf numFmtId="177" fontId="22" fillId="0" borderId="0" xfId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177" fontId="34" fillId="0" borderId="0" xfId="1" applyFont="1" applyBorder="1">
      <alignment vertical="center"/>
    </xf>
    <xf numFmtId="181" fontId="27" fillId="0" borderId="0" xfId="1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182" fontId="30" fillId="3" borderId="0" xfId="2" applyNumberFormat="1" applyFont="1" applyFill="1" applyAlignment="1">
      <alignment horizontal="center" vertical="center"/>
    </xf>
    <xf numFmtId="0" fontId="30" fillId="9" borderId="24" xfId="0" applyFont="1" applyFill="1" applyBorder="1">
      <alignment vertical="center"/>
    </xf>
    <xf numFmtId="0" fontId="30" fillId="9" borderId="21" xfId="0" applyFont="1" applyFill="1" applyBorder="1">
      <alignment vertical="center"/>
    </xf>
    <xf numFmtId="0" fontId="30" fillId="4" borderId="22" xfId="0" applyFont="1" applyFill="1" applyBorder="1" applyAlignment="1">
      <alignment horizontal="center" vertical="center"/>
    </xf>
    <xf numFmtId="0" fontId="30" fillId="4" borderId="6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30" fillId="4" borderId="3" xfId="3" applyFont="1" applyFill="1" applyBorder="1" applyAlignment="1">
      <alignment horizontal="center" vertical="center"/>
    </xf>
    <xf numFmtId="177" fontId="30" fillId="4" borderId="3" xfId="4" applyFont="1" applyFill="1" applyBorder="1" applyAlignment="1">
      <alignment horizontal="center" vertical="center"/>
    </xf>
    <xf numFmtId="178" fontId="30" fillId="4" borderId="3" xfId="5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49" fontId="25" fillId="7" borderId="3" xfId="0" applyNumberFormat="1" applyFont="1" applyFill="1" applyBorder="1" applyAlignment="1">
      <alignment horizontal="center" vertical="center" wrapText="1"/>
    </xf>
    <xf numFmtId="177" fontId="25" fillId="5" borderId="3" xfId="1" applyFont="1" applyFill="1" applyBorder="1" applyAlignment="1">
      <alignment horizontal="center" vertical="center"/>
    </xf>
    <xf numFmtId="0" fontId="25" fillId="0" borderId="3" xfId="0" applyFont="1" applyBorder="1">
      <alignment vertical="center"/>
    </xf>
    <xf numFmtId="177" fontId="25" fillId="6" borderId="3" xfId="1" applyFont="1" applyFill="1" applyBorder="1" applyAlignment="1">
      <alignment horizontal="center" vertical="center" wrapText="1"/>
    </xf>
    <xf numFmtId="177" fontId="25" fillId="0" borderId="3" xfId="1" applyFont="1" applyFill="1" applyBorder="1" applyAlignment="1">
      <alignment horizontal="center" vertical="center" wrapText="1"/>
    </xf>
    <xf numFmtId="9" fontId="35" fillId="0" borderId="3" xfId="0" applyNumberFormat="1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35" fillId="0" borderId="0" xfId="0" applyFont="1">
      <alignment vertical="center"/>
    </xf>
    <xf numFmtId="177" fontId="25" fillId="0" borderId="3" xfId="1" applyFont="1" applyFill="1" applyBorder="1" applyAlignment="1">
      <alignment horizontal="center" vertical="center"/>
    </xf>
    <xf numFmtId="0" fontId="25" fillId="0" borderId="3" xfId="3" applyFont="1" applyBorder="1" applyAlignment="1">
      <alignment horizontal="center" vertical="center" shrinkToFit="1"/>
    </xf>
    <xf numFmtId="0" fontId="25" fillId="6" borderId="22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49" fontId="25" fillId="7" borderId="33" xfId="0" applyNumberFormat="1" applyFont="1" applyFill="1" applyBorder="1" applyAlignment="1">
      <alignment horizontal="center" vertical="center" wrapText="1"/>
    </xf>
    <xf numFmtId="177" fontId="25" fillId="0" borderId="3" xfId="1" applyFont="1" applyFill="1" applyBorder="1">
      <alignment vertical="center"/>
    </xf>
    <xf numFmtId="184" fontId="25" fillId="5" borderId="3" xfId="0" applyNumberFormat="1" applyFont="1" applyFill="1" applyBorder="1" applyAlignment="1">
      <alignment horizontal="right" vertical="center" wrapText="1"/>
    </xf>
    <xf numFmtId="0" fontId="29" fillId="10" borderId="0" xfId="0" applyFont="1" applyFill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5" borderId="0" xfId="0" applyFont="1" applyFill="1">
      <alignment vertical="center"/>
    </xf>
    <xf numFmtId="177" fontId="25" fillId="0" borderId="0" xfId="0" applyNumberFormat="1" applyFont="1">
      <alignment vertical="center"/>
    </xf>
    <xf numFmtId="183" fontId="25" fillId="0" borderId="3" xfId="1" applyNumberFormat="1" applyFont="1" applyFill="1" applyBorder="1" applyAlignment="1">
      <alignment horizontal="center" vertical="center"/>
    </xf>
    <xf numFmtId="0" fontId="25" fillId="0" borderId="3" xfId="3" applyFont="1" applyBorder="1" applyAlignment="1">
      <alignment horizontal="left" vertical="center" shrinkToFit="1"/>
    </xf>
    <xf numFmtId="0" fontId="25" fillId="0" borderId="3" xfId="3" applyFont="1" applyBorder="1" applyAlignment="1">
      <alignment horizontal="center" vertical="center"/>
    </xf>
    <xf numFmtId="177" fontId="25" fillId="0" borderId="0" xfId="1" applyFont="1" applyFill="1" applyBorder="1" applyAlignment="1">
      <alignment horizontal="center" vertical="center"/>
    </xf>
    <xf numFmtId="0" fontId="25" fillId="0" borderId="0" xfId="3" applyFont="1" applyAlignment="1">
      <alignment horizontal="center" vertical="center" shrinkToFit="1"/>
    </xf>
    <xf numFmtId="49" fontId="25" fillId="0" borderId="0" xfId="0" applyNumberFormat="1" applyFont="1" applyAlignment="1">
      <alignment horizontal="center" vertical="center" wrapText="1"/>
    </xf>
    <xf numFmtId="183" fontId="25" fillId="0" borderId="0" xfId="1" applyNumberFormat="1" applyFont="1" applyFill="1" applyBorder="1" applyAlignment="1">
      <alignment horizontal="center" vertical="center"/>
    </xf>
    <xf numFmtId="177" fontId="25" fillId="0" borderId="0" xfId="1" applyFont="1" applyBorder="1" applyAlignment="1">
      <alignment horizontal="center" vertical="center" wrapText="1"/>
    </xf>
    <xf numFmtId="49" fontId="25" fillId="2" borderId="0" xfId="0" applyNumberFormat="1" applyFont="1" applyFill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0" fontId="36" fillId="0" borderId="15" xfId="3" applyFont="1" applyBorder="1" applyAlignment="1">
      <alignment horizontal="left" vertical="center"/>
    </xf>
    <xf numFmtId="178" fontId="36" fillId="0" borderId="15" xfId="5" applyFont="1" applyFill="1" applyBorder="1" applyAlignment="1">
      <alignment horizontal="right" vertical="center"/>
    </xf>
    <xf numFmtId="185" fontId="25" fillId="0" borderId="3" xfId="1" applyNumberFormat="1" applyFont="1" applyFill="1" applyBorder="1" applyAlignment="1">
      <alignment horizontal="center" vertical="center"/>
    </xf>
    <xf numFmtId="186" fontId="22" fillId="11" borderId="3" xfId="0" applyNumberFormat="1" applyFont="1" applyFill="1" applyBorder="1" applyAlignment="1">
      <alignment vertical="center" wrapText="1"/>
    </xf>
    <xf numFmtId="0" fontId="25" fillId="6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vertical="center"/>
    </xf>
    <xf numFmtId="177" fontId="25" fillId="6" borderId="3" xfId="1" applyFont="1" applyFill="1" applyBorder="1" applyAlignment="1">
      <alignment vertical="center" wrapText="1"/>
    </xf>
    <xf numFmtId="186" fontId="22" fillId="5" borderId="3" xfId="0" applyNumberFormat="1" applyFont="1" applyFill="1" applyBorder="1" applyAlignment="1">
      <alignment vertical="center" wrapText="1"/>
    </xf>
    <xf numFmtId="177" fontId="25" fillId="0" borderId="3" xfId="1" applyFont="1" applyFill="1" applyBorder="1" applyAlignment="1">
      <alignment vertical="center" wrapText="1"/>
    </xf>
    <xf numFmtId="9" fontId="25" fillId="0" borderId="3" xfId="0" applyNumberFormat="1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33" fillId="0" borderId="0" xfId="25" applyFont="1">
      <alignment vertical="center"/>
    </xf>
    <xf numFmtId="0" fontId="32" fillId="0" borderId="0" xfId="25" applyFont="1">
      <alignment vertical="center"/>
    </xf>
    <xf numFmtId="0" fontId="33" fillId="0" borderId="0" xfId="25" applyFont="1" applyAlignment="1">
      <alignment horizontal="center" vertical="center"/>
    </xf>
    <xf numFmtId="177" fontId="30" fillId="10" borderId="0" xfId="0" applyNumberFormat="1" applyFont="1" applyFill="1">
      <alignment vertical="center"/>
    </xf>
    <xf numFmtId="0" fontId="30" fillId="0" borderId="0" xfId="0" applyFont="1">
      <alignment vertical="center"/>
    </xf>
    <xf numFmtId="177" fontId="30" fillId="0" borderId="0" xfId="0" applyNumberFormat="1" applyFont="1">
      <alignment vertical="center"/>
    </xf>
    <xf numFmtId="0" fontId="24" fillId="0" borderId="0" xfId="6" applyFont="1" applyAlignment="1">
      <alignment horizontal="center" vertical="center"/>
    </xf>
    <xf numFmtId="0" fontId="28" fillId="0" borderId="0" xfId="6" applyFont="1" applyAlignment="1">
      <alignment vertical="center"/>
    </xf>
    <xf numFmtId="0" fontId="27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9" borderId="4" xfId="0" applyFont="1" applyFill="1" applyBorder="1" applyAlignment="1">
      <alignment horizontal="center" vertical="center"/>
    </xf>
    <xf numFmtId="177" fontId="30" fillId="4" borderId="21" xfId="4" applyFont="1" applyFill="1" applyBorder="1" applyAlignment="1">
      <alignment horizontal="center" vertical="center"/>
    </xf>
    <xf numFmtId="178" fontId="30" fillId="4" borderId="21" xfId="5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30" fillId="4" borderId="21" xfId="3" applyFont="1" applyFill="1" applyBorder="1" applyAlignment="1">
      <alignment horizontal="center" vertical="center"/>
    </xf>
    <xf numFmtId="0" fontId="30" fillId="4" borderId="3" xfId="3" applyFont="1" applyFill="1" applyBorder="1" applyAlignment="1">
      <alignment horizontal="center" vertical="center"/>
    </xf>
  </cellXfs>
  <cellStyles count="27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20" xr:uid="{C58DB114-3DFC-48BF-B279-68E81CF1801D}"/>
    <cellStyle name="쉼표 [0] 2 4 2" xfId="23" xr:uid="{3070FDD1-D076-4267-9734-55DC834440C4}"/>
    <cellStyle name="쉼표 [0] 2 4 2 2" xfId="26" xr:uid="{F7862ED6-019A-40E6-94F3-0AA3689D2E8F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3 2" xfId="25" xr:uid="{2C44665A-1DDF-440F-9DDB-D7F7AAD5C76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22413</xdr:colOff>
      <xdr:row>2</xdr:row>
      <xdr:rowOff>33618</xdr:rowOff>
    </xdr:from>
    <xdr:to>
      <xdr:col>5</xdr:col>
      <xdr:colOff>78443</xdr:colOff>
      <xdr:row>36</xdr:row>
      <xdr:rowOff>112058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E591ED-D417-43E6-BBEA-7F7908196A45}"/>
            </a:ext>
          </a:extLst>
        </xdr:cNvPr>
        <xdr:cNvSpPr/>
      </xdr:nvSpPr>
      <xdr:spPr>
        <a:xfrm>
          <a:off x="22413" y="459442"/>
          <a:ext cx="5154706" cy="731744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자동문 보수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224117</xdr:colOff>
      <xdr:row>4</xdr:row>
      <xdr:rowOff>33618</xdr:rowOff>
    </xdr:from>
    <xdr:to>
      <xdr:col>4</xdr:col>
      <xdr:colOff>750794</xdr:colOff>
      <xdr:row>35</xdr:row>
      <xdr:rowOff>52965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83D1BDE-6C9C-4D2B-8D8A-178C96CAB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7" y="885265"/>
          <a:ext cx="4706471" cy="6619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A7" sqref="A7:C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41" t="s">
        <v>6</v>
      </c>
      <c r="B2" s="141"/>
      <c r="C2" s="141"/>
      <c r="D2" s="141"/>
      <c r="E2" s="141"/>
      <c r="F2" s="141"/>
      <c r="G2" s="141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64</v>
      </c>
      <c r="B5" s="7"/>
      <c r="C5" s="8"/>
      <c r="D5" s="5"/>
      <c r="E5" s="5"/>
      <c r="F5" s="9" t="s">
        <v>38</v>
      </c>
      <c r="G5" s="10" t="s">
        <v>68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69</v>
      </c>
      <c r="H6" s="5"/>
    </row>
    <row r="7" spans="1:9" ht="27" customHeight="1">
      <c r="A7" s="144" t="s">
        <v>103</v>
      </c>
      <c r="B7" s="145"/>
      <c r="C7" s="146"/>
      <c r="D7" s="5"/>
      <c r="E7" s="13"/>
      <c r="F7" s="14" t="s">
        <v>42</v>
      </c>
      <c r="G7" s="12" t="s">
        <v>70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71</v>
      </c>
      <c r="H8" s="5"/>
    </row>
    <row r="9" spans="1:9" ht="27" customHeight="1">
      <c r="A9" s="144" t="s">
        <v>104</v>
      </c>
      <c r="B9" s="145"/>
      <c r="C9" s="146"/>
      <c r="D9" s="5"/>
      <c r="E9" s="5"/>
      <c r="F9" s="11" t="s">
        <v>44</v>
      </c>
      <c r="G9" s="12" t="s">
        <v>72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73</v>
      </c>
      <c r="H10" s="5"/>
      <c r="I10" s="5"/>
    </row>
    <row r="11" spans="1:9" ht="27" customHeight="1">
      <c r="A11" s="142"/>
      <c r="B11" s="143"/>
      <c r="C11" s="143"/>
      <c r="D11" s="5"/>
      <c r="E11" s="17"/>
      <c r="F11" s="18" t="s">
        <v>40</v>
      </c>
      <c r="G11" s="19" t="s">
        <v>74</v>
      </c>
      <c r="H11" s="17"/>
    </row>
    <row r="12" spans="1:9" ht="18.75" thickBot="1">
      <c r="A12" s="20" t="s">
        <v>7</v>
      </c>
      <c r="B12" s="20" t="str">
        <f>NUMBERSTRING(F31,1)</f>
        <v>일백팔십일만삼천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'내역서(표준단가)'!O9</f>
        <v>1300000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'내역서(표준단가)'!Q9</f>
        <v>386402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'내역서(표준단가)'!S9+'내역서(표준단가)'!U9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1686402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17388.09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65</v>
      </c>
      <c r="D22" s="49">
        <v>1</v>
      </c>
      <c r="E22" s="49" t="s">
        <v>25</v>
      </c>
      <c r="F22" s="50">
        <f>F17*3.545%</f>
        <v>13697.950900000002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66</v>
      </c>
      <c r="D23" s="33">
        <v>1</v>
      </c>
      <c r="E23" s="33" t="s">
        <v>25</v>
      </c>
      <c r="F23" s="46">
        <f>F22*12.95%</f>
        <v>1773.8846415500002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3902.6601999999998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67</v>
      </c>
      <c r="D25" s="33">
        <v>1</v>
      </c>
      <c r="E25" s="33" t="s">
        <v>25</v>
      </c>
      <c r="F25" s="46">
        <f>F17*3.56%</f>
        <v>13755.9112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123" t="s">
        <v>102</v>
      </c>
      <c r="D26" s="33">
        <v>1</v>
      </c>
      <c r="E26" s="33" t="s">
        <v>25</v>
      </c>
      <c r="F26" s="124">
        <f>(F16+F17)*3.11%</f>
        <v>52447.102200000001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24468.379957077501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127433.9790986275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1813835.9790986276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1813000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selection activeCell="S23" sqref="S23"/>
    </sheetView>
  </sheetViews>
  <sheetFormatPr defaultColWidth="9" defaultRowHeight="12.75"/>
  <cols>
    <col min="1" max="1" width="20.625" style="109" customWidth="1"/>
    <col min="2" max="5" width="18.5" style="109" hidden="1" customWidth="1"/>
    <col min="6" max="6" width="13" style="78" hidden="1" customWidth="1"/>
    <col min="7" max="7" width="17.25" style="78" hidden="1" customWidth="1"/>
    <col min="8" max="8" width="21.125" style="78" hidden="1" customWidth="1"/>
    <col min="9" max="9" width="10.125" style="78" hidden="1" customWidth="1"/>
    <col min="10" max="10" width="54.75" style="78" bestFit="1" customWidth="1"/>
    <col min="11" max="11" width="48.25" style="78" bestFit="1" customWidth="1"/>
    <col min="12" max="12" width="9.875" style="78" bestFit="1" customWidth="1"/>
    <col min="13" max="13" width="6.125" style="78" bestFit="1" customWidth="1"/>
    <col min="14" max="14" width="11.875" style="78" bestFit="1" customWidth="1"/>
    <col min="15" max="15" width="16.875" style="78" bestFit="1" customWidth="1"/>
    <col min="16" max="16" width="9.125" style="78" bestFit="1" customWidth="1"/>
    <col min="17" max="17" width="14.375" style="78" bestFit="1" customWidth="1"/>
    <col min="18" max="18" width="13.5" style="78" customWidth="1"/>
    <col min="19" max="19" width="11.75" style="78" customWidth="1"/>
    <col min="20" max="20" width="14.875" style="78" customWidth="1"/>
    <col min="21" max="21" width="13" style="78" customWidth="1"/>
    <col min="22" max="22" width="16.75" style="78" bestFit="1" customWidth="1"/>
    <col min="23" max="23" width="10.75" style="79" bestFit="1" customWidth="1"/>
    <col min="24" max="24" width="9.125" style="78" bestFit="1" customWidth="1"/>
    <col min="25" max="16384" width="9" style="78"/>
  </cols>
  <sheetData>
    <row r="1" spans="1:24" ht="19.899999999999999" customHeight="1">
      <c r="A1" s="147"/>
      <c r="B1" s="147"/>
      <c r="C1" s="147"/>
      <c r="D1" s="147"/>
      <c r="E1" s="147"/>
      <c r="F1" s="147"/>
      <c r="G1" s="147"/>
      <c r="H1" s="147"/>
      <c r="I1" s="147"/>
      <c r="N1" s="79"/>
      <c r="O1" s="77" t="s">
        <v>83</v>
      </c>
      <c r="Q1" s="77" t="s">
        <v>83</v>
      </c>
      <c r="S1" s="77" t="s">
        <v>83</v>
      </c>
      <c r="U1" s="77" t="s">
        <v>83</v>
      </c>
    </row>
    <row r="2" spans="1:24" ht="19.899999999999999" customHeight="1" thickBot="1">
      <c r="A2" s="147"/>
      <c r="B2" s="147"/>
      <c r="C2" s="147"/>
      <c r="D2" s="147"/>
      <c r="E2" s="147"/>
      <c r="F2" s="147"/>
      <c r="G2" s="147"/>
      <c r="H2" s="147"/>
      <c r="I2" s="147"/>
      <c r="N2" s="80"/>
      <c r="O2" s="81">
        <v>0.83499999999999996</v>
      </c>
      <c r="Q2" s="81">
        <v>0.83499999999999996</v>
      </c>
      <c r="S2" s="81">
        <v>0.83499999999999996</v>
      </c>
      <c r="U2" s="81">
        <v>0.83499999999999996</v>
      </c>
    </row>
    <row r="3" spans="1:24" ht="19.899999999999999" customHeight="1">
      <c r="A3" s="82"/>
      <c r="B3" s="82"/>
      <c r="C3" s="82"/>
      <c r="D3" s="82"/>
      <c r="E3" s="82"/>
      <c r="F3" s="82" t="s">
        <v>84</v>
      </c>
      <c r="G3" s="83"/>
      <c r="H3" s="83"/>
      <c r="I3" s="83"/>
      <c r="J3" s="156" t="s">
        <v>85</v>
      </c>
      <c r="K3" s="156"/>
      <c r="L3" s="156" t="s">
        <v>51</v>
      </c>
      <c r="M3" s="156" t="s">
        <v>5</v>
      </c>
      <c r="N3" s="152" t="s">
        <v>86</v>
      </c>
      <c r="O3" s="152"/>
      <c r="P3" s="152" t="s">
        <v>87</v>
      </c>
      <c r="Q3" s="152"/>
      <c r="R3" s="153" t="s">
        <v>88</v>
      </c>
      <c r="S3" s="153"/>
      <c r="T3" s="153" t="s">
        <v>89</v>
      </c>
      <c r="U3" s="153"/>
      <c r="V3" s="154" t="s">
        <v>90</v>
      </c>
      <c r="W3" s="150" t="s">
        <v>91</v>
      </c>
      <c r="X3" s="148" t="s">
        <v>45</v>
      </c>
    </row>
    <row r="4" spans="1:24" ht="19.899999999999999" customHeight="1">
      <c r="A4" s="84" t="s">
        <v>92</v>
      </c>
      <c r="B4" s="85"/>
      <c r="C4" s="85"/>
      <c r="D4" s="85"/>
      <c r="E4" s="85"/>
      <c r="F4" s="86" t="s">
        <v>93</v>
      </c>
      <c r="G4" s="86" t="s">
        <v>94</v>
      </c>
      <c r="H4" s="86" t="s">
        <v>95</v>
      </c>
      <c r="I4" s="86" t="s">
        <v>96</v>
      </c>
      <c r="J4" s="87" t="s">
        <v>97</v>
      </c>
      <c r="K4" s="87" t="s">
        <v>98</v>
      </c>
      <c r="L4" s="157"/>
      <c r="M4" s="157"/>
      <c r="N4" s="88" t="s">
        <v>99</v>
      </c>
      <c r="O4" s="89" t="s">
        <v>100</v>
      </c>
      <c r="P4" s="88" t="s">
        <v>78</v>
      </c>
      <c r="Q4" s="89" t="s">
        <v>100</v>
      </c>
      <c r="R4" s="89" t="s">
        <v>101</v>
      </c>
      <c r="S4" s="89" t="s">
        <v>100</v>
      </c>
      <c r="T4" s="89" t="s">
        <v>101</v>
      </c>
      <c r="U4" s="89" t="s">
        <v>100</v>
      </c>
      <c r="V4" s="155"/>
      <c r="W4" s="151"/>
      <c r="X4" s="149"/>
    </row>
    <row r="5" spans="1:24" s="98" customFormat="1" ht="19.899999999999999" customHeight="1">
      <c r="A5" s="101" t="str">
        <f t="shared" ref="A5:A7" si="0">F5&amp;G5&amp;H5&amp;I5</f>
        <v>L003</v>
      </c>
      <c r="B5" s="102"/>
      <c r="C5" s="102"/>
      <c r="D5" s="102"/>
      <c r="E5" s="102"/>
      <c r="F5" s="91"/>
      <c r="G5" s="90"/>
      <c r="H5" s="90"/>
      <c r="I5" s="91" t="s">
        <v>82</v>
      </c>
      <c r="J5" s="92" t="s">
        <v>106</v>
      </c>
      <c r="K5" s="100" t="s">
        <v>79</v>
      </c>
      <c r="L5" s="99" t="s">
        <v>75</v>
      </c>
      <c r="M5" s="125">
        <v>1</v>
      </c>
      <c r="N5" s="93"/>
      <c r="O5" s="94">
        <f t="shared" ref="O5:O6" si="1">SUM(N5:N5)*M5*$O$2</f>
        <v>0</v>
      </c>
      <c r="P5" s="126">
        <v>219321</v>
      </c>
      <c r="Q5" s="94">
        <f>M5*P5</f>
        <v>219321</v>
      </c>
      <c r="R5" s="95"/>
      <c r="S5" s="94">
        <f t="shared" ref="S5:S7" si="2">R5*M5*$S$2</f>
        <v>0</v>
      </c>
      <c r="T5" s="95"/>
      <c r="U5" s="94">
        <f t="shared" ref="U5:U7" si="3">T5*M5*$U$2</f>
        <v>0</v>
      </c>
      <c r="V5" s="95">
        <f t="shared" ref="V5:V7" si="4">SUM(O5+Q5)+S5+U5</f>
        <v>219321</v>
      </c>
      <c r="W5" s="96"/>
      <c r="X5" s="97"/>
    </row>
    <row r="6" spans="1:24" s="98" customFormat="1" ht="19.899999999999999" customHeight="1">
      <c r="A6" s="101" t="str">
        <f t="shared" si="0"/>
        <v>L002</v>
      </c>
      <c r="B6" s="127"/>
      <c r="C6" s="127"/>
      <c r="D6" s="127"/>
      <c r="E6" s="127"/>
      <c r="F6" s="86"/>
      <c r="G6" s="86"/>
      <c r="H6" s="86"/>
      <c r="I6" s="91" t="s">
        <v>76</v>
      </c>
      <c r="J6" s="128" t="s">
        <v>107</v>
      </c>
      <c r="K6" s="128" t="s">
        <v>79</v>
      </c>
      <c r="L6" s="92" t="s">
        <v>75</v>
      </c>
      <c r="M6" s="125">
        <v>1</v>
      </c>
      <c r="N6" s="129"/>
      <c r="O6" s="130">
        <f t="shared" si="1"/>
        <v>0</v>
      </c>
      <c r="P6" s="131">
        <v>167081</v>
      </c>
      <c r="Q6" s="130">
        <f>M6*P6</f>
        <v>167081</v>
      </c>
      <c r="R6" s="132"/>
      <c r="S6" s="130">
        <f t="shared" si="2"/>
        <v>0</v>
      </c>
      <c r="T6" s="132"/>
      <c r="U6" s="130">
        <f t="shared" si="3"/>
        <v>0</v>
      </c>
      <c r="V6" s="132">
        <f t="shared" si="4"/>
        <v>167081</v>
      </c>
      <c r="W6" s="133"/>
      <c r="X6" s="134"/>
    </row>
    <row r="7" spans="1:24" s="98" customFormat="1" ht="19.899999999999999" customHeight="1">
      <c r="A7" s="101" t="str">
        <f t="shared" si="0"/>
        <v/>
      </c>
      <c r="B7" s="102"/>
      <c r="C7" s="102"/>
      <c r="D7" s="102"/>
      <c r="E7" s="102"/>
      <c r="F7" s="91"/>
      <c r="G7" s="90"/>
      <c r="H7" s="90"/>
      <c r="I7" s="103"/>
      <c r="J7" s="100" t="s">
        <v>105</v>
      </c>
      <c r="K7" s="100" t="s">
        <v>105</v>
      </c>
      <c r="L7" s="99" t="s">
        <v>80</v>
      </c>
      <c r="M7" s="125">
        <v>1</v>
      </c>
      <c r="N7" s="104">
        <v>1300000</v>
      </c>
      <c r="O7" s="94">
        <f>M7*N7</f>
        <v>1300000</v>
      </c>
      <c r="P7" s="105"/>
      <c r="Q7" s="94">
        <f t="shared" ref="Q7" si="5">(P7*M7)*$Q$2</f>
        <v>0</v>
      </c>
      <c r="R7" s="95"/>
      <c r="S7" s="94">
        <f t="shared" si="2"/>
        <v>0</v>
      </c>
      <c r="T7" s="95"/>
      <c r="U7" s="94">
        <f t="shared" si="3"/>
        <v>0</v>
      </c>
      <c r="V7" s="95">
        <f t="shared" si="4"/>
        <v>1300000</v>
      </c>
      <c r="W7" s="96"/>
      <c r="X7" s="97"/>
    </row>
    <row r="8" spans="1:24" s="98" customFormat="1" ht="19.899999999999999" customHeight="1">
      <c r="A8" s="101" t="str">
        <f t="shared" ref="A8" si="6">F8&amp;G8&amp;H8&amp;I8</f>
        <v/>
      </c>
      <c r="B8" s="102"/>
      <c r="C8" s="102"/>
      <c r="D8" s="102"/>
      <c r="E8" s="102"/>
      <c r="F8" s="91"/>
      <c r="G8" s="90"/>
      <c r="H8" s="90"/>
      <c r="I8" s="91"/>
      <c r="J8" s="112"/>
      <c r="K8" s="112"/>
      <c r="L8" s="113"/>
      <c r="M8" s="111"/>
      <c r="N8" s="93"/>
      <c r="O8" s="94">
        <f t="shared" ref="O8" si="7">SUM(N8:N8)*M8*$O$2</f>
        <v>0</v>
      </c>
      <c r="P8" s="105"/>
      <c r="Q8" s="94">
        <f t="shared" ref="Q8" si="8">(P8*M8)*$Q$2</f>
        <v>0</v>
      </c>
      <c r="R8" s="95"/>
      <c r="S8" s="94">
        <f t="shared" ref="S8" si="9">R8*M8*$S$2</f>
        <v>0</v>
      </c>
      <c r="T8" s="95"/>
      <c r="U8" s="94">
        <f t="shared" ref="U8" si="10">T8*M8*$U$2</f>
        <v>0</v>
      </c>
      <c r="V8" s="95">
        <f t="shared" ref="V8" si="11">SUM(O8+Q8)+S8+U8</f>
        <v>0</v>
      </c>
      <c r="W8" s="96"/>
      <c r="X8" s="97"/>
    </row>
    <row r="9" spans="1:24" s="107" customFormat="1" ht="19.899999999999999" customHeight="1">
      <c r="A9" s="106"/>
      <c r="B9" s="106"/>
      <c r="C9" s="106"/>
      <c r="D9" s="106"/>
      <c r="E9" s="106"/>
      <c r="O9" s="138">
        <f>SUM(O5:O8)</f>
        <v>1300000</v>
      </c>
      <c r="P9" s="139"/>
      <c r="Q9" s="138">
        <f>SUM(Q5:Q8)</f>
        <v>386402</v>
      </c>
      <c r="R9" s="139"/>
      <c r="S9" s="138">
        <f>SUM(S5:S8)</f>
        <v>0</v>
      </c>
      <c r="T9" s="139"/>
      <c r="U9" s="138">
        <f>SUM(U5:U8)</f>
        <v>0</v>
      </c>
      <c r="V9" s="140">
        <f>SUM(V5:V8)</f>
        <v>1686402</v>
      </c>
      <c r="W9" s="108"/>
    </row>
    <row r="13" spans="1:24">
      <c r="Q13" s="11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9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82C0-46BF-465A-8018-571454463766}">
  <sheetPr>
    <pageSetUpPr fitToPage="1"/>
  </sheetPr>
  <dimension ref="G1:P1"/>
  <sheetViews>
    <sheetView topLeftCell="A6" zoomScale="85" zoomScaleNormal="85" zoomScaleSheetLayoutView="85" workbookViewId="0">
      <selection activeCell="I25" sqref="I25"/>
    </sheetView>
  </sheetViews>
  <sheetFormatPr defaultColWidth="9" defaultRowHeight="16.5"/>
  <cols>
    <col min="1" max="1" width="11.5" style="135" bestFit="1" customWidth="1"/>
    <col min="2" max="2" width="17.875" style="135" customWidth="1"/>
    <col min="3" max="3" width="14.625" style="135" customWidth="1"/>
    <col min="4" max="4" width="10.875" style="135" customWidth="1"/>
    <col min="5" max="5" width="12" style="135" customWidth="1"/>
    <col min="6" max="6" width="10.625" style="135" customWidth="1"/>
    <col min="7" max="7" width="13.625" style="136" customWidth="1"/>
    <col min="8" max="8" width="9.625" style="135" customWidth="1"/>
    <col min="9" max="9" width="13.625" style="135" customWidth="1"/>
    <col min="10" max="10" width="12.75" style="135" customWidth="1"/>
    <col min="11" max="11" width="9.25" style="135" customWidth="1"/>
    <col min="12" max="12" width="13.625" style="136" customWidth="1"/>
    <col min="13" max="13" width="9.625" style="135" customWidth="1"/>
    <col min="14" max="14" width="13.625" style="136" customWidth="1"/>
    <col min="15" max="15" width="18.75" style="137" customWidth="1"/>
    <col min="16" max="16" width="20.875" style="137" customWidth="1"/>
    <col min="17" max="16384" width="9" style="135"/>
  </cols>
  <sheetData/>
  <phoneticPr fontId="9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9D70-4F6A-4A42-9878-D74F88C4B366}">
  <sheetPr codeName="Sheet5"/>
  <dimension ref="A1:R6"/>
  <sheetViews>
    <sheetView workbookViewId="0">
      <selection activeCell="I22" sqref="I22"/>
    </sheetView>
  </sheetViews>
  <sheetFormatPr defaultColWidth="9" defaultRowHeight="16.5"/>
  <cols>
    <col min="1" max="1" width="11.125" style="68" customWidth="1"/>
    <col min="2" max="2" width="13.375" style="68" customWidth="1"/>
    <col min="3" max="3" width="38.375" style="68" customWidth="1"/>
    <col min="4" max="4" width="36.875" style="68" customWidth="1"/>
    <col min="5" max="5" width="5" style="68" customWidth="1"/>
    <col min="6" max="6" width="6.25" style="68" customWidth="1"/>
    <col min="7" max="7" width="11.625" style="68" customWidth="1"/>
    <col min="8" max="8" width="11.875" style="68" customWidth="1"/>
    <col min="9" max="9" width="10" style="68" customWidth="1"/>
    <col min="10" max="10" width="11.875" style="68" customWidth="1"/>
    <col min="11" max="11" width="10" style="68" customWidth="1"/>
    <col min="12" max="12" width="11.875" style="68" customWidth="1"/>
    <col min="13" max="13" width="10" style="68" customWidth="1"/>
    <col min="14" max="14" width="11.875" style="68" customWidth="1"/>
    <col min="15" max="15" width="9.125" style="68" customWidth="1"/>
    <col min="16" max="16" width="11.5" style="68" customWidth="1"/>
    <col min="17" max="17" width="11.75" style="68" customWidth="1"/>
    <col min="18" max="18" width="17.875" style="68" customWidth="1"/>
    <col min="19" max="16384" width="9" style="68"/>
  </cols>
  <sheetData>
    <row r="1" spans="1:18" ht="18" customHeight="1">
      <c r="A1" s="119" t="s">
        <v>47</v>
      </c>
      <c r="B1" s="119" t="s">
        <v>48</v>
      </c>
      <c r="C1" s="119" t="s">
        <v>49</v>
      </c>
      <c r="D1" s="119" t="s">
        <v>50</v>
      </c>
      <c r="E1" s="119" t="s">
        <v>51</v>
      </c>
      <c r="F1" s="119" t="s">
        <v>5</v>
      </c>
      <c r="G1" s="119" t="s">
        <v>52</v>
      </c>
      <c r="H1" s="119" t="s">
        <v>53</v>
      </c>
      <c r="I1" s="119" t="s">
        <v>54</v>
      </c>
      <c r="J1" s="119" t="s">
        <v>55</v>
      </c>
      <c r="K1" s="119" t="s">
        <v>56</v>
      </c>
      <c r="L1" s="119" t="s">
        <v>57</v>
      </c>
      <c r="M1" s="119" t="s">
        <v>58</v>
      </c>
      <c r="N1" s="119" t="s">
        <v>59</v>
      </c>
      <c r="O1" s="119" t="s">
        <v>60</v>
      </c>
      <c r="P1" s="119" t="s">
        <v>61</v>
      </c>
      <c r="Q1" s="119" t="s">
        <v>62</v>
      </c>
      <c r="R1" s="119" t="s">
        <v>63</v>
      </c>
    </row>
    <row r="2" spans="1:18" ht="18" customHeight="1">
      <c r="A2" s="78">
        <v>999999</v>
      </c>
      <c r="B2" s="78" t="s">
        <v>77</v>
      </c>
      <c r="C2" s="114" t="s">
        <v>81</v>
      </c>
      <c r="D2" s="115" t="s">
        <v>108</v>
      </c>
      <c r="E2" s="116" t="s">
        <v>80</v>
      </c>
      <c r="F2" s="117">
        <v>1</v>
      </c>
      <c r="G2" s="118">
        <v>1300000</v>
      </c>
      <c r="H2" s="118"/>
      <c r="I2" s="118"/>
      <c r="J2" s="118"/>
      <c r="K2" s="118"/>
      <c r="L2" s="118"/>
      <c r="M2" s="118"/>
      <c r="N2" s="118"/>
      <c r="O2" s="116"/>
      <c r="P2" s="116"/>
      <c r="Q2" s="116"/>
      <c r="R2" s="116"/>
    </row>
    <row r="3" spans="1:18" ht="18" customHeight="1">
      <c r="C3" s="69"/>
      <c r="D3" s="70"/>
      <c r="E3" s="71"/>
      <c r="F3" s="72"/>
      <c r="G3" s="73"/>
      <c r="H3" s="73"/>
      <c r="I3" s="73"/>
      <c r="J3" s="73"/>
      <c r="K3" s="73"/>
      <c r="L3" s="73"/>
      <c r="M3" s="73"/>
      <c r="N3" s="73"/>
      <c r="O3" s="74"/>
      <c r="P3" s="74"/>
      <c r="Q3" s="74"/>
      <c r="R3" s="74"/>
    </row>
    <row r="4" spans="1:18">
      <c r="G4" s="75"/>
      <c r="H4" s="75"/>
      <c r="I4" s="75"/>
      <c r="J4" s="75"/>
      <c r="K4" s="75"/>
      <c r="L4" s="75"/>
      <c r="M4" s="75"/>
      <c r="N4" s="75"/>
    </row>
    <row r="5" spans="1:18">
      <c r="G5" s="75"/>
      <c r="H5" s="75"/>
      <c r="I5" s="75"/>
      <c r="J5" s="75"/>
      <c r="K5" s="75"/>
      <c r="L5" s="75"/>
      <c r="M5" s="75"/>
      <c r="N5" s="75"/>
    </row>
    <row r="6" spans="1:18">
      <c r="G6" s="75"/>
      <c r="H6" s="75"/>
      <c r="I6" s="75"/>
      <c r="J6" s="75"/>
      <c r="K6" s="75"/>
      <c r="L6" s="75"/>
      <c r="M6" s="75"/>
      <c r="N6" s="75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"/>
  <sheetViews>
    <sheetView showGridLines="0" zoomScaleNormal="100" workbookViewId="0">
      <selection activeCell="D33" sqref="D33"/>
    </sheetView>
  </sheetViews>
  <sheetFormatPr defaultRowHeight="16.5"/>
  <cols>
    <col min="1" max="1" width="25.125" style="76" customWidth="1"/>
    <col min="2" max="2" width="16.25" style="76" customWidth="1"/>
    <col min="3" max="3" width="22.375" style="76" customWidth="1"/>
    <col min="4" max="4" width="24.125" style="76" customWidth="1"/>
    <col min="5" max="5" width="13" style="76" customWidth="1"/>
    <col min="6" max="6" width="7.5" style="76" customWidth="1"/>
    <col min="7" max="16384" width="9" style="68"/>
  </cols>
  <sheetData>
    <row r="1" spans="1:6" ht="18" customHeight="1">
      <c r="A1" s="120" t="s">
        <v>0</v>
      </c>
      <c r="B1" s="120" t="s">
        <v>1</v>
      </c>
      <c r="C1" s="120" t="s">
        <v>2</v>
      </c>
      <c r="D1" s="120" t="s">
        <v>3</v>
      </c>
      <c r="E1" s="120" t="s">
        <v>4</v>
      </c>
      <c r="F1" s="120" t="s">
        <v>5</v>
      </c>
    </row>
    <row r="2" spans="1:6">
      <c r="A2" s="121" t="str">
        <f>'내역서(표준단가)'!A5</f>
        <v>L003</v>
      </c>
      <c r="B2" s="122">
        <f>'내역서(표준단가)'!F5</f>
        <v>0</v>
      </c>
      <c r="C2" s="122">
        <f>'내역서(표준단가)'!G5</f>
        <v>0</v>
      </c>
      <c r="D2" s="122">
        <f>'내역서(표준단가)'!H5</f>
        <v>0</v>
      </c>
      <c r="E2" s="122" t="str">
        <f>'내역서(표준단가)'!I5</f>
        <v>L003</v>
      </c>
      <c r="F2" s="122">
        <f>'내역서(표준단가)'!M5</f>
        <v>1</v>
      </c>
    </row>
    <row r="3" spans="1:6">
      <c r="A3" s="121" t="str">
        <f>'내역서(표준단가)'!A6</f>
        <v>L002</v>
      </c>
      <c r="B3" s="122">
        <f>'내역서(표준단가)'!F6</f>
        <v>0</v>
      </c>
      <c r="C3" s="122">
        <f>'내역서(표준단가)'!G6</f>
        <v>0</v>
      </c>
      <c r="D3" s="122">
        <f>'내역서(표준단가)'!H6</f>
        <v>0</v>
      </c>
      <c r="E3" s="122" t="str">
        <f>'내역서(표준단가)'!I6</f>
        <v>L002</v>
      </c>
      <c r="F3" s="122">
        <f>'내역서(표준단가)'!M6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2025-03-17T04:05:59Z</dcterms:modified>
</cp:coreProperties>
</file>
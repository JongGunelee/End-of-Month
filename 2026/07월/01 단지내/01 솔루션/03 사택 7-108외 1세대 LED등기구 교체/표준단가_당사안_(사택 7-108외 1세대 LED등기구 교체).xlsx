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29CC551D-B2D6-466D-A3B5-FE94213B2B8C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5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definedNames>
    <definedName name="_xlnm.Print_Area" localSheetId="1">'내역서(표준단가)'!$A$1:$T$9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26" l="1"/>
  <c r="O9" i="26"/>
  <c r="E2" i="26"/>
  <c r="F18" i="5" l="1"/>
  <c r="K5" i="26" l="1"/>
  <c r="K6" i="26"/>
  <c r="R6" i="26" s="1"/>
  <c r="K9" i="26" l="1"/>
  <c r="R5" i="26"/>
  <c r="M7" i="26" l="1"/>
  <c r="M8" i="26"/>
  <c r="M9" i="26" l="1"/>
  <c r="R7" i="26"/>
  <c r="R8" i="26"/>
  <c r="F17" i="5" l="1"/>
  <c r="M90" i="21"/>
  <c r="K90" i="21"/>
  <c r="F22" i="5" l="1"/>
  <c r="F23" i="5" s="1"/>
  <c r="F21" i="5"/>
  <c r="F25" i="5"/>
  <c r="F24" i="5"/>
  <c r="F16" i="5"/>
  <c r="F26" i="5" s="1"/>
  <c r="C5" i="23"/>
  <c r="B3" i="21" l="1"/>
  <c r="G90" i="21" l="1"/>
  <c r="I90" i="21"/>
  <c r="F27" i="5" l="1"/>
  <c r="F28" i="5" s="1"/>
  <c r="F19" i="5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R3" authorId="0" shapeId="0" xr:uid="{7BAE1110-3D3D-45B4-8E82-6CD1FE77C966}">
      <text>
        <r>
          <rPr>
            <b/>
            <sz val="11"/>
            <color indexed="81"/>
            <rFont val="Tahoma"/>
            <family val="2"/>
          </rPr>
          <t xml:space="preserve">만든 이:
</t>
        </r>
      </text>
    </comment>
  </commentList>
</comments>
</file>

<file path=xl/sharedStrings.xml><?xml version="1.0" encoding="utf-8"?>
<sst xmlns="http://schemas.openxmlformats.org/spreadsheetml/2006/main" count="173" uniqueCount="126">
  <si>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</si>
  <si>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</si>
  <si>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</si>
  <si>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</si>
  <si>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</si>
  <si>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</si>
  <si>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</si>
  <si>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</si>
  <si>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</si>
  <si>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</si>
  <si>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</si>
  <si>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</si>
  <si>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</si>
  <si>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</si>
  <si>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</si>
  <si>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</si>
  <si>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</si>
  <si>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</si>
  <si>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</si>
  <si>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3" type="noConversion"/>
  </si>
  <si>
    <t>식</t>
    <phoneticPr fontId="23" type="noConversion"/>
  </si>
  <si>
    <t>모든공사에 적용</t>
    <phoneticPr fontId="23" type="noConversion"/>
  </si>
  <si>
    <t>  건강보험료</t>
    <phoneticPr fontId="23" type="noConversion"/>
  </si>
  <si>
    <t>모든공사에 적용</t>
    <phoneticPr fontId="23" type="noConversion"/>
  </si>
  <si>
    <t>  장기요양보험료</t>
    <phoneticPr fontId="23" type="noConversion"/>
  </si>
  <si>
    <t>  고용보험료</t>
    <phoneticPr fontId="23" type="noConversion"/>
  </si>
  <si>
    <t>  산재보험료</t>
    <phoneticPr fontId="23" type="noConversion"/>
  </si>
  <si>
    <t xml:space="preserve">  산업안전보건관리비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</si>
  <si>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</si>
  <si>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</si>
  <si>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</si>
  <si>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</si>
  <si>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t>일반관리비/이윤</t>
    <phoneticPr fontId="23" type="noConversion"/>
  </si>
  <si>
    <t> (노무비+간접공사비)*5%</t>
    <phoneticPr fontId="23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</si>
  <si>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</si>
  <si>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5" type="noConversion"/>
  </si>
  <si>
    <t>기준</t>
    <phoneticPr fontId="5" type="noConversion"/>
  </si>
  <si>
    <t>비고</t>
    <phoneticPr fontId="5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</si>
  <si>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</si>
  <si>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</si>
  <si>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</si>
  <si>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</si>
  <si>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</si>
  <si>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</si>
  <si>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</si>
  <si>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</si>
  <si>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</si>
  <si>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</si>
  <si>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</si>
  <si>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</si>
  <si>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</si>
  <si>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5" type="noConversion"/>
  </si>
  <si>
    <t>개</t>
  </si>
  <si>
    <t>공사수립계획서</t>
    <phoneticPr fontId="23" type="noConversion"/>
  </si>
  <si>
    <t>업 체 명</t>
    <phoneticPr fontId="23" type="noConversion"/>
  </si>
  <si>
    <t>대양이엔씨</t>
    <phoneticPr fontId="7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</si>
  <si>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</si>
  <si>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</si>
  <si>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</si>
  <si>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</si>
  <si>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</si>
  <si>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</si>
  <si>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</si>
  <si>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</si>
  <si>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</si>
  <si>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</si>
  <si>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</si>
  <si>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</si>
  <si>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</si>
  <si>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</si>
  <si>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</si>
  <si>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</si>
  <si>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</si>
  <si>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7" type="noConversion"/>
  </si>
  <si>
    <t>대전광역시 대덕구 아리랑로 125번길 11</t>
    <phoneticPr fontId="7" type="noConversion"/>
  </si>
  <si>
    <t>전화 : 042-628-8301 /FAX : 042-628-8304</t>
    <phoneticPr fontId="7" type="noConversion"/>
  </si>
  <si>
    <t>(주)에스앤아이코퍼레이션</t>
    <phoneticPr fontId="7" type="noConversion"/>
  </si>
  <si>
    <t>▼할증율</t>
    <phoneticPr fontId="7" type="noConversion"/>
  </si>
  <si>
    <t>.</t>
    <phoneticPr fontId="5" type="noConversion"/>
  </si>
  <si>
    <t>%</t>
    <phoneticPr fontId="5" type="noConversion"/>
  </si>
  <si>
    <t> 노무비*1.01%</t>
    <phoneticPr fontId="23" type="noConversion"/>
  </si>
  <si>
    <t>보통인부</t>
    <phoneticPr fontId="5" type="noConversion"/>
  </si>
  <si>
    <t>L069</t>
    <phoneticPr fontId="5" type="noConversion"/>
  </si>
  <si>
    <t>내선전공</t>
    <phoneticPr fontId="5" type="noConversion"/>
  </si>
  <si>
    <t>최소인건비</t>
    <phoneticPr fontId="5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</si>
  <si>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</si>
  <si>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</si>
  <si>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</si>
  <si>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</si>
  <si>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</si>
  <si>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</si>
  <si>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</si>
  <si>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</si>
  <si>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</si>
  <si>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</si>
  <si>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</si>
  <si>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</si>
  <si>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</si>
  <si>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</si>
  <si>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</si>
  <si>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</si>
  <si>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</si>
  <si>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</si>
  <si>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5" type="noConversion"/>
  </si>
  <si>
    <t>인</t>
    <phoneticPr fontId="5" type="noConversion"/>
  </si>
  <si>
    <t>LED조명기구(4)</t>
  </si>
  <si>
    <t>거실등 1개 방등 2개</t>
    <phoneticPr fontId="5" type="noConversion"/>
  </si>
  <si>
    <t>주방등 1개</t>
    <phoneticPr fontId="5" type="noConversion"/>
  </si>
  <si>
    <t>기존 등기구 철거</t>
    <phoneticPr fontId="5" type="noConversion"/>
  </si>
  <si>
    <t>LED 거실등 / 방등 / 주방등 설치</t>
    <phoneticPr fontId="5" type="noConversion"/>
  </si>
  <si>
    <t>■ 인원투입계획 : 총 2명(주말 :  명)</t>
    <phoneticPr fontId="23" type="noConversion"/>
  </si>
  <si>
    <t>E999999</t>
    <phoneticPr fontId="5" type="noConversion"/>
  </si>
  <si>
    <t>LED실내조명등</t>
    <phoneticPr fontId="5" type="noConversion"/>
  </si>
  <si>
    <t xml:space="preserve"> KE50EF606S57A1, 50W</t>
    <phoneticPr fontId="5" type="noConversion"/>
  </si>
  <si>
    <t xml:space="preserve">성명 : </t>
    <phoneticPr fontId="23" type="noConversion"/>
  </si>
  <si>
    <t> 노무비*3.56%</t>
    <phoneticPr fontId="23" type="noConversion"/>
  </si>
  <si>
    <t>LED조명기구(3)-1</t>
    <phoneticPr fontId="5" type="noConversion"/>
  </si>
  <si>
    <t>보통인부</t>
    <phoneticPr fontId="5" type="noConversion"/>
  </si>
  <si>
    <t> 노무비*4.75%</t>
    <phoneticPr fontId="23" type="noConversion"/>
  </si>
  <si>
    <t> 노무비*3.595%</t>
    <phoneticPr fontId="23" type="noConversion"/>
  </si>
  <si>
    <t> 건강보험료*13.14%</t>
    <phoneticPr fontId="23" type="noConversion"/>
  </si>
  <si>
    <t> (재료비+노무비)*3.11%</t>
    <phoneticPr fontId="23" type="noConversion"/>
  </si>
  <si>
    <t>사택 7-108외 1세대 LED등기구 교체</t>
    <phoneticPr fontId="5" type="noConversion"/>
  </si>
  <si>
    <t>108호 / 303호</t>
    <phoneticPr fontId="5" type="noConversion"/>
  </si>
  <si>
    <t xml:space="preserve"> KE50EF606S57A1, 
50W</t>
    <phoneticPr fontId="5" type="noConversion"/>
  </si>
  <si>
    <t xml:space="preserve"> KE50M123SL57A1,
50W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</si>
</sst>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###,###,###,##0"/>
    <numFmt numFmtId="184" formatCode="_-&quot;₩&quot;* #,##0.0000_-;\-&quot;₩&quot;* #,##0.0000_-;_-&quot;₩&quot;* &quot;-&quot;????_-;_-@_-"/>
  </numFmts>
  <fonts count="6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0" borderId="0"/>
    <xf numFmtId="177" fontId="3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3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177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0" fillId="0" borderId="0"/>
    <xf numFmtId="176" fontId="40" fillId="0" borderId="0" applyFont="0" applyFill="0" applyBorder="0" applyAlignment="0" applyProtection="0"/>
    <xf numFmtId="177" fontId="40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0" fontId="12" fillId="0" borderId="0" xfId="5" applyFont="1" applyAlignment="1">
      <alignment vertical="center"/>
    </xf>
    <xf numFmtId="0" fontId="14" fillId="0" borderId="0" xfId="2" applyFont="1"/>
    <xf numFmtId="0" fontId="15" fillId="0" borderId="0" xfId="2" applyFont="1"/>
    <xf numFmtId="0" fontId="16" fillId="0" borderId="0" xfId="5" applyFont="1" applyAlignment="1">
      <alignment vertical="center"/>
    </xf>
    <xf numFmtId="0" fontId="17" fillId="0" borderId="1" xfId="5" applyFont="1" applyBorder="1" applyAlignment="1">
      <alignment vertical="center"/>
    </xf>
    <xf numFmtId="0" fontId="17" fillId="0" borderId="2" xfId="5" applyFont="1" applyBorder="1" applyAlignment="1">
      <alignment horizontal="left" vertical="center"/>
    </xf>
    <xf numFmtId="0" fontId="17" fillId="0" borderId="3" xfId="5" applyFont="1" applyBorder="1" applyAlignment="1">
      <alignment horizontal="right" vertical="center"/>
    </xf>
    <xf numFmtId="0" fontId="18" fillId="5" borderId="0" xfId="5" applyFont="1" applyFill="1" applyAlignment="1">
      <alignment vertical="center"/>
    </xf>
    <xf numFmtId="0" fontId="19" fillId="5" borderId="0" xfId="5" applyFont="1" applyFill="1" applyAlignment="1">
      <alignment horizontal="center" vertical="top" shrinkToFit="1"/>
    </xf>
    <xf numFmtId="0" fontId="16" fillId="5" borderId="0" xfId="5" applyFont="1" applyFill="1" applyAlignment="1">
      <alignment vertical="center"/>
    </xf>
    <xf numFmtId="0" fontId="17" fillId="0" borderId="2" xfId="5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0" fontId="18" fillId="0" borderId="0" xfId="5" applyFont="1" applyAlignment="1">
      <alignment vertical="center" shrinkToFit="1"/>
    </xf>
    <xf numFmtId="0" fontId="16" fillId="5" borderId="0" xfId="5" applyFont="1" applyFill="1" applyAlignment="1">
      <alignment horizontal="left" vertical="center" shrinkToFit="1"/>
    </xf>
    <xf numFmtId="0" fontId="16" fillId="0" borderId="3" xfId="5" applyFont="1" applyBorder="1" applyAlignment="1">
      <alignment vertical="center"/>
    </xf>
    <xf numFmtId="0" fontId="16" fillId="0" borderId="0" xfId="5" applyFont="1" applyAlignment="1">
      <alignment horizontal="center" vertical="center" shrinkToFit="1"/>
    </xf>
    <xf numFmtId="0" fontId="18" fillId="0" borderId="4" xfId="5" applyFont="1" applyBorder="1" applyAlignment="1">
      <alignment vertical="center"/>
    </xf>
    <xf numFmtId="179" fontId="21" fillId="0" borderId="4" xfId="5" applyNumberFormat="1" applyFont="1" applyBorder="1" applyAlignment="1">
      <alignment vertical="center"/>
    </xf>
    <xf numFmtId="0" fontId="22" fillId="0" borderId="4" xfId="5" applyFont="1" applyBorder="1" applyAlignment="1">
      <alignment horizontal="right" vertical="center"/>
    </xf>
    <xf numFmtId="0" fontId="24" fillId="0" borderId="4" xfId="5" applyFont="1" applyBorder="1" applyAlignment="1">
      <alignment horizontal="right" vertical="center"/>
    </xf>
    <xf numFmtId="0" fontId="17" fillId="0" borderId="4" xfId="5" applyFont="1" applyBorder="1" applyAlignment="1">
      <alignment horizontal="right" vertical="center"/>
    </xf>
    <xf numFmtId="0" fontId="16" fillId="0" borderId="0" xfId="5" applyFont="1" applyAlignment="1">
      <alignment vertical="center" shrinkToFit="1"/>
    </xf>
    <xf numFmtId="0" fontId="17" fillId="0" borderId="5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7" fillId="0" borderId="9" xfId="5" applyFont="1" applyBorder="1" applyAlignment="1">
      <alignment vertical="center"/>
    </xf>
    <xf numFmtId="0" fontId="25" fillId="0" borderId="9" xfId="5" applyFont="1" applyBorder="1" applyAlignment="1">
      <alignment vertical="center"/>
    </xf>
    <xf numFmtId="1" fontId="25" fillId="0" borderId="9" xfId="5" applyNumberFormat="1" applyFont="1" applyBorder="1" applyAlignment="1">
      <alignment horizontal="center" vertical="center"/>
    </xf>
    <xf numFmtId="180" fontId="25" fillId="0" borderId="9" xfId="6" applyFont="1" applyBorder="1" applyAlignment="1">
      <alignment horizontal="right" vertical="center"/>
    </xf>
    <xf numFmtId="0" fontId="25" fillId="0" borderId="10" xfId="5" applyFont="1" applyBorder="1" applyAlignment="1">
      <alignment vertical="center"/>
    </xf>
    <xf numFmtId="0" fontId="25" fillId="0" borderId="11" xfId="5" applyFont="1" applyBorder="1" applyAlignment="1">
      <alignment horizontal="center" vertical="center"/>
    </xf>
    <xf numFmtId="0" fontId="25" fillId="0" borderId="12" xfId="5" applyFont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1" fontId="25" fillId="0" borderId="12" xfId="5" applyNumberFormat="1" applyFont="1" applyBorder="1" applyAlignment="1">
      <alignment horizontal="center" vertical="center"/>
    </xf>
    <xf numFmtId="180" fontId="25" fillId="0" borderId="12" xfId="6" applyFont="1" applyBorder="1" applyAlignment="1">
      <alignment horizontal="right" vertical="center"/>
    </xf>
    <xf numFmtId="0" fontId="25" fillId="0" borderId="13" xfId="5" quotePrefix="1" applyFont="1" applyBorder="1" applyAlignment="1">
      <alignment vertical="center"/>
    </xf>
    <xf numFmtId="0" fontId="25" fillId="0" borderId="13" xfId="5" applyFont="1" applyBorder="1" applyAlignment="1">
      <alignment vertical="center"/>
    </xf>
    <xf numFmtId="0" fontId="17" fillId="6" borderId="12" xfId="5" applyFont="1" applyFill="1" applyBorder="1" applyAlignment="1">
      <alignment vertical="center"/>
    </xf>
    <xf numFmtId="1" fontId="17" fillId="6" borderId="12" xfId="5" applyNumberFormat="1" applyFont="1" applyFill="1" applyBorder="1" applyAlignment="1">
      <alignment horizontal="center" vertical="center"/>
    </xf>
    <xf numFmtId="180" fontId="17" fillId="6" borderId="12" xfId="6" applyFont="1" applyFill="1" applyBorder="1" applyAlignment="1">
      <alignment horizontal="right" vertical="center"/>
    </xf>
    <xf numFmtId="0" fontId="17" fillId="0" borderId="12" xfId="5" applyFont="1" applyBorder="1" applyAlignment="1">
      <alignment vertical="center"/>
    </xf>
    <xf numFmtId="0" fontId="25" fillId="0" borderId="12" xfId="5" applyFont="1" applyBorder="1" applyAlignment="1">
      <alignment vertical="center"/>
    </xf>
    <xf numFmtId="180" fontId="17" fillId="0" borderId="12" xfId="6" applyFont="1" applyFill="1" applyBorder="1" applyAlignment="1">
      <alignment horizontal="right" vertical="center"/>
    </xf>
    <xf numFmtId="0" fontId="25" fillId="0" borderId="12" xfId="7" applyFont="1" applyBorder="1" applyAlignment="1">
      <alignment horizontal="center" vertical="center"/>
    </xf>
    <xf numFmtId="178" fontId="25" fillId="0" borderId="12" xfId="4" applyFont="1" applyFill="1" applyBorder="1" applyAlignment="1">
      <alignment horizontal="right" vertical="center"/>
    </xf>
    <xf numFmtId="0" fontId="25" fillId="0" borderId="12" xfId="2" applyFont="1" applyBorder="1" applyAlignment="1">
      <alignment horizontal="left" vertical="center"/>
    </xf>
    <xf numFmtId="9" fontId="17" fillId="6" borderId="12" xfId="2" applyNumberFormat="1" applyFont="1" applyFill="1" applyBorder="1" applyAlignment="1">
      <alignment horizontal="right" vertical="center"/>
    </xf>
    <xf numFmtId="1" fontId="17" fillId="6" borderId="12" xfId="8" applyNumberFormat="1" applyFont="1" applyFill="1" applyBorder="1" applyAlignment="1">
      <alignment horizontal="center" vertical="center"/>
    </xf>
    <xf numFmtId="177" fontId="17" fillId="6" borderId="12" xfId="6" applyNumberFormat="1" applyFont="1" applyFill="1" applyBorder="1" applyAlignment="1">
      <alignment horizontal="right" vertical="center"/>
    </xf>
    <xf numFmtId="9" fontId="25" fillId="0" borderId="12" xfId="2" applyNumberFormat="1" applyFont="1" applyBorder="1" applyAlignment="1">
      <alignment horizontal="right" vertical="center"/>
    </xf>
    <xf numFmtId="1" fontId="25" fillId="0" borderId="12" xfId="8" applyNumberFormat="1" applyFont="1" applyFill="1" applyBorder="1" applyAlignment="1">
      <alignment horizontal="center" vertical="center"/>
    </xf>
    <xf numFmtId="177" fontId="17" fillId="0" borderId="12" xfId="6" applyNumberFormat="1" applyFont="1" applyFill="1" applyBorder="1" applyAlignment="1">
      <alignment horizontal="right" vertical="center"/>
    </xf>
    <xf numFmtId="0" fontId="25" fillId="0" borderId="12" xfId="2" applyFont="1" applyBorder="1" applyAlignment="1">
      <alignment vertical="center"/>
    </xf>
    <xf numFmtId="180" fontId="25" fillId="3" borderId="12" xfId="6" applyFont="1" applyFill="1" applyBorder="1" applyAlignment="1">
      <alignment horizontal="right" vertical="center"/>
    </xf>
    <xf numFmtId="0" fontId="17" fillId="0" borderId="14" xfId="5" applyFont="1" applyBorder="1" applyAlignment="1">
      <alignment horizontal="center" vertical="center" textRotation="255"/>
    </xf>
    <xf numFmtId="0" fontId="17" fillId="0" borderId="15" xfId="5" applyFont="1" applyBorder="1" applyAlignment="1">
      <alignment vertical="top"/>
    </xf>
    <xf numFmtId="0" fontId="25" fillId="0" borderId="16" xfId="5" applyFont="1" applyBorder="1" applyAlignment="1">
      <alignment vertical="center"/>
    </xf>
    <xf numFmtId="0" fontId="25" fillId="0" borderId="16" xfId="5" applyFont="1" applyBorder="1" applyAlignment="1">
      <alignment horizontal="right" vertical="center"/>
    </xf>
    <xf numFmtId="0" fontId="25" fillId="0" borderId="17" xfId="5" applyFont="1" applyBorder="1" applyAlignment="1">
      <alignment vertical="center"/>
    </xf>
    <xf numFmtId="0" fontId="27" fillId="0" borderId="0" xfId="9" applyFont="1"/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5" fillId="4" borderId="18" xfId="0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36" fillId="0" borderId="18" xfId="0" applyFont="1" applyBorder="1">
      <alignment vertical="center"/>
    </xf>
    <xf numFmtId="177" fontId="36" fillId="0" borderId="18" xfId="1" applyFont="1" applyBorder="1">
      <alignment vertical="center"/>
    </xf>
    <xf numFmtId="0" fontId="36" fillId="0" borderId="0" xfId="0" applyFont="1">
      <alignment vertical="center"/>
    </xf>
    <xf numFmtId="177" fontId="36" fillId="2" borderId="18" xfId="1" applyFont="1" applyFill="1" applyBorder="1">
      <alignment vertical="center"/>
    </xf>
    <xf numFmtId="178" fontId="30" fillId="2" borderId="18" xfId="4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9" fontId="10" fillId="7" borderId="0" xfId="15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36" fillId="0" borderId="18" xfId="0" applyNumberFormat="1" applyFont="1" applyBorder="1">
      <alignment vertical="center"/>
    </xf>
    <xf numFmtId="49" fontId="29" fillId="0" borderId="0" xfId="0" applyNumberFormat="1" applyFont="1">
      <alignment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29" fillId="0" borderId="0" xfId="1" applyFont="1">
      <alignment vertical="center"/>
    </xf>
    <xf numFmtId="177" fontId="29" fillId="0" borderId="0" xfId="1" applyFont="1" applyAlignment="1">
      <alignment horizontal="center" vertical="center"/>
    </xf>
    <xf numFmtId="177" fontId="30" fillId="0" borderId="0" xfId="1" applyFont="1" applyAlignment="1">
      <alignment horizontal="center" vertical="center"/>
    </xf>
    <xf numFmtId="9" fontId="36" fillId="0" borderId="18" xfId="0" applyNumberFormat="1" applyFont="1" applyBorder="1">
      <alignment vertical="center"/>
    </xf>
    <xf numFmtId="49" fontId="36" fillId="0" borderId="0" xfId="0" applyNumberFormat="1" applyFont="1">
      <alignment vertical="center"/>
    </xf>
    <xf numFmtId="177" fontId="36" fillId="0" borderId="0" xfId="1" applyFont="1" applyFill="1">
      <alignment vertical="center"/>
    </xf>
    <xf numFmtId="177" fontId="37" fillId="0" borderId="0" xfId="1" applyFont="1" applyFill="1">
      <alignment vertical="center"/>
    </xf>
    <xf numFmtId="9" fontId="36" fillId="0" borderId="0" xfId="0" applyNumberFormat="1" applyFont="1">
      <alignment vertical="center"/>
    </xf>
    <xf numFmtId="0" fontId="38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9" fillId="0" borderId="0" xfId="0" applyFont="1">
      <alignment vertical="center"/>
    </xf>
    <xf numFmtId="181" fontId="41" fillId="0" borderId="0" xfId="17" applyNumberFormat="1" applyFont="1" applyAlignment="1">
      <alignment horizontal="center" vertical="center" shrinkToFit="1"/>
    </xf>
    <xf numFmtId="0" fontId="41" fillId="0" borderId="0" xfId="17" applyFont="1" applyAlignment="1">
      <alignment vertical="center" shrinkToFit="1"/>
    </xf>
    <xf numFmtId="0" fontId="45" fillId="0" borderId="0" xfId="17" applyFont="1" applyAlignment="1">
      <alignment vertical="center" shrinkToFit="1"/>
    </xf>
    <xf numFmtId="0" fontId="46" fillId="0" borderId="22" xfId="17" applyFont="1" applyBorder="1" applyAlignment="1">
      <alignment horizontal="center" vertical="center" shrinkToFit="1"/>
    </xf>
    <xf numFmtId="0" fontId="46" fillId="0" borderId="23" xfId="17" applyFont="1" applyBorder="1" applyAlignment="1">
      <alignment horizontal="center" vertical="center" shrinkToFit="1"/>
    </xf>
    <xf numFmtId="182" fontId="46" fillId="0" borderId="23" xfId="17" applyNumberFormat="1" applyFont="1" applyBorder="1" applyAlignment="1">
      <alignment horizontal="center" vertical="center" shrinkToFit="1"/>
    </xf>
    <xf numFmtId="181" fontId="47" fillId="0" borderId="0" xfId="17" applyNumberFormat="1" applyFont="1" applyAlignment="1">
      <alignment horizontal="center" vertical="center" shrinkToFit="1"/>
    </xf>
    <xf numFmtId="0" fontId="46" fillId="0" borderId="26" xfId="17" applyFont="1" applyBorder="1" applyAlignment="1">
      <alignment horizontal="center" vertical="center" shrinkToFit="1"/>
    </xf>
    <xf numFmtId="0" fontId="47" fillId="0" borderId="0" xfId="17" applyFont="1" applyAlignment="1">
      <alignment horizontal="center" vertical="center" shrinkToFit="1"/>
    </xf>
    <xf numFmtId="0" fontId="46" fillId="0" borderId="19" xfId="17" applyFont="1" applyBorder="1" applyAlignment="1">
      <alignment vertical="center" shrinkToFit="1"/>
    </xf>
    <xf numFmtId="0" fontId="41" fillId="0" borderId="0" xfId="17" applyFont="1" applyAlignment="1">
      <alignment horizontal="left" vertical="center" shrinkToFit="1"/>
    </xf>
    <xf numFmtId="182" fontId="41" fillId="0" borderId="0" xfId="17" applyNumberFormat="1" applyFont="1" applyAlignment="1">
      <alignment horizontal="right" vertical="center" shrinkToFit="1"/>
    </xf>
    <xf numFmtId="49" fontId="17" fillId="0" borderId="2" xfId="5" applyNumberFormat="1" applyFont="1" applyBorder="1" applyAlignment="1">
      <alignment vertical="center"/>
    </xf>
    <xf numFmtId="0" fontId="37" fillId="0" borderId="0" xfId="0" applyFont="1">
      <alignment vertical="center"/>
    </xf>
    <xf numFmtId="49" fontId="37" fillId="0" borderId="0" xfId="0" applyNumberFormat="1" applyFont="1">
      <alignment vertical="center"/>
    </xf>
    <xf numFmtId="9" fontId="37" fillId="0" borderId="0" xfId="0" applyNumberFormat="1" applyFont="1">
      <alignment vertical="center"/>
    </xf>
    <xf numFmtId="177" fontId="37" fillId="0" borderId="0" xfId="0" applyNumberFormat="1" applyFont="1">
      <alignment vertical="center"/>
    </xf>
    <xf numFmtId="177" fontId="36" fillId="0" borderId="18" xfId="1" applyFont="1" applyFill="1" applyBorder="1">
      <alignment vertical="center"/>
    </xf>
    <xf numFmtId="177" fontId="36" fillId="0" borderId="18" xfId="1" applyFont="1" applyFill="1" applyBorder="1" applyAlignment="1">
      <alignment horizontal="center" vertical="center"/>
    </xf>
    <xf numFmtId="180" fontId="27" fillId="6" borderId="0" xfId="2" applyNumberFormat="1" applyFont="1" applyFill="1" applyAlignment="1">
      <alignment horizontal="center" vertical="center"/>
    </xf>
    <xf numFmtId="49" fontId="36" fillId="8" borderId="18" xfId="0" applyNumberFormat="1" applyFont="1" applyFill="1" applyBorder="1" applyAlignment="1">
      <alignment horizontal="center" vertical="center"/>
    </xf>
    <xf numFmtId="177" fontId="36" fillId="8" borderId="18" xfId="1" applyFont="1" applyFill="1" applyBorder="1" applyAlignment="1">
      <alignment horizontal="center" vertical="center"/>
    </xf>
    <xf numFmtId="177" fontId="36" fillId="8" borderId="18" xfId="1" applyFont="1" applyFill="1" applyBorder="1">
      <alignment vertical="center"/>
    </xf>
    <xf numFmtId="0" fontId="36" fillId="8" borderId="18" xfId="0" applyFont="1" applyFill="1" applyBorder="1" applyAlignment="1">
      <alignment horizontal="left" vertical="center"/>
    </xf>
    <xf numFmtId="49" fontId="36" fillId="8" borderId="18" xfId="0" applyNumberFormat="1" applyFont="1" applyFill="1" applyBorder="1">
      <alignment vertical="center"/>
    </xf>
    <xf numFmtId="9" fontId="36" fillId="8" borderId="18" xfId="0" applyNumberFormat="1" applyFont="1" applyFill="1" applyBorder="1">
      <alignment vertical="center"/>
    </xf>
    <xf numFmtId="0" fontId="50" fillId="3" borderId="18" xfId="0" applyFont="1" applyFill="1" applyBorder="1">
      <alignment vertical="center"/>
    </xf>
    <xf numFmtId="0" fontId="50" fillId="3" borderId="0" xfId="0" applyFont="1" applyFill="1">
      <alignment vertical="center"/>
    </xf>
    <xf numFmtId="177" fontId="50" fillId="3" borderId="18" xfId="1" applyFont="1" applyFill="1" applyBorder="1" applyAlignment="1">
      <alignment horizontal="center" vertical="center"/>
    </xf>
    <xf numFmtId="49" fontId="51" fillId="0" borderId="18" xfId="0" applyNumberFormat="1" applyFont="1" applyBorder="1" applyAlignment="1">
      <alignment horizontal="center" vertical="center"/>
    </xf>
    <xf numFmtId="177" fontId="4" fillId="0" borderId="18" xfId="1" applyFont="1" applyFill="1" applyBorder="1" applyAlignment="1">
      <alignment horizontal="center" vertical="center" wrapText="1"/>
    </xf>
    <xf numFmtId="49" fontId="51" fillId="3" borderId="18" xfId="0" applyNumberFormat="1" applyFont="1" applyFill="1" applyBorder="1" applyAlignment="1">
      <alignment horizontal="center" vertical="center"/>
    </xf>
    <xf numFmtId="49" fontId="51" fillId="3" borderId="18" xfId="0" applyNumberFormat="1" applyFont="1" applyFill="1" applyBorder="1">
      <alignment vertical="center"/>
    </xf>
    <xf numFmtId="177" fontId="34" fillId="0" borderId="0" xfId="1" applyFont="1" applyFill="1">
      <alignment vertical="center"/>
    </xf>
    <xf numFmtId="0" fontId="52" fillId="0" borderId="0" xfId="0" applyFont="1" applyAlignment="1">
      <alignment horizontal="center" vertical="center"/>
    </xf>
    <xf numFmtId="49" fontId="53" fillId="0" borderId="0" xfId="0" applyNumberFormat="1" applyFont="1">
      <alignment vertical="center"/>
    </xf>
    <xf numFmtId="49" fontId="53" fillId="0" borderId="0" xfId="0" applyNumberFormat="1" applyFont="1" applyAlignment="1">
      <alignment horizontal="center" vertical="center"/>
    </xf>
    <xf numFmtId="177" fontId="53" fillId="0" borderId="0" xfId="1" applyFont="1">
      <alignment vertical="center"/>
    </xf>
    <xf numFmtId="0" fontId="54" fillId="0" borderId="0" xfId="0" applyFont="1" applyAlignment="1">
      <alignment horizontal="center" vertical="center"/>
    </xf>
    <xf numFmtId="0" fontId="53" fillId="0" borderId="0" xfId="0" applyFont="1">
      <alignment vertic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right" vertical="center"/>
    </xf>
    <xf numFmtId="0" fontId="57" fillId="0" borderId="0" xfId="0" applyFont="1">
      <alignment vertical="center"/>
    </xf>
    <xf numFmtId="9" fontId="58" fillId="7" borderId="0" xfId="15" applyFont="1" applyFill="1" applyAlignment="1">
      <alignment horizontal="center" vertical="center"/>
    </xf>
    <xf numFmtId="0" fontId="59" fillId="0" borderId="0" xfId="0" applyFont="1">
      <alignment vertical="center"/>
    </xf>
    <xf numFmtId="0" fontId="54" fillId="3" borderId="18" xfId="0" applyFont="1" applyFill="1" applyBorder="1" applyAlignment="1">
      <alignment horizontal="center" vertical="center"/>
    </xf>
    <xf numFmtId="0" fontId="53" fillId="3" borderId="0" xfId="0" applyFont="1" applyFill="1">
      <alignment vertical="center"/>
    </xf>
    <xf numFmtId="49" fontId="50" fillId="3" borderId="18" xfId="0" applyNumberFormat="1" applyFont="1" applyFill="1" applyBorder="1" applyAlignment="1">
      <alignment horizontal="center" vertical="center"/>
    </xf>
    <xf numFmtId="0" fontId="34" fillId="3" borderId="18" xfId="0" applyFont="1" applyFill="1" applyBorder="1">
      <alignment vertical="center"/>
    </xf>
    <xf numFmtId="0" fontId="34" fillId="3" borderId="0" xfId="0" applyFont="1" applyFill="1">
      <alignment vertical="center"/>
    </xf>
    <xf numFmtId="177" fontId="34" fillId="3" borderId="0" xfId="1" applyFont="1" applyFill="1">
      <alignment vertical="center"/>
    </xf>
    <xf numFmtId="49" fontId="51" fillId="0" borderId="18" xfId="0" applyNumberFormat="1" applyFont="1" applyBorder="1">
      <alignment vertical="center"/>
    </xf>
    <xf numFmtId="0" fontId="50" fillId="3" borderId="18" xfId="0" applyFont="1" applyFill="1" applyBorder="1" applyAlignment="1">
      <alignment horizontal="center" vertical="center"/>
    </xf>
    <xf numFmtId="184" fontId="25" fillId="0" borderId="13" xfId="5" applyNumberFormat="1" applyFont="1" applyBorder="1" applyAlignment="1">
      <alignment vertical="center"/>
    </xf>
    <xf numFmtId="0" fontId="12" fillId="0" borderId="0" xfId="5" applyFont="1" applyAlignment="1">
      <alignment horizontal="center" vertical="center"/>
    </xf>
    <xf numFmtId="0" fontId="18" fillId="5" borderId="0" xfId="5" applyFont="1" applyFill="1" applyAlignment="1">
      <alignment horizontal="left" vertical="center" shrinkToFit="1"/>
    </xf>
    <xf numFmtId="0" fontId="18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42" fillId="0" borderId="0" xfId="17" applyFont="1" applyAlignment="1">
      <alignment horizontal="center" vertical="center" shrinkToFit="1"/>
    </xf>
    <xf numFmtId="0" fontId="43" fillId="0" borderId="0" xfId="17" applyFont="1" applyAlignment="1">
      <alignment horizontal="center" vertical="center" shrinkToFit="1"/>
    </xf>
    <xf numFmtId="176" fontId="44" fillId="0" borderId="0" xfId="18" applyFont="1" applyBorder="1" applyAlignment="1">
      <alignment horizontal="center" vertical="center" shrinkToFit="1"/>
    </xf>
    <xf numFmtId="31" fontId="46" fillId="0" borderId="24" xfId="17" applyNumberFormat="1" applyFont="1" applyBorder="1" applyAlignment="1">
      <alignment horizontal="center" vertical="center" shrinkToFit="1"/>
    </xf>
    <xf numFmtId="31" fontId="46" fillId="0" borderId="25" xfId="17" applyNumberFormat="1" applyFont="1" applyBorder="1" applyAlignment="1">
      <alignment horizontal="center" vertical="center" shrinkToFit="1"/>
    </xf>
    <xf numFmtId="0" fontId="46" fillId="0" borderId="21" xfId="17" applyFont="1" applyBorder="1" applyAlignment="1">
      <alignment horizontal="left" vertical="center" indent="1" shrinkToFit="1"/>
    </xf>
    <xf numFmtId="0" fontId="46" fillId="0" borderId="19" xfId="17" applyFont="1" applyBorder="1" applyAlignment="1">
      <alignment horizontal="left" vertical="center" indent="1" shrinkToFit="1"/>
    </xf>
    <xf numFmtId="0" fontId="46" fillId="0" borderId="27" xfId="17" applyFont="1" applyBorder="1" applyAlignment="1">
      <alignment horizontal="left" vertical="center" indent="1" shrinkToFit="1"/>
    </xf>
    <xf numFmtId="0" fontId="46" fillId="0" borderId="28" xfId="17" applyFont="1" applyBorder="1" applyAlignment="1">
      <alignment horizontal="center" vertical="center" shrinkToFit="1"/>
    </xf>
    <xf numFmtId="0" fontId="46" fillId="0" borderId="32" xfId="17" applyFont="1" applyBorder="1" applyAlignment="1">
      <alignment horizontal="center" vertical="center" shrinkToFit="1"/>
    </xf>
    <xf numFmtId="0" fontId="46" fillId="0" borderId="35" xfId="17" applyFont="1" applyBorder="1" applyAlignment="1">
      <alignment horizontal="center" vertical="center" shrinkToFit="1"/>
    </xf>
    <xf numFmtId="0" fontId="48" fillId="3" borderId="29" xfId="17" applyFont="1" applyFill="1" applyBorder="1" applyAlignment="1">
      <alignment horizontal="left" vertical="center" shrinkToFit="1"/>
    </xf>
    <xf numFmtId="0" fontId="48" fillId="3" borderId="30" xfId="17" applyFont="1" applyFill="1" applyBorder="1" applyAlignment="1">
      <alignment horizontal="left" vertical="center" shrinkToFit="1"/>
    </xf>
    <xf numFmtId="0" fontId="48" fillId="3" borderId="31" xfId="17" applyFont="1" applyFill="1" applyBorder="1" applyAlignment="1">
      <alignment horizontal="left" vertical="center" shrinkToFit="1"/>
    </xf>
    <xf numFmtId="0" fontId="48" fillId="3" borderId="33" xfId="17" applyFont="1" applyFill="1" applyBorder="1" applyAlignment="1">
      <alignment horizontal="left" vertical="center" shrinkToFit="1"/>
    </xf>
    <xf numFmtId="0" fontId="48" fillId="3" borderId="0" xfId="17" applyFont="1" applyFill="1" applyAlignment="1">
      <alignment horizontal="left" vertical="center" shrinkToFit="1"/>
    </xf>
    <xf numFmtId="0" fontId="48" fillId="3" borderId="34" xfId="17" applyFont="1" applyFill="1" applyBorder="1" applyAlignment="1">
      <alignment horizontal="left" vertical="center" shrinkToFit="1"/>
    </xf>
    <xf numFmtId="177" fontId="41" fillId="3" borderId="33" xfId="19" quotePrefix="1" applyFont="1" applyFill="1" applyBorder="1" applyAlignment="1">
      <alignment horizontal="left" vertical="center" shrinkToFit="1"/>
    </xf>
    <xf numFmtId="177" fontId="41" fillId="3" borderId="0" xfId="19" quotePrefix="1" applyFont="1" applyFill="1" applyBorder="1" applyAlignment="1">
      <alignment horizontal="left" vertical="center" shrinkToFit="1"/>
    </xf>
    <xf numFmtId="177" fontId="41" fillId="3" borderId="34" xfId="19" quotePrefix="1" applyFont="1" applyFill="1" applyBorder="1" applyAlignment="1">
      <alignment horizontal="left" vertical="center" shrinkToFit="1"/>
    </xf>
    <xf numFmtId="177" fontId="41" fillId="3" borderId="0" xfId="19" applyFont="1" applyFill="1" applyBorder="1" applyAlignment="1">
      <alignment horizontal="left" vertical="center" shrinkToFit="1"/>
    </xf>
    <xf numFmtId="177" fontId="41" fillId="3" borderId="34" xfId="19" applyFont="1" applyFill="1" applyBorder="1" applyAlignment="1">
      <alignment horizontal="left" vertical="center" shrinkToFit="1"/>
    </xf>
    <xf numFmtId="0" fontId="48" fillId="3" borderId="33" xfId="16" applyFont="1" applyFill="1" applyBorder="1" applyAlignment="1">
      <alignment horizontal="left" vertical="center" shrinkToFit="1"/>
    </xf>
    <xf numFmtId="0" fontId="49" fillId="3" borderId="0" xfId="16" applyFont="1" applyFill="1" applyAlignment="1">
      <alignment horizontal="left" vertical="center" shrinkToFit="1"/>
    </xf>
    <xf numFmtId="0" fontId="49" fillId="3" borderId="34" xfId="16" applyFont="1" applyFill="1" applyBorder="1" applyAlignment="1">
      <alignment horizontal="left" vertical="center" shrinkToFit="1"/>
    </xf>
    <xf numFmtId="0" fontId="46" fillId="0" borderId="19" xfId="17" applyFont="1" applyBorder="1" applyAlignment="1">
      <alignment horizontal="center" vertical="center" shrinkToFit="1"/>
    </xf>
    <xf numFmtId="0" fontId="46" fillId="0" borderId="27" xfId="17" applyFont="1" applyBorder="1" applyAlignment="1">
      <alignment horizontal="center" vertical="center" shrinkToFit="1"/>
    </xf>
    <xf numFmtId="0" fontId="48" fillId="3" borderId="0" xfId="16" applyFont="1" applyFill="1" applyAlignment="1">
      <alignment horizontal="left" vertical="center" shrinkToFit="1"/>
    </xf>
    <xf numFmtId="0" fontId="48" fillId="3" borderId="34" xfId="16" applyFont="1" applyFill="1" applyBorder="1" applyAlignment="1">
      <alignment horizontal="left" vertical="center" shrinkToFit="1"/>
    </xf>
    <xf numFmtId="0" fontId="46" fillId="3" borderId="33" xfId="17" applyFont="1" applyFill="1" applyBorder="1" applyAlignment="1">
      <alignment horizontal="left" vertical="center" shrinkToFit="1"/>
    </xf>
    <xf numFmtId="0" fontId="46" fillId="3" borderId="0" xfId="17" applyFont="1" applyFill="1" applyAlignment="1">
      <alignment horizontal="left" vertical="center" shrinkToFit="1"/>
    </xf>
    <xf numFmtId="0" fontId="46" fillId="3" borderId="34" xfId="17" applyFont="1" applyFill="1" applyBorder="1" applyAlignment="1">
      <alignment horizontal="left" vertical="center" shrinkToFit="1"/>
    </xf>
    <xf numFmtId="49" fontId="51" fillId="0" borderId="21" xfId="0" applyNumberFormat="1" applyFont="1" applyBorder="1">
      <alignment vertical="center"/>
    </xf>
    <xf numFmtId="49" fontId="51" fillId="3" borderId="21" xfId="0" applyNumberFormat="1" applyFont="1" applyFill="1" applyBorder="1">
      <alignment vertical="center"/>
    </xf>
    <xf numFmtId="0" fontId="50" fillId="3" borderId="21" xfId="0" applyFont="1" applyFill="1" applyBorder="1">
      <alignment vertical="center"/>
    </xf>
    <xf numFmtId="0" fontId="34" fillId="3" borderId="21" xfId="0" applyFont="1" applyFill="1" applyBorder="1">
      <alignment vertical="center"/>
    </xf>
    <xf numFmtId="49" fontId="51" fillId="0" borderId="20" xfId="0" applyNumberFormat="1" applyFont="1" applyBorder="1">
      <alignment vertical="center"/>
    </xf>
    <xf numFmtId="49" fontId="51" fillId="3" borderId="20" xfId="0" applyNumberFormat="1" applyFont="1" applyFill="1" applyBorder="1">
      <alignment vertical="center"/>
    </xf>
    <xf numFmtId="0" fontId="50" fillId="3" borderId="20" xfId="0" applyFont="1" applyFill="1" applyBorder="1">
      <alignment vertical="center"/>
    </xf>
    <xf numFmtId="0" fontId="34" fillId="3" borderId="20" xfId="0" applyFont="1" applyFill="1" applyBorder="1">
      <alignment vertical="center"/>
    </xf>
    <xf numFmtId="0" fontId="34" fillId="3" borderId="0" xfId="0" applyFont="1" applyFill="1" applyBorder="1">
      <alignment vertical="center"/>
    </xf>
    <xf numFmtId="49" fontId="34" fillId="3" borderId="0" xfId="0" applyNumberFormat="1" applyFont="1" applyFill="1" applyBorder="1">
      <alignment vertical="center"/>
    </xf>
    <xf numFmtId="49" fontId="34" fillId="3" borderId="0" xfId="0" applyNumberFormat="1" applyFont="1" applyFill="1" applyBorder="1" applyAlignment="1">
      <alignment horizontal="center" vertical="center"/>
    </xf>
    <xf numFmtId="177" fontId="34" fillId="3" borderId="0" xfId="1" applyFont="1" applyFill="1" applyBorder="1">
      <alignment vertical="center"/>
    </xf>
    <xf numFmtId="9" fontId="34" fillId="3" borderId="0" xfId="0" applyNumberFormat="1" applyFont="1" applyFill="1" applyBorder="1">
      <alignment vertical="center"/>
    </xf>
    <xf numFmtId="0" fontId="54" fillId="3" borderId="20" xfId="0" applyFont="1" applyFill="1" applyBorder="1" applyAlignment="1">
      <alignment horizontal="center" vertical="center"/>
    </xf>
    <xf numFmtId="49" fontId="51" fillId="3" borderId="36" xfId="0" applyNumberFormat="1" applyFont="1" applyFill="1" applyBorder="1">
      <alignment vertical="center"/>
    </xf>
    <xf numFmtId="0" fontId="50" fillId="3" borderId="36" xfId="0" applyFont="1" applyFill="1" applyBorder="1">
      <alignment vertical="center"/>
    </xf>
    <xf numFmtId="177" fontId="50" fillId="3" borderId="36" xfId="1" applyFont="1" applyFill="1" applyBorder="1">
      <alignment vertical="center"/>
    </xf>
    <xf numFmtId="183" fontId="4" fillId="3" borderId="36" xfId="0" applyNumberFormat="1" applyFont="1" applyFill="1" applyBorder="1" applyAlignment="1">
      <alignment horizontal="right" vertical="center" wrapText="1"/>
    </xf>
    <xf numFmtId="177" fontId="50" fillId="3" borderId="36" xfId="1" applyFont="1" applyFill="1" applyBorder="1" applyAlignment="1">
      <alignment horizontal="center" vertical="center"/>
    </xf>
    <xf numFmtId="49" fontId="51" fillId="3" borderId="36" xfId="0" applyNumberFormat="1" applyFont="1" applyFill="1" applyBorder="1" applyAlignment="1">
      <alignment horizontal="center" vertical="center"/>
    </xf>
    <xf numFmtId="177" fontId="4" fillId="3" borderId="36" xfId="1" applyFont="1" applyFill="1" applyBorder="1" applyAlignment="1">
      <alignment horizontal="center" vertical="center" wrapText="1"/>
    </xf>
    <xf numFmtId="0" fontId="50" fillId="3" borderId="36" xfId="0" applyFont="1" applyFill="1" applyBorder="1" applyAlignment="1">
      <alignment horizontal="left" vertical="center"/>
    </xf>
    <xf numFmtId="49" fontId="50" fillId="3" borderId="36" xfId="0" applyNumberFormat="1" applyFont="1" applyFill="1" applyBorder="1" applyAlignment="1">
      <alignment horizontal="center" vertical="center"/>
    </xf>
    <xf numFmtId="49" fontId="50" fillId="3" borderId="36" xfId="0" applyNumberFormat="1" applyFont="1" applyFill="1" applyBorder="1">
      <alignment vertical="center"/>
    </xf>
    <xf numFmtId="9" fontId="50" fillId="3" borderId="36" xfId="0" applyNumberFormat="1" applyFont="1" applyFill="1" applyBorder="1">
      <alignment vertical="center"/>
    </xf>
    <xf numFmtId="0" fontId="54" fillId="3" borderId="21" xfId="0" applyFont="1" applyFill="1" applyBorder="1" applyAlignment="1">
      <alignment horizontal="center" vertical="center"/>
    </xf>
    <xf numFmtId="49" fontId="51" fillId="0" borderId="37" xfId="0" applyNumberFormat="1" applyFont="1" applyBorder="1">
      <alignment vertical="center"/>
    </xf>
    <xf numFmtId="49" fontId="51" fillId="0" borderId="37" xfId="0" applyNumberFormat="1" applyFont="1" applyBorder="1" applyAlignment="1">
      <alignment horizontal="center" vertical="center"/>
    </xf>
    <xf numFmtId="177" fontId="4" fillId="0" borderId="37" xfId="1" applyFont="1" applyFill="1" applyBorder="1" applyAlignment="1">
      <alignment horizontal="center" vertical="center" wrapText="1"/>
    </xf>
    <xf numFmtId="177" fontId="50" fillId="3" borderId="37" xfId="1" applyFont="1" applyFill="1" applyBorder="1">
      <alignment vertical="center"/>
    </xf>
    <xf numFmtId="183" fontId="4" fillId="3" borderId="37" xfId="0" applyNumberFormat="1" applyFont="1" applyFill="1" applyBorder="1" applyAlignment="1">
      <alignment horizontal="right" vertical="center" wrapText="1"/>
    </xf>
    <xf numFmtId="177" fontId="50" fillId="3" borderId="37" xfId="1" applyFont="1" applyFill="1" applyBorder="1" applyAlignment="1">
      <alignment horizontal="center" vertical="center"/>
    </xf>
    <xf numFmtId="9" fontId="50" fillId="3" borderId="37" xfId="0" applyNumberFormat="1" applyFont="1" applyFill="1" applyBorder="1">
      <alignment vertical="center"/>
    </xf>
    <xf numFmtId="49" fontId="50" fillId="3" borderId="37" xfId="0" applyNumberFormat="1" applyFont="1" applyFill="1" applyBorder="1">
      <alignment vertical="center"/>
    </xf>
    <xf numFmtId="0" fontId="54" fillId="3" borderId="38" xfId="0" applyFont="1" applyFill="1" applyBorder="1" applyAlignment="1">
      <alignment horizontal="center" vertical="center"/>
    </xf>
    <xf numFmtId="0" fontId="54" fillId="3" borderId="39" xfId="0" applyFont="1" applyFill="1" applyBorder="1" applyAlignment="1">
      <alignment horizontal="center" vertical="center"/>
    </xf>
    <xf numFmtId="0" fontId="54" fillId="3" borderId="40" xfId="0" applyFont="1" applyFill="1" applyBorder="1" applyAlignment="1">
      <alignment horizontal="center" vertical="center"/>
    </xf>
    <xf numFmtId="49" fontId="54" fillId="3" borderId="41" xfId="2" applyNumberFormat="1" applyFont="1" applyFill="1" applyBorder="1" applyAlignment="1">
      <alignment vertical="center"/>
    </xf>
    <xf numFmtId="49" fontId="54" fillId="3" borderId="41" xfId="2" applyNumberFormat="1" applyFont="1" applyFill="1" applyBorder="1" applyAlignment="1">
      <alignment horizontal="center" vertical="center"/>
    </xf>
    <xf numFmtId="177" fontId="54" fillId="3" borderId="41" xfId="1" applyFont="1" applyFill="1" applyBorder="1" applyAlignment="1">
      <alignment horizontal="center" vertical="center"/>
    </xf>
    <xf numFmtId="0" fontId="54" fillId="3" borderId="43" xfId="0" applyFont="1" applyFill="1" applyBorder="1" applyAlignment="1">
      <alignment horizontal="center" vertical="center"/>
    </xf>
    <xf numFmtId="49" fontId="54" fillId="3" borderId="44" xfId="2" applyNumberFormat="1" applyFont="1" applyFill="1" applyBorder="1" applyAlignment="1">
      <alignment horizontal="center" vertical="center"/>
    </xf>
    <xf numFmtId="49" fontId="54" fillId="3" borderId="44" xfId="2" applyNumberFormat="1" applyFont="1" applyFill="1" applyBorder="1" applyAlignment="1">
      <alignment horizontal="center" vertical="center"/>
    </xf>
    <xf numFmtId="177" fontId="54" fillId="3" borderId="44" xfId="1" applyFont="1" applyFill="1" applyBorder="1" applyAlignment="1">
      <alignment horizontal="center" vertical="center"/>
    </xf>
    <xf numFmtId="177" fontId="54" fillId="3" borderId="44" xfId="1" applyFont="1" applyFill="1" applyBorder="1" applyAlignment="1">
      <alignment horizontal="center" vertical="center"/>
    </xf>
    <xf numFmtId="0" fontId="55" fillId="3" borderId="41" xfId="0" applyFont="1" applyFill="1" applyBorder="1" applyAlignment="1">
      <alignment horizontal="center" vertical="center"/>
    </xf>
    <xf numFmtId="0" fontId="54" fillId="3" borderId="42" xfId="0" applyFont="1" applyFill="1" applyBorder="1" applyAlignment="1">
      <alignment horizontal="center" vertical="center"/>
    </xf>
    <xf numFmtId="0" fontId="54" fillId="3" borderId="44" xfId="0" applyFont="1" applyFill="1" applyBorder="1" applyAlignment="1">
      <alignment horizontal="center" vertical="center"/>
    </xf>
    <xf numFmtId="0" fontId="60" fillId="3" borderId="45" xfId="0" applyFont="1" applyFill="1" applyBorder="1" applyAlignment="1">
      <alignment horizontal="center" vertical="center"/>
    </xf>
    <xf numFmtId="49" fontId="34" fillId="0" borderId="0" xfId="0" applyNumberFormat="1" applyFont="1" applyFill="1" applyBorder="1" applyAlignment="1">
      <alignment horizontal="center" vertical="center"/>
    </xf>
    <xf numFmtId="0" fontId="54" fillId="3" borderId="41" xfId="0" applyFont="1" applyFill="1" applyBorder="1" applyAlignment="1">
      <alignment horizontal="center" vertical="center"/>
    </xf>
    <xf numFmtId="0" fontId="54" fillId="3" borderId="44" xfId="0" applyFont="1" applyFill="1" applyBorder="1" applyAlignment="1">
      <alignment horizontal="center" vertical="center"/>
    </xf>
    <xf numFmtId="177" fontId="62" fillId="8" borderId="0" xfId="1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178" fontId="54" fillId="3" borderId="41" xfId="4" applyFont="1" applyFill="1" applyBorder="1" applyAlignment="1">
      <alignment horizontal="center" vertical="center"/>
    </xf>
    <xf numFmtId="178" fontId="54" fillId="3" borderId="44" xfId="4" applyFont="1" applyFill="1" applyBorder="1" applyAlignment="1">
      <alignment horizontal="center" vertical="center"/>
    </xf>
    <xf numFmtId="49" fontId="51" fillId="0" borderId="37" xfId="0" applyNumberFormat="1" applyFont="1" applyBorder="1" applyAlignment="1">
      <alignment horizontal="center" vertical="center" wrapText="1"/>
    </xf>
    <xf numFmtId="49" fontId="51" fillId="3" borderId="36" xfId="0" applyNumberFormat="1" applyFont="1" applyFill="1" applyBorder="1" applyAlignment="1">
      <alignment horizontal="center" vertical="center" wrapText="1"/>
    </xf>
  </cellXfs>
  <cellStyles count="20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abSelected="1" zoomScale="85" zoomScaleNormal="85" workbookViewId="0">
      <selection activeCell="F19" sqref="F19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45" t="s">
        <v>0</v>
      </c>
      <c r="B2" s="145"/>
      <c r="C2" s="145"/>
      <c r="D2" s="145"/>
      <c r="E2" s="145"/>
      <c r="F2" s="145"/>
      <c r="G2" s="145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1</v>
      </c>
      <c r="B5" s="6" t="s">
        <v>76</v>
      </c>
      <c r="C5" s="7"/>
      <c r="D5" s="4"/>
      <c r="E5" s="4"/>
      <c r="F5" s="8" t="s">
        <v>73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2</v>
      </c>
      <c r="B7" s="11" t="s">
        <v>122</v>
      </c>
      <c r="C7" s="12"/>
      <c r="D7" s="4"/>
      <c r="E7" s="13"/>
      <c r="F7" s="146" t="s">
        <v>74</v>
      </c>
      <c r="G7" s="146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72</v>
      </c>
      <c r="B9" s="103"/>
      <c r="C9" s="15"/>
      <c r="D9" s="4"/>
      <c r="E9" s="4"/>
      <c r="F9" s="8" t="s">
        <v>75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47"/>
      <c r="B11" s="148"/>
      <c r="C11" s="148"/>
      <c r="D11" s="4"/>
      <c r="E11" s="16"/>
      <c r="F11" s="16"/>
      <c r="G11" s="16"/>
      <c r="H11" s="16"/>
    </row>
    <row r="12" spans="1:9" ht="18.75" thickBot="1">
      <c r="A12" s="17" t="s">
        <v>3</v>
      </c>
      <c r="B12" s="17" t="str">
        <f>NUMBERSTRING(F31,1)</f>
        <v>일백일십일만육천</v>
      </c>
      <c r="C12" s="18"/>
      <c r="D12" s="19" t="s">
        <v>4</v>
      </c>
      <c r="E12" s="20" t="s">
        <v>5</v>
      </c>
      <c r="F12" s="20" t="s">
        <v>5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6</v>
      </c>
      <c r="B14" s="24" t="s">
        <v>7</v>
      </c>
      <c r="C14" s="24" t="s">
        <v>8</v>
      </c>
      <c r="D14" s="24" t="s">
        <v>9</v>
      </c>
      <c r="E14" s="24" t="s">
        <v>10</v>
      </c>
      <c r="F14" s="24" t="s">
        <v>11</v>
      </c>
      <c r="G14" s="25" t="s">
        <v>12</v>
      </c>
      <c r="H14" s="22"/>
    </row>
    <row r="15" spans="1:9" ht="33" customHeight="1" thickTop="1">
      <c r="A15" s="26"/>
      <c r="B15" s="27" t="s">
        <v>13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14</v>
      </c>
      <c r="C16" s="34"/>
      <c r="D16" s="35"/>
      <c r="E16" s="35"/>
      <c r="F16" s="36">
        <f>'내역서(표준단가)'!K9</f>
        <v>554400</v>
      </c>
      <c r="G16" s="37"/>
    </row>
    <row r="17" spans="1:9" ht="33" customHeight="1">
      <c r="A17" s="32"/>
      <c r="B17" s="33" t="s">
        <v>15</v>
      </c>
      <c r="C17" s="34"/>
      <c r="D17" s="35"/>
      <c r="E17" s="35"/>
      <c r="F17" s="36">
        <f>'내역서(표준단가)'!M9</f>
        <v>444576</v>
      </c>
      <c r="G17" s="38"/>
      <c r="H17" s="3"/>
      <c r="I17" s="3"/>
    </row>
    <row r="18" spans="1:9" ht="33" customHeight="1">
      <c r="A18" s="32"/>
      <c r="B18" s="33" t="s">
        <v>16</v>
      </c>
      <c r="C18" s="34"/>
      <c r="D18" s="35"/>
      <c r="E18" s="35"/>
      <c r="F18" s="36">
        <f>'내역서(표준단가)'!O9+'내역서(표준단가)'!Q9</f>
        <v>0</v>
      </c>
      <c r="G18" s="38"/>
      <c r="H18" s="3"/>
      <c r="I18" s="3"/>
    </row>
    <row r="19" spans="1:9" ht="33" customHeight="1">
      <c r="A19" s="32"/>
      <c r="B19" s="39" t="s">
        <v>17</v>
      </c>
      <c r="C19" s="39"/>
      <c r="D19" s="40"/>
      <c r="E19" s="40"/>
      <c r="F19" s="41">
        <f>F16+F17+F18</f>
        <v>998976</v>
      </c>
      <c r="G19" s="38"/>
      <c r="H19" s="3"/>
      <c r="I19" s="3"/>
    </row>
    <row r="20" spans="1:9" ht="33" customHeight="1">
      <c r="A20" s="32"/>
      <c r="B20" s="42" t="s">
        <v>18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45" t="s">
        <v>19</v>
      </c>
      <c r="C21" s="43" t="s">
        <v>118</v>
      </c>
      <c r="D21" s="33">
        <v>1</v>
      </c>
      <c r="E21" s="33" t="s">
        <v>20</v>
      </c>
      <c r="F21" s="46">
        <f>F17*4.75%</f>
        <v>21117.360000000001</v>
      </c>
      <c r="G21" s="38" t="s">
        <v>21</v>
      </c>
      <c r="H21" s="3"/>
      <c r="I21" s="3"/>
    </row>
    <row r="22" spans="1:9" ht="33" customHeight="1">
      <c r="A22" s="32"/>
      <c r="B22" s="45" t="s">
        <v>22</v>
      </c>
      <c r="C22" s="43" t="s">
        <v>119</v>
      </c>
      <c r="D22" s="33">
        <v>1</v>
      </c>
      <c r="E22" s="33" t="s">
        <v>20</v>
      </c>
      <c r="F22" s="46">
        <f>F17*3.595%</f>
        <v>15982.507200000002</v>
      </c>
      <c r="G22" s="38" t="s">
        <v>23</v>
      </c>
      <c r="H22" s="3"/>
      <c r="I22" s="3"/>
    </row>
    <row r="23" spans="1:9" ht="33" customHeight="1">
      <c r="A23" s="32"/>
      <c r="B23" s="45" t="s">
        <v>24</v>
      </c>
      <c r="C23" s="43" t="s">
        <v>120</v>
      </c>
      <c r="D23" s="33">
        <v>1</v>
      </c>
      <c r="E23" s="33" t="s">
        <v>20</v>
      </c>
      <c r="F23" s="46">
        <f>F22*13.14%</f>
        <v>2100.1014460800006</v>
      </c>
      <c r="G23" s="38" t="s">
        <v>23</v>
      </c>
      <c r="H23" s="3"/>
      <c r="I23" s="3"/>
    </row>
    <row r="24" spans="1:9" ht="33" customHeight="1">
      <c r="A24" s="32"/>
      <c r="B24" s="45" t="s">
        <v>25</v>
      </c>
      <c r="C24" s="43" t="s">
        <v>80</v>
      </c>
      <c r="D24" s="33">
        <v>1</v>
      </c>
      <c r="E24" s="33" t="s">
        <v>20</v>
      </c>
      <c r="F24" s="46">
        <f>F17*1.01%</f>
        <v>4490.2175999999999</v>
      </c>
      <c r="G24" s="38" t="s">
        <v>23</v>
      </c>
      <c r="H24" s="3"/>
      <c r="I24" s="3"/>
    </row>
    <row r="25" spans="1:9" ht="33" customHeight="1">
      <c r="A25" s="32"/>
      <c r="B25" s="45" t="s">
        <v>26</v>
      </c>
      <c r="C25" s="43" t="s">
        <v>115</v>
      </c>
      <c r="D25" s="33">
        <v>1</v>
      </c>
      <c r="E25" s="33" t="s">
        <v>20</v>
      </c>
      <c r="F25" s="46">
        <f>F17*3.56%</f>
        <v>15826.9056</v>
      </c>
      <c r="G25" s="38" t="s">
        <v>23</v>
      </c>
      <c r="H25" s="3"/>
      <c r="I25" s="3"/>
    </row>
    <row r="26" spans="1:9" ht="33" customHeight="1">
      <c r="A26" s="32"/>
      <c r="B26" s="45" t="s">
        <v>27</v>
      </c>
      <c r="C26" s="47" t="s">
        <v>121</v>
      </c>
      <c r="D26" s="33">
        <v>1</v>
      </c>
      <c r="E26" s="33" t="s">
        <v>20</v>
      </c>
      <c r="F26" s="46">
        <f>(F16+F17)*3.11%</f>
        <v>31068.153599999998</v>
      </c>
      <c r="G26" s="38" t="s">
        <v>21</v>
      </c>
      <c r="H26" s="3"/>
      <c r="I26" s="3"/>
    </row>
    <row r="27" spans="1:9" ht="33" customHeight="1">
      <c r="A27" s="32"/>
      <c r="B27" s="45" t="s">
        <v>32</v>
      </c>
      <c r="C27" s="47" t="s">
        <v>33</v>
      </c>
      <c r="D27" s="33">
        <v>1</v>
      </c>
      <c r="E27" s="33" t="s">
        <v>20</v>
      </c>
      <c r="F27" s="46">
        <f>SUM(F17+F21+F22+F23+F24+F25+F26)*5%</f>
        <v>26758.062272304</v>
      </c>
      <c r="G27" s="38"/>
      <c r="H27" s="3"/>
      <c r="I27" s="3"/>
    </row>
    <row r="28" spans="1:9" ht="33" customHeight="1">
      <c r="A28" s="32"/>
      <c r="B28" s="39" t="s">
        <v>28</v>
      </c>
      <c r="C28" s="48"/>
      <c r="D28" s="49"/>
      <c r="E28" s="40"/>
      <c r="F28" s="50">
        <f>F21+F22+F23+F24+F25+F26+F27</f>
        <v>117343.30771838399</v>
      </c>
      <c r="G28" s="38"/>
      <c r="H28" s="3"/>
      <c r="I28" s="3"/>
    </row>
    <row r="29" spans="1:9" ht="33" customHeight="1">
      <c r="A29" s="32"/>
      <c r="B29" s="43"/>
      <c r="C29" s="51"/>
      <c r="D29" s="52"/>
      <c r="E29" s="35"/>
      <c r="F29" s="53"/>
      <c r="G29" s="38"/>
      <c r="H29" s="3"/>
      <c r="I29" s="3"/>
    </row>
    <row r="30" spans="1:9" ht="33" customHeight="1">
      <c r="A30" s="32"/>
      <c r="B30" s="54"/>
      <c r="C30" s="51"/>
      <c r="D30" s="52"/>
      <c r="E30" s="35"/>
      <c r="F30" s="55">
        <f>F19+F28+F29</f>
        <v>1116319.3077183841</v>
      </c>
      <c r="G30" s="38"/>
      <c r="H30" s="3"/>
      <c r="I30" s="3"/>
    </row>
    <row r="31" spans="1:9" ht="33" customHeight="1">
      <c r="A31" s="32"/>
      <c r="B31" s="39" t="s">
        <v>29</v>
      </c>
      <c r="C31" s="39"/>
      <c r="D31" s="40"/>
      <c r="E31" s="40"/>
      <c r="F31" s="110">
        <f>ROUNDDOWN(F30,-3)</f>
        <v>1116000</v>
      </c>
      <c r="G31" s="144"/>
      <c r="H31" s="3"/>
      <c r="I31" s="3"/>
    </row>
    <row r="32" spans="1:9" ht="33" customHeight="1" thickBot="1">
      <c r="A32" s="56"/>
      <c r="B32" s="57" t="s">
        <v>30</v>
      </c>
      <c r="C32" s="58"/>
      <c r="D32" s="58"/>
      <c r="E32" s="58"/>
      <c r="F32" s="59"/>
      <c r="G32" s="60"/>
      <c r="H32" s="3"/>
      <c r="I32" s="3"/>
    </row>
    <row r="33" spans="2:2" s="3" customFormat="1" ht="15.75">
      <c r="B33" s="61"/>
    </row>
    <row r="34" spans="2:2" s="3" customFormat="1" ht="15.75">
      <c r="B34" s="61"/>
    </row>
  </sheetData>
  <mergeCells count="3">
    <mergeCell ref="A2:G2"/>
    <mergeCell ref="F7:G7"/>
    <mergeCell ref="A11:C11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/>
  <dimension ref="A1:T9"/>
  <sheetViews>
    <sheetView view="pageBreakPreview" zoomScale="130" zoomScaleNormal="115" zoomScaleSheetLayoutView="130" workbookViewId="0">
      <pane ySplit="4" topLeftCell="A5" activePane="bottomLeft" state="frozen"/>
      <selection activeCell="D31" sqref="D31"/>
      <selection pane="bottomLeft" activeCell="A5" sqref="A5"/>
    </sheetView>
  </sheetViews>
  <sheetFormatPr defaultRowHeight="12" customHeight="1"/>
  <cols>
    <col min="1" max="1" width="6.875" style="195" customWidth="1"/>
    <col min="2" max="4" width="17.75" style="140" hidden="1" customWidth="1"/>
    <col min="5" max="5" width="16.25" style="195" customWidth="1"/>
    <col min="6" max="6" width="12" style="196" bestFit="1" customWidth="1"/>
    <col min="7" max="7" width="15.75" style="196" bestFit="1" customWidth="1"/>
    <col min="8" max="8" width="4.875" style="197" customWidth="1"/>
    <col min="9" max="9" width="5.125" style="198" customWidth="1"/>
    <col min="10" max="10" width="7.375" style="198" customWidth="1"/>
    <col min="11" max="11" width="10.875" style="198" bestFit="1" customWidth="1"/>
    <col min="12" max="12" width="8.5" style="198" customWidth="1"/>
    <col min="13" max="13" width="10.875" style="198" bestFit="1" customWidth="1"/>
    <col min="14" max="17" width="11.75" style="140" hidden="1" customWidth="1"/>
    <col min="18" max="18" width="12.75" style="195" customWidth="1"/>
    <col min="19" max="19" width="9.75" style="199" customWidth="1"/>
    <col min="20" max="20" width="16" style="196" bestFit="1" customWidth="1"/>
    <col min="21" max="16384" width="9" style="195"/>
  </cols>
  <sheetData>
    <row r="1" spans="1:20" s="130" customFormat="1" ht="30" customHeight="1">
      <c r="A1" s="125"/>
      <c r="B1" s="125"/>
      <c r="C1" s="125"/>
      <c r="D1" s="125"/>
      <c r="E1" s="125"/>
      <c r="F1" s="126"/>
      <c r="G1" s="126"/>
      <c r="H1" s="127"/>
      <c r="I1" s="128"/>
      <c r="J1" s="124"/>
      <c r="K1" s="129" t="s">
        <v>86</v>
      </c>
      <c r="M1" s="129" t="s">
        <v>86</v>
      </c>
      <c r="O1" s="129" t="s">
        <v>86</v>
      </c>
      <c r="Q1" s="129" t="s">
        <v>86</v>
      </c>
      <c r="S1" s="131" t="s">
        <v>77</v>
      </c>
    </row>
    <row r="2" spans="1:20" s="130" customFormat="1" ht="30" customHeight="1">
      <c r="A2" s="132" t="s">
        <v>87</v>
      </c>
      <c r="B2" s="132"/>
      <c r="C2" s="132"/>
      <c r="D2" s="132"/>
      <c r="E2" s="240" t="str">
        <f>갑지!B7</f>
        <v>사택 7-108외 1세대 LED등기구 교체</v>
      </c>
      <c r="F2" s="133"/>
      <c r="G2" s="126"/>
      <c r="H2" s="127"/>
      <c r="I2" s="128"/>
      <c r="J2" s="124"/>
      <c r="K2" s="134">
        <v>0.83</v>
      </c>
      <c r="M2" s="134">
        <v>0.4</v>
      </c>
      <c r="O2" s="134">
        <v>0.6</v>
      </c>
      <c r="Q2" s="134">
        <v>0.6</v>
      </c>
      <c r="S2" s="134">
        <v>1</v>
      </c>
      <c r="T2" s="135"/>
    </row>
    <row r="3" spans="1:20" s="137" customFormat="1" ht="30" customHeight="1">
      <c r="A3" s="221" t="s">
        <v>88</v>
      </c>
      <c r="B3" s="200"/>
      <c r="C3" s="136"/>
      <c r="D3" s="212"/>
      <c r="E3" s="223"/>
      <c r="F3" s="224" t="s">
        <v>89</v>
      </c>
      <c r="G3" s="224"/>
      <c r="H3" s="225" t="s">
        <v>90</v>
      </c>
      <c r="I3" s="226" t="s">
        <v>91</v>
      </c>
      <c r="J3" s="226" t="s">
        <v>92</v>
      </c>
      <c r="K3" s="226"/>
      <c r="L3" s="226" t="s">
        <v>93</v>
      </c>
      <c r="M3" s="226"/>
      <c r="N3" s="241" t="s">
        <v>94</v>
      </c>
      <c r="O3" s="241"/>
      <c r="P3" s="241" t="s">
        <v>95</v>
      </c>
      <c r="Q3" s="241"/>
      <c r="R3" s="237" t="s">
        <v>96</v>
      </c>
      <c r="S3" s="232" t="s">
        <v>37</v>
      </c>
      <c r="T3" s="233"/>
    </row>
    <row r="4" spans="1:20" s="137" customFormat="1" ht="30" customHeight="1">
      <c r="A4" s="222"/>
      <c r="B4" s="200"/>
      <c r="C4" s="136"/>
      <c r="D4" s="212"/>
      <c r="E4" s="227"/>
      <c r="F4" s="228" t="s">
        <v>97</v>
      </c>
      <c r="G4" s="228" t="s">
        <v>98</v>
      </c>
      <c r="H4" s="229"/>
      <c r="I4" s="230"/>
      <c r="J4" s="231" t="s">
        <v>99</v>
      </c>
      <c r="K4" s="231" t="s">
        <v>100</v>
      </c>
      <c r="L4" s="231" t="s">
        <v>101</v>
      </c>
      <c r="M4" s="231" t="s">
        <v>100</v>
      </c>
      <c r="N4" s="242" t="s">
        <v>102</v>
      </c>
      <c r="O4" s="242" t="s">
        <v>100</v>
      </c>
      <c r="P4" s="242" t="s">
        <v>102</v>
      </c>
      <c r="Q4" s="242" t="s">
        <v>100</v>
      </c>
      <c r="R4" s="238"/>
      <c r="S4" s="234" t="s">
        <v>103</v>
      </c>
      <c r="T4" s="235" t="s">
        <v>36</v>
      </c>
    </row>
    <row r="5" spans="1:20" s="118" customFormat="1" ht="30" customHeight="1">
      <c r="A5" s="213" t="s">
        <v>111</v>
      </c>
      <c r="B5" s="191"/>
      <c r="C5" s="142"/>
      <c r="D5" s="187"/>
      <c r="E5" s="214" t="s">
        <v>116</v>
      </c>
      <c r="F5" s="214" t="s">
        <v>112</v>
      </c>
      <c r="G5" s="243" t="s">
        <v>124</v>
      </c>
      <c r="H5" s="214" t="s">
        <v>52</v>
      </c>
      <c r="I5" s="215">
        <v>6</v>
      </c>
      <c r="J5" s="215">
        <v>70400</v>
      </c>
      <c r="K5" s="216">
        <f>I5*J5</f>
        <v>422400</v>
      </c>
      <c r="L5" s="217"/>
      <c r="M5" s="218"/>
      <c r="N5" s="216"/>
      <c r="O5" s="216"/>
      <c r="P5" s="216"/>
      <c r="Q5" s="216"/>
      <c r="R5" s="218">
        <f t="shared" ref="R5:R6" si="0">SUM(K5+M5)+O5+Q5</f>
        <v>422400</v>
      </c>
      <c r="S5" s="219"/>
      <c r="T5" s="220" t="s">
        <v>106</v>
      </c>
    </row>
    <row r="6" spans="1:20" s="118" customFormat="1" ht="30" customHeight="1">
      <c r="A6" s="201" t="s">
        <v>111</v>
      </c>
      <c r="B6" s="192"/>
      <c r="C6" s="123"/>
      <c r="D6" s="188"/>
      <c r="E6" s="206" t="s">
        <v>105</v>
      </c>
      <c r="F6" s="206" t="s">
        <v>112</v>
      </c>
      <c r="G6" s="244" t="s">
        <v>125</v>
      </c>
      <c r="H6" s="206" t="s">
        <v>52</v>
      </c>
      <c r="I6" s="205">
        <v>2</v>
      </c>
      <c r="J6" s="207">
        <v>66000</v>
      </c>
      <c r="K6" s="203">
        <f>I6*J6</f>
        <v>132000</v>
      </c>
      <c r="L6" s="204"/>
      <c r="M6" s="205"/>
      <c r="N6" s="203"/>
      <c r="O6" s="203"/>
      <c r="P6" s="203"/>
      <c r="Q6" s="203"/>
      <c r="R6" s="205">
        <f t="shared" si="0"/>
        <v>132000</v>
      </c>
      <c r="S6" s="211"/>
      <c r="T6" s="210" t="s">
        <v>107</v>
      </c>
    </row>
    <row r="7" spans="1:20" s="118" customFormat="1" ht="30" customHeight="1">
      <c r="A7" s="202" t="s">
        <v>85</v>
      </c>
      <c r="B7" s="193"/>
      <c r="C7" s="117"/>
      <c r="D7" s="189"/>
      <c r="E7" s="208"/>
      <c r="F7" s="209" t="s">
        <v>81</v>
      </c>
      <c r="G7" s="209" t="s">
        <v>84</v>
      </c>
      <c r="H7" s="209" t="s">
        <v>104</v>
      </c>
      <c r="I7" s="205">
        <v>1</v>
      </c>
      <c r="J7" s="203"/>
      <c r="K7" s="203"/>
      <c r="L7" s="203">
        <v>171037</v>
      </c>
      <c r="M7" s="205">
        <f>IF(S7="",I7*L7*$S$2,I7*L7*S7)</f>
        <v>171037</v>
      </c>
      <c r="N7" s="203"/>
      <c r="O7" s="203"/>
      <c r="P7" s="203"/>
      <c r="Q7" s="203"/>
      <c r="R7" s="205">
        <f t="shared" ref="R7:R8" si="1">SUM(K7+M7)+O7+Q7</f>
        <v>171037</v>
      </c>
      <c r="S7" s="211"/>
      <c r="T7" s="210" t="s">
        <v>123</v>
      </c>
    </row>
    <row r="8" spans="1:20" s="118" customFormat="1" ht="30" customHeight="1">
      <c r="A8" s="202" t="s">
        <v>82</v>
      </c>
      <c r="B8" s="193"/>
      <c r="C8" s="117"/>
      <c r="D8" s="189"/>
      <c r="E8" s="208"/>
      <c r="F8" s="209" t="s">
        <v>83</v>
      </c>
      <c r="G8" s="209" t="s">
        <v>84</v>
      </c>
      <c r="H8" s="209" t="s">
        <v>104</v>
      </c>
      <c r="I8" s="205">
        <v>1</v>
      </c>
      <c r="J8" s="203"/>
      <c r="K8" s="203"/>
      <c r="L8" s="203">
        <v>273539</v>
      </c>
      <c r="M8" s="205">
        <f>IF(S8="",I8*L8*$S$2,I8*L8*S8)</f>
        <v>273539</v>
      </c>
      <c r="N8" s="203"/>
      <c r="O8" s="203"/>
      <c r="P8" s="203"/>
      <c r="Q8" s="203"/>
      <c r="R8" s="205">
        <f t="shared" si="1"/>
        <v>273539</v>
      </c>
      <c r="S8" s="211"/>
      <c r="T8" s="210"/>
    </row>
    <row r="9" spans="1:20" ht="30" customHeight="1">
      <c r="B9" s="194"/>
      <c r="C9" s="139"/>
      <c r="D9" s="190"/>
      <c r="G9" s="236"/>
      <c r="I9" s="198" t="s">
        <v>78</v>
      </c>
      <c r="J9" s="141"/>
      <c r="K9" s="239">
        <f>SUM(K5:K8)</f>
        <v>554400</v>
      </c>
      <c r="L9" s="141"/>
      <c r="M9" s="239">
        <f>SUM(M5:M8)</f>
        <v>444576</v>
      </c>
      <c r="O9" s="239">
        <f>SUM(O5:O8)</f>
        <v>0</v>
      </c>
      <c r="Q9" s="239">
        <f>SUM(Q5:Q8)</f>
        <v>0</v>
      </c>
      <c r="R9" s="141"/>
    </row>
  </sheetData>
  <autoFilter ref="A4:T9" xr:uid="{F744D3DA-DF75-4182-9034-802655C8F5D1}">
    <filterColumn colId="8">
      <customFilters>
        <customFilter operator="notEqual" val=" "/>
      </customFilters>
    </filterColumn>
  </autoFilter>
  <mergeCells count="9">
    <mergeCell ref="N3:O3"/>
    <mergeCell ref="P3:Q3"/>
    <mergeCell ref="R3:R4"/>
    <mergeCell ref="S3:T3"/>
    <mergeCell ref="A3:A4"/>
    <mergeCell ref="H3:H4"/>
    <mergeCell ref="I3:I4"/>
    <mergeCell ref="J3:K3"/>
    <mergeCell ref="L3:M3"/>
  </mergeCells>
  <phoneticPr fontId="5" type="noConversion"/>
  <printOptions horizontalCentered="1"/>
  <pageMargins left="0" right="0" top="0.39370078740157483" bottom="0" header="0" footer="0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E9" sqref="E9"/>
    </sheetView>
  </sheetViews>
  <sheetFormatPr defaultRowHeight="13.5"/>
  <cols>
    <col min="1" max="1" width="18.25" style="71" customWidth="1"/>
    <col min="2" max="2" width="20.5" style="84" customWidth="1"/>
    <col min="3" max="3" width="22.125" style="84" customWidth="1"/>
    <col min="4" max="4" width="7.375" style="84" customWidth="1"/>
    <col min="5" max="5" width="6.75" style="85" customWidth="1"/>
    <col min="6" max="8" width="11.75" style="85" customWidth="1"/>
    <col min="9" max="9" width="9.75" style="85" customWidth="1"/>
    <col min="10" max="13" width="11.75" style="71" hidden="1" customWidth="1"/>
    <col min="14" max="14" width="11.75" style="71" customWidth="1"/>
    <col min="15" max="15" width="11.75" style="87" customWidth="1"/>
    <col min="16" max="16" width="11.75" style="84" customWidth="1"/>
    <col min="17" max="16384" width="9" style="71"/>
  </cols>
  <sheetData>
    <row r="1" spans="1:16">
      <c r="A1" s="88"/>
    </row>
    <row r="2" spans="1:16" s="62" customFormat="1" ht="12.75">
      <c r="A2" s="89"/>
      <c r="B2" s="78"/>
      <c r="C2" s="78"/>
      <c r="D2" s="78"/>
      <c r="E2" s="80"/>
      <c r="F2" s="81"/>
      <c r="G2" s="64" t="s">
        <v>31</v>
      </c>
      <c r="I2" s="64" t="s">
        <v>31</v>
      </c>
      <c r="K2" s="64" t="s">
        <v>31</v>
      </c>
      <c r="M2" s="64" t="s">
        <v>31</v>
      </c>
      <c r="O2" s="63"/>
    </row>
    <row r="3" spans="1:16" s="62" customFormat="1" ht="16.5" customHeight="1">
      <c r="A3" s="76"/>
      <c r="B3" s="90" t="str">
        <f>"공사명"&amp;" "&amp;":"&amp;" "&amp;갑지!B7</f>
        <v>공사명 : 사택 7-108외 1세대 LED등기구 교체</v>
      </c>
      <c r="C3" s="78"/>
      <c r="D3" s="78"/>
      <c r="E3" s="80"/>
      <c r="F3" s="82"/>
      <c r="G3" s="75" t="s">
        <v>79</v>
      </c>
      <c r="I3" s="75" t="s">
        <v>79</v>
      </c>
      <c r="K3" s="75">
        <v>0.86</v>
      </c>
      <c r="M3" s="75">
        <v>0.8</v>
      </c>
      <c r="O3" s="63"/>
    </row>
    <row r="4" spans="1:16" s="62" customFormat="1" ht="16.5" customHeight="1">
      <c r="A4" s="150" t="s">
        <v>35</v>
      </c>
      <c r="B4" s="152" t="s">
        <v>46</v>
      </c>
      <c r="C4" s="152"/>
      <c r="D4" s="152" t="s">
        <v>38</v>
      </c>
      <c r="E4" s="153" t="s">
        <v>39</v>
      </c>
      <c r="F4" s="154" t="s">
        <v>40</v>
      </c>
      <c r="G4" s="154"/>
      <c r="H4" s="154" t="s">
        <v>47</v>
      </c>
      <c r="I4" s="154"/>
      <c r="J4" s="149" t="s">
        <v>41</v>
      </c>
      <c r="K4" s="149"/>
      <c r="L4" s="149" t="s">
        <v>42</v>
      </c>
      <c r="M4" s="149"/>
      <c r="N4" s="150" t="s">
        <v>34</v>
      </c>
      <c r="O4" s="151" t="s">
        <v>37</v>
      </c>
      <c r="P4" s="150"/>
    </row>
    <row r="5" spans="1:16" s="62" customFormat="1" ht="16.5" customHeight="1">
      <c r="A5" s="150"/>
      <c r="B5" s="79" t="s">
        <v>43</v>
      </c>
      <c r="C5" s="79" t="s">
        <v>48</v>
      </c>
      <c r="D5" s="152"/>
      <c r="E5" s="153"/>
      <c r="F5" s="68" t="s">
        <v>49</v>
      </c>
      <c r="G5" s="74" t="s">
        <v>44</v>
      </c>
      <c r="H5" s="68" t="s">
        <v>50</v>
      </c>
      <c r="I5" s="74" t="s">
        <v>44</v>
      </c>
      <c r="J5" s="65" t="s">
        <v>45</v>
      </c>
      <c r="K5" s="73" t="s">
        <v>44</v>
      </c>
      <c r="L5" s="65" t="s">
        <v>45</v>
      </c>
      <c r="M5" s="73" t="s">
        <v>44</v>
      </c>
      <c r="N5" s="150"/>
      <c r="O5" s="66" t="s">
        <v>51</v>
      </c>
      <c r="P5" s="67" t="s">
        <v>36</v>
      </c>
    </row>
    <row r="6" spans="1:16">
      <c r="A6" s="114"/>
      <c r="B6" s="115"/>
      <c r="C6" s="115"/>
      <c r="D6" s="111"/>
      <c r="E6" s="113"/>
      <c r="F6" s="113"/>
      <c r="G6" s="113"/>
      <c r="H6" s="113"/>
      <c r="I6" s="112"/>
      <c r="J6" s="109">
        <v>197736</v>
      </c>
      <c r="K6" s="72"/>
      <c r="L6" s="70"/>
      <c r="M6" s="72"/>
      <c r="N6" s="112"/>
      <c r="O6" s="116"/>
      <c r="P6" s="115"/>
    </row>
    <row r="7" spans="1:16">
      <c r="A7" s="120" t="s">
        <v>111</v>
      </c>
      <c r="B7" s="120" t="s">
        <v>112</v>
      </c>
      <c r="C7" s="120" t="s">
        <v>113</v>
      </c>
      <c r="D7" s="120" t="s">
        <v>52</v>
      </c>
      <c r="E7" s="121">
        <v>6</v>
      </c>
      <c r="F7" s="108"/>
      <c r="G7" s="108"/>
      <c r="H7" s="108"/>
      <c r="I7" s="109"/>
      <c r="J7" s="109">
        <v>295464.15000000002</v>
      </c>
      <c r="K7" s="72"/>
      <c r="L7" s="70"/>
      <c r="M7" s="72"/>
      <c r="N7" s="70"/>
      <c r="O7" s="83"/>
      <c r="P7" s="77"/>
    </row>
    <row r="8" spans="1:16">
      <c r="A8" s="122" t="s">
        <v>111</v>
      </c>
      <c r="B8" s="122" t="s">
        <v>112</v>
      </c>
      <c r="C8" s="122" t="s">
        <v>113</v>
      </c>
      <c r="D8" s="122" t="s">
        <v>52</v>
      </c>
      <c r="E8" s="119">
        <v>2</v>
      </c>
      <c r="F8" s="108"/>
      <c r="G8" s="108"/>
      <c r="H8" s="108"/>
      <c r="I8" s="109"/>
      <c r="J8" s="109">
        <v>131653</v>
      </c>
      <c r="K8" s="72"/>
      <c r="L8" s="70"/>
      <c r="M8" s="72"/>
      <c r="N8" s="70"/>
      <c r="O8" s="83"/>
      <c r="P8" s="77"/>
    </row>
    <row r="9" spans="1:16">
      <c r="A9" s="143" t="s">
        <v>85</v>
      </c>
      <c r="B9" s="138" t="s">
        <v>117</v>
      </c>
      <c r="C9" s="138" t="s">
        <v>84</v>
      </c>
      <c r="D9" s="138" t="s">
        <v>104</v>
      </c>
      <c r="E9" s="119">
        <v>1</v>
      </c>
      <c r="F9" s="108"/>
      <c r="G9" s="108"/>
      <c r="H9" s="108"/>
      <c r="I9" s="109"/>
      <c r="J9" s="109">
        <v>1909218</v>
      </c>
      <c r="K9" s="72"/>
      <c r="L9" s="70"/>
      <c r="M9" s="72"/>
      <c r="N9" s="70"/>
      <c r="O9" s="83"/>
      <c r="P9" s="77"/>
    </row>
    <row r="10" spans="1:16">
      <c r="A10" s="143" t="s">
        <v>82</v>
      </c>
      <c r="B10" s="138" t="s">
        <v>83</v>
      </c>
      <c r="C10" s="138" t="s">
        <v>84</v>
      </c>
      <c r="D10" s="138" t="s">
        <v>104</v>
      </c>
      <c r="E10" s="119">
        <v>1</v>
      </c>
      <c r="F10" s="108"/>
      <c r="G10" s="108"/>
      <c r="H10" s="108"/>
      <c r="I10" s="109"/>
      <c r="J10" s="109">
        <v>-1044.4000000000001</v>
      </c>
      <c r="K10" s="72"/>
      <c r="L10" s="70"/>
      <c r="M10" s="72"/>
      <c r="N10" s="70"/>
      <c r="O10" s="83"/>
      <c r="P10" s="77"/>
    </row>
    <row r="11" spans="1:16" hidden="1">
      <c r="A11" s="69"/>
      <c r="B11" s="77"/>
      <c r="C11" s="77"/>
      <c r="D11" s="77"/>
      <c r="E11" s="72"/>
      <c r="F11" s="70"/>
      <c r="G11" s="72"/>
      <c r="H11" s="70"/>
      <c r="I11" s="72"/>
      <c r="J11" s="70"/>
      <c r="K11" s="72"/>
      <c r="L11" s="70"/>
      <c r="M11" s="72"/>
      <c r="N11" s="70"/>
      <c r="O11" s="83"/>
      <c r="P11" s="77"/>
    </row>
    <row r="12" spans="1:16" hidden="1">
      <c r="A12" s="69"/>
      <c r="B12" s="77"/>
      <c r="C12" s="77"/>
      <c r="D12" s="77"/>
      <c r="E12" s="72"/>
      <c r="F12" s="70"/>
      <c r="G12" s="72"/>
      <c r="H12" s="70"/>
      <c r="I12" s="72"/>
      <c r="J12" s="70"/>
      <c r="K12" s="72"/>
      <c r="L12" s="70"/>
      <c r="M12" s="72"/>
      <c r="N12" s="70"/>
      <c r="O12" s="83"/>
      <c r="P12" s="77"/>
    </row>
    <row r="13" spans="1:16" hidden="1">
      <c r="A13" s="69"/>
      <c r="B13" s="77"/>
      <c r="C13" s="77"/>
      <c r="D13" s="77"/>
      <c r="E13" s="72"/>
      <c r="F13" s="70"/>
      <c r="G13" s="72"/>
      <c r="H13" s="70"/>
      <c r="I13" s="72"/>
      <c r="J13" s="70"/>
      <c r="K13" s="72"/>
      <c r="L13" s="70"/>
      <c r="M13" s="72"/>
      <c r="N13" s="70"/>
      <c r="O13" s="83"/>
      <c r="P13" s="77"/>
    </row>
    <row r="14" spans="1:16" hidden="1">
      <c r="A14" s="69"/>
      <c r="B14" s="77"/>
      <c r="C14" s="77"/>
      <c r="D14" s="77"/>
      <c r="E14" s="72"/>
      <c r="F14" s="70"/>
      <c r="G14" s="72"/>
      <c r="H14" s="70"/>
      <c r="I14" s="72"/>
      <c r="J14" s="70"/>
      <c r="K14" s="72"/>
      <c r="L14" s="70"/>
      <c r="M14" s="72"/>
      <c r="N14" s="70"/>
      <c r="O14" s="83"/>
      <c r="P14" s="77"/>
    </row>
    <row r="15" spans="1:16" hidden="1">
      <c r="A15" s="69"/>
      <c r="B15" s="77"/>
      <c r="C15" s="77"/>
      <c r="D15" s="77"/>
      <c r="E15" s="72"/>
      <c r="F15" s="70"/>
      <c r="G15" s="72"/>
      <c r="H15" s="70"/>
      <c r="I15" s="72"/>
      <c r="J15" s="70"/>
      <c r="K15" s="72"/>
      <c r="L15" s="70"/>
      <c r="M15" s="72"/>
      <c r="N15" s="70"/>
      <c r="O15" s="83"/>
      <c r="P15" s="77"/>
    </row>
    <row r="16" spans="1:16" hidden="1">
      <c r="A16" s="69"/>
      <c r="B16" s="77"/>
      <c r="C16" s="77"/>
      <c r="D16" s="77"/>
      <c r="E16" s="72"/>
      <c r="F16" s="70"/>
      <c r="G16" s="72"/>
      <c r="H16" s="70"/>
      <c r="I16" s="72"/>
      <c r="J16" s="70"/>
      <c r="K16" s="72"/>
      <c r="L16" s="70"/>
      <c r="M16" s="72"/>
      <c r="N16" s="70"/>
      <c r="O16" s="83"/>
      <c r="P16" s="77"/>
    </row>
    <row r="17" spans="1:16" hidden="1">
      <c r="A17" s="69"/>
      <c r="B17" s="77"/>
      <c r="C17" s="77"/>
      <c r="D17" s="77"/>
      <c r="E17" s="72"/>
      <c r="F17" s="70"/>
      <c r="G17" s="72"/>
      <c r="H17" s="70"/>
      <c r="I17" s="72"/>
      <c r="J17" s="70"/>
      <c r="K17" s="72"/>
      <c r="L17" s="70"/>
      <c r="M17" s="72"/>
      <c r="N17" s="70"/>
      <c r="O17" s="83"/>
      <c r="P17" s="77"/>
    </row>
    <row r="18" spans="1:16" hidden="1">
      <c r="A18" s="69"/>
      <c r="B18" s="77"/>
      <c r="C18" s="77"/>
      <c r="D18" s="77"/>
      <c r="E18" s="72"/>
      <c r="F18" s="70"/>
      <c r="G18" s="72"/>
      <c r="H18" s="70"/>
      <c r="I18" s="72"/>
      <c r="J18" s="70"/>
      <c r="K18" s="72"/>
      <c r="L18" s="70"/>
      <c r="M18" s="72"/>
      <c r="N18" s="70"/>
      <c r="O18" s="83"/>
      <c r="P18" s="77"/>
    </row>
    <row r="19" spans="1:16" hidden="1">
      <c r="A19" s="69"/>
      <c r="B19" s="77"/>
      <c r="C19" s="77"/>
      <c r="D19" s="77"/>
      <c r="E19" s="72"/>
      <c r="F19" s="70"/>
      <c r="G19" s="72"/>
      <c r="H19" s="70"/>
      <c r="I19" s="72"/>
      <c r="J19" s="70"/>
      <c r="K19" s="72"/>
      <c r="L19" s="70"/>
      <c r="M19" s="72"/>
      <c r="N19" s="70"/>
      <c r="O19" s="83"/>
      <c r="P19" s="77"/>
    </row>
    <row r="20" spans="1:16" hidden="1">
      <c r="A20" s="69"/>
      <c r="B20" s="77"/>
      <c r="C20" s="77"/>
      <c r="D20" s="77"/>
      <c r="E20" s="72"/>
      <c r="F20" s="70"/>
      <c r="G20" s="72"/>
      <c r="H20" s="70"/>
      <c r="I20" s="72"/>
      <c r="J20" s="70"/>
      <c r="K20" s="72"/>
      <c r="L20" s="70"/>
      <c r="M20" s="72"/>
      <c r="N20" s="70"/>
      <c r="O20" s="83"/>
      <c r="P20" s="77"/>
    </row>
    <row r="21" spans="1:16" hidden="1">
      <c r="A21" s="69"/>
      <c r="B21" s="77"/>
      <c r="C21" s="77"/>
      <c r="D21" s="77"/>
      <c r="E21" s="72"/>
      <c r="F21" s="70"/>
      <c r="G21" s="72"/>
      <c r="H21" s="70"/>
      <c r="I21" s="72"/>
      <c r="J21" s="70"/>
      <c r="K21" s="72"/>
      <c r="L21" s="70"/>
      <c r="M21" s="72"/>
      <c r="N21" s="70"/>
      <c r="O21" s="83"/>
      <c r="P21" s="77"/>
    </row>
    <row r="22" spans="1:16" hidden="1">
      <c r="A22" s="69"/>
      <c r="B22" s="77"/>
      <c r="C22" s="77"/>
      <c r="D22" s="77"/>
      <c r="E22" s="72"/>
      <c r="F22" s="70"/>
      <c r="G22" s="72"/>
      <c r="H22" s="70"/>
      <c r="I22" s="72"/>
      <c r="J22" s="70"/>
      <c r="K22" s="72"/>
      <c r="L22" s="70"/>
      <c r="M22" s="72"/>
      <c r="N22" s="70"/>
      <c r="O22" s="83"/>
      <c r="P22" s="77"/>
    </row>
    <row r="23" spans="1:16" hidden="1">
      <c r="A23" s="69"/>
      <c r="B23" s="77"/>
      <c r="C23" s="77"/>
      <c r="D23" s="77"/>
      <c r="E23" s="72"/>
      <c r="F23" s="70"/>
      <c r="G23" s="72"/>
      <c r="H23" s="70"/>
      <c r="I23" s="72"/>
      <c r="J23" s="70"/>
      <c r="K23" s="72"/>
      <c r="L23" s="70"/>
      <c r="M23" s="72"/>
      <c r="N23" s="70"/>
      <c r="O23" s="83"/>
      <c r="P23" s="77"/>
    </row>
    <row r="24" spans="1:16" hidden="1">
      <c r="A24" s="69"/>
      <c r="B24" s="77"/>
      <c r="C24" s="77"/>
      <c r="D24" s="77"/>
      <c r="E24" s="72"/>
      <c r="F24" s="70"/>
      <c r="G24" s="72"/>
      <c r="H24" s="70"/>
      <c r="I24" s="72"/>
      <c r="J24" s="70"/>
      <c r="K24" s="72"/>
      <c r="L24" s="70"/>
      <c r="M24" s="72"/>
      <c r="N24" s="70"/>
      <c r="O24" s="83"/>
      <c r="P24" s="77"/>
    </row>
    <row r="25" spans="1:16" hidden="1">
      <c r="A25" s="69"/>
      <c r="B25" s="77"/>
      <c r="C25" s="77"/>
      <c r="D25" s="77"/>
      <c r="E25" s="72"/>
      <c r="F25" s="70"/>
      <c r="G25" s="72"/>
      <c r="H25" s="70"/>
      <c r="I25" s="72"/>
      <c r="J25" s="70"/>
      <c r="K25" s="72"/>
      <c r="L25" s="70"/>
      <c r="M25" s="72"/>
      <c r="N25" s="70"/>
      <c r="O25" s="83"/>
      <c r="P25" s="77"/>
    </row>
    <row r="26" spans="1:16" hidden="1">
      <c r="A26" s="69"/>
      <c r="B26" s="77"/>
      <c r="C26" s="77"/>
      <c r="D26" s="77"/>
      <c r="E26" s="72"/>
      <c r="F26" s="70"/>
      <c r="G26" s="72"/>
      <c r="H26" s="70"/>
      <c r="I26" s="72"/>
      <c r="J26" s="70"/>
      <c r="K26" s="72"/>
      <c r="L26" s="70"/>
      <c r="M26" s="72"/>
      <c r="N26" s="70"/>
      <c r="O26" s="83"/>
      <c r="P26" s="77"/>
    </row>
    <row r="27" spans="1:16" hidden="1">
      <c r="A27" s="69"/>
      <c r="B27" s="77"/>
      <c r="C27" s="77"/>
      <c r="D27" s="77"/>
      <c r="E27" s="72"/>
      <c r="F27" s="70"/>
      <c r="G27" s="72"/>
      <c r="H27" s="70"/>
      <c r="I27" s="72"/>
      <c r="J27" s="70"/>
      <c r="K27" s="72"/>
      <c r="L27" s="70"/>
      <c r="M27" s="72"/>
      <c r="N27" s="70"/>
      <c r="O27" s="83"/>
      <c r="P27" s="77"/>
    </row>
    <row r="28" spans="1:16" hidden="1">
      <c r="A28" s="69"/>
      <c r="B28" s="77"/>
      <c r="C28" s="77"/>
      <c r="D28" s="77"/>
      <c r="E28" s="72"/>
      <c r="F28" s="70"/>
      <c r="G28" s="72"/>
      <c r="H28" s="70"/>
      <c r="I28" s="72"/>
      <c r="J28" s="70"/>
      <c r="K28" s="72"/>
      <c r="L28" s="70"/>
      <c r="M28" s="72"/>
      <c r="N28" s="70"/>
      <c r="O28" s="83"/>
      <c r="P28" s="77"/>
    </row>
    <row r="29" spans="1:16" hidden="1">
      <c r="A29" s="69"/>
      <c r="B29" s="77"/>
      <c r="C29" s="77"/>
      <c r="D29" s="77"/>
      <c r="E29" s="72"/>
      <c r="F29" s="70"/>
      <c r="G29" s="72"/>
      <c r="H29" s="70"/>
      <c r="I29" s="72"/>
      <c r="J29" s="70"/>
      <c r="K29" s="72"/>
      <c r="L29" s="70"/>
      <c r="M29" s="72"/>
      <c r="N29" s="70"/>
      <c r="O29" s="83"/>
      <c r="P29" s="77"/>
    </row>
    <row r="30" spans="1:16" hidden="1">
      <c r="A30" s="69"/>
      <c r="B30" s="77"/>
      <c r="C30" s="77"/>
      <c r="D30" s="77"/>
      <c r="E30" s="72"/>
      <c r="F30" s="70"/>
      <c r="G30" s="72"/>
      <c r="H30" s="70"/>
      <c r="I30" s="72"/>
      <c r="J30" s="70"/>
      <c r="K30" s="72"/>
      <c r="L30" s="70"/>
      <c r="M30" s="72"/>
      <c r="N30" s="70"/>
      <c r="O30" s="83"/>
      <c r="P30" s="77"/>
    </row>
    <row r="31" spans="1:16" hidden="1">
      <c r="A31" s="69"/>
      <c r="B31" s="77"/>
      <c r="C31" s="77"/>
      <c r="D31" s="77"/>
      <c r="E31" s="72"/>
      <c r="F31" s="70"/>
      <c r="G31" s="72"/>
      <c r="H31" s="70"/>
      <c r="I31" s="72"/>
      <c r="J31" s="70"/>
      <c r="K31" s="72"/>
      <c r="L31" s="70"/>
      <c r="M31" s="72"/>
      <c r="N31" s="70"/>
      <c r="O31" s="83"/>
      <c r="P31" s="77"/>
    </row>
    <row r="32" spans="1:16" hidden="1">
      <c r="A32" s="69"/>
      <c r="B32" s="77"/>
      <c r="C32" s="77"/>
      <c r="D32" s="77"/>
      <c r="E32" s="72"/>
      <c r="F32" s="70"/>
      <c r="G32" s="72"/>
      <c r="H32" s="70"/>
      <c r="I32" s="72"/>
      <c r="J32" s="70"/>
      <c r="K32" s="72"/>
      <c r="L32" s="70"/>
      <c r="M32" s="72"/>
      <c r="N32" s="70"/>
      <c r="O32" s="83"/>
      <c r="P32" s="77"/>
    </row>
    <row r="33" spans="1:16" hidden="1">
      <c r="A33" s="69"/>
      <c r="B33" s="77"/>
      <c r="C33" s="77"/>
      <c r="D33" s="77"/>
      <c r="E33" s="72"/>
      <c r="F33" s="70"/>
      <c r="G33" s="72"/>
      <c r="H33" s="70"/>
      <c r="I33" s="72"/>
      <c r="J33" s="70"/>
      <c r="K33" s="72"/>
      <c r="L33" s="70"/>
      <c r="M33" s="72"/>
      <c r="N33" s="70"/>
      <c r="O33" s="83"/>
      <c r="P33" s="77"/>
    </row>
    <row r="34" spans="1:16" hidden="1">
      <c r="A34" s="69"/>
      <c r="B34" s="77"/>
      <c r="C34" s="77"/>
      <c r="D34" s="77"/>
      <c r="E34" s="72"/>
      <c r="F34" s="70"/>
      <c r="G34" s="72"/>
      <c r="H34" s="70"/>
      <c r="I34" s="72"/>
      <c r="J34" s="70"/>
      <c r="K34" s="72"/>
      <c r="L34" s="70"/>
      <c r="M34" s="72"/>
      <c r="N34" s="70"/>
      <c r="O34" s="83"/>
      <c r="P34" s="77"/>
    </row>
    <row r="35" spans="1:16" hidden="1">
      <c r="A35" s="69"/>
      <c r="B35" s="77"/>
      <c r="C35" s="77"/>
      <c r="D35" s="77"/>
      <c r="E35" s="72"/>
      <c r="F35" s="70"/>
      <c r="G35" s="72"/>
      <c r="H35" s="70"/>
      <c r="I35" s="72"/>
      <c r="J35" s="70"/>
      <c r="K35" s="72"/>
      <c r="L35" s="70"/>
      <c r="M35" s="72"/>
      <c r="N35" s="70"/>
      <c r="O35" s="83"/>
      <c r="P35" s="77"/>
    </row>
    <row r="36" spans="1:16" hidden="1">
      <c r="A36" s="69"/>
      <c r="B36" s="77"/>
      <c r="C36" s="77"/>
      <c r="D36" s="77"/>
      <c r="E36" s="72"/>
      <c r="F36" s="70"/>
      <c r="G36" s="72"/>
      <c r="H36" s="70"/>
      <c r="I36" s="72"/>
      <c r="J36" s="70"/>
      <c r="K36" s="72"/>
      <c r="L36" s="70"/>
      <c r="M36" s="72"/>
      <c r="N36" s="70"/>
      <c r="O36" s="83"/>
      <c r="P36" s="77"/>
    </row>
    <row r="37" spans="1:16" hidden="1">
      <c r="A37" s="69"/>
      <c r="B37" s="77"/>
      <c r="C37" s="77"/>
      <c r="D37" s="77"/>
      <c r="E37" s="72"/>
      <c r="F37" s="70"/>
      <c r="G37" s="72"/>
      <c r="H37" s="70"/>
      <c r="I37" s="72"/>
      <c r="J37" s="70"/>
      <c r="K37" s="72"/>
      <c r="L37" s="70"/>
      <c r="M37" s="72"/>
      <c r="N37" s="70"/>
      <c r="O37" s="83"/>
      <c r="P37" s="77"/>
    </row>
    <row r="38" spans="1:16" hidden="1">
      <c r="A38" s="69"/>
      <c r="B38" s="77"/>
      <c r="C38" s="77"/>
      <c r="D38" s="77"/>
      <c r="E38" s="72"/>
      <c r="F38" s="70"/>
      <c r="G38" s="72"/>
      <c r="H38" s="70"/>
      <c r="I38" s="72"/>
      <c r="J38" s="70"/>
      <c r="K38" s="72"/>
      <c r="L38" s="70"/>
      <c r="M38" s="72"/>
      <c r="N38" s="70"/>
      <c r="O38" s="83"/>
      <c r="P38" s="77"/>
    </row>
    <row r="39" spans="1:16" hidden="1">
      <c r="A39" s="69"/>
      <c r="B39" s="77"/>
      <c r="C39" s="77"/>
      <c r="D39" s="77"/>
      <c r="E39" s="72"/>
      <c r="F39" s="70"/>
      <c r="G39" s="72"/>
      <c r="H39" s="70"/>
      <c r="I39" s="72"/>
      <c r="J39" s="70"/>
      <c r="K39" s="72"/>
      <c r="L39" s="70"/>
      <c r="M39" s="72"/>
      <c r="N39" s="70"/>
      <c r="O39" s="83"/>
      <c r="P39" s="77"/>
    </row>
    <row r="40" spans="1:16" hidden="1">
      <c r="A40" s="69"/>
      <c r="B40" s="77"/>
      <c r="C40" s="77"/>
      <c r="D40" s="77"/>
      <c r="E40" s="72"/>
      <c r="F40" s="70"/>
      <c r="G40" s="72"/>
      <c r="H40" s="70"/>
      <c r="I40" s="72"/>
      <c r="J40" s="70"/>
      <c r="K40" s="72"/>
      <c r="L40" s="70"/>
      <c r="M40" s="72"/>
      <c r="N40" s="70"/>
      <c r="O40" s="83"/>
      <c r="P40" s="77"/>
    </row>
    <row r="41" spans="1:16" hidden="1">
      <c r="A41" s="69"/>
      <c r="B41" s="77"/>
      <c r="C41" s="77"/>
      <c r="D41" s="77"/>
      <c r="E41" s="72"/>
      <c r="F41" s="70"/>
      <c r="G41" s="72"/>
      <c r="H41" s="70"/>
      <c r="I41" s="72"/>
      <c r="J41" s="70"/>
      <c r="K41" s="72"/>
      <c r="L41" s="70"/>
      <c r="M41" s="72"/>
      <c r="N41" s="70"/>
      <c r="O41" s="83"/>
      <c r="P41" s="77"/>
    </row>
    <row r="42" spans="1:16" hidden="1">
      <c r="A42" s="69"/>
      <c r="B42" s="77"/>
      <c r="C42" s="77"/>
      <c r="D42" s="77"/>
      <c r="E42" s="72"/>
      <c r="F42" s="70"/>
      <c r="G42" s="72"/>
      <c r="H42" s="70"/>
      <c r="I42" s="72"/>
      <c r="J42" s="70"/>
      <c r="K42" s="72"/>
      <c r="L42" s="70"/>
      <c r="M42" s="72"/>
      <c r="N42" s="70"/>
      <c r="O42" s="83"/>
      <c r="P42" s="77"/>
    </row>
    <row r="43" spans="1:16" hidden="1">
      <c r="A43" s="69"/>
      <c r="B43" s="77"/>
      <c r="C43" s="77"/>
      <c r="D43" s="77"/>
      <c r="E43" s="72"/>
      <c r="F43" s="70"/>
      <c r="G43" s="72"/>
      <c r="H43" s="70"/>
      <c r="I43" s="72"/>
      <c r="J43" s="70"/>
      <c r="K43" s="72"/>
      <c r="L43" s="70"/>
      <c r="M43" s="72"/>
      <c r="N43" s="70"/>
      <c r="O43" s="83"/>
      <c r="P43" s="77"/>
    </row>
    <row r="44" spans="1:16" hidden="1">
      <c r="A44" s="69"/>
      <c r="B44" s="77"/>
      <c r="C44" s="77"/>
      <c r="D44" s="77"/>
      <c r="E44" s="72"/>
      <c r="F44" s="70"/>
      <c r="G44" s="72"/>
      <c r="H44" s="70"/>
      <c r="I44" s="72"/>
      <c r="J44" s="70"/>
      <c r="K44" s="72"/>
      <c r="L44" s="70"/>
      <c r="M44" s="72"/>
      <c r="N44" s="70"/>
      <c r="O44" s="83"/>
      <c r="P44" s="77"/>
    </row>
    <row r="45" spans="1:16" hidden="1">
      <c r="A45" s="69"/>
      <c r="B45" s="77"/>
      <c r="C45" s="77"/>
      <c r="D45" s="77"/>
      <c r="E45" s="72"/>
      <c r="F45" s="70"/>
      <c r="G45" s="72"/>
      <c r="H45" s="70"/>
      <c r="I45" s="72"/>
      <c r="J45" s="70"/>
      <c r="K45" s="72"/>
      <c r="L45" s="70"/>
      <c r="M45" s="72"/>
      <c r="N45" s="70"/>
      <c r="O45" s="83"/>
      <c r="P45" s="77"/>
    </row>
    <row r="46" spans="1:16" hidden="1">
      <c r="A46" s="69"/>
      <c r="B46" s="77"/>
      <c r="C46" s="77"/>
      <c r="D46" s="77"/>
      <c r="E46" s="72"/>
      <c r="F46" s="70"/>
      <c r="G46" s="72"/>
      <c r="H46" s="70"/>
      <c r="I46" s="72"/>
      <c r="J46" s="70"/>
      <c r="K46" s="72"/>
      <c r="L46" s="70"/>
      <c r="M46" s="72"/>
      <c r="N46" s="70"/>
      <c r="O46" s="83"/>
      <c r="P46" s="77"/>
    </row>
    <row r="47" spans="1:16" hidden="1">
      <c r="A47" s="69"/>
      <c r="B47" s="77"/>
      <c r="C47" s="77"/>
      <c r="D47" s="77"/>
      <c r="E47" s="72"/>
      <c r="F47" s="70"/>
      <c r="G47" s="72"/>
      <c r="H47" s="70"/>
      <c r="I47" s="72"/>
      <c r="J47" s="70"/>
      <c r="K47" s="72"/>
      <c r="L47" s="70"/>
      <c r="M47" s="72"/>
      <c r="N47" s="70"/>
      <c r="O47" s="83"/>
      <c r="P47" s="77"/>
    </row>
    <row r="48" spans="1:16" hidden="1">
      <c r="A48" s="69"/>
      <c r="B48" s="77"/>
      <c r="C48" s="77"/>
      <c r="D48" s="77"/>
      <c r="E48" s="72"/>
      <c r="F48" s="70"/>
      <c r="G48" s="72"/>
      <c r="H48" s="70"/>
      <c r="I48" s="72"/>
      <c r="J48" s="70"/>
      <c r="K48" s="72"/>
      <c r="L48" s="70"/>
      <c r="M48" s="72"/>
      <c r="N48" s="70"/>
      <c r="O48" s="83"/>
      <c r="P48" s="77"/>
    </row>
    <row r="49" spans="1:16" hidden="1">
      <c r="A49" s="69"/>
      <c r="B49" s="77"/>
      <c r="C49" s="77"/>
      <c r="D49" s="77"/>
      <c r="E49" s="72"/>
      <c r="F49" s="70"/>
      <c r="G49" s="72"/>
      <c r="H49" s="70"/>
      <c r="I49" s="72"/>
      <c r="J49" s="70"/>
      <c r="K49" s="72"/>
      <c r="L49" s="70"/>
      <c r="M49" s="72"/>
      <c r="N49" s="70"/>
      <c r="O49" s="83"/>
      <c r="P49" s="77"/>
    </row>
    <row r="50" spans="1:16" hidden="1">
      <c r="A50" s="69"/>
      <c r="B50" s="77"/>
      <c r="C50" s="77"/>
      <c r="D50" s="77"/>
      <c r="E50" s="72"/>
      <c r="F50" s="70"/>
      <c r="G50" s="72"/>
      <c r="H50" s="70"/>
      <c r="I50" s="72"/>
      <c r="J50" s="70"/>
      <c r="K50" s="72"/>
      <c r="L50" s="70"/>
      <c r="M50" s="72"/>
      <c r="N50" s="70"/>
      <c r="O50" s="83"/>
      <c r="P50" s="77"/>
    </row>
    <row r="51" spans="1:16" hidden="1">
      <c r="A51" s="69"/>
      <c r="B51" s="77"/>
      <c r="C51" s="77"/>
      <c r="D51" s="77"/>
      <c r="E51" s="72"/>
      <c r="F51" s="70"/>
      <c r="G51" s="72"/>
      <c r="H51" s="70"/>
      <c r="I51" s="72"/>
      <c r="J51" s="70"/>
      <c r="K51" s="72"/>
      <c r="L51" s="70"/>
      <c r="M51" s="72"/>
      <c r="N51" s="70"/>
      <c r="O51" s="83"/>
      <c r="P51" s="77"/>
    </row>
    <row r="52" spans="1:16" hidden="1">
      <c r="A52" s="69"/>
      <c r="B52" s="77"/>
      <c r="C52" s="77"/>
      <c r="D52" s="77"/>
      <c r="E52" s="72"/>
      <c r="F52" s="70"/>
      <c r="G52" s="72"/>
      <c r="H52" s="70"/>
      <c r="I52" s="72"/>
      <c r="J52" s="70"/>
      <c r="K52" s="72"/>
      <c r="L52" s="70"/>
      <c r="M52" s="72"/>
      <c r="N52" s="70"/>
      <c r="O52" s="83"/>
      <c r="P52" s="77"/>
    </row>
    <row r="53" spans="1:16" hidden="1">
      <c r="A53" s="69"/>
      <c r="B53" s="77"/>
      <c r="C53" s="77"/>
      <c r="D53" s="77"/>
      <c r="E53" s="72"/>
      <c r="F53" s="70"/>
      <c r="G53" s="72"/>
      <c r="H53" s="70"/>
      <c r="I53" s="72"/>
      <c r="J53" s="70"/>
      <c r="K53" s="72"/>
      <c r="L53" s="70"/>
      <c r="M53" s="72"/>
      <c r="N53" s="70"/>
      <c r="O53" s="83"/>
      <c r="P53" s="77"/>
    </row>
    <row r="54" spans="1:16" hidden="1">
      <c r="A54" s="69"/>
      <c r="B54" s="77"/>
      <c r="C54" s="77"/>
      <c r="D54" s="77"/>
      <c r="E54" s="72"/>
      <c r="F54" s="70"/>
      <c r="G54" s="72"/>
      <c r="H54" s="70"/>
      <c r="I54" s="72"/>
      <c r="J54" s="70"/>
      <c r="K54" s="72"/>
      <c r="L54" s="70"/>
      <c r="M54" s="72"/>
      <c r="N54" s="70"/>
      <c r="O54" s="83"/>
      <c r="P54" s="77"/>
    </row>
    <row r="55" spans="1:16" hidden="1">
      <c r="A55" s="69"/>
      <c r="B55" s="77"/>
      <c r="C55" s="77"/>
      <c r="D55" s="77"/>
      <c r="E55" s="72"/>
      <c r="F55" s="70"/>
      <c r="G55" s="72"/>
      <c r="H55" s="70"/>
      <c r="I55" s="72"/>
      <c r="J55" s="70"/>
      <c r="K55" s="72"/>
      <c r="L55" s="70"/>
      <c r="M55" s="72"/>
      <c r="N55" s="70"/>
      <c r="O55" s="83"/>
      <c r="P55" s="77"/>
    </row>
    <row r="56" spans="1:16" hidden="1">
      <c r="A56" s="69"/>
      <c r="B56" s="77"/>
      <c r="C56" s="77"/>
      <c r="D56" s="77"/>
      <c r="E56" s="72"/>
      <c r="F56" s="70"/>
      <c r="G56" s="72"/>
      <c r="H56" s="70"/>
      <c r="I56" s="72"/>
      <c r="J56" s="70"/>
      <c r="K56" s="72"/>
      <c r="L56" s="70"/>
      <c r="M56" s="72"/>
      <c r="N56" s="70"/>
      <c r="O56" s="83"/>
      <c r="P56" s="77"/>
    </row>
    <row r="57" spans="1:16" hidden="1">
      <c r="A57" s="69"/>
      <c r="B57" s="77"/>
      <c r="C57" s="77"/>
      <c r="D57" s="77"/>
      <c r="E57" s="72"/>
      <c r="F57" s="70"/>
      <c r="G57" s="72"/>
      <c r="H57" s="70"/>
      <c r="I57" s="72"/>
      <c r="J57" s="70"/>
      <c r="K57" s="72"/>
      <c r="L57" s="70"/>
      <c r="M57" s="72"/>
      <c r="N57" s="70"/>
      <c r="O57" s="83"/>
      <c r="P57" s="77"/>
    </row>
    <row r="58" spans="1:16" hidden="1">
      <c r="A58" s="69"/>
      <c r="B58" s="77"/>
      <c r="C58" s="77"/>
      <c r="D58" s="77"/>
      <c r="E58" s="72"/>
      <c r="F58" s="70"/>
      <c r="G58" s="72"/>
      <c r="H58" s="70"/>
      <c r="I58" s="72"/>
      <c r="J58" s="70"/>
      <c r="K58" s="72"/>
      <c r="L58" s="70"/>
      <c r="M58" s="72"/>
      <c r="N58" s="70"/>
      <c r="O58" s="83"/>
      <c r="P58" s="77"/>
    </row>
    <row r="59" spans="1:16" hidden="1">
      <c r="A59" s="69"/>
      <c r="B59" s="77"/>
      <c r="C59" s="77"/>
      <c r="D59" s="77"/>
      <c r="E59" s="72"/>
      <c r="F59" s="70"/>
      <c r="G59" s="72"/>
      <c r="H59" s="70"/>
      <c r="I59" s="72"/>
      <c r="J59" s="70"/>
      <c r="K59" s="72"/>
      <c r="L59" s="70"/>
      <c r="M59" s="72"/>
      <c r="N59" s="70"/>
      <c r="O59" s="83"/>
      <c r="P59" s="77"/>
    </row>
    <row r="60" spans="1:16" hidden="1">
      <c r="A60" s="69"/>
      <c r="B60" s="77"/>
      <c r="C60" s="77"/>
      <c r="D60" s="77"/>
      <c r="E60" s="72"/>
      <c r="F60" s="70"/>
      <c r="G60" s="72"/>
      <c r="H60" s="70"/>
      <c r="I60" s="72"/>
      <c r="J60" s="70"/>
      <c r="K60" s="72"/>
      <c r="L60" s="70"/>
      <c r="M60" s="72"/>
      <c r="N60" s="70"/>
      <c r="O60" s="83"/>
      <c r="P60" s="77"/>
    </row>
    <row r="61" spans="1:16" hidden="1">
      <c r="A61" s="69"/>
      <c r="B61" s="77"/>
      <c r="C61" s="77"/>
      <c r="D61" s="77"/>
      <c r="E61" s="72"/>
      <c r="F61" s="70"/>
      <c r="G61" s="72"/>
      <c r="H61" s="70"/>
      <c r="I61" s="72"/>
      <c r="J61" s="70"/>
      <c r="K61" s="72"/>
      <c r="L61" s="70"/>
      <c r="M61" s="72"/>
      <c r="N61" s="70"/>
      <c r="O61" s="83"/>
      <c r="P61" s="77"/>
    </row>
    <row r="62" spans="1:16" hidden="1">
      <c r="A62" s="69"/>
      <c r="B62" s="77"/>
      <c r="C62" s="77"/>
      <c r="D62" s="77"/>
      <c r="E62" s="72"/>
      <c r="F62" s="70"/>
      <c r="G62" s="72"/>
      <c r="H62" s="70"/>
      <c r="I62" s="72"/>
      <c r="J62" s="70"/>
      <c r="K62" s="72"/>
      <c r="L62" s="70"/>
      <c r="M62" s="72"/>
      <c r="N62" s="70"/>
      <c r="O62" s="83"/>
      <c r="P62" s="77"/>
    </row>
    <row r="63" spans="1:16" hidden="1">
      <c r="A63" s="69"/>
      <c r="B63" s="77"/>
      <c r="C63" s="77"/>
      <c r="D63" s="77"/>
      <c r="E63" s="72"/>
      <c r="F63" s="70"/>
      <c r="G63" s="72"/>
      <c r="H63" s="70"/>
      <c r="I63" s="72"/>
      <c r="J63" s="70"/>
      <c r="K63" s="72"/>
      <c r="L63" s="70"/>
      <c r="M63" s="72"/>
      <c r="N63" s="70"/>
      <c r="O63" s="83"/>
      <c r="P63" s="77"/>
    </row>
    <row r="64" spans="1:16" hidden="1">
      <c r="A64" s="69"/>
      <c r="B64" s="77"/>
      <c r="C64" s="77"/>
      <c r="D64" s="77"/>
      <c r="E64" s="72"/>
      <c r="F64" s="70"/>
      <c r="G64" s="72"/>
      <c r="H64" s="70"/>
      <c r="I64" s="72"/>
      <c r="J64" s="70"/>
      <c r="K64" s="72"/>
      <c r="L64" s="70"/>
      <c r="M64" s="72"/>
      <c r="N64" s="70"/>
      <c r="O64" s="83"/>
      <c r="P64" s="77"/>
    </row>
    <row r="65" spans="1:16" hidden="1">
      <c r="A65" s="69"/>
      <c r="B65" s="77"/>
      <c r="C65" s="77"/>
      <c r="D65" s="77"/>
      <c r="E65" s="72"/>
      <c r="F65" s="70"/>
      <c r="G65" s="72"/>
      <c r="H65" s="70"/>
      <c r="I65" s="72"/>
      <c r="J65" s="70"/>
      <c r="K65" s="72"/>
      <c r="L65" s="70"/>
      <c r="M65" s="72"/>
      <c r="N65" s="70"/>
      <c r="O65" s="83"/>
      <c r="P65" s="77"/>
    </row>
    <row r="66" spans="1:16" hidden="1">
      <c r="A66" s="69"/>
      <c r="B66" s="77"/>
      <c r="C66" s="77"/>
      <c r="D66" s="77"/>
      <c r="E66" s="72"/>
      <c r="F66" s="70"/>
      <c r="G66" s="72"/>
      <c r="H66" s="70"/>
      <c r="I66" s="72"/>
      <c r="J66" s="70"/>
      <c r="K66" s="72"/>
      <c r="L66" s="70"/>
      <c r="M66" s="72"/>
      <c r="N66" s="70"/>
      <c r="O66" s="83"/>
      <c r="P66" s="77"/>
    </row>
    <row r="67" spans="1:16" hidden="1">
      <c r="A67" s="69"/>
      <c r="B67" s="77"/>
      <c r="C67" s="77"/>
      <c r="D67" s="77"/>
      <c r="E67" s="72"/>
      <c r="F67" s="70"/>
      <c r="G67" s="72"/>
      <c r="H67" s="70"/>
      <c r="I67" s="72"/>
      <c r="J67" s="70"/>
      <c r="K67" s="72"/>
      <c r="L67" s="70"/>
      <c r="M67" s="72"/>
      <c r="N67" s="70"/>
      <c r="O67" s="83"/>
      <c r="P67" s="77"/>
    </row>
    <row r="68" spans="1:16" hidden="1">
      <c r="A68" s="69"/>
      <c r="B68" s="77"/>
      <c r="C68" s="77"/>
      <c r="D68" s="77"/>
      <c r="E68" s="72"/>
      <c r="F68" s="70"/>
      <c r="G68" s="72"/>
      <c r="H68" s="70"/>
      <c r="I68" s="72"/>
      <c r="J68" s="70"/>
      <c r="K68" s="72"/>
      <c r="L68" s="70"/>
      <c r="M68" s="72"/>
      <c r="N68" s="70"/>
      <c r="O68" s="83"/>
      <c r="P68" s="77"/>
    </row>
    <row r="69" spans="1:16" hidden="1">
      <c r="A69" s="69"/>
      <c r="B69" s="77"/>
      <c r="C69" s="77"/>
      <c r="D69" s="77"/>
      <c r="E69" s="72"/>
      <c r="F69" s="70"/>
      <c r="G69" s="72"/>
      <c r="H69" s="70"/>
      <c r="I69" s="72"/>
      <c r="J69" s="70"/>
      <c r="K69" s="72"/>
      <c r="L69" s="70"/>
      <c r="M69" s="72"/>
      <c r="N69" s="70"/>
      <c r="O69" s="83"/>
      <c r="P69" s="77"/>
    </row>
    <row r="70" spans="1:16" hidden="1">
      <c r="A70" s="69"/>
      <c r="B70" s="77"/>
      <c r="C70" s="77"/>
      <c r="D70" s="77"/>
      <c r="E70" s="72"/>
      <c r="F70" s="70"/>
      <c r="G70" s="72"/>
      <c r="H70" s="70"/>
      <c r="I70" s="72"/>
      <c r="J70" s="70"/>
      <c r="K70" s="72"/>
      <c r="L70" s="70"/>
      <c r="M70" s="72"/>
      <c r="N70" s="70"/>
      <c r="O70" s="83"/>
      <c r="P70" s="77"/>
    </row>
    <row r="71" spans="1:16" hidden="1">
      <c r="A71" s="69"/>
      <c r="B71" s="77"/>
      <c r="C71" s="77"/>
      <c r="D71" s="77"/>
      <c r="E71" s="72"/>
      <c r="F71" s="70"/>
      <c r="G71" s="72"/>
      <c r="H71" s="70"/>
      <c r="I71" s="72"/>
      <c r="J71" s="70"/>
      <c r="K71" s="72"/>
      <c r="L71" s="70"/>
      <c r="M71" s="72"/>
      <c r="N71" s="70"/>
      <c r="O71" s="83"/>
      <c r="P71" s="77"/>
    </row>
    <row r="72" spans="1:16" hidden="1">
      <c r="A72" s="69"/>
      <c r="B72" s="77"/>
      <c r="C72" s="77"/>
      <c r="D72" s="77"/>
      <c r="E72" s="72"/>
      <c r="F72" s="70"/>
      <c r="G72" s="72"/>
      <c r="H72" s="70"/>
      <c r="I72" s="72"/>
      <c r="J72" s="70"/>
      <c r="K72" s="72"/>
      <c r="L72" s="70"/>
      <c r="M72" s="72"/>
      <c r="N72" s="70"/>
      <c r="O72" s="83"/>
      <c r="P72" s="77"/>
    </row>
    <row r="73" spans="1:16" hidden="1">
      <c r="A73" s="69"/>
      <c r="B73" s="77"/>
      <c r="C73" s="77"/>
      <c r="D73" s="77"/>
      <c r="E73" s="72"/>
      <c r="F73" s="70"/>
      <c r="G73" s="72"/>
      <c r="H73" s="70"/>
      <c r="I73" s="72"/>
      <c r="J73" s="70"/>
      <c r="K73" s="72"/>
      <c r="L73" s="70"/>
      <c r="M73" s="72"/>
      <c r="N73" s="70"/>
      <c r="O73" s="83"/>
      <c r="P73" s="77"/>
    </row>
    <row r="74" spans="1:16" hidden="1">
      <c r="A74" s="69"/>
      <c r="B74" s="77"/>
      <c r="C74" s="77"/>
      <c r="D74" s="77"/>
      <c r="E74" s="72"/>
      <c r="F74" s="70"/>
      <c r="G74" s="72"/>
      <c r="H74" s="70"/>
      <c r="I74" s="72"/>
      <c r="J74" s="70"/>
      <c r="K74" s="72"/>
      <c r="L74" s="70"/>
      <c r="M74" s="72"/>
      <c r="N74" s="70"/>
      <c r="O74" s="83"/>
      <c r="P74" s="77"/>
    </row>
    <row r="75" spans="1:16" hidden="1">
      <c r="A75" s="69"/>
      <c r="B75" s="77"/>
      <c r="C75" s="77"/>
      <c r="D75" s="77"/>
      <c r="E75" s="72"/>
      <c r="F75" s="70"/>
      <c r="G75" s="72"/>
      <c r="H75" s="70"/>
      <c r="I75" s="72"/>
      <c r="J75" s="70"/>
      <c r="K75" s="72"/>
      <c r="L75" s="70"/>
      <c r="M75" s="72"/>
      <c r="N75" s="70"/>
      <c r="O75" s="83"/>
      <c r="P75" s="77"/>
    </row>
    <row r="76" spans="1:16" hidden="1">
      <c r="A76" s="69"/>
      <c r="B76" s="77"/>
      <c r="C76" s="77"/>
      <c r="D76" s="77"/>
      <c r="E76" s="72"/>
      <c r="F76" s="70"/>
      <c r="G76" s="72"/>
      <c r="H76" s="70"/>
      <c r="I76" s="72"/>
      <c r="J76" s="70"/>
      <c r="K76" s="72"/>
      <c r="L76" s="70"/>
      <c r="M76" s="72"/>
      <c r="N76" s="70"/>
      <c r="O76" s="83"/>
      <c r="P76" s="77"/>
    </row>
    <row r="77" spans="1:16" hidden="1">
      <c r="A77" s="69"/>
      <c r="B77" s="77"/>
      <c r="C77" s="77"/>
      <c r="D77" s="77"/>
      <c r="E77" s="72"/>
      <c r="F77" s="70"/>
      <c r="G77" s="72"/>
      <c r="H77" s="70"/>
      <c r="I77" s="72"/>
      <c r="J77" s="70"/>
      <c r="K77" s="72"/>
      <c r="L77" s="70"/>
      <c r="M77" s="72"/>
      <c r="N77" s="70"/>
      <c r="O77" s="83"/>
      <c r="P77" s="77"/>
    </row>
    <row r="78" spans="1:16" hidden="1">
      <c r="A78" s="69"/>
      <c r="B78" s="77"/>
      <c r="C78" s="77"/>
      <c r="D78" s="77"/>
      <c r="E78" s="72"/>
      <c r="F78" s="70"/>
      <c r="G78" s="72"/>
      <c r="H78" s="70"/>
      <c r="I78" s="72"/>
      <c r="J78" s="70"/>
      <c r="K78" s="72"/>
      <c r="L78" s="70"/>
      <c r="M78" s="72"/>
      <c r="N78" s="70"/>
      <c r="O78" s="83"/>
      <c r="P78" s="77"/>
    </row>
    <row r="79" spans="1:16" hidden="1">
      <c r="A79" s="69"/>
      <c r="B79" s="77"/>
      <c r="C79" s="77"/>
      <c r="D79" s="77"/>
      <c r="E79" s="72"/>
      <c r="F79" s="70"/>
      <c r="G79" s="72"/>
      <c r="H79" s="70"/>
      <c r="I79" s="72"/>
      <c r="J79" s="70"/>
      <c r="K79" s="72"/>
      <c r="L79" s="70"/>
      <c r="M79" s="72"/>
      <c r="N79" s="70"/>
      <c r="O79" s="83"/>
      <c r="P79" s="77"/>
    </row>
    <row r="80" spans="1:16" hidden="1">
      <c r="A80" s="69"/>
      <c r="B80" s="77"/>
      <c r="C80" s="77"/>
      <c r="D80" s="77"/>
      <c r="E80" s="72"/>
      <c r="F80" s="70"/>
      <c r="G80" s="72"/>
      <c r="H80" s="70"/>
      <c r="I80" s="72"/>
      <c r="J80" s="70"/>
      <c r="K80" s="72"/>
      <c r="L80" s="70"/>
      <c r="M80" s="72"/>
      <c r="N80" s="70"/>
      <c r="O80" s="83"/>
      <c r="P80" s="77"/>
    </row>
    <row r="81" spans="1:16" hidden="1">
      <c r="A81" s="69"/>
      <c r="B81" s="77"/>
      <c r="C81" s="77"/>
      <c r="D81" s="77"/>
      <c r="E81" s="72"/>
      <c r="F81" s="70"/>
      <c r="G81" s="72"/>
      <c r="H81" s="70"/>
      <c r="I81" s="72"/>
      <c r="J81" s="70"/>
      <c r="K81" s="72"/>
      <c r="L81" s="70"/>
      <c r="M81" s="72"/>
      <c r="N81" s="70"/>
      <c r="O81" s="83"/>
      <c r="P81" s="77"/>
    </row>
    <row r="82" spans="1:16" hidden="1">
      <c r="A82" s="69"/>
      <c r="B82" s="77"/>
      <c r="C82" s="77"/>
      <c r="D82" s="77"/>
      <c r="E82" s="72"/>
      <c r="F82" s="70"/>
      <c r="G82" s="72"/>
      <c r="H82" s="70"/>
      <c r="I82" s="72"/>
      <c r="J82" s="70"/>
      <c r="K82" s="72"/>
      <c r="L82" s="70"/>
      <c r="M82" s="72"/>
      <c r="N82" s="70"/>
      <c r="O82" s="83"/>
      <c r="P82" s="77"/>
    </row>
    <row r="83" spans="1:16" hidden="1">
      <c r="A83" s="69"/>
      <c r="B83" s="77"/>
      <c r="C83" s="77"/>
      <c r="D83" s="77"/>
      <c r="E83" s="72"/>
      <c r="F83" s="70"/>
      <c r="G83" s="72"/>
      <c r="H83" s="70"/>
      <c r="I83" s="72"/>
      <c r="J83" s="70"/>
      <c r="K83" s="72"/>
      <c r="L83" s="70"/>
      <c r="M83" s="72"/>
      <c r="N83" s="70"/>
      <c r="O83" s="83"/>
      <c r="P83" s="77"/>
    </row>
    <row r="84" spans="1:16" hidden="1">
      <c r="A84" s="69"/>
      <c r="B84" s="77"/>
      <c r="C84" s="77"/>
      <c r="D84" s="77"/>
      <c r="E84" s="72"/>
      <c r="F84" s="70"/>
      <c r="G84" s="72"/>
      <c r="H84" s="70"/>
      <c r="I84" s="72"/>
      <c r="J84" s="70"/>
      <c r="K84" s="72"/>
      <c r="L84" s="70"/>
      <c r="M84" s="72"/>
      <c r="N84" s="70"/>
      <c r="O84" s="83"/>
      <c r="P84" s="77"/>
    </row>
    <row r="85" spans="1:16" hidden="1">
      <c r="A85" s="69"/>
      <c r="B85" s="77"/>
      <c r="C85" s="77"/>
      <c r="D85" s="77"/>
      <c r="E85" s="72"/>
      <c r="F85" s="70"/>
      <c r="G85" s="72"/>
      <c r="H85" s="70"/>
      <c r="I85" s="72"/>
      <c r="J85" s="70"/>
      <c r="K85" s="72"/>
      <c r="L85" s="70"/>
      <c r="M85" s="72"/>
      <c r="N85" s="70"/>
      <c r="O85" s="83"/>
      <c r="P85" s="77"/>
    </row>
    <row r="86" spans="1:16" hidden="1">
      <c r="A86" s="69"/>
      <c r="B86" s="77"/>
      <c r="C86" s="77"/>
      <c r="D86" s="77"/>
      <c r="E86" s="72"/>
      <c r="F86" s="70"/>
      <c r="G86" s="72"/>
      <c r="H86" s="70"/>
      <c r="I86" s="72"/>
      <c r="J86" s="70"/>
      <c r="K86" s="72"/>
      <c r="L86" s="70"/>
      <c r="M86" s="72"/>
      <c r="N86" s="70"/>
      <c r="O86" s="83"/>
      <c r="P86" s="77"/>
    </row>
    <row r="87" spans="1:16" hidden="1">
      <c r="A87" s="69"/>
      <c r="B87" s="77"/>
      <c r="C87" s="77"/>
      <c r="D87" s="77"/>
      <c r="E87" s="72"/>
      <c r="F87" s="70"/>
      <c r="G87" s="72"/>
      <c r="H87" s="70"/>
      <c r="I87" s="72"/>
      <c r="J87" s="70"/>
      <c r="K87" s="72"/>
      <c r="L87" s="70"/>
      <c r="M87" s="72"/>
      <c r="N87" s="70"/>
      <c r="O87" s="83"/>
      <c r="P87" s="77"/>
    </row>
    <row r="88" spans="1:16" hidden="1">
      <c r="A88" s="69"/>
      <c r="B88" s="77"/>
      <c r="C88" s="77"/>
      <c r="D88" s="77"/>
      <c r="E88" s="72"/>
      <c r="F88" s="70"/>
      <c r="G88" s="72"/>
      <c r="H88" s="70"/>
      <c r="I88" s="72"/>
      <c r="J88" s="70"/>
      <c r="K88" s="72"/>
      <c r="L88" s="70"/>
      <c r="M88" s="72"/>
      <c r="N88" s="70"/>
      <c r="O88" s="83"/>
      <c r="P88" s="77"/>
    </row>
    <row r="89" spans="1:16" hidden="1">
      <c r="A89" s="69"/>
      <c r="B89" s="77"/>
      <c r="C89" s="77"/>
      <c r="D89" s="77"/>
      <c r="E89" s="72"/>
      <c r="F89" s="70"/>
      <c r="G89" s="72"/>
      <c r="H89" s="70"/>
      <c r="I89" s="72"/>
      <c r="J89" s="70"/>
      <c r="K89" s="72"/>
      <c r="L89" s="70"/>
      <c r="M89" s="72"/>
      <c r="N89" s="70"/>
      <c r="O89" s="83"/>
      <c r="P89" s="77"/>
    </row>
    <row r="90" spans="1:16" s="104" customFormat="1" hidden="1">
      <c r="B90" s="105"/>
      <c r="C90" s="105"/>
      <c r="D90" s="105"/>
      <c r="E90" s="86"/>
      <c r="F90" s="86"/>
      <c r="G90" s="86">
        <f>SUM(G6:G89)</f>
        <v>0</v>
      </c>
      <c r="H90" s="86"/>
      <c r="I90" s="86">
        <f>SUM(I6:I89)</f>
        <v>0</v>
      </c>
      <c r="K90" s="107">
        <f>SUM(K6:K89)</f>
        <v>0</v>
      </c>
      <c r="M90" s="107">
        <f>SUM(M6:M89)</f>
        <v>0</v>
      </c>
      <c r="O90" s="106"/>
      <c r="P90" s="105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91" customWidth="1"/>
    <col min="2" max="2" width="18.25" style="101" customWidth="1"/>
    <col min="3" max="3" width="32.375" style="101" customWidth="1"/>
    <col min="4" max="4" width="10" style="102" customWidth="1"/>
    <col min="5" max="5" width="16.625" style="101" customWidth="1"/>
    <col min="6" max="6" width="16.625" style="92" customWidth="1"/>
    <col min="7" max="7" width="3.125" style="92" customWidth="1"/>
    <col min="8" max="16384" width="9" style="92"/>
  </cols>
  <sheetData>
    <row r="1" spans="1:6" ht="16.5" customHeight="1">
      <c r="B1" s="155" t="s">
        <v>53</v>
      </c>
      <c r="C1" s="156"/>
      <c r="D1" s="156"/>
      <c r="E1" s="156"/>
      <c r="F1" s="156"/>
    </row>
    <row r="2" spans="1:6" ht="25.5" customHeight="1">
      <c r="B2" s="156"/>
      <c r="C2" s="156"/>
      <c r="D2" s="156"/>
      <c r="E2" s="156"/>
      <c r="F2" s="156"/>
    </row>
    <row r="3" spans="1:6" ht="10.5" customHeight="1" thickBot="1">
      <c r="A3" s="157"/>
      <c r="B3" s="157"/>
      <c r="C3" s="157"/>
      <c r="D3" s="157"/>
      <c r="E3" s="157"/>
      <c r="F3" s="157"/>
    </row>
    <row r="4" spans="1:6" ht="31.5" customHeight="1">
      <c r="A4" s="93"/>
      <c r="B4" s="94" t="s">
        <v>54</v>
      </c>
      <c r="C4" s="95" t="s">
        <v>55</v>
      </c>
      <c r="D4" s="96" t="s">
        <v>56</v>
      </c>
      <c r="E4" s="158"/>
      <c r="F4" s="159"/>
    </row>
    <row r="5" spans="1:6" s="99" customFormat="1" ht="31.5" customHeight="1">
      <c r="A5" s="97"/>
      <c r="B5" s="98" t="s">
        <v>57</v>
      </c>
      <c r="C5" s="160" t="str">
        <f>갑지!B7</f>
        <v>사택 7-108외 1세대 LED등기구 교체</v>
      </c>
      <c r="D5" s="161"/>
      <c r="E5" s="161"/>
      <c r="F5" s="162"/>
    </row>
    <row r="6" spans="1:6" ht="21.95" customHeight="1">
      <c r="A6" s="97"/>
      <c r="B6" s="163" t="s">
        <v>58</v>
      </c>
      <c r="C6" s="166" t="s">
        <v>59</v>
      </c>
      <c r="D6" s="167"/>
      <c r="E6" s="167"/>
      <c r="F6" s="168"/>
    </row>
    <row r="7" spans="1:6" ht="21.95" customHeight="1">
      <c r="A7" s="97"/>
      <c r="B7" s="164"/>
      <c r="C7" s="169" t="s">
        <v>110</v>
      </c>
      <c r="D7" s="170"/>
      <c r="E7" s="170"/>
      <c r="F7" s="171"/>
    </row>
    <row r="8" spans="1:6" ht="21.95" customHeight="1">
      <c r="A8" s="97"/>
      <c r="B8" s="164"/>
      <c r="C8" s="169" t="s">
        <v>60</v>
      </c>
      <c r="D8" s="170"/>
      <c r="E8" s="170"/>
      <c r="F8" s="171"/>
    </row>
    <row r="9" spans="1:6" ht="21.95" customHeight="1">
      <c r="A9" s="97"/>
      <c r="B9" s="164"/>
      <c r="C9" s="172" t="s">
        <v>108</v>
      </c>
      <c r="D9" s="173"/>
      <c r="E9" s="173"/>
      <c r="F9" s="174"/>
    </row>
    <row r="10" spans="1:6" ht="21.95" customHeight="1">
      <c r="A10" s="97"/>
      <c r="B10" s="164"/>
      <c r="C10" s="172" t="s">
        <v>109</v>
      </c>
      <c r="D10" s="173"/>
      <c r="E10" s="173"/>
      <c r="F10" s="174"/>
    </row>
    <row r="11" spans="1:6" ht="21.95" customHeight="1">
      <c r="A11" s="97"/>
      <c r="B11" s="164"/>
      <c r="C11" s="172"/>
      <c r="D11" s="173"/>
      <c r="E11" s="173"/>
      <c r="F11" s="174"/>
    </row>
    <row r="12" spans="1:6" ht="21.95" customHeight="1">
      <c r="A12" s="97"/>
      <c r="B12" s="164"/>
      <c r="C12" s="172"/>
      <c r="D12" s="173"/>
      <c r="E12" s="173"/>
      <c r="F12" s="174"/>
    </row>
    <row r="13" spans="1:6" ht="21.95" customHeight="1">
      <c r="A13" s="97"/>
      <c r="B13" s="164"/>
      <c r="C13" s="172"/>
      <c r="D13" s="173"/>
      <c r="E13" s="173"/>
      <c r="F13" s="174"/>
    </row>
    <row r="14" spans="1:6" ht="21.95" customHeight="1">
      <c r="A14" s="97"/>
      <c r="B14" s="164"/>
      <c r="C14" s="172"/>
      <c r="D14" s="173"/>
      <c r="E14" s="173"/>
      <c r="F14" s="174"/>
    </row>
    <row r="15" spans="1:6" ht="21.95" customHeight="1">
      <c r="A15" s="97"/>
      <c r="B15" s="164"/>
      <c r="C15" s="172"/>
      <c r="D15" s="173"/>
      <c r="E15" s="173"/>
      <c r="F15" s="174"/>
    </row>
    <row r="16" spans="1:6" ht="21.95" customHeight="1">
      <c r="A16" s="97"/>
      <c r="B16" s="164"/>
      <c r="C16" s="172"/>
      <c r="D16" s="173"/>
      <c r="E16" s="173"/>
      <c r="F16" s="174"/>
    </row>
    <row r="17" spans="1:6" ht="21.95" customHeight="1">
      <c r="A17" s="97"/>
      <c r="B17" s="164"/>
      <c r="C17" s="172"/>
      <c r="D17" s="173"/>
      <c r="E17" s="173"/>
      <c r="F17" s="174"/>
    </row>
    <row r="18" spans="1:6" ht="21.95" customHeight="1">
      <c r="A18" s="97"/>
      <c r="B18" s="164"/>
      <c r="C18" s="172"/>
      <c r="D18" s="175"/>
      <c r="E18" s="175"/>
      <c r="F18" s="176"/>
    </row>
    <row r="19" spans="1:6" ht="19.899999999999999" customHeight="1">
      <c r="A19" s="97"/>
      <c r="B19" s="164"/>
      <c r="C19" s="172"/>
      <c r="D19" s="175"/>
      <c r="E19" s="175"/>
      <c r="F19" s="176"/>
    </row>
    <row r="20" spans="1:6" ht="21.95" customHeight="1">
      <c r="A20" s="97"/>
      <c r="B20" s="164"/>
      <c r="C20" s="177" t="s">
        <v>61</v>
      </c>
      <c r="D20" s="178"/>
      <c r="E20" s="178"/>
      <c r="F20" s="179"/>
    </row>
    <row r="21" spans="1:6" ht="21.95" customHeight="1">
      <c r="A21" s="97"/>
      <c r="B21" s="164"/>
      <c r="C21" s="177" t="s">
        <v>62</v>
      </c>
      <c r="D21" s="178"/>
      <c r="E21" s="178"/>
      <c r="F21" s="179"/>
    </row>
    <row r="22" spans="1:6" ht="21.95" customHeight="1">
      <c r="A22" s="97"/>
      <c r="B22" s="164"/>
      <c r="C22" s="172" t="s">
        <v>63</v>
      </c>
      <c r="D22" s="175"/>
      <c r="E22" s="175"/>
      <c r="F22" s="176"/>
    </row>
    <row r="23" spans="1:6" ht="21.95" customHeight="1">
      <c r="A23" s="97"/>
      <c r="B23" s="164"/>
      <c r="C23" s="172" t="s">
        <v>64</v>
      </c>
      <c r="D23" s="175"/>
      <c r="E23" s="175"/>
      <c r="F23" s="176"/>
    </row>
    <row r="24" spans="1:6" ht="21.95" customHeight="1">
      <c r="A24" s="97"/>
      <c r="B24" s="164"/>
      <c r="C24" s="172" t="s">
        <v>65</v>
      </c>
      <c r="D24" s="175"/>
      <c r="E24" s="175"/>
      <c r="F24" s="176"/>
    </row>
    <row r="25" spans="1:6" ht="21.95" customHeight="1">
      <c r="A25" s="97"/>
      <c r="B25" s="164"/>
      <c r="C25" s="177" t="s">
        <v>66</v>
      </c>
      <c r="D25" s="182"/>
      <c r="E25" s="182"/>
      <c r="F25" s="183"/>
    </row>
    <row r="26" spans="1:6" ht="21.95" customHeight="1">
      <c r="A26" s="97"/>
      <c r="B26" s="164"/>
      <c r="C26" s="177"/>
      <c r="D26" s="182"/>
      <c r="E26" s="182"/>
      <c r="F26" s="183"/>
    </row>
    <row r="27" spans="1:6" ht="21.95" customHeight="1">
      <c r="A27" s="97"/>
      <c r="B27" s="164"/>
      <c r="C27" s="177"/>
      <c r="D27" s="182"/>
      <c r="E27" s="182"/>
      <c r="F27" s="183"/>
    </row>
    <row r="28" spans="1:6" ht="21.95" customHeight="1">
      <c r="A28" s="97"/>
      <c r="B28" s="165"/>
      <c r="C28" s="184"/>
      <c r="D28" s="185"/>
      <c r="E28" s="185"/>
      <c r="F28" s="186"/>
    </row>
    <row r="29" spans="1:6" ht="50.1" customHeight="1">
      <c r="A29" s="97"/>
      <c r="B29" s="98" t="s">
        <v>67</v>
      </c>
      <c r="C29" s="100" t="s">
        <v>68</v>
      </c>
      <c r="D29" s="180" t="s">
        <v>69</v>
      </c>
      <c r="E29" s="180"/>
      <c r="F29" s="181"/>
    </row>
    <row r="30" spans="1:6" ht="50.1" customHeight="1">
      <c r="A30" s="97"/>
      <c r="B30" s="98" t="s">
        <v>70</v>
      </c>
      <c r="C30" s="100" t="s">
        <v>114</v>
      </c>
      <c r="D30" s="180" t="s">
        <v>71</v>
      </c>
      <c r="E30" s="180"/>
      <c r="F30" s="181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5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갑지</vt:lpstr>
      <vt:lpstr>내역서(표준단가)</vt:lpstr>
      <vt:lpstr>시중가 증빙</vt:lpstr>
      <vt:lpstr>upload</vt:lpstr>
      <vt:lpstr>공사수립계획서</vt:lpstr>
      <vt:lpstr>'내역서(표준단가)'!Print_Area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2026-01-31T06:49:59Z</dcterms:created>
  <dcterms:modified xsi:type="dcterms:W3CDTF">2026-05-28T02:33:45Z</dcterms:modified>
</cp:coreProperties>
</file>
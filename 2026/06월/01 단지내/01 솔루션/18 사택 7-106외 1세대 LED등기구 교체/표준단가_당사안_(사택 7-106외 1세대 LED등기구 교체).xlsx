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현재_통합_문서"/>
  <xr:revisionPtr revIDLastSave="0" documentId="13_ncr:1_{CE3FBC03-FB73-4266-AD7B-91C57A242DF0}" xr6:coauthVersionLast="47" xr6:coauthVersionMax="47" xr10:uidLastSave="{00000000-0000-0000-0000-000000000000}"/>
  <bookViews>
    <workbookView xWindow="-60" yWindow="-60" windowWidth="28920" windowHeight="15600" tabRatio="868" xr2:uid="{00000000-000D-0000-FFFF-FFFF00000000}"/>
  </bookViews>
  <sheets>
    <sheet name="갑지" sheetId="5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6" l="1"/>
  <c r="V6" i="26" s="1"/>
  <c r="O7" i="26"/>
  <c r="V7" i="26" s="1"/>
  <c r="J3" i="26" l="1"/>
  <c r="Q8" i="26" l="1"/>
  <c r="V8" i="26" s="1"/>
  <c r="Q9" i="26"/>
  <c r="V9" i="26" l="1"/>
  <c r="Q11" i="26" l="1"/>
  <c r="F17" i="5" s="1"/>
  <c r="O11" i="26"/>
  <c r="M90" i="21"/>
  <c r="K90" i="21"/>
  <c r="F26" i="5" l="1"/>
  <c r="F22" i="5"/>
  <c r="F23" i="5" s="1"/>
  <c r="F21" i="5"/>
  <c r="F25" i="5"/>
  <c r="F24" i="5"/>
  <c r="F16" i="5"/>
  <c r="C5" i="23"/>
  <c r="B3" i="21" l="1"/>
  <c r="G90" i="21" l="1"/>
  <c r="I90" i="21"/>
  <c r="F27" i="5" l="1"/>
  <c r="F28" i="5" s="1"/>
  <c r="F18" i="5"/>
  <c r="F19" i="5" s="1"/>
  <c r="F30" i="5" l="1"/>
  <c r="F31" i="5" s="1"/>
  <c r="B12" i="5" l="1"/>
</calcChain>
</file>

<file path=xl/sharedStrings.xml><?xml version="1.0" encoding="utf-8"?>
<sst xmlns="http://schemas.openxmlformats.org/spreadsheetml/2006/main" count="178" uniqueCount="129">
  <si>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</si>
  <si>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</si>
  <si>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</si>
  <si>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</si>
  <si>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</si>
  <si>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</si>
  <si>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</si>
  <si>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</si>
  <si>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</si>
  <si>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</si>
  <si>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</si>
  <si>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</si>
  <si>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</si>
  <si>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</si>
  <si>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</si>
  <si>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</si>
  <si>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</si>
  <si>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</si>
  <si>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</si>
  <si>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3" type="noConversion"/>
  </si>
  <si>
    <t>식</t>
    <phoneticPr fontId="23" type="noConversion"/>
  </si>
  <si>
    <t>모든공사에 적용</t>
    <phoneticPr fontId="23" type="noConversion"/>
  </si>
  <si>
    <t>  건강보험료</t>
    <phoneticPr fontId="23" type="noConversion"/>
  </si>
  <si>
    <t>모든공사에 적용</t>
    <phoneticPr fontId="23" type="noConversion"/>
  </si>
  <si>
    <t>  장기요양보험료</t>
    <phoneticPr fontId="23" type="noConversion"/>
  </si>
  <si>
    <t>  고용보험료</t>
    <phoneticPr fontId="23" type="noConversion"/>
  </si>
  <si>
    <t>  산재보험료</t>
    <phoneticPr fontId="23" type="noConversion"/>
  </si>
  <si>
    <t xml:space="preserve">  산업안전보건관리비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</si>
  <si>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</si>
  <si>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</si>
  <si>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</si>
  <si>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</si>
  <si>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t>일반관리비/이윤</t>
    <phoneticPr fontId="23" type="noConversion"/>
  </si>
  <si>
    <t> (노무비+간접공사비)*5%</t>
    <phoneticPr fontId="23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</si>
  <si>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</si>
  <si>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5" type="noConversion"/>
  </si>
  <si>
    <t>기준</t>
    <phoneticPr fontId="5" type="noConversion"/>
  </si>
  <si>
    <t>비고</t>
    <phoneticPr fontId="5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</si>
  <si>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</si>
  <si>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</si>
  <si>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</si>
  <si>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</si>
  <si>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</si>
  <si>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</si>
  <si>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</si>
  <si>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</si>
  <si>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</si>
  <si>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</si>
  <si>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</si>
  <si>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</si>
  <si>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</si>
  <si>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5" type="noConversion"/>
  </si>
  <si>
    <t>개</t>
  </si>
  <si>
    <t>공사수립계획서</t>
    <phoneticPr fontId="23" type="noConversion"/>
  </si>
  <si>
    <t>업 체 명</t>
    <phoneticPr fontId="23" type="noConversion"/>
  </si>
  <si>
    <t>대양이엔씨</t>
    <phoneticPr fontId="7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</si>
  <si>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</si>
  <si>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</si>
  <si>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</si>
  <si>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</si>
  <si>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</si>
  <si>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</si>
  <si>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</si>
  <si>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</si>
  <si>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</si>
  <si>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</si>
  <si>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</si>
  <si>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</si>
  <si>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</si>
  <si>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</si>
  <si>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</si>
  <si>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</si>
  <si>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</si>
  <si>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7" type="noConversion"/>
  </si>
  <si>
    <t>대전광역시 대덕구 아리랑로 125번길 11</t>
    <phoneticPr fontId="7" type="noConversion"/>
  </si>
  <si>
    <t>전화 : 042-628-8301 /FAX : 042-628-8304</t>
    <phoneticPr fontId="7" type="noConversion"/>
  </si>
  <si>
    <t>(주)에스앤아이코퍼레이션</t>
    <phoneticPr fontId="7" type="noConversion"/>
  </si>
  <si>
    <t>▼할증율</t>
    <phoneticPr fontId="7" type="noConversion"/>
  </si>
  <si>
    <t>기본</t>
    <phoneticPr fontId="5" type="noConversion"/>
  </si>
  <si>
    <t>.</t>
    <phoneticPr fontId="5" type="noConversion"/>
  </si>
  <si>
    <t>합계</t>
    <phoneticPr fontId="5" type="noConversion"/>
  </si>
  <si>
    <t>%</t>
    <phoneticPr fontId="5" type="noConversion"/>
  </si>
  <si>
    <t>단가합계</t>
    <phoneticPr fontId="5" type="noConversion"/>
  </si>
  <si>
    <t>노무비합계</t>
    <phoneticPr fontId="5" type="noConversion"/>
  </si>
  <si>
    <t> 노무비*1.01%</t>
    <phoneticPr fontId="23" type="noConversion"/>
  </si>
  <si>
    <t>보통인부</t>
    <phoneticPr fontId="5" type="noConversion"/>
  </si>
  <si>
    <t>L069</t>
    <phoneticPr fontId="5" type="noConversion"/>
  </si>
  <si>
    <t>내선전공</t>
    <phoneticPr fontId="5" type="noConversion"/>
  </si>
  <si>
    <t>최소인건비</t>
    <phoneticPr fontId="5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</si>
  <si>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</si>
  <si>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</si>
  <si>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</si>
  <si>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</si>
  <si>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</si>
  <si>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</si>
  <si>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</si>
  <si>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</si>
  <si>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</si>
  <si>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</si>
  <si>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</si>
  <si>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</si>
  <si>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</si>
  <si>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</si>
  <si>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</si>
  <si>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</si>
  <si>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</si>
  <si>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</si>
  <si>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5" type="noConversion"/>
  </si>
  <si>
    <t>인</t>
    <phoneticPr fontId="5" type="noConversion"/>
  </si>
  <si>
    <t>LED조명기구(4)</t>
  </si>
  <si>
    <t>거실등 1개 방등 2개</t>
    <phoneticPr fontId="5" type="noConversion"/>
  </si>
  <si>
    <t>주방등 1개</t>
    <phoneticPr fontId="5" type="noConversion"/>
  </si>
  <si>
    <t>기존 등기구 철거</t>
    <phoneticPr fontId="5" type="noConversion"/>
  </si>
  <si>
    <t>LED 거실등 / 방등 / 주방등 설치</t>
    <phoneticPr fontId="5" type="noConversion"/>
  </si>
  <si>
    <t>■ 인원투입계획 : 총 2명(주말 :  명)</t>
    <phoneticPr fontId="23" type="noConversion"/>
  </si>
  <si>
    <t>E999999</t>
    <phoneticPr fontId="5" type="noConversion"/>
  </si>
  <si>
    <t>LED실내조명등</t>
    <phoneticPr fontId="5" type="noConversion"/>
  </si>
  <si>
    <t xml:space="preserve"> KE50M123SL57A1, 50W</t>
    <phoneticPr fontId="5" type="noConversion"/>
  </si>
  <si>
    <t xml:space="preserve"> KE50EF606S57A1, 50W</t>
    <phoneticPr fontId="5" type="noConversion"/>
  </si>
  <si>
    <t xml:space="preserve">성명 : </t>
    <phoneticPr fontId="23" type="noConversion"/>
  </si>
  <si>
    <t> 노무비*3.56%</t>
    <phoneticPr fontId="23" type="noConversion"/>
  </si>
  <si>
    <t>LED조명기구(3)-1</t>
    <phoneticPr fontId="5" type="noConversion"/>
  </si>
  <si>
    <t>보통인부</t>
    <phoneticPr fontId="5" type="noConversion"/>
  </si>
  <si>
    <t> 노무비*4.75%</t>
    <phoneticPr fontId="23" type="noConversion"/>
  </si>
  <si>
    <t> 노무비*3.595%</t>
    <phoneticPr fontId="23" type="noConversion"/>
  </si>
  <si>
    <t> 건강보험료*13.14%</t>
    <phoneticPr fontId="23" type="noConversion"/>
  </si>
  <si>
    <t> (재료비+노무비)*3.11%</t>
    <phoneticPr fontId="23" type="noConversion"/>
  </si>
  <si>
    <t>사택 7-106외 1세대 LED등기구 교체</t>
    <phoneticPr fontId="5" type="noConversion"/>
  </si>
  <si>
    <t>106호 / 201호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</si>
</sst>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###,###,###,##0"/>
  </numFmts>
  <fonts count="6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0" borderId="0"/>
    <xf numFmtId="177" fontId="3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3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177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0" fillId="0" borderId="0"/>
    <xf numFmtId="176" fontId="40" fillId="0" borderId="0" applyFont="0" applyFill="0" applyBorder="0" applyAlignment="0" applyProtection="0"/>
    <xf numFmtId="177" fontId="40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12" fillId="0" borderId="0" xfId="5" applyFont="1" applyAlignment="1">
      <alignment vertical="center"/>
    </xf>
    <xf numFmtId="0" fontId="14" fillId="0" borderId="0" xfId="2" applyFont="1"/>
    <xf numFmtId="0" fontId="15" fillId="0" borderId="0" xfId="2" applyFont="1"/>
    <xf numFmtId="0" fontId="16" fillId="0" borderId="0" xfId="5" applyFont="1" applyAlignment="1">
      <alignment vertical="center"/>
    </xf>
    <xf numFmtId="0" fontId="17" fillId="0" borderId="1" xfId="5" applyFont="1" applyBorder="1" applyAlignment="1">
      <alignment vertical="center"/>
    </xf>
    <xf numFmtId="0" fontId="17" fillId="0" borderId="2" xfId="5" applyFont="1" applyBorder="1" applyAlignment="1">
      <alignment horizontal="left" vertical="center"/>
    </xf>
    <xf numFmtId="0" fontId="17" fillId="0" borderId="3" xfId="5" applyFont="1" applyBorder="1" applyAlignment="1">
      <alignment horizontal="right" vertical="center"/>
    </xf>
    <xf numFmtId="0" fontId="18" fillId="5" borderId="0" xfId="5" applyFont="1" applyFill="1" applyAlignment="1">
      <alignment vertical="center"/>
    </xf>
    <xf numFmtId="0" fontId="19" fillId="5" borderId="0" xfId="5" applyFont="1" applyFill="1" applyAlignment="1">
      <alignment horizontal="center" vertical="top" shrinkToFit="1"/>
    </xf>
    <xf numFmtId="0" fontId="16" fillId="5" borderId="0" xfId="5" applyFont="1" applyFill="1" applyAlignment="1">
      <alignment vertical="center"/>
    </xf>
    <xf numFmtId="0" fontId="17" fillId="0" borderId="2" xfId="5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0" fontId="18" fillId="0" borderId="0" xfId="5" applyFont="1" applyAlignment="1">
      <alignment vertical="center" shrinkToFit="1"/>
    </xf>
    <xf numFmtId="0" fontId="16" fillId="5" borderId="0" xfId="5" applyFont="1" applyFill="1" applyAlignment="1">
      <alignment horizontal="left" vertical="center" shrinkToFit="1"/>
    </xf>
    <xf numFmtId="0" fontId="16" fillId="0" borderId="3" xfId="5" applyFont="1" applyBorder="1" applyAlignment="1">
      <alignment vertical="center"/>
    </xf>
    <xf numFmtId="0" fontId="16" fillId="0" borderId="0" xfId="5" applyFont="1" applyAlignment="1">
      <alignment horizontal="center" vertical="center" shrinkToFit="1"/>
    </xf>
    <xf numFmtId="0" fontId="18" fillId="0" borderId="4" xfId="5" applyFont="1" applyBorder="1" applyAlignment="1">
      <alignment vertical="center"/>
    </xf>
    <xf numFmtId="179" fontId="21" fillId="0" borderId="4" xfId="5" applyNumberFormat="1" applyFont="1" applyBorder="1" applyAlignment="1">
      <alignment vertical="center"/>
    </xf>
    <xf numFmtId="0" fontId="22" fillId="0" borderId="4" xfId="5" applyFont="1" applyBorder="1" applyAlignment="1">
      <alignment horizontal="right" vertical="center"/>
    </xf>
    <xf numFmtId="0" fontId="24" fillId="0" borderId="4" xfId="5" applyFont="1" applyBorder="1" applyAlignment="1">
      <alignment horizontal="right" vertical="center"/>
    </xf>
    <xf numFmtId="0" fontId="17" fillId="0" borderId="4" xfId="5" applyFont="1" applyBorder="1" applyAlignment="1">
      <alignment horizontal="right" vertical="center"/>
    </xf>
    <xf numFmtId="0" fontId="16" fillId="0" borderId="0" xfId="5" applyFont="1" applyAlignment="1">
      <alignment vertical="center" shrinkToFit="1"/>
    </xf>
    <xf numFmtId="0" fontId="17" fillId="0" borderId="5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7" fillId="0" borderId="9" xfId="5" applyFont="1" applyBorder="1" applyAlignment="1">
      <alignment vertical="center"/>
    </xf>
    <xf numFmtId="0" fontId="25" fillId="0" borderId="9" xfId="5" applyFont="1" applyBorder="1" applyAlignment="1">
      <alignment vertical="center"/>
    </xf>
    <xf numFmtId="1" fontId="25" fillId="0" borderId="9" xfId="5" applyNumberFormat="1" applyFont="1" applyBorder="1" applyAlignment="1">
      <alignment horizontal="center" vertical="center"/>
    </xf>
    <xf numFmtId="180" fontId="25" fillId="0" borderId="9" xfId="6" applyFont="1" applyBorder="1" applyAlignment="1">
      <alignment horizontal="right" vertical="center"/>
    </xf>
    <xf numFmtId="0" fontId="25" fillId="0" borderId="10" xfId="5" applyFont="1" applyBorder="1" applyAlignment="1">
      <alignment vertical="center"/>
    </xf>
    <xf numFmtId="0" fontId="25" fillId="0" borderId="11" xfId="5" applyFont="1" applyBorder="1" applyAlignment="1">
      <alignment horizontal="center" vertical="center"/>
    </xf>
    <xf numFmtId="0" fontId="25" fillId="0" borderId="12" xfId="5" applyFont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1" fontId="25" fillId="0" borderId="12" xfId="5" applyNumberFormat="1" applyFont="1" applyBorder="1" applyAlignment="1">
      <alignment horizontal="center" vertical="center"/>
    </xf>
    <xf numFmtId="180" fontId="25" fillId="0" borderId="12" xfId="6" applyFont="1" applyBorder="1" applyAlignment="1">
      <alignment horizontal="right" vertical="center"/>
    </xf>
    <xf numFmtId="0" fontId="25" fillId="0" borderId="13" xfId="5" quotePrefix="1" applyFont="1" applyBorder="1" applyAlignment="1">
      <alignment vertical="center"/>
    </xf>
    <xf numFmtId="0" fontId="25" fillId="0" borderId="13" xfId="5" applyFont="1" applyBorder="1" applyAlignment="1">
      <alignment vertical="center"/>
    </xf>
    <xf numFmtId="0" fontId="17" fillId="6" borderId="12" xfId="5" applyFont="1" applyFill="1" applyBorder="1" applyAlignment="1">
      <alignment vertical="center"/>
    </xf>
    <xf numFmtId="1" fontId="17" fillId="6" borderId="12" xfId="5" applyNumberFormat="1" applyFont="1" applyFill="1" applyBorder="1" applyAlignment="1">
      <alignment horizontal="center" vertical="center"/>
    </xf>
    <xf numFmtId="180" fontId="17" fillId="6" borderId="12" xfId="6" applyFont="1" applyFill="1" applyBorder="1" applyAlignment="1">
      <alignment horizontal="right" vertical="center"/>
    </xf>
    <xf numFmtId="0" fontId="17" fillId="0" borderId="12" xfId="5" applyFont="1" applyBorder="1" applyAlignment="1">
      <alignment vertical="center"/>
    </xf>
    <xf numFmtId="0" fontId="25" fillId="0" borderId="12" xfId="5" applyFont="1" applyBorder="1" applyAlignment="1">
      <alignment vertical="center"/>
    </xf>
    <xf numFmtId="180" fontId="17" fillId="0" borderId="12" xfId="6" applyFont="1" applyFill="1" applyBorder="1" applyAlignment="1">
      <alignment horizontal="right" vertical="center"/>
    </xf>
    <xf numFmtId="0" fontId="25" fillId="0" borderId="12" xfId="7" applyFont="1" applyBorder="1" applyAlignment="1">
      <alignment horizontal="center" vertical="center"/>
    </xf>
    <xf numFmtId="178" fontId="25" fillId="0" borderId="12" xfId="4" applyFont="1" applyFill="1" applyBorder="1" applyAlignment="1">
      <alignment horizontal="right" vertical="center"/>
    </xf>
    <xf numFmtId="0" fontId="25" fillId="0" borderId="12" xfId="2" applyFont="1" applyBorder="1" applyAlignment="1">
      <alignment horizontal="left" vertical="center"/>
    </xf>
    <xf numFmtId="9" fontId="17" fillId="6" borderId="12" xfId="2" applyNumberFormat="1" applyFont="1" applyFill="1" applyBorder="1" applyAlignment="1">
      <alignment horizontal="right" vertical="center"/>
    </xf>
    <xf numFmtId="1" fontId="17" fillId="6" borderId="12" xfId="8" applyNumberFormat="1" applyFont="1" applyFill="1" applyBorder="1" applyAlignment="1">
      <alignment horizontal="center" vertical="center"/>
    </xf>
    <xf numFmtId="177" fontId="17" fillId="6" borderId="12" xfId="6" applyNumberFormat="1" applyFont="1" applyFill="1" applyBorder="1" applyAlignment="1">
      <alignment horizontal="right" vertical="center"/>
    </xf>
    <xf numFmtId="9" fontId="25" fillId="0" borderId="12" xfId="2" applyNumberFormat="1" applyFont="1" applyBorder="1" applyAlignment="1">
      <alignment horizontal="right" vertical="center"/>
    </xf>
    <xf numFmtId="1" fontId="25" fillId="0" borderId="12" xfId="8" applyNumberFormat="1" applyFont="1" applyFill="1" applyBorder="1" applyAlignment="1">
      <alignment horizontal="center" vertical="center"/>
    </xf>
    <xf numFmtId="177" fontId="17" fillId="0" borderId="12" xfId="6" applyNumberFormat="1" applyFont="1" applyFill="1" applyBorder="1" applyAlignment="1">
      <alignment horizontal="right" vertical="center"/>
    </xf>
    <xf numFmtId="0" fontId="25" fillId="0" borderId="12" xfId="2" applyFont="1" applyBorder="1" applyAlignment="1">
      <alignment vertical="center"/>
    </xf>
    <xf numFmtId="180" fontId="25" fillId="3" borderId="12" xfId="6" applyFont="1" applyFill="1" applyBorder="1" applyAlignment="1">
      <alignment horizontal="right" vertical="center"/>
    </xf>
    <xf numFmtId="0" fontId="17" fillId="0" borderId="14" xfId="5" applyFont="1" applyBorder="1" applyAlignment="1">
      <alignment horizontal="center" vertical="center" textRotation="255"/>
    </xf>
    <xf numFmtId="0" fontId="17" fillId="0" borderId="15" xfId="5" applyFont="1" applyBorder="1" applyAlignment="1">
      <alignment vertical="top"/>
    </xf>
    <xf numFmtId="0" fontId="25" fillId="0" borderId="16" xfId="5" applyFont="1" applyBorder="1" applyAlignment="1">
      <alignment vertical="center"/>
    </xf>
    <xf numFmtId="0" fontId="25" fillId="0" borderId="16" xfId="5" applyFont="1" applyBorder="1" applyAlignment="1">
      <alignment horizontal="right" vertical="center"/>
    </xf>
    <xf numFmtId="0" fontId="25" fillId="0" borderId="17" xfId="5" applyFont="1" applyBorder="1" applyAlignment="1">
      <alignment vertical="center"/>
    </xf>
    <xf numFmtId="0" fontId="27" fillId="0" borderId="0" xfId="9" applyFont="1"/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5" fillId="4" borderId="18" xfId="0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36" fillId="0" borderId="18" xfId="0" applyFont="1" applyBorder="1">
      <alignment vertical="center"/>
    </xf>
    <xf numFmtId="177" fontId="36" fillId="0" borderId="18" xfId="1" applyFont="1" applyBorder="1">
      <alignment vertical="center"/>
    </xf>
    <xf numFmtId="0" fontId="36" fillId="0" borderId="0" xfId="0" applyFont="1">
      <alignment vertical="center"/>
    </xf>
    <xf numFmtId="177" fontId="36" fillId="2" borderId="18" xfId="1" applyFont="1" applyFill="1" applyBorder="1">
      <alignment vertical="center"/>
    </xf>
    <xf numFmtId="178" fontId="30" fillId="2" borderId="18" xfId="4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9" fontId="10" fillId="7" borderId="0" xfId="15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36" fillId="0" borderId="18" xfId="0" applyNumberFormat="1" applyFont="1" applyBorder="1">
      <alignment vertical="center"/>
    </xf>
    <xf numFmtId="49" fontId="29" fillId="0" borderId="0" xfId="0" applyNumberFormat="1" applyFont="1">
      <alignment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29" fillId="0" borderId="0" xfId="1" applyFont="1">
      <alignment vertical="center"/>
    </xf>
    <xf numFmtId="177" fontId="29" fillId="0" borderId="0" xfId="1" applyFont="1" applyAlignment="1">
      <alignment horizontal="center" vertical="center"/>
    </xf>
    <xf numFmtId="177" fontId="30" fillId="0" borderId="0" xfId="1" applyFont="1" applyAlignment="1">
      <alignment horizontal="center" vertical="center"/>
    </xf>
    <xf numFmtId="9" fontId="36" fillId="0" borderId="18" xfId="0" applyNumberFormat="1" applyFont="1" applyBorder="1">
      <alignment vertical="center"/>
    </xf>
    <xf numFmtId="49" fontId="36" fillId="0" borderId="0" xfId="0" applyNumberFormat="1" applyFont="1">
      <alignment vertical="center"/>
    </xf>
    <xf numFmtId="177" fontId="36" fillId="0" borderId="0" xfId="1" applyFont="1" applyFill="1">
      <alignment vertical="center"/>
    </xf>
    <xf numFmtId="177" fontId="37" fillId="0" borderId="0" xfId="1" applyFont="1" applyFill="1">
      <alignment vertical="center"/>
    </xf>
    <xf numFmtId="9" fontId="36" fillId="0" borderId="0" xfId="0" applyNumberFormat="1" applyFont="1">
      <alignment vertical="center"/>
    </xf>
    <xf numFmtId="0" fontId="38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9" fillId="0" borderId="0" xfId="0" applyFont="1">
      <alignment vertical="center"/>
    </xf>
    <xf numFmtId="181" fontId="41" fillId="0" borderId="0" xfId="17" applyNumberFormat="1" applyFont="1" applyAlignment="1">
      <alignment horizontal="center" vertical="center" shrinkToFit="1"/>
    </xf>
    <xf numFmtId="0" fontId="41" fillId="0" borderId="0" xfId="17" applyFont="1" applyAlignment="1">
      <alignment vertical="center" shrinkToFit="1"/>
    </xf>
    <xf numFmtId="0" fontId="45" fillId="0" borderId="0" xfId="17" applyFont="1" applyAlignment="1">
      <alignment vertical="center" shrinkToFit="1"/>
    </xf>
    <xf numFmtId="0" fontId="46" fillId="0" borderId="22" xfId="17" applyFont="1" applyBorder="1" applyAlignment="1">
      <alignment horizontal="center" vertical="center" shrinkToFit="1"/>
    </xf>
    <xf numFmtId="0" fontId="46" fillId="0" borderId="23" xfId="17" applyFont="1" applyBorder="1" applyAlignment="1">
      <alignment horizontal="center" vertical="center" shrinkToFit="1"/>
    </xf>
    <xf numFmtId="182" fontId="46" fillId="0" borderId="23" xfId="17" applyNumberFormat="1" applyFont="1" applyBorder="1" applyAlignment="1">
      <alignment horizontal="center" vertical="center" shrinkToFit="1"/>
    </xf>
    <xf numFmtId="181" fontId="47" fillId="0" borderId="0" xfId="17" applyNumberFormat="1" applyFont="1" applyAlignment="1">
      <alignment horizontal="center" vertical="center" shrinkToFit="1"/>
    </xf>
    <xf numFmtId="0" fontId="46" fillId="0" borderId="26" xfId="17" applyFont="1" applyBorder="1" applyAlignment="1">
      <alignment horizontal="center" vertical="center" shrinkToFit="1"/>
    </xf>
    <xf numFmtId="0" fontId="47" fillId="0" borderId="0" xfId="17" applyFont="1" applyAlignment="1">
      <alignment horizontal="center" vertical="center" shrinkToFit="1"/>
    </xf>
    <xf numFmtId="0" fontId="46" fillId="0" borderId="19" xfId="17" applyFont="1" applyBorder="1" applyAlignment="1">
      <alignment vertical="center" shrinkToFit="1"/>
    </xf>
    <xf numFmtId="0" fontId="41" fillId="0" borderId="0" xfId="17" applyFont="1" applyAlignment="1">
      <alignment horizontal="left" vertical="center" shrinkToFit="1"/>
    </xf>
    <xf numFmtId="182" fontId="41" fillId="0" borderId="0" xfId="17" applyNumberFormat="1" applyFont="1" applyAlignment="1">
      <alignment horizontal="right" vertical="center" shrinkToFit="1"/>
    </xf>
    <xf numFmtId="49" fontId="17" fillId="0" borderId="2" xfId="5" applyNumberFormat="1" applyFont="1" applyBorder="1" applyAlignment="1">
      <alignment vertical="center"/>
    </xf>
    <xf numFmtId="0" fontId="37" fillId="0" borderId="0" xfId="0" applyFont="1">
      <alignment vertical="center"/>
    </xf>
    <xf numFmtId="49" fontId="37" fillId="0" borderId="0" xfId="0" applyNumberFormat="1" applyFont="1">
      <alignment vertical="center"/>
    </xf>
    <xf numFmtId="9" fontId="37" fillId="0" borderId="0" xfId="0" applyNumberFormat="1" applyFont="1">
      <alignment vertical="center"/>
    </xf>
    <xf numFmtId="177" fontId="37" fillId="0" borderId="0" xfId="0" applyNumberFormat="1" applyFont="1">
      <alignment vertical="center"/>
    </xf>
    <xf numFmtId="177" fontId="36" fillId="0" borderId="18" xfId="1" applyFont="1" applyFill="1" applyBorder="1">
      <alignment vertical="center"/>
    </xf>
    <xf numFmtId="177" fontId="36" fillId="0" borderId="18" xfId="1" applyFont="1" applyFill="1" applyBorder="1" applyAlignment="1">
      <alignment horizontal="center" vertical="center"/>
    </xf>
    <xf numFmtId="180" fontId="27" fillId="6" borderId="0" xfId="2" applyNumberFormat="1" applyFont="1" applyFill="1" applyAlignment="1">
      <alignment horizontal="center" vertical="center"/>
    </xf>
    <xf numFmtId="49" fontId="36" fillId="8" borderId="18" xfId="0" applyNumberFormat="1" applyFont="1" applyFill="1" applyBorder="1" applyAlignment="1">
      <alignment horizontal="center" vertical="center"/>
    </xf>
    <xf numFmtId="177" fontId="36" fillId="8" borderId="18" xfId="1" applyFont="1" applyFill="1" applyBorder="1" applyAlignment="1">
      <alignment horizontal="center" vertical="center"/>
    </xf>
    <xf numFmtId="177" fontId="36" fillId="8" borderId="18" xfId="1" applyFont="1" applyFill="1" applyBorder="1">
      <alignment vertical="center"/>
    </xf>
    <xf numFmtId="0" fontId="36" fillId="8" borderId="18" xfId="0" applyFont="1" applyFill="1" applyBorder="1" applyAlignment="1">
      <alignment horizontal="left" vertical="center"/>
    </xf>
    <xf numFmtId="49" fontId="36" fillId="8" borderId="18" xfId="0" applyNumberFormat="1" applyFont="1" applyFill="1" applyBorder="1">
      <alignment vertical="center"/>
    </xf>
    <xf numFmtId="9" fontId="36" fillId="8" borderId="18" xfId="0" applyNumberFormat="1" applyFont="1" applyFill="1" applyBorder="1">
      <alignment vertical="center"/>
    </xf>
    <xf numFmtId="177" fontId="50" fillId="3" borderId="18" xfId="1" applyFont="1" applyFill="1" applyBorder="1">
      <alignment vertical="center"/>
    </xf>
    <xf numFmtId="0" fontId="50" fillId="3" borderId="18" xfId="0" applyFont="1" applyFill="1" applyBorder="1">
      <alignment vertical="center"/>
    </xf>
    <xf numFmtId="0" fontId="50" fillId="3" borderId="18" xfId="0" applyFont="1" applyFill="1" applyBorder="1" applyAlignment="1">
      <alignment horizontal="left" vertical="center"/>
    </xf>
    <xf numFmtId="49" fontId="50" fillId="3" borderId="18" xfId="0" applyNumberFormat="1" applyFont="1" applyFill="1" applyBorder="1">
      <alignment vertical="center"/>
    </xf>
    <xf numFmtId="0" fontId="50" fillId="3" borderId="0" xfId="0" applyFont="1" applyFill="1">
      <alignment vertical="center"/>
    </xf>
    <xf numFmtId="177" fontId="50" fillId="3" borderId="18" xfId="1" applyFont="1" applyFill="1" applyBorder="1" applyAlignment="1">
      <alignment horizontal="center" vertical="center"/>
    </xf>
    <xf numFmtId="183" fontId="4" fillId="3" borderId="18" xfId="0" applyNumberFormat="1" applyFont="1" applyFill="1" applyBorder="1" applyAlignment="1">
      <alignment horizontal="right" vertical="center" wrapText="1"/>
    </xf>
    <xf numFmtId="49" fontId="51" fillId="0" borderId="18" xfId="0" applyNumberFormat="1" applyFont="1" applyBorder="1" applyAlignment="1">
      <alignment horizontal="center" vertical="center"/>
    </xf>
    <xf numFmtId="177" fontId="4" fillId="0" borderId="18" xfId="1" applyFont="1" applyFill="1" applyBorder="1" applyAlignment="1">
      <alignment horizontal="center" vertical="center" wrapText="1"/>
    </xf>
    <xf numFmtId="49" fontId="51" fillId="3" borderId="18" xfId="0" applyNumberFormat="1" applyFont="1" applyFill="1" applyBorder="1" applyAlignment="1">
      <alignment horizontal="center" vertical="center"/>
    </xf>
    <xf numFmtId="177" fontId="4" fillId="3" borderId="18" xfId="1" applyFont="1" applyFill="1" applyBorder="1" applyAlignment="1">
      <alignment horizontal="center" vertical="center" wrapText="1"/>
    </xf>
    <xf numFmtId="49" fontId="51" fillId="3" borderId="18" xfId="0" applyNumberFormat="1" applyFont="1" applyFill="1" applyBorder="1">
      <alignment vertical="center"/>
    </xf>
    <xf numFmtId="9" fontId="50" fillId="3" borderId="18" xfId="0" applyNumberFormat="1" applyFont="1" applyFill="1" applyBorder="1">
      <alignment vertical="center"/>
    </xf>
    <xf numFmtId="0" fontId="52" fillId="0" borderId="0" xfId="0" applyFont="1">
      <alignment vertical="center"/>
    </xf>
    <xf numFmtId="49" fontId="34" fillId="0" borderId="0" xfId="0" applyNumberFormat="1" applyFont="1">
      <alignment vertical="center"/>
    </xf>
    <xf numFmtId="49" fontId="34" fillId="0" borderId="0" xfId="0" applyNumberFormat="1" applyFont="1" applyAlignment="1">
      <alignment horizontal="center" vertical="center"/>
    </xf>
    <xf numFmtId="177" fontId="34" fillId="0" borderId="0" xfId="1" applyFont="1" applyFill="1">
      <alignment vertical="center"/>
    </xf>
    <xf numFmtId="0" fontId="34" fillId="0" borderId="0" xfId="0" applyFont="1">
      <alignment vertical="center"/>
    </xf>
    <xf numFmtId="9" fontId="34" fillId="0" borderId="0" xfId="0" applyNumberFormat="1" applyFont="1">
      <alignment vertical="center"/>
    </xf>
    <xf numFmtId="0" fontId="53" fillId="0" borderId="0" xfId="0" applyFont="1" applyAlignment="1">
      <alignment horizontal="center" vertical="center"/>
    </xf>
    <xf numFmtId="49" fontId="54" fillId="0" borderId="0" xfId="0" applyNumberFormat="1" applyFont="1">
      <alignment vertical="center"/>
    </xf>
    <xf numFmtId="49" fontId="54" fillId="0" borderId="0" xfId="0" applyNumberFormat="1" applyFont="1" applyAlignment="1">
      <alignment horizontal="center" vertical="center"/>
    </xf>
    <xf numFmtId="177" fontId="54" fillId="0" borderId="0" xfId="1" applyFont="1">
      <alignment vertical="center"/>
    </xf>
    <xf numFmtId="0" fontId="55" fillId="0" borderId="0" xfId="0" applyFont="1" applyAlignment="1">
      <alignment horizontal="center" vertical="center"/>
    </xf>
    <xf numFmtId="0" fontId="54" fillId="0" borderId="0" xfId="0" applyFont="1">
      <alignment vertic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right" vertical="center"/>
    </xf>
    <xf numFmtId="0" fontId="58" fillId="0" borderId="0" xfId="0" applyFont="1">
      <alignment vertical="center"/>
    </xf>
    <xf numFmtId="9" fontId="59" fillId="7" borderId="0" xfId="15" applyFont="1" applyFill="1" applyAlignment="1">
      <alignment horizontal="center" vertical="center"/>
    </xf>
    <xf numFmtId="0" fontId="60" fillId="0" borderId="0" xfId="0" applyFont="1">
      <alignment vertical="center"/>
    </xf>
    <xf numFmtId="0" fontId="55" fillId="3" borderId="18" xfId="0" applyFont="1" applyFill="1" applyBorder="1" applyAlignment="1">
      <alignment horizontal="center" vertical="center"/>
    </xf>
    <xf numFmtId="49" fontId="55" fillId="3" borderId="18" xfId="2" applyNumberFormat="1" applyFont="1" applyFill="1" applyBorder="1" applyAlignment="1">
      <alignment vertical="center"/>
    </xf>
    <xf numFmtId="49" fontId="55" fillId="3" borderId="18" xfId="2" applyNumberFormat="1" applyFont="1" applyFill="1" applyBorder="1" applyAlignment="1">
      <alignment horizontal="center" vertical="center"/>
    </xf>
    <xf numFmtId="177" fontId="55" fillId="3" borderId="18" xfId="1" applyFont="1" applyFill="1" applyBorder="1" applyAlignment="1">
      <alignment horizontal="center" vertical="center"/>
    </xf>
    <xf numFmtId="177" fontId="55" fillId="3" borderId="20" xfId="1" applyFont="1" applyFill="1" applyBorder="1" applyAlignment="1">
      <alignment horizontal="center" vertical="center"/>
    </xf>
    <xf numFmtId="178" fontId="55" fillId="3" borderId="18" xfId="4" applyFont="1" applyFill="1" applyBorder="1" applyAlignment="1">
      <alignment horizontal="center" vertical="center"/>
    </xf>
    <xf numFmtId="0" fontId="54" fillId="3" borderId="0" xfId="0" applyFont="1" applyFill="1">
      <alignment vertical="center"/>
    </xf>
    <xf numFmtId="0" fontId="61" fillId="3" borderId="18" xfId="0" applyFont="1" applyFill="1" applyBorder="1" applyAlignment="1">
      <alignment horizontal="center" vertical="center"/>
    </xf>
    <xf numFmtId="49" fontId="50" fillId="3" borderId="18" xfId="0" applyNumberFormat="1" applyFont="1" applyFill="1" applyBorder="1" applyAlignment="1">
      <alignment horizontal="center" vertical="center"/>
    </xf>
    <xf numFmtId="0" fontId="62" fillId="3" borderId="0" xfId="0" applyFont="1" applyFill="1">
      <alignment vertical="center"/>
    </xf>
    <xf numFmtId="0" fontId="34" fillId="3" borderId="18" xfId="0" applyFont="1" applyFill="1" applyBorder="1">
      <alignment vertical="center"/>
    </xf>
    <xf numFmtId="49" fontId="34" fillId="3" borderId="18" xfId="0" applyNumberFormat="1" applyFont="1" applyFill="1" applyBorder="1">
      <alignment vertical="center"/>
    </xf>
    <xf numFmtId="49" fontId="34" fillId="8" borderId="18" xfId="0" applyNumberFormat="1" applyFont="1" applyFill="1" applyBorder="1" applyAlignment="1">
      <alignment horizontal="center" vertical="center"/>
    </xf>
    <xf numFmtId="49" fontId="34" fillId="3" borderId="18" xfId="0" applyNumberFormat="1" applyFont="1" applyFill="1" applyBorder="1" applyAlignment="1">
      <alignment horizontal="center" vertical="center"/>
    </xf>
    <xf numFmtId="177" fontId="34" fillId="3" borderId="18" xfId="1" applyFont="1" applyFill="1" applyBorder="1">
      <alignment vertical="center"/>
    </xf>
    <xf numFmtId="177" fontId="34" fillId="8" borderId="18" xfId="1" applyFont="1" applyFill="1" applyBorder="1" applyAlignment="1">
      <alignment horizontal="center" vertical="center"/>
    </xf>
    <xf numFmtId="0" fontId="34" fillId="3" borderId="0" xfId="0" applyFont="1" applyFill="1">
      <alignment vertical="center"/>
    </xf>
    <xf numFmtId="9" fontId="34" fillId="3" borderId="18" xfId="0" applyNumberFormat="1" applyFont="1" applyFill="1" applyBorder="1">
      <alignment vertical="center"/>
    </xf>
    <xf numFmtId="49" fontId="34" fillId="3" borderId="0" xfId="0" applyNumberFormat="1" applyFont="1" applyFill="1">
      <alignment vertical="center"/>
    </xf>
    <xf numFmtId="49" fontId="34" fillId="3" borderId="0" xfId="0" applyNumberFormat="1" applyFont="1" applyFill="1" applyAlignment="1">
      <alignment horizontal="center" vertical="center"/>
    </xf>
    <xf numFmtId="177" fontId="34" fillId="3" borderId="0" xfId="1" applyFont="1" applyFill="1">
      <alignment vertical="center"/>
    </xf>
    <xf numFmtId="9" fontId="34" fillId="3" borderId="0" xfId="0" applyNumberFormat="1" applyFont="1" applyFill="1">
      <alignment vertical="center"/>
    </xf>
    <xf numFmtId="49" fontId="51" fillId="0" borderId="18" xfId="0" applyNumberFormat="1" applyFont="1" applyBorder="1">
      <alignment vertical="center"/>
    </xf>
    <xf numFmtId="0" fontId="50" fillId="3" borderId="18" xfId="0" applyFont="1" applyFill="1" applyBorder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8" fillId="5" borderId="0" xfId="5" applyFont="1" applyFill="1" applyAlignment="1">
      <alignment horizontal="left" vertical="center" shrinkToFit="1"/>
    </xf>
    <xf numFmtId="0" fontId="18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178" fontId="55" fillId="3" borderId="18" xfId="4" applyFont="1" applyFill="1" applyBorder="1" applyAlignment="1">
      <alignment horizontal="center" vertical="center"/>
    </xf>
    <xf numFmtId="0" fontId="55" fillId="3" borderId="18" xfId="0" applyFont="1" applyFill="1" applyBorder="1" applyAlignment="1">
      <alignment horizontal="center" vertical="center"/>
    </xf>
    <xf numFmtId="0" fontId="56" fillId="3" borderId="18" xfId="0" applyFont="1" applyFill="1" applyBorder="1" applyAlignment="1">
      <alignment horizontal="center" vertical="center"/>
    </xf>
    <xf numFmtId="49" fontId="55" fillId="3" borderId="18" xfId="2" applyNumberFormat="1" applyFont="1" applyFill="1" applyBorder="1" applyAlignment="1">
      <alignment horizontal="center" vertical="center"/>
    </xf>
    <xf numFmtId="177" fontId="55" fillId="3" borderId="21" xfId="1" applyFont="1" applyFill="1" applyBorder="1" applyAlignment="1">
      <alignment horizontal="center" vertical="center"/>
    </xf>
    <xf numFmtId="177" fontId="55" fillId="3" borderId="18" xfId="1" applyFont="1" applyFill="1" applyBorder="1" applyAlignment="1">
      <alignment horizontal="center" vertical="center"/>
    </xf>
    <xf numFmtId="177" fontId="55" fillId="3" borderId="20" xfId="1" applyFont="1" applyFill="1" applyBorder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42" fillId="0" borderId="0" xfId="17" applyFont="1" applyAlignment="1">
      <alignment horizontal="center" vertical="center" shrinkToFit="1"/>
    </xf>
    <xf numFmtId="0" fontId="43" fillId="0" borderId="0" xfId="17" applyFont="1" applyAlignment="1">
      <alignment horizontal="center" vertical="center" shrinkToFit="1"/>
    </xf>
    <xf numFmtId="176" fontId="44" fillId="0" borderId="0" xfId="18" applyFont="1" applyBorder="1" applyAlignment="1">
      <alignment horizontal="center" vertical="center" shrinkToFit="1"/>
    </xf>
    <xf numFmtId="31" fontId="46" fillId="0" borderId="24" xfId="17" applyNumberFormat="1" applyFont="1" applyBorder="1" applyAlignment="1">
      <alignment horizontal="center" vertical="center" shrinkToFit="1"/>
    </xf>
    <xf numFmtId="31" fontId="46" fillId="0" borderId="25" xfId="17" applyNumberFormat="1" applyFont="1" applyBorder="1" applyAlignment="1">
      <alignment horizontal="center" vertical="center" shrinkToFit="1"/>
    </xf>
    <xf numFmtId="0" fontId="46" fillId="0" borderId="21" xfId="17" applyFont="1" applyBorder="1" applyAlignment="1">
      <alignment horizontal="left" vertical="center" indent="1" shrinkToFit="1"/>
    </xf>
    <xf numFmtId="0" fontId="46" fillId="0" borderId="19" xfId="17" applyFont="1" applyBorder="1" applyAlignment="1">
      <alignment horizontal="left" vertical="center" indent="1" shrinkToFit="1"/>
    </xf>
    <xf numFmtId="0" fontId="46" fillId="0" borderId="27" xfId="17" applyFont="1" applyBorder="1" applyAlignment="1">
      <alignment horizontal="left" vertical="center" indent="1" shrinkToFit="1"/>
    </xf>
    <xf numFmtId="0" fontId="46" fillId="0" borderId="28" xfId="17" applyFont="1" applyBorder="1" applyAlignment="1">
      <alignment horizontal="center" vertical="center" shrinkToFit="1"/>
    </xf>
    <xf numFmtId="0" fontId="46" fillId="0" borderId="32" xfId="17" applyFont="1" applyBorder="1" applyAlignment="1">
      <alignment horizontal="center" vertical="center" shrinkToFit="1"/>
    </xf>
    <xf numFmtId="0" fontId="46" fillId="0" borderId="35" xfId="17" applyFont="1" applyBorder="1" applyAlignment="1">
      <alignment horizontal="center" vertical="center" shrinkToFit="1"/>
    </xf>
    <xf numFmtId="0" fontId="48" fillId="3" borderId="29" xfId="17" applyFont="1" applyFill="1" applyBorder="1" applyAlignment="1">
      <alignment horizontal="left" vertical="center" shrinkToFit="1"/>
    </xf>
    <xf numFmtId="0" fontId="48" fillId="3" borderId="30" xfId="17" applyFont="1" applyFill="1" applyBorder="1" applyAlignment="1">
      <alignment horizontal="left" vertical="center" shrinkToFit="1"/>
    </xf>
    <xf numFmtId="0" fontId="48" fillId="3" borderId="31" xfId="17" applyFont="1" applyFill="1" applyBorder="1" applyAlignment="1">
      <alignment horizontal="left" vertical="center" shrinkToFit="1"/>
    </xf>
    <xf numFmtId="0" fontId="48" fillId="3" borderId="33" xfId="17" applyFont="1" applyFill="1" applyBorder="1" applyAlignment="1">
      <alignment horizontal="left" vertical="center" shrinkToFit="1"/>
    </xf>
    <xf numFmtId="0" fontId="48" fillId="3" borderId="0" xfId="17" applyFont="1" applyFill="1" applyAlignment="1">
      <alignment horizontal="left" vertical="center" shrinkToFit="1"/>
    </xf>
    <xf numFmtId="0" fontId="48" fillId="3" borderId="34" xfId="17" applyFont="1" applyFill="1" applyBorder="1" applyAlignment="1">
      <alignment horizontal="left" vertical="center" shrinkToFit="1"/>
    </xf>
    <xf numFmtId="177" fontId="41" fillId="3" borderId="33" xfId="19" quotePrefix="1" applyFont="1" applyFill="1" applyBorder="1" applyAlignment="1">
      <alignment horizontal="left" vertical="center" shrinkToFit="1"/>
    </xf>
    <xf numFmtId="177" fontId="41" fillId="3" borderId="0" xfId="19" quotePrefix="1" applyFont="1" applyFill="1" applyBorder="1" applyAlignment="1">
      <alignment horizontal="left" vertical="center" shrinkToFit="1"/>
    </xf>
    <xf numFmtId="177" fontId="41" fillId="3" borderId="34" xfId="19" quotePrefix="1" applyFont="1" applyFill="1" applyBorder="1" applyAlignment="1">
      <alignment horizontal="left" vertical="center" shrinkToFit="1"/>
    </xf>
    <xf numFmtId="177" fontId="41" fillId="3" borderId="0" xfId="19" applyFont="1" applyFill="1" applyBorder="1" applyAlignment="1">
      <alignment horizontal="left" vertical="center" shrinkToFit="1"/>
    </xf>
    <xf numFmtId="177" fontId="41" fillId="3" borderId="34" xfId="19" applyFont="1" applyFill="1" applyBorder="1" applyAlignment="1">
      <alignment horizontal="left" vertical="center" shrinkToFit="1"/>
    </xf>
    <xf numFmtId="0" fontId="48" fillId="3" borderId="33" xfId="16" applyFont="1" applyFill="1" applyBorder="1" applyAlignment="1">
      <alignment horizontal="left" vertical="center" shrinkToFit="1"/>
    </xf>
    <xf numFmtId="0" fontId="49" fillId="3" borderId="0" xfId="16" applyFont="1" applyFill="1" applyAlignment="1">
      <alignment horizontal="left" vertical="center" shrinkToFit="1"/>
    </xf>
    <xf numFmtId="0" fontId="49" fillId="3" borderId="34" xfId="16" applyFont="1" applyFill="1" applyBorder="1" applyAlignment="1">
      <alignment horizontal="left" vertical="center" shrinkToFit="1"/>
    </xf>
    <xf numFmtId="0" fontId="46" fillId="0" borderId="19" xfId="17" applyFont="1" applyBorder="1" applyAlignment="1">
      <alignment horizontal="center" vertical="center" shrinkToFit="1"/>
    </xf>
    <xf numFmtId="0" fontId="46" fillId="0" borderId="27" xfId="17" applyFont="1" applyBorder="1" applyAlignment="1">
      <alignment horizontal="center" vertical="center" shrinkToFit="1"/>
    </xf>
    <xf numFmtId="0" fontId="48" fillId="3" borderId="0" xfId="16" applyFont="1" applyFill="1" applyAlignment="1">
      <alignment horizontal="left" vertical="center" shrinkToFit="1"/>
    </xf>
    <xf numFmtId="0" fontId="48" fillId="3" borderId="34" xfId="16" applyFont="1" applyFill="1" applyBorder="1" applyAlignment="1">
      <alignment horizontal="left" vertical="center" shrinkToFit="1"/>
    </xf>
    <xf numFmtId="0" fontId="46" fillId="3" borderId="33" xfId="17" applyFont="1" applyFill="1" applyBorder="1" applyAlignment="1">
      <alignment horizontal="left" vertical="center" shrinkToFit="1"/>
    </xf>
    <xf numFmtId="0" fontId="46" fillId="3" borderId="0" xfId="17" applyFont="1" applyFill="1" applyAlignment="1">
      <alignment horizontal="left" vertical="center" shrinkToFit="1"/>
    </xf>
    <xf numFmtId="0" fontId="46" fillId="3" borderId="34" xfId="17" applyFont="1" applyFill="1" applyBorder="1" applyAlignment="1">
      <alignment horizontal="left" vertical="center" shrinkToFit="1"/>
    </xf>
  </cellXfs>
  <cellStyles count="20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abSelected="1" topLeftCell="A15" zoomScale="85" zoomScaleNormal="85" workbookViewId="0">
      <selection activeCell="B8" sqref="B8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71" t="s">
        <v>0</v>
      </c>
      <c r="B2" s="171"/>
      <c r="C2" s="171"/>
      <c r="D2" s="171"/>
      <c r="E2" s="171"/>
      <c r="F2" s="171"/>
      <c r="G2" s="171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1</v>
      </c>
      <c r="B5" s="6" t="s">
        <v>76</v>
      </c>
      <c r="C5" s="7"/>
      <c r="D5" s="4"/>
      <c r="E5" s="4"/>
      <c r="F5" s="8" t="s">
        <v>73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2</v>
      </c>
      <c r="B7" s="11" t="s">
        <v>127</v>
      </c>
      <c r="C7" s="12"/>
      <c r="D7" s="4"/>
      <c r="E7" s="13"/>
      <c r="F7" s="172" t="s">
        <v>74</v>
      </c>
      <c r="G7" s="172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72</v>
      </c>
      <c r="B9" s="103"/>
      <c r="C9" s="15"/>
      <c r="D9" s="4"/>
      <c r="E9" s="4"/>
      <c r="F9" s="8" t="s">
        <v>75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73"/>
      <c r="B11" s="174"/>
      <c r="C11" s="174"/>
      <c r="D11" s="4"/>
      <c r="E11" s="16"/>
      <c r="F11" s="16"/>
      <c r="G11" s="16"/>
      <c r="H11" s="16"/>
    </row>
    <row r="12" spans="1:9" ht="18.75" thickBot="1">
      <c r="A12" s="17" t="s">
        <v>3</v>
      </c>
      <c r="B12" s="17" t="str">
        <f>NUMBERSTRING(F31,1)</f>
        <v>일백일십일만육천</v>
      </c>
      <c r="C12" s="18"/>
      <c r="D12" s="19" t="s">
        <v>4</v>
      </c>
      <c r="E12" s="20" t="s">
        <v>5</v>
      </c>
      <c r="F12" s="20" t="s">
        <v>5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6</v>
      </c>
      <c r="B14" s="24" t="s">
        <v>7</v>
      </c>
      <c r="C14" s="24" t="s">
        <v>8</v>
      </c>
      <c r="D14" s="24" t="s">
        <v>9</v>
      </c>
      <c r="E14" s="24" t="s">
        <v>10</v>
      </c>
      <c r="F14" s="24" t="s">
        <v>11</v>
      </c>
      <c r="G14" s="25" t="s">
        <v>12</v>
      </c>
      <c r="H14" s="22"/>
    </row>
    <row r="15" spans="1:9" ht="33" customHeight="1" thickTop="1">
      <c r="A15" s="26"/>
      <c r="B15" s="27" t="s">
        <v>13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14</v>
      </c>
      <c r="C16" s="34"/>
      <c r="D16" s="35"/>
      <c r="E16" s="35"/>
      <c r="F16" s="36">
        <f>'내역서(표준단가)'!O11</f>
        <v>554400</v>
      </c>
      <c r="G16" s="37"/>
    </row>
    <row r="17" spans="1:9" ht="33" customHeight="1">
      <c r="A17" s="32"/>
      <c r="B17" s="33" t="s">
        <v>15</v>
      </c>
      <c r="C17" s="34"/>
      <c r="D17" s="35"/>
      <c r="E17" s="35"/>
      <c r="F17" s="36">
        <f>'내역서(표준단가)'!Q11</f>
        <v>444576</v>
      </c>
      <c r="G17" s="38"/>
      <c r="H17" s="3"/>
      <c r="I17" s="3"/>
    </row>
    <row r="18" spans="1:9" ht="33" customHeight="1">
      <c r="A18" s="32"/>
      <c r="B18" s="33" t="s">
        <v>16</v>
      </c>
      <c r="C18" s="34"/>
      <c r="D18" s="35"/>
      <c r="E18" s="35"/>
      <c r="F18" s="36">
        <f>'내역서(표준단가)'!V10</f>
        <v>0</v>
      </c>
      <c r="G18" s="38"/>
      <c r="H18" s="3"/>
      <c r="I18" s="3"/>
    </row>
    <row r="19" spans="1:9" ht="33" customHeight="1">
      <c r="A19" s="32"/>
      <c r="B19" s="39" t="s">
        <v>17</v>
      </c>
      <c r="C19" s="39"/>
      <c r="D19" s="40"/>
      <c r="E19" s="40"/>
      <c r="F19" s="41">
        <f>F16+F17+F18</f>
        <v>998976</v>
      </c>
      <c r="G19" s="38"/>
      <c r="H19" s="3"/>
      <c r="I19" s="3"/>
    </row>
    <row r="20" spans="1:9" ht="33" customHeight="1">
      <c r="A20" s="32"/>
      <c r="B20" s="42" t="s">
        <v>18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45" t="s">
        <v>19</v>
      </c>
      <c r="C21" s="43" t="s">
        <v>123</v>
      </c>
      <c r="D21" s="33">
        <v>1</v>
      </c>
      <c r="E21" s="33" t="s">
        <v>20</v>
      </c>
      <c r="F21" s="46">
        <f>F17*4.75%</f>
        <v>21117.360000000001</v>
      </c>
      <c r="G21" s="38" t="s">
        <v>21</v>
      </c>
      <c r="H21" s="3"/>
      <c r="I21" s="3"/>
    </row>
    <row r="22" spans="1:9" ht="33" customHeight="1">
      <c r="A22" s="32"/>
      <c r="B22" s="45" t="s">
        <v>22</v>
      </c>
      <c r="C22" s="43" t="s">
        <v>124</v>
      </c>
      <c r="D22" s="33">
        <v>1</v>
      </c>
      <c r="E22" s="33" t="s">
        <v>20</v>
      </c>
      <c r="F22" s="46">
        <f>F17*3.595%</f>
        <v>15982.507200000002</v>
      </c>
      <c r="G22" s="38" t="s">
        <v>23</v>
      </c>
      <c r="H22" s="3"/>
      <c r="I22" s="3"/>
    </row>
    <row r="23" spans="1:9" ht="33" customHeight="1">
      <c r="A23" s="32"/>
      <c r="B23" s="45" t="s">
        <v>24</v>
      </c>
      <c r="C23" s="43" t="s">
        <v>125</v>
      </c>
      <c r="D23" s="33">
        <v>1</v>
      </c>
      <c r="E23" s="33" t="s">
        <v>20</v>
      </c>
      <c r="F23" s="46">
        <f>F22*13.14%</f>
        <v>2100.1014460800006</v>
      </c>
      <c r="G23" s="38" t="s">
        <v>23</v>
      </c>
      <c r="H23" s="3"/>
      <c r="I23" s="3"/>
    </row>
    <row r="24" spans="1:9" ht="33" customHeight="1">
      <c r="A24" s="32"/>
      <c r="B24" s="45" t="s">
        <v>25</v>
      </c>
      <c r="C24" s="43" t="s">
        <v>84</v>
      </c>
      <c r="D24" s="33">
        <v>1</v>
      </c>
      <c r="E24" s="33" t="s">
        <v>20</v>
      </c>
      <c r="F24" s="46">
        <f>F17*1.01%</f>
        <v>4490.2175999999999</v>
      </c>
      <c r="G24" s="38" t="s">
        <v>23</v>
      </c>
      <c r="H24" s="3"/>
      <c r="I24" s="3"/>
    </row>
    <row r="25" spans="1:9" ht="33" customHeight="1">
      <c r="A25" s="32"/>
      <c r="B25" s="45" t="s">
        <v>26</v>
      </c>
      <c r="C25" s="43" t="s">
        <v>120</v>
      </c>
      <c r="D25" s="33">
        <v>1</v>
      </c>
      <c r="E25" s="33" t="s">
        <v>20</v>
      </c>
      <c r="F25" s="46">
        <f>F17*3.56%</f>
        <v>15826.9056</v>
      </c>
      <c r="G25" s="38" t="s">
        <v>23</v>
      </c>
      <c r="H25" s="3"/>
      <c r="I25" s="3"/>
    </row>
    <row r="26" spans="1:9" ht="33" customHeight="1">
      <c r="A26" s="32"/>
      <c r="B26" s="45" t="s">
        <v>27</v>
      </c>
      <c r="C26" s="47" t="s">
        <v>126</v>
      </c>
      <c r="D26" s="33">
        <v>1</v>
      </c>
      <c r="E26" s="33" t="s">
        <v>20</v>
      </c>
      <c r="F26" s="46">
        <f>(F16+F17)*3.11%</f>
        <v>31068.153599999998</v>
      </c>
      <c r="G26" s="38" t="s">
        <v>21</v>
      </c>
      <c r="H26" s="3"/>
      <c r="I26" s="3"/>
    </row>
    <row r="27" spans="1:9" ht="33" customHeight="1">
      <c r="A27" s="32"/>
      <c r="B27" s="45" t="s">
        <v>32</v>
      </c>
      <c r="C27" s="47" t="s">
        <v>33</v>
      </c>
      <c r="D27" s="33">
        <v>1</v>
      </c>
      <c r="E27" s="33" t="s">
        <v>20</v>
      </c>
      <c r="F27" s="46">
        <f>SUM(F17+F21+F22+F23+F24+F25+F26)*5%</f>
        <v>26758.062272304</v>
      </c>
      <c r="G27" s="38"/>
      <c r="H27" s="3"/>
      <c r="I27" s="3"/>
    </row>
    <row r="28" spans="1:9" ht="33" customHeight="1">
      <c r="A28" s="32"/>
      <c r="B28" s="39" t="s">
        <v>28</v>
      </c>
      <c r="C28" s="48"/>
      <c r="D28" s="49"/>
      <c r="E28" s="40"/>
      <c r="F28" s="50">
        <f>F21+F22+F23+F24+F25+F26+F27</f>
        <v>117343.30771838399</v>
      </c>
      <c r="G28" s="38"/>
      <c r="H28" s="3"/>
      <c r="I28" s="3"/>
    </row>
    <row r="29" spans="1:9" ht="33" customHeight="1">
      <c r="A29" s="32"/>
      <c r="B29" s="43"/>
      <c r="C29" s="51"/>
      <c r="D29" s="52"/>
      <c r="E29" s="35"/>
      <c r="F29" s="53"/>
      <c r="G29" s="38"/>
      <c r="H29" s="3"/>
      <c r="I29" s="3"/>
    </row>
    <row r="30" spans="1:9" ht="33" customHeight="1">
      <c r="A30" s="32"/>
      <c r="B30" s="54"/>
      <c r="C30" s="51"/>
      <c r="D30" s="52"/>
      <c r="E30" s="35"/>
      <c r="F30" s="55">
        <f>F19+F28+F29</f>
        <v>1116319.3077183841</v>
      </c>
      <c r="G30" s="38"/>
      <c r="H30" s="3"/>
      <c r="I30" s="3"/>
    </row>
    <row r="31" spans="1:9" ht="33" customHeight="1">
      <c r="A31" s="32"/>
      <c r="B31" s="39" t="s">
        <v>29</v>
      </c>
      <c r="C31" s="39"/>
      <c r="D31" s="40"/>
      <c r="E31" s="40"/>
      <c r="F31" s="110">
        <f>ROUNDDOWN(F30,-3)</f>
        <v>1116000</v>
      </c>
      <c r="G31" s="38"/>
      <c r="H31" s="3"/>
      <c r="I31" s="3"/>
    </row>
    <row r="32" spans="1:9" ht="33" customHeight="1" thickBot="1">
      <c r="A32" s="56"/>
      <c r="B32" s="57" t="s">
        <v>30</v>
      </c>
      <c r="C32" s="58"/>
      <c r="D32" s="58"/>
      <c r="E32" s="58"/>
      <c r="F32" s="59"/>
      <c r="G32" s="60"/>
      <c r="H32" s="3"/>
      <c r="I32" s="3"/>
    </row>
    <row r="33" spans="2:2" s="3" customFormat="1" ht="15.75">
      <c r="B33" s="61"/>
    </row>
    <row r="34" spans="2:2" s="3" customFormat="1" ht="15.75">
      <c r="B34" s="61"/>
    </row>
  </sheetData>
  <mergeCells count="3">
    <mergeCell ref="A2:G2"/>
    <mergeCell ref="F7:G7"/>
    <mergeCell ref="A11:C11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/>
  <dimension ref="A1:X1148"/>
  <sheetViews>
    <sheetView zoomScale="115" zoomScaleNormal="115" workbookViewId="0">
      <pane ySplit="5" topLeftCell="A6" activePane="bottomLeft" state="frozen"/>
      <selection activeCell="D31" sqref="D31"/>
      <selection pane="bottomLeft" activeCell="A8" sqref="A8"/>
    </sheetView>
  </sheetViews>
  <sheetFormatPr defaultRowHeight="12" customHeight="1"/>
  <cols>
    <col min="1" max="1" width="17.75" style="163" customWidth="1"/>
    <col min="2" max="8" width="17.75" style="163" hidden="1" customWidth="1"/>
    <col min="9" max="9" width="16.625" style="163" customWidth="1"/>
    <col min="10" max="10" width="22.375" style="165" customWidth="1"/>
    <col min="11" max="11" width="26" style="165" customWidth="1"/>
    <col min="12" max="12" width="6.125" style="166" customWidth="1"/>
    <col min="13" max="13" width="5.125" style="167" customWidth="1"/>
    <col min="14" max="14" width="11" style="161" customWidth="1"/>
    <col min="15" max="15" width="9.875" style="167" customWidth="1"/>
    <col min="16" max="16" width="11" style="167" customWidth="1"/>
    <col min="17" max="17" width="9.75" style="167" customWidth="1"/>
    <col min="18" max="21" width="11.75" style="163" hidden="1" customWidth="1"/>
    <col min="22" max="22" width="12.75" style="163" customWidth="1"/>
    <col min="23" max="23" width="11.75" style="168" customWidth="1"/>
    <col min="24" max="24" width="18.75" style="165" customWidth="1"/>
    <col min="25" max="16384" width="9" style="163"/>
  </cols>
  <sheetData>
    <row r="1" spans="1:24" s="134" customFormat="1" ht="12" customHeight="1">
      <c r="A1" s="130"/>
      <c r="B1" s="130"/>
      <c r="C1" s="130"/>
      <c r="D1" s="130"/>
      <c r="E1" s="130"/>
      <c r="F1" s="130"/>
      <c r="G1" s="130"/>
      <c r="H1" s="130"/>
      <c r="I1" s="130"/>
      <c r="J1" s="131"/>
      <c r="K1" s="131"/>
      <c r="L1" s="132"/>
      <c r="M1" s="133"/>
      <c r="N1" s="133"/>
      <c r="O1" s="133"/>
      <c r="P1" s="133"/>
      <c r="Q1" s="133"/>
      <c r="W1" s="135"/>
      <c r="X1" s="131"/>
    </row>
    <row r="2" spans="1:24" s="141" customFormat="1" ht="12" customHeight="1">
      <c r="A2" s="136"/>
      <c r="B2" s="136"/>
      <c r="C2" s="136"/>
      <c r="D2" s="136"/>
      <c r="E2" s="136"/>
      <c r="F2" s="136"/>
      <c r="G2" s="136"/>
      <c r="H2" s="136"/>
      <c r="I2" s="136"/>
      <c r="J2" s="137"/>
      <c r="K2" s="137"/>
      <c r="L2" s="138"/>
      <c r="M2" s="139"/>
      <c r="N2" s="133"/>
      <c r="O2" s="140" t="s">
        <v>90</v>
      </c>
      <c r="Q2" s="140" t="s">
        <v>90</v>
      </c>
      <c r="S2" s="140" t="s">
        <v>90</v>
      </c>
      <c r="U2" s="140" t="s">
        <v>90</v>
      </c>
      <c r="W2" s="142" t="s">
        <v>77</v>
      </c>
    </row>
    <row r="3" spans="1:24" s="141" customFormat="1" ht="12" customHeight="1">
      <c r="A3" s="143" t="s">
        <v>91</v>
      </c>
      <c r="B3" s="143"/>
      <c r="C3" s="143"/>
      <c r="D3" s="143"/>
      <c r="E3" s="143"/>
      <c r="F3" s="143"/>
      <c r="G3" s="143"/>
      <c r="H3" s="143"/>
      <c r="I3" s="143"/>
      <c r="J3" s="144" t="str">
        <f>갑지!B7</f>
        <v>사택 7-106외 1세대 LED등기구 교체</v>
      </c>
      <c r="K3" s="137"/>
      <c r="L3" s="138"/>
      <c r="M3" s="139"/>
      <c r="N3" s="133"/>
      <c r="O3" s="145">
        <v>0.83</v>
      </c>
      <c r="Q3" s="145">
        <v>0.4</v>
      </c>
      <c r="S3" s="145">
        <v>0.6</v>
      </c>
      <c r="U3" s="145">
        <v>0.6</v>
      </c>
      <c r="W3" s="145">
        <v>1</v>
      </c>
      <c r="X3" s="146" t="s">
        <v>78</v>
      </c>
    </row>
    <row r="4" spans="1:24" s="153" customFormat="1" ht="12" customHeight="1">
      <c r="A4" s="176" t="s">
        <v>92</v>
      </c>
      <c r="B4" s="147"/>
      <c r="C4" s="147"/>
      <c r="D4" s="147"/>
      <c r="E4" s="147"/>
      <c r="F4" s="147"/>
      <c r="G4" s="147"/>
      <c r="H4" s="147"/>
      <c r="I4" s="147"/>
      <c r="J4" s="148" t="s">
        <v>93</v>
      </c>
      <c r="K4" s="148"/>
      <c r="L4" s="178" t="s">
        <v>94</v>
      </c>
      <c r="M4" s="179" t="s">
        <v>95</v>
      </c>
      <c r="N4" s="180" t="s">
        <v>96</v>
      </c>
      <c r="O4" s="181"/>
      <c r="P4" s="180" t="s">
        <v>97</v>
      </c>
      <c r="Q4" s="180"/>
      <c r="R4" s="175" t="s">
        <v>98</v>
      </c>
      <c r="S4" s="175"/>
      <c r="T4" s="175" t="s">
        <v>99</v>
      </c>
      <c r="U4" s="175"/>
      <c r="V4" s="176" t="s">
        <v>100</v>
      </c>
      <c r="W4" s="177" t="s">
        <v>37</v>
      </c>
      <c r="X4" s="176"/>
    </row>
    <row r="5" spans="1:24" s="153" customFormat="1" ht="12" customHeight="1">
      <c r="A5" s="176"/>
      <c r="B5" s="147"/>
      <c r="C5" s="147"/>
      <c r="D5" s="147"/>
      <c r="E5" s="147"/>
      <c r="F5" s="147"/>
      <c r="G5" s="147"/>
      <c r="H5" s="147"/>
      <c r="I5" s="147"/>
      <c r="J5" s="149" t="s">
        <v>101</v>
      </c>
      <c r="K5" s="149" t="s">
        <v>102</v>
      </c>
      <c r="L5" s="178"/>
      <c r="M5" s="179"/>
      <c r="N5" s="150" t="s">
        <v>103</v>
      </c>
      <c r="O5" s="151" t="s">
        <v>104</v>
      </c>
      <c r="P5" s="150" t="s">
        <v>105</v>
      </c>
      <c r="Q5" s="150" t="s">
        <v>104</v>
      </c>
      <c r="R5" s="152" t="s">
        <v>106</v>
      </c>
      <c r="S5" s="152" t="s">
        <v>104</v>
      </c>
      <c r="T5" s="152" t="s">
        <v>106</v>
      </c>
      <c r="U5" s="152" t="s">
        <v>104</v>
      </c>
      <c r="V5" s="176"/>
      <c r="W5" s="147" t="s">
        <v>107</v>
      </c>
      <c r="X5" s="154" t="s">
        <v>36</v>
      </c>
    </row>
    <row r="6" spans="1:24" s="121" customFormat="1" ht="12" customHeight="1">
      <c r="A6" s="169" t="s">
        <v>115</v>
      </c>
      <c r="B6" s="169"/>
      <c r="C6" s="169"/>
      <c r="D6" s="169"/>
      <c r="E6" s="169"/>
      <c r="F6" s="169"/>
      <c r="G6" s="169"/>
      <c r="H6" s="169"/>
      <c r="I6" s="124" t="s">
        <v>121</v>
      </c>
      <c r="J6" s="124" t="s">
        <v>116</v>
      </c>
      <c r="K6" s="124" t="s">
        <v>118</v>
      </c>
      <c r="L6" s="124" t="s">
        <v>52</v>
      </c>
      <c r="M6" s="125">
        <v>6</v>
      </c>
      <c r="N6" s="125">
        <v>70400</v>
      </c>
      <c r="O6" s="117">
        <f>M6*N6</f>
        <v>422400</v>
      </c>
      <c r="P6" s="123"/>
      <c r="Q6" s="122"/>
      <c r="R6" s="117"/>
      <c r="S6" s="117"/>
      <c r="T6" s="117"/>
      <c r="U6" s="117"/>
      <c r="V6" s="122">
        <f t="shared" ref="V6:V7" si="0">SUM(O6+Q6)+S6+U6</f>
        <v>422400</v>
      </c>
      <c r="W6" s="129"/>
      <c r="X6" s="120" t="s">
        <v>110</v>
      </c>
    </row>
    <row r="7" spans="1:24" s="121" customFormat="1" ht="12" customHeight="1">
      <c r="A7" s="128" t="s">
        <v>115</v>
      </c>
      <c r="B7" s="128"/>
      <c r="C7" s="128"/>
      <c r="D7" s="128"/>
      <c r="E7" s="128"/>
      <c r="F7" s="128"/>
      <c r="G7" s="128"/>
      <c r="H7" s="128"/>
      <c r="I7" s="126" t="s">
        <v>109</v>
      </c>
      <c r="J7" s="126" t="s">
        <v>116</v>
      </c>
      <c r="K7" s="126" t="s">
        <v>117</v>
      </c>
      <c r="L7" s="126" t="s">
        <v>52</v>
      </c>
      <c r="M7" s="122">
        <v>2</v>
      </c>
      <c r="N7" s="127">
        <v>66000</v>
      </c>
      <c r="O7" s="117">
        <f>M7*N7</f>
        <v>132000</v>
      </c>
      <c r="P7" s="123"/>
      <c r="Q7" s="122"/>
      <c r="R7" s="117"/>
      <c r="S7" s="117"/>
      <c r="T7" s="117"/>
      <c r="U7" s="117"/>
      <c r="V7" s="122">
        <f t="shared" si="0"/>
        <v>132000</v>
      </c>
      <c r="W7" s="129"/>
      <c r="X7" s="120" t="s">
        <v>111</v>
      </c>
    </row>
    <row r="8" spans="1:24" s="121" customFormat="1" ht="12" customHeight="1">
      <c r="A8" s="118" t="s">
        <v>89</v>
      </c>
      <c r="B8" s="118"/>
      <c r="C8" s="118"/>
      <c r="D8" s="118"/>
      <c r="E8" s="118"/>
      <c r="F8" s="118"/>
      <c r="G8" s="118"/>
      <c r="H8" s="118"/>
      <c r="I8" s="119"/>
      <c r="J8" s="155" t="s">
        <v>85</v>
      </c>
      <c r="K8" s="155" t="s">
        <v>88</v>
      </c>
      <c r="L8" s="155" t="s">
        <v>108</v>
      </c>
      <c r="M8" s="122">
        <v>1</v>
      </c>
      <c r="N8" s="117"/>
      <c r="O8" s="117"/>
      <c r="P8" s="117">
        <v>171037</v>
      </c>
      <c r="Q8" s="122">
        <f>IF(W8="",M8*P8*$W$3,M8*P8*W8)</f>
        <v>171037</v>
      </c>
      <c r="R8" s="117"/>
      <c r="S8" s="117"/>
      <c r="T8" s="117"/>
      <c r="U8" s="117"/>
      <c r="V8" s="122">
        <f t="shared" ref="V8:V9" si="1">SUM(O8+Q8)+S8+U8</f>
        <v>171037</v>
      </c>
      <c r="W8" s="129"/>
      <c r="X8" s="120" t="s">
        <v>128</v>
      </c>
    </row>
    <row r="9" spans="1:24" s="121" customFormat="1" ht="12" customHeight="1">
      <c r="A9" s="118" t="s">
        <v>86</v>
      </c>
      <c r="B9" s="118"/>
      <c r="C9" s="118"/>
      <c r="D9" s="118"/>
      <c r="E9" s="118"/>
      <c r="F9" s="118"/>
      <c r="G9" s="118"/>
      <c r="H9" s="118"/>
      <c r="I9" s="119"/>
      <c r="J9" s="155" t="s">
        <v>87</v>
      </c>
      <c r="K9" s="155" t="s">
        <v>88</v>
      </c>
      <c r="L9" s="155" t="s">
        <v>108</v>
      </c>
      <c r="M9" s="122">
        <v>1</v>
      </c>
      <c r="N9" s="117"/>
      <c r="O9" s="117"/>
      <c r="P9" s="117">
        <v>273539</v>
      </c>
      <c r="Q9" s="122">
        <f>IF(W9="",M9*P9*$W$3,M9*P9*W9)</f>
        <v>273539</v>
      </c>
      <c r="R9" s="117"/>
      <c r="S9" s="117"/>
      <c r="T9" s="117"/>
      <c r="U9" s="117"/>
      <c r="V9" s="122">
        <f t="shared" si="1"/>
        <v>273539</v>
      </c>
      <c r="W9" s="129"/>
      <c r="X9" s="120"/>
    </row>
    <row r="10" spans="1:24" s="121" customFormat="1" ht="12" customHeight="1">
      <c r="A10" s="118"/>
      <c r="B10" s="118"/>
      <c r="C10" s="118"/>
      <c r="D10" s="118"/>
      <c r="E10" s="118"/>
      <c r="F10" s="118"/>
      <c r="G10" s="118"/>
      <c r="H10" s="118"/>
      <c r="I10" s="118"/>
      <c r="J10" s="120"/>
      <c r="K10" s="120"/>
      <c r="L10" s="155"/>
      <c r="M10" s="122" t="s">
        <v>79</v>
      </c>
      <c r="N10" s="117"/>
      <c r="O10" s="117"/>
      <c r="P10" s="117"/>
      <c r="Q10" s="118"/>
      <c r="R10" s="156"/>
      <c r="S10" s="156"/>
      <c r="T10" s="156"/>
      <c r="U10" s="156"/>
      <c r="V10" s="118"/>
      <c r="W10" s="129"/>
      <c r="X10" s="120"/>
    </row>
    <row r="11" spans="1:24" ht="12" customHeight="1">
      <c r="A11" s="157"/>
      <c r="B11" s="157"/>
      <c r="C11" s="157"/>
      <c r="D11" s="157"/>
      <c r="E11" s="157"/>
      <c r="F11" s="157"/>
      <c r="G11" s="157"/>
      <c r="H11" s="157"/>
      <c r="I11" s="157"/>
      <c r="J11" s="158"/>
      <c r="K11" s="159" t="s">
        <v>80</v>
      </c>
      <c r="L11" s="160"/>
      <c r="M11" s="161" t="s">
        <v>79</v>
      </c>
      <c r="N11" s="162" t="s">
        <v>82</v>
      </c>
      <c r="O11" s="162">
        <f>SUM(O6:O9)</f>
        <v>554400</v>
      </c>
      <c r="P11" s="162" t="s">
        <v>83</v>
      </c>
      <c r="Q11" s="162">
        <f>SUM(Q6:Q9)</f>
        <v>444576</v>
      </c>
      <c r="V11" s="162"/>
      <c r="W11" s="164"/>
      <c r="X11" s="158"/>
    </row>
    <row r="12" spans="1:24" ht="12" customHeight="1">
      <c r="N12" s="167"/>
    </row>
    <row r="13" spans="1:24" ht="12" customHeight="1">
      <c r="N13" s="167"/>
    </row>
    <row r="14" spans="1:24" ht="12" customHeight="1">
      <c r="N14" s="167"/>
    </row>
    <row r="15" spans="1:24" ht="12" customHeight="1">
      <c r="N15" s="167"/>
    </row>
    <row r="16" spans="1:24" ht="12" customHeight="1">
      <c r="N16" s="167"/>
    </row>
    <row r="17" spans="14:14" ht="12" customHeight="1">
      <c r="N17" s="167"/>
    </row>
    <row r="18" spans="14:14" ht="12" customHeight="1">
      <c r="N18" s="167"/>
    </row>
    <row r="19" spans="14:14" ht="12" customHeight="1">
      <c r="N19" s="167"/>
    </row>
    <row r="20" spans="14:14" ht="12" customHeight="1">
      <c r="N20" s="167"/>
    </row>
    <row r="21" spans="14:14" ht="12" customHeight="1">
      <c r="N21" s="167"/>
    </row>
    <row r="22" spans="14:14" ht="12" customHeight="1">
      <c r="N22" s="167"/>
    </row>
    <row r="23" spans="14:14" ht="12" customHeight="1">
      <c r="N23" s="167"/>
    </row>
    <row r="24" spans="14:14" ht="12" customHeight="1">
      <c r="N24" s="167"/>
    </row>
    <row r="25" spans="14:14" ht="12" customHeight="1">
      <c r="N25" s="167"/>
    </row>
    <row r="26" spans="14:14" ht="12" customHeight="1">
      <c r="N26" s="167"/>
    </row>
    <row r="27" spans="14:14" ht="12" customHeight="1">
      <c r="N27" s="167"/>
    </row>
    <row r="28" spans="14:14" ht="12" customHeight="1">
      <c r="N28" s="167"/>
    </row>
    <row r="29" spans="14:14" ht="12" customHeight="1">
      <c r="N29" s="167"/>
    </row>
    <row r="30" spans="14:14" ht="12" customHeight="1">
      <c r="N30" s="167"/>
    </row>
    <row r="31" spans="14:14" ht="12" customHeight="1">
      <c r="N31" s="167"/>
    </row>
    <row r="32" spans="14:14" ht="12" customHeight="1">
      <c r="N32" s="167"/>
    </row>
    <row r="33" spans="14:14" ht="12" customHeight="1">
      <c r="N33" s="167"/>
    </row>
    <row r="34" spans="14:14" ht="12" customHeight="1">
      <c r="N34" s="167"/>
    </row>
    <row r="35" spans="14:14" ht="12" customHeight="1">
      <c r="N35" s="167"/>
    </row>
    <row r="36" spans="14:14" ht="12" customHeight="1">
      <c r="N36" s="167"/>
    </row>
    <row r="37" spans="14:14" ht="12" customHeight="1">
      <c r="N37" s="167"/>
    </row>
    <row r="38" spans="14:14" ht="12" customHeight="1">
      <c r="N38" s="167"/>
    </row>
    <row r="39" spans="14:14" ht="12" customHeight="1">
      <c r="N39" s="167"/>
    </row>
    <row r="40" spans="14:14" ht="12" customHeight="1">
      <c r="N40" s="167"/>
    </row>
    <row r="41" spans="14:14" ht="12" customHeight="1">
      <c r="N41" s="167"/>
    </row>
    <row r="42" spans="14:14" ht="12" customHeight="1">
      <c r="N42" s="167"/>
    </row>
    <row r="43" spans="14:14" ht="12" customHeight="1">
      <c r="N43" s="167"/>
    </row>
    <row r="44" spans="14:14" ht="12" customHeight="1">
      <c r="N44" s="167"/>
    </row>
    <row r="45" spans="14:14" ht="12" customHeight="1">
      <c r="N45" s="167"/>
    </row>
    <row r="46" spans="14:14" ht="12" customHeight="1">
      <c r="N46" s="167"/>
    </row>
    <row r="47" spans="14:14" ht="12" customHeight="1">
      <c r="N47" s="167"/>
    </row>
    <row r="48" spans="14:14" ht="12" customHeight="1">
      <c r="N48" s="167"/>
    </row>
    <row r="49" spans="14:14" ht="12" customHeight="1">
      <c r="N49" s="167"/>
    </row>
    <row r="50" spans="14:14" ht="12" customHeight="1">
      <c r="N50" s="167"/>
    </row>
    <row r="51" spans="14:14" ht="12" customHeight="1">
      <c r="N51" s="167"/>
    </row>
    <row r="52" spans="14:14" ht="12" customHeight="1">
      <c r="N52" s="167"/>
    </row>
    <row r="53" spans="14:14" ht="12" customHeight="1">
      <c r="N53" s="167"/>
    </row>
    <row r="54" spans="14:14" ht="12" customHeight="1">
      <c r="N54" s="167"/>
    </row>
    <row r="55" spans="14:14" ht="12" customHeight="1">
      <c r="N55" s="167"/>
    </row>
    <row r="56" spans="14:14" ht="12" customHeight="1">
      <c r="N56" s="167"/>
    </row>
    <row r="57" spans="14:14" ht="12" customHeight="1">
      <c r="N57" s="167"/>
    </row>
    <row r="58" spans="14:14" ht="12" customHeight="1">
      <c r="N58" s="167"/>
    </row>
    <row r="59" spans="14:14" ht="12" customHeight="1">
      <c r="N59" s="167"/>
    </row>
    <row r="60" spans="14:14" ht="12" customHeight="1">
      <c r="N60" s="167"/>
    </row>
    <row r="61" spans="14:14" ht="12" customHeight="1">
      <c r="N61" s="167"/>
    </row>
    <row r="62" spans="14:14" ht="12" customHeight="1">
      <c r="N62" s="167"/>
    </row>
    <row r="63" spans="14:14" ht="12" customHeight="1">
      <c r="N63" s="167"/>
    </row>
    <row r="64" spans="14:14" ht="12" customHeight="1">
      <c r="N64" s="167"/>
    </row>
    <row r="65" spans="14:14" ht="12" customHeight="1">
      <c r="N65" s="167"/>
    </row>
    <row r="66" spans="14:14" ht="12" customHeight="1">
      <c r="N66" s="167"/>
    </row>
    <row r="67" spans="14:14" ht="12" customHeight="1">
      <c r="N67" s="167"/>
    </row>
    <row r="68" spans="14:14" ht="12" customHeight="1">
      <c r="N68" s="167"/>
    </row>
    <row r="69" spans="14:14" ht="12" customHeight="1">
      <c r="N69" s="167"/>
    </row>
    <row r="70" spans="14:14" ht="12" customHeight="1">
      <c r="N70" s="167"/>
    </row>
    <row r="71" spans="14:14" ht="12" customHeight="1">
      <c r="N71" s="167"/>
    </row>
    <row r="72" spans="14:14" ht="12" customHeight="1">
      <c r="N72" s="167"/>
    </row>
    <row r="73" spans="14:14" ht="12" customHeight="1">
      <c r="N73" s="167"/>
    </row>
    <row r="74" spans="14:14" ht="12" customHeight="1">
      <c r="N74" s="167"/>
    </row>
    <row r="75" spans="14:14" ht="12" customHeight="1">
      <c r="N75" s="167"/>
    </row>
    <row r="76" spans="14:14" ht="12" customHeight="1">
      <c r="N76" s="167"/>
    </row>
    <row r="77" spans="14:14" ht="12" customHeight="1">
      <c r="N77" s="167"/>
    </row>
    <row r="78" spans="14:14" ht="12" customHeight="1">
      <c r="N78" s="167"/>
    </row>
    <row r="79" spans="14:14" ht="12" customHeight="1">
      <c r="N79" s="167"/>
    </row>
    <row r="80" spans="14:14" ht="12" customHeight="1">
      <c r="N80" s="167"/>
    </row>
    <row r="81" spans="14:14" ht="12" customHeight="1">
      <c r="N81" s="167"/>
    </row>
    <row r="82" spans="14:14" ht="12" customHeight="1">
      <c r="N82" s="167"/>
    </row>
    <row r="83" spans="14:14" ht="12" customHeight="1">
      <c r="N83" s="167"/>
    </row>
    <row r="84" spans="14:14" ht="12" customHeight="1">
      <c r="N84" s="167"/>
    </row>
    <row r="85" spans="14:14" ht="12" customHeight="1">
      <c r="N85" s="167"/>
    </row>
    <row r="86" spans="14:14" ht="12" customHeight="1">
      <c r="N86" s="167"/>
    </row>
    <row r="87" spans="14:14" ht="12" customHeight="1">
      <c r="N87" s="167"/>
    </row>
    <row r="88" spans="14:14" ht="12" customHeight="1">
      <c r="N88" s="167"/>
    </row>
    <row r="89" spans="14:14" ht="12" customHeight="1">
      <c r="N89" s="167"/>
    </row>
    <row r="90" spans="14:14" ht="12" customHeight="1">
      <c r="N90" s="167"/>
    </row>
    <row r="91" spans="14:14" ht="12" customHeight="1">
      <c r="N91" s="167"/>
    </row>
    <row r="92" spans="14:14" ht="12" customHeight="1">
      <c r="N92" s="167"/>
    </row>
    <row r="93" spans="14:14" ht="12" customHeight="1">
      <c r="N93" s="167"/>
    </row>
    <row r="94" spans="14:14" ht="12" customHeight="1">
      <c r="N94" s="167"/>
    </row>
    <row r="95" spans="14:14" ht="12" customHeight="1">
      <c r="N95" s="167"/>
    </row>
    <row r="96" spans="14:14" ht="12" customHeight="1">
      <c r="N96" s="167"/>
    </row>
    <row r="97" spans="14:14" ht="12" customHeight="1">
      <c r="N97" s="167"/>
    </row>
    <row r="98" spans="14:14" ht="12" customHeight="1">
      <c r="N98" s="167"/>
    </row>
    <row r="99" spans="14:14" ht="12" customHeight="1">
      <c r="N99" s="167"/>
    </row>
    <row r="100" spans="14:14" ht="12" customHeight="1">
      <c r="N100" s="167"/>
    </row>
    <row r="101" spans="14:14" ht="12" customHeight="1">
      <c r="N101" s="167"/>
    </row>
    <row r="102" spans="14:14" ht="12" customHeight="1">
      <c r="N102" s="167"/>
    </row>
    <row r="103" spans="14:14" ht="12" customHeight="1">
      <c r="N103" s="167"/>
    </row>
    <row r="104" spans="14:14" ht="12" customHeight="1">
      <c r="N104" s="167"/>
    </row>
    <row r="105" spans="14:14" ht="12" customHeight="1">
      <c r="N105" s="167"/>
    </row>
    <row r="106" spans="14:14" ht="12" customHeight="1">
      <c r="N106" s="167"/>
    </row>
    <row r="107" spans="14:14" ht="12" customHeight="1">
      <c r="N107" s="167"/>
    </row>
    <row r="108" spans="14:14" ht="12" customHeight="1">
      <c r="N108" s="167"/>
    </row>
    <row r="109" spans="14:14" ht="12" customHeight="1">
      <c r="N109" s="167"/>
    </row>
    <row r="110" spans="14:14" ht="12" customHeight="1">
      <c r="N110" s="167"/>
    </row>
    <row r="111" spans="14:14" ht="12" customHeight="1">
      <c r="N111" s="167"/>
    </row>
    <row r="112" spans="14:14" ht="12" customHeight="1">
      <c r="N112" s="167"/>
    </row>
    <row r="113" spans="14:14" ht="12" customHeight="1">
      <c r="N113" s="167"/>
    </row>
    <row r="114" spans="14:14" ht="12" customHeight="1">
      <c r="N114" s="167"/>
    </row>
    <row r="115" spans="14:14" ht="12" customHeight="1">
      <c r="N115" s="167"/>
    </row>
    <row r="116" spans="14:14" ht="12" customHeight="1">
      <c r="N116" s="167"/>
    </row>
    <row r="117" spans="14:14" ht="12" customHeight="1">
      <c r="N117" s="167"/>
    </row>
    <row r="118" spans="14:14" ht="12" customHeight="1">
      <c r="N118" s="167"/>
    </row>
    <row r="119" spans="14:14" ht="12" customHeight="1">
      <c r="N119" s="167"/>
    </row>
    <row r="120" spans="14:14" ht="12" customHeight="1">
      <c r="N120" s="167"/>
    </row>
    <row r="121" spans="14:14" ht="12" customHeight="1">
      <c r="N121" s="167"/>
    </row>
    <row r="122" spans="14:14" ht="12" customHeight="1">
      <c r="N122" s="167"/>
    </row>
    <row r="123" spans="14:14" ht="12" customHeight="1">
      <c r="N123" s="167"/>
    </row>
    <row r="124" spans="14:14" ht="12" customHeight="1">
      <c r="N124" s="167"/>
    </row>
    <row r="125" spans="14:14" ht="12" customHeight="1">
      <c r="N125" s="167"/>
    </row>
    <row r="126" spans="14:14" ht="12" customHeight="1">
      <c r="N126" s="167"/>
    </row>
    <row r="127" spans="14:14" ht="12" customHeight="1">
      <c r="N127" s="167"/>
    </row>
    <row r="128" spans="14:14" ht="12" customHeight="1">
      <c r="N128" s="167"/>
    </row>
    <row r="129" spans="14:14" ht="12" customHeight="1">
      <c r="N129" s="167"/>
    </row>
    <row r="130" spans="14:14" ht="12" customHeight="1">
      <c r="N130" s="167"/>
    </row>
    <row r="131" spans="14:14" ht="12" customHeight="1">
      <c r="N131" s="167"/>
    </row>
    <row r="132" spans="14:14" ht="12" customHeight="1">
      <c r="N132" s="167"/>
    </row>
    <row r="133" spans="14:14" ht="12" customHeight="1">
      <c r="N133" s="167"/>
    </row>
    <row r="134" spans="14:14" ht="12" customHeight="1">
      <c r="N134" s="167"/>
    </row>
    <row r="135" spans="14:14" ht="12" customHeight="1">
      <c r="N135" s="167"/>
    </row>
    <row r="136" spans="14:14" ht="12" customHeight="1">
      <c r="N136" s="167"/>
    </row>
    <row r="137" spans="14:14" ht="12" customHeight="1">
      <c r="N137" s="167"/>
    </row>
    <row r="138" spans="14:14" ht="12" customHeight="1">
      <c r="N138" s="167"/>
    </row>
    <row r="139" spans="14:14" ht="12" customHeight="1">
      <c r="N139" s="167"/>
    </row>
    <row r="140" spans="14:14" ht="12" customHeight="1">
      <c r="N140" s="167"/>
    </row>
    <row r="141" spans="14:14" ht="12" customHeight="1">
      <c r="N141" s="167"/>
    </row>
    <row r="142" spans="14:14" ht="12" customHeight="1">
      <c r="N142" s="167"/>
    </row>
    <row r="143" spans="14:14" ht="12" customHeight="1">
      <c r="N143" s="167"/>
    </row>
    <row r="144" spans="14:14" ht="12" customHeight="1">
      <c r="N144" s="167"/>
    </row>
    <row r="145" spans="14:14" ht="12" customHeight="1">
      <c r="N145" s="167"/>
    </row>
    <row r="146" spans="14:14" ht="12" customHeight="1">
      <c r="N146" s="167"/>
    </row>
    <row r="147" spans="14:14" ht="12" customHeight="1">
      <c r="N147" s="167"/>
    </row>
    <row r="148" spans="14:14" ht="12" customHeight="1">
      <c r="N148" s="167"/>
    </row>
    <row r="149" spans="14:14" ht="12" customHeight="1">
      <c r="N149" s="167"/>
    </row>
    <row r="150" spans="14:14" ht="12" customHeight="1">
      <c r="N150" s="167"/>
    </row>
    <row r="151" spans="14:14" ht="12" customHeight="1">
      <c r="N151" s="167"/>
    </row>
    <row r="152" spans="14:14" ht="12" customHeight="1">
      <c r="N152" s="167"/>
    </row>
    <row r="153" spans="14:14" ht="12" customHeight="1">
      <c r="N153" s="167"/>
    </row>
    <row r="154" spans="14:14" ht="12" customHeight="1">
      <c r="N154" s="167"/>
    </row>
    <row r="155" spans="14:14" ht="12" customHeight="1">
      <c r="N155" s="167"/>
    </row>
    <row r="156" spans="14:14" ht="12" customHeight="1">
      <c r="N156" s="167"/>
    </row>
    <row r="157" spans="14:14" ht="12" customHeight="1">
      <c r="N157" s="167"/>
    </row>
    <row r="158" spans="14:14" ht="12" customHeight="1">
      <c r="N158" s="167"/>
    </row>
    <row r="159" spans="14:14" ht="12" customHeight="1">
      <c r="N159" s="167"/>
    </row>
    <row r="160" spans="14:14" ht="12" customHeight="1">
      <c r="N160" s="167"/>
    </row>
    <row r="161" spans="14:14" ht="12" customHeight="1">
      <c r="N161" s="167"/>
    </row>
    <row r="162" spans="14:14" ht="12" customHeight="1">
      <c r="N162" s="167"/>
    </row>
    <row r="163" spans="14:14" ht="12" customHeight="1">
      <c r="N163" s="167"/>
    </row>
    <row r="164" spans="14:14" ht="12" customHeight="1">
      <c r="N164" s="167"/>
    </row>
    <row r="165" spans="14:14" ht="12" customHeight="1">
      <c r="N165" s="167"/>
    </row>
    <row r="166" spans="14:14" ht="12" customHeight="1">
      <c r="N166" s="167"/>
    </row>
    <row r="167" spans="14:14" ht="12" customHeight="1">
      <c r="N167" s="167"/>
    </row>
    <row r="168" spans="14:14" ht="12" customHeight="1">
      <c r="N168" s="167"/>
    </row>
    <row r="169" spans="14:14" ht="12" customHeight="1">
      <c r="N169" s="167"/>
    </row>
    <row r="170" spans="14:14" ht="12" customHeight="1">
      <c r="N170" s="167"/>
    </row>
    <row r="171" spans="14:14" ht="12" customHeight="1">
      <c r="N171" s="167"/>
    </row>
    <row r="172" spans="14:14" ht="12" customHeight="1">
      <c r="N172" s="167"/>
    </row>
    <row r="173" spans="14:14" ht="12" customHeight="1">
      <c r="N173" s="167"/>
    </row>
    <row r="174" spans="14:14" ht="12" customHeight="1">
      <c r="N174" s="167"/>
    </row>
    <row r="175" spans="14:14" ht="12" customHeight="1">
      <c r="N175" s="167"/>
    </row>
    <row r="176" spans="14:14" ht="12" customHeight="1">
      <c r="N176" s="167"/>
    </row>
    <row r="177" spans="14:14" ht="12" customHeight="1">
      <c r="N177" s="167"/>
    </row>
    <row r="178" spans="14:14" ht="12" customHeight="1">
      <c r="N178" s="167"/>
    </row>
    <row r="179" spans="14:14" ht="12" customHeight="1">
      <c r="N179" s="167"/>
    </row>
    <row r="180" spans="14:14" ht="12" customHeight="1">
      <c r="N180" s="167"/>
    </row>
    <row r="181" spans="14:14" ht="12" customHeight="1">
      <c r="N181" s="167"/>
    </row>
    <row r="182" spans="14:14" ht="12" customHeight="1">
      <c r="N182" s="167"/>
    </row>
    <row r="183" spans="14:14" ht="12" customHeight="1">
      <c r="N183" s="167"/>
    </row>
    <row r="184" spans="14:14" ht="12" customHeight="1">
      <c r="N184" s="167"/>
    </row>
    <row r="185" spans="14:14" ht="12" customHeight="1">
      <c r="N185" s="167"/>
    </row>
    <row r="186" spans="14:14" ht="12" customHeight="1">
      <c r="N186" s="167"/>
    </row>
    <row r="187" spans="14:14" ht="12" customHeight="1">
      <c r="N187" s="167"/>
    </row>
    <row r="188" spans="14:14" ht="12" customHeight="1">
      <c r="N188" s="167"/>
    </row>
    <row r="189" spans="14:14" ht="12" customHeight="1">
      <c r="N189" s="167"/>
    </row>
    <row r="190" spans="14:14" ht="12" customHeight="1">
      <c r="N190" s="167"/>
    </row>
    <row r="191" spans="14:14" ht="12" customHeight="1">
      <c r="N191" s="167"/>
    </row>
    <row r="192" spans="14:14" ht="12" customHeight="1">
      <c r="N192" s="167"/>
    </row>
    <row r="193" spans="14:14" ht="12" customHeight="1">
      <c r="N193" s="167"/>
    </row>
    <row r="194" spans="14:14" ht="12" customHeight="1">
      <c r="N194" s="167"/>
    </row>
    <row r="195" spans="14:14" ht="12" customHeight="1">
      <c r="N195" s="167"/>
    </row>
    <row r="196" spans="14:14" ht="12" customHeight="1">
      <c r="N196" s="167"/>
    </row>
    <row r="197" spans="14:14" ht="12" customHeight="1">
      <c r="N197" s="167"/>
    </row>
    <row r="198" spans="14:14" ht="12" customHeight="1">
      <c r="N198" s="167"/>
    </row>
    <row r="199" spans="14:14" ht="12" customHeight="1">
      <c r="N199" s="167"/>
    </row>
    <row r="200" spans="14:14" ht="12" customHeight="1">
      <c r="N200" s="167"/>
    </row>
    <row r="201" spans="14:14" ht="12" customHeight="1">
      <c r="N201" s="167"/>
    </row>
    <row r="202" spans="14:14" ht="12" customHeight="1">
      <c r="N202" s="167"/>
    </row>
    <row r="203" spans="14:14" ht="12" customHeight="1">
      <c r="N203" s="167"/>
    </row>
    <row r="204" spans="14:14" ht="12" customHeight="1">
      <c r="N204" s="167"/>
    </row>
    <row r="205" spans="14:14" ht="12" customHeight="1">
      <c r="N205" s="167"/>
    </row>
    <row r="206" spans="14:14" ht="12" customHeight="1">
      <c r="N206" s="167"/>
    </row>
    <row r="207" spans="14:14" ht="12" customHeight="1">
      <c r="N207" s="167"/>
    </row>
    <row r="208" spans="14:14" ht="12" customHeight="1">
      <c r="N208" s="167"/>
    </row>
    <row r="209" spans="14:14" ht="12" customHeight="1">
      <c r="N209" s="167"/>
    </row>
    <row r="210" spans="14:14" ht="12" customHeight="1">
      <c r="N210" s="167"/>
    </row>
    <row r="211" spans="14:14" ht="12" customHeight="1">
      <c r="N211" s="167"/>
    </row>
    <row r="212" spans="14:14" ht="12" customHeight="1">
      <c r="N212" s="167"/>
    </row>
    <row r="213" spans="14:14" ht="12" customHeight="1">
      <c r="N213" s="167"/>
    </row>
    <row r="214" spans="14:14" ht="12" customHeight="1">
      <c r="N214" s="167"/>
    </row>
    <row r="215" spans="14:14" ht="12" customHeight="1">
      <c r="N215" s="167"/>
    </row>
    <row r="216" spans="14:14" ht="12" customHeight="1">
      <c r="N216" s="167"/>
    </row>
    <row r="217" spans="14:14" ht="12" customHeight="1">
      <c r="N217" s="167"/>
    </row>
    <row r="218" spans="14:14" ht="12" customHeight="1">
      <c r="N218" s="167"/>
    </row>
    <row r="219" spans="14:14" ht="12" customHeight="1">
      <c r="N219" s="167"/>
    </row>
    <row r="220" spans="14:14" ht="12" customHeight="1">
      <c r="N220" s="167"/>
    </row>
    <row r="221" spans="14:14" ht="12" customHeight="1">
      <c r="N221" s="167"/>
    </row>
    <row r="222" spans="14:14" ht="12" customHeight="1">
      <c r="N222" s="167"/>
    </row>
    <row r="223" spans="14:14" ht="12" customHeight="1">
      <c r="N223" s="167"/>
    </row>
    <row r="224" spans="14:14" ht="12" customHeight="1">
      <c r="N224" s="167"/>
    </row>
    <row r="225" spans="14:14" ht="12" customHeight="1">
      <c r="N225" s="167"/>
    </row>
    <row r="226" spans="14:14" ht="12" customHeight="1">
      <c r="N226" s="167"/>
    </row>
    <row r="227" spans="14:14" ht="12" customHeight="1">
      <c r="N227" s="167"/>
    </row>
    <row r="228" spans="14:14" ht="12" customHeight="1">
      <c r="N228" s="167"/>
    </row>
    <row r="229" spans="14:14" ht="12" customHeight="1">
      <c r="N229" s="167"/>
    </row>
    <row r="230" spans="14:14" ht="12" customHeight="1">
      <c r="N230" s="167"/>
    </row>
    <row r="231" spans="14:14" ht="12" customHeight="1">
      <c r="N231" s="167"/>
    </row>
    <row r="232" spans="14:14" ht="12" customHeight="1">
      <c r="N232" s="167"/>
    </row>
    <row r="233" spans="14:14" ht="12" customHeight="1">
      <c r="N233" s="167"/>
    </row>
    <row r="234" spans="14:14" ht="12" customHeight="1">
      <c r="N234" s="167"/>
    </row>
    <row r="235" spans="14:14" ht="12" customHeight="1">
      <c r="N235" s="167"/>
    </row>
    <row r="236" spans="14:14" ht="12" customHeight="1">
      <c r="N236" s="167"/>
    </row>
    <row r="237" spans="14:14" ht="12" customHeight="1">
      <c r="N237" s="167"/>
    </row>
    <row r="238" spans="14:14" ht="12" customHeight="1">
      <c r="N238" s="167"/>
    </row>
    <row r="239" spans="14:14" ht="12" customHeight="1">
      <c r="N239" s="167"/>
    </row>
    <row r="240" spans="14:14" ht="12" customHeight="1">
      <c r="N240" s="167"/>
    </row>
    <row r="241" spans="14:14" ht="12" customHeight="1">
      <c r="N241" s="167"/>
    </row>
    <row r="242" spans="14:14" ht="12" customHeight="1">
      <c r="N242" s="167"/>
    </row>
    <row r="243" spans="14:14" ht="12" customHeight="1">
      <c r="N243" s="167"/>
    </row>
    <row r="244" spans="14:14" ht="12" customHeight="1">
      <c r="N244" s="167"/>
    </row>
    <row r="245" spans="14:14" ht="12" customHeight="1">
      <c r="N245" s="167"/>
    </row>
    <row r="246" spans="14:14" ht="12" customHeight="1">
      <c r="N246" s="167"/>
    </row>
    <row r="247" spans="14:14" ht="12" customHeight="1">
      <c r="N247" s="167"/>
    </row>
    <row r="248" spans="14:14" ht="12" customHeight="1">
      <c r="N248" s="167"/>
    </row>
    <row r="249" spans="14:14" ht="12" customHeight="1">
      <c r="N249" s="167"/>
    </row>
    <row r="250" spans="14:14" ht="12" customHeight="1">
      <c r="N250" s="167"/>
    </row>
    <row r="251" spans="14:14" ht="12" customHeight="1">
      <c r="N251" s="167"/>
    </row>
    <row r="252" spans="14:14" ht="12" customHeight="1">
      <c r="N252" s="167"/>
    </row>
    <row r="253" spans="14:14" ht="12" customHeight="1">
      <c r="N253" s="167"/>
    </row>
    <row r="254" spans="14:14" ht="12" customHeight="1">
      <c r="N254" s="167"/>
    </row>
    <row r="255" spans="14:14" ht="12" customHeight="1">
      <c r="N255" s="167"/>
    </row>
    <row r="256" spans="14:14" ht="12" customHeight="1">
      <c r="N256" s="167"/>
    </row>
    <row r="257" spans="14:14" ht="12" customHeight="1">
      <c r="N257" s="167"/>
    </row>
    <row r="258" spans="14:14" ht="12" customHeight="1">
      <c r="N258" s="167"/>
    </row>
    <row r="259" spans="14:14" ht="12" customHeight="1">
      <c r="N259" s="167"/>
    </row>
    <row r="260" spans="14:14" ht="12" customHeight="1">
      <c r="N260" s="167"/>
    </row>
    <row r="261" spans="14:14" ht="12" customHeight="1">
      <c r="N261" s="167"/>
    </row>
    <row r="262" spans="14:14" ht="12" customHeight="1">
      <c r="N262" s="167"/>
    </row>
    <row r="263" spans="14:14" ht="12" customHeight="1">
      <c r="N263" s="167"/>
    </row>
    <row r="264" spans="14:14" ht="12" customHeight="1">
      <c r="N264" s="167"/>
    </row>
    <row r="265" spans="14:14" ht="12" customHeight="1">
      <c r="N265" s="167"/>
    </row>
    <row r="266" spans="14:14" ht="12" customHeight="1">
      <c r="N266" s="167"/>
    </row>
    <row r="267" spans="14:14" ht="12" customHeight="1">
      <c r="N267" s="167"/>
    </row>
    <row r="268" spans="14:14" ht="12" customHeight="1">
      <c r="N268" s="167"/>
    </row>
    <row r="269" spans="14:14" ht="12" customHeight="1">
      <c r="N269" s="167"/>
    </row>
    <row r="270" spans="14:14" ht="12" customHeight="1">
      <c r="N270" s="167"/>
    </row>
    <row r="271" spans="14:14" ht="12" customHeight="1">
      <c r="N271" s="167"/>
    </row>
    <row r="272" spans="14:14" ht="12" customHeight="1">
      <c r="N272" s="167"/>
    </row>
    <row r="273" spans="14:14" ht="12" customHeight="1">
      <c r="N273" s="167"/>
    </row>
    <row r="274" spans="14:14" ht="12" customHeight="1">
      <c r="N274" s="167"/>
    </row>
    <row r="275" spans="14:14" ht="12" customHeight="1">
      <c r="N275" s="167"/>
    </row>
    <row r="276" spans="14:14" ht="12" customHeight="1">
      <c r="N276" s="167"/>
    </row>
    <row r="277" spans="14:14" ht="12" customHeight="1">
      <c r="N277" s="167"/>
    </row>
    <row r="278" spans="14:14" ht="12" customHeight="1">
      <c r="N278" s="167"/>
    </row>
    <row r="279" spans="14:14" ht="12" customHeight="1">
      <c r="N279" s="167"/>
    </row>
    <row r="280" spans="14:14" ht="12" customHeight="1">
      <c r="N280" s="167"/>
    </row>
    <row r="281" spans="14:14" ht="12" customHeight="1">
      <c r="N281" s="167"/>
    </row>
    <row r="282" spans="14:14" ht="12" customHeight="1">
      <c r="N282" s="167"/>
    </row>
    <row r="283" spans="14:14" ht="12" customHeight="1">
      <c r="N283" s="167"/>
    </row>
    <row r="284" spans="14:14" ht="12" customHeight="1">
      <c r="N284" s="167"/>
    </row>
    <row r="285" spans="14:14" ht="12" customHeight="1">
      <c r="N285" s="167"/>
    </row>
    <row r="286" spans="14:14" ht="12" customHeight="1">
      <c r="N286" s="167"/>
    </row>
    <row r="287" spans="14:14" ht="12" customHeight="1">
      <c r="N287" s="167"/>
    </row>
    <row r="288" spans="14:14" ht="12" customHeight="1">
      <c r="N288" s="167"/>
    </row>
    <row r="289" spans="14:14" ht="12" customHeight="1">
      <c r="N289" s="167"/>
    </row>
    <row r="290" spans="14:14" ht="12" customHeight="1">
      <c r="N290" s="167"/>
    </row>
    <row r="291" spans="14:14" ht="12" customHeight="1">
      <c r="N291" s="167"/>
    </row>
    <row r="292" spans="14:14" ht="12" customHeight="1">
      <c r="N292" s="167"/>
    </row>
    <row r="293" spans="14:14" ht="12" customHeight="1">
      <c r="N293" s="167"/>
    </row>
    <row r="294" spans="14:14" ht="12" customHeight="1">
      <c r="N294" s="167"/>
    </row>
    <row r="295" spans="14:14" ht="12" customHeight="1">
      <c r="N295" s="167"/>
    </row>
    <row r="296" spans="14:14" ht="12" customHeight="1">
      <c r="N296" s="167"/>
    </row>
    <row r="297" spans="14:14" ht="12" customHeight="1">
      <c r="N297" s="167"/>
    </row>
    <row r="298" spans="14:14" ht="12" customHeight="1">
      <c r="N298" s="167"/>
    </row>
    <row r="299" spans="14:14" ht="12" customHeight="1">
      <c r="N299" s="167"/>
    </row>
    <row r="300" spans="14:14" ht="12" customHeight="1">
      <c r="N300" s="167"/>
    </row>
    <row r="301" spans="14:14" ht="12" customHeight="1">
      <c r="N301" s="167"/>
    </row>
    <row r="302" spans="14:14" ht="12" customHeight="1">
      <c r="N302" s="167"/>
    </row>
    <row r="303" spans="14:14" ht="12" customHeight="1">
      <c r="N303" s="167"/>
    </row>
    <row r="304" spans="14:14" ht="12" customHeight="1">
      <c r="N304" s="167"/>
    </row>
    <row r="305" spans="14:14" ht="12" customHeight="1">
      <c r="N305" s="167"/>
    </row>
    <row r="306" spans="14:14" ht="12" customHeight="1">
      <c r="N306" s="167"/>
    </row>
    <row r="307" spans="14:14" ht="12" customHeight="1">
      <c r="N307" s="167"/>
    </row>
    <row r="308" spans="14:14" ht="12" customHeight="1">
      <c r="N308" s="167"/>
    </row>
    <row r="309" spans="14:14" ht="12" customHeight="1">
      <c r="N309" s="167"/>
    </row>
    <row r="310" spans="14:14" ht="12" customHeight="1">
      <c r="N310" s="167"/>
    </row>
    <row r="311" spans="14:14" ht="12" customHeight="1">
      <c r="N311" s="167"/>
    </row>
    <row r="312" spans="14:14" ht="12" customHeight="1">
      <c r="N312" s="167"/>
    </row>
    <row r="313" spans="14:14" ht="12" customHeight="1">
      <c r="N313" s="167"/>
    </row>
    <row r="314" spans="14:14" ht="12" customHeight="1">
      <c r="N314" s="167"/>
    </row>
    <row r="315" spans="14:14" ht="12" customHeight="1">
      <c r="N315" s="167"/>
    </row>
    <row r="316" spans="14:14" ht="12" customHeight="1">
      <c r="N316" s="167"/>
    </row>
    <row r="317" spans="14:14" ht="12" customHeight="1">
      <c r="N317" s="167"/>
    </row>
    <row r="318" spans="14:14" ht="12" customHeight="1">
      <c r="N318" s="167"/>
    </row>
    <row r="319" spans="14:14" ht="12" customHeight="1">
      <c r="N319" s="167"/>
    </row>
    <row r="320" spans="14:14" ht="12" customHeight="1">
      <c r="N320" s="167"/>
    </row>
    <row r="321" spans="14:14" ht="12" customHeight="1">
      <c r="N321" s="167"/>
    </row>
    <row r="322" spans="14:14" ht="12" customHeight="1">
      <c r="N322" s="167"/>
    </row>
    <row r="323" spans="14:14" ht="12" customHeight="1">
      <c r="N323" s="167"/>
    </row>
    <row r="324" spans="14:14" ht="12" customHeight="1">
      <c r="N324" s="167"/>
    </row>
    <row r="325" spans="14:14" ht="12" customHeight="1">
      <c r="N325" s="167"/>
    </row>
    <row r="326" spans="14:14" ht="12" customHeight="1">
      <c r="N326" s="167"/>
    </row>
    <row r="327" spans="14:14" ht="12" customHeight="1">
      <c r="N327" s="167"/>
    </row>
    <row r="328" spans="14:14" ht="12" customHeight="1">
      <c r="N328" s="167"/>
    </row>
    <row r="329" spans="14:14" ht="12" customHeight="1">
      <c r="N329" s="167"/>
    </row>
    <row r="330" spans="14:14" ht="12" customHeight="1">
      <c r="N330" s="167"/>
    </row>
    <row r="331" spans="14:14" ht="12" customHeight="1">
      <c r="N331" s="167"/>
    </row>
    <row r="332" spans="14:14" ht="12" customHeight="1">
      <c r="N332" s="167"/>
    </row>
    <row r="333" spans="14:14" ht="12" customHeight="1">
      <c r="N333" s="167"/>
    </row>
    <row r="334" spans="14:14" ht="12" customHeight="1">
      <c r="N334" s="167"/>
    </row>
    <row r="335" spans="14:14" ht="12" customHeight="1">
      <c r="N335" s="167"/>
    </row>
    <row r="336" spans="14:14" ht="12" customHeight="1">
      <c r="N336" s="167"/>
    </row>
    <row r="337" spans="14:14" ht="12" customHeight="1">
      <c r="N337" s="167"/>
    </row>
    <row r="338" spans="14:14" ht="12" customHeight="1">
      <c r="N338" s="167"/>
    </row>
    <row r="339" spans="14:14" ht="12" customHeight="1">
      <c r="N339" s="167"/>
    </row>
    <row r="340" spans="14:14" ht="12" customHeight="1">
      <c r="N340" s="167"/>
    </row>
    <row r="341" spans="14:14" ht="12" customHeight="1">
      <c r="N341" s="167"/>
    </row>
    <row r="342" spans="14:14" ht="12" customHeight="1">
      <c r="N342" s="167"/>
    </row>
    <row r="343" spans="14:14" ht="12" customHeight="1">
      <c r="N343" s="167"/>
    </row>
    <row r="344" spans="14:14" ht="12" customHeight="1">
      <c r="N344" s="167"/>
    </row>
    <row r="345" spans="14:14" ht="12" customHeight="1">
      <c r="N345" s="167"/>
    </row>
    <row r="346" spans="14:14" ht="12" customHeight="1">
      <c r="N346" s="167"/>
    </row>
    <row r="347" spans="14:14" ht="12" customHeight="1">
      <c r="N347" s="167"/>
    </row>
    <row r="348" spans="14:14" ht="12" customHeight="1">
      <c r="N348" s="167"/>
    </row>
    <row r="349" spans="14:14" ht="12" customHeight="1">
      <c r="N349" s="167"/>
    </row>
    <row r="350" spans="14:14" ht="12" customHeight="1">
      <c r="N350" s="167"/>
    </row>
    <row r="351" spans="14:14" ht="12" customHeight="1">
      <c r="N351" s="167"/>
    </row>
    <row r="352" spans="14:14" ht="12" customHeight="1">
      <c r="N352" s="167"/>
    </row>
    <row r="353" spans="14:14" ht="12" customHeight="1">
      <c r="N353" s="167"/>
    </row>
    <row r="354" spans="14:14" ht="12" customHeight="1">
      <c r="N354" s="167"/>
    </row>
    <row r="355" spans="14:14" ht="12" customHeight="1">
      <c r="N355" s="167"/>
    </row>
    <row r="356" spans="14:14" ht="12" customHeight="1">
      <c r="N356" s="167"/>
    </row>
    <row r="357" spans="14:14" ht="12" customHeight="1">
      <c r="N357" s="167"/>
    </row>
    <row r="358" spans="14:14" ht="12" customHeight="1">
      <c r="N358" s="167"/>
    </row>
    <row r="359" spans="14:14" ht="12" customHeight="1">
      <c r="N359" s="167"/>
    </row>
    <row r="360" spans="14:14" ht="12" customHeight="1">
      <c r="N360" s="167"/>
    </row>
    <row r="361" spans="14:14" ht="12" customHeight="1">
      <c r="N361" s="167"/>
    </row>
    <row r="362" spans="14:14" ht="12" customHeight="1">
      <c r="N362" s="167"/>
    </row>
    <row r="363" spans="14:14" ht="12" customHeight="1">
      <c r="N363" s="167"/>
    </row>
    <row r="364" spans="14:14" ht="12" customHeight="1">
      <c r="N364" s="167"/>
    </row>
    <row r="365" spans="14:14" ht="12" customHeight="1">
      <c r="N365" s="167"/>
    </row>
    <row r="366" spans="14:14" ht="12" customHeight="1">
      <c r="N366" s="167"/>
    </row>
    <row r="367" spans="14:14" ht="12" customHeight="1">
      <c r="N367" s="167"/>
    </row>
    <row r="368" spans="14:14" ht="12" customHeight="1">
      <c r="N368" s="167"/>
    </row>
    <row r="369" spans="14:14" ht="12" customHeight="1">
      <c r="N369" s="167"/>
    </row>
    <row r="370" spans="14:14" ht="12" customHeight="1">
      <c r="N370" s="167"/>
    </row>
    <row r="371" spans="14:14" ht="12" customHeight="1">
      <c r="N371" s="167"/>
    </row>
    <row r="372" spans="14:14" ht="12" customHeight="1">
      <c r="N372" s="167"/>
    </row>
    <row r="373" spans="14:14" ht="12" customHeight="1">
      <c r="N373" s="167"/>
    </row>
    <row r="374" spans="14:14" ht="12" customHeight="1">
      <c r="N374" s="167"/>
    </row>
    <row r="375" spans="14:14" ht="12" customHeight="1">
      <c r="N375" s="167"/>
    </row>
    <row r="376" spans="14:14" ht="12" customHeight="1">
      <c r="N376" s="167"/>
    </row>
    <row r="377" spans="14:14" ht="12" customHeight="1">
      <c r="N377" s="167"/>
    </row>
    <row r="378" spans="14:14" ht="12" customHeight="1">
      <c r="N378" s="167"/>
    </row>
    <row r="379" spans="14:14" ht="12" customHeight="1">
      <c r="N379" s="167"/>
    </row>
    <row r="380" spans="14:14" ht="12" customHeight="1">
      <c r="N380" s="167"/>
    </row>
    <row r="381" spans="14:14" ht="12" customHeight="1">
      <c r="N381" s="167"/>
    </row>
    <row r="382" spans="14:14" ht="12" customHeight="1">
      <c r="N382" s="167"/>
    </row>
    <row r="383" spans="14:14" ht="12" customHeight="1">
      <c r="N383" s="167"/>
    </row>
    <row r="384" spans="14:14" ht="12" customHeight="1">
      <c r="N384" s="167"/>
    </row>
    <row r="385" spans="14:14" ht="12" customHeight="1">
      <c r="N385" s="167"/>
    </row>
    <row r="386" spans="14:14" ht="12" customHeight="1">
      <c r="N386" s="167"/>
    </row>
    <row r="387" spans="14:14" ht="12" customHeight="1">
      <c r="N387" s="167"/>
    </row>
    <row r="388" spans="14:14" ht="12" customHeight="1">
      <c r="N388" s="167"/>
    </row>
    <row r="389" spans="14:14" ht="12" customHeight="1">
      <c r="N389" s="167"/>
    </row>
    <row r="390" spans="14:14" ht="12" customHeight="1">
      <c r="N390" s="167"/>
    </row>
    <row r="391" spans="14:14" ht="12" customHeight="1">
      <c r="N391" s="167"/>
    </row>
    <row r="392" spans="14:14" ht="12" customHeight="1">
      <c r="N392" s="167"/>
    </row>
    <row r="393" spans="14:14" ht="12" customHeight="1">
      <c r="N393" s="167"/>
    </row>
    <row r="394" spans="14:14" ht="12" customHeight="1">
      <c r="N394" s="167"/>
    </row>
    <row r="395" spans="14:14" ht="12" customHeight="1">
      <c r="N395" s="167"/>
    </row>
    <row r="396" spans="14:14" ht="12" customHeight="1">
      <c r="N396" s="167"/>
    </row>
    <row r="397" spans="14:14" ht="12" customHeight="1">
      <c r="N397" s="167"/>
    </row>
    <row r="398" spans="14:14" ht="12" customHeight="1">
      <c r="N398" s="167"/>
    </row>
    <row r="399" spans="14:14" ht="12" customHeight="1">
      <c r="N399" s="167"/>
    </row>
    <row r="400" spans="14:14" ht="12" customHeight="1">
      <c r="N400" s="167"/>
    </row>
    <row r="401" spans="14:14" ht="12" customHeight="1">
      <c r="N401" s="167"/>
    </row>
    <row r="402" spans="14:14" ht="12" customHeight="1">
      <c r="N402" s="167"/>
    </row>
    <row r="403" spans="14:14" ht="12" customHeight="1">
      <c r="N403" s="167"/>
    </row>
    <row r="404" spans="14:14" ht="12" customHeight="1">
      <c r="N404" s="167"/>
    </row>
    <row r="405" spans="14:14" ht="12" customHeight="1">
      <c r="N405" s="167"/>
    </row>
    <row r="406" spans="14:14" ht="12" customHeight="1">
      <c r="N406" s="167"/>
    </row>
    <row r="407" spans="14:14" ht="12" customHeight="1">
      <c r="N407" s="167"/>
    </row>
    <row r="408" spans="14:14" ht="12" customHeight="1">
      <c r="N408" s="167"/>
    </row>
    <row r="409" spans="14:14" ht="12" customHeight="1">
      <c r="N409" s="167"/>
    </row>
    <row r="410" spans="14:14" ht="12" customHeight="1">
      <c r="N410" s="167"/>
    </row>
    <row r="411" spans="14:14" ht="12" customHeight="1">
      <c r="N411" s="167"/>
    </row>
    <row r="412" spans="14:14" ht="12" customHeight="1">
      <c r="N412" s="167"/>
    </row>
    <row r="413" spans="14:14" ht="12" customHeight="1">
      <c r="N413" s="167"/>
    </row>
    <row r="414" spans="14:14" ht="12" customHeight="1">
      <c r="N414" s="167"/>
    </row>
    <row r="415" spans="14:14" ht="12" customHeight="1">
      <c r="N415" s="167"/>
    </row>
    <row r="416" spans="14:14" ht="12" customHeight="1">
      <c r="N416" s="167"/>
    </row>
    <row r="417" spans="14:14" ht="12" customHeight="1">
      <c r="N417" s="167"/>
    </row>
    <row r="418" spans="14:14" ht="12" customHeight="1">
      <c r="N418" s="167"/>
    </row>
    <row r="419" spans="14:14" ht="12" customHeight="1">
      <c r="N419" s="167"/>
    </row>
    <row r="420" spans="14:14" ht="12" customHeight="1">
      <c r="N420" s="167"/>
    </row>
    <row r="421" spans="14:14" ht="12" customHeight="1">
      <c r="N421" s="167"/>
    </row>
    <row r="422" spans="14:14" ht="12" customHeight="1">
      <c r="N422" s="167"/>
    </row>
    <row r="423" spans="14:14" ht="12" customHeight="1">
      <c r="N423" s="167"/>
    </row>
    <row r="424" spans="14:14" ht="12" customHeight="1">
      <c r="N424" s="167"/>
    </row>
    <row r="425" spans="14:14" ht="12" customHeight="1">
      <c r="N425" s="167"/>
    </row>
    <row r="426" spans="14:14" ht="12" customHeight="1">
      <c r="N426" s="167"/>
    </row>
    <row r="427" spans="14:14" ht="12" customHeight="1">
      <c r="N427" s="167"/>
    </row>
    <row r="428" spans="14:14" ht="12" customHeight="1">
      <c r="N428" s="167"/>
    </row>
    <row r="429" spans="14:14" ht="12" customHeight="1">
      <c r="N429" s="167"/>
    </row>
    <row r="430" spans="14:14" ht="12" customHeight="1">
      <c r="N430" s="167"/>
    </row>
    <row r="431" spans="14:14" ht="12" customHeight="1">
      <c r="N431" s="167"/>
    </row>
    <row r="432" spans="14:14" ht="12" customHeight="1">
      <c r="N432" s="167"/>
    </row>
    <row r="433" spans="14:14" ht="12" customHeight="1">
      <c r="N433" s="167"/>
    </row>
    <row r="434" spans="14:14" ht="12" customHeight="1">
      <c r="N434" s="167"/>
    </row>
    <row r="435" spans="14:14" ht="12" customHeight="1">
      <c r="N435" s="167"/>
    </row>
    <row r="436" spans="14:14" ht="12" customHeight="1">
      <c r="N436" s="167"/>
    </row>
    <row r="437" spans="14:14" ht="12" customHeight="1">
      <c r="N437" s="167"/>
    </row>
    <row r="438" spans="14:14" ht="12" customHeight="1">
      <c r="N438" s="167"/>
    </row>
    <row r="439" spans="14:14" ht="12" customHeight="1">
      <c r="N439" s="167"/>
    </row>
    <row r="440" spans="14:14" ht="12" customHeight="1">
      <c r="N440" s="167"/>
    </row>
    <row r="441" spans="14:14" ht="12" customHeight="1">
      <c r="N441" s="167"/>
    </row>
    <row r="442" spans="14:14" ht="12" customHeight="1">
      <c r="N442" s="167"/>
    </row>
    <row r="443" spans="14:14" ht="12" customHeight="1">
      <c r="N443" s="167"/>
    </row>
    <row r="444" spans="14:14" ht="12" customHeight="1">
      <c r="N444" s="167"/>
    </row>
    <row r="445" spans="14:14" ht="12" customHeight="1">
      <c r="N445" s="167"/>
    </row>
    <row r="446" spans="14:14" ht="12" customHeight="1">
      <c r="N446" s="167"/>
    </row>
    <row r="447" spans="14:14" ht="12" customHeight="1">
      <c r="N447" s="167"/>
    </row>
    <row r="448" spans="14:14" ht="12" customHeight="1">
      <c r="N448" s="167"/>
    </row>
    <row r="449" spans="14:14" ht="12" customHeight="1">
      <c r="N449" s="167"/>
    </row>
    <row r="450" spans="14:14" ht="12" customHeight="1">
      <c r="N450" s="167"/>
    </row>
    <row r="451" spans="14:14" ht="12" customHeight="1">
      <c r="N451" s="167"/>
    </row>
    <row r="452" spans="14:14" ht="12" customHeight="1">
      <c r="N452" s="167"/>
    </row>
    <row r="453" spans="14:14" ht="12" customHeight="1">
      <c r="N453" s="167"/>
    </row>
    <row r="454" spans="14:14" ht="12" customHeight="1">
      <c r="N454" s="167"/>
    </row>
    <row r="455" spans="14:14" ht="12" customHeight="1">
      <c r="N455" s="167"/>
    </row>
    <row r="456" spans="14:14" ht="12" customHeight="1">
      <c r="N456" s="167"/>
    </row>
    <row r="457" spans="14:14" ht="12" customHeight="1">
      <c r="N457" s="167"/>
    </row>
    <row r="458" spans="14:14" ht="12" customHeight="1">
      <c r="N458" s="167"/>
    </row>
    <row r="459" spans="14:14" ht="12" customHeight="1">
      <c r="N459" s="167"/>
    </row>
    <row r="460" spans="14:14" ht="12" customHeight="1">
      <c r="N460" s="167"/>
    </row>
    <row r="461" spans="14:14" ht="12" customHeight="1">
      <c r="N461" s="167"/>
    </row>
    <row r="462" spans="14:14" ht="12" customHeight="1">
      <c r="N462" s="167"/>
    </row>
    <row r="463" spans="14:14" ht="12" customHeight="1">
      <c r="N463" s="167"/>
    </row>
    <row r="464" spans="14:14" ht="12" customHeight="1">
      <c r="N464" s="167"/>
    </row>
    <row r="465" spans="14:14" ht="12" customHeight="1">
      <c r="N465" s="167"/>
    </row>
    <row r="466" spans="14:14" ht="12" customHeight="1">
      <c r="N466" s="167"/>
    </row>
    <row r="467" spans="14:14" ht="12" customHeight="1">
      <c r="N467" s="167"/>
    </row>
    <row r="468" spans="14:14" ht="12" customHeight="1">
      <c r="N468" s="167"/>
    </row>
    <row r="469" spans="14:14" ht="12" customHeight="1">
      <c r="N469" s="167"/>
    </row>
    <row r="470" spans="14:14" ht="12" customHeight="1">
      <c r="N470" s="167"/>
    </row>
    <row r="471" spans="14:14" ht="12" customHeight="1">
      <c r="N471" s="167"/>
    </row>
    <row r="472" spans="14:14" ht="12" customHeight="1">
      <c r="N472" s="167"/>
    </row>
    <row r="473" spans="14:14" ht="12" customHeight="1">
      <c r="N473" s="167"/>
    </row>
    <row r="474" spans="14:14" ht="12" customHeight="1">
      <c r="N474" s="167"/>
    </row>
    <row r="475" spans="14:14" ht="12" customHeight="1">
      <c r="N475" s="167"/>
    </row>
    <row r="476" spans="14:14" ht="12" customHeight="1">
      <c r="N476" s="167"/>
    </row>
    <row r="477" spans="14:14" ht="12" customHeight="1">
      <c r="N477" s="167"/>
    </row>
    <row r="478" spans="14:14" ht="12" customHeight="1">
      <c r="N478" s="167"/>
    </row>
    <row r="479" spans="14:14" ht="12" customHeight="1">
      <c r="N479" s="167"/>
    </row>
    <row r="480" spans="14:14" ht="12" customHeight="1">
      <c r="N480" s="167"/>
    </row>
    <row r="481" spans="14:14" ht="12" customHeight="1">
      <c r="N481" s="167"/>
    </row>
    <row r="482" spans="14:14" ht="12" customHeight="1">
      <c r="N482" s="167"/>
    </row>
    <row r="483" spans="14:14" ht="12" customHeight="1">
      <c r="N483" s="167"/>
    </row>
    <row r="484" spans="14:14" ht="12" customHeight="1">
      <c r="N484" s="167"/>
    </row>
    <row r="485" spans="14:14" ht="12" customHeight="1">
      <c r="N485" s="167"/>
    </row>
    <row r="486" spans="14:14" ht="12" customHeight="1">
      <c r="N486" s="167"/>
    </row>
    <row r="487" spans="14:14" ht="12" customHeight="1">
      <c r="N487" s="167"/>
    </row>
    <row r="488" spans="14:14" ht="12" customHeight="1">
      <c r="N488" s="167"/>
    </row>
    <row r="489" spans="14:14" ht="12" customHeight="1">
      <c r="N489" s="167"/>
    </row>
    <row r="490" spans="14:14" ht="12" customHeight="1">
      <c r="N490" s="167"/>
    </row>
    <row r="491" spans="14:14" ht="12" customHeight="1">
      <c r="N491" s="167"/>
    </row>
    <row r="492" spans="14:14" ht="12" customHeight="1">
      <c r="N492" s="167"/>
    </row>
    <row r="493" spans="14:14" ht="12" customHeight="1">
      <c r="N493" s="167"/>
    </row>
    <row r="494" spans="14:14" ht="12" customHeight="1">
      <c r="N494" s="167"/>
    </row>
    <row r="495" spans="14:14" ht="12" customHeight="1">
      <c r="N495" s="167"/>
    </row>
    <row r="496" spans="14:14" ht="12" customHeight="1">
      <c r="N496" s="167"/>
    </row>
    <row r="497" spans="14:14" ht="12" customHeight="1">
      <c r="N497" s="167"/>
    </row>
    <row r="498" spans="14:14" ht="12" customHeight="1">
      <c r="N498" s="167"/>
    </row>
    <row r="499" spans="14:14" ht="12" customHeight="1">
      <c r="N499" s="167"/>
    </row>
    <row r="500" spans="14:14" ht="12" customHeight="1">
      <c r="N500" s="167"/>
    </row>
    <row r="501" spans="14:14" ht="12" customHeight="1">
      <c r="N501" s="167"/>
    </row>
    <row r="502" spans="14:14" ht="12" customHeight="1">
      <c r="N502" s="167"/>
    </row>
    <row r="503" spans="14:14" ht="12" customHeight="1">
      <c r="N503" s="167"/>
    </row>
    <row r="504" spans="14:14" ht="12" customHeight="1">
      <c r="N504" s="167"/>
    </row>
    <row r="505" spans="14:14" ht="12" customHeight="1">
      <c r="N505" s="167"/>
    </row>
    <row r="506" spans="14:14" ht="12" customHeight="1">
      <c r="N506" s="167"/>
    </row>
    <row r="507" spans="14:14" ht="12" customHeight="1">
      <c r="N507" s="167"/>
    </row>
    <row r="508" spans="14:14" ht="12" customHeight="1">
      <c r="N508" s="167"/>
    </row>
    <row r="509" spans="14:14" ht="12" customHeight="1">
      <c r="N509" s="167"/>
    </row>
    <row r="510" spans="14:14" ht="12" customHeight="1">
      <c r="N510" s="167"/>
    </row>
    <row r="511" spans="14:14" ht="12" customHeight="1">
      <c r="N511" s="167"/>
    </row>
    <row r="512" spans="14:14" ht="12" customHeight="1">
      <c r="N512" s="167"/>
    </row>
    <row r="513" spans="14:14" ht="12" customHeight="1">
      <c r="N513" s="167"/>
    </row>
    <row r="514" spans="14:14" ht="12" customHeight="1">
      <c r="N514" s="167"/>
    </row>
    <row r="515" spans="14:14" ht="12" customHeight="1">
      <c r="N515" s="167"/>
    </row>
    <row r="516" spans="14:14" ht="12" customHeight="1">
      <c r="N516" s="167"/>
    </row>
    <row r="517" spans="14:14" ht="12" customHeight="1">
      <c r="N517" s="167"/>
    </row>
    <row r="518" spans="14:14" ht="12" customHeight="1">
      <c r="N518" s="167"/>
    </row>
    <row r="519" spans="14:14" ht="12" customHeight="1">
      <c r="N519" s="167"/>
    </row>
    <row r="520" spans="14:14" ht="12" customHeight="1">
      <c r="N520" s="167"/>
    </row>
    <row r="521" spans="14:14" ht="12" customHeight="1">
      <c r="N521" s="167"/>
    </row>
    <row r="522" spans="14:14" ht="12" customHeight="1">
      <c r="N522" s="167"/>
    </row>
    <row r="523" spans="14:14" ht="12" customHeight="1">
      <c r="N523" s="167"/>
    </row>
    <row r="524" spans="14:14" ht="12" customHeight="1">
      <c r="N524" s="167"/>
    </row>
    <row r="525" spans="14:14" ht="12" customHeight="1">
      <c r="N525" s="167"/>
    </row>
    <row r="526" spans="14:14" ht="12" customHeight="1">
      <c r="N526" s="167"/>
    </row>
    <row r="527" spans="14:14" ht="12" customHeight="1">
      <c r="N527" s="167"/>
    </row>
    <row r="528" spans="14:14" ht="12" customHeight="1">
      <c r="N528" s="167"/>
    </row>
    <row r="529" spans="14:14" ht="12" customHeight="1">
      <c r="N529" s="167"/>
    </row>
    <row r="530" spans="14:14" ht="12" customHeight="1">
      <c r="N530" s="167"/>
    </row>
    <row r="531" spans="14:14" ht="12" customHeight="1">
      <c r="N531" s="167"/>
    </row>
    <row r="532" spans="14:14" ht="12" customHeight="1">
      <c r="N532" s="167"/>
    </row>
    <row r="533" spans="14:14" ht="12" customHeight="1">
      <c r="N533" s="167"/>
    </row>
    <row r="534" spans="14:14" ht="12" customHeight="1">
      <c r="N534" s="167"/>
    </row>
    <row r="535" spans="14:14" ht="12" customHeight="1">
      <c r="N535" s="167"/>
    </row>
    <row r="536" spans="14:14" ht="12" customHeight="1">
      <c r="N536" s="167"/>
    </row>
    <row r="537" spans="14:14" ht="12" customHeight="1">
      <c r="N537" s="167"/>
    </row>
    <row r="538" spans="14:14" ht="12" customHeight="1">
      <c r="N538" s="167"/>
    </row>
    <row r="539" spans="14:14" ht="12" customHeight="1">
      <c r="N539" s="167"/>
    </row>
    <row r="540" spans="14:14" ht="12" customHeight="1">
      <c r="N540" s="167"/>
    </row>
    <row r="541" spans="14:14" ht="12" customHeight="1">
      <c r="N541" s="167"/>
    </row>
    <row r="542" spans="14:14" ht="12" customHeight="1">
      <c r="N542" s="167"/>
    </row>
    <row r="543" spans="14:14" ht="12" customHeight="1">
      <c r="N543" s="167"/>
    </row>
    <row r="544" spans="14:14" ht="12" customHeight="1">
      <c r="N544" s="167"/>
    </row>
    <row r="545" spans="14:14" ht="12" customHeight="1">
      <c r="N545" s="167"/>
    </row>
    <row r="546" spans="14:14" ht="12" customHeight="1">
      <c r="N546" s="167"/>
    </row>
    <row r="547" spans="14:14" ht="12" customHeight="1">
      <c r="N547" s="167"/>
    </row>
    <row r="548" spans="14:14" ht="12" customHeight="1">
      <c r="N548" s="167"/>
    </row>
    <row r="549" spans="14:14" ht="12" customHeight="1">
      <c r="N549" s="167"/>
    </row>
    <row r="550" spans="14:14" ht="12" customHeight="1">
      <c r="N550" s="167"/>
    </row>
    <row r="551" spans="14:14" ht="12" customHeight="1">
      <c r="N551" s="167"/>
    </row>
    <row r="552" spans="14:14" ht="12" customHeight="1">
      <c r="N552" s="167"/>
    </row>
    <row r="553" spans="14:14" ht="12" customHeight="1">
      <c r="N553" s="167"/>
    </row>
    <row r="554" spans="14:14" ht="12" customHeight="1">
      <c r="N554" s="167"/>
    </row>
    <row r="555" spans="14:14" ht="12" customHeight="1">
      <c r="N555" s="167"/>
    </row>
    <row r="556" spans="14:14" ht="12" customHeight="1">
      <c r="N556" s="167"/>
    </row>
    <row r="557" spans="14:14" ht="12" customHeight="1">
      <c r="N557" s="167"/>
    </row>
    <row r="558" spans="14:14" ht="12" customHeight="1">
      <c r="N558" s="167"/>
    </row>
    <row r="559" spans="14:14" ht="12" customHeight="1">
      <c r="N559" s="167"/>
    </row>
    <row r="560" spans="14:14" ht="12" customHeight="1">
      <c r="N560" s="167"/>
    </row>
    <row r="561" spans="14:14" ht="12" customHeight="1">
      <c r="N561" s="167"/>
    </row>
    <row r="562" spans="14:14" ht="12" customHeight="1">
      <c r="N562" s="167"/>
    </row>
    <row r="563" spans="14:14" ht="12" customHeight="1">
      <c r="N563" s="167"/>
    </row>
    <row r="564" spans="14:14" ht="12" customHeight="1">
      <c r="N564" s="167"/>
    </row>
    <row r="565" spans="14:14" ht="12" customHeight="1">
      <c r="N565" s="167"/>
    </row>
    <row r="566" spans="14:14" ht="12" customHeight="1">
      <c r="N566" s="167"/>
    </row>
    <row r="567" spans="14:14" ht="12" customHeight="1">
      <c r="N567" s="167"/>
    </row>
    <row r="568" spans="14:14" ht="12" customHeight="1">
      <c r="N568" s="167"/>
    </row>
    <row r="569" spans="14:14" ht="12" customHeight="1">
      <c r="N569" s="167"/>
    </row>
    <row r="570" spans="14:14" ht="12" customHeight="1">
      <c r="N570" s="167"/>
    </row>
    <row r="571" spans="14:14" ht="12" customHeight="1">
      <c r="N571" s="167"/>
    </row>
    <row r="572" spans="14:14" ht="12" customHeight="1">
      <c r="N572" s="167"/>
    </row>
    <row r="573" spans="14:14" ht="12" customHeight="1">
      <c r="N573" s="167"/>
    </row>
    <row r="574" spans="14:14" ht="12" customHeight="1">
      <c r="N574" s="167"/>
    </row>
    <row r="575" spans="14:14" ht="12" customHeight="1">
      <c r="N575" s="167"/>
    </row>
    <row r="576" spans="14:14" ht="12" customHeight="1">
      <c r="N576" s="167"/>
    </row>
    <row r="577" spans="14:14" ht="12" customHeight="1">
      <c r="N577" s="167"/>
    </row>
    <row r="578" spans="14:14" ht="12" customHeight="1">
      <c r="N578" s="167"/>
    </row>
    <row r="579" spans="14:14" ht="12" customHeight="1">
      <c r="N579" s="167"/>
    </row>
    <row r="580" spans="14:14" ht="12" customHeight="1">
      <c r="N580" s="167"/>
    </row>
    <row r="581" spans="14:14" ht="12" customHeight="1">
      <c r="N581" s="167"/>
    </row>
    <row r="582" spans="14:14" ht="12" customHeight="1">
      <c r="N582" s="167"/>
    </row>
    <row r="583" spans="14:14" ht="12" customHeight="1">
      <c r="N583" s="167"/>
    </row>
    <row r="584" spans="14:14" ht="12" customHeight="1">
      <c r="N584" s="167"/>
    </row>
    <row r="585" spans="14:14" ht="12" customHeight="1">
      <c r="N585" s="167"/>
    </row>
    <row r="586" spans="14:14" ht="12" customHeight="1">
      <c r="N586" s="167"/>
    </row>
    <row r="587" spans="14:14" ht="12" customHeight="1">
      <c r="N587" s="167"/>
    </row>
    <row r="588" spans="14:14" ht="12" customHeight="1">
      <c r="N588" s="167"/>
    </row>
    <row r="589" spans="14:14" ht="12" customHeight="1">
      <c r="N589" s="167"/>
    </row>
    <row r="590" spans="14:14" ht="12" customHeight="1">
      <c r="N590" s="167"/>
    </row>
    <row r="591" spans="14:14" ht="12" customHeight="1">
      <c r="N591" s="167"/>
    </row>
    <row r="592" spans="14:14" ht="12" customHeight="1">
      <c r="N592" s="167"/>
    </row>
    <row r="593" spans="14:14" ht="12" customHeight="1">
      <c r="N593" s="167"/>
    </row>
    <row r="594" spans="14:14" ht="12" customHeight="1">
      <c r="N594" s="167"/>
    </row>
    <row r="595" spans="14:14" ht="12" customHeight="1">
      <c r="N595" s="167"/>
    </row>
    <row r="596" spans="14:14" ht="12" customHeight="1">
      <c r="N596" s="167"/>
    </row>
    <row r="597" spans="14:14" ht="12" customHeight="1">
      <c r="N597" s="167"/>
    </row>
    <row r="598" spans="14:14" ht="12" customHeight="1">
      <c r="N598" s="167"/>
    </row>
    <row r="599" spans="14:14" ht="12" customHeight="1">
      <c r="N599" s="167"/>
    </row>
    <row r="600" spans="14:14" ht="12" customHeight="1">
      <c r="N600" s="167"/>
    </row>
    <row r="601" spans="14:14" ht="12" customHeight="1">
      <c r="N601" s="167"/>
    </row>
    <row r="602" spans="14:14" ht="12" customHeight="1">
      <c r="N602" s="167"/>
    </row>
    <row r="603" spans="14:14" ht="12" customHeight="1">
      <c r="N603" s="167"/>
    </row>
    <row r="604" spans="14:14" ht="12" customHeight="1">
      <c r="N604" s="167"/>
    </row>
    <row r="605" spans="14:14" ht="12" customHeight="1">
      <c r="N605" s="167"/>
    </row>
    <row r="606" spans="14:14" ht="12" customHeight="1">
      <c r="N606" s="167"/>
    </row>
    <row r="607" spans="14:14" ht="12" customHeight="1">
      <c r="N607" s="167"/>
    </row>
    <row r="608" spans="14:14" ht="12" customHeight="1">
      <c r="N608" s="167"/>
    </row>
    <row r="609" spans="14:14" ht="12" customHeight="1">
      <c r="N609" s="167"/>
    </row>
    <row r="610" spans="14:14" ht="12" customHeight="1">
      <c r="N610" s="167"/>
    </row>
    <row r="611" spans="14:14" ht="12" customHeight="1">
      <c r="N611" s="167"/>
    </row>
    <row r="612" spans="14:14" ht="12" customHeight="1">
      <c r="N612" s="167"/>
    </row>
    <row r="613" spans="14:14" ht="12" customHeight="1">
      <c r="N613" s="167"/>
    </row>
    <row r="614" spans="14:14" ht="12" customHeight="1">
      <c r="N614" s="167"/>
    </row>
    <row r="615" spans="14:14" ht="12" customHeight="1">
      <c r="N615" s="167"/>
    </row>
    <row r="616" spans="14:14" ht="12" customHeight="1">
      <c r="N616" s="167"/>
    </row>
    <row r="617" spans="14:14" ht="12" customHeight="1">
      <c r="N617" s="167"/>
    </row>
    <row r="618" spans="14:14" ht="12" customHeight="1">
      <c r="N618" s="167"/>
    </row>
    <row r="619" spans="14:14" ht="12" customHeight="1">
      <c r="N619" s="167"/>
    </row>
    <row r="620" spans="14:14" ht="12" customHeight="1">
      <c r="N620" s="167"/>
    </row>
    <row r="621" spans="14:14" ht="12" customHeight="1">
      <c r="N621" s="167"/>
    </row>
    <row r="622" spans="14:14" ht="12" customHeight="1">
      <c r="N622" s="167"/>
    </row>
    <row r="623" spans="14:14" ht="12" customHeight="1">
      <c r="N623" s="167"/>
    </row>
    <row r="624" spans="14:14" ht="12" customHeight="1">
      <c r="N624" s="167"/>
    </row>
    <row r="625" spans="14:14" ht="12" customHeight="1">
      <c r="N625" s="167"/>
    </row>
    <row r="626" spans="14:14" ht="12" customHeight="1">
      <c r="N626" s="167"/>
    </row>
    <row r="627" spans="14:14" ht="12" customHeight="1">
      <c r="N627" s="167"/>
    </row>
    <row r="628" spans="14:14" ht="12" customHeight="1">
      <c r="N628" s="167"/>
    </row>
    <row r="629" spans="14:14" ht="12" customHeight="1">
      <c r="N629" s="167"/>
    </row>
    <row r="630" spans="14:14" ht="12" customHeight="1">
      <c r="N630" s="167"/>
    </row>
    <row r="631" spans="14:14" ht="12" customHeight="1">
      <c r="N631" s="167"/>
    </row>
    <row r="632" spans="14:14" ht="12" customHeight="1">
      <c r="N632" s="167"/>
    </row>
    <row r="633" spans="14:14" ht="12" customHeight="1">
      <c r="N633" s="167"/>
    </row>
    <row r="634" spans="14:14" ht="12" customHeight="1">
      <c r="N634" s="167"/>
    </row>
    <row r="635" spans="14:14" ht="12" customHeight="1">
      <c r="N635" s="167"/>
    </row>
    <row r="636" spans="14:14" ht="12" customHeight="1">
      <c r="N636" s="167"/>
    </row>
    <row r="637" spans="14:14" ht="12" customHeight="1">
      <c r="N637" s="167"/>
    </row>
    <row r="638" spans="14:14" ht="12" customHeight="1">
      <c r="N638" s="167"/>
    </row>
    <row r="639" spans="14:14" ht="12" customHeight="1">
      <c r="N639" s="167"/>
    </row>
    <row r="640" spans="14:14" ht="12" customHeight="1">
      <c r="N640" s="167"/>
    </row>
    <row r="641" spans="14:14" ht="12" customHeight="1">
      <c r="N641" s="167"/>
    </row>
    <row r="642" spans="14:14" ht="12" customHeight="1">
      <c r="N642" s="167"/>
    </row>
    <row r="643" spans="14:14" ht="12" customHeight="1">
      <c r="N643" s="167"/>
    </row>
    <row r="644" spans="14:14" ht="12" customHeight="1">
      <c r="N644" s="167"/>
    </row>
    <row r="645" spans="14:14" ht="12" customHeight="1">
      <c r="N645" s="167"/>
    </row>
    <row r="646" spans="14:14" ht="12" customHeight="1">
      <c r="N646" s="167"/>
    </row>
    <row r="647" spans="14:14" ht="12" customHeight="1">
      <c r="N647" s="167"/>
    </row>
    <row r="648" spans="14:14" ht="12" customHeight="1">
      <c r="N648" s="167"/>
    </row>
    <row r="649" spans="14:14" ht="12" customHeight="1">
      <c r="N649" s="167"/>
    </row>
    <row r="650" spans="14:14" ht="12" customHeight="1">
      <c r="N650" s="167"/>
    </row>
    <row r="651" spans="14:14" ht="12" customHeight="1">
      <c r="N651" s="167"/>
    </row>
    <row r="652" spans="14:14" ht="12" customHeight="1">
      <c r="N652" s="167"/>
    </row>
    <row r="653" spans="14:14" ht="12" customHeight="1">
      <c r="N653" s="167"/>
    </row>
    <row r="654" spans="14:14" ht="12" customHeight="1">
      <c r="N654" s="167"/>
    </row>
    <row r="655" spans="14:14" ht="12" customHeight="1">
      <c r="N655" s="167"/>
    </row>
    <row r="656" spans="14:14" ht="12" customHeight="1">
      <c r="N656" s="167"/>
    </row>
    <row r="657" spans="14:14" ht="12" customHeight="1">
      <c r="N657" s="167"/>
    </row>
    <row r="658" spans="14:14" ht="12" customHeight="1">
      <c r="N658" s="167"/>
    </row>
    <row r="659" spans="14:14" ht="12" customHeight="1">
      <c r="N659" s="167"/>
    </row>
    <row r="660" spans="14:14" ht="12" customHeight="1">
      <c r="N660" s="167"/>
    </row>
    <row r="661" spans="14:14" ht="12" customHeight="1">
      <c r="N661" s="167"/>
    </row>
    <row r="662" spans="14:14" ht="12" customHeight="1">
      <c r="N662" s="167"/>
    </row>
    <row r="663" spans="14:14" ht="12" customHeight="1">
      <c r="N663" s="167"/>
    </row>
    <row r="664" spans="14:14" ht="12" customHeight="1">
      <c r="N664" s="167"/>
    </row>
    <row r="665" spans="14:14" ht="12" customHeight="1">
      <c r="N665" s="167"/>
    </row>
    <row r="666" spans="14:14" ht="12" customHeight="1">
      <c r="N666" s="167"/>
    </row>
    <row r="667" spans="14:14" ht="12" customHeight="1">
      <c r="N667" s="167"/>
    </row>
    <row r="668" spans="14:14" ht="12" customHeight="1">
      <c r="N668" s="167"/>
    </row>
    <row r="669" spans="14:14" ht="12" customHeight="1">
      <c r="N669" s="167"/>
    </row>
    <row r="670" spans="14:14" ht="12" customHeight="1">
      <c r="N670" s="167"/>
    </row>
    <row r="671" spans="14:14" ht="12" customHeight="1">
      <c r="N671" s="167"/>
    </row>
    <row r="672" spans="14:14" ht="12" customHeight="1">
      <c r="N672" s="167"/>
    </row>
    <row r="673" spans="14:14" ht="12" customHeight="1">
      <c r="N673" s="167"/>
    </row>
    <row r="674" spans="14:14" ht="12" customHeight="1">
      <c r="N674" s="167"/>
    </row>
    <row r="675" spans="14:14" ht="12" customHeight="1">
      <c r="N675" s="167"/>
    </row>
    <row r="676" spans="14:14" ht="12" customHeight="1">
      <c r="N676" s="167"/>
    </row>
    <row r="677" spans="14:14" ht="12" customHeight="1">
      <c r="N677" s="167"/>
    </row>
    <row r="678" spans="14:14" ht="12" customHeight="1">
      <c r="N678" s="167"/>
    </row>
    <row r="679" spans="14:14" ht="12" customHeight="1">
      <c r="N679" s="167"/>
    </row>
    <row r="680" spans="14:14" ht="12" customHeight="1">
      <c r="N680" s="167"/>
    </row>
    <row r="681" spans="14:14" ht="12" customHeight="1">
      <c r="N681" s="167"/>
    </row>
    <row r="682" spans="14:14" ht="12" customHeight="1">
      <c r="N682" s="167"/>
    </row>
    <row r="683" spans="14:14" ht="12" customHeight="1">
      <c r="N683" s="167"/>
    </row>
    <row r="684" spans="14:14" ht="12" customHeight="1">
      <c r="N684" s="167"/>
    </row>
    <row r="685" spans="14:14" ht="12" customHeight="1">
      <c r="N685" s="167"/>
    </row>
    <row r="686" spans="14:14" ht="12" customHeight="1">
      <c r="N686" s="167"/>
    </row>
    <row r="687" spans="14:14" ht="12" customHeight="1">
      <c r="N687" s="167"/>
    </row>
    <row r="688" spans="14:14" ht="12" customHeight="1">
      <c r="N688" s="167"/>
    </row>
    <row r="689" spans="14:14" ht="12" customHeight="1">
      <c r="N689" s="167"/>
    </row>
    <row r="690" spans="14:14" ht="12" customHeight="1">
      <c r="N690" s="167"/>
    </row>
    <row r="691" spans="14:14" ht="12" customHeight="1">
      <c r="N691" s="167"/>
    </row>
    <row r="692" spans="14:14" ht="12" customHeight="1">
      <c r="N692" s="167"/>
    </row>
    <row r="693" spans="14:14" ht="12" customHeight="1">
      <c r="N693" s="167"/>
    </row>
    <row r="694" spans="14:14" ht="12" customHeight="1">
      <c r="N694" s="167"/>
    </row>
    <row r="695" spans="14:14" ht="12" customHeight="1">
      <c r="N695" s="167"/>
    </row>
    <row r="696" spans="14:14" ht="12" customHeight="1">
      <c r="N696" s="167"/>
    </row>
    <row r="697" spans="14:14" ht="12" customHeight="1">
      <c r="N697" s="167"/>
    </row>
    <row r="698" spans="14:14" ht="12" customHeight="1">
      <c r="N698" s="167"/>
    </row>
    <row r="699" spans="14:14" ht="12" customHeight="1">
      <c r="N699" s="167"/>
    </row>
    <row r="700" spans="14:14" ht="12" customHeight="1">
      <c r="N700" s="167"/>
    </row>
    <row r="701" spans="14:14" ht="12" customHeight="1">
      <c r="N701" s="167"/>
    </row>
    <row r="702" spans="14:14" ht="12" customHeight="1">
      <c r="N702" s="167"/>
    </row>
    <row r="703" spans="14:14" ht="12" customHeight="1">
      <c r="N703" s="167"/>
    </row>
    <row r="704" spans="14:14" ht="12" customHeight="1">
      <c r="N704" s="167"/>
    </row>
    <row r="705" spans="14:14" ht="12" customHeight="1">
      <c r="N705" s="167"/>
    </row>
    <row r="706" spans="14:14" ht="12" customHeight="1">
      <c r="N706" s="167"/>
    </row>
    <row r="707" spans="14:14" ht="12" customHeight="1">
      <c r="N707" s="167"/>
    </row>
    <row r="708" spans="14:14" ht="12" customHeight="1">
      <c r="N708" s="167"/>
    </row>
    <row r="709" spans="14:14" ht="12" customHeight="1">
      <c r="N709" s="167"/>
    </row>
    <row r="710" spans="14:14" ht="12" customHeight="1">
      <c r="N710" s="167"/>
    </row>
    <row r="711" spans="14:14" ht="12" customHeight="1">
      <c r="N711" s="167"/>
    </row>
    <row r="712" spans="14:14" ht="12" customHeight="1">
      <c r="N712" s="167"/>
    </row>
    <row r="713" spans="14:14" ht="12" customHeight="1">
      <c r="N713" s="167"/>
    </row>
    <row r="714" spans="14:14" ht="12" customHeight="1">
      <c r="N714" s="167"/>
    </row>
    <row r="715" spans="14:14" ht="12" customHeight="1">
      <c r="N715" s="167"/>
    </row>
    <row r="716" spans="14:14" ht="12" customHeight="1">
      <c r="N716" s="167"/>
    </row>
    <row r="717" spans="14:14" ht="12" customHeight="1">
      <c r="N717" s="167"/>
    </row>
    <row r="718" spans="14:14" ht="12" customHeight="1">
      <c r="N718" s="167"/>
    </row>
    <row r="719" spans="14:14" ht="12" customHeight="1">
      <c r="N719" s="167"/>
    </row>
    <row r="720" spans="14:14" ht="12" customHeight="1">
      <c r="N720" s="167"/>
    </row>
    <row r="721" spans="14:14" ht="12" customHeight="1">
      <c r="N721" s="167"/>
    </row>
    <row r="722" spans="14:14" ht="12" customHeight="1">
      <c r="N722" s="167"/>
    </row>
    <row r="723" spans="14:14" ht="12" customHeight="1">
      <c r="N723" s="167"/>
    </row>
    <row r="724" spans="14:14" ht="12" customHeight="1">
      <c r="N724" s="167"/>
    </row>
    <row r="725" spans="14:14" ht="12" customHeight="1">
      <c r="N725" s="167"/>
    </row>
    <row r="726" spans="14:14" ht="12" customHeight="1">
      <c r="N726" s="167"/>
    </row>
    <row r="727" spans="14:14" ht="12" customHeight="1">
      <c r="N727" s="167"/>
    </row>
    <row r="728" spans="14:14" ht="12" customHeight="1">
      <c r="N728" s="167"/>
    </row>
    <row r="729" spans="14:14" ht="12" customHeight="1">
      <c r="N729" s="167"/>
    </row>
    <row r="730" spans="14:14" ht="12" customHeight="1">
      <c r="N730" s="167"/>
    </row>
    <row r="731" spans="14:14" ht="12" customHeight="1">
      <c r="N731" s="167"/>
    </row>
    <row r="732" spans="14:14" ht="12" customHeight="1">
      <c r="N732" s="167"/>
    </row>
    <row r="733" spans="14:14" ht="12" customHeight="1">
      <c r="N733" s="167"/>
    </row>
    <row r="734" spans="14:14" ht="12" customHeight="1">
      <c r="N734" s="167"/>
    </row>
    <row r="735" spans="14:14" ht="12" customHeight="1">
      <c r="N735" s="167"/>
    </row>
    <row r="736" spans="14:14" ht="12" customHeight="1">
      <c r="N736" s="167"/>
    </row>
    <row r="737" spans="14:14" ht="12" customHeight="1">
      <c r="N737" s="167"/>
    </row>
    <row r="738" spans="14:14" ht="12" customHeight="1">
      <c r="N738" s="167"/>
    </row>
    <row r="739" spans="14:14" ht="12" customHeight="1">
      <c r="N739" s="167"/>
    </row>
    <row r="740" spans="14:14" ht="12" customHeight="1">
      <c r="N740" s="167"/>
    </row>
    <row r="741" spans="14:14" ht="12" customHeight="1">
      <c r="N741" s="167"/>
    </row>
    <row r="742" spans="14:14" ht="12" customHeight="1">
      <c r="N742" s="167"/>
    </row>
    <row r="743" spans="14:14" ht="12" customHeight="1">
      <c r="N743" s="167"/>
    </row>
    <row r="744" spans="14:14" ht="12" customHeight="1">
      <c r="N744" s="167"/>
    </row>
    <row r="745" spans="14:14" ht="12" customHeight="1">
      <c r="N745" s="167"/>
    </row>
    <row r="746" spans="14:14" ht="12" customHeight="1">
      <c r="N746" s="167"/>
    </row>
    <row r="747" spans="14:14" ht="12" customHeight="1">
      <c r="N747" s="167"/>
    </row>
    <row r="748" spans="14:14" ht="12" customHeight="1">
      <c r="N748" s="167"/>
    </row>
    <row r="749" spans="14:14" ht="12" customHeight="1">
      <c r="N749" s="167"/>
    </row>
    <row r="750" spans="14:14" ht="12" customHeight="1">
      <c r="N750" s="167"/>
    </row>
    <row r="751" spans="14:14" ht="12" customHeight="1">
      <c r="N751" s="167"/>
    </row>
    <row r="752" spans="14:14" ht="12" customHeight="1">
      <c r="N752" s="167"/>
    </row>
    <row r="753" spans="14:14" ht="12" customHeight="1">
      <c r="N753" s="167"/>
    </row>
    <row r="754" spans="14:14" ht="12" customHeight="1">
      <c r="N754" s="167"/>
    </row>
    <row r="755" spans="14:14" ht="12" customHeight="1">
      <c r="N755" s="167"/>
    </row>
    <row r="756" spans="14:14" ht="12" customHeight="1">
      <c r="N756" s="167"/>
    </row>
    <row r="757" spans="14:14" ht="12" customHeight="1">
      <c r="N757" s="167"/>
    </row>
    <row r="758" spans="14:14" ht="12" customHeight="1">
      <c r="N758" s="167"/>
    </row>
    <row r="759" spans="14:14" ht="12" customHeight="1">
      <c r="N759" s="167"/>
    </row>
    <row r="760" spans="14:14" ht="12" customHeight="1">
      <c r="N760" s="167"/>
    </row>
    <row r="761" spans="14:14" ht="12" customHeight="1">
      <c r="N761" s="167"/>
    </row>
    <row r="762" spans="14:14" ht="12" customHeight="1">
      <c r="N762" s="167"/>
    </row>
    <row r="763" spans="14:14" ht="12" customHeight="1">
      <c r="N763" s="167"/>
    </row>
    <row r="764" spans="14:14" ht="12" customHeight="1">
      <c r="N764" s="167"/>
    </row>
    <row r="765" spans="14:14" ht="12" customHeight="1">
      <c r="N765" s="167"/>
    </row>
    <row r="766" spans="14:14" ht="12" customHeight="1">
      <c r="N766" s="167"/>
    </row>
    <row r="767" spans="14:14" ht="12" customHeight="1">
      <c r="N767" s="167"/>
    </row>
    <row r="768" spans="14:14" ht="12" customHeight="1">
      <c r="N768" s="167"/>
    </row>
    <row r="769" spans="14:14" ht="12" customHeight="1">
      <c r="N769" s="167"/>
    </row>
    <row r="770" spans="14:14" ht="12" customHeight="1">
      <c r="N770" s="167"/>
    </row>
    <row r="771" spans="14:14" ht="12" customHeight="1">
      <c r="N771" s="167"/>
    </row>
    <row r="772" spans="14:14" ht="12" customHeight="1">
      <c r="N772" s="167"/>
    </row>
    <row r="773" spans="14:14" ht="12" customHeight="1">
      <c r="N773" s="167"/>
    </row>
    <row r="774" spans="14:14" ht="12" customHeight="1">
      <c r="N774" s="167"/>
    </row>
    <row r="775" spans="14:14" ht="12" customHeight="1">
      <c r="N775" s="167"/>
    </row>
    <row r="776" spans="14:14" ht="12" customHeight="1">
      <c r="N776" s="167"/>
    </row>
    <row r="777" spans="14:14" ht="12" customHeight="1">
      <c r="N777" s="167"/>
    </row>
    <row r="778" spans="14:14" ht="12" customHeight="1">
      <c r="N778" s="167"/>
    </row>
    <row r="779" spans="14:14" ht="12" customHeight="1">
      <c r="N779" s="167"/>
    </row>
    <row r="780" spans="14:14" ht="12" customHeight="1">
      <c r="N780" s="167"/>
    </row>
    <row r="781" spans="14:14" ht="12" customHeight="1">
      <c r="N781" s="167"/>
    </row>
    <row r="782" spans="14:14" ht="12" customHeight="1">
      <c r="N782" s="167"/>
    </row>
    <row r="783" spans="14:14" ht="12" customHeight="1">
      <c r="N783" s="167"/>
    </row>
    <row r="784" spans="14:14" ht="12" customHeight="1">
      <c r="N784" s="167"/>
    </row>
    <row r="785" spans="14:14" ht="12" customHeight="1">
      <c r="N785" s="167"/>
    </row>
    <row r="786" spans="14:14" ht="12" customHeight="1">
      <c r="N786" s="167"/>
    </row>
    <row r="787" spans="14:14" ht="12" customHeight="1">
      <c r="N787" s="167"/>
    </row>
    <row r="788" spans="14:14" ht="12" customHeight="1">
      <c r="N788" s="167"/>
    </row>
    <row r="789" spans="14:14" ht="12" customHeight="1">
      <c r="N789" s="167"/>
    </row>
    <row r="790" spans="14:14" ht="12" customHeight="1">
      <c r="N790" s="167"/>
    </row>
    <row r="791" spans="14:14" ht="12" customHeight="1">
      <c r="N791" s="167"/>
    </row>
    <row r="792" spans="14:14" ht="12" customHeight="1">
      <c r="N792" s="167"/>
    </row>
    <row r="793" spans="14:14" ht="12" customHeight="1">
      <c r="N793" s="167"/>
    </row>
    <row r="794" spans="14:14" ht="12" customHeight="1">
      <c r="N794" s="167"/>
    </row>
    <row r="795" spans="14:14" ht="12" customHeight="1">
      <c r="N795" s="167"/>
    </row>
    <row r="796" spans="14:14" ht="12" customHeight="1">
      <c r="N796" s="167"/>
    </row>
    <row r="797" spans="14:14" ht="12" customHeight="1">
      <c r="N797" s="167"/>
    </row>
    <row r="798" spans="14:14" ht="12" customHeight="1">
      <c r="N798" s="167"/>
    </row>
    <row r="799" spans="14:14" ht="12" customHeight="1">
      <c r="N799" s="167"/>
    </row>
    <row r="800" spans="14:14" ht="12" customHeight="1">
      <c r="N800" s="167"/>
    </row>
    <row r="801" spans="14:14" ht="12" customHeight="1">
      <c r="N801" s="167"/>
    </row>
    <row r="802" spans="14:14" ht="12" customHeight="1">
      <c r="N802" s="167"/>
    </row>
    <row r="803" spans="14:14" ht="12" customHeight="1">
      <c r="N803" s="167"/>
    </row>
    <row r="804" spans="14:14" ht="12" customHeight="1">
      <c r="N804" s="167"/>
    </row>
    <row r="805" spans="14:14" ht="12" customHeight="1">
      <c r="N805" s="167"/>
    </row>
    <row r="806" spans="14:14" ht="12" customHeight="1">
      <c r="N806" s="167"/>
    </row>
    <row r="807" spans="14:14" ht="12" customHeight="1">
      <c r="N807" s="167"/>
    </row>
    <row r="808" spans="14:14" ht="12" customHeight="1">
      <c r="N808" s="167"/>
    </row>
    <row r="809" spans="14:14" ht="12" customHeight="1">
      <c r="N809" s="167"/>
    </row>
    <row r="810" spans="14:14" ht="12" customHeight="1">
      <c r="N810" s="167"/>
    </row>
    <row r="811" spans="14:14" ht="12" customHeight="1">
      <c r="N811" s="167"/>
    </row>
    <row r="812" spans="14:14" ht="12" customHeight="1">
      <c r="N812" s="167"/>
    </row>
    <row r="813" spans="14:14" ht="12" customHeight="1">
      <c r="N813" s="167"/>
    </row>
    <row r="814" spans="14:14" ht="12" customHeight="1">
      <c r="N814" s="167"/>
    </row>
    <row r="815" spans="14:14" ht="12" customHeight="1">
      <c r="N815" s="167"/>
    </row>
    <row r="816" spans="14:14" ht="12" customHeight="1">
      <c r="N816" s="167"/>
    </row>
    <row r="817" spans="14:14" ht="12" customHeight="1">
      <c r="N817" s="167"/>
    </row>
    <row r="818" spans="14:14" ht="12" customHeight="1">
      <c r="N818" s="167"/>
    </row>
    <row r="819" spans="14:14" ht="12" customHeight="1">
      <c r="N819" s="167"/>
    </row>
    <row r="820" spans="14:14" ht="12" customHeight="1">
      <c r="N820" s="167"/>
    </row>
    <row r="821" spans="14:14" ht="12" customHeight="1">
      <c r="N821" s="167"/>
    </row>
    <row r="822" spans="14:14" ht="12" customHeight="1">
      <c r="N822" s="167"/>
    </row>
    <row r="823" spans="14:14" ht="12" customHeight="1">
      <c r="N823" s="167"/>
    </row>
    <row r="824" spans="14:14" ht="12" customHeight="1">
      <c r="N824" s="167"/>
    </row>
    <row r="825" spans="14:14" ht="12" customHeight="1">
      <c r="N825" s="167"/>
    </row>
    <row r="826" spans="14:14" ht="12" customHeight="1">
      <c r="N826" s="167"/>
    </row>
    <row r="827" spans="14:14" ht="12" customHeight="1">
      <c r="N827" s="167"/>
    </row>
    <row r="828" spans="14:14" ht="12" customHeight="1">
      <c r="N828" s="167"/>
    </row>
    <row r="829" spans="14:14" ht="12" customHeight="1">
      <c r="N829" s="167"/>
    </row>
    <row r="830" spans="14:14" ht="12" customHeight="1">
      <c r="N830" s="167"/>
    </row>
    <row r="831" spans="14:14" ht="12" customHeight="1">
      <c r="N831" s="167"/>
    </row>
    <row r="832" spans="14:14" ht="12" customHeight="1">
      <c r="N832" s="167"/>
    </row>
    <row r="833" spans="14:14" ht="12" customHeight="1">
      <c r="N833" s="167"/>
    </row>
    <row r="834" spans="14:14" ht="12" customHeight="1">
      <c r="N834" s="167"/>
    </row>
    <row r="835" spans="14:14" ht="12" customHeight="1">
      <c r="N835" s="167"/>
    </row>
    <row r="836" spans="14:14" ht="12" customHeight="1">
      <c r="N836" s="167"/>
    </row>
    <row r="837" spans="14:14" ht="12" customHeight="1">
      <c r="N837" s="167"/>
    </row>
    <row r="838" spans="14:14" ht="12" customHeight="1">
      <c r="N838" s="167"/>
    </row>
    <row r="839" spans="14:14" ht="12" customHeight="1">
      <c r="N839" s="167"/>
    </row>
    <row r="840" spans="14:14" ht="12" customHeight="1">
      <c r="N840" s="167"/>
    </row>
    <row r="841" spans="14:14" ht="12" customHeight="1">
      <c r="N841" s="167"/>
    </row>
    <row r="842" spans="14:14" ht="12" customHeight="1">
      <c r="N842" s="167"/>
    </row>
    <row r="843" spans="14:14" ht="12" customHeight="1">
      <c r="N843" s="167"/>
    </row>
    <row r="844" spans="14:14" ht="12" customHeight="1">
      <c r="N844" s="167"/>
    </row>
    <row r="845" spans="14:14" ht="12" customHeight="1">
      <c r="N845" s="167"/>
    </row>
    <row r="846" spans="14:14" ht="12" customHeight="1">
      <c r="N846" s="167"/>
    </row>
    <row r="847" spans="14:14" ht="12" customHeight="1">
      <c r="N847" s="167"/>
    </row>
    <row r="848" spans="14:14" ht="12" customHeight="1">
      <c r="N848" s="167"/>
    </row>
    <row r="849" spans="14:14" ht="12" customHeight="1">
      <c r="N849" s="167"/>
    </row>
    <row r="850" spans="14:14" ht="12" customHeight="1">
      <c r="N850" s="167"/>
    </row>
    <row r="851" spans="14:14" ht="12" customHeight="1">
      <c r="N851" s="167"/>
    </row>
    <row r="852" spans="14:14" ht="12" customHeight="1">
      <c r="N852" s="167"/>
    </row>
    <row r="853" spans="14:14" ht="12" customHeight="1">
      <c r="N853" s="167"/>
    </row>
    <row r="854" spans="14:14" ht="12" customHeight="1">
      <c r="N854" s="167"/>
    </row>
    <row r="855" spans="14:14" ht="12" customHeight="1">
      <c r="N855" s="167"/>
    </row>
    <row r="856" spans="14:14" ht="12" customHeight="1">
      <c r="N856" s="167"/>
    </row>
    <row r="857" spans="14:14" ht="12" customHeight="1">
      <c r="N857" s="167"/>
    </row>
    <row r="858" spans="14:14" ht="12" customHeight="1">
      <c r="N858" s="167"/>
    </row>
    <row r="859" spans="14:14" ht="12" customHeight="1">
      <c r="N859" s="167"/>
    </row>
    <row r="860" spans="14:14" ht="12" customHeight="1">
      <c r="N860" s="167"/>
    </row>
    <row r="861" spans="14:14" ht="12" customHeight="1">
      <c r="N861" s="167"/>
    </row>
    <row r="862" spans="14:14" ht="12" customHeight="1">
      <c r="N862" s="167"/>
    </row>
    <row r="863" spans="14:14" ht="12" customHeight="1">
      <c r="N863" s="167"/>
    </row>
    <row r="864" spans="14:14" ht="12" customHeight="1">
      <c r="N864" s="167"/>
    </row>
    <row r="865" spans="14:14" ht="12" customHeight="1">
      <c r="N865" s="167"/>
    </row>
    <row r="866" spans="14:14" ht="12" customHeight="1">
      <c r="N866" s="167"/>
    </row>
    <row r="867" spans="14:14" ht="12" customHeight="1">
      <c r="N867" s="167"/>
    </row>
    <row r="868" spans="14:14" ht="12" customHeight="1">
      <c r="N868" s="167"/>
    </row>
    <row r="869" spans="14:14" ht="12" customHeight="1">
      <c r="N869" s="167"/>
    </row>
    <row r="870" spans="14:14" ht="12" customHeight="1">
      <c r="N870" s="167"/>
    </row>
    <row r="871" spans="14:14" ht="12" customHeight="1">
      <c r="N871" s="167"/>
    </row>
    <row r="872" spans="14:14" ht="12" customHeight="1">
      <c r="N872" s="167"/>
    </row>
    <row r="873" spans="14:14" ht="12" customHeight="1">
      <c r="N873" s="167"/>
    </row>
    <row r="874" spans="14:14" ht="12" customHeight="1">
      <c r="N874" s="167"/>
    </row>
    <row r="875" spans="14:14" ht="12" customHeight="1">
      <c r="N875" s="167"/>
    </row>
    <row r="876" spans="14:14" ht="12" customHeight="1">
      <c r="N876" s="167"/>
    </row>
    <row r="877" spans="14:14" ht="12" customHeight="1">
      <c r="N877" s="167"/>
    </row>
    <row r="878" spans="14:14" ht="12" customHeight="1">
      <c r="N878" s="167"/>
    </row>
    <row r="879" spans="14:14" ht="12" customHeight="1">
      <c r="N879" s="167"/>
    </row>
    <row r="880" spans="14:14" ht="12" customHeight="1">
      <c r="N880" s="167"/>
    </row>
    <row r="881" spans="14:14" ht="12" customHeight="1">
      <c r="N881" s="167"/>
    </row>
    <row r="882" spans="14:14" ht="12" customHeight="1">
      <c r="N882" s="167"/>
    </row>
    <row r="883" spans="14:14" ht="12" customHeight="1">
      <c r="N883" s="167"/>
    </row>
    <row r="884" spans="14:14" ht="12" customHeight="1">
      <c r="N884" s="167"/>
    </row>
    <row r="885" spans="14:14" ht="12" customHeight="1">
      <c r="N885" s="167"/>
    </row>
    <row r="886" spans="14:14" ht="12" customHeight="1">
      <c r="N886" s="167"/>
    </row>
    <row r="887" spans="14:14" ht="12" customHeight="1">
      <c r="N887" s="167"/>
    </row>
    <row r="888" spans="14:14" ht="12" customHeight="1">
      <c r="N888" s="167"/>
    </row>
    <row r="889" spans="14:14" ht="12" customHeight="1">
      <c r="N889" s="167"/>
    </row>
    <row r="890" spans="14:14" ht="12" customHeight="1">
      <c r="N890" s="167"/>
    </row>
    <row r="891" spans="14:14" ht="12" customHeight="1">
      <c r="N891" s="167"/>
    </row>
    <row r="892" spans="14:14" ht="12" customHeight="1">
      <c r="N892" s="167"/>
    </row>
    <row r="893" spans="14:14" ht="12" customHeight="1">
      <c r="N893" s="167"/>
    </row>
    <row r="894" spans="14:14" ht="12" customHeight="1">
      <c r="N894" s="167"/>
    </row>
    <row r="895" spans="14:14" ht="12" customHeight="1">
      <c r="N895" s="167"/>
    </row>
    <row r="896" spans="14:14" ht="12" customHeight="1">
      <c r="N896" s="167"/>
    </row>
    <row r="897" spans="14:14" ht="12" customHeight="1">
      <c r="N897" s="167"/>
    </row>
    <row r="898" spans="14:14" ht="12" customHeight="1">
      <c r="N898" s="167"/>
    </row>
    <row r="899" spans="14:14" ht="12" customHeight="1">
      <c r="N899" s="167"/>
    </row>
    <row r="900" spans="14:14" ht="12" customHeight="1">
      <c r="N900" s="167"/>
    </row>
    <row r="901" spans="14:14" ht="12" customHeight="1">
      <c r="N901" s="167"/>
    </row>
    <row r="902" spans="14:14" ht="12" customHeight="1">
      <c r="N902" s="167"/>
    </row>
    <row r="903" spans="14:14" ht="12" customHeight="1">
      <c r="N903" s="167"/>
    </row>
    <row r="904" spans="14:14" ht="12" customHeight="1">
      <c r="N904" s="167"/>
    </row>
    <row r="905" spans="14:14" ht="12" customHeight="1">
      <c r="N905" s="167"/>
    </row>
    <row r="906" spans="14:14" ht="12" customHeight="1">
      <c r="N906" s="167"/>
    </row>
    <row r="907" spans="14:14" ht="12" customHeight="1">
      <c r="N907" s="167"/>
    </row>
    <row r="908" spans="14:14" ht="12" customHeight="1">
      <c r="N908" s="167"/>
    </row>
    <row r="909" spans="14:14" ht="12" customHeight="1">
      <c r="N909" s="167"/>
    </row>
    <row r="910" spans="14:14" ht="12" customHeight="1">
      <c r="N910" s="167"/>
    </row>
    <row r="911" spans="14:14" ht="12" customHeight="1">
      <c r="N911" s="167"/>
    </row>
    <row r="912" spans="14:14" ht="12" customHeight="1">
      <c r="N912" s="167"/>
    </row>
    <row r="913" spans="14:14" ht="12" customHeight="1">
      <c r="N913" s="167"/>
    </row>
    <row r="914" spans="14:14" ht="12" customHeight="1">
      <c r="N914" s="167"/>
    </row>
    <row r="915" spans="14:14" ht="12" customHeight="1">
      <c r="N915" s="167"/>
    </row>
    <row r="916" spans="14:14" ht="12" customHeight="1">
      <c r="N916" s="167"/>
    </row>
    <row r="917" spans="14:14" ht="12" customHeight="1">
      <c r="N917" s="167"/>
    </row>
    <row r="918" spans="14:14" ht="12" customHeight="1">
      <c r="N918" s="167"/>
    </row>
    <row r="919" spans="14:14" ht="12" customHeight="1">
      <c r="N919" s="167"/>
    </row>
    <row r="920" spans="14:14" ht="12" customHeight="1">
      <c r="N920" s="167"/>
    </row>
    <row r="921" spans="14:14" ht="12" customHeight="1">
      <c r="N921" s="167"/>
    </row>
    <row r="922" spans="14:14" ht="12" customHeight="1">
      <c r="N922" s="167"/>
    </row>
    <row r="923" spans="14:14" ht="12" customHeight="1">
      <c r="N923" s="167"/>
    </row>
    <row r="924" spans="14:14" ht="12" customHeight="1">
      <c r="N924" s="167"/>
    </row>
    <row r="925" spans="14:14" ht="12" customHeight="1">
      <c r="N925" s="167"/>
    </row>
    <row r="926" spans="14:14" ht="12" customHeight="1">
      <c r="N926" s="167"/>
    </row>
    <row r="927" spans="14:14" ht="12" customHeight="1">
      <c r="N927" s="167"/>
    </row>
    <row r="928" spans="14:14" ht="12" customHeight="1">
      <c r="N928" s="167"/>
    </row>
    <row r="929" spans="14:14" ht="12" customHeight="1">
      <c r="N929" s="167"/>
    </row>
    <row r="930" spans="14:14" ht="12" customHeight="1">
      <c r="N930" s="167"/>
    </row>
    <row r="931" spans="14:14" ht="12" customHeight="1">
      <c r="N931" s="167"/>
    </row>
    <row r="932" spans="14:14" ht="12" customHeight="1">
      <c r="N932" s="167"/>
    </row>
    <row r="933" spans="14:14" ht="12" customHeight="1">
      <c r="N933" s="167"/>
    </row>
    <row r="934" spans="14:14" ht="12" customHeight="1">
      <c r="N934" s="167"/>
    </row>
    <row r="935" spans="14:14" ht="12" customHeight="1">
      <c r="N935" s="167"/>
    </row>
    <row r="936" spans="14:14" ht="12" customHeight="1">
      <c r="N936" s="167"/>
    </row>
    <row r="937" spans="14:14" ht="12" customHeight="1">
      <c r="N937" s="167"/>
    </row>
    <row r="938" spans="14:14" ht="12" customHeight="1">
      <c r="N938" s="167"/>
    </row>
    <row r="939" spans="14:14" ht="12" customHeight="1">
      <c r="N939" s="167"/>
    </row>
    <row r="940" spans="14:14" ht="12" customHeight="1">
      <c r="N940" s="167"/>
    </row>
    <row r="941" spans="14:14" ht="12" customHeight="1">
      <c r="N941" s="167"/>
    </row>
    <row r="942" spans="14:14" ht="12" customHeight="1">
      <c r="N942" s="167"/>
    </row>
    <row r="943" spans="14:14" ht="12" customHeight="1">
      <c r="N943" s="167"/>
    </row>
    <row r="944" spans="14:14" ht="12" customHeight="1">
      <c r="N944" s="167"/>
    </row>
    <row r="945" spans="14:14" ht="12" customHeight="1">
      <c r="N945" s="167"/>
    </row>
    <row r="946" spans="14:14" ht="12" customHeight="1">
      <c r="N946" s="167"/>
    </row>
    <row r="947" spans="14:14" ht="12" customHeight="1">
      <c r="N947" s="167"/>
    </row>
    <row r="948" spans="14:14" ht="12" customHeight="1">
      <c r="N948" s="167"/>
    </row>
    <row r="949" spans="14:14" ht="12" customHeight="1">
      <c r="N949" s="167"/>
    </row>
    <row r="950" spans="14:14" ht="12" customHeight="1">
      <c r="N950" s="167"/>
    </row>
    <row r="951" spans="14:14" ht="12" customHeight="1">
      <c r="N951" s="167"/>
    </row>
    <row r="952" spans="14:14" ht="12" customHeight="1">
      <c r="N952" s="167"/>
    </row>
    <row r="953" spans="14:14" ht="12" customHeight="1">
      <c r="N953" s="167"/>
    </row>
    <row r="954" spans="14:14" ht="12" customHeight="1">
      <c r="N954" s="167"/>
    </row>
    <row r="955" spans="14:14" ht="12" customHeight="1">
      <c r="N955" s="167"/>
    </row>
    <row r="956" spans="14:14" ht="12" customHeight="1">
      <c r="N956" s="167"/>
    </row>
    <row r="957" spans="14:14" ht="12" customHeight="1">
      <c r="N957" s="167"/>
    </row>
    <row r="958" spans="14:14" ht="12" customHeight="1">
      <c r="N958" s="167"/>
    </row>
    <row r="959" spans="14:14" ht="12" customHeight="1">
      <c r="N959" s="167"/>
    </row>
    <row r="960" spans="14:14" ht="12" customHeight="1">
      <c r="N960" s="167"/>
    </row>
    <row r="961" spans="14:14" ht="12" customHeight="1">
      <c r="N961" s="167"/>
    </row>
    <row r="962" spans="14:14" ht="12" customHeight="1">
      <c r="N962" s="167"/>
    </row>
    <row r="963" spans="14:14" ht="12" customHeight="1">
      <c r="N963" s="167"/>
    </row>
    <row r="964" spans="14:14" ht="12" customHeight="1">
      <c r="N964" s="167"/>
    </row>
    <row r="965" spans="14:14" ht="12" customHeight="1">
      <c r="N965" s="167"/>
    </row>
    <row r="966" spans="14:14" ht="12" customHeight="1">
      <c r="N966" s="167"/>
    </row>
    <row r="967" spans="14:14" ht="12" customHeight="1">
      <c r="N967" s="167"/>
    </row>
    <row r="968" spans="14:14" ht="12" customHeight="1">
      <c r="N968" s="167"/>
    </row>
    <row r="969" spans="14:14" ht="12" customHeight="1">
      <c r="N969" s="167"/>
    </row>
    <row r="970" spans="14:14" ht="12" customHeight="1">
      <c r="N970" s="167"/>
    </row>
    <row r="971" spans="14:14" ht="12" customHeight="1">
      <c r="N971" s="167"/>
    </row>
    <row r="972" spans="14:14" ht="12" customHeight="1">
      <c r="N972" s="167"/>
    </row>
    <row r="973" spans="14:14" ht="12" customHeight="1">
      <c r="N973" s="167"/>
    </row>
    <row r="974" spans="14:14" ht="12" customHeight="1">
      <c r="N974" s="167"/>
    </row>
    <row r="975" spans="14:14" ht="12" customHeight="1">
      <c r="N975" s="167"/>
    </row>
    <row r="976" spans="14:14" ht="12" customHeight="1">
      <c r="N976" s="167"/>
    </row>
    <row r="977" spans="14:14" ht="12" customHeight="1">
      <c r="N977" s="167"/>
    </row>
    <row r="978" spans="14:14" ht="12" customHeight="1">
      <c r="N978" s="167"/>
    </row>
    <row r="979" spans="14:14" ht="12" customHeight="1">
      <c r="N979" s="167"/>
    </row>
    <row r="980" spans="14:14" ht="12" customHeight="1">
      <c r="N980" s="167"/>
    </row>
    <row r="981" spans="14:14" ht="12" customHeight="1">
      <c r="N981" s="167"/>
    </row>
    <row r="982" spans="14:14" ht="12" customHeight="1">
      <c r="N982" s="167"/>
    </row>
    <row r="983" spans="14:14" ht="12" customHeight="1">
      <c r="N983" s="167"/>
    </row>
    <row r="984" spans="14:14" ht="12" customHeight="1">
      <c r="N984" s="167"/>
    </row>
    <row r="985" spans="14:14" ht="12" customHeight="1">
      <c r="N985" s="167"/>
    </row>
    <row r="986" spans="14:14" ht="12" customHeight="1">
      <c r="N986" s="167"/>
    </row>
    <row r="987" spans="14:14" ht="12" customHeight="1">
      <c r="N987" s="167"/>
    </row>
    <row r="988" spans="14:14" ht="12" customHeight="1">
      <c r="N988" s="167"/>
    </row>
    <row r="989" spans="14:14" ht="12" customHeight="1">
      <c r="N989" s="167"/>
    </row>
    <row r="990" spans="14:14" ht="12" customHeight="1">
      <c r="N990" s="167"/>
    </row>
    <row r="991" spans="14:14" ht="12" customHeight="1">
      <c r="N991" s="167"/>
    </row>
    <row r="992" spans="14:14" ht="12" customHeight="1">
      <c r="N992" s="167"/>
    </row>
    <row r="993" spans="14:14" ht="12" customHeight="1">
      <c r="N993" s="167"/>
    </row>
    <row r="994" spans="14:14" ht="12" customHeight="1">
      <c r="N994" s="167"/>
    </row>
    <row r="995" spans="14:14" ht="12" customHeight="1">
      <c r="N995" s="167"/>
    </row>
    <row r="996" spans="14:14" ht="12" customHeight="1">
      <c r="N996" s="167"/>
    </row>
    <row r="997" spans="14:14" ht="12" customHeight="1">
      <c r="N997" s="167"/>
    </row>
    <row r="998" spans="14:14" ht="12" customHeight="1">
      <c r="N998" s="167"/>
    </row>
    <row r="999" spans="14:14" ht="12" customHeight="1">
      <c r="N999" s="167"/>
    </row>
    <row r="1000" spans="14:14" ht="12" customHeight="1">
      <c r="N1000" s="167"/>
    </row>
    <row r="1001" spans="14:14" ht="12" customHeight="1">
      <c r="N1001" s="167"/>
    </row>
    <row r="1002" spans="14:14" ht="12" customHeight="1">
      <c r="N1002" s="167"/>
    </row>
    <row r="1003" spans="14:14" ht="12" customHeight="1">
      <c r="N1003" s="167"/>
    </row>
    <row r="1004" spans="14:14" ht="12" customHeight="1">
      <c r="N1004" s="167"/>
    </row>
    <row r="1005" spans="14:14" ht="12" customHeight="1">
      <c r="N1005" s="167"/>
    </row>
    <row r="1006" spans="14:14" ht="12" customHeight="1">
      <c r="N1006" s="167"/>
    </row>
    <row r="1007" spans="14:14" ht="12" customHeight="1">
      <c r="N1007" s="167"/>
    </row>
    <row r="1008" spans="14:14" ht="12" customHeight="1">
      <c r="N1008" s="167"/>
    </row>
    <row r="1009" spans="14:14" ht="12" customHeight="1">
      <c r="N1009" s="167"/>
    </row>
    <row r="1010" spans="14:14" ht="12" customHeight="1">
      <c r="N1010" s="167"/>
    </row>
    <row r="1011" spans="14:14" ht="12" customHeight="1">
      <c r="N1011" s="167"/>
    </row>
    <row r="1012" spans="14:14" ht="12" customHeight="1">
      <c r="N1012" s="167"/>
    </row>
    <row r="1013" spans="14:14" ht="12" customHeight="1">
      <c r="N1013" s="167"/>
    </row>
    <row r="1014" spans="14:14" ht="12" customHeight="1">
      <c r="N1014" s="167"/>
    </row>
    <row r="1015" spans="14:14" ht="12" customHeight="1">
      <c r="N1015" s="167"/>
    </row>
    <row r="1016" spans="14:14" ht="12" customHeight="1">
      <c r="N1016" s="167"/>
    </row>
    <row r="1017" spans="14:14" ht="12" customHeight="1">
      <c r="N1017" s="167"/>
    </row>
    <row r="1018" spans="14:14" ht="12" customHeight="1">
      <c r="N1018" s="167"/>
    </row>
    <row r="1019" spans="14:14" ht="12" customHeight="1">
      <c r="N1019" s="167"/>
    </row>
    <row r="1020" spans="14:14" ht="12" customHeight="1">
      <c r="N1020" s="167"/>
    </row>
    <row r="1021" spans="14:14" ht="12" customHeight="1">
      <c r="N1021" s="167"/>
    </row>
    <row r="1022" spans="14:14" ht="12" customHeight="1">
      <c r="N1022" s="167"/>
    </row>
    <row r="1023" spans="14:14" ht="12" customHeight="1">
      <c r="N1023" s="167"/>
    </row>
    <row r="1024" spans="14:14" ht="12" customHeight="1">
      <c r="N1024" s="167"/>
    </row>
    <row r="1025" spans="14:14" ht="12" customHeight="1">
      <c r="N1025" s="167"/>
    </row>
    <row r="1026" spans="14:14" ht="12" customHeight="1">
      <c r="N1026" s="167"/>
    </row>
    <row r="1027" spans="14:14" ht="12" customHeight="1">
      <c r="N1027" s="167"/>
    </row>
    <row r="1028" spans="14:14" ht="12" customHeight="1">
      <c r="N1028" s="167"/>
    </row>
    <row r="1029" spans="14:14" ht="12" customHeight="1">
      <c r="N1029" s="167"/>
    </row>
    <row r="1030" spans="14:14" ht="12" customHeight="1">
      <c r="N1030" s="167"/>
    </row>
    <row r="1031" spans="14:14" ht="12" customHeight="1">
      <c r="N1031" s="167"/>
    </row>
    <row r="1032" spans="14:14" ht="12" customHeight="1">
      <c r="N1032" s="167"/>
    </row>
    <row r="1033" spans="14:14" ht="12" customHeight="1">
      <c r="N1033" s="167"/>
    </row>
    <row r="1034" spans="14:14" ht="12" customHeight="1">
      <c r="N1034" s="167"/>
    </row>
    <row r="1035" spans="14:14" ht="12" customHeight="1">
      <c r="N1035" s="167"/>
    </row>
    <row r="1036" spans="14:14" ht="12" customHeight="1">
      <c r="N1036" s="167"/>
    </row>
    <row r="1037" spans="14:14" ht="12" customHeight="1">
      <c r="N1037" s="167"/>
    </row>
    <row r="1038" spans="14:14" ht="12" customHeight="1">
      <c r="N1038" s="167"/>
    </row>
    <row r="1039" spans="14:14" ht="12" customHeight="1">
      <c r="N1039" s="167"/>
    </row>
    <row r="1040" spans="14:14" ht="12" customHeight="1">
      <c r="N1040" s="167"/>
    </row>
    <row r="1041" spans="14:14" ht="12" customHeight="1">
      <c r="N1041" s="167"/>
    </row>
    <row r="1042" spans="14:14" ht="12" customHeight="1">
      <c r="N1042" s="167"/>
    </row>
    <row r="1043" spans="14:14" ht="12" customHeight="1">
      <c r="N1043" s="167"/>
    </row>
    <row r="1044" spans="14:14" ht="12" customHeight="1">
      <c r="N1044" s="167"/>
    </row>
    <row r="1045" spans="14:14" ht="12" customHeight="1">
      <c r="N1045" s="167"/>
    </row>
    <row r="1046" spans="14:14" ht="12" customHeight="1">
      <c r="N1046" s="167"/>
    </row>
    <row r="1047" spans="14:14" ht="12" customHeight="1">
      <c r="N1047" s="167"/>
    </row>
    <row r="1048" spans="14:14" ht="12" customHeight="1">
      <c r="N1048" s="167"/>
    </row>
    <row r="1049" spans="14:14" ht="12" customHeight="1">
      <c r="N1049" s="167"/>
    </row>
    <row r="1050" spans="14:14" ht="12" customHeight="1">
      <c r="N1050" s="167"/>
    </row>
    <row r="1051" spans="14:14" ht="12" customHeight="1">
      <c r="N1051" s="167"/>
    </row>
    <row r="1052" spans="14:14" ht="12" customHeight="1">
      <c r="N1052" s="167"/>
    </row>
    <row r="1053" spans="14:14" ht="12" customHeight="1">
      <c r="N1053" s="167"/>
    </row>
    <row r="1054" spans="14:14" ht="12" customHeight="1">
      <c r="N1054" s="167"/>
    </row>
    <row r="1055" spans="14:14" ht="12" customHeight="1">
      <c r="N1055" s="167"/>
    </row>
    <row r="1056" spans="14:14" ht="12" customHeight="1">
      <c r="N1056" s="167"/>
    </row>
    <row r="1057" spans="14:14" ht="12" customHeight="1">
      <c r="N1057" s="167"/>
    </row>
    <row r="1058" spans="14:14" ht="12" customHeight="1">
      <c r="N1058" s="167"/>
    </row>
    <row r="1059" spans="14:14" ht="12" customHeight="1">
      <c r="N1059" s="167"/>
    </row>
    <row r="1060" spans="14:14" ht="12" customHeight="1">
      <c r="N1060" s="167"/>
    </row>
    <row r="1061" spans="14:14" ht="12" customHeight="1">
      <c r="N1061" s="167"/>
    </row>
    <row r="1062" spans="14:14" ht="12" customHeight="1">
      <c r="N1062" s="167"/>
    </row>
    <row r="1063" spans="14:14" ht="12" customHeight="1">
      <c r="N1063" s="167"/>
    </row>
    <row r="1064" spans="14:14" ht="12" customHeight="1">
      <c r="N1064" s="167"/>
    </row>
    <row r="1065" spans="14:14" ht="12" customHeight="1">
      <c r="N1065" s="167"/>
    </row>
    <row r="1066" spans="14:14" ht="12" customHeight="1">
      <c r="N1066" s="167"/>
    </row>
    <row r="1067" spans="14:14" ht="12" customHeight="1">
      <c r="N1067" s="167"/>
    </row>
    <row r="1068" spans="14:14" ht="12" customHeight="1">
      <c r="N1068" s="167"/>
    </row>
    <row r="1069" spans="14:14" ht="12" customHeight="1">
      <c r="N1069" s="167"/>
    </row>
    <row r="1070" spans="14:14" ht="12" customHeight="1">
      <c r="N1070" s="167"/>
    </row>
    <row r="1071" spans="14:14" ht="12" customHeight="1">
      <c r="N1071" s="167"/>
    </row>
    <row r="1072" spans="14:14" ht="12" customHeight="1">
      <c r="N1072" s="167"/>
    </row>
    <row r="1073" spans="14:14" ht="12" customHeight="1">
      <c r="N1073" s="167"/>
    </row>
    <row r="1074" spans="14:14" ht="12" customHeight="1">
      <c r="N1074" s="167"/>
    </row>
    <row r="1075" spans="14:14" ht="12" customHeight="1">
      <c r="N1075" s="167"/>
    </row>
    <row r="1076" spans="14:14" ht="12" customHeight="1">
      <c r="N1076" s="167"/>
    </row>
    <row r="1077" spans="14:14" ht="12" customHeight="1">
      <c r="N1077" s="167"/>
    </row>
    <row r="1078" spans="14:14" ht="12" customHeight="1">
      <c r="N1078" s="167"/>
    </row>
    <row r="1079" spans="14:14" ht="12" customHeight="1">
      <c r="N1079" s="167"/>
    </row>
    <row r="1080" spans="14:14" ht="12" customHeight="1">
      <c r="N1080" s="167"/>
    </row>
    <row r="1081" spans="14:14" ht="12" customHeight="1">
      <c r="N1081" s="167"/>
    </row>
    <row r="1082" spans="14:14" ht="12" customHeight="1">
      <c r="N1082" s="167"/>
    </row>
    <row r="1083" spans="14:14" ht="12" customHeight="1">
      <c r="N1083" s="167"/>
    </row>
    <row r="1084" spans="14:14" ht="12" customHeight="1">
      <c r="N1084" s="167"/>
    </row>
    <row r="1085" spans="14:14" ht="12" customHeight="1">
      <c r="N1085" s="167"/>
    </row>
    <row r="1086" spans="14:14" ht="12" customHeight="1">
      <c r="N1086" s="167"/>
    </row>
    <row r="1087" spans="14:14" ht="12" customHeight="1">
      <c r="N1087" s="167"/>
    </row>
    <row r="1088" spans="14:14" ht="12" customHeight="1">
      <c r="N1088" s="167"/>
    </row>
    <row r="1089" spans="14:14" ht="12" customHeight="1">
      <c r="N1089" s="167"/>
    </row>
    <row r="1090" spans="14:14" ht="12" customHeight="1">
      <c r="N1090" s="167"/>
    </row>
    <row r="1091" spans="14:14" ht="12" customHeight="1">
      <c r="N1091" s="167"/>
    </row>
    <row r="1092" spans="14:14" ht="12" customHeight="1">
      <c r="N1092" s="167"/>
    </row>
    <row r="1093" spans="14:14" ht="12" customHeight="1">
      <c r="N1093" s="167"/>
    </row>
    <row r="1094" spans="14:14" ht="12" customHeight="1">
      <c r="N1094" s="167"/>
    </row>
    <row r="1095" spans="14:14" ht="12" customHeight="1">
      <c r="N1095" s="167"/>
    </row>
    <row r="1096" spans="14:14" ht="12" customHeight="1">
      <c r="N1096" s="167"/>
    </row>
    <row r="1097" spans="14:14" ht="12" customHeight="1">
      <c r="N1097" s="167"/>
    </row>
    <row r="1098" spans="14:14" ht="12" customHeight="1">
      <c r="N1098" s="167"/>
    </row>
    <row r="1099" spans="14:14" ht="12" customHeight="1">
      <c r="N1099" s="167"/>
    </row>
    <row r="1100" spans="14:14" ht="12" customHeight="1">
      <c r="N1100" s="167"/>
    </row>
    <row r="1101" spans="14:14" ht="12" customHeight="1">
      <c r="N1101" s="167"/>
    </row>
    <row r="1102" spans="14:14" ht="12" customHeight="1">
      <c r="N1102" s="167"/>
    </row>
    <row r="1103" spans="14:14" ht="12" customHeight="1">
      <c r="N1103" s="167"/>
    </row>
    <row r="1104" spans="14:14" ht="12" customHeight="1">
      <c r="N1104" s="167"/>
    </row>
    <row r="1105" spans="14:14" ht="12" customHeight="1">
      <c r="N1105" s="167"/>
    </row>
    <row r="1106" spans="14:14" ht="12" customHeight="1">
      <c r="N1106" s="167"/>
    </row>
    <row r="1107" spans="14:14" ht="12" customHeight="1">
      <c r="N1107" s="167"/>
    </row>
    <row r="1108" spans="14:14" ht="12" customHeight="1">
      <c r="N1108" s="167"/>
    </row>
    <row r="1109" spans="14:14" ht="12" customHeight="1">
      <c r="N1109" s="167"/>
    </row>
    <row r="1110" spans="14:14" ht="12" customHeight="1">
      <c r="N1110" s="167"/>
    </row>
    <row r="1111" spans="14:14" ht="12" customHeight="1">
      <c r="N1111" s="167"/>
    </row>
    <row r="1112" spans="14:14" ht="12" customHeight="1">
      <c r="N1112" s="167"/>
    </row>
    <row r="1113" spans="14:14" ht="12" customHeight="1">
      <c r="N1113" s="167"/>
    </row>
    <row r="1114" spans="14:14" ht="12" customHeight="1">
      <c r="N1114" s="167"/>
    </row>
    <row r="1115" spans="14:14" ht="12" customHeight="1">
      <c r="N1115" s="167"/>
    </row>
    <row r="1116" spans="14:14" ht="12" customHeight="1">
      <c r="N1116" s="167"/>
    </row>
    <row r="1117" spans="14:14" ht="12" customHeight="1">
      <c r="N1117" s="167"/>
    </row>
    <row r="1118" spans="14:14" ht="12" customHeight="1">
      <c r="N1118" s="167"/>
    </row>
    <row r="1119" spans="14:14" ht="12" customHeight="1">
      <c r="N1119" s="167"/>
    </row>
    <row r="1120" spans="14:14" ht="12" customHeight="1">
      <c r="N1120" s="167"/>
    </row>
    <row r="1121" spans="14:14" ht="12" customHeight="1">
      <c r="N1121" s="167"/>
    </row>
    <row r="1122" spans="14:14" ht="12" customHeight="1">
      <c r="N1122" s="167"/>
    </row>
    <row r="1123" spans="14:14" ht="12" customHeight="1">
      <c r="N1123" s="167"/>
    </row>
    <row r="1124" spans="14:14" ht="12" customHeight="1">
      <c r="N1124" s="167"/>
    </row>
    <row r="1125" spans="14:14" ht="12" customHeight="1">
      <c r="N1125" s="167"/>
    </row>
    <row r="1126" spans="14:14" ht="12" customHeight="1">
      <c r="N1126" s="167"/>
    </row>
    <row r="1127" spans="14:14" ht="12" customHeight="1">
      <c r="N1127" s="167"/>
    </row>
    <row r="1128" spans="14:14" ht="12" customHeight="1">
      <c r="N1128" s="167"/>
    </row>
    <row r="1129" spans="14:14" ht="12" customHeight="1">
      <c r="N1129" s="167"/>
    </row>
    <row r="1130" spans="14:14" ht="12" customHeight="1">
      <c r="N1130" s="167"/>
    </row>
    <row r="1131" spans="14:14" ht="12" customHeight="1">
      <c r="N1131" s="167"/>
    </row>
    <row r="1132" spans="14:14" ht="12" customHeight="1">
      <c r="N1132" s="167"/>
    </row>
    <row r="1133" spans="14:14" ht="12" customHeight="1">
      <c r="N1133" s="167"/>
    </row>
    <row r="1134" spans="14:14" ht="12" customHeight="1">
      <c r="N1134" s="167"/>
    </row>
    <row r="1135" spans="14:14" ht="12" customHeight="1">
      <c r="N1135" s="167"/>
    </row>
    <row r="1136" spans="14:14" ht="12" customHeight="1">
      <c r="N1136" s="167"/>
    </row>
    <row r="1137" spans="14:14" ht="12" customHeight="1">
      <c r="N1137" s="167"/>
    </row>
    <row r="1138" spans="14:14" ht="12" customHeight="1">
      <c r="N1138" s="167"/>
    </row>
    <row r="1139" spans="14:14" ht="12" customHeight="1">
      <c r="N1139" s="167"/>
    </row>
    <row r="1140" spans="14:14" ht="12" customHeight="1">
      <c r="N1140" s="167"/>
    </row>
    <row r="1141" spans="14:14" ht="12" customHeight="1">
      <c r="N1141" s="167"/>
    </row>
    <row r="1142" spans="14:14" ht="12" customHeight="1">
      <c r="N1142" s="167"/>
    </row>
    <row r="1143" spans="14:14" ht="12" customHeight="1">
      <c r="N1143" s="167"/>
    </row>
    <row r="1144" spans="14:14" ht="12" customHeight="1">
      <c r="N1144" s="167"/>
    </row>
    <row r="1145" spans="14:14" ht="12" customHeight="1">
      <c r="N1145" s="167"/>
    </row>
    <row r="1146" spans="14:14" ht="12" customHeight="1">
      <c r="N1146" s="167"/>
    </row>
    <row r="1147" spans="14:14" ht="12" customHeight="1">
      <c r="N1147" s="167"/>
    </row>
    <row r="1148" spans="14:14" ht="12" customHeight="1">
      <c r="N1148" s="167"/>
    </row>
  </sheetData>
  <autoFilter ref="A5:X11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A11" sqref="A11:XFD118"/>
    </sheetView>
  </sheetViews>
  <sheetFormatPr defaultRowHeight="13.5"/>
  <cols>
    <col min="1" max="1" width="18.25" style="71" customWidth="1"/>
    <col min="2" max="2" width="20.5" style="84" customWidth="1"/>
    <col min="3" max="3" width="22.125" style="84" customWidth="1"/>
    <col min="4" max="4" width="7.375" style="84" customWidth="1"/>
    <col min="5" max="5" width="6.75" style="85" customWidth="1"/>
    <col min="6" max="8" width="11.75" style="85" customWidth="1"/>
    <col min="9" max="9" width="9.75" style="85" customWidth="1"/>
    <col min="10" max="13" width="11.75" style="71" hidden="1" customWidth="1"/>
    <col min="14" max="14" width="11.75" style="71" customWidth="1"/>
    <col min="15" max="15" width="11.75" style="87" customWidth="1"/>
    <col min="16" max="16" width="11.75" style="84" customWidth="1"/>
    <col min="17" max="16384" width="9" style="71"/>
  </cols>
  <sheetData>
    <row r="1" spans="1:16">
      <c r="A1" s="88"/>
    </row>
    <row r="2" spans="1:16" s="62" customFormat="1" ht="12.75">
      <c r="A2" s="89"/>
      <c r="B2" s="78"/>
      <c r="C2" s="78"/>
      <c r="D2" s="78"/>
      <c r="E2" s="80"/>
      <c r="F2" s="81"/>
      <c r="G2" s="64" t="s">
        <v>31</v>
      </c>
      <c r="I2" s="64" t="s">
        <v>31</v>
      </c>
      <c r="K2" s="64" t="s">
        <v>31</v>
      </c>
      <c r="M2" s="64" t="s">
        <v>31</v>
      </c>
      <c r="O2" s="63"/>
    </row>
    <row r="3" spans="1:16" s="62" customFormat="1" ht="16.5" customHeight="1">
      <c r="A3" s="76"/>
      <c r="B3" s="90" t="str">
        <f>"공사명"&amp;" "&amp;":"&amp;" "&amp;갑지!B7</f>
        <v>공사명 : 사택 7-106외 1세대 LED등기구 교체</v>
      </c>
      <c r="C3" s="78"/>
      <c r="D3" s="78"/>
      <c r="E3" s="80"/>
      <c r="F3" s="82"/>
      <c r="G3" s="75" t="s">
        <v>81</v>
      </c>
      <c r="I3" s="75" t="s">
        <v>81</v>
      </c>
      <c r="K3" s="75">
        <v>0.86</v>
      </c>
      <c r="M3" s="75">
        <v>0.8</v>
      </c>
      <c r="O3" s="63"/>
    </row>
    <row r="4" spans="1:16" s="62" customFormat="1" ht="16.5" customHeight="1">
      <c r="A4" s="183" t="s">
        <v>35</v>
      </c>
      <c r="B4" s="185" t="s">
        <v>46</v>
      </c>
      <c r="C4" s="185"/>
      <c r="D4" s="185" t="s">
        <v>38</v>
      </c>
      <c r="E4" s="186" t="s">
        <v>39</v>
      </c>
      <c r="F4" s="187" t="s">
        <v>40</v>
      </c>
      <c r="G4" s="187"/>
      <c r="H4" s="187" t="s">
        <v>47</v>
      </c>
      <c r="I4" s="187"/>
      <c r="J4" s="182" t="s">
        <v>41</v>
      </c>
      <c r="K4" s="182"/>
      <c r="L4" s="182" t="s">
        <v>42</v>
      </c>
      <c r="M4" s="182"/>
      <c r="N4" s="183" t="s">
        <v>34</v>
      </c>
      <c r="O4" s="184" t="s">
        <v>37</v>
      </c>
      <c r="P4" s="183"/>
    </row>
    <row r="5" spans="1:16" s="62" customFormat="1" ht="16.5" customHeight="1">
      <c r="A5" s="183"/>
      <c r="B5" s="79" t="s">
        <v>43</v>
      </c>
      <c r="C5" s="79" t="s">
        <v>48</v>
      </c>
      <c r="D5" s="185"/>
      <c r="E5" s="186"/>
      <c r="F5" s="68" t="s">
        <v>49</v>
      </c>
      <c r="G5" s="74" t="s">
        <v>44</v>
      </c>
      <c r="H5" s="68" t="s">
        <v>50</v>
      </c>
      <c r="I5" s="74" t="s">
        <v>44</v>
      </c>
      <c r="J5" s="65" t="s">
        <v>45</v>
      </c>
      <c r="K5" s="73" t="s">
        <v>44</v>
      </c>
      <c r="L5" s="65" t="s">
        <v>45</v>
      </c>
      <c r="M5" s="73" t="s">
        <v>44</v>
      </c>
      <c r="N5" s="183"/>
      <c r="O5" s="66" t="s">
        <v>51</v>
      </c>
      <c r="P5" s="67" t="s">
        <v>36</v>
      </c>
    </row>
    <row r="6" spans="1:16">
      <c r="A6" s="114"/>
      <c r="B6" s="115"/>
      <c r="C6" s="115"/>
      <c r="D6" s="111"/>
      <c r="E6" s="113"/>
      <c r="F6" s="113"/>
      <c r="G6" s="113"/>
      <c r="H6" s="113"/>
      <c r="I6" s="112"/>
      <c r="J6" s="109">
        <v>197736</v>
      </c>
      <c r="K6" s="72"/>
      <c r="L6" s="70"/>
      <c r="M6" s="72"/>
      <c r="N6" s="112"/>
      <c r="O6" s="116"/>
      <c r="P6" s="115"/>
    </row>
    <row r="7" spans="1:16">
      <c r="A7" s="124" t="s">
        <v>115</v>
      </c>
      <c r="B7" s="124" t="s">
        <v>116</v>
      </c>
      <c r="C7" s="124" t="s">
        <v>118</v>
      </c>
      <c r="D7" s="124" t="s">
        <v>52</v>
      </c>
      <c r="E7" s="125">
        <v>6</v>
      </c>
      <c r="F7" s="108"/>
      <c r="G7" s="108"/>
      <c r="H7" s="108"/>
      <c r="I7" s="109"/>
      <c r="J7" s="109">
        <v>295464.15000000002</v>
      </c>
      <c r="K7" s="72"/>
      <c r="L7" s="70"/>
      <c r="M7" s="72"/>
      <c r="N7" s="70"/>
      <c r="O7" s="83"/>
      <c r="P7" s="77"/>
    </row>
    <row r="8" spans="1:16">
      <c r="A8" s="126" t="s">
        <v>115</v>
      </c>
      <c r="B8" s="126" t="s">
        <v>116</v>
      </c>
      <c r="C8" s="126" t="s">
        <v>118</v>
      </c>
      <c r="D8" s="126" t="s">
        <v>52</v>
      </c>
      <c r="E8" s="122">
        <v>2</v>
      </c>
      <c r="F8" s="108"/>
      <c r="G8" s="108"/>
      <c r="H8" s="108"/>
      <c r="I8" s="109"/>
      <c r="J8" s="109">
        <v>131653</v>
      </c>
      <c r="K8" s="72"/>
      <c r="L8" s="70"/>
      <c r="M8" s="72"/>
      <c r="N8" s="70"/>
      <c r="O8" s="83"/>
      <c r="P8" s="77"/>
    </row>
    <row r="9" spans="1:16">
      <c r="A9" s="170" t="s">
        <v>89</v>
      </c>
      <c r="B9" s="155" t="s">
        <v>122</v>
      </c>
      <c r="C9" s="155" t="s">
        <v>88</v>
      </c>
      <c r="D9" s="155" t="s">
        <v>108</v>
      </c>
      <c r="E9" s="122">
        <v>1</v>
      </c>
      <c r="F9" s="108"/>
      <c r="G9" s="108"/>
      <c r="H9" s="108"/>
      <c r="I9" s="109"/>
      <c r="J9" s="109">
        <v>1909218</v>
      </c>
      <c r="K9" s="72"/>
      <c r="L9" s="70"/>
      <c r="M9" s="72"/>
      <c r="N9" s="70"/>
      <c r="O9" s="83"/>
      <c r="P9" s="77"/>
    </row>
    <row r="10" spans="1:16">
      <c r="A10" s="170" t="s">
        <v>86</v>
      </c>
      <c r="B10" s="155" t="s">
        <v>87</v>
      </c>
      <c r="C10" s="155" t="s">
        <v>88</v>
      </c>
      <c r="D10" s="155" t="s">
        <v>108</v>
      </c>
      <c r="E10" s="122">
        <v>1</v>
      </c>
      <c r="F10" s="108"/>
      <c r="G10" s="108"/>
      <c r="H10" s="108"/>
      <c r="I10" s="109"/>
      <c r="J10" s="109">
        <v>-1044.4000000000001</v>
      </c>
      <c r="K10" s="72"/>
      <c r="L10" s="70"/>
      <c r="M10" s="72"/>
      <c r="N10" s="70"/>
      <c r="O10" s="83"/>
      <c r="P10" s="77"/>
    </row>
    <row r="11" spans="1:16" hidden="1">
      <c r="A11" s="69"/>
      <c r="B11" s="77"/>
      <c r="C11" s="77"/>
      <c r="D11" s="77"/>
      <c r="E11" s="72"/>
      <c r="F11" s="70"/>
      <c r="G11" s="72"/>
      <c r="H11" s="70"/>
      <c r="I11" s="72"/>
      <c r="J11" s="70"/>
      <c r="K11" s="72"/>
      <c r="L11" s="70"/>
      <c r="M11" s="72"/>
      <c r="N11" s="70"/>
      <c r="O11" s="83"/>
      <c r="P11" s="77"/>
    </row>
    <row r="12" spans="1:16" hidden="1">
      <c r="A12" s="69"/>
      <c r="B12" s="77"/>
      <c r="C12" s="77"/>
      <c r="D12" s="77"/>
      <c r="E12" s="72"/>
      <c r="F12" s="70"/>
      <c r="G12" s="72"/>
      <c r="H12" s="70"/>
      <c r="I12" s="72"/>
      <c r="J12" s="70"/>
      <c r="K12" s="72"/>
      <c r="L12" s="70"/>
      <c r="M12" s="72"/>
      <c r="N12" s="70"/>
      <c r="O12" s="83"/>
      <c r="P12" s="77"/>
    </row>
    <row r="13" spans="1:16" hidden="1">
      <c r="A13" s="69"/>
      <c r="B13" s="77"/>
      <c r="C13" s="77"/>
      <c r="D13" s="77"/>
      <c r="E13" s="72"/>
      <c r="F13" s="70"/>
      <c r="G13" s="72"/>
      <c r="H13" s="70"/>
      <c r="I13" s="72"/>
      <c r="J13" s="70"/>
      <c r="K13" s="72"/>
      <c r="L13" s="70"/>
      <c r="M13" s="72"/>
      <c r="N13" s="70"/>
      <c r="O13" s="83"/>
      <c r="P13" s="77"/>
    </row>
    <row r="14" spans="1:16" hidden="1">
      <c r="A14" s="69"/>
      <c r="B14" s="77"/>
      <c r="C14" s="77"/>
      <c r="D14" s="77"/>
      <c r="E14" s="72"/>
      <c r="F14" s="70"/>
      <c r="G14" s="72"/>
      <c r="H14" s="70"/>
      <c r="I14" s="72"/>
      <c r="J14" s="70"/>
      <c r="K14" s="72"/>
      <c r="L14" s="70"/>
      <c r="M14" s="72"/>
      <c r="N14" s="70"/>
      <c r="O14" s="83"/>
      <c r="P14" s="77"/>
    </row>
    <row r="15" spans="1:16" hidden="1">
      <c r="A15" s="69"/>
      <c r="B15" s="77"/>
      <c r="C15" s="77"/>
      <c r="D15" s="77"/>
      <c r="E15" s="72"/>
      <c r="F15" s="70"/>
      <c r="G15" s="72"/>
      <c r="H15" s="70"/>
      <c r="I15" s="72"/>
      <c r="J15" s="70"/>
      <c r="K15" s="72"/>
      <c r="L15" s="70"/>
      <c r="M15" s="72"/>
      <c r="N15" s="70"/>
      <c r="O15" s="83"/>
      <c r="P15" s="77"/>
    </row>
    <row r="16" spans="1:16" hidden="1">
      <c r="A16" s="69"/>
      <c r="B16" s="77"/>
      <c r="C16" s="77"/>
      <c r="D16" s="77"/>
      <c r="E16" s="72"/>
      <c r="F16" s="70"/>
      <c r="G16" s="72"/>
      <c r="H16" s="70"/>
      <c r="I16" s="72"/>
      <c r="J16" s="70"/>
      <c r="K16" s="72"/>
      <c r="L16" s="70"/>
      <c r="M16" s="72"/>
      <c r="N16" s="70"/>
      <c r="O16" s="83"/>
      <c r="P16" s="77"/>
    </row>
    <row r="17" spans="1:16" hidden="1">
      <c r="A17" s="69"/>
      <c r="B17" s="77"/>
      <c r="C17" s="77"/>
      <c r="D17" s="77"/>
      <c r="E17" s="72"/>
      <c r="F17" s="70"/>
      <c r="G17" s="72"/>
      <c r="H17" s="70"/>
      <c r="I17" s="72"/>
      <c r="J17" s="70"/>
      <c r="K17" s="72"/>
      <c r="L17" s="70"/>
      <c r="M17" s="72"/>
      <c r="N17" s="70"/>
      <c r="O17" s="83"/>
      <c r="P17" s="77"/>
    </row>
    <row r="18" spans="1:16" hidden="1">
      <c r="A18" s="69"/>
      <c r="B18" s="77"/>
      <c r="C18" s="77"/>
      <c r="D18" s="77"/>
      <c r="E18" s="72"/>
      <c r="F18" s="70"/>
      <c r="G18" s="72"/>
      <c r="H18" s="70"/>
      <c r="I18" s="72"/>
      <c r="J18" s="70"/>
      <c r="K18" s="72"/>
      <c r="L18" s="70"/>
      <c r="M18" s="72"/>
      <c r="N18" s="70"/>
      <c r="O18" s="83"/>
      <c r="P18" s="77"/>
    </row>
    <row r="19" spans="1:16" hidden="1">
      <c r="A19" s="69"/>
      <c r="B19" s="77"/>
      <c r="C19" s="77"/>
      <c r="D19" s="77"/>
      <c r="E19" s="72"/>
      <c r="F19" s="70"/>
      <c r="G19" s="72"/>
      <c r="H19" s="70"/>
      <c r="I19" s="72"/>
      <c r="J19" s="70"/>
      <c r="K19" s="72"/>
      <c r="L19" s="70"/>
      <c r="M19" s="72"/>
      <c r="N19" s="70"/>
      <c r="O19" s="83"/>
      <c r="P19" s="77"/>
    </row>
    <row r="20" spans="1:16" hidden="1">
      <c r="A20" s="69"/>
      <c r="B20" s="77"/>
      <c r="C20" s="77"/>
      <c r="D20" s="77"/>
      <c r="E20" s="72"/>
      <c r="F20" s="70"/>
      <c r="G20" s="72"/>
      <c r="H20" s="70"/>
      <c r="I20" s="72"/>
      <c r="J20" s="70"/>
      <c r="K20" s="72"/>
      <c r="L20" s="70"/>
      <c r="M20" s="72"/>
      <c r="N20" s="70"/>
      <c r="O20" s="83"/>
      <c r="P20" s="77"/>
    </row>
    <row r="21" spans="1:16" hidden="1">
      <c r="A21" s="69"/>
      <c r="B21" s="77"/>
      <c r="C21" s="77"/>
      <c r="D21" s="77"/>
      <c r="E21" s="72"/>
      <c r="F21" s="70"/>
      <c r="G21" s="72"/>
      <c r="H21" s="70"/>
      <c r="I21" s="72"/>
      <c r="J21" s="70"/>
      <c r="K21" s="72"/>
      <c r="L21" s="70"/>
      <c r="M21" s="72"/>
      <c r="N21" s="70"/>
      <c r="O21" s="83"/>
      <c r="P21" s="77"/>
    </row>
    <row r="22" spans="1:16" hidden="1">
      <c r="A22" s="69"/>
      <c r="B22" s="77"/>
      <c r="C22" s="77"/>
      <c r="D22" s="77"/>
      <c r="E22" s="72"/>
      <c r="F22" s="70"/>
      <c r="G22" s="72"/>
      <c r="H22" s="70"/>
      <c r="I22" s="72"/>
      <c r="J22" s="70"/>
      <c r="K22" s="72"/>
      <c r="L22" s="70"/>
      <c r="M22" s="72"/>
      <c r="N22" s="70"/>
      <c r="O22" s="83"/>
      <c r="P22" s="77"/>
    </row>
    <row r="23" spans="1:16" hidden="1">
      <c r="A23" s="69"/>
      <c r="B23" s="77"/>
      <c r="C23" s="77"/>
      <c r="D23" s="77"/>
      <c r="E23" s="72"/>
      <c r="F23" s="70"/>
      <c r="G23" s="72"/>
      <c r="H23" s="70"/>
      <c r="I23" s="72"/>
      <c r="J23" s="70"/>
      <c r="K23" s="72"/>
      <c r="L23" s="70"/>
      <c r="M23" s="72"/>
      <c r="N23" s="70"/>
      <c r="O23" s="83"/>
      <c r="P23" s="77"/>
    </row>
    <row r="24" spans="1:16" hidden="1">
      <c r="A24" s="69"/>
      <c r="B24" s="77"/>
      <c r="C24" s="77"/>
      <c r="D24" s="77"/>
      <c r="E24" s="72"/>
      <c r="F24" s="70"/>
      <c r="G24" s="72"/>
      <c r="H24" s="70"/>
      <c r="I24" s="72"/>
      <c r="J24" s="70"/>
      <c r="K24" s="72"/>
      <c r="L24" s="70"/>
      <c r="M24" s="72"/>
      <c r="N24" s="70"/>
      <c r="O24" s="83"/>
      <c r="P24" s="77"/>
    </row>
    <row r="25" spans="1:16" hidden="1">
      <c r="A25" s="69"/>
      <c r="B25" s="77"/>
      <c r="C25" s="77"/>
      <c r="D25" s="77"/>
      <c r="E25" s="72"/>
      <c r="F25" s="70"/>
      <c r="G25" s="72"/>
      <c r="H25" s="70"/>
      <c r="I25" s="72"/>
      <c r="J25" s="70"/>
      <c r="K25" s="72"/>
      <c r="L25" s="70"/>
      <c r="M25" s="72"/>
      <c r="N25" s="70"/>
      <c r="O25" s="83"/>
      <c r="P25" s="77"/>
    </row>
    <row r="26" spans="1:16" hidden="1">
      <c r="A26" s="69"/>
      <c r="B26" s="77"/>
      <c r="C26" s="77"/>
      <c r="D26" s="77"/>
      <c r="E26" s="72"/>
      <c r="F26" s="70"/>
      <c r="G26" s="72"/>
      <c r="H26" s="70"/>
      <c r="I26" s="72"/>
      <c r="J26" s="70"/>
      <c r="K26" s="72"/>
      <c r="L26" s="70"/>
      <c r="M26" s="72"/>
      <c r="N26" s="70"/>
      <c r="O26" s="83"/>
      <c r="P26" s="77"/>
    </row>
    <row r="27" spans="1:16" hidden="1">
      <c r="A27" s="69"/>
      <c r="B27" s="77"/>
      <c r="C27" s="77"/>
      <c r="D27" s="77"/>
      <c r="E27" s="72"/>
      <c r="F27" s="70"/>
      <c r="G27" s="72"/>
      <c r="H27" s="70"/>
      <c r="I27" s="72"/>
      <c r="J27" s="70"/>
      <c r="K27" s="72"/>
      <c r="L27" s="70"/>
      <c r="M27" s="72"/>
      <c r="N27" s="70"/>
      <c r="O27" s="83"/>
      <c r="P27" s="77"/>
    </row>
    <row r="28" spans="1:16" hidden="1">
      <c r="A28" s="69"/>
      <c r="B28" s="77"/>
      <c r="C28" s="77"/>
      <c r="D28" s="77"/>
      <c r="E28" s="72"/>
      <c r="F28" s="70"/>
      <c r="G28" s="72"/>
      <c r="H28" s="70"/>
      <c r="I28" s="72"/>
      <c r="J28" s="70"/>
      <c r="K28" s="72"/>
      <c r="L28" s="70"/>
      <c r="M28" s="72"/>
      <c r="N28" s="70"/>
      <c r="O28" s="83"/>
      <c r="P28" s="77"/>
    </row>
    <row r="29" spans="1:16" hidden="1">
      <c r="A29" s="69"/>
      <c r="B29" s="77"/>
      <c r="C29" s="77"/>
      <c r="D29" s="77"/>
      <c r="E29" s="72"/>
      <c r="F29" s="70"/>
      <c r="G29" s="72"/>
      <c r="H29" s="70"/>
      <c r="I29" s="72"/>
      <c r="J29" s="70"/>
      <c r="K29" s="72"/>
      <c r="L29" s="70"/>
      <c r="M29" s="72"/>
      <c r="N29" s="70"/>
      <c r="O29" s="83"/>
      <c r="P29" s="77"/>
    </row>
    <row r="30" spans="1:16" hidden="1">
      <c r="A30" s="69"/>
      <c r="B30" s="77"/>
      <c r="C30" s="77"/>
      <c r="D30" s="77"/>
      <c r="E30" s="72"/>
      <c r="F30" s="70"/>
      <c r="G30" s="72"/>
      <c r="H30" s="70"/>
      <c r="I30" s="72"/>
      <c r="J30" s="70"/>
      <c r="K30" s="72"/>
      <c r="L30" s="70"/>
      <c r="M30" s="72"/>
      <c r="N30" s="70"/>
      <c r="O30" s="83"/>
      <c r="P30" s="77"/>
    </row>
    <row r="31" spans="1:16" hidden="1">
      <c r="A31" s="69"/>
      <c r="B31" s="77"/>
      <c r="C31" s="77"/>
      <c r="D31" s="77"/>
      <c r="E31" s="72"/>
      <c r="F31" s="70"/>
      <c r="G31" s="72"/>
      <c r="H31" s="70"/>
      <c r="I31" s="72"/>
      <c r="J31" s="70"/>
      <c r="K31" s="72"/>
      <c r="L31" s="70"/>
      <c r="M31" s="72"/>
      <c r="N31" s="70"/>
      <c r="O31" s="83"/>
      <c r="P31" s="77"/>
    </row>
    <row r="32" spans="1:16" hidden="1">
      <c r="A32" s="69"/>
      <c r="B32" s="77"/>
      <c r="C32" s="77"/>
      <c r="D32" s="77"/>
      <c r="E32" s="72"/>
      <c r="F32" s="70"/>
      <c r="G32" s="72"/>
      <c r="H32" s="70"/>
      <c r="I32" s="72"/>
      <c r="J32" s="70"/>
      <c r="K32" s="72"/>
      <c r="L32" s="70"/>
      <c r="M32" s="72"/>
      <c r="N32" s="70"/>
      <c r="O32" s="83"/>
      <c r="P32" s="77"/>
    </row>
    <row r="33" spans="1:16" hidden="1">
      <c r="A33" s="69"/>
      <c r="B33" s="77"/>
      <c r="C33" s="77"/>
      <c r="D33" s="77"/>
      <c r="E33" s="72"/>
      <c r="F33" s="70"/>
      <c r="G33" s="72"/>
      <c r="H33" s="70"/>
      <c r="I33" s="72"/>
      <c r="J33" s="70"/>
      <c r="K33" s="72"/>
      <c r="L33" s="70"/>
      <c r="M33" s="72"/>
      <c r="N33" s="70"/>
      <c r="O33" s="83"/>
      <c r="P33" s="77"/>
    </row>
    <row r="34" spans="1:16" hidden="1">
      <c r="A34" s="69"/>
      <c r="B34" s="77"/>
      <c r="C34" s="77"/>
      <c r="D34" s="77"/>
      <c r="E34" s="72"/>
      <c r="F34" s="70"/>
      <c r="G34" s="72"/>
      <c r="H34" s="70"/>
      <c r="I34" s="72"/>
      <c r="J34" s="70"/>
      <c r="K34" s="72"/>
      <c r="L34" s="70"/>
      <c r="M34" s="72"/>
      <c r="N34" s="70"/>
      <c r="O34" s="83"/>
      <c r="P34" s="77"/>
    </row>
    <row r="35" spans="1:16" hidden="1">
      <c r="A35" s="69"/>
      <c r="B35" s="77"/>
      <c r="C35" s="77"/>
      <c r="D35" s="77"/>
      <c r="E35" s="72"/>
      <c r="F35" s="70"/>
      <c r="G35" s="72"/>
      <c r="H35" s="70"/>
      <c r="I35" s="72"/>
      <c r="J35" s="70"/>
      <c r="K35" s="72"/>
      <c r="L35" s="70"/>
      <c r="M35" s="72"/>
      <c r="N35" s="70"/>
      <c r="O35" s="83"/>
      <c r="P35" s="77"/>
    </row>
    <row r="36" spans="1:16" hidden="1">
      <c r="A36" s="69"/>
      <c r="B36" s="77"/>
      <c r="C36" s="77"/>
      <c r="D36" s="77"/>
      <c r="E36" s="72"/>
      <c r="F36" s="70"/>
      <c r="G36" s="72"/>
      <c r="H36" s="70"/>
      <c r="I36" s="72"/>
      <c r="J36" s="70"/>
      <c r="K36" s="72"/>
      <c r="L36" s="70"/>
      <c r="M36" s="72"/>
      <c r="N36" s="70"/>
      <c r="O36" s="83"/>
      <c r="P36" s="77"/>
    </row>
    <row r="37" spans="1:16" hidden="1">
      <c r="A37" s="69"/>
      <c r="B37" s="77"/>
      <c r="C37" s="77"/>
      <c r="D37" s="77"/>
      <c r="E37" s="72"/>
      <c r="F37" s="70"/>
      <c r="G37" s="72"/>
      <c r="H37" s="70"/>
      <c r="I37" s="72"/>
      <c r="J37" s="70"/>
      <c r="K37" s="72"/>
      <c r="L37" s="70"/>
      <c r="M37" s="72"/>
      <c r="N37" s="70"/>
      <c r="O37" s="83"/>
      <c r="P37" s="77"/>
    </row>
    <row r="38" spans="1:16" hidden="1">
      <c r="A38" s="69"/>
      <c r="B38" s="77"/>
      <c r="C38" s="77"/>
      <c r="D38" s="77"/>
      <c r="E38" s="72"/>
      <c r="F38" s="70"/>
      <c r="G38" s="72"/>
      <c r="H38" s="70"/>
      <c r="I38" s="72"/>
      <c r="J38" s="70"/>
      <c r="K38" s="72"/>
      <c r="L38" s="70"/>
      <c r="M38" s="72"/>
      <c r="N38" s="70"/>
      <c r="O38" s="83"/>
      <c r="P38" s="77"/>
    </row>
    <row r="39" spans="1:16" hidden="1">
      <c r="A39" s="69"/>
      <c r="B39" s="77"/>
      <c r="C39" s="77"/>
      <c r="D39" s="77"/>
      <c r="E39" s="72"/>
      <c r="F39" s="70"/>
      <c r="G39" s="72"/>
      <c r="H39" s="70"/>
      <c r="I39" s="72"/>
      <c r="J39" s="70"/>
      <c r="K39" s="72"/>
      <c r="L39" s="70"/>
      <c r="M39" s="72"/>
      <c r="N39" s="70"/>
      <c r="O39" s="83"/>
      <c r="P39" s="77"/>
    </row>
    <row r="40" spans="1:16" hidden="1">
      <c r="A40" s="69"/>
      <c r="B40" s="77"/>
      <c r="C40" s="77"/>
      <c r="D40" s="77"/>
      <c r="E40" s="72"/>
      <c r="F40" s="70"/>
      <c r="G40" s="72"/>
      <c r="H40" s="70"/>
      <c r="I40" s="72"/>
      <c r="J40" s="70"/>
      <c r="K40" s="72"/>
      <c r="L40" s="70"/>
      <c r="M40" s="72"/>
      <c r="N40" s="70"/>
      <c r="O40" s="83"/>
      <c r="P40" s="77"/>
    </row>
    <row r="41" spans="1:16" hidden="1">
      <c r="A41" s="69"/>
      <c r="B41" s="77"/>
      <c r="C41" s="77"/>
      <c r="D41" s="77"/>
      <c r="E41" s="72"/>
      <c r="F41" s="70"/>
      <c r="G41" s="72"/>
      <c r="H41" s="70"/>
      <c r="I41" s="72"/>
      <c r="J41" s="70"/>
      <c r="K41" s="72"/>
      <c r="L41" s="70"/>
      <c r="M41" s="72"/>
      <c r="N41" s="70"/>
      <c r="O41" s="83"/>
      <c r="P41" s="77"/>
    </row>
    <row r="42" spans="1:16" hidden="1">
      <c r="A42" s="69"/>
      <c r="B42" s="77"/>
      <c r="C42" s="77"/>
      <c r="D42" s="77"/>
      <c r="E42" s="72"/>
      <c r="F42" s="70"/>
      <c r="G42" s="72"/>
      <c r="H42" s="70"/>
      <c r="I42" s="72"/>
      <c r="J42" s="70"/>
      <c r="K42" s="72"/>
      <c r="L42" s="70"/>
      <c r="M42" s="72"/>
      <c r="N42" s="70"/>
      <c r="O42" s="83"/>
      <c r="P42" s="77"/>
    </row>
    <row r="43" spans="1:16" hidden="1">
      <c r="A43" s="69"/>
      <c r="B43" s="77"/>
      <c r="C43" s="77"/>
      <c r="D43" s="77"/>
      <c r="E43" s="72"/>
      <c r="F43" s="70"/>
      <c r="G43" s="72"/>
      <c r="H43" s="70"/>
      <c r="I43" s="72"/>
      <c r="J43" s="70"/>
      <c r="K43" s="72"/>
      <c r="L43" s="70"/>
      <c r="M43" s="72"/>
      <c r="N43" s="70"/>
      <c r="O43" s="83"/>
      <c r="P43" s="77"/>
    </row>
    <row r="44" spans="1:16" hidden="1">
      <c r="A44" s="69"/>
      <c r="B44" s="77"/>
      <c r="C44" s="77"/>
      <c r="D44" s="77"/>
      <c r="E44" s="72"/>
      <c r="F44" s="70"/>
      <c r="G44" s="72"/>
      <c r="H44" s="70"/>
      <c r="I44" s="72"/>
      <c r="J44" s="70"/>
      <c r="K44" s="72"/>
      <c r="L44" s="70"/>
      <c r="M44" s="72"/>
      <c r="N44" s="70"/>
      <c r="O44" s="83"/>
      <c r="P44" s="77"/>
    </row>
    <row r="45" spans="1:16" hidden="1">
      <c r="A45" s="69"/>
      <c r="B45" s="77"/>
      <c r="C45" s="77"/>
      <c r="D45" s="77"/>
      <c r="E45" s="72"/>
      <c r="F45" s="70"/>
      <c r="G45" s="72"/>
      <c r="H45" s="70"/>
      <c r="I45" s="72"/>
      <c r="J45" s="70"/>
      <c r="K45" s="72"/>
      <c r="L45" s="70"/>
      <c r="M45" s="72"/>
      <c r="N45" s="70"/>
      <c r="O45" s="83"/>
      <c r="P45" s="77"/>
    </row>
    <row r="46" spans="1:16" hidden="1">
      <c r="A46" s="69"/>
      <c r="B46" s="77"/>
      <c r="C46" s="77"/>
      <c r="D46" s="77"/>
      <c r="E46" s="72"/>
      <c r="F46" s="70"/>
      <c r="G46" s="72"/>
      <c r="H46" s="70"/>
      <c r="I46" s="72"/>
      <c r="J46" s="70"/>
      <c r="K46" s="72"/>
      <c r="L46" s="70"/>
      <c r="M46" s="72"/>
      <c r="N46" s="70"/>
      <c r="O46" s="83"/>
      <c r="P46" s="77"/>
    </row>
    <row r="47" spans="1:16" hidden="1">
      <c r="A47" s="69"/>
      <c r="B47" s="77"/>
      <c r="C47" s="77"/>
      <c r="D47" s="77"/>
      <c r="E47" s="72"/>
      <c r="F47" s="70"/>
      <c r="G47" s="72"/>
      <c r="H47" s="70"/>
      <c r="I47" s="72"/>
      <c r="J47" s="70"/>
      <c r="K47" s="72"/>
      <c r="L47" s="70"/>
      <c r="M47" s="72"/>
      <c r="N47" s="70"/>
      <c r="O47" s="83"/>
      <c r="P47" s="77"/>
    </row>
    <row r="48" spans="1:16" hidden="1">
      <c r="A48" s="69"/>
      <c r="B48" s="77"/>
      <c r="C48" s="77"/>
      <c r="D48" s="77"/>
      <c r="E48" s="72"/>
      <c r="F48" s="70"/>
      <c r="G48" s="72"/>
      <c r="H48" s="70"/>
      <c r="I48" s="72"/>
      <c r="J48" s="70"/>
      <c r="K48" s="72"/>
      <c r="L48" s="70"/>
      <c r="M48" s="72"/>
      <c r="N48" s="70"/>
      <c r="O48" s="83"/>
      <c r="P48" s="77"/>
    </row>
    <row r="49" spans="1:16" hidden="1">
      <c r="A49" s="69"/>
      <c r="B49" s="77"/>
      <c r="C49" s="77"/>
      <c r="D49" s="77"/>
      <c r="E49" s="72"/>
      <c r="F49" s="70"/>
      <c r="G49" s="72"/>
      <c r="H49" s="70"/>
      <c r="I49" s="72"/>
      <c r="J49" s="70"/>
      <c r="K49" s="72"/>
      <c r="L49" s="70"/>
      <c r="M49" s="72"/>
      <c r="N49" s="70"/>
      <c r="O49" s="83"/>
      <c r="P49" s="77"/>
    </row>
    <row r="50" spans="1:16" hidden="1">
      <c r="A50" s="69"/>
      <c r="B50" s="77"/>
      <c r="C50" s="77"/>
      <c r="D50" s="77"/>
      <c r="E50" s="72"/>
      <c r="F50" s="70"/>
      <c r="G50" s="72"/>
      <c r="H50" s="70"/>
      <c r="I50" s="72"/>
      <c r="J50" s="70"/>
      <c r="K50" s="72"/>
      <c r="L50" s="70"/>
      <c r="M50" s="72"/>
      <c r="N50" s="70"/>
      <c r="O50" s="83"/>
      <c r="P50" s="77"/>
    </row>
    <row r="51" spans="1:16" hidden="1">
      <c r="A51" s="69"/>
      <c r="B51" s="77"/>
      <c r="C51" s="77"/>
      <c r="D51" s="77"/>
      <c r="E51" s="72"/>
      <c r="F51" s="70"/>
      <c r="G51" s="72"/>
      <c r="H51" s="70"/>
      <c r="I51" s="72"/>
      <c r="J51" s="70"/>
      <c r="K51" s="72"/>
      <c r="L51" s="70"/>
      <c r="M51" s="72"/>
      <c r="N51" s="70"/>
      <c r="O51" s="83"/>
      <c r="P51" s="77"/>
    </row>
    <row r="52" spans="1:16" hidden="1">
      <c r="A52" s="69"/>
      <c r="B52" s="77"/>
      <c r="C52" s="77"/>
      <c r="D52" s="77"/>
      <c r="E52" s="72"/>
      <c r="F52" s="70"/>
      <c r="G52" s="72"/>
      <c r="H52" s="70"/>
      <c r="I52" s="72"/>
      <c r="J52" s="70"/>
      <c r="K52" s="72"/>
      <c r="L52" s="70"/>
      <c r="M52" s="72"/>
      <c r="N52" s="70"/>
      <c r="O52" s="83"/>
      <c r="P52" s="77"/>
    </row>
    <row r="53" spans="1:16" hidden="1">
      <c r="A53" s="69"/>
      <c r="B53" s="77"/>
      <c r="C53" s="77"/>
      <c r="D53" s="77"/>
      <c r="E53" s="72"/>
      <c r="F53" s="70"/>
      <c r="G53" s="72"/>
      <c r="H53" s="70"/>
      <c r="I53" s="72"/>
      <c r="J53" s="70"/>
      <c r="K53" s="72"/>
      <c r="L53" s="70"/>
      <c r="M53" s="72"/>
      <c r="N53" s="70"/>
      <c r="O53" s="83"/>
      <c r="P53" s="77"/>
    </row>
    <row r="54" spans="1:16" hidden="1">
      <c r="A54" s="69"/>
      <c r="B54" s="77"/>
      <c r="C54" s="77"/>
      <c r="D54" s="77"/>
      <c r="E54" s="72"/>
      <c r="F54" s="70"/>
      <c r="G54" s="72"/>
      <c r="H54" s="70"/>
      <c r="I54" s="72"/>
      <c r="J54" s="70"/>
      <c r="K54" s="72"/>
      <c r="L54" s="70"/>
      <c r="M54" s="72"/>
      <c r="N54" s="70"/>
      <c r="O54" s="83"/>
      <c r="P54" s="77"/>
    </row>
    <row r="55" spans="1:16" hidden="1">
      <c r="A55" s="69"/>
      <c r="B55" s="77"/>
      <c r="C55" s="77"/>
      <c r="D55" s="77"/>
      <c r="E55" s="72"/>
      <c r="F55" s="70"/>
      <c r="G55" s="72"/>
      <c r="H55" s="70"/>
      <c r="I55" s="72"/>
      <c r="J55" s="70"/>
      <c r="K55" s="72"/>
      <c r="L55" s="70"/>
      <c r="M55" s="72"/>
      <c r="N55" s="70"/>
      <c r="O55" s="83"/>
      <c r="P55" s="77"/>
    </row>
    <row r="56" spans="1:16" hidden="1">
      <c r="A56" s="69"/>
      <c r="B56" s="77"/>
      <c r="C56" s="77"/>
      <c r="D56" s="77"/>
      <c r="E56" s="72"/>
      <c r="F56" s="70"/>
      <c r="G56" s="72"/>
      <c r="H56" s="70"/>
      <c r="I56" s="72"/>
      <c r="J56" s="70"/>
      <c r="K56" s="72"/>
      <c r="L56" s="70"/>
      <c r="M56" s="72"/>
      <c r="N56" s="70"/>
      <c r="O56" s="83"/>
      <c r="P56" s="77"/>
    </row>
    <row r="57" spans="1:16" hidden="1">
      <c r="A57" s="69"/>
      <c r="B57" s="77"/>
      <c r="C57" s="77"/>
      <c r="D57" s="77"/>
      <c r="E57" s="72"/>
      <c r="F57" s="70"/>
      <c r="G57" s="72"/>
      <c r="H57" s="70"/>
      <c r="I57" s="72"/>
      <c r="J57" s="70"/>
      <c r="K57" s="72"/>
      <c r="L57" s="70"/>
      <c r="M57" s="72"/>
      <c r="N57" s="70"/>
      <c r="O57" s="83"/>
      <c r="P57" s="77"/>
    </row>
    <row r="58" spans="1:16" hidden="1">
      <c r="A58" s="69"/>
      <c r="B58" s="77"/>
      <c r="C58" s="77"/>
      <c r="D58" s="77"/>
      <c r="E58" s="72"/>
      <c r="F58" s="70"/>
      <c r="G58" s="72"/>
      <c r="H58" s="70"/>
      <c r="I58" s="72"/>
      <c r="J58" s="70"/>
      <c r="K58" s="72"/>
      <c r="L58" s="70"/>
      <c r="M58" s="72"/>
      <c r="N58" s="70"/>
      <c r="O58" s="83"/>
      <c r="P58" s="77"/>
    </row>
    <row r="59" spans="1:16" hidden="1">
      <c r="A59" s="69"/>
      <c r="B59" s="77"/>
      <c r="C59" s="77"/>
      <c r="D59" s="77"/>
      <c r="E59" s="72"/>
      <c r="F59" s="70"/>
      <c r="G59" s="72"/>
      <c r="H59" s="70"/>
      <c r="I59" s="72"/>
      <c r="J59" s="70"/>
      <c r="K59" s="72"/>
      <c r="L59" s="70"/>
      <c r="M59" s="72"/>
      <c r="N59" s="70"/>
      <c r="O59" s="83"/>
      <c r="P59" s="77"/>
    </row>
    <row r="60" spans="1:16" hidden="1">
      <c r="A60" s="69"/>
      <c r="B60" s="77"/>
      <c r="C60" s="77"/>
      <c r="D60" s="77"/>
      <c r="E60" s="72"/>
      <c r="F60" s="70"/>
      <c r="G60" s="72"/>
      <c r="H60" s="70"/>
      <c r="I60" s="72"/>
      <c r="J60" s="70"/>
      <c r="K60" s="72"/>
      <c r="L60" s="70"/>
      <c r="M60" s="72"/>
      <c r="N60" s="70"/>
      <c r="O60" s="83"/>
      <c r="P60" s="77"/>
    </row>
    <row r="61" spans="1:16" hidden="1">
      <c r="A61" s="69"/>
      <c r="B61" s="77"/>
      <c r="C61" s="77"/>
      <c r="D61" s="77"/>
      <c r="E61" s="72"/>
      <c r="F61" s="70"/>
      <c r="G61" s="72"/>
      <c r="H61" s="70"/>
      <c r="I61" s="72"/>
      <c r="J61" s="70"/>
      <c r="K61" s="72"/>
      <c r="L61" s="70"/>
      <c r="M61" s="72"/>
      <c r="N61" s="70"/>
      <c r="O61" s="83"/>
      <c r="P61" s="77"/>
    </row>
    <row r="62" spans="1:16" hidden="1">
      <c r="A62" s="69"/>
      <c r="B62" s="77"/>
      <c r="C62" s="77"/>
      <c r="D62" s="77"/>
      <c r="E62" s="72"/>
      <c r="F62" s="70"/>
      <c r="G62" s="72"/>
      <c r="H62" s="70"/>
      <c r="I62" s="72"/>
      <c r="J62" s="70"/>
      <c r="K62" s="72"/>
      <c r="L62" s="70"/>
      <c r="M62" s="72"/>
      <c r="N62" s="70"/>
      <c r="O62" s="83"/>
      <c r="P62" s="77"/>
    </row>
    <row r="63" spans="1:16" hidden="1">
      <c r="A63" s="69"/>
      <c r="B63" s="77"/>
      <c r="C63" s="77"/>
      <c r="D63" s="77"/>
      <c r="E63" s="72"/>
      <c r="F63" s="70"/>
      <c r="G63" s="72"/>
      <c r="H63" s="70"/>
      <c r="I63" s="72"/>
      <c r="J63" s="70"/>
      <c r="K63" s="72"/>
      <c r="L63" s="70"/>
      <c r="M63" s="72"/>
      <c r="N63" s="70"/>
      <c r="O63" s="83"/>
      <c r="P63" s="77"/>
    </row>
    <row r="64" spans="1:16" hidden="1">
      <c r="A64" s="69"/>
      <c r="B64" s="77"/>
      <c r="C64" s="77"/>
      <c r="D64" s="77"/>
      <c r="E64" s="72"/>
      <c r="F64" s="70"/>
      <c r="G64" s="72"/>
      <c r="H64" s="70"/>
      <c r="I64" s="72"/>
      <c r="J64" s="70"/>
      <c r="K64" s="72"/>
      <c r="L64" s="70"/>
      <c r="M64" s="72"/>
      <c r="N64" s="70"/>
      <c r="O64" s="83"/>
      <c r="P64" s="77"/>
    </row>
    <row r="65" spans="1:16" hidden="1">
      <c r="A65" s="69"/>
      <c r="B65" s="77"/>
      <c r="C65" s="77"/>
      <c r="D65" s="77"/>
      <c r="E65" s="72"/>
      <c r="F65" s="70"/>
      <c r="G65" s="72"/>
      <c r="H65" s="70"/>
      <c r="I65" s="72"/>
      <c r="J65" s="70"/>
      <c r="K65" s="72"/>
      <c r="L65" s="70"/>
      <c r="M65" s="72"/>
      <c r="N65" s="70"/>
      <c r="O65" s="83"/>
      <c r="P65" s="77"/>
    </row>
    <row r="66" spans="1:16" hidden="1">
      <c r="A66" s="69"/>
      <c r="B66" s="77"/>
      <c r="C66" s="77"/>
      <c r="D66" s="77"/>
      <c r="E66" s="72"/>
      <c r="F66" s="70"/>
      <c r="G66" s="72"/>
      <c r="H66" s="70"/>
      <c r="I66" s="72"/>
      <c r="J66" s="70"/>
      <c r="K66" s="72"/>
      <c r="L66" s="70"/>
      <c r="M66" s="72"/>
      <c r="N66" s="70"/>
      <c r="O66" s="83"/>
      <c r="P66" s="77"/>
    </row>
    <row r="67" spans="1:16" hidden="1">
      <c r="A67" s="69"/>
      <c r="B67" s="77"/>
      <c r="C67" s="77"/>
      <c r="D67" s="77"/>
      <c r="E67" s="72"/>
      <c r="F67" s="70"/>
      <c r="G67" s="72"/>
      <c r="H67" s="70"/>
      <c r="I67" s="72"/>
      <c r="J67" s="70"/>
      <c r="K67" s="72"/>
      <c r="L67" s="70"/>
      <c r="M67" s="72"/>
      <c r="N67" s="70"/>
      <c r="O67" s="83"/>
      <c r="P67" s="77"/>
    </row>
    <row r="68" spans="1:16" hidden="1">
      <c r="A68" s="69"/>
      <c r="B68" s="77"/>
      <c r="C68" s="77"/>
      <c r="D68" s="77"/>
      <c r="E68" s="72"/>
      <c r="F68" s="70"/>
      <c r="G68" s="72"/>
      <c r="H68" s="70"/>
      <c r="I68" s="72"/>
      <c r="J68" s="70"/>
      <c r="K68" s="72"/>
      <c r="L68" s="70"/>
      <c r="M68" s="72"/>
      <c r="N68" s="70"/>
      <c r="O68" s="83"/>
      <c r="P68" s="77"/>
    </row>
    <row r="69" spans="1:16" hidden="1">
      <c r="A69" s="69"/>
      <c r="B69" s="77"/>
      <c r="C69" s="77"/>
      <c r="D69" s="77"/>
      <c r="E69" s="72"/>
      <c r="F69" s="70"/>
      <c r="G69" s="72"/>
      <c r="H69" s="70"/>
      <c r="I69" s="72"/>
      <c r="J69" s="70"/>
      <c r="K69" s="72"/>
      <c r="L69" s="70"/>
      <c r="M69" s="72"/>
      <c r="N69" s="70"/>
      <c r="O69" s="83"/>
      <c r="P69" s="77"/>
    </row>
    <row r="70" spans="1:16" hidden="1">
      <c r="A70" s="69"/>
      <c r="B70" s="77"/>
      <c r="C70" s="77"/>
      <c r="D70" s="77"/>
      <c r="E70" s="72"/>
      <c r="F70" s="70"/>
      <c r="G70" s="72"/>
      <c r="H70" s="70"/>
      <c r="I70" s="72"/>
      <c r="J70" s="70"/>
      <c r="K70" s="72"/>
      <c r="L70" s="70"/>
      <c r="M70" s="72"/>
      <c r="N70" s="70"/>
      <c r="O70" s="83"/>
      <c r="P70" s="77"/>
    </row>
    <row r="71" spans="1:16" hidden="1">
      <c r="A71" s="69"/>
      <c r="B71" s="77"/>
      <c r="C71" s="77"/>
      <c r="D71" s="77"/>
      <c r="E71" s="72"/>
      <c r="F71" s="70"/>
      <c r="G71" s="72"/>
      <c r="H71" s="70"/>
      <c r="I71" s="72"/>
      <c r="J71" s="70"/>
      <c r="K71" s="72"/>
      <c r="L71" s="70"/>
      <c r="M71" s="72"/>
      <c r="N71" s="70"/>
      <c r="O71" s="83"/>
      <c r="P71" s="77"/>
    </row>
    <row r="72" spans="1:16" hidden="1">
      <c r="A72" s="69"/>
      <c r="B72" s="77"/>
      <c r="C72" s="77"/>
      <c r="D72" s="77"/>
      <c r="E72" s="72"/>
      <c r="F72" s="70"/>
      <c r="G72" s="72"/>
      <c r="H72" s="70"/>
      <c r="I72" s="72"/>
      <c r="J72" s="70"/>
      <c r="K72" s="72"/>
      <c r="L72" s="70"/>
      <c r="M72" s="72"/>
      <c r="N72" s="70"/>
      <c r="O72" s="83"/>
      <c r="P72" s="77"/>
    </row>
    <row r="73" spans="1:16" hidden="1">
      <c r="A73" s="69"/>
      <c r="B73" s="77"/>
      <c r="C73" s="77"/>
      <c r="D73" s="77"/>
      <c r="E73" s="72"/>
      <c r="F73" s="70"/>
      <c r="G73" s="72"/>
      <c r="H73" s="70"/>
      <c r="I73" s="72"/>
      <c r="J73" s="70"/>
      <c r="K73" s="72"/>
      <c r="L73" s="70"/>
      <c r="M73" s="72"/>
      <c r="N73" s="70"/>
      <c r="O73" s="83"/>
      <c r="P73" s="77"/>
    </row>
    <row r="74" spans="1:16" hidden="1">
      <c r="A74" s="69"/>
      <c r="B74" s="77"/>
      <c r="C74" s="77"/>
      <c r="D74" s="77"/>
      <c r="E74" s="72"/>
      <c r="F74" s="70"/>
      <c r="G74" s="72"/>
      <c r="H74" s="70"/>
      <c r="I74" s="72"/>
      <c r="J74" s="70"/>
      <c r="K74" s="72"/>
      <c r="L74" s="70"/>
      <c r="M74" s="72"/>
      <c r="N74" s="70"/>
      <c r="O74" s="83"/>
      <c r="P74" s="77"/>
    </row>
    <row r="75" spans="1:16" hidden="1">
      <c r="A75" s="69"/>
      <c r="B75" s="77"/>
      <c r="C75" s="77"/>
      <c r="D75" s="77"/>
      <c r="E75" s="72"/>
      <c r="F75" s="70"/>
      <c r="G75" s="72"/>
      <c r="H75" s="70"/>
      <c r="I75" s="72"/>
      <c r="J75" s="70"/>
      <c r="K75" s="72"/>
      <c r="L75" s="70"/>
      <c r="M75" s="72"/>
      <c r="N75" s="70"/>
      <c r="O75" s="83"/>
      <c r="P75" s="77"/>
    </row>
    <row r="76" spans="1:16" hidden="1">
      <c r="A76" s="69"/>
      <c r="B76" s="77"/>
      <c r="C76" s="77"/>
      <c r="D76" s="77"/>
      <c r="E76" s="72"/>
      <c r="F76" s="70"/>
      <c r="G76" s="72"/>
      <c r="H76" s="70"/>
      <c r="I76" s="72"/>
      <c r="J76" s="70"/>
      <c r="K76" s="72"/>
      <c r="L76" s="70"/>
      <c r="M76" s="72"/>
      <c r="N76" s="70"/>
      <c r="O76" s="83"/>
      <c r="P76" s="77"/>
    </row>
    <row r="77" spans="1:16" hidden="1">
      <c r="A77" s="69"/>
      <c r="B77" s="77"/>
      <c r="C77" s="77"/>
      <c r="D77" s="77"/>
      <c r="E77" s="72"/>
      <c r="F77" s="70"/>
      <c r="G77" s="72"/>
      <c r="H77" s="70"/>
      <c r="I77" s="72"/>
      <c r="J77" s="70"/>
      <c r="K77" s="72"/>
      <c r="L77" s="70"/>
      <c r="M77" s="72"/>
      <c r="N77" s="70"/>
      <c r="O77" s="83"/>
      <c r="P77" s="77"/>
    </row>
    <row r="78" spans="1:16" hidden="1">
      <c r="A78" s="69"/>
      <c r="B78" s="77"/>
      <c r="C78" s="77"/>
      <c r="D78" s="77"/>
      <c r="E78" s="72"/>
      <c r="F78" s="70"/>
      <c r="G78" s="72"/>
      <c r="H78" s="70"/>
      <c r="I78" s="72"/>
      <c r="J78" s="70"/>
      <c r="K78" s="72"/>
      <c r="L78" s="70"/>
      <c r="M78" s="72"/>
      <c r="N78" s="70"/>
      <c r="O78" s="83"/>
      <c r="P78" s="77"/>
    </row>
    <row r="79" spans="1:16" hidden="1">
      <c r="A79" s="69"/>
      <c r="B79" s="77"/>
      <c r="C79" s="77"/>
      <c r="D79" s="77"/>
      <c r="E79" s="72"/>
      <c r="F79" s="70"/>
      <c r="G79" s="72"/>
      <c r="H79" s="70"/>
      <c r="I79" s="72"/>
      <c r="J79" s="70"/>
      <c r="K79" s="72"/>
      <c r="L79" s="70"/>
      <c r="M79" s="72"/>
      <c r="N79" s="70"/>
      <c r="O79" s="83"/>
      <c r="P79" s="77"/>
    </row>
    <row r="80" spans="1:16" hidden="1">
      <c r="A80" s="69"/>
      <c r="B80" s="77"/>
      <c r="C80" s="77"/>
      <c r="D80" s="77"/>
      <c r="E80" s="72"/>
      <c r="F80" s="70"/>
      <c r="G80" s="72"/>
      <c r="H80" s="70"/>
      <c r="I80" s="72"/>
      <c r="J80" s="70"/>
      <c r="K80" s="72"/>
      <c r="L80" s="70"/>
      <c r="M80" s="72"/>
      <c r="N80" s="70"/>
      <c r="O80" s="83"/>
      <c r="P80" s="77"/>
    </row>
    <row r="81" spans="1:16" hidden="1">
      <c r="A81" s="69"/>
      <c r="B81" s="77"/>
      <c r="C81" s="77"/>
      <c r="D81" s="77"/>
      <c r="E81" s="72"/>
      <c r="F81" s="70"/>
      <c r="G81" s="72"/>
      <c r="H81" s="70"/>
      <c r="I81" s="72"/>
      <c r="J81" s="70"/>
      <c r="K81" s="72"/>
      <c r="L81" s="70"/>
      <c r="M81" s="72"/>
      <c r="N81" s="70"/>
      <c r="O81" s="83"/>
      <c r="P81" s="77"/>
    </row>
    <row r="82" spans="1:16" hidden="1">
      <c r="A82" s="69"/>
      <c r="B82" s="77"/>
      <c r="C82" s="77"/>
      <c r="D82" s="77"/>
      <c r="E82" s="72"/>
      <c r="F82" s="70"/>
      <c r="G82" s="72"/>
      <c r="H82" s="70"/>
      <c r="I82" s="72"/>
      <c r="J82" s="70"/>
      <c r="K82" s="72"/>
      <c r="L82" s="70"/>
      <c r="M82" s="72"/>
      <c r="N82" s="70"/>
      <c r="O82" s="83"/>
      <c r="P82" s="77"/>
    </row>
    <row r="83" spans="1:16" hidden="1">
      <c r="A83" s="69"/>
      <c r="B83" s="77"/>
      <c r="C83" s="77"/>
      <c r="D83" s="77"/>
      <c r="E83" s="72"/>
      <c r="F83" s="70"/>
      <c r="G83" s="72"/>
      <c r="H83" s="70"/>
      <c r="I83" s="72"/>
      <c r="J83" s="70"/>
      <c r="K83" s="72"/>
      <c r="L83" s="70"/>
      <c r="M83" s="72"/>
      <c r="N83" s="70"/>
      <c r="O83" s="83"/>
      <c r="P83" s="77"/>
    </row>
    <row r="84" spans="1:16" hidden="1">
      <c r="A84" s="69"/>
      <c r="B84" s="77"/>
      <c r="C84" s="77"/>
      <c r="D84" s="77"/>
      <c r="E84" s="72"/>
      <c r="F84" s="70"/>
      <c r="G84" s="72"/>
      <c r="H84" s="70"/>
      <c r="I84" s="72"/>
      <c r="J84" s="70"/>
      <c r="K84" s="72"/>
      <c r="L84" s="70"/>
      <c r="M84" s="72"/>
      <c r="N84" s="70"/>
      <c r="O84" s="83"/>
      <c r="P84" s="77"/>
    </row>
    <row r="85" spans="1:16" hidden="1">
      <c r="A85" s="69"/>
      <c r="B85" s="77"/>
      <c r="C85" s="77"/>
      <c r="D85" s="77"/>
      <c r="E85" s="72"/>
      <c r="F85" s="70"/>
      <c r="G85" s="72"/>
      <c r="H85" s="70"/>
      <c r="I85" s="72"/>
      <c r="J85" s="70"/>
      <c r="K85" s="72"/>
      <c r="L85" s="70"/>
      <c r="M85" s="72"/>
      <c r="N85" s="70"/>
      <c r="O85" s="83"/>
      <c r="P85" s="77"/>
    </row>
    <row r="86" spans="1:16" hidden="1">
      <c r="A86" s="69"/>
      <c r="B86" s="77"/>
      <c r="C86" s="77"/>
      <c r="D86" s="77"/>
      <c r="E86" s="72"/>
      <c r="F86" s="70"/>
      <c r="G86" s="72"/>
      <c r="H86" s="70"/>
      <c r="I86" s="72"/>
      <c r="J86" s="70"/>
      <c r="K86" s="72"/>
      <c r="L86" s="70"/>
      <c r="M86" s="72"/>
      <c r="N86" s="70"/>
      <c r="O86" s="83"/>
      <c r="P86" s="77"/>
    </row>
    <row r="87" spans="1:16" hidden="1">
      <c r="A87" s="69"/>
      <c r="B87" s="77"/>
      <c r="C87" s="77"/>
      <c r="D87" s="77"/>
      <c r="E87" s="72"/>
      <c r="F87" s="70"/>
      <c r="G87" s="72"/>
      <c r="H87" s="70"/>
      <c r="I87" s="72"/>
      <c r="J87" s="70"/>
      <c r="K87" s="72"/>
      <c r="L87" s="70"/>
      <c r="M87" s="72"/>
      <c r="N87" s="70"/>
      <c r="O87" s="83"/>
      <c r="P87" s="77"/>
    </row>
    <row r="88" spans="1:16" hidden="1">
      <c r="A88" s="69"/>
      <c r="B88" s="77"/>
      <c r="C88" s="77"/>
      <c r="D88" s="77"/>
      <c r="E88" s="72"/>
      <c r="F88" s="70"/>
      <c r="G88" s="72"/>
      <c r="H88" s="70"/>
      <c r="I88" s="72"/>
      <c r="J88" s="70"/>
      <c r="K88" s="72"/>
      <c r="L88" s="70"/>
      <c r="M88" s="72"/>
      <c r="N88" s="70"/>
      <c r="O88" s="83"/>
      <c r="P88" s="77"/>
    </row>
    <row r="89" spans="1:16" hidden="1">
      <c r="A89" s="69"/>
      <c r="B89" s="77"/>
      <c r="C89" s="77"/>
      <c r="D89" s="77"/>
      <c r="E89" s="72"/>
      <c r="F89" s="70"/>
      <c r="G89" s="72"/>
      <c r="H89" s="70"/>
      <c r="I89" s="72"/>
      <c r="J89" s="70"/>
      <c r="K89" s="72"/>
      <c r="L89" s="70"/>
      <c r="M89" s="72"/>
      <c r="N89" s="70"/>
      <c r="O89" s="83"/>
      <c r="P89" s="77"/>
    </row>
    <row r="90" spans="1:16" s="104" customFormat="1" hidden="1">
      <c r="B90" s="105"/>
      <c r="C90" s="105"/>
      <c r="D90" s="105"/>
      <c r="E90" s="86"/>
      <c r="F90" s="86"/>
      <c r="G90" s="86">
        <f>SUM(G6:G89)</f>
        <v>0</v>
      </c>
      <c r="H90" s="86"/>
      <c r="I90" s="86">
        <f>SUM(I6:I89)</f>
        <v>0</v>
      </c>
      <c r="K90" s="107">
        <f>SUM(K6:K89)</f>
        <v>0</v>
      </c>
      <c r="M90" s="107">
        <f>SUM(M6:M89)</f>
        <v>0</v>
      </c>
      <c r="O90" s="106"/>
      <c r="P90" s="105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91" customWidth="1"/>
    <col min="2" max="2" width="18.25" style="101" customWidth="1"/>
    <col min="3" max="3" width="32.375" style="101" customWidth="1"/>
    <col min="4" max="4" width="10" style="102" customWidth="1"/>
    <col min="5" max="5" width="16.625" style="101" customWidth="1"/>
    <col min="6" max="6" width="16.625" style="92" customWidth="1"/>
    <col min="7" max="7" width="3.125" style="92" customWidth="1"/>
    <col min="8" max="16384" width="9" style="92"/>
  </cols>
  <sheetData>
    <row r="1" spans="1:6" ht="16.5" customHeight="1">
      <c r="B1" s="188" t="s">
        <v>53</v>
      </c>
      <c r="C1" s="189"/>
      <c r="D1" s="189"/>
      <c r="E1" s="189"/>
      <c r="F1" s="189"/>
    </row>
    <row r="2" spans="1:6" ht="25.5" customHeight="1">
      <c r="B2" s="189"/>
      <c r="C2" s="189"/>
      <c r="D2" s="189"/>
      <c r="E2" s="189"/>
      <c r="F2" s="189"/>
    </row>
    <row r="3" spans="1:6" ht="10.5" customHeight="1" thickBot="1">
      <c r="A3" s="190"/>
      <c r="B3" s="190"/>
      <c r="C3" s="190"/>
      <c r="D3" s="190"/>
      <c r="E3" s="190"/>
      <c r="F3" s="190"/>
    </row>
    <row r="4" spans="1:6" ht="31.5" customHeight="1">
      <c r="A4" s="93"/>
      <c r="B4" s="94" t="s">
        <v>54</v>
      </c>
      <c r="C4" s="95" t="s">
        <v>55</v>
      </c>
      <c r="D4" s="96" t="s">
        <v>56</v>
      </c>
      <c r="E4" s="191"/>
      <c r="F4" s="192"/>
    </row>
    <row r="5" spans="1:6" s="99" customFormat="1" ht="31.5" customHeight="1">
      <c r="A5" s="97"/>
      <c r="B5" s="98" t="s">
        <v>57</v>
      </c>
      <c r="C5" s="193" t="str">
        <f>갑지!B7</f>
        <v>사택 7-106외 1세대 LED등기구 교체</v>
      </c>
      <c r="D5" s="194"/>
      <c r="E5" s="194"/>
      <c r="F5" s="195"/>
    </row>
    <row r="6" spans="1:6" ht="21.95" customHeight="1">
      <c r="A6" s="97"/>
      <c r="B6" s="196" t="s">
        <v>58</v>
      </c>
      <c r="C6" s="199" t="s">
        <v>59</v>
      </c>
      <c r="D6" s="200"/>
      <c r="E6" s="200"/>
      <c r="F6" s="201"/>
    </row>
    <row r="7" spans="1:6" ht="21.95" customHeight="1">
      <c r="A7" s="97"/>
      <c r="B7" s="197"/>
      <c r="C7" s="202" t="s">
        <v>114</v>
      </c>
      <c r="D7" s="203"/>
      <c r="E7" s="203"/>
      <c r="F7" s="204"/>
    </row>
    <row r="8" spans="1:6" ht="21.95" customHeight="1">
      <c r="A8" s="97"/>
      <c r="B8" s="197"/>
      <c r="C8" s="202" t="s">
        <v>60</v>
      </c>
      <c r="D8" s="203"/>
      <c r="E8" s="203"/>
      <c r="F8" s="204"/>
    </row>
    <row r="9" spans="1:6" ht="21.95" customHeight="1">
      <c r="A9" s="97"/>
      <c r="B9" s="197"/>
      <c r="C9" s="205" t="s">
        <v>112</v>
      </c>
      <c r="D9" s="206"/>
      <c r="E9" s="206"/>
      <c r="F9" s="207"/>
    </row>
    <row r="10" spans="1:6" ht="21.95" customHeight="1">
      <c r="A10" s="97"/>
      <c r="B10" s="197"/>
      <c r="C10" s="205" t="s">
        <v>113</v>
      </c>
      <c r="D10" s="206"/>
      <c r="E10" s="206"/>
      <c r="F10" s="207"/>
    </row>
    <row r="11" spans="1:6" ht="21.95" customHeight="1">
      <c r="A11" s="97"/>
      <c r="B11" s="197"/>
      <c r="C11" s="205"/>
      <c r="D11" s="206"/>
      <c r="E11" s="206"/>
      <c r="F11" s="207"/>
    </row>
    <row r="12" spans="1:6" ht="21.95" customHeight="1">
      <c r="A12" s="97"/>
      <c r="B12" s="197"/>
      <c r="C12" s="205"/>
      <c r="D12" s="206"/>
      <c r="E12" s="206"/>
      <c r="F12" s="207"/>
    </row>
    <row r="13" spans="1:6" ht="21.95" customHeight="1">
      <c r="A13" s="97"/>
      <c r="B13" s="197"/>
      <c r="C13" s="205"/>
      <c r="D13" s="206"/>
      <c r="E13" s="206"/>
      <c r="F13" s="207"/>
    </row>
    <row r="14" spans="1:6" ht="21.95" customHeight="1">
      <c r="A14" s="97"/>
      <c r="B14" s="197"/>
      <c r="C14" s="205"/>
      <c r="D14" s="206"/>
      <c r="E14" s="206"/>
      <c r="F14" s="207"/>
    </row>
    <row r="15" spans="1:6" ht="21.95" customHeight="1">
      <c r="A15" s="97"/>
      <c r="B15" s="197"/>
      <c r="C15" s="205"/>
      <c r="D15" s="206"/>
      <c r="E15" s="206"/>
      <c r="F15" s="207"/>
    </row>
    <row r="16" spans="1:6" ht="21.95" customHeight="1">
      <c r="A16" s="97"/>
      <c r="B16" s="197"/>
      <c r="C16" s="205"/>
      <c r="D16" s="206"/>
      <c r="E16" s="206"/>
      <c r="F16" s="207"/>
    </row>
    <row r="17" spans="1:6" ht="21.95" customHeight="1">
      <c r="A17" s="97"/>
      <c r="B17" s="197"/>
      <c r="C17" s="205"/>
      <c r="D17" s="206"/>
      <c r="E17" s="206"/>
      <c r="F17" s="207"/>
    </row>
    <row r="18" spans="1:6" ht="21.95" customHeight="1">
      <c r="A18" s="97"/>
      <c r="B18" s="197"/>
      <c r="C18" s="205"/>
      <c r="D18" s="208"/>
      <c r="E18" s="208"/>
      <c r="F18" s="209"/>
    </row>
    <row r="19" spans="1:6" ht="19.899999999999999" customHeight="1">
      <c r="A19" s="97"/>
      <c r="B19" s="197"/>
      <c r="C19" s="205"/>
      <c r="D19" s="208"/>
      <c r="E19" s="208"/>
      <c r="F19" s="209"/>
    </row>
    <row r="20" spans="1:6" ht="21.95" customHeight="1">
      <c r="A20" s="97"/>
      <c r="B20" s="197"/>
      <c r="C20" s="210" t="s">
        <v>61</v>
      </c>
      <c r="D20" s="211"/>
      <c r="E20" s="211"/>
      <c r="F20" s="212"/>
    </row>
    <row r="21" spans="1:6" ht="21.95" customHeight="1">
      <c r="A21" s="97"/>
      <c r="B21" s="197"/>
      <c r="C21" s="210" t="s">
        <v>62</v>
      </c>
      <c r="D21" s="211"/>
      <c r="E21" s="211"/>
      <c r="F21" s="212"/>
    </row>
    <row r="22" spans="1:6" ht="21.95" customHeight="1">
      <c r="A22" s="97"/>
      <c r="B22" s="197"/>
      <c r="C22" s="205" t="s">
        <v>63</v>
      </c>
      <c r="D22" s="208"/>
      <c r="E22" s="208"/>
      <c r="F22" s="209"/>
    </row>
    <row r="23" spans="1:6" ht="21.95" customHeight="1">
      <c r="A23" s="97"/>
      <c r="B23" s="197"/>
      <c r="C23" s="205" t="s">
        <v>64</v>
      </c>
      <c r="D23" s="208"/>
      <c r="E23" s="208"/>
      <c r="F23" s="209"/>
    </row>
    <row r="24" spans="1:6" ht="21.95" customHeight="1">
      <c r="A24" s="97"/>
      <c r="B24" s="197"/>
      <c r="C24" s="205" t="s">
        <v>65</v>
      </c>
      <c r="D24" s="208"/>
      <c r="E24" s="208"/>
      <c r="F24" s="209"/>
    </row>
    <row r="25" spans="1:6" ht="21.95" customHeight="1">
      <c r="A25" s="97"/>
      <c r="B25" s="197"/>
      <c r="C25" s="210" t="s">
        <v>66</v>
      </c>
      <c r="D25" s="215"/>
      <c r="E25" s="215"/>
      <c r="F25" s="216"/>
    </row>
    <row r="26" spans="1:6" ht="21.95" customHeight="1">
      <c r="A26" s="97"/>
      <c r="B26" s="197"/>
      <c r="C26" s="210"/>
      <c r="D26" s="215"/>
      <c r="E26" s="215"/>
      <c r="F26" s="216"/>
    </row>
    <row r="27" spans="1:6" ht="21.95" customHeight="1">
      <c r="A27" s="97"/>
      <c r="B27" s="197"/>
      <c r="C27" s="210"/>
      <c r="D27" s="215"/>
      <c r="E27" s="215"/>
      <c r="F27" s="216"/>
    </row>
    <row r="28" spans="1:6" ht="21.95" customHeight="1">
      <c r="A28" s="97"/>
      <c r="B28" s="198"/>
      <c r="C28" s="217"/>
      <c r="D28" s="218"/>
      <c r="E28" s="218"/>
      <c r="F28" s="219"/>
    </row>
    <row r="29" spans="1:6" ht="50.1" customHeight="1">
      <c r="A29" s="97"/>
      <c r="B29" s="98" t="s">
        <v>67</v>
      </c>
      <c r="C29" s="100" t="s">
        <v>68</v>
      </c>
      <c r="D29" s="213" t="s">
        <v>69</v>
      </c>
      <c r="E29" s="213"/>
      <c r="F29" s="214"/>
    </row>
    <row r="30" spans="1:6" ht="50.1" customHeight="1">
      <c r="A30" s="97"/>
      <c r="B30" s="98" t="s">
        <v>70</v>
      </c>
      <c r="C30" s="100" t="s">
        <v>119</v>
      </c>
      <c r="D30" s="213" t="s">
        <v>71</v>
      </c>
      <c r="E30" s="213"/>
      <c r="F30" s="214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5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2026-01-31T06:49:59Z</dcterms:created>
  <dcterms:modified xsi:type="dcterms:W3CDTF">2026-04-24T01:04:49Z</dcterms:modified>
</cp:coreProperties>
</file>
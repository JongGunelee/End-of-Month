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2\06 작업폴더\01 사택 2-301 수장공사\"/>
    </mc:Choice>
  </mc:AlternateContent>
  <xr:revisionPtr revIDLastSave="0" documentId="13_ncr:1_{5D33EC74-BC4F-4576-9FA2-C2D4EE0721D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9" i="9" l="1"/>
  <c r="D7" i="9"/>
  <c r="D11" i="9" s="1"/>
  <c r="F2" i="1"/>
  <c r="E2" i="1"/>
  <c r="D2" i="1"/>
  <c r="C2" i="1"/>
  <c r="B2" i="1"/>
  <c r="U5" i="4" l="1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7" i="4"/>
  <c r="V6" i="4"/>
  <c r="A12" i="4" l="1"/>
  <c r="A9" i="1" s="1"/>
  <c r="F22" i="9"/>
  <c r="N22" i="9" s="1"/>
  <c r="F17" i="9"/>
  <c r="N17" i="9" s="1"/>
  <c r="O12" i="4"/>
  <c r="S12" i="4"/>
  <c r="U12" i="4"/>
  <c r="O9" i="4"/>
  <c r="V9" i="4" s="1"/>
  <c r="A9" i="4"/>
  <c r="A6" i="1" s="1"/>
  <c r="V12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N24" i="9"/>
  <c r="H15" i="9"/>
  <c r="N20" i="9"/>
  <c r="N25" i="9"/>
  <c r="F11" i="9"/>
  <c r="N14" i="9"/>
  <c r="H27" i="9"/>
  <c r="H11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F17" i="5" s="1"/>
  <c r="V8" i="4"/>
  <c r="V11" i="4"/>
  <c r="V14" i="4"/>
  <c r="V15" i="4"/>
  <c r="V10" i="4"/>
  <c r="V13" i="4"/>
  <c r="V16" i="4"/>
  <c r="U18" i="4" l="1"/>
  <c r="O18" i="4"/>
  <c r="F16" i="5" s="1"/>
  <c r="F26" i="5" s="1"/>
  <c r="S18" i="4"/>
  <c r="F18" i="5" l="1"/>
  <c r="V1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<sst xmlns="http://schemas.openxmlformats.org/spreadsheetml/2006/main" count="229" uniqueCount="166">
  <si>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</si>
  <si>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</si>
  <si>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</si>
  <si>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</si>
  <si>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</si>
  <si>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</si>
  <si>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</si>
  <si>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</si>
  <si>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</si>
  <si>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</si>
  <si>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</si>
  <si>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</si>
  <si>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</si>
  <si>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</si>
  <si>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</si>
  <si>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</si>
  <si>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</si>
  <si>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</si>
  <si>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</si>
  <si>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</si>
  <si>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</si>
  <si>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</si>
  <si>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</si>
  <si>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</si>
  <si>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</si>
  <si>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</si>
  <si>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</si>
  <si>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</si>
  <si>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</si>
  <si>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</si>
  <si>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</si>
  <si>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</si>
  <si>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</si>
  <si>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</si>
  <si>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</si>
  <si>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</si>
  <si>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</si>
  <si>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</si>
  <si>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</si>
  <si>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</si>
  <si>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</si>
  <si>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</si>
  <si>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</si>
  <si>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</si>
  <si>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</si>
  <si>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</si>
  <si>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</si>
  <si>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</si>
  <si>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</si>
  <si>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</si>
  <si>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</si>
  <si>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</si>
  <si>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</si>
  <si>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</si>
  <si>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</si>
  <si>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</si>
  <si>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</si>
  <si>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</si>
  <si>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</si>
  <si>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</si>
  <si>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</si>
  <si>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</si>
  <si>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</si>
  <si>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</si>
  <si>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</si>
  <si>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</si>
  <si>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</si>
  <si>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</si>
  <si>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</si>
  <si>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</si>
  <si>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</si>
  <si>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</si>
  <si>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</si>
  <si>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</si>
  <si>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</si>
  <si>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</si>
  <si>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</si>
  <si>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</si>
  <si>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</si>
  <si>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</si>
  <si>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</si>
  <si>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</si>
  <si>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</si>
  <si>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</si>
  <si>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</si>
  <si>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</si>
  <si>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</si>
  <si>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</si>
  <si>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</si>
  <si>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</si>
  <si>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</si>
  <si>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</si>
  <si>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</si>
  <si>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</si>
  <si>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</si>
  <si>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</si>
  <si>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</si>
  <si>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</si>
  <si>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</si>
  <si>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</si>
  <si>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</si>
  <si>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</si>
  <si>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</si>
  <si>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</si>
  <si>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</si>
  <si>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</si>
  <si>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</si>
  <si>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</si>
  <si>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</si>
  <si>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</si>
  <si>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</si>
  <si>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</si>
  <si>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</si>
  <si>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</si>
  <si>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</si>
  <si>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</si>
  <si>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</si>
  <si>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</si>
  <si>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</si>
  <si>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</si>
  <si>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</si>
  <si>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</si>
  <si>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</si>
  <si>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</si>
  <si>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</si>
  <si>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</si>
  <si>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</si>
  <si>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</si>
  <si>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</si>
  <si>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</si>
  <si>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</si>
  <si>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</si>
  <si>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</si>
  <si>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</si>
  <si>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</si>
  <si>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</si>
  <si>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</si>
  <si>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</si>
  <si>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</si>
  <si>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</si>
  <si>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</si>
  <si>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</si>
  <si>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</si>
  <si>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</si>
  <si>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</si>
  <si>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</si>
  <si>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</si>
  <si>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</si>
  <si>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</si>
  <si>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</si>
  <si>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</si>
  <si>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</si>
  <si>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</si>
  <si>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</si>
  <si>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</si>
  <si>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</si>
  <si>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</si>
  <si>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</si>
  <si>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</si>
  <si>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</si>
  <si>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 xml:space="preserve"> 공사명 : 사택 2-301 수장공사</t>
    <phoneticPr fontId="11" type="noConversion"/>
  </si>
  <si>
    <t xml:space="preserve"> 견적일 : 2025 년  05월  07일</t>
    <phoneticPr fontId="11" type="noConversion"/>
  </si>
  <si>
    <t>사택 2-301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</si>
  <si>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소요량99.7/16.51=6.038R/L</t>
    </r>
    <phoneticPr fontId="5" type="noConversion"/>
  </si>
  <si>
    <t>앞,뒤베란다 걸레받이 및 벽면 부분도색(뒤베란다 천정,벽면 곰팡이제거 포함)</t>
    <phoneticPr fontId="5" type="noConversion"/>
  </si>
  <si>
    <t xml:space="preserve">일당 시공량-벽 46㎡, 적산정보 500p 참조,시공총량100/일당46=2.173,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</si>
</sst>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name val="Segoe UI Symbol"/>
      <family val="3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86" fontId="28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6" fontId="30" fillId="0" borderId="31" xfId="13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30" fillId="5" borderId="32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20" sqref="K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88" t="s">
        <v>160</v>
      </c>
      <c r="B7" s="189"/>
      <c r="C7" s="190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88" t="s">
        <v>161</v>
      </c>
      <c r="B9" s="189"/>
      <c r="C9" s="190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6"/>
      <c r="B11" s="187"/>
      <c r="C11" s="187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이백칠십팔만일천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561165.25699999998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'내역서(표준단가)'!Q18</f>
        <v>1804820.8935799997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2365986.1505799997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81216.94021109998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63980.900677410995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8285.5266377247244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18228.691025157998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64251.623811447986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147</v>
      </c>
      <c r="D26" s="30">
        <v>1</v>
      </c>
      <c r="E26" s="30" t="s">
        <v>25</v>
      </c>
      <c r="F26" s="43">
        <f>(F16+F17)*3.11%</f>
        <v>73582.169283037991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105718.33726129397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415264.18890717364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2781250.3394871731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2781000</v>
      </c>
      <c r="G31" s="159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O22" sqref="O22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1"/>
      <c r="B1" s="191"/>
      <c r="C1" s="191"/>
      <c r="D1" s="191"/>
      <c r="E1" s="191"/>
      <c r="F1" s="191"/>
      <c r="G1" s="191"/>
      <c r="H1" s="191"/>
      <c r="I1" s="191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91"/>
      <c r="B2" s="191"/>
      <c r="C2" s="191"/>
      <c r="D2" s="191"/>
      <c r="E2" s="191"/>
      <c r="F2" s="191"/>
      <c r="G2" s="191"/>
      <c r="H2" s="191"/>
      <c r="I2" s="19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2" t="s">
        <v>98</v>
      </c>
      <c r="K3" s="202"/>
      <c r="L3" s="200" t="s">
        <v>47</v>
      </c>
      <c r="M3" s="200" t="s">
        <v>5</v>
      </c>
      <c r="N3" s="196" t="s">
        <v>99</v>
      </c>
      <c r="O3" s="196"/>
      <c r="P3" s="196" t="s">
        <v>100</v>
      </c>
      <c r="Q3" s="196"/>
      <c r="R3" s="197" t="s">
        <v>101</v>
      </c>
      <c r="S3" s="197"/>
      <c r="T3" s="197" t="s">
        <v>102</v>
      </c>
      <c r="U3" s="197"/>
      <c r="V3" s="198" t="s">
        <v>103</v>
      </c>
      <c r="W3" s="194" t="s">
        <v>104</v>
      </c>
      <c r="X3" s="192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1"/>
      <c r="M4" s="201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9"/>
      <c r="W4" s="195"/>
      <c r="X4" s="193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148</v>
      </c>
      <c r="I5" s="100"/>
      <c r="J5" s="169" t="s">
        <v>149</v>
      </c>
      <c r="K5" s="170" t="s">
        <v>163</v>
      </c>
      <c r="L5" s="171" t="s">
        <v>157</v>
      </c>
      <c r="M5" s="161">
        <v>6.0380000000000003</v>
      </c>
      <c r="N5" s="150">
        <v>20900</v>
      </c>
      <c r="O5" s="128">
        <f t="shared" ref="O5" si="1">SUM(N5:N5)*M5*$O$2</f>
        <v>105372.15700000001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105372.15700000001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9" t="s">
        <v>118</v>
      </c>
      <c r="K6" s="170" t="s">
        <v>165</v>
      </c>
      <c r="L6" s="169" t="s">
        <v>117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" si="12">F7&amp;G7&amp;H7&amp;I7</f>
        <v>M020809012520101</v>
      </c>
      <c r="B7" s="106"/>
      <c r="C7" s="106"/>
      <c r="D7" s="106"/>
      <c r="E7" s="106"/>
      <c r="F7" s="100"/>
      <c r="G7" s="74"/>
      <c r="H7" s="74" t="s">
        <v>151</v>
      </c>
      <c r="I7" s="100"/>
      <c r="J7" s="169" t="s">
        <v>152</v>
      </c>
      <c r="K7" s="169" t="s">
        <v>153</v>
      </c>
      <c r="L7" s="172" t="s">
        <v>150</v>
      </c>
      <c r="M7" s="154">
        <v>39.6</v>
      </c>
      <c r="N7" s="131">
        <v>13000</v>
      </c>
      <c r="O7" s="128">
        <f t="shared" ref="O7:O16" si="13">SUM(N7:N7)*M7*$O$2</f>
        <v>429858</v>
      </c>
      <c r="P7" s="127"/>
      <c r="Q7" s="128">
        <f t="shared" ref="Q7:Q17" si="14">(P7*M7)*$Q$2</f>
        <v>0</v>
      </c>
      <c r="R7" s="129"/>
      <c r="S7" s="128">
        <f t="shared" ref="S7:S17" si="15">R7*M7*$S$2</f>
        <v>0</v>
      </c>
      <c r="T7" s="129"/>
      <c r="U7" s="128">
        <f t="shared" ref="U7:U17" si="16">T7*M7*$U$2</f>
        <v>0</v>
      </c>
      <c r="V7" s="76">
        <f t="shared" ref="V7:V17" si="17">SUM(O7+Q7)+S7+U7</f>
        <v>429858</v>
      </c>
      <c r="W7" s="117"/>
      <c r="X7" s="77"/>
    </row>
    <row r="8" spans="1:24" s="140" customFormat="1" ht="38.1" customHeight="1" x14ac:dyDescent="0.3">
      <c r="A8" s="73" t="str">
        <f t="shared" ref="A8:A17" si="18">F8&amp;G8&amp;H8&amp;I8</f>
        <v>E00000803071260401</v>
      </c>
      <c r="B8" s="106"/>
      <c r="C8" s="106"/>
      <c r="D8" s="106"/>
      <c r="E8" s="106"/>
      <c r="F8" s="100"/>
      <c r="G8" s="74" t="s">
        <v>119</v>
      </c>
      <c r="H8" s="74"/>
      <c r="I8" s="100"/>
      <c r="J8" s="169" t="s">
        <v>120</v>
      </c>
      <c r="K8" s="169" t="s">
        <v>158</v>
      </c>
      <c r="L8" s="169" t="s">
        <v>117</v>
      </c>
      <c r="M8" s="154">
        <v>0.64900000000000002</v>
      </c>
      <c r="N8" s="130"/>
      <c r="O8" s="128">
        <f t="shared" si="13"/>
        <v>0</v>
      </c>
      <c r="P8" s="127">
        <v>487076</v>
      </c>
      <c r="Q8" s="128">
        <f t="shared" si="14"/>
        <v>263953.79054000002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263953.79054000002</v>
      </c>
      <c r="W8" s="117"/>
      <c r="X8" s="77"/>
    </row>
    <row r="9" spans="1:24" s="140" customFormat="1" ht="38.1" customHeight="1" x14ac:dyDescent="0.3">
      <c r="A9" s="73" t="str">
        <f t="shared" si="18"/>
        <v>M020412614110102</v>
      </c>
      <c r="B9" s="106"/>
      <c r="C9" s="106"/>
      <c r="D9" s="106"/>
      <c r="E9" s="106"/>
      <c r="F9" s="100"/>
      <c r="G9" s="74"/>
      <c r="H9" s="151" t="s">
        <v>145</v>
      </c>
      <c r="I9" s="100"/>
      <c r="J9" s="173" t="s">
        <v>144</v>
      </c>
      <c r="K9" s="173" t="s">
        <v>139</v>
      </c>
      <c r="L9" s="174" t="s">
        <v>138</v>
      </c>
      <c r="M9" s="154">
        <v>0.2</v>
      </c>
      <c r="N9" s="152">
        <v>65500</v>
      </c>
      <c r="O9" s="128">
        <f t="shared" si="13"/>
        <v>10938.5</v>
      </c>
      <c r="P9" s="127"/>
      <c r="Q9" s="128"/>
      <c r="R9" s="129"/>
      <c r="S9" s="128"/>
      <c r="T9" s="129"/>
      <c r="U9" s="128"/>
      <c r="V9" s="76">
        <f t="shared" si="17"/>
        <v>10938.5</v>
      </c>
      <c r="W9" s="117"/>
      <c r="X9" s="77"/>
    </row>
    <row r="10" spans="1:24" s="140" customFormat="1" ht="38.1" customHeight="1" x14ac:dyDescent="0.3">
      <c r="A10" s="73" t="str">
        <f t="shared" si="18"/>
        <v>E00000803061120402</v>
      </c>
      <c r="B10" s="106"/>
      <c r="C10" s="106"/>
      <c r="D10" s="106"/>
      <c r="E10" s="106"/>
      <c r="F10" s="100"/>
      <c r="G10" s="74" t="s">
        <v>121</v>
      </c>
      <c r="H10" s="74"/>
      <c r="I10" s="100"/>
      <c r="J10" s="169" t="s">
        <v>122</v>
      </c>
      <c r="K10" s="170" t="s">
        <v>123</v>
      </c>
      <c r="L10" s="171" t="s">
        <v>136</v>
      </c>
      <c r="M10" s="161">
        <v>20</v>
      </c>
      <c r="N10" s="127"/>
      <c r="O10" s="128">
        <f t="shared" si="13"/>
        <v>0</v>
      </c>
      <c r="P10" s="127">
        <v>10432</v>
      </c>
      <c r="Q10" s="128">
        <f t="shared" si="14"/>
        <v>174214.39999999999</v>
      </c>
      <c r="R10" s="129"/>
      <c r="S10" s="128">
        <f t="shared" si="15"/>
        <v>0</v>
      </c>
      <c r="T10" s="129"/>
      <c r="U10" s="128">
        <f t="shared" si="16"/>
        <v>0</v>
      </c>
      <c r="V10" s="76">
        <f t="shared" si="17"/>
        <v>174214.39999999999</v>
      </c>
      <c r="W10" s="117"/>
      <c r="X10" s="77"/>
    </row>
    <row r="11" spans="1:24" s="140" customFormat="1" ht="38.1" customHeight="1" x14ac:dyDescent="0.3">
      <c r="A11" s="73" t="str">
        <f t="shared" si="18"/>
        <v>E00000803061300201</v>
      </c>
      <c r="B11" s="106"/>
      <c r="C11" s="106"/>
      <c r="D11" s="106"/>
      <c r="E11" s="106"/>
      <c r="F11" s="100"/>
      <c r="G11" s="74" t="s">
        <v>125</v>
      </c>
      <c r="H11" s="74"/>
      <c r="I11" s="100"/>
      <c r="J11" s="169" t="s">
        <v>126</v>
      </c>
      <c r="K11" s="170" t="s">
        <v>127</v>
      </c>
      <c r="L11" s="171" t="s">
        <v>124</v>
      </c>
      <c r="M11" s="161">
        <v>17.399999999999999</v>
      </c>
      <c r="N11" s="127"/>
      <c r="O11" s="128">
        <f t="shared" si="13"/>
        <v>0</v>
      </c>
      <c r="P11" s="127">
        <v>6179</v>
      </c>
      <c r="Q11" s="128">
        <f t="shared" si="14"/>
        <v>89774.690999999992</v>
      </c>
      <c r="R11" s="129"/>
      <c r="S11" s="128">
        <f t="shared" si="15"/>
        <v>0</v>
      </c>
      <c r="T11" s="129"/>
      <c r="U11" s="128">
        <f t="shared" si="16"/>
        <v>0</v>
      </c>
      <c r="V11" s="76">
        <f t="shared" si="17"/>
        <v>89774.690999999992</v>
      </c>
      <c r="W11" s="117"/>
      <c r="X11" s="77"/>
    </row>
    <row r="12" spans="1:24" s="140" customFormat="1" ht="38.1" customHeight="1" x14ac:dyDescent="0.3">
      <c r="A12" s="73" t="str">
        <f t="shared" si="18"/>
        <v>M020411810170101</v>
      </c>
      <c r="B12" s="106"/>
      <c r="C12" s="106"/>
      <c r="D12" s="106"/>
      <c r="E12" s="106"/>
      <c r="F12" s="100"/>
      <c r="G12" s="74"/>
      <c r="H12" s="151" t="s">
        <v>140</v>
      </c>
      <c r="I12" s="100"/>
      <c r="J12" s="173" t="s">
        <v>141</v>
      </c>
      <c r="K12" s="173" t="s">
        <v>142</v>
      </c>
      <c r="L12" s="174" t="s">
        <v>138</v>
      </c>
      <c r="M12" s="154">
        <v>0.2</v>
      </c>
      <c r="N12" s="152">
        <v>89800</v>
      </c>
      <c r="O12" s="128">
        <f t="shared" si="13"/>
        <v>14996.599999999999</v>
      </c>
      <c r="P12" s="127"/>
      <c r="Q12" s="128"/>
      <c r="R12" s="129"/>
      <c r="S12" s="128">
        <f t="shared" si="15"/>
        <v>0</v>
      </c>
      <c r="T12" s="129"/>
      <c r="U12" s="128">
        <f t="shared" si="16"/>
        <v>0</v>
      </c>
      <c r="V12" s="76">
        <f t="shared" si="17"/>
        <v>14996.599999999999</v>
      </c>
      <c r="W12" s="117"/>
      <c r="X12" s="77"/>
    </row>
    <row r="13" spans="1:24" s="140" customFormat="1" ht="38.1" customHeight="1" x14ac:dyDescent="0.3">
      <c r="A13" s="73" t="str">
        <f t="shared" si="18"/>
        <v>E00000803061120802</v>
      </c>
      <c r="B13" s="106"/>
      <c r="C13" s="106"/>
      <c r="D13" s="106"/>
      <c r="E13" s="106"/>
      <c r="F13" s="100"/>
      <c r="G13" s="74" t="s">
        <v>128</v>
      </c>
      <c r="H13" s="74"/>
      <c r="I13" s="100"/>
      <c r="J13" s="169" t="s">
        <v>129</v>
      </c>
      <c r="K13" s="169" t="s">
        <v>130</v>
      </c>
      <c r="L13" s="172" t="s">
        <v>124</v>
      </c>
      <c r="M13" s="154">
        <v>10</v>
      </c>
      <c r="N13" s="141"/>
      <c r="O13" s="75">
        <f t="shared" si="13"/>
        <v>0</v>
      </c>
      <c r="P13" s="142">
        <v>2422</v>
      </c>
      <c r="Q13" s="75">
        <f t="shared" si="14"/>
        <v>20223.7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20223.7</v>
      </c>
      <c r="W13" s="117"/>
      <c r="X13" s="77"/>
    </row>
    <row r="14" spans="1:24" s="140" customFormat="1" ht="38.1" customHeight="1" x14ac:dyDescent="0.3">
      <c r="A14" s="73" t="str">
        <f t="shared" si="18"/>
        <v>E00000803061300701</v>
      </c>
      <c r="B14" s="106"/>
      <c r="C14" s="106"/>
      <c r="D14" s="106"/>
      <c r="E14" s="106"/>
      <c r="F14" s="100"/>
      <c r="G14" s="74" t="s">
        <v>131</v>
      </c>
      <c r="H14" s="74"/>
      <c r="I14" s="100"/>
      <c r="J14" s="169" t="s">
        <v>132</v>
      </c>
      <c r="K14" s="169" t="s">
        <v>127</v>
      </c>
      <c r="L14" s="172" t="s">
        <v>124</v>
      </c>
      <c r="M14" s="154">
        <v>10</v>
      </c>
      <c r="N14" s="118"/>
      <c r="O14" s="75">
        <f t="shared" si="13"/>
        <v>0</v>
      </c>
      <c r="P14" s="142">
        <v>3756</v>
      </c>
      <c r="Q14" s="75">
        <f t="shared" si="14"/>
        <v>31362.6</v>
      </c>
      <c r="R14" s="76"/>
      <c r="S14" s="75">
        <f t="shared" si="15"/>
        <v>0</v>
      </c>
      <c r="T14" s="76"/>
      <c r="U14" s="75">
        <f t="shared" si="16"/>
        <v>0</v>
      </c>
      <c r="V14" s="76">
        <f t="shared" si="17"/>
        <v>31362.6</v>
      </c>
      <c r="W14" s="117"/>
      <c r="X14" s="77"/>
    </row>
    <row r="15" spans="1:24" s="140" customFormat="1" ht="38.1" customHeight="1" x14ac:dyDescent="0.3">
      <c r="A15" s="73" t="str">
        <f t="shared" si="18"/>
        <v>E00000803061120802</v>
      </c>
      <c r="B15" s="106"/>
      <c r="C15" s="106"/>
      <c r="D15" s="106"/>
      <c r="E15" s="106"/>
      <c r="F15" s="100"/>
      <c r="G15" s="74" t="s">
        <v>128</v>
      </c>
      <c r="H15" s="74"/>
      <c r="I15" s="100"/>
      <c r="J15" s="169" t="s">
        <v>133</v>
      </c>
      <c r="K15" s="169" t="s">
        <v>130</v>
      </c>
      <c r="L15" s="172" t="s">
        <v>124</v>
      </c>
      <c r="M15" s="154">
        <v>2</v>
      </c>
      <c r="N15" s="141"/>
      <c r="O15" s="75">
        <f t="shared" si="13"/>
        <v>0</v>
      </c>
      <c r="P15" s="142">
        <v>2422</v>
      </c>
      <c r="Q15" s="75">
        <f t="shared" si="14"/>
        <v>4044.74</v>
      </c>
      <c r="R15" s="76"/>
      <c r="S15" s="75">
        <f t="shared" si="15"/>
        <v>0</v>
      </c>
      <c r="T15" s="76"/>
      <c r="U15" s="75">
        <f t="shared" si="16"/>
        <v>0</v>
      </c>
      <c r="V15" s="76">
        <f t="shared" si="17"/>
        <v>4044.74</v>
      </c>
      <c r="W15" s="117"/>
      <c r="X15" s="77"/>
    </row>
    <row r="16" spans="1:24" s="140" customFormat="1" ht="38.1" customHeight="1" x14ac:dyDescent="0.3">
      <c r="A16" s="73" t="str">
        <f t="shared" si="18"/>
        <v>E00000803061300401</v>
      </c>
      <c r="B16" s="106"/>
      <c r="C16" s="106"/>
      <c r="D16" s="106"/>
      <c r="E16" s="106"/>
      <c r="F16" s="100"/>
      <c r="G16" s="74" t="s">
        <v>134</v>
      </c>
      <c r="H16" s="74"/>
      <c r="I16" s="100"/>
      <c r="J16" s="169" t="s">
        <v>135</v>
      </c>
      <c r="K16" s="169" t="s">
        <v>127</v>
      </c>
      <c r="L16" s="172" t="s">
        <v>124</v>
      </c>
      <c r="M16" s="154">
        <v>2</v>
      </c>
      <c r="N16" s="118"/>
      <c r="O16" s="75">
        <f t="shared" si="13"/>
        <v>0</v>
      </c>
      <c r="P16" s="142">
        <v>5677</v>
      </c>
      <c r="Q16" s="75">
        <f t="shared" si="14"/>
        <v>9480.59</v>
      </c>
      <c r="R16" s="76"/>
      <c r="S16" s="75">
        <f t="shared" si="15"/>
        <v>0</v>
      </c>
      <c r="T16" s="76"/>
      <c r="U16" s="75">
        <f t="shared" si="16"/>
        <v>0</v>
      </c>
      <c r="V16" s="76">
        <f t="shared" si="17"/>
        <v>9480.59</v>
      </c>
      <c r="W16" s="117"/>
      <c r="X16" s="77"/>
    </row>
    <row r="17" spans="1:24" s="140" customFormat="1" ht="38.1" customHeight="1" x14ac:dyDescent="0.3">
      <c r="A17" s="73" t="str">
        <f t="shared" si="18"/>
        <v>E00000801011510701</v>
      </c>
      <c r="B17" s="106"/>
      <c r="C17" s="106"/>
      <c r="D17" s="106"/>
      <c r="E17" s="106"/>
      <c r="F17" s="100"/>
      <c r="G17" s="74" t="s">
        <v>156</v>
      </c>
      <c r="H17" s="74"/>
      <c r="I17" s="100"/>
      <c r="J17" s="175" t="s">
        <v>154</v>
      </c>
      <c r="K17" s="175" t="s">
        <v>159</v>
      </c>
      <c r="L17" s="176" t="s">
        <v>155</v>
      </c>
      <c r="M17" s="154">
        <v>79</v>
      </c>
      <c r="N17" s="141"/>
      <c r="O17" s="75">
        <f t="shared" ref="O17" si="19">SUM(N17:N17)*M17*$O$2</f>
        <v>0</v>
      </c>
      <c r="P17" s="153">
        <v>4966</v>
      </c>
      <c r="Q17" s="75">
        <f t="shared" si="14"/>
        <v>327582.19</v>
      </c>
      <c r="R17" s="76"/>
      <c r="S17" s="75">
        <f t="shared" si="15"/>
        <v>0</v>
      </c>
      <c r="T17" s="76"/>
      <c r="U17" s="75">
        <f t="shared" si="16"/>
        <v>0</v>
      </c>
      <c r="V17" s="76">
        <f t="shared" si="17"/>
        <v>327582.19</v>
      </c>
      <c r="W17" s="117"/>
      <c r="X17" s="77"/>
    </row>
    <row r="18" spans="1:24" s="148" customFormat="1" ht="38.1" customHeight="1" x14ac:dyDescent="0.3">
      <c r="A18" s="143"/>
      <c r="B18" s="144"/>
      <c r="C18" s="144"/>
      <c r="D18" s="144"/>
      <c r="E18" s="144"/>
      <c r="F18" s="144"/>
      <c r="G18" s="144"/>
      <c r="H18" s="144"/>
      <c r="I18" s="144"/>
      <c r="J18" s="134"/>
      <c r="K18" s="134"/>
      <c r="L18" s="144"/>
      <c r="M18" s="144"/>
      <c r="N18" s="144"/>
      <c r="O18" s="145">
        <f>SUM(O5:O17)</f>
        <v>561165.25699999998</v>
      </c>
      <c r="P18" s="146"/>
      <c r="Q18" s="145">
        <f>SUM(Q5:Q17)</f>
        <v>1804820.8935799997</v>
      </c>
      <c r="R18" s="146"/>
      <c r="S18" s="145">
        <f>SUM(S5:S17)</f>
        <v>0</v>
      </c>
      <c r="T18" s="146"/>
      <c r="U18" s="145">
        <f>SUM(U5:U17)</f>
        <v>0</v>
      </c>
      <c r="V18" s="147">
        <f>SUM(V5:V17)</f>
        <v>2365986.1505800001</v>
      </c>
      <c r="W18" s="109"/>
      <c r="X18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6"/>
  <sheetViews>
    <sheetView zoomScaleNormal="100" workbookViewId="0">
      <selection activeCell="D5" sqref="D5:D9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5" ht="27" customHeight="1" x14ac:dyDescent="0.3">
      <c r="A1" s="205" t="s">
        <v>59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15" customHeight="1" x14ac:dyDescent="0.3">
      <c r="A2" s="206" t="s">
        <v>60</v>
      </c>
      <c r="B2" s="207" t="s">
        <v>61</v>
      </c>
      <c r="C2" s="208" t="s">
        <v>47</v>
      </c>
      <c r="D2" s="208" t="s">
        <v>62</v>
      </c>
      <c r="E2" s="210" t="s">
        <v>63</v>
      </c>
      <c r="F2" s="207"/>
      <c r="G2" s="207" t="s">
        <v>64</v>
      </c>
      <c r="H2" s="207"/>
      <c r="I2" s="211" t="s">
        <v>65</v>
      </c>
      <c r="J2" s="212"/>
      <c r="K2" s="211" t="s">
        <v>66</v>
      </c>
      <c r="L2" s="212"/>
      <c r="M2" s="210" t="s">
        <v>67</v>
      </c>
      <c r="N2" s="207"/>
      <c r="O2" s="213" t="s">
        <v>68</v>
      </c>
    </row>
    <row r="3" spans="1:15" ht="15" customHeight="1" x14ac:dyDescent="0.3">
      <c r="A3" s="206"/>
      <c r="B3" s="207"/>
      <c r="C3" s="209"/>
      <c r="D3" s="209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14"/>
    </row>
    <row r="4" spans="1:15" ht="15" customHeight="1" x14ac:dyDescent="0.3">
      <c r="A4" s="203" t="s">
        <v>162</v>
      </c>
      <c r="B4" s="20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16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9" si="0">D5*E5</f>
        <v>58135</v>
      </c>
      <c r="G5" s="83">
        <v>8839.9</v>
      </c>
      <c r="H5" s="83">
        <f t="shared" ref="H5:H9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18"/>
    </row>
    <row r="6" spans="1:15" ht="15" customHeight="1" x14ac:dyDescent="0.3">
      <c r="A6" s="217"/>
      <c r="B6" s="177" t="s">
        <v>75</v>
      </c>
      <c r="C6" s="178" t="s">
        <v>74</v>
      </c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219"/>
    </row>
    <row r="7" spans="1:15" ht="15" customHeight="1" x14ac:dyDescent="0.3">
      <c r="A7" s="217"/>
      <c r="B7" s="162" t="s">
        <v>76</v>
      </c>
      <c r="C7" s="163" t="s">
        <v>74</v>
      </c>
      <c r="D7" s="184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7:N9" si="2">F7+H7+J7+L7</f>
        <v>244453.43</v>
      </c>
      <c r="O7" s="219"/>
    </row>
    <row r="8" spans="1:15" ht="15" customHeight="1" x14ac:dyDescent="0.3">
      <c r="A8" s="217"/>
      <c r="B8" s="181" t="s">
        <v>77</v>
      </c>
      <c r="C8" s="182" t="s">
        <v>74</v>
      </c>
      <c r="D8" s="183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219"/>
    </row>
    <row r="9" spans="1:15" ht="15" customHeight="1" x14ac:dyDescent="0.3">
      <c r="A9" s="217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19"/>
    </row>
    <row r="10" spans="1:15" ht="15" customHeight="1" x14ac:dyDescent="0.3">
      <c r="A10" s="217"/>
      <c r="B10" s="181" t="s">
        <v>79</v>
      </c>
      <c r="C10" s="182" t="s">
        <v>74</v>
      </c>
      <c r="D10" s="183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219"/>
    </row>
    <row r="11" spans="1:15" ht="15" customHeight="1" x14ac:dyDescent="0.3">
      <c r="A11" s="110" t="s">
        <v>80</v>
      </c>
      <c r="B11" s="111"/>
      <c r="C11" s="112"/>
      <c r="D11" s="116">
        <f>SUM(D5:D10)</f>
        <v>99.7</v>
      </c>
      <c r="E11" s="113"/>
      <c r="F11" s="113">
        <f>SUM(F5:F10)</f>
        <v>105382.9</v>
      </c>
      <c r="G11" s="113"/>
      <c r="H11" s="113">
        <f>SUM(H5:H10)</f>
        <v>881338.03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986720.92999999993</v>
      </c>
      <c r="O11" s="113"/>
    </row>
    <row r="12" spans="1:15" ht="15" customHeight="1" x14ac:dyDescent="0.3">
      <c r="A12" s="220" t="s">
        <v>146</v>
      </c>
      <c r="B12" s="81" t="s">
        <v>81</v>
      </c>
      <c r="C12" s="82" t="s">
        <v>74</v>
      </c>
      <c r="D12" s="166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19"/>
    </row>
    <row r="13" spans="1:15" ht="15" customHeight="1" x14ac:dyDescent="0.3">
      <c r="A13" s="220"/>
      <c r="B13" s="81" t="s">
        <v>82</v>
      </c>
      <c r="C13" s="82" t="s">
        <v>74</v>
      </c>
      <c r="D13" s="167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19"/>
    </row>
    <row r="14" spans="1:15" ht="15" customHeight="1" x14ac:dyDescent="0.3">
      <c r="A14" s="220"/>
      <c r="B14" s="81" t="s">
        <v>83</v>
      </c>
      <c r="C14" s="82" t="s">
        <v>74</v>
      </c>
      <c r="D14" s="167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19"/>
    </row>
    <row r="15" spans="1:15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5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8" t="s">
        <v>143</v>
      </c>
      <c r="B17" s="164" t="s">
        <v>139</v>
      </c>
      <c r="C17" s="164" t="s">
        <v>138</v>
      </c>
      <c r="D17" s="165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83"/>
    </row>
    <row r="18" spans="1:15" ht="15" customHeight="1" x14ac:dyDescent="0.3">
      <c r="A18" s="221" t="s">
        <v>85</v>
      </c>
      <c r="B18" s="162" t="s">
        <v>86</v>
      </c>
      <c r="C18" s="163" t="s">
        <v>74</v>
      </c>
      <c r="D18" s="168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3"/>
    </row>
    <row r="19" spans="1:15" ht="15" customHeight="1" x14ac:dyDescent="0.3">
      <c r="A19" s="221"/>
      <c r="B19" s="162" t="s">
        <v>87</v>
      </c>
      <c r="C19" s="163" t="s">
        <v>74</v>
      </c>
      <c r="D19" s="168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22" t="s">
        <v>164</v>
      </c>
    </row>
    <row r="20" spans="1:15" ht="15" customHeight="1" x14ac:dyDescent="0.3">
      <c r="A20" s="215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3"/>
    </row>
    <row r="21" spans="1:15" ht="15" customHeight="1" x14ac:dyDescent="0.3">
      <c r="A21" s="215"/>
      <c r="B21" s="89" t="s">
        <v>87</v>
      </c>
      <c r="C21" s="90" t="s">
        <v>74</v>
      </c>
      <c r="D21" s="9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3"/>
    </row>
    <row r="22" spans="1:15" ht="15" customHeight="1" x14ac:dyDescent="0.3">
      <c r="A22" s="126" t="s">
        <v>141</v>
      </c>
      <c r="B22" s="125" t="s">
        <v>142</v>
      </c>
      <c r="C22" s="125" t="s">
        <v>138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83"/>
    </row>
    <row r="23" spans="1:15" ht="15" customHeight="1" x14ac:dyDescent="0.3">
      <c r="A23" s="215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15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15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15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137</v>
      </c>
      <c r="B30" s="84"/>
      <c r="C30" s="85"/>
      <c r="D30" s="95"/>
      <c r="E30" s="97"/>
      <c r="F30" s="98">
        <f>F11+F15+F27+F29</f>
        <v>562262.4</v>
      </c>
      <c r="G30" s="98"/>
      <c r="H30" s="98">
        <f>H11+H15+H27+H29</f>
        <v>1802765.2000000002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2365027.6</v>
      </c>
      <c r="O30" s="97"/>
    </row>
    <row r="36" spans="2:2" x14ac:dyDescent="0.3">
      <c r="B36" s="160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36" sqref="F3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6.0380000000000003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M020809012520101</v>
      </c>
      <c r="B4" s="105">
        <f>'내역서(표준단가)'!F7</f>
        <v>0</v>
      </c>
      <c r="C4" s="105">
        <f>'내역서(표준단가)'!G7</f>
        <v>0</v>
      </c>
      <c r="D4" s="105" t="str">
        <f>'내역서(표준단가)'!H7</f>
        <v>M020809012520101</v>
      </c>
      <c r="E4" s="105">
        <f>'내역서(표준단가)'!I7</f>
        <v>0</v>
      </c>
      <c r="F4" s="115">
        <f>'내역서(표준단가)'!M7</f>
        <v>39.6</v>
      </c>
    </row>
    <row r="5" spans="1:6" x14ac:dyDescent="0.3">
      <c r="A5" s="104" t="str">
        <f>'내역서(표준단가)'!A8</f>
        <v>E00000803071260401</v>
      </c>
      <c r="B5" s="105">
        <f>'내역서(표준단가)'!F8</f>
        <v>0</v>
      </c>
      <c r="C5" s="105" t="str">
        <f>'내역서(표준단가)'!G8</f>
        <v>E00000803071260401</v>
      </c>
      <c r="D5" s="105">
        <f>'내역서(표준단가)'!H8</f>
        <v>0</v>
      </c>
      <c r="E5" s="105">
        <f>'내역서(표준단가)'!I8</f>
        <v>0</v>
      </c>
      <c r="F5" s="115">
        <f>'내역서(표준단가)'!M8</f>
        <v>0.64900000000000002</v>
      </c>
    </row>
    <row r="6" spans="1:6" x14ac:dyDescent="0.3">
      <c r="A6" s="104" t="str">
        <f>'내역서(표준단가)'!A9</f>
        <v>M020412614110102</v>
      </c>
      <c r="B6" s="105">
        <f>'내역서(표준단가)'!F9</f>
        <v>0</v>
      </c>
      <c r="C6" s="105">
        <f>'내역서(표준단가)'!G9</f>
        <v>0</v>
      </c>
      <c r="D6" s="105" t="str">
        <f>'내역서(표준단가)'!H9</f>
        <v>M020412614110102</v>
      </c>
      <c r="E6" s="105">
        <f>'내역서(표준단가)'!I9</f>
        <v>0</v>
      </c>
      <c r="F6" s="115">
        <f>'내역서(표준단가)'!M9</f>
        <v>0.2</v>
      </c>
    </row>
    <row r="7" spans="1:6" x14ac:dyDescent="0.3">
      <c r="A7" s="104" t="str">
        <f>'내역서(표준단가)'!A10</f>
        <v>E00000803061120402</v>
      </c>
      <c r="B7" s="105">
        <f>'내역서(표준단가)'!F10</f>
        <v>0</v>
      </c>
      <c r="C7" s="105" t="str">
        <f>'내역서(표준단가)'!G10</f>
        <v>E00000803061120402</v>
      </c>
      <c r="D7" s="105">
        <f>'내역서(표준단가)'!H10</f>
        <v>0</v>
      </c>
      <c r="E7" s="105">
        <f>'내역서(표준단가)'!I10</f>
        <v>0</v>
      </c>
      <c r="F7" s="115">
        <f>'내역서(표준단가)'!M10</f>
        <v>20</v>
      </c>
    </row>
    <row r="8" spans="1:6" x14ac:dyDescent="0.3">
      <c r="A8" s="104" t="str">
        <f>'내역서(표준단가)'!A11</f>
        <v>E00000803061300201</v>
      </c>
      <c r="B8" s="105">
        <f>'내역서(표준단가)'!F11</f>
        <v>0</v>
      </c>
      <c r="C8" s="105" t="str">
        <f>'내역서(표준단가)'!G11</f>
        <v>E00000803061300201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17.399999999999999</v>
      </c>
    </row>
    <row r="9" spans="1:6" x14ac:dyDescent="0.3">
      <c r="A9" s="104" t="str">
        <f>'내역서(표준단가)'!A12</f>
        <v>M020411810170101</v>
      </c>
      <c r="B9" s="105">
        <f>'내역서(표준단가)'!F12</f>
        <v>0</v>
      </c>
      <c r="C9" s="105">
        <f>'내역서(표준단가)'!G12</f>
        <v>0</v>
      </c>
      <c r="D9" s="105" t="str">
        <f>'내역서(표준단가)'!H12</f>
        <v>M020411810170101</v>
      </c>
      <c r="E9" s="105">
        <f>'내역서(표준단가)'!I12</f>
        <v>0</v>
      </c>
      <c r="F9" s="115">
        <f>'내역서(표준단가)'!M12</f>
        <v>0.2</v>
      </c>
    </row>
    <row r="10" spans="1:6" x14ac:dyDescent="0.3">
      <c r="A10" s="104" t="str">
        <f>'내역서(표준단가)'!A13</f>
        <v>E00000803061120802</v>
      </c>
      <c r="B10" s="105">
        <f>'내역서(표준단가)'!F13</f>
        <v>0</v>
      </c>
      <c r="C10" s="105" t="str">
        <f>'내역서(표준단가)'!G13</f>
        <v>E00000803061120802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10</v>
      </c>
    </row>
    <row r="11" spans="1:6" x14ac:dyDescent="0.3">
      <c r="A11" s="104" t="str">
        <f>'내역서(표준단가)'!A14</f>
        <v>E00000803061300701</v>
      </c>
      <c r="B11" s="105">
        <f>'내역서(표준단가)'!F14</f>
        <v>0</v>
      </c>
      <c r="C11" s="105" t="str">
        <f>'내역서(표준단가)'!G14</f>
        <v>E00000803061300701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E00000803061120802</v>
      </c>
      <c r="B12" s="105">
        <f>'내역서(표준단가)'!F15</f>
        <v>0</v>
      </c>
      <c r="C12" s="105" t="str">
        <f>'내역서(표준단가)'!G15</f>
        <v>E00000803061120802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2</v>
      </c>
    </row>
    <row r="13" spans="1:6" x14ac:dyDescent="0.3">
      <c r="A13" s="104" t="str">
        <f>'내역서(표준단가)'!A16</f>
        <v>E00000803061300401</v>
      </c>
      <c r="B13" s="105">
        <f>'내역서(표준단가)'!F16</f>
        <v>0</v>
      </c>
      <c r="C13" s="105" t="str">
        <f>'내역서(표준단가)'!G16</f>
        <v>E00000803061300401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E00000801011510701</v>
      </c>
      <c r="B14" s="105">
        <f>'내역서(표준단가)'!F17</f>
        <v>0</v>
      </c>
      <c r="C14" s="105" t="str">
        <f>'내역서(표준단가)'!G17</f>
        <v>E00000801011510701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2025-05-12T01:48:43Z</dcterms:modified>
</cp:coreProperties>
</file>
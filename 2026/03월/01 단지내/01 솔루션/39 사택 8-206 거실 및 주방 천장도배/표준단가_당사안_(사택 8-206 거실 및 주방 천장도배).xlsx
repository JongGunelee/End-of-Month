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codeName="현재_통합_문서"/>
  <xr:revisionPtr revIDLastSave="0" documentId="13_ncr:1_{CA1C0428-CA3E-4391-A9F3-A547264D55FD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  <sheet name="6,8,9동 도면" sheetId="10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E3" i="1"/>
  <c r="D3" i="1"/>
  <c r="C3" i="1"/>
  <c r="B3" i="1"/>
  <c r="F2" i="1" l="1"/>
  <c r="E2" i="1"/>
  <c r="D2" i="1"/>
  <c r="C2" i="1"/>
  <c r="B2" i="1"/>
  <c r="Q5" i="4" l="1"/>
  <c r="O5" i="4"/>
  <c r="M5" i="4"/>
  <c r="K5" i="4"/>
  <c r="A5" i="4"/>
  <c r="A2" i="1" s="1"/>
  <c r="R5" i="4" l="1"/>
  <c r="A6" i="4"/>
  <c r="A3" i="1" s="1"/>
  <c r="K6" i="4" l="1"/>
  <c r="M6" i="4"/>
  <c r="O6" i="4"/>
  <c r="Q6" i="4"/>
  <c r="R6" i="4" l="1"/>
  <c r="K7" i="4" l="1"/>
  <c r="M7" i="4"/>
  <c r="F17" i="5" s="1"/>
  <c r="F21" i="5" l="1"/>
  <c r="F22" i="5"/>
  <c r="R7" i="4"/>
  <c r="Q7" i="4"/>
  <c r="F16" i="5"/>
  <c r="O7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<sst xmlns="http://schemas.openxmlformats.org/spreadsheetml/2006/main" count="109" uniqueCount="90">
  <si>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</si>
  <si>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</si>
  <si>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</si>
  <si>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</si>
  <si>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</si>
  <si>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</si>
  <si>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</si>
  <si>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</si>
  <si>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</si>
  <si>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</si>
  <si>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</si>
  <si>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</si>
  <si>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</si>
  <si>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</si>
  <si>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</si>
  <si>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</si>
  <si>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</si>
  <si>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</si>
  <si>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</si>
  <si>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</si>
  <si>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</si>
  <si>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</si>
  <si>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</si>
  <si>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</si>
  <si>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</si>
  <si>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</si>
  <si>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</si>
  <si>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</si>
  <si>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</si>
  <si>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</si>
  <si>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</si>
  <si>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</si>
  <si>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</si>
  <si>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</si>
  <si>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</si>
  <si>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</si>
  <si>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</si>
  <si>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</si>
  <si>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</si>
  <si>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</si>
  <si>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</si>
  <si>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</si>
  <si>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</si>
  <si>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</si>
  <si>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</si>
  <si>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</si>
  <si>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</si>
  <si>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</si>
  <si>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</si>
  <si>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</si>
  <si>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</si>
  <si>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</si>
  <si>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</si>
  <si>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</si>
  <si>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</si>
  <si>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</si>
  <si>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</si>
  <si>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</si>
  <si>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</si>
  <si>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</si>
  <si>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</si>
  <si>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</si>
  <si>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</si>
  <si>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</si>
  <si>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</si>
  <si>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</si>
  <si>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</si>
  <si>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</si>
  <si>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</si>
  <si>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</si>
  <si>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</si>
  <si>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</si>
  <si>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</si>
  <si>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</si>
  <si>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</si>
  <si>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</si>
  <si>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</si>
  <si>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</si>
  <si>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</si>
  <si>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</si>
  <si>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M020853710050101</t>
  </si>
  <si>
    <t>아이리스</t>
  </si>
  <si>
    <t>R/L</t>
  </si>
  <si>
    <t> 노무비*4.75%</t>
    <phoneticPr fontId="13" type="noConversion"/>
  </si>
  <si>
    <t> 노무비*3.595%</t>
    <phoneticPr fontId="13" type="noConversion"/>
  </si>
  <si>
    <t xml:space="preserve"> 견적일 : 2026년  02월  13일</t>
    <phoneticPr fontId="5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</si>
  <si>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>, 소요량40/16.51=2.4227R/L</t>
    </r>
    <phoneticPr fontId="5" type="noConversion"/>
  </si>
  <si>
    <t>일당 시공량-천장 35㎡ 적산정보 500p 참조, 시공총량40㎡/일당35㎡=1.1428</t>
    <phoneticPr fontId="5" type="noConversion"/>
  </si>
  <si>
    <t>도배 교체(천장)거실14.44+통로8.76+주방12.82+전실2.3=38.32, 38.32*손실할증105%=40.23</t>
    <phoneticPr fontId="5" type="noConversion"/>
  </si>
  <si>
    <t xml:space="preserve"> 공사명 : 사택 8-206 거실,주방 천장 도배보수 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</si>
</sst>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.000_ "/>
    <numFmt numFmtId="184" formatCode="0.000_ "/>
    <numFmt numFmtId="185" formatCode="#,##0;\-#,##0;"/>
    <numFmt numFmtId="186" formatCode="0.000"/>
  </numFmts>
  <fonts count="2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name val="LG스마트체 Regular"/>
      <family val="3"/>
      <charset val="129"/>
    </font>
    <font>
      <sz val="10"/>
      <name val="Segoe UI Symbol"/>
      <family val="3"/>
    </font>
    <font>
      <sz val="10"/>
      <name val="Malgun Gothic"/>
      <family val="3"/>
      <charset val="129"/>
    </font>
    <font>
      <sz val="1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34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184" fontId="16" fillId="0" borderId="1" xfId="1" applyNumberFormat="1" applyFont="1" applyBorder="1" applyAlignment="1">
      <alignment horizontal="center" vertical="center"/>
    </xf>
    <xf numFmtId="183" fontId="16" fillId="0" borderId="3" xfId="1" applyNumberFormat="1" applyFont="1" applyFill="1" applyBorder="1" applyAlignment="1">
      <alignment horizontal="center"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185" fontId="16" fillId="6" borderId="3" xfId="1" applyNumberFormat="1" applyFont="1" applyFill="1" applyBorder="1" applyAlignment="1">
      <alignment horizontal="right" vertical="center" wrapText="1"/>
    </xf>
    <xf numFmtId="185" fontId="16" fillId="0" borderId="3" xfId="1" applyNumberFormat="1" applyFont="1" applyFill="1" applyBorder="1" applyAlignment="1">
      <alignment horizontal="right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9" fillId="10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0" borderId="0" xfId="0" applyNumberFormat="1" applyFont="1" applyFill="1">
      <alignment vertical="center"/>
    </xf>
    <xf numFmtId="0" fontId="22" fillId="0" borderId="0" xfId="0" applyFont="1">
      <alignment vertical="center"/>
    </xf>
    <xf numFmtId="177" fontId="22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0" fontId="23" fillId="0" borderId="15" xfId="8" applyFont="1" applyBorder="1" applyAlignment="1">
      <alignment horizontal="center" vertical="center"/>
    </xf>
    <xf numFmtId="0" fontId="24" fillId="0" borderId="15" xfId="6" applyFont="1" applyBorder="1" applyAlignment="1">
      <alignment vertical="center"/>
    </xf>
    <xf numFmtId="0" fontId="23" fillId="0" borderId="15" xfId="6" applyFont="1" applyBorder="1" applyAlignment="1">
      <alignment horizontal="center" vertical="center"/>
    </xf>
    <xf numFmtId="178" fontId="24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horizontal="center" vertical="center"/>
    </xf>
    <xf numFmtId="178" fontId="24" fillId="5" borderId="15" xfId="5" applyFont="1" applyFill="1" applyBorder="1" applyAlignment="1">
      <alignment horizontal="right" vertical="center"/>
    </xf>
    <xf numFmtId="49" fontId="25" fillId="0" borderId="3" xfId="0" applyNumberFormat="1" applyFont="1" applyBorder="1" applyAlignment="1">
      <alignment horizontal="center" vertical="center" wrapText="1"/>
    </xf>
    <xf numFmtId="49" fontId="25" fillId="5" borderId="3" xfId="0" applyNumberFormat="1" applyFont="1" applyFill="1" applyBorder="1" applyAlignment="1">
      <alignment horizontal="center" vertical="center"/>
    </xf>
    <xf numFmtId="186" fontId="25" fillId="5" borderId="3" xfId="1" applyNumberFormat="1" applyFont="1" applyFill="1" applyBorder="1" applyAlignment="1">
      <alignment horizontal="center" vertical="center"/>
    </xf>
    <xf numFmtId="177" fontId="27" fillId="5" borderId="3" xfId="1" applyFont="1" applyFill="1" applyBorder="1" applyAlignment="1">
      <alignment horizontal="center" vertical="center"/>
    </xf>
    <xf numFmtId="185" fontId="25" fillId="6" borderId="3" xfId="1" applyNumberFormat="1" applyFont="1" applyFill="1" applyBorder="1" applyAlignment="1">
      <alignment horizontal="right" vertical="center" wrapText="1"/>
    </xf>
    <xf numFmtId="185" fontId="25" fillId="5" borderId="3" xfId="0" applyNumberFormat="1" applyFont="1" applyFill="1" applyBorder="1" applyAlignment="1">
      <alignment horizontal="right" vertical="center" wrapText="1"/>
    </xf>
    <xf numFmtId="49" fontId="25" fillId="5" borderId="3" xfId="0" applyNumberFormat="1" applyFont="1" applyFill="1" applyBorder="1" applyAlignment="1">
      <alignment horizontal="center" vertical="center" wrapText="1"/>
    </xf>
    <xf numFmtId="185" fontId="25" fillId="5" borderId="3" xfId="0" applyNumberFormat="1" applyFont="1" applyFill="1" applyBorder="1" applyAlignment="1">
      <alignment horizontal="right" vertical="center"/>
    </xf>
    <xf numFmtId="177" fontId="28" fillId="5" borderId="3" xfId="1" applyFont="1" applyFill="1" applyBorder="1" applyAlignment="1">
      <alignment horizontal="right"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R21" sqref="R21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16" t="s">
        <v>6</v>
      </c>
      <c r="B2" s="116"/>
      <c r="C2" s="116"/>
      <c r="D2" s="116"/>
      <c r="E2" s="116"/>
      <c r="F2" s="116"/>
      <c r="G2" s="116"/>
      <c r="H2" s="2"/>
    </row>
    <row r="3" spans="1:9" ht="14.25">
      <c r="A3" s="81"/>
      <c r="B3" s="81"/>
      <c r="C3" s="81"/>
      <c r="D3" s="81"/>
      <c r="E3" s="81"/>
      <c r="F3" s="81"/>
      <c r="G3" s="81"/>
      <c r="H3" s="81"/>
    </row>
    <row r="4" spans="1:9" ht="14.25">
      <c r="A4" s="81"/>
      <c r="B4" s="81"/>
      <c r="C4" s="81"/>
      <c r="D4" s="81"/>
      <c r="E4" s="81"/>
      <c r="H4" s="81"/>
    </row>
    <row r="5" spans="1:9" ht="27" customHeight="1">
      <c r="A5" s="82" t="s">
        <v>48</v>
      </c>
      <c r="B5" s="4"/>
      <c r="C5" s="5"/>
      <c r="D5" s="81"/>
      <c r="E5" s="81"/>
      <c r="F5" s="6" t="s">
        <v>38</v>
      </c>
      <c r="G5" s="7" t="s">
        <v>51</v>
      </c>
      <c r="H5" s="81"/>
    </row>
    <row r="6" spans="1:9" ht="27" customHeight="1">
      <c r="A6" s="81"/>
      <c r="B6" s="81"/>
      <c r="C6" s="81"/>
      <c r="D6" s="81"/>
      <c r="E6" s="81"/>
      <c r="F6" s="8" t="s">
        <v>41</v>
      </c>
      <c r="G6" s="9" t="s">
        <v>52</v>
      </c>
      <c r="H6" s="81"/>
    </row>
    <row r="7" spans="1:9" ht="27" customHeight="1">
      <c r="A7" s="119" t="s">
        <v>89</v>
      </c>
      <c r="B7" s="120"/>
      <c r="C7" s="121"/>
      <c r="D7" s="81"/>
      <c r="E7" s="10"/>
      <c r="F7" s="11" t="s">
        <v>42</v>
      </c>
      <c r="G7" s="9" t="s">
        <v>53</v>
      </c>
      <c r="H7" s="81"/>
    </row>
    <row r="8" spans="1:9" ht="27" customHeight="1">
      <c r="A8" s="81"/>
      <c r="B8" s="81"/>
      <c r="C8" s="81"/>
      <c r="D8" s="81"/>
      <c r="E8" s="81"/>
      <c r="F8" s="8" t="s">
        <v>43</v>
      </c>
      <c r="G8" s="9" t="s">
        <v>54</v>
      </c>
      <c r="H8" s="81"/>
    </row>
    <row r="9" spans="1:9" ht="27" customHeight="1">
      <c r="A9" s="119" t="s">
        <v>85</v>
      </c>
      <c r="B9" s="120"/>
      <c r="C9" s="121"/>
      <c r="D9" s="81"/>
      <c r="E9" s="81"/>
      <c r="F9" s="8" t="s">
        <v>44</v>
      </c>
      <c r="G9" s="9" t="s">
        <v>55</v>
      </c>
      <c r="H9" s="81"/>
    </row>
    <row r="10" spans="1:9" ht="27" customHeight="1">
      <c r="A10" s="81"/>
      <c r="B10" s="81"/>
      <c r="C10" s="81"/>
      <c r="D10" s="81"/>
      <c r="E10" s="81"/>
      <c r="F10" s="12" t="s">
        <v>39</v>
      </c>
      <c r="G10" s="13" t="s">
        <v>56</v>
      </c>
      <c r="H10" s="81"/>
      <c r="I10" s="81"/>
    </row>
    <row r="11" spans="1:9" ht="27" customHeight="1">
      <c r="A11" s="117"/>
      <c r="B11" s="118"/>
      <c r="C11" s="118"/>
      <c r="D11" s="81"/>
      <c r="E11" s="14"/>
      <c r="F11" s="15" t="s">
        <v>40</v>
      </c>
      <c r="G11" s="16" t="s">
        <v>57</v>
      </c>
      <c r="H11" s="14"/>
    </row>
    <row r="12" spans="1:9" ht="18.75" thickBot="1">
      <c r="A12" s="17" t="s">
        <v>7</v>
      </c>
      <c r="B12" s="17" t="str">
        <f>NUMBERSTRING(F31,1)</f>
        <v>육십삼만팔천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81"/>
      <c r="B13" s="81"/>
      <c r="C13" s="81"/>
      <c r="D13" s="81"/>
      <c r="E13" s="81"/>
      <c r="F13" s="81"/>
      <c r="G13" s="81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'내역서(표준단가)'!K7</f>
        <v>42279.749049999999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'내역서(표준단가)'!M7</f>
        <v>487102.23795600003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'내역서(표준단가)'!O7+'내역서(표준단가)'!Q7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529381.98700600001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00" t="s">
        <v>23</v>
      </c>
      <c r="C21" s="101" t="s">
        <v>83</v>
      </c>
      <c r="D21" s="102">
        <v>1</v>
      </c>
      <c r="E21" s="102" t="s">
        <v>24</v>
      </c>
      <c r="F21" s="103">
        <f>F17*4.75%</f>
        <v>23137.356302910001</v>
      </c>
      <c r="G21" s="35" t="s">
        <v>25</v>
      </c>
    </row>
    <row r="22" spans="1:7" ht="33" customHeight="1">
      <c r="A22" s="29"/>
      <c r="B22" s="104" t="s">
        <v>26</v>
      </c>
      <c r="C22" s="101" t="s">
        <v>84</v>
      </c>
      <c r="D22" s="105">
        <v>1</v>
      </c>
      <c r="E22" s="105" t="s">
        <v>24</v>
      </c>
      <c r="F22" s="106">
        <f>F17*3.595%</f>
        <v>17511.325454518203</v>
      </c>
      <c r="G22" s="44" t="s">
        <v>27</v>
      </c>
    </row>
    <row r="23" spans="1:7" ht="33" customHeight="1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2267.7166463601075</v>
      </c>
      <c r="G23" s="35" t="s">
        <v>27</v>
      </c>
    </row>
    <row r="24" spans="1:7" ht="33" customHeight="1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4919.7326033556001</v>
      </c>
      <c r="G24" s="35" t="s">
        <v>27</v>
      </c>
    </row>
    <row r="25" spans="1:7" ht="33" customHeight="1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17340.8396712336</v>
      </c>
      <c r="G25" s="35" t="s">
        <v>27</v>
      </c>
    </row>
    <row r="26" spans="1:7" ht="33" customHeight="1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15510.892219275802</v>
      </c>
      <c r="G26" s="35" t="s">
        <v>25</v>
      </c>
    </row>
    <row r="27" spans="1:7" ht="33" customHeight="1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28389.505042682664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109077.36794033599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638459.35494633601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638000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4">
    <mergeCell ref="A2:G2"/>
    <mergeCell ref="A11:C11"/>
    <mergeCell ref="A7:C7"/>
    <mergeCell ref="A9:C9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7"/>
  <sheetViews>
    <sheetView showGridLines="0" zoomScale="90" zoomScaleNormal="90" workbookViewId="0">
      <pane ySplit="4" topLeftCell="A5" activePane="bottomLeft" state="frozen"/>
      <selection pane="bottomLeft" activeCell="G12" sqref="G12"/>
    </sheetView>
  </sheetViews>
  <sheetFormatPr defaultColWidth="9" defaultRowHeight="38.1" customHeight="1"/>
  <cols>
    <col min="1" max="1" width="20.5" style="99" bestFit="1" customWidth="1"/>
    <col min="2" max="2" width="9" style="89" customWidth="1"/>
    <col min="3" max="5" width="12.625" style="89" customWidth="1"/>
    <col min="6" max="7" width="30.625" style="85" customWidth="1"/>
    <col min="8" max="8" width="12.25" style="89" bestFit="1" customWidth="1"/>
    <col min="9" max="9" width="8.25" style="89" customWidth="1"/>
    <col min="10" max="10" width="10.625" style="89" bestFit="1" customWidth="1"/>
    <col min="11" max="11" width="12.75" style="89" bestFit="1" customWidth="1"/>
    <col min="12" max="12" width="12" style="89" bestFit="1" customWidth="1"/>
    <col min="13" max="13" width="15" style="89" bestFit="1" customWidth="1"/>
    <col min="14" max="14" width="9" style="89" customWidth="1"/>
    <col min="15" max="15" width="8.375" style="89" bestFit="1" customWidth="1"/>
    <col min="16" max="16" width="10.5" style="89" customWidth="1"/>
    <col min="17" max="17" width="8.375" style="89" bestFit="1" customWidth="1"/>
    <col min="18" max="18" width="15.625" style="89" bestFit="1" customWidth="1"/>
    <col min="19" max="19" width="10.625" style="62" bestFit="1" customWidth="1"/>
    <col min="20" max="20" width="8.5" style="89" bestFit="1" customWidth="1"/>
    <col min="21" max="16384" width="9" style="89"/>
  </cols>
  <sheetData>
    <row r="1" spans="1:20" ht="19.899999999999999" customHeight="1">
      <c r="A1" s="122"/>
      <c r="B1" s="122"/>
      <c r="C1" s="122"/>
      <c r="D1" s="122"/>
      <c r="E1" s="122"/>
      <c r="J1" s="62"/>
      <c r="K1" s="88" t="s">
        <v>58</v>
      </c>
      <c r="M1" s="88" t="s">
        <v>58</v>
      </c>
      <c r="O1" s="88" t="s">
        <v>58</v>
      </c>
      <c r="Q1" s="88" t="s">
        <v>58</v>
      </c>
    </row>
    <row r="2" spans="1:20" ht="19.899999999999999" customHeight="1" thickBot="1">
      <c r="A2" s="122"/>
      <c r="B2" s="122"/>
      <c r="C2" s="122"/>
      <c r="D2" s="122"/>
      <c r="E2" s="122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90"/>
      <c r="B3" s="91" t="s">
        <v>59</v>
      </c>
      <c r="C3" s="91"/>
      <c r="D3" s="91"/>
      <c r="E3" s="91"/>
      <c r="F3" s="133" t="s">
        <v>60</v>
      </c>
      <c r="G3" s="133"/>
      <c r="H3" s="131" t="s">
        <v>47</v>
      </c>
      <c r="I3" s="131" t="s">
        <v>5</v>
      </c>
      <c r="J3" s="127" t="s">
        <v>61</v>
      </c>
      <c r="K3" s="127"/>
      <c r="L3" s="127" t="s">
        <v>62</v>
      </c>
      <c r="M3" s="127"/>
      <c r="N3" s="128" t="s">
        <v>63</v>
      </c>
      <c r="O3" s="128"/>
      <c r="P3" s="128" t="s">
        <v>64</v>
      </c>
      <c r="Q3" s="128"/>
      <c r="R3" s="129" t="s">
        <v>65</v>
      </c>
      <c r="S3" s="125" t="s">
        <v>66</v>
      </c>
      <c r="T3" s="123" t="s">
        <v>45</v>
      </c>
    </row>
    <row r="4" spans="1:20" ht="19.899999999999999" customHeight="1">
      <c r="A4" s="65" t="s">
        <v>67</v>
      </c>
      <c r="B4" s="66" t="s">
        <v>68</v>
      </c>
      <c r="C4" s="66" t="s">
        <v>69</v>
      </c>
      <c r="D4" s="66" t="s">
        <v>70</v>
      </c>
      <c r="E4" s="66" t="s">
        <v>71</v>
      </c>
      <c r="F4" s="86" t="s">
        <v>72</v>
      </c>
      <c r="G4" s="86" t="s">
        <v>73</v>
      </c>
      <c r="H4" s="132"/>
      <c r="I4" s="132"/>
      <c r="J4" s="67" t="s">
        <v>74</v>
      </c>
      <c r="K4" s="68" t="s">
        <v>75</v>
      </c>
      <c r="L4" s="67" t="s">
        <v>76</v>
      </c>
      <c r="M4" s="68" t="s">
        <v>75</v>
      </c>
      <c r="N4" s="68" t="s">
        <v>77</v>
      </c>
      <c r="O4" s="68" t="s">
        <v>75</v>
      </c>
      <c r="P4" s="68" t="s">
        <v>77</v>
      </c>
      <c r="Q4" s="68" t="s">
        <v>75</v>
      </c>
      <c r="R4" s="130"/>
      <c r="S4" s="126"/>
      <c r="T4" s="124"/>
    </row>
    <row r="5" spans="1:20" s="92" customFormat="1" ht="38.1" customHeight="1">
      <c r="A5" s="69" t="str">
        <f t="shared" ref="A5" si="0">B5&amp;C5&amp;D5&amp;E5</f>
        <v>M020853710050101</v>
      </c>
      <c r="B5" s="74"/>
      <c r="C5" s="70"/>
      <c r="D5" s="70" t="s">
        <v>80</v>
      </c>
      <c r="E5" s="74"/>
      <c r="F5" s="107" t="s">
        <v>81</v>
      </c>
      <c r="G5" s="107" t="s">
        <v>86</v>
      </c>
      <c r="H5" s="108" t="s">
        <v>82</v>
      </c>
      <c r="I5" s="109">
        <v>2.4226999999999999</v>
      </c>
      <c r="J5" s="110">
        <v>20900</v>
      </c>
      <c r="K5" s="111">
        <f t="shared" ref="K5" si="1">SUM(J5:J5)*I5*$K$2</f>
        <v>42279.749049999999</v>
      </c>
      <c r="L5" s="112"/>
      <c r="M5" s="83">
        <f t="shared" ref="M5:M6" si="2">(L5*I5)*$M$2</f>
        <v>0</v>
      </c>
      <c r="N5" s="84"/>
      <c r="O5" s="83">
        <f t="shared" ref="O5:O6" si="3">N5*I5*$O$2</f>
        <v>0</v>
      </c>
      <c r="P5" s="84"/>
      <c r="Q5" s="83">
        <f t="shared" ref="Q5:Q6" si="4">P5*I5*$Q$2</f>
        <v>0</v>
      </c>
      <c r="R5" s="71">
        <f t="shared" ref="R5:R6" si="5">SUM(K5+M5)+O5+Q5</f>
        <v>42279.749049999999</v>
      </c>
      <c r="S5" s="80"/>
      <c r="T5" s="72"/>
    </row>
    <row r="6" spans="1:20" s="92" customFormat="1" ht="38.1" customHeight="1">
      <c r="A6" s="69" t="str">
        <f t="shared" ref="A6" si="6">B6&amp;C6&amp;D6&amp;E6</f>
        <v>E00000803071260301</v>
      </c>
      <c r="B6" s="74"/>
      <c r="C6" s="70" t="s">
        <v>78</v>
      </c>
      <c r="D6" s="70"/>
      <c r="E6" s="74"/>
      <c r="F6" s="107" t="s">
        <v>88</v>
      </c>
      <c r="G6" s="107" t="s">
        <v>87</v>
      </c>
      <c r="H6" s="113" t="s">
        <v>79</v>
      </c>
      <c r="I6" s="109">
        <v>1.1428</v>
      </c>
      <c r="J6" s="114"/>
      <c r="K6" s="111">
        <f t="shared" ref="K6" si="7">SUM(J6:J6)*I6*$K$2</f>
        <v>0</v>
      </c>
      <c r="L6" s="115">
        <v>510462</v>
      </c>
      <c r="M6" s="83">
        <f t="shared" si="2"/>
        <v>487102.23795600003</v>
      </c>
      <c r="N6" s="84"/>
      <c r="O6" s="83">
        <f t="shared" si="3"/>
        <v>0</v>
      </c>
      <c r="P6" s="84"/>
      <c r="Q6" s="83">
        <f t="shared" si="4"/>
        <v>0</v>
      </c>
      <c r="R6" s="71">
        <f t="shared" si="5"/>
        <v>487102.23795600003</v>
      </c>
      <c r="S6" s="80"/>
      <c r="T6" s="72"/>
    </row>
    <row r="7" spans="1:20" s="98" customFormat="1" ht="38.1" customHeight="1">
      <c r="A7" s="93"/>
      <c r="B7" s="94"/>
      <c r="C7" s="94"/>
      <c r="D7" s="94"/>
      <c r="E7" s="94"/>
      <c r="F7" s="87"/>
      <c r="G7" s="87"/>
      <c r="H7" s="94"/>
      <c r="I7" s="94"/>
      <c r="J7" s="94"/>
      <c r="K7" s="95">
        <f>SUM(K5:K6)</f>
        <v>42279.749049999999</v>
      </c>
      <c r="L7" s="96"/>
      <c r="M7" s="95">
        <f>SUM(M5:M6)</f>
        <v>487102.23795600003</v>
      </c>
      <c r="N7" s="96"/>
      <c r="O7" s="95">
        <f>SUM(O5:O6)</f>
        <v>0</v>
      </c>
      <c r="P7" s="96"/>
      <c r="Q7" s="95">
        <f>SUM(Q5:Q6)</f>
        <v>0</v>
      </c>
      <c r="R7" s="97">
        <f>SUM(R5:R6)</f>
        <v>529381.98700600001</v>
      </c>
      <c r="S7" s="78"/>
      <c r="T7" s="94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G30" sqref="F30:G31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3"/>
  </cols>
  <sheetData>
    <row r="1" spans="1:6" ht="18" customHeight="1">
      <c r="A1" s="75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</row>
    <row r="2" spans="1:6">
      <c r="A2" s="76" t="str">
        <f>'내역서(표준단가)'!A5</f>
        <v>M020853710050101</v>
      </c>
      <c r="B2" s="77">
        <f>'내역서(표준단가)'!B5</f>
        <v>0</v>
      </c>
      <c r="C2" s="77">
        <f>'내역서(표준단가)'!C5</f>
        <v>0</v>
      </c>
      <c r="D2" s="77" t="str">
        <f>'내역서(표준단가)'!D5</f>
        <v>M020853710050101</v>
      </c>
      <c r="E2" s="77">
        <f>'내역서(표준단가)'!E5</f>
        <v>0</v>
      </c>
      <c r="F2" s="79">
        <f>'내역서(표준단가)'!I5</f>
        <v>2.4226999999999999</v>
      </c>
    </row>
    <row r="3" spans="1:6">
      <c r="A3" s="76" t="str">
        <f>'내역서(표준단가)'!A6</f>
        <v>E00000803071260301</v>
      </c>
      <c r="B3" s="77">
        <f>'내역서(표준단가)'!B6</f>
        <v>0</v>
      </c>
      <c r="C3" s="77" t="str">
        <f>'내역서(표준단가)'!C6</f>
        <v>E00000803071260301</v>
      </c>
      <c r="D3" s="77">
        <f>'내역서(표준단가)'!D6</f>
        <v>0</v>
      </c>
      <c r="E3" s="77">
        <f>'내역서(표준단가)'!E6</f>
        <v>0</v>
      </c>
      <c r="F3" s="79">
        <f>'내역서(표준단가)'!I6</f>
        <v>1.1428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73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2026-02-24T00:43:52Z</dcterms:modified>
</cp:coreProperties>
</file>
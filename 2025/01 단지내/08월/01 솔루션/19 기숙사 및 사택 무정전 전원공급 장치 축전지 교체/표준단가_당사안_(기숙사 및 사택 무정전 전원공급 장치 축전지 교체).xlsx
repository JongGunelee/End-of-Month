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703\03 당사안\"/>
    </mc:Choice>
  </mc:AlternateContent>
  <xr:revisionPtr revIDLastSave="0" documentId="13_ncr:1_{117940EF-F44A-4580-8FC1-ECDD996E75AE}" xr6:coauthVersionLast="47" xr6:coauthVersionMax="47" xr10:uidLastSave="{00000000-0000-0000-0000-000000000000}"/>
  <bookViews>
    <workbookView xWindow="-60" yWindow="-60" windowWidth="28920" windowHeight="15600" tabRatio="868" activeTab="1" xr2:uid="{00000000-000D-0000-FFFF-FFFF00000000}"/>
  </bookViews>
  <sheets>
    <sheet name="갑지" sheetId="5" r:id="rId1"/>
    <sheet name="내역서(표준단가)" sheetId="26" r:id="rId2"/>
    <sheet name="주요물량산출서" sheetId="22" r:id="rId3"/>
    <sheet name="Upload" sheetId="24" r:id="rId4"/>
    <sheet name="내역서업로드" sheetId="21" r:id="rId5"/>
    <sheet name="공사수립계획서" sheetId="2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7" i="26" l="1"/>
  <c r="O7" i="26" l="1"/>
  <c r="V7" i="26" l="1"/>
  <c r="Q6" i="26"/>
  <c r="O6" i="26"/>
  <c r="V6" i="26" l="1"/>
  <c r="S8" i="26" l="1"/>
  <c r="F18" i="5" s="1"/>
  <c r="J3" i="26" l="1"/>
  <c r="O8" i="26" l="1"/>
  <c r="F16" i="5" s="1"/>
  <c r="Q8" i="26"/>
  <c r="F17" i="5" s="1"/>
  <c r="F21" i="5" l="1"/>
  <c r="F25" i="5"/>
  <c r="F22" i="5"/>
  <c r="F24" i="5"/>
  <c r="F26" i="5" s="1"/>
  <c r="F23" i="5"/>
  <c r="F5" i="24"/>
  <c r="F4" i="24"/>
  <c r="F3" i="24"/>
  <c r="F2" i="24"/>
  <c r="F27" i="5" l="1"/>
  <c r="E4" i="23"/>
  <c r="C5" i="23"/>
  <c r="B3" i="22"/>
  <c r="B4" i="24" l="1"/>
  <c r="C3" i="24"/>
  <c r="B2" i="24"/>
  <c r="B3" i="24"/>
  <c r="C4" i="24"/>
  <c r="B5" i="24"/>
  <c r="C5" i="24"/>
  <c r="C2" i="24"/>
  <c r="B3" i="21"/>
  <c r="D4" i="24" l="1"/>
  <c r="E4" i="24"/>
  <c r="E5" i="24"/>
  <c r="E3" i="24"/>
  <c r="E2" i="24"/>
  <c r="A3" i="24" l="1"/>
  <c r="A4" i="24"/>
  <c r="A5" i="24"/>
  <c r="D3" i="24"/>
  <c r="D5" i="24"/>
  <c r="D2" i="24"/>
  <c r="A2" i="24"/>
  <c r="F28" i="5" l="1"/>
  <c r="F19" i="5"/>
  <c r="F30" i="5" l="1"/>
  <c r="F31" i="5" s="1"/>
  <c r="B12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4" authorId="0" shapeId="0" xr:uid="{8BFF2384-B139-4425-B81D-2F6CA9AD9647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" authorId="0" shapeId="0" xr:uid="{7BD83C55-A7B5-40D9-AD7B-F3A5F30C3AC3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<sst xmlns="http://schemas.openxmlformats.org/spreadsheetml/2006/main" count="188" uniqueCount="146">
  <si>
    <t>표준단가</t>
  </si>
  <si>
    <t>표준품셈</t>
  </si>
  <si>
    <t>물가정보</t>
  </si>
  <si>
    <t>노임단가</t>
  </si>
  <si>
    <t>수량</t>
  </si>
  <si>
    <t>견 적 서</t>
    <phoneticPr fontId="14" type="noConversion"/>
  </si>
  <si>
    <t xml:space="preserve"> 수신인: </t>
    <phoneticPr fontId="14" type="noConversion"/>
  </si>
  <si>
    <t xml:space="preserve"> 공사명: </t>
    <phoneticPr fontId="14" type="noConversion"/>
  </si>
  <si>
    <t xml:space="preserve">금액: </t>
    <phoneticPr fontId="14" type="noConversion"/>
  </si>
  <si>
    <t>원정</t>
    <phoneticPr fontId="24" type="noConversion"/>
  </si>
  <si>
    <t xml:space="preserve">  </t>
  </si>
  <si>
    <t>NO</t>
  </si>
  <si>
    <t>품명</t>
    <phoneticPr fontId="24" type="noConversion"/>
  </si>
  <si>
    <t>규격</t>
    <phoneticPr fontId="24" type="noConversion"/>
  </si>
  <si>
    <t>수량</t>
    <phoneticPr fontId="24" type="noConversion"/>
  </si>
  <si>
    <t>단위</t>
    <phoneticPr fontId="24" type="noConversion"/>
  </si>
  <si>
    <t>금액</t>
    <phoneticPr fontId="24" type="noConversion"/>
  </si>
  <si>
    <t>비고</t>
    <phoneticPr fontId="24" type="noConversion"/>
  </si>
  <si>
    <t>직접비</t>
    <phoneticPr fontId="14" type="noConversion"/>
  </si>
  <si>
    <t>재료비</t>
    <phoneticPr fontId="14" type="noConversion"/>
  </si>
  <si>
    <t>노무비</t>
    <phoneticPr fontId="24" type="noConversion"/>
  </si>
  <si>
    <t>기계/기타경비</t>
    <phoneticPr fontId="14" type="noConversion"/>
  </si>
  <si>
    <t>소계</t>
    <phoneticPr fontId="14" type="noConversion"/>
  </si>
  <si>
    <t>간접비</t>
    <phoneticPr fontId="14" type="noConversion"/>
  </si>
  <si>
    <t>식</t>
    <phoneticPr fontId="24" type="noConversion"/>
  </si>
  <si>
    <t>모든공사에 적용</t>
    <phoneticPr fontId="24" type="noConversion"/>
  </si>
  <si>
    <t>소계</t>
    <phoneticPr fontId="14" type="noConversion"/>
  </si>
  <si>
    <t>합계(단수조정)</t>
    <phoneticPr fontId="14" type="noConversion"/>
  </si>
  <si>
    <t>VAT별도</t>
    <phoneticPr fontId="24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</si>
  <si>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8" type="noConversion"/>
  </si>
  <si>
    <t>일반관리비/이윤</t>
    <phoneticPr fontId="24" type="noConversion"/>
  </si>
  <si>
    <t>구분</t>
    <phoneticPr fontId="6" type="noConversion"/>
  </si>
  <si>
    <r>
      <rPr>
        <b/>
        <sz val="10"/>
        <color theme="1"/>
        <rFont val="LG스마트체 Regular"/>
        <family val="3"/>
        <charset val="129"/>
      </rPr>
      <t>합계</t>
    </r>
    <phoneticPr fontId="8" type="noConversion"/>
  </si>
  <si>
    <r>
      <rPr>
        <b/>
        <sz val="10"/>
        <color theme="1"/>
        <rFont val="LG스마트체 Regular"/>
        <family val="3"/>
        <charset val="129"/>
      </rPr>
      <t>표준</t>
    </r>
    <r>
      <rPr>
        <b/>
        <sz val="10"/>
        <color theme="1"/>
        <rFont val="Arial"/>
        <family val="2"/>
      </rPr>
      <t xml:space="preserve"> Code</t>
    </r>
    <phoneticPr fontId="6" type="noConversion"/>
  </si>
  <si>
    <t>기준</t>
    <phoneticPr fontId="6" type="noConversion"/>
  </si>
  <si>
    <t>비고</t>
    <phoneticPr fontId="6" type="noConversion"/>
  </si>
  <si>
    <r>
      <rPr>
        <b/>
        <sz val="10"/>
        <color theme="1"/>
        <rFont val="LG스마트체 Regular"/>
        <family val="3"/>
        <charset val="129"/>
      </rPr>
      <t>단위</t>
    </r>
  </si>
  <si>
    <r>
      <rPr>
        <b/>
        <sz val="10"/>
        <color theme="1"/>
        <rFont val="LG스마트체 Regular"/>
        <family val="3"/>
        <charset val="129"/>
      </rPr>
      <t>수량</t>
    </r>
  </si>
  <si>
    <r>
      <rPr>
        <b/>
        <sz val="10"/>
        <color theme="1"/>
        <rFont val="LG스마트체 Regular"/>
        <family val="3"/>
        <charset val="129"/>
      </rPr>
      <t>재료비</t>
    </r>
    <phoneticPr fontId="8" type="noConversion"/>
  </si>
  <si>
    <r>
      <rPr>
        <b/>
        <sz val="10"/>
        <color theme="1"/>
        <rFont val="LG스마트체 Regular"/>
        <family val="3"/>
        <charset val="129"/>
      </rPr>
      <t>기계경비</t>
    </r>
  </si>
  <si>
    <r>
      <rPr>
        <b/>
        <sz val="10"/>
        <color theme="1"/>
        <rFont val="LG스마트체 Regular"/>
        <family val="3"/>
        <charset val="129"/>
      </rPr>
      <t>기타경비</t>
    </r>
    <r>
      <rPr>
        <b/>
        <sz val="10"/>
        <color theme="1"/>
        <rFont val="Arial"/>
        <family val="2"/>
      </rPr>
      <t>(</t>
    </r>
    <r>
      <rPr>
        <b/>
        <sz val="10"/>
        <color theme="1"/>
        <rFont val="LG스마트체 Regular"/>
        <family val="3"/>
        <charset val="129"/>
      </rPr>
      <t>부자재비</t>
    </r>
    <r>
      <rPr>
        <b/>
        <sz val="10"/>
        <color theme="1"/>
        <rFont val="Arial"/>
        <family val="2"/>
      </rPr>
      <t>)</t>
    </r>
  </si>
  <si>
    <r>
      <rPr>
        <b/>
        <sz val="10"/>
        <color theme="1"/>
        <rFont val="LG스마트체 Regular"/>
        <family val="3"/>
        <charset val="129"/>
      </rPr>
      <t>품목</t>
    </r>
    <phoneticPr fontId="6" type="noConversion"/>
  </si>
  <si>
    <r>
      <rPr>
        <b/>
        <sz val="10"/>
        <color theme="1"/>
        <rFont val="LG스마트체 Regular"/>
        <family val="3"/>
        <charset val="129"/>
      </rPr>
      <t>금액</t>
    </r>
  </si>
  <si>
    <r>
      <rPr>
        <b/>
        <sz val="10"/>
        <color theme="1"/>
        <rFont val="LG스마트체 Regular"/>
        <family val="3"/>
        <charset val="129"/>
      </rPr>
      <t>단가</t>
    </r>
  </si>
  <si>
    <r>
      <rPr>
        <b/>
        <sz val="10"/>
        <color theme="1"/>
        <rFont val="LG스마트체 Regular"/>
        <family val="3"/>
        <charset val="129"/>
      </rPr>
      <t>주요내역</t>
    </r>
    <phoneticPr fontId="6" type="noConversion"/>
  </si>
  <si>
    <r>
      <rPr>
        <b/>
        <sz val="10"/>
        <color theme="1"/>
        <rFont val="LG스마트체 Regular"/>
        <family val="3"/>
        <charset val="129"/>
      </rPr>
      <t>노무비</t>
    </r>
    <phoneticPr fontId="8" type="noConversion"/>
  </si>
  <si>
    <r>
      <rPr>
        <b/>
        <sz val="10"/>
        <color theme="1"/>
        <rFont val="LG스마트체 Regular"/>
        <family val="3"/>
        <charset val="129"/>
      </rPr>
      <t>규격</t>
    </r>
    <phoneticPr fontId="6" type="noConversion"/>
  </si>
  <si>
    <r>
      <rPr>
        <b/>
        <sz val="10"/>
        <color theme="1"/>
        <rFont val="LG스마트체 Regular"/>
        <family val="3"/>
        <charset val="129"/>
      </rPr>
      <t>단가</t>
    </r>
    <phoneticPr fontId="6" type="noConversion"/>
  </si>
  <si>
    <r>
      <rPr>
        <b/>
        <sz val="10"/>
        <color theme="1"/>
        <rFont val="LG스마트체 Regular"/>
        <family val="3"/>
        <charset val="129"/>
      </rPr>
      <t>단가</t>
    </r>
    <phoneticPr fontId="8" type="noConversion"/>
  </si>
  <si>
    <r>
      <rPr>
        <b/>
        <sz val="10"/>
        <color theme="1"/>
        <rFont val="돋움"/>
        <family val="3"/>
        <charset val="129"/>
      </rPr>
      <t>할증율</t>
    </r>
    <r>
      <rPr>
        <b/>
        <sz val="10"/>
        <color theme="1"/>
        <rFont val="Arial"/>
        <family val="2"/>
      </rPr>
      <t>(%)</t>
    </r>
    <phoneticPr fontId="6" type="noConversion"/>
  </si>
  <si>
    <t>개</t>
  </si>
  <si>
    <t>대</t>
  </si>
  <si>
    <t>주요 물량 산출서</t>
    <phoneticPr fontId="8" type="noConversion"/>
  </si>
  <si>
    <t>공사명:</t>
    <phoneticPr fontId="8" type="noConversion"/>
  </si>
  <si>
    <t>품명</t>
    <phoneticPr fontId="8" type="noConversion"/>
  </si>
  <si>
    <t>규격</t>
    <phoneticPr fontId="8" type="noConversion"/>
  </si>
  <si>
    <t>단위</t>
    <phoneticPr fontId="8" type="noConversion"/>
  </si>
  <si>
    <t>수량</t>
    <phoneticPr fontId="8" type="noConversion"/>
  </si>
  <si>
    <t>산출근거</t>
    <phoneticPr fontId="8" type="noConversion"/>
  </si>
  <si>
    <t>내역도면번호</t>
    <phoneticPr fontId="8" type="noConversion"/>
  </si>
  <si>
    <t>비고</t>
    <phoneticPr fontId="8" type="noConversion"/>
  </si>
  <si>
    <t>공사수립계획서</t>
    <phoneticPr fontId="24" type="noConversion"/>
  </si>
  <si>
    <t>업 체 명</t>
    <phoneticPr fontId="24" type="noConversion"/>
  </si>
  <si>
    <t>대양이엔씨</t>
    <phoneticPr fontId="8" type="noConversion"/>
  </si>
  <si>
    <t xml:space="preserve">일 시 </t>
    <phoneticPr fontId="24" type="noConversion"/>
  </si>
  <si>
    <t>공 사 명</t>
    <phoneticPr fontId="24" type="noConversion"/>
  </si>
  <si>
    <t>공사 업체</t>
    <phoneticPr fontId="24" type="noConversion"/>
  </si>
  <si>
    <t>■ 공사기간 : 입찰시스템 계약기간에 준함</t>
    <phoneticPr fontId="24" type="noConversion"/>
  </si>
  <si>
    <t>■ 시공방법</t>
    <phoneticPr fontId="24" type="noConversion"/>
  </si>
  <si>
    <t>■ 위험작업 유무 :  고소작업.전기작업</t>
    <phoneticPr fontId="24" type="noConversion"/>
  </si>
  <si>
    <t xml:space="preserve">■ 안전확보 방안 : </t>
    <phoneticPr fontId="24" type="noConversion"/>
  </si>
  <si>
    <t>-. 고소작업시 2인1조 작업</t>
    <phoneticPr fontId="24" type="noConversion"/>
  </si>
  <si>
    <t>-. 천정작업시 안전로프 설치</t>
    <phoneticPr fontId="24" type="noConversion"/>
  </si>
  <si>
    <t>-. 분전반 결선시 위험표지판 설치 및 차단기 락 설치</t>
    <phoneticPr fontId="24" type="noConversion"/>
  </si>
  <si>
    <t xml:space="preserve">■ 주요 사용물질 : </t>
    <phoneticPr fontId="24" type="noConversion"/>
  </si>
  <si>
    <t>대양이엔씨</t>
    <phoneticPr fontId="24" type="noConversion"/>
  </si>
  <si>
    <t>성명 :  홍정운</t>
    <phoneticPr fontId="24" type="noConversion"/>
  </si>
  <si>
    <t>(인감/서명)</t>
    <phoneticPr fontId="24" type="noConversion"/>
  </si>
  <si>
    <t>㈜ S&amp;I Corp.</t>
    <phoneticPr fontId="24" type="noConversion"/>
  </si>
  <si>
    <t>서명</t>
    <phoneticPr fontId="24" type="noConversion"/>
  </si>
  <si>
    <t xml:space="preserve"> 견적일:</t>
    <phoneticPr fontId="14" type="noConversion"/>
  </si>
  <si>
    <t>주 식 회 사 대 양 이 엔 씨 대 표 박 찬 현</t>
    <phoneticPr fontId="8" type="noConversion"/>
  </si>
  <si>
    <t>대전광역시 대덕구 아리랑로 125번길 11</t>
    <phoneticPr fontId="8" type="noConversion"/>
  </si>
  <si>
    <t>전화 : 042-628-8301 /FAX : 042-628-8304</t>
    <phoneticPr fontId="8" type="noConversion"/>
  </si>
  <si>
    <t>(주)에스앤아이코퍼레이션</t>
    <phoneticPr fontId="8" type="noConversion"/>
  </si>
  <si>
    <t>▼할증율</t>
    <phoneticPr fontId="8" type="noConversion"/>
  </si>
  <si>
    <t>기본</t>
    <phoneticPr fontId="6" type="noConversion"/>
  </si>
  <si>
    <t>%</t>
    <phoneticPr fontId="6" type="noConversion"/>
  </si>
  <si>
    <t>F-CV케이블</t>
    <phoneticPr fontId="6" type="noConversion"/>
  </si>
  <si>
    <t>0.6/1KV 3C 4㎟</t>
    <phoneticPr fontId="6" type="noConversion"/>
  </si>
  <si>
    <t>M</t>
    <phoneticPr fontId="6" type="noConversion"/>
  </si>
  <si>
    <r>
      <rPr>
        <b/>
        <sz val="9"/>
        <color theme="1"/>
        <rFont val="LG스마트체 Regular"/>
        <family val="3"/>
        <charset val="129"/>
      </rPr>
      <t>▼낙찰율</t>
    </r>
    <phoneticPr fontId="8" type="noConversion"/>
  </si>
  <si>
    <r>
      <rPr>
        <b/>
        <sz val="9"/>
        <color indexed="8"/>
        <rFont val="돋움"/>
        <family val="3"/>
        <charset val="129"/>
      </rPr>
      <t>공사명</t>
    </r>
    <r>
      <rPr>
        <b/>
        <sz val="9"/>
        <color indexed="8"/>
        <rFont val="Arial"/>
        <family val="2"/>
      </rPr>
      <t xml:space="preserve">: </t>
    </r>
    <phoneticPr fontId="6" type="noConversion"/>
  </si>
  <si>
    <r>
      <rPr>
        <b/>
        <sz val="9"/>
        <color theme="1"/>
        <rFont val="LG스마트체 Regular"/>
        <family val="3"/>
        <charset val="129"/>
      </rPr>
      <t>표준</t>
    </r>
    <r>
      <rPr>
        <b/>
        <sz val="9"/>
        <color theme="1"/>
        <rFont val="Arial"/>
        <family val="2"/>
      </rPr>
      <t xml:space="preserve"> Code</t>
    </r>
    <phoneticPr fontId="6" type="noConversion"/>
  </si>
  <si>
    <r>
      <rPr>
        <b/>
        <sz val="9"/>
        <color theme="1"/>
        <rFont val="LG스마트체 Regular"/>
        <family val="3"/>
        <charset val="129"/>
      </rPr>
      <t>주요내역</t>
    </r>
    <phoneticPr fontId="6" type="noConversion"/>
  </si>
  <si>
    <r>
      <rPr>
        <b/>
        <sz val="9"/>
        <color theme="1"/>
        <rFont val="LG스마트체 Regular"/>
        <family val="3"/>
        <charset val="129"/>
      </rPr>
      <t>단위</t>
    </r>
  </si>
  <si>
    <r>
      <rPr>
        <b/>
        <sz val="9"/>
        <color theme="1"/>
        <rFont val="LG스마트체 Regular"/>
        <family val="3"/>
        <charset val="129"/>
      </rPr>
      <t>수량</t>
    </r>
  </si>
  <si>
    <r>
      <rPr>
        <b/>
        <sz val="9"/>
        <color theme="1"/>
        <rFont val="LG스마트체 Regular"/>
        <family val="3"/>
        <charset val="129"/>
      </rPr>
      <t>재료비</t>
    </r>
    <phoneticPr fontId="8" type="noConversion"/>
  </si>
  <si>
    <r>
      <rPr>
        <b/>
        <sz val="9"/>
        <color theme="1"/>
        <rFont val="LG스마트체 Regular"/>
        <family val="3"/>
        <charset val="129"/>
      </rPr>
      <t>노무비</t>
    </r>
    <phoneticPr fontId="8" type="noConversion"/>
  </si>
  <si>
    <r>
      <rPr>
        <b/>
        <sz val="9"/>
        <color theme="1"/>
        <rFont val="LG스마트체 Regular"/>
        <family val="3"/>
        <charset val="129"/>
      </rPr>
      <t>기타경비</t>
    </r>
    <r>
      <rPr>
        <b/>
        <sz val="9"/>
        <color theme="1"/>
        <rFont val="Arial"/>
        <family val="2"/>
      </rPr>
      <t>(</t>
    </r>
    <r>
      <rPr>
        <b/>
        <sz val="9"/>
        <color theme="1"/>
        <rFont val="LG스마트체 Regular"/>
        <family val="3"/>
        <charset val="129"/>
      </rPr>
      <t>부자재비</t>
    </r>
    <r>
      <rPr>
        <b/>
        <sz val="9"/>
        <color theme="1"/>
        <rFont val="Arial"/>
        <family val="2"/>
      </rPr>
      <t>)</t>
    </r>
  </si>
  <si>
    <r>
      <rPr>
        <b/>
        <sz val="9"/>
        <color theme="1"/>
        <rFont val="LG스마트체 Regular"/>
        <family val="3"/>
        <charset val="129"/>
      </rPr>
      <t>합계</t>
    </r>
    <phoneticPr fontId="8" type="noConversion"/>
  </si>
  <si>
    <r>
      <rPr>
        <b/>
        <sz val="9"/>
        <color theme="1"/>
        <rFont val="LG스마트체 Regular"/>
        <family val="3"/>
        <charset val="129"/>
      </rPr>
      <t>품목</t>
    </r>
    <phoneticPr fontId="6" type="noConversion"/>
  </si>
  <si>
    <r>
      <rPr>
        <b/>
        <sz val="9"/>
        <color theme="1"/>
        <rFont val="LG스마트체 Regular"/>
        <family val="3"/>
        <charset val="129"/>
      </rPr>
      <t>규격</t>
    </r>
    <phoneticPr fontId="6" type="noConversion"/>
  </si>
  <si>
    <r>
      <rPr>
        <b/>
        <sz val="9"/>
        <color theme="1"/>
        <rFont val="LG스마트체 Regular"/>
        <family val="3"/>
        <charset val="129"/>
      </rPr>
      <t>단가</t>
    </r>
    <phoneticPr fontId="6" type="noConversion"/>
  </si>
  <si>
    <r>
      <rPr>
        <b/>
        <sz val="9"/>
        <color theme="1"/>
        <rFont val="LG스마트체 Regular"/>
        <family val="3"/>
        <charset val="129"/>
      </rPr>
      <t>금액</t>
    </r>
  </si>
  <si>
    <r>
      <rPr>
        <b/>
        <sz val="9"/>
        <color theme="1"/>
        <rFont val="LG스마트체 Regular"/>
        <family val="3"/>
        <charset val="129"/>
      </rPr>
      <t>단가</t>
    </r>
    <phoneticPr fontId="8" type="noConversion"/>
  </si>
  <si>
    <r>
      <rPr>
        <b/>
        <sz val="9"/>
        <color theme="1"/>
        <rFont val="LG스마트체 Regular"/>
        <family val="3"/>
        <charset val="129"/>
      </rPr>
      <t>단가</t>
    </r>
  </si>
  <si>
    <r>
      <rPr>
        <b/>
        <sz val="9"/>
        <color theme="1"/>
        <rFont val="돋움"/>
        <family val="3"/>
        <charset val="129"/>
      </rPr>
      <t>할증율</t>
    </r>
    <r>
      <rPr>
        <b/>
        <sz val="9"/>
        <color theme="1"/>
        <rFont val="Arial"/>
        <family val="2"/>
      </rPr>
      <t>(%)</t>
    </r>
    <phoneticPr fontId="6" type="noConversion"/>
  </si>
  <si>
    <t>기계경비</t>
    <phoneticPr fontId="6" type="noConversion"/>
  </si>
  <si>
    <t>■ 인원투입계획 : 총 4명(주말 :  명)</t>
    <phoneticPr fontId="24" type="noConversion"/>
  </si>
  <si>
    <t>성명 : 이용엽</t>
    <phoneticPr fontId="24" type="noConversion"/>
  </si>
  <si>
    <t>E00000807031B30201</t>
  </si>
  <si>
    <t>배터리 교체</t>
  </si>
  <si>
    <t>배처리 철거 및 설치, 정상동작 확인 및 시험</t>
  </si>
  <si>
    <t>배터리</t>
    <phoneticPr fontId="6" type="noConversion"/>
  </si>
  <si>
    <t>M045302513000101</t>
  </si>
  <si>
    <t>무정전전원장치(UPS/CVCF)</t>
  </si>
  <si>
    <t>상수1ø,출력220/110V(입력:220/110V) 용량1kVA</t>
  </si>
  <si>
    <t>안전관리비</t>
    <phoneticPr fontId="24" type="noConversion"/>
  </si>
  <si>
    <t> (재료비+노무비)*3.11%</t>
    <phoneticPr fontId="6" type="noConversion"/>
  </si>
  <si>
    <t>산재보험료</t>
    <phoneticPr fontId="24" type="noConversion"/>
  </si>
  <si>
    <t> 노무비*3.56%</t>
    <phoneticPr fontId="6" type="noConversion"/>
  </si>
  <si>
    <t>고용보험료</t>
    <phoneticPr fontId="24" type="noConversion"/>
  </si>
  <si>
    <t> 노무비*1.01%</t>
    <phoneticPr fontId="6" type="noConversion"/>
  </si>
  <si>
    <t>국민건강 보험료</t>
    <phoneticPr fontId="24" type="noConversion"/>
  </si>
  <si>
    <t> 노무비*3.545%</t>
    <phoneticPr fontId="6" type="noConversion"/>
  </si>
  <si>
    <t>국민연금 보험료</t>
    <phoneticPr fontId="24" type="noConversion"/>
  </si>
  <si>
    <t> 노무비*4.5%</t>
    <phoneticPr fontId="8" type="noConversion"/>
  </si>
  <si>
    <t>노인장기요양 보험료</t>
    <phoneticPr fontId="24" type="noConversion"/>
  </si>
  <si>
    <t> 국민건강보험료*12.95%</t>
    <phoneticPr fontId="6" type="noConversion"/>
  </si>
  <si>
    <t> (노무비+간접공사비)*5%</t>
  </si>
  <si>
    <t>2025년 06월  일</t>
    <phoneticPr fontId="6" type="noConversion"/>
  </si>
  <si>
    <t>0.6/1KV 1C 70㎟</t>
    <phoneticPr fontId="6" type="noConversion"/>
  </si>
  <si>
    <t>0.6/1KV 4C 10㎟</t>
    <phoneticPr fontId="6" type="noConversion"/>
  </si>
  <si>
    <t>높이5+길이47+높이5+5분전반결선+3(여유5%)=65*4=260</t>
    <phoneticPr fontId="6" type="noConversion"/>
  </si>
  <si>
    <t>높이5+길이42+높이5+5장비결선+3(여유5%)=60</t>
    <phoneticPr fontId="6" type="noConversion"/>
  </si>
  <si>
    <t>높이5+길이35+2(여유5%)=42</t>
    <phoneticPr fontId="6" type="noConversion"/>
  </si>
  <si>
    <t>높이5+길이40+높이5+2(여유5%)=52*8=416</t>
    <phoneticPr fontId="6" type="noConversion"/>
  </si>
  <si>
    <t>높이5+길이19+높이5+1(여유5%)=30*5=150</t>
    <phoneticPr fontId="6" type="noConversion"/>
  </si>
  <si>
    <t>M045860216170101</t>
  </si>
  <si>
    <t>축전지(2)</t>
  </si>
  <si>
    <t>12V 무보수밀폐형 축전지</t>
  </si>
  <si>
    <t>ES 12-12, 12V 12AH</t>
    <phoneticPr fontId="6" type="noConversion"/>
  </si>
  <si>
    <t>배토리 교체</t>
    <phoneticPr fontId="6" type="noConversion"/>
  </si>
  <si>
    <t>사택 배터리 교체</t>
    <phoneticPr fontId="6" type="noConversion"/>
  </si>
  <si>
    <t>개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</si>
</sst>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m&quot;/&quot;d;@"/>
    <numFmt numFmtId="182" formatCode="#,##0_);[Red]\(#,##0\)"/>
  </numFmts>
  <fonts count="7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0"/>
      <name val="Arial"/>
      <family val="2"/>
    </font>
    <font>
      <sz val="11"/>
      <name val="바탕체"/>
      <family val="1"/>
      <charset val="129"/>
    </font>
    <font>
      <b/>
      <sz val="26"/>
      <name val="LG스마트체 Regular"/>
      <family val="3"/>
      <charset val="129"/>
    </font>
    <font>
      <sz val="8"/>
      <name val="바탕체"/>
      <family val="1"/>
      <charset val="129"/>
    </font>
    <font>
      <sz val="10"/>
      <color indexed="64"/>
      <name val="LG스마트체 Regular"/>
      <family val="3"/>
      <charset val="129"/>
    </font>
    <font>
      <sz val="10"/>
      <color indexed="64"/>
      <name val="맑은 고딕"/>
      <family val="3"/>
      <charset val="129"/>
    </font>
    <font>
      <sz val="11"/>
      <name val="LG스마트체 Regular"/>
      <family val="3"/>
      <charset val="129"/>
    </font>
    <font>
      <b/>
      <sz val="12"/>
      <name val="LG스마트체 Regular"/>
      <family val="3"/>
      <charset val="129"/>
    </font>
    <font>
      <b/>
      <sz val="14"/>
      <name val="LG스마트체 Regular"/>
      <family val="3"/>
      <charset val="129"/>
    </font>
    <font>
      <sz val="24"/>
      <name val="LG스마트체 Regular"/>
      <family val="3"/>
      <charset val="129"/>
    </font>
    <font>
      <b/>
      <sz val="11"/>
      <name val="LG스마트체 Regular"/>
      <family val="3"/>
      <charset val="129"/>
    </font>
    <font>
      <sz val="11"/>
      <color rgb="FFCCFFCC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b/>
      <sz val="12"/>
      <color rgb="FFCCFFCC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indexed="64"/>
      <name val="LG스마트체 Regular"/>
      <family val="3"/>
      <charset val="129"/>
    </font>
    <font>
      <b/>
      <sz val="12"/>
      <color indexed="64"/>
      <name val="LG스마트체 Regular"/>
      <family val="3"/>
      <charset val="129"/>
    </font>
    <font>
      <b/>
      <sz val="10"/>
      <color theme="1"/>
      <name val="LG스마트체 Regular"/>
      <family val="3"/>
      <charset val="129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color theme="0"/>
      <name val="Arial"/>
      <family val="2"/>
    </font>
    <font>
      <b/>
      <sz val="9"/>
      <color rgb="FF000000"/>
      <name val="Malgun Gothic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color theme="1"/>
      <name val="LG스마트체2.0 Regular"/>
      <family val="2"/>
      <charset val="129"/>
    </font>
    <font>
      <sz val="9"/>
      <color indexed="8"/>
      <name val="맑은 고딕"/>
      <family val="2"/>
      <scheme val="minor"/>
    </font>
    <font>
      <b/>
      <sz val="10"/>
      <color theme="1"/>
      <name val="돋움"/>
      <family val="3"/>
      <charset val="129"/>
    </font>
    <font>
      <sz val="10"/>
      <color indexed="8"/>
      <name val="맑은 고딕"/>
      <family val="2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indexed="8"/>
      <name val="돋움"/>
      <family val="3"/>
      <charset val="129"/>
    </font>
    <font>
      <b/>
      <u val="double"/>
      <sz val="18"/>
      <color theme="1"/>
      <name val="LG스마트체 Regular"/>
      <family val="3"/>
      <charset val="129"/>
    </font>
    <font>
      <sz val="11"/>
      <color theme="1"/>
      <name val="LG스마트체 Regular"/>
      <family val="3"/>
      <charset val="129"/>
    </font>
    <font>
      <sz val="11"/>
      <name val="돋움"/>
      <family val="3"/>
      <charset val="129"/>
    </font>
    <font>
      <sz val="11"/>
      <name val="굴림"/>
      <family val="3"/>
      <charset val="129"/>
    </font>
    <font>
      <b/>
      <u/>
      <sz val="22"/>
      <name val="굴림"/>
      <family val="3"/>
      <charset val="129"/>
    </font>
    <font>
      <sz val="22"/>
      <name val="굴림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sz val="9"/>
      <color indexed="8"/>
      <name val="맑은 고딕"/>
      <family val="3"/>
      <charset val="129"/>
      <scheme val="major"/>
    </font>
    <font>
      <sz val="9"/>
      <color indexed="8"/>
      <name val="Malgun Gothic"/>
      <family val="3"/>
      <charset val="129"/>
    </font>
    <font>
      <sz val="9"/>
      <color theme="1"/>
      <name val="Malgun Gothic"/>
      <family val="3"/>
      <charset val="129"/>
    </font>
    <font>
      <b/>
      <sz val="9"/>
      <color rgb="FFFF0000"/>
      <name val="맑은 고딕"/>
      <family val="3"/>
      <charset val="129"/>
      <scheme val="minor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9"/>
      <color theme="1"/>
      <name val="Arial"/>
      <family val="2"/>
    </font>
    <font>
      <b/>
      <sz val="9"/>
      <color theme="1"/>
      <name val="LG스마트체 Regular"/>
      <family val="3"/>
      <charset val="129"/>
    </font>
    <font>
      <b/>
      <sz val="9"/>
      <color indexed="8"/>
      <name val="Arial"/>
      <family val="3"/>
      <charset val="129"/>
    </font>
    <font>
      <b/>
      <sz val="9"/>
      <color indexed="8"/>
      <name val="돋움"/>
      <family val="3"/>
      <charset val="129"/>
    </font>
    <font>
      <b/>
      <sz val="9"/>
      <name val="Arial"/>
      <family val="2"/>
    </font>
    <font>
      <sz val="9"/>
      <color indexed="8"/>
      <name val="돋움"/>
      <family val="3"/>
      <charset val="129"/>
    </font>
    <font>
      <b/>
      <sz val="9"/>
      <color theme="1"/>
      <name val="돋움"/>
      <family val="3"/>
      <charset val="129"/>
    </font>
    <font>
      <b/>
      <sz val="9"/>
      <color theme="1"/>
      <name val="LG스마트체 Regular"/>
      <family val="2"/>
      <charset val="129"/>
    </font>
    <font>
      <b/>
      <sz val="9"/>
      <color indexed="8"/>
      <name val="Malgun Gothic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0F0F0"/>
        <bgColor indexed="64"/>
      </patternFill>
    </fill>
  </fills>
  <borders count="37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2">
    <xf numFmtId="0" fontId="0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9" fillId="0" borderId="0"/>
    <xf numFmtId="177" fontId="4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/>
    <xf numFmtId="0" fontId="12" fillId="0" borderId="0"/>
    <xf numFmtId="180" fontId="12" fillId="0" borderId="0" applyFont="0" applyFill="0" applyBorder="0" applyAlignment="0" applyProtection="0"/>
    <xf numFmtId="0" fontId="4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177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46" fillId="0" borderId="0"/>
    <xf numFmtId="176" fontId="46" fillId="0" borderId="0" applyFont="0" applyFill="0" applyBorder="0" applyAlignment="0" applyProtection="0"/>
    <xf numFmtId="177" fontId="4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50">
    <xf numFmtId="0" fontId="0" fillId="0" borderId="0" xfId="0">
      <alignment vertical="center"/>
    </xf>
    <xf numFmtId="0" fontId="13" fillId="0" borderId="0" xfId="5" applyFont="1" applyAlignment="1">
      <alignment vertical="center"/>
    </xf>
    <xf numFmtId="0" fontId="15" fillId="0" borderId="0" xfId="2" applyFont="1"/>
    <xf numFmtId="0" fontId="16" fillId="0" borderId="0" xfId="2" applyFont="1"/>
    <xf numFmtId="0" fontId="17" fillId="0" borderId="0" xfId="5" applyFont="1" applyAlignment="1">
      <alignment vertical="center"/>
    </xf>
    <xf numFmtId="0" fontId="18" fillId="0" borderId="1" xfId="5" applyFont="1" applyBorder="1" applyAlignment="1">
      <alignment vertical="center"/>
    </xf>
    <xf numFmtId="0" fontId="18" fillId="0" borderId="2" xfId="5" applyFont="1" applyBorder="1" applyAlignment="1">
      <alignment horizontal="left" vertical="center"/>
    </xf>
    <xf numFmtId="0" fontId="18" fillId="0" borderId="3" xfId="5" applyFont="1" applyBorder="1" applyAlignment="1">
      <alignment horizontal="right" vertical="center"/>
    </xf>
    <xf numFmtId="0" fontId="19" fillId="6" borderId="0" xfId="5" applyFont="1" applyFill="1" applyAlignment="1">
      <alignment vertical="center"/>
    </xf>
    <xf numFmtId="0" fontId="20" fillId="6" borderId="0" xfId="5" applyFont="1" applyFill="1" applyAlignment="1">
      <alignment horizontal="center" vertical="top" shrinkToFit="1"/>
    </xf>
    <xf numFmtId="0" fontId="17" fillId="6" borderId="0" xfId="5" applyFont="1" applyFill="1" applyAlignment="1">
      <alignment vertical="center"/>
    </xf>
    <xf numFmtId="0" fontId="18" fillId="0" borderId="2" xfId="5" applyFont="1" applyBorder="1" applyAlignment="1">
      <alignment vertical="center"/>
    </xf>
    <xf numFmtId="0" fontId="21" fillId="0" borderId="3" xfId="5" applyFont="1" applyBorder="1" applyAlignment="1">
      <alignment vertical="center"/>
    </xf>
    <xf numFmtId="0" fontId="19" fillId="0" borderId="0" xfId="5" applyFont="1" applyAlignment="1">
      <alignment vertical="center" shrinkToFit="1"/>
    </xf>
    <xf numFmtId="0" fontId="17" fillId="6" borderId="0" xfId="5" applyFont="1" applyFill="1" applyAlignment="1">
      <alignment horizontal="left" vertical="center" shrinkToFit="1"/>
    </xf>
    <xf numFmtId="0" fontId="17" fillId="0" borderId="3" xfId="5" applyFont="1" applyBorder="1" applyAlignment="1">
      <alignment vertical="center"/>
    </xf>
    <xf numFmtId="0" fontId="17" fillId="0" borderId="0" xfId="5" applyFont="1" applyAlignment="1">
      <alignment horizontal="center" vertical="center" shrinkToFit="1"/>
    </xf>
    <xf numFmtId="0" fontId="19" fillId="0" borderId="4" xfId="5" applyFont="1" applyBorder="1" applyAlignment="1">
      <alignment vertical="center"/>
    </xf>
    <xf numFmtId="179" fontId="22" fillId="0" borderId="4" xfId="5" applyNumberFormat="1" applyFont="1" applyBorder="1" applyAlignment="1">
      <alignment vertical="center"/>
    </xf>
    <xf numFmtId="0" fontId="23" fillId="0" borderId="4" xfId="5" applyFont="1" applyBorder="1" applyAlignment="1">
      <alignment horizontal="right" vertical="center"/>
    </xf>
    <xf numFmtId="0" fontId="25" fillId="0" borderId="4" xfId="5" applyFont="1" applyBorder="1" applyAlignment="1">
      <alignment horizontal="right" vertical="center"/>
    </xf>
    <xf numFmtId="0" fontId="18" fillId="0" borderId="4" xfId="5" applyFont="1" applyBorder="1" applyAlignment="1">
      <alignment horizontal="right" vertical="center"/>
    </xf>
    <xf numFmtId="0" fontId="17" fillId="0" borderId="0" xfId="5" applyFont="1" applyAlignment="1">
      <alignment vertical="center" shrinkToFit="1"/>
    </xf>
    <xf numFmtId="0" fontId="18" fillId="0" borderId="5" xfId="5" applyFont="1" applyBorder="1" applyAlignment="1">
      <alignment horizontal="center" vertical="center"/>
    </xf>
    <xf numFmtId="0" fontId="18" fillId="0" borderId="6" xfId="5" applyFont="1" applyBorder="1" applyAlignment="1">
      <alignment horizontal="center" vertical="center"/>
    </xf>
    <xf numFmtId="0" fontId="18" fillId="0" borderId="7" xfId="5" applyFont="1" applyBorder="1" applyAlignment="1">
      <alignment horizontal="center" vertical="center"/>
    </xf>
    <xf numFmtId="0" fontId="26" fillId="0" borderId="8" xfId="5" applyFont="1" applyBorder="1" applyAlignment="1">
      <alignment horizontal="center" vertical="center"/>
    </xf>
    <xf numFmtId="0" fontId="18" fillId="0" borderId="9" xfId="5" applyFont="1" applyBorder="1" applyAlignment="1">
      <alignment vertical="center"/>
    </xf>
    <xf numFmtId="0" fontId="26" fillId="0" borderId="9" xfId="5" applyFont="1" applyBorder="1" applyAlignment="1">
      <alignment vertical="center"/>
    </xf>
    <xf numFmtId="1" fontId="26" fillId="0" borderId="9" xfId="5" applyNumberFormat="1" applyFont="1" applyBorder="1" applyAlignment="1">
      <alignment horizontal="center" vertical="center"/>
    </xf>
    <xf numFmtId="180" fontId="26" fillId="0" borderId="9" xfId="6" applyFont="1" applyBorder="1" applyAlignment="1">
      <alignment horizontal="right" vertical="center"/>
    </xf>
    <xf numFmtId="0" fontId="26" fillId="0" borderId="10" xfId="5" applyFont="1" applyBorder="1" applyAlignment="1">
      <alignment vertical="center"/>
    </xf>
    <xf numFmtId="0" fontId="26" fillId="0" borderId="11" xfId="5" applyFont="1" applyBorder="1" applyAlignment="1">
      <alignment horizontal="center" vertical="center"/>
    </xf>
    <xf numFmtId="0" fontId="26" fillId="0" borderId="12" xfId="5" applyFont="1" applyBorder="1" applyAlignment="1">
      <alignment horizontal="center" vertical="center"/>
    </xf>
    <xf numFmtId="0" fontId="27" fillId="0" borderId="12" xfId="2" applyFont="1" applyBorder="1" applyAlignment="1">
      <alignment horizontal="center" vertical="center"/>
    </xf>
    <xf numFmtId="1" fontId="26" fillId="0" borderId="12" xfId="5" applyNumberFormat="1" applyFont="1" applyBorder="1" applyAlignment="1">
      <alignment horizontal="center" vertical="center"/>
    </xf>
    <xf numFmtId="180" fontId="26" fillId="0" borderId="12" xfId="6" applyFont="1" applyBorder="1" applyAlignment="1">
      <alignment horizontal="right" vertical="center"/>
    </xf>
    <xf numFmtId="0" fontId="26" fillId="0" borderId="13" xfId="5" quotePrefix="1" applyFont="1" applyBorder="1" applyAlignment="1">
      <alignment vertical="center"/>
    </xf>
    <xf numFmtId="0" fontId="26" fillId="0" borderId="13" xfId="5" applyFont="1" applyBorder="1" applyAlignment="1">
      <alignment vertical="center"/>
    </xf>
    <xf numFmtId="0" fontId="18" fillId="7" borderId="12" xfId="5" applyFont="1" applyFill="1" applyBorder="1" applyAlignment="1">
      <alignment vertical="center"/>
    </xf>
    <xf numFmtId="1" fontId="18" fillId="7" borderId="12" xfId="5" applyNumberFormat="1" applyFont="1" applyFill="1" applyBorder="1" applyAlignment="1">
      <alignment horizontal="center" vertical="center"/>
    </xf>
    <xf numFmtId="180" fontId="18" fillId="7" borderId="12" xfId="6" applyFont="1" applyFill="1" applyBorder="1" applyAlignment="1">
      <alignment horizontal="right" vertical="center"/>
    </xf>
    <xf numFmtId="0" fontId="18" fillId="0" borderId="12" xfId="5" applyFont="1" applyBorder="1" applyAlignment="1">
      <alignment vertical="center"/>
    </xf>
    <xf numFmtId="0" fontId="26" fillId="0" borderId="12" xfId="5" applyFont="1" applyBorder="1" applyAlignment="1">
      <alignment vertical="center"/>
    </xf>
    <xf numFmtId="180" fontId="18" fillId="0" borderId="12" xfId="6" applyFont="1" applyFill="1" applyBorder="1" applyAlignment="1">
      <alignment horizontal="right" vertical="center"/>
    </xf>
    <xf numFmtId="178" fontId="26" fillId="0" borderId="12" xfId="4" applyFont="1" applyFill="1" applyBorder="1" applyAlignment="1">
      <alignment horizontal="right" vertical="center"/>
    </xf>
    <xf numFmtId="0" fontId="26" fillId="0" borderId="12" xfId="2" applyFont="1" applyBorder="1" applyAlignment="1">
      <alignment horizontal="left" vertical="center"/>
    </xf>
    <xf numFmtId="9" fontId="18" fillId="7" borderId="12" xfId="2" applyNumberFormat="1" applyFont="1" applyFill="1" applyBorder="1" applyAlignment="1">
      <alignment horizontal="right" vertical="center"/>
    </xf>
    <xf numFmtId="1" fontId="18" fillId="7" borderId="12" xfId="8" applyNumberFormat="1" applyFont="1" applyFill="1" applyBorder="1" applyAlignment="1">
      <alignment horizontal="center" vertical="center"/>
    </xf>
    <xf numFmtId="177" fontId="18" fillId="7" borderId="12" xfId="6" applyNumberFormat="1" applyFont="1" applyFill="1" applyBorder="1" applyAlignment="1">
      <alignment horizontal="right" vertical="center"/>
    </xf>
    <xf numFmtId="9" fontId="26" fillId="0" borderId="12" xfId="2" applyNumberFormat="1" applyFont="1" applyBorder="1" applyAlignment="1">
      <alignment horizontal="right" vertical="center"/>
    </xf>
    <xf numFmtId="1" fontId="26" fillId="0" borderId="12" xfId="8" applyNumberFormat="1" applyFont="1" applyFill="1" applyBorder="1" applyAlignment="1">
      <alignment horizontal="center" vertical="center"/>
    </xf>
    <xf numFmtId="177" fontId="18" fillId="0" borderId="12" xfId="6" applyNumberFormat="1" applyFont="1" applyFill="1" applyBorder="1" applyAlignment="1">
      <alignment horizontal="right" vertical="center"/>
    </xf>
    <xf numFmtId="0" fontId="26" fillId="0" borderId="12" xfId="2" applyFont="1" applyBorder="1" applyAlignment="1">
      <alignment vertical="center"/>
    </xf>
    <xf numFmtId="180" fontId="26" fillId="4" borderId="12" xfId="6" applyFont="1" applyFill="1" applyBorder="1" applyAlignment="1">
      <alignment horizontal="right" vertical="center"/>
    </xf>
    <xf numFmtId="0" fontId="18" fillId="0" borderId="14" xfId="5" applyFont="1" applyBorder="1" applyAlignment="1">
      <alignment horizontal="center" vertical="center" textRotation="255"/>
    </xf>
    <xf numFmtId="0" fontId="18" fillId="0" borderId="15" xfId="5" applyFont="1" applyBorder="1" applyAlignment="1">
      <alignment vertical="top"/>
    </xf>
    <xf numFmtId="0" fontId="26" fillId="0" borderId="16" xfId="5" applyFont="1" applyBorder="1" applyAlignment="1">
      <alignment vertical="center"/>
    </xf>
    <xf numFmtId="0" fontId="26" fillId="0" borderId="17" xfId="5" applyFont="1" applyBorder="1" applyAlignment="1">
      <alignment vertical="center"/>
    </xf>
    <xf numFmtId="0" fontId="28" fillId="0" borderId="0" xfId="9" applyFont="1"/>
    <xf numFmtId="0" fontId="30" fillId="0" borderId="0" xfId="0" applyFont="1">
      <alignment vertical="center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8" fillId="0" borderId="0" xfId="11">
      <alignment vertical="center"/>
    </xf>
    <xf numFmtId="177" fontId="34" fillId="2" borderId="18" xfId="10" applyFont="1" applyFill="1" applyBorder="1" applyAlignment="1">
      <alignment horizontal="center" vertical="center" wrapText="1"/>
    </xf>
    <xf numFmtId="49" fontId="34" fillId="2" borderId="18" xfId="11" applyNumberFormat="1" applyFont="1" applyFill="1" applyBorder="1" applyAlignment="1">
      <alignment horizontal="center" vertical="center" wrapText="1"/>
    </xf>
    <xf numFmtId="177" fontId="5" fillId="0" borderId="18" xfId="10" applyFont="1" applyFill="1" applyBorder="1" applyAlignment="1">
      <alignment horizontal="left" vertical="center" wrapText="1"/>
    </xf>
    <xf numFmtId="177" fontId="5" fillId="0" borderId="18" xfId="10" applyFont="1" applyFill="1" applyBorder="1" applyAlignment="1">
      <alignment horizontal="center" vertical="center" wrapText="1"/>
    </xf>
    <xf numFmtId="0" fontId="38" fillId="0" borderId="0" xfId="11" applyAlignment="1">
      <alignment horizontal="center" vertical="center"/>
    </xf>
    <xf numFmtId="178" fontId="31" fillId="5" borderId="19" xfId="4" applyFont="1" applyFill="1" applyBorder="1" applyAlignment="1">
      <alignment horizontal="center" vertical="center"/>
    </xf>
    <xf numFmtId="0" fontId="31" fillId="5" borderId="19" xfId="0" applyFont="1" applyFill="1" applyBorder="1" applyAlignment="1">
      <alignment horizontal="center" vertical="center"/>
    </xf>
    <xf numFmtId="0" fontId="40" fillId="5" borderId="19" xfId="0" applyFont="1" applyFill="1" applyBorder="1" applyAlignment="1">
      <alignment horizontal="center" vertical="center"/>
    </xf>
    <xf numFmtId="177" fontId="31" fillId="5" borderId="19" xfId="1" applyFont="1" applyFill="1" applyBorder="1" applyAlignment="1">
      <alignment horizontal="center" vertical="center"/>
    </xf>
    <xf numFmtId="177" fontId="41" fillId="0" borderId="19" xfId="1" applyFont="1" applyBorder="1">
      <alignment vertical="center"/>
    </xf>
    <xf numFmtId="0" fontId="41" fillId="0" borderId="0" xfId="0" applyFont="1">
      <alignment vertical="center"/>
    </xf>
    <xf numFmtId="177" fontId="41" fillId="3" borderId="19" xfId="1" applyFont="1" applyFill="1" applyBorder="1">
      <alignment vertical="center"/>
    </xf>
    <xf numFmtId="178" fontId="31" fillId="3" borderId="19" xfId="4" applyFont="1" applyFill="1" applyBorder="1" applyAlignment="1">
      <alignment horizontal="center" vertical="center"/>
    </xf>
    <xf numFmtId="177" fontId="31" fillId="3" borderId="19" xfId="1" applyFont="1" applyFill="1" applyBorder="1" applyAlignment="1">
      <alignment horizontal="center" vertical="center"/>
    </xf>
    <xf numFmtId="9" fontId="11" fillId="8" borderId="0" xfId="15" applyFont="1" applyFill="1" applyAlignment="1">
      <alignment horizontal="center" vertical="center"/>
    </xf>
    <xf numFmtId="0" fontId="33" fillId="0" borderId="0" xfId="0" applyFont="1" applyAlignment="1">
      <alignment horizontal="center" vertical="center"/>
    </xf>
    <xf numFmtId="49" fontId="41" fillId="0" borderId="19" xfId="0" applyNumberFormat="1" applyFont="1" applyBorder="1">
      <alignment vertical="center"/>
    </xf>
    <xf numFmtId="49" fontId="30" fillId="0" borderId="0" xfId="0" applyNumberFormat="1" applyFont="1">
      <alignment vertical="center"/>
    </xf>
    <xf numFmtId="49" fontId="31" fillId="5" borderId="19" xfId="2" applyNumberFormat="1" applyFont="1" applyFill="1" applyBorder="1" applyAlignment="1">
      <alignment horizontal="center" vertical="center"/>
    </xf>
    <xf numFmtId="177" fontId="30" fillId="0" borderId="0" xfId="1" applyFont="1">
      <alignment vertical="center"/>
    </xf>
    <xf numFmtId="177" fontId="30" fillId="0" borderId="0" xfId="1" applyFont="1" applyAlignment="1">
      <alignment horizontal="center" vertical="center"/>
    </xf>
    <xf numFmtId="177" fontId="31" fillId="0" borderId="0" xfId="1" applyFont="1" applyAlignment="1">
      <alignment horizontal="center" vertical="center"/>
    </xf>
    <xf numFmtId="9" fontId="41" fillId="0" borderId="19" xfId="0" applyNumberFormat="1" applyFont="1" applyBorder="1">
      <alignment vertical="center"/>
    </xf>
    <xf numFmtId="49" fontId="41" fillId="0" borderId="0" xfId="0" applyNumberFormat="1" applyFont="1">
      <alignment vertical="center"/>
    </xf>
    <xf numFmtId="177" fontId="41" fillId="0" borderId="0" xfId="1" applyFont="1" applyFill="1">
      <alignment vertical="center"/>
    </xf>
    <xf numFmtId="9" fontId="41" fillId="0" borderId="0" xfId="0" applyNumberFormat="1" applyFont="1">
      <alignment vertical="center"/>
    </xf>
    <xf numFmtId="0" fontId="42" fillId="0" borderId="0" xfId="0" applyFont="1">
      <alignment vertical="center"/>
    </xf>
    <xf numFmtId="0" fontId="32" fillId="0" borderId="0" xfId="0" applyFont="1" applyAlignment="1">
      <alignment horizontal="center" vertical="center"/>
    </xf>
    <xf numFmtId="0" fontId="43" fillId="0" borderId="0" xfId="0" applyFont="1">
      <alignment vertical="center"/>
    </xf>
    <xf numFmtId="0" fontId="2" fillId="0" borderId="0" xfId="16">
      <alignment vertical="center"/>
    </xf>
    <xf numFmtId="0" fontId="45" fillId="0" borderId="19" xfId="16" applyFont="1" applyBorder="1" applyAlignment="1">
      <alignment horizontal="center" vertical="center"/>
    </xf>
    <xf numFmtId="0" fontId="45" fillId="3" borderId="19" xfId="16" applyFont="1" applyFill="1" applyBorder="1" applyAlignment="1">
      <alignment horizontal="center" vertical="center"/>
    </xf>
    <xf numFmtId="0" fontId="45" fillId="0" borderId="19" xfId="16" applyFont="1" applyBorder="1">
      <alignment vertical="center"/>
    </xf>
    <xf numFmtId="0" fontId="17" fillId="4" borderId="19" xfId="2" applyFont="1" applyFill="1" applyBorder="1" applyAlignment="1">
      <alignment horizontal="center" vertical="center"/>
    </xf>
    <xf numFmtId="0" fontId="45" fillId="0" borderId="19" xfId="16" applyFont="1" applyBorder="1" applyAlignment="1">
      <alignment horizontal="right" vertical="center"/>
    </xf>
    <xf numFmtId="181" fontId="47" fillId="0" borderId="0" xfId="17" applyNumberFormat="1" applyFont="1" applyAlignment="1">
      <alignment horizontal="center" vertical="center" shrinkToFit="1"/>
    </xf>
    <xf numFmtId="0" fontId="47" fillId="0" borderId="0" xfId="17" applyFont="1" applyAlignment="1">
      <alignment vertical="center" shrinkToFit="1"/>
    </xf>
    <xf numFmtId="0" fontId="51" fillId="0" borderId="0" xfId="17" applyFont="1" applyAlignment="1">
      <alignment vertical="center" shrinkToFit="1"/>
    </xf>
    <xf numFmtId="0" fontId="52" fillId="0" borderId="23" xfId="17" applyFont="1" applyBorder="1" applyAlignment="1">
      <alignment horizontal="center" vertical="center" shrinkToFit="1"/>
    </xf>
    <xf numFmtId="0" fontId="52" fillId="0" borderId="24" xfId="17" applyFont="1" applyBorder="1" applyAlignment="1">
      <alignment horizontal="center" vertical="center" shrinkToFit="1"/>
    </xf>
    <xf numFmtId="182" fontId="52" fillId="0" borderId="24" xfId="17" applyNumberFormat="1" applyFont="1" applyBorder="1" applyAlignment="1">
      <alignment horizontal="center" vertical="center" shrinkToFit="1"/>
    </xf>
    <xf numFmtId="181" fontId="53" fillId="0" borderId="0" xfId="17" applyNumberFormat="1" applyFont="1" applyAlignment="1">
      <alignment horizontal="center" vertical="center" shrinkToFit="1"/>
    </xf>
    <xf numFmtId="0" fontId="52" fillId="0" borderId="27" xfId="17" applyFont="1" applyBorder="1" applyAlignment="1">
      <alignment horizontal="center" vertical="center" shrinkToFit="1"/>
    </xf>
    <xf numFmtId="0" fontId="53" fillId="0" borderId="0" xfId="17" applyFont="1" applyAlignment="1">
      <alignment horizontal="center" vertical="center" shrinkToFit="1"/>
    </xf>
    <xf numFmtId="0" fontId="52" fillId="0" borderId="20" xfId="17" applyFont="1" applyBorder="1" applyAlignment="1">
      <alignment vertical="center" shrinkToFit="1"/>
    </xf>
    <xf numFmtId="0" fontId="47" fillId="0" borderId="0" xfId="17" applyFont="1" applyAlignment="1">
      <alignment horizontal="left" vertical="center" shrinkToFit="1"/>
    </xf>
    <xf numFmtId="182" fontId="47" fillId="0" borderId="0" xfId="17" applyNumberFormat="1" applyFont="1" applyAlignment="1">
      <alignment horizontal="right" vertical="center" shrinkToFit="1"/>
    </xf>
    <xf numFmtId="49" fontId="18" fillId="0" borderId="2" xfId="5" applyNumberFormat="1" applyFont="1" applyBorder="1" applyAlignment="1">
      <alignment vertical="center"/>
    </xf>
    <xf numFmtId="177" fontId="41" fillId="0" borderId="19" xfId="1" applyFont="1" applyFill="1" applyBorder="1">
      <alignment vertical="center"/>
    </xf>
    <xf numFmtId="177" fontId="41" fillId="0" borderId="19" xfId="1" applyFont="1" applyFill="1" applyBorder="1" applyAlignment="1">
      <alignment horizontal="center" vertical="center"/>
    </xf>
    <xf numFmtId="180" fontId="28" fillId="7" borderId="0" xfId="2" applyNumberFormat="1" applyFont="1" applyFill="1" applyAlignment="1">
      <alignment horizontal="center" vertical="center"/>
    </xf>
    <xf numFmtId="49" fontId="41" fillId="9" borderId="19" xfId="0" applyNumberFormat="1" applyFont="1" applyFill="1" applyBorder="1" applyAlignment="1">
      <alignment horizontal="center" vertical="center"/>
    </xf>
    <xf numFmtId="177" fontId="41" fillId="9" borderId="19" xfId="1" applyFont="1" applyFill="1" applyBorder="1" applyAlignment="1">
      <alignment horizontal="center" vertical="center"/>
    </xf>
    <xf numFmtId="177" fontId="41" fillId="9" borderId="19" xfId="1" applyFont="1" applyFill="1" applyBorder="1">
      <alignment vertical="center"/>
    </xf>
    <xf numFmtId="0" fontId="41" fillId="9" borderId="19" xfId="0" applyFont="1" applyFill="1" applyBorder="1" applyAlignment="1">
      <alignment horizontal="left" vertical="center"/>
    </xf>
    <xf numFmtId="49" fontId="41" fillId="9" borderId="19" xfId="0" applyNumberFormat="1" applyFont="1" applyFill="1" applyBorder="1">
      <alignment vertical="center"/>
    </xf>
    <xf numFmtId="9" fontId="41" fillId="9" borderId="19" xfId="0" applyNumberFormat="1" applyFont="1" applyFill="1" applyBorder="1">
      <alignment vertical="center"/>
    </xf>
    <xf numFmtId="0" fontId="41" fillId="9" borderId="0" xfId="0" applyFont="1" applyFill="1">
      <alignment vertical="center"/>
    </xf>
    <xf numFmtId="49" fontId="57" fillId="4" borderId="19" xfId="0" applyNumberFormat="1" applyFont="1" applyFill="1" applyBorder="1">
      <alignment vertical="center"/>
    </xf>
    <xf numFmtId="177" fontId="57" fillId="4" borderId="19" xfId="1" applyFont="1" applyFill="1" applyBorder="1" applyAlignment="1">
      <alignment vertical="center"/>
    </xf>
    <xf numFmtId="0" fontId="59" fillId="0" borderId="0" xfId="0" applyFont="1">
      <alignment vertical="center"/>
    </xf>
    <xf numFmtId="49" fontId="39" fillId="0" borderId="0" xfId="0" applyNumberFormat="1" applyFont="1">
      <alignment vertical="center"/>
    </xf>
    <xf numFmtId="49" fontId="39" fillId="0" borderId="0" xfId="0" applyNumberFormat="1" applyFont="1" applyAlignment="1">
      <alignment horizontal="center" vertical="center"/>
    </xf>
    <xf numFmtId="177" fontId="39" fillId="0" borderId="0" xfId="1" applyFont="1" applyFill="1">
      <alignment vertical="center"/>
    </xf>
    <xf numFmtId="0" fontId="39" fillId="0" borderId="0" xfId="0" applyFont="1">
      <alignment vertical="center"/>
    </xf>
    <xf numFmtId="9" fontId="39" fillId="0" borderId="0" xfId="0" applyNumberFormat="1" applyFont="1">
      <alignment vertical="center"/>
    </xf>
    <xf numFmtId="0" fontId="60" fillId="0" borderId="0" xfId="0" applyFont="1" applyAlignment="1">
      <alignment horizontal="center" vertical="center"/>
    </xf>
    <xf numFmtId="49" fontId="61" fillId="0" borderId="0" xfId="0" applyNumberFormat="1" applyFont="1">
      <alignment vertical="center"/>
    </xf>
    <xf numFmtId="49" fontId="61" fillId="0" borderId="0" xfId="0" applyNumberFormat="1" applyFont="1" applyAlignment="1">
      <alignment horizontal="center" vertical="center"/>
    </xf>
    <xf numFmtId="177" fontId="61" fillId="0" borderId="0" xfId="1" applyFont="1">
      <alignment vertical="center"/>
    </xf>
    <xf numFmtId="0" fontId="62" fillId="0" borderId="0" xfId="0" applyFont="1" applyAlignment="1">
      <alignment horizontal="center" vertical="center"/>
    </xf>
    <xf numFmtId="0" fontId="61" fillId="0" borderId="0" xfId="0" applyFont="1">
      <alignment vertical="center"/>
    </xf>
    <xf numFmtId="0" fontId="63" fillId="0" borderId="0" xfId="0" applyFont="1" applyAlignment="1">
      <alignment horizontal="center" vertical="center"/>
    </xf>
    <xf numFmtId="0" fontId="62" fillId="4" borderId="19" xfId="0" applyFont="1" applyFill="1" applyBorder="1" applyAlignment="1">
      <alignment horizontal="center" vertical="center"/>
    </xf>
    <xf numFmtId="49" fontId="62" fillId="4" borderId="19" xfId="2" applyNumberFormat="1" applyFont="1" applyFill="1" applyBorder="1" applyAlignment="1">
      <alignment vertical="center"/>
    </xf>
    <xf numFmtId="49" fontId="62" fillId="4" borderId="19" xfId="2" applyNumberFormat="1" applyFont="1" applyFill="1" applyBorder="1" applyAlignment="1">
      <alignment horizontal="center" vertical="center"/>
    </xf>
    <xf numFmtId="177" fontId="62" fillId="4" borderId="19" xfId="1" applyFont="1" applyFill="1" applyBorder="1" applyAlignment="1">
      <alignment horizontal="center" vertical="center"/>
    </xf>
    <xf numFmtId="178" fontId="62" fillId="4" borderId="19" xfId="4" applyFont="1" applyFill="1" applyBorder="1" applyAlignment="1">
      <alignment horizontal="center" vertical="center"/>
    </xf>
    <xf numFmtId="0" fontId="68" fillId="4" borderId="19" xfId="0" applyFont="1" applyFill="1" applyBorder="1" applyAlignment="1">
      <alignment horizontal="center" vertical="center"/>
    </xf>
    <xf numFmtId="0" fontId="39" fillId="4" borderId="0" xfId="0" applyFont="1" applyFill="1">
      <alignment vertical="center"/>
    </xf>
    <xf numFmtId="9" fontId="57" fillId="4" borderId="19" xfId="0" applyNumberFormat="1" applyFont="1" applyFill="1" applyBorder="1">
      <alignment vertical="center"/>
    </xf>
    <xf numFmtId="0" fontId="57" fillId="4" borderId="19" xfId="0" applyFont="1" applyFill="1" applyBorder="1">
      <alignment vertical="center"/>
    </xf>
    <xf numFmtId="177" fontId="57" fillId="9" borderId="19" xfId="1" applyFont="1" applyFill="1" applyBorder="1" applyAlignment="1">
      <alignment vertical="center"/>
    </xf>
    <xf numFmtId="177" fontId="39" fillId="4" borderId="0" xfId="1" applyFont="1" applyFill="1" applyBorder="1">
      <alignment vertical="center"/>
    </xf>
    <xf numFmtId="0" fontId="57" fillId="4" borderId="0" xfId="0" applyFont="1" applyFill="1">
      <alignment vertical="center"/>
    </xf>
    <xf numFmtId="0" fontId="61" fillId="4" borderId="0" xfId="0" applyFont="1" applyFill="1">
      <alignment vertical="center"/>
    </xf>
    <xf numFmtId="0" fontId="64" fillId="0" borderId="19" xfId="0" applyFont="1" applyBorder="1" applyAlignment="1">
      <alignment horizontal="right" vertical="center"/>
    </xf>
    <xf numFmtId="0" fontId="65" fillId="0" borderId="19" xfId="0" applyFont="1" applyBorder="1">
      <alignment vertical="center"/>
    </xf>
    <xf numFmtId="49" fontId="61" fillId="0" borderId="19" xfId="0" applyNumberFormat="1" applyFont="1" applyBorder="1">
      <alignment vertical="center"/>
    </xf>
    <xf numFmtId="49" fontId="61" fillId="0" borderId="19" xfId="0" applyNumberFormat="1" applyFont="1" applyBorder="1" applyAlignment="1">
      <alignment horizontal="center" vertical="center"/>
    </xf>
    <xf numFmtId="177" fontId="61" fillId="0" borderId="19" xfId="1" applyFont="1" applyBorder="1">
      <alignment vertical="center"/>
    </xf>
    <xf numFmtId="177" fontId="39" fillId="0" borderId="19" xfId="1" applyFont="1" applyFill="1" applyBorder="1">
      <alignment vertical="center"/>
    </xf>
    <xf numFmtId="9" fontId="66" fillId="8" borderId="19" xfId="15" applyFont="1" applyFill="1" applyBorder="1" applyAlignment="1">
      <alignment horizontal="center" vertical="center"/>
    </xf>
    <xf numFmtId="0" fontId="61" fillId="0" borderId="19" xfId="0" applyFont="1" applyBorder="1">
      <alignment vertical="center"/>
    </xf>
    <xf numFmtId="0" fontId="67" fillId="0" borderId="19" xfId="0" applyFont="1" applyBorder="1">
      <alignment vertical="center"/>
    </xf>
    <xf numFmtId="0" fontId="57" fillId="0" borderId="19" xfId="0" applyFont="1" applyBorder="1" applyAlignment="1">
      <alignment horizontal="center" vertical="center"/>
    </xf>
    <xf numFmtId="0" fontId="69" fillId="4" borderId="19" xfId="0" applyFont="1" applyFill="1" applyBorder="1" applyAlignment="1">
      <alignment horizontal="center" vertical="center"/>
    </xf>
    <xf numFmtId="0" fontId="57" fillId="0" borderId="19" xfId="0" applyFont="1" applyBorder="1" applyAlignment="1">
      <alignment horizontal="left" vertical="center"/>
    </xf>
    <xf numFmtId="0" fontId="58" fillId="10" borderId="19" xfId="0" applyFont="1" applyFill="1" applyBorder="1" applyAlignment="1">
      <alignment horizontal="center"/>
    </xf>
    <xf numFmtId="0" fontId="58" fillId="10" borderId="19" xfId="0" applyFont="1" applyFill="1" applyBorder="1" applyAlignment="1">
      <alignment horizontal="left"/>
    </xf>
    <xf numFmtId="177" fontId="57" fillId="10" borderId="19" xfId="1" applyFont="1" applyFill="1" applyBorder="1" applyAlignment="1">
      <alignment vertical="center"/>
    </xf>
    <xf numFmtId="0" fontId="56" fillId="10" borderId="0" xfId="0" applyFont="1" applyFill="1">
      <alignment vertical="center"/>
    </xf>
    <xf numFmtId="0" fontId="58" fillId="10" borderId="19" xfId="0" applyFont="1" applyFill="1" applyBorder="1" applyAlignment="1"/>
    <xf numFmtId="0" fontId="57" fillId="10" borderId="19" xfId="0" applyFont="1" applyFill="1" applyBorder="1" applyAlignment="1">
      <alignment horizontal="left" vertical="center"/>
    </xf>
    <xf numFmtId="177" fontId="57" fillId="10" borderId="19" xfId="0" applyNumberFormat="1" applyFont="1" applyFill="1" applyBorder="1" applyAlignment="1">
      <alignment horizontal="left" vertical="center"/>
    </xf>
    <xf numFmtId="0" fontId="26" fillId="0" borderId="12" xfId="20" applyFont="1" applyBorder="1" applyAlignment="1">
      <alignment horizontal="center" vertical="center"/>
    </xf>
    <xf numFmtId="177" fontId="26" fillId="0" borderId="12" xfId="21" applyFont="1" applyFill="1" applyBorder="1" applyAlignment="1">
      <alignment horizontal="right" vertical="center"/>
    </xf>
    <xf numFmtId="0" fontId="26" fillId="4" borderId="12" xfId="5" applyFont="1" applyFill="1" applyBorder="1" applyAlignment="1">
      <alignment vertical="center"/>
    </xf>
    <xf numFmtId="0" fontId="26" fillId="4" borderId="12" xfId="2" applyFont="1" applyFill="1" applyBorder="1" applyAlignment="1">
      <alignment horizontal="left" vertical="center"/>
    </xf>
    <xf numFmtId="180" fontId="26" fillId="0" borderId="16" xfId="5" applyNumberFormat="1" applyFont="1" applyBorder="1" applyAlignment="1">
      <alignment horizontal="right" vertical="center"/>
    </xf>
    <xf numFmtId="177" fontId="57" fillId="0" borderId="19" xfId="1" applyFont="1" applyBorder="1" applyAlignment="1">
      <alignment vertical="center"/>
    </xf>
    <xf numFmtId="0" fontId="39" fillId="4" borderId="0" xfId="0" applyFont="1" applyFill="1" applyBorder="1">
      <alignment vertical="center"/>
    </xf>
    <xf numFmtId="49" fontId="39" fillId="4" borderId="0" xfId="0" applyNumberFormat="1" applyFont="1" applyFill="1" applyBorder="1">
      <alignment vertical="center"/>
    </xf>
    <xf numFmtId="49" fontId="39" fillId="4" borderId="0" xfId="0" applyNumberFormat="1" applyFont="1" applyFill="1" applyBorder="1" applyAlignment="1">
      <alignment horizontal="center" vertical="center"/>
    </xf>
    <xf numFmtId="9" fontId="39" fillId="4" borderId="0" xfId="0" applyNumberFormat="1" applyFont="1" applyFill="1" applyBorder="1">
      <alignment vertical="center"/>
    </xf>
    <xf numFmtId="0" fontId="57" fillId="4" borderId="21" xfId="0" applyFont="1" applyFill="1" applyBorder="1">
      <alignment vertical="center"/>
    </xf>
    <xf numFmtId="0" fontId="57" fillId="9" borderId="21" xfId="0" applyFont="1" applyFill="1" applyBorder="1" applyAlignment="1">
      <alignment horizontal="center" vertical="center"/>
    </xf>
    <xf numFmtId="0" fontId="57" fillId="4" borderId="0" xfId="0" applyFont="1" applyFill="1" applyBorder="1">
      <alignment vertical="center"/>
    </xf>
    <xf numFmtId="49" fontId="57" fillId="4" borderId="0" xfId="0" applyNumberFormat="1" applyFont="1" applyFill="1" applyBorder="1">
      <alignment vertical="center"/>
    </xf>
    <xf numFmtId="49" fontId="57" fillId="4" borderId="0" xfId="0" applyNumberFormat="1" applyFont="1" applyFill="1" applyBorder="1" applyAlignment="1">
      <alignment horizontal="center" vertical="center"/>
    </xf>
    <xf numFmtId="177" fontId="57" fillId="4" borderId="0" xfId="1" applyFont="1" applyFill="1" applyBorder="1" applyAlignment="1">
      <alignment vertical="center"/>
    </xf>
    <xf numFmtId="9" fontId="57" fillId="4" borderId="0" xfId="0" applyNumberFormat="1" applyFont="1" applyFill="1" applyBorder="1">
      <alignment vertical="center"/>
    </xf>
    <xf numFmtId="177" fontId="5" fillId="4" borderId="19" xfId="1" applyFont="1" applyFill="1" applyBorder="1" applyAlignment="1">
      <alignment vertical="center" wrapText="1"/>
    </xf>
    <xf numFmtId="177" fontId="57" fillId="0" borderId="0" xfId="1" applyFont="1" applyFill="1" applyBorder="1" applyAlignment="1">
      <alignment horizontal="center" vertical="center"/>
    </xf>
    <xf numFmtId="177" fontId="57" fillId="0" borderId="0" xfId="1" applyFont="1" applyFill="1" applyBorder="1" applyAlignment="1">
      <alignment vertical="center"/>
    </xf>
    <xf numFmtId="177" fontId="70" fillId="9" borderId="0" xfId="1" applyFont="1" applyFill="1" applyBorder="1" applyAlignment="1">
      <alignment vertical="center"/>
    </xf>
    <xf numFmtId="0" fontId="13" fillId="0" borderId="0" xfId="5" applyFont="1" applyAlignment="1">
      <alignment horizontal="center" vertical="center"/>
    </xf>
    <xf numFmtId="0" fontId="19" fillId="6" borderId="0" xfId="5" applyFont="1" applyFill="1" applyAlignment="1">
      <alignment horizontal="left" vertical="center" shrinkToFit="1"/>
    </xf>
    <xf numFmtId="0" fontId="19" fillId="0" borderId="0" xfId="5" applyFont="1" applyAlignment="1">
      <alignment vertical="center"/>
    </xf>
    <xf numFmtId="0" fontId="17" fillId="0" borderId="0" xfId="5" applyFont="1" applyAlignment="1">
      <alignment vertical="center"/>
    </xf>
    <xf numFmtId="178" fontId="63" fillId="4" borderId="19" xfId="4" applyFont="1" applyFill="1" applyBorder="1" applyAlignment="1">
      <alignment horizontal="center" vertical="center"/>
    </xf>
    <xf numFmtId="178" fontId="62" fillId="4" borderId="19" xfId="4" applyFont="1" applyFill="1" applyBorder="1" applyAlignment="1">
      <alignment horizontal="center" vertical="center"/>
    </xf>
    <xf numFmtId="0" fontId="62" fillId="4" borderId="19" xfId="0" applyFont="1" applyFill="1" applyBorder="1" applyAlignment="1">
      <alignment horizontal="center" vertical="center"/>
    </xf>
    <xf numFmtId="0" fontId="63" fillId="4" borderId="19" xfId="0" applyFont="1" applyFill="1" applyBorder="1" applyAlignment="1">
      <alignment horizontal="center" vertical="center"/>
    </xf>
    <xf numFmtId="49" fontId="62" fillId="4" borderId="19" xfId="2" applyNumberFormat="1" applyFont="1" applyFill="1" applyBorder="1" applyAlignment="1">
      <alignment horizontal="center" vertical="center"/>
    </xf>
    <xf numFmtId="177" fontId="62" fillId="4" borderId="19" xfId="1" applyFont="1" applyFill="1" applyBorder="1" applyAlignment="1">
      <alignment horizontal="center" vertical="center"/>
    </xf>
    <xf numFmtId="0" fontId="44" fillId="0" borderId="19" xfId="16" applyFont="1" applyBorder="1" applyAlignment="1">
      <alignment horizontal="center" vertical="center"/>
    </xf>
    <xf numFmtId="0" fontId="45" fillId="0" borderId="22" xfId="16" applyFont="1" applyBorder="1" applyAlignment="1">
      <alignment horizontal="left" vertical="center"/>
    </xf>
    <xf numFmtId="0" fontId="45" fillId="0" borderId="20" xfId="16" applyFont="1" applyBorder="1" applyAlignment="1">
      <alignment horizontal="left" vertical="center"/>
    </xf>
    <xf numFmtId="0" fontId="45" fillId="0" borderId="21" xfId="16" applyFont="1" applyBorder="1" applyAlignment="1">
      <alignment horizontal="left" vertical="center"/>
    </xf>
    <xf numFmtId="178" fontId="31" fillId="5" borderId="19" xfId="4" applyFont="1" applyFill="1" applyBorder="1" applyAlignment="1">
      <alignment horizontal="center" vertical="center"/>
    </xf>
    <xf numFmtId="0" fontId="31" fillId="5" borderId="19" xfId="0" applyFont="1" applyFill="1" applyBorder="1" applyAlignment="1">
      <alignment horizontal="center" vertical="center"/>
    </xf>
    <xf numFmtId="0" fontId="29" fillId="5" borderId="19" xfId="0" applyFont="1" applyFill="1" applyBorder="1" applyAlignment="1">
      <alignment horizontal="center" vertical="center"/>
    </xf>
    <xf numFmtId="49" fontId="31" fillId="5" borderId="19" xfId="2" applyNumberFormat="1" applyFont="1" applyFill="1" applyBorder="1" applyAlignment="1">
      <alignment horizontal="center" vertical="center"/>
    </xf>
    <xf numFmtId="177" fontId="31" fillId="3" borderId="19" xfId="1" applyFont="1" applyFill="1" applyBorder="1" applyAlignment="1">
      <alignment horizontal="center" vertical="center"/>
    </xf>
    <xf numFmtId="177" fontId="31" fillId="5" borderId="19" xfId="1" applyFont="1" applyFill="1" applyBorder="1" applyAlignment="1">
      <alignment horizontal="center" vertical="center"/>
    </xf>
    <xf numFmtId="0" fontId="48" fillId="0" borderId="0" xfId="17" applyFont="1" applyAlignment="1">
      <alignment horizontal="center" vertical="center" shrinkToFit="1"/>
    </xf>
    <xf numFmtId="0" fontId="49" fillId="0" borderId="0" xfId="17" applyFont="1" applyAlignment="1">
      <alignment horizontal="center" vertical="center" shrinkToFit="1"/>
    </xf>
    <xf numFmtId="176" fontId="50" fillId="0" borderId="0" xfId="18" applyFont="1" applyBorder="1" applyAlignment="1">
      <alignment horizontal="center" vertical="center" shrinkToFit="1"/>
    </xf>
    <xf numFmtId="31" fontId="52" fillId="0" borderId="25" xfId="17" applyNumberFormat="1" applyFont="1" applyBorder="1" applyAlignment="1">
      <alignment horizontal="center" vertical="center" shrinkToFit="1"/>
    </xf>
    <xf numFmtId="31" fontId="52" fillId="0" borderId="26" xfId="17" applyNumberFormat="1" applyFont="1" applyBorder="1" applyAlignment="1">
      <alignment horizontal="center" vertical="center" shrinkToFit="1"/>
    </xf>
    <xf numFmtId="0" fontId="52" fillId="0" borderId="22" xfId="17" applyFont="1" applyBorder="1" applyAlignment="1">
      <alignment horizontal="left" vertical="center" indent="1" shrinkToFit="1"/>
    </xf>
    <xf numFmtId="0" fontId="52" fillId="0" borderId="20" xfId="17" applyFont="1" applyBorder="1" applyAlignment="1">
      <alignment horizontal="left" vertical="center" indent="1" shrinkToFit="1"/>
    </xf>
    <xf numFmtId="0" fontId="52" fillId="0" borderId="28" xfId="17" applyFont="1" applyBorder="1" applyAlignment="1">
      <alignment horizontal="left" vertical="center" indent="1" shrinkToFit="1"/>
    </xf>
    <xf numFmtId="0" fontId="52" fillId="0" borderId="29" xfId="17" applyFont="1" applyBorder="1" applyAlignment="1">
      <alignment horizontal="center" vertical="center" shrinkToFit="1"/>
    </xf>
    <xf numFmtId="0" fontId="52" fillId="0" borderId="33" xfId="17" applyFont="1" applyBorder="1" applyAlignment="1">
      <alignment horizontal="center" vertical="center" shrinkToFit="1"/>
    </xf>
    <xf numFmtId="0" fontId="52" fillId="0" borderId="36" xfId="17" applyFont="1" applyBorder="1" applyAlignment="1">
      <alignment horizontal="center" vertical="center" shrinkToFit="1"/>
    </xf>
    <xf numFmtId="0" fontId="54" fillId="4" borderId="30" xfId="17" applyFont="1" applyFill="1" applyBorder="1" applyAlignment="1">
      <alignment horizontal="left" vertical="center" shrinkToFit="1"/>
    </xf>
    <xf numFmtId="0" fontId="54" fillId="4" borderId="31" xfId="17" applyFont="1" applyFill="1" applyBorder="1" applyAlignment="1">
      <alignment horizontal="left" vertical="center" shrinkToFit="1"/>
    </xf>
    <xf numFmtId="0" fontId="54" fillId="4" borderId="32" xfId="17" applyFont="1" applyFill="1" applyBorder="1" applyAlignment="1">
      <alignment horizontal="left" vertical="center" shrinkToFit="1"/>
    </xf>
    <xf numFmtId="0" fontId="54" fillId="4" borderId="34" xfId="17" applyFont="1" applyFill="1" applyBorder="1" applyAlignment="1">
      <alignment horizontal="left" vertical="center" shrinkToFit="1"/>
    </xf>
    <xf numFmtId="0" fontId="54" fillId="4" borderId="0" xfId="17" applyFont="1" applyFill="1" applyAlignment="1">
      <alignment horizontal="left" vertical="center" shrinkToFit="1"/>
    </xf>
    <xf numFmtId="0" fontId="54" fillId="4" borderId="35" xfId="17" applyFont="1" applyFill="1" applyBorder="1" applyAlignment="1">
      <alignment horizontal="left" vertical="center" shrinkToFit="1"/>
    </xf>
    <xf numFmtId="177" fontId="47" fillId="4" borderId="34" xfId="19" quotePrefix="1" applyFont="1" applyFill="1" applyBorder="1" applyAlignment="1">
      <alignment horizontal="left" vertical="center" shrinkToFit="1"/>
    </xf>
    <xf numFmtId="177" fontId="47" fillId="4" borderId="0" xfId="19" quotePrefix="1" applyFont="1" applyFill="1" applyBorder="1" applyAlignment="1">
      <alignment horizontal="left" vertical="center" shrinkToFit="1"/>
    </xf>
    <xf numFmtId="177" fontId="47" fillId="4" borderId="35" xfId="19" quotePrefix="1" applyFont="1" applyFill="1" applyBorder="1" applyAlignment="1">
      <alignment horizontal="left" vertical="center" shrinkToFit="1"/>
    </xf>
    <xf numFmtId="177" fontId="47" fillId="4" borderId="0" xfId="19" applyFont="1" applyFill="1" applyBorder="1" applyAlignment="1">
      <alignment horizontal="left" vertical="center" shrinkToFit="1"/>
    </xf>
    <xf numFmtId="177" fontId="47" fillId="4" borderId="35" xfId="19" applyFont="1" applyFill="1" applyBorder="1" applyAlignment="1">
      <alignment horizontal="left" vertical="center" shrinkToFit="1"/>
    </xf>
    <xf numFmtId="0" fontId="54" fillId="4" borderId="34" xfId="16" applyFont="1" applyFill="1" applyBorder="1" applyAlignment="1">
      <alignment horizontal="left" vertical="center" shrinkToFit="1"/>
    </xf>
    <xf numFmtId="0" fontId="55" fillId="4" borderId="0" xfId="16" applyFont="1" applyFill="1" applyAlignment="1">
      <alignment horizontal="left" vertical="center" shrinkToFit="1"/>
    </xf>
    <xf numFmtId="0" fontId="55" fillId="4" borderId="35" xfId="16" applyFont="1" applyFill="1" applyBorder="1" applyAlignment="1">
      <alignment horizontal="left" vertical="center" shrinkToFit="1"/>
    </xf>
    <xf numFmtId="0" fontId="52" fillId="0" borderId="20" xfId="17" applyFont="1" applyBorder="1" applyAlignment="1">
      <alignment horizontal="center" vertical="center" shrinkToFit="1"/>
    </xf>
    <xf numFmtId="0" fontId="52" fillId="0" borderId="28" xfId="17" applyFont="1" applyBorder="1" applyAlignment="1">
      <alignment horizontal="center" vertical="center" shrinkToFit="1"/>
    </xf>
    <xf numFmtId="0" fontId="54" fillId="4" borderId="0" xfId="16" applyFont="1" applyFill="1" applyAlignment="1">
      <alignment horizontal="left" vertical="center" shrinkToFit="1"/>
    </xf>
    <xf numFmtId="0" fontId="54" fillId="4" borderId="35" xfId="16" applyFont="1" applyFill="1" applyBorder="1" applyAlignment="1">
      <alignment horizontal="left" vertical="center" shrinkToFit="1"/>
    </xf>
    <xf numFmtId="0" fontId="52" fillId="4" borderId="34" xfId="17" applyFont="1" applyFill="1" applyBorder="1" applyAlignment="1">
      <alignment horizontal="left" vertical="center" shrinkToFit="1"/>
    </xf>
    <xf numFmtId="0" fontId="52" fillId="4" borderId="0" xfId="17" applyFont="1" applyFill="1" applyAlignment="1">
      <alignment horizontal="left" vertical="center" shrinkToFit="1"/>
    </xf>
    <xf numFmtId="0" fontId="52" fillId="4" borderId="35" xfId="17" applyFont="1" applyFill="1" applyBorder="1" applyAlignment="1">
      <alignment horizontal="left" vertical="center" shrinkToFit="1"/>
    </xf>
    <xf numFmtId="0" fontId="58" fillId="0" borderId="19" xfId="0" applyFont="1" applyFill="1" applyBorder="1" applyAlignment="1">
      <alignment horizontal="center" vertical="center"/>
    </xf>
    <xf numFmtId="49" fontId="57" fillId="0" borderId="19" xfId="0" applyNumberFormat="1" applyFont="1" applyFill="1" applyBorder="1" applyAlignment="1">
      <alignment horizontal="center" vertical="center"/>
    </xf>
    <xf numFmtId="0" fontId="58" fillId="0" borderId="19" xfId="0" applyFont="1" applyFill="1" applyBorder="1" applyAlignment="1">
      <alignment vertical="center"/>
    </xf>
    <xf numFmtId="177" fontId="57" fillId="0" borderId="19" xfId="1" applyFont="1" applyFill="1" applyBorder="1" applyAlignment="1">
      <alignment vertical="center"/>
    </xf>
    <xf numFmtId="177" fontId="58" fillId="0" borderId="19" xfId="1" applyFont="1" applyFill="1" applyBorder="1" applyAlignment="1">
      <alignment vertical="center"/>
    </xf>
    <xf numFmtId="9" fontId="57" fillId="0" borderId="19" xfId="0" applyNumberFormat="1" applyFont="1" applyFill="1" applyBorder="1">
      <alignment vertical="center"/>
    </xf>
    <xf numFmtId="49" fontId="57" fillId="0" borderId="19" xfId="0" applyNumberFormat="1" applyFont="1" applyFill="1" applyBorder="1">
      <alignment vertical="center"/>
    </xf>
    <xf numFmtId="0" fontId="56" fillId="0" borderId="0" xfId="0" applyFont="1" applyFill="1">
      <alignment vertical="center"/>
    </xf>
  </cellXfs>
  <cellStyles count="22">
    <cellStyle name="백분율 2" xfId="15" xr:uid="{EE86BB1C-69E1-460B-9171-3F227FA33C1D}"/>
    <cellStyle name="백분율 2 64" xfId="8" xr:uid="{00000000-0005-0000-0000-000001000000}"/>
    <cellStyle name="쉼표 [0]" xfId="1" builtinId="6"/>
    <cellStyle name="쉼표 [0] 15" xfId="21" xr:uid="{0E8F33B4-D964-4C96-B5A3-881CFEB5E49C}"/>
    <cellStyle name="쉼표 [0] 17" xfId="4" xr:uid="{00000000-0005-0000-0000-000003000000}"/>
    <cellStyle name="쉼표 [0] 2" xfId="3" xr:uid="{00000000-0005-0000-0000-000004000000}"/>
    <cellStyle name="쉼표 [0] 2 2" xfId="14" xr:uid="{A1C8B741-C630-4E67-A83D-3CBB14972169}"/>
    <cellStyle name="쉼표 [0] 2 2 29" xfId="19" xr:uid="{3FAD0FAA-8721-4064-865A-605028832AEB}"/>
    <cellStyle name="쉼표 [0] 3" xfId="10" xr:uid="{00000000-0005-0000-0000-000005000000}"/>
    <cellStyle name="쉼표 [0] 4" xfId="13" xr:uid="{0FF7ACC6-6CB8-4787-AF72-D6B99621F0B3}"/>
    <cellStyle name="쉼표 [0]_봉강빌딩신축공사" xfId="6" xr:uid="{00000000-0005-0000-0000-000006000000}"/>
    <cellStyle name="통화 [0] 2 2" xfId="18" xr:uid="{7FF8C250-A740-45DE-B29D-9E43933C3EEB}"/>
    <cellStyle name="표준" xfId="0" builtinId="0"/>
    <cellStyle name="표준 10 10 2" xfId="2" xr:uid="{00000000-0005-0000-0000-000008000000}"/>
    <cellStyle name="표준 10 31" xfId="17" xr:uid="{5641AB0D-2EA8-4AB6-8329-E57BB4A3FC7A}"/>
    <cellStyle name="표준 15" xfId="20" xr:uid="{36149D96-308F-4369-9FDA-AF0B1C837CEE}"/>
    <cellStyle name="표준 2" xfId="7" xr:uid="{00000000-0005-0000-0000-000009000000}"/>
    <cellStyle name="표준 2 10 5" xfId="9" xr:uid="{00000000-0005-0000-0000-00000A000000}"/>
    <cellStyle name="표준 3" xfId="11" xr:uid="{00000000-0005-0000-0000-00000B000000}"/>
    <cellStyle name="표준 4" xfId="12" xr:uid="{03534BC2-B160-42E2-B139-ACDEC5655F57}"/>
    <cellStyle name="표준 5" xfId="16" xr:uid="{DFC9C9E8-5C9A-4A91-B9E1-72DA07CC51D3}"/>
    <cellStyle name="표준_봉강빌딩신축공사" xfId="5" xr:uid="{00000000-0005-0000-0000-00000C000000}"/>
  </cellStyles>
  <dxfs count="0"/>
  <tableStyles count="0" defaultTableStyle="TableStyleMedium2" defaultPivotStyle="PivotStyleLight16"/>
  <colors>
    <mruColors>
      <color rgb="FFF0F0F0"/>
      <color rgb="FFFFF1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8C39A34D-951E-4EFF-A38C-756FAE2E3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32B4980F-0758-4B98-8B1C-E8A79DF01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CB759D8C-1E1E-468F-AA4B-AEAAF6BD7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CEDC4247-812A-4BAC-9744-3A9D2EA63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6" name="Picture 1" descr="세원도장">
          <a:extLst>
            <a:ext uri="{FF2B5EF4-FFF2-40B4-BE49-F238E27FC236}">
              <a16:creationId xmlns:a16="http://schemas.microsoft.com/office/drawing/2014/main" id="{2519A81E-381F-4B86-BAC6-B4BEFD42C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7" name="Picture 1" descr="세원도장">
          <a:extLst>
            <a:ext uri="{FF2B5EF4-FFF2-40B4-BE49-F238E27FC236}">
              <a16:creationId xmlns:a16="http://schemas.microsoft.com/office/drawing/2014/main" id="{6923CF13-1374-4A80-8393-C0317C105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83796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2667000</xdr:colOff>
      <xdr:row>3</xdr:row>
      <xdr:rowOff>95250</xdr:rowOff>
    </xdr:from>
    <xdr:to>
      <xdr:col>6</xdr:col>
      <xdr:colOff>3116036</xdr:colOff>
      <xdr:row>5</xdr:row>
      <xdr:rowOff>163285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35A8CF67-9871-4D6E-B4F3-CB19BFE9D8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5845" t="44181" r="45649" b="45760"/>
        <a:stretch/>
      </xdr:blipFill>
      <xdr:spPr>
        <a:xfrm>
          <a:off x="10487025" y="866775"/>
          <a:ext cx="449036" cy="5919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485775</xdr:colOff>
      <xdr:row>26</xdr:row>
      <xdr:rowOff>0</xdr:rowOff>
    </xdr:from>
    <xdr:ext cx="1143000" cy="704850"/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87A3CA43-32AA-489A-A897-EFAF76847C32}"/>
            </a:ext>
          </a:extLst>
        </xdr:cNvPr>
        <xdr:cNvSpPr>
          <a:spLocks noChangeAspect="1" noChangeArrowheads="1"/>
        </xdr:cNvSpPr>
      </xdr:nvSpPr>
      <xdr:spPr bwMode="auto">
        <a:xfrm>
          <a:off x="8801100" y="7239000"/>
          <a:ext cx="11430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295275</xdr:colOff>
      <xdr:row>28</xdr:row>
      <xdr:rowOff>142875</xdr:rowOff>
    </xdr:from>
    <xdr:ext cx="841946" cy="323850"/>
    <xdr:pic>
      <xdr:nvPicPr>
        <xdr:cNvPr id="3" name="그림 2" descr="안영태 싸인 001.jpg">
          <a:extLst>
            <a:ext uri="{FF2B5EF4-FFF2-40B4-BE49-F238E27FC236}">
              <a16:creationId xmlns:a16="http://schemas.microsoft.com/office/drawing/2014/main" id="{20DDE1A0-AA1A-458E-AB3A-916466988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184" t="12197" r="80285" b="79879"/>
        <a:stretch>
          <a:fillRect/>
        </a:stretch>
      </xdr:blipFill>
      <xdr:spPr>
        <a:xfrm>
          <a:off x="4391025" y="7934325"/>
          <a:ext cx="841946" cy="3238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34"/>
  <sheetViews>
    <sheetView showGridLines="0" topLeftCell="A7" zoomScale="80" zoomScaleNormal="80" workbookViewId="0">
      <selection activeCell="F31" sqref="F31"/>
    </sheetView>
  </sheetViews>
  <sheetFormatPr defaultRowHeight="13.5"/>
  <cols>
    <col min="1" max="1" width="9.875" style="2" customWidth="1"/>
    <col min="2" max="2" width="24.25" style="2" customWidth="1"/>
    <col min="3" max="3" width="27" style="2" customWidth="1"/>
    <col min="4" max="5" width="9" style="2"/>
    <col min="6" max="6" width="23.5" style="2" customWidth="1"/>
    <col min="7" max="7" width="44.75" style="2" customWidth="1"/>
    <col min="8" max="8" width="11.25" style="2" customWidth="1"/>
    <col min="9" max="9" width="9" style="2"/>
    <col min="10" max="16384" width="9" style="3"/>
  </cols>
  <sheetData>
    <row r="2" spans="1:9" ht="33">
      <c r="A2" s="190" t="s">
        <v>5</v>
      </c>
      <c r="B2" s="190"/>
      <c r="C2" s="190"/>
      <c r="D2" s="190"/>
      <c r="E2" s="190"/>
      <c r="F2" s="190"/>
      <c r="G2" s="190"/>
      <c r="H2" s="1"/>
    </row>
    <row r="3" spans="1:9" ht="14.25">
      <c r="A3" s="4"/>
      <c r="B3" s="4"/>
      <c r="C3" s="4"/>
      <c r="D3" s="4"/>
      <c r="E3" s="4"/>
      <c r="F3" s="4"/>
      <c r="G3" s="4"/>
      <c r="H3" s="4"/>
    </row>
    <row r="4" spans="1:9" ht="14.25">
      <c r="A4" s="4"/>
      <c r="B4" s="4"/>
      <c r="C4" s="4"/>
      <c r="D4" s="4"/>
      <c r="E4" s="4"/>
      <c r="H4" s="4"/>
    </row>
    <row r="5" spans="1:9" ht="27.75" customHeight="1">
      <c r="A5" s="5" t="s">
        <v>6</v>
      </c>
      <c r="B5" s="6" t="s">
        <v>84</v>
      </c>
      <c r="C5" s="7"/>
      <c r="D5" s="4"/>
      <c r="E5" s="4"/>
      <c r="F5" s="8" t="s">
        <v>81</v>
      </c>
      <c r="G5" s="9"/>
      <c r="H5" s="4"/>
    </row>
    <row r="6" spans="1:9" ht="14.25" customHeight="1">
      <c r="A6" s="4"/>
      <c r="B6" s="4"/>
      <c r="C6" s="4"/>
      <c r="D6" s="4"/>
      <c r="E6" s="4"/>
      <c r="F6" s="10"/>
      <c r="G6" s="9"/>
      <c r="H6" s="4"/>
    </row>
    <row r="7" spans="1:9" ht="27" customHeight="1">
      <c r="A7" s="5" t="s">
        <v>7</v>
      </c>
      <c r="B7" s="11" t="s">
        <v>144</v>
      </c>
      <c r="C7" s="12"/>
      <c r="D7" s="4"/>
      <c r="E7" s="13"/>
      <c r="F7" s="191" t="s">
        <v>82</v>
      </c>
      <c r="G7" s="191"/>
      <c r="H7" s="4"/>
    </row>
    <row r="8" spans="1:9" ht="14.25">
      <c r="A8" s="4"/>
      <c r="B8" s="4"/>
      <c r="C8" s="4"/>
      <c r="D8" s="4"/>
      <c r="E8" s="4"/>
      <c r="F8" s="10"/>
      <c r="G8" s="14"/>
      <c r="H8" s="4"/>
    </row>
    <row r="9" spans="1:9" ht="26.25" customHeight="1">
      <c r="A9" s="5" t="s">
        <v>80</v>
      </c>
      <c r="B9" s="111" t="s">
        <v>131</v>
      </c>
      <c r="C9" s="15"/>
      <c r="D9" s="4"/>
      <c r="E9" s="4"/>
      <c r="F9" s="8" t="s">
        <v>83</v>
      </c>
      <c r="G9" s="14"/>
      <c r="H9" s="4"/>
    </row>
    <row r="10" spans="1:9" ht="14.25">
      <c r="A10" s="4"/>
      <c r="B10" s="4"/>
      <c r="C10" s="4"/>
      <c r="D10" s="4"/>
      <c r="E10" s="4"/>
      <c r="F10" s="4"/>
      <c r="G10" s="4"/>
      <c r="H10" s="4"/>
      <c r="I10" s="4"/>
    </row>
    <row r="11" spans="1:9" ht="18">
      <c r="A11" s="192"/>
      <c r="B11" s="193"/>
      <c r="C11" s="193"/>
      <c r="D11" s="4"/>
      <c r="E11" s="16"/>
      <c r="F11" s="16"/>
      <c r="G11" s="16"/>
      <c r="H11" s="16"/>
    </row>
    <row r="12" spans="1:9" ht="18.75" thickBot="1">
      <c r="A12" s="17" t="s">
        <v>8</v>
      </c>
      <c r="B12" s="17" t="str">
        <f>NUMBERSTRING(F31,1)</f>
        <v>오백칠십칠만육천</v>
      </c>
      <c r="C12" s="18"/>
      <c r="D12" s="19" t="s">
        <v>9</v>
      </c>
      <c r="E12" s="20" t="s">
        <v>10</v>
      </c>
      <c r="F12" s="20" t="s">
        <v>10</v>
      </c>
      <c r="G12" s="21"/>
      <c r="H12" s="22"/>
    </row>
    <row r="13" spans="1:9" ht="15.75" thickTop="1" thickBot="1">
      <c r="A13" s="4"/>
      <c r="B13" s="4"/>
      <c r="C13" s="4"/>
      <c r="D13" s="4"/>
      <c r="E13" s="4"/>
      <c r="F13" s="4"/>
      <c r="G13" s="4"/>
      <c r="H13" s="22"/>
    </row>
    <row r="14" spans="1:9" ht="33" customHeight="1" thickBot="1">
      <c r="A14" s="23" t="s">
        <v>11</v>
      </c>
      <c r="B14" s="24" t="s">
        <v>12</v>
      </c>
      <c r="C14" s="24" t="s">
        <v>13</v>
      </c>
      <c r="D14" s="24" t="s">
        <v>14</v>
      </c>
      <c r="E14" s="24" t="s">
        <v>15</v>
      </c>
      <c r="F14" s="24" t="s">
        <v>16</v>
      </c>
      <c r="G14" s="25" t="s">
        <v>17</v>
      </c>
      <c r="H14" s="3"/>
      <c r="I14" s="3"/>
    </row>
    <row r="15" spans="1:9" ht="33" customHeight="1" thickTop="1">
      <c r="A15" s="26"/>
      <c r="B15" s="27" t="s">
        <v>18</v>
      </c>
      <c r="C15" s="28"/>
      <c r="D15" s="29"/>
      <c r="E15" s="29"/>
      <c r="F15" s="30"/>
      <c r="G15" s="31"/>
      <c r="H15" s="3"/>
      <c r="I15" s="3"/>
    </row>
    <row r="16" spans="1:9" ht="33" customHeight="1">
      <c r="A16" s="32"/>
      <c r="B16" s="33" t="s">
        <v>19</v>
      </c>
      <c r="C16" s="34"/>
      <c r="D16" s="35"/>
      <c r="E16" s="35"/>
      <c r="F16" s="36">
        <f>'내역서(표준단가)'!O8</f>
        <v>3340750</v>
      </c>
      <c r="G16" s="37"/>
      <c r="I16" s="3"/>
    </row>
    <row r="17" spans="1:9" ht="33" customHeight="1">
      <c r="A17" s="32"/>
      <c r="B17" s="33" t="s">
        <v>20</v>
      </c>
      <c r="C17" s="34"/>
      <c r="D17" s="35"/>
      <c r="E17" s="35"/>
      <c r="F17" s="36">
        <f>'내역서(표준단가)'!Q8</f>
        <v>1907234</v>
      </c>
      <c r="G17" s="38"/>
      <c r="I17" s="3"/>
    </row>
    <row r="18" spans="1:9" ht="33" customHeight="1">
      <c r="A18" s="32"/>
      <c r="B18" s="33" t="s">
        <v>21</v>
      </c>
      <c r="C18" s="34"/>
      <c r="D18" s="35"/>
      <c r="E18" s="35"/>
      <c r="F18" s="36">
        <f>'내역서(표준단가)'!S8</f>
        <v>0</v>
      </c>
      <c r="G18" s="38"/>
      <c r="I18" s="3"/>
    </row>
    <row r="19" spans="1:9" ht="33" customHeight="1">
      <c r="A19" s="32"/>
      <c r="B19" s="39" t="s">
        <v>22</v>
      </c>
      <c r="C19" s="39"/>
      <c r="D19" s="40"/>
      <c r="E19" s="40"/>
      <c r="F19" s="41">
        <f>F16+F17+F18</f>
        <v>5247984</v>
      </c>
      <c r="G19" s="38"/>
      <c r="H19" s="3"/>
      <c r="I19" s="3"/>
    </row>
    <row r="20" spans="1:9" ht="33" customHeight="1">
      <c r="A20" s="32"/>
      <c r="B20" s="42" t="s">
        <v>23</v>
      </c>
      <c r="C20" s="43"/>
      <c r="D20" s="35"/>
      <c r="E20" s="35"/>
      <c r="F20" s="44"/>
      <c r="G20" s="38"/>
      <c r="H20" s="3"/>
      <c r="I20" s="3"/>
    </row>
    <row r="21" spans="1:9" ht="33" customHeight="1">
      <c r="A21" s="32"/>
      <c r="B21" s="169" t="s">
        <v>118</v>
      </c>
      <c r="C21" s="43" t="s">
        <v>119</v>
      </c>
      <c r="D21" s="33">
        <v>1</v>
      </c>
      <c r="E21" s="33" t="s">
        <v>24</v>
      </c>
      <c r="F21" s="45">
        <f>(F16+F17)*3.11%</f>
        <v>163212.30239999999</v>
      </c>
      <c r="G21" s="38" t="s">
        <v>25</v>
      </c>
    </row>
    <row r="22" spans="1:9" ht="33" customHeight="1">
      <c r="A22" s="32"/>
      <c r="B22" s="169" t="s">
        <v>120</v>
      </c>
      <c r="C22" s="43" t="s">
        <v>121</v>
      </c>
      <c r="D22" s="33">
        <v>1</v>
      </c>
      <c r="E22" s="33" t="s">
        <v>24</v>
      </c>
      <c r="F22" s="45">
        <f>F17*3.56%</f>
        <v>67897.530400000003</v>
      </c>
      <c r="G22" s="38" t="s">
        <v>25</v>
      </c>
    </row>
    <row r="23" spans="1:9" ht="33" customHeight="1">
      <c r="A23" s="32"/>
      <c r="B23" s="169" t="s">
        <v>122</v>
      </c>
      <c r="C23" s="43" t="s">
        <v>123</v>
      </c>
      <c r="D23" s="33">
        <v>1</v>
      </c>
      <c r="E23" s="33" t="s">
        <v>24</v>
      </c>
      <c r="F23" s="170">
        <f>F17*1.01%</f>
        <v>19263.063399999999</v>
      </c>
      <c r="G23" s="38" t="s">
        <v>25</v>
      </c>
    </row>
    <row r="24" spans="1:9" ht="33" customHeight="1">
      <c r="A24" s="32"/>
      <c r="B24" s="169" t="s">
        <v>124</v>
      </c>
      <c r="C24" s="171" t="s">
        <v>125</v>
      </c>
      <c r="D24" s="33">
        <v>1</v>
      </c>
      <c r="E24" s="33" t="s">
        <v>24</v>
      </c>
      <c r="F24" s="45">
        <f>F17*3.545%</f>
        <v>67611.445300000007</v>
      </c>
      <c r="G24" s="38" t="s">
        <v>25</v>
      </c>
    </row>
    <row r="25" spans="1:9" ht="33" customHeight="1">
      <c r="A25" s="32"/>
      <c r="B25" s="169" t="s">
        <v>126</v>
      </c>
      <c r="C25" s="171" t="s">
        <v>127</v>
      </c>
      <c r="D25" s="33">
        <v>1</v>
      </c>
      <c r="E25" s="33" t="s">
        <v>24</v>
      </c>
      <c r="F25" s="45">
        <f>F17*4.5%</f>
        <v>85825.53</v>
      </c>
      <c r="G25" s="38" t="s">
        <v>25</v>
      </c>
    </row>
    <row r="26" spans="1:9" ht="33" customHeight="1">
      <c r="A26" s="32"/>
      <c r="B26" s="169" t="s">
        <v>128</v>
      </c>
      <c r="C26" s="172" t="s">
        <v>129</v>
      </c>
      <c r="D26" s="33">
        <v>1</v>
      </c>
      <c r="E26" s="33" t="s">
        <v>24</v>
      </c>
      <c r="F26" s="45">
        <f>F24*12.95%</f>
        <v>8755.6821663500014</v>
      </c>
      <c r="G26" s="38" t="s">
        <v>25</v>
      </c>
    </row>
    <row r="27" spans="1:9" ht="33" customHeight="1">
      <c r="A27" s="32"/>
      <c r="B27" s="169" t="s">
        <v>30</v>
      </c>
      <c r="C27" s="46" t="s">
        <v>130</v>
      </c>
      <c r="D27" s="33">
        <v>1</v>
      </c>
      <c r="E27" s="33" t="s">
        <v>24</v>
      </c>
      <c r="F27" s="45">
        <f>SUM(F17+F21+F22+F23+F24+F25+F26)*5%</f>
        <v>115989.97768331748</v>
      </c>
      <c r="G27" s="38"/>
    </row>
    <row r="28" spans="1:9" ht="33" customHeight="1">
      <c r="A28" s="32"/>
      <c r="B28" s="39" t="s">
        <v>26</v>
      </c>
      <c r="C28" s="47"/>
      <c r="D28" s="48"/>
      <c r="E28" s="40"/>
      <c r="F28" s="49">
        <f>F21+F22+F23+F24+F25+F26+F27</f>
        <v>528555.53134966746</v>
      </c>
      <c r="G28" s="38"/>
      <c r="H28" s="3"/>
      <c r="I28" s="3"/>
    </row>
    <row r="29" spans="1:9" ht="33" customHeight="1">
      <c r="A29" s="32"/>
      <c r="B29" s="43"/>
      <c r="C29" s="50"/>
      <c r="D29" s="51"/>
      <c r="E29" s="35"/>
      <c r="F29" s="52"/>
      <c r="G29" s="38"/>
      <c r="H29" s="3"/>
      <c r="I29" s="3"/>
    </row>
    <row r="30" spans="1:9" ht="33" customHeight="1">
      <c r="A30" s="32"/>
      <c r="B30" s="53"/>
      <c r="C30" s="50"/>
      <c r="D30" s="51"/>
      <c r="E30" s="35"/>
      <c r="F30" s="54">
        <f>F19+F28+F29</f>
        <v>5776539.5313496673</v>
      </c>
      <c r="G30" s="38"/>
      <c r="H30" s="3"/>
      <c r="I30" s="3"/>
    </row>
    <row r="31" spans="1:9" ht="33" customHeight="1">
      <c r="A31" s="32"/>
      <c r="B31" s="39" t="s">
        <v>27</v>
      </c>
      <c r="C31" s="39"/>
      <c r="D31" s="40"/>
      <c r="E31" s="40"/>
      <c r="F31" s="114">
        <f>ROUNDDOWN(F30,-3)</f>
        <v>5776000</v>
      </c>
      <c r="G31" s="38"/>
      <c r="H31" s="3"/>
      <c r="I31" s="3"/>
    </row>
    <row r="32" spans="1:9" ht="33" customHeight="1" thickBot="1">
      <c r="A32" s="55"/>
      <c r="B32" s="56" t="s">
        <v>28</v>
      </c>
      <c r="C32" s="57"/>
      <c r="D32" s="57"/>
      <c r="E32" s="57"/>
      <c r="F32" s="173"/>
      <c r="G32" s="58"/>
      <c r="H32" s="3"/>
      <c r="I32" s="3"/>
    </row>
    <row r="33" spans="2:2" s="3" customFormat="1" ht="15.75">
      <c r="B33" s="59"/>
    </row>
    <row r="34" spans="2:2" s="3" customFormat="1" ht="15.75">
      <c r="B34" s="59"/>
    </row>
  </sheetData>
  <mergeCells count="3">
    <mergeCell ref="A2:G2"/>
    <mergeCell ref="F7:G7"/>
    <mergeCell ref="A11:C11"/>
  </mergeCells>
  <phoneticPr fontId="6" type="noConversion"/>
  <pageMargins left="0.31496062992125984" right="0.19685039370078741" top="0.94488188976377963" bottom="0.55118110236220474" header="0.31496062992125984" footer="0.31496062992125984"/>
  <pageSetup paperSize="9" scale="6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617FF-89D7-40E7-8307-2E648DDF9222}">
  <sheetPr codeName="Sheet2" filterMode="1"/>
  <dimension ref="A1:AO8"/>
  <sheetViews>
    <sheetView tabSelected="1" topLeftCell="H1" zoomScale="130" zoomScaleNormal="130" workbookViewId="0">
      <pane ySplit="5" topLeftCell="A6" activePane="bottomLeft" state="frozen"/>
      <selection activeCell="D40856" sqref="D40856"/>
      <selection pane="bottomLeft" activeCell="V6" sqref="V6"/>
    </sheetView>
  </sheetViews>
  <sheetFormatPr defaultRowHeight="12" customHeight="1"/>
  <cols>
    <col min="1" max="7" width="0" style="143" hidden="1" customWidth="1"/>
    <col min="8" max="8" width="17.75" style="175" customWidth="1"/>
    <col min="9" max="9" width="9" style="143" hidden="1" customWidth="1"/>
    <col min="10" max="10" width="24.375" style="176" customWidth="1"/>
    <col min="11" max="11" width="36" style="176" customWidth="1"/>
    <col min="12" max="12" width="4.5" style="177" customWidth="1"/>
    <col min="13" max="13" width="5.125" style="147" customWidth="1"/>
    <col min="14" max="14" width="11" style="147" customWidth="1"/>
    <col min="15" max="15" width="11.25" style="147" customWidth="1"/>
    <col min="16" max="16" width="10.25" style="147" customWidth="1"/>
    <col min="17" max="17" width="9.875" style="147" customWidth="1"/>
    <col min="18" max="18" width="7.75" style="143" hidden="1" customWidth="1"/>
    <col min="19" max="19" width="9.125" style="143" hidden="1" customWidth="1"/>
    <col min="20" max="21" width="6.625" style="143" hidden="1" customWidth="1"/>
    <col min="22" max="22" width="12.75" style="175" customWidth="1"/>
    <col min="23" max="23" width="11.75" style="178" customWidth="1"/>
    <col min="24" max="24" width="18.75" style="176" customWidth="1"/>
    <col min="25" max="16384" width="9" style="175"/>
  </cols>
  <sheetData>
    <row r="1" spans="1:41" s="128" customFormat="1" ht="12" customHeight="1">
      <c r="H1" s="124"/>
      <c r="I1" s="124"/>
      <c r="J1" s="125"/>
      <c r="K1" s="125"/>
      <c r="L1" s="126"/>
      <c r="M1" s="127"/>
      <c r="N1" s="127"/>
      <c r="O1" s="127"/>
      <c r="P1" s="127"/>
      <c r="Q1" s="127"/>
      <c r="W1" s="129"/>
      <c r="X1" s="125"/>
      <c r="Y1" s="143"/>
      <c r="Z1" s="143"/>
      <c r="AA1" s="143"/>
      <c r="AB1" s="143"/>
      <c r="AC1" s="143"/>
      <c r="AD1" s="143"/>
      <c r="AE1" s="143"/>
      <c r="AF1" s="143"/>
    </row>
    <row r="2" spans="1:41" s="135" customFormat="1" ht="12" customHeight="1">
      <c r="H2" s="130"/>
      <c r="I2" s="130"/>
      <c r="J2" s="131"/>
      <c r="K2" s="131"/>
      <c r="L2" s="132"/>
      <c r="M2" s="133"/>
      <c r="N2" s="127"/>
      <c r="O2" s="134" t="s">
        <v>91</v>
      </c>
      <c r="P2" s="133"/>
      <c r="Q2" s="134" t="s">
        <v>91</v>
      </c>
      <c r="S2" s="134" t="s">
        <v>91</v>
      </c>
      <c r="U2" s="134" t="s">
        <v>91</v>
      </c>
      <c r="W2" s="136" t="s">
        <v>85</v>
      </c>
      <c r="Y2" s="143"/>
      <c r="Z2" s="143"/>
      <c r="AA2" s="143"/>
      <c r="AB2" s="143"/>
      <c r="AC2" s="143"/>
      <c r="AD2" s="143"/>
      <c r="AE2" s="143"/>
      <c r="AF2" s="143"/>
    </row>
    <row r="3" spans="1:41" s="135" customFormat="1" ht="18" customHeight="1">
      <c r="H3" s="150" t="s">
        <v>92</v>
      </c>
      <c r="I3" s="150"/>
      <c r="J3" s="151" t="str">
        <f>갑지!B7</f>
        <v>사택 배터리 교체</v>
      </c>
      <c r="K3" s="152"/>
      <c r="L3" s="153"/>
      <c r="M3" s="154"/>
      <c r="N3" s="155"/>
      <c r="O3" s="156">
        <v>0.83</v>
      </c>
      <c r="P3" s="154"/>
      <c r="Q3" s="156">
        <v>0.4</v>
      </c>
      <c r="R3" s="157"/>
      <c r="S3" s="156">
        <v>0.6</v>
      </c>
      <c r="T3" s="157"/>
      <c r="U3" s="156">
        <v>0.6</v>
      </c>
      <c r="V3" s="157"/>
      <c r="W3" s="156">
        <v>1</v>
      </c>
      <c r="X3" s="158" t="s">
        <v>86</v>
      </c>
      <c r="Y3" s="143"/>
      <c r="Z3" s="143"/>
      <c r="AA3" s="143"/>
      <c r="AB3" s="143"/>
      <c r="AC3" s="143"/>
      <c r="AD3" s="143"/>
      <c r="AE3" s="143"/>
      <c r="AF3" s="143"/>
    </row>
    <row r="4" spans="1:41" s="149" customFormat="1" ht="12" customHeight="1">
      <c r="H4" s="196" t="s">
        <v>93</v>
      </c>
      <c r="I4" s="137"/>
      <c r="J4" s="138" t="s">
        <v>94</v>
      </c>
      <c r="K4" s="138"/>
      <c r="L4" s="198" t="s">
        <v>95</v>
      </c>
      <c r="M4" s="199" t="s">
        <v>96</v>
      </c>
      <c r="N4" s="199" t="s">
        <v>97</v>
      </c>
      <c r="O4" s="199"/>
      <c r="P4" s="199" t="s">
        <v>98</v>
      </c>
      <c r="Q4" s="199"/>
      <c r="R4" s="194" t="s">
        <v>108</v>
      </c>
      <c r="S4" s="195"/>
      <c r="T4" s="195" t="s">
        <v>99</v>
      </c>
      <c r="U4" s="195"/>
      <c r="V4" s="196" t="s">
        <v>100</v>
      </c>
      <c r="W4" s="197" t="s">
        <v>35</v>
      </c>
      <c r="X4" s="196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</row>
    <row r="5" spans="1:41" s="149" customFormat="1" ht="12" customHeight="1">
      <c r="H5" s="196"/>
      <c r="I5" s="160"/>
      <c r="J5" s="139" t="s">
        <v>101</v>
      </c>
      <c r="K5" s="139" t="s">
        <v>102</v>
      </c>
      <c r="L5" s="198"/>
      <c r="M5" s="199"/>
      <c r="N5" s="140" t="s">
        <v>103</v>
      </c>
      <c r="O5" s="140" t="s">
        <v>104</v>
      </c>
      <c r="P5" s="140" t="s">
        <v>105</v>
      </c>
      <c r="Q5" s="140" t="s">
        <v>104</v>
      </c>
      <c r="R5" s="141" t="s">
        <v>106</v>
      </c>
      <c r="S5" s="141" t="s">
        <v>104</v>
      </c>
      <c r="T5" s="141" t="s">
        <v>106</v>
      </c>
      <c r="U5" s="141" t="s">
        <v>104</v>
      </c>
      <c r="V5" s="196"/>
      <c r="W5" s="137" t="s">
        <v>107</v>
      </c>
      <c r="X5" s="142" t="s">
        <v>34</v>
      </c>
      <c r="Y5" s="143"/>
      <c r="Z5" s="143"/>
      <c r="AA5" s="143"/>
      <c r="AB5" s="143"/>
      <c r="AC5" s="143"/>
      <c r="AD5" s="143"/>
      <c r="AE5" s="143"/>
      <c r="AF5" s="143"/>
      <c r="AG5" s="143"/>
      <c r="AH5" s="143"/>
      <c r="AI5" s="143"/>
      <c r="AJ5" s="143"/>
      <c r="AK5" s="143"/>
      <c r="AL5" s="143"/>
      <c r="AM5" s="143"/>
      <c r="AN5" s="143"/>
      <c r="AO5" s="143"/>
    </row>
    <row r="6" spans="1:41" s="148" customFormat="1" ht="30" customHeight="1">
      <c r="H6" s="159" t="s">
        <v>139</v>
      </c>
      <c r="I6" s="161" t="s">
        <v>140</v>
      </c>
      <c r="J6" s="159" t="s">
        <v>141</v>
      </c>
      <c r="K6" s="159" t="s">
        <v>142</v>
      </c>
      <c r="L6" s="159" t="s">
        <v>50</v>
      </c>
      <c r="M6" s="159">
        <v>35</v>
      </c>
      <c r="N6" s="174">
        <v>115000</v>
      </c>
      <c r="O6" s="123">
        <f t="shared" ref="O6" si="0">M6*N6*$O$3</f>
        <v>3340750</v>
      </c>
      <c r="P6" s="186"/>
      <c r="Q6" s="123">
        <f t="shared" ref="Q6" si="1">IF(W6="",M6*P6*$Q$3*$W$3,M6*P6*$Q$3*W6)</f>
        <v>0</v>
      </c>
      <c r="R6" s="145"/>
      <c r="S6" s="145"/>
      <c r="T6" s="145"/>
      <c r="U6" s="145"/>
      <c r="V6" s="123">
        <f t="shared" ref="V6" si="2">SUM(O6+Q6)+S6+U6</f>
        <v>3340750</v>
      </c>
      <c r="W6" s="144"/>
      <c r="X6" s="122"/>
    </row>
    <row r="7" spans="1:41" s="249" customFormat="1" ht="30" customHeight="1">
      <c r="A7" s="165"/>
      <c r="B7" s="165"/>
      <c r="C7" s="165"/>
      <c r="D7" s="165"/>
      <c r="E7" s="165"/>
      <c r="F7" s="165"/>
      <c r="G7" s="165"/>
      <c r="H7" s="242" t="s">
        <v>111</v>
      </c>
      <c r="I7" s="167" t="s">
        <v>114</v>
      </c>
      <c r="J7" s="242" t="s">
        <v>112</v>
      </c>
      <c r="K7" s="242" t="s">
        <v>113</v>
      </c>
      <c r="L7" s="242" t="s">
        <v>145</v>
      </c>
      <c r="M7" s="243">
        <v>35</v>
      </c>
      <c r="N7" s="244"/>
      <c r="O7" s="245">
        <f t="shared" ref="O7" si="3">M7*N7*$O$3</f>
        <v>0</v>
      </c>
      <c r="P7" s="246">
        <v>136231</v>
      </c>
      <c r="Q7" s="245">
        <f>IF(W7="",M7*P7*$Q$3*$W$3,M7*P7*$Q$3*W7)</f>
        <v>1907234</v>
      </c>
      <c r="R7" s="164"/>
      <c r="S7" s="164"/>
      <c r="T7" s="164"/>
      <c r="U7" s="164"/>
      <c r="V7" s="245">
        <f t="shared" ref="V7" si="4">SUM(O7+Q7)+S7+U7</f>
        <v>1907234</v>
      </c>
      <c r="W7" s="247"/>
      <c r="X7" s="248"/>
    </row>
    <row r="8" spans="1:41" s="181" customFormat="1" ht="22.5" customHeight="1">
      <c r="A8" s="148"/>
      <c r="B8" s="148"/>
      <c r="C8" s="148"/>
      <c r="D8" s="148"/>
      <c r="E8" s="148"/>
      <c r="F8" s="148"/>
      <c r="G8" s="148"/>
      <c r="I8" s="179"/>
      <c r="J8" s="182"/>
      <c r="K8" s="183"/>
      <c r="L8" s="183"/>
      <c r="M8" s="184"/>
      <c r="N8" s="187"/>
      <c r="O8" s="189">
        <f>SUM(O6:O7)</f>
        <v>3340750</v>
      </c>
      <c r="P8" s="187"/>
      <c r="Q8" s="189">
        <f>SUM(Q6:Q7)</f>
        <v>1907234</v>
      </c>
      <c r="R8" s="180"/>
      <c r="S8" s="146">
        <f>SUM(S7:S7)</f>
        <v>0</v>
      </c>
      <c r="T8" s="146"/>
      <c r="U8" s="146"/>
      <c r="V8" s="188"/>
      <c r="W8" s="185"/>
      <c r="X8" s="182"/>
      <c r="Y8" s="175"/>
      <c r="Z8" s="175"/>
      <c r="AA8" s="175"/>
      <c r="AB8" s="175"/>
      <c r="AC8" s="175"/>
      <c r="AD8" s="175"/>
      <c r="AE8" s="175"/>
      <c r="AF8" s="175"/>
      <c r="AG8" s="175"/>
      <c r="AH8" s="175"/>
      <c r="AI8" s="175"/>
      <c r="AJ8" s="175"/>
    </row>
  </sheetData>
  <autoFilter ref="H5:X8" xr:uid="{F744D3DA-DF75-4182-9034-802655C8F5D1}">
    <filterColumn colId="5">
      <customFilters>
        <customFilter operator="notEqual" val=" "/>
      </customFilters>
    </filterColumn>
  </autoFilter>
  <mergeCells count="9">
    <mergeCell ref="R4:S4"/>
    <mergeCell ref="T4:U4"/>
    <mergeCell ref="V4:V5"/>
    <mergeCell ref="W4:X4"/>
    <mergeCell ref="H4:H5"/>
    <mergeCell ref="L4:L5"/>
    <mergeCell ref="M4:M5"/>
    <mergeCell ref="N4:O4"/>
    <mergeCell ref="P4:Q4"/>
  </mergeCells>
  <phoneticPr fontId="6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483A6-E9E4-4FDA-A930-ADF287DC63C0}">
  <sheetPr codeName="Sheet5"/>
  <dimension ref="A1:G27"/>
  <sheetViews>
    <sheetView workbookViewId="0">
      <selection activeCell="E14" sqref="E14"/>
    </sheetView>
  </sheetViews>
  <sheetFormatPr defaultColWidth="9" defaultRowHeight="16.5"/>
  <cols>
    <col min="1" max="1" width="24.625" style="93" customWidth="1"/>
    <col min="2" max="2" width="23.25" style="93" customWidth="1"/>
    <col min="3" max="3" width="9.5" style="93" customWidth="1"/>
    <col min="4" max="4" width="8.375" style="93" customWidth="1"/>
    <col min="5" max="5" width="71.375" style="93" bestFit="1" customWidth="1"/>
    <col min="6" max="6" width="17.25" style="93" customWidth="1"/>
    <col min="7" max="7" width="13.375" style="93" customWidth="1"/>
    <col min="8" max="16384" width="9" style="93"/>
  </cols>
  <sheetData>
    <row r="1" spans="1:7">
      <c r="A1" s="200" t="s">
        <v>52</v>
      </c>
      <c r="B1" s="200"/>
      <c r="C1" s="200"/>
      <c r="D1" s="200"/>
      <c r="E1" s="200"/>
      <c r="F1" s="200"/>
      <c r="G1" s="200"/>
    </row>
    <row r="2" spans="1:7">
      <c r="A2" s="200"/>
      <c r="B2" s="200"/>
      <c r="C2" s="200"/>
      <c r="D2" s="200"/>
      <c r="E2" s="200"/>
      <c r="F2" s="200"/>
      <c r="G2" s="200"/>
    </row>
    <row r="3" spans="1:7" ht="24.95" customHeight="1">
      <c r="A3" s="98" t="s">
        <v>53</v>
      </c>
      <c r="B3" s="201" t="str">
        <f>갑지!B7</f>
        <v>사택 배터리 교체</v>
      </c>
      <c r="C3" s="202"/>
      <c r="D3" s="202"/>
      <c r="E3" s="202"/>
      <c r="F3" s="202"/>
      <c r="G3" s="203"/>
    </row>
    <row r="4" spans="1:7" ht="20.100000000000001" customHeight="1">
      <c r="A4" s="95" t="s">
        <v>54</v>
      </c>
      <c r="B4" s="95" t="s">
        <v>55</v>
      </c>
      <c r="C4" s="95" t="s">
        <v>56</v>
      </c>
      <c r="D4" s="95" t="s">
        <v>57</v>
      </c>
      <c r="E4" s="95" t="s">
        <v>58</v>
      </c>
      <c r="F4" s="95" t="s">
        <v>59</v>
      </c>
      <c r="G4" s="95" t="s">
        <v>60</v>
      </c>
    </row>
    <row r="5" spans="1:7" ht="20.100000000000001" customHeight="1">
      <c r="A5" s="80" t="s">
        <v>88</v>
      </c>
      <c r="B5" s="80" t="s">
        <v>132</v>
      </c>
      <c r="C5" s="94" t="s">
        <v>90</v>
      </c>
      <c r="D5" s="97">
        <v>260</v>
      </c>
      <c r="E5" s="96" t="s">
        <v>134</v>
      </c>
      <c r="F5" s="96"/>
      <c r="G5" s="96"/>
    </row>
    <row r="6" spans="1:7" ht="20.100000000000001" customHeight="1">
      <c r="A6" s="96"/>
      <c r="B6" s="80" t="s">
        <v>133</v>
      </c>
      <c r="C6" s="94" t="s">
        <v>90</v>
      </c>
      <c r="D6" s="97">
        <v>60</v>
      </c>
      <c r="E6" s="96" t="s">
        <v>135</v>
      </c>
      <c r="F6" s="96"/>
      <c r="G6" s="96"/>
    </row>
    <row r="7" spans="1:7" ht="20.100000000000001" customHeight="1">
      <c r="A7" s="96"/>
      <c r="B7" s="80" t="s">
        <v>133</v>
      </c>
      <c r="C7" s="94" t="s">
        <v>90</v>
      </c>
      <c r="D7" s="97">
        <v>42</v>
      </c>
      <c r="E7" s="96" t="s">
        <v>136</v>
      </c>
      <c r="F7" s="96"/>
      <c r="G7" s="96"/>
    </row>
    <row r="8" spans="1:7" ht="20.100000000000001" customHeight="1">
      <c r="A8" s="96"/>
      <c r="B8" s="80" t="s">
        <v>89</v>
      </c>
      <c r="C8" s="94" t="s">
        <v>90</v>
      </c>
      <c r="D8" s="97">
        <v>416</v>
      </c>
      <c r="E8" s="96" t="s">
        <v>137</v>
      </c>
      <c r="F8" s="96"/>
      <c r="G8" s="96"/>
    </row>
    <row r="9" spans="1:7" ht="20.100000000000001" customHeight="1">
      <c r="A9" s="96"/>
      <c r="B9" s="80" t="s">
        <v>89</v>
      </c>
      <c r="C9" s="94" t="s">
        <v>90</v>
      </c>
      <c r="D9" s="97">
        <v>150</v>
      </c>
      <c r="E9" s="96" t="s">
        <v>138</v>
      </c>
      <c r="F9" s="96"/>
      <c r="G9" s="96"/>
    </row>
    <row r="10" spans="1:7" ht="20.100000000000001" customHeight="1">
      <c r="A10" s="96"/>
      <c r="B10" s="96"/>
      <c r="C10" s="96"/>
      <c r="D10" s="96"/>
      <c r="E10" s="96"/>
      <c r="F10" s="96"/>
      <c r="G10" s="96"/>
    </row>
    <row r="11" spans="1:7" ht="20.100000000000001" customHeight="1">
      <c r="A11" s="96"/>
      <c r="B11" s="96"/>
      <c r="C11" s="96"/>
      <c r="D11" s="96"/>
      <c r="E11" s="96"/>
      <c r="F11" s="96"/>
      <c r="G11" s="96"/>
    </row>
    <row r="12" spans="1:7" ht="20.100000000000001" customHeight="1">
      <c r="A12" s="96"/>
      <c r="B12" s="96"/>
      <c r="C12" s="96"/>
      <c r="D12" s="96"/>
      <c r="E12" s="96"/>
      <c r="F12" s="96"/>
      <c r="G12" s="96"/>
    </row>
    <row r="13" spans="1:7" ht="20.100000000000001" customHeight="1">
      <c r="A13" s="96"/>
      <c r="B13" s="96"/>
      <c r="C13" s="96"/>
      <c r="D13" s="96"/>
      <c r="F13" s="96"/>
      <c r="G13" s="96"/>
    </row>
    <row r="14" spans="1:7" ht="20.100000000000001" customHeight="1">
      <c r="A14" s="96"/>
      <c r="B14" s="96"/>
      <c r="C14" s="96"/>
      <c r="D14" s="96"/>
      <c r="E14" s="96"/>
      <c r="F14" s="96"/>
      <c r="G14" s="96"/>
    </row>
    <row r="15" spans="1:7" ht="20.100000000000001" customHeight="1">
      <c r="A15" s="96"/>
      <c r="B15" s="96"/>
      <c r="C15" s="96"/>
      <c r="D15" s="96"/>
      <c r="E15" s="96"/>
      <c r="F15" s="96"/>
      <c r="G15" s="96"/>
    </row>
    <row r="16" spans="1:7" ht="20.100000000000001" customHeight="1">
      <c r="A16" s="96"/>
      <c r="B16" s="96"/>
      <c r="C16" s="96"/>
      <c r="D16" s="96"/>
      <c r="E16" s="96"/>
      <c r="F16" s="96"/>
      <c r="G16" s="96"/>
    </row>
    <row r="17" spans="1:7" ht="20.100000000000001" customHeight="1">
      <c r="A17" s="96"/>
      <c r="B17" s="96"/>
      <c r="C17" s="96"/>
      <c r="D17" s="96"/>
      <c r="E17" s="96"/>
      <c r="F17" s="96"/>
      <c r="G17" s="96"/>
    </row>
    <row r="18" spans="1:7" ht="20.100000000000001" customHeight="1">
      <c r="A18" s="96"/>
      <c r="B18" s="96"/>
      <c r="C18" s="96"/>
      <c r="D18" s="96"/>
      <c r="E18" s="96"/>
      <c r="F18" s="96"/>
      <c r="G18" s="96"/>
    </row>
    <row r="19" spans="1:7" ht="20.100000000000001" customHeight="1">
      <c r="A19" s="96"/>
      <c r="B19" s="96"/>
      <c r="C19" s="96"/>
      <c r="D19" s="96"/>
      <c r="E19" s="96"/>
      <c r="F19" s="96"/>
      <c r="G19" s="96"/>
    </row>
    <row r="20" spans="1:7" ht="20.100000000000001" customHeight="1">
      <c r="A20" s="96"/>
      <c r="B20" s="96"/>
      <c r="C20" s="96"/>
      <c r="D20" s="96"/>
      <c r="E20" s="96"/>
      <c r="F20" s="96"/>
      <c r="G20" s="96"/>
    </row>
    <row r="21" spans="1:7" ht="20.100000000000001" customHeight="1">
      <c r="A21" s="96"/>
      <c r="B21" s="96"/>
      <c r="C21" s="96"/>
      <c r="D21" s="96"/>
      <c r="E21" s="96"/>
      <c r="F21" s="96"/>
      <c r="G21" s="96"/>
    </row>
    <row r="22" spans="1:7" ht="20.100000000000001" customHeight="1">
      <c r="A22" s="96"/>
      <c r="B22" s="96"/>
      <c r="C22" s="96"/>
      <c r="D22" s="96"/>
      <c r="E22" s="96"/>
      <c r="F22" s="96"/>
      <c r="G22" s="96"/>
    </row>
    <row r="23" spans="1:7" ht="20.100000000000001" customHeight="1">
      <c r="A23" s="96"/>
      <c r="B23" s="96"/>
      <c r="C23" s="96"/>
      <c r="D23" s="96"/>
      <c r="E23" s="96"/>
      <c r="F23" s="96"/>
      <c r="G23" s="96"/>
    </row>
    <row r="24" spans="1:7" ht="20.100000000000001" customHeight="1">
      <c r="A24" s="96"/>
      <c r="B24" s="96"/>
      <c r="C24" s="96"/>
      <c r="D24" s="96"/>
      <c r="E24" s="96"/>
      <c r="F24" s="96"/>
      <c r="G24" s="96"/>
    </row>
    <row r="25" spans="1:7" ht="20.100000000000001" customHeight="1">
      <c r="A25" s="96"/>
      <c r="B25" s="96"/>
      <c r="C25" s="96"/>
      <c r="D25" s="96"/>
      <c r="E25" s="96"/>
      <c r="F25" s="96"/>
      <c r="G25" s="96"/>
    </row>
    <row r="26" spans="1:7" ht="20.100000000000001" customHeight="1">
      <c r="A26" s="96"/>
      <c r="B26" s="96"/>
      <c r="C26" s="96"/>
      <c r="D26" s="96"/>
      <c r="E26" s="96"/>
      <c r="F26" s="96"/>
      <c r="G26" s="96"/>
    </row>
    <row r="27" spans="1:7" ht="20.100000000000001" customHeight="1">
      <c r="A27" s="96"/>
      <c r="B27" s="96"/>
      <c r="C27" s="96"/>
      <c r="D27" s="96"/>
      <c r="E27" s="96"/>
      <c r="F27" s="96"/>
      <c r="G27" s="96"/>
    </row>
  </sheetData>
  <mergeCells count="2">
    <mergeCell ref="A1:G2"/>
    <mergeCell ref="B3:G3"/>
  </mergeCells>
  <phoneticPr fontId="6" type="noConversion"/>
  <dataValidations disablePrompts="1" count="1">
    <dataValidation type="custom" allowBlank="1" showInputMessage="1" showErrorMessage="1" sqref="A1" xr:uid="{5F7E2222-E039-4792-8B81-F4858E83D8D0}">
      <formula1>A1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FC46E-2FE0-48C3-BB77-BC1131DE6C5B}">
  <sheetPr codeName="Sheet3"/>
  <dimension ref="A1:F5"/>
  <sheetViews>
    <sheetView showGridLines="0" workbookViewId="0">
      <pane ySplit="1" topLeftCell="A2" activePane="bottomLeft" state="frozen"/>
      <selection activeCell="A2" sqref="A2"/>
      <selection pane="bottomLeft" activeCell="A10" sqref="A10"/>
    </sheetView>
  </sheetViews>
  <sheetFormatPr defaultRowHeight="12.75"/>
  <cols>
    <col min="1" max="1" width="18.5" style="63" bestFit="1" customWidth="1"/>
    <col min="2" max="2" width="11.5" style="68" bestFit="1" customWidth="1"/>
    <col min="3" max="3" width="17.875" style="68" bestFit="1" customWidth="1"/>
    <col min="4" max="4" width="17.25" style="63" bestFit="1" customWidth="1"/>
    <col min="5" max="5" width="11.5" style="63" bestFit="1" customWidth="1"/>
    <col min="6" max="6" width="8.5" style="63" bestFit="1" customWidth="1"/>
    <col min="7" max="16384" width="9" style="63"/>
  </cols>
  <sheetData>
    <row r="1" spans="1:6">
      <c r="A1" s="64" t="s">
        <v>31</v>
      </c>
      <c r="B1" s="65" t="s">
        <v>0</v>
      </c>
      <c r="C1" s="65" t="s">
        <v>1</v>
      </c>
      <c r="D1" s="65" t="s">
        <v>2</v>
      </c>
      <c r="E1" s="65" t="s">
        <v>3</v>
      </c>
      <c r="F1" s="65" t="s">
        <v>4</v>
      </c>
    </row>
    <row r="2" spans="1:6">
      <c r="A2" s="66" t="e">
        <f>#REF!</f>
        <v>#REF!</v>
      </c>
      <c r="B2" s="67" t="e">
        <f>#REF!</f>
        <v>#REF!</v>
      </c>
      <c r="C2" s="67" t="e">
        <f>#REF!</f>
        <v>#REF!</v>
      </c>
      <c r="D2" s="66" t="e">
        <f>#REF!</f>
        <v>#REF!</v>
      </c>
      <c r="E2" s="66" t="e">
        <f>#REF!</f>
        <v>#REF!</v>
      </c>
      <c r="F2" s="66" t="e">
        <f>#REF!</f>
        <v>#REF!</v>
      </c>
    </row>
    <row r="3" spans="1:6" ht="16.5" customHeight="1">
      <c r="A3" s="66" t="e">
        <f>#REF!</f>
        <v>#REF!</v>
      </c>
      <c r="B3" s="67" t="e">
        <f>#REF!</f>
        <v>#REF!</v>
      </c>
      <c r="C3" s="67" t="e">
        <f>#REF!</f>
        <v>#REF!</v>
      </c>
      <c r="D3" s="66" t="e">
        <f>#REF!</f>
        <v>#REF!</v>
      </c>
      <c r="E3" s="66" t="e">
        <f>#REF!</f>
        <v>#REF!</v>
      </c>
      <c r="F3" s="66" t="e">
        <f>#REF!</f>
        <v>#REF!</v>
      </c>
    </row>
    <row r="4" spans="1:6">
      <c r="A4" s="66" t="e">
        <f>#REF!</f>
        <v>#REF!</v>
      </c>
      <c r="B4" s="67" t="e">
        <f>#REF!</f>
        <v>#REF!</v>
      </c>
      <c r="C4" s="67" t="e">
        <f>#REF!</f>
        <v>#REF!</v>
      </c>
      <c r="D4" s="66" t="e">
        <f>#REF!</f>
        <v>#REF!</v>
      </c>
      <c r="E4" s="66" t="e">
        <f>#REF!</f>
        <v>#REF!</v>
      </c>
      <c r="F4" s="66" t="e">
        <f>#REF!</f>
        <v>#REF!</v>
      </c>
    </row>
    <row r="5" spans="1:6">
      <c r="A5" s="66" t="e">
        <f>#REF!</f>
        <v>#REF!</v>
      </c>
      <c r="B5" s="67" t="e">
        <f>#REF!</f>
        <v>#REF!</v>
      </c>
      <c r="C5" s="67" t="e">
        <f>#REF!</f>
        <v>#REF!</v>
      </c>
      <c r="D5" s="66" t="e">
        <f>#REF!</f>
        <v>#REF!</v>
      </c>
      <c r="E5" s="66" t="e">
        <f>#REF!</f>
        <v>#REF!</v>
      </c>
      <c r="F5" s="66" t="e">
        <f>#REF!</f>
        <v>#REF!</v>
      </c>
    </row>
  </sheetData>
  <autoFilter ref="A1:F1" xr:uid="{00000000-0009-0000-0000-000002000000}"/>
  <phoneticPr fontId="6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65B2F-07B8-4AA9-B978-3CEEC89AD67D}">
  <sheetPr codeName="Sheet6"/>
  <dimension ref="A1:P9"/>
  <sheetViews>
    <sheetView workbookViewId="0">
      <pane ySplit="5" topLeftCell="A6" activePane="bottomLeft" state="frozen"/>
      <selection activeCell="D40856" sqref="D40856"/>
      <selection pane="bottomLeft" activeCell="A6" sqref="A6"/>
    </sheetView>
  </sheetViews>
  <sheetFormatPr defaultRowHeight="13.5"/>
  <cols>
    <col min="1" max="1" width="18.25" style="74" customWidth="1"/>
    <col min="2" max="3" width="40.75" style="87" customWidth="1"/>
    <col min="4" max="4" width="7.375" style="87" customWidth="1"/>
    <col min="5" max="5" width="6.75" style="88" customWidth="1"/>
    <col min="6" max="8" width="11.75" style="88" customWidth="1"/>
    <col min="9" max="9" width="9.75" style="88" customWidth="1"/>
    <col min="10" max="13" width="11.75" style="74" hidden="1" customWidth="1"/>
    <col min="14" max="14" width="11.75" style="74" customWidth="1"/>
    <col min="15" max="15" width="11.75" style="89" customWidth="1"/>
    <col min="16" max="16" width="11.75" style="87" customWidth="1"/>
    <col min="17" max="16384" width="9" style="74"/>
  </cols>
  <sheetData>
    <row r="1" spans="1:16">
      <c r="A1" s="90"/>
    </row>
    <row r="2" spans="1:16" s="60" customFormat="1" ht="12.75">
      <c r="A2" s="91"/>
      <c r="B2" s="81"/>
      <c r="C2" s="81"/>
      <c r="D2" s="81"/>
      <c r="E2" s="83"/>
      <c r="F2" s="84"/>
      <c r="G2" s="62" t="s">
        <v>29</v>
      </c>
      <c r="I2" s="62" t="s">
        <v>29</v>
      </c>
      <c r="K2" s="62" t="s">
        <v>29</v>
      </c>
      <c r="M2" s="62" t="s">
        <v>29</v>
      </c>
      <c r="O2" s="61"/>
    </row>
    <row r="3" spans="1:16" s="60" customFormat="1" ht="16.5" customHeight="1">
      <c r="A3" s="79"/>
      <c r="B3" s="92" t="str">
        <f>"공사명"&amp;" "&amp;":"&amp;" "&amp;갑지!B7</f>
        <v>공사명 : 사택 배터리 교체</v>
      </c>
      <c r="C3" s="81"/>
      <c r="D3" s="81"/>
      <c r="E3" s="83"/>
      <c r="F3" s="85"/>
      <c r="G3" s="78" t="s">
        <v>87</v>
      </c>
      <c r="I3" s="78" t="s">
        <v>87</v>
      </c>
      <c r="K3" s="78">
        <v>0.86</v>
      </c>
      <c r="M3" s="78">
        <v>0.8</v>
      </c>
      <c r="O3" s="61"/>
    </row>
    <row r="4" spans="1:16" s="60" customFormat="1" ht="16.5" customHeight="1">
      <c r="A4" s="205" t="s">
        <v>33</v>
      </c>
      <c r="B4" s="207" t="s">
        <v>44</v>
      </c>
      <c r="C4" s="207"/>
      <c r="D4" s="207" t="s">
        <v>36</v>
      </c>
      <c r="E4" s="208" t="s">
        <v>37</v>
      </c>
      <c r="F4" s="209" t="s">
        <v>38</v>
      </c>
      <c r="G4" s="209"/>
      <c r="H4" s="209" t="s">
        <v>45</v>
      </c>
      <c r="I4" s="209"/>
      <c r="J4" s="204" t="s">
        <v>39</v>
      </c>
      <c r="K4" s="204"/>
      <c r="L4" s="204" t="s">
        <v>40</v>
      </c>
      <c r="M4" s="204"/>
      <c r="N4" s="205" t="s">
        <v>32</v>
      </c>
      <c r="O4" s="206" t="s">
        <v>35</v>
      </c>
      <c r="P4" s="205"/>
    </row>
    <row r="5" spans="1:16" s="60" customFormat="1" ht="16.5" customHeight="1">
      <c r="A5" s="205"/>
      <c r="B5" s="82" t="s">
        <v>41</v>
      </c>
      <c r="C5" s="82" t="s">
        <v>46</v>
      </c>
      <c r="D5" s="207"/>
      <c r="E5" s="208"/>
      <c r="F5" s="72" t="s">
        <v>47</v>
      </c>
      <c r="G5" s="77" t="s">
        <v>42</v>
      </c>
      <c r="H5" s="72" t="s">
        <v>48</v>
      </c>
      <c r="I5" s="77" t="s">
        <v>42</v>
      </c>
      <c r="J5" s="69" t="s">
        <v>43</v>
      </c>
      <c r="K5" s="76" t="s">
        <v>42</v>
      </c>
      <c r="L5" s="69" t="s">
        <v>43</v>
      </c>
      <c r="M5" s="76" t="s">
        <v>42</v>
      </c>
      <c r="N5" s="205"/>
      <c r="O5" s="70" t="s">
        <v>49</v>
      </c>
      <c r="P5" s="71" t="s">
        <v>34</v>
      </c>
    </row>
    <row r="6" spans="1:16" s="121" customFormat="1">
      <c r="A6" s="118"/>
      <c r="B6" s="119"/>
      <c r="C6" s="119"/>
      <c r="D6" s="115"/>
      <c r="E6" s="117"/>
      <c r="F6" s="117"/>
      <c r="G6" s="117"/>
      <c r="H6" s="117"/>
      <c r="I6" s="116"/>
      <c r="J6" s="113">
        <v>197736</v>
      </c>
      <c r="K6" s="75"/>
      <c r="L6" s="73"/>
      <c r="M6" s="75"/>
      <c r="N6" s="116"/>
      <c r="O6" s="120"/>
      <c r="P6" s="119"/>
    </row>
    <row r="7" spans="1:16">
      <c r="A7" s="159" t="s">
        <v>139</v>
      </c>
      <c r="B7" s="161" t="s">
        <v>141</v>
      </c>
      <c r="C7" s="161" t="s">
        <v>142</v>
      </c>
      <c r="D7" s="161" t="s">
        <v>50</v>
      </c>
      <c r="E7" s="161">
        <v>35</v>
      </c>
      <c r="F7" s="112"/>
      <c r="G7" s="112"/>
      <c r="H7" s="112"/>
      <c r="I7" s="113"/>
      <c r="J7" s="113">
        <v>295464.15000000002</v>
      </c>
      <c r="K7" s="75"/>
      <c r="L7" s="73"/>
      <c r="M7" s="75"/>
      <c r="N7" s="73"/>
      <c r="O7" s="86"/>
      <c r="P7" s="80"/>
    </row>
    <row r="8" spans="1:16">
      <c r="A8" s="159" t="s">
        <v>115</v>
      </c>
      <c r="B8" s="161" t="s">
        <v>116</v>
      </c>
      <c r="C8" s="161" t="s">
        <v>117</v>
      </c>
      <c r="D8" s="161" t="s">
        <v>51</v>
      </c>
      <c r="E8" s="161">
        <v>1</v>
      </c>
      <c r="F8" s="112"/>
      <c r="G8" s="112"/>
      <c r="H8" s="112"/>
      <c r="I8" s="113"/>
      <c r="J8" s="113">
        <v>131653</v>
      </c>
      <c r="K8" s="75"/>
      <c r="L8" s="73"/>
      <c r="M8" s="75"/>
      <c r="N8" s="73"/>
      <c r="O8" s="86"/>
      <c r="P8" s="80"/>
    </row>
    <row r="9" spans="1:16">
      <c r="A9" s="162" t="s">
        <v>111</v>
      </c>
      <c r="B9" s="166" t="s">
        <v>112</v>
      </c>
      <c r="C9" s="166" t="s">
        <v>113</v>
      </c>
      <c r="D9" s="163"/>
      <c r="E9" s="168">
        <v>35</v>
      </c>
      <c r="F9" s="112"/>
      <c r="G9" s="112"/>
      <c r="H9" s="112"/>
      <c r="I9" s="113"/>
      <c r="J9" s="113">
        <v>1909218</v>
      </c>
      <c r="K9" s="75"/>
      <c r="L9" s="73"/>
      <c r="M9" s="75"/>
      <c r="N9" s="73"/>
      <c r="O9" s="86"/>
      <c r="P9" s="80"/>
    </row>
  </sheetData>
  <autoFilter ref="A5:P9" xr:uid="{3E8EE2AF-BF94-4554-AFEF-E97451214545}"/>
  <mergeCells count="10">
    <mergeCell ref="J4:K4"/>
    <mergeCell ref="L4:M4"/>
    <mergeCell ref="N4:N5"/>
    <mergeCell ref="O4:P4"/>
    <mergeCell ref="A4:A5"/>
    <mergeCell ref="B4:C4"/>
    <mergeCell ref="D4:D5"/>
    <mergeCell ref="E4:E5"/>
    <mergeCell ref="F4:G4"/>
    <mergeCell ref="H4:I4"/>
  </mergeCells>
  <phoneticPr fontId="6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DA745-528D-4374-85F4-DF3E42C7BD38}">
  <sheetPr codeName="Sheet4"/>
  <dimension ref="A1:F48"/>
  <sheetViews>
    <sheetView view="pageBreakPreview" zoomScaleNormal="100" zoomScaleSheetLayoutView="100" workbookViewId="0">
      <selection activeCell="C13" sqref="C13:F13"/>
    </sheetView>
  </sheetViews>
  <sheetFormatPr defaultColWidth="9" defaultRowHeight="13.5"/>
  <cols>
    <col min="1" max="1" width="3.125" style="99" customWidth="1"/>
    <col min="2" max="2" width="18.25" style="109" customWidth="1"/>
    <col min="3" max="3" width="32.375" style="109" customWidth="1"/>
    <col min="4" max="4" width="10" style="110" customWidth="1"/>
    <col min="5" max="5" width="16.625" style="109" customWidth="1"/>
    <col min="6" max="6" width="16.625" style="100" customWidth="1"/>
    <col min="7" max="7" width="3.125" style="100" customWidth="1"/>
    <col min="8" max="16384" width="9" style="100"/>
  </cols>
  <sheetData>
    <row r="1" spans="1:6" ht="16.5" customHeight="1">
      <c r="B1" s="210" t="s">
        <v>61</v>
      </c>
      <c r="C1" s="211"/>
      <c r="D1" s="211"/>
      <c r="E1" s="211"/>
      <c r="F1" s="211"/>
    </row>
    <row r="2" spans="1:6" ht="25.5" customHeight="1">
      <c r="B2" s="211"/>
      <c r="C2" s="211"/>
      <c r="D2" s="211"/>
      <c r="E2" s="211"/>
      <c r="F2" s="211"/>
    </row>
    <row r="3" spans="1:6" ht="10.5" customHeight="1" thickBot="1">
      <c r="A3" s="212"/>
      <c r="B3" s="212"/>
      <c r="C3" s="212"/>
      <c r="D3" s="212"/>
      <c r="E3" s="212"/>
      <c r="F3" s="212"/>
    </row>
    <row r="4" spans="1:6" ht="31.5" customHeight="1">
      <c r="A4" s="101"/>
      <c r="B4" s="102" t="s">
        <v>62</v>
      </c>
      <c r="C4" s="103" t="s">
        <v>63</v>
      </c>
      <c r="D4" s="104" t="s">
        <v>64</v>
      </c>
      <c r="E4" s="213" t="str">
        <f>갑지!B9</f>
        <v>2025년 06월  일</v>
      </c>
      <c r="F4" s="214"/>
    </row>
    <row r="5" spans="1:6" s="107" customFormat="1" ht="31.5" customHeight="1">
      <c r="A5" s="105"/>
      <c r="B5" s="106" t="s">
        <v>65</v>
      </c>
      <c r="C5" s="215" t="str">
        <f>갑지!B7</f>
        <v>사택 배터리 교체</v>
      </c>
      <c r="D5" s="216"/>
      <c r="E5" s="216"/>
      <c r="F5" s="217"/>
    </row>
    <row r="6" spans="1:6" ht="21.95" customHeight="1">
      <c r="A6" s="105"/>
      <c r="B6" s="218" t="s">
        <v>66</v>
      </c>
      <c r="C6" s="221" t="s">
        <v>67</v>
      </c>
      <c r="D6" s="222"/>
      <c r="E6" s="222"/>
      <c r="F6" s="223"/>
    </row>
    <row r="7" spans="1:6" ht="21.95" customHeight="1">
      <c r="A7" s="105"/>
      <c r="B7" s="219"/>
      <c r="C7" s="224" t="s">
        <v>109</v>
      </c>
      <c r="D7" s="225"/>
      <c r="E7" s="225"/>
      <c r="F7" s="226"/>
    </row>
    <row r="8" spans="1:6" ht="21.95" customHeight="1">
      <c r="A8" s="105"/>
      <c r="B8" s="219"/>
      <c r="C8" s="224" t="s">
        <v>68</v>
      </c>
      <c r="D8" s="225"/>
      <c r="E8" s="225"/>
      <c r="F8" s="226"/>
    </row>
    <row r="9" spans="1:6" ht="21.95" customHeight="1">
      <c r="A9" s="105"/>
      <c r="B9" s="219"/>
      <c r="C9" s="227"/>
      <c r="D9" s="228"/>
      <c r="E9" s="228"/>
      <c r="F9" s="229"/>
    </row>
    <row r="10" spans="1:6" ht="21.95" customHeight="1">
      <c r="A10" s="105"/>
      <c r="B10" s="219"/>
      <c r="C10" s="227"/>
      <c r="D10" s="228"/>
      <c r="E10" s="228"/>
      <c r="F10" s="229"/>
    </row>
    <row r="11" spans="1:6" ht="21.95" customHeight="1">
      <c r="A11" s="105"/>
      <c r="B11" s="219"/>
      <c r="C11" s="227" t="s">
        <v>143</v>
      </c>
      <c r="D11" s="228"/>
      <c r="E11" s="228"/>
      <c r="F11" s="229"/>
    </row>
    <row r="12" spans="1:6" ht="21.95" customHeight="1">
      <c r="A12" s="105"/>
      <c r="B12" s="219"/>
      <c r="C12" s="227"/>
      <c r="D12" s="228"/>
      <c r="E12" s="228"/>
      <c r="F12" s="229"/>
    </row>
    <row r="13" spans="1:6" ht="21.95" customHeight="1">
      <c r="A13" s="105"/>
      <c r="B13" s="219"/>
      <c r="C13" s="227"/>
      <c r="D13" s="228"/>
      <c r="E13" s="228"/>
      <c r="F13" s="229"/>
    </row>
    <row r="14" spans="1:6" ht="21.95" customHeight="1">
      <c r="A14" s="105"/>
      <c r="B14" s="219"/>
      <c r="C14" s="227"/>
      <c r="D14" s="228"/>
      <c r="E14" s="228"/>
      <c r="F14" s="229"/>
    </row>
    <row r="15" spans="1:6" ht="21.95" customHeight="1">
      <c r="A15" s="105"/>
      <c r="B15" s="219"/>
      <c r="C15" s="227"/>
      <c r="D15" s="228"/>
      <c r="E15" s="228"/>
      <c r="F15" s="229"/>
    </row>
    <row r="16" spans="1:6" ht="21.95" customHeight="1">
      <c r="A16" s="105"/>
      <c r="B16" s="219"/>
      <c r="C16" s="227"/>
      <c r="D16" s="228"/>
      <c r="E16" s="228"/>
      <c r="F16" s="229"/>
    </row>
    <row r="17" spans="1:6" ht="21.95" customHeight="1">
      <c r="A17" s="105"/>
      <c r="B17" s="219"/>
      <c r="C17" s="227"/>
      <c r="D17" s="228"/>
      <c r="E17" s="228"/>
      <c r="F17" s="229"/>
    </row>
    <row r="18" spans="1:6" ht="21.95" customHeight="1">
      <c r="A18" s="105"/>
      <c r="B18" s="219"/>
      <c r="C18" s="227"/>
      <c r="D18" s="230"/>
      <c r="E18" s="230"/>
      <c r="F18" s="231"/>
    </row>
    <row r="19" spans="1:6" ht="19.899999999999999" customHeight="1">
      <c r="A19" s="105"/>
      <c r="B19" s="219"/>
      <c r="C19" s="227"/>
      <c r="D19" s="230"/>
      <c r="E19" s="230"/>
      <c r="F19" s="231"/>
    </row>
    <row r="20" spans="1:6" ht="21.95" customHeight="1">
      <c r="A20" s="105"/>
      <c r="B20" s="219"/>
      <c r="C20" s="232" t="s">
        <v>69</v>
      </c>
      <c r="D20" s="233"/>
      <c r="E20" s="233"/>
      <c r="F20" s="234"/>
    </row>
    <row r="21" spans="1:6" ht="21.95" customHeight="1">
      <c r="A21" s="105"/>
      <c r="B21" s="219"/>
      <c r="C21" s="232" t="s">
        <v>70</v>
      </c>
      <c r="D21" s="233"/>
      <c r="E21" s="233"/>
      <c r="F21" s="234"/>
    </row>
    <row r="22" spans="1:6" ht="21.95" customHeight="1">
      <c r="A22" s="105"/>
      <c r="B22" s="219"/>
      <c r="C22" s="227" t="s">
        <v>71</v>
      </c>
      <c r="D22" s="230"/>
      <c r="E22" s="230"/>
      <c r="F22" s="231"/>
    </row>
    <row r="23" spans="1:6" ht="21.95" customHeight="1">
      <c r="A23" s="105"/>
      <c r="B23" s="219"/>
      <c r="C23" s="227" t="s">
        <v>72</v>
      </c>
      <c r="D23" s="230"/>
      <c r="E23" s="230"/>
      <c r="F23" s="231"/>
    </row>
    <row r="24" spans="1:6" ht="21.95" customHeight="1">
      <c r="A24" s="105"/>
      <c r="B24" s="219"/>
      <c r="C24" s="227" t="s">
        <v>73</v>
      </c>
      <c r="D24" s="230"/>
      <c r="E24" s="230"/>
      <c r="F24" s="231"/>
    </row>
    <row r="25" spans="1:6" ht="21.95" customHeight="1">
      <c r="A25" s="105"/>
      <c r="B25" s="219"/>
      <c r="C25" s="232" t="s">
        <v>74</v>
      </c>
      <c r="D25" s="237"/>
      <c r="E25" s="237"/>
      <c r="F25" s="238"/>
    </row>
    <row r="26" spans="1:6" ht="21.95" customHeight="1">
      <c r="A26" s="105"/>
      <c r="B26" s="219"/>
      <c r="C26" s="232"/>
      <c r="D26" s="237"/>
      <c r="E26" s="237"/>
      <c r="F26" s="238"/>
    </row>
    <row r="27" spans="1:6" ht="21.95" customHeight="1">
      <c r="A27" s="105"/>
      <c r="B27" s="219"/>
      <c r="C27" s="232"/>
      <c r="D27" s="237"/>
      <c r="E27" s="237"/>
      <c r="F27" s="238"/>
    </row>
    <row r="28" spans="1:6" ht="21.95" customHeight="1">
      <c r="A28" s="105"/>
      <c r="B28" s="220"/>
      <c r="C28" s="239"/>
      <c r="D28" s="240"/>
      <c r="E28" s="240"/>
      <c r="F28" s="241"/>
    </row>
    <row r="29" spans="1:6" ht="50.1" customHeight="1">
      <c r="A29" s="105"/>
      <c r="B29" s="106" t="s">
        <v>75</v>
      </c>
      <c r="C29" s="108" t="s">
        <v>76</v>
      </c>
      <c r="D29" s="235" t="s">
        <v>77</v>
      </c>
      <c r="E29" s="235"/>
      <c r="F29" s="236"/>
    </row>
    <row r="30" spans="1:6" ht="50.1" customHeight="1">
      <c r="A30" s="105"/>
      <c r="B30" s="106" t="s">
        <v>78</v>
      </c>
      <c r="C30" s="108" t="s">
        <v>110</v>
      </c>
      <c r="D30" s="235" t="s">
        <v>79</v>
      </c>
      <c r="E30" s="235"/>
      <c r="F30" s="236"/>
    </row>
    <row r="31" spans="1:6" ht="21.95" customHeight="1"/>
    <row r="32" spans="1:6" ht="21.95" customHeight="1"/>
    <row r="33" ht="21.95" customHeight="1"/>
    <row r="34" ht="21.95" customHeight="1"/>
    <row r="35" ht="23.25" customHeight="1"/>
    <row r="36" ht="23.25" customHeight="1"/>
    <row r="37" ht="23.25" customHeight="1"/>
    <row r="38" ht="23.25" customHeight="1"/>
    <row r="39" ht="23.25" customHeight="1"/>
    <row r="40" ht="23.25" customHeight="1"/>
    <row r="41" ht="23.25" customHeight="1"/>
    <row r="42" ht="23.25" customHeight="1"/>
    <row r="43" ht="23.25" customHeight="1"/>
    <row r="44" ht="23.25" customHeight="1"/>
    <row r="45" ht="23.25" customHeight="1"/>
    <row r="46" ht="23.25" customHeight="1"/>
    <row r="47" ht="23.25" customHeight="1"/>
    <row r="48" ht="23.25" customHeight="1"/>
  </sheetData>
  <mergeCells count="30">
    <mergeCell ref="C21:F21"/>
    <mergeCell ref="D29:F29"/>
    <mergeCell ref="D30:F30"/>
    <mergeCell ref="C23:F23"/>
    <mergeCell ref="C24:F24"/>
    <mergeCell ref="C25:F25"/>
    <mergeCell ref="C26:F26"/>
    <mergeCell ref="C27:F27"/>
    <mergeCell ref="C28:F28"/>
    <mergeCell ref="C16:F16"/>
    <mergeCell ref="C17:F17"/>
    <mergeCell ref="C18:F18"/>
    <mergeCell ref="C19:F19"/>
    <mergeCell ref="C20:F20"/>
    <mergeCell ref="B1:F2"/>
    <mergeCell ref="A3:F3"/>
    <mergeCell ref="E4:F4"/>
    <mergeCell ref="C5:F5"/>
    <mergeCell ref="B6:B28"/>
    <mergeCell ref="C6:F6"/>
    <mergeCell ref="C7:F7"/>
    <mergeCell ref="C8:F8"/>
    <mergeCell ref="C9:F9"/>
    <mergeCell ref="C10:F10"/>
    <mergeCell ref="C22:F22"/>
    <mergeCell ref="C11:F11"/>
    <mergeCell ref="C12:F12"/>
    <mergeCell ref="C13:F13"/>
    <mergeCell ref="C14:F14"/>
    <mergeCell ref="C15:F15"/>
  </mergeCells>
  <phoneticPr fontId="6" type="noConversion"/>
  <printOptions horizontalCentered="1"/>
  <pageMargins left="7.874015748031496E-2" right="7.874015748031496E-2" top="0.74803149606299213" bottom="3.937007874015748E-2" header="0.31496062992125984" footer="0.31496062992125984"/>
  <pageSetup paperSize="9" scale="92" orientation="portrait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갑지</vt:lpstr>
      <vt:lpstr>내역서(표준단가)</vt:lpstr>
      <vt:lpstr>주요물량산출서</vt:lpstr>
      <vt:lpstr>Upload</vt:lpstr>
      <vt:lpstr>내역서업로드</vt:lpstr>
      <vt:lpstr>공사수립계획서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dcterms:created xsi:type="dcterms:W3CDTF">2020-09-15T23:52:51Z</dcterms:created>
  <dcterms:modified xsi:type="dcterms:W3CDTF">2025-07-06T21:28:21Z</dcterms:modified>
</cp:coreProperties>
</file>
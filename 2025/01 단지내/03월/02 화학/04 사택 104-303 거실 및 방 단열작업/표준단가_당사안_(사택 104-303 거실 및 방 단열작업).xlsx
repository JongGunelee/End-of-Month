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3월\02 화학\04 사택 104-303 거실 및 방 단열작업\"/>
    </mc:Choice>
  </mc:AlternateContent>
  <xr:revisionPtr revIDLastSave="0" documentId="13_ncr:1_{E280BFE1-3D77-40A1-BBEE-C17572C4D258}" xr6:coauthVersionLast="47" xr6:coauthVersionMax="47" xr10:uidLastSave="{00000000-0000-0000-0000-000000000000}"/>
  <bookViews>
    <workbookView xWindow="14355" yWindow="0" windowWidth="14490" windowHeight="15525" xr2:uid="{00000000-000D-0000-FFFF-FFFF00000000}"/>
  </bookViews>
  <sheets>
    <sheet name="갑지" sheetId="5" r:id="rId1"/>
    <sheet name="내역서(표준단가)" sheetId="4" r:id="rId2"/>
    <sheet name="상세내역" sheetId="18" r:id="rId3"/>
    <sheet name="시중가 근거서류" sheetId="17" r:id="rId4"/>
    <sheet name="Upload" sheetId="16" r:id="rId5"/>
    <sheet name="Upload-OO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H6" i="18"/>
  <c r="F6" i="18"/>
  <c r="A10" i="4"/>
  <c r="A9" i="4"/>
  <c r="A8" i="4"/>
  <c r="A7" i="4"/>
  <c r="A6" i="4"/>
  <c r="U6" i="4"/>
  <c r="S6" i="4"/>
  <c r="Q6" i="4"/>
  <c r="V6" i="4" s="1"/>
  <c r="Q5" i="4"/>
  <c r="N6" i="18" l="1"/>
  <c r="H21" i="18" l="1"/>
  <c r="F21" i="18"/>
  <c r="H20" i="18"/>
  <c r="F20" i="18"/>
  <c r="N20" i="18" s="1"/>
  <c r="H19" i="18"/>
  <c r="F19" i="18"/>
  <c r="F18" i="18"/>
  <c r="N18" i="18" s="1"/>
  <c r="L22" i="18"/>
  <c r="L23" i="18" s="1"/>
  <c r="J22" i="18"/>
  <c r="J23" i="18" s="1"/>
  <c r="N19" i="18" l="1"/>
  <c r="N21" i="18"/>
  <c r="N22" i="18"/>
  <c r="H16" i="18" l="1"/>
  <c r="F16" i="18"/>
  <c r="H15" i="18"/>
  <c r="F15" i="18"/>
  <c r="H14" i="18"/>
  <c r="F14" i="18"/>
  <c r="F13" i="18"/>
  <c r="N13" i="18" s="1"/>
  <c r="H11" i="18"/>
  <c r="F11" i="18"/>
  <c r="H10" i="18"/>
  <c r="F10" i="18"/>
  <c r="H9" i="18"/>
  <c r="F9" i="18"/>
  <c r="F8" i="18"/>
  <c r="N8" i="18" s="1"/>
  <c r="H7" i="18"/>
  <c r="F7" i="18"/>
  <c r="H5" i="18"/>
  <c r="F5" i="18"/>
  <c r="H23" i="18" l="1"/>
  <c r="F23" i="18"/>
  <c r="N16" i="18"/>
  <c r="N15" i="18"/>
  <c r="N9" i="18"/>
  <c r="N10" i="18"/>
  <c r="N7" i="18"/>
  <c r="N11" i="18"/>
  <c r="N14" i="18"/>
  <c r="N5" i="18"/>
  <c r="N23" i="18" l="1"/>
  <c r="N4" i="18"/>
  <c r="U5" i="4" l="1"/>
  <c r="S5" i="4"/>
  <c r="O5" i="4"/>
  <c r="A5" i="4"/>
  <c r="V5" i="4" l="1"/>
  <c r="F2" i="1" l="1"/>
  <c r="E2" i="1"/>
  <c r="D2" i="1"/>
  <c r="C2" i="1"/>
  <c r="B2" i="1"/>
  <c r="A11" i="4"/>
  <c r="A2" i="1"/>
  <c r="U11" i="4" l="1"/>
  <c r="S11" i="4"/>
  <c r="Q11" i="4"/>
  <c r="O11" i="4"/>
  <c r="U10" i="4"/>
  <c r="S10" i="4"/>
  <c r="Q10" i="4"/>
  <c r="O10" i="4"/>
  <c r="U9" i="4"/>
  <c r="S9" i="4"/>
  <c r="Q9" i="4"/>
  <c r="O9" i="4"/>
  <c r="U8" i="4"/>
  <c r="S8" i="4"/>
  <c r="Q8" i="4"/>
  <c r="O8" i="4"/>
  <c r="U7" i="4"/>
  <c r="S7" i="4"/>
  <c r="Q7" i="4"/>
  <c r="O7" i="4"/>
  <c r="V8" i="4" l="1"/>
  <c r="V9" i="4"/>
  <c r="V10" i="4"/>
  <c r="V7" i="4"/>
  <c r="V11" i="4"/>
  <c r="U12" i="4" l="1"/>
  <c r="Q12" i="4"/>
  <c r="S12" i="4" l="1"/>
  <c r="V12" i="4" l="1"/>
  <c r="F18" i="5" l="1"/>
  <c r="O12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<sst xmlns="http://schemas.openxmlformats.org/spreadsheetml/2006/main" count="222" uniqueCount="158">
  <si>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</si>
  <si>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</si>
  <si>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</si>
  <si>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</si>
  <si>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</si>
  <si>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</si>
  <si>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</si>
  <si>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</si>
  <si>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</si>
  <si>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</si>
  <si>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</si>
  <si>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</si>
  <si>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</si>
  <si>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</si>
  <si>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</si>
  <si>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</si>
  <si>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</si>
  <si>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</si>
  <si>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</si>
  <si>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</si>
  <si>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</si>
  <si>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</si>
  <si>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</si>
  <si>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</si>
  <si>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 노무비*4.5%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</si>
  <si>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</si>
  <si>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</si>
  <si>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</si>
  <si>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</si>
  <si>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</si>
  <si>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</si>
  <si>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</si>
  <si>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</si>
  <si>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</si>
  <si>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</si>
  <si>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</si>
  <si>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 (재료비+노무비)*2.93%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</si>
  <si>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</si>
  <si>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</si>
  <si>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</si>
  <si>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</si>
  <si>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</si>
  <si>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</si>
  <si>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</si>
  <si>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</si>
  <si>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</si>
  <si>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</si>
  <si>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</si>
  <si>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</si>
  <si>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</si>
  <si>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</si>
  <si>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</si>
  <si>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</si>
  <si>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</si>
  <si>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</si>
  <si>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</si>
  <si>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</si>
  <si>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</si>
  <si>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</si>
  <si>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</si>
  <si>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</si>
  <si>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</si>
  <si>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</si>
  <si>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</si>
  <si>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</si>
  <si>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6" type="noConversion"/>
  </si>
  <si>
    <t> 노무비*3.545%</t>
    <phoneticPr fontId="18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</si>
  <si>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</si>
  <si>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</si>
  <si>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</si>
  <si>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</si>
  <si>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</si>
  <si>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</si>
  <si>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</si>
  <si>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</si>
  <si>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</si>
  <si>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영선,건축</t>
    <phoneticPr fontId="10" type="noConversion"/>
  </si>
  <si>
    <t>폐기물처리('20년 표준단가 C12200)</t>
    <phoneticPr fontId="10" type="noConversion"/>
  </si>
  <si>
    <t>사업장 일반 폐기물</t>
    <phoneticPr fontId="10" type="noConversion"/>
  </si>
  <si>
    <t>TON</t>
  </si>
  <si>
    <t>폐기물처리('20년 표준단가 C12200)</t>
  </si>
  <si>
    <t>사업장 일반 폐기물</t>
  </si>
  <si>
    <t>m</t>
  </si>
  <si>
    <t>내 역 서</t>
    <phoneticPr fontId="18" type="noConversion"/>
  </si>
  <si>
    <t>품        명</t>
    <phoneticPr fontId="18" type="noConversion"/>
  </si>
  <si>
    <t>규      격</t>
  </si>
  <si>
    <t>수 량</t>
    <phoneticPr fontId="18" type="noConversion"/>
  </si>
  <si>
    <t xml:space="preserve">재    료   비   </t>
    <phoneticPr fontId="18" type="noConversion"/>
  </si>
  <si>
    <t>노   무   비</t>
    <phoneticPr fontId="18" type="noConversion"/>
  </si>
  <si>
    <t>기계경비</t>
    <phoneticPr fontId="18" type="noConversion"/>
  </si>
  <si>
    <t>기타경비</t>
    <phoneticPr fontId="18" type="noConversion"/>
  </si>
  <si>
    <t>합 계</t>
    <phoneticPr fontId="18" type="noConversion"/>
  </si>
  <si>
    <t>단   가</t>
    <phoneticPr fontId="18" type="noConversion"/>
  </si>
  <si>
    <t>금     액</t>
    <phoneticPr fontId="18" type="noConversion"/>
  </si>
  <si>
    <t>2.거실단열</t>
    <phoneticPr fontId="12" type="noConversion"/>
  </si>
  <si>
    <t>열반사 단열재</t>
    <phoneticPr fontId="12" type="noConversion"/>
  </si>
  <si>
    <t>단면접착, 6*1000*1000</t>
    <phoneticPr fontId="12" type="noConversion"/>
  </si>
  <si>
    <t>M2</t>
    <phoneticPr fontId="12" type="noConversion"/>
  </si>
  <si>
    <t>이보드</t>
    <phoneticPr fontId="12" type="noConversion"/>
  </si>
  <si>
    <t>이보드13t*2700*h:2400</t>
    <phoneticPr fontId="12" type="noConversion"/>
  </si>
  <si>
    <t>석고판 나사고정</t>
    <phoneticPr fontId="12" type="noConversion"/>
  </si>
  <si>
    <t>바탕용*2겹</t>
    <phoneticPr fontId="12" type="noConversion"/>
  </si>
  <si>
    <t>조이너 및 몰딩</t>
  </si>
  <si>
    <t>몰딩</t>
    <phoneticPr fontId="12" type="noConversion"/>
  </si>
  <si>
    <t>m</t>
    <phoneticPr fontId="12" type="noConversion"/>
  </si>
  <si>
    <t>이보드13t*900*h:2400</t>
    <phoneticPr fontId="12" type="noConversion"/>
  </si>
  <si>
    <t>혼합건설 폐기물, 운반비 포함</t>
    <phoneticPr fontId="12" type="noConversion"/>
  </si>
  <si>
    <t>TON</t>
    <phoneticPr fontId="12" type="noConversion"/>
  </si>
  <si>
    <t>D02620</t>
  </si>
  <si>
    <t>D02639</t>
  </si>
  <si>
    <t>M011902401200101</t>
  </si>
  <si>
    <t>제 2호표  석고판(나사고정) 설치</t>
  </si>
  <si>
    <t>바탕용 2겹 붙임</t>
  </si>
  <si>
    <t>제 2호표  걸레받이 설치</t>
  </si>
  <si>
    <t>합성수지류</t>
  </si>
  <si>
    <t>6㎜×1M×50M 건축용단열재,</t>
  </si>
  <si>
    <t>M011902400300101</t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</si>
  <si>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</si>
  <si>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</si>
  <si>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</si>
  <si>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</si>
  <si>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</si>
  <si>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</si>
  <si>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</si>
  <si>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</si>
  <si>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</si>
  <si>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</si>
  <si>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</si>
  <si>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</si>
  <si>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</si>
  <si>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</si>
  <si>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</si>
  <si>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</si>
  <si>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</si>
  <si>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</si>
  <si>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</si>
  <si>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</si>
  <si>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r>
      <rPr>
        <sz val="10"/>
        <color theme="1"/>
        <rFont val="맑은 고딕"/>
        <family val="3"/>
        <charset val="129"/>
      </rPr>
      <t>㎡</t>
    </r>
  </si>
  <si>
    <t>3.안방</t>
    <phoneticPr fontId="10" type="noConversion"/>
  </si>
  <si>
    <t>태화론 TW-06(단면)</t>
    <phoneticPr fontId="10" type="noConversion"/>
  </si>
  <si>
    <t>태화론 TW-10(양면-점착)</t>
    <phoneticPr fontId="10" type="noConversion"/>
  </si>
  <si>
    <t>사택 103-303 단열작업(거실+안방+중간방, 열반사+이보드)</t>
    <phoneticPr fontId="18" type="noConversion"/>
  </si>
  <si>
    <t>(1.6+4.45)*h2.4=14.52</t>
    <phoneticPr fontId="10" type="noConversion"/>
  </si>
  <si>
    <t>4.중간 작은방</t>
    <phoneticPr fontId="10" type="noConversion"/>
  </si>
  <si>
    <t>(0.2+2.8+0.2)*h:2.55=8.16</t>
    <phoneticPr fontId="10" type="noConversion"/>
  </si>
  <si>
    <t xml:space="preserve">(전체면적5*h:2.55)-(창호면적 2.7*2.3)=6.57  </t>
    <phoneticPr fontId="10" type="noConversion"/>
  </si>
  <si>
    <t>인</t>
    <phoneticPr fontId="18" type="noConversion"/>
  </si>
  <si>
    <t>기존 보드철거 및 보양, 특별인부</t>
    <phoneticPr fontId="10" type="noConversion"/>
  </si>
  <si>
    <t>L003</t>
  </si>
  <si>
    <t>시중노임단가</t>
    <phoneticPr fontId="10" type="noConversion"/>
  </si>
  <si>
    <t>인</t>
    <phoneticPr fontId="10" type="noConversion"/>
  </si>
  <si>
    <t>기존 보드철거 및 보양, 보통인부</t>
    <phoneticPr fontId="10" type="noConversion"/>
  </si>
  <si>
    <t>L002</t>
    <phoneticPr fontId="10" type="noConversion"/>
  </si>
  <si>
    <t>1.철거</t>
    <phoneticPr fontId="18" type="noConversion"/>
  </si>
  <si>
    <t>5.폐기물 처리</t>
    <phoneticPr fontId="12" type="noConversion"/>
  </si>
  <si>
    <t xml:space="preserve"> 공사명 : 사택 104-303 단열작업(거실+안방,중간방- 열반사+이보드)</t>
    <phoneticPr fontId="16" type="noConversion"/>
  </si>
  <si>
    <t xml:space="preserve"> 견적일 : 2025년  01월  21일</t>
    <phoneticPr fontId="16" type="noConversion"/>
  </si>
  <si>
    <t>10㎜×1M×25M 건축용단열재,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</si>
</sst>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4" formatCode="_-&quot;₩&quot;* #,##0.00_-;\-&quot;₩&quot;* #,##0.00_-;_-&quot;₩&quot;* &quot;-&quot;??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##,###,###,##0"/>
    <numFmt numFmtId="185" formatCode="#,##0_);[Red]\(#,##0\)"/>
    <numFmt numFmtId="186" formatCode="#,##0_ "/>
    <numFmt numFmtId="187" formatCode="0_);[Red]\(0\)"/>
    <numFmt numFmtId="188" formatCode="&quot;₩&quot;#,##0"/>
    <numFmt numFmtId="189" formatCode="0.00_);[Red]\(0.00\)"/>
  </numFmts>
  <fonts count="5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Arial"/>
      <family val="2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8.5"/>
      <color rgb="FF000000"/>
      <name val="돋움"/>
      <family val="3"/>
      <charset val="129"/>
    </font>
    <font>
      <b/>
      <sz val="10"/>
      <color rgb="FF000000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11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sz val="10"/>
      <color theme="1"/>
      <name val="Malgun Gothic"/>
      <family val="3"/>
      <charset val="129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</font>
    <font>
      <sz val="10"/>
      <color theme="1"/>
      <name val="맑은 고딕"/>
      <family val="2"/>
      <charset val="129"/>
    </font>
    <font>
      <sz val="10"/>
      <name val="Arial"/>
      <family val="2"/>
    </font>
    <font>
      <sz val="9"/>
      <color rgb="FF000000"/>
      <name val="Malgun Gothic"/>
      <family val="3"/>
      <charset val="129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9"/>
      <color indexed="8"/>
      <name val="Malgun Gothic"/>
      <family val="3"/>
      <charset val="129"/>
    </font>
    <font>
      <b/>
      <sz val="9"/>
      <name val="굴림"/>
      <family val="3"/>
      <charset val="129"/>
    </font>
    <font>
      <sz val="9"/>
      <name val="굴림"/>
      <family val="3"/>
      <charset val="129"/>
    </font>
    <font>
      <sz val="9"/>
      <color rgb="FFFF0000"/>
      <name val="굴림"/>
      <family val="3"/>
      <charset val="129"/>
    </font>
    <font>
      <b/>
      <sz val="16"/>
      <name val="굴림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1">
    <xf numFmtId="0" fontId="0" fillId="0" borderId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7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22" fillId="0" borderId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201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3" fillId="0" borderId="0" xfId="6" applyFont="1" applyAlignment="1">
      <alignment vertical="center"/>
    </xf>
    <xf numFmtId="0" fontId="24" fillId="0" borderId="0" xfId="3" applyFont="1"/>
    <xf numFmtId="0" fontId="25" fillId="0" borderId="0" xfId="3" applyFont="1"/>
    <xf numFmtId="0" fontId="26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26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7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6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7" fillId="0" borderId="7" xfId="6" applyFont="1" applyBorder="1" applyAlignment="1">
      <alignment vertical="center"/>
    </xf>
    <xf numFmtId="179" fontId="26" fillId="0" borderId="7" xfId="6" applyNumberFormat="1" applyFont="1" applyBorder="1" applyAlignment="1">
      <alignment vertical="center"/>
    </xf>
    <xf numFmtId="0" fontId="26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8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8" fillId="0" borderId="12" xfId="6" applyFont="1" applyBorder="1" applyAlignment="1">
      <alignment vertical="center"/>
    </xf>
    <xf numFmtId="1" fontId="28" fillId="0" borderId="12" xfId="6" applyNumberFormat="1" applyFont="1" applyBorder="1" applyAlignment="1">
      <alignment horizontal="center" vertical="center"/>
    </xf>
    <xf numFmtId="180" fontId="28" fillId="0" borderId="12" xfId="7" applyFont="1" applyBorder="1" applyAlignment="1">
      <alignment horizontal="right" vertical="center"/>
    </xf>
    <xf numFmtId="0" fontId="28" fillId="0" borderId="13" xfId="6" applyFont="1" applyBorder="1" applyAlignment="1">
      <alignment vertical="center"/>
    </xf>
    <xf numFmtId="0" fontId="28" fillId="0" borderId="14" xfId="6" applyFont="1" applyBorder="1" applyAlignment="1">
      <alignment horizontal="center" vertical="center"/>
    </xf>
    <xf numFmtId="0" fontId="28" fillId="0" borderId="15" xfId="6" applyFont="1" applyBorder="1" applyAlignment="1">
      <alignment horizontal="center" vertical="center"/>
    </xf>
    <xf numFmtId="0" fontId="28" fillId="0" borderId="15" xfId="3" applyFont="1" applyBorder="1" applyAlignment="1">
      <alignment horizontal="center" vertical="center"/>
    </xf>
    <xf numFmtId="1" fontId="28" fillId="0" borderId="15" xfId="6" applyNumberFormat="1" applyFont="1" applyBorder="1" applyAlignment="1">
      <alignment horizontal="center" vertical="center"/>
    </xf>
    <xf numFmtId="180" fontId="28" fillId="0" borderId="15" xfId="7" applyFont="1" applyBorder="1" applyAlignment="1">
      <alignment horizontal="right" vertical="center"/>
    </xf>
    <xf numFmtId="0" fontId="28" fillId="0" borderId="16" xfId="6" quotePrefix="1" applyFont="1" applyBorder="1" applyAlignment="1">
      <alignment vertical="center"/>
    </xf>
    <xf numFmtId="0" fontId="28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8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8" fillId="0" borderId="15" xfId="8" applyFont="1" applyBorder="1" applyAlignment="1">
      <alignment horizontal="center" vertical="center"/>
    </xf>
    <xf numFmtId="178" fontId="28" fillId="0" borderId="15" xfId="5" applyFont="1" applyFill="1" applyBorder="1" applyAlignment="1">
      <alignment horizontal="right" vertical="center"/>
    </xf>
    <xf numFmtId="0" fontId="28" fillId="5" borderId="15" xfId="8" applyFont="1" applyFill="1" applyBorder="1" applyAlignment="1">
      <alignment horizontal="center" vertical="center"/>
    </xf>
    <xf numFmtId="0" fontId="28" fillId="5" borderId="15" xfId="6" applyFont="1" applyFill="1" applyBorder="1" applyAlignment="1">
      <alignment vertical="center"/>
    </xf>
    <xf numFmtId="0" fontId="28" fillId="5" borderId="15" xfId="6" applyFont="1" applyFill="1" applyBorder="1" applyAlignment="1">
      <alignment horizontal="center" vertical="center"/>
    </xf>
    <xf numFmtId="178" fontId="28" fillId="5" borderId="15" xfId="5" applyFont="1" applyFill="1" applyBorder="1" applyAlignment="1">
      <alignment horizontal="right" vertical="center"/>
    </xf>
    <xf numFmtId="0" fontId="28" fillId="5" borderId="16" xfId="6" applyFont="1" applyFill="1" applyBorder="1" applyAlignment="1">
      <alignment vertical="center"/>
    </xf>
    <xf numFmtId="0" fontId="28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7" fontId="17" fillId="8" borderId="15" xfId="7" applyNumberFormat="1" applyFont="1" applyFill="1" applyBorder="1" applyAlignment="1">
      <alignment horizontal="right" vertical="center"/>
    </xf>
    <xf numFmtId="9" fontId="28" fillId="0" borderId="15" xfId="3" applyNumberFormat="1" applyFont="1" applyBorder="1" applyAlignment="1">
      <alignment horizontal="right" vertical="center"/>
    </xf>
    <xf numFmtId="1" fontId="28" fillId="0" borderId="15" xfId="9" applyNumberFormat="1" applyFont="1" applyFill="1" applyBorder="1" applyAlignment="1">
      <alignment horizontal="center" vertical="center"/>
    </xf>
    <xf numFmtId="177" fontId="17" fillId="0" borderId="15" xfId="7" applyNumberFormat="1" applyFont="1" applyFill="1" applyBorder="1" applyAlignment="1">
      <alignment horizontal="right" vertical="center"/>
    </xf>
    <xf numFmtId="0" fontId="28" fillId="0" borderId="15" xfId="3" applyFont="1" applyBorder="1" applyAlignment="1">
      <alignment vertical="center"/>
    </xf>
    <xf numFmtId="180" fontId="28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8" fillId="0" borderId="19" xfId="6" applyFont="1" applyBorder="1" applyAlignment="1">
      <alignment vertical="center"/>
    </xf>
    <xf numFmtId="0" fontId="28" fillId="0" borderId="19" xfId="6" applyFont="1" applyBorder="1" applyAlignment="1">
      <alignment horizontal="right" vertical="center"/>
    </xf>
    <xf numFmtId="0" fontId="28" fillId="0" borderId="20" xfId="6" applyFont="1" applyBorder="1" applyAlignment="1">
      <alignment vertical="center"/>
    </xf>
    <xf numFmtId="0" fontId="17" fillId="0" borderId="0" xfId="10" applyFont="1"/>
    <xf numFmtId="0" fontId="32" fillId="0" borderId="0" xfId="25" applyFont="1">
      <alignment vertical="center"/>
    </xf>
    <xf numFmtId="0" fontId="33" fillId="0" borderId="0" xfId="25" applyFont="1">
      <alignment vertical="center"/>
    </xf>
    <xf numFmtId="0" fontId="32" fillId="0" borderId="0" xfId="25" applyFont="1" applyAlignment="1">
      <alignment horizontal="center" vertical="center"/>
    </xf>
    <xf numFmtId="0" fontId="31" fillId="5" borderId="0" xfId="26" applyNumberFormat="1" applyFont="1" applyFill="1" applyBorder="1" applyAlignment="1">
      <alignment horizontal="center" vertical="center"/>
    </xf>
    <xf numFmtId="177" fontId="31" fillId="0" borderId="0" xfId="26" applyFont="1" applyFill="1" applyBorder="1" applyAlignment="1">
      <alignment horizontal="center" vertical="center" shrinkToFit="1"/>
    </xf>
    <xf numFmtId="0" fontId="34" fillId="5" borderId="0" xfId="25" applyFont="1" applyFill="1" applyAlignment="1">
      <alignment horizontal="center" vertical="center"/>
    </xf>
    <xf numFmtId="0" fontId="35" fillId="0" borderId="0" xfId="28" applyFont="1" applyAlignment="1">
      <alignment horizontal="right" vertical="center"/>
    </xf>
    <xf numFmtId="0" fontId="36" fillId="0" borderId="34" xfId="28" quotePrefix="1" applyFont="1" applyBorder="1" applyAlignment="1">
      <alignment horizontal="center" vertical="center"/>
    </xf>
    <xf numFmtId="0" fontId="36" fillId="0" borderId="36" xfId="28" quotePrefix="1" applyFont="1" applyBorder="1" applyAlignment="1">
      <alignment horizontal="center" vertical="center"/>
    </xf>
    <xf numFmtId="185" fontId="36" fillId="0" borderId="34" xfId="28" quotePrefix="1" applyNumberFormat="1" applyFont="1" applyBorder="1" applyAlignment="1">
      <alignment horizontal="center" vertical="center"/>
    </xf>
    <xf numFmtId="177" fontId="38" fillId="5" borderId="34" xfId="13" applyFont="1" applyFill="1" applyBorder="1" applyAlignment="1">
      <alignment vertical="center"/>
    </xf>
    <xf numFmtId="177" fontId="38" fillId="5" borderId="34" xfId="13" applyFont="1" applyFill="1" applyBorder="1" applyAlignment="1">
      <alignment horizontal="center" vertical="center"/>
    </xf>
    <xf numFmtId="188" fontId="37" fillId="10" borderId="34" xfId="13" applyNumberFormat="1" applyFont="1" applyFill="1" applyBorder="1" applyAlignment="1">
      <alignment horizontal="center" vertical="center"/>
    </xf>
    <xf numFmtId="0" fontId="37" fillId="10" borderId="34" xfId="28" applyFont="1" applyFill="1" applyBorder="1" applyAlignment="1">
      <alignment horizontal="center" vertical="center"/>
    </xf>
    <xf numFmtId="189" fontId="37" fillId="10" borderId="34" xfId="13" applyNumberFormat="1" applyFont="1" applyFill="1" applyBorder="1" applyAlignment="1">
      <alignment horizontal="center" vertical="center"/>
    </xf>
    <xf numFmtId="185" fontId="37" fillId="10" borderId="34" xfId="13" applyNumberFormat="1" applyFont="1" applyFill="1" applyBorder="1" applyAlignment="1">
      <alignment horizontal="right" vertical="center" wrapText="1"/>
    </xf>
    <xf numFmtId="185" fontId="37" fillId="10" borderId="34" xfId="13" applyNumberFormat="1" applyFont="1" applyFill="1" applyBorder="1" applyAlignment="1">
      <alignment vertical="center"/>
    </xf>
    <xf numFmtId="0" fontId="37" fillId="10" borderId="34" xfId="28" applyFont="1" applyFill="1" applyBorder="1" applyAlignment="1">
      <alignment horizontal="right" vertical="center"/>
    </xf>
    <xf numFmtId="0" fontId="32" fillId="0" borderId="0" xfId="30" applyFont="1">
      <alignment vertical="center"/>
    </xf>
    <xf numFmtId="0" fontId="39" fillId="0" borderId="0" xfId="0" applyFont="1">
      <alignment vertical="center"/>
    </xf>
    <xf numFmtId="177" fontId="30" fillId="0" borderId="0" xfId="1" applyFont="1" applyFill="1" applyBorder="1">
      <alignment vertical="center"/>
    </xf>
    <xf numFmtId="181" fontId="26" fillId="0" borderId="0" xfId="1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9" fontId="29" fillId="0" borderId="0" xfId="0" applyNumberFormat="1" applyFont="1" applyAlignment="1">
      <alignment horizontal="center" vertical="center"/>
    </xf>
    <xf numFmtId="182" fontId="29" fillId="3" borderId="0" xfId="2" applyNumberFormat="1" applyFont="1" applyFill="1" applyAlignment="1">
      <alignment horizontal="center" vertical="center"/>
    </xf>
    <xf numFmtId="0" fontId="29" fillId="9" borderId="24" xfId="0" applyFont="1" applyFill="1" applyBorder="1">
      <alignment vertical="center"/>
    </xf>
    <xf numFmtId="0" fontId="29" fillId="9" borderId="21" xfId="0" applyFont="1" applyFill="1" applyBorder="1">
      <alignment vertical="center"/>
    </xf>
    <xf numFmtId="0" fontId="29" fillId="4" borderId="22" xfId="0" applyFont="1" applyFill="1" applyBorder="1" applyAlignment="1">
      <alignment horizontal="center" vertical="center"/>
    </xf>
    <xf numFmtId="0" fontId="29" fillId="4" borderId="6" xfId="0" applyFont="1" applyFill="1" applyBorder="1" applyAlignment="1">
      <alignment horizontal="center" vertical="center"/>
    </xf>
    <xf numFmtId="0" fontId="29" fillId="7" borderId="3" xfId="0" applyFont="1" applyFill="1" applyBorder="1" applyAlignment="1">
      <alignment horizontal="center" vertical="center"/>
    </xf>
    <xf numFmtId="0" fontId="29" fillId="4" borderId="3" xfId="3" applyFont="1" applyFill="1" applyBorder="1" applyAlignment="1">
      <alignment horizontal="center" vertical="center"/>
    </xf>
    <xf numFmtId="177" fontId="29" fillId="4" borderId="3" xfId="4" applyFont="1" applyFill="1" applyBorder="1" applyAlignment="1">
      <alignment horizontal="center" vertical="center"/>
    </xf>
    <xf numFmtId="178" fontId="29" fillId="4" borderId="3" xfId="5" applyFont="1" applyFill="1" applyBorder="1" applyAlignment="1">
      <alignment horizontal="center" vertical="center"/>
    </xf>
    <xf numFmtId="0" fontId="24" fillId="6" borderId="22" xfId="0" applyFont="1" applyFill="1" applyBorder="1" applyAlignment="1">
      <alignment horizontal="center" vertical="center"/>
    </xf>
    <xf numFmtId="0" fontId="24" fillId="6" borderId="6" xfId="0" applyFont="1" applyFill="1" applyBorder="1" applyAlignment="1">
      <alignment horizontal="center" vertical="center"/>
    </xf>
    <xf numFmtId="177" fontId="24" fillId="6" borderId="3" xfId="1" applyFont="1" applyFill="1" applyBorder="1" applyAlignment="1">
      <alignment horizontal="center" vertical="center" wrapText="1"/>
    </xf>
    <xf numFmtId="177" fontId="24" fillId="5" borderId="3" xfId="1" applyFont="1" applyFill="1" applyBorder="1" applyAlignment="1">
      <alignment horizontal="center" vertical="center" wrapText="1"/>
    </xf>
    <xf numFmtId="9" fontId="40" fillId="0" borderId="3" xfId="0" applyNumberFormat="1" applyFont="1" applyBorder="1" applyAlignment="1">
      <alignment horizontal="center" vertical="center"/>
    </xf>
    <xf numFmtId="0" fontId="40" fillId="0" borderId="23" xfId="0" applyFont="1" applyBorder="1" applyAlignment="1">
      <alignment horizontal="center" vertical="center"/>
    </xf>
    <xf numFmtId="0" fontId="40" fillId="0" borderId="0" xfId="0" applyFont="1">
      <alignment vertical="center"/>
    </xf>
    <xf numFmtId="0" fontId="28" fillId="10" borderId="0" xfId="0" applyFont="1" applyFill="1">
      <alignment vertical="center"/>
    </xf>
    <xf numFmtId="0" fontId="28" fillId="0" borderId="0" xfId="0" applyFont="1">
      <alignment vertical="center"/>
    </xf>
    <xf numFmtId="177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7" fontId="17" fillId="0" borderId="0" xfId="0" applyNumberFormat="1" applyFont="1">
      <alignment vertical="center"/>
    </xf>
    <xf numFmtId="0" fontId="28" fillId="0" borderId="0" xfId="0" applyFont="1" applyAlignment="1">
      <alignment horizontal="center" vertical="center"/>
    </xf>
    <xf numFmtId="0" fontId="29" fillId="5" borderId="0" xfId="0" applyFont="1" applyFill="1">
      <alignment vertical="center"/>
    </xf>
    <xf numFmtId="186" fontId="36" fillId="10" borderId="36" xfId="13" applyNumberFormat="1" applyFont="1" applyFill="1" applyBorder="1" applyAlignment="1">
      <alignment horizontal="center" vertical="center"/>
    </xf>
    <xf numFmtId="49" fontId="24" fillId="2" borderId="0" xfId="0" applyNumberFormat="1" applyFont="1" applyFill="1" applyAlignment="1">
      <alignment horizontal="center" vertical="center" wrapText="1"/>
    </xf>
    <xf numFmtId="177" fontId="24" fillId="0" borderId="0" xfId="1" applyFont="1" applyFill="1" applyBorder="1" applyAlignment="1">
      <alignment horizontal="center" vertical="center"/>
    </xf>
    <xf numFmtId="0" fontId="24" fillId="0" borderId="0" xfId="3" applyFont="1" applyAlignment="1">
      <alignment horizontal="center" vertical="center" shrinkToFit="1"/>
    </xf>
    <xf numFmtId="49" fontId="24" fillId="0" borderId="0" xfId="0" applyNumberFormat="1" applyFont="1" applyAlignment="1">
      <alignment horizontal="center" vertical="center" wrapText="1"/>
    </xf>
    <xf numFmtId="183" fontId="24" fillId="0" borderId="0" xfId="1" applyNumberFormat="1" applyFont="1" applyFill="1" applyBorder="1" applyAlignment="1">
      <alignment horizontal="center" vertical="center"/>
    </xf>
    <xf numFmtId="177" fontId="24" fillId="0" borderId="0" xfId="1" applyFont="1" applyFill="1" applyBorder="1">
      <alignment vertical="center"/>
    </xf>
    <xf numFmtId="49" fontId="24" fillId="2" borderId="1" xfId="0" applyNumberFormat="1" applyFont="1" applyFill="1" applyBorder="1" applyAlignment="1">
      <alignment horizontal="center" vertical="center" wrapText="1"/>
    </xf>
    <xf numFmtId="181" fontId="24" fillId="7" borderId="1" xfId="1" applyNumberFormat="1" applyFont="1" applyFill="1" applyBorder="1" applyAlignment="1">
      <alignment horizontal="center" vertical="center"/>
    </xf>
    <xf numFmtId="181" fontId="24" fillId="0" borderId="1" xfId="1" applyNumberFormat="1" applyFont="1" applyBorder="1" applyAlignment="1">
      <alignment horizontal="center" vertical="center"/>
    </xf>
    <xf numFmtId="49" fontId="41" fillId="5" borderId="3" xfId="0" applyNumberFormat="1" applyFont="1" applyFill="1" applyBorder="1" applyAlignment="1">
      <alignment horizontal="center" vertical="center" wrapText="1"/>
    </xf>
    <xf numFmtId="177" fontId="42" fillId="5" borderId="3" xfId="1" applyFont="1" applyFill="1" applyBorder="1" applyAlignment="1">
      <alignment horizontal="center" vertical="center"/>
    </xf>
    <xf numFmtId="183" fontId="42" fillId="5" borderId="3" xfId="1" applyNumberFormat="1" applyFont="1" applyFill="1" applyBorder="1" applyAlignment="1">
      <alignment horizontal="center" vertical="center"/>
    </xf>
    <xf numFmtId="49" fontId="41" fillId="5" borderId="3" xfId="0" applyNumberFormat="1" applyFont="1" applyFill="1" applyBorder="1" applyAlignment="1">
      <alignment horizontal="center" vertical="center"/>
    </xf>
    <xf numFmtId="0" fontId="42" fillId="5" borderId="3" xfId="0" applyFont="1" applyFill="1" applyBorder="1" applyAlignment="1">
      <alignment horizontal="center"/>
    </xf>
    <xf numFmtId="177" fontId="42" fillId="5" borderId="3" xfId="20" applyFont="1" applyFill="1" applyBorder="1" applyAlignment="1">
      <alignment horizontal="center" vertical="center"/>
    </xf>
    <xf numFmtId="183" fontId="42" fillId="5" borderId="3" xfId="20" applyNumberFormat="1" applyFont="1" applyFill="1" applyBorder="1" applyAlignment="1">
      <alignment horizontal="center" vertical="center"/>
    </xf>
    <xf numFmtId="177" fontId="43" fillId="5" borderId="3" xfId="1" applyFont="1" applyFill="1" applyBorder="1" applyAlignment="1">
      <alignment horizontal="center" vertical="center"/>
    </xf>
    <xf numFmtId="177" fontId="44" fillId="0" borderId="3" xfId="1" applyFont="1" applyFill="1" applyBorder="1" applyAlignment="1">
      <alignment horizontal="center" vertical="center"/>
    </xf>
    <xf numFmtId="0" fontId="45" fillId="5" borderId="3" xfId="0" applyFont="1" applyFill="1" applyBorder="1">
      <alignment vertical="center"/>
    </xf>
    <xf numFmtId="177" fontId="46" fillId="5" borderId="3" xfId="1" applyFont="1" applyFill="1" applyBorder="1" applyAlignment="1">
      <alignment horizontal="center" vertical="center" wrapText="1"/>
    </xf>
    <xf numFmtId="184" fontId="46" fillId="5" borderId="3" xfId="0" applyNumberFormat="1" applyFont="1" applyFill="1" applyBorder="1" applyAlignment="1">
      <alignment horizontal="right" vertical="center" wrapText="1"/>
    </xf>
    <xf numFmtId="177" fontId="47" fillId="5" borderId="3" xfId="1" applyFont="1" applyFill="1" applyBorder="1" applyAlignment="1">
      <alignment horizontal="center" vertical="center"/>
    </xf>
    <xf numFmtId="177" fontId="45" fillId="0" borderId="3" xfId="1" applyFont="1" applyFill="1" applyBorder="1" applyAlignment="1">
      <alignment horizontal="center" vertical="center" wrapText="1"/>
    </xf>
    <xf numFmtId="186" fontId="50" fillId="5" borderId="34" xfId="13" applyNumberFormat="1" applyFont="1" applyFill="1" applyBorder="1" applyAlignment="1">
      <alignment vertical="center"/>
    </xf>
    <xf numFmtId="0" fontId="51" fillId="5" borderId="34" xfId="19" applyFont="1" applyFill="1" applyBorder="1" applyAlignment="1">
      <alignment horizontal="center" vertical="center"/>
    </xf>
    <xf numFmtId="187" fontId="51" fillId="5" borderId="34" xfId="13" applyNumberFormat="1" applyFont="1" applyFill="1" applyBorder="1" applyAlignment="1">
      <alignment horizontal="center" vertical="center"/>
    </xf>
    <xf numFmtId="185" fontId="51" fillId="5" borderId="34" xfId="13" applyNumberFormat="1" applyFont="1" applyFill="1" applyBorder="1" applyAlignment="1">
      <alignment horizontal="right" vertical="center" wrapText="1"/>
    </xf>
    <xf numFmtId="177" fontId="51" fillId="5" borderId="34" xfId="13" applyFont="1" applyFill="1" applyBorder="1" applyAlignment="1">
      <alignment vertical="center"/>
    </xf>
    <xf numFmtId="177" fontId="51" fillId="5" borderId="34" xfId="13" applyFont="1" applyFill="1" applyBorder="1">
      <alignment vertical="center"/>
    </xf>
    <xf numFmtId="185" fontId="51" fillId="5" borderId="34" xfId="19" applyNumberFormat="1" applyFont="1" applyFill="1" applyBorder="1" applyAlignment="1">
      <alignment horizontal="left" vertical="center" wrapText="1"/>
    </xf>
    <xf numFmtId="177" fontId="51" fillId="5" borderId="34" xfId="13" applyFont="1" applyFill="1" applyBorder="1" applyAlignment="1">
      <alignment horizontal="center" vertical="center"/>
    </xf>
    <xf numFmtId="0" fontId="50" fillId="5" borderId="34" xfId="3" applyFont="1" applyFill="1" applyBorder="1" applyAlignment="1">
      <alignment vertical="center"/>
    </xf>
    <xf numFmtId="186" fontId="51" fillId="5" borderId="34" xfId="13" applyNumberFormat="1" applyFont="1" applyFill="1" applyBorder="1" applyAlignment="1">
      <alignment horizontal="center" vertical="center" wrapText="1"/>
    </xf>
    <xf numFmtId="177" fontId="51" fillId="0" borderId="34" xfId="13" applyFont="1" applyFill="1" applyBorder="1" applyAlignment="1">
      <alignment horizontal="center" vertical="center"/>
    </xf>
    <xf numFmtId="178" fontId="51" fillId="0" borderId="34" xfId="5" applyFont="1" applyFill="1" applyBorder="1" applyAlignment="1">
      <alignment vertical="center"/>
    </xf>
    <xf numFmtId="177" fontId="51" fillId="0" borderId="34" xfId="13" applyFont="1" applyFill="1" applyBorder="1" applyAlignment="1">
      <alignment vertical="center"/>
    </xf>
    <xf numFmtId="185" fontId="51" fillId="0" borderId="34" xfId="13" applyNumberFormat="1" applyFont="1" applyFill="1" applyBorder="1" applyAlignment="1">
      <alignment horizontal="right" vertical="center" wrapText="1"/>
    </xf>
    <xf numFmtId="0" fontId="51" fillId="5" borderId="34" xfId="3" applyFont="1" applyFill="1" applyBorder="1" applyAlignment="1">
      <alignment vertical="center"/>
    </xf>
    <xf numFmtId="0" fontId="51" fillId="0" borderId="34" xfId="3" applyFont="1" applyBorder="1" applyAlignment="1">
      <alignment horizontal="center" vertical="center"/>
    </xf>
    <xf numFmtId="177" fontId="52" fillId="5" borderId="34" xfId="13" applyFont="1" applyFill="1" applyBorder="1" applyAlignment="1">
      <alignment vertical="center"/>
    </xf>
    <xf numFmtId="178" fontId="51" fillId="5" borderId="34" xfId="5" applyFont="1" applyFill="1" applyBorder="1" applyAlignment="1">
      <alignment vertical="center"/>
    </xf>
    <xf numFmtId="0" fontId="51" fillId="5" borderId="34" xfId="3" applyFont="1" applyFill="1" applyBorder="1" applyAlignment="1">
      <alignment horizontal="center" vertical="center"/>
    </xf>
    <xf numFmtId="187" fontId="51" fillId="5" borderId="34" xfId="29" applyNumberFormat="1" applyFont="1" applyFill="1" applyBorder="1" applyAlignment="1">
      <alignment horizontal="center" vertical="center"/>
    </xf>
    <xf numFmtId="0" fontId="51" fillId="5" borderId="34" xfId="29" applyNumberFormat="1" applyFont="1" applyFill="1" applyBorder="1" applyAlignment="1">
      <alignment horizontal="center" vertical="center"/>
    </xf>
    <xf numFmtId="49" fontId="41" fillId="7" borderId="3" xfId="0" applyNumberFormat="1" applyFont="1" applyFill="1" applyBorder="1" applyAlignment="1">
      <alignment horizontal="center" vertical="center" wrapText="1"/>
    </xf>
    <xf numFmtId="0" fontId="48" fillId="7" borderId="3" xfId="0" applyFont="1" applyFill="1" applyBorder="1" applyAlignment="1">
      <alignment horizontal="center" vertical="center"/>
    </xf>
    <xf numFmtId="49" fontId="49" fillId="7" borderId="3" xfId="0" applyNumberFormat="1" applyFont="1" applyFill="1" applyBorder="1" applyAlignment="1">
      <alignment horizontal="center" vertical="center"/>
    </xf>
    <xf numFmtId="0" fontId="50" fillId="5" borderId="36" xfId="3" applyFont="1" applyFill="1" applyBorder="1" applyAlignment="1">
      <alignment vertical="center"/>
    </xf>
    <xf numFmtId="186" fontId="51" fillId="5" borderId="34" xfId="13" applyNumberFormat="1" applyFont="1" applyFill="1" applyBorder="1" applyAlignment="1">
      <alignment horizontal="center" vertical="center"/>
    </xf>
    <xf numFmtId="187" fontId="35" fillId="0" borderId="0" xfId="28" applyNumberFormat="1" applyFont="1" applyAlignment="1">
      <alignment horizontal="right" vertical="center"/>
    </xf>
    <xf numFmtId="49" fontId="46" fillId="7" borderId="3" xfId="0" applyNumberFormat="1" applyFont="1" applyFill="1" applyBorder="1" applyAlignment="1">
      <alignment horizontal="center" vertical="center" wrapText="1"/>
    </xf>
    <xf numFmtId="0" fontId="23" fillId="0" borderId="0" xfId="6" applyFont="1" applyAlignment="1">
      <alignment horizontal="center" vertical="center"/>
    </xf>
    <xf numFmtId="0" fontId="27" fillId="0" borderId="0" xfId="6" applyFont="1" applyAlignment="1">
      <alignment vertical="center"/>
    </xf>
    <xf numFmtId="0" fontId="26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17" fillId="0" borderId="4" xfId="6" applyFont="1" applyBorder="1" applyAlignment="1">
      <alignment vertical="center" wrapText="1"/>
    </xf>
    <xf numFmtId="0" fontId="17" fillId="0" borderId="5" xfId="6" applyFont="1" applyBorder="1" applyAlignment="1">
      <alignment vertical="center" wrapText="1"/>
    </xf>
    <xf numFmtId="0" fontId="17" fillId="0" borderId="6" xfId="6" applyFont="1" applyBorder="1" applyAlignment="1">
      <alignment vertical="center" wrapText="1"/>
    </xf>
    <xf numFmtId="0" fontId="29" fillId="0" borderId="0" xfId="0" applyFont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9" borderId="4" xfId="0" applyFont="1" applyFill="1" applyBorder="1" applyAlignment="1">
      <alignment horizontal="center" vertical="center"/>
    </xf>
    <xf numFmtId="177" fontId="29" fillId="4" borderId="21" xfId="4" applyFont="1" applyFill="1" applyBorder="1" applyAlignment="1">
      <alignment horizontal="center" vertical="center"/>
    </xf>
    <xf numFmtId="178" fontId="29" fillId="4" borderId="21" xfId="5" applyFont="1" applyFill="1" applyBorder="1" applyAlignment="1">
      <alignment horizontal="center" vertical="center"/>
    </xf>
    <xf numFmtId="0" fontId="29" fillId="4" borderId="21" xfId="0" applyFont="1" applyFill="1" applyBorder="1" applyAlignment="1">
      <alignment horizontal="center" vertical="center"/>
    </xf>
    <xf numFmtId="0" fontId="29" fillId="4" borderId="3" xfId="0" applyFont="1" applyFill="1" applyBorder="1" applyAlignment="1">
      <alignment horizontal="center" vertical="center"/>
    </xf>
    <xf numFmtId="0" fontId="29" fillId="4" borderId="21" xfId="3" applyFont="1" applyFill="1" applyBorder="1" applyAlignment="1">
      <alignment horizontal="center" vertical="center"/>
    </xf>
    <xf numFmtId="0" fontId="29" fillId="4" borderId="3" xfId="3" applyFont="1" applyFill="1" applyBorder="1" applyAlignment="1">
      <alignment horizontal="center" vertical="center"/>
    </xf>
    <xf numFmtId="186" fontId="36" fillId="5" borderId="36" xfId="13" applyNumberFormat="1" applyFont="1" applyFill="1" applyBorder="1" applyAlignment="1">
      <alignment vertical="center"/>
    </xf>
    <xf numFmtId="186" fontId="37" fillId="5" borderId="38" xfId="13" applyNumberFormat="1" applyFont="1" applyFill="1" applyBorder="1" applyAlignment="1">
      <alignment vertical="center"/>
    </xf>
    <xf numFmtId="0" fontId="53" fillId="0" borderId="33" xfId="19" applyFont="1" applyBorder="1" applyAlignment="1">
      <alignment horizontal="center" vertical="center"/>
    </xf>
    <xf numFmtId="0" fontId="36" fillId="0" borderId="34" xfId="28" quotePrefix="1" applyFont="1" applyBorder="1" applyAlignment="1">
      <alignment horizontal="center" vertical="center"/>
    </xf>
    <xf numFmtId="0" fontId="36" fillId="0" borderId="35" xfId="28" quotePrefix="1" applyFont="1" applyBorder="1" applyAlignment="1">
      <alignment horizontal="center" vertical="center"/>
    </xf>
    <xf numFmtId="0" fontId="36" fillId="0" borderId="39" xfId="28" quotePrefix="1" applyFont="1" applyBorder="1" applyAlignment="1">
      <alignment horizontal="center" vertical="center"/>
    </xf>
    <xf numFmtId="0" fontId="36" fillId="0" borderId="34" xfId="28" applyFont="1" applyBorder="1" applyAlignment="1">
      <alignment horizontal="center" vertical="center"/>
    </xf>
    <xf numFmtId="0" fontId="36" fillId="0" borderId="36" xfId="28" quotePrefix="1" applyFont="1" applyBorder="1" applyAlignment="1">
      <alignment horizontal="center" vertical="center"/>
    </xf>
    <xf numFmtId="0" fontId="36" fillId="0" borderId="37" xfId="28" quotePrefix="1" applyFont="1" applyBorder="1" applyAlignment="1">
      <alignment horizontal="center" vertical="center"/>
    </xf>
    <xf numFmtId="0" fontId="36" fillId="0" borderId="36" xfId="28" applyFont="1" applyBorder="1" applyAlignment="1">
      <alignment horizontal="center" vertical="center"/>
    </xf>
    <xf numFmtId="0" fontId="36" fillId="0" borderId="38" xfId="28" quotePrefix="1" applyFont="1" applyBorder="1" applyAlignment="1">
      <alignment horizontal="center" vertical="center"/>
    </xf>
    <xf numFmtId="44" fontId="24" fillId="0" borderId="0" xfId="0" applyNumberFormat="1" applyFont="1">
      <alignment vertical="center"/>
    </xf>
  </cellXfs>
  <cellStyles count="31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142874</xdr:rowOff>
    </xdr:from>
    <xdr:to>
      <xdr:col>8</xdr:col>
      <xdr:colOff>913403</xdr:colOff>
      <xdr:row>15</xdr:row>
      <xdr:rowOff>57998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585617E1-EB18-46C1-B0AF-4D8F0D39D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85974"/>
          <a:ext cx="13771575" cy="29377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5" zoomScale="85" zoomScaleNormal="85" workbookViewId="0">
      <selection activeCell="E33" sqref="E33"/>
    </sheetView>
  </sheetViews>
  <sheetFormatPr defaultColWidth="9" defaultRowHeight="13.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>
      <c r="A2" s="169" t="s">
        <v>6</v>
      </c>
      <c r="B2" s="169"/>
      <c r="C2" s="169"/>
      <c r="D2" s="169"/>
      <c r="E2" s="169"/>
      <c r="F2" s="169"/>
      <c r="G2" s="169"/>
      <c r="H2" s="2"/>
    </row>
    <row r="3" spans="1:9" ht="14.25">
      <c r="A3" s="5"/>
      <c r="B3" s="5"/>
      <c r="C3" s="5"/>
      <c r="D3" s="5"/>
      <c r="E3" s="5"/>
      <c r="F3" s="5"/>
      <c r="G3" s="5"/>
      <c r="H3" s="5"/>
    </row>
    <row r="4" spans="1:9" ht="14.25">
      <c r="A4" s="5"/>
      <c r="B4" s="5"/>
      <c r="C4" s="5"/>
      <c r="D4" s="5"/>
      <c r="E4" s="5"/>
      <c r="H4" s="5"/>
    </row>
    <row r="5" spans="1:9" ht="27" customHeight="1">
      <c r="A5" s="6" t="s">
        <v>65</v>
      </c>
      <c r="B5" s="7"/>
      <c r="C5" s="8"/>
      <c r="D5" s="5"/>
      <c r="E5" s="5"/>
      <c r="F5" s="9" t="s">
        <v>39</v>
      </c>
      <c r="G5" s="10" t="s">
        <v>69</v>
      </c>
      <c r="H5" s="5"/>
    </row>
    <row r="6" spans="1:9" ht="27" customHeight="1">
      <c r="A6" s="5"/>
      <c r="B6" s="5"/>
      <c r="C6" s="5"/>
      <c r="D6" s="5"/>
      <c r="E6" s="5"/>
      <c r="F6" s="11" t="s">
        <v>42</v>
      </c>
      <c r="G6" s="12" t="s">
        <v>70</v>
      </c>
      <c r="H6" s="5"/>
    </row>
    <row r="7" spans="1:9" ht="27" customHeight="1">
      <c r="A7" s="175" t="s">
        <v>155</v>
      </c>
      <c r="B7" s="176"/>
      <c r="C7" s="177"/>
      <c r="D7" s="5"/>
      <c r="E7" s="13"/>
      <c r="F7" s="14" t="s">
        <v>43</v>
      </c>
      <c r="G7" s="12" t="s">
        <v>71</v>
      </c>
      <c r="H7" s="5"/>
    </row>
    <row r="8" spans="1:9" ht="27" customHeight="1">
      <c r="A8" s="5"/>
      <c r="B8" s="5"/>
      <c r="C8" s="5"/>
      <c r="D8" s="5"/>
      <c r="E8" s="5"/>
      <c r="F8" s="11" t="s">
        <v>44</v>
      </c>
      <c r="G8" s="12" t="s">
        <v>72</v>
      </c>
      <c r="H8" s="5"/>
    </row>
    <row r="9" spans="1:9" ht="27" customHeight="1">
      <c r="A9" s="172" t="s">
        <v>156</v>
      </c>
      <c r="B9" s="173"/>
      <c r="C9" s="174"/>
      <c r="D9" s="5"/>
      <c r="E9" s="5"/>
      <c r="F9" s="11" t="s">
        <v>45</v>
      </c>
      <c r="G9" s="12" t="s">
        <v>73</v>
      </c>
      <c r="H9" s="5"/>
    </row>
    <row r="10" spans="1:9" ht="27" customHeight="1">
      <c r="A10" s="5"/>
      <c r="B10" s="5"/>
      <c r="C10" s="5"/>
      <c r="D10" s="5"/>
      <c r="E10" s="5"/>
      <c r="F10" s="15" t="s">
        <v>40</v>
      </c>
      <c r="G10" s="16" t="s">
        <v>74</v>
      </c>
      <c r="H10" s="5"/>
      <c r="I10" s="5"/>
    </row>
    <row r="11" spans="1:9" ht="27" customHeight="1">
      <c r="A11" s="170"/>
      <c r="B11" s="171"/>
      <c r="C11" s="171"/>
      <c r="D11" s="5"/>
      <c r="E11" s="17"/>
      <c r="F11" s="18" t="s">
        <v>41</v>
      </c>
      <c r="G11" s="19" t="s">
        <v>75</v>
      </c>
      <c r="H11" s="17"/>
    </row>
    <row r="12" spans="1:9" ht="18.75" thickBot="1">
      <c r="A12" s="20" t="s">
        <v>7</v>
      </c>
      <c r="B12" s="20" t="str">
        <f>NUMBERSTRING(F31,1)</f>
        <v>이백일십육만팔천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>
      <c r="A16" s="32"/>
      <c r="B16" s="33" t="s">
        <v>18</v>
      </c>
      <c r="C16" s="34"/>
      <c r="D16" s="35"/>
      <c r="E16" s="35"/>
      <c r="F16" s="36">
        <f>'내역서(표준단가)'!O12</f>
        <v>455430.70999999996</v>
      </c>
      <c r="G16" s="37"/>
    </row>
    <row r="17" spans="1:9" ht="33" customHeight="1">
      <c r="A17" s="32"/>
      <c r="B17" s="33" t="s">
        <v>19</v>
      </c>
      <c r="C17" s="34"/>
      <c r="D17" s="35"/>
      <c r="E17" s="35"/>
      <c r="F17" s="36">
        <f>'내역서(표준단가)'!Q12</f>
        <v>1220638.7799999998</v>
      </c>
      <c r="G17" s="38"/>
      <c r="H17" s="4"/>
      <c r="I17" s="4"/>
    </row>
    <row r="18" spans="1:9" ht="33" customHeight="1">
      <c r="A18" s="32"/>
      <c r="B18" s="33" t="s">
        <v>20</v>
      </c>
      <c r="C18" s="34"/>
      <c r="D18" s="35"/>
      <c r="E18" s="35"/>
      <c r="F18" s="36">
        <f>'내역서(표준단가)'!S12+'내역서(표준단가)'!U12</f>
        <v>212006.5</v>
      </c>
      <c r="G18" s="38"/>
      <c r="H18" s="4"/>
      <c r="I18" s="4"/>
    </row>
    <row r="19" spans="1:9" ht="33" customHeight="1">
      <c r="A19" s="32"/>
      <c r="B19" s="39" t="s">
        <v>21</v>
      </c>
      <c r="C19" s="39"/>
      <c r="D19" s="40"/>
      <c r="E19" s="40"/>
      <c r="F19" s="41">
        <f>F16+F17+F18</f>
        <v>1888075.9899999998</v>
      </c>
      <c r="G19" s="38"/>
      <c r="H19" s="4"/>
      <c r="I19" s="4"/>
    </row>
    <row r="20" spans="1:9" ht="33" customHeight="1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54928.745099999986</v>
      </c>
      <c r="G21" s="38" t="s">
        <v>26</v>
      </c>
      <c r="H21" s="4"/>
      <c r="I21" s="4"/>
    </row>
    <row r="22" spans="1:9" ht="33" customHeight="1">
      <c r="A22" s="32"/>
      <c r="B22" s="47" t="s">
        <v>27</v>
      </c>
      <c r="C22" s="48" t="s">
        <v>66</v>
      </c>
      <c r="D22" s="49">
        <v>1</v>
      </c>
      <c r="E22" s="49" t="s">
        <v>25</v>
      </c>
      <c r="F22" s="50">
        <f>F17*3.545%</f>
        <v>43271.644750999993</v>
      </c>
      <c r="G22" s="51" t="s">
        <v>28</v>
      </c>
      <c r="H22" s="4"/>
      <c r="I22" s="4"/>
    </row>
    <row r="23" spans="1:9" ht="33" customHeight="1">
      <c r="A23" s="32"/>
      <c r="B23" s="45" t="s">
        <v>29</v>
      </c>
      <c r="C23" s="43" t="s">
        <v>67</v>
      </c>
      <c r="D23" s="33">
        <v>1</v>
      </c>
      <c r="E23" s="33" t="s">
        <v>25</v>
      </c>
      <c r="F23" s="46">
        <f>F22*12.95%</f>
        <v>5603.6779952544994</v>
      </c>
      <c r="G23" s="38" t="s">
        <v>28</v>
      </c>
      <c r="H23" s="4"/>
      <c r="I23" s="4"/>
    </row>
    <row r="24" spans="1:9" ht="33" customHeight="1">
      <c r="A24" s="32"/>
      <c r="B24" s="45" t="s">
        <v>30</v>
      </c>
      <c r="C24" s="43" t="s">
        <v>47</v>
      </c>
      <c r="D24" s="33">
        <v>1</v>
      </c>
      <c r="E24" s="33" t="s">
        <v>25</v>
      </c>
      <c r="F24" s="46">
        <f>F17*1.01%</f>
        <v>12328.451677999998</v>
      </c>
      <c r="G24" s="38" t="s">
        <v>28</v>
      </c>
      <c r="H24" s="4"/>
      <c r="I24" s="4"/>
    </row>
    <row r="25" spans="1:9" ht="33" customHeight="1">
      <c r="A25" s="32"/>
      <c r="B25" s="45" t="s">
        <v>31</v>
      </c>
      <c r="C25" s="43" t="s">
        <v>68</v>
      </c>
      <c r="D25" s="33">
        <v>1</v>
      </c>
      <c r="E25" s="33" t="s">
        <v>25</v>
      </c>
      <c r="F25" s="46">
        <f>F17*3.56%</f>
        <v>43454.740567999994</v>
      </c>
      <c r="G25" s="38" t="s">
        <v>28</v>
      </c>
      <c r="H25" s="4"/>
      <c r="I25" s="4"/>
    </row>
    <row r="26" spans="1:9" ht="33" customHeight="1">
      <c r="A26" s="32"/>
      <c r="B26" s="45" t="s">
        <v>32</v>
      </c>
      <c r="C26" s="52" t="s">
        <v>36</v>
      </c>
      <c r="D26" s="33">
        <v>1</v>
      </c>
      <c r="E26" s="33" t="s">
        <v>25</v>
      </c>
      <c r="F26" s="46">
        <f>(F16+F17)*2.93%</f>
        <v>49108.836057</v>
      </c>
      <c r="G26" s="38" t="s">
        <v>26</v>
      </c>
      <c r="H26" s="4"/>
      <c r="I26" s="4"/>
    </row>
    <row r="27" spans="1:9" ht="33" customHeight="1">
      <c r="A27" s="32"/>
      <c r="B27" s="45" t="s">
        <v>37</v>
      </c>
      <c r="C27" s="52" t="s">
        <v>38</v>
      </c>
      <c r="D27" s="33">
        <v>1</v>
      </c>
      <c r="E27" s="33" t="s">
        <v>25</v>
      </c>
      <c r="F27" s="46">
        <f>SUM(F17+F21+F22+F23+F24+F25+F26)*5%</f>
        <v>71466.743807462713</v>
      </c>
      <c r="G27" s="38"/>
      <c r="H27" s="4"/>
      <c r="I27" s="4"/>
    </row>
    <row r="28" spans="1:9" ht="33" customHeight="1">
      <c r="A28" s="32"/>
      <c r="B28" s="39" t="s">
        <v>33</v>
      </c>
      <c r="C28" s="53"/>
      <c r="D28" s="54"/>
      <c r="E28" s="40"/>
      <c r="F28" s="55">
        <f>F21+F22+F23+F24+F25+F26+F27</f>
        <v>280162.83995671722</v>
      </c>
      <c r="G28" s="38"/>
      <c r="H28" s="4"/>
      <c r="I28" s="4"/>
    </row>
    <row r="29" spans="1:9" ht="33" customHeight="1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>
      <c r="A30" s="32"/>
      <c r="B30" s="59"/>
      <c r="C30" s="56"/>
      <c r="D30" s="57"/>
      <c r="E30" s="35"/>
      <c r="F30" s="60">
        <f>F19+F28+F29</f>
        <v>2168238.8299567169</v>
      </c>
      <c r="G30" s="38"/>
      <c r="H30" s="4"/>
      <c r="I30" s="4"/>
    </row>
    <row r="31" spans="1:9" ht="33" customHeight="1">
      <c r="A31" s="32"/>
      <c r="B31" s="39" t="s">
        <v>34</v>
      </c>
      <c r="C31" s="39"/>
      <c r="D31" s="40"/>
      <c r="E31" s="40"/>
      <c r="F31" s="61">
        <f>ROUNDDOWN(F30,-3)</f>
        <v>2168000</v>
      </c>
      <c r="G31" s="38"/>
      <c r="H31" s="4"/>
      <c r="I31" s="4"/>
    </row>
    <row r="32" spans="1:9" ht="33" customHeight="1" thickBot="1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>
      <c r="B33" s="67"/>
    </row>
    <row r="34" spans="2:2" s="4" customFormat="1" ht="15.75">
      <c r="B34" s="67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8"/>
  <sheetViews>
    <sheetView showGridLines="0" zoomScale="90" zoomScaleNormal="90" workbookViewId="0">
      <selection activeCell="N15" sqref="N15"/>
    </sheetView>
  </sheetViews>
  <sheetFormatPr defaultColWidth="9" defaultRowHeight="12.75"/>
  <cols>
    <col min="1" max="1" width="17.5" style="116" bestFit="1" customWidth="1"/>
    <col min="2" max="5" width="18.5" style="116" hidden="1" customWidth="1"/>
    <col min="6" max="9" width="15.625" style="91" hidden="1" customWidth="1"/>
    <col min="10" max="10" width="37.625" style="91" bestFit="1" customWidth="1"/>
    <col min="11" max="11" width="25" style="91" bestFit="1" customWidth="1"/>
    <col min="12" max="12" width="9.625" style="91" bestFit="1" customWidth="1"/>
    <col min="13" max="13" width="7.125" style="91" bestFit="1" customWidth="1"/>
    <col min="14" max="14" width="11.25" style="91" bestFit="1" customWidth="1"/>
    <col min="15" max="15" width="13.125" style="91" bestFit="1" customWidth="1"/>
    <col min="16" max="16" width="7.125" style="91" bestFit="1" customWidth="1"/>
    <col min="17" max="17" width="15.5" style="91" bestFit="1" customWidth="1"/>
    <col min="18" max="18" width="10.25" style="91" customWidth="1"/>
    <col min="19" max="19" width="11.75" style="91" customWidth="1"/>
    <col min="20" max="20" width="10" style="91" customWidth="1"/>
    <col min="21" max="21" width="11.75" style="91" customWidth="1"/>
    <col min="22" max="22" width="15.5" style="91" bestFit="1" customWidth="1"/>
    <col min="23" max="23" width="10.625" style="92" bestFit="1" customWidth="1"/>
    <col min="24" max="24" width="8.5" style="91" bestFit="1" customWidth="1"/>
    <col min="25" max="16384" width="9" style="91"/>
  </cols>
  <sheetData>
    <row r="1" spans="1:24" ht="19.899999999999999" customHeight="1">
      <c r="A1" s="178"/>
      <c r="B1" s="178"/>
      <c r="C1" s="178"/>
      <c r="D1" s="178"/>
      <c r="E1" s="178"/>
      <c r="F1" s="178"/>
      <c r="G1" s="178"/>
      <c r="H1" s="178"/>
      <c r="I1" s="178"/>
      <c r="N1" s="92"/>
      <c r="O1" s="90" t="s">
        <v>117</v>
      </c>
      <c r="Q1" s="90" t="s">
        <v>117</v>
      </c>
      <c r="S1" s="90" t="s">
        <v>117</v>
      </c>
      <c r="U1" s="90" t="s">
        <v>117</v>
      </c>
    </row>
    <row r="2" spans="1:24" ht="19.899999999999999" customHeight="1" thickBot="1">
      <c r="A2" s="178"/>
      <c r="B2" s="178"/>
      <c r="C2" s="178"/>
      <c r="D2" s="178"/>
      <c r="E2" s="178"/>
      <c r="F2" s="178"/>
      <c r="G2" s="178"/>
      <c r="H2" s="178"/>
      <c r="I2" s="178"/>
      <c r="N2" s="93"/>
      <c r="O2" s="94">
        <v>0.83499999999999996</v>
      </c>
      <c r="Q2" s="94">
        <v>0.83499999999999996</v>
      </c>
      <c r="S2" s="94">
        <v>0.83499999999999996</v>
      </c>
      <c r="U2" s="94">
        <v>0.83499999999999996</v>
      </c>
    </row>
    <row r="3" spans="1:24" ht="19.899999999999999" customHeight="1">
      <c r="A3" s="95"/>
      <c r="B3" s="95"/>
      <c r="C3" s="95"/>
      <c r="D3" s="95"/>
      <c r="E3" s="95"/>
      <c r="F3" s="95" t="s">
        <v>118</v>
      </c>
      <c r="G3" s="96"/>
      <c r="H3" s="96"/>
      <c r="I3" s="96"/>
      <c r="J3" s="187" t="s">
        <v>119</v>
      </c>
      <c r="K3" s="187"/>
      <c r="L3" s="187" t="s">
        <v>52</v>
      </c>
      <c r="M3" s="187" t="s">
        <v>5</v>
      </c>
      <c r="N3" s="183" t="s">
        <v>120</v>
      </c>
      <c r="O3" s="183"/>
      <c r="P3" s="183" t="s">
        <v>121</v>
      </c>
      <c r="Q3" s="183"/>
      <c r="R3" s="184" t="s">
        <v>122</v>
      </c>
      <c r="S3" s="184"/>
      <c r="T3" s="184" t="s">
        <v>123</v>
      </c>
      <c r="U3" s="184"/>
      <c r="V3" s="185" t="s">
        <v>124</v>
      </c>
      <c r="W3" s="181" t="s">
        <v>125</v>
      </c>
      <c r="X3" s="179" t="s">
        <v>46</v>
      </c>
    </row>
    <row r="4" spans="1:24" ht="19.899999999999999" customHeight="1">
      <c r="A4" s="97" t="s">
        <v>126</v>
      </c>
      <c r="B4" s="98"/>
      <c r="C4" s="98"/>
      <c r="D4" s="98"/>
      <c r="E4" s="98"/>
      <c r="F4" s="99" t="s">
        <v>127</v>
      </c>
      <c r="G4" s="99" t="s">
        <v>128</v>
      </c>
      <c r="H4" s="99" t="s">
        <v>129</v>
      </c>
      <c r="I4" s="99" t="s">
        <v>130</v>
      </c>
      <c r="J4" s="100" t="s">
        <v>131</v>
      </c>
      <c r="K4" s="100" t="s">
        <v>132</v>
      </c>
      <c r="L4" s="188"/>
      <c r="M4" s="188"/>
      <c r="N4" s="101" t="s">
        <v>133</v>
      </c>
      <c r="O4" s="102" t="s">
        <v>134</v>
      </c>
      <c r="P4" s="101" t="s">
        <v>135</v>
      </c>
      <c r="Q4" s="102" t="s">
        <v>134</v>
      </c>
      <c r="R4" s="102" t="s">
        <v>136</v>
      </c>
      <c r="S4" s="102" t="s">
        <v>134</v>
      </c>
      <c r="T4" s="102" t="s">
        <v>136</v>
      </c>
      <c r="U4" s="102" t="s">
        <v>134</v>
      </c>
      <c r="V4" s="186"/>
      <c r="W4" s="182"/>
      <c r="X4" s="180"/>
    </row>
    <row r="5" spans="1:24" s="109" customFormat="1" ht="19.899999999999999" customHeight="1">
      <c r="A5" s="103" t="str">
        <f t="shared" ref="A5:A10" si="0">F5&amp;G5&amp;H5&amp;I5</f>
        <v>L003</v>
      </c>
      <c r="B5" s="104"/>
      <c r="C5" s="104"/>
      <c r="D5" s="104"/>
      <c r="E5" s="104"/>
      <c r="F5" s="162"/>
      <c r="G5" s="163"/>
      <c r="H5" s="163"/>
      <c r="I5" s="168" t="s">
        <v>148</v>
      </c>
      <c r="J5" s="127" t="s">
        <v>147</v>
      </c>
      <c r="K5" s="127" t="s">
        <v>149</v>
      </c>
      <c r="L5" s="128" t="s">
        <v>150</v>
      </c>
      <c r="M5" s="129">
        <v>1</v>
      </c>
      <c r="N5" s="136"/>
      <c r="O5" s="105">
        <f t="shared" ref="O5" si="1">SUM(N5:N5)*M5*$O$2</f>
        <v>0</v>
      </c>
      <c r="P5" s="138">
        <v>208527</v>
      </c>
      <c r="Q5" s="105">
        <f>M5*P5</f>
        <v>208527</v>
      </c>
      <c r="R5" s="140"/>
      <c r="S5" s="105">
        <f t="shared" ref="S5" si="2">R5*M5*$S$2</f>
        <v>0</v>
      </c>
      <c r="T5" s="140"/>
      <c r="U5" s="105">
        <f t="shared" ref="U5" si="3">T5*M5*$U$2</f>
        <v>0</v>
      </c>
      <c r="V5" s="106">
        <f t="shared" ref="V5" si="4">SUM(O5+Q5)+S5+U5</f>
        <v>208527</v>
      </c>
      <c r="W5" s="107"/>
      <c r="X5" s="108"/>
    </row>
    <row r="6" spans="1:24" s="109" customFormat="1" ht="19.899999999999999" customHeight="1">
      <c r="A6" s="103" t="str">
        <f t="shared" si="0"/>
        <v>L002</v>
      </c>
      <c r="B6" s="104"/>
      <c r="C6" s="104"/>
      <c r="D6" s="104"/>
      <c r="E6" s="104"/>
      <c r="F6" s="162"/>
      <c r="G6" s="163"/>
      <c r="H6" s="163"/>
      <c r="I6" s="168" t="s">
        <v>152</v>
      </c>
      <c r="J6" s="127" t="s">
        <v>151</v>
      </c>
      <c r="K6" s="127" t="s">
        <v>149</v>
      </c>
      <c r="L6" s="128" t="s">
        <v>150</v>
      </c>
      <c r="M6" s="129">
        <v>1</v>
      </c>
      <c r="N6" s="136"/>
      <c r="O6" s="105"/>
      <c r="P6" s="138">
        <v>161858</v>
      </c>
      <c r="Q6" s="105">
        <f>M6*P6</f>
        <v>161858</v>
      </c>
      <c r="R6" s="140"/>
      <c r="S6" s="105">
        <f t="shared" ref="S6" si="5">R6*M6*$S$2</f>
        <v>0</v>
      </c>
      <c r="T6" s="140"/>
      <c r="U6" s="105">
        <f t="shared" ref="U6" si="6">T6*M6*$U$2</f>
        <v>0</v>
      </c>
      <c r="V6" s="106">
        <f t="shared" ref="V6" si="7">SUM(O6+Q6)+S6+U6</f>
        <v>161858</v>
      </c>
      <c r="W6" s="107"/>
      <c r="X6" s="108"/>
    </row>
    <row r="7" spans="1:24" s="109" customFormat="1" ht="19.899999999999999" customHeight="1">
      <c r="A7" s="103" t="str">
        <f t="shared" si="0"/>
        <v>M011902400300101</v>
      </c>
      <c r="B7" s="104"/>
      <c r="C7" s="104"/>
      <c r="D7" s="104"/>
      <c r="E7" s="104"/>
      <c r="F7" s="162"/>
      <c r="G7" s="163"/>
      <c r="H7" s="164" t="s">
        <v>116</v>
      </c>
      <c r="I7" s="99"/>
      <c r="J7" s="130" t="s">
        <v>139</v>
      </c>
      <c r="K7" s="130" t="s">
        <v>115</v>
      </c>
      <c r="L7" s="131" t="s">
        <v>137</v>
      </c>
      <c r="M7" s="129">
        <v>31</v>
      </c>
      <c r="N7" s="137">
        <v>5900</v>
      </c>
      <c r="O7" s="105">
        <f t="shared" ref="O7:O11" si="8">SUM(N7:N7)*M7*$O$2</f>
        <v>152721.5</v>
      </c>
      <c r="P7" s="139"/>
      <c r="Q7" s="105">
        <f t="shared" ref="Q7:Q11" si="9">(P7*M7)*$Q$2</f>
        <v>0</v>
      </c>
      <c r="R7" s="140"/>
      <c r="S7" s="105">
        <f t="shared" ref="S7:S11" si="10">R7*M7*$S$2</f>
        <v>0</v>
      </c>
      <c r="T7" s="140"/>
      <c r="U7" s="105">
        <f t="shared" ref="U7:U11" si="11">T7*M7*$U$2</f>
        <v>0</v>
      </c>
      <c r="V7" s="106">
        <f t="shared" ref="V7:V11" si="12">SUM(O7+Q7)+S7+U7</f>
        <v>152721.5</v>
      </c>
      <c r="W7" s="107"/>
      <c r="X7" s="108"/>
    </row>
    <row r="8" spans="1:24" s="109" customFormat="1" ht="19.899999999999999" customHeight="1">
      <c r="A8" s="103" t="str">
        <f t="shared" si="0"/>
        <v>D02620</v>
      </c>
      <c r="B8" s="104"/>
      <c r="C8" s="104"/>
      <c r="D8" s="104"/>
      <c r="E8" s="104"/>
      <c r="F8" s="162" t="s">
        <v>108</v>
      </c>
      <c r="G8" s="163"/>
      <c r="H8" s="163"/>
      <c r="I8" s="99"/>
      <c r="J8" s="127" t="s">
        <v>111</v>
      </c>
      <c r="K8" s="127" t="s">
        <v>112</v>
      </c>
      <c r="L8" s="132" t="s">
        <v>137</v>
      </c>
      <c r="M8" s="133">
        <v>62</v>
      </c>
      <c r="N8" s="138">
        <v>125</v>
      </c>
      <c r="O8" s="105">
        <f t="shared" si="8"/>
        <v>6471.25</v>
      </c>
      <c r="P8" s="138">
        <v>14590</v>
      </c>
      <c r="Q8" s="105">
        <f t="shared" si="9"/>
        <v>755324.29999999993</v>
      </c>
      <c r="R8" s="140"/>
      <c r="S8" s="105">
        <f t="shared" si="10"/>
        <v>0</v>
      </c>
      <c r="T8" s="140"/>
      <c r="U8" s="105">
        <f t="shared" si="11"/>
        <v>0</v>
      </c>
      <c r="V8" s="106">
        <f t="shared" si="12"/>
        <v>761795.54999999993</v>
      </c>
      <c r="W8" s="107"/>
      <c r="X8" s="108"/>
    </row>
    <row r="9" spans="1:24" s="109" customFormat="1" ht="19.899999999999999" customHeight="1">
      <c r="A9" s="103" t="str">
        <f t="shared" si="0"/>
        <v>D02639</v>
      </c>
      <c r="B9" s="104"/>
      <c r="C9" s="104"/>
      <c r="D9" s="104"/>
      <c r="E9" s="104"/>
      <c r="F9" s="162" t="s">
        <v>109</v>
      </c>
      <c r="G9" s="163"/>
      <c r="H9" s="163"/>
      <c r="I9" s="99"/>
      <c r="J9" s="127" t="s">
        <v>113</v>
      </c>
      <c r="K9" s="127" t="s">
        <v>114</v>
      </c>
      <c r="L9" s="132" t="s">
        <v>82</v>
      </c>
      <c r="M9" s="133">
        <v>36</v>
      </c>
      <c r="N9" s="138">
        <v>2966</v>
      </c>
      <c r="O9" s="105">
        <f t="shared" si="8"/>
        <v>89157.959999999992</v>
      </c>
      <c r="P9" s="138">
        <v>3158</v>
      </c>
      <c r="Q9" s="105">
        <f t="shared" si="9"/>
        <v>94929.48</v>
      </c>
      <c r="R9" s="140"/>
      <c r="S9" s="105">
        <f t="shared" si="10"/>
        <v>0</v>
      </c>
      <c r="T9" s="140"/>
      <c r="U9" s="105">
        <f t="shared" si="11"/>
        <v>0</v>
      </c>
      <c r="V9" s="106">
        <f t="shared" si="12"/>
        <v>184087.44</v>
      </c>
      <c r="W9" s="107"/>
      <c r="X9" s="108"/>
    </row>
    <row r="10" spans="1:24" s="109" customFormat="1" ht="19.899999999999999" customHeight="1">
      <c r="A10" s="103" t="str">
        <f t="shared" si="0"/>
        <v>M011902401200101</v>
      </c>
      <c r="B10" s="104"/>
      <c r="C10" s="104"/>
      <c r="D10" s="104"/>
      <c r="E10" s="104"/>
      <c r="F10" s="162"/>
      <c r="G10" s="163"/>
      <c r="H10" s="164" t="s">
        <v>110</v>
      </c>
      <c r="I10" s="99"/>
      <c r="J10" s="130" t="s">
        <v>140</v>
      </c>
      <c r="K10" s="130" t="s">
        <v>157</v>
      </c>
      <c r="L10" s="131" t="s">
        <v>137</v>
      </c>
      <c r="M10" s="129">
        <v>31</v>
      </c>
      <c r="N10" s="137">
        <v>8000</v>
      </c>
      <c r="O10" s="105">
        <f t="shared" si="8"/>
        <v>207080</v>
      </c>
      <c r="P10" s="138"/>
      <c r="Q10" s="105">
        <f t="shared" si="9"/>
        <v>0</v>
      </c>
      <c r="R10" s="140"/>
      <c r="S10" s="105">
        <f t="shared" si="10"/>
        <v>0</v>
      </c>
      <c r="T10" s="140"/>
      <c r="U10" s="105">
        <f t="shared" si="11"/>
        <v>0</v>
      </c>
      <c r="V10" s="106">
        <f t="shared" si="12"/>
        <v>207080</v>
      </c>
      <c r="W10" s="107"/>
      <c r="X10" s="108"/>
    </row>
    <row r="11" spans="1:24" s="109" customFormat="1" ht="19.899999999999999" customHeight="1">
      <c r="A11" s="103" t="str">
        <f t="shared" ref="A11" si="13">F11&amp;G11&amp;H11&amp;I11</f>
        <v/>
      </c>
      <c r="B11" s="104"/>
      <c r="C11" s="104"/>
      <c r="D11" s="104"/>
      <c r="E11" s="104"/>
      <c r="F11" s="162"/>
      <c r="G11" s="163"/>
      <c r="H11" s="163"/>
      <c r="I11" s="99"/>
      <c r="J11" s="134" t="s">
        <v>80</v>
      </c>
      <c r="K11" s="134" t="s">
        <v>81</v>
      </c>
      <c r="L11" s="135" t="s">
        <v>79</v>
      </c>
      <c r="M11" s="129">
        <v>1</v>
      </c>
      <c r="N11" s="136"/>
      <c r="O11" s="105">
        <f t="shared" si="8"/>
        <v>0</v>
      </c>
      <c r="P11" s="138"/>
      <c r="Q11" s="105">
        <f t="shared" si="9"/>
        <v>0</v>
      </c>
      <c r="R11" s="140">
        <v>40900</v>
      </c>
      <c r="S11" s="105">
        <f t="shared" si="10"/>
        <v>34151.5</v>
      </c>
      <c r="T11" s="140">
        <v>213000</v>
      </c>
      <c r="U11" s="105">
        <f t="shared" si="11"/>
        <v>177855</v>
      </c>
      <c r="V11" s="106">
        <f t="shared" si="12"/>
        <v>212006.5</v>
      </c>
      <c r="W11" s="107"/>
      <c r="X11" s="108"/>
    </row>
    <row r="12" spans="1:24" s="111" customFormat="1" ht="19.899999999999999" customHeight="1">
      <c r="A12" s="110"/>
      <c r="B12" s="110"/>
      <c r="C12" s="110"/>
      <c r="D12" s="110"/>
      <c r="E12" s="110"/>
      <c r="O12" s="112">
        <f>SUM(O5:O11)</f>
        <v>455430.70999999996</v>
      </c>
      <c r="P12" s="113"/>
      <c r="Q12" s="112">
        <f>SUM(Q5:Q11)</f>
        <v>1220638.7799999998</v>
      </c>
      <c r="R12" s="113"/>
      <c r="S12" s="112">
        <f>SUM(S5:S11)</f>
        <v>34151.5</v>
      </c>
      <c r="T12" s="113"/>
      <c r="U12" s="112">
        <f>SUM(U5:U11)</f>
        <v>177855</v>
      </c>
      <c r="V12" s="114">
        <f>SUM(V5:V11)</f>
        <v>1888075.9899999998</v>
      </c>
      <c r="W12" s="115"/>
    </row>
    <row r="15" spans="1:24">
      <c r="M15" s="167"/>
      <c r="N15" s="200"/>
    </row>
    <row r="16" spans="1:24">
      <c r="M16" s="167"/>
    </row>
    <row r="17" spans="13:13">
      <c r="M17" s="167"/>
    </row>
    <row r="18" spans="13:13">
      <c r="M18" s="167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0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4D0E1-0F27-4051-AFDE-371CA709650B}">
  <sheetPr codeName="Sheet3">
    <pageSetUpPr fitToPage="1"/>
  </sheetPr>
  <dimension ref="A1:N23"/>
  <sheetViews>
    <sheetView zoomScaleNormal="100" workbookViewId="0">
      <selection activeCell="R13" sqref="R13"/>
    </sheetView>
  </sheetViews>
  <sheetFormatPr defaultColWidth="9" defaultRowHeight="16.5"/>
  <cols>
    <col min="1" max="1" width="22.625" style="86" customWidth="1"/>
    <col min="2" max="2" width="27.625" style="86" customWidth="1"/>
    <col min="3" max="3" width="5.75" style="86" customWidth="1"/>
    <col min="4" max="4" width="5.25" style="86" customWidth="1"/>
    <col min="5" max="14" width="10.625" style="86" customWidth="1"/>
    <col min="15" max="16384" width="9" style="87"/>
  </cols>
  <sheetData>
    <row r="1" spans="1:14" s="74" customFormat="1" ht="26.25" customHeight="1">
      <c r="A1" s="191" t="s">
        <v>83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</row>
    <row r="2" spans="1:14" s="74" customFormat="1" ht="20.100000000000001" customHeight="1">
      <c r="A2" s="192" t="s">
        <v>84</v>
      </c>
      <c r="B2" s="192" t="s">
        <v>85</v>
      </c>
      <c r="C2" s="193" t="s">
        <v>52</v>
      </c>
      <c r="D2" s="193" t="s">
        <v>86</v>
      </c>
      <c r="E2" s="195" t="s">
        <v>87</v>
      </c>
      <c r="F2" s="192"/>
      <c r="G2" s="196" t="s">
        <v>88</v>
      </c>
      <c r="H2" s="197"/>
      <c r="I2" s="198" t="s">
        <v>89</v>
      </c>
      <c r="J2" s="197"/>
      <c r="K2" s="198" t="s">
        <v>90</v>
      </c>
      <c r="L2" s="197"/>
      <c r="M2" s="198" t="s">
        <v>91</v>
      </c>
      <c r="N2" s="199"/>
    </row>
    <row r="3" spans="1:14" s="74" customFormat="1" ht="20.100000000000001" customHeight="1">
      <c r="A3" s="192"/>
      <c r="B3" s="192"/>
      <c r="C3" s="194"/>
      <c r="D3" s="194"/>
      <c r="E3" s="75" t="s">
        <v>92</v>
      </c>
      <c r="F3" s="75" t="s">
        <v>93</v>
      </c>
      <c r="G3" s="77" t="s">
        <v>92</v>
      </c>
      <c r="H3" s="76" t="s">
        <v>93</v>
      </c>
      <c r="I3" s="77" t="s">
        <v>92</v>
      </c>
      <c r="J3" s="76" t="s">
        <v>93</v>
      </c>
      <c r="K3" s="77" t="s">
        <v>92</v>
      </c>
      <c r="L3" s="76" t="s">
        <v>93</v>
      </c>
      <c r="M3" s="77" t="s">
        <v>92</v>
      </c>
      <c r="N3" s="75" t="s">
        <v>93</v>
      </c>
    </row>
    <row r="4" spans="1:14" s="74" customFormat="1" ht="20.100000000000001" customHeight="1">
      <c r="A4" s="189" t="s">
        <v>141</v>
      </c>
      <c r="B4" s="190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9">
        <f>F4+H4+J4+L4</f>
        <v>0</v>
      </c>
    </row>
    <row r="5" spans="1:14" s="74" customFormat="1" ht="20.100000000000001" customHeight="1">
      <c r="A5" s="141" t="s">
        <v>153</v>
      </c>
      <c r="B5" s="166" t="s">
        <v>147</v>
      </c>
      <c r="C5" s="142" t="s">
        <v>146</v>
      </c>
      <c r="D5" s="143">
        <v>1</v>
      </c>
      <c r="E5" s="144"/>
      <c r="F5" s="145">
        <f t="shared" ref="F5:F11" si="0">D5*E5</f>
        <v>0</v>
      </c>
      <c r="G5" s="146">
        <v>208527</v>
      </c>
      <c r="H5" s="144">
        <f>D5*G5</f>
        <v>208527</v>
      </c>
      <c r="I5" s="144"/>
      <c r="J5" s="147"/>
      <c r="K5" s="144"/>
      <c r="L5" s="147"/>
      <c r="M5" s="148"/>
      <c r="N5" s="148">
        <f t="shared" ref="N5:N11" si="1">F5+H5+J5+L5</f>
        <v>208527</v>
      </c>
    </row>
    <row r="6" spans="1:14" s="74" customFormat="1" ht="20.100000000000001" customHeight="1">
      <c r="A6" s="141"/>
      <c r="B6" s="166" t="s">
        <v>147</v>
      </c>
      <c r="C6" s="142" t="s">
        <v>146</v>
      </c>
      <c r="D6" s="143">
        <v>1</v>
      </c>
      <c r="E6" s="144"/>
      <c r="F6" s="145">
        <f t="shared" ref="F6" si="2">D6*E6</f>
        <v>0</v>
      </c>
      <c r="G6" s="146">
        <v>161858</v>
      </c>
      <c r="H6" s="144">
        <f>D6*G6</f>
        <v>161858</v>
      </c>
      <c r="I6" s="144"/>
      <c r="J6" s="147"/>
      <c r="K6" s="144"/>
      <c r="L6" s="147"/>
      <c r="M6" s="148"/>
      <c r="N6" s="148">
        <f t="shared" ref="N6" si="3">F6+H6+J6+L6</f>
        <v>161858</v>
      </c>
    </row>
    <row r="7" spans="1:14" s="74" customFormat="1" ht="20.100000000000001" customHeight="1">
      <c r="A7" s="149" t="s">
        <v>94</v>
      </c>
      <c r="B7" s="150" t="s">
        <v>145</v>
      </c>
      <c r="C7" s="151"/>
      <c r="D7" s="143"/>
      <c r="E7" s="152"/>
      <c r="F7" s="153">
        <f t="shared" si="0"/>
        <v>0</v>
      </c>
      <c r="G7" s="153"/>
      <c r="H7" s="154">
        <f t="shared" ref="H7" si="4">D7*G7</f>
        <v>0</v>
      </c>
      <c r="I7" s="153"/>
      <c r="J7" s="153"/>
      <c r="K7" s="153"/>
      <c r="L7" s="153"/>
      <c r="M7" s="151"/>
      <c r="N7" s="148">
        <f t="shared" si="1"/>
        <v>0</v>
      </c>
    </row>
    <row r="8" spans="1:14" s="74" customFormat="1" ht="20.100000000000001" customHeight="1">
      <c r="A8" s="155" t="s">
        <v>95</v>
      </c>
      <c r="B8" s="156" t="s">
        <v>96</v>
      </c>
      <c r="C8" s="156" t="s">
        <v>97</v>
      </c>
      <c r="D8" s="143">
        <v>7</v>
      </c>
      <c r="E8" s="145">
        <v>4927</v>
      </c>
      <c r="F8" s="145">
        <f t="shared" si="0"/>
        <v>34489</v>
      </c>
      <c r="G8" s="145"/>
      <c r="H8" s="144"/>
      <c r="I8" s="157"/>
      <c r="J8" s="145"/>
      <c r="K8" s="157"/>
      <c r="L8" s="145"/>
      <c r="M8" s="148"/>
      <c r="N8" s="148">
        <f t="shared" si="1"/>
        <v>34489</v>
      </c>
    </row>
    <row r="9" spans="1:14" s="74" customFormat="1" ht="20.100000000000001" customHeight="1">
      <c r="A9" s="155" t="s">
        <v>98</v>
      </c>
      <c r="B9" s="156" t="s">
        <v>99</v>
      </c>
      <c r="C9" s="156" t="s">
        <v>97</v>
      </c>
      <c r="D9" s="143">
        <v>7</v>
      </c>
      <c r="E9" s="158">
        <v>6680</v>
      </c>
      <c r="F9" s="145">
        <f t="shared" si="0"/>
        <v>46760</v>
      </c>
      <c r="G9" s="145"/>
      <c r="H9" s="144">
        <f t="shared" ref="H9:H11" si="5">D9*G9</f>
        <v>0</v>
      </c>
      <c r="I9" s="157"/>
      <c r="J9" s="145"/>
      <c r="K9" s="157"/>
      <c r="L9" s="145"/>
      <c r="M9" s="148"/>
      <c r="N9" s="148">
        <f t="shared" si="1"/>
        <v>46760</v>
      </c>
    </row>
    <row r="10" spans="1:14" s="74" customFormat="1" ht="20.100000000000001" customHeight="1">
      <c r="A10" s="155" t="s">
        <v>100</v>
      </c>
      <c r="B10" s="156" t="s">
        <v>101</v>
      </c>
      <c r="C10" s="156" t="s">
        <v>97</v>
      </c>
      <c r="D10" s="143">
        <v>14</v>
      </c>
      <c r="E10" s="145">
        <v>104</v>
      </c>
      <c r="F10" s="145">
        <f t="shared" si="0"/>
        <v>1456</v>
      </c>
      <c r="G10" s="145">
        <v>12183</v>
      </c>
      <c r="H10" s="144">
        <f t="shared" si="5"/>
        <v>170562</v>
      </c>
      <c r="I10" s="157"/>
      <c r="J10" s="145"/>
      <c r="K10" s="157"/>
      <c r="L10" s="145"/>
      <c r="M10" s="148"/>
      <c r="N10" s="148">
        <f t="shared" si="1"/>
        <v>172018</v>
      </c>
    </row>
    <row r="11" spans="1:14" s="74" customFormat="1" ht="20.100000000000001" customHeight="1">
      <c r="A11" s="155" t="s">
        <v>102</v>
      </c>
      <c r="B11" s="156" t="s">
        <v>103</v>
      </c>
      <c r="C11" s="151" t="s">
        <v>104</v>
      </c>
      <c r="D11" s="143">
        <v>12</v>
      </c>
      <c r="E11" s="158">
        <v>2477</v>
      </c>
      <c r="F11" s="145">
        <f t="shared" si="0"/>
        <v>29724</v>
      </c>
      <c r="G11" s="145">
        <v>2637</v>
      </c>
      <c r="H11" s="144">
        <f t="shared" si="5"/>
        <v>31644</v>
      </c>
      <c r="I11" s="157"/>
      <c r="J11" s="145"/>
      <c r="K11" s="157"/>
      <c r="L11" s="145"/>
      <c r="M11" s="148"/>
      <c r="N11" s="148">
        <f t="shared" si="1"/>
        <v>61368</v>
      </c>
    </row>
    <row r="12" spans="1:14" s="74" customFormat="1" ht="20.100000000000001" customHeight="1">
      <c r="A12" s="141" t="s">
        <v>138</v>
      </c>
      <c r="B12" s="150" t="s">
        <v>142</v>
      </c>
      <c r="C12" s="142"/>
      <c r="D12" s="143"/>
      <c r="E12" s="158"/>
      <c r="F12" s="145"/>
      <c r="G12" s="145"/>
      <c r="H12" s="144"/>
      <c r="I12" s="157"/>
      <c r="J12" s="145"/>
      <c r="K12" s="157"/>
      <c r="L12" s="145"/>
      <c r="M12" s="148"/>
      <c r="N12" s="148"/>
    </row>
    <row r="13" spans="1:14" s="74" customFormat="1" ht="20.100000000000001" customHeight="1">
      <c r="A13" s="155" t="s">
        <v>95</v>
      </c>
      <c r="B13" s="159" t="s">
        <v>96</v>
      </c>
      <c r="C13" s="159" t="s">
        <v>97</v>
      </c>
      <c r="D13" s="160">
        <v>15</v>
      </c>
      <c r="E13" s="145">
        <v>4927</v>
      </c>
      <c r="F13" s="145">
        <f t="shared" ref="F13:F16" si="6">D13*E13</f>
        <v>73905</v>
      </c>
      <c r="G13" s="145"/>
      <c r="H13" s="144"/>
      <c r="I13" s="157"/>
      <c r="J13" s="145"/>
      <c r="K13" s="157"/>
      <c r="L13" s="145"/>
      <c r="M13" s="148"/>
      <c r="N13" s="148">
        <f t="shared" ref="N13:N16" si="7">F13+H13+J13+L13</f>
        <v>73905</v>
      </c>
    </row>
    <row r="14" spans="1:14" s="74" customFormat="1" ht="20.100000000000001" customHeight="1">
      <c r="A14" s="155" t="s">
        <v>98</v>
      </c>
      <c r="B14" s="159" t="s">
        <v>105</v>
      </c>
      <c r="C14" s="159" t="s">
        <v>97</v>
      </c>
      <c r="D14" s="160">
        <v>15</v>
      </c>
      <c r="E14" s="158">
        <v>6680</v>
      </c>
      <c r="F14" s="145">
        <f t="shared" si="6"/>
        <v>100200</v>
      </c>
      <c r="G14" s="145"/>
      <c r="H14" s="144">
        <f t="shared" ref="H14:H16" si="8">D14*G14</f>
        <v>0</v>
      </c>
      <c r="I14" s="157"/>
      <c r="J14" s="145"/>
      <c r="K14" s="157"/>
      <c r="L14" s="145"/>
      <c r="M14" s="148"/>
      <c r="N14" s="148">
        <f t="shared" si="7"/>
        <v>100200</v>
      </c>
    </row>
    <row r="15" spans="1:14" s="74" customFormat="1" ht="20.100000000000001" customHeight="1">
      <c r="A15" s="155" t="s">
        <v>100</v>
      </c>
      <c r="B15" s="156" t="s">
        <v>101</v>
      </c>
      <c r="C15" s="159" t="s">
        <v>97</v>
      </c>
      <c r="D15" s="160">
        <v>30</v>
      </c>
      <c r="E15" s="145">
        <v>104</v>
      </c>
      <c r="F15" s="145">
        <f t="shared" si="6"/>
        <v>3120</v>
      </c>
      <c r="G15" s="145">
        <v>12183</v>
      </c>
      <c r="H15" s="144">
        <f t="shared" si="8"/>
        <v>365490</v>
      </c>
      <c r="I15" s="157"/>
      <c r="J15" s="145"/>
      <c r="K15" s="157"/>
      <c r="L15" s="145"/>
      <c r="M15" s="148"/>
      <c r="N15" s="148">
        <f t="shared" si="7"/>
        <v>368610</v>
      </c>
    </row>
    <row r="16" spans="1:14" s="74" customFormat="1" ht="20.100000000000001" customHeight="1">
      <c r="A16" s="155" t="s">
        <v>102</v>
      </c>
      <c r="B16" s="159" t="s">
        <v>103</v>
      </c>
      <c r="C16" s="148" t="s">
        <v>104</v>
      </c>
      <c r="D16" s="143">
        <v>12</v>
      </c>
      <c r="E16" s="158">
        <v>2477</v>
      </c>
      <c r="F16" s="145">
        <f t="shared" si="6"/>
        <v>29724</v>
      </c>
      <c r="G16" s="145">
        <v>2637</v>
      </c>
      <c r="H16" s="144">
        <f t="shared" si="8"/>
        <v>31644</v>
      </c>
      <c r="I16" s="157"/>
      <c r="J16" s="145"/>
      <c r="K16" s="157"/>
      <c r="L16" s="145"/>
      <c r="M16" s="148"/>
      <c r="N16" s="148">
        <f t="shared" si="7"/>
        <v>61368</v>
      </c>
    </row>
    <row r="17" spans="1:14" s="74" customFormat="1" ht="20.100000000000001" customHeight="1">
      <c r="A17" s="165" t="s">
        <v>143</v>
      </c>
      <c r="B17" s="159" t="s">
        <v>144</v>
      </c>
      <c r="C17" s="159"/>
      <c r="D17" s="161"/>
      <c r="E17" s="145"/>
      <c r="F17" s="145"/>
      <c r="G17" s="145"/>
      <c r="H17" s="144"/>
      <c r="I17" s="145"/>
      <c r="J17" s="145"/>
      <c r="K17" s="145"/>
      <c r="L17" s="145"/>
      <c r="M17" s="148"/>
      <c r="N17" s="148"/>
    </row>
    <row r="18" spans="1:14" s="74" customFormat="1" ht="20.100000000000001" customHeight="1">
      <c r="A18" s="155" t="s">
        <v>95</v>
      </c>
      <c r="B18" s="159" t="s">
        <v>96</v>
      </c>
      <c r="C18" s="159" t="s">
        <v>97</v>
      </c>
      <c r="D18" s="160">
        <v>9</v>
      </c>
      <c r="E18" s="145">
        <v>4927</v>
      </c>
      <c r="F18" s="145">
        <f t="shared" ref="F18:F21" si="9">D18*E18</f>
        <v>44343</v>
      </c>
      <c r="G18" s="145"/>
      <c r="H18" s="144"/>
      <c r="I18" s="157"/>
      <c r="J18" s="145"/>
      <c r="K18" s="157"/>
      <c r="L18" s="145"/>
      <c r="M18" s="148"/>
      <c r="N18" s="148">
        <f t="shared" ref="N18:N21" si="10">F18+H18+J18+L18</f>
        <v>44343</v>
      </c>
    </row>
    <row r="19" spans="1:14" s="74" customFormat="1" ht="20.100000000000001" customHeight="1">
      <c r="A19" s="155" t="s">
        <v>98</v>
      </c>
      <c r="B19" s="159" t="s">
        <v>105</v>
      </c>
      <c r="C19" s="159" t="s">
        <v>97</v>
      </c>
      <c r="D19" s="160">
        <v>9</v>
      </c>
      <c r="E19" s="158">
        <v>6680</v>
      </c>
      <c r="F19" s="145">
        <f t="shared" si="9"/>
        <v>60120</v>
      </c>
      <c r="G19" s="145"/>
      <c r="H19" s="144">
        <f t="shared" ref="H19:H21" si="11">D19*G19</f>
        <v>0</v>
      </c>
      <c r="I19" s="157"/>
      <c r="J19" s="145"/>
      <c r="K19" s="157"/>
      <c r="L19" s="145"/>
      <c r="M19" s="148"/>
      <c r="N19" s="148">
        <f t="shared" si="10"/>
        <v>60120</v>
      </c>
    </row>
    <row r="20" spans="1:14" s="74" customFormat="1" ht="20.100000000000001" customHeight="1">
      <c r="A20" s="155" t="s">
        <v>100</v>
      </c>
      <c r="B20" s="156" t="s">
        <v>101</v>
      </c>
      <c r="C20" s="159" t="s">
        <v>97</v>
      </c>
      <c r="D20" s="160">
        <v>18</v>
      </c>
      <c r="E20" s="145">
        <v>104</v>
      </c>
      <c r="F20" s="145">
        <f t="shared" si="9"/>
        <v>1872</v>
      </c>
      <c r="G20" s="145">
        <v>12183</v>
      </c>
      <c r="H20" s="144">
        <f t="shared" si="11"/>
        <v>219294</v>
      </c>
      <c r="I20" s="157"/>
      <c r="J20" s="145"/>
      <c r="K20" s="157"/>
      <c r="L20" s="145"/>
      <c r="M20" s="148"/>
      <c r="N20" s="148">
        <f t="shared" si="10"/>
        <v>221166</v>
      </c>
    </row>
    <row r="21" spans="1:14" s="74" customFormat="1" ht="20.100000000000001" customHeight="1">
      <c r="A21" s="155" t="s">
        <v>102</v>
      </c>
      <c r="B21" s="159" t="s">
        <v>103</v>
      </c>
      <c r="C21" s="148" t="s">
        <v>104</v>
      </c>
      <c r="D21" s="143">
        <v>12</v>
      </c>
      <c r="E21" s="158">
        <v>2477</v>
      </c>
      <c r="F21" s="145">
        <f t="shared" si="9"/>
        <v>29724</v>
      </c>
      <c r="G21" s="145">
        <v>2637</v>
      </c>
      <c r="H21" s="144">
        <f t="shared" si="11"/>
        <v>31644</v>
      </c>
      <c r="I21" s="157"/>
      <c r="J21" s="145"/>
      <c r="K21" s="157"/>
      <c r="L21" s="145"/>
      <c r="M21" s="148"/>
      <c r="N21" s="148">
        <f t="shared" si="10"/>
        <v>61368</v>
      </c>
    </row>
    <row r="22" spans="1:14" s="74" customFormat="1" ht="20.100000000000001" customHeight="1">
      <c r="A22" s="149" t="s">
        <v>154</v>
      </c>
      <c r="B22" s="159" t="s">
        <v>106</v>
      </c>
      <c r="C22" s="159" t="s">
        <v>107</v>
      </c>
      <c r="D22" s="161">
        <v>1</v>
      </c>
      <c r="E22" s="145"/>
      <c r="F22" s="145"/>
      <c r="G22" s="145"/>
      <c r="H22" s="144"/>
      <c r="I22" s="145">
        <v>34151.5</v>
      </c>
      <c r="J22" s="145">
        <f>D22*I22</f>
        <v>34151.5</v>
      </c>
      <c r="K22" s="145">
        <v>177855</v>
      </c>
      <c r="L22" s="145">
        <f>D22*K22</f>
        <v>177855</v>
      </c>
      <c r="M22" s="148"/>
      <c r="N22" s="148">
        <f t="shared" ref="N22" si="12">F22+H22+J22+L22</f>
        <v>212006.5</v>
      </c>
    </row>
    <row r="23" spans="1:14" s="74" customFormat="1" ht="20.100000000000001" customHeight="1">
      <c r="A23" s="117" t="s">
        <v>91</v>
      </c>
      <c r="B23" s="80"/>
      <c r="C23" s="81"/>
      <c r="D23" s="82"/>
      <c r="E23" s="83"/>
      <c r="F23" s="84">
        <f>SUM(F5:F22)</f>
        <v>455437</v>
      </c>
      <c r="G23" s="83"/>
      <c r="H23" s="84">
        <f>SUM(H5:H22)</f>
        <v>1220663</v>
      </c>
      <c r="I23" s="83"/>
      <c r="J23" s="84">
        <f>SUM(J5:J22)</f>
        <v>34151.5</v>
      </c>
      <c r="K23" s="83"/>
      <c r="L23" s="84">
        <f>SUM(L5:L22)</f>
        <v>177855</v>
      </c>
      <c r="M23" s="85"/>
      <c r="N23" s="84">
        <f>SUM(N5:N22)</f>
        <v>1888106.5</v>
      </c>
    </row>
  </sheetData>
  <mergeCells count="11">
    <mergeCell ref="A4:B4"/>
    <mergeCell ref="A1:N1"/>
    <mergeCell ref="A2:A3"/>
    <mergeCell ref="B2:B3"/>
    <mergeCell ref="C2:C3"/>
    <mergeCell ref="D2:D3"/>
    <mergeCell ref="E2:F2"/>
    <mergeCell ref="G2:H2"/>
    <mergeCell ref="I2:J2"/>
    <mergeCell ref="K2:L2"/>
    <mergeCell ref="M2:N2"/>
  </mergeCells>
  <phoneticPr fontId="10" type="noConversion"/>
  <pageMargins left="0.7" right="0.7" top="0.75" bottom="0.75" header="0.3" footer="0.3"/>
  <pageSetup paperSize="9" scale="6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D86D7-2996-44F2-AEBD-C5A6526EDA67}">
  <sheetPr codeName="Sheet4">
    <pageSetUpPr fitToPage="1"/>
  </sheetPr>
  <dimension ref="A1:P18"/>
  <sheetViews>
    <sheetView zoomScale="55" zoomScaleNormal="55" zoomScaleSheetLayoutView="85" workbookViewId="0">
      <selection activeCell="D37" sqref="D37"/>
    </sheetView>
  </sheetViews>
  <sheetFormatPr defaultColWidth="9" defaultRowHeight="16.5"/>
  <cols>
    <col min="1" max="1" width="25.625" style="68" customWidth="1"/>
    <col min="2" max="2" width="31.75" style="68" customWidth="1"/>
    <col min="3" max="3" width="24.375" style="68" customWidth="1"/>
    <col min="4" max="4" width="26.125" style="68" customWidth="1"/>
    <col min="5" max="5" width="27.5" style="68" customWidth="1"/>
    <col min="6" max="6" width="10.625" style="68" customWidth="1"/>
    <col min="7" max="7" width="13.625" style="69" customWidth="1"/>
    <col min="8" max="8" width="9.625" style="68" customWidth="1"/>
    <col min="9" max="9" width="13.625" style="68" customWidth="1"/>
    <col min="10" max="10" width="12.75" style="68" customWidth="1"/>
    <col min="11" max="11" width="9.25" style="68" customWidth="1"/>
    <col min="12" max="12" width="13.625" style="69" customWidth="1"/>
    <col min="13" max="13" width="9.625" style="68" customWidth="1"/>
    <col min="14" max="14" width="13.625" style="69" customWidth="1"/>
    <col min="15" max="15" width="18.75" style="70" customWidth="1"/>
    <col min="16" max="16" width="20.875" style="70" customWidth="1"/>
    <col min="17" max="16384" width="9" style="68"/>
  </cols>
  <sheetData>
    <row r="1" spans="1:5" ht="15" customHeight="1"/>
    <row r="2" spans="1:5">
      <c r="A2" s="71"/>
      <c r="B2" s="72"/>
      <c r="C2" s="72"/>
      <c r="D2" s="72"/>
      <c r="E2" s="73"/>
    </row>
    <row r="16" spans="1:5" ht="54.95" customHeight="1"/>
    <row r="17" s="87" customFormat="1" ht="54.95" customHeight="1"/>
    <row r="18" ht="54.95" customHeight="1"/>
  </sheetData>
  <phoneticPr fontId="10" type="noConversion"/>
  <pageMargins left="0.23622047244094491" right="0.23622047244094491" top="0.55118110236220474" bottom="0.55118110236220474" header="0.31496062992125984" footer="0.31496062992125984"/>
  <pageSetup paperSize="9" scale="6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792B-B895-47FF-8FD3-3498EAE52FA2}">
  <sheetPr codeName="Sheet5"/>
  <dimension ref="A1:R12"/>
  <sheetViews>
    <sheetView workbookViewId="0">
      <selection activeCell="H13" sqref="H13"/>
    </sheetView>
  </sheetViews>
  <sheetFormatPr defaultColWidth="9" defaultRowHeight="16.5"/>
  <cols>
    <col min="1" max="1" width="11.125" style="87" customWidth="1"/>
    <col min="2" max="2" width="13.375" style="87" customWidth="1"/>
    <col min="3" max="3" width="29.125" style="87" bestFit="1" customWidth="1"/>
    <col min="4" max="4" width="30.875" style="87" bestFit="1" customWidth="1"/>
    <col min="5" max="5" width="5" style="87" customWidth="1"/>
    <col min="6" max="6" width="6.25" style="87" customWidth="1"/>
    <col min="7" max="7" width="10" style="87" customWidth="1"/>
    <col min="8" max="8" width="11.875" style="87" customWidth="1"/>
    <col min="9" max="9" width="10" style="87" customWidth="1"/>
    <col min="10" max="10" width="11.875" style="87" customWidth="1"/>
    <col min="11" max="11" width="10" style="87" customWidth="1"/>
    <col min="12" max="12" width="11.875" style="87" customWidth="1"/>
    <col min="13" max="13" width="10" style="87" customWidth="1"/>
    <col min="14" max="14" width="11.875" style="87" customWidth="1"/>
    <col min="15" max="15" width="9.125" style="87" customWidth="1"/>
    <col min="16" max="16" width="11.5" style="87" customWidth="1"/>
    <col min="17" max="17" width="11.75" style="87" customWidth="1"/>
    <col min="18" max="18" width="17.875" style="87" customWidth="1"/>
    <col min="19" max="16384" width="9" style="87"/>
  </cols>
  <sheetData>
    <row r="1" spans="1:18" ht="18" customHeight="1">
      <c r="A1" s="118" t="s">
        <v>48</v>
      </c>
      <c r="B1" s="118" t="s">
        <v>49</v>
      </c>
      <c r="C1" s="118" t="s">
        <v>50</v>
      </c>
      <c r="D1" s="118" t="s">
        <v>51</v>
      </c>
      <c r="E1" s="118" t="s">
        <v>52</v>
      </c>
      <c r="F1" s="118" t="s">
        <v>5</v>
      </c>
      <c r="G1" s="118" t="s">
        <v>53</v>
      </c>
      <c r="H1" s="118" t="s">
        <v>54</v>
      </c>
      <c r="I1" s="118" t="s">
        <v>55</v>
      </c>
      <c r="J1" s="118" t="s">
        <v>56</v>
      </c>
      <c r="K1" s="118" t="s">
        <v>57</v>
      </c>
      <c r="L1" s="118" t="s">
        <v>58</v>
      </c>
      <c r="M1" s="118" t="s">
        <v>59</v>
      </c>
      <c r="N1" s="118" t="s">
        <v>60</v>
      </c>
      <c r="O1" s="118" t="s">
        <v>61</v>
      </c>
      <c r="P1" s="118" t="s">
        <v>62</v>
      </c>
      <c r="Q1" s="118" t="s">
        <v>63</v>
      </c>
      <c r="R1" s="118" t="s">
        <v>64</v>
      </c>
    </row>
    <row r="2" spans="1:18" ht="18" customHeight="1">
      <c r="A2" s="92">
        <v>999999</v>
      </c>
      <c r="B2" s="92" t="s">
        <v>76</v>
      </c>
      <c r="C2" s="119" t="s">
        <v>77</v>
      </c>
      <c r="D2" s="120" t="s">
        <v>78</v>
      </c>
      <c r="E2" s="121" t="s">
        <v>79</v>
      </c>
      <c r="F2" s="122">
        <v>1</v>
      </c>
      <c r="G2" s="123"/>
      <c r="H2" s="123"/>
      <c r="I2" s="123"/>
      <c r="J2" s="123"/>
      <c r="K2" s="123">
        <v>34151.5</v>
      </c>
      <c r="L2" s="123"/>
      <c r="M2" s="123">
        <v>177855</v>
      </c>
      <c r="N2" s="123"/>
      <c r="O2" s="123"/>
      <c r="P2" s="123"/>
      <c r="Q2" s="123"/>
      <c r="R2" s="121"/>
    </row>
    <row r="3" spans="1:18"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</row>
    <row r="4" spans="1:18"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</row>
    <row r="5" spans="1:18"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</row>
    <row r="6" spans="1:18"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</row>
    <row r="7" spans="1:18"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</row>
    <row r="8" spans="1:18"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</row>
    <row r="9" spans="1:18"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</row>
    <row r="10" spans="1:18"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</row>
    <row r="11" spans="1:18"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</row>
    <row r="12" spans="1:18"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7"/>
  <sheetViews>
    <sheetView showGridLines="0" topLeftCell="A2" zoomScaleNormal="100" workbookViewId="0">
      <selection activeCell="C32" sqref="C31:C32"/>
    </sheetView>
  </sheetViews>
  <sheetFormatPr defaultColWidth="9" defaultRowHeight="16.5"/>
  <cols>
    <col min="1" max="1" width="25.125" style="89" customWidth="1"/>
    <col min="2" max="2" width="16.25" style="89" customWidth="1"/>
    <col min="3" max="3" width="22.375" style="89" customWidth="1"/>
    <col min="4" max="4" width="24.125" style="89" customWidth="1"/>
    <col min="5" max="5" width="13" style="89" customWidth="1"/>
    <col min="6" max="6" width="7.5" style="89" customWidth="1"/>
    <col min="7" max="16384" width="9" style="87"/>
  </cols>
  <sheetData>
    <row r="1" spans="1:6" ht="18" customHeight="1">
      <c r="A1" s="124" t="s">
        <v>0</v>
      </c>
      <c r="B1" s="124" t="s">
        <v>1</v>
      </c>
      <c r="C1" s="124" t="s">
        <v>2</v>
      </c>
      <c r="D1" s="124" t="s">
        <v>3</v>
      </c>
      <c r="E1" s="124" t="s">
        <v>4</v>
      </c>
      <c r="F1" s="124" t="s">
        <v>5</v>
      </c>
    </row>
    <row r="2" spans="1:6">
      <c r="A2" s="125" t="str">
        <f>'내역서(표준단가)'!A5</f>
        <v>L003</v>
      </c>
      <c r="B2" s="126">
        <f>'내역서(표준단가)'!F5</f>
        <v>0</v>
      </c>
      <c r="C2" s="126">
        <f>'내역서(표준단가)'!G5</f>
        <v>0</v>
      </c>
      <c r="D2" s="126">
        <f>'내역서(표준단가)'!H5</f>
        <v>0</v>
      </c>
      <c r="E2" s="126" t="str">
        <f>'내역서(표준단가)'!I5</f>
        <v>L003</v>
      </c>
      <c r="F2" s="126">
        <f>'내역서(표준단가)'!M5</f>
        <v>1</v>
      </c>
    </row>
    <row r="3" spans="1:6">
      <c r="A3" s="125" t="str">
        <f>'내역서(표준단가)'!A6</f>
        <v>L002</v>
      </c>
      <c r="B3" s="126">
        <f>'내역서(표준단가)'!F6</f>
        <v>0</v>
      </c>
      <c r="C3" s="126">
        <f>'내역서(표준단가)'!G6</f>
        <v>0</v>
      </c>
      <c r="D3" s="126">
        <f>'내역서(표준단가)'!H6</f>
        <v>0</v>
      </c>
      <c r="E3" s="126" t="str">
        <f>'내역서(표준단가)'!I6</f>
        <v>L002</v>
      </c>
      <c r="F3" s="126">
        <f>'내역서(표준단가)'!M6</f>
        <v>1</v>
      </c>
    </row>
    <row r="4" spans="1:6">
      <c r="A4" s="125" t="str">
        <f>'내역서(표준단가)'!A7</f>
        <v>M011902400300101</v>
      </c>
      <c r="B4" s="126">
        <f>'내역서(표준단가)'!F7</f>
        <v>0</v>
      </c>
      <c r="C4" s="126">
        <f>'내역서(표준단가)'!G7</f>
        <v>0</v>
      </c>
      <c r="D4" s="126" t="str">
        <f>'내역서(표준단가)'!H7</f>
        <v>M011902400300101</v>
      </c>
      <c r="E4" s="126">
        <f>'내역서(표준단가)'!I7</f>
        <v>0</v>
      </c>
      <c r="F4" s="126">
        <f>'내역서(표준단가)'!M7</f>
        <v>31</v>
      </c>
    </row>
    <row r="5" spans="1:6">
      <c r="A5" s="125" t="str">
        <f>'내역서(표준단가)'!A8</f>
        <v>D02620</v>
      </c>
      <c r="B5" s="126" t="str">
        <f>'내역서(표준단가)'!F8</f>
        <v>D02620</v>
      </c>
      <c r="C5" s="126">
        <f>'내역서(표준단가)'!G8</f>
        <v>0</v>
      </c>
      <c r="D5" s="126">
        <f>'내역서(표준단가)'!H8</f>
        <v>0</v>
      </c>
      <c r="E5" s="126">
        <f>'내역서(표준단가)'!I8</f>
        <v>0</v>
      </c>
      <c r="F5" s="126">
        <f>'내역서(표준단가)'!M8</f>
        <v>62</v>
      </c>
    </row>
    <row r="6" spans="1:6">
      <c r="A6" s="125" t="str">
        <f>'내역서(표준단가)'!A9</f>
        <v>D02639</v>
      </c>
      <c r="B6" s="126" t="str">
        <f>'내역서(표준단가)'!F9</f>
        <v>D02639</v>
      </c>
      <c r="C6" s="126">
        <f>'내역서(표준단가)'!G9</f>
        <v>0</v>
      </c>
      <c r="D6" s="126">
        <f>'내역서(표준단가)'!H9</f>
        <v>0</v>
      </c>
      <c r="E6" s="126">
        <f>'내역서(표준단가)'!I9</f>
        <v>0</v>
      </c>
      <c r="F6" s="126">
        <f>'내역서(표준단가)'!M9</f>
        <v>36</v>
      </c>
    </row>
    <row r="7" spans="1:6">
      <c r="A7" s="125" t="str">
        <f>'내역서(표준단가)'!A10</f>
        <v>M011902401200101</v>
      </c>
      <c r="B7" s="126">
        <f>'내역서(표준단가)'!F10</f>
        <v>0</v>
      </c>
      <c r="C7" s="126">
        <f>'내역서(표준단가)'!G10</f>
        <v>0</v>
      </c>
      <c r="D7" s="126" t="str">
        <f>'내역서(표준단가)'!H10</f>
        <v>M011902401200101</v>
      </c>
      <c r="E7" s="126">
        <f>'내역서(표준단가)'!I10</f>
        <v>0</v>
      </c>
      <c r="F7" s="126">
        <f>'내역서(표준단가)'!M10</f>
        <v>31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갑지</vt:lpstr>
      <vt:lpstr>내역서(표준단가)</vt:lpstr>
      <vt:lpstr>상세내역</vt:lpstr>
      <vt:lpstr>시중가 근거서류</vt:lpstr>
      <vt:lpstr>Upload</vt:lpstr>
      <vt:lpstr>Upload-OO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2025-02-11T02:37:22Z</dcterms:modified>
</cp:coreProperties>
</file>
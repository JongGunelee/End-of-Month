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 ■변경계약 대상■\"/>
    </mc:Choice>
  </mc:AlternateContent>
  <xr:revisionPtr revIDLastSave="0" documentId="13_ncr:1_{7B2B12E1-02AB-422E-BEC5-96857023AEA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Sheet1" sheetId="1" r:id="rId1"/>
  </sheets>
  <definedNames>
    <definedName name="_xlnm._FilterDatabase" localSheetId="0" hidden="1">Sheet1!$B$2:$K$3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I7" i="1" l="1"/>
  <c r="I8" i="1"/>
  <c r="I11" i="1" s="1"/>
  <c r="I6" i="1"/>
  <c r="I5" i="1"/>
  <c r="I4" i="1"/>
</calcChain>
</file>

<file path=xl/sharedStrings.xml><?xml version="1.0" encoding="utf-8"?>
<sst xmlns="http://schemas.openxmlformats.org/spreadsheetml/2006/main" count="46" uniqueCount="40">
  <si>
    <t>No.</t>
  </si>
  <si>
    <t>PR번호</t>
  </si>
  <si>
    <t>PO번호</t>
  </si>
  <si>
    <t>93056754-10</t>
  </si>
  <si>
    <t>4570079401-10</t>
  </si>
  <si>
    <t>4570096017-10</t>
  </si>
  <si>
    <t>93075668-10</t>
  </si>
  <si>
    <t>4570098908-10</t>
  </si>
  <si>
    <t>사택 5동 지하 주차장 비상계단 방화문 교체</t>
  </si>
  <si>
    <t>기숙사 B동 1001호옆 발코니 타일교체</t>
  </si>
  <si>
    <t>상태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</si>
  <si>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</si>
  <si>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</si>
  <si>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</si>
  <si>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매입 계약
(Fee 제외)</t>
    <phoneticPr fontId="2" type="noConversion"/>
  </si>
  <si>
    <t>X</t>
    <phoneticPr fontId="2" type="noConversion"/>
  </si>
  <si>
    <t>사택 101-403 현관 방화문 교체</t>
    <phoneticPr fontId="2" type="noConversion"/>
  </si>
  <si>
    <t>유지관리명</t>
    <phoneticPr fontId="2" type="noConversion"/>
  </si>
  <si>
    <r>
      <rPr>
        <sz val="12"/>
        <color rgb="FFFF0000"/>
        <rFont val="Malgun Gothic"/>
        <family val="3"/>
        <charset val="129"/>
      </rPr>
      <t>▼</t>
    </r>
    <r>
      <rPr>
        <sz val="12"/>
        <color rgb="FF000000"/>
        <rFont val="Malgun Gothic"/>
        <family val="3"/>
        <charset val="129"/>
      </rPr>
      <t>절감 대상
(Fee 제외)</t>
    </r>
    <phoneticPr fontId="2" type="noConversion"/>
  </si>
  <si>
    <t>합계</t>
    <phoneticPr fontId="2" type="noConversion"/>
  </si>
  <si>
    <t>견적 인원(8인)▶실제 투입 (3인)
219,321(정부노임)*3인(특별인부)
▷ 657,963원 실비정산 예정</t>
    <phoneticPr fontId="2" type="noConversion"/>
  </si>
  <si>
    <r>
      <rPr>
        <sz val="12"/>
        <color theme="1" tint="0.499984740745262"/>
        <rFont val="Malgun Gothic"/>
        <family val="3"/>
        <charset val="129"/>
      </rPr>
      <t>▼</t>
    </r>
    <r>
      <rPr>
        <sz val="12"/>
        <color rgb="FF000000"/>
        <rFont val="Malgun Gothic"/>
        <family val="3"/>
        <charset val="129"/>
      </rPr>
      <t>감액 사유</t>
    </r>
    <phoneticPr fontId="2" type="noConversion"/>
  </si>
  <si>
    <r>
      <rPr>
        <sz val="12"/>
        <color theme="1" tint="0.499984740745262"/>
        <rFont val="Malgun Gothic"/>
        <family val="3"/>
        <charset val="129"/>
      </rPr>
      <t>▼</t>
    </r>
    <r>
      <rPr>
        <sz val="12"/>
        <color rgb="FF000000"/>
        <rFont val="Malgun Gothic"/>
        <family val="3"/>
        <charset val="129"/>
      </rPr>
      <t>차액
(Fee 제외)</t>
    </r>
    <phoneticPr fontId="2" type="noConversion"/>
  </si>
  <si>
    <t>입주민 작업 거부
'26년 전출▷자재만 반입 완료
▷방화문+화물차+인건비 정산만</t>
    <phoneticPr fontId="2" type="noConversion"/>
  </si>
  <si>
    <t>견적 인원(4인)▶실제 투입 (0인)
▷특별인부: 3인
▷도장공: 1인</t>
    <phoneticPr fontId="2" type="noConversion"/>
  </si>
  <si>
    <t>4</t>
    <phoneticPr fontId="2" type="noConversion"/>
  </si>
  <si>
    <t>사택 어린이집 현관 차양막 추가 설치(전기)</t>
    <phoneticPr fontId="2" type="noConversion"/>
  </si>
  <si>
    <t>4570118572-10</t>
  </si>
  <si>
    <t>93091650-20</t>
  </si>
  <si>
    <t>●</t>
    <phoneticPr fontId="2" type="noConversion"/>
  </si>
  <si>
    <r>
      <t xml:space="preserve">▷신규 (표준단가 시공사) X
</t>
    </r>
    <r>
      <rPr>
        <b/>
        <sz val="11"/>
        <color rgb="FFFF0000"/>
        <rFont val="Malgun Gothic"/>
        <family val="3"/>
        <charset val="129"/>
      </rPr>
      <t>▶차양막 설치 업체 무상 시공 ○</t>
    </r>
    <r>
      <rPr>
        <sz val="11"/>
        <color rgb="FF000000"/>
        <rFont val="Malgun Gothic"/>
        <family val="3"/>
        <charset val="129"/>
      </rPr>
      <t xml:space="preserve">
▷매입 계약파기 및 PO 삭제 : S&amp;I
</t>
    </r>
    <r>
      <rPr>
        <b/>
        <sz val="11"/>
        <color rgb="FF000000"/>
        <rFont val="Malgun Gothic"/>
        <family val="3"/>
        <charset val="129"/>
      </rPr>
      <t>▷PR 삭제 : 업무지원팀</t>
    </r>
    <phoneticPr fontId="2" type="noConversion"/>
  </si>
  <si>
    <t>확정</t>
    <phoneticPr fontId="2" type="noConversion"/>
  </si>
  <si>
    <t>93083912-10</t>
    <phoneticPr fontId="2" type="noConversion"/>
  </si>
  <si>
    <t>4570106099-10</t>
    <phoneticPr fontId="2" type="noConversion"/>
  </si>
  <si>
    <t>투입중</t>
    <phoneticPr fontId="2" type="noConversion"/>
  </si>
  <si>
    <t>5</t>
    <phoneticPr fontId="2" type="noConversion"/>
  </si>
  <si>
    <t>사택 102동 어린이집 옥외 놀이터 보도블록 보수</t>
    <phoneticPr fontId="2" type="noConversion"/>
  </si>
  <si>
    <r>
      <rPr>
        <sz val="12"/>
        <color theme="1" tint="0.499984740745262"/>
        <rFont val="Malgun Gothic"/>
        <family val="3"/>
        <charset val="129"/>
      </rPr>
      <t>▼</t>
    </r>
    <r>
      <rPr>
        <sz val="12"/>
        <color rgb="FF000000"/>
        <rFont val="Malgun Gothic"/>
        <family val="3"/>
        <charset val="129"/>
      </rPr>
      <t>증감액
(Fee 제외)</t>
    </r>
    <phoneticPr fontId="2" type="noConversion"/>
  </si>
  <si>
    <t>▶ 추가 투입 3인 별도 PR작성후 제출
특별인부 2인(당초) 보다 3인 추가</t>
    <phoneticPr fontId="2" type="noConversion"/>
  </si>
  <si>
    <t>93073110-10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</si>
</sst>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\(&quot;전&quot;&quot;체&quot;\ &quot;계&quot;&quot;약&quot;&quot;파&quot;&quot;기&quot;\)"/>
  </numFmts>
  <fonts count="19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2"/>
      <color indexed="8"/>
      <name val="맑은 고딕"/>
      <family val="2"/>
      <scheme val="minor"/>
    </font>
    <font>
      <sz val="12"/>
      <color theme="1" tint="0.499984740745262"/>
      <name val="Malgun Gothic"/>
      <family val="3"/>
      <charset val="129"/>
    </font>
    <font>
      <sz val="12"/>
      <color rgb="FFFF0000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FF"/>
      <name val="Malgun Gothic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1"/>
      <color rgb="FFFF0000"/>
      <name val="Malgun Gothic"/>
      <family val="3"/>
      <charset val="129"/>
    </font>
    <font>
      <b/>
      <sz val="13"/>
      <color rgb="FFFF0000"/>
      <name val="맑은 고딕"/>
      <family val="3"/>
      <charset val="129"/>
      <scheme val="minor"/>
    </font>
    <font>
      <b/>
      <sz val="11"/>
      <color rgb="FF000000"/>
      <name val="Malgun Gothic"/>
      <family val="3"/>
      <charset val="129"/>
    </font>
    <font>
      <sz val="16"/>
      <color rgb="FFFF00FF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sz val="12"/>
      <color theme="1" tint="4.9989318521683403E-2"/>
      <name val="Malgun Gothic"/>
      <family val="3"/>
      <charset val="129"/>
    </font>
    <font>
      <sz val="16"/>
      <color theme="1" tint="4.9989318521683403E-2"/>
      <name val="Malgun Gothic"/>
      <family val="3"/>
      <charset val="129"/>
    </font>
    <font>
      <b/>
      <sz val="14"/>
      <color rgb="FF0000CC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7F7F7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DCDBDA"/>
      </right>
      <top/>
      <bottom/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 style="medium">
        <color rgb="FFDCDBDA"/>
      </left>
      <right style="thin">
        <color rgb="FFDCDBDA"/>
      </right>
      <top style="medium">
        <color rgb="FFDCDBDA"/>
      </top>
      <bottom/>
      <diagonal/>
    </border>
    <border>
      <left style="thin">
        <color rgb="FFDCDBDA"/>
      </left>
      <right style="thin">
        <color rgb="FFDCDBDA"/>
      </right>
      <top style="medium">
        <color rgb="FFDCDBDA"/>
      </top>
      <bottom/>
      <diagonal/>
    </border>
    <border>
      <left style="thin">
        <color rgb="FFDCDBDA"/>
      </left>
      <right style="medium">
        <color rgb="FFDCDBDA"/>
      </right>
      <top style="medium">
        <color rgb="FFDCDBDA"/>
      </top>
      <bottom/>
      <diagonal/>
    </border>
    <border>
      <left style="medium">
        <color rgb="FFDCDBDA"/>
      </left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medium">
        <color rgb="FFDCDBDA"/>
      </right>
      <top/>
      <bottom style="thin">
        <color rgb="FFDCDBDA"/>
      </bottom>
      <diagonal/>
    </border>
    <border>
      <left style="medium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medium">
        <color rgb="FFDCDBDA"/>
      </right>
      <top/>
      <bottom style="thin">
        <color rgb="FFE7E7E7"/>
      </bottom>
      <diagonal/>
    </border>
    <border>
      <left style="medium">
        <color rgb="FFDCDBDA"/>
      </left>
      <right style="thin">
        <color rgb="FFDCDBDA"/>
      </right>
      <top/>
      <bottom/>
      <diagonal/>
    </border>
    <border>
      <left/>
      <right style="medium">
        <color rgb="FFDCDBDA"/>
      </right>
      <top/>
      <bottom/>
      <diagonal/>
    </border>
    <border>
      <left style="medium">
        <color rgb="FFDCDBDA"/>
      </left>
      <right/>
      <top style="thin">
        <color rgb="FFDCDBDA"/>
      </top>
      <bottom style="medium">
        <color rgb="FFDCDBDA"/>
      </bottom>
      <diagonal/>
    </border>
    <border>
      <left/>
      <right/>
      <top style="thin">
        <color rgb="FFDCDBDA"/>
      </top>
      <bottom style="medium">
        <color rgb="FFDCDBDA"/>
      </bottom>
      <diagonal/>
    </border>
    <border>
      <left/>
      <right style="medium">
        <color rgb="FFDCDBDA"/>
      </right>
      <top style="thin">
        <color rgb="FFDCDBDA"/>
      </top>
      <bottom style="medium">
        <color rgb="FFDCDBDA"/>
      </bottom>
      <diagonal/>
    </border>
    <border>
      <left style="medium">
        <color rgb="FFDCDBDA"/>
      </left>
      <right/>
      <top/>
      <bottom/>
      <diagonal/>
    </border>
    <border>
      <left style="thick">
        <color rgb="FF0000CC"/>
      </left>
      <right style="thin">
        <color rgb="FFDCDBDA"/>
      </right>
      <top style="thick">
        <color rgb="FF0000CC"/>
      </top>
      <bottom style="thick">
        <color rgb="FF0000CC"/>
      </bottom>
      <diagonal/>
    </border>
    <border>
      <left/>
      <right style="thin">
        <color rgb="FFDCDBDA"/>
      </right>
      <top style="thick">
        <color rgb="FF0000CC"/>
      </top>
      <bottom style="thick">
        <color rgb="FF0000CC"/>
      </bottom>
      <diagonal/>
    </border>
    <border>
      <left/>
      <right style="thick">
        <color rgb="FF0000CC"/>
      </right>
      <top style="thick">
        <color rgb="FF0000CC"/>
      </top>
      <bottom style="thick">
        <color rgb="FF0000CC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41" fontId="0" fillId="0" borderId="0" xfId="1" applyFont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0" fontId="5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8" fillId="3" borderId="2" xfId="0" applyNumberFormat="1" applyFont="1" applyFill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9" fillId="0" borderId="2" xfId="0" applyNumberFormat="1" applyFont="1" applyBorder="1" applyAlignment="1">
      <alignment horizontal="right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3" fontId="4" fillId="3" borderId="10" xfId="0" applyNumberFormat="1" applyFont="1" applyFill="1" applyBorder="1" applyAlignment="1">
      <alignment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vertical="center" wrapText="1"/>
    </xf>
    <xf numFmtId="3" fontId="10" fillId="0" borderId="14" xfId="0" applyNumberFormat="1" applyFont="1" applyBorder="1">
      <alignment vertical="center"/>
    </xf>
    <xf numFmtId="0" fontId="0" fillId="0" borderId="15" xfId="0" applyBorder="1">
      <alignment vertical="center"/>
    </xf>
    <xf numFmtId="3" fontId="7" fillId="3" borderId="2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12" fillId="0" borderId="14" xfId="0" applyNumberFormat="1" applyFont="1" applyBorder="1">
      <alignment vertical="center"/>
    </xf>
    <xf numFmtId="49" fontId="4" fillId="3" borderId="16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3" fontId="4" fillId="3" borderId="0" xfId="0" applyNumberFormat="1" applyFont="1" applyFill="1" applyAlignment="1">
      <alignment horizontal="right" vertical="center" wrapText="1"/>
    </xf>
    <xf numFmtId="176" fontId="4" fillId="3" borderId="0" xfId="0" applyNumberFormat="1" applyFont="1" applyFill="1" applyAlignment="1">
      <alignment horizontal="center" vertical="center" wrapText="1"/>
    </xf>
    <xf numFmtId="3" fontId="8" fillId="3" borderId="0" xfId="0" applyNumberFormat="1" applyFont="1" applyFill="1" applyAlignment="1">
      <alignment horizontal="right" vertical="center" wrapText="1"/>
    </xf>
    <xf numFmtId="3" fontId="7" fillId="3" borderId="0" xfId="0" applyNumberFormat="1" applyFont="1" applyFill="1" applyAlignment="1">
      <alignment horizontal="center" vertical="center" wrapText="1"/>
    </xf>
    <xf numFmtId="3" fontId="4" fillId="3" borderId="12" xfId="0" applyNumberFormat="1" applyFont="1" applyFill="1" applyBorder="1" applyAlignment="1">
      <alignment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3" fontId="15" fillId="0" borderId="12" xfId="0" quotePrefix="1" applyNumberFormat="1" applyFont="1" applyBorder="1" applyAlignment="1">
      <alignment vertical="center" wrapText="1"/>
    </xf>
    <xf numFmtId="3" fontId="16" fillId="0" borderId="2" xfId="0" applyNumberFormat="1" applyFont="1" applyBorder="1" applyAlignment="1">
      <alignment horizontal="right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49" fontId="4" fillId="3" borderId="17" xfId="0" applyNumberFormat="1" applyFont="1" applyFill="1" applyBorder="1" applyAlignment="1">
      <alignment horizontal="center" vertical="center" wrapText="1"/>
    </xf>
    <xf numFmtId="49" fontId="4" fillId="3" borderId="18" xfId="0" applyNumberFormat="1" applyFont="1" applyFill="1" applyBorder="1" applyAlignment="1">
      <alignment horizontal="center" vertical="center" wrapText="1"/>
    </xf>
    <xf numFmtId="49" fontId="4" fillId="3" borderId="18" xfId="0" applyNumberFormat="1" applyFont="1" applyFill="1" applyBorder="1" applyAlignment="1">
      <alignment horizontal="left" vertical="center" wrapText="1"/>
    </xf>
    <xf numFmtId="3" fontId="4" fillId="3" borderId="18" xfId="0" applyNumberFormat="1" applyFont="1" applyFill="1" applyBorder="1" applyAlignment="1">
      <alignment horizontal="right" vertical="center" wrapText="1"/>
    </xf>
    <xf numFmtId="176" fontId="18" fillId="3" borderId="18" xfId="0" applyNumberFormat="1" applyFont="1" applyFill="1" applyBorder="1" applyAlignment="1">
      <alignment horizontal="center" vertical="center" wrapText="1"/>
    </xf>
    <xf numFmtId="3" fontId="8" fillId="3" borderId="18" xfId="0" applyNumberFormat="1" applyFont="1" applyFill="1" applyBorder="1" applyAlignment="1">
      <alignment horizontal="right" vertical="center" wrapText="1"/>
    </xf>
    <xf numFmtId="3" fontId="7" fillId="3" borderId="18" xfId="0" applyNumberFormat="1" applyFont="1" applyFill="1" applyBorder="1" applyAlignment="1">
      <alignment horizontal="center" vertical="center" wrapText="1"/>
    </xf>
    <xf numFmtId="3" fontId="4" fillId="3" borderId="19" xfId="0" applyNumberFormat="1" applyFont="1" applyFill="1" applyBorder="1" applyAlignment="1">
      <alignment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CC"/>
      <color rgb="FFFF00FF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5"/>
  <sheetViews>
    <sheetView tabSelected="1" zoomScale="85" zoomScaleNormal="85" workbookViewId="0">
      <selection activeCell="I11" sqref="I11"/>
    </sheetView>
  </sheetViews>
  <sheetFormatPr defaultRowHeight="16.5"/>
  <cols>
    <col min="1" max="1" width="1.625" customWidth="1"/>
    <col min="2" max="2" width="5" customWidth="1"/>
    <col min="3" max="3" width="14.5" customWidth="1"/>
    <col min="4" max="4" width="16" customWidth="1"/>
    <col min="5" max="5" width="46.25" bestFit="1" customWidth="1"/>
    <col min="6" max="6" width="7.125" bestFit="1" customWidth="1"/>
    <col min="7" max="7" width="11.125" bestFit="1" customWidth="1"/>
    <col min="8" max="8" width="19.5" bestFit="1" customWidth="1"/>
    <col min="9" max="9" width="11.625" bestFit="1" customWidth="1"/>
    <col min="10" max="10" width="12.875" bestFit="1" customWidth="1"/>
    <col min="11" max="11" width="39.625" bestFit="1" customWidth="1"/>
    <col min="12" max="12" width="1.625" customWidth="1"/>
  </cols>
  <sheetData>
    <row r="1" spans="2:11" ht="9.9499999999999993" customHeight="1" thickBot="1"/>
    <row r="2" spans="2:11" s="8" customFormat="1" ht="18" customHeight="1">
      <c r="B2" s="50" t="s">
        <v>0</v>
      </c>
      <c r="C2" s="46" t="s">
        <v>1</v>
      </c>
      <c r="D2" s="46" t="s">
        <v>2</v>
      </c>
      <c r="E2" s="46" t="s">
        <v>17</v>
      </c>
      <c r="F2" s="46" t="s">
        <v>10</v>
      </c>
      <c r="G2" s="46" t="s">
        <v>14</v>
      </c>
      <c r="H2" s="46" t="s">
        <v>37</v>
      </c>
      <c r="I2" s="46" t="s">
        <v>22</v>
      </c>
      <c r="J2" s="46" t="s">
        <v>18</v>
      </c>
      <c r="K2" s="48" t="s">
        <v>21</v>
      </c>
    </row>
    <row r="3" spans="2:11" s="8" customFormat="1" ht="27" customHeight="1">
      <c r="B3" s="51"/>
      <c r="C3" s="47"/>
      <c r="D3" s="47"/>
      <c r="E3" s="47"/>
      <c r="F3" s="47"/>
      <c r="G3" s="47"/>
      <c r="H3" s="47"/>
      <c r="I3" s="47"/>
      <c r="J3" s="47"/>
      <c r="K3" s="49"/>
    </row>
    <row r="4" spans="2:11" ht="49.5">
      <c r="B4" s="15" t="s">
        <v>11</v>
      </c>
      <c r="C4" s="2" t="s">
        <v>3</v>
      </c>
      <c r="D4" s="2" t="s">
        <v>4</v>
      </c>
      <c r="E4" s="3" t="s">
        <v>16</v>
      </c>
      <c r="F4" s="2" t="s">
        <v>31</v>
      </c>
      <c r="G4" s="4">
        <v>2033000</v>
      </c>
      <c r="H4" s="4">
        <v>1352000</v>
      </c>
      <c r="I4" s="14">
        <f>H4-G4</f>
        <v>-681000</v>
      </c>
      <c r="J4" s="34" t="s">
        <v>15</v>
      </c>
      <c r="K4" s="16" t="s">
        <v>23</v>
      </c>
    </row>
    <row r="5" spans="2:11" ht="49.5">
      <c r="B5" s="17" t="s">
        <v>12</v>
      </c>
      <c r="C5" s="5" t="s">
        <v>39</v>
      </c>
      <c r="D5" s="5" t="s">
        <v>5</v>
      </c>
      <c r="E5" s="6" t="s">
        <v>8</v>
      </c>
      <c r="F5" s="5" t="s">
        <v>31</v>
      </c>
      <c r="G5" s="7">
        <v>4895000</v>
      </c>
      <c r="H5" s="7">
        <v>3779000</v>
      </c>
      <c r="I5" s="12">
        <f>H5-G5</f>
        <v>-1116000</v>
      </c>
      <c r="J5" s="23" t="s">
        <v>29</v>
      </c>
      <c r="K5" s="18" t="s">
        <v>24</v>
      </c>
    </row>
    <row r="6" spans="2:11" ht="50.1" customHeight="1" thickBot="1">
      <c r="B6" s="19" t="s">
        <v>13</v>
      </c>
      <c r="C6" s="9" t="s">
        <v>6</v>
      </c>
      <c r="D6" s="9" t="s">
        <v>7</v>
      </c>
      <c r="E6" s="10" t="s">
        <v>9</v>
      </c>
      <c r="F6" s="9" t="s">
        <v>31</v>
      </c>
      <c r="G6" s="11">
        <v>7126000</v>
      </c>
      <c r="H6" s="11">
        <v>4434000</v>
      </c>
      <c r="I6" s="13">
        <f>(H6-G6)+657963</f>
        <v>-2034037</v>
      </c>
      <c r="J6" s="24" t="s">
        <v>29</v>
      </c>
      <c r="K6" s="20" t="s">
        <v>20</v>
      </c>
    </row>
    <row r="7" spans="2:11" ht="67.5" thickTop="1" thickBot="1">
      <c r="B7" s="38" t="s">
        <v>25</v>
      </c>
      <c r="C7" s="39" t="s">
        <v>28</v>
      </c>
      <c r="D7" s="39" t="s">
        <v>27</v>
      </c>
      <c r="E7" s="40" t="s">
        <v>26</v>
      </c>
      <c r="F7" s="39" t="s">
        <v>31</v>
      </c>
      <c r="G7" s="41">
        <v>814000</v>
      </c>
      <c r="H7" s="42">
        <v>0</v>
      </c>
      <c r="I7" s="43">
        <f t="shared" ref="I7:I8" si="0">H7-G7</f>
        <v>-814000</v>
      </c>
      <c r="J7" s="44" t="s">
        <v>29</v>
      </c>
      <c r="K7" s="45" t="s">
        <v>30</v>
      </c>
    </row>
    <row r="8" spans="2:11" ht="50.1" customHeight="1" thickTop="1">
      <c r="B8" s="19" t="s">
        <v>35</v>
      </c>
      <c r="C8" s="9" t="s">
        <v>32</v>
      </c>
      <c r="D8" s="9" t="s">
        <v>33</v>
      </c>
      <c r="E8" s="10" t="s">
        <v>36</v>
      </c>
      <c r="F8" s="9" t="s">
        <v>34</v>
      </c>
      <c r="G8" s="11">
        <v>3525000</v>
      </c>
      <c r="H8" s="11">
        <v>4328000</v>
      </c>
      <c r="I8" s="36">
        <f t="shared" si="0"/>
        <v>803000</v>
      </c>
      <c r="J8" s="37" t="s">
        <v>15</v>
      </c>
      <c r="K8" s="35" t="s">
        <v>38</v>
      </c>
    </row>
    <row r="9" spans="2:11" ht="17.25">
      <c r="B9" s="26"/>
      <c r="C9" s="27"/>
      <c r="D9" s="27"/>
      <c r="E9" s="28"/>
      <c r="F9" s="27"/>
      <c r="G9" s="29"/>
      <c r="H9" s="30"/>
      <c r="I9" s="31"/>
      <c r="J9" s="32"/>
      <c r="K9" s="33"/>
    </row>
    <row r="10" spans="2:11" ht="17.25">
      <c r="B10" s="26"/>
      <c r="C10" s="27"/>
      <c r="D10" s="27"/>
      <c r="E10" s="28"/>
      <c r="F10" s="27"/>
      <c r="G10" s="29"/>
      <c r="H10" s="30"/>
      <c r="I10" s="31"/>
      <c r="J10" s="32"/>
      <c r="K10" s="33"/>
    </row>
    <row r="11" spans="2:11" ht="39.950000000000003" customHeight="1" thickBot="1">
      <c r="B11" s="52" t="s">
        <v>19</v>
      </c>
      <c r="C11" s="53"/>
      <c r="D11" s="53"/>
      <c r="E11" s="53"/>
      <c r="F11" s="53"/>
      <c r="G11" s="53"/>
      <c r="H11" s="53"/>
      <c r="I11" s="21">
        <f>SUM(I4:I8)</f>
        <v>-3842037</v>
      </c>
      <c r="J11" s="25">
        <f>SUM(I5:I7)</f>
        <v>-3964037</v>
      </c>
      <c r="K11" s="22"/>
    </row>
    <row r="12" spans="2:11" ht="9.9499999999999993" customHeight="1"/>
    <row r="15" spans="2:11">
      <c r="K15" s="1"/>
    </row>
  </sheetData>
  <mergeCells count="11">
    <mergeCell ref="B11:H11"/>
    <mergeCell ref="C2:C3"/>
    <mergeCell ref="D2:D3"/>
    <mergeCell ref="H2:H3"/>
    <mergeCell ref="I2:I3"/>
    <mergeCell ref="J2:J3"/>
    <mergeCell ref="K2:K3"/>
    <mergeCell ref="F2:F3"/>
    <mergeCell ref="G2:G3"/>
    <mergeCell ref="B2:B3"/>
    <mergeCell ref="E2:E3"/>
  </mergeCells>
  <phoneticPr fontId="2" type="noConversion"/>
  <printOptions horizontalCentered="1"/>
  <pageMargins left="0" right="0" top="0.15748031496062992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2025-11-08T04:56:16Z</cp:lastPrinted>
  <dcterms:created xsi:type="dcterms:W3CDTF">2025-10-14T23:33:05Z</dcterms:created>
  <dcterms:modified xsi:type="dcterms:W3CDTF">2025-11-08T04:56:20Z</dcterms:modified>
</cp:coreProperties>
</file>
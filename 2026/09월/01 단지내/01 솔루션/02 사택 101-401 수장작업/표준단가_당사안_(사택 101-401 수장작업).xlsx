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2577D3C4-64A4-43B2-B2FA-ABB33D257FDE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A6" i="10"/>
  <c r="F5" i="10"/>
  <c r="E5" i="10"/>
  <c r="D5" i="10"/>
  <c r="C5" i="10"/>
  <c r="B5" i="10"/>
  <c r="A5" i="10"/>
  <c r="F4" i="10"/>
  <c r="E4" i="10"/>
  <c r="D4" i="10"/>
  <c r="C4" i="10"/>
  <c r="B4" i="10"/>
  <c r="A4" i="10"/>
  <c r="F3" i="10"/>
  <c r="E3" i="10"/>
  <c r="D3" i="10"/>
  <c r="C3" i="10"/>
  <c r="B3" i="10"/>
  <c r="A3" i="10"/>
  <c r="D13" i="9"/>
  <c r="Q6" i="9" l="1"/>
  <c r="Q5" i="9"/>
  <c r="F2" i="10" l="1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9" i="4"/>
  <c r="O9" i="4"/>
  <c r="M9" i="4"/>
  <c r="K9" i="4"/>
  <c r="A9" i="4"/>
  <c r="Q7" i="4"/>
  <c r="O7" i="4"/>
  <c r="M7" i="4"/>
  <c r="K7" i="4"/>
  <c r="A7" i="4"/>
  <c r="Q6" i="4"/>
  <c r="O6" i="4"/>
  <c r="M6" i="4"/>
  <c r="K6" i="4"/>
  <c r="A6" i="4"/>
  <c r="R6" i="4" l="1"/>
  <c r="R9" i="4"/>
  <c r="R7" i="4"/>
  <c r="L27" i="9" l="1"/>
  <c r="J27" i="9"/>
  <c r="H27" i="9"/>
  <c r="L25" i="9"/>
  <c r="J25" i="9"/>
  <c r="L18" i="9"/>
  <c r="J18" i="9"/>
  <c r="D18" i="9"/>
  <c r="H16" i="9"/>
  <c r="F16" i="9"/>
  <c r="H15" i="9"/>
  <c r="F15" i="9"/>
  <c r="H14" i="9"/>
  <c r="F14" i="9"/>
  <c r="L13" i="9"/>
  <c r="J13" i="9"/>
  <c r="H7" i="9"/>
  <c r="F7" i="9"/>
  <c r="H5" i="9"/>
  <c r="F5" i="9"/>
  <c r="J28" i="9" l="1"/>
  <c r="L28" i="9"/>
  <c r="N15" i="9"/>
  <c r="N14" i="9"/>
  <c r="F25" i="9"/>
  <c r="H18" i="9"/>
  <c r="F13" i="9"/>
  <c r="N16" i="9"/>
  <c r="H25" i="9"/>
  <c r="H13" i="9"/>
  <c r="N7" i="9"/>
  <c r="N27" i="9"/>
  <c r="N5" i="9"/>
  <c r="F18" i="9"/>
  <c r="H28" i="9" l="1"/>
  <c r="F28" i="9"/>
  <c r="N18" i="9"/>
  <c r="N13" i="9"/>
  <c r="N25" i="9"/>
  <c r="N28" i="9" l="1"/>
  <c r="A8" i="4" l="1"/>
  <c r="Q8" i="4" l="1"/>
  <c r="O8" i="4"/>
  <c r="M8" i="4"/>
  <c r="K8" i="4"/>
  <c r="M10" i="4" l="1"/>
  <c r="F17" i="5" s="1"/>
  <c r="R8" i="4"/>
  <c r="F21" i="5" l="1"/>
  <c r="F22" i="5"/>
  <c r="Q10" i="4"/>
  <c r="K10" i="4"/>
  <c r="F16" i="5" s="1"/>
  <c r="F26" i="5" s="1"/>
  <c r="O10" i="4"/>
  <c r="F18" i="5" l="1"/>
  <c r="R10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<sst xmlns="http://schemas.openxmlformats.org/spreadsheetml/2006/main" count="193" uniqueCount="146">
  <si>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</si>
  <si>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</si>
  <si>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</si>
  <si>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</si>
  <si>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</si>
  <si>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</si>
  <si>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</si>
  <si>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</si>
  <si>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</si>
  <si>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</si>
  <si>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</si>
  <si>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</si>
  <si>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</si>
  <si>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</si>
  <si>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</si>
  <si>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</si>
  <si>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</si>
  <si>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</si>
  <si>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</si>
  <si>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</si>
  <si>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</si>
  <si>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</si>
  <si>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</si>
  <si>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</si>
  <si>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</si>
  <si>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</si>
  <si>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</si>
  <si>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</si>
  <si>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</si>
  <si>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</si>
  <si>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</si>
  <si>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</si>
  <si>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</si>
  <si>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</si>
  <si>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</si>
  <si>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</si>
  <si>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</si>
  <si>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</si>
  <si>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</si>
  <si>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</si>
  <si>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</si>
  <si>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</si>
  <si>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</si>
  <si>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</si>
  <si>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</si>
  <si>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</si>
  <si>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</si>
  <si>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</si>
  <si>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</si>
  <si>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</si>
  <si>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</si>
  <si>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</si>
  <si>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</si>
  <si>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</si>
  <si>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</si>
  <si>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</si>
  <si>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</si>
  <si>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</si>
  <si>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</si>
  <si>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</si>
  <si>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</si>
  <si>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</si>
  <si>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</si>
  <si>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</si>
  <si>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</si>
  <si>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</si>
  <si>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</si>
  <si>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</si>
  <si>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</si>
  <si>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</si>
  <si>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</si>
  <si>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</si>
  <si>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</si>
  <si>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</si>
  <si>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</si>
  <si>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</si>
  <si>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</si>
  <si>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</si>
  <si>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</si>
  <si>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</si>
  <si>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</si>
  <si>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</si>
  <si>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</si>
  <si>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</si>
  <si>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</si>
  <si>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</si>
  <si>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</si>
  <si>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</si>
  <si>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</si>
  <si>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</si>
  <si>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</si>
  <si>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</si>
  <si>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</si>
  <si>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</si>
  <si>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</si>
  <si>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</si>
  <si>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</si>
  <si>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</si>
  <si>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</si>
  <si>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</si>
  <si>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</si>
  <si>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</si>
  <si>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</si>
  <si>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</si>
  <si>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</si>
  <si>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</si>
  <si>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</si>
  <si>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</si>
  <si>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</si>
  <si>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</si>
  <si>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</si>
  <si>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</si>
  <si>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</si>
  <si>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</si>
  <si>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</si>
  <si>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</si>
  <si>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</si>
  <si>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</si>
  <si>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</si>
  <si>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</si>
  <si>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</si>
  <si>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</si>
  <si>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</si>
  <si>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</si>
  <si>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</si>
  <si>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</si>
  <si>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</si>
  <si>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</si>
  <si>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</si>
  <si>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</si>
  <si>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</si>
  <si>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</si>
  <si>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</si>
  <si>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</si>
  <si>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</si>
  <si>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</si>
  <si>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</si>
  <si>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</si>
  <si>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</si>
  <si>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</si>
  <si>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101-401 수장공사</t>
    <phoneticPr fontId="11" type="noConversion"/>
  </si>
  <si>
    <t xml:space="preserve"> 견적일 : 2026년  06월  22일</t>
    <phoneticPr fontId="5" type="noConversion"/>
  </si>
  <si>
    <t xml:space="preserve"> 공사명 : 사택 101-401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</si>
  <si>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소요량123/16.51=7.45R/L</t>
    </r>
    <phoneticPr fontId="5" type="noConversion"/>
  </si>
  <si>
    <t xml:space="preserve">일당 시공량-벽 46㎡, 적산정보 500p 참조,시공총량123/일당46=2.6739 </t>
    <phoneticPr fontId="5" type="noConversion"/>
  </si>
  <si>
    <t xml:space="preserve">일당 시공량-61㎡ 적산정보 500p 참조,시공총량53.4/일당61=0.8754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</si>
</sst>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  <xf numFmtId="49" fontId="21" fillId="6" borderId="30" xfId="0" applyNumberFormat="1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 wrapText="1"/>
    </xf>
    <xf numFmtId="192" fontId="21" fillId="7" borderId="30" xfId="13" applyNumberFormat="1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1" t="s">
        <v>1</v>
      </c>
      <c r="B2" s="161"/>
      <c r="C2" s="161"/>
      <c r="D2" s="161"/>
      <c r="E2" s="161"/>
      <c r="F2" s="161"/>
      <c r="G2" s="161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42</v>
      </c>
      <c r="B5" s="4"/>
      <c r="C5" s="5"/>
      <c r="D5" s="113"/>
      <c r="E5" s="113"/>
      <c r="F5" s="6" t="s">
        <v>32</v>
      </c>
      <c r="G5" s="7" t="s">
        <v>45</v>
      </c>
      <c r="H5" s="113"/>
    </row>
    <row r="6" spans="1:9" ht="27" customHeight="1">
      <c r="A6" s="113"/>
      <c r="B6" s="113"/>
      <c r="C6" s="113"/>
      <c r="D6" s="113"/>
      <c r="E6" s="113"/>
      <c r="F6" s="8" t="s">
        <v>35</v>
      </c>
      <c r="G6" s="9" t="s">
        <v>46</v>
      </c>
      <c r="H6" s="113"/>
    </row>
    <row r="7" spans="1:9" ht="27" customHeight="1">
      <c r="A7" s="164" t="s">
        <v>140</v>
      </c>
      <c r="B7" s="165"/>
      <c r="C7" s="166"/>
      <c r="D7" s="113"/>
      <c r="E7" s="10"/>
      <c r="F7" s="11" t="s">
        <v>36</v>
      </c>
      <c r="G7" s="9" t="s">
        <v>47</v>
      </c>
      <c r="H7" s="113"/>
    </row>
    <row r="8" spans="1:9" ht="27" customHeight="1">
      <c r="A8" s="113"/>
      <c r="B8" s="113"/>
      <c r="C8" s="113"/>
      <c r="D8" s="113"/>
      <c r="E8" s="113"/>
      <c r="F8" s="8" t="s">
        <v>37</v>
      </c>
      <c r="G8" s="9" t="s">
        <v>48</v>
      </c>
      <c r="H8" s="113"/>
    </row>
    <row r="9" spans="1:9" ht="27" customHeight="1">
      <c r="A9" s="114" t="s">
        <v>141</v>
      </c>
      <c r="B9" s="146"/>
      <c r="C9" s="147"/>
      <c r="D9" s="113"/>
      <c r="E9" s="113"/>
      <c r="F9" s="8" t="s">
        <v>38</v>
      </c>
      <c r="G9" s="9" t="s">
        <v>49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33</v>
      </c>
      <c r="G10" s="13" t="s">
        <v>50</v>
      </c>
      <c r="H10" s="113"/>
      <c r="I10" s="113"/>
    </row>
    <row r="11" spans="1:9" ht="27" customHeight="1">
      <c r="A11" s="162"/>
      <c r="B11" s="163"/>
      <c r="C11" s="163"/>
      <c r="D11" s="113"/>
      <c r="E11" s="14"/>
      <c r="F11" s="15" t="s">
        <v>34</v>
      </c>
      <c r="G11" s="16" t="s">
        <v>51</v>
      </c>
      <c r="H11" s="14"/>
    </row>
    <row r="12" spans="1:9" ht="19.5" thickBot="1">
      <c r="A12" s="17" t="s">
        <v>2</v>
      </c>
      <c r="B12" s="17" t="str">
        <f>NUMBERSTRING(F31,1)</f>
        <v>삼백팔만사천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'내역서(표준단가)'!K10</f>
        <v>709670.67500000005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'내역서(표준단가)'!M10</f>
        <v>1922306.7646499998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2631977.4396500001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54" t="s">
        <v>18</v>
      </c>
      <c r="C21" s="155" t="s">
        <v>138</v>
      </c>
      <c r="D21" s="156">
        <v>1</v>
      </c>
      <c r="E21" s="156" t="s">
        <v>19</v>
      </c>
      <c r="F21" s="157">
        <f>F17*4.75%</f>
        <v>91309.571320874995</v>
      </c>
      <c r="G21" s="35" t="s">
        <v>20</v>
      </c>
    </row>
    <row r="22" spans="1:7" ht="33" customHeight="1">
      <c r="A22" s="29"/>
      <c r="B22" s="158" t="s">
        <v>21</v>
      </c>
      <c r="C22" s="155" t="s">
        <v>139</v>
      </c>
      <c r="D22" s="159">
        <v>1</v>
      </c>
      <c r="E22" s="159" t="s">
        <v>19</v>
      </c>
      <c r="F22" s="160">
        <f>F17*3.595%</f>
        <v>69106.928189167491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8949.34720049719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19415.298322964998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68434.120821539997</v>
      </c>
      <c r="G25" s="35" t="s">
        <v>22</v>
      </c>
    </row>
    <row r="26" spans="1:7" ht="33" customHeight="1">
      <c r="A26" s="29"/>
      <c r="B26" s="42" t="s">
        <v>26</v>
      </c>
      <c r="C26" s="45" t="s">
        <v>118</v>
      </c>
      <c r="D26" s="30">
        <v>1</v>
      </c>
      <c r="E26" s="30" t="s">
        <v>19</v>
      </c>
      <c r="F26" s="43">
        <f>(F16+F17)*3.11%</f>
        <v>81854.498373114999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113068.82644390798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452138.59067206766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3084116.0303220679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3084000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K20" sqref="K20"/>
    </sheetView>
  </sheetViews>
  <sheetFormatPr defaultColWidth="9" defaultRowHeight="38.1" customHeight="1"/>
  <cols>
    <col min="1" max="1" width="22.625" style="138" bestFit="1" customWidth="1"/>
    <col min="2" max="2" width="9" style="127" customWidth="1"/>
    <col min="3" max="5" width="12.625" style="127" customWidth="1"/>
    <col min="6" max="7" width="30.625" style="123" customWidth="1"/>
    <col min="8" max="8" width="11.375" style="127" bestFit="1" customWidth="1"/>
    <col min="9" max="9" width="8.25" style="127" customWidth="1"/>
    <col min="10" max="10" width="10.625" style="127" bestFit="1" customWidth="1"/>
    <col min="11" max="11" width="13.25" style="127" bestFit="1" customWidth="1"/>
    <col min="12" max="12" width="12" style="127" bestFit="1" customWidth="1"/>
    <col min="13" max="13" width="15.625" style="127" bestFit="1" customWidth="1"/>
    <col min="14" max="14" width="9" style="127" customWidth="1"/>
    <col min="15" max="15" width="8.75" style="127" bestFit="1" customWidth="1"/>
    <col min="16" max="16" width="10.5" style="127" customWidth="1"/>
    <col min="17" max="17" width="8.75" style="127" bestFit="1" customWidth="1"/>
    <col min="18" max="18" width="15.625" style="127" bestFit="1" customWidth="1"/>
    <col min="19" max="19" width="10.625" style="61" bestFit="1" customWidth="1"/>
    <col min="20" max="20" width="8.5" style="127" bestFit="1" customWidth="1"/>
    <col min="21" max="16384" width="9" style="127"/>
  </cols>
  <sheetData>
    <row r="1" spans="1:20" ht="19.899999999999999" customHeight="1">
      <c r="A1" s="167"/>
      <c r="B1" s="167"/>
      <c r="C1" s="167"/>
      <c r="D1" s="167"/>
      <c r="E1" s="167"/>
      <c r="J1" s="61"/>
      <c r="K1" s="126" t="s">
        <v>87</v>
      </c>
      <c r="M1" s="126" t="s">
        <v>87</v>
      </c>
      <c r="O1" s="126" t="s">
        <v>87</v>
      </c>
      <c r="Q1" s="126" t="s">
        <v>87</v>
      </c>
    </row>
    <row r="2" spans="1:20" ht="19.899999999999999" customHeight="1" thickBot="1">
      <c r="A2" s="167"/>
      <c r="B2" s="167"/>
      <c r="C2" s="167"/>
      <c r="D2" s="167"/>
      <c r="E2" s="167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28"/>
      <c r="B3" s="129" t="s">
        <v>88</v>
      </c>
      <c r="C3" s="129"/>
      <c r="D3" s="129"/>
      <c r="E3" s="129"/>
      <c r="F3" s="178" t="s">
        <v>89</v>
      </c>
      <c r="G3" s="178"/>
      <c r="H3" s="176" t="s">
        <v>41</v>
      </c>
      <c r="I3" s="176" t="s">
        <v>0</v>
      </c>
      <c r="J3" s="172" t="s">
        <v>90</v>
      </c>
      <c r="K3" s="172"/>
      <c r="L3" s="172" t="s">
        <v>91</v>
      </c>
      <c r="M3" s="172"/>
      <c r="N3" s="173" t="s">
        <v>92</v>
      </c>
      <c r="O3" s="173"/>
      <c r="P3" s="173" t="s">
        <v>93</v>
      </c>
      <c r="Q3" s="173"/>
      <c r="R3" s="174" t="s">
        <v>94</v>
      </c>
      <c r="S3" s="170" t="s">
        <v>95</v>
      </c>
      <c r="T3" s="168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4" t="s">
        <v>101</v>
      </c>
      <c r="G4" s="124" t="s">
        <v>102</v>
      </c>
      <c r="H4" s="177"/>
      <c r="I4" s="177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75"/>
      <c r="S4" s="171"/>
      <c r="T4" s="169"/>
    </row>
    <row r="5" spans="1:20" s="130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119</v>
      </c>
      <c r="E5" s="94"/>
      <c r="F5" s="122" t="s">
        <v>120</v>
      </c>
      <c r="G5" s="122" t="s">
        <v>143</v>
      </c>
      <c r="H5" s="110" t="s">
        <v>133</v>
      </c>
      <c r="I5" s="121">
        <v>7.45</v>
      </c>
      <c r="J5" s="149">
        <v>20900</v>
      </c>
      <c r="K5" s="117">
        <f t="shared" ref="K5" si="1">SUM(J5:J5)*I5*$K$2</f>
        <v>130013.67499999999</v>
      </c>
      <c r="L5" s="116"/>
      <c r="M5" s="117">
        <f t="shared" ref="M5" si="2">(L5*I5)*$M$2</f>
        <v>0</v>
      </c>
      <c r="N5" s="118"/>
      <c r="O5" s="117">
        <f t="shared" ref="O5" si="3">N5*I5*$O$2</f>
        <v>0</v>
      </c>
      <c r="P5" s="118"/>
      <c r="Q5" s="117">
        <f t="shared" ref="Q5" si="4">P5*I5*$Q$2</f>
        <v>0</v>
      </c>
      <c r="R5" s="72">
        <f t="shared" ref="R5" si="5">SUM(K5+M5)+O5+Q5</f>
        <v>130013.67499999999</v>
      </c>
      <c r="S5" s="109"/>
      <c r="T5" s="73"/>
    </row>
    <row r="6" spans="1:20" s="130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2" t="s">
        <v>109</v>
      </c>
      <c r="G6" s="122" t="s">
        <v>144</v>
      </c>
      <c r="H6" s="70" t="s">
        <v>108</v>
      </c>
      <c r="I6" s="121">
        <v>2.67</v>
      </c>
      <c r="J6" s="119"/>
      <c r="K6" s="117">
        <f t="shared" ref="K6" si="7">SUM(J6:J6)*I6*$K$2</f>
        <v>0</v>
      </c>
      <c r="L6" s="150">
        <v>510462</v>
      </c>
      <c r="M6" s="117">
        <f t="shared" ref="M6" si="8">(L6*I6)*$M$2</f>
        <v>1138049.5059</v>
      </c>
      <c r="N6" s="118"/>
      <c r="O6" s="117">
        <f t="shared" ref="O6" si="9">N6*I6*$O$2</f>
        <v>0</v>
      </c>
      <c r="P6" s="118"/>
      <c r="Q6" s="117">
        <f t="shared" ref="Q6" si="10">P6*I6*$Q$2</f>
        <v>0</v>
      </c>
      <c r="R6" s="72">
        <f t="shared" ref="R6" si="11">SUM(K6+M6)+O6+Q6</f>
        <v>1138049.5059</v>
      </c>
      <c r="S6" s="109"/>
      <c r="T6" s="73"/>
    </row>
    <row r="7" spans="1:20" s="130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122</v>
      </c>
      <c r="E7" s="94"/>
      <c r="F7" s="122" t="s">
        <v>123</v>
      </c>
      <c r="G7" s="122" t="s">
        <v>124</v>
      </c>
      <c r="H7" s="110" t="s">
        <v>121</v>
      </c>
      <c r="I7" s="121">
        <v>53.4</v>
      </c>
      <c r="J7" s="120">
        <v>13000</v>
      </c>
      <c r="K7" s="117">
        <f t="shared" ref="K7:K8" si="13">SUM(J7:J7)*I7*$K$2</f>
        <v>579657</v>
      </c>
      <c r="L7" s="116"/>
      <c r="M7" s="117">
        <f t="shared" ref="M7:M9" si="14">(L7*I7)*$M$2</f>
        <v>0</v>
      </c>
      <c r="N7" s="118"/>
      <c r="O7" s="117">
        <f t="shared" ref="O7:O9" si="15">N7*I7*$O$2</f>
        <v>0</v>
      </c>
      <c r="P7" s="118"/>
      <c r="Q7" s="117">
        <f t="shared" ref="Q7:Q9" si="16">P7*I7*$Q$2</f>
        <v>0</v>
      </c>
      <c r="R7" s="72">
        <f t="shared" ref="R7:R9" si="17">SUM(K7+M7)+O7+Q7</f>
        <v>579657</v>
      </c>
      <c r="S7" s="109"/>
      <c r="T7" s="73"/>
    </row>
    <row r="8" spans="1:20" s="130" customFormat="1" ht="38.1" customHeight="1">
      <c r="A8" s="68" t="str">
        <f t="shared" ref="A8:A9" si="18">B8&amp;C8&amp;D8&amp;E8</f>
        <v>E00000803071260401</v>
      </c>
      <c r="B8" s="94"/>
      <c r="C8" s="69" t="s">
        <v>110</v>
      </c>
      <c r="D8" s="69"/>
      <c r="E8" s="94"/>
      <c r="F8" s="122" t="s">
        <v>111</v>
      </c>
      <c r="G8" s="122" t="s">
        <v>145</v>
      </c>
      <c r="H8" s="70" t="s">
        <v>108</v>
      </c>
      <c r="I8" s="121">
        <v>0.875</v>
      </c>
      <c r="J8" s="119"/>
      <c r="K8" s="117">
        <f t="shared" si="13"/>
        <v>0</v>
      </c>
      <c r="L8" s="150">
        <v>510462</v>
      </c>
      <c r="M8" s="117">
        <f t="shared" si="14"/>
        <v>372956.29874999996</v>
      </c>
      <c r="N8" s="118"/>
      <c r="O8" s="117">
        <f t="shared" si="15"/>
        <v>0</v>
      </c>
      <c r="P8" s="118"/>
      <c r="Q8" s="117">
        <f t="shared" si="16"/>
        <v>0</v>
      </c>
      <c r="R8" s="72">
        <f t="shared" si="17"/>
        <v>372956.29874999996</v>
      </c>
      <c r="S8" s="109"/>
      <c r="T8" s="73"/>
    </row>
    <row r="9" spans="1:20" s="130" customFormat="1" ht="38.1" customHeight="1">
      <c r="A9" s="68" t="str">
        <f t="shared" si="18"/>
        <v>E00000801011510701</v>
      </c>
      <c r="B9" s="94"/>
      <c r="C9" s="69" t="s">
        <v>132</v>
      </c>
      <c r="D9" s="69"/>
      <c r="E9" s="94"/>
      <c r="F9" s="151" t="s">
        <v>136</v>
      </c>
      <c r="G9" s="70" t="s">
        <v>125</v>
      </c>
      <c r="H9" s="152" t="s">
        <v>137</v>
      </c>
      <c r="I9" s="121">
        <v>96</v>
      </c>
      <c r="J9" s="131"/>
      <c r="K9" s="71">
        <f t="shared" ref="K9" si="19">SUM(J9:J9)*I9*$K$2</f>
        <v>0</v>
      </c>
      <c r="L9" s="150">
        <v>5131</v>
      </c>
      <c r="M9" s="71">
        <f t="shared" si="14"/>
        <v>411300.95999999996</v>
      </c>
      <c r="N9" s="72"/>
      <c r="O9" s="71">
        <f t="shared" si="15"/>
        <v>0</v>
      </c>
      <c r="P9" s="72"/>
      <c r="Q9" s="71">
        <f t="shared" si="16"/>
        <v>0</v>
      </c>
      <c r="R9" s="72">
        <f t="shared" si="17"/>
        <v>411300.95999999996</v>
      </c>
      <c r="S9" s="109"/>
      <c r="T9" s="73"/>
    </row>
    <row r="10" spans="1:20" s="137" customFormat="1" ht="38.1" customHeight="1">
      <c r="A10" s="132"/>
      <c r="B10" s="133"/>
      <c r="C10" s="133"/>
      <c r="D10" s="133"/>
      <c r="E10" s="133"/>
      <c r="F10" s="125"/>
      <c r="G10" s="125"/>
      <c r="H10" s="133"/>
      <c r="I10" s="133"/>
      <c r="J10" s="133"/>
      <c r="K10" s="134">
        <f>SUM(K5:K9)</f>
        <v>709670.67500000005</v>
      </c>
      <c r="L10" s="135"/>
      <c r="M10" s="134">
        <f>SUM(M5:M9)</f>
        <v>1922306.7646499998</v>
      </c>
      <c r="N10" s="135"/>
      <c r="O10" s="134">
        <f>SUM(O5:O9)</f>
        <v>0</v>
      </c>
      <c r="P10" s="135"/>
      <c r="Q10" s="134">
        <f>SUM(Q5:Q9)</f>
        <v>0</v>
      </c>
      <c r="R10" s="136">
        <f>SUM(R5:R9)</f>
        <v>2631977.4396500001</v>
      </c>
      <c r="S10" s="99"/>
      <c r="T10" s="13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M38" sqref="M38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5.6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81" t="s">
        <v>52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7" ht="15" customHeight="1">
      <c r="A2" s="182" t="s">
        <v>53</v>
      </c>
      <c r="B2" s="183" t="s">
        <v>54</v>
      </c>
      <c r="C2" s="184" t="s">
        <v>41</v>
      </c>
      <c r="D2" s="184" t="s">
        <v>55</v>
      </c>
      <c r="E2" s="186" t="s">
        <v>56</v>
      </c>
      <c r="F2" s="183"/>
      <c r="G2" s="183" t="s">
        <v>57</v>
      </c>
      <c r="H2" s="183"/>
      <c r="I2" s="187" t="s">
        <v>58</v>
      </c>
      <c r="J2" s="188"/>
      <c r="K2" s="187" t="s">
        <v>59</v>
      </c>
      <c r="L2" s="188"/>
      <c r="M2" s="186" t="s">
        <v>60</v>
      </c>
      <c r="N2" s="183"/>
      <c r="O2" s="189" t="s">
        <v>61</v>
      </c>
    </row>
    <row r="3" spans="1:17" ht="15" customHeight="1">
      <c r="A3" s="182"/>
      <c r="B3" s="183"/>
      <c r="C3" s="185"/>
      <c r="D3" s="185"/>
      <c r="E3" s="115" t="s">
        <v>62</v>
      </c>
      <c r="F3" s="115" t="s">
        <v>63</v>
      </c>
      <c r="G3" s="75" t="s">
        <v>62</v>
      </c>
      <c r="H3" s="115" t="s">
        <v>64</v>
      </c>
      <c r="I3" s="115"/>
      <c r="J3" s="115"/>
      <c r="K3" s="75" t="s">
        <v>62</v>
      </c>
      <c r="L3" s="115" t="s">
        <v>64</v>
      </c>
      <c r="M3" s="75" t="s">
        <v>62</v>
      </c>
      <c r="N3" s="115" t="s">
        <v>64</v>
      </c>
      <c r="O3" s="190"/>
    </row>
    <row r="4" spans="1:17" ht="15" customHeight="1">
      <c r="A4" s="179" t="s">
        <v>142</v>
      </c>
      <c r="B4" s="180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7" t="s">
        <v>65</v>
      </c>
      <c r="B5" s="77" t="s">
        <v>66</v>
      </c>
      <c r="C5" s="78" t="s">
        <v>67</v>
      </c>
      <c r="D5" s="139">
        <v>85</v>
      </c>
      <c r="E5" s="153">
        <v>1057</v>
      </c>
      <c r="F5" s="79">
        <f t="shared" ref="F5:F12" si="0">D5*E5</f>
        <v>89845</v>
      </c>
      <c r="G5" s="153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91" t="s">
        <v>116</v>
      </c>
      <c r="P5" s="74" t="s">
        <v>134</v>
      </c>
      <c r="Q5" s="148">
        <f>D5+D7+D9+D11</f>
        <v>123</v>
      </c>
    </row>
    <row r="6" spans="1:17" ht="15" customHeight="1">
      <c r="A6" s="198"/>
      <c r="B6" s="199" t="s">
        <v>68</v>
      </c>
      <c r="C6" s="200" t="s">
        <v>67</v>
      </c>
      <c r="D6" s="201"/>
      <c r="E6" s="202"/>
      <c r="F6" s="203"/>
      <c r="G6" s="202"/>
      <c r="H6" s="203"/>
      <c r="I6" s="203"/>
      <c r="J6" s="203"/>
      <c r="K6" s="203"/>
      <c r="L6" s="203"/>
      <c r="M6" s="203"/>
      <c r="N6" s="203"/>
      <c r="O6" s="192"/>
      <c r="P6" s="74" t="s">
        <v>135</v>
      </c>
      <c r="Q6" s="148">
        <f>D6+D8+D10+D12</f>
        <v>0</v>
      </c>
    </row>
    <row r="7" spans="1:17" ht="15" customHeight="1">
      <c r="A7" s="198"/>
      <c r="B7" s="77" t="s">
        <v>69</v>
      </c>
      <c r="C7" s="78" t="s">
        <v>67</v>
      </c>
      <c r="D7" s="139">
        <v>38</v>
      </c>
      <c r="E7" s="153">
        <v>1057</v>
      </c>
      <c r="F7" s="79">
        <f t="shared" si="0"/>
        <v>40166</v>
      </c>
      <c r="G7" s="153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6:N12" si="2">F7+H7+J7+L7</f>
        <v>392274</v>
      </c>
      <c r="O7" s="192"/>
    </row>
    <row r="8" spans="1:17" ht="15" customHeight="1">
      <c r="A8" s="198"/>
      <c r="B8" s="199" t="s">
        <v>70</v>
      </c>
      <c r="C8" s="200" t="s">
        <v>67</v>
      </c>
      <c r="D8" s="201"/>
      <c r="E8" s="202"/>
      <c r="F8" s="203"/>
      <c r="G8" s="202"/>
      <c r="H8" s="203"/>
      <c r="I8" s="203"/>
      <c r="J8" s="203"/>
      <c r="K8" s="203"/>
      <c r="L8" s="203"/>
      <c r="M8" s="203"/>
      <c r="N8" s="203"/>
      <c r="O8" s="192"/>
    </row>
    <row r="9" spans="1:17" ht="15" customHeight="1">
      <c r="A9" s="198"/>
      <c r="B9" s="199" t="s">
        <v>71</v>
      </c>
      <c r="C9" s="200" t="s">
        <v>67</v>
      </c>
      <c r="D9" s="201"/>
      <c r="E9" s="202"/>
      <c r="F9" s="203"/>
      <c r="G9" s="202"/>
      <c r="H9" s="203"/>
      <c r="I9" s="203"/>
      <c r="J9" s="203"/>
      <c r="K9" s="203"/>
      <c r="L9" s="203"/>
      <c r="M9" s="203"/>
      <c r="N9" s="203"/>
      <c r="O9" s="192"/>
    </row>
    <row r="10" spans="1:17" ht="15" customHeight="1">
      <c r="A10" s="198"/>
      <c r="B10" s="199" t="s">
        <v>72</v>
      </c>
      <c r="C10" s="200" t="s">
        <v>67</v>
      </c>
      <c r="D10" s="201"/>
      <c r="E10" s="202"/>
      <c r="F10" s="203"/>
      <c r="G10" s="202"/>
      <c r="H10" s="203"/>
      <c r="I10" s="203"/>
      <c r="J10" s="203"/>
      <c r="K10" s="203"/>
      <c r="L10" s="203"/>
      <c r="M10" s="203"/>
      <c r="N10" s="203"/>
      <c r="O10" s="192"/>
    </row>
    <row r="11" spans="1:17" ht="15" customHeight="1">
      <c r="A11" s="198"/>
      <c r="B11" s="199" t="s">
        <v>73</v>
      </c>
      <c r="C11" s="200" t="s">
        <v>67</v>
      </c>
      <c r="D11" s="201"/>
      <c r="E11" s="202"/>
      <c r="F11" s="203"/>
      <c r="G11" s="202"/>
      <c r="H11" s="203"/>
      <c r="I11" s="203"/>
      <c r="J11" s="203"/>
      <c r="K11" s="203"/>
      <c r="L11" s="203"/>
      <c r="M11" s="203"/>
      <c r="N11" s="203"/>
      <c r="O11" s="192"/>
    </row>
    <row r="12" spans="1:17" ht="15" customHeight="1">
      <c r="A12" s="198"/>
      <c r="B12" s="199" t="s">
        <v>74</v>
      </c>
      <c r="C12" s="200" t="s">
        <v>67</v>
      </c>
      <c r="D12" s="201"/>
      <c r="E12" s="202"/>
      <c r="F12" s="203"/>
      <c r="G12" s="202"/>
      <c r="H12" s="203"/>
      <c r="I12" s="203"/>
      <c r="J12" s="203"/>
      <c r="K12" s="203"/>
      <c r="L12" s="203"/>
      <c r="M12" s="203"/>
      <c r="N12" s="203"/>
      <c r="O12" s="192"/>
    </row>
    <row r="13" spans="1:17" ht="15" customHeight="1">
      <c r="A13" s="100" t="s">
        <v>75</v>
      </c>
      <c r="B13" s="101"/>
      <c r="C13" s="102"/>
      <c r="D13" s="206">
        <f>SUM(D5:D12)</f>
        <v>123</v>
      </c>
      <c r="E13" s="103"/>
      <c r="F13" s="103">
        <f>SUM(F5:F12)</f>
        <v>130011</v>
      </c>
      <c r="G13" s="103"/>
      <c r="H13" s="103">
        <f>SUM(H5:H12)</f>
        <v>1139718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1269729</v>
      </c>
      <c r="O13" s="103"/>
    </row>
    <row r="14" spans="1:17" ht="15" customHeight="1">
      <c r="A14" s="193" t="s">
        <v>117</v>
      </c>
      <c r="B14" s="77" t="s">
        <v>76</v>
      </c>
      <c r="C14" s="78" t="s">
        <v>67</v>
      </c>
      <c r="D14" s="140">
        <v>33.200000000000003</v>
      </c>
      <c r="E14" s="153">
        <v>10855</v>
      </c>
      <c r="F14" s="111">
        <f>D14*E14</f>
        <v>360386.00000000006</v>
      </c>
      <c r="G14" s="153">
        <v>6987</v>
      </c>
      <c r="H14" s="111">
        <f>D14*G14</f>
        <v>231968.40000000002</v>
      </c>
      <c r="I14" s="111"/>
      <c r="J14" s="111"/>
      <c r="K14" s="79"/>
      <c r="L14" s="111"/>
      <c r="M14" s="79"/>
      <c r="N14" s="111">
        <f t="shared" ref="N14:N17" si="3">F14+H14+J14+L14</f>
        <v>592354.40000000014</v>
      </c>
      <c r="O14" s="192"/>
    </row>
    <row r="15" spans="1:17" ht="15" customHeight="1">
      <c r="A15" s="193"/>
      <c r="B15" s="77" t="s">
        <v>77</v>
      </c>
      <c r="C15" s="78" t="s">
        <v>67</v>
      </c>
      <c r="D15" s="141">
        <v>11.7</v>
      </c>
      <c r="E15" s="153">
        <v>10855</v>
      </c>
      <c r="F15" s="111">
        <f>D15*E15</f>
        <v>127003.49999999999</v>
      </c>
      <c r="G15" s="153">
        <v>6987</v>
      </c>
      <c r="H15" s="111">
        <f>D15*G15</f>
        <v>81747.899999999994</v>
      </c>
      <c r="I15" s="111"/>
      <c r="J15" s="111"/>
      <c r="K15" s="79"/>
      <c r="L15" s="111"/>
      <c r="M15" s="79"/>
      <c r="N15" s="111">
        <f t="shared" si="3"/>
        <v>208751.39999999997</v>
      </c>
      <c r="O15" s="192"/>
    </row>
    <row r="16" spans="1:17" ht="15" customHeight="1">
      <c r="A16" s="193"/>
      <c r="B16" s="77" t="s">
        <v>78</v>
      </c>
      <c r="C16" s="78" t="s">
        <v>67</v>
      </c>
      <c r="D16" s="141">
        <v>8.5</v>
      </c>
      <c r="E16" s="153">
        <v>10855</v>
      </c>
      <c r="F16" s="111">
        <f>D16*E16</f>
        <v>92267.5</v>
      </c>
      <c r="G16" s="153">
        <v>6987</v>
      </c>
      <c r="H16" s="111">
        <f>D16*G16</f>
        <v>59389.5</v>
      </c>
      <c r="I16" s="111"/>
      <c r="J16" s="111"/>
      <c r="K16" s="79"/>
      <c r="L16" s="111"/>
      <c r="M16" s="79"/>
      <c r="N16" s="111">
        <f t="shared" si="3"/>
        <v>151657</v>
      </c>
      <c r="O16" s="192"/>
    </row>
    <row r="17" spans="1:15" ht="15" customHeight="1">
      <c r="A17" s="194"/>
      <c r="B17" s="199" t="s">
        <v>79</v>
      </c>
      <c r="C17" s="200" t="s">
        <v>67</v>
      </c>
      <c r="D17" s="205"/>
      <c r="E17" s="202"/>
      <c r="F17" s="203"/>
      <c r="G17" s="202"/>
      <c r="H17" s="203"/>
      <c r="I17" s="203"/>
      <c r="J17" s="203"/>
      <c r="K17" s="203"/>
      <c r="L17" s="203"/>
      <c r="M17" s="203"/>
      <c r="N17" s="203"/>
      <c r="O17" s="195"/>
    </row>
    <row r="18" spans="1:15" ht="15" customHeight="1">
      <c r="A18" s="95" t="s">
        <v>75</v>
      </c>
      <c r="B18" s="80"/>
      <c r="C18" s="83"/>
      <c r="D18" s="142">
        <f>SUM(D14:D17)</f>
        <v>53.400000000000006</v>
      </c>
      <c r="E18" s="82"/>
      <c r="F18" s="82">
        <f>SUM(F14:F17)</f>
        <v>579657</v>
      </c>
      <c r="G18" s="82"/>
      <c r="H18" s="82">
        <f>SUM(H14:H17)</f>
        <v>373105.80000000005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952762.8</v>
      </c>
      <c r="O18" s="82"/>
    </row>
    <row r="19" spans="1:15" ht="15" customHeight="1">
      <c r="A19" s="97" t="s">
        <v>80</v>
      </c>
      <c r="B19" s="84"/>
      <c r="C19" s="85"/>
      <c r="D19" s="143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2" t="s">
        <v>115</v>
      </c>
      <c r="B20" s="204" t="s">
        <v>114</v>
      </c>
      <c r="C20" s="204" t="s">
        <v>113</v>
      </c>
      <c r="D20" s="205"/>
      <c r="E20" s="202"/>
      <c r="F20" s="203"/>
      <c r="G20" s="203"/>
      <c r="H20" s="203"/>
      <c r="I20" s="203"/>
      <c r="J20" s="203"/>
      <c r="K20" s="203"/>
      <c r="L20" s="203"/>
      <c r="M20" s="203"/>
      <c r="N20" s="203"/>
      <c r="O20" s="79"/>
    </row>
    <row r="21" spans="1:15" ht="15" customHeight="1">
      <c r="A21" s="196" t="s">
        <v>81</v>
      </c>
      <c r="B21" s="199" t="s">
        <v>82</v>
      </c>
      <c r="C21" s="200" t="s">
        <v>67</v>
      </c>
      <c r="D21" s="205"/>
      <c r="E21" s="203"/>
      <c r="F21" s="203"/>
      <c r="G21" s="202"/>
      <c r="H21" s="203"/>
      <c r="I21" s="203"/>
      <c r="J21" s="203"/>
      <c r="K21" s="203"/>
      <c r="L21" s="203"/>
      <c r="M21" s="203"/>
      <c r="N21" s="203"/>
      <c r="O21" s="79"/>
    </row>
    <row r="22" spans="1:15" ht="15" customHeight="1">
      <c r="A22" s="196"/>
      <c r="B22" s="199" t="s">
        <v>83</v>
      </c>
      <c r="C22" s="200" t="s">
        <v>67</v>
      </c>
      <c r="D22" s="205"/>
      <c r="E22" s="203"/>
      <c r="F22" s="203"/>
      <c r="G22" s="202"/>
      <c r="H22" s="203"/>
      <c r="I22" s="203"/>
      <c r="J22" s="203"/>
      <c r="K22" s="203"/>
      <c r="L22" s="203"/>
      <c r="M22" s="203"/>
      <c r="N22" s="203"/>
      <c r="O22" s="79"/>
    </row>
    <row r="23" spans="1:15" ht="15" customHeight="1">
      <c r="A23" s="196" t="s">
        <v>84</v>
      </c>
      <c r="B23" s="199" t="s">
        <v>82</v>
      </c>
      <c r="C23" s="200" t="s">
        <v>67</v>
      </c>
      <c r="D23" s="205"/>
      <c r="E23" s="203"/>
      <c r="F23" s="203"/>
      <c r="G23" s="202"/>
      <c r="H23" s="203"/>
      <c r="I23" s="203"/>
      <c r="J23" s="203"/>
      <c r="K23" s="203"/>
      <c r="L23" s="203"/>
      <c r="M23" s="203"/>
      <c r="N23" s="203"/>
      <c r="O23" s="79"/>
    </row>
    <row r="24" spans="1:15" ht="15" customHeight="1">
      <c r="A24" s="196"/>
      <c r="B24" s="199" t="s">
        <v>83</v>
      </c>
      <c r="C24" s="200" t="s">
        <v>67</v>
      </c>
      <c r="D24" s="205"/>
      <c r="E24" s="203"/>
      <c r="F24" s="203"/>
      <c r="G24" s="202"/>
      <c r="H24" s="203"/>
      <c r="I24" s="203"/>
      <c r="J24" s="203"/>
      <c r="K24" s="203"/>
      <c r="L24" s="203"/>
      <c r="M24" s="203"/>
      <c r="N24" s="203"/>
      <c r="O24" s="79"/>
    </row>
    <row r="25" spans="1:15" ht="15" customHeight="1">
      <c r="A25" s="95" t="s">
        <v>75</v>
      </c>
      <c r="B25" s="86"/>
      <c r="C25" s="87"/>
      <c r="D25" s="144"/>
      <c r="E25" s="82"/>
      <c r="F25" s="82">
        <f>SUM(F19:F24)</f>
        <v>0</v>
      </c>
      <c r="G25" s="82"/>
      <c r="H25" s="82">
        <f>SUM(H19:H24)</f>
        <v>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0</v>
      </c>
      <c r="O25" s="82"/>
    </row>
    <row r="26" spans="1:15" ht="15" customHeight="1">
      <c r="A26" s="98" t="s">
        <v>85</v>
      </c>
      <c r="B26" s="77" t="s">
        <v>126</v>
      </c>
      <c r="C26" s="78" t="s">
        <v>67</v>
      </c>
      <c r="D26" s="145">
        <v>96</v>
      </c>
      <c r="E26" s="111"/>
      <c r="F26" s="111"/>
      <c r="G26" s="153">
        <v>4284</v>
      </c>
      <c r="H26" s="111">
        <f>D26*G26</f>
        <v>411264</v>
      </c>
      <c r="I26" s="111"/>
      <c r="J26" s="111"/>
      <c r="K26" s="111"/>
      <c r="L26" s="111"/>
      <c r="M26" s="111"/>
      <c r="N26" s="111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4">SUM(J26:J26)</f>
        <v>0</v>
      </c>
      <c r="K27" s="82"/>
      <c r="L27" s="82">
        <f t="shared" si="4"/>
        <v>0</v>
      </c>
      <c r="M27" s="82"/>
      <c r="N27" s="82">
        <f t="shared" si="4"/>
        <v>411264</v>
      </c>
      <c r="O27" s="90"/>
    </row>
    <row r="28" spans="1:15" ht="15" customHeight="1">
      <c r="A28" s="95" t="s">
        <v>112</v>
      </c>
      <c r="B28" s="80"/>
      <c r="C28" s="81"/>
      <c r="D28" s="89"/>
      <c r="E28" s="91"/>
      <c r="F28" s="92">
        <f>F13+F18+F25+F27</f>
        <v>709668</v>
      </c>
      <c r="G28" s="92"/>
      <c r="H28" s="92">
        <f>H13+H18+H25+H27</f>
        <v>1924087.8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2633755.7999999998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6"/>
  <sheetViews>
    <sheetView showGridLines="0" zoomScaleNormal="100" workbookViewId="0">
      <selection activeCell="I28" sqref="I28"/>
    </sheetView>
  </sheetViews>
  <sheetFormatPr defaultColWidth="9" defaultRowHeight="13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127</v>
      </c>
      <c r="B1" s="104" t="s">
        <v>128</v>
      </c>
      <c r="C1" s="104" t="s">
        <v>129</v>
      </c>
      <c r="D1" s="104" t="s">
        <v>130</v>
      </c>
      <c r="E1" s="104" t="s">
        <v>131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7.45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2.67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53.4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0.875</v>
      </c>
    </row>
    <row r="6" spans="1:6">
      <c r="A6" s="105" t="str">
        <f>'내역서(표준단가)'!A9</f>
        <v>E00000801011510701</v>
      </c>
      <c r="B6" s="106">
        <f>'내역서(표준단가)'!B9</f>
        <v>0</v>
      </c>
      <c r="C6" s="106" t="str">
        <f>'내역서(표준단가)'!C9</f>
        <v>E00000801011510701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2026-06-21T23:42:39Z</dcterms:modified>
</cp:coreProperties>
</file>
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D7C46EFE-AF8C-48A0-A8FF-8DADCFC50EF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U5" i="2"/>
  <c r="S5" i="2"/>
  <c r="Q5" i="2"/>
  <c r="O5" i="2"/>
  <c r="O7" i="2" s="1"/>
  <c r="J24" i="4" l="1"/>
  <c r="J26" i="4"/>
  <c r="J23" i="4"/>
  <c r="J25" i="4"/>
  <c r="J27" i="4" s="1"/>
  <c r="J22" i="4"/>
  <c r="J28" i="4" s="1"/>
  <c r="D9" i="3"/>
  <c r="K9" i="3"/>
  <c r="V7" i="2"/>
  <c r="J20" i="4" l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<sst xmlns="http://schemas.openxmlformats.org/spreadsheetml/2006/main" count="144" uniqueCount="126">
  <si>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순환펌프</t>
  </si>
  <si>
    <t>823-9444       FAX 823-9511</t>
  </si>
  <si>
    <t>KP-111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</si>
  <si>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</si>
  <si>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</si>
  <si>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</si>
  <si>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</si>
  <si>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세    액</t>
  </si>
  <si>
    <t>품     명</t>
  </si>
  <si>
    <t>할증기준</t>
  </si>
  <si>
    <t>기 타 사 항</t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</si>
  <si>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</si>
  <si>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</si>
  <si>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등 록 번 호</t>
  </si>
  <si>
    <t xml:space="preserve">  김 태 용</t>
  </si>
  <si>
    <t>규     격</t>
  </si>
  <si>
    <t>단    가</t>
  </si>
  <si>
    <t>성   명</t>
  </si>
  <si>
    <t>종   목</t>
  </si>
  <si>
    <t>합 계 금 액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</si>
  <si>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</si>
  <si>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</si>
  <si>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비   고</t>
  </si>
  <si>
    <t>전 화 번 호</t>
  </si>
  <si>
    <t>가스밸브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</si>
  <si>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</si>
  <si>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</si>
  <si>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</si>
  <si>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</si>
  <si>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</si>
  <si>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주      소</t>
  </si>
  <si>
    <t>업      태</t>
  </si>
  <si>
    <t>상      호</t>
  </si>
  <si>
    <t>보일러,버너,배관자재,에어컨</t>
  </si>
  <si>
    <t>GRV-300(601)</t>
  </si>
  <si>
    <t>314-19-99933</t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</si>
  <si>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</si>
  <si>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</si>
  <si>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</si>
  <si>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콘트롤</t>
  </si>
  <si>
    <t>합계</t>
  </si>
  <si>
    <r>
      <rPr>
        <b/>
        <sz val="10"/>
        <color rgb="FF000000"/>
        <rFont val="LG스마트체 Regular"/>
        <family val="3"/>
        <charset val="129"/>
      </rPr>
      <t>수량</t>
    </r>
  </si>
  <si>
    <t>번 호</t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</si>
  <si>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</si>
  <si>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</si>
  <si>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</si>
  <si>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도소매</t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</si>
  <si>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</si>
  <si>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</si>
  <si>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</si>
  <si>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</si>
  <si>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</si>
  <si>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</si>
  <si>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</si>
  <si>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</si>
  <si>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102동 304호</t>
  </si>
  <si>
    <t xml:space="preserve">  ※ LG사택 102동 304호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</si>
  <si>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</si>
  <si>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</si>
  <si>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</si>
  <si>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</si>
  <si>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</si>
  <si>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</si>
  <si>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</si>
  <si>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</si>
  <si>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</si>
  <si>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</si>
  <si>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</si>
  <si>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</si>
  <si>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</si>
  <si>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</si>
  <si>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</si>
  <si>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</si>
  <si>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</si>
  <si>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</si>
  <si>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</si>
  <si>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</si>
  <si>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</si>
  <si>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</si>
  <si>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</si>
  <si>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</si>
  <si>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</si>
  <si>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</si>
  <si>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</si>
  <si>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</si>
  <si>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</si>
  <si>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</si>
  <si>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</si>
  <si>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</si>
  <si>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</si>
  <si>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</si>
  <si>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</si>
  <si>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</si>
  <si>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</si>
  <si>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</si>
  <si>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</si>
  <si>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</si>
  <si>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</si>
  <si>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</si>
  <si>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</si>
  <si>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</si>
  <si>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</si>
  <si>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</si>
  <si>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</si>
  <si>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</si>
  <si>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</si>
  <si>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</si>
  <si>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</si>
  <si>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</si>
  <si>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</si>
  <si>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</si>
  <si>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</si>
  <si>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</si>
  <si>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</si>
  <si>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</si>
  <si>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</si>
  <si>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</si>
  <si>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</si>
  <si>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</si>
  <si>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</si>
  <si>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</si>
  <si>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</si>
  <si>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</si>
  <si>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</si>
  <si>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102-304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</si>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</sst>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DA92F809-4846-4A52-93D0-CEB12583FCEF}"/>
    <cellStyle name="백분율 2 3" xfId="6" xr:uid="{00000000-0005-0000-0000-000006000000}"/>
    <cellStyle name="쉼표 [0] 17" xfId="2" xr:uid="{00000000-0005-0000-0000-000002000000}"/>
    <cellStyle name="쉼표 [0] 17 2" xfId="20" xr:uid="{775FEE1D-387D-41E1-9F2A-742A4363606A}"/>
    <cellStyle name="쉼표 [0] 2" xfId="13" xr:uid="{69DCC074-15DE-483E-AED7-66A808A36ABD}"/>
    <cellStyle name="쉼표 [0] 2 2 2" xfId="5" xr:uid="{00000000-0005-0000-0000-000005000000}"/>
    <cellStyle name="쉼표 [0] 2 2 29" xfId="14" xr:uid="{E77C3975-D3D6-4D9D-B0F2-12175237DCB7}"/>
    <cellStyle name="쉼표 [0] 2 3" xfId="4" xr:uid="{00000000-0005-0000-0000-000004000000}"/>
    <cellStyle name="쉼표 [0] 2 84" xfId="18" xr:uid="{51F03CBE-A42E-4E33-B4B2-96DAAF0C32CC}"/>
    <cellStyle name="쉼표 [0] 5" xfId="16" xr:uid="{D9AB3D20-7A55-4D3D-B832-3FA0E29DBE13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AF7144E6-B3E0-4000-9BF8-E13254AD4DEA}"/>
    <cellStyle name="표준 10 2" xfId="10" xr:uid="{3822D696-32CF-4A02-83D6-D0CB416AD2A4}"/>
    <cellStyle name="표준 2" xfId="17" xr:uid="{C010DECB-6340-4B8A-8B6F-B52655B48968}"/>
    <cellStyle name="표준 3 2" xfId="3" xr:uid="{00000000-0005-0000-0000-000003000000}"/>
    <cellStyle name="표준 7" xfId="7" xr:uid="{00000000-0005-0000-0000-000007000000}"/>
    <cellStyle name="표준_p1공장 외벽청소(08.03.17)" xfId="11" xr:uid="{D8732836-91CB-4CEA-ABF8-E5A100351AD0}"/>
    <cellStyle name="표준_P456 공장 및 복지동 전면 유리창 청소건 라상혁님_1129(최종)" xfId="12" xr:uid="{AC000042-4165-4162-A2BD-2AEA1DE3AA69}"/>
    <cellStyle name="표준_S&amp;D_MAIN VALVE_최빈_2" xfId="9" xr:uid="{872E2DE3-DA4B-4A07-8FFD-C6BDA23B9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5B336E-2FEF-4BFB-AF9E-8BBF706DF8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7E63-D315-4554-B129-6967D7E987A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12</v>
      </c>
      <c r="Q1" s="44" t="s">
        <v>12</v>
      </c>
      <c r="S1" s="44" t="s">
        <v>12</v>
      </c>
      <c r="U1" s="44" t="s">
        <v>12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</v>
      </c>
      <c r="G3" s="40"/>
      <c r="H3" s="40"/>
      <c r="I3" s="40"/>
      <c r="J3" s="234" t="s">
        <v>20</v>
      </c>
      <c r="K3" s="234"/>
      <c r="L3" s="234" t="s">
        <v>45</v>
      </c>
      <c r="M3" s="234" t="s">
        <v>41</v>
      </c>
      <c r="N3" s="240" t="s">
        <v>49</v>
      </c>
      <c r="O3" s="240"/>
      <c r="P3" s="240" t="s">
        <v>51</v>
      </c>
      <c r="Q3" s="240"/>
      <c r="R3" s="241" t="s">
        <v>25</v>
      </c>
      <c r="S3" s="241"/>
      <c r="T3" s="241" t="s">
        <v>28</v>
      </c>
      <c r="U3" s="241"/>
      <c r="V3" s="242" t="s">
        <v>50</v>
      </c>
      <c r="W3" s="236" t="s">
        <v>26</v>
      </c>
      <c r="X3" s="238" t="s">
        <v>9</v>
      </c>
    </row>
    <row r="4" spans="1:24" ht="19.899999999999999" customHeight="1">
      <c r="A4" s="39" t="s">
        <v>50</v>
      </c>
      <c r="B4" s="38"/>
      <c r="C4" s="38"/>
      <c r="D4" s="38"/>
      <c r="E4" s="38"/>
      <c r="F4" s="37"/>
      <c r="G4" s="37"/>
      <c r="H4" s="37"/>
      <c r="I4" s="37"/>
      <c r="J4" s="36" t="s">
        <v>53</v>
      </c>
      <c r="K4" s="36" t="s">
        <v>54</v>
      </c>
      <c r="L4" s="235"/>
      <c r="M4" s="235"/>
      <c r="N4" s="35" t="s">
        <v>27</v>
      </c>
      <c r="O4" s="34" t="s">
        <v>48</v>
      </c>
      <c r="P4" s="35" t="s">
        <v>44</v>
      </c>
      <c r="Q4" s="34" t="s">
        <v>48</v>
      </c>
      <c r="R4" s="34" t="s">
        <v>44</v>
      </c>
      <c r="S4" s="34" t="s">
        <v>48</v>
      </c>
      <c r="T4" s="34" t="s">
        <v>44</v>
      </c>
      <c r="U4" s="34" t="s">
        <v>48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55</v>
      </c>
      <c r="K5" s="32" t="s">
        <v>5</v>
      </c>
      <c r="L5" s="31" t="s">
        <v>43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6</v>
      </c>
      <c r="B3" s="246"/>
      <c r="C3" s="246"/>
      <c r="D3" s="246"/>
      <c r="E3" s="246"/>
      <c r="F3" s="247" t="s">
        <v>13</v>
      </c>
      <c r="G3" s="248"/>
      <c r="H3" s="247"/>
      <c r="I3" s="249" t="s">
        <v>35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32</v>
      </c>
      <c r="G4" s="250"/>
      <c r="H4" s="247"/>
      <c r="I4" s="249" t="s">
        <v>21</v>
      </c>
      <c r="J4" s="249"/>
      <c r="K4" s="249"/>
      <c r="L4" s="249"/>
      <c r="M4" s="249"/>
      <c r="N4" s="249" t="s">
        <v>17</v>
      </c>
      <c r="O4" s="249"/>
      <c r="P4" s="249"/>
      <c r="Q4" s="251" t="s">
        <v>14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36</v>
      </c>
      <c r="B5" s="252"/>
      <c r="C5" s="252"/>
      <c r="D5" s="252"/>
      <c r="E5" s="252"/>
      <c r="F5" s="247" t="s">
        <v>30</v>
      </c>
      <c r="G5" s="248"/>
      <c r="H5" s="247"/>
      <c r="I5" s="249" t="s">
        <v>4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31</v>
      </c>
      <c r="G6" s="250"/>
      <c r="H6" s="247"/>
      <c r="I6" s="249" t="s">
        <v>46</v>
      </c>
      <c r="J6" s="249"/>
      <c r="K6" s="249" t="s">
        <v>18</v>
      </c>
      <c r="L6" s="249"/>
      <c r="M6" s="249"/>
      <c r="N6" s="249" t="s">
        <v>33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38</v>
      </c>
      <c r="B7" s="252"/>
      <c r="C7" s="252"/>
      <c r="D7" s="252"/>
      <c r="E7" s="252"/>
      <c r="F7" s="247" t="s">
        <v>23</v>
      </c>
      <c r="G7" s="250"/>
      <c r="H7" s="247"/>
      <c r="I7" s="249" t="s">
        <v>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19</v>
      </c>
      <c r="B9" s="250"/>
      <c r="C9" s="250"/>
      <c r="D9" s="256" t="str">
        <f>"일금 "&amp;NUMBERSTRING((K20+N20),1)&amp;"원정"</f>
        <v>일금 삼십칠만팔천원정</v>
      </c>
      <c r="E9" s="256"/>
      <c r="F9" s="256"/>
      <c r="G9" s="256"/>
      <c r="H9" s="256"/>
      <c r="I9" s="256"/>
      <c r="J9" s="256"/>
      <c r="K9" s="257">
        <f>K20+N20</f>
        <v>378000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42</v>
      </c>
      <c r="B10" s="260" t="s">
        <v>8</v>
      </c>
      <c r="C10" s="261"/>
      <c r="D10" s="262" t="s">
        <v>15</v>
      </c>
      <c r="E10" s="263"/>
      <c r="F10" s="51" t="s">
        <v>47</v>
      </c>
      <c r="G10" s="262" t="s">
        <v>16</v>
      </c>
      <c r="H10" s="264"/>
      <c r="I10" s="264"/>
      <c r="J10" s="263"/>
      <c r="K10" s="262" t="s">
        <v>11</v>
      </c>
      <c r="L10" s="264"/>
      <c r="M10" s="264"/>
      <c r="N10" s="263"/>
      <c r="O10" s="262" t="s">
        <v>7</v>
      </c>
      <c r="P10" s="264"/>
      <c r="Q10" s="263"/>
      <c r="R10" s="51" t="s">
        <v>22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0</v>
      </c>
      <c r="C11" s="266"/>
      <c r="D11" s="267" t="s">
        <v>2</v>
      </c>
      <c r="E11" s="266"/>
      <c r="F11" s="51">
        <v>1</v>
      </c>
      <c r="G11" s="268">
        <v>123000</v>
      </c>
      <c r="H11" s="269"/>
      <c r="I11" s="269"/>
      <c r="J11" s="270"/>
      <c r="K11" s="271">
        <f>F11*G11</f>
        <v>123000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39</v>
      </c>
      <c r="C12" s="266"/>
      <c r="D12" s="267" t="s">
        <v>29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24</v>
      </c>
      <c r="C13" s="266"/>
      <c r="D13" s="267" t="s">
        <v>34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40</v>
      </c>
      <c r="B20" s="265"/>
      <c r="C20" s="266"/>
      <c r="D20" s="267"/>
      <c r="E20" s="266"/>
      <c r="F20" s="51"/>
      <c r="G20" s="268">
        <f>SUM(G11:J14)</f>
        <v>378000</v>
      </c>
      <c r="H20" s="269"/>
      <c r="I20" s="269"/>
      <c r="J20" s="270"/>
      <c r="K20" s="271">
        <f>SUM(K11:N14)</f>
        <v>378000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10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2025-10-01T23:47:48Z</dcterms:modified>
  <cp:version>1300.0100.01</cp:version>
</cp:coreProperties>
</file>
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77E8E0A9-94EF-414A-B8C5-18456F074C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6" i="9"/>
  <c r="Q5" i="9"/>
  <c r="J22" i="12" l="1"/>
  <c r="J24" i="12"/>
  <c r="J23" i="12"/>
  <c r="J25" i="12"/>
  <c r="J27" i="12" s="1"/>
  <c r="J26" i="12"/>
  <c r="J28" i="12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0" i="12" l="1"/>
  <c r="J30" i="12"/>
  <c r="Q5" i="4"/>
  <c r="O5" i="4"/>
  <c r="M5" i="4"/>
  <c r="K5" i="4"/>
  <c r="A5" i="4"/>
  <c r="A2" i="10" s="1"/>
  <c r="M32" i="12" l="1"/>
  <c r="B15" i="12" s="1"/>
  <c r="R5" i="4"/>
  <c r="H26" i="9" l="1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R9" i="4"/>
  <c r="R12" i="4"/>
  <c r="R11" i="4"/>
  <c r="Q14" i="4" l="1"/>
  <c r="K14" i="4"/>
  <c r="O14" i="4"/>
  <c r="R14" i="4" l="1"/>
</calcChain>
</file>

<file path=xl/sharedStrings.xml><?xml version="1.0" encoding="utf-8"?>
<sst xmlns="http://schemas.openxmlformats.org/spreadsheetml/2006/main" count="222" uniqueCount="171">
  <si>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</si>
  <si>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</si>
  <si>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</si>
  <si>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</si>
  <si>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</si>
  <si>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</si>
  <si>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</si>
  <si>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</si>
  <si>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</si>
  <si>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</si>
  <si>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</si>
  <si>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</si>
  <si>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</si>
  <si>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</si>
  <si>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</si>
  <si>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</si>
  <si>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</si>
  <si>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</si>
  <si>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</si>
  <si>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</si>
  <si>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</si>
  <si>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</si>
  <si>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</si>
  <si>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</si>
  <si>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</si>
  <si>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</si>
  <si>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</si>
  <si>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</si>
  <si>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</si>
  <si>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</si>
  <si>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</si>
  <si>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</si>
  <si>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</si>
  <si>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</si>
  <si>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</si>
  <si>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</si>
  <si>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</si>
  <si>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</si>
  <si>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</si>
  <si>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</si>
  <si>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</si>
  <si>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</si>
  <si>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</si>
  <si>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</si>
  <si>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</si>
  <si>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</si>
  <si>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</si>
  <si>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</si>
  <si>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</si>
  <si>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</si>
  <si>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</si>
  <si>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</si>
  <si>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</si>
  <si>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</si>
  <si>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</si>
  <si>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</si>
  <si>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</si>
  <si>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</si>
  <si>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</si>
  <si>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</si>
  <si>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</si>
  <si>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</si>
  <si>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</si>
  <si>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</si>
  <si>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</si>
  <si>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</si>
  <si>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</si>
  <si>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</si>
  <si>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</si>
  <si>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</si>
  <si>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</si>
  <si>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</si>
  <si>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</si>
  <si>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</si>
  <si>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</si>
  <si>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</si>
  <si>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</si>
  <si>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</si>
  <si>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</si>
  <si>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</si>
  <si>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</si>
  <si>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</si>
  <si>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</si>
  <si>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</si>
  <si>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</si>
  <si>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</si>
  <si>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</si>
  <si>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</si>
  <si>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</si>
  <si>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</si>
  <si>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</si>
  <si>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</si>
  <si>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</si>
  <si>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</si>
  <si>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</si>
  <si>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</si>
  <si>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</si>
  <si>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</si>
  <si>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</si>
  <si>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</si>
  <si>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</si>
  <si>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</si>
  <si>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</si>
  <si>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</si>
  <si>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102-202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</si>
  <si>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</si>
  <si>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</si>
  <si>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</si>
  <si>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</si>
  <si>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</si>
  <si>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</si>
  <si>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</si>
  <si>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</si>
  <si>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</si>
  <si>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</si>
  <si>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</si>
  <si>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</si>
  <si>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</si>
  <si>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</si>
  <si>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</si>
  <si>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</si>
  <si>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</si>
  <si>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</si>
  <si>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</si>
  <si>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</si>
  <si>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</si>
  <si>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</si>
  <si>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</si>
  <si>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</si>
  <si>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</si>
  <si>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</si>
  <si>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</si>
  <si>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</si>
  <si>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</si>
  <si>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</si>
  <si>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</si>
  <si>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</si>
  <si>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</si>
  <si>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</si>
  <si>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</si>
  <si>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</si>
  <si>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</si>
  <si>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</si>
  <si>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</si>
  <si>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</si>
  <si>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</si>
  <si>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</si>
  <si>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</si>
  <si>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</si>
  <si>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</si>
  <si>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</si>
  <si>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</si>
  <si>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</si>
  <si>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</si>
  <si>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</si>
  <si>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</si>
  <si>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</si>
  <si>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</si>
  <si>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</si>
  <si>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</si>
  <si>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</si>
  <si>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</si>
  <si>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</si>
  <si>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</si>
  <si>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</si>
  <si>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</si>
  <si>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</si>
  <si>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</si>
  <si>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</si>
  <si>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102-202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</si>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</sst>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0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1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A3A1AB6-30ED-4933-B470-7F02008BCE68}"/>
    <cellStyle name="쉼표 [0] 2 84" xfId="24" xr:uid="{91CC6075-97E0-494F-A888-E604C3B2D185}"/>
    <cellStyle name="쉼표 [0] 3" xfId="14" xr:uid="{8F7BE219-40E1-4BBB-A9BD-02188B74B2A3}"/>
    <cellStyle name="쉼표 [0] 4" xfId="21" xr:uid="{4E6A0BEE-4650-4A45-A5F2-50A177CF17B1}"/>
    <cellStyle name="쉼표 [0] 5" xfId="23" xr:uid="{865029CF-1C24-4923-B5DF-E612EF12A66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E75F137-440C-45A6-A284-4651304B9A9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6029905-5B0F-4F62-9A5E-C4C3E544EFE4}"/>
    <cellStyle name="표준_P456 공장 및 복지동 전면 유리창 청소건 라상혁님_1129(최종)" xfId="20" xr:uid="{60F0315F-B490-457A-A4C2-F34AEA16D3C5}"/>
    <cellStyle name="표준_S&amp;D_MAIN VALVE_최빈_2" xfId="17" xr:uid="{1E1A89DD-986A-43BC-B993-8F478ABDF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211F0C-812C-4108-A86F-551420D27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FFF3-BEDE-4B98-949C-015A4A5B3780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7"/>
    </row>
    <row r="2" spans="1:15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>
      <c r="A3" s="248" t="s">
        <v>105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/>
    </row>
    <row r="4" spans="1:15" ht="16.5" customHeight="1">
      <c r="A4" s="103" t="s">
        <v>106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>
      <c r="A5" s="108"/>
      <c r="B5" s="164" t="s">
        <v>170</v>
      </c>
      <c r="C5" s="164"/>
      <c r="D5" s="164"/>
      <c r="E5" s="164"/>
      <c r="F5" s="164"/>
      <c r="G5" s="109"/>
      <c r="H5" s="109"/>
      <c r="I5" s="109"/>
      <c r="J5" s="109"/>
      <c r="K5" s="109"/>
      <c r="L5" s="109"/>
      <c r="M5" s="110"/>
      <c r="N5" s="110"/>
      <c r="O5" s="111"/>
    </row>
    <row r="6" spans="1:15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>
      <c r="A7" s="251" t="s">
        <v>107</v>
      </c>
      <c r="B7" s="252"/>
      <c r="C7" s="253"/>
      <c r="D7" s="165">
        <v>2026</v>
      </c>
      <c r="E7" s="116" t="s">
        <v>108</v>
      </c>
      <c r="F7" s="116">
        <v>6</v>
      </c>
      <c r="G7" s="116" t="s">
        <v>109</v>
      </c>
      <c r="H7" s="116">
        <v>1</v>
      </c>
      <c r="I7" s="116" t="s">
        <v>110</v>
      </c>
      <c r="J7" s="117"/>
      <c r="K7" s="254" t="s">
        <v>111</v>
      </c>
      <c r="L7" s="118" t="s">
        <v>112</v>
      </c>
      <c r="M7" s="118" t="s">
        <v>113</v>
      </c>
      <c r="N7" s="118" t="s">
        <v>114</v>
      </c>
      <c r="O7" s="119" t="s">
        <v>115</v>
      </c>
    </row>
    <row r="8" spans="1:15" ht="23.25" customHeight="1">
      <c r="A8" s="257" t="s">
        <v>116</v>
      </c>
      <c r="B8" s="258"/>
      <c r="C8" s="259"/>
      <c r="D8" s="260" t="s">
        <v>117</v>
      </c>
      <c r="E8" s="261"/>
      <c r="F8" s="261"/>
      <c r="G8" s="262"/>
      <c r="H8" s="263" t="s">
        <v>118</v>
      </c>
      <c r="I8" s="261"/>
      <c r="J8" s="264"/>
      <c r="K8" s="255"/>
      <c r="L8" s="120" t="s">
        <v>119</v>
      </c>
      <c r="M8" s="120" t="s">
        <v>120</v>
      </c>
      <c r="N8" s="120" t="s">
        <v>121</v>
      </c>
      <c r="O8" s="121" t="s">
        <v>122</v>
      </c>
    </row>
    <row r="9" spans="1:15" ht="23.25" customHeight="1">
      <c r="A9" s="257" t="s">
        <v>123</v>
      </c>
      <c r="B9" s="258"/>
      <c r="C9" s="259"/>
      <c r="D9" s="265" t="s">
        <v>124</v>
      </c>
      <c r="E9" s="266"/>
      <c r="F9" s="266"/>
      <c r="G9" s="266"/>
      <c r="H9" s="266"/>
      <c r="I9" s="266"/>
      <c r="J9" s="267"/>
      <c r="K9" s="255"/>
      <c r="L9" s="120" t="s">
        <v>125</v>
      </c>
      <c r="M9" s="268" t="s">
        <v>126</v>
      </c>
      <c r="N9" s="258"/>
      <c r="O9" s="259"/>
    </row>
    <row r="10" spans="1:15" ht="23.25" customHeight="1" thickBot="1">
      <c r="A10" s="269" t="s">
        <v>127</v>
      </c>
      <c r="B10" s="270"/>
      <c r="C10" s="271"/>
      <c r="D10" s="272" t="s">
        <v>128</v>
      </c>
      <c r="E10" s="273"/>
      <c r="F10" s="273"/>
      <c r="G10" s="273"/>
      <c r="H10" s="273"/>
      <c r="I10" s="273"/>
      <c r="J10" s="274"/>
      <c r="K10" s="256"/>
      <c r="L10" s="122" t="s">
        <v>129</v>
      </c>
      <c r="M10" s="122" t="s">
        <v>130</v>
      </c>
      <c r="N10" s="122" t="s">
        <v>131</v>
      </c>
      <c r="O10" s="123" t="s">
        <v>132</v>
      </c>
    </row>
    <row r="11" spans="1:15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>
      <c r="A13" s="130"/>
      <c r="B13" s="244" t="s">
        <v>169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131" t="s">
        <v>133</v>
      </c>
      <c r="O13" s="129"/>
    </row>
    <row r="14" spans="1:15" ht="9" customHeight="1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>
      <c r="A15" s="130"/>
      <c r="B15" s="227" t="str">
        <f>"견 적 금 액 : 一金"&amp;NUMBERSTRING(M32,1) &amp; "원정""(\"&amp; TEXT(M32,"#,###")&amp;"원) [VAT 별도]"</f>
        <v>견 적 금 액 : 一金육백일만오천칠백원정"(\6,015,700원) [VAT 별도]</v>
      </c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8"/>
    </row>
    <row r="16" spans="1:15" ht="15" thickBot="1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29"/>
      <c r="L16" s="229"/>
      <c r="M16" s="229"/>
      <c r="N16" s="229"/>
      <c r="O16" s="230"/>
    </row>
    <row r="17" spans="1:17" ht="27.75" customHeight="1" thickBot="1">
      <c r="A17" s="132" t="s">
        <v>134</v>
      </c>
      <c r="B17" s="237" t="s">
        <v>135</v>
      </c>
      <c r="C17" s="238"/>
      <c r="D17" s="238"/>
      <c r="E17" s="238"/>
      <c r="F17" s="238"/>
      <c r="G17" s="239"/>
      <c r="H17" s="133" t="s">
        <v>136</v>
      </c>
      <c r="I17" s="134" t="s">
        <v>137</v>
      </c>
      <c r="J17" s="240" t="s">
        <v>138</v>
      </c>
      <c r="K17" s="241"/>
      <c r="L17" s="241"/>
      <c r="M17" s="242"/>
      <c r="N17" s="237" t="s">
        <v>139</v>
      </c>
      <c r="O17" s="243"/>
    </row>
    <row r="18" spans="1:17" ht="28.5" customHeight="1">
      <c r="A18" s="135">
        <v>1</v>
      </c>
      <c r="B18" s="231" t="s">
        <v>42</v>
      </c>
      <c r="C18" s="232"/>
      <c r="D18" s="232"/>
      <c r="E18" s="232"/>
      <c r="F18" s="232"/>
      <c r="G18" s="233"/>
      <c r="H18" s="166">
        <v>1</v>
      </c>
      <c r="I18" s="167" t="s">
        <v>1</v>
      </c>
      <c r="J18" s="234">
        <f>IFERROR(LOOKUP(2, 1/(TRIM('내역서(표준단가)'!K4:K100)&lt;&gt;""), '내역서(표준단가)'!K4:K100), "-")</f>
        <v>953608.99450000003</v>
      </c>
      <c r="K18" s="234"/>
      <c r="L18" s="234"/>
      <c r="M18" s="234"/>
      <c r="N18" s="235"/>
      <c r="O18" s="236"/>
    </row>
    <row r="19" spans="1:17" ht="28.5" customHeight="1">
      <c r="A19" s="136">
        <v>2</v>
      </c>
      <c r="B19" s="214" t="s">
        <v>43</v>
      </c>
      <c r="C19" s="215"/>
      <c r="D19" s="215"/>
      <c r="E19" s="215"/>
      <c r="F19" s="215"/>
      <c r="G19" s="216"/>
      <c r="H19" s="168">
        <v>1</v>
      </c>
      <c r="I19" s="168" t="s">
        <v>1</v>
      </c>
      <c r="J19" s="217">
        <f>IFERROR(LOOKUP(2, 1/(TRIM('내역서(표준단가)'!M4:M100)&lt;&gt;""), '내역서(표준단가)'!M4:M100), "-")</f>
        <v>3770580.5224939995</v>
      </c>
      <c r="K19" s="218"/>
      <c r="L19" s="218"/>
      <c r="M19" s="219"/>
      <c r="N19" s="220"/>
      <c r="O19" s="221"/>
    </row>
    <row r="20" spans="1:17" ht="28.5" customHeight="1">
      <c r="A20" s="136">
        <v>3</v>
      </c>
      <c r="B20" s="214" t="s">
        <v>140</v>
      </c>
      <c r="C20" s="215"/>
      <c r="D20" s="215"/>
      <c r="E20" s="215"/>
      <c r="F20" s="215"/>
      <c r="G20" s="216"/>
      <c r="H20" s="137">
        <v>1</v>
      </c>
      <c r="I20" s="137" t="s">
        <v>1</v>
      </c>
      <c r="J20" s="222">
        <f>IFERROR(SUM(J21:M29),"-")</f>
        <v>651704.34984818625</v>
      </c>
      <c r="K20" s="223"/>
      <c r="L20" s="223"/>
      <c r="M20" s="224"/>
      <c r="N20" s="225"/>
      <c r="O20" s="226"/>
      <c r="P20" s="138"/>
    </row>
    <row r="21" spans="1:17" ht="28.5" customHeight="1">
      <c r="A21" s="135"/>
      <c r="B21" s="139"/>
      <c r="C21" s="206" t="s">
        <v>141</v>
      </c>
      <c r="D21" s="207"/>
      <c r="E21" s="207"/>
      <c r="F21" s="207"/>
      <c r="G21" s="208"/>
      <c r="H21" s="169">
        <v>1</v>
      </c>
      <c r="I21" s="169" t="s">
        <v>1</v>
      </c>
      <c r="J21" s="20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0"/>
      <c r="L21" s="210"/>
      <c r="M21" s="211"/>
      <c r="N21" s="212" t="s">
        <v>142</v>
      </c>
      <c r="O21" s="213"/>
    </row>
    <row r="22" spans="1:17" ht="28.5" customHeight="1">
      <c r="A22" s="135"/>
      <c r="B22" s="139"/>
      <c r="C22" s="200" t="s">
        <v>143</v>
      </c>
      <c r="D22" s="201"/>
      <c r="E22" s="201"/>
      <c r="F22" s="201"/>
      <c r="G22" s="202"/>
      <c r="H22" s="140">
        <v>3.11</v>
      </c>
      <c r="I22" s="140" t="s">
        <v>144</v>
      </c>
      <c r="J22" s="203">
        <f>IFERROR((J18+J19)*H22%,"-")</f>
        <v>146922.29397851339</v>
      </c>
      <c r="K22" s="204"/>
      <c r="L22" s="204"/>
      <c r="M22" s="205"/>
      <c r="N22" s="196" t="s">
        <v>145</v>
      </c>
      <c r="O22" s="197"/>
    </row>
    <row r="23" spans="1:17" ht="28.5" customHeight="1">
      <c r="A23" s="135"/>
      <c r="B23" s="139"/>
      <c r="C23" s="200" t="s">
        <v>146</v>
      </c>
      <c r="D23" s="201"/>
      <c r="E23" s="201"/>
      <c r="F23" s="201"/>
      <c r="G23" s="202"/>
      <c r="H23" s="140">
        <v>3.56</v>
      </c>
      <c r="I23" s="140" t="s">
        <v>147</v>
      </c>
      <c r="J23" s="203">
        <f>IFERROR(J19*H23%,"-")</f>
        <v>134232.66660078638</v>
      </c>
      <c r="K23" s="204"/>
      <c r="L23" s="204"/>
      <c r="M23" s="205"/>
      <c r="N23" s="196" t="s">
        <v>148</v>
      </c>
      <c r="O23" s="197"/>
    </row>
    <row r="24" spans="1:17" ht="28.5" customHeight="1">
      <c r="A24" s="135"/>
      <c r="B24" s="139"/>
      <c r="C24" s="200" t="s">
        <v>149</v>
      </c>
      <c r="D24" s="201"/>
      <c r="E24" s="201"/>
      <c r="F24" s="201"/>
      <c r="G24" s="202"/>
      <c r="H24" s="140">
        <v>1.01</v>
      </c>
      <c r="I24" s="140" t="s">
        <v>147</v>
      </c>
      <c r="J24" s="203">
        <f>IFERROR(J19*H24%,"-")</f>
        <v>38082.86327718939</v>
      </c>
      <c r="K24" s="204"/>
      <c r="L24" s="204"/>
      <c r="M24" s="205"/>
      <c r="N24" s="196" t="s">
        <v>150</v>
      </c>
      <c r="O24" s="197"/>
    </row>
    <row r="25" spans="1:17" ht="28.5" customHeight="1">
      <c r="A25" s="135"/>
      <c r="B25" s="139"/>
      <c r="C25" s="200" t="s">
        <v>151</v>
      </c>
      <c r="D25" s="201"/>
      <c r="E25" s="201"/>
      <c r="F25" s="201"/>
      <c r="G25" s="202"/>
      <c r="H25" s="141">
        <v>3.5950000000000002</v>
      </c>
      <c r="I25" s="140" t="s">
        <v>147</v>
      </c>
      <c r="J25" s="203">
        <f>IFERROR(J19*H25%,"-")</f>
        <v>135552.36978365929</v>
      </c>
      <c r="K25" s="204"/>
      <c r="L25" s="204"/>
      <c r="M25" s="205"/>
      <c r="N25" s="196" t="s">
        <v>152</v>
      </c>
      <c r="O25" s="197"/>
      <c r="Q25" s="138"/>
    </row>
    <row r="26" spans="1:17" ht="28.5" customHeight="1">
      <c r="A26" s="135"/>
      <c r="B26" s="139"/>
      <c r="C26" s="200" t="s">
        <v>153</v>
      </c>
      <c r="D26" s="201"/>
      <c r="E26" s="201"/>
      <c r="F26" s="201"/>
      <c r="G26" s="202"/>
      <c r="H26" s="140">
        <v>4.75</v>
      </c>
      <c r="I26" s="140" t="s">
        <v>147</v>
      </c>
      <c r="J26" s="203">
        <f>IFERROR(J19*H26%,"-")</f>
        <v>179102.57481846499</v>
      </c>
      <c r="K26" s="204"/>
      <c r="L26" s="204"/>
      <c r="M26" s="205"/>
      <c r="N26" s="196" t="s">
        <v>154</v>
      </c>
      <c r="O26" s="197"/>
      <c r="Q26" s="142"/>
    </row>
    <row r="27" spans="1:17" ht="28.5" customHeight="1">
      <c r="A27" s="135"/>
      <c r="B27" s="139"/>
      <c r="C27" s="190" t="s">
        <v>155</v>
      </c>
      <c r="D27" s="191"/>
      <c r="E27" s="191"/>
      <c r="F27" s="191"/>
      <c r="G27" s="192"/>
      <c r="H27" s="143">
        <v>13.14</v>
      </c>
      <c r="I27" s="144" t="s">
        <v>147</v>
      </c>
      <c r="J27" s="193">
        <f>IFERROR($H$27*J25%,"-")</f>
        <v>17811.581389572832</v>
      </c>
      <c r="K27" s="194"/>
      <c r="L27" s="194"/>
      <c r="M27" s="195"/>
      <c r="N27" s="196" t="s">
        <v>156</v>
      </c>
      <c r="O27" s="197"/>
    </row>
    <row r="28" spans="1:17" ht="28.5" customHeight="1">
      <c r="A28" s="135"/>
      <c r="B28" s="139"/>
      <c r="C28" s="190" t="s">
        <v>157</v>
      </c>
      <c r="D28" s="191"/>
      <c r="E28" s="191"/>
      <c r="F28" s="191"/>
      <c r="G28" s="192"/>
      <c r="H28" s="143">
        <v>8.1000000000000003E-2</v>
      </c>
      <c r="I28" s="144" t="s">
        <v>147</v>
      </c>
      <c r="J28" s="193" t="str">
        <f>IFERROR(IF(SUM(J21:J27,J18:J19)&gt;=10000000,SUM(J21:J27,J18:J19)*H28%,"-"),"-")</f>
        <v>-</v>
      </c>
      <c r="K28" s="194"/>
      <c r="L28" s="194"/>
      <c r="M28" s="195"/>
      <c r="N28" s="198" t="s">
        <v>158</v>
      </c>
      <c r="O28" s="199"/>
    </row>
    <row r="29" spans="1:17" ht="28.5" customHeight="1">
      <c r="A29" s="145"/>
      <c r="B29" s="146"/>
      <c r="C29" s="170" t="s">
        <v>159</v>
      </c>
      <c r="D29" s="171"/>
      <c r="E29" s="171"/>
      <c r="F29" s="171"/>
      <c r="G29" s="172"/>
      <c r="H29" s="147">
        <v>1</v>
      </c>
      <c r="I29" s="148" t="s">
        <v>160</v>
      </c>
      <c r="J29" s="173">
        <f>34*0</f>
        <v>0</v>
      </c>
      <c r="K29" s="174"/>
      <c r="L29" s="174"/>
      <c r="M29" s="175"/>
      <c r="N29" s="176" t="s">
        <v>161</v>
      </c>
      <c r="O29" s="177"/>
    </row>
    <row r="30" spans="1:17" ht="28.5" customHeight="1">
      <c r="A30" s="145">
        <v>4</v>
      </c>
      <c r="B30" s="146"/>
      <c r="C30" s="170" t="s">
        <v>162</v>
      </c>
      <c r="D30" s="171"/>
      <c r="E30" s="171"/>
      <c r="F30" s="171"/>
      <c r="G30" s="172"/>
      <c r="H30" s="148">
        <v>5</v>
      </c>
      <c r="I30" s="149" t="s">
        <v>163</v>
      </c>
      <c r="J30" s="183">
        <f>IFERROR(IF(ISNUMBER(H30), SUM(J18:M20) * (H30 / 100), "-"), "-")</f>
        <v>268794.69334210933</v>
      </c>
      <c r="K30" s="184"/>
      <c r="L30" s="184"/>
      <c r="M30" s="185"/>
      <c r="N30" s="186" t="s">
        <v>164</v>
      </c>
      <c r="O30" s="187"/>
    </row>
    <row r="31" spans="1:17" ht="28.5" customHeight="1" thickBot="1">
      <c r="A31" s="145">
        <v>5</v>
      </c>
      <c r="B31" s="146"/>
      <c r="C31" s="170" t="s">
        <v>165</v>
      </c>
      <c r="D31" s="171"/>
      <c r="E31" s="171"/>
      <c r="F31" s="171"/>
      <c r="G31" s="172"/>
      <c r="H31" s="148">
        <v>7.5</v>
      </c>
      <c r="I31" s="149" t="s">
        <v>147</v>
      </c>
      <c r="J31" s="173">
        <f>IFERROR(SUM(J18:M20, J30) * (H31 / 100), "-")+-52340</f>
        <v>371011.64201382216</v>
      </c>
      <c r="K31" s="174"/>
      <c r="L31" s="174"/>
      <c r="M31" s="175"/>
      <c r="N31" s="188" t="s">
        <v>166</v>
      </c>
      <c r="O31" s="189"/>
      <c r="Q31" s="150"/>
    </row>
    <row r="32" spans="1:17" ht="28.5" customHeight="1" thickBot="1">
      <c r="A32" s="178" t="s">
        <v>167</v>
      </c>
      <c r="B32" s="179"/>
      <c r="C32" s="179"/>
      <c r="D32" s="179"/>
      <c r="E32" s="179"/>
      <c r="F32" s="179"/>
      <c r="G32" s="179"/>
      <c r="H32" s="179"/>
      <c r="I32" s="180"/>
      <c r="J32" s="151"/>
      <c r="K32" s="152"/>
      <c r="L32" s="152"/>
      <c r="M32" s="153">
        <f>IFERROR(ROUNDDOWN(SUM(J18:M20)+J30+J31,0),"-")</f>
        <v>6015700</v>
      </c>
      <c r="N32" s="181"/>
      <c r="O32" s="182"/>
      <c r="P32" s="154"/>
    </row>
    <row r="33" spans="1:15">
      <c r="A33" s="155" t="s">
        <v>168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>
      <c r="M42" s="150"/>
    </row>
    <row r="43" spans="1:15">
      <c r="M43" s="15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75"/>
      <c r="B1" s="275"/>
      <c r="C1" s="275"/>
      <c r="D1" s="275"/>
      <c r="E1" s="275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75"/>
      <c r="B2" s="275"/>
      <c r="C2" s="275"/>
      <c r="D2" s="275"/>
      <c r="E2" s="27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86" t="s">
        <v>41</v>
      </c>
      <c r="G3" s="286"/>
      <c r="H3" s="284" t="s">
        <v>3</v>
      </c>
      <c r="I3" s="284" t="s">
        <v>0</v>
      </c>
      <c r="J3" s="280" t="s">
        <v>42</v>
      </c>
      <c r="K3" s="280"/>
      <c r="L3" s="280" t="s">
        <v>43</v>
      </c>
      <c r="M3" s="280"/>
      <c r="N3" s="281" t="s">
        <v>44</v>
      </c>
      <c r="O3" s="281"/>
      <c r="P3" s="281" t="s">
        <v>45</v>
      </c>
      <c r="Q3" s="281"/>
      <c r="R3" s="282" t="s">
        <v>46</v>
      </c>
      <c r="S3" s="278" t="s">
        <v>47</v>
      </c>
      <c r="T3" s="27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85"/>
      <c r="I4" s="28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83"/>
      <c r="S4" s="279"/>
      <c r="T4" s="277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81</v>
      </c>
      <c r="E5" s="34"/>
      <c r="F5" s="64" t="s">
        <v>82</v>
      </c>
      <c r="G5" s="64" t="s">
        <v>96</v>
      </c>
      <c r="H5" s="50" t="s">
        <v>95</v>
      </c>
      <c r="I5" s="63">
        <v>15.263</v>
      </c>
      <c r="J5" s="92">
        <v>20900</v>
      </c>
      <c r="K5" s="59">
        <f t="shared" ref="K5" si="1">SUM(J5:J5)*I5*$K$2</f>
        <v>266362.24449999997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266362.24449999997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97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:A8" si="12">B7&amp;C7&amp;D7&amp;E7</f>
        <v>E00000803071260301</v>
      </c>
      <c r="B7" s="34"/>
      <c r="C7" s="9" t="s">
        <v>59</v>
      </c>
      <c r="D7" s="9"/>
      <c r="E7" s="34"/>
      <c r="F7" s="64" t="s">
        <v>62</v>
      </c>
      <c r="G7" s="64" t="s">
        <v>98</v>
      </c>
      <c r="H7" s="10" t="s">
        <v>60</v>
      </c>
      <c r="I7" s="63">
        <v>1.8859999999999999</v>
      </c>
      <c r="J7" s="61"/>
      <c r="K7" s="59">
        <f t="shared" ref="K7:K12" si="13">SUM(J7:J7)*I7*$K$2</f>
        <v>0</v>
      </c>
      <c r="L7" s="93">
        <v>510462</v>
      </c>
      <c r="M7" s="59">
        <f t="shared" ref="M7:M13" si="14">(L7*I7)*$M$2</f>
        <v>803880.66221999994</v>
      </c>
      <c r="N7" s="60"/>
      <c r="O7" s="59">
        <f t="shared" ref="O7:O13" si="15">N7*I7*$O$2</f>
        <v>0</v>
      </c>
      <c r="P7" s="60"/>
      <c r="Q7" s="59">
        <f t="shared" ref="Q7:Q13" si="16">P7*I7*$Q$2</f>
        <v>0</v>
      </c>
      <c r="R7" s="12">
        <f t="shared" ref="R7:R13" si="17">SUM(K7+M7)+O7+Q7</f>
        <v>803880.66221999994</v>
      </c>
      <c r="S7" s="49"/>
      <c r="T7" s="13"/>
    </row>
    <row r="8" spans="1:20" s="72" customFormat="1" ht="38.1" customHeight="1">
      <c r="A8" s="8" t="str">
        <f t="shared" si="12"/>
        <v>M020809012520101</v>
      </c>
      <c r="B8" s="34"/>
      <c r="C8" s="9"/>
      <c r="D8" s="9" t="s">
        <v>84</v>
      </c>
      <c r="E8" s="34"/>
      <c r="F8" s="64" t="s">
        <v>85</v>
      </c>
      <c r="G8" s="64" t="s">
        <v>86</v>
      </c>
      <c r="H8" s="50" t="s">
        <v>83</v>
      </c>
      <c r="I8" s="63">
        <v>61.8</v>
      </c>
      <c r="J8" s="62">
        <v>13000</v>
      </c>
      <c r="K8" s="59">
        <f t="shared" si="13"/>
        <v>670839</v>
      </c>
      <c r="L8" s="58"/>
      <c r="M8" s="59">
        <f t="shared" si="14"/>
        <v>0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670839</v>
      </c>
      <c r="S8" s="49"/>
      <c r="T8" s="13"/>
    </row>
    <row r="9" spans="1:20" s="72" customFormat="1" ht="38.1" customHeight="1">
      <c r="A9" s="8" t="str">
        <f t="shared" ref="A9:A13" si="18">B9&amp;C9&amp;D9&amp;E9</f>
        <v>E00000803071260401</v>
      </c>
      <c r="B9" s="34"/>
      <c r="C9" s="9" t="s">
        <v>63</v>
      </c>
      <c r="D9" s="9"/>
      <c r="E9" s="34"/>
      <c r="F9" s="64" t="s">
        <v>64</v>
      </c>
      <c r="G9" s="64" t="s">
        <v>99</v>
      </c>
      <c r="H9" s="10" t="s">
        <v>60</v>
      </c>
      <c r="I9" s="63">
        <v>1.0132000000000001</v>
      </c>
      <c r="J9" s="61"/>
      <c r="K9" s="59">
        <f t="shared" si="13"/>
        <v>0</v>
      </c>
      <c r="L9" s="93">
        <v>510462</v>
      </c>
      <c r="M9" s="59">
        <f t="shared" si="14"/>
        <v>431862.08216400002</v>
      </c>
      <c r="N9" s="60"/>
      <c r="O9" s="59">
        <f t="shared" si="15"/>
        <v>0</v>
      </c>
      <c r="P9" s="60"/>
      <c r="Q9" s="59">
        <f t="shared" si="16"/>
        <v>0</v>
      </c>
      <c r="R9" s="12">
        <f t="shared" si="17"/>
        <v>431862.08216400002</v>
      </c>
      <c r="S9" s="49"/>
      <c r="T9" s="13"/>
    </row>
    <row r="10" spans="1:20" s="72" customFormat="1" ht="38.1" customHeight="1">
      <c r="A10" s="8" t="str">
        <f t="shared" si="18"/>
        <v>M020412614110102</v>
      </c>
      <c r="B10" s="34"/>
      <c r="C10" s="9"/>
      <c r="D10" s="81" t="s">
        <v>78</v>
      </c>
      <c r="E10" s="34"/>
      <c r="F10" s="82" t="s">
        <v>77</v>
      </c>
      <c r="G10" s="82" t="s">
        <v>75</v>
      </c>
      <c r="H10" s="56" t="s">
        <v>74</v>
      </c>
      <c r="I10" s="63">
        <v>0.3</v>
      </c>
      <c r="J10" s="92">
        <v>65500</v>
      </c>
      <c r="K10" s="59">
        <f t="shared" si="13"/>
        <v>16407.75</v>
      </c>
      <c r="L10" s="58"/>
      <c r="M10" s="59"/>
      <c r="N10" s="60"/>
      <c r="O10" s="59"/>
      <c r="P10" s="60"/>
      <c r="Q10" s="59"/>
      <c r="R10" s="12">
        <f t="shared" si="17"/>
        <v>16407.75</v>
      </c>
      <c r="S10" s="49"/>
      <c r="T10" s="13"/>
    </row>
    <row r="11" spans="1:20" s="72" customFormat="1" ht="38.1" customHeight="1">
      <c r="A11" s="8" t="str">
        <f t="shared" si="18"/>
        <v>E00000803061120402</v>
      </c>
      <c r="B11" s="34"/>
      <c r="C11" s="9" t="s">
        <v>65</v>
      </c>
      <c r="D11" s="9"/>
      <c r="E11" s="34"/>
      <c r="F11" s="64" t="s">
        <v>66</v>
      </c>
      <c r="G11" s="64" t="s">
        <v>67</v>
      </c>
      <c r="H11" s="50" t="s">
        <v>72</v>
      </c>
      <c r="I11" s="63">
        <v>28</v>
      </c>
      <c r="J11" s="51"/>
      <c r="K11" s="11">
        <f t="shared" si="13"/>
        <v>0</v>
      </c>
      <c r="L11" s="94">
        <v>10752</v>
      </c>
      <c r="M11" s="11">
        <f t="shared" si="14"/>
        <v>251381.75999999998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251381.75999999998</v>
      </c>
      <c r="S11" s="49"/>
      <c r="T11" s="13"/>
    </row>
    <row r="12" spans="1:20" s="72" customFormat="1" ht="38.1" customHeight="1">
      <c r="A12" s="8" t="str">
        <f t="shared" si="18"/>
        <v>E00000803061300201</v>
      </c>
      <c r="B12" s="34"/>
      <c r="C12" s="9" t="s">
        <v>69</v>
      </c>
      <c r="D12" s="9"/>
      <c r="E12" s="34"/>
      <c r="F12" s="64" t="s">
        <v>70</v>
      </c>
      <c r="G12" s="64" t="s">
        <v>71</v>
      </c>
      <c r="H12" s="50" t="s">
        <v>68</v>
      </c>
      <c r="I12" s="63">
        <v>28</v>
      </c>
      <c r="J12" s="51"/>
      <c r="K12" s="11">
        <f t="shared" si="13"/>
        <v>0</v>
      </c>
      <c r="L12" s="93">
        <v>6368</v>
      </c>
      <c r="M12" s="11">
        <f t="shared" si="14"/>
        <v>148883.84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148883.84</v>
      </c>
      <c r="S12" s="49"/>
      <c r="T12" s="13"/>
    </row>
    <row r="13" spans="1:20" s="72" customFormat="1" ht="38.1" customHeight="1">
      <c r="A13" s="8" t="str">
        <f t="shared" si="18"/>
        <v>E00000801011510701</v>
      </c>
      <c r="B13" s="34"/>
      <c r="C13" s="9" t="s">
        <v>94</v>
      </c>
      <c r="D13" s="9"/>
      <c r="E13" s="34"/>
      <c r="F13" s="95" t="s">
        <v>102</v>
      </c>
      <c r="G13" s="10" t="s">
        <v>87</v>
      </c>
      <c r="H13" s="96" t="s">
        <v>103</v>
      </c>
      <c r="I13" s="63">
        <v>96</v>
      </c>
      <c r="J13" s="73"/>
      <c r="K13" s="11">
        <f t="shared" ref="K13" si="19">SUM(J13:J13)*I13*$K$2</f>
        <v>0</v>
      </c>
      <c r="L13" s="93">
        <v>5131</v>
      </c>
      <c r="M13" s="11">
        <f t="shared" si="14"/>
        <v>411300.95999999996</v>
      </c>
      <c r="N13" s="12"/>
      <c r="O13" s="11">
        <f t="shared" si="15"/>
        <v>0</v>
      </c>
      <c r="P13" s="12"/>
      <c r="Q13" s="11">
        <f t="shared" si="16"/>
        <v>0</v>
      </c>
      <c r="R13" s="12">
        <f t="shared" si="17"/>
        <v>411300.95999999996</v>
      </c>
      <c r="S13" s="49"/>
      <c r="T13" s="13"/>
    </row>
    <row r="14" spans="1:20" s="79" customFormat="1" ht="38.1" customHeight="1">
      <c r="A14" s="74"/>
      <c r="B14" s="75"/>
      <c r="C14" s="75"/>
      <c r="D14" s="75"/>
      <c r="E14" s="75"/>
      <c r="F14" s="67"/>
      <c r="G14" s="67"/>
      <c r="H14" s="75"/>
      <c r="I14" s="75"/>
      <c r="J14" s="75"/>
      <c r="K14" s="76">
        <f>SUM(K5:K13)</f>
        <v>953608.99450000003</v>
      </c>
      <c r="L14" s="77"/>
      <c r="M14" s="76">
        <f>SUM(M5:M13)</f>
        <v>3770580.5224939995</v>
      </c>
      <c r="N14" s="77"/>
      <c r="O14" s="76">
        <f>SUM(O5:O13)</f>
        <v>0</v>
      </c>
      <c r="P14" s="77"/>
      <c r="Q14" s="76">
        <f>SUM(Q5:Q13)</f>
        <v>0</v>
      </c>
      <c r="R14" s="78">
        <f>SUM(R5:R13)</f>
        <v>4724189.5169939995</v>
      </c>
      <c r="S14" s="39"/>
      <c r="T14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7" t="s">
        <v>4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7" ht="15" customHeight="1">
      <c r="A2" s="298" t="s">
        <v>5</v>
      </c>
      <c r="B2" s="299" t="s">
        <v>6</v>
      </c>
      <c r="C2" s="300" t="s">
        <v>3</v>
      </c>
      <c r="D2" s="300" t="s">
        <v>7</v>
      </c>
      <c r="E2" s="302" t="s">
        <v>8</v>
      </c>
      <c r="F2" s="299"/>
      <c r="G2" s="299" t="s">
        <v>9</v>
      </c>
      <c r="H2" s="299"/>
      <c r="I2" s="303" t="s">
        <v>10</v>
      </c>
      <c r="J2" s="304"/>
      <c r="K2" s="303" t="s">
        <v>11</v>
      </c>
      <c r="L2" s="304"/>
      <c r="M2" s="302" t="s">
        <v>12</v>
      </c>
      <c r="N2" s="299"/>
      <c r="O2" s="305" t="s">
        <v>13</v>
      </c>
    </row>
    <row r="3" spans="1:17" ht="15" customHeight="1">
      <c r="A3" s="298"/>
      <c r="B3" s="299"/>
      <c r="C3" s="301"/>
      <c r="D3" s="301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06"/>
    </row>
    <row r="4" spans="1:17" ht="15" customHeight="1">
      <c r="A4" s="295" t="s">
        <v>104</v>
      </c>
      <c r="B4" s="29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293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2" si="0">D5*E5</f>
        <v>89845</v>
      </c>
      <c r="G5" s="97">
        <v>9266</v>
      </c>
      <c r="H5" s="19">
        <f t="shared" ref="H5:H12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287" t="s">
        <v>79</v>
      </c>
      <c r="P5" s="14" t="s">
        <v>100</v>
      </c>
      <c r="Q5" s="91">
        <f>D5+D7+D9+D11</f>
        <v>186</v>
      </c>
    </row>
    <row r="6" spans="1:17" ht="15" customHeight="1">
      <c r="A6" s="294"/>
      <c r="B6" s="17" t="s">
        <v>20</v>
      </c>
      <c r="C6" s="18" t="s">
        <v>19</v>
      </c>
      <c r="D6" s="83">
        <v>40</v>
      </c>
      <c r="E6" s="97">
        <v>1057</v>
      </c>
      <c r="F6" s="19">
        <f t="shared" si="0"/>
        <v>42280</v>
      </c>
      <c r="G6" s="97">
        <v>12178</v>
      </c>
      <c r="H6" s="19">
        <f t="shared" si="1"/>
        <v>487120</v>
      </c>
      <c r="I6" s="19"/>
      <c r="J6" s="19"/>
      <c r="K6" s="19"/>
      <c r="L6" s="19"/>
      <c r="M6" s="19"/>
      <c r="N6" s="19">
        <f t="shared" ref="N6:N12" si="2">F6+H6+J6+L6</f>
        <v>529400</v>
      </c>
      <c r="O6" s="288"/>
      <c r="P6" s="14" t="s">
        <v>101</v>
      </c>
      <c r="Q6" s="91">
        <f>D6+D8+D10+D12</f>
        <v>66</v>
      </c>
    </row>
    <row r="7" spans="1:17" ht="15" customHeight="1">
      <c r="A7" s="294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si="2"/>
        <v>392274</v>
      </c>
      <c r="O7" s="288"/>
    </row>
    <row r="8" spans="1:17" ht="15" customHeight="1">
      <c r="A8" s="294"/>
      <c r="B8" s="17" t="s">
        <v>22</v>
      </c>
      <c r="C8" s="18" t="s">
        <v>19</v>
      </c>
      <c r="D8" s="83">
        <v>10</v>
      </c>
      <c r="E8" s="97">
        <v>1057</v>
      </c>
      <c r="F8" s="19">
        <f t="shared" si="0"/>
        <v>10570</v>
      </c>
      <c r="G8" s="97">
        <v>12178</v>
      </c>
      <c r="H8" s="19">
        <f t="shared" si="1"/>
        <v>121780</v>
      </c>
      <c r="I8" s="19"/>
      <c r="J8" s="19"/>
      <c r="K8" s="19"/>
      <c r="L8" s="19"/>
      <c r="M8" s="19"/>
      <c r="N8" s="19">
        <f t="shared" si="2"/>
        <v>132350</v>
      </c>
      <c r="O8" s="288"/>
    </row>
    <row r="9" spans="1:17" ht="15" customHeight="1">
      <c r="A9" s="294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288"/>
    </row>
    <row r="10" spans="1:17" ht="15" customHeight="1">
      <c r="A10" s="294"/>
      <c r="B10" s="17" t="s">
        <v>24</v>
      </c>
      <c r="C10" s="18" t="s">
        <v>19</v>
      </c>
      <c r="D10" s="83">
        <v>8</v>
      </c>
      <c r="E10" s="97">
        <v>1057</v>
      </c>
      <c r="F10" s="19">
        <f t="shared" si="0"/>
        <v>8456</v>
      </c>
      <c r="G10" s="97">
        <v>12178</v>
      </c>
      <c r="H10" s="19">
        <f t="shared" si="1"/>
        <v>97424</v>
      </c>
      <c r="I10" s="19"/>
      <c r="J10" s="19"/>
      <c r="K10" s="19"/>
      <c r="L10" s="19"/>
      <c r="M10" s="19"/>
      <c r="N10" s="19">
        <f t="shared" si="2"/>
        <v>105880</v>
      </c>
      <c r="O10" s="288"/>
    </row>
    <row r="11" spans="1:17" ht="15" customHeight="1">
      <c r="A11" s="294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288"/>
    </row>
    <row r="12" spans="1:17" ht="15" customHeight="1">
      <c r="A12" s="294"/>
      <c r="B12" s="17" t="s">
        <v>26</v>
      </c>
      <c r="C12" s="18" t="s">
        <v>19</v>
      </c>
      <c r="D12" s="84">
        <v>8</v>
      </c>
      <c r="E12" s="97">
        <v>1057</v>
      </c>
      <c r="F12" s="19">
        <f t="shared" si="0"/>
        <v>8456</v>
      </c>
      <c r="G12" s="97">
        <v>12178</v>
      </c>
      <c r="H12" s="19">
        <f t="shared" si="1"/>
        <v>97424</v>
      </c>
      <c r="I12" s="19"/>
      <c r="J12" s="19"/>
      <c r="K12" s="19"/>
      <c r="L12" s="19"/>
      <c r="M12" s="19"/>
      <c r="N12" s="19">
        <f t="shared" si="2"/>
        <v>105880</v>
      </c>
      <c r="O12" s="288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266364</v>
      </c>
      <c r="G13" s="43"/>
      <c r="H13" s="43">
        <f>SUM(H5:H12)</f>
        <v>2527224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2793588</v>
      </c>
      <c r="O13" s="43"/>
    </row>
    <row r="14" spans="1:17" ht="15" customHeight="1">
      <c r="A14" s="289" t="s">
        <v>80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288"/>
    </row>
    <row r="15" spans="1:17" ht="15" customHeight="1">
      <c r="A15" s="289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288"/>
    </row>
    <row r="16" spans="1:17" ht="15" customHeight="1">
      <c r="A16" s="289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288"/>
    </row>
    <row r="17" spans="1:15" ht="15" customHeight="1">
      <c r="A17" s="290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291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76</v>
      </c>
      <c r="B20" s="57" t="s">
        <v>75</v>
      </c>
      <c r="C20" s="57" t="s">
        <v>74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292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292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292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292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88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73</v>
      </c>
      <c r="B28" s="20"/>
      <c r="C28" s="21"/>
      <c r="D28" s="29"/>
      <c r="E28" s="31"/>
      <c r="F28" s="32">
        <f>F13+F18+F25+F27</f>
        <v>953610.9</v>
      </c>
      <c r="G28" s="32"/>
      <c r="H28" s="32">
        <f>H13+H18+H25+H27</f>
        <v>3770544.6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4724155.5</v>
      </c>
      <c r="O28" s="3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15.263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E00000803071260301</v>
      </c>
      <c r="B4" s="46">
        <f>'내역서(표준단가)'!B7</f>
        <v>0</v>
      </c>
      <c r="C4" s="46" t="str">
        <f>'내역서(표준단가)'!C7</f>
        <v>E00000803071260301</v>
      </c>
      <c r="D4" s="46">
        <f>'내역서(표준단가)'!D7</f>
        <v>0</v>
      </c>
      <c r="E4" s="46">
        <f>'내역서(표준단가)'!E7</f>
        <v>0</v>
      </c>
      <c r="F4" s="47">
        <f>'내역서(표준단가)'!I7</f>
        <v>1.8859999999999999</v>
      </c>
    </row>
    <row r="5" spans="1:6">
      <c r="A5" s="45" t="str">
        <f>'내역서(표준단가)'!A8</f>
        <v>M020809012520101</v>
      </c>
      <c r="B5" s="46">
        <f>'내역서(표준단가)'!B8</f>
        <v>0</v>
      </c>
      <c r="C5" s="46">
        <f>'내역서(표준단가)'!C8</f>
        <v>0</v>
      </c>
      <c r="D5" s="46" t="str">
        <f>'내역서(표준단가)'!D8</f>
        <v>M020809012520101</v>
      </c>
      <c r="E5" s="46">
        <f>'내역서(표준단가)'!E8</f>
        <v>0</v>
      </c>
      <c r="F5" s="47">
        <f>'내역서(표준단가)'!I8</f>
        <v>61.8</v>
      </c>
    </row>
    <row r="6" spans="1:6">
      <c r="A6" s="45" t="str">
        <f>'내역서(표준단가)'!A9</f>
        <v>E00000803071260401</v>
      </c>
      <c r="B6" s="46">
        <f>'내역서(표준단가)'!B9</f>
        <v>0</v>
      </c>
      <c r="C6" s="46" t="str">
        <f>'내역서(표준단가)'!C9</f>
        <v>E00000803071260401</v>
      </c>
      <c r="D6" s="46">
        <f>'내역서(표준단가)'!D9</f>
        <v>0</v>
      </c>
      <c r="E6" s="46">
        <f>'내역서(표준단가)'!E9</f>
        <v>0</v>
      </c>
      <c r="F6" s="47">
        <f>'내역서(표준단가)'!I9</f>
        <v>1.0132000000000001</v>
      </c>
    </row>
    <row r="7" spans="1:6">
      <c r="A7" s="45" t="str">
        <f>'내역서(표준단가)'!A10</f>
        <v>M020412614110102</v>
      </c>
      <c r="B7" s="46">
        <f>'내역서(표준단가)'!B10</f>
        <v>0</v>
      </c>
      <c r="C7" s="46">
        <f>'내역서(표준단가)'!C10</f>
        <v>0</v>
      </c>
      <c r="D7" s="46" t="str">
        <f>'내역서(표준단가)'!D10</f>
        <v>M020412614110102</v>
      </c>
      <c r="E7" s="46">
        <f>'내역서(표준단가)'!E10</f>
        <v>0</v>
      </c>
      <c r="F7" s="47">
        <f>'내역서(표준단가)'!I10</f>
        <v>0.3</v>
      </c>
    </row>
    <row r="8" spans="1:6">
      <c r="A8" s="45" t="str">
        <f>'내역서(표준단가)'!A11</f>
        <v>E00000803061120402</v>
      </c>
      <c r="B8" s="46">
        <f>'내역서(표준단가)'!B11</f>
        <v>0</v>
      </c>
      <c r="C8" s="46" t="str">
        <f>'내역서(표준단가)'!C11</f>
        <v>E00000803061120402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E00000803061300201</v>
      </c>
      <c r="B9" s="46">
        <f>'내역서(표준단가)'!B12</f>
        <v>0</v>
      </c>
      <c r="C9" s="46" t="str">
        <f>'내역서(표준단가)'!C12</f>
        <v>E00000803061300201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28</v>
      </c>
    </row>
    <row r="10" spans="1:6">
      <c r="A10" s="45" t="str">
        <f>'내역서(표준단가)'!A13</f>
        <v>E00000801011510701</v>
      </c>
      <c r="B10" s="46">
        <f>'내역서(표준단가)'!B13</f>
        <v>0</v>
      </c>
      <c r="C10" s="46" t="str">
        <f>'내역서(표준단가)'!C13</f>
        <v>E00000801011510701</v>
      </c>
      <c r="D10" s="46">
        <f>'내역서(표준단가)'!D13</f>
        <v>0</v>
      </c>
      <c r="E10" s="46">
        <f>'내역서(표준단가)'!E13</f>
        <v>0</v>
      </c>
      <c r="F10" s="47">
        <f>'내역서(표준단가)'!I13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2026-06-01T05:50:33Z</dcterms:modified>
</cp:coreProperties>
</file>
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24년\"/>
    </mc:Choice>
  </mc:AlternateContent>
  <xr:revisionPtr revIDLastSave="0" documentId="13_ncr:1_{978C00EF-6A47-40EF-9E34-E29B140167DC}" xr6:coauthVersionLast="47" xr6:coauthVersionMax="47" xr10:uidLastSave="{00000000-0000-0000-0000-000000000000}"/>
  <bookViews>
    <workbookView xWindow="14310" yWindow="0" windowWidth="14490" windowHeight="15480" firstSheet="3" activeTab="3" xr2:uid="{00000000-000D-0000-FFFF-FFFF00000000}"/>
  </bookViews>
  <sheets>
    <sheet name="LGES AB3동 필터(24.04.18)" sheetId="44" r:id="rId1"/>
    <sheet name="LGES 공용부 필터(24.04.18) " sheetId="47" r:id="rId2"/>
    <sheet name="LGES 어린이집 오버홀(24.04.18)" sheetId="48" r:id="rId3"/>
    <sheet name="LGC 필터세척(24.04.18)" sheetId="49" r:id="rId4"/>
  </sheets>
  <externalReferences>
    <externalReference r:id="rId5"/>
  </externalReferences>
  <definedNames>
    <definedName name="_xlnm.Print_Area" localSheetId="3">'LGC 필터세척(24.04.18)'!$A$1:$O$45</definedName>
    <definedName name="_xlnm.Print_Area" localSheetId="0">'LGES AB3동 필터(24.04.18)'!$A$1:$O$45</definedName>
    <definedName name="_xlnm.Print_Area" localSheetId="1">'LGES 공용부 필터(24.04.18) '!$A$1:$O$45</definedName>
    <definedName name="_xlnm.Print_Area" localSheetId="2">'LGES 어린이집 오버홀(24.04.18)'!$A$1:$O$45</definedName>
    <definedName name="가입기간" localSheetId="3">#REF!</definedName>
    <definedName name="가입기간" localSheetId="0">#REF!</definedName>
    <definedName name="가입기간" localSheetId="1">#REF!</definedName>
    <definedName name="가입기간" localSheetId="2">#REF!</definedName>
    <definedName name="가입기간">#REF!</definedName>
    <definedName name="가입기간1" localSheetId="3">#REF!</definedName>
    <definedName name="가입기간1" localSheetId="0">#REF!</definedName>
    <definedName name="가입기간1" localSheetId="1">#REF!</definedName>
    <definedName name="가입기간1" localSheetId="2">#REF!</definedName>
    <definedName name="가입기간1">#REF!</definedName>
    <definedName name="계좌" localSheetId="3">#REF!</definedName>
    <definedName name="계좌" localSheetId="0">#REF!</definedName>
    <definedName name="계좌" localSheetId="1">#REF!</definedName>
    <definedName name="계좌" localSheetId="2">#REF!</definedName>
    <definedName name="계좌">#REF!</definedName>
    <definedName name="계좌1" localSheetId="3">#REF!</definedName>
    <definedName name="계좌1" localSheetId="0">#REF!</definedName>
    <definedName name="계좌1" localSheetId="1">#REF!</definedName>
    <definedName name="계좌1" localSheetId="2">#REF!</definedName>
    <definedName name="계좌1">#REF!</definedName>
    <definedName name="고객담당자" localSheetId="3">#REF!</definedName>
    <definedName name="고객담당자" localSheetId="0">#REF!</definedName>
    <definedName name="고객담당자" localSheetId="1">#REF!</definedName>
    <definedName name="고객담당자" localSheetId="2">#REF!</definedName>
    <definedName name="고객담당자">#REF!</definedName>
    <definedName name="고객담당자1" localSheetId="3">#REF!</definedName>
    <definedName name="고객담당자1" localSheetId="0">#REF!</definedName>
    <definedName name="고객담당자1" localSheetId="1">#REF!</definedName>
    <definedName name="고객담당자1" localSheetId="2">#REF!</definedName>
    <definedName name="고객담당자1">#REF!</definedName>
    <definedName name="기간기준" localSheetId="3">#REF!</definedName>
    <definedName name="기간기준" localSheetId="0">#REF!</definedName>
    <definedName name="기간기준" localSheetId="1">#REF!</definedName>
    <definedName name="기간기준" localSheetId="2">#REF!</definedName>
    <definedName name="기간기준">#REF!</definedName>
    <definedName name="납부방법">[1]상품계산기!$J$46:$K$47</definedName>
    <definedName name="멤버쉽대분류" localSheetId="3">#REF!</definedName>
    <definedName name="멤버쉽대분류" localSheetId="0">#REF!</definedName>
    <definedName name="멤버쉽대분류" localSheetId="1">#REF!</definedName>
    <definedName name="멤버쉽대분류" localSheetId="2">#REF!</definedName>
    <definedName name="멤버쉽대분류">#REF!</definedName>
    <definedName name="멤버쉽상품" localSheetId="3">#REF!</definedName>
    <definedName name="멤버쉽상품" localSheetId="0">#REF!</definedName>
    <definedName name="멤버쉽상품" localSheetId="1">#REF!</definedName>
    <definedName name="멤버쉽상품" localSheetId="2">#REF!</definedName>
    <definedName name="멤버쉽상품">#REF!</definedName>
    <definedName name="멤버쉽상품1" localSheetId="3">#REF!</definedName>
    <definedName name="멤버쉽상품1" localSheetId="0">#REF!</definedName>
    <definedName name="멤버쉽상품1" localSheetId="1">#REF!</definedName>
    <definedName name="멤버쉽상품1" localSheetId="2">#REF!</definedName>
    <definedName name="멤버쉽상품1">#REF!</definedName>
    <definedName name="멤버쉽상품3" localSheetId="3">#REF!</definedName>
    <definedName name="멤버쉽상품3" localSheetId="0">#REF!</definedName>
    <definedName name="멤버쉽상품3" localSheetId="1">#REF!</definedName>
    <definedName name="멤버쉽상품3" localSheetId="2">#REF!</definedName>
    <definedName name="멤버쉽상품3">#REF!</definedName>
    <definedName name="멤버쉽상품4" localSheetId="3">#REF!</definedName>
    <definedName name="멤버쉽상품4" localSheetId="0">#REF!</definedName>
    <definedName name="멤버쉽상품4" localSheetId="1">#REF!</definedName>
    <definedName name="멤버쉽상품4" localSheetId="2">#REF!</definedName>
    <definedName name="멤버쉽상품4">#REF!</definedName>
    <definedName name="설치기간" localSheetId="3">#REF!</definedName>
    <definedName name="설치기간" localSheetId="0">#REF!</definedName>
    <definedName name="설치기간" localSheetId="1">#REF!</definedName>
    <definedName name="설치기간" localSheetId="2">#REF!</definedName>
    <definedName name="설치기간">#REF!</definedName>
    <definedName name="설치기간1" localSheetId="3">#REF!</definedName>
    <definedName name="설치기간1" localSheetId="0">#REF!</definedName>
    <definedName name="설치기간1" localSheetId="1">#REF!</definedName>
    <definedName name="설치기간1" localSheetId="2">#REF!</definedName>
    <definedName name="설치기간1">#REF!</definedName>
    <definedName name="세척1" localSheetId="3">#REF!</definedName>
    <definedName name="세척1" localSheetId="0">#REF!</definedName>
    <definedName name="세척1" localSheetId="1">#REF!</definedName>
    <definedName name="세척1" localSheetId="2">#REF!</definedName>
    <definedName name="세척1">#REF!</definedName>
    <definedName name="세척2" localSheetId="3">#REF!</definedName>
    <definedName name="세척2" localSheetId="0">#REF!</definedName>
    <definedName name="세척2" localSheetId="1">#REF!</definedName>
    <definedName name="세척2" localSheetId="2">#REF!</definedName>
    <definedName name="세척2">#REF!</definedName>
    <definedName name="세척3" localSheetId="3">#REF!</definedName>
    <definedName name="세척3" localSheetId="0">#REF!</definedName>
    <definedName name="세척3" localSheetId="1">#REF!</definedName>
    <definedName name="세척3" localSheetId="2">#REF!</definedName>
    <definedName name="세척3">#REF!</definedName>
    <definedName name="연락처5">[1]상품계산기!$F$96:$T$107</definedName>
    <definedName name="월간할인율" localSheetId="3">#REF!</definedName>
    <definedName name="월간할인율" localSheetId="0">#REF!</definedName>
    <definedName name="월간할인율" localSheetId="1">#REF!</definedName>
    <definedName name="월간할인율" localSheetId="2">#REF!</definedName>
    <definedName name="월간할인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49" l="1"/>
  <c r="K16" i="49"/>
  <c r="K22" i="49" s="1"/>
  <c r="B13" i="49" s="1"/>
  <c r="K13" i="49" s="1"/>
  <c r="C7" i="49" s="1"/>
  <c r="K17" i="48" l="1"/>
  <c r="K16" i="48"/>
  <c r="E19" i="47"/>
  <c r="E17" i="47"/>
  <c r="K17" i="47" s="1"/>
  <c r="E16" i="47"/>
  <c r="K16" i="47"/>
  <c r="E16" i="44"/>
  <c r="K16" i="44" s="1"/>
  <c r="K19" i="47"/>
  <c r="K18" i="44"/>
  <c r="K17" i="44"/>
  <c r="K18" i="47"/>
  <c r="K22" i="48" l="1"/>
  <c r="B13" i="48" s="1"/>
  <c r="K13" i="48" s="1"/>
  <c r="C7" i="48" s="1"/>
  <c r="K22" i="47"/>
  <c r="B13" i="47" s="1"/>
  <c r="K13" i="47" s="1"/>
  <c r="C7" i="47" s="1"/>
  <c r="K22" i="44" l="1"/>
  <c r="B13" i="44" s="1"/>
  <c r="K13" i="44" s="1"/>
  <c r="C7" i="44" s="1"/>
</calcChain>
</file>

<file path=xl/sharedStrings.xml><?xml version="1.0" encoding="utf-8"?>
<sst xmlns="http://schemas.openxmlformats.org/spreadsheetml/2006/main" count="290" uniqueCount="77">
  <si>
    <t>해당없음</t>
  </si>
  <si>
    <t xml:space="preserve"> </t>
  </si>
  <si>
    <t>• 분할기간:</t>
  </si>
  <si>
    <t>106-86-40809</t>
    <phoneticPr fontId="4" type="noConversion"/>
  </si>
  <si>
    <t>견적일자</t>
    <phoneticPr fontId="2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</si>
  <si>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</si>
  <si>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</si>
  <si>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</si>
  <si>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>계약조건</t>
    <phoneticPr fontId="2" type="noConversion"/>
  </si>
  <si>
    <t>사업장
주소</t>
    <phoneticPr fontId="4" type="noConversion"/>
  </si>
  <si>
    <t>견적유효일</t>
    <phoneticPr fontId="2" type="noConversion"/>
  </si>
  <si>
    <t xml:space="preserve">견적금액 </t>
    <phoneticPr fontId="2" type="noConversion"/>
  </si>
  <si>
    <t>업태</t>
    <phoneticPr fontId="4" type="noConversion"/>
  </si>
  <si>
    <t>종목</t>
    <phoneticPr fontId="4" type="noConversion"/>
  </si>
  <si>
    <t>전화</t>
    <phoneticPr fontId="4" type="noConversion"/>
  </si>
  <si>
    <t>팩스</t>
    <phoneticPr fontId="4" type="noConversion"/>
  </si>
  <si>
    <t xml:space="preserve">  아래와 같이 시스템에어컨 유지보수에 대한 상세내역을 제출합니다.</t>
    <phoneticPr fontId="4" type="noConversion"/>
  </si>
  <si>
    <t>구분</t>
    <phoneticPr fontId="3" type="noConversion"/>
  </si>
  <si>
    <t>금액</t>
    <phoneticPr fontId="3" type="noConversion"/>
  </si>
  <si>
    <t>NO</t>
    <phoneticPr fontId="2" type="noConversion"/>
  </si>
  <si>
    <t>상세 내역</t>
    <phoneticPr fontId="4" type="noConversion"/>
  </si>
  <si>
    <t>수  량</t>
    <phoneticPr fontId="2" type="noConversion"/>
  </si>
  <si>
    <t>기  준</t>
    <phoneticPr fontId="2" type="noConversion"/>
  </si>
  <si>
    <t>단   가</t>
    <phoneticPr fontId="2" type="noConversion"/>
  </si>
  <si>
    <t>비   고</t>
    <phoneticPr fontId="3" type="noConversion"/>
  </si>
  <si>
    <t>특이사항</t>
    <phoneticPr fontId="2" type="noConversion"/>
  </si>
  <si>
    <t>보험조건 :</t>
    <phoneticPr fontId="3" type="noConversion"/>
  </si>
  <si>
    <t>일시불</t>
    <phoneticPr fontId="2" type="noConversion"/>
  </si>
  <si>
    <t>고객담당자  :</t>
    <phoneticPr fontId="3" type="noConversion"/>
  </si>
  <si>
    <t>연락처 :</t>
    <phoneticPr fontId="2" type="noConversion"/>
  </si>
  <si>
    <t>등록번호</t>
    <phoneticPr fontId="4" type="noConversion"/>
  </si>
  <si>
    <t>S.P :</t>
    <phoneticPr fontId="2" type="noConversion"/>
  </si>
  <si>
    <t>Fax :</t>
    <phoneticPr fontId="2" type="noConversion"/>
  </si>
  <si>
    <t>042-486-4116</t>
    <phoneticPr fontId="2" type="noConversion"/>
  </si>
  <si>
    <t>세척 내역</t>
    <phoneticPr fontId="4" type="noConversion"/>
  </si>
  <si>
    <t>LG 시스템 냉난방기 세척 견적서</t>
    <phoneticPr fontId="4" type="noConversion"/>
  </si>
  <si>
    <t>합  계</t>
    <phoneticPr fontId="2" type="noConversion"/>
  </si>
  <si>
    <t>서비스 외</t>
    <phoneticPr fontId="4" type="noConversion"/>
  </si>
  <si>
    <t>042-486-4116</t>
    <phoneticPr fontId="4" type="noConversion"/>
  </si>
  <si>
    <t>전기,전자기기수리, 에어컨세척</t>
    <phoneticPr fontId="4" type="noConversion"/>
  </si>
  <si>
    <t>횟 수</t>
    <phoneticPr fontId="2" type="noConversion"/>
  </si>
  <si>
    <t>1회</t>
    <phoneticPr fontId="2" type="noConversion"/>
  </si>
  <si>
    <t xml:space="preserve"> </t>
    <phoneticPr fontId="7" type="noConversion"/>
  </si>
  <si>
    <t>작성일로 부터 30일</t>
    <phoneticPr fontId="5" type="noConversion"/>
  </si>
  <si>
    <t xml:space="preserve">    유  광  열</t>
    <phoneticPr fontId="4" type="noConversion"/>
  </si>
  <si>
    <t>권용주</t>
    <phoneticPr fontId="2" type="noConversion"/>
  </si>
  <si>
    <t>010 7206 1096</t>
    <phoneticPr fontId="2" type="noConversion"/>
  </si>
  <si>
    <t>서울 강서구 마곡중앙5로 18, 10, 11층(메이플레이스빌딩)</t>
    <phoneticPr fontId="4" type="noConversion"/>
  </si>
  <si>
    <t>010-7206-1096</t>
    <phoneticPr fontId="4" type="noConversion"/>
  </si>
  <si>
    <t>절사금액</t>
    <phoneticPr fontId="26" type="noConversion"/>
  </si>
  <si>
    <t>수  량</t>
    <phoneticPr fontId="2" type="noConversion"/>
  </si>
  <si>
    <t>합  계</t>
    <phoneticPr fontId="2" type="noConversion"/>
  </si>
  <si>
    <t>실내기 세척</t>
    <phoneticPr fontId="7" type="noConversion"/>
  </si>
  <si>
    <t xml:space="preserve">   HIM-C4_4WAY</t>
    <phoneticPr fontId="26" type="noConversion"/>
  </si>
  <si>
    <t>1회</t>
    <phoneticPr fontId="26" type="noConversion"/>
  </si>
  <si>
    <t>(VAT별도)</t>
    <phoneticPr fontId="2" type="noConversion"/>
  </si>
  <si>
    <t>총 견적금액(VAT별도)</t>
    <phoneticPr fontId="2" type="noConversion"/>
  </si>
  <si>
    <t>Ⅰ. 세척 견적내역</t>
    <phoneticPr fontId="3" type="noConversion"/>
  </si>
  <si>
    <t>세척 견적액</t>
    <phoneticPr fontId="2" type="noConversion"/>
  </si>
  <si>
    <t>기타 내역</t>
    <phoneticPr fontId="2" type="noConversion"/>
  </si>
  <si>
    <t>총 금액</t>
    <phoneticPr fontId="2" type="noConversion"/>
  </si>
  <si>
    <t xml:space="preserve">
- 시스템에어컨 전용 세척제 및 전용 세척장비 사용
- 작업전 사용 약품의 MSDS 제출
 </t>
    <phoneticPr fontId="2" type="noConversion"/>
  </si>
  <si>
    <t>1회</t>
    <phoneticPr fontId="26" type="noConversion"/>
  </si>
  <si>
    <t xml:space="preserve">LGES A,B,3동 기숙사 貴中 </t>
    <phoneticPr fontId="5" type="noConversion"/>
  </si>
  <si>
    <t xml:space="preserve">   HIM-C1_4WAY</t>
    <phoneticPr fontId="26" type="noConversion"/>
  </si>
  <si>
    <t xml:space="preserve">   HIM-C1_스텐드</t>
    <phoneticPr fontId="26" type="noConversion"/>
  </si>
  <si>
    <t xml:space="preserve">   HIM-C1_벽걸이</t>
    <phoneticPr fontId="26" type="noConversion"/>
  </si>
  <si>
    <t>1회</t>
    <phoneticPr fontId="26" type="noConversion"/>
  </si>
  <si>
    <t>Ⅱ. 기타 내역</t>
    <phoneticPr fontId="3" type="noConversion"/>
  </si>
  <si>
    <t xml:space="preserve">   HIM-C1_1/2WAY</t>
    <phoneticPr fontId="2" type="noConversion"/>
  </si>
  <si>
    <t xml:space="preserve">   HIM-C1_1/2WAY</t>
    <phoneticPr fontId="2" type="noConversion"/>
  </si>
  <si>
    <t xml:space="preserve">LG 사택 공용부 貴中 </t>
    <phoneticPr fontId="5" type="noConversion"/>
  </si>
  <si>
    <t xml:space="preserve">LG 사택 어린이집 貴中 </t>
    <phoneticPr fontId="5" type="noConversion"/>
  </si>
  <si>
    <t xml:space="preserve">   HIM-C4_1/2WAY</t>
    <phoneticPr fontId="2" type="noConversion"/>
  </si>
  <si>
    <t>Ⅱ. 기타 내역</t>
    <phoneticPr fontId="3" type="noConversion"/>
  </si>
  <si>
    <t xml:space="preserve">   HIM-C1_1/2WAY</t>
    <phoneticPr fontId="2" type="noConversion"/>
  </si>
  <si>
    <t xml:space="preserve">   HIM-C1_4WAY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</si>
</sst>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_ "/>
    <numFmt numFmtId="178" formatCode="_-* #,##0_-;\-* #,##0_-;_-* &quot;-&quot;??_-;_-@_-"/>
    <numFmt numFmtId="179" formatCode="_-* #,##0.0000000_-;\-* #,##0.0000000_-;_-* &quot;-&quot;_-;_-@_-"/>
    <numFmt numFmtId="180" formatCode="_-* #,##0.0_-;\-* #,##0.0_-;_-* &quot;-&quot;?_-;_-@_-"/>
  </numFmts>
  <fonts count="2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6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2" borderId="2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2" fillId="2" borderId="4" xfId="0" applyFont="1" applyFill="1" applyBorder="1" applyAlignment="1">
      <alignment horizontal="center" vertical="center"/>
    </xf>
    <xf numFmtId="0" fontId="13" fillId="2" borderId="0" xfId="0" applyFont="1" applyFill="1" applyBorder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31" fontId="13" fillId="2" borderId="2" xfId="0" applyNumberFormat="1" applyFont="1" applyFill="1" applyBorder="1" applyAlignment="1">
      <alignment vertical="center"/>
    </xf>
    <xf numFmtId="31" fontId="13" fillId="2" borderId="0" xfId="0" applyNumberFormat="1" applyFont="1" applyFill="1" applyBorder="1" applyAlignment="1">
      <alignment vertical="center"/>
    </xf>
    <xf numFmtId="42" fontId="13" fillId="2" borderId="0" xfId="0" applyNumberFormat="1" applyFont="1" applyFill="1" applyBorder="1" applyAlignment="1">
      <alignment vertical="center"/>
    </xf>
    <xf numFmtId="41" fontId="13" fillId="2" borderId="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1" fontId="12" fillId="2" borderId="2" xfId="0" applyNumberFormat="1" applyFont="1" applyFill="1" applyBorder="1" applyAlignment="1">
      <alignment horizontal="left" vertical="center"/>
    </xf>
    <xf numFmtId="31" fontId="13" fillId="2" borderId="0" xfId="0" applyNumberFormat="1" applyFont="1" applyFill="1" applyBorder="1" applyAlignment="1">
      <alignment horizontal="left" vertical="center"/>
    </xf>
    <xf numFmtId="31" fontId="12" fillId="2" borderId="7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41" fontId="11" fillId="2" borderId="9" xfId="2" applyFont="1" applyFill="1" applyBorder="1" applyAlignment="1">
      <alignment horizontal="center" vertical="center"/>
    </xf>
    <xf numFmtId="0" fontId="13" fillId="2" borderId="2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11" fillId="2" borderId="2" xfId="0" applyFont="1" applyFill="1" applyBorder="1" applyAlignment="1">
      <alignment horizontal="left" vertical="center" wrapText="1"/>
    </xf>
    <xf numFmtId="9" fontId="13" fillId="2" borderId="0" xfId="1" applyFont="1" applyFill="1" applyBorder="1" applyAlignment="1">
      <alignment horizontal="right" vertical="center" wrapText="1"/>
    </xf>
    <xf numFmtId="9" fontId="13" fillId="2" borderId="0" xfId="1" applyFont="1" applyFill="1" applyBorder="1" applyAlignment="1">
      <alignment horizontal="center" vertical="center" wrapText="1"/>
    </xf>
    <xf numFmtId="176" fontId="13" fillId="2" borderId="0" xfId="1" applyNumberFormat="1" applyFont="1" applyFill="1" applyBorder="1" applyAlignment="1">
      <alignment horizontal="center" vertical="center" wrapText="1"/>
    </xf>
    <xf numFmtId="9" fontId="13" fillId="2" borderId="1" xfId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3" fillId="2" borderId="10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3" fillId="2" borderId="11" xfId="0" applyFont="1" applyFill="1" applyBorder="1">
      <alignment vertical="center"/>
    </xf>
    <xf numFmtId="0" fontId="9" fillId="0" borderId="0" xfId="0" applyFont="1">
      <alignment vertical="center"/>
    </xf>
    <xf numFmtId="31" fontId="15" fillId="2" borderId="2" xfId="0" applyNumberFormat="1" applyFont="1" applyFill="1" applyBorder="1" applyAlignment="1">
      <alignment horizontal="left" vertical="center"/>
    </xf>
    <xf numFmtId="0" fontId="15" fillId="2" borderId="2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31" fontId="15" fillId="4" borderId="12" xfId="0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1" fillId="2" borderId="15" xfId="2" applyNumberFormat="1" applyFont="1" applyFill="1" applyBorder="1" applyAlignment="1">
      <alignment horizontal="center" vertical="center"/>
    </xf>
    <xf numFmtId="0" fontId="11" fillId="2" borderId="9" xfId="2" applyNumberFormat="1" applyFont="1" applyFill="1" applyBorder="1" applyAlignment="1">
      <alignment horizontal="center" vertical="center"/>
    </xf>
    <xf numFmtId="41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176" fontId="9" fillId="0" borderId="0" xfId="1" applyNumberFormat="1" applyFont="1">
      <alignment vertical="center"/>
    </xf>
    <xf numFmtId="43" fontId="9" fillId="0" borderId="0" xfId="0" applyNumberFormat="1" applyFont="1">
      <alignment vertical="center"/>
    </xf>
    <xf numFmtId="178" fontId="9" fillId="0" borderId="0" xfId="0" applyNumberFormat="1" applyFont="1">
      <alignment vertical="center"/>
    </xf>
    <xf numFmtId="177" fontId="9" fillId="0" borderId="0" xfId="1" applyNumberFormat="1" applyFont="1">
      <alignment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9" xfId="2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179" fontId="19" fillId="0" borderId="0" xfId="2" applyNumberFormat="1" applyFont="1">
      <alignment vertical="center"/>
    </xf>
    <xf numFmtId="41" fontId="19" fillId="0" borderId="0" xfId="0" applyNumberFormat="1" applyFont="1">
      <alignment vertical="center"/>
    </xf>
    <xf numFmtId="0" fontId="16" fillId="0" borderId="0" xfId="0" applyFont="1">
      <alignment vertical="center"/>
    </xf>
    <xf numFmtId="179" fontId="16" fillId="0" borderId="0" xfId="2" applyNumberFormat="1" applyFont="1">
      <alignment vertical="center"/>
    </xf>
    <xf numFmtId="41" fontId="16" fillId="0" borderId="0" xfId="0" applyNumberFormat="1" applyFont="1">
      <alignment vertical="center"/>
    </xf>
    <xf numFmtId="41" fontId="9" fillId="0" borderId="0" xfId="2" applyFont="1">
      <alignment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9" xfId="2" applyNumberFormat="1" applyFont="1" applyFill="1" applyBorder="1" applyAlignment="1">
      <alignment horizontal="center" vertical="center"/>
    </xf>
    <xf numFmtId="41" fontId="9" fillId="2" borderId="9" xfId="2" applyFont="1" applyFill="1" applyBorder="1" applyAlignment="1">
      <alignment horizontal="center" vertical="center"/>
    </xf>
    <xf numFmtId="180" fontId="9" fillId="0" borderId="0" xfId="0" applyNumberFormat="1" applyFont="1">
      <alignment vertical="center"/>
    </xf>
    <xf numFmtId="41" fontId="11" fillId="2" borderId="15" xfId="2" applyFont="1" applyFill="1" applyBorder="1" applyAlignment="1">
      <alignment horizontal="center" vertical="center"/>
    </xf>
    <xf numFmtId="41" fontId="11" fillId="2" borderId="16" xfId="2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9" fillId="2" borderId="16" xfId="2" applyNumberFormat="1" applyFont="1" applyFill="1" applyBorder="1" applyAlignment="1">
      <alignment horizontal="center" vertical="center"/>
    </xf>
    <xf numFmtId="41" fontId="9" fillId="2" borderId="16" xfId="2" applyFont="1" applyFill="1" applyBorder="1" applyAlignment="1">
      <alignment horizontal="center" vertical="center"/>
    </xf>
    <xf numFmtId="41" fontId="11" fillId="2" borderId="15" xfId="2" applyFont="1" applyFill="1" applyBorder="1" applyAlignment="1">
      <alignment horizontal="center" vertical="center"/>
    </xf>
    <xf numFmtId="41" fontId="11" fillId="2" borderId="16" xfId="2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41" fontId="11" fillId="2" borderId="15" xfId="2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41" fontId="11" fillId="2" borderId="16" xfId="2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4" borderId="5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9" fillId="3" borderId="54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56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center"/>
    </xf>
    <xf numFmtId="41" fontId="13" fillId="2" borderId="19" xfId="2" applyFont="1" applyFill="1" applyBorder="1" applyAlignment="1">
      <alignment horizontal="center" vertical="center"/>
    </xf>
    <xf numFmtId="41" fontId="13" fillId="2" borderId="20" xfId="2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52" xfId="0" applyFont="1" applyFill="1" applyBorder="1" applyAlignment="1">
      <alignment horizontal="center" vertical="center"/>
    </xf>
    <xf numFmtId="0" fontId="25" fillId="0" borderId="5" xfId="0" applyNumberFormat="1" applyFont="1" applyFill="1" applyBorder="1" applyAlignment="1">
      <alignment horizontal="left" vertical="top" wrapText="1"/>
    </xf>
    <xf numFmtId="0" fontId="17" fillId="0" borderId="9" xfId="0" applyNumberFormat="1" applyFont="1" applyFill="1" applyBorder="1" applyAlignment="1">
      <alignment horizontal="left" vertical="top" wrapText="1"/>
    </xf>
    <xf numFmtId="0" fontId="17" fillId="0" borderId="19" xfId="0" applyNumberFormat="1" applyFont="1" applyFill="1" applyBorder="1" applyAlignment="1">
      <alignment horizontal="left" vertical="top" wrapText="1"/>
    </xf>
    <xf numFmtId="0" fontId="17" fillId="0" borderId="32" xfId="0" applyNumberFormat="1" applyFont="1" applyFill="1" applyBorder="1" applyAlignment="1">
      <alignment horizontal="left" vertical="top" wrapText="1"/>
    </xf>
    <xf numFmtId="0" fontId="17" fillId="0" borderId="5" xfId="0" applyNumberFormat="1" applyFont="1" applyFill="1" applyBorder="1" applyAlignment="1">
      <alignment horizontal="left" vertical="top" wrapText="1"/>
    </xf>
    <xf numFmtId="0" fontId="6" fillId="0" borderId="33" xfId="4" applyFont="1" applyFill="1" applyBorder="1" applyAlignment="1" applyProtection="1">
      <alignment horizontal="left" vertical="center" wrapText="1"/>
    </xf>
    <xf numFmtId="0" fontId="19" fillId="0" borderId="31" xfId="0" applyFont="1" applyFill="1" applyBorder="1" applyAlignment="1">
      <alignment horizontal="left" vertical="center" wrapText="1"/>
    </xf>
    <xf numFmtId="0" fontId="19" fillId="0" borderId="2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right" vertical="center" wrapText="1"/>
    </xf>
    <xf numFmtId="0" fontId="19" fillId="2" borderId="19" xfId="0" applyFont="1" applyFill="1" applyBorder="1" applyAlignment="1">
      <alignment horizontal="left" vertical="center" shrinkToFit="1"/>
    </xf>
    <xf numFmtId="0" fontId="19" fillId="2" borderId="31" xfId="0" applyFont="1" applyFill="1" applyBorder="1" applyAlignment="1">
      <alignment horizontal="left" vertical="center" shrinkToFit="1"/>
    </xf>
    <xf numFmtId="0" fontId="19" fillId="2" borderId="52" xfId="0" applyFont="1" applyFill="1" applyBorder="1" applyAlignment="1">
      <alignment horizontal="left" vertical="center" shrinkToFit="1"/>
    </xf>
    <xf numFmtId="41" fontId="9" fillId="0" borderId="16" xfId="2" applyFont="1" applyBorder="1" applyAlignment="1">
      <alignment horizontal="center" vertical="center"/>
    </xf>
    <xf numFmtId="41" fontId="9" fillId="0" borderId="51" xfId="2" applyFont="1" applyBorder="1" applyAlignment="1">
      <alignment horizontal="center" vertical="center"/>
    </xf>
    <xf numFmtId="41" fontId="9" fillId="2" borderId="15" xfId="2" applyFont="1" applyFill="1" applyBorder="1" applyAlignment="1">
      <alignment horizontal="center" vertical="center"/>
    </xf>
    <xf numFmtId="41" fontId="11" fillId="2" borderId="19" xfId="2" applyFont="1" applyFill="1" applyBorder="1" applyAlignment="1">
      <alignment horizontal="center" vertical="center"/>
    </xf>
    <xf numFmtId="41" fontId="11" fillId="2" borderId="31" xfId="2" applyFont="1" applyFill="1" applyBorder="1" applyAlignment="1">
      <alignment horizontal="center" vertical="center"/>
    </xf>
    <xf numFmtId="41" fontId="11" fillId="2" borderId="52" xfId="2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shrinkToFit="1"/>
    </xf>
    <xf numFmtId="41" fontId="11" fillId="0" borderId="16" xfId="2" applyFont="1" applyBorder="1" applyAlignment="1">
      <alignment horizontal="center" vertical="center"/>
    </xf>
    <xf numFmtId="41" fontId="11" fillId="0" borderId="51" xfId="2" applyFont="1" applyBorder="1" applyAlignment="1">
      <alignment horizontal="center" vertical="center"/>
    </xf>
    <xf numFmtId="41" fontId="11" fillId="2" borderId="15" xfId="2" applyFont="1" applyFill="1" applyBorder="1" applyAlignment="1">
      <alignment horizontal="center" vertical="center"/>
    </xf>
    <xf numFmtId="41" fontId="11" fillId="2" borderId="16" xfId="2" applyFont="1" applyFill="1" applyBorder="1" applyAlignment="1">
      <alignment horizontal="center" vertical="center"/>
    </xf>
    <xf numFmtId="41" fontId="11" fillId="2" borderId="27" xfId="2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left" vertical="center" shrinkToFit="1"/>
    </xf>
    <xf numFmtId="41" fontId="11" fillId="2" borderId="15" xfId="2" applyNumberFormat="1" applyFont="1" applyFill="1" applyBorder="1" applyAlignment="1">
      <alignment horizontal="center" vertical="center"/>
    </xf>
    <xf numFmtId="41" fontId="19" fillId="0" borderId="19" xfId="2" applyFont="1" applyBorder="1" applyAlignment="1">
      <alignment horizontal="center" vertical="center"/>
    </xf>
    <xf numFmtId="41" fontId="19" fillId="0" borderId="52" xfId="2" applyFont="1" applyBorder="1" applyAlignment="1">
      <alignment horizontal="center" vertical="center"/>
    </xf>
    <xf numFmtId="41" fontId="19" fillId="2" borderId="19" xfId="2" applyFont="1" applyFill="1" applyBorder="1" applyAlignment="1">
      <alignment horizontal="center" vertical="center"/>
    </xf>
    <xf numFmtId="41" fontId="19" fillId="2" borderId="52" xfId="2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center" vertical="center"/>
    </xf>
    <xf numFmtId="41" fontId="19" fillId="2" borderId="15" xfId="2" applyFont="1" applyFill="1" applyBorder="1" applyAlignment="1">
      <alignment horizontal="center" vertical="center"/>
    </xf>
    <xf numFmtId="41" fontId="18" fillId="2" borderId="58" xfId="2" applyFont="1" applyFill="1" applyBorder="1" applyAlignment="1">
      <alignment horizontal="center" vertical="center" wrapText="1"/>
    </xf>
    <xf numFmtId="41" fontId="18" fillId="2" borderId="59" xfId="2" applyFont="1" applyFill="1" applyBorder="1" applyAlignment="1">
      <alignment horizontal="center" vertical="center" wrapText="1"/>
    </xf>
    <xf numFmtId="41" fontId="18" fillId="2" borderId="60" xfId="2" applyFont="1" applyFill="1" applyBorder="1" applyAlignment="1">
      <alignment horizontal="center" vertical="center" wrapText="1"/>
    </xf>
    <xf numFmtId="41" fontId="18" fillId="2" borderId="1" xfId="2" applyFont="1" applyFill="1" applyBorder="1" applyAlignment="1">
      <alignment horizontal="center" vertical="center" wrapText="1"/>
    </xf>
    <xf numFmtId="41" fontId="18" fillId="2" borderId="16" xfId="2" applyFont="1" applyFill="1" applyBorder="1" applyAlignment="1">
      <alignment horizontal="center" vertical="center" wrapText="1"/>
    </xf>
    <xf numFmtId="41" fontId="18" fillId="2" borderId="8" xfId="2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shrinkToFit="1"/>
    </xf>
    <xf numFmtId="0" fontId="11" fillId="2" borderId="31" xfId="0" applyFont="1" applyFill="1" applyBorder="1" applyAlignment="1">
      <alignment horizontal="center" vertical="center" shrinkToFit="1"/>
    </xf>
    <xf numFmtId="0" fontId="11" fillId="2" borderId="52" xfId="0" applyFont="1" applyFill="1" applyBorder="1" applyAlignment="1">
      <alignment horizontal="center" vertical="center" shrinkToFit="1"/>
    </xf>
    <xf numFmtId="41" fontId="11" fillId="0" borderId="19" xfId="2" applyFont="1" applyBorder="1" applyAlignment="1">
      <alignment horizontal="center" vertical="center"/>
    </xf>
    <xf numFmtId="41" fontId="11" fillId="0" borderId="52" xfId="2" applyFont="1" applyBorder="1" applyAlignment="1">
      <alignment horizontal="center" vertical="center"/>
    </xf>
    <xf numFmtId="0" fontId="17" fillId="4" borderId="47" xfId="0" applyFont="1" applyFill="1" applyBorder="1" applyAlignment="1">
      <alignment horizontal="center" vertical="center"/>
    </xf>
    <xf numFmtId="0" fontId="17" fillId="4" borderId="48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41" fontId="19" fillId="0" borderId="19" xfId="2" applyFont="1" applyBorder="1" applyAlignment="1">
      <alignment horizontal="right" vertical="center"/>
    </xf>
    <xf numFmtId="41" fontId="19" fillId="0" borderId="52" xfId="2" applyFont="1" applyBorder="1" applyAlignment="1">
      <alignment horizontal="right" vertical="center"/>
    </xf>
    <xf numFmtId="41" fontId="16" fillId="2" borderId="58" xfId="2" applyFont="1" applyFill="1" applyBorder="1" applyAlignment="1">
      <alignment horizontal="center" vertical="center" wrapText="1"/>
    </xf>
    <xf numFmtId="41" fontId="16" fillId="2" borderId="59" xfId="2" applyFont="1" applyFill="1" applyBorder="1" applyAlignment="1">
      <alignment horizontal="center" vertical="center" wrapText="1"/>
    </xf>
    <xf numFmtId="41" fontId="16" fillId="2" borderId="60" xfId="2" applyFont="1" applyFill="1" applyBorder="1" applyAlignment="1">
      <alignment horizontal="center" vertical="center" wrapText="1"/>
    </xf>
    <xf numFmtId="41" fontId="16" fillId="2" borderId="1" xfId="2" applyFont="1" applyFill="1" applyBorder="1" applyAlignment="1">
      <alignment horizontal="center" vertical="center" wrapText="1"/>
    </xf>
    <xf numFmtId="41" fontId="16" fillId="2" borderId="16" xfId="2" applyFont="1" applyFill="1" applyBorder="1" applyAlignment="1">
      <alignment horizontal="center" vertical="center" wrapText="1"/>
    </xf>
    <xf numFmtId="41" fontId="16" fillId="2" borderId="8" xfId="2" applyFont="1" applyFill="1" applyBorder="1" applyAlignment="1">
      <alignment horizontal="center" vertical="center" wrapText="1"/>
    </xf>
    <xf numFmtId="41" fontId="24" fillId="2" borderId="42" xfId="0" applyNumberFormat="1" applyFont="1" applyFill="1" applyBorder="1" applyAlignment="1">
      <alignment horizontal="center" vertical="center"/>
    </xf>
    <xf numFmtId="31" fontId="24" fillId="2" borderId="42" xfId="0" applyNumberFormat="1" applyFont="1" applyFill="1" applyBorder="1" applyAlignment="1">
      <alignment horizontal="center" vertical="center"/>
    </xf>
    <xf numFmtId="41" fontId="23" fillId="2" borderId="42" xfId="0" applyNumberFormat="1" applyFont="1" applyFill="1" applyBorder="1" applyAlignment="1">
      <alignment horizontal="center" vertical="center"/>
    </xf>
    <xf numFmtId="31" fontId="23" fillId="2" borderId="42" xfId="0" applyNumberFormat="1" applyFont="1" applyFill="1" applyBorder="1" applyAlignment="1">
      <alignment horizontal="center" vertical="center"/>
    </xf>
    <xf numFmtId="41" fontId="27" fillId="2" borderId="43" xfId="0" applyNumberFormat="1" applyFont="1" applyFill="1" applyBorder="1" applyAlignment="1">
      <alignment horizontal="center" vertical="center" wrapText="1"/>
    </xf>
    <xf numFmtId="41" fontId="27" fillId="2" borderId="44" xfId="0" applyNumberFormat="1" applyFont="1" applyFill="1" applyBorder="1" applyAlignment="1">
      <alignment horizontal="center" vertical="center"/>
    </xf>
    <xf numFmtId="41" fontId="27" fillId="2" borderId="45" xfId="0" applyNumberFormat="1" applyFont="1" applyFill="1" applyBorder="1" applyAlignment="1">
      <alignment horizontal="center" vertical="center"/>
    </xf>
    <xf numFmtId="41" fontId="24" fillId="2" borderId="43" xfId="0" applyNumberFormat="1" applyFont="1" applyFill="1" applyBorder="1" applyAlignment="1">
      <alignment horizontal="center" vertical="center"/>
    </xf>
    <xf numFmtId="41" fontId="24" fillId="2" borderId="44" xfId="0" applyNumberFormat="1" applyFont="1" applyFill="1" applyBorder="1" applyAlignment="1">
      <alignment horizontal="center" vertical="center"/>
    </xf>
    <xf numFmtId="41" fontId="24" fillId="2" borderId="46" xfId="0" applyNumberFormat="1" applyFont="1" applyFill="1" applyBorder="1" applyAlignment="1">
      <alignment horizontal="center" vertical="center"/>
    </xf>
    <xf numFmtId="0" fontId="17" fillId="4" borderId="49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42" fontId="23" fillId="2" borderId="35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31" fontId="15" fillId="4" borderId="38" xfId="0" applyNumberFormat="1" applyFont="1" applyFill="1" applyBorder="1" applyAlignment="1">
      <alignment horizontal="center" vertical="center"/>
    </xf>
    <xf numFmtId="31" fontId="27" fillId="4" borderId="38" xfId="0" applyNumberFormat="1" applyFont="1" applyFill="1" applyBorder="1" applyAlignment="1">
      <alignment horizontal="center" vertical="center"/>
    </xf>
    <xf numFmtId="31" fontId="15" fillId="4" borderId="39" xfId="0" applyNumberFormat="1" applyFont="1" applyFill="1" applyBorder="1" applyAlignment="1">
      <alignment horizontal="center" vertical="center"/>
    </xf>
    <xf numFmtId="31" fontId="15" fillId="4" borderId="40" xfId="0" applyNumberFormat="1" applyFont="1" applyFill="1" applyBorder="1" applyAlignment="1">
      <alignment horizontal="center" vertical="center"/>
    </xf>
    <xf numFmtId="31" fontId="15" fillId="4" borderId="41" xfId="0" applyNumberFormat="1" applyFont="1" applyFill="1" applyBorder="1" applyAlignment="1">
      <alignment horizontal="center" vertical="center"/>
    </xf>
    <xf numFmtId="31" fontId="15" fillId="2" borderId="34" xfId="0" applyNumberFormat="1" applyFont="1" applyFill="1" applyBorder="1" applyAlignment="1">
      <alignment horizontal="left" vertical="center" wrapText="1"/>
    </xf>
    <xf numFmtId="31" fontId="15" fillId="2" borderId="35" xfId="0" applyNumberFormat="1" applyFont="1" applyFill="1" applyBorder="1" applyAlignment="1">
      <alignment horizontal="left" vertical="center" wrapText="1"/>
    </xf>
    <xf numFmtId="41" fontId="22" fillId="2" borderId="35" xfId="3" applyNumberFormat="1" applyFont="1" applyFill="1" applyBorder="1" applyAlignment="1">
      <alignment horizontal="center" vertical="center"/>
    </xf>
    <xf numFmtId="41" fontId="22" fillId="2" borderId="27" xfId="3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31" fontId="15" fillId="2" borderId="26" xfId="0" applyNumberFormat="1" applyFont="1" applyFill="1" applyBorder="1" applyAlignment="1">
      <alignment horizontal="left" vertical="center"/>
    </xf>
    <xf numFmtId="31" fontId="15" fillId="2" borderId="27" xfId="0" applyNumberFormat="1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left" vertical="center"/>
    </xf>
    <xf numFmtId="0" fontId="15" fillId="2" borderId="31" xfId="0" applyFont="1" applyFill="1" applyBorder="1" applyAlignment="1">
      <alignment horizontal="left" vertical="center"/>
    </xf>
    <xf numFmtId="0" fontId="15" fillId="2" borderId="3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1" fillId="2" borderId="26" xfId="0" applyNumberFormat="1" applyFont="1" applyFill="1" applyBorder="1" applyAlignment="1">
      <alignment horizontal="right" vertical="center"/>
    </xf>
    <xf numFmtId="0" fontId="21" fillId="2" borderId="27" xfId="0" applyNumberFormat="1" applyFont="1" applyFill="1" applyBorder="1" applyAlignment="1">
      <alignment horizontal="right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left" vertical="center"/>
    </xf>
    <xf numFmtId="0" fontId="15" fillId="2" borderId="27" xfId="0" applyFont="1" applyFill="1" applyBorder="1" applyAlignment="1">
      <alignment horizontal="left" vertical="center"/>
    </xf>
    <xf numFmtId="31" fontId="15" fillId="2" borderId="31" xfId="0" applyNumberFormat="1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</cellXfs>
  <cellStyles count="7">
    <cellStyle name="백분율" xfId="1" builtinId="5"/>
    <cellStyle name="쉼표 [0]" xfId="2" builtinId="6"/>
    <cellStyle name="쉼표 [0] 2" xfId="6" xr:uid="{00000000-0005-0000-0000-000002000000}"/>
    <cellStyle name="통화 [0]" xfId="3" builtinId="7"/>
    <cellStyle name="표준" xfId="0" builtinId="0"/>
    <cellStyle name="표준 2" xfId="5" xr:uid="{00000000-0005-0000-0000-000005000000}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43</xdr:row>
      <xdr:rowOff>106680</xdr:rowOff>
    </xdr:from>
    <xdr:to>
      <xdr:col>7</xdr:col>
      <xdr:colOff>640080</xdr:colOff>
      <xdr:row>44</xdr:row>
      <xdr:rowOff>266700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63465" y="15137130"/>
          <a:ext cx="1053465" cy="407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43</xdr:row>
      <xdr:rowOff>106680</xdr:rowOff>
    </xdr:from>
    <xdr:to>
      <xdr:col>7</xdr:col>
      <xdr:colOff>640080</xdr:colOff>
      <xdr:row>44</xdr:row>
      <xdr:rowOff>266700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53940" y="15105380"/>
          <a:ext cx="1050290" cy="407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43</xdr:row>
      <xdr:rowOff>106680</xdr:rowOff>
    </xdr:from>
    <xdr:to>
      <xdr:col>7</xdr:col>
      <xdr:colOff>640080</xdr:colOff>
      <xdr:row>44</xdr:row>
      <xdr:rowOff>266700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53940" y="15105380"/>
          <a:ext cx="1050290" cy="407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43</xdr:row>
      <xdr:rowOff>106680</xdr:rowOff>
    </xdr:from>
    <xdr:to>
      <xdr:col>7</xdr:col>
      <xdr:colOff>640080</xdr:colOff>
      <xdr:row>44</xdr:row>
      <xdr:rowOff>266700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53940" y="15105380"/>
          <a:ext cx="1050290" cy="407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E\&#49436;&#48708;&#49828;&#49345;&#54408;\&#49345;&#54408;&#44228;&#49328;&#44592;\2009&#45380;&#44592;&#51456;\090409_2009&#45380;%20&#49345;&#54408;&#44228;&#49328;&#44592;%20V1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계산기"/>
      <sheetName val="1차견적서"/>
      <sheetName val="2차견적서"/>
      <sheetName val="3차견적서"/>
      <sheetName val="맞춤견적서"/>
      <sheetName val="정리내역"/>
      <sheetName val="터파기및재료"/>
      <sheetName val="일위대가(당초)"/>
      <sheetName val="1"/>
    </sheetNames>
    <sheetDataSet>
      <sheetData sheetId="0">
        <row r="46">
          <cell r="J46" t="str">
            <v>일시불</v>
          </cell>
          <cell r="K46">
            <v>1</v>
          </cell>
        </row>
        <row r="47">
          <cell r="J47" t="str">
            <v>분할납부</v>
          </cell>
          <cell r="K47">
            <v>12</v>
          </cell>
        </row>
        <row r="96">
          <cell r="F96" t="str">
            <v>최상수 부장</v>
          </cell>
          <cell r="G96" t="str">
            <v>010-7661-6857</v>
          </cell>
        </row>
        <row r="97">
          <cell r="F97" t="str">
            <v>김성완 과장</v>
          </cell>
          <cell r="G97" t="str">
            <v>019-559-0500</v>
          </cell>
        </row>
        <row r="98">
          <cell r="F98" t="str">
            <v>정유신 대리</v>
          </cell>
          <cell r="G98" t="str">
            <v>019-511-5173</v>
          </cell>
        </row>
        <row r="99">
          <cell r="F99" t="str">
            <v>이상순 과장</v>
          </cell>
          <cell r="G99" t="str">
            <v>010-5760-8029</v>
          </cell>
        </row>
        <row r="100">
          <cell r="F100" t="str">
            <v>류제형 과장</v>
          </cell>
          <cell r="G100" t="str">
            <v>010-5761-2500</v>
          </cell>
        </row>
        <row r="101">
          <cell r="F101" t="str">
            <v>손현주 과장</v>
          </cell>
          <cell r="G101" t="str">
            <v>010-2585-0314</v>
          </cell>
        </row>
        <row r="102">
          <cell r="F102" t="str">
            <v>김수진 과장</v>
          </cell>
          <cell r="G102" t="str">
            <v>018-239-7752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9"/>
  <sheetViews>
    <sheetView view="pageBreakPreview" topLeftCell="A18" zoomScale="85" zoomScaleNormal="70" zoomScaleSheetLayoutView="85" workbookViewId="0">
      <selection activeCell="E16" sqref="E16:E18"/>
    </sheetView>
  </sheetViews>
  <sheetFormatPr defaultColWidth="9" defaultRowHeight="16.5" x14ac:dyDescent="0.3"/>
  <cols>
    <col min="1" max="1" width="9.625" style="39" customWidth="1"/>
    <col min="2" max="4" width="10.25" style="39" customWidth="1"/>
    <col min="5" max="8" width="9.625" style="39" customWidth="1"/>
    <col min="9" max="9" width="11.25" style="39" customWidth="1"/>
    <col min="10" max="11" width="9.625" style="39" customWidth="1"/>
    <col min="12" max="13" width="6.125" style="39" customWidth="1"/>
    <col min="14" max="15" width="9.625" style="39" customWidth="1"/>
    <col min="16" max="16" width="10.5" style="39" bestFit="1" customWidth="1"/>
    <col min="17" max="17" width="19.75" style="39" bestFit="1" customWidth="1"/>
    <col min="18" max="18" width="10.625" style="39" bestFit="1" customWidth="1"/>
    <col min="19" max="19" width="12.5" style="39" bestFit="1" customWidth="1"/>
    <col min="20" max="20" width="9" style="39"/>
    <col min="21" max="21" width="12.5" style="39" bestFit="1" customWidth="1"/>
    <col min="22" max="16384" width="9" style="39"/>
  </cols>
  <sheetData>
    <row r="1" spans="1:19" ht="39" x14ac:dyDescent="0.3">
      <c r="A1" s="200" t="s">
        <v>35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9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9" ht="22.5" customHeight="1" x14ac:dyDescent="0.3">
      <c r="A3" s="203" t="s">
        <v>63</v>
      </c>
      <c r="B3" s="204"/>
      <c r="C3" s="204"/>
      <c r="D3" s="204"/>
      <c r="E3" s="204"/>
      <c r="F3" s="6"/>
      <c r="G3" s="7" t="s">
        <v>30</v>
      </c>
      <c r="H3" s="205" t="s">
        <v>3</v>
      </c>
      <c r="I3" s="205"/>
      <c r="J3" s="205"/>
      <c r="K3" s="205"/>
      <c r="L3" s="205"/>
      <c r="M3" s="205"/>
      <c r="N3" s="206"/>
      <c r="O3" s="207"/>
    </row>
    <row r="4" spans="1:19" ht="22.5" customHeight="1" x14ac:dyDescent="0.3">
      <c r="A4" s="208" t="s">
        <v>4</v>
      </c>
      <c r="B4" s="209"/>
      <c r="C4" s="210">
        <v>45400</v>
      </c>
      <c r="D4" s="210"/>
      <c r="E4" s="210"/>
      <c r="F4" s="8"/>
      <c r="G4" s="9" t="s">
        <v>5</v>
      </c>
      <c r="H4" s="187" t="s">
        <v>6</v>
      </c>
      <c r="I4" s="187"/>
      <c r="J4" s="187"/>
      <c r="K4" s="75" t="s">
        <v>7</v>
      </c>
      <c r="L4" s="211" t="s">
        <v>44</v>
      </c>
      <c r="M4" s="211"/>
      <c r="N4" s="212"/>
      <c r="O4" s="213"/>
    </row>
    <row r="5" spans="1:19" ht="22.5" customHeight="1" x14ac:dyDescent="0.3">
      <c r="A5" s="196" t="s">
        <v>8</v>
      </c>
      <c r="B5" s="197"/>
      <c r="C5" s="198" t="s">
        <v>52</v>
      </c>
      <c r="D5" s="198"/>
      <c r="E5" s="198"/>
      <c r="F5" s="8"/>
      <c r="G5" s="199" t="s">
        <v>9</v>
      </c>
      <c r="H5" s="188" t="s">
        <v>47</v>
      </c>
      <c r="I5" s="188"/>
      <c r="J5" s="188"/>
      <c r="K5" s="188"/>
      <c r="L5" s="188"/>
      <c r="M5" s="188"/>
      <c r="N5" s="189"/>
      <c r="O5" s="190"/>
    </row>
    <row r="6" spans="1:19" ht="22.5" customHeight="1" x14ac:dyDescent="0.3">
      <c r="A6" s="196" t="s">
        <v>10</v>
      </c>
      <c r="B6" s="197"/>
      <c r="C6" s="198" t="s">
        <v>43</v>
      </c>
      <c r="D6" s="198"/>
      <c r="E6" s="198"/>
      <c r="F6" s="8"/>
      <c r="G6" s="199"/>
      <c r="H6" s="188"/>
      <c r="I6" s="188"/>
      <c r="J6" s="188"/>
      <c r="K6" s="188"/>
      <c r="L6" s="188"/>
      <c r="M6" s="188"/>
      <c r="N6" s="189"/>
      <c r="O6" s="190"/>
    </row>
    <row r="7" spans="1:19" ht="22.5" customHeight="1" x14ac:dyDescent="0.3">
      <c r="A7" s="182" t="s">
        <v>11</v>
      </c>
      <c r="B7" s="183"/>
      <c r="C7" s="184">
        <f>K13</f>
        <v>4260000</v>
      </c>
      <c r="D7" s="184"/>
      <c r="E7" s="184"/>
      <c r="F7" s="186" t="s">
        <v>1</v>
      </c>
      <c r="G7" s="9" t="s">
        <v>12</v>
      </c>
      <c r="H7" s="187" t="s">
        <v>37</v>
      </c>
      <c r="I7" s="187"/>
      <c r="J7" s="187"/>
      <c r="K7" s="75" t="s">
        <v>13</v>
      </c>
      <c r="L7" s="188" t="s">
        <v>39</v>
      </c>
      <c r="M7" s="188"/>
      <c r="N7" s="189"/>
      <c r="O7" s="190"/>
    </row>
    <row r="8" spans="1:19" ht="22.5" customHeight="1" thickBot="1" x14ac:dyDescent="0.35">
      <c r="A8" s="191" t="s">
        <v>55</v>
      </c>
      <c r="B8" s="192"/>
      <c r="C8" s="185"/>
      <c r="D8" s="185"/>
      <c r="E8" s="185"/>
      <c r="F8" s="186"/>
      <c r="G8" s="10" t="s">
        <v>14</v>
      </c>
      <c r="H8" s="193" t="s">
        <v>48</v>
      </c>
      <c r="I8" s="193"/>
      <c r="J8" s="193"/>
      <c r="K8" s="76" t="s">
        <v>15</v>
      </c>
      <c r="L8" s="193" t="s">
        <v>38</v>
      </c>
      <c r="M8" s="193"/>
      <c r="N8" s="194"/>
      <c r="O8" s="195"/>
    </row>
    <row r="9" spans="1:19" ht="19.5" customHeight="1" x14ac:dyDescent="0.3">
      <c r="A9" s="11"/>
      <c r="B9" s="12"/>
      <c r="C9" s="13"/>
      <c r="D9" s="172"/>
      <c r="E9" s="172"/>
      <c r="F9" s="14"/>
      <c r="G9" s="15"/>
      <c r="H9" s="15"/>
      <c r="I9" s="15"/>
      <c r="J9" s="15"/>
      <c r="K9" s="15"/>
      <c r="L9" s="15"/>
      <c r="M9" s="15"/>
      <c r="N9" s="15"/>
      <c r="O9" s="16"/>
    </row>
    <row r="10" spans="1:19" ht="19.5" customHeight="1" x14ac:dyDescent="0.3">
      <c r="A10" s="17" t="s">
        <v>16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5"/>
      <c r="N10" s="173"/>
      <c r="O10" s="174"/>
    </row>
    <row r="11" spans="1:19" ht="9.75" customHeight="1" thickBot="1" x14ac:dyDescent="0.3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5"/>
      <c r="N11" s="175"/>
      <c r="O11" s="176"/>
    </row>
    <row r="12" spans="1:19" ht="23.25" customHeight="1" thickBot="1" x14ac:dyDescent="0.35">
      <c r="A12" s="45" t="s">
        <v>17</v>
      </c>
      <c r="B12" s="177" t="s">
        <v>58</v>
      </c>
      <c r="C12" s="177"/>
      <c r="D12" s="177"/>
      <c r="E12" s="177" t="s">
        <v>59</v>
      </c>
      <c r="F12" s="177"/>
      <c r="G12" s="177"/>
      <c r="H12" s="178" t="s">
        <v>49</v>
      </c>
      <c r="I12" s="178"/>
      <c r="J12" s="178"/>
      <c r="K12" s="179" t="s">
        <v>56</v>
      </c>
      <c r="L12" s="180"/>
      <c r="M12" s="180"/>
      <c r="N12" s="180"/>
      <c r="O12" s="181"/>
    </row>
    <row r="13" spans="1:19" ht="38.25" customHeight="1" thickTop="1" thickBot="1" x14ac:dyDescent="0.35">
      <c r="A13" s="19" t="s">
        <v>18</v>
      </c>
      <c r="B13" s="160">
        <f>SUM(K22)</f>
        <v>4260000</v>
      </c>
      <c r="C13" s="161"/>
      <c r="D13" s="161"/>
      <c r="E13" s="162"/>
      <c r="F13" s="163"/>
      <c r="G13" s="163"/>
      <c r="H13" s="164"/>
      <c r="I13" s="165"/>
      <c r="J13" s="166"/>
      <c r="K13" s="167">
        <f>B13+E13+H13</f>
        <v>4260000</v>
      </c>
      <c r="L13" s="168"/>
      <c r="M13" s="168"/>
      <c r="N13" s="168"/>
      <c r="O13" s="169"/>
      <c r="Q13" s="54">
        <v>37380000</v>
      </c>
    </row>
    <row r="14" spans="1:19" ht="22.5" customHeight="1" x14ac:dyDescent="0.3">
      <c r="A14" s="40" t="s">
        <v>57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5"/>
      <c r="N14" s="15"/>
      <c r="O14" s="16"/>
    </row>
    <row r="15" spans="1:19" ht="22.5" customHeight="1" thickBot="1" x14ac:dyDescent="0.35">
      <c r="A15" s="46" t="s">
        <v>19</v>
      </c>
      <c r="B15" s="134" t="s">
        <v>20</v>
      </c>
      <c r="C15" s="148"/>
      <c r="D15" s="149"/>
      <c r="E15" s="74" t="s">
        <v>50</v>
      </c>
      <c r="F15" s="74" t="s">
        <v>22</v>
      </c>
      <c r="G15" s="170" t="s">
        <v>23</v>
      </c>
      <c r="H15" s="170"/>
      <c r="I15" s="171"/>
      <c r="J15" s="171"/>
      <c r="K15" s="134" t="s">
        <v>60</v>
      </c>
      <c r="L15" s="148"/>
      <c r="M15" s="148"/>
      <c r="N15" s="134" t="s">
        <v>24</v>
      </c>
      <c r="O15" s="135"/>
      <c r="Q15" s="51"/>
    </row>
    <row r="16" spans="1:19" ht="22.5" customHeight="1" thickTop="1" x14ac:dyDescent="0.3">
      <c r="A16" s="57">
        <v>1</v>
      </c>
      <c r="B16" s="128" t="s">
        <v>70</v>
      </c>
      <c r="C16" s="128"/>
      <c r="D16" s="128"/>
      <c r="E16" s="48">
        <f>201+102+1+1+1+1+1+114</f>
        <v>422</v>
      </c>
      <c r="F16" s="72" t="s">
        <v>41</v>
      </c>
      <c r="G16" s="152">
        <v>10000</v>
      </c>
      <c r="H16" s="153"/>
      <c r="I16" s="136"/>
      <c r="J16" s="136"/>
      <c r="K16" s="119">
        <f>G16*E16</f>
        <v>4220000</v>
      </c>
      <c r="L16" s="120"/>
      <c r="M16" s="121"/>
      <c r="N16" s="154"/>
      <c r="O16" s="155"/>
      <c r="S16" s="71"/>
    </row>
    <row r="17" spans="1:21" ht="22.5" customHeight="1" x14ac:dyDescent="0.3">
      <c r="A17" s="56">
        <v>2</v>
      </c>
      <c r="B17" s="128" t="s">
        <v>64</v>
      </c>
      <c r="C17" s="128"/>
      <c r="D17" s="128"/>
      <c r="E17" s="49">
        <v>1</v>
      </c>
      <c r="F17" s="72" t="s">
        <v>67</v>
      </c>
      <c r="G17" s="123">
        <v>10000</v>
      </c>
      <c r="H17" s="124"/>
      <c r="I17" s="129"/>
      <c r="J17" s="129"/>
      <c r="K17" s="119">
        <f>G17*E17</f>
        <v>10000</v>
      </c>
      <c r="L17" s="120"/>
      <c r="M17" s="121"/>
      <c r="N17" s="156"/>
      <c r="O17" s="157"/>
    </row>
    <row r="18" spans="1:21" ht="22.5" customHeight="1" x14ac:dyDescent="0.3">
      <c r="A18" s="56">
        <v>3</v>
      </c>
      <c r="B18" s="113" t="s">
        <v>65</v>
      </c>
      <c r="C18" s="114"/>
      <c r="D18" s="115"/>
      <c r="E18" s="77">
        <v>3</v>
      </c>
      <c r="F18" s="78" t="s">
        <v>67</v>
      </c>
      <c r="G18" s="116">
        <v>10000</v>
      </c>
      <c r="H18" s="117"/>
      <c r="I18" s="118"/>
      <c r="J18" s="118"/>
      <c r="K18" s="119">
        <f>G18*E18</f>
        <v>30000</v>
      </c>
      <c r="L18" s="120"/>
      <c r="M18" s="121"/>
      <c r="N18" s="156"/>
      <c r="O18" s="157"/>
    </row>
    <row r="19" spans="1:21" ht="22.5" customHeight="1" x14ac:dyDescent="0.3">
      <c r="A19" s="59"/>
      <c r="B19" s="113"/>
      <c r="C19" s="114"/>
      <c r="D19" s="115"/>
      <c r="E19" s="60"/>
      <c r="F19" s="72"/>
      <c r="G19" s="130"/>
      <c r="H19" s="131"/>
      <c r="I19" s="132"/>
      <c r="J19" s="133"/>
      <c r="K19" s="119"/>
      <c r="L19" s="120"/>
      <c r="M19" s="121"/>
      <c r="N19" s="156"/>
      <c r="O19" s="157"/>
    </row>
    <row r="20" spans="1:21" ht="22.15" customHeight="1" x14ac:dyDescent="0.3">
      <c r="A20" s="68"/>
      <c r="B20" s="113"/>
      <c r="C20" s="114"/>
      <c r="D20" s="115"/>
      <c r="E20" s="69"/>
      <c r="F20" s="70"/>
      <c r="G20" s="116"/>
      <c r="H20" s="117"/>
      <c r="I20" s="118"/>
      <c r="J20" s="118"/>
      <c r="K20" s="119"/>
      <c r="L20" s="120"/>
      <c r="M20" s="121"/>
      <c r="N20" s="156"/>
      <c r="O20" s="157"/>
    </row>
    <row r="21" spans="1:21" ht="22.15" customHeight="1" x14ac:dyDescent="0.3">
      <c r="A21" s="68"/>
      <c r="B21" s="113"/>
      <c r="C21" s="114"/>
      <c r="D21" s="115"/>
      <c r="E21" s="77"/>
      <c r="F21" s="78"/>
      <c r="G21" s="116"/>
      <c r="H21" s="117"/>
      <c r="I21" s="118"/>
      <c r="J21" s="118"/>
      <c r="K21" s="119"/>
      <c r="L21" s="120"/>
      <c r="M21" s="121"/>
      <c r="N21" s="156"/>
      <c r="O21" s="157"/>
    </row>
    <row r="22" spans="1:21" ht="22.5" customHeight="1" x14ac:dyDescent="0.3">
      <c r="A22" s="56"/>
      <c r="B22" s="143" t="s">
        <v>51</v>
      </c>
      <c r="C22" s="144"/>
      <c r="D22" s="145"/>
      <c r="E22" s="73" t="s">
        <v>1</v>
      </c>
      <c r="F22" s="73" t="s">
        <v>1</v>
      </c>
      <c r="G22" s="146"/>
      <c r="H22" s="147"/>
      <c r="I22" s="119"/>
      <c r="J22" s="121"/>
      <c r="K22" s="119">
        <f>SUM(K16:M21)</f>
        <v>4260000</v>
      </c>
      <c r="L22" s="120"/>
      <c r="M22" s="121"/>
      <c r="N22" s="158"/>
      <c r="O22" s="159"/>
    </row>
    <row r="23" spans="1:21" ht="22.5" customHeight="1" x14ac:dyDescent="0.3">
      <c r="A23" s="41" t="s">
        <v>68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Q23" s="50"/>
    </row>
    <row r="24" spans="1:21" ht="22.5" customHeight="1" thickBot="1" x14ac:dyDescent="0.35">
      <c r="A24" s="46" t="s">
        <v>19</v>
      </c>
      <c r="B24" s="134" t="s">
        <v>34</v>
      </c>
      <c r="C24" s="148"/>
      <c r="D24" s="149"/>
      <c r="E24" s="74" t="s">
        <v>21</v>
      </c>
      <c r="F24" s="74" t="s">
        <v>40</v>
      </c>
      <c r="G24" s="134" t="s">
        <v>23</v>
      </c>
      <c r="H24" s="149"/>
      <c r="I24" s="150"/>
      <c r="J24" s="151"/>
      <c r="K24" s="134" t="s">
        <v>60</v>
      </c>
      <c r="L24" s="148"/>
      <c r="M24" s="149"/>
      <c r="N24" s="134" t="s">
        <v>24</v>
      </c>
      <c r="O24" s="135"/>
      <c r="Q24" s="51"/>
    </row>
    <row r="25" spans="1:21" ht="21.75" customHeight="1" thickTop="1" x14ac:dyDescent="0.3">
      <c r="A25" s="57"/>
      <c r="B25" s="128"/>
      <c r="C25" s="128"/>
      <c r="D25" s="128"/>
      <c r="E25" s="48"/>
      <c r="F25" s="72"/>
      <c r="G25" s="130"/>
      <c r="H25" s="131"/>
      <c r="I25" s="136"/>
      <c r="J25" s="136"/>
      <c r="K25" s="119"/>
      <c r="L25" s="120"/>
      <c r="M25" s="121"/>
      <c r="N25" s="137"/>
      <c r="O25" s="138"/>
      <c r="P25" s="67"/>
      <c r="Q25" s="67"/>
      <c r="R25" s="71"/>
      <c r="U25" s="50"/>
    </row>
    <row r="26" spans="1:21" ht="21.75" customHeight="1" x14ac:dyDescent="0.3">
      <c r="A26" s="56"/>
      <c r="B26" s="128"/>
      <c r="C26" s="128"/>
      <c r="D26" s="128"/>
      <c r="E26" s="49"/>
      <c r="F26" s="72"/>
      <c r="G26" s="123"/>
      <c r="H26" s="124"/>
      <c r="I26" s="125"/>
      <c r="J26" s="125"/>
      <c r="K26" s="119"/>
      <c r="L26" s="120"/>
      <c r="M26" s="121"/>
      <c r="N26" s="139"/>
      <c r="O26" s="140"/>
      <c r="P26" s="67"/>
      <c r="Q26" s="67"/>
      <c r="R26" s="50"/>
      <c r="S26" s="50"/>
      <c r="U26" s="50"/>
    </row>
    <row r="27" spans="1:21" ht="21.75" customHeight="1" x14ac:dyDescent="0.3">
      <c r="A27" s="56"/>
      <c r="B27" s="128"/>
      <c r="C27" s="128"/>
      <c r="D27" s="128"/>
      <c r="E27" s="49"/>
      <c r="F27" s="72"/>
      <c r="G27" s="123"/>
      <c r="H27" s="124"/>
      <c r="I27" s="129"/>
      <c r="J27" s="129"/>
      <c r="K27" s="119"/>
      <c r="L27" s="120"/>
      <c r="M27" s="121"/>
      <c r="N27" s="139"/>
      <c r="O27" s="140"/>
      <c r="P27" s="67"/>
      <c r="Q27" s="67"/>
      <c r="R27" s="50"/>
      <c r="S27" s="50"/>
      <c r="U27" s="50"/>
    </row>
    <row r="28" spans="1:21" s="61" customFormat="1" ht="21.75" customHeight="1" x14ac:dyDescent="0.3">
      <c r="A28" s="59"/>
      <c r="B28" s="113"/>
      <c r="C28" s="114"/>
      <c r="D28" s="115"/>
      <c r="E28" s="60"/>
      <c r="F28" s="72"/>
      <c r="G28" s="130"/>
      <c r="H28" s="131"/>
      <c r="I28" s="132"/>
      <c r="J28" s="133"/>
      <c r="K28" s="119"/>
      <c r="L28" s="120"/>
      <c r="M28" s="121"/>
      <c r="N28" s="139"/>
      <c r="O28" s="140"/>
      <c r="Q28" s="62"/>
      <c r="R28" s="63"/>
      <c r="S28" s="63"/>
      <c r="U28" s="63"/>
    </row>
    <row r="29" spans="1:21" s="64" customFormat="1" ht="21.75" customHeight="1" x14ac:dyDescent="0.3">
      <c r="A29" s="68"/>
      <c r="B29" s="113"/>
      <c r="C29" s="114"/>
      <c r="D29" s="115"/>
      <c r="E29" s="69"/>
      <c r="F29" s="70"/>
      <c r="G29" s="116"/>
      <c r="H29" s="117"/>
      <c r="I29" s="118"/>
      <c r="J29" s="118"/>
      <c r="K29" s="119"/>
      <c r="L29" s="120"/>
      <c r="M29" s="121"/>
      <c r="N29" s="141"/>
      <c r="O29" s="142"/>
      <c r="Q29" s="65"/>
      <c r="R29" s="66"/>
      <c r="S29" s="66"/>
      <c r="U29" s="66"/>
    </row>
    <row r="30" spans="1:21" ht="21.75" customHeight="1" x14ac:dyDescent="0.3">
      <c r="A30" s="22"/>
      <c r="B30" s="122" t="s">
        <v>36</v>
      </c>
      <c r="C30" s="122"/>
      <c r="D30" s="122"/>
      <c r="E30" s="49"/>
      <c r="F30" s="23"/>
      <c r="G30" s="123"/>
      <c r="H30" s="124"/>
      <c r="I30" s="125"/>
      <c r="J30" s="125"/>
      <c r="K30" s="126"/>
      <c r="L30" s="127"/>
      <c r="M30" s="127"/>
      <c r="N30" s="99"/>
      <c r="O30" s="100"/>
      <c r="Q30" s="67"/>
      <c r="R30" s="52"/>
      <c r="S30" s="52"/>
      <c r="U30" s="52"/>
    </row>
    <row r="31" spans="1:21" ht="11.25" customHeight="1" x14ac:dyDescent="0.3">
      <c r="A31" s="2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25"/>
      <c r="R31" s="50"/>
    </row>
    <row r="32" spans="1:21" ht="23.25" customHeight="1" x14ac:dyDescent="0.3">
      <c r="A32" s="101" t="s">
        <v>25</v>
      </c>
      <c r="B32" s="10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Q32" s="50"/>
    </row>
    <row r="33" spans="1:19" ht="35.1" customHeight="1" x14ac:dyDescent="0.3">
      <c r="A33" s="103" t="s">
        <v>61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6"/>
      <c r="Q33" s="50"/>
      <c r="S33" s="50"/>
    </row>
    <row r="34" spans="1:19" ht="35.1" customHeight="1" x14ac:dyDescent="0.3">
      <c r="A34" s="107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6"/>
      <c r="Q34" s="54"/>
      <c r="S34" s="53"/>
    </row>
    <row r="35" spans="1:19" ht="22.5" customHeight="1" x14ac:dyDescent="0.3">
      <c r="A35" s="107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5"/>
      <c r="O35" s="106"/>
      <c r="Q35" s="55"/>
    </row>
    <row r="36" spans="1:19" ht="34.5" hidden="1" customHeight="1" x14ac:dyDescent="0.3">
      <c r="A36" s="107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5"/>
      <c r="O36" s="106"/>
    </row>
    <row r="37" spans="1:19" ht="249.75" customHeight="1" x14ac:dyDescent="0.3">
      <c r="A37" s="107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6"/>
      <c r="Q37" s="53"/>
    </row>
    <row r="38" spans="1:19" ht="24" customHeight="1" x14ac:dyDescent="0.3">
      <c r="A38" s="108" t="s">
        <v>42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10"/>
      <c r="Q38" s="50"/>
    </row>
    <row r="39" spans="1:19" ht="22.5" customHeight="1" x14ac:dyDescent="0.3">
      <c r="A39" s="26" t="s">
        <v>26</v>
      </c>
      <c r="B39" s="111" t="s">
        <v>0</v>
      </c>
      <c r="C39" s="111"/>
      <c r="D39" s="111"/>
      <c r="E39" s="111"/>
      <c r="F39" s="27"/>
      <c r="G39" s="28"/>
      <c r="H39" s="27"/>
      <c r="I39" s="28"/>
      <c r="J39" s="27"/>
      <c r="K39" s="28"/>
      <c r="L39" s="112"/>
      <c r="M39" s="112"/>
      <c r="N39" s="29"/>
      <c r="O39" s="30"/>
    </row>
    <row r="40" spans="1:19" ht="22.5" customHeight="1" thickBot="1" x14ac:dyDescent="0.35">
      <c r="A40" s="31"/>
      <c r="B40" s="92"/>
      <c r="C40" s="92"/>
      <c r="D40" s="92"/>
      <c r="E40" s="92"/>
      <c r="F40" s="92"/>
      <c r="G40" s="32"/>
      <c r="H40" s="33"/>
      <c r="I40" s="92"/>
      <c r="J40" s="92"/>
      <c r="K40" s="34"/>
      <c r="L40" s="92"/>
      <c r="M40" s="92"/>
      <c r="N40" s="42" t="s">
        <v>2</v>
      </c>
      <c r="O40" s="43" t="s">
        <v>27</v>
      </c>
    </row>
    <row r="41" spans="1:19" ht="22.5" customHeight="1" thickBot="1" x14ac:dyDescent="0.35">
      <c r="A41" s="93" t="s">
        <v>28</v>
      </c>
      <c r="B41" s="94"/>
      <c r="C41" s="95" t="s">
        <v>45</v>
      </c>
      <c r="D41" s="96"/>
      <c r="E41" s="47" t="s">
        <v>29</v>
      </c>
      <c r="F41" s="95"/>
      <c r="G41" s="96"/>
      <c r="H41" s="47" t="s">
        <v>31</v>
      </c>
      <c r="I41" s="95" t="s">
        <v>46</v>
      </c>
      <c r="J41" s="96"/>
      <c r="K41" s="47" t="s">
        <v>32</v>
      </c>
      <c r="L41" s="97" t="s">
        <v>33</v>
      </c>
      <c r="M41" s="97"/>
      <c r="N41" s="97"/>
      <c r="O41" s="98"/>
    </row>
    <row r="42" spans="1:19" ht="19.5" customHeight="1" x14ac:dyDescent="0.3">
      <c r="A42" s="2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5"/>
    </row>
    <row r="43" spans="1:19" ht="19.5" customHeight="1" x14ac:dyDescent="0.3">
      <c r="A43" s="24"/>
      <c r="B43" s="8"/>
      <c r="C43" s="8"/>
      <c r="D43" s="8"/>
      <c r="E43" s="89"/>
      <c r="F43" s="89"/>
      <c r="G43" s="90"/>
      <c r="H43" s="90"/>
      <c r="I43" s="90"/>
      <c r="J43" s="90"/>
      <c r="K43" s="90"/>
      <c r="L43" s="90"/>
      <c r="M43" s="90"/>
      <c r="N43" s="90"/>
      <c r="O43" s="1"/>
    </row>
    <row r="44" spans="1:19" ht="19.5" customHeight="1" x14ac:dyDescent="0.3">
      <c r="A44" s="24"/>
      <c r="B44" s="8"/>
      <c r="C44" s="8"/>
      <c r="D44" s="8"/>
      <c r="E44" s="58"/>
      <c r="F44" s="58"/>
      <c r="G44" s="58"/>
      <c r="H44" s="44"/>
      <c r="I44" s="58"/>
      <c r="J44" s="44"/>
      <c r="K44" s="58"/>
      <c r="L44" s="44"/>
      <c r="M44" s="58"/>
      <c r="N44" s="58"/>
      <c r="O44" s="35"/>
    </row>
    <row r="45" spans="1:19" ht="31.5" customHeight="1" thickBot="1" x14ac:dyDescent="0.3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</row>
    <row r="49" spans="2:7" ht="322.89999999999998" customHeight="1" x14ac:dyDescent="0.3">
      <c r="B49" s="91"/>
      <c r="C49" s="91"/>
      <c r="D49" s="91"/>
      <c r="E49" s="91"/>
      <c r="F49" s="91"/>
      <c r="G49" s="91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2"/>
    <mergeCell ref="B17:D17"/>
    <mergeCell ref="G17:H17"/>
    <mergeCell ref="I17:J17"/>
    <mergeCell ref="K17:M17"/>
    <mergeCell ref="B18:D1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B22:D22"/>
    <mergeCell ref="G22:H22"/>
    <mergeCell ref="I22:J22"/>
    <mergeCell ref="K22:M22"/>
    <mergeCell ref="B24:D24"/>
    <mergeCell ref="G24:H24"/>
    <mergeCell ref="I24:J24"/>
    <mergeCell ref="K24:M24"/>
    <mergeCell ref="B20:D20"/>
    <mergeCell ref="G20:H20"/>
    <mergeCell ref="I20:J20"/>
    <mergeCell ref="K20:M20"/>
    <mergeCell ref="B21:D21"/>
    <mergeCell ref="G21:H21"/>
    <mergeCell ref="I21:J21"/>
    <mergeCell ref="K21:M21"/>
    <mergeCell ref="B27:D27"/>
    <mergeCell ref="G27:H27"/>
    <mergeCell ref="I27:J27"/>
    <mergeCell ref="K27:M27"/>
    <mergeCell ref="B28:D28"/>
    <mergeCell ref="G28:H28"/>
    <mergeCell ref="I28:J28"/>
    <mergeCell ref="K28:M28"/>
    <mergeCell ref="N24:O24"/>
    <mergeCell ref="B25:D25"/>
    <mergeCell ref="G25:H25"/>
    <mergeCell ref="I25:J25"/>
    <mergeCell ref="K25:M25"/>
    <mergeCell ref="N25:O29"/>
    <mergeCell ref="B26:D26"/>
    <mergeCell ref="G26:H26"/>
    <mergeCell ref="I26:J26"/>
    <mergeCell ref="K26:M26"/>
    <mergeCell ref="N30:O30"/>
    <mergeCell ref="A32:B32"/>
    <mergeCell ref="A33:O37"/>
    <mergeCell ref="A38:O38"/>
    <mergeCell ref="B39:E39"/>
    <mergeCell ref="L39:M39"/>
    <mergeCell ref="B29:D29"/>
    <mergeCell ref="G29:H29"/>
    <mergeCell ref="I29:J29"/>
    <mergeCell ref="K29:M29"/>
    <mergeCell ref="B30:D30"/>
    <mergeCell ref="G30:H30"/>
    <mergeCell ref="I30:J30"/>
    <mergeCell ref="K30:M30"/>
    <mergeCell ref="E43:F43"/>
    <mergeCell ref="G43:H43"/>
    <mergeCell ref="I43:J43"/>
    <mergeCell ref="K43:L43"/>
    <mergeCell ref="M43:N43"/>
    <mergeCell ref="B49:G49"/>
    <mergeCell ref="B40:C40"/>
    <mergeCell ref="D40:F40"/>
    <mergeCell ref="I40:J40"/>
    <mergeCell ref="L40:M40"/>
    <mergeCell ref="A41:B41"/>
    <mergeCell ref="C41:D41"/>
    <mergeCell ref="F41:G41"/>
    <mergeCell ref="I41:J41"/>
    <mergeCell ref="L41:O41"/>
  </mergeCells>
  <phoneticPr fontId="26" type="noConversion"/>
  <pageMargins left="0.22" right="0.2" top="0.41" bottom="0.31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9"/>
  <sheetViews>
    <sheetView view="pageBreakPreview" topLeftCell="A15" zoomScale="85" zoomScaleNormal="70" zoomScaleSheetLayoutView="85" workbookViewId="0">
      <selection activeCell="G22" sqref="G22:H22"/>
    </sheetView>
  </sheetViews>
  <sheetFormatPr defaultColWidth="9" defaultRowHeight="16.5" x14ac:dyDescent="0.3"/>
  <cols>
    <col min="1" max="1" width="9.625" style="39" customWidth="1"/>
    <col min="2" max="4" width="10.25" style="39" customWidth="1"/>
    <col min="5" max="8" width="9.625" style="39" customWidth="1"/>
    <col min="9" max="9" width="11.25" style="39" customWidth="1"/>
    <col min="10" max="11" width="9.625" style="39" customWidth="1"/>
    <col min="12" max="13" width="6.125" style="39" customWidth="1"/>
    <col min="14" max="15" width="9.625" style="39" customWidth="1"/>
    <col min="16" max="16" width="10.5" style="39" bestFit="1" customWidth="1"/>
    <col min="17" max="17" width="19.75" style="39" bestFit="1" customWidth="1"/>
    <col min="18" max="18" width="10.625" style="39" bestFit="1" customWidth="1"/>
    <col min="19" max="19" width="12.5" style="39" bestFit="1" customWidth="1"/>
    <col min="20" max="20" width="9" style="39"/>
    <col min="21" max="21" width="12.5" style="39" bestFit="1" customWidth="1"/>
    <col min="22" max="16384" width="9" style="39"/>
  </cols>
  <sheetData>
    <row r="1" spans="1:19" ht="39" x14ac:dyDescent="0.3">
      <c r="A1" s="200" t="s">
        <v>35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9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9" ht="22.5" customHeight="1" x14ac:dyDescent="0.3">
      <c r="A3" s="203" t="s">
        <v>71</v>
      </c>
      <c r="B3" s="204"/>
      <c r="C3" s="204"/>
      <c r="D3" s="204"/>
      <c r="E3" s="204"/>
      <c r="F3" s="6"/>
      <c r="G3" s="7" t="s">
        <v>30</v>
      </c>
      <c r="H3" s="205" t="s">
        <v>3</v>
      </c>
      <c r="I3" s="205"/>
      <c r="J3" s="205"/>
      <c r="K3" s="205"/>
      <c r="L3" s="205"/>
      <c r="M3" s="205"/>
      <c r="N3" s="206"/>
      <c r="O3" s="207"/>
    </row>
    <row r="4" spans="1:19" ht="22.5" customHeight="1" x14ac:dyDescent="0.3">
      <c r="A4" s="208" t="s">
        <v>4</v>
      </c>
      <c r="B4" s="209"/>
      <c r="C4" s="210">
        <v>45400</v>
      </c>
      <c r="D4" s="210"/>
      <c r="E4" s="210"/>
      <c r="F4" s="8"/>
      <c r="G4" s="9" t="s">
        <v>5</v>
      </c>
      <c r="H4" s="187" t="s">
        <v>6</v>
      </c>
      <c r="I4" s="187"/>
      <c r="J4" s="187"/>
      <c r="K4" s="82" t="s">
        <v>7</v>
      </c>
      <c r="L4" s="211" t="s">
        <v>44</v>
      </c>
      <c r="M4" s="211"/>
      <c r="N4" s="212"/>
      <c r="O4" s="213"/>
    </row>
    <row r="5" spans="1:19" ht="22.5" customHeight="1" x14ac:dyDescent="0.3">
      <c r="A5" s="196" t="s">
        <v>8</v>
      </c>
      <c r="B5" s="197"/>
      <c r="C5" s="198" t="s">
        <v>52</v>
      </c>
      <c r="D5" s="198"/>
      <c r="E5" s="198"/>
      <c r="F5" s="8"/>
      <c r="G5" s="199" t="s">
        <v>9</v>
      </c>
      <c r="H5" s="188" t="s">
        <v>47</v>
      </c>
      <c r="I5" s="188"/>
      <c r="J5" s="188"/>
      <c r="K5" s="188"/>
      <c r="L5" s="188"/>
      <c r="M5" s="188"/>
      <c r="N5" s="189"/>
      <c r="O5" s="190"/>
    </row>
    <row r="6" spans="1:19" ht="22.5" customHeight="1" x14ac:dyDescent="0.3">
      <c r="A6" s="196" t="s">
        <v>10</v>
      </c>
      <c r="B6" s="197"/>
      <c r="C6" s="198" t="s">
        <v>43</v>
      </c>
      <c r="D6" s="198"/>
      <c r="E6" s="198"/>
      <c r="F6" s="8"/>
      <c r="G6" s="199"/>
      <c r="H6" s="188"/>
      <c r="I6" s="188"/>
      <c r="J6" s="188"/>
      <c r="K6" s="188"/>
      <c r="L6" s="188"/>
      <c r="M6" s="188"/>
      <c r="N6" s="189"/>
      <c r="O6" s="190"/>
    </row>
    <row r="7" spans="1:19" ht="22.5" customHeight="1" x14ac:dyDescent="0.3">
      <c r="A7" s="182" t="s">
        <v>11</v>
      </c>
      <c r="B7" s="183"/>
      <c r="C7" s="184">
        <f>K13</f>
        <v>380000</v>
      </c>
      <c r="D7" s="184"/>
      <c r="E7" s="184"/>
      <c r="F7" s="186" t="s">
        <v>1</v>
      </c>
      <c r="G7" s="9" t="s">
        <v>12</v>
      </c>
      <c r="H7" s="187" t="s">
        <v>37</v>
      </c>
      <c r="I7" s="187"/>
      <c r="J7" s="187"/>
      <c r="K7" s="82" t="s">
        <v>13</v>
      </c>
      <c r="L7" s="188" t="s">
        <v>39</v>
      </c>
      <c r="M7" s="188"/>
      <c r="N7" s="189"/>
      <c r="O7" s="190"/>
    </row>
    <row r="8" spans="1:19" ht="22.5" customHeight="1" thickBot="1" x14ac:dyDescent="0.35">
      <c r="A8" s="191" t="s">
        <v>55</v>
      </c>
      <c r="B8" s="192"/>
      <c r="C8" s="185"/>
      <c r="D8" s="185"/>
      <c r="E8" s="185"/>
      <c r="F8" s="186"/>
      <c r="G8" s="10" t="s">
        <v>14</v>
      </c>
      <c r="H8" s="193" t="s">
        <v>48</v>
      </c>
      <c r="I8" s="193"/>
      <c r="J8" s="193"/>
      <c r="K8" s="83" t="s">
        <v>15</v>
      </c>
      <c r="L8" s="193" t="s">
        <v>38</v>
      </c>
      <c r="M8" s="193"/>
      <c r="N8" s="194"/>
      <c r="O8" s="195"/>
    </row>
    <row r="9" spans="1:19" ht="19.5" customHeight="1" x14ac:dyDescent="0.3">
      <c r="A9" s="11"/>
      <c r="B9" s="12"/>
      <c r="C9" s="13"/>
      <c r="D9" s="172"/>
      <c r="E9" s="172"/>
      <c r="F9" s="14"/>
      <c r="G9" s="15"/>
      <c r="H9" s="15"/>
      <c r="I9" s="15"/>
      <c r="J9" s="15"/>
      <c r="K9" s="15"/>
      <c r="L9" s="15"/>
      <c r="M9" s="15"/>
      <c r="N9" s="15"/>
      <c r="O9" s="16"/>
    </row>
    <row r="10" spans="1:19" ht="19.5" customHeight="1" x14ac:dyDescent="0.3">
      <c r="A10" s="17" t="s">
        <v>16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5"/>
      <c r="N10" s="173"/>
      <c r="O10" s="174"/>
    </row>
    <row r="11" spans="1:19" ht="9.75" customHeight="1" thickBot="1" x14ac:dyDescent="0.3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5"/>
      <c r="N11" s="175"/>
      <c r="O11" s="176"/>
    </row>
    <row r="12" spans="1:19" ht="23.25" customHeight="1" thickBot="1" x14ac:dyDescent="0.35">
      <c r="A12" s="45" t="s">
        <v>17</v>
      </c>
      <c r="B12" s="177" t="s">
        <v>58</v>
      </c>
      <c r="C12" s="177"/>
      <c r="D12" s="177"/>
      <c r="E12" s="177" t="s">
        <v>59</v>
      </c>
      <c r="F12" s="177"/>
      <c r="G12" s="177"/>
      <c r="H12" s="178" t="s">
        <v>49</v>
      </c>
      <c r="I12" s="178"/>
      <c r="J12" s="178"/>
      <c r="K12" s="179" t="s">
        <v>56</v>
      </c>
      <c r="L12" s="180"/>
      <c r="M12" s="180"/>
      <c r="N12" s="180"/>
      <c r="O12" s="181"/>
    </row>
    <row r="13" spans="1:19" ht="38.25" customHeight="1" thickTop="1" thickBot="1" x14ac:dyDescent="0.35">
      <c r="A13" s="19" t="s">
        <v>18</v>
      </c>
      <c r="B13" s="160">
        <f>SUM(K22)</f>
        <v>380000</v>
      </c>
      <c r="C13" s="161"/>
      <c r="D13" s="161"/>
      <c r="E13" s="162"/>
      <c r="F13" s="163"/>
      <c r="G13" s="163"/>
      <c r="H13" s="164"/>
      <c r="I13" s="165"/>
      <c r="J13" s="166"/>
      <c r="K13" s="167">
        <f>B13+E13+H13</f>
        <v>380000</v>
      </c>
      <c r="L13" s="168"/>
      <c r="M13" s="168"/>
      <c r="N13" s="168"/>
      <c r="O13" s="169"/>
      <c r="Q13" s="54">
        <v>37380000</v>
      </c>
    </row>
    <row r="14" spans="1:19" ht="22.5" customHeight="1" x14ac:dyDescent="0.3">
      <c r="A14" s="40" t="s">
        <v>57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5"/>
      <c r="N14" s="15"/>
      <c r="O14" s="16"/>
    </row>
    <row r="15" spans="1:19" ht="22.5" customHeight="1" thickBot="1" x14ac:dyDescent="0.35">
      <c r="A15" s="46" t="s">
        <v>19</v>
      </c>
      <c r="B15" s="134" t="s">
        <v>20</v>
      </c>
      <c r="C15" s="148"/>
      <c r="D15" s="149"/>
      <c r="E15" s="81" t="s">
        <v>50</v>
      </c>
      <c r="F15" s="81" t="s">
        <v>22</v>
      </c>
      <c r="G15" s="170" t="s">
        <v>23</v>
      </c>
      <c r="H15" s="170"/>
      <c r="I15" s="171"/>
      <c r="J15" s="171"/>
      <c r="K15" s="134" t="s">
        <v>60</v>
      </c>
      <c r="L15" s="148"/>
      <c r="M15" s="148"/>
      <c r="N15" s="134" t="s">
        <v>24</v>
      </c>
      <c r="O15" s="135"/>
      <c r="Q15" s="51"/>
    </row>
    <row r="16" spans="1:19" ht="22.5" customHeight="1" thickTop="1" x14ac:dyDescent="0.3">
      <c r="A16" s="57">
        <v>1</v>
      </c>
      <c r="B16" s="128" t="s">
        <v>69</v>
      </c>
      <c r="C16" s="128"/>
      <c r="D16" s="128"/>
      <c r="E16" s="48">
        <f>6+1+1+2</f>
        <v>10</v>
      </c>
      <c r="F16" s="79" t="s">
        <v>41</v>
      </c>
      <c r="G16" s="152">
        <v>10000</v>
      </c>
      <c r="H16" s="153"/>
      <c r="I16" s="136"/>
      <c r="J16" s="136"/>
      <c r="K16" s="119">
        <f>G16*E16</f>
        <v>100000</v>
      </c>
      <c r="L16" s="120"/>
      <c r="M16" s="121"/>
      <c r="N16" s="154"/>
      <c r="O16" s="155"/>
      <c r="S16" s="71"/>
    </row>
    <row r="17" spans="1:21" ht="22.5" customHeight="1" x14ac:dyDescent="0.3">
      <c r="A17" s="56">
        <v>2</v>
      </c>
      <c r="B17" s="128" t="s">
        <v>64</v>
      </c>
      <c r="C17" s="128"/>
      <c r="D17" s="128"/>
      <c r="E17" s="49">
        <f>2+1+1+3+1+2+1+1+1+2+1+1+1</f>
        <v>18</v>
      </c>
      <c r="F17" s="79" t="s">
        <v>54</v>
      </c>
      <c r="G17" s="123">
        <v>10000</v>
      </c>
      <c r="H17" s="124"/>
      <c r="I17" s="129"/>
      <c r="J17" s="129"/>
      <c r="K17" s="119">
        <f t="shared" ref="K17:K18" si="0">G17*E17</f>
        <v>180000</v>
      </c>
      <c r="L17" s="120"/>
      <c r="M17" s="121"/>
      <c r="N17" s="156"/>
      <c r="O17" s="157"/>
    </row>
    <row r="18" spans="1:21" ht="22.5" customHeight="1" x14ac:dyDescent="0.3">
      <c r="A18" s="56">
        <v>3</v>
      </c>
      <c r="B18" s="113" t="s">
        <v>65</v>
      </c>
      <c r="C18" s="114"/>
      <c r="D18" s="115"/>
      <c r="E18" s="77">
        <v>2</v>
      </c>
      <c r="F18" s="78" t="s">
        <v>62</v>
      </c>
      <c r="G18" s="123">
        <v>10000</v>
      </c>
      <c r="H18" s="124"/>
      <c r="I18" s="118"/>
      <c r="J18" s="118"/>
      <c r="K18" s="119">
        <f t="shared" si="0"/>
        <v>20000</v>
      </c>
      <c r="L18" s="120"/>
      <c r="M18" s="121"/>
      <c r="N18" s="156"/>
      <c r="O18" s="157"/>
    </row>
    <row r="19" spans="1:21" ht="22.5" customHeight="1" x14ac:dyDescent="0.3">
      <c r="A19" s="59">
        <v>4</v>
      </c>
      <c r="B19" s="113" t="s">
        <v>66</v>
      </c>
      <c r="C19" s="114"/>
      <c r="D19" s="115"/>
      <c r="E19" s="60">
        <f>1+4+2+1</f>
        <v>8</v>
      </c>
      <c r="F19" s="79" t="s">
        <v>54</v>
      </c>
      <c r="G19" s="123">
        <v>10000</v>
      </c>
      <c r="H19" s="124"/>
      <c r="I19" s="132"/>
      <c r="J19" s="133"/>
      <c r="K19" s="119">
        <f t="shared" ref="K19" si="1">G19*E19</f>
        <v>80000</v>
      </c>
      <c r="L19" s="120"/>
      <c r="M19" s="121"/>
      <c r="N19" s="156"/>
      <c r="O19" s="157"/>
    </row>
    <row r="20" spans="1:21" ht="22.15" customHeight="1" x14ac:dyDescent="0.3">
      <c r="A20" s="68"/>
      <c r="B20" s="113"/>
      <c r="C20" s="114"/>
      <c r="D20" s="115"/>
      <c r="E20" s="69"/>
      <c r="F20" s="70"/>
      <c r="G20" s="116"/>
      <c r="H20" s="117"/>
      <c r="I20" s="118"/>
      <c r="J20" s="118"/>
      <c r="K20" s="119"/>
      <c r="L20" s="120"/>
      <c r="M20" s="121"/>
      <c r="N20" s="156"/>
      <c r="O20" s="157"/>
    </row>
    <row r="21" spans="1:21" ht="22.15" customHeight="1" x14ac:dyDescent="0.3">
      <c r="A21" s="68"/>
      <c r="B21" s="113"/>
      <c r="C21" s="114"/>
      <c r="D21" s="115"/>
      <c r="E21" s="77"/>
      <c r="F21" s="78"/>
      <c r="G21" s="116"/>
      <c r="H21" s="117"/>
      <c r="I21" s="118"/>
      <c r="J21" s="118"/>
      <c r="K21" s="119"/>
      <c r="L21" s="120"/>
      <c r="M21" s="121"/>
      <c r="N21" s="156"/>
      <c r="O21" s="157"/>
    </row>
    <row r="22" spans="1:21" ht="22.5" customHeight="1" x14ac:dyDescent="0.3">
      <c r="A22" s="56"/>
      <c r="B22" s="143" t="s">
        <v>51</v>
      </c>
      <c r="C22" s="144"/>
      <c r="D22" s="145"/>
      <c r="E22" s="80" t="s">
        <v>1</v>
      </c>
      <c r="F22" s="80" t="s">
        <v>1</v>
      </c>
      <c r="G22" s="146"/>
      <c r="H22" s="147"/>
      <c r="I22" s="119"/>
      <c r="J22" s="121"/>
      <c r="K22" s="119">
        <f>SUM(K16:M21)</f>
        <v>380000</v>
      </c>
      <c r="L22" s="120"/>
      <c r="M22" s="121"/>
      <c r="N22" s="158"/>
      <c r="O22" s="159"/>
    </row>
    <row r="23" spans="1:21" ht="22.5" customHeight="1" x14ac:dyDescent="0.3">
      <c r="A23" s="41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Q23" s="50"/>
    </row>
    <row r="24" spans="1:21" ht="22.5" customHeight="1" thickBot="1" x14ac:dyDescent="0.35">
      <c r="A24" s="46" t="s">
        <v>19</v>
      </c>
      <c r="B24" s="134" t="s">
        <v>34</v>
      </c>
      <c r="C24" s="148"/>
      <c r="D24" s="149"/>
      <c r="E24" s="81" t="s">
        <v>21</v>
      </c>
      <c r="F24" s="81" t="s">
        <v>40</v>
      </c>
      <c r="G24" s="134" t="s">
        <v>23</v>
      </c>
      <c r="H24" s="149"/>
      <c r="I24" s="150"/>
      <c r="J24" s="151"/>
      <c r="K24" s="134" t="s">
        <v>60</v>
      </c>
      <c r="L24" s="148"/>
      <c r="M24" s="149"/>
      <c r="N24" s="134" t="s">
        <v>24</v>
      </c>
      <c r="O24" s="135"/>
      <c r="Q24" s="51"/>
    </row>
    <row r="25" spans="1:21" ht="21.75" customHeight="1" thickTop="1" x14ac:dyDescent="0.3">
      <c r="A25" s="57"/>
      <c r="B25" s="128"/>
      <c r="C25" s="128"/>
      <c r="D25" s="128"/>
      <c r="E25" s="48"/>
      <c r="F25" s="79"/>
      <c r="G25" s="130"/>
      <c r="H25" s="131"/>
      <c r="I25" s="136"/>
      <c r="J25" s="136"/>
      <c r="K25" s="119"/>
      <c r="L25" s="120"/>
      <c r="M25" s="121"/>
      <c r="N25" s="137"/>
      <c r="O25" s="138"/>
      <c r="P25" s="67"/>
      <c r="Q25" s="67"/>
      <c r="R25" s="71"/>
      <c r="U25" s="50"/>
    </row>
    <row r="26" spans="1:21" ht="21.75" customHeight="1" x14ac:dyDescent="0.3">
      <c r="A26" s="56"/>
      <c r="B26" s="128"/>
      <c r="C26" s="128"/>
      <c r="D26" s="128"/>
      <c r="E26" s="49"/>
      <c r="F26" s="79"/>
      <c r="G26" s="123"/>
      <c r="H26" s="124"/>
      <c r="I26" s="125"/>
      <c r="J26" s="125"/>
      <c r="K26" s="119"/>
      <c r="L26" s="120"/>
      <c r="M26" s="121"/>
      <c r="N26" s="139"/>
      <c r="O26" s="140"/>
      <c r="P26" s="67"/>
      <c r="Q26" s="67"/>
      <c r="R26" s="50"/>
      <c r="S26" s="50"/>
      <c r="U26" s="50"/>
    </row>
    <row r="27" spans="1:21" ht="21.75" customHeight="1" x14ac:dyDescent="0.3">
      <c r="A27" s="56"/>
      <c r="B27" s="128"/>
      <c r="C27" s="128"/>
      <c r="D27" s="128"/>
      <c r="E27" s="49"/>
      <c r="F27" s="79"/>
      <c r="G27" s="123"/>
      <c r="H27" s="124"/>
      <c r="I27" s="129"/>
      <c r="J27" s="129"/>
      <c r="K27" s="119"/>
      <c r="L27" s="120"/>
      <c r="M27" s="121"/>
      <c r="N27" s="139"/>
      <c r="O27" s="140"/>
      <c r="P27" s="67"/>
      <c r="Q27" s="67"/>
      <c r="R27" s="50"/>
      <c r="S27" s="50"/>
      <c r="U27" s="50"/>
    </row>
    <row r="28" spans="1:21" s="61" customFormat="1" ht="21.75" customHeight="1" x14ac:dyDescent="0.3">
      <c r="A28" s="59"/>
      <c r="B28" s="113"/>
      <c r="C28" s="114"/>
      <c r="D28" s="115"/>
      <c r="E28" s="60"/>
      <c r="F28" s="79"/>
      <c r="G28" s="130"/>
      <c r="H28" s="131"/>
      <c r="I28" s="132"/>
      <c r="J28" s="133"/>
      <c r="K28" s="119"/>
      <c r="L28" s="120"/>
      <c r="M28" s="121"/>
      <c r="N28" s="139"/>
      <c r="O28" s="140"/>
      <c r="Q28" s="62"/>
      <c r="R28" s="63"/>
      <c r="S28" s="63"/>
      <c r="U28" s="63"/>
    </row>
    <row r="29" spans="1:21" s="64" customFormat="1" ht="21.75" customHeight="1" x14ac:dyDescent="0.3">
      <c r="A29" s="68"/>
      <c r="B29" s="113"/>
      <c r="C29" s="114"/>
      <c r="D29" s="115"/>
      <c r="E29" s="69"/>
      <c r="F29" s="70"/>
      <c r="G29" s="116"/>
      <c r="H29" s="117"/>
      <c r="I29" s="118"/>
      <c r="J29" s="118"/>
      <c r="K29" s="119"/>
      <c r="L29" s="120"/>
      <c r="M29" s="121"/>
      <c r="N29" s="141"/>
      <c r="O29" s="142"/>
      <c r="Q29" s="65"/>
      <c r="R29" s="66"/>
      <c r="S29" s="66"/>
      <c r="U29" s="66"/>
    </row>
    <row r="30" spans="1:21" ht="21.75" customHeight="1" x14ac:dyDescent="0.3">
      <c r="A30" s="22"/>
      <c r="B30" s="122" t="s">
        <v>36</v>
      </c>
      <c r="C30" s="122"/>
      <c r="D30" s="122"/>
      <c r="E30" s="49"/>
      <c r="F30" s="23"/>
      <c r="G30" s="123"/>
      <c r="H30" s="124"/>
      <c r="I30" s="125"/>
      <c r="J30" s="125"/>
      <c r="K30" s="126"/>
      <c r="L30" s="127"/>
      <c r="M30" s="127"/>
      <c r="N30" s="99"/>
      <c r="O30" s="100"/>
      <c r="Q30" s="67"/>
      <c r="R30" s="52"/>
      <c r="S30" s="52"/>
      <c r="U30" s="52"/>
    </row>
    <row r="31" spans="1:21" ht="11.25" customHeight="1" x14ac:dyDescent="0.3">
      <c r="A31" s="2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25"/>
      <c r="R31" s="50"/>
    </row>
    <row r="32" spans="1:21" ht="23.25" customHeight="1" x14ac:dyDescent="0.3">
      <c r="A32" s="101" t="s">
        <v>25</v>
      </c>
      <c r="B32" s="10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Q32" s="50"/>
    </row>
    <row r="33" spans="1:19" ht="35.1" customHeight="1" x14ac:dyDescent="0.3">
      <c r="A33" s="103" t="s">
        <v>61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6"/>
      <c r="Q33" s="50"/>
      <c r="S33" s="50"/>
    </row>
    <row r="34" spans="1:19" ht="35.1" customHeight="1" x14ac:dyDescent="0.3">
      <c r="A34" s="107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6"/>
      <c r="Q34" s="54"/>
      <c r="S34" s="53"/>
    </row>
    <row r="35" spans="1:19" ht="22.5" customHeight="1" x14ac:dyDescent="0.3">
      <c r="A35" s="107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5"/>
      <c r="O35" s="106"/>
      <c r="Q35" s="55"/>
    </row>
    <row r="36" spans="1:19" ht="34.5" hidden="1" customHeight="1" x14ac:dyDescent="0.3">
      <c r="A36" s="107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5"/>
      <c r="O36" s="106"/>
    </row>
    <row r="37" spans="1:19" ht="249.75" customHeight="1" x14ac:dyDescent="0.3">
      <c r="A37" s="107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6"/>
      <c r="Q37" s="53"/>
    </row>
    <row r="38" spans="1:19" ht="24" customHeight="1" x14ac:dyDescent="0.3">
      <c r="A38" s="108" t="s">
        <v>42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10"/>
      <c r="Q38" s="50"/>
    </row>
    <row r="39" spans="1:19" ht="22.5" customHeight="1" x14ac:dyDescent="0.3">
      <c r="A39" s="26" t="s">
        <v>26</v>
      </c>
      <c r="B39" s="111" t="s">
        <v>0</v>
      </c>
      <c r="C39" s="111"/>
      <c r="D39" s="111"/>
      <c r="E39" s="111"/>
      <c r="F39" s="27"/>
      <c r="G39" s="28"/>
      <c r="H39" s="27"/>
      <c r="I39" s="28"/>
      <c r="J39" s="27"/>
      <c r="K39" s="28"/>
      <c r="L39" s="112"/>
      <c r="M39" s="112"/>
      <c r="N39" s="29"/>
      <c r="O39" s="30"/>
    </row>
    <row r="40" spans="1:19" ht="22.5" customHeight="1" thickBot="1" x14ac:dyDescent="0.35">
      <c r="A40" s="31"/>
      <c r="B40" s="92"/>
      <c r="C40" s="92"/>
      <c r="D40" s="92"/>
      <c r="E40" s="92"/>
      <c r="F40" s="92"/>
      <c r="G40" s="32"/>
      <c r="H40" s="33"/>
      <c r="I40" s="92"/>
      <c r="J40" s="92"/>
      <c r="K40" s="34"/>
      <c r="L40" s="92"/>
      <c r="M40" s="92"/>
      <c r="N40" s="42" t="s">
        <v>2</v>
      </c>
      <c r="O40" s="43" t="s">
        <v>27</v>
      </c>
    </row>
    <row r="41" spans="1:19" ht="22.5" customHeight="1" thickBot="1" x14ac:dyDescent="0.35">
      <c r="A41" s="93" t="s">
        <v>28</v>
      </c>
      <c r="B41" s="94"/>
      <c r="C41" s="95" t="s">
        <v>45</v>
      </c>
      <c r="D41" s="96"/>
      <c r="E41" s="47" t="s">
        <v>29</v>
      </c>
      <c r="F41" s="95"/>
      <c r="G41" s="96"/>
      <c r="H41" s="47" t="s">
        <v>31</v>
      </c>
      <c r="I41" s="95" t="s">
        <v>46</v>
      </c>
      <c r="J41" s="96"/>
      <c r="K41" s="47" t="s">
        <v>32</v>
      </c>
      <c r="L41" s="97" t="s">
        <v>33</v>
      </c>
      <c r="M41" s="97"/>
      <c r="N41" s="97"/>
      <c r="O41" s="98"/>
    </row>
    <row r="42" spans="1:19" ht="19.5" customHeight="1" x14ac:dyDescent="0.3">
      <c r="A42" s="2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5"/>
    </row>
    <row r="43" spans="1:19" ht="19.5" customHeight="1" x14ac:dyDescent="0.3">
      <c r="A43" s="24"/>
      <c r="B43" s="8"/>
      <c r="C43" s="8"/>
      <c r="D43" s="8"/>
      <c r="E43" s="89"/>
      <c r="F43" s="89"/>
      <c r="G43" s="90"/>
      <c r="H43" s="90"/>
      <c r="I43" s="90"/>
      <c r="J43" s="90"/>
      <c r="K43" s="90"/>
      <c r="L43" s="90"/>
      <c r="M43" s="90"/>
      <c r="N43" s="90"/>
      <c r="O43" s="1"/>
    </row>
    <row r="44" spans="1:19" ht="19.5" customHeight="1" x14ac:dyDescent="0.3">
      <c r="A44" s="24"/>
      <c r="B44" s="8"/>
      <c r="C44" s="8"/>
      <c r="D44" s="8"/>
      <c r="E44" s="58"/>
      <c r="F44" s="58"/>
      <c r="G44" s="58"/>
      <c r="H44" s="44"/>
      <c r="I44" s="58"/>
      <c r="J44" s="44"/>
      <c r="K44" s="58"/>
      <c r="L44" s="44"/>
      <c r="M44" s="58"/>
      <c r="N44" s="58"/>
      <c r="O44" s="35"/>
    </row>
    <row r="45" spans="1:19" ht="31.5" customHeight="1" thickBot="1" x14ac:dyDescent="0.3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</row>
    <row r="49" spans="2:7" ht="322.89999999999998" customHeight="1" x14ac:dyDescent="0.3">
      <c r="B49" s="91"/>
      <c r="C49" s="91"/>
      <c r="D49" s="91"/>
      <c r="E49" s="91"/>
      <c r="F49" s="91"/>
      <c r="G49" s="91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2"/>
    <mergeCell ref="B17:D17"/>
    <mergeCell ref="G17:H17"/>
    <mergeCell ref="I17:J17"/>
    <mergeCell ref="K17:M17"/>
    <mergeCell ref="B18:D1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B22:D22"/>
    <mergeCell ref="G22:H22"/>
    <mergeCell ref="I22:J22"/>
    <mergeCell ref="K22:M22"/>
    <mergeCell ref="B24:D24"/>
    <mergeCell ref="G24:H24"/>
    <mergeCell ref="I24:J24"/>
    <mergeCell ref="K24:M24"/>
    <mergeCell ref="B20:D20"/>
    <mergeCell ref="G20:H20"/>
    <mergeCell ref="I20:J20"/>
    <mergeCell ref="K20:M20"/>
    <mergeCell ref="B21:D21"/>
    <mergeCell ref="G21:H21"/>
    <mergeCell ref="I21:J21"/>
    <mergeCell ref="K21:M21"/>
    <mergeCell ref="B27:D27"/>
    <mergeCell ref="G27:H27"/>
    <mergeCell ref="I27:J27"/>
    <mergeCell ref="K27:M27"/>
    <mergeCell ref="B28:D28"/>
    <mergeCell ref="G28:H28"/>
    <mergeCell ref="I28:J28"/>
    <mergeCell ref="K28:M28"/>
    <mergeCell ref="N24:O24"/>
    <mergeCell ref="B25:D25"/>
    <mergeCell ref="G25:H25"/>
    <mergeCell ref="I25:J25"/>
    <mergeCell ref="K25:M25"/>
    <mergeCell ref="N25:O29"/>
    <mergeCell ref="B26:D26"/>
    <mergeCell ref="G26:H26"/>
    <mergeCell ref="I26:J26"/>
    <mergeCell ref="K26:M26"/>
    <mergeCell ref="N30:O30"/>
    <mergeCell ref="A32:B32"/>
    <mergeCell ref="A33:O37"/>
    <mergeCell ref="A38:O38"/>
    <mergeCell ref="B39:E39"/>
    <mergeCell ref="L39:M39"/>
    <mergeCell ref="B29:D29"/>
    <mergeCell ref="G29:H29"/>
    <mergeCell ref="I29:J29"/>
    <mergeCell ref="K29:M29"/>
    <mergeCell ref="B30:D30"/>
    <mergeCell ref="G30:H30"/>
    <mergeCell ref="I30:J30"/>
    <mergeCell ref="K30:M30"/>
    <mergeCell ref="E43:F43"/>
    <mergeCell ref="G43:H43"/>
    <mergeCell ref="I43:J43"/>
    <mergeCell ref="K43:L43"/>
    <mergeCell ref="M43:N43"/>
    <mergeCell ref="B49:G49"/>
    <mergeCell ref="B40:C40"/>
    <mergeCell ref="D40:F40"/>
    <mergeCell ref="I40:J40"/>
    <mergeCell ref="L40:M40"/>
    <mergeCell ref="A41:B41"/>
    <mergeCell ref="C41:D41"/>
    <mergeCell ref="F41:G41"/>
    <mergeCell ref="I41:J41"/>
    <mergeCell ref="L41:O41"/>
  </mergeCells>
  <phoneticPr fontId="26" type="noConversion"/>
  <pageMargins left="0.22" right="0.2" top="0.41" bottom="0.31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view="pageBreakPreview" topLeftCell="A10" zoomScale="85" zoomScaleNormal="70" zoomScaleSheetLayoutView="85" workbookViewId="0">
      <selection activeCell="B27" sqref="B27:D27"/>
    </sheetView>
  </sheetViews>
  <sheetFormatPr defaultColWidth="9" defaultRowHeight="16.5" x14ac:dyDescent="0.3"/>
  <cols>
    <col min="1" max="1" width="9.625" style="39" customWidth="1"/>
    <col min="2" max="4" width="10.25" style="39" customWidth="1"/>
    <col min="5" max="8" width="9.625" style="39" customWidth="1"/>
    <col min="9" max="9" width="11.25" style="39" customWidth="1"/>
    <col min="10" max="11" width="9.625" style="39" customWidth="1"/>
    <col min="12" max="13" width="6.125" style="39" customWidth="1"/>
    <col min="14" max="15" width="9.625" style="39" customWidth="1"/>
    <col min="16" max="16" width="10.5" style="39" bestFit="1" customWidth="1"/>
    <col min="17" max="17" width="19.75" style="39" bestFit="1" customWidth="1"/>
    <col min="18" max="18" width="10.625" style="39" bestFit="1" customWidth="1"/>
    <col min="19" max="19" width="12.5" style="39" bestFit="1" customWidth="1"/>
    <col min="20" max="20" width="9" style="39"/>
    <col min="21" max="21" width="12.5" style="39" bestFit="1" customWidth="1"/>
    <col min="22" max="16384" width="9" style="39"/>
  </cols>
  <sheetData>
    <row r="1" spans="1:19" ht="39" x14ac:dyDescent="0.3">
      <c r="A1" s="200" t="s">
        <v>35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9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9" ht="22.5" customHeight="1" x14ac:dyDescent="0.3">
      <c r="A3" s="203" t="s">
        <v>72</v>
      </c>
      <c r="B3" s="204"/>
      <c r="C3" s="204"/>
      <c r="D3" s="204"/>
      <c r="E3" s="204"/>
      <c r="F3" s="6"/>
      <c r="G3" s="7" t="s">
        <v>30</v>
      </c>
      <c r="H3" s="205" t="s">
        <v>3</v>
      </c>
      <c r="I3" s="205"/>
      <c r="J3" s="205"/>
      <c r="K3" s="205"/>
      <c r="L3" s="205"/>
      <c r="M3" s="205"/>
      <c r="N3" s="206"/>
      <c r="O3" s="207"/>
    </row>
    <row r="4" spans="1:19" ht="22.5" customHeight="1" x14ac:dyDescent="0.3">
      <c r="A4" s="208" t="s">
        <v>4</v>
      </c>
      <c r="B4" s="209"/>
      <c r="C4" s="210">
        <v>45400</v>
      </c>
      <c r="D4" s="210"/>
      <c r="E4" s="210"/>
      <c r="F4" s="8"/>
      <c r="G4" s="9" t="s">
        <v>5</v>
      </c>
      <c r="H4" s="187" t="s">
        <v>6</v>
      </c>
      <c r="I4" s="187"/>
      <c r="J4" s="187"/>
      <c r="K4" s="82" t="s">
        <v>7</v>
      </c>
      <c r="L4" s="211" t="s">
        <v>44</v>
      </c>
      <c r="M4" s="211"/>
      <c r="N4" s="212"/>
      <c r="O4" s="213"/>
    </row>
    <row r="5" spans="1:19" ht="22.5" customHeight="1" x14ac:dyDescent="0.3">
      <c r="A5" s="196" t="s">
        <v>8</v>
      </c>
      <c r="B5" s="197"/>
      <c r="C5" s="198" t="s">
        <v>52</v>
      </c>
      <c r="D5" s="198"/>
      <c r="E5" s="198"/>
      <c r="F5" s="8"/>
      <c r="G5" s="199" t="s">
        <v>9</v>
      </c>
      <c r="H5" s="188" t="s">
        <v>47</v>
      </c>
      <c r="I5" s="188"/>
      <c r="J5" s="188"/>
      <c r="K5" s="188"/>
      <c r="L5" s="188"/>
      <c r="M5" s="188"/>
      <c r="N5" s="189"/>
      <c r="O5" s="190"/>
    </row>
    <row r="6" spans="1:19" ht="22.5" customHeight="1" x14ac:dyDescent="0.3">
      <c r="A6" s="196" t="s">
        <v>10</v>
      </c>
      <c r="B6" s="197"/>
      <c r="C6" s="198" t="s">
        <v>43</v>
      </c>
      <c r="D6" s="198"/>
      <c r="E6" s="198"/>
      <c r="F6" s="8"/>
      <c r="G6" s="199"/>
      <c r="H6" s="188"/>
      <c r="I6" s="188"/>
      <c r="J6" s="188"/>
      <c r="K6" s="188"/>
      <c r="L6" s="188"/>
      <c r="M6" s="188"/>
      <c r="N6" s="189"/>
      <c r="O6" s="190"/>
    </row>
    <row r="7" spans="1:19" ht="22.5" customHeight="1" x14ac:dyDescent="0.3">
      <c r="A7" s="182" t="s">
        <v>11</v>
      </c>
      <c r="B7" s="183"/>
      <c r="C7" s="184">
        <f>K13</f>
        <v>1990000</v>
      </c>
      <c r="D7" s="184"/>
      <c r="E7" s="184"/>
      <c r="F7" s="186" t="s">
        <v>1</v>
      </c>
      <c r="G7" s="9" t="s">
        <v>12</v>
      </c>
      <c r="H7" s="187" t="s">
        <v>37</v>
      </c>
      <c r="I7" s="187"/>
      <c r="J7" s="187"/>
      <c r="K7" s="82" t="s">
        <v>13</v>
      </c>
      <c r="L7" s="188" t="s">
        <v>39</v>
      </c>
      <c r="M7" s="188"/>
      <c r="N7" s="189"/>
      <c r="O7" s="190"/>
    </row>
    <row r="8" spans="1:19" ht="22.5" customHeight="1" thickBot="1" x14ac:dyDescent="0.35">
      <c r="A8" s="191" t="s">
        <v>55</v>
      </c>
      <c r="B8" s="192"/>
      <c r="C8" s="185"/>
      <c r="D8" s="185"/>
      <c r="E8" s="185"/>
      <c r="F8" s="186"/>
      <c r="G8" s="10" t="s">
        <v>14</v>
      </c>
      <c r="H8" s="193" t="s">
        <v>48</v>
      </c>
      <c r="I8" s="193"/>
      <c r="J8" s="193"/>
      <c r="K8" s="83" t="s">
        <v>15</v>
      </c>
      <c r="L8" s="193" t="s">
        <v>38</v>
      </c>
      <c r="M8" s="193"/>
      <c r="N8" s="194"/>
      <c r="O8" s="195"/>
    </row>
    <row r="9" spans="1:19" ht="19.5" customHeight="1" x14ac:dyDescent="0.3">
      <c r="A9" s="11"/>
      <c r="B9" s="12"/>
      <c r="C9" s="13"/>
      <c r="D9" s="172"/>
      <c r="E9" s="172"/>
      <c r="F9" s="14"/>
      <c r="G9" s="15"/>
      <c r="H9" s="15"/>
      <c r="I9" s="15"/>
      <c r="J9" s="15"/>
      <c r="K9" s="15"/>
      <c r="L9" s="15"/>
      <c r="M9" s="15"/>
      <c r="N9" s="15"/>
      <c r="O9" s="16"/>
    </row>
    <row r="10" spans="1:19" ht="19.5" customHeight="1" x14ac:dyDescent="0.3">
      <c r="A10" s="17" t="s">
        <v>16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5"/>
      <c r="N10" s="173"/>
      <c r="O10" s="174"/>
    </row>
    <row r="11" spans="1:19" ht="9.75" customHeight="1" thickBot="1" x14ac:dyDescent="0.3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5"/>
      <c r="N11" s="175"/>
      <c r="O11" s="176"/>
    </row>
    <row r="12" spans="1:19" ht="23.25" customHeight="1" thickBot="1" x14ac:dyDescent="0.35">
      <c r="A12" s="45" t="s">
        <v>17</v>
      </c>
      <c r="B12" s="177" t="s">
        <v>58</v>
      </c>
      <c r="C12" s="177"/>
      <c r="D12" s="177"/>
      <c r="E12" s="177" t="s">
        <v>59</v>
      </c>
      <c r="F12" s="177"/>
      <c r="G12" s="177"/>
      <c r="H12" s="178" t="s">
        <v>49</v>
      </c>
      <c r="I12" s="178"/>
      <c r="J12" s="178"/>
      <c r="K12" s="179" t="s">
        <v>56</v>
      </c>
      <c r="L12" s="180"/>
      <c r="M12" s="180"/>
      <c r="N12" s="180"/>
      <c r="O12" s="181"/>
    </row>
    <row r="13" spans="1:19" ht="38.25" customHeight="1" thickTop="1" thickBot="1" x14ac:dyDescent="0.35">
      <c r="A13" s="19" t="s">
        <v>18</v>
      </c>
      <c r="B13" s="160">
        <f>SUM(K22)</f>
        <v>1990000</v>
      </c>
      <c r="C13" s="161"/>
      <c r="D13" s="161"/>
      <c r="E13" s="162"/>
      <c r="F13" s="163"/>
      <c r="G13" s="163"/>
      <c r="H13" s="164"/>
      <c r="I13" s="165"/>
      <c r="J13" s="166"/>
      <c r="K13" s="167">
        <f>B13+E13+H13</f>
        <v>1990000</v>
      </c>
      <c r="L13" s="168"/>
      <c r="M13" s="168"/>
      <c r="N13" s="168"/>
      <c r="O13" s="169"/>
      <c r="Q13" s="54">
        <v>37380000</v>
      </c>
    </row>
    <row r="14" spans="1:19" ht="22.5" customHeight="1" x14ac:dyDescent="0.3">
      <c r="A14" s="40" t="s">
        <v>57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5"/>
      <c r="N14" s="15"/>
      <c r="O14" s="16"/>
    </row>
    <row r="15" spans="1:19" ht="22.5" customHeight="1" thickBot="1" x14ac:dyDescent="0.35">
      <c r="A15" s="46" t="s">
        <v>19</v>
      </c>
      <c r="B15" s="134" t="s">
        <v>20</v>
      </c>
      <c r="C15" s="148"/>
      <c r="D15" s="149"/>
      <c r="E15" s="81" t="s">
        <v>50</v>
      </c>
      <c r="F15" s="81" t="s">
        <v>22</v>
      </c>
      <c r="G15" s="170" t="s">
        <v>23</v>
      </c>
      <c r="H15" s="170"/>
      <c r="I15" s="171"/>
      <c r="J15" s="171"/>
      <c r="K15" s="134" t="s">
        <v>60</v>
      </c>
      <c r="L15" s="148"/>
      <c r="M15" s="148"/>
      <c r="N15" s="134" t="s">
        <v>24</v>
      </c>
      <c r="O15" s="135"/>
      <c r="Q15" s="51"/>
    </row>
    <row r="16" spans="1:19" ht="22.5" customHeight="1" thickTop="1" x14ac:dyDescent="0.3">
      <c r="A16" s="57">
        <v>1</v>
      </c>
      <c r="B16" s="128" t="s">
        <v>73</v>
      </c>
      <c r="C16" s="128"/>
      <c r="D16" s="128"/>
      <c r="E16" s="48">
        <v>1</v>
      </c>
      <c r="F16" s="79" t="s">
        <v>41</v>
      </c>
      <c r="G16" s="152">
        <v>90000</v>
      </c>
      <c r="H16" s="153"/>
      <c r="I16" s="136"/>
      <c r="J16" s="136"/>
      <c r="K16" s="119">
        <f>G16*E16</f>
        <v>90000</v>
      </c>
      <c r="L16" s="120"/>
      <c r="M16" s="121"/>
      <c r="N16" s="154"/>
      <c r="O16" s="155"/>
      <c r="S16" s="71"/>
    </row>
    <row r="17" spans="1:21" ht="22.5" customHeight="1" x14ac:dyDescent="0.3">
      <c r="A17" s="56">
        <v>2</v>
      </c>
      <c r="B17" s="128" t="s">
        <v>53</v>
      </c>
      <c r="C17" s="128"/>
      <c r="D17" s="128"/>
      <c r="E17" s="49">
        <v>19</v>
      </c>
      <c r="F17" s="79" t="s">
        <v>54</v>
      </c>
      <c r="G17" s="123">
        <v>100000</v>
      </c>
      <c r="H17" s="124"/>
      <c r="I17" s="129"/>
      <c r="J17" s="129"/>
      <c r="K17" s="119">
        <f t="shared" ref="K17" si="0">G17*E17</f>
        <v>1900000</v>
      </c>
      <c r="L17" s="120"/>
      <c r="M17" s="121"/>
      <c r="N17" s="156"/>
      <c r="O17" s="157"/>
    </row>
    <row r="18" spans="1:21" ht="22.5" customHeight="1" x14ac:dyDescent="0.3">
      <c r="A18" s="56"/>
      <c r="B18" s="113"/>
      <c r="C18" s="114"/>
      <c r="D18" s="115"/>
      <c r="E18" s="77"/>
      <c r="F18" s="78"/>
      <c r="G18" s="123"/>
      <c r="H18" s="124"/>
      <c r="I18" s="118"/>
      <c r="J18" s="118"/>
      <c r="K18" s="119"/>
      <c r="L18" s="120"/>
      <c r="M18" s="121"/>
      <c r="N18" s="156"/>
      <c r="O18" s="157"/>
    </row>
    <row r="19" spans="1:21" ht="22.5" customHeight="1" x14ac:dyDescent="0.3">
      <c r="A19" s="59"/>
      <c r="B19" s="113"/>
      <c r="C19" s="114"/>
      <c r="D19" s="115"/>
      <c r="E19" s="60"/>
      <c r="F19" s="79"/>
      <c r="G19" s="123"/>
      <c r="H19" s="124"/>
      <c r="I19" s="132"/>
      <c r="J19" s="133"/>
      <c r="K19" s="119"/>
      <c r="L19" s="120"/>
      <c r="M19" s="121"/>
      <c r="N19" s="156"/>
      <c r="O19" s="157"/>
    </row>
    <row r="20" spans="1:21" ht="22.15" customHeight="1" x14ac:dyDescent="0.3">
      <c r="A20" s="68"/>
      <c r="B20" s="113"/>
      <c r="C20" s="114"/>
      <c r="D20" s="115"/>
      <c r="E20" s="69"/>
      <c r="F20" s="70"/>
      <c r="G20" s="116"/>
      <c r="H20" s="117"/>
      <c r="I20" s="118"/>
      <c r="J20" s="118"/>
      <c r="K20" s="119"/>
      <c r="L20" s="120"/>
      <c r="M20" s="121"/>
      <c r="N20" s="156"/>
      <c r="O20" s="157"/>
    </row>
    <row r="21" spans="1:21" ht="22.15" customHeight="1" x14ac:dyDescent="0.3">
      <c r="A21" s="68"/>
      <c r="B21" s="113"/>
      <c r="C21" s="114"/>
      <c r="D21" s="115"/>
      <c r="E21" s="77"/>
      <c r="F21" s="78"/>
      <c r="G21" s="116"/>
      <c r="H21" s="117"/>
      <c r="I21" s="118"/>
      <c r="J21" s="118"/>
      <c r="K21" s="119"/>
      <c r="L21" s="120"/>
      <c r="M21" s="121"/>
      <c r="N21" s="156"/>
      <c r="O21" s="157"/>
    </row>
    <row r="22" spans="1:21" ht="22.5" customHeight="1" x14ac:dyDescent="0.3">
      <c r="A22" s="56"/>
      <c r="B22" s="143" t="s">
        <v>51</v>
      </c>
      <c r="C22" s="144"/>
      <c r="D22" s="145"/>
      <c r="E22" s="80" t="s">
        <v>1</v>
      </c>
      <c r="F22" s="80" t="s">
        <v>1</v>
      </c>
      <c r="G22" s="146"/>
      <c r="H22" s="147"/>
      <c r="I22" s="119"/>
      <c r="J22" s="121"/>
      <c r="K22" s="119">
        <f>SUM(K16:M21)</f>
        <v>1990000</v>
      </c>
      <c r="L22" s="120"/>
      <c r="M22" s="121"/>
      <c r="N22" s="158"/>
      <c r="O22" s="159"/>
    </row>
    <row r="23" spans="1:21" ht="22.5" customHeight="1" x14ac:dyDescent="0.3">
      <c r="A23" s="41" t="s">
        <v>68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Q23" s="50"/>
    </row>
    <row r="24" spans="1:21" ht="22.5" customHeight="1" thickBot="1" x14ac:dyDescent="0.35">
      <c r="A24" s="46" t="s">
        <v>19</v>
      </c>
      <c r="B24" s="134" t="s">
        <v>34</v>
      </c>
      <c r="C24" s="148"/>
      <c r="D24" s="149"/>
      <c r="E24" s="81" t="s">
        <v>21</v>
      </c>
      <c r="F24" s="81" t="s">
        <v>40</v>
      </c>
      <c r="G24" s="134" t="s">
        <v>23</v>
      </c>
      <c r="H24" s="149"/>
      <c r="I24" s="150"/>
      <c r="J24" s="151"/>
      <c r="K24" s="134" t="s">
        <v>60</v>
      </c>
      <c r="L24" s="148"/>
      <c r="M24" s="149"/>
      <c r="N24" s="134" t="s">
        <v>24</v>
      </c>
      <c r="O24" s="135"/>
      <c r="Q24" s="51"/>
    </row>
    <row r="25" spans="1:21" ht="21.75" customHeight="1" thickTop="1" x14ac:dyDescent="0.3">
      <c r="A25" s="57"/>
      <c r="B25" s="128"/>
      <c r="C25" s="128"/>
      <c r="D25" s="128"/>
      <c r="E25" s="48"/>
      <c r="F25" s="79"/>
      <c r="G25" s="130"/>
      <c r="H25" s="131"/>
      <c r="I25" s="136"/>
      <c r="J25" s="136"/>
      <c r="K25" s="119"/>
      <c r="L25" s="120"/>
      <c r="M25" s="121"/>
      <c r="N25" s="137"/>
      <c r="O25" s="138"/>
      <c r="P25" s="67"/>
      <c r="Q25" s="67"/>
      <c r="R25" s="71"/>
      <c r="U25" s="50"/>
    </row>
    <row r="26" spans="1:21" ht="21.75" customHeight="1" x14ac:dyDescent="0.3">
      <c r="A26" s="56"/>
      <c r="B26" s="128"/>
      <c r="C26" s="128"/>
      <c r="D26" s="128"/>
      <c r="E26" s="49"/>
      <c r="F26" s="79"/>
      <c r="G26" s="123"/>
      <c r="H26" s="124"/>
      <c r="I26" s="125"/>
      <c r="J26" s="125"/>
      <c r="K26" s="119"/>
      <c r="L26" s="120"/>
      <c r="M26" s="121"/>
      <c r="N26" s="139"/>
      <c r="O26" s="140"/>
      <c r="P26" s="67"/>
      <c r="Q26" s="67"/>
      <c r="R26" s="50"/>
      <c r="S26" s="50"/>
      <c r="U26" s="50"/>
    </row>
    <row r="27" spans="1:21" ht="21.75" customHeight="1" x14ac:dyDescent="0.3">
      <c r="A27" s="56"/>
      <c r="B27" s="128"/>
      <c r="C27" s="128"/>
      <c r="D27" s="128"/>
      <c r="E27" s="49"/>
      <c r="F27" s="79"/>
      <c r="G27" s="123"/>
      <c r="H27" s="124"/>
      <c r="I27" s="129"/>
      <c r="J27" s="129"/>
      <c r="K27" s="119"/>
      <c r="L27" s="120"/>
      <c r="M27" s="121"/>
      <c r="N27" s="139"/>
      <c r="O27" s="140"/>
      <c r="P27" s="67"/>
      <c r="Q27" s="67"/>
      <c r="R27" s="50"/>
      <c r="S27" s="50"/>
      <c r="U27" s="50"/>
    </row>
    <row r="28" spans="1:21" s="61" customFormat="1" ht="21.75" customHeight="1" x14ac:dyDescent="0.3">
      <c r="A28" s="59"/>
      <c r="B28" s="113"/>
      <c r="C28" s="114"/>
      <c r="D28" s="115"/>
      <c r="E28" s="60"/>
      <c r="F28" s="79"/>
      <c r="G28" s="130"/>
      <c r="H28" s="131"/>
      <c r="I28" s="132"/>
      <c r="J28" s="133"/>
      <c r="K28" s="119"/>
      <c r="L28" s="120"/>
      <c r="M28" s="121"/>
      <c r="N28" s="139"/>
      <c r="O28" s="140"/>
      <c r="Q28" s="62"/>
      <c r="R28" s="63"/>
      <c r="S28" s="63"/>
      <c r="U28" s="63"/>
    </row>
    <row r="29" spans="1:21" s="64" customFormat="1" ht="21.75" customHeight="1" x14ac:dyDescent="0.3">
      <c r="A29" s="68"/>
      <c r="B29" s="113"/>
      <c r="C29" s="114"/>
      <c r="D29" s="115"/>
      <c r="E29" s="69"/>
      <c r="F29" s="70"/>
      <c r="G29" s="116"/>
      <c r="H29" s="117"/>
      <c r="I29" s="118"/>
      <c r="J29" s="118"/>
      <c r="K29" s="119"/>
      <c r="L29" s="120"/>
      <c r="M29" s="121"/>
      <c r="N29" s="141"/>
      <c r="O29" s="142"/>
      <c r="Q29" s="65"/>
      <c r="R29" s="66"/>
      <c r="S29" s="66"/>
      <c r="U29" s="66"/>
    </row>
    <row r="30" spans="1:21" ht="21.75" customHeight="1" x14ac:dyDescent="0.3">
      <c r="A30" s="22"/>
      <c r="B30" s="122" t="s">
        <v>36</v>
      </c>
      <c r="C30" s="122"/>
      <c r="D30" s="122"/>
      <c r="E30" s="49"/>
      <c r="F30" s="23"/>
      <c r="G30" s="123"/>
      <c r="H30" s="124"/>
      <c r="I30" s="125"/>
      <c r="J30" s="125"/>
      <c r="K30" s="126"/>
      <c r="L30" s="127"/>
      <c r="M30" s="127"/>
      <c r="N30" s="99"/>
      <c r="O30" s="100"/>
      <c r="Q30" s="67"/>
      <c r="R30" s="52"/>
      <c r="S30" s="52"/>
      <c r="U30" s="52"/>
    </row>
    <row r="31" spans="1:21" ht="11.25" customHeight="1" x14ac:dyDescent="0.3">
      <c r="A31" s="2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25"/>
      <c r="R31" s="50"/>
    </row>
    <row r="32" spans="1:21" ht="23.25" customHeight="1" x14ac:dyDescent="0.3">
      <c r="A32" s="101" t="s">
        <v>25</v>
      </c>
      <c r="B32" s="10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Q32" s="50"/>
    </row>
    <row r="33" spans="1:19" ht="35.1" customHeight="1" x14ac:dyDescent="0.3">
      <c r="A33" s="103" t="s">
        <v>61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6"/>
      <c r="Q33" s="50"/>
      <c r="S33" s="50"/>
    </row>
    <row r="34" spans="1:19" ht="35.1" customHeight="1" x14ac:dyDescent="0.3">
      <c r="A34" s="107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6"/>
      <c r="Q34" s="54"/>
      <c r="S34" s="53"/>
    </row>
    <row r="35" spans="1:19" ht="22.5" customHeight="1" x14ac:dyDescent="0.3">
      <c r="A35" s="107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5"/>
      <c r="O35" s="106"/>
      <c r="Q35" s="55"/>
    </row>
    <row r="36" spans="1:19" ht="34.5" hidden="1" customHeight="1" x14ac:dyDescent="0.3">
      <c r="A36" s="107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5"/>
      <c r="O36" s="106"/>
    </row>
    <row r="37" spans="1:19" ht="249.75" customHeight="1" x14ac:dyDescent="0.3">
      <c r="A37" s="107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6"/>
      <c r="Q37" s="53"/>
    </row>
    <row r="38" spans="1:19" ht="24" customHeight="1" x14ac:dyDescent="0.3">
      <c r="A38" s="108" t="s">
        <v>42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10"/>
      <c r="Q38" s="50"/>
    </row>
    <row r="39" spans="1:19" ht="22.5" customHeight="1" x14ac:dyDescent="0.3">
      <c r="A39" s="26" t="s">
        <v>26</v>
      </c>
      <c r="B39" s="111" t="s">
        <v>0</v>
      </c>
      <c r="C39" s="111"/>
      <c r="D39" s="111"/>
      <c r="E39" s="111"/>
      <c r="F39" s="27"/>
      <c r="G39" s="28"/>
      <c r="H39" s="27"/>
      <c r="I39" s="28"/>
      <c r="J39" s="27"/>
      <c r="K39" s="28"/>
      <c r="L39" s="112"/>
      <c r="M39" s="112"/>
      <c r="N39" s="29"/>
      <c r="O39" s="30"/>
    </row>
    <row r="40" spans="1:19" ht="22.5" customHeight="1" thickBot="1" x14ac:dyDescent="0.35">
      <c r="A40" s="31"/>
      <c r="B40" s="92"/>
      <c r="C40" s="92"/>
      <c r="D40" s="92"/>
      <c r="E40" s="92"/>
      <c r="F40" s="92"/>
      <c r="G40" s="32"/>
      <c r="H40" s="33"/>
      <c r="I40" s="92"/>
      <c r="J40" s="92"/>
      <c r="K40" s="34"/>
      <c r="L40" s="92"/>
      <c r="M40" s="92"/>
      <c r="N40" s="42" t="s">
        <v>2</v>
      </c>
      <c r="O40" s="43" t="s">
        <v>27</v>
      </c>
    </row>
    <row r="41" spans="1:19" ht="22.5" customHeight="1" thickBot="1" x14ac:dyDescent="0.35">
      <c r="A41" s="93" t="s">
        <v>28</v>
      </c>
      <c r="B41" s="94"/>
      <c r="C41" s="95" t="s">
        <v>45</v>
      </c>
      <c r="D41" s="96"/>
      <c r="E41" s="47" t="s">
        <v>29</v>
      </c>
      <c r="F41" s="95"/>
      <c r="G41" s="96"/>
      <c r="H41" s="47" t="s">
        <v>31</v>
      </c>
      <c r="I41" s="95" t="s">
        <v>46</v>
      </c>
      <c r="J41" s="96"/>
      <c r="K41" s="47" t="s">
        <v>32</v>
      </c>
      <c r="L41" s="97" t="s">
        <v>33</v>
      </c>
      <c r="M41" s="97"/>
      <c r="N41" s="97"/>
      <c r="O41" s="98"/>
    </row>
    <row r="42" spans="1:19" ht="19.5" customHeight="1" x14ac:dyDescent="0.3">
      <c r="A42" s="2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5"/>
    </row>
    <row r="43" spans="1:19" ht="19.5" customHeight="1" x14ac:dyDescent="0.3">
      <c r="A43" s="24"/>
      <c r="B43" s="8"/>
      <c r="C43" s="8"/>
      <c r="D43" s="8"/>
      <c r="E43" s="89"/>
      <c r="F43" s="89"/>
      <c r="G43" s="90"/>
      <c r="H43" s="90"/>
      <c r="I43" s="90"/>
      <c r="J43" s="90"/>
      <c r="K43" s="90"/>
      <c r="L43" s="90"/>
      <c r="M43" s="90"/>
      <c r="N43" s="90"/>
      <c r="O43" s="1"/>
    </row>
    <row r="44" spans="1:19" ht="19.5" customHeight="1" x14ac:dyDescent="0.3">
      <c r="A44" s="24"/>
      <c r="B44" s="8"/>
      <c r="C44" s="8"/>
      <c r="D44" s="8"/>
      <c r="E44" s="58"/>
      <c r="F44" s="58"/>
      <c r="G44" s="58"/>
      <c r="H44" s="44"/>
      <c r="I44" s="58"/>
      <c r="J44" s="44"/>
      <c r="K44" s="58"/>
      <c r="L44" s="44"/>
      <c r="M44" s="58"/>
      <c r="N44" s="58"/>
      <c r="O44" s="35"/>
    </row>
    <row r="45" spans="1:19" ht="31.5" customHeight="1" thickBot="1" x14ac:dyDescent="0.3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</row>
    <row r="49" spans="2:7" ht="322.89999999999998" customHeight="1" x14ac:dyDescent="0.3">
      <c r="B49" s="91"/>
      <c r="C49" s="91"/>
      <c r="D49" s="91"/>
      <c r="E49" s="91"/>
      <c r="F49" s="91"/>
      <c r="G49" s="91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2"/>
    <mergeCell ref="B17:D17"/>
    <mergeCell ref="G17:H17"/>
    <mergeCell ref="I17:J17"/>
    <mergeCell ref="K17:M17"/>
    <mergeCell ref="B18:D1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B22:D22"/>
    <mergeCell ref="G22:H22"/>
    <mergeCell ref="I22:J22"/>
    <mergeCell ref="K22:M22"/>
    <mergeCell ref="B24:D24"/>
    <mergeCell ref="G24:H24"/>
    <mergeCell ref="I24:J24"/>
    <mergeCell ref="K24:M24"/>
    <mergeCell ref="B20:D20"/>
    <mergeCell ref="G20:H20"/>
    <mergeCell ref="I20:J20"/>
    <mergeCell ref="K20:M20"/>
    <mergeCell ref="B21:D21"/>
    <mergeCell ref="G21:H21"/>
    <mergeCell ref="I21:J21"/>
    <mergeCell ref="K21:M21"/>
    <mergeCell ref="B27:D27"/>
    <mergeCell ref="G27:H27"/>
    <mergeCell ref="I27:J27"/>
    <mergeCell ref="K27:M27"/>
    <mergeCell ref="B28:D28"/>
    <mergeCell ref="G28:H28"/>
    <mergeCell ref="I28:J28"/>
    <mergeCell ref="K28:M28"/>
    <mergeCell ref="N24:O24"/>
    <mergeCell ref="B25:D25"/>
    <mergeCell ref="G25:H25"/>
    <mergeCell ref="I25:J25"/>
    <mergeCell ref="K25:M25"/>
    <mergeCell ref="N25:O29"/>
    <mergeCell ref="B26:D26"/>
    <mergeCell ref="G26:H26"/>
    <mergeCell ref="I26:J26"/>
    <mergeCell ref="K26:M26"/>
    <mergeCell ref="N30:O30"/>
    <mergeCell ref="A32:B32"/>
    <mergeCell ref="A33:O37"/>
    <mergeCell ref="A38:O38"/>
    <mergeCell ref="B39:E39"/>
    <mergeCell ref="L39:M39"/>
    <mergeCell ref="B29:D29"/>
    <mergeCell ref="G29:H29"/>
    <mergeCell ref="I29:J29"/>
    <mergeCell ref="K29:M29"/>
    <mergeCell ref="B30:D30"/>
    <mergeCell ref="G30:H30"/>
    <mergeCell ref="I30:J30"/>
    <mergeCell ref="K30:M30"/>
    <mergeCell ref="E43:F43"/>
    <mergeCell ref="G43:H43"/>
    <mergeCell ref="I43:J43"/>
    <mergeCell ref="K43:L43"/>
    <mergeCell ref="M43:N43"/>
    <mergeCell ref="B49:G49"/>
    <mergeCell ref="B40:C40"/>
    <mergeCell ref="D40:F40"/>
    <mergeCell ref="I40:J40"/>
    <mergeCell ref="L40:M40"/>
    <mergeCell ref="A41:B41"/>
    <mergeCell ref="C41:D41"/>
    <mergeCell ref="F41:G41"/>
    <mergeCell ref="I41:J41"/>
    <mergeCell ref="L41:O41"/>
  </mergeCells>
  <phoneticPr fontId="26" type="noConversion"/>
  <pageMargins left="0.22" right="0.2" top="0.41" bottom="0.31" header="0.3" footer="0.3"/>
  <pageSetup paperSize="9" scale="6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view="pageBreakPreview" topLeftCell="A4" zoomScale="85" zoomScaleNormal="70" zoomScaleSheetLayoutView="85" workbookViewId="0">
      <selection activeCell="F23" sqref="F23"/>
    </sheetView>
  </sheetViews>
  <sheetFormatPr defaultColWidth="9" defaultRowHeight="16.5" x14ac:dyDescent="0.3"/>
  <cols>
    <col min="1" max="1" width="9.625" style="39" customWidth="1"/>
    <col min="2" max="4" width="10.25" style="39" customWidth="1"/>
    <col min="5" max="8" width="9.625" style="39" customWidth="1"/>
    <col min="9" max="9" width="11.25" style="39" customWidth="1"/>
    <col min="10" max="11" width="9.625" style="39" customWidth="1"/>
    <col min="12" max="13" width="6.125" style="39" customWidth="1"/>
    <col min="14" max="15" width="9.625" style="39" customWidth="1"/>
    <col min="16" max="16" width="10.5" style="39" bestFit="1" customWidth="1"/>
    <col min="17" max="17" width="19.75" style="39" bestFit="1" customWidth="1"/>
    <col min="18" max="18" width="10.625" style="39" bestFit="1" customWidth="1"/>
    <col min="19" max="19" width="12.5" style="39" bestFit="1" customWidth="1"/>
    <col min="20" max="20" width="9" style="39"/>
    <col min="21" max="21" width="12.5" style="39" bestFit="1" customWidth="1"/>
    <col min="22" max="16384" width="9" style="39"/>
  </cols>
  <sheetData>
    <row r="1" spans="1:19" ht="39" x14ac:dyDescent="0.3">
      <c r="A1" s="200" t="s">
        <v>35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9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9" ht="22.5" customHeight="1" x14ac:dyDescent="0.3">
      <c r="A3" s="203" t="s">
        <v>72</v>
      </c>
      <c r="B3" s="204"/>
      <c r="C3" s="204"/>
      <c r="D3" s="204"/>
      <c r="E3" s="204"/>
      <c r="F3" s="6"/>
      <c r="G3" s="7" t="s">
        <v>30</v>
      </c>
      <c r="H3" s="205" t="s">
        <v>3</v>
      </c>
      <c r="I3" s="205"/>
      <c r="J3" s="205"/>
      <c r="K3" s="205"/>
      <c r="L3" s="205"/>
      <c r="M3" s="205"/>
      <c r="N3" s="206"/>
      <c r="O3" s="207"/>
    </row>
    <row r="4" spans="1:19" ht="22.5" customHeight="1" x14ac:dyDescent="0.3">
      <c r="A4" s="208" t="s">
        <v>4</v>
      </c>
      <c r="B4" s="209"/>
      <c r="C4" s="210">
        <v>45421</v>
      </c>
      <c r="D4" s="210"/>
      <c r="E4" s="210"/>
      <c r="F4" s="8"/>
      <c r="G4" s="9" t="s">
        <v>5</v>
      </c>
      <c r="H4" s="187" t="s">
        <v>6</v>
      </c>
      <c r="I4" s="187"/>
      <c r="J4" s="187"/>
      <c r="K4" s="84" t="s">
        <v>7</v>
      </c>
      <c r="L4" s="211" t="s">
        <v>44</v>
      </c>
      <c r="M4" s="211"/>
      <c r="N4" s="212"/>
      <c r="O4" s="213"/>
    </row>
    <row r="5" spans="1:19" ht="22.5" customHeight="1" x14ac:dyDescent="0.3">
      <c r="A5" s="196" t="s">
        <v>8</v>
      </c>
      <c r="B5" s="197"/>
      <c r="C5" s="198" t="s">
        <v>52</v>
      </c>
      <c r="D5" s="198"/>
      <c r="E5" s="198"/>
      <c r="F5" s="8"/>
      <c r="G5" s="199" t="s">
        <v>9</v>
      </c>
      <c r="H5" s="188" t="s">
        <v>47</v>
      </c>
      <c r="I5" s="188"/>
      <c r="J5" s="188"/>
      <c r="K5" s="188"/>
      <c r="L5" s="188"/>
      <c r="M5" s="188"/>
      <c r="N5" s="189"/>
      <c r="O5" s="190"/>
    </row>
    <row r="6" spans="1:19" ht="22.5" customHeight="1" x14ac:dyDescent="0.3">
      <c r="A6" s="196" t="s">
        <v>10</v>
      </c>
      <c r="B6" s="197"/>
      <c r="C6" s="198" t="s">
        <v>43</v>
      </c>
      <c r="D6" s="198"/>
      <c r="E6" s="198"/>
      <c r="F6" s="8"/>
      <c r="G6" s="199"/>
      <c r="H6" s="188"/>
      <c r="I6" s="188"/>
      <c r="J6" s="188"/>
      <c r="K6" s="188"/>
      <c r="L6" s="188"/>
      <c r="M6" s="188"/>
      <c r="N6" s="189"/>
      <c r="O6" s="190"/>
    </row>
    <row r="7" spans="1:19" ht="22.5" customHeight="1" x14ac:dyDescent="0.3">
      <c r="A7" s="182" t="s">
        <v>11</v>
      </c>
      <c r="B7" s="183"/>
      <c r="C7" s="184">
        <f>K13</f>
        <v>1200000</v>
      </c>
      <c r="D7" s="184"/>
      <c r="E7" s="184"/>
      <c r="F7" s="186" t="s">
        <v>1</v>
      </c>
      <c r="G7" s="9" t="s">
        <v>12</v>
      </c>
      <c r="H7" s="187" t="s">
        <v>37</v>
      </c>
      <c r="I7" s="187"/>
      <c r="J7" s="187"/>
      <c r="K7" s="84" t="s">
        <v>13</v>
      </c>
      <c r="L7" s="188" t="s">
        <v>39</v>
      </c>
      <c r="M7" s="188"/>
      <c r="N7" s="189"/>
      <c r="O7" s="190"/>
    </row>
    <row r="8" spans="1:19" ht="22.5" customHeight="1" thickBot="1" x14ac:dyDescent="0.35">
      <c r="A8" s="191" t="s">
        <v>55</v>
      </c>
      <c r="B8" s="192"/>
      <c r="C8" s="185"/>
      <c r="D8" s="185"/>
      <c r="E8" s="185"/>
      <c r="F8" s="186"/>
      <c r="G8" s="10" t="s">
        <v>14</v>
      </c>
      <c r="H8" s="193" t="s">
        <v>48</v>
      </c>
      <c r="I8" s="193"/>
      <c r="J8" s="193"/>
      <c r="K8" s="85" t="s">
        <v>15</v>
      </c>
      <c r="L8" s="193" t="s">
        <v>38</v>
      </c>
      <c r="M8" s="193"/>
      <c r="N8" s="194"/>
      <c r="O8" s="195"/>
    </row>
    <row r="9" spans="1:19" ht="19.5" customHeight="1" x14ac:dyDescent="0.3">
      <c r="A9" s="11"/>
      <c r="B9" s="12"/>
      <c r="C9" s="13"/>
      <c r="D9" s="172"/>
      <c r="E9" s="172"/>
      <c r="F9" s="14"/>
      <c r="G9" s="15"/>
      <c r="H9" s="15"/>
      <c r="I9" s="15"/>
      <c r="J9" s="15"/>
      <c r="K9" s="15"/>
      <c r="L9" s="15"/>
      <c r="M9" s="15"/>
      <c r="N9" s="15"/>
      <c r="O9" s="16"/>
    </row>
    <row r="10" spans="1:19" ht="19.5" customHeight="1" x14ac:dyDescent="0.3">
      <c r="A10" s="17" t="s">
        <v>16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5"/>
      <c r="N10" s="173"/>
      <c r="O10" s="174"/>
    </row>
    <row r="11" spans="1:19" ht="9.75" customHeight="1" thickBot="1" x14ac:dyDescent="0.3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5"/>
      <c r="N11" s="175"/>
      <c r="O11" s="176"/>
    </row>
    <row r="12" spans="1:19" ht="23.25" customHeight="1" thickBot="1" x14ac:dyDescent="0.35">
      <c r="A12" s="45" t="s">
        <v>17</v>
      </c>
      <c r="B12" s="177" t="s">
        <v>58</v>
      </c>
      <c r="C12" s="177"/>
      <c r="D12" s="177"/>
      <c r="E12" s="177" t="s">
        <v>59</v>
      </c>
      <c r="F12" s="177"/>
      <c r="G12" s="177"/>
      <c r="H12" s="178" t="s">
        <v>49</v>
      </c>
      <c r="I12" s="178"/>
      <c r="J12" s="178"/>
      <c r="K12" s="179" t="s">
        <v>56</v>
      </c>
      <c r="L12" s="180"/>
      <c r="M12" s="180"/>
      <c r="N12" s="180"/>
      <c r="O12" s="181"/>
    </row>
    <row r="13" spans="1:19" ht="38.25" customHeight="1" thickTop="1" thickBot="1" x14ac:dyDescent="0.35">
      <c r="A13" s="19" t="s">
        <v>18</v>
      </c>
      <c r="B13" s="160">
        <f>SUM(K22)</f>
        <v>1200000</v>
      </c>
      <c r="C13" s="161"/>
      <c r="D13" s="161"/>
      <c r="E13" s="162"/>
      <c r="F13" s="163"/>
      <c r="G13" s="163"/>
      <c r="H13" s="164"/>
      <c r="I13" s="165"/>
      <c r="J13" s="166"/>
      <c r="K13" s="167">
        <f>B13+E13+H13</f>
        <v>1200000</v>
      </c>
      <c r="L13" s="168"/>
      <c r="M13" s="168"/>
      <c r="N13" s="168"/>
      <c r="O13" s="169"/>
      <c r="Q13" s="54">
        <v>37380000</v>
      </c>
    </row>
    <row r="14" spans="1:19" ht="22.5" customHeight="1" x14ac:dyDescent="0.3">
      <c r="A14" s="40" t="s">
        <v>57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5"/>
      <c r="N14" s="15"/>
      <c r="O14" s="16"/>
    </row>
    <row r="15" spans="1:19" ht="22.5" customHeight="1" thickBot="1" x14ac:dyDescent="0.35">
      <c r="A15" s="46" t="s">
        <v>19</v>
      </c>
      <c r="B15" s="134" t="s">
        <v>20</v>
      </c>
      <c r="C15" s="148"/>
      <c r="D15" s="149"/>
      <c r="E15" s="87" t="s">
        <v>21</v>
      </c>
      <c r="F15" s="87" t="s">
        <v>22</v>
      </c>
      <c r="G15" s="170" t="s">
        <v>23</v>
      </c>
      <c r="H15" s="170"/>
      <c r="I15" s="171"/>
      <c r="J15" s="171"/>
      <c r="K15" s="134" t="s">
        <v>60</v>
      </c>
      <c r="L15" s="148"/>
      <c r="M15" s="148"/>
      <c r="N15" s="134" t="s">
        <v>24</v>
      </c>
      <c r="O15" s="135"/>
      <c r="Q15" s="51"/>
    </row>
    <row r="16" spans="1:19" ht="22.5" customHeight="1" thickTop="1" x14ac:dyDescent="0.3">
      <c r="A16" s="57">
        <v>1</v>
      </c>
      <c r="B16" s="128" t="s">
        <v>75</v>
      </c>
      <c r="C16" s="128"/>
      <c r="D16" s="128"/>
      <c r="E16" s="48">
        <v>119</v>
      </c>
      <c r="F16" s="86" t="s">
        <v>41</v>
      </c>
      <c r="G16" s="152">
        <v>10000</v>
      </c>
      <c r="H16" s="153"/>
      <c r="I16" s="136"/>
      <c r="J16" s="136"/>
      <c r="K16" s="119">
        <f>G16*E16</f>
        <v>1190000</v>
      </c>
      <c r="L16" s="120"/>
      <c r="M16" s="121"/>
      <c r="N16" s="154"/>
      <c r="O16" s="155"/>
      <c r="S16" s="71"/>
    </row>
    <row r="17" spans="1:21" ht="22.5" customHeight="1" x14ac:dyDescent="0.3">
      <c r="A17" s="56">
        <v>2</v>
      </c>
      <c r="B17" s="128" t="s">
        <v>76</v>
      </c>
      <c r="C17" s="128"/>
      <c r="D17" s="128"/>
      <c r="E17" s="49">
        <v>1</v>
      </c>
      <c r="F17" s="86" t="s">
        <v>54</v>
      </c>
      <c r="G17" s="123">
        <v>10000</v>
      </c>
      <c r="H17" s="124"/>
      <c r="I17" s="129"/>
      <c r="J17" s="129"/>
      <c r="K17" s="119">
        <f t="shared" ref="K17" si="0">G17*E17</f>
        <v>10000</v>
      </c>
      <c r="L17" s="120"/>
      <c r="M17" s="121"/>
      <c r="N17" s="156"/>
      <c r="O17" s="157"/>
    </row>
    <row r="18" spans="1:21" ht="22.5" customHeight="1" x14ac:dyDescent="0.3">
      <c r="A18" s="56"/>
      <c r="B18" s="113"/>
      <c r="C18" s="114"/>
      <c r="D18" s="115"/>
      <c r="E18" s="77"/>
      <c r="F18" s="78"/>
      <c r="G18" s="123"/>
      <c r="H18" s="124"/>
      <c r="I18" s="118"/>
      <c r="J18" s="118"/>
      <c r="K18" s="119"/>
      <c r="L18" s="120"/>
      <c r="M18" s="121"/>
      <c r="N18" s="156"/>
      <c r="O18" s="157"/>
    </row>
    <row r="19" spans="1:21" ht="22.5" customHeight="1" x14ac:dyDescent="0.3">
      <c r="A19" s="59"/>
      <c r="B19" s="113"/>
      <c r="C19" s="114"/>
      <c r="D19" s="115"/>
      <c r="E19" s="60"/>
      <c r="F19" s="86"/>
      <c r="G19" s="123"/>
      <c r="H19" s="124"/>
      <c r="I19" s="132"/>
      <c r="J19" s="133"/>
      <c r="K19" s="119"/>
      <c r="L19" s="120"/>
      <c r="M19" s="121"/>
      <c r="N19" s="156"/>
      <c r="O19" s="157"/>
    </row>
    <row r="20" spans="1:21" ht="22.15" customHeight="1" x14ac:dyDescent="0.3">
      <c r="A20" s="68"/>
      <c r="B20" s="113"/>
      <c r="C20" s="114"/>
      <c r="D20" s="115"/>
      <c r="E20" s="69"/>
      <c r="F20" s="70"/>
      <c r="G20" s="116"/>
      <c r="H20" s="117"/>
      <c r="I20" s="118"/>
      <c r="J20" s="118"/>
      <c r="K20" s="119"/>
      <c r="L20" s="120"/>
      <c r="M20" s="121"/>
      <c r="N20" s="156"/>
      <c r="O20" s="157"/>
    </row>
    <row r="21" spans="1:21" ht="22.15" customHeight="1" x14ac:dyDescent="0.3">
      <c r="A21" s="68"/>
      <c r="B21" s="113"/>
      <c r="C21" s="114"/>
      <c r="D21" s="115"/>
      <c r="E21" s="77"/>
      <c r="F21" s="78"/>
      <c r="G21" s="116"/>
      <c r="H21" s="117"/>
      <c r="I21" s="118"/>
      <c r="J21" s="118"/>
      <c r="K21" s="119"/>
      <c r="L21" s="120"/>
      <c r="M21" s="121"/>
      <c r="N21" s="156"/>
      <c r="O21" s="157"/>
    </row>
    <row r="22" spans="1:21" ht="22.5" customHeight="1" x14ac:dyDescent="0.3">
      <c r="A22" s="56"/>
      <c r="B22" s="143" t="s">
        <v>36</v>
      </c>
      <c r="C22" s="144"/>
      <c r="D22" s="145"/>
      <c r="E22" s="88" t="s">
        <v>1</v>
      </c>
      <c r="F22" s="88" t="s">
        <v>1</v>
      </c>
      <c r="G22" s="146"/>
      <c r="H22" s="147"/>
      <c r="I22" s="119"/>
      <c r="J22" s="121"/>
      <c r="K22" s="119">
        <f>SUM(K16:M21)</f>
        <v>1200000</v>
      </c>
      <c r="L22" s="120"/>
      <c r="M22" s="121"/>
      <c r="N22" s="158"/>
      <c r="O22" s="159"/>
    </row>
    <row r="23" spans="1:21" ht="22.5" customHeight="1" x14ac:dyDescent="0.3">
      <c r="A23" s="41" t="s">
        <v>68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Q23" s="50"/>
    </row>
    <row r="24" spans="1:21" ht="22.5" customHeight="1" thickBot="1" x14ac:dyDescent="0.35">
      <c r="A24" s="46" t="s">
        <v>19</v>
      </c>
      <c r="B24" s="134" t="s">
        <v>34</v>
      </c>
      <c r="C24" s="148"/>
      <c r="D24" s="149"/>
      <c r="E24" s="87" t="s">
        <v>21</v>
      </c>
      <c r="F24" s="87" t="s">
        <v>40</v>
      </c>
      <c r="G24" s="134" t="s">
        <v>23</v>
      </c>
      <c r="H24" s="149"/>
      <c r="I24" s="150"/>
      <c r="J24" s="151"/>
      <c r="K24" s="134" t="s">
        <v>60</v>
      </c>
      <c r="L24" s="148"/>
      <c r="M24" s="149"/>
      <c r="N24" s="134" t="s">
        <v>24</v>
      </c>
      <c r="O24" s="135"/>
      <c r="Q24" s="51"/>
    </row>
    <row r="25" spans="1:21" ht="21.75" customHeight="1" thickTop="1" x14ac:dyDescent="0.3">
      <c r="A25" s="57"/>
      <c r="B25" s="128"/>
      <c r="C25" s="128"/>
      <c r="D25" s="128"/>
      <c r="E25" s="48"/>
      <c r="F25" s="86"/>
      <c r="G25" s="130"/>
      <c r="H25" s="131"/>
      <c r="I25" s="136"/>
      <c r="J25" s="136"/>
      <c r="K25" s="119"/>
      <c r="L25" s="120"/>
      <c r="M25" s="121"/>
      <c r="N25" s="137"/>
      <c r="O25" s="138"/>
      <c r="P25" s="67"/>
      <c r="Q25" s="67"/>
      <c r="R25" s="71"/>
      <c r="U25" s="50"/>
    </row>
    <row r="26" spans="1:21" ht="21.75" customHeight="1" x14ac:dyDescent="0.3">
      <c r="A26" s="56"/>
      <c r="B26" s="128"/>
      <c r="C26" s="128"/>
      <c r="D26" s="128"/>
      <c r="E26" s="49"/>
      <c r="F26" s="86"/>
      <c r="G26" s="123"/>
      <c r="H26" s="124"/>
      <c r="I26" s="125"/>
      <c r="J26" s="125"/>
      <c r="K26" s="119"/>
      <c r="L26" s="120"/>
      <c r="M26" s="121"/>
      <c r="N26" s="139"/>
      <c r="O26" s="140"/>
      <c r="P26" s="67"/>
      <c r="Q26" s="67"/>
      <c r="R26" s="50"/>
      <c r="S26" s="50"/>
      <c r="U26" s="50"/>
    </row>
    <row r="27" spans="1:21" ht="21.75" customHeight="1" x14ac:dyDescent="0.3">
      <c r="A27" s="56"/>
      <c r="B27" s="128"/>
      <c r="C27" s="128"/>
      <c r="D27" s="128"/>
      <c r="E27" s="49"/>
      <c r="F27" s="86"/>
      <c r="G27" s="123"/>
      <c r="H27" s="124"/>
      <c r="I27" s="129"/>
      <c r="J27" s="129"/>
      <c r="K27" s="119"/>
      <c r="L27" s="120"/>
      <c r="M27" s="121"/>
      <c r="N27" s="139"/>
      <c r="O27" s="140"/>
      <c r="P27" s="67"/>
      <c r="Q27" s="67"/>
      <c r="R27" s="50"/>
      <c r="S27" s="50"/>
      <c r="U27" s="50"/>
    </row>
    <row r="28" spans="1:21" s="61" customFormat="1" ht="21.75" customHeight="1" x14ac:dyDescent="0.3">
      <c r="A28" s="59"/>
      <c r="B28" s="113"/>
      <c r="C28" s="114"/>
      <c r="D28" s="115"/>
      <c r="E28" s="60"/>
      <c r="F28" s="86"/>
      <c r="G28" s="130"/>
      <c r="H28" s="131"/>
      <c r="I28" s="132"/>
      <c r="J28" s="133"/>
      <c r="K28" s="119"/>
      <c r="L28" s="120"/>
      <c r="M28" s="121"/>
      <c r="N28" s="139"/>
      <c r="O28" s="140"/>
      <c r="Q28" s="62"/>
      <c r="R28" s="63"/>
      <c r="S28" s="63"/>
      <c r="U28" s="63"/>
    </row>
    <row r="29" spans="1:21" s="64" customFormat="1" ht="21.75" customHeight="1" x14ac:dyDescent="0.3">
      <c r="A29" s="68"/>
      <c r="B29" s="113"/>
      <c r="C29" s="114"/>
      <c r="D29" s="115"/>
      <c r="E29" s="69"/>
      <c r="F29" s="70"/>
      <c r="G29" s="116"/>
      <c r="H29" s="117"/>
      <c r="I29" s="118"/>
      <c r="J29" s="118"/>
      <c r="K29" s="119"/>
      <c r="L29" s="120"/>
      <c r="M29" s="121"/>
      <c r="N29" s="141"/>
      <c r="O29" s="142"/>
      <c r="Q29" s="65"/>
      <c r="R29" s="66"/>
      <c r="S29" s="66"/>
      <c r="U29" s="66"/>
    </row>
    <row r="30" spans="1:21" ht="21.75" customHeight="1" x14ac:dyDescent="0.3">
      <c r="A30" s="22"/>
      <c r="B30" s="122" t="s">
        <v>36</v>
      </c>
      <c r="C30" s="122"/>
      <c r="D30" s="122"/>
      <c r="E30" s="49"/>
      <c r="F30" s="23"/>
      <c r="G30" s="123"/>
      <c r="H30" s="124"/>
      <c r="I30" s="125"/>
      <c r="J30" s="125"/>
      <c r="K30" s="126"/>
      <c r="L30" s="127"/>
      <c r="M30" s="127"/>
      <c r="N30" s="99"/>
      <c r="O30" s="100"/>
      <c r="Q30" s="67"/>
      <c r="R30" s="52"/>
      <c r="S30" s="52"/>
      <c r="U30" s="52"/>
    </row>
    <row r="31" spans="1:21" ht="11.25" customHeight="1" x14ac:dyDescent="0.3">
      <c r="A31" s="2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25"/>
      <c r="R31" s="50"/>
    </row>
    <row r="32" spans="1:21" ht="23.25" customHeight="1" x14ac:dyDescent="0.3">
      <c r="A32" s="101" t="s">
        <v>25</v>
      </c>
      <c r="B32" s="10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Q32" s="50"/>
    </row>
    <row r="33" spans="1:19" ht="35.1" customHeight="1" x14ac:dyDescent="0.3">
      <c r="A33" s="103" t="s">
        <v>61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6"/>
      <c r="Q33" s="50"/>
      <c r="S33" s="50"/>
    </row>
    <row r="34" spans="1:19" ht="35.1" customHeight="1" x14ac:dyDescent="0.3">
      <c r="A34" s="107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6"/>
      <c r="Q34" s="54"/>
      <c r="S34" s="53"/>
    </row>
    <row r="35" spans="1:19" ht="22.5" customHeight="1" x14ac:dyDescent="0.3">
      <c r="A35" s="107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5"/>
      <c r="O35" s="106"/>
      <c r="Q35" s="55"/>
    </row>
    <row r="36" spans="1:19" ht="34.5" hidden="1" customHeight="1" x14ac:dyDescent="0.3">
      <c r="A36" s="107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5"/>
      <c r="O36" s="106"/>
    </row>
    <row r="37" spans="1:19" ht="249.75" customHeight="1" x14ac:dyDescent="0.3">
      <c r="A37" s="107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6"/>
      <c r="Q37" s="53"/>
    </row>
    <row r="38" spans="1:19" ht="24" customHeight="1" x14ac:dyDescent="0.3">
      <c r="A38" s="108" t="s">
        <v>42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10"/>
      <c r="Q38" s="50"/>
    </row>
    <row r="39" spans="1:19" ht="22.5" customHeight="1" x14ac:dyDescent="0.3">
      <c r="A39" s="26" t="s">
        <v>26</v>
      </c>
      <c r="B39" s="111" t="s">
        <v>0</v>
      </c>
      <c r="C39" s="111"/>
      <c r="D39" s="111"/>
      <c r="E39" s="111"/>
      <c r="F39" s="27"/>
      <c r="G39" s="28"/>
      <c r="H39" s="27"/>
      <c r="I39" s="28"/>
      <c r="J39" s="27"/>
      <c r="K39" s="28"/>
      <c r="L39" s="112"/>
      <c r="M39" s="112"/>
      <c r="N39" s="29"/>
      <c r="O39" s="30"/>
    </row>
    <row r="40" spans="1:19" ht="22.5" customHeight="1" thickBot="1" x14ac:dyDescent="0.35">
      <c r="A40" s="31"/>
      <c r="B40" s="92"/>
      <c r="C40" s="92"/>
      <c r="D40" s="92"/>
      <c r="E40" s="92"/>
      <c r="F40" s="92"/>
      <c r="G40" s="32"/>
      <c r="H40" s="33"/>
      <c r="I40" s="92"/>
      <c r="J40" s="92"/>
      <c r="K40" s="34"/>
      <c r="L40" s="92"/>
      <c r="M40" s="92"/>
      <c r="N40" s="42" t="s">
        <v>2</v>
      </c>
      <c r="O40" s="43" t="s">
        <v>27</v>
      </c>
    </row>
    <row r="41" spans="1:19" ht="22.5" customHeight="1" thickBot="1" x14ac:dyDescent="0.35">
      <c r="A41" s="93" t="s">
        <v>28</v>
      </c>
      <c r="B41" s="94"/>
      <c r="C41" s="95" t="s">
        <v>45</v>
      </c>
      <c r="D41" s="96"/>
      <c r="E41" s="47" t="s">
        <v>29</v>
      </c>
      <c r="F41" s="95"/>
      <c r="G41" s="96"/>
      <c r="H41" s="47" t="s">
        <v>31</v>
      </c>
      <c r="I41" s="95" t="s">
        <v>46</v>
      </c>
      <c r="J41" s="96"/>
      <c r="K41" s="47" t="s">
        <v>32</v>
      </c>
      <c r="L41" s="97" t="s">
        <v>33</v>
      </c>
      <c r="M41" s="97"/>
      <c r="N41" s="97"/>
      <c r="O41" s="98"/>
    </row>
    <row r="42" spans="1:19" ht="19.5" customHeight="1" x14ac:dyDescent="0.3">
      <c r="A42" s="2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5"/>
    </row>
    <row r="43" spans="1:19" ht="19.5" customHeight="1" x14ac:dyDescent="0.3">
      <c r="A43" s="24"/>
      <c r="B43" s="8"/>
      <c r="C43" s="8"/>
      <c r="D43" s="8"/>
      <c r="E43" s="89"/>
      <c r="F43" s="89"/>
      <c r="G43" s="90"/>
      <c r="H43" s="90"/>
      <c r="I43" s="90"/>
      <c r="J43" s="90"/>
      <c r="K43" s="90"/>
      <c r="L43" s="90"/>
      <c r="M43" s="90"/>
      <c r="N43" s="90"/>
      <c r="O43" s="1"/>
    </row>
    <row r="44" spans="1:19" ht="19.5" customHeight="1" x14ac:dyDescent="0.3">
      <c r="A44" s="24"/>
      <c r="B44" s="8"/>
      <c r="C44" s="8"/>
      <c r="D44" s="8"/>
      <c r="E44" s="58"/>
      <c r="F44" s="58"/>
      <c r="G44" s="58"/>
      <c r="H44" s="44"/>
      <c r="I44" s="58"/>
      <c r="J44" s="44"/>
      <c r="K44" s="58"/>
      <c r="L44" s="44"/>
      <c r="M44" s="58"/>
      <c r="N44" s="58"/>
      <c r="O44" s="35"/>
    </row>
    <row r="45" spans="1:19" ht="31.5" customHeight="1" thickBot="1" x14ac:dyDescent="0.3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</row>
    <row r="49" spans="2:7" ht="322.89999999999998" customHeight="1" x14ac:dyDescent="0.3">
      <c r="B49" s="91"/>
      <c r="C49" s="91"/>
      <c r="D49" s="91"/>
      <c r="E49" s="91"/>
      <c r="F49" s="91"/>
      <c r="G49" s="91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2"/>
    <mergeCell ref="B17:D17"/>
    <mergeCell ref="G17:H17"/>
    <mergeCell ref="I17:J17"/>
    <mergeCell ref="K17:M17"/>
    <mergeCell ref="B18:D1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B22:D22"/>
    <mergeCell ref="G22:H22"/>
    <mergeCell ref="I22:J22"/>
    <mergeCell ref="K22:M22"/>
    <mergeCell ref="B24:D24"/>
    <mergeCell ref="G24:H24"/>
    <mergeCell ref="I24:J24"/>
    <mergeCell ref="K24:M24"/>
    <mergeCell ref="B20:D20"/>
    <mergeCell ref="G20:H20"/>
    <mergeCell ref="I20:J20"/>
    <mergeCell ref="K20:M20"/>
    <mergeCell ref="B21:D21"/>
    <mergeCell ref="G21:H21"/>
    <mergeCell ref="I21:J21"/>
    <mergeCell ref="K21:M21"/>
    <mergeCell ref="B27:D27"/>
    <mergeCell ref="G27:H27"/>
    <mergeCell ref="I27:J27"/>
    <mergeCell ref="K27:M27"/>
    <mergeCell ref="B28:D28"/>
    <mergeCell ref="G28:H28"/>
    <mergeCell ref="I28:J28"/>
    <mergeCell ref="K28:M28"/>
    <mergeCell ref="N24:O24"/>
    <mergeCell ref="B25:D25"/>
    <mergeCell ref="G25:H25"/>
    <mergeCell ref="I25:J25"/>
    <mergeCell ref="K25:M25"/>
    <mergeCell ref="N25:O29"/>
    <mergeCell ref="B26:D26"/>
    <mergeCell ref="G26:H26"/>
    <mergeCell ref="I26:J26"/>
    <mergeCell ref="K26:M26"/>
    <mergeCell ref="N30:O30"/>
    <mergeCell ref="A32:B32"/>
    <mergeCell ref="A33:O37"/>
    <mergeCell ref="A38:O38"/>
    <mergeCell ref="B39:E39"/>
    <mergeCell ref="L39:M39"/>
    <mergeCell ref="B29:D29"/>
    <mergeCell ref="G29:H29"/>
    <mergeCell ref="I29:J29"/>
    <mergeCell ref="K29:M29"/>
    <mergeCell ref="B30:D30"/>
    <mergeCell ref="G30:H30"/>
    <mergeCell ref="I30:J30"/>
    <mergeCell ref="K30:M30"/>
    <mergeCell ref="E43:F43"/>
    <mergeCell ref="G43:H43"/>
    <mergeCell ref="I43:J43"/>
    <mergeCell ref="K43:L43"/>
    <mergeCell ref="M43:N43"/>
    <mergeCell ref="B49:G49"/>
    <mergeCell ref="B40:C40"/>
    <mergeCell ref="D40:F40"/>
    <mergeCell ref="I40:J40"/>
    <mergeCell ref="L40:M40"/>
    <mergeCell ref="A41:B41"/>
    <mergeCell ref="C41:D41"/>
    <mergeCell ref="F41:G41"/>
    <mergeCell ref="I41:J41"/>
    <mergeCell ref="L41:O41"/>
  </mergeCells>
  <phoneticPr fontId="26" type="noConversion"/>
  <pageMargins left="0.22" right="0.2" top="0.41" bottom="0.31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LGES AB3동 필터(24.04.18)</vt:lpstr>
      <vt:lpstr>LGES 공용부 필터(24.04.18) </vt:lpstr>
      <vt:lpstr>LGES 어린이집 오버홀(24.04.18)</vt:lpstr>
      <vt:lpstr>LGC 필터세척(24.04.18)</vt:lpstr>
      <vt:lpstr>'LGC 필터세척(24.04.18)'!Print_Area</vt:lpstr>
      <vt:lpstr>'LGES AB3동 필터(24.04.18)'!Print_Area</vt:lpstr>
      <vt:lpstr>'LGES 공용부 필터(24.04.18) '!Print_Area</vt:lpstr>
      <vt:lpstr>'LGES 어린이집 오버홀(24.04.18)'!Print_Area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이재성</dc:creator>
  <cp:lastModifiedBy>종근 이</cp:lastModifiedBy>
  <cp:lastPrinted>2024-05-09T07:32:29Z</cp:lastPrinted>
  <dcterms:created xsi:type="dcterms:W3CDTF">2009-10-27T04:18:14Z</dcterms:created>
  <dcterms:modified xsi:type="dcterms:W3CDTF">2026-04-20T00:20:41Z</dcterms:modified>
</cp:coreProperties>
</file>
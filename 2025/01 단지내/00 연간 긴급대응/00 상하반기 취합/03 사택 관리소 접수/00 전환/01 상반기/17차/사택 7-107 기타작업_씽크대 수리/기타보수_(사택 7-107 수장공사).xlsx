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0 연간 긴급대응\00 상하반기 취합\03 사택 관리소 접수\00 전환\17차\사택 7-107 기타작업_씽크대 수리\"/>
    </mc:Choice>
  </mc:AlternateContent>
  <xr:revisionPtr revIDLastSave="0" documentId="13_ncr:1_{48F27854-67F4-4950-8F1E-1B1DF091800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내역서(표준단가)" sheetId="4" r:id="rId1"/>
    <sheet name="상세내역" sheetId="9" r:id="rId2"/>
    <sheet name="시중가 근거서류" sheetId="12" r:id="rId3"/>
    <sheet name="Upload(시중가)" sheetId="14" r:id="rId4"/>
    <sheet name="1,2,7동 도면" sheetId="10" r:id="rId5"/>
  </sheets>
  <definedNames>
    <definedName name="_xlnm.Print_Area" localSheetId="3">#REF!</definedName>
    <definedName name="_xlnm.Print_Area" localSheetId="2">#REF!</definedName>
    <definedName name="_xlnm.Print_Area">#REF!</definedName>
    <definedName name="_xlnm.Print_Titles" localSheetId="3">#REF!,#REF!</definedName>
    <definedName name="_xlnm.Print_Titles" localSheetId="2">#REF!,#REF!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L32" i="9"/>
  <c r="J32" i="9"/>
  <c r="H31" i="9"/>
  <c r="H32" i="9" s="1"/>
  <c r="F31" i="9"/>
  <c r="F32" i="9" s="1"/>
  <c r="N31" i="9" l="1"/>
  <c r="N32" i="9" s="1"/>
  <c r="D5" i="9"/>
  <c r="D19" i="9"/>
  <c r="D18" i="9"/>
  <c r="D10" i="9"/>
  <c r="D9" i="9"/>
  <c r="D8" i="9"/>
  <c r="D7" i="9"/>
  <c r="D6" i="9"/>
  <c r="D11" i="9" l="1"/>
  <c r="U5" i="4" l="1"/>
  <c r="S5" i="4"/>
  <c r="Q5" i="4"/>
  <c r="V5" i="4" l="1"/>
  <c r="L29" i="9" l="1"/>
  <c r="J29" i="9"/>
  <c r="H29" i="9"/>
  <c r="L27" i="9"/>
  <c r="J27" i="9"/>
  <c r="L15" i="9"/>
  <c r="J15" i="9"/>
  <c r="D15" i="9"/>
  <c r="L11" i="9"/>
  <c r="J11" i="9"/>
  <c r="L33" i="9" l="1"/>
  <c r="J33" i="9"/>
  <c r="F27" i="9"/>
  <c r="H15" i="9"/>
  <c r="F11" i="9"/>
  <c r="H27" i="9"/>
  <c r="H11" i="9"/>
  <c r="N29" i="9"/>
  <c r="F15" i="9"/>
  <c r="H33" i="9" l="1"/>
  <c r="F33" i="9"/>
  <c r="N15" i="9"/>
  <c r="N11" i="9"/>
  <c r="N27" i="9"/>
  <c r="N33" i="9" l="1"/>
  <c r="Q6" i="4" l="1"/>
  <c r="U6" i="4" l="1"/>
  <c r="O6" i="4"/>
  <c r="S6" i="4"/>
  <c r="V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<sst xmlns="http://schemas.openxmlformats.org/spreadsheetml/2006/main" count="137" uniqueCount="94">
  <si>
    <t>수량</t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</si>
  <si>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</si>
  <si>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</si>
  <si>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</si>
  <si>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</si>
  <si>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</si>
  <si>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</si>
  <si>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</si>
  <si>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</si>
  <si>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</si>
  <si>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</si>
  <si>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</si>
  <si>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</si>
  <si>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</si>
  <si>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</si>
  <si>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</si>
  <si>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</si>
  <si>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</si>
  <si>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</si>
  <si>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</si>
  <si>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</si>
  <si>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</si>
  <si>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</si>
  <si>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</si>
  <si>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</si>
  <si>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</si>
  <si>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</si>
  <si>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</si>
  <si>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</si>
  <si>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</si>
  <si>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</si>
  <si>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</si>
  <si>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</si>
  <si>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</si>
  <si>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</si>
  <si>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</si>
  <si>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</si>
  <si>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</si>
  <si>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</si>
  <si>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</si>
  <si>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</si>
  <si>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</si>
  <si>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</si>
  <si>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</si>
  <si>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</si>
  <si>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</si>
  <si>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</si>
  <si>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</si>
  <si>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</si>
  <si>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</si>
  <si>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</si>
  <si>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</si>
  <si>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</si>
  <si>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</si>
  <si>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</si>
  <si>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</si>
  <si>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</si>
  <si>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</si>
  <si>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</si>
  <si>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</si>
  <si>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</si>
  <si>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</si>
  <si>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</si>
  <si>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</si>
  <si>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</si>
  <si>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</si>
  <si>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</si>
  <si>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도색(앞,뒤베란다 걸레받이(앞,뒤베란다 창고바닥포함))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</si>
  <si>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</si>
  <si>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</si>
  <si>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</si>
  <si>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</si>
  <si>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</si>
  <si>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</si>
  <si>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</si>
  <si>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</si>
  <si>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</si>
  <si>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</si>
  <si>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</si>
  <si>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</si>
  <si>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</si>
  <si>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</si>
  <si>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</si>
  <si>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</si>
  <si>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6" type="noConversion"/>
  </si>
  <si>
    <t>5.사택 7-107 기타작업</t>
    <phoneticPr fontId="8" type="noConversion"/>
  </si>
  <si>
    <t>씽크대 하부장 보수</t>
    <phoneticPr fontId="6" type="noConversion"/>
  </si>
  <si>
    <t>하부장 씽크볼측 문짝(1개) 교체</t>
    <phoneticPr fontId="6" type="noConversion"/>
  </si>
  <si>
    <t>하부장 씽크볼측 문짝(1개) 교체</t>
    <phoneticPr fontId="6" type="noConversion"/>
  </si>
  <si>
    <t>씽크대 하부장 보수</t>
    <phoneticPr fontId="6" type="noConversion"/>
  </si>
  <si>
    <t>set</t>
    <phoneticPr fontId="6" type="noConversion"/>
  </si>
  <si>
    <t>set</t>
    <phoneticPr fontId="6" type="noConversion"/>
  </si>
  <si>
    <t>사택 7-503 수장공사 외 1건</t>
    <phoneticPr fontId="6" type="noConversion"/>
  </si>
  <si>
    <t>전문업체 젼적서 첨부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</si>
</sst>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90" formatCode="0.0_);[Red]\(0.0\)"/>
    <numFmt numFmtId="191" formatCode="#,##0;\-#,##0;"/>
    <numFmt numFmtId="192" formatCode="0.000"/>
    <numFmt numFmtId="193" formatCode="0.00_);[Red]\(0.00\)"/>
    <numFmt numFmtId="194" formatCode="_-* #,##0.0_-;\-* #,##0.0_-;_-* &quot;-&quot;_-;_-@_-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7" fontId="21" fillId="4" borderId="2" xfId="4" applyFont="1" applyFill="1" applyBorder="1" applyAlignment="1">
      <alignment horizontal="center" vertical="center"/>
    </xf>
    <xf numFmtId="178" fontId="21" fillId="4" borderId="2" xfId="5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7" fontId="17" fillId="6" borderId="2" xfId="1" applyFont="1" applyFill="1" applyBorder="1" applyAlignment="1">
      <alignment horizontal="center" vertical="center" wrapText="1"/>
    </xf>
    <xf numFmtId="177" fontId="17" fillId="0" borderId="2" xfId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18" fillId="0" borderId="0" xfId="0" applyFont="1">
      <alignment vertical="center"/>
    </xf>
    <xf numFmtId="183" fontId="23" fillId="0" borderId="8" xfId="13" quotePrefix="1" applyNumberFormat="1" applyFont="1" applyBorder="1" applyAlignment="1">
      <alignment horizontal="center" vertical="center"/>
    </xf>
    <xf numFmtId="177" fontId="22" fillId="0" borderId="8" xfId="11" applyFont="1" applyBorder="1" applyAlignment="1">
      <alignment vertical="center"/>
    </xf>
    <xf numFmtId="185" fontId="22" fillId="0" borderId="8" xfId="11" applyNumberFormat="1" applyFont="1" applyBorder="1" applyAlignment="1">
      <alignment horizontal="center" vertical="center"/>
    </xf>
    <xf numFmtId="177" fontId="22" fillId="0" borderId="8" xfId="11" applyFont="1" applyBorder="1" applyAlignment="1">
      <alignment horizontal="center" vertical="center"/>
    </xf>
    <xf numFmtId="183" fontId="22" fillId="5" borderId="8" xfId="11" applyNumberFormat="1" applyFont="1" applyFill="1" applyBorder="1" applyAlignment="1">
      <alignment horizontal="right" vertical="center" wrapText="1"/>
    </xf>
    <xf numFmtId="185" fontId="22" fillId="11" borderId="8" xfId="11" applyNumberFormat="1" applyFont="1" applyFill="1" applyBorder="1" applyAlignment="1">
      <alignment horizontal="center" vertical="center"/>
    </xf>
    <xf numFmtId="177" fontId="22" fillId="11" borderId="8" xfId="11" applyFont="1" applyFill="1" applyBorder="1" applyAlignment="1">
      <alignment horizontal="center" vertical="center"/>
    </xf>
    <xf numFmtId="186" fontId="23" fillId="11" borderId="8" xfId="11" applyNumberFormat="1" applyFont="1" applyFill="1" applyBorder="1" applyAlignment="1">
      <alignment horizontal="center" vertical="center"/>
    </xf>
    <xf numFmtId="183" fontId="23" fillId="11" borderId="8" xfId="11" applyNumberFormat="1" applyFont="1" applyFill="1" applyBorder="1" applyAlignment="1">
      <alignment horizontal="right" vertical="center" wrapText="1"/>
    </xf>
    <xf numFmtId="183" fontId="23" fillId="11" borderId="8" xfId="11" applyNumberFormat="1" applyFont="1" applyFill="1" applyBorder="1" applyAlignment="1">
      <alignment horizontal="center" vertical="center" wrapText="1"/>
    </xf>
    <xf numFmtId="185" fontId="22" fillId="5" borderId="8" xfId="11" applyNumberFormat="1" applyFont="1" applyFill="1" applyBorder="1" applyAlignment="1">
      <alignment horizontal="center" vertical="center"/>
    </xf>
    <xf numFmtId="177" fontId="22" fillId="5" borderId="8" xfId="11" applyFont="1" applyFill="1" applyBorder="1" applyAlignment="1">
      <alignment horizontal="center" vertical="center"/>
    </xf>
    <xf numFmtId="183" fontId="22" fillId="5" borderId="8" xfId="11" applyNumberFormat="1" applyFont="1" applyFill="1" applyBorder="1" applyAlignment="1">
      <alignment horizontal="center" vertical="center" wrapText="1"/>
    </xf>
    <xf numFmtId="185" fontId="23" fillId="11" borderId="8" xfId="11" applyNumberFormat="1" applyFont="1" applyFill="1" applyBorder="1" applyAlignment="1">
      <alignment horizontal="center" vertical="center"/>
    </xf>
    <xf numFmtId="177" fontId="23" fillId="11" borderId="8" xfId="11" applyFont="1" applyFill="1" applyBorder="1" applyAlignment="1">
      <alignment horizontal="center" vertical="center"/>
    </xf>
    <xf numFmtId="183" fontId="17" fillId="5" borderId="8" xfId="11" applyNumberFormat="1" applyFont="1" applyFill="1" applyBorder="1" applyAlignment="1">
      <alignment horizontal="center" vertical="center" wrapText="1"/>
    </xf>
    <xf numFmtId="186" fontId="22" fillId="11" borderId="8" xfId="11" applyNumberFormat="1" applyFont="1" applyFill="1" applyBorder="1" applyAlignment="1">
      <alignment horizontal="center" vertical="center"/>
    </xf>
    <xf numFmtId="183" fontId="22" fillId="11" borderId="8" xfId="11" applyNumberFormat="1" applyFont="1" applyFill="1" applyBorder="1" applyAlignment="1">
      <alignment horizontal="right" vertical="center" wrapText="1"/>
    </xf>
    <xf numFmtId="183" fontId="22" fillId="11" borderId="8" xfId="11" applyNumberFormat="1" applyFont="1" applyFill="1" applyBorder="1" applyAlignment="1">
      <alignment vertical="center" wrapText="1"/>
    </xf>
    <xf numFmtId="183" fontId="23" fillId="11" borderId="8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8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21" fillId="0" borderId="9" xfId="11" applyNumberFormat="1" applyFont="1" applyBorder="1" applyAlignment="1">
      <alignment vertical="center"/>
    </xf>
    <xf numFmtId="0" fontId="21" fillId="0" borderId="12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8" xfId="11" applyNumberFormat="1" applyFont="1" applyFill="1" applyBorder="1" applyAlignment="1">
      <alignment horizontal="center" vertical="center"/>
    </xf>
    <xf numFmtId="185" fontId="22" fillId="8" borderId="8" xfId="11" applyNumberFormat="1" applyFont="1" applyFill="1" applyBorder="1" applyAlignment="1">
      <alignment horizontal="center" vertical="center"/>
    </xf>
    <xf numFmtId="177" fontId="22" fillId="8" borderId="8" xfId="11" applyFont="1" applyFill="1" applyBorder="1" applyAlignment="1">
      <alignment horizontal="center" vertical="center"/>
    </xf>
    <xf numFmtId="183" fontId="23" fillId="8" borderId="8" xfId="11" applyNumberFormat="1" applyFont="1" applyFill="1" applyBorder="1" applyAlignment="1">
      <alignment horizontal="right" vertical="center" wrapText="1"/>
    </xf>
    <xf numFmtId="188" fontId="22" fillId="5" borderId="8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3" fontId="22" fillId="0" borderId="8" xfId="11" applyNumberFormat="1" applyFont="1" applyBorder="1" applyAlignment="1">
      <alignment horizontal="right" vertical="center" wrapText="1"/>
    </xf>
    <xf numFmtId="183" fontId="22" fillId="0" borderId="8" xfId="11" applyNumberFormat="1" applyFont="1" applyFill="1" applyBorder="1" applyAlignment="1">
      <alignment horizontal="right" vertical="center" wrapText="1"/>
    </xf>
    <xf numFmtId="186" fontId="23" fillId="5" borderId="8" xfId="11" applyNumberFormat="1" applyFont="1" applyFill="1" applyBorder="1" applyAlignment="1">
      <alignment horizontal="center" vertical="center"/>
    </xf>
    <xf numFmtId="0" fontId="23" fillId="0" borderId="8" xfId="13" quotePrefix="1" applyFont="1" applyBorder="1" applyAlignment="1">
      <alignment horizontal="center" vertical="center"/>
    </xf>
    <xf numFmtId="49" fontId="22" fillId="5" borderId="8" xfId="0" applyNumberFormat="1" applyFont="1" applyFill="1" applyBorder="1" applyAlignment="1">
      <alignment horizontal="center" vertical="center"/>
    </xf>
    <xf numFmtId="49" fontId="22" fillId="5" borderId="8" xfId="0" applyNumberFormat="1" applyFont="1" applyFill="1" applyBorder="1">
      <alignment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6" xfId="0" applyFont="1" applyFill="1" applyBorder="1">
      <alignment vertical="center"/>
    </xf>
    <xf numFmtId="0" fontId="21" fillId="9" borderId="3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7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5" borderId="2" xfId="1" applyFont="1" applyFill="1" applyBorder="1" applyAlignment="1">
      <alignment vertical="center"/>
    </xf>
    <xf numFmtId="185" fontId="22" fillId="0" borderId="8" xfId="11" applyNumberFormat="1" applyFont="1" applyFill="1" applyBorder="1" applyAlignment="1">
      <alignment horizontal="center" vertical="center"/>
    </xf>
    <xf numFmtId="177" fontId="22" fillId="0" borderId="8" xfId="11" applyFont="1" applyFill="1" applyBorder="1" applyAlignment="1">
      <alignment horizontal="center" vertical="center"/>
    </xf>
    <xf numFmtId="0" fontId="17" fillId="0" borderId="8" xfId="11" applyNumberFormat="1" applyFont="1" applyFill="1" applyBorder="1" applyAlignment="1">
      <alignment vertical="center"/>
    </xf>
    <xf numFmtId="49" fontId="22" fillId="0" borderId="8" xfId="0" applyNumberFormat="1" applyFont="1" applyBorder="1" applyAlignment="1">
      <alignment horizontal="center" vertical="center"/>
    </xf>
    <xf numFmtId="183" fontId="22" fillId="0" borderId="8" xfId="11" applyNumberFormat="1" applyFont="1" applyFill="1" applyBorder="1" applyAlignment="1">
      <alignment horizontal="center" vertical="center" wrapText="1"/>
    </xf>
    <xf numFmtId="190" fontId="22" fillId="10" borderId="8" xfId="11" applyNumberFormat="1" applyFont="1" applyFill="1" applyBorder="1" applyAlignment="1">
      <alignment horizontal="center" vertical="center"/>
    </xf>
    <xf numFmtId="190" fontId="22" fillId="0" borderId="8" xfId="11" applyNumberFormat="1" applyFont="1" applyBorder="1" applyAlignment="1">
      <alignment horizontal="center" vertical="center" wrapText="1"/>
    </xf>
    <xf numFmtId="193" fontId="25" fillId="0" borderId="8" xfId="11" applyNumberFormat="1" applyFont="1" applyFill="1" applyBorder="1" applyAlignment="1">
      <alignment horizontal="right" vertical="center"/>
    </xf>
    <xf numFmtId="188" fontId="25" fillId="0" borderId="8" xfId="11" applyNumberFormat="1" applyFont="1" applyFill="1" applyBorder="1" applyAlignment="1">
      <alignment horizontal="center" vertical="center" wrapText="1"/>
    </xf>
    <xf numFmtId="0" fontId="17" fillId="0" borderId="8" xfId="11" applyNumberFormat="1" applyFont="1" applyFill="1" applyBorder="1" applyAlignment="1">
      <alignment vertical="center"/>
    </xf>
    <xf numFmtId="0" fontId="26" fillId="0" borderId="0" xfId="0" applyFont="1">
      <alignment vertical="center"/>
    </xf>
    <xf numFmtId="49" fontId="17" fillId="2" borderId="15" xfId="0" applyNumberFormat="1" applyFont="1" applyFill="1" applyBorder="1" applyAlignment="1">
      <alignment horizontal="center" vertical="center" wrapText="1"/>
    </xf>
    <xf numFmtId="194" fontId="17" fillId="0" borderId="0" xfId="1" applyNumberFormat="1" applyFont="1" applyFill="1" applyBorder="1" applyAlignment="1">
      <alignment horizontal="center" vertical="center"/>
    </xf>
    <xf numFmtId="177" fontId="17" fillId="0" borderId="0" xfId="1" applyFont="1" applyBorder="1">
      <alignment vertical="center"/>
    </xf>
    <xf numFmtId="0" fontId="27" fillId="0" borderId="0" xfId="0" applyFont="1" applyAlignment="1">
      <alignment horizontal="center" vertical="center"/>
    </xf>
    <xf numFmtId="0" fontId="21" fillId="0" borderId="8" xfId="11" applyNumberFormat="1" applyFont="1" applyFill="1" applyBorder="1" applyAlignment="1">
      <alignment vertical="center"/>
    </xf>
    <xf numFmtId="186" fontId="22" fillId="0" borderId="8" xfId="11" applyNumberFormat="1" applyFont="1" applyFill="1" applyBorder="1" applyAlignment="1">
      <alignment horizontal="center" vertical="center"/>
    </xf>
    <xf numFmtId="183" fontId="23" fillId="0" borderId="8" xfId="11" applyNumberFormat="1" applyFont="1" applyFill="1" applyBorder="1" applyAlignment="1">
      <alignment horizontal="right" vertical="center" wrapText="1"/>
    </xf>
    <xf numFmtId="183" fontId="25" fillId="0" borderId="8" xfId="1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 wrapText="1"/>
    </xf>
    <xf numFmtId="184" fontId="21" fillId="11" borderId="10" xfId="11" applyNumberFormat="1" applyFont="1" applyFill="1" applyBorder="1" applyAlignment="1">
      <alignment vertical="center"/>
    </xf>
    <xf numFmtId="184" fontId="23" fillId="11" borderId="11" xfId="11" applyNumberFormat="1" applyFont="1" applyFill="1" applyBorder="1" applyAlignment="1">
      <alignment vertical="center"/>
    </xf>
    <xf numFmtId="0" fontId="19" fillId="0" borderId="7" xfId="13" applyFont="1" applyBorder="1" applyAlignment="1">
      <alignment horizontal="center" vertical="center"/>
    </xf>
    <xf numFmtId="0" fontId="21" fillId="0" borderId="8" xfId="13" quotePrefix="1" applyFont="1" applyBorder="1" applyAlignment="1">
      <alignment horizontal="center" vertical="center"/>
    </xf>
    <xf numFmtId="0" fontId="23" fillId="0" borderId="8" xfId="13" quotePrefix="1" applyFont="1" applyBorder="1" applyAlignment="1">
      <alignment horizontal="center" vertical="center"/>
    </xf>
    <xf numFmtId="0" fontId="23" fillId="0" borderId="9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8" xfId="13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9" xfId="13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17" fillId="0" borderId="8" xfId="11" applyNumberFormat="1" applyFont="1" applyBorder="1" applyAlignment="1">
      <alignment vertical="center"/>
    </xf>
    <xf numFmtId="0" fontId="17" fillId="0" borderId="9" xfId="11" applyNumberFormat="1" applyFont="1" applyBorder="1" applyAlignment="1">
      <alignment vertical="center"/>
    </xf>
    <xf numFmtId="0" fontId="17" fillId="0" borderId="13" xfId="11" applyNumberFormat="1" applyFont="1" applyBorder="1" applyAlignment="1">
      <alignment vertical="center"/>
    </xf>
    <xf numFmtId="183" fontId="17" fillId="0" borderId="9" xfId="11" applyNumberFormat="1" applyFont="1" applyBorder="1" applyAlignment="1">
      <alignment horizontal="center" vertical="center" wrapText="1"/>
    </xf>
    <xf numFmtId="183" fontId="17" fillId="0" borderId="13" xfId="11" applyNumberFormat="1" applyFont="1" applyBorder="1" applyAlignment="1">
      <alignment horizontal="center" vertical="center" wrapText="1"/>
    </xf>
    <xf numFmtId="0" fontId="17" fillId="10" borderId="13" xfId="11" applyNumberFormat="1" applyFont="1" applyFill="1" applyBorder="1" applyAlignment="1">
      <alignment vertical="center"/>
    </xf>
    <xf numFmtId="0" fontId="17" fillId="0" borderId="8" xfId="11" applyNumberFormat="1" applyFont="1" applyFill="1" applyBorder="1" applyAlignment="1">
      <alignment vertical="center"/>
    </xf>
    <xf numFmtId="183" fontId="25" fillId="5" borderId="9" xfId="11" applyNumberFormat="1" applyFont="1" applyFill="1" applyBorder="1" applyAlignment="1">
      <alignment horizontal="center" vertical="center" wrapText="1"/>
    </xf>
    <xf numFmtId="183" fontId="25" fillId="5" borderId="12" xfId="11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" xfId="18" xr:uid="{F8280F3B-7954-464D-9E6B-7FCA19CF6409}"/>
    <cellStyle name="쉼표 [0] 2 2 29" xfId="11" xr:uid="{00000000-0005-0000-0000-000005000000}"/>
    <cellStyle name="쉼표 [0] 3" xfId="14" xr:uid="{8F7BE219-40E1-4BBB-A9BD-02188B74B2A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8C4324F0-A28B-46DA-A9A2-7B35333895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0</xdr:rowOff>
    </xdr:from>
    <xdr:to>
      <xdr:col>6</xdr:col>
      <xdr:colOff>485775</xdr:colOff>
      <xdr:row>33</xdr:row>
      <xdr:rowOff>19050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5C452E-04BF-495A-A3CD-7CC8D550BB10}"/>
            </a:ext>
          </a:extLst>
        </xdr:cNvPr>
        <xdr:cNvSpPr/>
      </xdr:nvSpPr>
      <xdr:spPr>
        <a:xfrm>
          <a:off x="28575" y="419100"/>
          <a:ext cx="5038725" cy="65151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7-107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하부장 씽크볼측 문짝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(1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)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466725</xdr:colOff>
      <xdr:row>4</xdr:row>
      <xdr:rowOff>152400</xdr:rowOff>
    </xdr:from>
    <xdr:to>
      <xdr:col>5</xdr:col>
      <xdr:colOff>550343</xdr:colOff>
      <xdr:row>31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7D181F-8696-4FF7-BAC4-C53353F19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90600"/>
          <a:ext cx="3979343" cy="554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6"/>
  <sheetViews>
    <sheetView showGridLines="0" tabSelected="1" zoomScale="80" zoomScaleNormal="80" workbookViewId="0">
      <pane ySplit="4" topLeftCell="A5" activePane="bottomLeft" state="frozen"/>
      <selection pane="bottomLeft" activeCell="J15" sqref="J15"/>
    </sheetView>
  </sheetViews>
  <sheetFormatPr defaultColWidth="9" defaultRowHeight="38.1" customHeight="1" x14ac:dyDescent="0.3"/>
  <cols>
    <col min="1" max="1" width="22.625" style="73" bestFit="1" customWidth="1"/>
    <col min="2" max="5" width="4.625" style="73" customWidth="1"/>
    <col min="6" max="6" width="9" style="61" customWidth="1"/>
    <col min="7" max="9" width="12.625" style="61" customWidth="1"/>
    <col min="10" max="11" width="30.625" style="56" customWidth="1"/>
    <col min="12" max="12" width="12.375" style="61" bestFit="1" customWidth="1"/>
    <col min="13" max="13" width="8.25" style="61" customWidth="1"/>
    <col min="14" max="14" width="10.625" style="61" bestFit="1" customWidth="1"/>
    <col min="15" max="15" width="13.25" style="61" bestFit="1" customWidth="1"/>
    <col min="16" max="16" width="12" style="61" bestFit="1" customWidth="1"/>
    <col min="17" max="17" width="15.625" style="61" bestFit="1" customWidth="1"/>
    <col min="18" max="18" width="9" style="61" customWidth="1"/>
    <col min="19" max="19" width="8.75" style="61" bestFit="1" customWidth="1"/>
    <col min="20" max="20" width="10.5" style="61" customWidth="1"/>
    <col min="21" max="21" width="8.75" style="61" bestFit="1" customWidth="1"/>
    <col min="22" max="22" width="15.625" style="61" bestFit="1" customWidth="1"/>
    <col min="23" max="23" width="10.625" style="1" bestFit="1" customWidth="1"/>
    <col min="24" max="24" width="8.5" style="61" bestFit="1" customWidth="1"/>
    <col min="25" max="16384" width="9" style="61"/>
  </cols>
  <sheetData>
    <row r="1" spans="1:24" ht="19.899999999999999" customHeight="1" x14ac:dyDescent="0.3">
      <c r="A1" s="94"/>
      <c r="B1" s="94"/>
      <c r="C1" s="94"/>
      <c r="D1" s="94"/>
      <c r="E1" s="94"/>
      <c r="F1" s="94"/>
      <c r="G1" s="94"/>
      <c r="H1" s="94"/>
      <c r="I1" s="94"/>
      <c r="N1" s="1"/>
      <c r="O1" s="59" t="s">
        <v>40</v>
      </c>
      <c r="Q1" s="59" t="s">
        <v>40</v>
      </c>
      <c r="S1" s="59" t="s">
        <v>40</v>
      </c>
      <c r="U1" s="59" t="s">
        <v>40</v>
      </c>
    </row>
    <row r="2" spans="1:24" ht="19.899999999999999" customHeight="1" thickBot="1" x14ac:dyDescent="0.35">
      <c r="A2" s="94"/>
      <c r="B2" s="94"/>
      <c r="C2" s="94"/>
      <c r="D2" s="94"/>
      <c r="E2" s="94"/>
      <c r="F2" s="94"/>
      <c r="G2" s="94"/>
      <c r="H2" s="94"/>
      <c r="I2" s="94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2"/>
      <c r="B3" s="63"/>
      <c r="C3" s="63"/>
      <c r="D3" s="63"/>
      <c r="E3" s="63"/>
      <c r="F3" s="63" t="s">
        <v>41</v>
      </c>
      <c r="G3" s="63"/>
      <c r="H3" s="63"/>
      <c r="I3" s="63"/>
      <c r="J3" s="105" t="s">
        <v>42</v>
      </c>
      <c r="K3" s="105"/>
      <c r="L3" s="103" t="s">
        <v>2</v>
      </c>
      <c r="M3" s="103" t="s">
        <v>0</v>
      </c>
      <c r="N3" s="99" t="s">
        <v>43</v>
      </c>
      <c r="O3" s="99"/>
      <c r="P3" s="99" t="s">
        <v>44</v>
      </c>
      <c r="Q3" s="99"/>
      <c r="R3" s="100" t="s">
        <v>45</v>
      </c>
      <c r="S3" s="100"/>
      <c r="T3" s="100" t="s">
        <v>46</v>
      </c>
      <c r="U3" s="100"/>
      <c r="V3" s="101" t="s">
        <v>47</v>
      </c>
      <c r="W3" s="97" t="s">
        <v>48</v>
      </c>
      <c r="X3" s="95" t="s">
        <v>1</v>
      </c>
    </row>
    <row r="4" spans="1:24" ht="19.899999999999999" customHeight="1" x14ac:dyDescent="0.3">
      <c r="A4" s="4" t="s">
        <v>49</v>
      </c>
      <c r="B4" s="60"/>
      <c r="C4" s="60"/>
      <c r="D4" s="60"/>
      <c r="E4" s="60"/>
      <c r="F4" s="5" t="s">
        <v>50</v>
      </c>
      <c r="G4" s="5" t="s">
        <v>51</v>
      </c>
      <c r="H4" s="5" t="s">
        <v>52</v>
      </c>
      <c r="I4" s="5" t="s">
        <v>53</v>
      </c>
      <c r="J4" s="57" t="s">
        <v>54</v>
      </c>
      <c r="K4" s="57" t="s">
        <v>55</v>
      </c>
      <c r="L4" s="104"/>
      <c r="M4" s="104"/>
      <c r="N4" s="6" t="s">
        <v>56</v>
      </c>
      <c r="O4" s="7" t="s">
        <v>57</v>
      </c>
      <c r="P4" s="6" t="s">
        <v>58</v>
      </c>
      <c r="Q4" s="7" t="s">
        <v>57</v>
      </c>
      <c r="R4" s="7" t="s">
        <v>59</v>
      </c>
      <c r="S4" s="7" t="s">
        <v>57</v>
      </c>
      <c r="T4" s="7" t="s">
        <v>59</v>
      </c>
      <c r="U4" s="7" t="s">
        <v>57</v>
      </c>
      <c r="V4" s="102"/>
      <c r="W4" s="98"/>
      <c r="X4" s="96"/>
    </row>
    <row r="5" spans="1:24" s="64" customFormat="1" ht="38.1" customHeight="1" x14ac:dyDescent="0.3">
      <c r="A5" s="8">
        <v>999999</v>
      </c>
      <c r="B5" s="38"/>
      <c r="C5" s="38"/>
      <c r="D5" s="38"/>
      <c r="E5" s="38"/>
      <c r="F5" s="35"/>
      <c r="G5" s="9"/>
      <c r="H5" s="9"/>
      <c r="I5" s="35"/>
      <c r="J5" s="65" t="s">
        <v>86</v>
      </c>
      <c r="K5" s="65" t="s">
        <v>88</v>
      </c>
      <c r="L5" s="66" t="s">
        <v>91</v>
      </c>
      <c r="M5" s="55">
        <v>1</v>
      </c>
      <c r="N5" s="54">
        <v>50000</v>
      </c>
      <c r="O5" s="10">
        <f>M5*N5</f>
        <v>50000</v>
      </c>
      <c r="P5" s="74"/>
      <c r="Q5" s="10">
        <f t="shared" ref="Q5" si="0">(P5*M5)*$Q$2</f>
        <v>0</v>
      </c>
      <c r="R5" s="11"/>
      <c r="S5" s="10">
        <f t="shared" ref="S5" si="1">R5*M5*$S$2</f>
        <v>0</v>
      </c>
      <c r="T5" s="11"/>
      <c r="U5" s="10">
        <f t="shared" ref="U5" si="2">T5*M5*$U$2</f>
        <v>0</v>
      </c>
      <c r="V5" s="11">
        <f t="shared" ref="V5" si="3">SUM(O5+Q5)+S5+U5</f>
        <v>50000</v>
      </c>
      <c r="W5" s="47"/>
      <c r="X5" s="12"/>
    </row>
    <row r="6" spans="1:24" s="72" customFormat="1" ht="38.1" customHeight="1" x14ac:dyDescent="0.3">
      <c r="A6" s="67"/>
      <c r="B6" s="68"/>
      <c r="C6" s="68"/>
      <c r="D6" s="68"/>
      <c r="E6" s="68"/>
      <c r="F6" s="68"/>
      <c r="G6" s="68"/>
      <c r="H6" s="68"/>
      <c r="I6" s="68"/>
      <c r="J6" s="58"/>
      <c r="K6" s="58"/>
      <c r="L6" s="68"/>
      <c r="M6" s="68"/>
      <c r="N6" s="68"/>
      <c r="O6" s="69">
        <f>SUM(O5:O5)</f>
        <v>50000</v>
      </c>
      <c r="P6" s="70"/>
      <c r="Q6" s="69">
        <f>SUM(Q5:Q5)</f>
        <v>0</v>
      </c>
      <c r="R6" s="70"/>
      <c r="S6" s="69">
        <f>SUM(S5:S5)</f>
        <v>0</v>
      </c>
      <c r="T6" s="70"/>
      <c r="U6" s="69">
        <f>SUM(U5:U5)</f>
        <v>0</v>
      </c>
      <c r="V6" s="71">
        <f>SUM(V5:V5)</f>
        <v>50000</v>
      </c>
      <c r="W6" s="41"/>
      <c r="X6" s="6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G28" sqref="G28:N28"/>
    </sheetView>
  </sheetViews>
  <sheetFormatPr defaultColWidth="9" defaultRowHeight="14.25" x14ac:dyDescent="0.3"/>
  <cols>
    <col min="1" max="1" width="22.625" style="34" customWidth="1"/>
    <col min="2" max="2" width="27.625" style="34" customWidth="1"/>
    <col min="3" max="3" width="5.75" style="34" customWidth="1"/>
    <col min="4" max="4" width="6" style="34" bestFit="1" customWidth="1"/>
    <col min="5" max="8" width="20.625" style="34" customWidth="1"/>
    <col min="9" max="12" width="20.625" style="34" hidden="1" customWidth="1"/>
    <col min="13" max="14" width="20.625" style="34" customWidth="1"/>
    <col min="15" max="15" width="32.75" style="34" customWidth="1"/>
    <col min="16" max="16384" width="9" style="13"/>
  </cols>
  <sheetData>
    <row r="1" spans="1:15" ht="27" customHeight="1" x14ac:dyDescent="0.3">
      <c r="A1" s="108" t="s">
        <v>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</row>
    <row r="2" spans="1:15" ht="15" customHeight="1" x14ac:dyDescent="0.3">
      <c r="A2" s="109" t="s">
        <v>4</v>
      </c>
      <c r="B2" s="110" t="s">
        <v>5</v>
      </c>
      <c r="C2" s="111" t="s">
        <v>2</v>
      </c>
      <c r="D2" s="111" t="s">
        <v>6</v>
      </c>
      <c r="E2" s="113" t="s">
        <v>7</v>
      </c>
      <c r="F2" s="110"/>
      <c r="G2" s="110" t="s">
        <v>8</v>
      </c>
      <c r="H2" s="110"/>
      <c r="I2" s="114" t="s">
        <v>9</v>
      </c>
      <c r="J2" s="115"/>
      <c r="K2" s="114" t="s">
        <v>10</v>
      </c>
      <c r="L2" s="115"/>
      <c r="M2" s="113" t="s">
        <v>11</v>
      </c>
      <c r="N2" s="110"/>
      <c r="O2" s="116" t="s">
        <v>12</v>
      </c>
    </row>
    <row r="3" spans="1:15" ht="15" customHeight="1" x14ac:dyDescent="0.3">
      <c r="A3" s="109"/>
      <c r="B3" s="110"/>
      <c r="C3" s="112"/>
      <c r="D3" s="112"/>
      <c r="E3" s="51" t="s">
        <v>13</v>
      </c>
      <c r="F3" s="51" t="s">
        <v>14</v>
      </c>
      <c r="G3" s="14" t="s">
        <v>13</v>
      </c>
      <c r="H3" s="51" t="s">
        <v>15</v>
      </c>
      <c r="I3" s="51"/>
      <c r="J3" s="51"/>
      <c r="K3" s="14" t="s">
        <v>13</v>
      </c>
      <c r="L3" s="51" t="s">
        <v>15</v>
      </c>
      <c r="M3" s="14" t="s">
        <v>13</v>
      </c>
      <c r="N3" s="51" t="s">
        <v>15</v>
      </c>
      <c r="O3" s="117"/>
    </row>
    <row r="4" spans="1:15" ht="15" customHeight="1" x14ac:dyDescent="0.3">
      <c r="A4" s="106" t="s">
        <v>92</v>
      </c>
      <c r="B4" s="107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" customHeight="1" x14ac:dyDescent="0.3">
      <c r="A5" s="119" t="s">
        <v>16</v>
      </c>
      <c r="B5" s="75" t="s">
        <v>17</v>
      </c>
      <c r="C5" s="76" t="s">
        <v>18</v>
      </c>
      <c r="D5" s="82">
        <f>55-7.7</f>
        <v>47.3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21"/>
    </row>
    <row r="6" spans="1:15" ht="15" customHeight="1" x14ac:dyDescent="0.3">
      <c r="A6" s="120"/>
      <c r="B6" s="75" t="s">
        <v>19</v>
      </c>
      <c r="C6" s="76" t="s">
        <v>18</v>
      </c>
      <c r="D6" s="82">
        <f>37-8.3</f>
        <v>28.7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22"/>
    </row>
    <row r="7" spans="1:15" ht="15" customHeight="1" x14ac:dyDescent="0.3">
      <c r="A7" s="120"/>
      <c r="B7" s="75" t="s">
        <v>20</v>
      </c>
      <c r="C7" s="76" t="s">
        <v>18</v>
      </c>
      <c r="D7" s="82">
        <f>30-5.9</f>
        <v>24.1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22"/>
    </row>
    <row r="8" spans="1:15" ht="15" customHeight="1" x14ac:dyDescent="0.3">
      <c r="A8" s="120"/>
      <c r="B8" s="75" t="s">
        <v>21</v>
      </c>
      <c r="C8" s="76" t="s">
        <v>18</v>
      </c>
      <c r="D8" s="82">
        <f>12-0.2</f>
        <v>11.8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22"/>
    </row>
    <row r="9" spans="1:15" ht="15" customHeight="1" x14ac:dyDescent="0.3">
      <c r="A9" s="120"/>
      <c r="B9" s="75" t="s">
        <v>22</v>
      </c>
      <c r="C9" s="76" t="s">
        <v>18</v>
      </c>
      <c r="D9" s="82">
        <f>20-0.4</f>
        <v>19.600000000000001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22"/>
    </row>
    <row r="10" spans="1:15" ht="15" customHeight="1" x14ac:dyDescent="0.3">
      <c r="A10" s="120"/>
      <c r="B10" s="75" t="s">
        <v>23</v>
      </c>
      <c r="C10" s="76" t="s">
        <v>18</v>
      </c>
      <c r="D10" s="82">
        <f>12-3.9</f>
        <v>8.1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22"/>
    </row>
    <row r="11" spans="1:15" ht="15" customHeight="1" x14ac:dyDescent="0.3">
      <c r="A11" s="42" t="s">
        <v>24</v>
      </c>
      <c r="B11" s="43"/>
      <c r="C11" s="44"/>
      <c r="D11" s="23">
        <f>SUM(D5:D10)</f>
        <v>139.6</v>
      </c>
      <c r="E11" s="45"/>
      <c r="F11" s="45">
        <f>SUM(F5:F10)</f>
        <v>0</v>
      </c>
      <c r="G11" s="45"/>
      <c r="H11" s="45">
        <f>SUM(H5:H10)</f>
        <v>0</v>
      </c>
      <c r="I11" s="45"/>
      <c r="J11" s="45">
        <f>SUM(J5:J10)</f>
        <v>0</v>
      </c>
      <c r="K11" s="45"/>
      <c r="L11" s="45">
        <f>SUM(L5:L10)</f>
        <v>0</v>
      </c>
      <c r="M11" s="45"/>
      <c r="N11" s="45">
        <f>SUM(N5:N10)</f>
        <v>0</v>
      </c>
      <c r="O11" s="45"/>
    </row>
    <row r="12" spans="1:15" ht="15" customHeight="1" x14ac:dyDescent="0.3">
      <c r="A12" s="123" t="s">
        <v>66</v>
      </c>
      <c r="B12" s="16" t="s">
        <v>25</v>
      </c>
      <c r="C12" s="17" t="s">
        <v>18</v>
      </c>
      <c r="D12" s="80">
        <v>20.7</v>
      </c>
      <c r="E12" s="48"/>
      <c r="F12" s="48"/>
      <c r="G12" s="18"/>
      <c r="H12" s="48"/>
      <c r="I12" s="48"/>
      <c r="J12" s="48"/>
      <c r="K12" s="18"/>
      <c r="L12" s="48"/>
      <c r="M12" s="18"/>
      <c r="N12" s="48"/>
      <c r="O12" s="122"/>
    </row>
    <row r="13" spans="1:15" ht="15" customHeight="1" x14ac:dyDescent="0.3">
      <c r="A13" s="123"/>
      <c r="B13" s="16" t="s">
        <v>26</v>
      </c>
      <c r="C13" s="17" t="s">
        <v>18</v>
      </c>
      <c r="D13" s="81">
        <v>11.2</v>
      </c>
      <c r="E13" s="48"/>
      <c r="F13" s="48"/>
      <c r="G13" s="18"/>
      <c r="H13" s="48"/>
      <c r="I13" s="48"/>
      <c r="J13" s="48"/>
      <c r="K13" s="18"/>
      <c r="L13" s="48"/>
      <c r="M13" s="18"/>
      <c r="N13" s="48"/>
      <c r="O13" s="122"/>
    </row>
    <row r="14" spans="1:15" ht="15" customHeight="1" x14ac:dyDescent="0.3">
      <c r="A14" s="123"/>
      <c r="B14" s="16" t="s">
        <v>27</v>
      </c>
      <c r="C14" s="17" t="s">
        <v>18</v>
      </c>
      <c r="D14" s="81">
        <v>7.8</v>
      </c>
      <c r="E14" s="48"/>
      <c r="F14" s="48"/>
      <c r="G14" s="18"/>
      <c r="H14" s="48"/>
      <c r="I14" s="48"/>
      <c r="J14" s="48"/>
      <c r="K14" s="18"/>
      <c r="L14" s="48"/>
      <c r="M14" s="18"/>
      <c r="N14" s="48"/>
      <c r="O14" s="122"/>
    </row>
    <row r="15" spans="1:15" ht="15" customHeight="1" x14ac:dyDescent="0.3">
      <c r="A15" s="36" t="s">
        <v>24</v>
      </c>
      <c r="B15" s="19"/>
      <c r="C15" s="23"/>
      <c r="D15" s="23">
        <f>SUM(D12:D14)</f>
        <v>39.699999999999996</v>
      </c>
      <c r="E15" s="22"/>
      <c r="F15" s="22">
        <f>SUM(F12:F14)</f>
        <v>0</v>
      </c>
      <c r="G15" s="22"/>
      <c r="H15" s="22">
        <f>SUM(H12:H14)</f>
        <v>0</v>
      </c>
      <c r="I15" s="22"/>
      <c r="J15" s="22">
        <f>SUM(J12:J14)</f>
        <v>0</v>
      </c>
      <c r="K15" s="22"/>
      <c r="L15" s="22">
        <f>SUM(L12:L14)</f>
        <v>0</v>
      </c>
      <c r="M15" s="22"/>
      <c r="N15" s="22">
        <f>SUM(N12:N14)</f>
        <v>0</v>
      </c>
      <c r="O15" s="22"/>
    </row>
    <row r="16" spans="1:15" ht="15" customHeight="1" x14ac:dyDescent="0.3">
      <c r="A16" s="39" t="s">
        <v>28</v>
      </c>
      <c r="B16" s="24"/>
      <c r="C16" s="25"/>
      <c r="D16" s="26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15" customHeight="1" x14ac:dyDescent="0.3">
      <c r="A17" s="77" t="s">
        <v>65</v>
      </c>
      <c r="B17" s="78" t="s">
        <v>62</v>
      </c>
      <c r="C17" s="78" t="s">
        <v>61</v>
      </c>
      <c r="D17" s="83">
        <v>0.2</v>
      </c>
      <c r="E17" s="18"/>
      <c r="F17" s="48"/>
      <c r="G17" s="18"/>
      <c r="H17" s="18"/>
      <c r="I17" s="18"/>
      <c r="J17" s="18"/>
      <c r="K17" s="18"/>
      <c r="L17" s="18"/>
      <c r="M17" s="18"/>
      <c r="N17" s="49"/>
      <c r="O17" s="18"/>
    </row>
    <row r="18" spans="1:15" ht="15" customHeight="1" x14ac:dyDescent="0.3">
      <c r="A18" s="124" t="s">
        <v>29</v>
      </c>
      <c r="B18" s="75" t="s">
        <v>30</v>
      </c>
      <c r="C18" s="76" t="s">
        <v>18</v>
      </c>
      <c r="D18" s="79">
        <f>20</f>
        <v>20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18"/>
    </row>
    <row r="19" spans="1:15" ht="20.100000000000001" customHeight="1" x14ac:dyDescent="0.3">
      <c r="A19" s="124"/>
      <c r="B19" s="75" t="s">
        <v>31</v>
      </c>
      <c r="C19" s="76" t="s">
        <v>18</v>
      </c>
      <c r="D19" s="79">
        <f>20</f>
        <v>20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125" t="s">
        <v>67</v>
      </c>
    </row>
    <row r="20" spans="1:15" ht="20.100000000000001" customHeight="1" x14ac:dyDescent="0.3">
      <c r="A20" s="118" t="s">
        <v>32</v>
      </c>
      <c r="B20" s="24" t="s">
        <v>30</v>
      </c>
      <c r="C20" s="25" t="s">
        <v>18</v>
      </c>
      <c r="D20" s="26">
        <v>20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126"/>
    </row>
    <row r="21" spans="1:15" ht="15" customHeight="1" x14ac:dyDescent="0.3">
      <c r="A21" s="118"/>
      <c r="B21" s="24" t="s">
        <v>31</v>
      </c>
      <c r="C21" s="25" t="s">
        <v>18</v>
      </c>
      <c r="D21" s="26">
        <v>20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18"/>
    </row>
    <row r="22" spans="1:15" ht="15" customHeight="1" x14ac:dyDescent="0.3">
      <c r="A22" s="53" t="s">
        <v>63</v>
      </c>
      <c r="B22" s="52" t="s">
        <v>64</v>
      </c>
      <c r="C22" s="52" t="s">
        <v>61</v>
      </c>
      <c r="D22" s="46">
        <v>0.13</v>
      </c>
      <c r="E22" s="18"/>
      <c r="F22" s="49"/>
      <c r="G22" s="18"/>
      <c r="H22" s="18"/>
      <c r="I22" s="18"/>
      <c r="J22" s="18"/>
      <c r="K22" s="18"/>
      <c r="L22" s="18"/>
      <c r="M22" s="18"/>
      <c r="N22" s="49"/>
      <c r="O22" s="18"/>
    </row>
    <row r="23" spans="1:15" ht="15" customHeight="1" x14ac:dyDescent="0.3">
      <c r="A23" s="118" t="s">
        <v>33</v>
      </c>
      <c r="B23" s="24" t="s">
        <v>34</v>
      </c>
      <c r="C23" s="25" t="s">
        <v>18</v>
      </c>
      <c r="D23" s="26">
        <v>10</v>
      </c>
      <c r="E23" s="18"/>
      <c r="F23" s="18"/>
      <c r="G23" s="18"/>
      <c r="H23" s="18"/>
      <c r="I23" s="18"/>
      <c r="J23" s="18"/>
      <c r="K23" s="18"/>
      <c r="L23" s="48"/>
      <c r="M23" s="18"/>
      <c r="N23" s="48"/>
      <c r="O23" s="18"/>
    </row>
    <row r="24" spans="1:15" ht="15" customHeight="1" x14ac:dyDescent="0.3">
      <c r="A24" s="118"/>
      <c r="B24" s="24" t="s">
        <v>35</v>
      </c>
      <c r="C24" s="25" t="s">
        <v>18</v>
      </c>
      <c r="D24" s="26">
        <v>10</v>
      </c>
      <c r="E24" s="18"/>
      <c r="F24" s="18"/>
      <c r="G24" s="18"/>
      <c r="H24" s="18"/>
      <c r="I24" s="18"/>
      <c r="J24" s="18"/>
      <c r="K24" s="18"/>
      <c r="L24" s="48"/>
      <c r="M24" s="18"/>
      <c r="N24" s="48"/>
      <c r="O24" s="18"/>
    </row>
    <row r="25" spans="1:15" ht="15" customHeight="1" x14ac:dyDescent="0.3">
      <c r="A25" s="118" t="s">
        <v>36</v>
      </c>
      <c r="B25" s="24" t="s">
        <v>34</v>
      </c>
      <c r="C25" s="25" t="s">
        <v>18</v>
      </c>
      <c r="D25" s="26">
        <v>2</v>
      </c>
      <c r="E25" s="18"/>
      <c r="F25" s="18"/>
      <c r="G25" s="18"/>
      <c r="H25" s="18"/>
      <c r="I25" s="18"/>
      <c r="J25" s="18"/>
      <c r="K25" s="18"/>
      <c r="L25" s="48"/>
      <c r="M25" s="18"/>
      <c r="N25" s="48"/>
      <c r="O25" s="18"/>
    </row>
    <row r="26" spans="1:15" ht="15" customHeight="1" x14ac:dyDescent="0.3">
      <c r="A26" s="118"/>
      <c r="B26" s="24" t="s">
        <v>37</v>
      </c>
      <c r="C26" s="25" t="s">
        <v>18</v>
      </c>
      <c r="D26" s="26">
        <v>2</v>
      </c>
      <c r="E26" s="18"/>
      <c r="F26" s="18"/>
      <c r="G26" s="18"/>
      <c r="H26" s="18"/>
      <c r="I26" s="18"/>
      <c r="J26" s="18"/>
      <c r="K26" s="18"/>
      <c r="L26" s="48"/>
      <c r="M26" s="18"/>
      <c r="N26" s="48"/>
      <c r="O26" s="18"/>
    </row>
    <row r="27" spans="1:15" ht="15" customHeight="1" x14ac:dyDescent="0.3">
      <c r="A27" s="36" t="s">
        <v>24</v>
      </c>
      <c r="B27" s="27"/>
      <c r="C27" s="28"/>
      <c r="D27" s="21"/>
      <c r="E27" s="22"/>
      <c r="F27" s="22">
        <f>SUM(F16:F26)</f>
        <v>0</v>
      </c>
      <c r="G27" s="22"/>
      <c r="H27" s="22">
        <f>SUM(H16:H26)</f>
        <v>0</v>
      </c>
      <c r="I27" s="22"/>
      <c r="J27" s="22">
        <f>SUM(J16:J26)</f>
        <v>0</v>
      </c>
      <c r="K27" s="22"/>
      <c r="L27" s="22">
        <f>SUM(L16:L26)</f>
        <v>0</v>
      </c>
      <c r="M27" s="22"/>
      <c r="N27" s="22">
        <f>SUM(N16:N26)</f>
        <v>0</v>
      </c>
      <c r="O27" s="22"/>
    </row>
    <row r="28" spans="1:15" ht="15" customHeight="1" x14ac:dyDescent="0.3">
      <c r="A28" s="40" t="s">
        <v>38</v>
      </c>
      <c r="B28" s="16" t="s">
        <v>39</v>
      </c>
      <c r="C28" s="17" t="s">
        <v>18</v>
      </c>
      <c r="D28" s="50">
        <v>79</v>
      </c>
      <c r="E28" s="48"/>
      <c r="F28" s="48"/>
      <c r="G28" s="18"/>
      <c r="H28" s="48"/>
      <c r="I28" s="48"/>
      <c r="J28" s="48"/>
      <c r="K28" s="48"/>
      <c r="L28" s="48"/>
      <c r="M28" s="48"/>
      <c r="N28" s="48"/>
      <c r="O28" s="29"/>
    </row>
    <row r="29" spans="1:15" ht="15" customHeight="1" x14ac:dyDescent="0.3">
      <c r="A29" s="36" t="s">
        <v>24</v>
      </c>
      <c r="B29" s="19"/>
      <c r="C29" s="20"/>
      <c r="D29" s="30"/>
      <c r="E29" s="31"/>
      <c r="F29" s="31"/>
      <c r="G29" s="31"/>
      <c r="H29" s="22">
        <f>SUM(H28:H28)</f>
        <v>0</v>
      </c>
      <c r="I29" s="31"/>
      <c r="J29" s="22">
        <f t="shared" ref="J29:N29" si="0">SUM(J28:J28)</f>
        <v>0</v>
      </c>
      <c r="K29" s="22"/>
      <c r="L29" s="22">
        <f t="shared" si="0"/>
        <v>0</v>
      </c>
      <c r="M29" s="22"/>
      <c r="N29" s="22">
        <f t="shared" si="0"/>
        <v>0</v>
      </c>
      <c r="O29" s="31"/>
    </row>
    <row r="30" spans="1:15" ht="15" customHeight="1" x14ac:dyDescent="0.3">
      <c r="A30" s="90" t="s">
        <v>85</v>
      </c>
      <c r="B30" s="75"/>
      <c r="C30" s="76"/>
      <c r="D30" s="91"/>
      <c r="E30" s="49"/>
      <c r="F30" s="49"/>
      <c r="G30" s="49"/>
      <c r="H30" s="92"/>
      <c r="I30" s="49"/>
      <c r="J30" s="92"/>
      <c r="K30" s="92"/>
      <c r="L30" s="92"/>
      <c r="M30" s="92"/>
      <c r="N30" s="92"/>
      <c r="O30" s="49"/>
    </row>
    <row r="31" spans="1:15" ht="15" customHeight="1" x14ac:dyDescent="0.3">
      <c r="A31" s="84" t="s">
        <v>86</v>
      </c>
      <c r="B31" s="75" t="s">
        <v>87</v>
      </c>
      <c r="C31" s="76" t="s">
        <v>91</v>
      </c>
      <c r="D31" s="91">
        <v>1</v>
      </c>
      <c r="E31" s="49">
        <v>50000</v>
      </c>
      <c r="F31" s="49">
        <f t="shared" ref="F31" si="1">D31*E31</f>
        <v>50000</v>
      </c>
      <c r="G31" s="49"/>
      <c r="H31" s="49">
        <f t="shared" ref="H31" si="2">D31*G31</f>
        <v>0</v>
      </c>
      <c r="I31" s="49"/>
      <c r="J31" s="49"/>
      <c r="K31" s="49"/>
      <c r="L31" s="49"/>
      <c r="M31" s="49"/>
      <c r="N31" s="49">
        <f>F31+H31+J31+L31</f>
        <v>50000</v>
      </c>
      <c r="O31" s="93" t="s">
        <v>93</v>
      </c>
    </row>
    <row r="32" spans="1:15" ht="15" customHeight="1" x14ac:dyDescent="0.3">
      <c r="A32" s="36" t="s">
        <v>24</v>
      </c>
      <c r="B32" s="19"/>
      <c r="C32" s="20"/>
      <c r="D32" s="30"/>
      <c r="E32" s="31"/>
      <c r="F32" s="22">
        <f>F31</f>
        <v>50000</v>
      </c>
      <c r="G32" s="22"/>
      <c r="H32" s="22">
        <f>H31</f>
        <v>0</v>
      </c>
      <c r="I32" s="22"/>
      <c r="J32" s="22">
        <f t="shared" ref="J32:L32" si="3">SUM(J31:J31)</f>
        <v>0</v>
      </c>
      <c r="K32" s="22"/>
      <c r="L32" s="22">
        <f t="shared" si="3"/>
        <v>0</v>
      </c>
      <c r="M32" s="22"/>
      <c r="N32" s="22">
        <f>N31</f>
        <v>50000</v>
      </c>
      <c r="O32" s="31"/>
    </row>
    <row r="33" spans="1:15" ht="15" customHeight="1" x14ac:dyDescent="0.3">
      <c r="A33" s="36" t="s">
        <v>60</v>
      </c>
      <c r="B33" s="19"/>
      <c r="C33" s="20"/>
      <c r="D33" s="30"/>
      <c r="E33" s="32"/>
      <c r="F33" s="33">
        <f>F11+F15+F27+F29+F32</f>
        <v>50000</v>
      </c>
      <c r="G33" s="33"/>
      <c r="H33" s="33">
        <f>H11+H15+H27+H29+H32</f>
        <v>0</v>
      </c>
      <c r="I33" s="32"/>
      <c r="J33" s="33">
        <f>J11+J15+J27+J29</f>
        <v>0</v>
      </c>
      <c r="K33" s="32"/>
      <c r="L33" s="33">
        <f>L11+L15+L27+L29</f>
        <v>0</v>
      </c>
      <c r="M33" s="32"/>
      <c r="N33" s="33">
        <f>N11+N15+N27+N29+N32</f>
        <v>50000</v>
      </c>
      <c r="O33" s="32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13B8-2523-429F-A8A2-BFAD84D87370}">
  <dimension ref="A1"/>
  <sheetViews>
    <sheetView workbookViewId="0">
      <selection activeCell="N15" sqref="N15"/>
    </sheetView>
  </sheetViews>
  <sheetFormatPr defaultColWidth="9" defaultRowHeight="16.5" x14ac:dyDescent="0.3"/>
  <cols>
    <col min="1" max="4" width="9" style="85"/>
    <col min="5" max="5" width="15.125" style="85" customWidth="1"/>
    <col min="6" max="16384" width="9" style="85"/>
  </cols>
  <sheetData/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D80-E9E6-484C-B8C6-ABB659A4716C}">
  <sheetPr>
    <pageSetUpPr fitToPage="1"/>
  </sheetPr>
  <dimension ref="A1:R4"/>
  <sheetViews>
    <sheetView workbookViewId="0">
      <selection activeCell="H15" sqref="H15"/>
    </sheetView>
  </sheetViews>
  <sheetFormatPr defaultColWidth="9" defaultRowHeight="16.5" x14ac:dyDescent="0.3"/>
  <cols>
    <col min="1" max="1" width="11.125" style="85" customWidth="1"/>
    <col min="2" max="2" width="13.375" style="85" customWidth="1"/>
    <col min="3" max="3" width="38.75" style="85" customWidth="1"/>
    <col min="4" max="4" width="28.75" style="85" customWidth="1"/>
    <col min="5" max="5" width="5" style="85" customWidth="1"/>
    <col min="6" max="6" width="6.25" style="85" customWidth="1"/>
    <col min="7" max="7" width="10" style="85" customWidth="1"/>
    <col min="8" max="8" width="11.875" style="85" customWidth="1"/>
    <col min="9" max="9" width="10" style="85" customWidth="1"/>
    <col min="10" max="10" width="11.875" style="85" customWidth="1"/>
    <col min="11" max="11" width="10" style="85" customWidth="1"/>
    <col min="12" max="12" width="11.875" style="85" customWidth="1"/>
    <col min="13" max="13" width="10" style="85" customWidth="1"/>
    <col min="14" max="14" width="11.875" style="85" customWidth="1"/>
    <col min="15" max="15" width="9.125" style="85" customWidth="1"/>
    <col min="16" max="16" width="11.5" style="85" customWidth="1"/>
    <col min="17" max="17" width="11.75" style="85" customWidth="1"/>
    <col min="18" max="18" width="17.875" style="85" customWidth="1"/>
    <col min="19" max="16384" width="9" style="85"/>
  </cols>
  <sheetData>
    <row r="1" spans="1:18" ht="18" customHeight="1" x14ac:dyDescent="0.3">
      <c r="A1" s="37" t="s">
        <v>68</v>
      </c>
      <c r="B1" s="86" t="s">
        <v>69</v>
      </c>
      <c r="C1" s="86" t="s">
        <v>70</v>
      </c>
      <c r="D1" s="86" t="s">
        <v>71</v>
      </c>
      <c r="E1" s="86" t="s">
        <v>2</v>
      </c>
      <c r="F1" s="86" t="s">
        <v>0</v>
      </c>
      <c r="G1" s="86" t="s">
        <v>72</v>
      </c>
      <c r="H1" s="86" t="s">
        <v>73</v>
      </c>
      <c r="I1" s="86" t="s">
        <v>74</v>
      </c>
      <c r="J1" s="86" t="s">
        <v>75</v>
      </c>
      <c r="K1" s="86" t="s">
        <v>76</v>
      </c>
      <c r="L1" s="86" t="s">
        <v>77</v>
      </c>
      <c r="M1" s="86" t="s">
        <v>78</v>
      </c>
      <c r="N1" s="86" t="s">
        <v>79</v>
      </c>
      <c r="O1" s="86" t="s">
        <v>80</v>
      </c>
      <c r="P1" s="86" t="s">
        <v>81</v>
      </c>
      <c r="Q1" s="86" t="s">
        <v>82</v>
      </c>
      <c r="R1" s="86" t="s">
        <v>83</v>
      </c>
    </row>
    <row r="2" spans="1:18" x14ac:dyDescent="0.3">
      <c r="A2" s="1">
        <v>999999</v>
      </c>
      <c r="B2" s="61" t="s">
        <v>84</v>
      </c>
      <c r="C2" s="1" t="s">
        <v>89</v>
      </c>
      <c r="D2" s="1" t="s">
        <v>88</v>
      </c>
      <c r="E2" s="1" t="s">
        <v>90</v>
      </c>
      <c r="F2" s="87">
        <v>1</v>
      </c>
      <c r="G2" s="88">
        <v>50000</v>
      </c>
      <c r="H2" s="88"/>
      <c r="I2" s="88"/>
      <c r="J2" s="61"/>
      <c r="K2" s="61"/>
      <c r="L2" s="61"/>
      <c r="M2" s="61"/>
      <c r="N2" s="61"/>
      <c r="O2" s="61"/>
      <c r="P2" s="61"/>
      <c r="Q2" s="61"/>
      <c r="R2" s="61"/>
    </row>
    <row r="3" spans="1:18" x14ac:dyDescent="0.3">
      <c r="D3" s="89"/>
    </row>
    <row r="4" spans="1:18" x14ac:dyDescent="0.3">
      <c r="D4" s="89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3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내역서(표준단가)</vt:lpstr>
      <vt:lpstr>상세내역</vt:lpstr>
      <vt:lpstr>시중가 근거서류</vt:lpstr>
      <vt:lpstr>Upload(시중가)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2025-07-09T02:45:10Z</dcterms:modified>
</cp:coreProperties>
</file>
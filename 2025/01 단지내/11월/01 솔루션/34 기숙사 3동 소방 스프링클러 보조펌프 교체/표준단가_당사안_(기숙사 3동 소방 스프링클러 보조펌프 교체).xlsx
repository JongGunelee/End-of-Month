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16\06 작업폴더\02 기숙사 3동 소방 스프링클러 보조펌프 교체\"/>
    </mc:Choice>
  </mc:AlternateContent>
  <xr:revisionPtr revIDLastSave="0" documentId="13_ncr:1_{9515C3B0-4327-4933-9824-11CE4D4E225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11" r:id="rId2"/>
    <sheet name="Upload" sheetId="12" r:id="rId3"/>
    <sheet name="할증기준" sheetId="8" r:id="rId4"/>
    <sheet name="공사수립계획서" sheetId="13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2" l="1"/>
  <c r="E38" i="12"/>
  <c r="D38" i="12"/>
  <c r="C38" i="12"/>
  <c r="B38" i="12"/>
  <c r="F37" i="12"/>
  <c r="E37" i="12"/>
  <c r="D37" i="12"/>
  <c r="C37" i="12"/>
  <c r="B37" i="12"/>
  <c r="F36" i="12"/>
  <c r="E36" i="12"/>
  <c r="D36" i="12"/>
  <c r="C36" i="12"/>
  <c r="B36" i="12"/>
  <c r="F35" i="12"/>
  <c r="E35" i="12"/>
  <c r="D35" i="12"/>
  <c r="C35" i="12"/>
  <c r="B35" i="12"/>
  <c r="F34" i="12"/>
  <c r="E34" i="12"/>
  <c r="D34" i="12"/>
  <c r="C34" i="12"/>
  <c r="B34" i="12"/>
  <c r="F33" i="12"/>
  <c r="E33" i="12"/>
  <c r="D33" i="12"/>
  <c r="C33" i="12"/>
  <c r="B33" i="12"/>
  <c r="F32" i="12"/>
  <c r="E32" i="12"/>
  <c r="D32" i="12"/>
  <c r="C32" i="12"/>
  <c r="B32" i="12"/>
  <c r="F31" i="12"/>
  <c r="E31" i="12"/>
  <c r="D31" i="12"/>
  <c r="C31" i="12"/>
  <c r="B31" i="12"/>
  <c r="F30" i="12"/>
  <c r="E30" i="12"/>
  <c r="D30" i="12"/>
  <c r="C30" i="12"/>
  <c r="B30" i="12"/>
  <c r="F29" i="12"/>
  <c r="E29" i="12"/>
  <c r="D29" i="12"/>
  <c r="C29" i="12"/>
  <c r="B29" i="12"/>
  <c r="F28" i="12"/>
  <c r="E28" i="12"/>
  <c r="D28" i="12"/>
  <c r="C28" i="12"/>
  <c r="B28" i="12"/>
  <c r="F27" i="12"/>
  <c r="E27" i="12"/>
  <c r="D27" i="12"/>
  <c r="C27" i="12"/>
  <c r="B27" i="12"/>
  <c r="F26" i="12"/>
  <c r="E26" i="12"/>
  <c r="D26" i="12"/>
  <c r="C26" i="12"/>
  <c r="B26" i="12"/>
  <c r="F25" i="12"/>
  <c r="E25" i="12"/>
  <c r="D25" i="12"/>
  <c r="C25" i="12"/>
  <c r="B25" i="12"/>
  <c r="F24" i="12"/>
  <c r="E24" i="12"/>
  <c r="D24" i="12"/>
  <c r="C24" i="12"/>
  <c r="B24" i="12"/>
  <c r="F23" i="12"/>
  <c r="E23" i="12"/>
  <c r="D23" i="12"/>
  <c r="C23" i="12"/>
  <c r="B23" i="12"/>
  <c r="F22" i="12"/>
  <c r="E22" i="12"/>
  <c r="D22" i="12"/>
  <c r="C22" i="12"/>
  <c r="B22" i="12"/>
  <c r="F21" i="12"/>
  <c r="E21" i="12"/>
  <c r="D21" i="12"/>
  <c r="C21" i="12"/>
  <c r="B21" i="12"/>
  <c r="F20" i="12"/>
  <c r="E20" i="12"/>
  <c r="D20" i="12"/>
  <c r="C20" i="12"/>
  <c r="B20" i="12"/>
  <c r="F19" i="12"/>
  <c r="E19" i="12"/>
  <c r="D19" i="12"/>
  <c r="C19" i="12"/>
  <c r="B19" i="12"/>
  <c r="F18" i="12"/>
  <c r="E18" i="12"/>
  <c r="D18" i="12"/>
  <c r="C18" i="12"/>
  <c r="B18" i="12"/>
  <c r="F17" i="12"/>
  <c r="E17" i="12"/>
  <c r="D17" i="12"/>
  <c r="C17" i="12"/>
  <c r="B17" i="12"/>
  <c r="F16" i="12"/>
  <c r="E16" i="12"/>
  <c r="D16" i="12"/>
  <c r="C16" i="12"/>
  <c r="B16" i="12"/>
  <c r="F15" i="12"/>
  <c r="E15" i="12"/>
  <c r="D15" i="12"/>
  <c r="C15" i="12"/>
  <c r="B15" i="12"/>
  <c r="F14" i="12"/>
  <c r="E14" i="12"/>
  <c r="D14" i="12"/>
  <c r="C14" i="12"/>
  <c r="B14" i="12"/>
  <c r="F13" i="12"/>
  <c r="E13" i="12"/>
  <c r="D13" i="12"/>
  <c r="C13" i="12"/>
  <c r="B13" i="12"/>
  <c r="F12" i="12"/>
  <c r="E12" i="12"/>
  <c r="D12" i="12"/>
  <c r="C12" i="12"/>
  <c r="B12" i="12"/>
  <c r="F11" i="12"/>
  <c r="E11" i="12"/>
  <c r="D11" i="12"/>
  <c r="C11" i="12"/>
  <c r="B11" i="12"/>
  <c r="F10" i="12"/>
  <c r="E10" i="12"/>
  <c r="D10" i="12"/>
  <c r="C10" i="12"/>
  <c r="B10" i="12"/>
  <c r="F9" i="12"/>
  <c r="E9" i="12"/>
  <c r="D9" i="12"/>
  <c r="C9" i="12"/>
  <c r="B9" i="12"/>
  <c r="F8" i="12"/>
  <c r="E8" i="12"/>
  <c r="D8" i="12"/>
  <c r="C8" i="12"/>
  <c r="B8" i="12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U40" i="11"/>
  <c r="S40" i="11"/>
  <c r="Q40" i="11"/>
  <c r="O40" i="11"/>
  <c r="E40" i="11"/>
  <c r="A36" i="12" s="1"/>
  <c r="U41" i="11"/>
  <c r="S41" i="11"/>
  <c r="Q41" i="11"/>
  <c r="O41" i="11"/>
  <c r="E41" i="11"/>
  <c r="A37" i="12" s="1"/>
  <c r="S39" i="11"/>
  <c r="U39" i="11"/>
  <c r="S38" i="11"/>
  <c r="U38" i="11"/>
  <c r="S37" i="11"/>
  <c r="U37" i="11"/>
  <c r="S36" i="11"/>
  <c r="U36" i="11"/>
  <c r="Q39" i="11"/>
  <c r="O39" i="11"/>
  <c r="E39" i="11"/>
  <c r="A35" i="12" s="1"/>
  <c r="Q38" i="11"/>
  <c r="O38" i="11"/>
  <c r="E38" i="11"/>
  <c r="A34" i="12" s="1"/>
  <c r="Q37" i="11"/>
  <c r="O37" i="11"/>
  <c r="E37" i="11"/>
  <c r="A33" i="12" s="1"/>
  <c r="Q36" i="11"/>
  <c r="O36" i="11"/>
  <c r="E36" i="11"/>
  <c r="A32" i="12" s="1"/>
  <c r="U25" i="11"/>
  <c r="S25" i="11"/>
  <c r="Q25" i="11"/>
  <c r="O25" i="11"/>
  <c r="E25" i="11"/>
  <c r="A21" i="12" s="1"/>
  <c r="U24" i="11"/>
  <c r="S24" i="11"/>
  <c r="Q24" i="11"/>
  <c r="O24" i="11"/>
  <c r="E24" i="11"/>
  <c r="A20" i="12" s="1"/>
  <c r="V40" i="11" l="1"/>
  <c r="V41" i="11"/>
  <c r="V36" i="11"/>
  <c r="V38" i="11"/>
  <c r="V39" i="11"/>
  <c r="V24" i="11"/>
  <c r="V37" i="11"/>
  <c r="V25" i="11"/>
  <c r="U35" i="11" l="1"/>
  <c r="S35" i="11"/>
  <c r="Q35" i="11"/>
  <c r="O35" i="11"/>
  <c r="E35" i="11"/>
  <c r="A31" i="12" s="1"/>
  <c r="U34" i="11"/>
  <c r="S34" i="11"/>
  <c r="Q34" i="11"/>
  <c r="O34" i="11"/>
  <c r="E34" i="11"/>
  <c r="A30" i="12" s="1"/>
  <c r="U27" i="11"/>
  <c r="S27" i="11"/>
  <c r="Q27" i="11"/>
  <c r="O27" i="11"/>
  <c r="E27" i="11"/>
  <c r="A23" i="12" s="1"/>
  <c r="U26" i="11"/>
  <c r="S26" i="11"/>
  <c r="Q26" i="11"/>
  <c r="O26" i="11"/>
  <c r="E26" i="11"/>
  <c r="A22" i="12" s="1"/>
  <c r="U33" i="11"/>
  <c r="S33" i="11"/>
  <c r="Q33" i="11"/>
  <c r="O33" i="11"/>
  <c r="E33" i="11"/>
  <c r="A29" i="12" s="1"/>
  <c r="U32" i="11"/>
  <c r="S32" i="11"/>
  <c r="Q32" i="11"/>
  <c r="O32" i="11"/>
  <c r="E32" i="11"/>
  <c r="A28" i="12" s="1"/>
  <c r="U31" i="11"/>
  <c r="S31" i="11"/>
  <c r="Q31" i="11"/>
  <c r="O31" i="11"/>
  <c r="E31" i="11"/>
  <c r="A27" i="12" s="1"/>
  <c r="U29" i="11"/>
  <c r="S29" i="11"/>
  <c r="Q29" i="11"/>
  <c r="O29" i="11"/>
  <c r="E29" i="11"/>
  <c r="A25" i="12" s="1"/>
  <c r="U28" i="11"/>
  <c r="S28" i="11"/>
  <c r="Q28" i="11"/>
  <c r="O28" i="11"/>
  <c r="E28" i="11"/>
  <c r="A24" i="12" s="1"/>
  <c r="V31" i="11" l="1"/>
  <c r="V34" i="11"/>
  <c r="V33" i="11"/>
  <c r="V35" i="11"/>
  <c r="V29" i="11"/>
  <c r="V26" i="11"/>
  <c r="V27" i="11"/>
  <c r="V32" i="11"/>
  <c r="V28" i="11"/>
  <c r="U42" i="11" l="1"/>
  <c r="S42" i="11"/>
  <c r="Q42" i="11"/>
  <c r="O42" i="11"/>
  <c r="E42" i="11"/>
  <c r="A38" i="12" s="1"/>
  <c r="U30" i="11"/>
  <c r="S30" i="11"/>
  <c r="Q30" i="11"/>
  <c r="O30" i="11"/>
  <c r="E30" i="11"/>
  <c r="A26" i="12" s="1"/>
  <c r="V42" i="11" l="1"/>
  <c r="V30" i="11"/>
  <c r="Q23" i="11" l="1"/>
  <c r="O23" i="11"/>
  <c r="U23" i="11"/>
  <c r="S23" i="11"/>
  <c r="E23" i="11"/>
  <c r="A19" i="12" s="1"/>
  <c r="U22" i="11"/>
  <c r="S22" i="11"/>
  <c r="Q22" i="11"/>
  <c r="O22" i="11"/>
  <c r="E22" i="11"/>
  <c r="A18" i="12" s="1"/>
  <c r="U21" i="11"/>
  <c r="S21" i="11"/>
  <c r="Q21" i="11"/>
  <c r="O21" i="11"/>
  <c r="E21" i="11"/>
  <c r="A17" i="12" s="1"/>
  <c r="U20" i="11"/>
  <c r="S20" i="11"/>
  <c r="Q20" i="11"/>
  <c r="O20" i="11"/>
  <c r="E20" i="11"/>
  <c r="A16" i="12" s="1"/>
  <c r="U18" i="11"/>
  <c r="S18" i="11"/>
  <c r="Q18" i="11"/>
  <c r="O18" i="11"/>
  <c r="E18" i="11"/>
  <c r="A14" i="12" s="1"/>
  <c r="U19" i="11"/>
  <c r="S19" i="11"/>
  <c r="Q19" i="11"/>
  <c r="O19" i="11"/>
  <c r="E19" i="11"/>
  <c r="A15" i="12" s="1"/>
  <c r="U15" i="11"/>
  <c r="S15" i="11"/>
  <c r="Q15" i="11"/>
  <c r="O15" i="11"/>
  <c r="E15" i="11"/>
  <c r="A11" i="12" s="1"/>
  <c r="U12" i="11"/>
  <c r="S12" i="11"/>
  <c r="Q12" i="11"/>
  <c r="O12" i="11"/>
  <c r="E12" i="11"/>
  <c r="A8" i="12" s="1"/>
  <c r="U14" i="11"/>
  <c r="S14" i="11"/>
  <c r="Q14" i="11"/>
  <c r="O14" i="11"/>
  <c r="E14" i="11"/>
  <c r="A10" i="12" s="1"/>
  <c r="U16" i="11"/>
  <c r="S16" i="11"/>
  <c r="Q16" i="11"/>
  <c r="O16" i="11"/>
  <c r="E16" i="11"/>
  <c r="A12" i="12" s="1"/>
  <c r="U13" i="11"/>
  <c r="S13" i="11"/>
  <c r="Q13" i="11"/>
  <c r="O13" i="11"/>
  <c r="E13" i="11"/>
  <c r="A9" i="12" s="1"/>
  <c r="U11" i="11"/>
  <c r="S11" i="11"/>
  <c r="Q11" i="11"/>
  <c r="O11" i="11"/>
  <c r="E11" i="11"/>
  <c r="A7" i="12" s="1"/>
  <c r="U8" i="11"/>
  <c r="S8" i="11"/>
  <c r="Q8" i="11"/>
  <c r="O8" i="11"/>
  <c r="E8" i="11"/>
  <c r="A4" i="12" s="1"/>
  <c r="C5" i="13"/>
  <c r="E4" i="13"/>
  <c r="B34" i="13"/>
  <c r="V12" i="11" l="1"/>
  <c r="V18" i="11"/>
  <c r="V23" i="11"/>
  <c r="V19" i="11"/>
  <c r="V22" i="11"/>
  <c r="V21" i="11"/>
  <c r="V20" i="11"/>
  <c r="V14" i="11"/>
  <c r="V16" i="11"/>
  <c r="V15" i="11"/>
  <c r="V13" i="11"/>
  <c r="V11" i="11"/>
  <c r="V8" i="11"/>
  <c r="J5" i="11"/>
  <c r="U10" i="11"/>
  <c r="S10" i="11"/>
  <c r="Q10" i="11"/>
  <c r="O10" i="11"/>
  <c r="E10" i="11"/>
  <c r="A6" i="12" s="1"/>
  <c r="V10" i="11" l="1"/>
  <c r="U9" i="11" l="1"/>
  <c r="S9" i="11"/>
  <c r="Q9" i="11"/>
  <c r="O9" i="11"/>
  <c r="E9" i="11"/>
  <c r="A5" i="12" s="1"/>
  <c r="U17" i="11"/>
  <c r="S17" i="11"/>
  <c r="Q17" i="11"/>
  <c r="O17" i="11"/>
  <c r="E17" i="11"/>
  <c r="A13" i="12" s="1"/>
  <c r="U7" i="11"/>
  <c r="S7" i="11"/>
  <c r="Q7" i="11"/>
  <c r="O7" i="11"/>
  <c r="E7" i="11"/>
  <c r="A3" i="12" s="1"/>
  <c r="U6" i="11"/>
  <c r="S6" i="11"/>
  <c r="Q6" i="11"/>
  <c r="O6" i="11"/>
  <c r="E6" i="11"/>
  <c r="O43" i="11" l="1"/>
  <c r="Q43" i="11"/>
  <c r="U43" i="11"/>
  <c r="S43" i="11"/>
  <c r="V9" i="11"/>
  <c r="V17" i="11"/>
  <c r="V7" i="11"/>
  <c r="V6" i="11"/>
  <c r="V43" i="11" l="1"/>
  <c r="F2" i="12"/>
  <c r="E2" i="12"/>
  <c r="D2" i="12"/>
  <c r="C2" i="12"/>
  <c r="B2" i="12"/>
  <c r="A2" i="12"/>
  <c r="F17" i="5" l="1"/>
  <c r="F16" i="5"/>
  <c r="F21" i="5" l="1"/>
  <c r="F25" i="5"/>
  <c r="F24" i="5"/>
  <c r="F26" i="5" s="1"/>
  <c r="F23" i="5"/>
  <c r="F22" i="5"/>
  <c r="F18" i="5"/>
  <c r="F27" i="5" l="1"/>
  <c r="E1" i="11"/>
  <c r="E5" i="1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<sst xmlns="http://schemas.openxmlformats.org/spreadsheetml/2006/main" count="296" uniqueCount="204">
  <si>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</si>
  <si>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</si>
  <si>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</si>
  <si>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</si>
  <si>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</si>
  <si>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</si>
  <si>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</si>
  <si>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</si>
  <si>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26" type="noConversion"/>
  </si>
  <si>
    <t xml:space="preserve">  </t>
  </si>
  <si>
    <t>NO</t>
  </si>
  <si>
    <t>품명</t>
    <phoneticPr fontId="26" type="noConversion"/>
  </si>
  <si>
    <t>규격</t>
    <phoneticPr fontId="26" type="noConversion"/>
  </si>
  <si>
    <t>수량</t>
    <phoneticPr fontId="26" type="noConversion"/>
  </si>
  <si>
    <t>단위</t>
    <phoneticPr fontId="26" type="noConversion"/>
  </si>
  <si>
    <t>금액</t>
    <phoneticPr fontId="26" type="noConversion"/>
  </si>
  <si>
    <t>비고</t>
    <phoneticPr fontId="26" type="noConversion"/>
  </si>
  <si>
    <t>직접비</t>
    <phoneticPr fontId="17" type="noConversion"/>
  </si>
  <si>
    <t>재료비</t>
    <phoneticPr fontId="17" type="noConversion"/>
  </si>
  <si>
    <t>노무비</t>
    <phoneticPr fontId="26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</si>
  <si>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</si>
  <si>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</si>
  <si>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</si>
  <si>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모든공사에 적용</t>
    <phoneticPr fontId="26" type="noConversion"/>
  </si>
  <si>
    <t>소계</t>
    <phoneticPr fontId="17" type="noConversion"/>
  </si>
  <si>
    <t>합계(단수조정)</t>
    <phoneticPr fontId="17" type="noConversion"/>
  </si>
  <si>
    <t>VAT별도</t>
    <phoneticPr fontId="26" type="noConversion"/>
  </si>
  <si>
    <t>★ 작성방법</t>
    <phoneticPr fontId="10" type="noConversion"/>
  </si>
  <si>
    <t>① 내역서(엑셀) 내 품목코드, 수량 입력시 upload자료 내 자동반영됨</t>
    <phoneticPr fontId="10" type="noConversion"/>
  </si>
  <si>
    <t>일반관리비/이윤</t>
    <phoneticPr fontId="26" type="noConversion"/>
  </si>
  <si>
    <t>② 일부항목 미입력시 업로드 안됨</t>
    <phoneticPr fontId="10" type="noConversion"/>
  </si>
  <si>
    <t>③ 시중가/할증은 atG 화면 내 별도입력(본 탭 내에는 표준 Code만 입력)</t>
    <phoneticPr fontId="10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</si>
  <si>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</si>
  <si>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</si>
  <si>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</si>
  <si>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</si>
  <si>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</si>
  <si>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</si>
  <si>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</si>
  <si>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</si>
  <si>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■ atG 할증기준</t>
    <phoneticPr fontId="10" type="noConversion"/>
  </si>
  <si>
    <t xml:space="preserve"> 수신인 : 주식회사 에스엔아이 코퍼레이션</t>
    <phoneticPr fontId="17" type="noConversion"/>
  </si>
  <si>
    <t>식</t>
    <phoneticPr fontId="26" type="noConversion"/>
  </si>
  <si>
    <t>314-81-77668</t>
    <phoneticPr fontId="10" type="noConversion"/>
  </si>
  <si>
    <t>주식회사 준 마</t>
    <phoneticPr fontId="10" type="noConversion"/>
  </si>
  <si>
    <t>대표자  김 상 진  (인)</t>
    <phoneticPr fontId="10" type="noConversion"/>
  </si>
  <si>
    <t>대전광역시 대덕구 석봉로18번길 31</t>
    <phoneticPr fontId="10" type="noConversion"/>
  </si>
  <si>
    <t>건설업, 제조업, 부동산, 서비스</t>
    <phoneticPr fontId="10" type="noConversion"/>
  </si>
  <si>
    <t>전기공사, 배전반, 소방시설공사, 대체에너지사업</t>
    <phoneticPr fontId="10" type="noConversion"/>
  </si>
  <si>
    <t>(042)  934-9400~4, 935-9405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</si>
  <si>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</si>
  <si>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</si>
  <si>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노무비 할증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</si>
  <si>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</si>
  <si>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</si>
  <si>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</si>
  <si>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</si>
  <si>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 xml:space="preserve"> 공사명 : </t>
    <phoneticPr fontId="17" type="noConversion"/>
  </si>
  <si>
    <t xml:space="preserve"> 견적일 : </t>
    <phoneticPr fontId="17" type="noConversion"/>
  </si>
  <si>
    <t>H01</t>
    <phoneticPr fontId="10" type="noConversion"/>
  </si>
  <si>
    <t>철거</t>
    <phoneticPr fontId="10" type="noConversion"/>
  </si>
  <si>
    <t>안전관리비</t>
    <phoneticPr fontId="26" type="noConversion"/>
  </si>
  <si>
    <t> (재료비+노무비)*3.11%</t>
    <phoneticPr fontId="10" type="noConversion"/>
  </si>
  <si>
    <t>산재보험료</t>
    <phoneticPr fontId="26" type="noConversion"/>
  </si>
  <si>
    <t> 노무비*3.56%</t>
    <phoneticPr fontId="10" type="noConversion"/>
  </si>
  <si>
    <t>고용보험료</t>
    <phoneticPr fontId="26" type="noConversion"/>
  </si>
  <si>
    <t> 노무비*1.01%</t>
    <phoneticPr fontId="10" type="noConversion"/>
  </si>
  <si>
    <t>국민건강 보험료</t>
    <phoneticPr fontId="26" type="noConversion"/>
  </si>
  <si>
    <t> 노무비*3.545%</t>
    <phoneticPr fontId="10" type="noConversion"/>
  </si>
  <si>
    <t>국민연금 보험료</t>
    <phoneticPr fontId="26" type="noConversion"/>
  </si>
  <si>
    <t> 노무비*4.5%</t>
    <phoneticPr fontId="12" type="noConversion"/>
  </si>
  <si>
    <t>노인장기요양 보험료</t>
    <phoneticPr fontId="26" type="noConversion"/>
  </si>
  <si>
    <t> 국민건강보험료*12.95%</t>
    <phoneticPr fontId="10" type="noConversion"/>
  </si>
  <si>
    <t> (노무비+간접공사비)*5%</t>
  </si>
  <si>
    <t>(개당)</t>
  </si>
  <si>
    <t>(대당)</t>
  </si>
  <si>
    <t>일반밸브 및 콕류 설치</t>
    <phoneticPr fontId="10" type="noConversion"/>
  </si>
  <si>
    <t>합   계</t>
    <phoneticPr fontId="10" type="noConversion"/>
  </si>
  <si>
    <t>품        목</t>
    <phoneticPr fontId="10" type="noConversion"/>
  </si>
  <si>
    <t>규        격</t>
    <phoneticPr fontId="10" type="noConversion"/>
  </si>
  <si>
    <t>주     요     내     역</t>
    <phoneticPr fontId="10" type="noConversion"/>
  </si>
  <si>
    <t>단 위</t>
    <phoneticPr fontId="10" type="noConversion"/>
  </si>
  <si>
    <t>수 량</t>
    <phoneticPr fontId="10" type="noConversion"/>
  </si>
  <si>
    <t>재     료     비</t>
    <phoneticPr fontId="12" type="noConversion"/>
  </si>
  <si>
    <t>노     무     비</t>
    <phoneticPr fontId="12" type="noConversion"/>
  </si>
  <si>
    <t>기     계     경     비</t>
    <phoneticPr fontId="10" type="noConversion"/>
  </si>
  <si>
    <t>품 셈 / 표 단</t>
    <phoneticPr fontId="10" type="noConversion"/>
  </si>
  <si>
    <t>금     액</t>
    <phoneticPr fontId="10" type="noConversion"/>
  </si>
  <si>
    <t>단     가</t>
    <phoneticPr fontId="12" type="noConversion"/>
  </si>
  <si>
    <t>단     가</t>
    <phoneticPr fontId="10" type="noConversion"/>
  </si>
  <si>
    <t>기 타 경 비(부 자 재 비)</t>
    <phoneticPr fontId="10" type="noConversion"/>
  </si>
  <si>
    <t>합     계</t>
    <phoneticPr fontId="12" type="noConversion"/>
  </si>
  <si>
    <t>공사수립계획서</t>
    <phoneticPr fontId="26" type="noConversion"/>
  </si>
  <si>
    <t>업 체 명</t>
    <phoneticPr fontId="26" type="noConversion"/>
  </si>
  <si>
    <t xml:space="preserve">일 시 </t>
    <phoneticPr fontId="26" type="noConversion"/>
  </si>
  <si>
    <t>공 사 명</t>
    <phoneticPr fontId="26" type="noConversion"/>
  </si>
  <si>
    <t>공사 업체</t>
    <phoneticPr fontId="26" type="noConversion"/>
  </si>
  <si>
    <t>■ 공사기간 : 입찰시스템 계약기간에 준함</t>
    <phoneticPr fontId="26" type="noConversion"/>
  </si>
  <si>
    <t>■ 시공방법</t>
    <phoneticPr fontId="26" type="noConversion"/>
  </si>
  <si>
    <t>-. 현장 정리 정돈</t>
  </si>
  <si>
    <t>■ 위험작업 유무 : 유(화기/고소/중장비 등)</t>
    <phoneticPr fontId="26" type="noConversion"/>
  </si>
  <si>
    <t xml:space="preserve">■ 안전확보 방안 : </t>
    <phoneticPr fontId="26" type="noConversion"/>
  </si>
  <si>
    <t>-. 천장 상부 작업 시 조도 확보, 생명줄 설치 후 안전벨트 이중 고리 사용 후 작업 실시</t>
    <phoneticPr fontId="26" type="noConversion"/>
  </si>
  <si>
    <t>-. 사다리 작업 시 사다리 보조자 배치 및 안전벨트 이중 고리 사용 후 작업 실시</t>
    <phoneticPr fontId="26" type="noConversion"/>
  </si>
  <si>
    <t>-. 안전보호구 착용 및 주변 정리 정돈 실시</t>
    <phoneticPr fontId="26" type="noConversion"/>
  </si>
  <si>
    <t xml:space="preserve">■ 주요 사용물질 : </t>
    <phoneticPr fontId="26" type="noConversion"/>
  </si>
  <si>
    <t>성명 : 민 상 진</t>
    <phoneticPr fontId="26" type="noConversion"/>
  </si>
  <si>
    <t>(인감/서명)</t>
    <phoneticPr fontId="26" type="noConversion"/>
  </si>
  <si>
    <t>㈜ S&amp;I Corp.</t>
    <phoneticPr fontId="26" type="noConversion"/>
  </si>
  <si>
    <t xml:space="preserve">      서명</t>
    <phoneticPr fontId="26" type="noConversion"/>
  </si>
  <si>
    <t>■ 인원투입계획 : 총  4 명(주말 :  명)</t>
    <phoneticPr fontId="26" type="noConversion"/>
  </si>
  <si>
    <t>성명 : 이 종 근</t>
    <phoneticPr fontId="26" type="noConversion"/>
  </si>
  <si>
    <t>M025332910040101</t>
  </si>
  <si>
    <t>웨스코펌프</t>
  </si>
  <si>
    <t>PSW-4010, 40, 7.5, 120, 0.06</t>
  </si>
  <si>
    <t>대</t>
  </si>
  <si>
    <t>E00000806004010106</t>
  </si>
  <si>
    <t>일반펌프설치</t>
  </si>
  <si>
    <t>7.5㎾이하</t>
  </si>
  <si>
    <t>E00000806004010306</t>
  </si>
  <si>
    <t>펌프 방진가대 설치</t>
  </si>
  <si>
    <t>펌프 방진가대 설치</t>
    <phoneticPr fontId="10" type="noConversion"/>
  </si>
  <si>
    <t>M055010611760101</t>
  </si>
  <si>
    <t>KIB-7.5 HP</t>
  </si>
  <si>
    <t>Set</t>
  </si>
  <si>
    <t>개</t>
  </si>
  <si>
    <t>후렉시블조인트</t>
    <phoneticPr fontId="10" type="noConversion"/>
  </si>
  <si>
    <t>M02502VG10050101</t>
  </si>
  <si>
    <t>40A, FLEX-JOINT 철-10K</t>
  </si>
  <si>
    <t>E00000806005010102</t>
  </si>
  <si>
    <t>32~50㎜</t>
  </si>
  <si>
    <t>E00000806010080503</t>
  </si>
  <si>
    <t>소화약제 소화설비설치(기계설비) - 기타 소화약제 소화기계설비</t>
  </si>
  <si>
    <t>압력스위치</t>
  </si>
  <si>
    <t>M055015714470101</t>
  </si>
  <si>
    <t>NKFS-공통</t>
  </si>
  <si>
    <t>압력스위치, DC 24V</t>
  </si>
  <si>
    <t xml:space="preserve"> 2025 년 10 월 14 일</t>
    <phoneticPr fontId="10" type="noConversion"/>
  </si>
  <si>
    <t>-. 충압펌프 철거 후 교체</t>
    <phoneticPr fontId="26" type="noConversion"/>
  </si>
  <si>
    <t>압력스위치</t>
    <phoneticPr fontId="10" type="noConversion"/>
  </si>
  <si>
    <t>-. 압력스위치 철거 후 교체</t>
    <phoneticPr fontId="26" type="noConversion"/>
  </si>
  <si>
    <t>펌프방진가대</t>
    <phoneticPr fontId="10" type="noConversion"/>
  </si>
  <si>
    <t>-. 펌프방진가대 철거 후 교체</t>
    <phoneticPr fontId="26" type="noConversion"/>
  </si>
  <si>
    <t>-. 후렉시블조인트 철거 후 교체</t>
    <phoneticPr fontId="26" type="noConversion"/>
  </si>
  <si>
    <t>-. 작업완료 후 동작 및 누수확인</t>
    <phoneticPr fontId="10" type="noConversion"/>
  </si>
  <si>
    <t xml:space="preserve"> LG사택 보조펌프 교체_소방</t>
    <phoneticPr fontId="10" type="noConversion"/>
  </si>
  <si>
    <t>M025129210820101</t>
  </si>
  <si>
    <t>Y-스트레이너</t>
  </si>
  <si>
    <t>프렌지식, 40A</t>
  </si>
  <si>
    <t>E00000806051113301</t>
  </si>
  <si>
    <t>50㎜</t>
  </si>
  <si>
    <t>밸브취부(Flange Type) 사용압력 10.5㎏/㎠</t>
    <phoneticPr fontId="10" type="noConversion"/>
  </si>
  <si>
    <t>M025124911230102</t>
  </si>
  <si>
    <t>(10㎏), 50㎜</t>
  </si>
  <si>
    <t>스모렌스체크밸브</t>
    <phoneticPr fontId="10" type="noConversion"/>
  </si>
  <si>
    <t>m</t>
  </si>
  <si>
    <t>M031002001100101</t>
    <phoneticPr fontId="10" type="noConversion"/>
  </si>
  <si>
    <t>0.20㎜× 4'× 15m</t>
  </si>
  <si>
    <t>R/L</t>
  </si>
  <si>
    <t>M025805910060112</t>
  </si>
  <si>
    <t>M025805910160112</t>
  </si>
  <si>
    <t>카이론, 강관 40, 20T(난연)색상보온재</t>
  </si>
  <si>
    <t>카이론, 강관 250, 20T(난연)색상보온재</t>
  </si>
  <si>
    <t>가교발포폴리에틸렌보온재</t>
    <phoneticPr fontId="10" type="noConversion"/>
  </si>
  <si>
    <t>Ø40㎜ - 보온두께 : 25㎜이하(시공량 : 63m)</t>
  </si>
  <si>
    <t>(일당)</t>
  </si>
  <si>
    <t>Ø50㎜ - 보온두께 : 25㎜이하(시공량 : 54m)</t>
  </si>
  <si>
    <t>Ø250㎜ - 보온두께 : 25㎜이하(시공량 : 14m)</t>
  </si>
  <si>
    <t>M025805910080112</t>
  </si>
  <si>
    <t>카이론, 강관 50, 20T(난연)색상보온재</t>
  </si>
  <si>
    <t>일반마감 배관보온 - 발포폴리에틸렌보온재</t>
    <phoneticPr fontId="10" type="noConversion"/>
  </si>
  <si>
    <t>매직테이프(난열,내열)</t>
    <phoneticPr fontId="10" type="noConversion"/>
  </si>
  <si>
    <t>999999</t>
    <phoneticPr fontId="10" type="noConversion"/>
  </si>
  <si>
    <t>M025400210680101</t>
  </si>
  <si>
    <t>M025400210690101</t>
  </si>
  <si>
    <t>고무(RF)-10K, 40A</t>
  </si>
  <si>
    <t>고무(RF)-10K, 50A</t>
  </si>
  <si>
    <t>플랜지패킹</t>
    <phoneticPr fontId="10" type="noConversion"/>
  </si>
  <si>
    <t>M02501E510050103</t>
  </si>
  <si>
    <t>M02501E510060103</t>
  </si>
  <si>
    <t>40A, 10K-SF390A-SOFF</t>
  </si>
  <si>
    <t>50A, 10K-SF390A-SOFF</t>
  </si>
  <si>
    <t>철플랜지</t>
    <phoneticPr fontId="10" type="noConversion"/>
  </si>
  <si>
    <t>M02501KA10050102</t>
  </si>
  <si>
    <t>일반배관용탄소강관</t>
  </si>
  <si>
    <t>백관(반제품), 호칭40A, 외경48.6㎜, 두께3.25㎜, 단중3.63㎏/m</t>
  </si>
  <si>
    <t>E00000806001010305</t>
  </si>
  <si>
    <t>나사식 접합 및 배관</t>
  </si>
  <si>
    <t>40㎜</t>
  </si>
  <si>
    <t>E00000806001010105</t>
  </si>
  <si>
    <t>용접접합</t>
  </si>
  <si>
    <t>40㎜</t>
    <phoneticPr fontId="10" type="noConversion"/>
  </si>
  <si>
    <t>용접개소</t>
  </si>
  <si>
    <t>E00000806001010106</t>
  </si>
  <si>
    <t>50㎜</t>
    <phoneticPr fontId="10" type="noConversion"/>
  </si>
  <si>
    <t>E00000806001030204</t>
  </si>
  <si>
    <t>용접접함 - 참고(&amp;#8226; TIG용접 소모재료)</t>
  </si>
  <si>
    <t>Ø40㎜</t>
  </si>
  <si>
    <t>E00000806001030205</t>
  </si>
  <si>
    <t>Ø50㎜</t>
  </si>
  <si>
    <t>E00000807041490101</t>
  </si>
  <si>
    <t>전동기 결선</t>
  </si>
  <si>
    <t>전동기결선 7.5㎾ 이하</t>
  </si>
  <si>
    <t>주식회사 준 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</si>
</sst>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₩&quot;* #,##0_);_(&quot;₩&quot;* \(#,##0\);_(&quot;₩&quot;* &quot;-&quot;_);_(@_)"/>
    <numFmt numFmtId="41" formatCode="_(* #,##0_);_(* \(#,##0\);_(* &quot;-&quot;_);_(@_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  <numFmt numFmtId="180" formatCode="m&quot;/&quot;d;@"/>
    <numFmt numFmtId="181" formatCode="#,##0_);[Red]\(#,##0\)"/>
    <numFmt numFmtId="182" formatCode="_-* #,##0.0_-;\-* #,##0.0_-;_-* &quot;-&quot;_-;_-@_-"/>
  </numFmts>
  <fonts count="5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2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1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41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36" fillId="0" borderId="0"/>
    <xf numFmtId="42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2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2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2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93">
    <xf numFmtId="0" fontId="0" fillId="0" borderId="0" xfId="0">
      <alignment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0" fontId="16" fillId="0" borderId="0" xfId="6" applyFont="1" applyAlignment="1">
      <alignment vertical="center"/>
    </xf>
    <xf numFmtId="0" fontId="18" fillId="0" borderId="0" xfId="3" applyFont="1"/>
    <xf numFmtId="0" fontId="19" fillId="0" borderId="0" xfId="3" applyFont="1"/>
    <xf numFmtId="0" fontId="20" fillId="0" borderId="0" xfId="6" applyFont="1" applyAlignment="1">
      <alignment vertical="center"/>
    </xf>
    <xf numFmtId="0" fontId="22" fillId="0" borderId="7" xfId="6" applyFont="1" applyBorder="1" applyAlignment="1">
      <alignment vertical="center"/>
    </xf>
    <xf numFmtId="177" fontId="24" fillId="0" borderId="7" xfId="6" applyNumberFormat="1" applyFont="1" applyBorder="1" applyAlignment="1">
      <alignment vertical="center"/>
    </xf>
    <xf numFmtId="0" fontId="25" fillId="0" borderId="7" xfId="6" applyFont="1" applyBorder="1" applyAlignment="1">
      <alignment horizontal="right" vertical="center"/>
    </xf>
    <xf numFmtId="0" fontId="27" fillId="0" borderId="7" xfId="6" applyFont="1" applyBorder="1" applyAlignment="1">
      <alignment horizontal="right" vertical="center"/>
    </xf>
    <xf numFmtId="0" fontId="21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 shrinkToFit="1"/>
    </xf>
    <xf numFmtId="0" fontId="21" fillId="0" borderId="8" xfId="6" applyFont="1" applyBorder="1" applyAlignment="1">
      <alignment horizontal="center" vertical="center"/>
    </xf>
    <xf numFmtId="0" fontId="21" fillId="0" borderId="9" xfId="6" applyFont="1" applyBorder="1" applyAlignment="1">
      <alignment horizontal="center" vertical="center"/>
    </xf>
    <xf numFmtId="0" fontId="21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21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78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9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78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21" fillId="8" borderId="15" xfId="6" applyFont="1" applyFill="1" applyBorder="1" applyAlignment="1">
      <alignment vertical="center"/>
    </xf>
    <xf numFmtId="1" fontId="21" fillId="8" borderId="15" xfId="6" applyNumberFormat="1" applyFont="1" applyFill="1" applyBorder="1" applyAlignment="1">
      <alignment horizontal="center" vertical="center"/>
    </xf>
    <xf numFmtId="178" fontId="21" fillId="8" borderId="15" xfId="7" applyFont="1" applyFill="1" applyBorder="1" applyAlignment="1">
      <alignment horizontal="right" vertical="center"/>
    </xf>
    <xf numFmtId="0" fontId="21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78" fontId="21" fillId="0" borderId="15" xfId="7" applyFont="1" applyFill="1" applyBorder="1" applyAlignment="1">
      <alignment horizontal="right" vertical="center"/>
    </xf>
    <xf numFmtId="176" fontId="28" fillId="0" borderId="15" xfId="5" applyFont="1" applyFill="1" applyBorder="1" applyAlignment="1">
      <alignment horizontal="right" vertical="center"/>
    </xf>
    <xf numFmtId="0" fontId="28" fillId="0" borderId="15" xfId="3" applyFont="1" applyBorder="1" applyAlignment="1">
      <alignment horizontal="left" vertical="center"/>
    </xf>
    <xf numFmtId="9" fontId="21" fillId="8" borderId="15" xfId="3" applyNumberFormat="1" applyFont="1" applyFill="1" applyBorder="1" applyAlignment="1">
      <alignment horizontal="right" vertical="center"/>
    </xf>
    <xf numFmtId="1" fontId="21" fillId="8" borderId="15" xfId="9" applyNumberFormat="1" applyFont="1" applyFill="1" applyBorder="1" applyAlignment="1">
      <alignment horizontal="center" vertical="center"/>
    </xf>
    <xf numFmtId="41" fontId="21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41" fontId="21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78" fontId="28" fillId="5" borderId="15" xfId="7" applyFont="1" applyFill="1" applyBorder="1" applyAlignment="1">
      <alignment horizontal="right" vertical="center"/>
    </xf>
    <xf numFmtId="178" fontId="30" fillId="8" borderId="0" xfId="3" applyNumberFormat="1" applyFont="1" applyFill="1" applyAlignment="1">
      <alignment vertical="center"/>
    </xf>
    <xf numFmtId="0" fontId="21" fillId="0" borderId="17" xfId="6" applyFont="1" applyBorder="1" applyAlignment="1">
      <alignment horizontal="center" vertical="center" textRotation="255"/>
    </xf>
    <xf numFmtId="0" fontId="21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30" fillId="0" borderId="0" xfId="10" applyFont="1"/>
    <xf numFmtId="179" fontId="31" fillId="0" borderId="0" xfId="1" applyNumberFormat="1" applyFont="1" applyAlignment="1">
      <alignment horizontal="center" vertical="center"/>
    </xf>
    <xf numFmtId="49" fontId="32" fillId="2" borderId="0" xfId="0" applyNumberFormat="1" applyFont="1" applyFill="1" applyAlignment="1">
      <alignment horizontal="center" vertical="center" wrapText="1"/>
    </xf>
    <xf numFmtId="179" fontId="31" fillId="7" borderId="1" xfId="1" applyNumberFormat="1" applyFont="1" applyFill="1" applyBorder="1" applyAlignment="1">
      <alignment horizontal="center" vertical="center"/>
    </xf>
    <xf numFmtId="179" fontId="31" fillId="0" borderId="1" xfId="1" applyNumberFormat="1" applyFont="1" applyBorder="1" applyAlignment="1">
      <alignment horizontal="center" vertical="center"/>
    </xf>
    <xf numFmtId="0" fontId="21" fillId="0" borderId="4" xfId="6" applyFont="1" applyBorder="1" applyAlignment="1">
      <alignment vertical="center"/>
    </xf>
    <xf numFmtId="0" fontId="20" fillId="0" borderId="5" xfId="6" applyFont="1" applyBorder="1" applyAlignment="1">
      <alignment horizontal="center" vertical="center"/>
    </xf>
    <xf numFmtId="0" fontId="21" fillId="0" borderId="6" xfId="6" applyFont="1" applyBorder="1" applyAlignment="1">
      <alignment horizontal="right" vertical="center"/>
    </xf>
    <xf numFmtId="0" fontId="23" fillId="0" borderId="6" xfId="6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21" fillId="0" borderId="5" xfId="6" applyFont="1" applyBorder="1" applyAlignment="1">
      <alignment vertical="center"/>
    </xf>
    <xf numFmtId="0" fontId="20" fillId="0" borderId="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28" fillId="5" borderId="15" xfId="6" applyFont="1" applyFill="1" applyBorder="1" applyAlignment="1">
      <alignment vertical="center"/>
    </xf>
    <xf numFmtId="0" fontId="37" fillId="0" borderId="0" xfId="0" applyFont="1">
      <alignment vertical="center"/>
    </xf>
    <xf numFmtId="0" fontId="28" fillId="5" borderId="25" xfId="6" applyFont="1" applyFill="1" applyBorder="1" applyAlignment="1">
      <alignment horizontal="center" vertical="center"/>
    </xf>
    <xf numFmtId="0" fontId="28" fillId="5" borderId="2" xfId="6" applyFont="1" applyFill="1" applyBorder="1" applyAlignment="1">
      <alignment horizontal="center" vertical="center"/>
    </xf>
    <xf numFmtId="0" fontId="28" fillId="5" borderId="2" xfId="6" applyFont="1" applyFill="1" applyBorder="1" applyAlignment="1">
      <alignment horizontal="center" vertical="center" shrinkToFit="1"/>
    </xf>
    <xf numFmtId="0" fontId="28" fillId="0" borderId="2" xfId="6" applyFont="1" applyBorder="1" applyAlignment="1">
      <alignment horizontal="center" vertical="center"/>
    </xf>
    <xf numFmtId="0" fontId="28" fillId="0" borderId="28" xfId="6" applyFont="1" applyBorder="1" applyAlignment="1">
      <alignment horizontal="center" vertical="center" shrinkToFit="1"/>
    </xf>
    <xf numFmtId="0" fontId="20" fillId="5" borderId="26" xfId="6" applyFont="1" applyFill="1" applyBorder="1" applyAlignment="1">
      <alignment horizontal="center" vertical="center" shrinkToFit="1"/>
    </xf>
    <xf numFmtId="0" fontId="20" fillId="5" borderId="27" xfId="6" applyFont="1" applyFill="1" applyBorder="1" applyAlignment="1">
      <alignment horizontal="center" vertical="center" shrinkToFit="1"/>
    </xf>
    <xf numFmtId="0" fontId="20" fillId="0" borderId="27" xfId="6" applyFont="1" applyBorder="1" applyAlignment="1">
      <alignment horizontal="center" vertical="center"/>
    </xf>
    <xf numFmtId="0" fontId="20" fillId="0" borderId="29" xfId="6" applyFont="1" applyBorder="1" applyAlignment="1">
      <alignment horizontal="center" vertical="center" shrinkToFit="1"/>
    </xf>
    <xf numFmtId="41" fontId="40" fillId="5" borderId="3" xfId="1" applyFont="1" applyFill="1" applyBorder="1" applyAlignment="1">
      <alignment horizontal="center" vertical="center"/>
    </xf>
    <xf numFmtId="41" fontId="40" fillId="0" borderId="3" xfId="1" applyFont="1" applyFill="1" applyBorder="1" applyAlignment="1">
      <alignment horizontal="center" vertical="center"/>
    </xf>
    <xf numFmtId="41" fontId="40" fillId="0" borderId="33" xfId="1" applyFont="1" applyFill="1" applyBorder="1" applyAlignment="1">
      <alignment horizontal="center" vertical="center"/>
    </xf>
    <xf numFmtId="41" fontId="40" fillId="6" borderId="3" xfId="1" applyFont="1" applyFill="1" applyBorder="1" applyAlignment="1">
      <alignment horizontal="center" vertical="center"/>
    </xf>
    <xf numFmtId="9" fontId="40" fillId="5" borderId="4" xfId="1" quotePrefix="1" applyNumberFormat="1" applyFont="1" applyFill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9" fontId="40" fillId="0" borderId="33" xfId="3" applyNumberFormat="1" applyFont="1" applyBorder="1" applyAlignment="1">
      <alignment horizontal="left" vertical="center" wrapText="1" shrinkToFit="1"/>
    </xf>
    <xf numFmtId="0" fontId="40" fillId="0" borderId="3" xfId="3" applyFont="1" applyBorder="1" applyAlignment="1">
      <alignment vertical="center" shrinkToFit="1"/>
    </xf>
    <xf numFmtId="0" fontId="40" fillId="0" borderId="3" xfId="3" applyFont="1" applyBorder="1" applyAlignment="1">
      <alignment horizontal="center" vertical="center"/>
    </xf>
    <xf numFmtId="0" fontId="41" fillId="0" borderId="0" xfId="0" applyFont="1">
      <alignment vertical="center"/>
    </xf>
    <xf numFmtId="0" fontId="40" fillId="0" borderId="0" xfId="0" applyFont="1">
      <alignment vertical="center"/>
    </xf>
    <xf numFmtId="0" fontId="40" fillId="6" borderId="22" xfId="0" applyFont="1" applyFill="1" applyBorder="1" applyAlignment="1">
      <alignment horizontal="center" vertical="center"/>
    </xf>
    <xf numFmtId="0" fontId="40" fillId="7" borderId="3" xfId="0" applyFont="1" applyFill="1" applyBorder="1" applyAlignment="1">
      <alignment horizontal="center" vertical="center"/>
    </xf>
    <xf numFmtId="9" fontId="40" fillId="0" borderId="4" xfId="0" applyNumberFormat="1" applyFont="1" applyBorder="1" applyAlignment="1">
      <alignment horizontal="center" vertical="center"/>
    </xf>
    <xf numFmtId="0" fontId="40" fillId="5" borderId="0" xfId="0" applyFont="1" applyFill="1" applyAlignment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9" fontId="40" fillId="3" borderId="0" xfId="2" applyFont="1" applyFill="1" applyAlignment="1">
      <alignment horizontal="center" vertical="center"/>
    </xf>
    <xf numFmtId="49" fontId="40" fillId="0" borderId="33" xfId="3" applyNumberFormat="1" applyFont="1" applyBorder="1" applyAlignment="1">
      <alignment horizontal="left" vertical="center" shrinkToFit="1"/>
    </xf>
    <xf numFmtId="0" fontId="42" fillId="6" borderId="22" xfId="0" applyFont="1" applyFill="1" applyBorder="1" applyAlignment="1">
      <alignment horizontal="center" vertical="center"/>
    </xf>
    <xf numFmtId="49" fontId="42" fillId="7" borderId="33" xfId="0" applyNumberFormat="1" applyFont="1" applyFill="1" applyBorder="1" applyAlignment="1">
      <alignment horizontal="center" vertical="center"/>
    </xf>
    <xf numFmtId="49" fontId="43" fillId="0" borderId="3" xfId="0" applyNumberFormat="1" applyFont="1" applyBorder="1" applyAlignment="1">
      <alignment horizontal="center" vertical="center" wrapText="1"/>
    </xf>
    <xf numFmtId="41" fontId="40" fillId="5" borderId="33" xfId="1" applyFont="1" applyFill="1" applyBorder="1" applyAlignment="1">
      <alignment horizontal="center" vertical="center"/>
    </xf>
    <xf numFmtId="41" fontId="43" fillId="6" borderId="3" xfId="1" applyFont="1" applyFill="1" applyBorder="1" applyAlignment="1">
      <alignment horizontal="center" vertical="center"/>
    </xf>
    <xf numFmtId="41" fontId="43" fillId="0" borderId="3" xfId="1" applyFont="1" applyFill="1" applyBorder="1" applyAlignment="1">
      <alignment horizontal="center" vertical="center"/>
    </xf>
    <xf numFmtId="0" fontId="42" fillId="5" borderId="23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28" fillId="0" borderId="15" xfId="48" applyFont="1" applyBorder="1" applyAlignment="1">
      <alignment horizontal="center" vertical="center"/>
    </xf>
    <xf numFmtId="41" fontId="28" fillId="0" borderId="15" xfId="49" applyFont="1" applyFill="1" applyBorder="1" applyAlignment="1">
      <alignment horizontal="right" vertical="center"/>
    </xf>
    <xf numFmtId="0" fontId="28" fillId="5" borderId="15" xfId="3" applyFont="1" applyFill="1" applyBorder="1" applyAlignment="1">
      <alignment horizontal="left" vertical="center"/>
    </xf>
    <xf numFmtId="0" fontId="45" fillId="0" borderId="34" xfId="0" applyFont="1" applyBorder="1">
      <alignment vertical="center"/>
    </xf>
    <xf numFmtId="0" fontId="45" fillId="0" borderId="34" xfId="0" applyFont="1" applyBorder="1" applyAlignment="1">
      <alignment horizontal="center" vertical="center"/>
    </xf>
    <xf numFmtId="41" fontId="45" fillId="0" borderId="34" xfId="0" applyNumberFormat="1" applyFont="1" applyBorder="1">
      <alignment vertical="center"/>
    </xf>
    <xf numFmtId="0" fontId="45" fillId="0" borderId="35" xfId="0" applyFont="1" applyBorder="1">
      <alignment vertical="center"/>
    </xf>
    <xf numFmtId="0" fontId="45" fillId="0" borderId="0" xfId="0" applyFont="1">
      <alignment vertical="center"/>
    </xf>
    <xf numFmtId="0" fontId="46" fillId="9" borderId="24" xfId="0" applyFont="1" applyFill="1" applyBorder="1">
      <alignment vertical="center"/>
    </xf>
    <xf numFmtId="0" fontId="46" fillId="9" borderId="21" xfId="0" applyFont="1" applyFill="1" applyBorder="1">
      <alignment vertical="center"/>
    </xf>
    <xf numFmtId="0" fontId="45" fillId="7" borderId="3" xfId="0" applyFont="1" applyFill="1" applyBorder="1" applyAlignment="1">
      <alignment horizontal="center" vertical="center"/>
    </xf>
    <xf numFmtId="0" fontId="45" fillId="4" borderId="3" xfId="3" applyFont="1" applyFill="1" applyBorder="1" applyAlignment="1">
      <alignment horizontal="center" vertical="center"/>
    </xf>
    <xf numFmtId="41" fontId="45" fillId="4" borderId="3" xfId="16" applyFont="1" applyFill="1" applyBorder="1" applyAlignment="1">
      <alignment horizontal="center" vertical="center"/>
    </xf>
    <xf numFmtId="176" fontId="45" fillId="4" borderId="3" xfId="5" applyFont="1" applyFill="1" applyBorder="1" applyAlignment="1">
      <alignment horizontal="center" vertical="center"/>
    </xf>
    <xf numFmtId="0" fontId="47" fillId="10" borderId="3" xfId="3" applyFont="1" applyFill="1" applyBorder="1" applyAlignment="1">
      <alignment horizontal="center" vertical="center" shrinkToFit="1"/>
    </xf>
    <xf numFmtId="180" fontId="48" fillId="0" borderId="0" xfId="11" applyNumberFormat="1" applyFont="1" applyAlignment="1">
      <alignment horizontal="center" vertical="center" shrinkToFit="1"/>
    </xf>
    <xf numFmtId="0" fontId="48" fillId="0" borderId="0" xfId="11" applyFont="1" applyAlignment="1">
      <alignment vertical="center" shrinkToFit="1"/>
    </xf>
    <xf numFmtId="0" fontId="52" fillId="0" borderId="0" xfId="11" applyFont="1" applyAlignment="1">
      <alignment vertical="center" shrinkToFit="1"/>
    </xf>
    <xf numFmtId="0" fontId="53" fillId="0" borderId="39" xfId="11" applyFont="1" applyBorder="1" applyAlignment="1">
      <alignment horizontal="center" vertical="center" shrinkToFit="1"/>
    </xf>
    <xf numFmtId="0" fontId="53" fillId="0" borderId="40" xfId="11" applyFont="1" applyBorder="1" applyAlignment="1">
      <alignment horizontal="center" vertical="center" shrinkToFit="1"/>
    </xf>
    <xf numFmtId="181" fontId="53" fillId="0" borderId="40" xfId="11" applyNumberFormat="1" applyFont="1" applyBorder="1" applyAlignment="1">
      <alignment horizontal="center" vertical="center" shrinkToFit="1"/>
    </xf>
    <xf numFmtId="180" fontId="54" fillId="0" borderId="0" xfId="11" applyNumberFormat="1" applyFont="1" applyAlignment="1">
      <alignment horizontal="center" vertical="center" shrinkToFit="1"/>
    </xf>
    <xf numFmtId="0" fontId="53" fillId="0" borderId="43" xfId="11" applyFont="1" applyBorder="1" applyAlignment="1">
      <alignment horizontal="center" vertical="center" shrinkToFit="1"/>
    </xf>
    <xf numFmtId="0" fontId="54" fillId="0" borderId="0" xfId="11" applyFont="1" applyAlignment="1">
      <alignment horizontal="center" vertical="center" shrinkToFit="1"/>
    </xf>
    <xf numFmtId="41" fontId="48" fillId="5" borderId="52" xfId="13" quotePrefix="1" applyFont="1" applyFill="1" applyBorder="1" applyAlignment="1">
      <alignment horizontal="left" vertical="center" shrinkToFit="1"/>
    </xf>
    <xf numFmtId="41" fontId="48" fillId="5" borderId="0" xfId="13" applyFont="1" applyFill="1" applyBorder="1" applyAlignment="1">
      <alignment horizontal="left" vertical="center" shrinkToFit="1"/>
    </xf>
    <xf numFmtId="41" fontId="48" fillId="5" borderId="53" xfId="13" applyFont="1" applyFill="1" applyBorder="1" applyAlignment="1">
      <alignment horizontal="left" vertical="center" shrinkToFit="1"/>
    </xf>
    <xf numFmtId="0" fontId="53" fillId="0" borderId="45" xfId="11" applyFont="1" applyBorder="1" applyAlignment="1">
      <alignment vertical="center" shrinkToFit="1"/>
    </xf>
    <xf numFmtId="0" fontId="48" fillId="0" borderId="0" xfId="11" applyFont="1" applyAlignment="1">
      <alignment horizontal="left" vertical="center" shrinkToFit="1"/>
    </xf>
    <xf numFmtId="181" fontId="48" fillId="0" borderId="0" xfId="11" applyNumberFormat="1" applyFont="1" applyAlignment="1">
      <alignment horizontal="right" vertical="center" shrinkToFit="1"/>
    </xf>
    <xf numFmtId="49" fontId="40" fillId="7" borderId="3" xfId="0" applyNumberFormat="1" applyFont="1" applyFill="1" applyBorder="1" applyAlignment="1">
      <alignment horizontal="center" vertical="center" wrapText="1"/>
    </xf>
    <xf numFmtId="49" fontId="40" fillId="0" borderId="3" xfId="0" applyNumberFormat="1" applyFont="1" applyBorder="1" applyAlignment="1">
      <alignment horizontal="left" vertical="center" wrapText="1"/>
    </xf>
    <xf numFmtId="49" fontId="40" fillId="5" borderId="3" xfId="0" applyNumberFormat="1" applyFont="1" applyFill="1" applyBorder="1" applyAlignment="1">
      <alignment horizontal="center" vertical="center" wrapText="1"/>
    </xf>
    <xf numFmtId="41" fontId="40" fillId="5" borderId="3" xfId="0" applyNumberFormat="1" applyFont="1" applyFill="1" applyBorder="1" applyAlignment="1">
      <alignment horizontal="center" vertical="center" wrapText="1"/>
    </xf>
    <xf numFmtId="41" fontId="40" fillId="0" borderId="3" xfId="1" applyFont="1" applyFill="1" applyBorder="1" applyAlignment="1">
      <alignment horizontal="center" vertical="center" wrapText="1"/>
    </xf>
    <xf numFmtId="0" fontId="40" fillId="5" borderId="23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2" fontId="40" fillId="5" borderId="33" xfId="1" applyNumberFormat="1" applyFont="1" applyFill="1" applyBorder="1" applyAlignment="1">
      <alignment horizontal="center" vertical="center"/>
    </xf>
    <xf numFmtId="182" fontId="40" fillId="5" borderId="3" xfId="0" applyNumberFormat="1" applyFont="1" applyFill="1" applyBorder="1" applyAlignment="1">
      <alignment horizontal="center" vertical="center" wrapText="1"/>
    </xf>
    <xf numFmtId="0" fontId="40" fillId="0" borderId="0" xfId="0" applyFont="1" applyFill="1">
      <alignment vertical="center"/>
    </xf>
    <xf numFmtId="0" fontId="40" fillId="0" borderId="0" xfId="0" applyFont="1" applyFill="1" applyAlignment="1">
      <alignment horizontal="center" vertical="center"/>
    </xf>
    <xf numFmtId="41" fontId="57" fillId="10" borderId="34" xfId="0" applyNumberFormat="1" applyFont="1" applyFill="1" applyBorder="1">
      <alignment vertical="center"/>
    </xf>
    <xf numFmtId="0" fontId="16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41" fontId="45" fillId="4" borderId="21" xfId="16" applyFont="1" applyFill="1" applyBorder="1" applyAlignment="1">
      <alignment horizontal="center" vertical="center"/>
    </xf>
    <xf numFmtId="0" fontId="45" fillId="4" borderId="21" xfId="3" applyFont="1" applyFill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6" fillId="9" borderId="30" xfId="0" applyFont="1" applyFill="1" applyBorder="1" applyAlignment="1">
      <alignment horizontal="center" vertical="center"/>
    </xf>
    <xf numFmtId="0" fontId="46" fillId="9" borderId="4" xfId="0" applyFont="1" applyFill="1" applyBorder="1" applyAlignment="1">
      <alignment horizontal="center" vertical="center"/>
    </xf>
    <xf numFmtId="176" fontId="45" fillId="4" borderId="21" xfId="5" applyFont="1" applyFill="1" applyBorder="1" applyAlignment="1">
      <alignment horizontal="center" vertical="center"/>
    </xf>
    <xf numFmtId="0" fontId="45" fillId="4" borderId="21" xfId="0" applyFont="1" applyFill="1" applyBorder="1" applyAlignment="1">
      <alignment horizontal="center" vertical="center"/>
    </xf>
    <xf numFmtId="0" fontId="45" fillId="4" borderId="3" xfId="0" applyFont="1" applyFill="1" applyBorder="1" applyAlignment="1">
      <alignment horizontal="center" vertical="center"/>
    </xf>
    <xf numFmtId="0" fontId="45" fillId="4" borderId="3" xfId="3" applyFont="1" applyFill="1" applyBorder="1" applyAlignment="1">
      <alignment horizontal="center" vertical="center"/>
    </xf>
    <xf numFmtId="0" fontId="45" fillId="6" borderId="37" xfId="0" applyFont="1" applyFill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0" fontId="55" fillId="5" borderId="52" xfId="50" applyFont="1" applyFill="1" applyBorder="1" applyAlignment="1">
      <alignment horizontal="left" vertical="center" shrinkToFit="1"/>
    </xf>
    <xf numFmtId="0" fontId="55" fillId="5" borderId="0" xfId="50" applyFont="1" applyFill="1" applyAlignment="1">
      <alignment horizontal="left" vertical="center" shrinkToFit="1"/>
    </xf>
    <xf numFmtId="0" fontId="55" fillId="5" borderId="53" xfId="50" applyFont="1" applyFill="1" applyBorder="1" applyAlignment="1">
      <alignment horizontal="left" vertical="center" shrinkToFit="1"/>
    </xf>
    <xf numFmtId="0" fontId="53" fillId="5" borderId="52" xfId="11" applyFont="1" applyFill="1" applyBorder="1" applyAlignment="1">
      <alignment horizontal="left" vertical="center" shrinkToFit="1"/>
    </xf>
    <xf numFmtId="0" fontId="53" fillId="5" borderId="0" xfId="11" applyFont="1" applyFill="1" applyAlignment="1">
      <alignment horizontal="left" vertical="center" shrinkToFit="1"/>
    </xf>
    <xf numFmtId="0" fontId="53" fillId="5" borderId="53" xfId="11" applyFont="1" applyFill="1" applyBorder="1" applyAlignment="1">
      <alignment horizontal="left" vertical="center" shrinkToFit="1"/>
    </xf>
    <xf numFmtId="0" fontId="53" fillId="0" borderId="45" xfId="11" applyFont="1" applyBorder="1" applyAlignment="1">
      <alignment horizontal="center" vertical="center" shrinkToFit="1"/>
    </xf>
    <xf numFmtId="0" fontId="53" fillId="0" borderId="46" xfId="11" applyFont="1" applyBorder="1" applyAlignment="1">
      <alignment horizontal="center" vertical="center" shrinkToFit="1"/>
    </xf>
    <xf numFmtId="0" fontId="56" fillId="5" borderId="0" xfId="50" applyFont="1" applyFill="1" applyAlignment="1">
      <alignment horizontal="left" vertical="center" shrinkToFit="1"/>
    </xf>
    <xf numFmtId="0" fontId="56" fillId="5" borderId="53" xfId="50" applyFont="1" applyFill="1" applyBorder="1" applyAlignment="1">
      <alignment horizontal="left" vertical="center" shrinkToFit="1"/>
    </xf>
    <xf numFmtId="41" fontId="48" fillId="5" borderId="52" xfId="13" quotePrefix="1" applyFont="1" applyFill="1" applyBorder="1" applyAlignment="1">
      <alignment horizontal="left" vertical="center" shrinkToFit="1"/>
    </xf>
    <xf numFmtId="41" fontId="48" fillId="5" borderId="0" xfId="13" applyFont="1" applyFill="1" applyBorder="1" applyAlignment="1">
      <alignment horizontal="left" vertical="center" shrinkToFit="1"/>
    </xf>
    <xf numFmtId="41" fontId="48" fillId="5" borderId="53" xfId="13" applyFont="1" applyFill="1" applyBorder="1" applyAlignment="1">
      <alignment horizontal="left" vertical="center" shrinkToFit="1"/>
    </xf>
    <xf numFmtId="41" fontId="48" fillId="5" borderId="0" xfId="13" quotePrefix="1" applyFont="1" applyFill="1" applyBorder="1" applyAlignment="1">
      <alignment horizontal="left" vertical="center" shrinkToFit="1"/>
    </xf>
    <xf numFmtId="41" fontId="48" fillId="5" borderId="53" xfId="13" quotePrefix="1" applyFont="1" applyFill="1" applyBorder="1" applyAlignment="1">
      <alignment horizontal="left" vertical="center" shrinkToFit="1"/>
    </xf>
    <xf numFmtId="0" fontId="49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center" vertical="center" shrinkToFit="1"/>
    </xf>
    <xf numFmtId="42" fontId="51" fillId="0" borderId="0" xfId="12" applyFont="1" applyBorder="1" applyAlignment="1">
      <alignment horizontal="center" vertical="center" shrinkToFit="1"/>
    </xf>
    <xf numFmtId="31" fontId="53" fillId="0" borderId="41" xfId="11" applyNumberFormat="1" applyFont="1" applyBorder="1" applyAlignment="1">
      <alignment horizontal="center" vertical="center" shrinkToFit="1"/>
    </xf>
    <xf numFmtId="31" fontId="53" fillId="0" borderId="42" xfId="11" applyNumberFormat="1" applyFont="1" applyBorder="1" applyAlignment="1">
      <alignment horizontal="center" vertical="center" shrinkToFit="1"/>
    </xf>
    <xf numFmtId="0" fontId="53" fillId="0" borderId="44" xfId="11" applyFont="1" applyBorder="1" applyAlignment="1">
      <alignment horizontal="left" vertical="center" indent="1" shrinkToFit="1"/>
    </xf>
    <xf numFmtId="0" fontId="53" fillId="0" borderId="45" xfId="11" applyFont="1" applyBorder="1" applyAlignment="1">
      <alignment horizontal="left" vertical="center" indent="1" shrinkToFit="1"/>
    </xf>
    <xf numFmtId="0" fontId="53" fillId="0" borderId="46" xfId="11" applyFont="1" applyBorder="1" applyAlignment="1">
      <alignment horizontal="left" vertical="center" indent="1" shrinkToFit="1"/>
    </xf>
    <xf numFmtId="0" fontId="53" fillId="0" borderId="47" xfId="11" applyFont="1" applyBorder="1" applyAlignment="1">
      <alignment horizontal="center" vertical="center" shrinkToFit="1"/>
    </xf>
    <xf numFmtId="0" fontId="53" fillId="0" borderId="51" xfId="11" applyFont="1" applyBorder="1" applyAlignment="1">
      <alignment horizontal="center" vertical="center" shrinkToFit="1"/>
    </xf>
    <xf numFmtId="0" fontId="53" fillId="0" borderId="54" xfId="11" applyFont="1" applyBorder="1" applyAlignment="1">
      <alignment horizontal="center" vertical="center" shrinkToFit="1"/>
    </xf>
    <xf numFmtId="0" fontId="55" fillId="5" borderId="48" xfId="11" applyFont="1" applyFill="1" applyBorder="1" applyAlignment="1">
      <alignment horizontal="left" vertical="center" shrinkToFit="1"/>
    </xf>
    <xf numFmtId="0" fontId="55" fillId="5" borderId="49" xfId="11" applyFont="1" applyFill="1" applyBorder="1" applyAlignment="1">
      <alignment horizontal="left" vertical="center" shrinkToFit="1"/>
    </xf>
    <xf numFmtId="0" fontId="55" fillId="5" borderId="50" xfId="11" applyFont="1" applyFill="1" applyBorder="1" applyAlignment="1">
      <alignment horizontal="left" vertical="center" shrinkToFit="1"/>
    </xf>
    <xf numFmtId="0" fontId="55" fillId="5" borderId="52" xfId="11" applyFont="1" applyFill="1" applyBorder="1" applyAlignment="1">
      <alignment horizontal="left" vertical="center" shrinkToFit="1"/>
    </xf>
    <xf numFmtId="0" fontId="55" fillId="5" borderId="0" xfId="11" applyFont="1" applyFill="1" applyAlignment="1">
      <alignment horizontal="left" vertical="center" shrinkToFit="1"/>
    </xf>
    <xf numFmtId="0" fontId="55" fillId="5" borderId="53" xfId="11" applyFont="1" applyFill="1" applyBorder="1" applyAlignment="1">
      <alignment horizontal="left" vertical="center" shrinkToFit="1"/>
    </xf>
  </cellXfs>
  <cellStyles count="51">
    <cellStyle name="백분율" xfId="2" builtinId="5"/>
    <cellStyle name="백분율 2 64" xfId="9" xr:uid="{00000000-0005-0000-0000-000001000000}"/>
    <cellStyle name="쉼표 [0]" xfId="1" builtinId="6"/>
    <cellStyle name="쉼표 [0] 15" xfId="49" xr:uid="{FD1BBAB5-9357-4927-81FC-2DB8D6ECD3A1}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" xfId="36" xr:uid="{E89EFE6D-BE78-488D-BCB9-84E8641E2E23}"/>
    <cellStyle name="쉼표 [0] 2 2 29" xfId="13" xr:uid="{00000000-0005-0000-0000-000005000000}"/>
    <cellStyle name="쉼표 [0] 2 2 29 2" xfId="23" xr:uid="{02EE568B-A183-4B0E-A384-CE444135A6A6}"/>
    <cellStyle name="쉼표 [0] 2 2 29 2 2" xfId="42" xr:uid="{937FAC18-8C50-4756-A265-69051E91FFA9}"/>
    <cellStyle name="쉼표 [0] 2 2 29 3" xfId="33" xr:uid="{B6DBE47C-EAFC-4A07-A2FC-8D6890269D53}"/>
    <cellStyle name="쉼표 [0] 2 3" xfId="20" xr:uid="{86059317-9C1A-41A3-BB2C-CCC3F2C947C3}"/>
    <cellStyle name="쉼표 [0] 2 3 2" xfId="39" xr:uid="{4B899084-498F-41A8-817D-425D4FB65223}"/>
    <cellStyle name="쉼표 [0] 2 4" xfId="30" xr:uid="{71CC1A78-27FC-49FC-9529-ECBF58D89174}"/>
    <cellStyle name="쉼표 [0] 3" xfId="18" xr:uid="{AE4438CB-EC61-42DB-8C44-F0BC8096A524}"/>
    <cellStyle name="쉼표 [0] 3 2" xfId="26" xr:uid="{835CC124-E861-4950-8047-48A88A59D203}"/>
    <cellStyle name="쉼표 [0] 3 2 2" xfId="45" xr:uid="{72B543B8-7A43-457A-A0D0-FC50056D381F}"/>
    <cellStyle name="쉼표 [0] 3 3" xfId="37" xr:uid="{EB64AAA0-20B8-44F7-8626-39905D61B07C}"/>
    <cellStyle name="쉼표 [0] 4" xfId="19" xr:uid="{D981F66D-7210-43DB-B4BB-C9CC62EE8FB3}"/>
    <cellStyle name="쉼표 [0] 4 2" xfId="27" xr:uid="{344A09CD-DD3D-4401-9739-AD886ED12627}"/>
    <cellStyle name="쉼표 [0] 4 2 2" xfId="46" xr:uid="{926EEB63-E628-47AB-93F1-0E75B4AB8D35}"/>
    <cellStyle name="쉼표 [0] 4 3" xfId="38" xr:uid="{2F7BBBC2-23DE-4D7B-A6D0-09B3B41228B9}"/>
    <cellStyle name="쉼표 [0] 5" xfId="28" xr:uid="{D1C816C9-803D-4676-92A7-7415DB66F5BA}"/>
    <cellStyle name="쉼표 [0] 5 2" xfId="47" xr:uid="{4014C5AC-2DF1-4205-BA1E-140B6D24257C}"/>
    <cellStyle name="쉼표 [0] 6" xfId="29" xr:uid="{07C4A437-7E9A-4161-8FD1-79F30D66E48A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통화 [0] 2 2 2 2" xfId="41" xr:uid="{6DDF93A2-4BF0-46E7-A905-8CC4966F61F1}"/>
    <cellStyle name="통화 [0] 2 2 3" xfId="32" xr:uid="{AACD431B-C44D-481E-9A8E-EAF82A569F9C}"/>
    <cellStyle name="표준" xfId="0" builtinId="0"/>
    <cellStyle name="표준 10 10 2" xfId="3" xr:uid="{00000000-0005-0000-0000-000009000000}"/>
    <cellStyle name="표준 10 31" xfId="11" xr:uid="{00000000-0005-0000-0000-00000A000000}"/>
    <cellStyle name="표준 15" xfId="48" xr:uid="{70E61A8D-699A-4849-BAEA-0663632DE600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2 2 2" xfId="40" xr:uid="{9888169F-CBFC-4CF0-9AF6-319980B633C0}"/>
    <cellStyle name="표준 2 3" xfId="31" xr:uid="{C7B1999E-EE5F-4632-9109-435AD734ADC5}"/>
    <cellStyle name="표준 3" xfId="14" xr:uid="{00000000-0005-0000-0000-00000D000000}"/>
    <cellStyle name="표준 3 2" xfId="24" xr:uid="{1A7F0582-4B57-49D9-9474-A0CAB3A96714}"/>
    <cellStyle name="표준 3 2 2" xfId="43" xr:uid="{7BA5C333-4893-4E6B-84A5-D0BB7C7F370F}"/>
    <cellStyle name="표준 3 3" xfId="34" xr:uid="{976A89DD-1572-4962-ADB5-E5B9D5AAB89E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 4 3 2" xfId="44" xr:uid="{83B8BF1A-CA82-433E-A4DF-AD016EC49E34}"/>
    <cellStyle name="표준 4 4" xfId="35" xr:uid="{3EE80ACC-2AEC-4A81-A490-9D032D4890EF}"/>
    <cellStyle name="표준 4 4 2 2" xfId="50" xr:uid="{1C8550EF-9F94-4F05-A210-14F943550F2F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2030864</xdr:colOff>
      <xdr:row>5</xdr:row>
      <xdr:rowOff>141238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2030864</xdr:colOff>
      <xdr:row>5</xdr:row>
      <xdr:rowOff>141238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5</xdr:row>
      <xdr:rowOff>152401</xdr:rowOff>
    </xdr:from>
    <xdr:to>
      <xdr:col>6</xdr:col>
      <xdr:colOff>2706820</xdr:colOff>
      <xdr:row>7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31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7D9D1645-74CB-4EC7-85AF-900B622165BA}"/>
            </a:ext>
          </a:extLst>
        </xdr:cNvPr>
        <xdr:cNvSpPr>
          <a:spLocks noChangeAspect="1" noChangeArrowheads="1"/>
        </xdr:cNvSpPr>
      </xdr:nvSpPr>
      <xdr:spPr bwMode="auto">
        <a:xfrm>
          <a:off x="8806543" y="8643257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880259</xdr:colOff>
      <xdr:row>32</xdr:row>
      <xdr:rowOff>254594</xdr:rowOff>
    </xdr:from>
    <xdr:to>
      <xdr:col>5</xdr:col>
      <xdr:colOff>277084</xdr:colOff>
      <xdr:row>34</xdr:row>
      <xdr:rowOff>70581</xdr:rowOff>
    </xdr:to>
    <xdr:pic>
      <xdr:nvPicPr>
        <xdr:cNvPr id="3" name="Picture 3" descr="1번도장">
          <a:extLst>
            <a:ext uri="{FF2B5EF4-FFF2-40B4-BE49-F238E27FC236}">
              <a16:creationId xmlns:a16="http://schemas.microsoft.com/office/drawing/2014/main" id="{AEFEEAA1-3E9E-4157-B6E8-19076C104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1410" y="9178838"/>
          <a:ext cx="665241" cy="7256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zoomScaleNormal="100" workbookViewId="0"/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43" t="s">
        <v>6</v>
      </c>
      <c r="B2" s="143"/>
      <c r="C2" s="143"/>
      <c r="D2" s="143"/>
      <c r="E2" s="143"/>
      <c r="F2" s="143"/>
      <c r="G2" s="143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55" t="s">
        <v>41</v>
      </c>
      <c r="B5" s="56"/>
      <c r="C5" s="57"/>
      <c r="D5" s="5"/>
      <c r="E5" s="5"/>
      <c r="F5" s="65" t="s">
        <v>32</v>
      </c>
      <c r="G5" s="70" t="s">
        <v>43</v>
      </c>
      <c r="H5" s="5"/>
    </row>
    <row r="6" spans="1:9" ht="27" customHeight="1">
      <c r="A6" s="5"/>
      <c r="B6" s="5"/>
      <c r="C6" s="5"/>
      <c r="D6" s="5"/>
      <c r="E6" s="5"/>
      <c r="F6" s="66" t="s">
        <v>35</v>
      </c>
      <c r="G6" s="71" t="s">
        <v>44</v>
      </c>
      <c r="H6" s="5"/>
    </row>
    <row r="7" spans="1:9" ht="27" customHeight="1">
      <c r="A7" s="55" t="s">
        <v>57</v>
      </c>
      <c r="B7" s="60" t="s">
        <v>145</v>
      </c>
      <c r="C7" s="58"/>
      <c r="D7" s="5"/>
      <c r="E7" s="59"/>
      <c r="F7" s="67" t="s">
        <v>36</v>
      </c>
      <c r="G7" s="71" t="s">
        <v>45</v>
      </c>
      <c r="H7" s="5"/>
    </row>
    <row r="8" spans="1:9" ht="27" customHeight="1">
      <c r="A8" s="5"/>
      <c r="B8" s="5"/>
      <c r="C8" s="5"/>
      <c r="D8" s="5"/>
      <c r="E8" s="5"/>
      <c r="F8" s="66" t="s">
        <v>37</v>
      </c>
      <c r="G8" s="71" t="s">
        <v>46</v>
      </c>
      <c r="H8" s="5"/>
    </row>
    <row r="9" spans="1:9" ht="27" customHeight="1">
      <c r="A9" s="55" t="s">
        <v>58</v>
      </c>
      <c r="B9" s="60" t="s">
        <v>137</v>
      </c>
      <c r="C9" s="61"/>
      <c r="D9" s="5"/>
      <c r="E9" s="5"/>
      <c r="F9" s="66" t="s">
        <v>38</v>
      </c>
      <c r="G9" s="71" t="s">
        <v>47</v>
      </c>
      <c r="H9" s="5"/>
    </row>
    <row r="10" spans="1:9" ht="27" customHeight="1">
      <c r="A10" s="5"/>
      <c r="B10" s="5"/>
      <c r="C10" s="5"/>
      <c r="D10" s="5"/>
      <c r="E10" s="5"/>
      <c r="F10" s="68" t="s">
        <v>33</v>
      </c>
      <c r="G10" s="72" t="s">
        <v>48</v>
      </c>
      <c r="H10" s="5"/>
      <c r="I10" s="5"/>
    </row>
    <row r="11" spans="1:9" ht="27" customHeight="1">
      <c r="A11" s="144"/>
      <c r="B11" s="145"/>
      <c r="C11" s="145"/>
      <c r="D11" s="5"/>
      <c r="E11" s="62"/>
      <c r="F11" s="69" t="s">
        <v>34</v>
      </c>
      <c r="G11" s="73" t="s">
        <v>49</v>
      </c>
      <c r="H11" s="62"/>
    </row>
    <row r="12" spans="1:9" ht="18.75" thickBot="1">
      <c r="A12" s="6" t="s">
        <v>7</v>
      </c>
      <c r="B12" s="6" t="str">
        <f>NUMBERSTRING(F31,1)</f>
        <v>사백일십구만이천</v>
      </c>
      <c r="C12" s="7"/>
      <c r="D12" s="8" t="s">
        <v>8</v>
      </c>
      <c r="E12" s="9" t="s">
        <v>9</v>
      </c>
      <c r="F12" s="9" t="s">
        <v>9</v>
      </c>
      <c r="G12" s="10"/>
      <c r="H12" s="11"/>
    </row>
    <row r="13" spans="1:9" ht="15.75" thickTop="1" thickBot="1">
      <c r="A13" s="5"/>
      <c r="B13" s="5"/>
      <c r="C13" s="5"/>
      <c r="D13" s="5"/>
      <c r="E13" s="5"/>
      <c r="F13" s="5"/>
      <c r="G13" s="5"/>
      <c r="H13" s="11"/>
    </row>
    <row r="14" spans="1:9" ht="33" customHeight="1" thickBot="1">
      <c r="A14" s="12" t="s">
        <v>10</v>
      </c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4" t="s">
        <v>16</v>
      </c>
      <c r="H14" s="11"/>
    </row>
    <row r="15" spans="1:9" ht="33" customHeight="1" thickTop="1">
      <c r="A15" s="15"/>
      <c r="B15" s="16" t="s">
        <v>17</v>
      </c>
      <c r="C15" s="17"/>
      <c r="D15" s="18"/>
      <c r="E15" s="18"/>
      <c r="F15" s="19"/>
      <c r="G15" s="20"/>
    </row>
    <row r="16" spans="1:9" ht="33" customHeight="1">
      <c r="A16" s="21"/>
      <c r="B16" s="22" t="s">
        <v>18</v>
      </c>
      <c r="C16" s="23"/>
      <c r="D16" s="24"/>
      <c r="E16" s="24"/>
      <c r="F16" s="25">
        <f>'내역서(표준단가)'!O43</f>
        <v>2058104</v>
      </c>
      <c r="G16" s="26"/>
    </row>
    <row r="17" spans="1:9" ht="33" customHeight="1">
      <c r="A17" s="21"/>
      <c r="B17" s="22" t="s">
        <v>19</v>
      </c>
      <c r="C17" s="23"/>
      <c r="D17" s="24"/>
      <c r="E17" s="24"/>
      <c r="F17" s="25">
        <f>'내역서(표준단가)'!Q43</f>
        <v>1694218</v>
      </c>
      <c r="G17" s="27"/>
      <c r="H17" s="4"/>
      <c r="I17" s="4"/>
    </row>
    <row r="18" spans="1:9" ht="33" customHeight="1">
      <c r="A18" s="21"/>
      <c r="B18" s="22" t="s">
        <v>20</v>
      </c>
      <c r="C18" s="23"/>
      <c r="D18" s="24"/>
      <c r="E18" s="24"/>
      <c r="F18" s="25">
        <f>'내역서(표준단가)'!S43+'내역서(표준단가)'!U43</f>
        <v>0</v>
      </c>
      <c r="G18" s="27"/>
      <c r="H18" s="4"/>
      <c r="I18" s="4"/>
    </row>
    <row r="19" spans="1:9" ht="33" customHeight="1">
      <c r="A19" s="21"/>
      <c r="B19" s="28" t="s">
        <v>21</v>
      </c>
      <c r="C19" s="28"/>
      <c r="D19" s="29"/>
      <c r="E19" s="29"/>
      <c r="F19" s="30">
        <f>F16+F17+F18</f>
        <v>3752322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101" t="s">
        <v>61</v>
      </c>
      <c r="C21" s="32" t="s">
        <v>62</v>
      </c>
      <c r="D21" s="22">
        <v>1</v>
      </c>
      <c r="E21" s="22" t="s">
        <v>42</v>
      </c>
      <c r="F21" s="34">
        <f>(F16+F17)*3.11%</f>
        <v>116697.2142</v>
      </c>
      <c r="G21" s="27" t="s">
        <v>23</v>
      </c>
      <c r="H21" s="4"/>
      <c r="I21" s="4"/>
    </row>
    <row r="22" spans="1:9" ht="33" customHeight="1">
      <c r="A22" s="21"/>
      <c r="B22" s="101" t="s">
        <v>63</v>
      </c>
      <c r="C22" s="32" t="s">
        <v>64</v>
      </c>
      <c r="D22" s="22">
        <v>1</v>
      </c>
      <c r="E22" s="22" t="s">
        <v>42</v>
      </c>
      <c r="F22" s="34">
        <f>F17*3.56%</f>
        <v>60314.160799999998</v>
      </c>
      <c r="G22" s="27" t="s">
        <v>23</v>
      </c>
      <c r="H22" s="4"/>
      <c r="I22" s="4"/>
    </row>
    <row r="23" spans="1:9" ht="33" customHeight="1">
      <c r="A23" s="21"/>
      <c r="B23" s="101" t="s">
        <v>65</v>
      </c>
      <c r="C23" s="32" t="s">
        <v>66</v>
      </c>
      <c r="D23" s="22">
        <v>1</v>
      </c>
      <c r="E23" s="22" t="s">
        <v>42</v>
      </c>
      <c r="F23" s="102">
        <f>F17*1.01%</f>
        <v>17111.6018</v>
      </c>
      <c r="G23" s="27" t="s">
        <v>23</v>
      </c>
      <c r="H23" s="4"/>
      <c r="I23" s="4"/>
    </row>
    <row r="24" spans="1:9" ht="33" customHeight="1">
      <c r="A24" s="21"/>
      <c r="B24" s="101" t="s">
        <v>67</v>
      </c>
      <c r="C24" s="63" t="s">
        <v>68</v>
      </c>
      <c r="D24" s="22">
        <v>1</v>
      </c>
      <c r="E24" s="22" t="s">
        <v>42</v>
      </c>
      <c r="F24" s="34">
        <f>F17*3.545%</f>
        <v>60060.028100000003</v>
      </c>
      <c r="G24" s="27" t="s">
        <v>23</v>
      </c>
      <c r="H24" s="4"/>
      <c r="I24" s="4"/>
    </row>
    <row r="25" spans="1:9" ht="33" customHeight="1">
      <c r="A25" s="21"/>
      <c r="B25" s="101" t="s">
        <v>69</v>
      </c>
      <c r="C25" s="63" t="s">
        <v>70</v>
      </c>
      <c r="D25" s="22">
        <v>1</v>
      </c>
      <c r="E25" s="22" t="s">
        <v>42</v>
      </c>
      <c r="F25" s="34">
        <f>F17*4.5%</f>
        <v>76239.81</v>
      </c>
      <c r="G25" s="27" t="s">
        <v>23</v>
      </c>
      <c r="H25" s="4"/>
      <c r="I25" s="4"/>
    </row>
    <row r="26" spans="1:9" ht="33" customHeight="1">
      <c r="A26" s="21"/>
      <c r="B26" s="101" t="s">
        <v>71</v>
      </c>
      <c r="C26" s="103" t="s">
        <v>72</v>
      </c>
      <c r="D26" s="22">
        <v>1</v>
      </c>
      <c r="E26" s="22" t="s">
        <v>42</v>
      </c>
      <c r="F26" s="34">
        <f>F24*12.95%</f>
        <v>7777.7736389500005</v>
      </c>
      <c r="G26" s="27" t="s">
        <v>23</v>
      </c>
      <c r="H26" s="4"/>
      <c r="I26" s="4"/>
    </row>
    <row r="27" spans="1:9" ht="33" customHeight="1">
      <c r="A27" s="21"/>
      <c r="B27" s="101" t="s">
        <v>29</v>
      </c>
      <c r="C27" s="35" t="s">
        <v>73</v>
      </c>
      <c r="D27" s="22">
        <v>1</v>
      </c>
      <c r="E27" s="22" t="s">
        <v>42</v>
      </c>
      <c r="F27" s="34">
        <f>SUM(F17+F21+F22+F23+F24+F25+F26)*5%</f>
        <v>101620.92942694751</v>
      </c>
      <c r="G27" s="27"/>
      <c r="H27" s="4"/>
      <c r="I27" s="4"/>
    </row>
    <row r="28" spans="1:9" ht="33" customHeight="1">
      <c r="A28" s="21"/>
      <c r="B28" s="28" t="s">
        <v>24</v>
      </c>
      <c r="C28" s="36"/>
      <c r="D28" s="37"/>
      <c r="E28" s="29"/>
      <c r="F28" s="38">
        <f>F21+F22+F23+F24+F25+F26+F27</f>
        <v>439821.51796589751</v>
      </c>
      <c r="G28" s="27"/>
      <c r="H28" s="4"/>
      <c r="I28" s="4"/>
    </row>
    <row r="29" spans="1:9" ht="33" customHeight="1">
      <c r="A29" s="21"/>
      <c r="B29" s="32"/>
      <c r="C29" s="39"/>
      <c r="D29" s="40"/>
      <c r="E29" s="24"/>
      <c r="F29" s="41"/>
      <c r="G29" s="27"/>
      <c r="H29" s="4"/>
      <c r="I29" s="4"/>
    </row>
    <row r="30" spans="1:9" ht="33" customHeight="1">
      <c r="A30" s="21"/>
      <c r="B30" s="42"/>
      <c r="C30" s="39"/>
      <c r="D30" s="40"/>
      <c r="E30" s="24"/>
      <c r="F30" s="43">
        <f>F19+F28+F29</f>
        <v>4192143.5179658975</v>
      </c>
      <c r="G30" s="27"/>
      <c r="H30" s="4"/>
      <c r="I30" s="4"/>
    </row>
    <row r="31" spans="1:9" ht="33" customHeight="1">
      <c r="A31" s="21"/>
      <c r="B31" s="28" t="s">
        <v>25</v>
      </c>
      <c r="C31" s="28"/>
      <c r="D31" s="29"/>
      <c r="E31" s="29"/>
      <c r="F31" s="44">
        <f>ROUNDDOWN(F30,-3)</f>
        <v>4192000</v>
      </c>
      <c r="G31" s="27"/>
      <c r="H31" s="4"/>
      <c r="I31" s="4"/>
    </row>
    <row r="32" spans="1:9" ht="33" customHeight="1" thickBot="1">
      <c r="A32" s="45"/>
      <c r="B32" s="46" t="s">
        <v>26</v>
      </c>
      <c r="C32" s="47"/>
      <c r="D32" s="47"/>
      <c r="E32" s="47"/>
      <c r="F32" s="48"/>
      <c r="G32" s="49"/>
      <c r="H32" s="4"/>
      <c r="I32" s="4"/>
    </row>
    <row r="33" spans="2:2" s="4" customFormat="1" ht="15.75">
      <c r="B33" s="50"/>
    </row>
    <row r="34" spans="2:2" s="4" customFormat="1" ht="15.75">
      <c r="B34" s="50"/>
    </row>
  </sheetData>
  <mergeCells count="2">
    <mergeCell ref="A2:G2"/>
    <mergeCell ref="A11:C11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E1:Y43"/>
  <sheetViews>
    <sheetView showGridLines="0" topLeftCell="E14" zoomScale="70" zoomScaleNormal="70" workbookViewId="0">
      <selection activeCell="O43" sqref="O43"/>
    </sheetView>
  </sheetViews>
  <sheetFormatPr defaultColWidth="9" defaultRowHeight="13.5"/>
  <cols>
    <col min="1" max="4" width="0" style="140" hidden="1" customWidth="1"/>
    <col min="5" max="5" width="18.5" style="140" bestFit="1" customWidth="1"/>
    <col min="6" max="9" width="17.625" style="140" hidden="1" customWidth="1"/>
    <col min="10" max="10" width="60.75" style="140" customWidth="1"/>
    <col min="11" max="11" width="49.25" style="140" customWidth="1"/>
    <col min="12" max="12" width="8.875" style="140" customWidth="1"/>
    <col min="13" max="13" width="7.125" style="140" bestFit="1" customWidth="1"/>
    <col min="14" max="17" width="15.625" style="140" customWidth="1"/>
    <col min="18" max="21" width="15.625" style="140" hidden="1" customWidth="1"/>
    <col min="22" max="22" width="15.625" style="140" customWidth="1"/>
    <col min="23" max="23" width="11.75" style="141" bestFit="1" customWidth="1"/>
    <col min="24" max="24" width="9" style="140"/>
    <col min="25" max="25" width="10" style="140" customWidth="1"/>
    <col min="26" max="26" width="9" style="140"/>
    <col min="27" max="27" width="9.75" style="140" bestFit="1" customWidth="1"/>
    <col min="28" max="16384" width="9" style="140"/>
  </cols>
  <sheetData>
    <row r="1" spans="5:25" s="85" customFormat="1" ht="20.100000000000001" customHeight="1">
      <c r="E1" s="89" t="str">
        <f>F1&amp;G1&amp;H1&amp;I1</f>
        <v/>
      </c>
      <c r="N1" s="80"/>
      <c r="O1" s="80" t="s">
        <v>50</v>
      </c>
      <c r="Q1" s="80" t="s">
        <v>50</v>
      </c>
      <c r="S1" s="80" t="s">
        <v>50</v>
      </c>
      <c r="U1" s="80" t="s">
        <v>50</v>
      </c>
      <c r="W1" s="80"/>
    </row>
    <row r="2" spans="5:25" s="85" customFormat="1" ht="20.100000000000001" customHeight="1" thickBot="1">
      <c r="E2" s="152"/>
      <c r="F2" s="152"/>
      <c r="G2" s="152"/>
      <c r="H2" s="152"/>
      <c r="I2" s="152"/>
      <c r="N2" s="90"/>
      <c r="O2" s="91">
        <v>0.9</v>
      </c>
      <c r="Q2" s="91">
        <v>0.88</v>
      </c>
      <c r="S2" s="91">
        <v>1</v>
      </c>
      <c r="U2" s="91">
        <v>1</v>
      </c>
      <c r="W2" s="80"/>
    </row>
    <row r="3" spans="5:25" s="85" customFormat="1" ht="22.5" customHeight="1">
      <c r="E3" s="159" t="s">
        <v>77</v>
      </c>
      <c r="F3" s="109" t="s">
        <v>51</v>
      </c>
      <c r="G3" s="110"/>
      <c r="H3" s="110"/>
      <c r="I3" s="110"/>
      <c r="J3" s="147" t="s">
        <v>80</v>
      </c>
      <c r="K3" s="147"/>
      <c r="L3" s="147" t="s">
        <v>81</v>
      </c>
      <c r="M3" s="147" t="s">
        <v>82</v>
      </c>
      <c r="N3" s="146" t="s">
        <v>83</v>
      </c>
      <c r="O3" s="146"/>
      <c r="P3" s="146" t="s">
        <v>84</v>
      </c>
      <c r="Q3" s="146"/>
      <c r="R3" s="155" t="s">
        <v>85</v>
      </c>
      <c r="S3" s="155"/>
      <c r="T3" s="155" t="s">
        <v>90</v>
      </c>
      <c r="U3" s="155"/>
      <c r="V3" s="156" t="s">
        <v>91</v>
      </c>
      <c r="W3" s="153" t="s">
        <v>52</v>
      </c>
      <c r="X3" s="150" t="s">
        <v>39</v>
      </c>
    </row>
    <row r="4" spans="5:25" s="85" customFormat="1" ht="22.5" customHeight="1">
      <c r="E4" s="160"/>
      <c r="F4" s="111" t="s">
        <v>53</v>
      </c>
      <c r="G4" s="111" t="s">
        <v>54</v>
      </c>
      <c r="H4" s="111" t="s">
        <v>55</v>
      </c>
      <c r="I4" s="111" t="s">
        <v>56</v>
      </c>
      <c r="J4" s="112" t="s">
        <v>78</v>
      </c>
      <c r="K4" s="112" t="s">
        <v>79</v>
      </c>
      <c r="L4" s="158"/>
      <c r="M4" s="158"/>
      <c r="N4" s="113" t="s">
        <v>86</v>
      </c>
      <c r="O4" s="114" t="s">
        <v>87</v>
      </c>
      <c r="P4" s="113" t="s">
        <v>88</v>
      </c>
      <c r="Q4" s="114" t="s">
        <v>87</v>
      </c>
      <c r="R4" s="114" t="s">
        <v>89</v>
      </c>
      <c r="S4" s="114" t="s">
        <v>87</v>
      </c>
      <c r="T4" s="114" t="s">
        <v>89</v>
      </c>
      <c r="U4" s="114" t="s">
        <v>87</v>
      </c>
      <c r="V4" s="157"/>
      <c r="W4" s="154"/>
      <c r="X4" s="151"/>
    </row>
    <row r="5" spans="5:25" s="84" customFormat="1" ht="22.5" customHeight="1">
      <c r="E5" s="86" t="str">
        <f t="shared" ref="E5" si="0">F5&amp;G5&amp;H5&amp;I5</f>
        <v/>
      </c>
      <c r="F5" s="87"/>
      <c r="G5" s="87"/>
      <c r="H5" s="87"/>
      <c r="I5" s="87"/>
      <c r="J5" s="115" t="str">
        <f>갑지!B7</f>
        <v xml:space="preserve"> LG사택 보조펌프 교체_소방</v>
      </c>
      <c r="K5" s="82"/>
      <c r="L5" s="83"/>
      <c r="M5" s="74"/>
      <c r="N5" s="75"/>
      <c r="O5" s="77"/>
      <c r="P5" s="75"/>
      <c r="Q5" s="77"/>
      <c r="R5" s="75"/>
      <c r="S5" s="77"/>
      <c r="T5" s="75"/>
      <c r="U5" s="77"/>
      <c r="V5" s="75"/>
      <c r="W5" s="88"/>
      <c r="X5" s="79"/>
    </row>
    <row r="6" spans="5:25" s="100" customFormat="1" ht="22.5" customHeight="1">
      <c r="E6" s="93" t="str">
        <f>F6&amp;G6&amp;H6&amp;I6</f>
        <v>E00000806004010106</v>
      </c>
      <c r="F6" s="94"/>
      <c r="G6" s="94" t="s">
        <v>116</v>
      </c>
      <c r="H6" s="94"/>
      <c r="I6" s="94"/>
      <c r="J6" s="81" t="s">
        <v>117</v>
      </c>
      <c r="K6" s="92" t="s">
        <v>118</v>
      </c>
      <c r="L6" s="95" t="s">
        <v>75</v>
      </c>
      <c r="M6" s="138">
        <v>1</v>
      </c>
      <c r="N6" s="76">
        <v>14767</v>
      </c>
      <c r="O6" s="97">
        <f t="shared" ref="O6:O7" si="1">ROUND(N6*O$2*M6,0)</f>
        <v>13290</v>
      </c>
      <c r="P6" s="98">
        <v>492262</v>
      </c>
      <c r="Q6" s="97">
        <f t="shared" ref="Q6:Q20" si="2">ROUND(P6*Q$2*M6*W6,0)</f>
        <v>216595</v>
      </c>
      <c r="R6" s="75"/>
      <c r="S6" s="97">
        <f t="shared" ref="S6:S20" si="3">ROUND(R6*S$2*M6,0)</f>
        <v>0</v>
      </c>
      <c r="T6" s="75"/>
      <c r="U6" s="97">
        <f t="shared" ref="U6:U20" si="4">ROUND(T6*U$2*M6,0)</f>
        <v>0</v>
      </c>
      <c r="V6" s="98">
        <f t="shared" ref="V6:V20" si="5">SUM(O6,Q6,S6,U6)</f>
        <v>229885</v>
      </c>
      <c r="W6" s="78">
        <v>0.5</v>
      </c>
      <c r="X6" s="99" t="s">
        <v>59</v>
      </c>
      <c r="Y6" s="100" t="s">
        <v>60</v>
      </c>
    </row>
    <row r="7" spans="5:25" s="100" customFormat="1" ht="22.5" customHeight="1">
      <c r="E7" s="93" t="str">
        <f>F7&amp;G7&amp;H7&amp;I7</f>
        <v>M025332910040101</v>
      </c>
      <c r="F7" s="94"/>
      <c r="G7" s="94"/>
      <c r="H7" s="94" t="s">
        <v>112</v>
      </c>
      <c r="I7" s="94"/>
      <c r="J7" s="81" t="s">
        <v>113</v>
      </c>
      <c r="K7" s="92" t="s">
        <v>114</v>
      </c>
      <c r="L7" s="95" t="s">
        <v>115</v>
      </c>
      <c r="M7" s="138">
        <v>1</v>
      </c>
      <c r="N7" s="76">
        <v>1422000</v>
      </c>
      <c r="O7" s="97">
        <f t="shared" si="1"/>
        <v>1279800</v>
      </c>
      <c r="P7" s="98"/>
      <c r="Q7" s="97">
        <f t="shared" si="2"/>
        <v>0</v>
      </c>
      <c r="R7" s="75"/>
      <c r="S7" s="97">
        <f t="shared" si="3"/>
        <v>0</v>
      </c>
      <c r="T7" s="75"/>
      <c r="U7" s="97">
        <f t="shared" si="4"/>
        <v>0</v>
      </c>
      <c r="V7" s="98">
        <f t="shared" si="5"/>
        <v>1279800</v>
      </c>
      <c r="W7" s="78"/>
      <c r="X7" s="99"/>
    </row>
    <row r="8" spans="5:25" s="100" customFormat="1" ht="22.5" customHeight="1">
      <c r="E8" s="93" t="str">
        <f>F8&amp;G8&amp;H8&amp;I8</f>
        <v>E00000806004010106</v>
      </c>
      <c r="F8" s="94"/>
      <c r="G8" s="94" t="s">
        <v>116</v>
      </c>
      <c r="H8" s="94"/>
      <c r="I8" s="94"/>
      <c r="J8" s="81" t="s">
        <v>117</v>
      </c>
      <c r="K8" s="92" t="s">
        <v>118</v>
      </c>
      <c r="L8" s="95" t="s">
        <v>75</v>
      </c>
      <c r="M8" s="138">
        <v>1</v>
      </c>
      <c r="N8" s="76">
        <v>14767</v>
      </c>
      <c r="O8" s="97">
        <f t="shared" ref="O8" si="6">ROUND(N8*O$2*M8,0)</f>
        <v>13290</v>
      </c>
      <c r="P8" s="98">
        <v>492262</v>
      </c>
      <c r="Q8" s="97">
        <f t="shared" ref="Q8" si="7">ROUND(P8*Q$2*M8*W8,0)</f>
        <v>433191</v>
      </c>
      <c r="R8" s="75"/>
      <c r="S8" s="97">
        <f t="shared" ref="S8" si="8">ROUND(R8*S$2*M8,0)</f>
        <v>0</v>
      </c>
      <c r="T8" s="75"/>
      <c r="U8" s="97">
        <f t="shared" ref="U8" si="9">ROUND(T8*U$2*M8,0)</f>
        <v>0</v>
      </c>
      <c r="V8" s="98">
        <f t="shared" ref="V8" si="10">SUM(O8,Q8,S8,U8)</f>
        <v>446481</v>
      </c>
      <c r="W8" s="78">
        <v>1</v>
      </c>
      <c r="X8" s="99"/>
    </row>
    <row r="9" spans="5:25" s="100" customFormat="1" ht="22.5" customHeight="1">
      <c r="E9" s="93" t="str">
        <f t="shared" ref="E9" si="11">F9&amp;G9&amp;H9&amp;I9</f>
        <v>E00000806004010306</v>
      </c>
      <c r="F9" s="94"/>
      <c r="G9" s="94" t="s">
        <v>119</v>
      </c>
      <c r="H9" s="94"/>
      <c r="I9" s="94"/>
      <c r="J9" s="81" t="s">
        <v>120</v>
      </c>
      <c r="K9" s="92" t="s">
        <v>118</v>
      </c>
      <c r="L9" s="95" t="s">
        <v>75</v>
      </c>
      <c r="M9" s="138">
        <v>1</v>
      </c>
      <c r="N9" s="76"/>
      <c r="O9" s="97">
        <f>ROUND(N9*O$2*M9,0)</f>
        <v>0</v>
      </c>
      <c r="P9" s="98">
        <v>255261</v>
      </c>
      <c r="Q9" s="97">
        <f>ROUND(P9*Q$2*M9*W9,0)</f>
        <v>112315</v>
      </c>
      <c r="R9" s="75"/>
      <c r="S9" s="97">
        <f>ROUND(R9*S$2*M9,0)</f>
        <v>0</v>
      </c>
      <c r="T9" s="75"/>
      <c r="U9" s="97">
        <f>ROUND(T9*U$2*M9,0)</f>
        <v>0</v>
      </c>
      <c r="V9" s="98">
        <f>SUM(O9,Q9,S9,U9)</f>
        <v>112315</v>
      </c>
      <c r="W9" s="78">
        <v>0.5</v>
      </c>
      <c r="X9" s="99" t="s">
        <v>59</v>
      </c>
      <c r="Y9" s="100" t="s">
        <v>60</v>
      </c>
    </row>
    <row r="10" spans="5:25" s="100" customFormat="1" ht="22.5" customHeight="1">
      <c r="E10" s="93" t="str">
        <f t="shared" ref="E10:E11" si="12">F10&amp;G10&amp;H10&amp;I10</f>
        <v>M055010611760101</v>
      </c>
      <c r="F10" s="94"/>
      <c r="G10" s="94"/>
      <c r="H10" s="94" t="s">
        <v>122</v>
      </c>
      <c r="I10" s="94"/>
      <c r="J10" s="81" t="s">
        <v>141</v>
      </c>
      <c r="K10" s="92" t="s">
        <v>123</v>
      </c>
      <c r="L10" s="95" t="s">
        <v>124</v>
      </c>
      <c r="M10" s="138">
        <v>1</v>
      </c>
      <c r="N10" s="76">
        <v>414000</v>
      </c>
      <c r="O10" s="97">
        <f t="shared" ref="O10" si="13">ROUND(N10*O$2*M10,0)</f>
        <v>372600</v>
      </c>
      <c r="P10" s="98"/>
      <c r="Q10" s="97">
        <f t="shared" ref="Q10" si="14">ROUND(P10*Q$2*M10*W10,0)</f>
        <v>0</v>
      </c>
      <c r="R10" s="75"/>
      <c r="S10" s="97">
        <f t="shared" ref="S10" si="15">ROUND(R10*S$2*M10,0)</f>
        <v>0</v>
      </c>
      <c r="T10" s="75"/>
      <c r="U10" s="97">
        <f t="shared" ref="U10" si="16">ROUND(T10*U$2*M10,0)</f>
        <v>0</v>
      </c>
      <c r="V10" s="98">
        <f t="shared" ref="V10" si="17">SUM(O10,Q10,S10,U10)</f>
        <v>372600</v>
      </c>
      <c r="W10" s="78"/>
      <c r="X10" s="99"/>
    </row>
    <row r="11" spans="5:25" s="100" customFormat="1" ht="22.5" customHeight="1">
      <c r="E11" s="93" t="str">
        <f t="shared" si="12"/>
        <v>E00000806004010306</v>
      </c>
      <c r="F11" s="94"/>
      <c r="G11" s="94" t="s">
        <v>119</v>
      </c>
      <c r="H11" s="94"/>
      <c r="I11" s="94"/>
      <c r="J11" s="81" t="s">
        <v>121</v>
      </c>
      <c r="K11" s="92" t="s">
        <v>118</v>
      </c>
      <c r="L11" s="95" t="s">
        <v>75</v>
      </c>
      <c r="M11" s="138">
        <v>1</v>
      </c>
      <c r="N11" s="76"/>
      <c r="O11" s="97">
        <f>ROUND(N11*O$2*M11,0)</f>
        <v>0</v>
      </c>
      <c r="P11" s="98">
        <v>255261</v>
      </c>
      <c r="Q11" s="97">
        <f>ROUND(P11*Q$2*M11*W11,0)</f>
        <v>224630</v>
      </c>
      <c r="R11" s="75"/>
      <c r="S11" s="97">
        <f>ROUND(R11*S$2*M11,0)</f>
        <v>0</v>
      </c>
      <c r="T11" s="75"/>
      <c r="U11" s="97">
        <f>ROUND(T11*U$2*M11,0)</f>
        <v>0</v>
      </c>
      <c r="V11" s="98">
        <f>SUM(O11,Q11,S11,U11)</f>
        <v>224630</v>
      </c>
      <c r="W11" s="78">
        <v>1</v>
      </c>
      <c r="X11" s="99"/>
    </row>
    <row r="12" spans="5:25" s="100" customFormat="1" ht="22.5" customHeight="1">
      <c r="E12" s="93" t="str">
        <f t="shared" ref="E12:E17" si="18">F12&amp;G12&amp;H12&amp;I12</f>
        <v>E00000806005010102</v>
      </c>
      <c r="F12" s="94"/>
      <c r="G12" s="94" t="s">
        <v>129</v>
      </c>
      <c r="H12" s="94"/>
      <c r="I12" s="94"/>
      <c r="J12" s="81" t="s">
        <v>76</v>
      </c>
      <c r="K12" s="92" t="s">
        <v>130</v>
      </c>
      <c r="L12" s="95" t="s">
        <v>74</v>
      </c>
      <c r="M12" s="138">
        <v>1</v>
      </c>
      <c r="N12" s="76"/>
      <c r="O12" s="97">
        <f t="shared" ref="O12" si="19">ROUND(N12*O$2*M12,0)</f>
        <v>0</v>
      </c>
      <c r="P12" s="98">
        <v>16981</v>
      </c>
      <c r="Q12" s="97">
        <f t="shared" ref="Q12" si="20">ROUND(P12*Q$2*M12*W12,0)</f>
        <v>7472</v>
      </c>
      <c r="R12" s="75"/>
      <c r="S12" s="97">
        <f t="shared" ref="S12" si="21">ROUND(R12*S$2*M12,0)</f>
        <v>0</v>
      </c>
      <c r="T12" s="75"/>
      <c r="U12" s="97">
        <f t="shared" ref="U12" si="22">ROUND(T12*U$2*M12,0)</f>
        <v>0</v>
      </c>
      <c r="V12" s="98">
        <f t="shared" ref="V12" si="23">SUM(O12,Q12,S12,U12)</f>
        <v>7472</v>
      </c>
      <c r="W12" s="78">
        <v>0.5</v>
      </c>
      <c r="X12" s="99" t="s">
        <v>59</v>
      </c>
      <c r="Y12" s="100" t="s">
        <v>60</v>
      </c>
    </row>
    <row r="13" spans="5:25" s="100" customFormat="1" ht="22.5" customHeight="1">
      <c r="E13" s="93" t="str">
        <f t="shared" si="18"/>
        <v>M02502VG10050101</v>
      </c>
      <c r="F13" s="94"/>
      <c r="G13" s="94"/>
      <c r="H13" s="94" t="s">
        <v>127</v>
      </c>
      <c r="I13" s="94"/>
      <c r="J13" s="81" t="s">
        <v>126</v>
      </c>
      <c r="K13" s="92" t="s">
        <v>128</v>
      </c>
      <c r="L13" s="95" t="s">
        <v>125</v>
      </c>
      <c r="M13" s="138">
        <v>1</v>
      </c>
      <c r="N13" s="76">
        <v>58000</v>
      </c>
      <c r="O13" s="97">
        <f t="shared" ref="O13:O16" si="24">ROUND(N13*O$2*M13,0)</f>
        <v>52200</v>
      </c>
      <c r="P13" s="98"/>
      <c r="Q13" s="97">
        <f t="shared" ref="Q13:Q16" si="25">ROUND(P13*Q$2*M13*W13,0)</f>
        <v>0</v>
      </c>
      <c r="R13" s="75"/>
      <c r="S13" s="97">
        <f t="shared" ref="S13:S16" si="26">ROUND(R13*S$2*M13,0)</f>
        <v>0</v>
      </c>
      <c r="T13" s="75"/>
      <c r="U13" s="97">
        <f t="shared" ref="U13:U16" si="27">ROUND(T13*U$2*M13,0)</f>
        <v>0</v>
      </c>
      <c r="V13" s="98">
        <f t="shared" ref="V13:V16" si="28">SUM(O13,Q13,S13,U13)</f>
        <v>52200</v>
      </c>
      <c r="W13" s="78"/>
      <c r="X13" s="99"/>
    </row>
    <row r="14" spans="5:25" s="100" customFormat="1" ht="22.5" customHeight="1">
      <c r="E14" s="93" t="str">
        <f t="shared" si="18"/>
        <v>E00000806005010102</v>
      </c>
      <c r="F14" s="94"/>
      <c r="G14" s="94" t="s">
        <v>129</v>
      </c>
      <c r="H14" s="94"/>
      <c r="I14" s="94"/>
      <c r="J14" s="81" t="s">
        <v>76</v>
      </c>
      <c r="K14" s="92" t="s">
        <v>130</v>
      </c>
      <c r="L14" s="95" t="s">
        <v>74</v>
      </c>
      <c r="M14" s="138">
        <v>1</v>
      </c>
      <c r="N14" s="76"/>
      <c r="O14" s="97">
        <f t="shared" ref="O14:O15" si="29">ROUND(N14*O$2*M14,0)</f>
        <v>0</v>
      </c>
      <c r="P14" s="98">
        <v>16981</v>
      </c>
      <c r="Q14" s="97">
        <f t="shared" ref="Q14:Q15" si="30">ROUND(P14*Q$2*M14*W14,0)</f>
        <v>14943</v>
      </c>
      <c r="R14" s="75"/>
      <c r="S14" s="97">
        <f t="shared" ref="S14:S15" si="31">ROUND(R14*S$2*M14,0)</f>
        <v>0</v>
      </c>
      <c r="T14" s="75"/>
      <c r="U14" s="97">
        <f t="shared" ref="U14:U15" si="32">ROUND(T14*U$2*M14,0)</f>
        <v>0</v>
      </c>
      <c r="V14" s="98">
        <f t="shared" ref="V14:V15" si="33">SUM(O14,Q14,S14,U14)</f>
        <v>14943</v>
      </c>
      <c r="W14" s="78">
        <v>1</v>
      </c>
      <c r="X14" s="99"/>
    </row>
    <row r="15" spans="5:25" s="100" customFormat="1" ht="22.5" customHeight="1">
      <c r="E15" s="93" t="str">
        <f t="shared" si="18"/>
        <v>E00000806010080503</v>
      </c>
      <c r="F15" s="94"/>
      <c r="G15" s="94" t="s">
        <v>131</v>
      </c>
      <c r="H15" s="94"/>
      <c r="I15" s="94"/>
      <c r="J15" s="81" t="s">
        <v>132</v>
      </c>
      <c r="K15" s="92" t="s">
        <v>139</v>
      </c>
      <c r="L15" s="95" t="s">
        <v>74</v>
      </c>
      <c r="M15" s="138">
        <v>4</v>
      </c>
      <c r="N15" s="76"/>
      <c r="O15" s="97">
        <f t="shared" si="29"/>
        <v>0</v>
      </c>
      <c r="P15" s="98">
        <v>71139</v>
      </c>
      <c r="Q15" s="97">
        <f t="shared" si="30"/>
        <v>125205</v>
      </c>
      <c r="R15" s="75"/>
      <c r="S15" s="97">
        <f t="shared" si="31"/>
        <v>0</v>
      </c>
      <c r="T15" s="75"/>
      <c r="U15" s="97">
        <f t="shared" si="32"/>
        <v>0</v>
      </c>
      <c r="V15" s="98">
        <f t="shared" si="33"/>
        <v>125205</v>
      </c>
      <c r="W15" s="78">
        <v>0.5</v>
      </c>
      <c r="X15" s="99" t="s">
        <v>59</v>
      </c>
      <c r="Y15" s="100" t="s">
        <v>60</v>
      </c>
    </row>
    <row r="16" spans="5:25" s="100" customFormat="1" ht="22.5" customHeight="1">
      <c r="E16" s="93" t="str">
        <f t="shared" si="18"/>
        <v>M055015714470101</v>
      </c>
      <c r="F16" s="94"/>
      <c r="G16" s="94"/>
      <c r="H16" s="94" t="s">
        <v>134</v>
      </c>
      <c r="I16" s="94"/>
      <c r="J16" s="81" t="s">
        <v>135</v>
      </c>
      <c r="K16" s="92" t="s">
        <v>136</v>
      </c>
      <c r="L16" s="95" t="s">
        <v>125</v>
      </c>
      <c r="M16" s="138">
        <v>4</v>
      </c>
      <c r="N16" s="76">
        <v>35000</v>
      </c>
      <c r="O16" s="97">
        <f t="shared" si="24"/>
        <v>126000</v>
      </c>
      <c r="P16" s="98"/>
      <c r="Q16" s="97">
        <f t="shared" si="25"/>
        <v>0</v>
      </c>
      <c r="R16" s="75"/>
      <c r="S16" s="97">
        <f t="shared" si="26"/>
        <v>0</v>
      </c>
      <c r="T16" s="75"/>
      <c r="U16" s="97">
        <f t="shared" si="27"/>
        <v>0</v>
      </c>
      <c r="V16" s="98">
        <f t="shared" si="28"/>
        <v>126000</v>
      </c>
      <c r="W16" s="78"/>
      <c r="X16" s="99"/>
    </row>
    <row r="17" spans="5:25" s="100" customFormat="1" ht="22.5" customHeight="1">
      <c r="E17" s="93" t="str">
        <f t="shared" si="18"/>
        <v>E00000806010080503</v>
      </c>
      <c r="F17" s="94"/>
      <c r="G17" s="94" t="s">
        <v>131</v>
      </c>
      <c r="H17" s="94"/>
      <c r="I17" s="94"/>
      <c r="J17" s="81" t="s">
        <v>132</v>
      </c>
      <c r="K17" s="92" t="s">
        <v>133</v>
      </c>
      <c r="L17" s="95" t="s">
        <v>74</v>
      </c>
      <c r="M17" s="138">
        <v>4</v>
      </c>
      <c r="N17" s="76"/>
      <c r="O17" s="97">
        <f t="shared" ref="O17:O20" si="34">ROUND(N17*O$2*M17,0)</f>
        <v>0</v>
      </c>
      <c r="P17" s="98">
        <v>71139</v>
      </c>
      <c r="Q17" s="97">
        <f t="shared" si="2"/>
        <v>250409</v>
      </c>
      <c r="R17" s="75"/>
      <c r="S17" s="97">
        <f t="shared" si="3"/>
        <v>0</v>
      </c>
      <c r="T17" s="75"/>
      <c r="U17" s="97">
        <f t="shared" si="4"/>
        <v>0</v>
      </c>
      <c r="V17" s="98">
        <f t="shared" si="5"/>
        <v>250409</v>
      </c>
      <c r="W17" s="78">
        <v>1</v>
      </c>
      <c r="X17" s="99"/>
    </row>
    <row r="18" spans="5:25" s="100" customFormat="1" ht="22.5" customHeight="1">
      <c r="E18" s="93" t="str">
        <f t="shared" ref="E18" si="35">F18&amp;G18&amp;H18&amp;I18</f>
        <v>E00000806005010102</v>
      </c>
      <c r="F18" s="94"/>
      <c r="G18" s="94" t="s">
        <v>129</v>
      </c>
      <c r="H18" s="94"/>
      <c r="I18" s="94"/>
      <c r="J18" s="81" t="s">
        <v>76</v>
      </c>
      <c r="K18" s="92" t="s">
        <v>130</v>
      </c>
      <c r="L18" s="95" t="s">
        <v>74</v>
      </c>
      <c r="M18" s="138">
        <v>1</v>
      </c>
      <c r="N18" s="76"/>
      <c r="O18" s="97">
        <f t="shared" si="34"/>
        <v>0</v>
      </c>
      <c r="P18" s="98">
        <v>16981</v>
      </c>
      <c r="Q18" s="97">
        <f t="shared" si="2"/>
        <v>7472</v>
      </c>
      <c r="R18" s="75"/>
      <c r="S18" s="97">
        <f t="shared" si="3"/>
        <v>0</v>
      </c>
      <c r="T18" s="75"/>
      <c r="U18" s="97">
        <f t="shared" si="4"/>
        <v>0</v>
      </c>
      <c r="V18" s="98">
        <f t="shared" si="5"/>
        <v>7472</v>
      </c>
      <c r="W18" s="78">
        <v>0.5</v>
      </c>
      <c r="X18" s="99" t="s">
        <v>59</v>
      </c>
      <c r="Y18" s="100" t="s">
        <v>60</v>
      </c>
    </row>
    <row r="19" spans="5:25" s="100" customFormat="1" ht="22.5" customHeight="1">
      <c r="E19" s="93" t="str">
        <f t="shared" ref="E19:E21" si="36">F19&amp;G19&amp;H19&amp;I19</f>
        <v>M025129210820101</v>
      </c>
      <c r="F19" s="94"/>
      <c r="G19" s="94"/>
      <c r="H19" s="94" t="s">
        <v>146</v>
      </c>
      <c r="I19" s="94"/>
      <c r="J19" s="81" t="s">
        <v>147</v>
      </c>
      <c r="K19" s="92" t="s">
        <v>148</v>
      </c>
      <c r="L19" s="95" t="s">
        <v>125</v>
      </c>
      <c r="M19" s="138">
        <v>1</v>
      </c>
      <c r="N19" s="76">
        <v>78570</v>
      </c>
      <c r="O19" s="97">
        <f t="shared" si="34"/>
        <v>70713</v>
      </c>
      <c r="P19" s="98"/>
      <c r="Q19" s="97">
        <f t="shared" si="2"/>
        <v>0</v>
      </c>
      <c r="R19" s="75"/>
      <c r="S19" s="97">
        <f t="shared" si="3"/>
        <v>0</v>
      </c>
      <c r="T19" s="75"/>
      <c r="U19" s="97">
        <f t="shared" si="4"/>
        <v>0</v>
      </c>
      <c r="V19" s="98">
        <f t="shared" si="5"/>
        <v>70713</v>
      </c>
      <c r="W19" s="78"/>
      <c r="X19" s="99"/>
    </row>
    <row r="20" spans="5:25" s="100" customFormat="1" ht="22.5" customHeight="1">
      <c r="E20" s="93" t="str">
        <f t="shared" si="36"/>
        <v>E00000806005010102</v>
      </c>
      <c r="F20" s="94"/>
      <c r="G20" s="94" t="s">
        <v>129</v>
      </c>
      <c r="H20" s="94"/>
      <c r="I20" s="94"/>
      <c r="J20" s="81" t="s">
        <v>76</v>
      </c>
      <c r="K20" s="92" t="s">
        <v>130</v>
      </c>
      <c r="L20" s="95" t="s">
        <v>74</v>
      </c>
      <c r="M20" s="138">
        <v>1</v>
      </c>
      <c r="N20" s="76"/>
      <c r="O20" s="97">
        <f t="shared" si="34"/>
        <v>0</v>
      </c>
      <c r="P20" s="98">
        <v>16981</v>
      </c>
      <c r="Q20" s="97">
        <f t="shared" si="2"/>
        <v>14943</v>
      </c>
      <c r="R20" s="75"/>
      <c r="S20" s="97">
        <f t="shared" si="3"/>
        <v>0</v>
      </c>
      <c r="T20" s="75"/>
      <c r="U20" s="97">
        <f t="shared" si="4"/>
        <v>0</v>
      </c>
      <c r="V20" s="98">
        <f t="shared" si="5"/>
        <v>14943</v>
      </c>
      <c r="W20" s="78">
        <v>1</v>
      </c>
      <c r="X20" s="99"/>
    </row>
    <row r="21" spans="5:25" s="100" customFormat="1" ht="22.5" customHeight="1">
      <c r="E21" s="93" t="str">
        <f t="shared" si="36"/>
        <v>E00000806051113301</v>
      </c>
      <c r="F21" s="94"/>
      <c r="G21" s="94" t="s">
        <v>149</v>
      </c>
      <c r="H21" s="94"/>
      <c r="I21" s="94"/>
      <c r="J21" s="81" t="s">
        <v>151</v>
      </c>
      <c r="K21" s="92" t="s">
        <v>150</v>
      </c>
      <c r="L21" s="95" t="s">
        <v>74</v>
      </c>
      <c r="M21" s="138">
        <v>1</v>
      </c>
      <c r="N21" s="76"/>
      <c r="O21" s="97">
        <f t="shared" ref="O21:O22" si="37">ROUND(N21*O$2*M21,0)</f>
        <v>0</v>
      </c>
      <c r="P21" s="98">
        <v>41724</v>
      </c>
      <c r="Q21" s="97">
        <f t="shared" ref="Q21:Q22" si="38">ROUND(P21*Q$2*M21*W21,0)</f>
        <v>18359</v>
      </c>
      <c r="R21" s="75"/>
      <c r="S21" s="97">
        <f t="shared" ref="S21:S42" si="39">ROUND(R21*S$2*M21,0)</f>
        <v>0</v>
      </c>
      <c r="T21" s="75"/>
      <c r="U21" s="97">
        <f t="shared" ref="U21:U42" si="40">ROUND(T21*U$2*M21,0)</f>
        <v>0</v>
      </c>
      <c r="V21" s="98">
        <f t="shared" ref="V21:V42" si="41">SUM(O21,Q21,S21,U21)</f>
        <v>18359</v>
      </c>
      <c r="W21" s="78">
        <v>0.5</v>
      </c>
      <c r="X21" s="99" t="s">
        <v>59</v>
      </c>
      <c r="Y21" s="100" t="s">
        <v>60</v>
      </c>
    </row>
    <row r="22" spans="5:25" s="100" customFormat="1" ht="22.5" customHeight="1">
      <c r="E22" s="93" t="str">
        <f t="shared" ref="E22:E42" si="42">F22&amp;G22&amp;H22&amp;I22</f>
        <v>M025124911230102</v>
      </c>
      <c r="F22" s="94"/>
      <c r="G22" s="94"/>
      <c r="H22" s="94" t="s">
        <v>152</v>
      </c>
      <c r="I22" s="94"/>
      <c r="J22" s="81" t="s">
        <v>154</v>
      </c>
      <c r="K22" s="92" t="s">
        <v>153</v>
      </c>
      <c r="L22" s="95" t="s">
        <v>125</v>
      </c>
      <c r="M22" s="138">
        <v>1</v>
      </c>
      <c r="N22" s="76">
        <v>61200</v>
      </c>
      <c r="O22" s="97">
        <f t="shared" si="37"/>
        <v>55080</v>
      </c>
      <c r="P22" s="98"/>
      <c r="Q22" s="97">
        <f t="shared" si="38"/>
        <v>0</v>
      </c>
      <c r="R22" s="75"/>
      <c r="S22" s="97">
        <f t="shared" si="39"/>
        <v>0</v>
      </c>
      <c r="T22" s="75"/>
      <c r="U22" s="97">
        <f t="shared" si="40"/>
        <v>0</v>
      </c>
      <c r="V22" s="98">
        <f t="shared" si="41"/>
        <v>55080</v>
      </c>
      <c r="W22" s="78"/>
      <c r="X22" s="99"/>
    </row>
    <row r="23" spans="5:25" s="100" customFormat="1" ht="22.5" customHeight="1">
      <c r="E23" s="93" t="str">
        <f t="shared" si="42"/>
        <v>E00000806051113301</v>
      </c>
      <c r="F23" s="94"/>
      <c r="G23" s="94" t="s">
        <v>149</v>
      </c>
      <c r="H23" s="94"/>
      <c r="I23" s="94"/>
      <c r="J23" s="81" t="s">
        <v>151</v>
      </c>
      <c r="K23" s="92" t="s">
        <v>150</v>
      </c>
      <c r="L23" s="95" t="s">
        <v>74</v>
      </c>
      <c r="M23" s="138">
        <v>1</v>
      </c>
      <c r="N23" s="76"/>
      <c r="O23" s="97">
        <f t="shared" ref="O23:O42" si="43">ROUND(N23*O$2*M23,0)</f>
        <v>0</v>
      </c>
      <c r="P23" s="98">
        <v>41724</v>
      </c>
      <c r="Q23" s="97">
        <f t="shared" ref="Q23:Q42" si="44">ROUND(P23*Q$2*M23*W23,0)</f>
        <v>36717</v>
      </c>
      <c r="R23" s="75"/>
      <c r="S23" s="97">
        <f t="shared" si="39"/>
        <v>0</v>
      </c>
      <c r="T23" s="75"/>
      <c r="U23" s="97">
        <f t="shared" si="40"/>
        <v>0</v>
      </c>
      <c r="V23" s="98">
        <f t="shared" si="41"/>
        <v>36717</v>
      </c>
      <c r="W23" s="78">
        <v>1</v>
      </c>
      <c r="X23" s="99"/>
    </row>
    <row r="24" spans="5:25" s="85" customFormat="1" ht="22.15" customHeight="1">
      <c r="E24" s="86" t="str">
        <f t="shared" si="42"/>
        <v>M02501KA10050102</v>
      </c>
      <c r="F24" s="131"/>
      <c r="G24" s="131"/>
      <c r="H24" s="87" t="s">
        <v>183</v>
      </c>
      <c r="I24" s="131"/>
      <c r="J24" s="81" t="s">
        <v>184</v>
      </c>
      <c r="K24" s="132" t="s">
        <v>185</v>
      </c>
      <c r="L24" s="133" t="s">
        <v>155</v>
      </c>
      <c r="M24" s="139">
        <v>1</v>
      </c>
      <c r="N24" s="75">
        <v>7000</v>
      </c>
      <c r="O24" s="77">
        <f t="shared" si="43"/>
        <v>6300</v>
      </c>
      <c r="P24" s="75"/>
      <c r="Q24" s="77">
        <f t="shared" si="44"/>
        <v>0</v>
      </c>
      <c r="R24" s="75"/>
      <c r="S24" s="77">
        <f t="shared" si="39"/>
        <v>0</v>
      </c>
      <c r="T24" s="75"/>
      <c r="U24" s="77">
        <f t="shared" si="40"/>
        <v>0</v>
      </c>
      <c r="V24" s="135">
        <f t="shared" si="41"/>
        <v>6300</v>
      </c>
      <c r="W24" s="88"/>
      <c r="X24" s="136"/>
      <c r="Y24" s="137"/>
    </row>
    <row r="25" spans="5:25" s="85" customFormat="1" ht="22.15" customHeight="1">
      <c r="E25" s="86" t="str">
        <f t="shared" si="42"/>
        <v>E00000806001010305</v>
      </c>
      <c r="F25" s="131"/>
      <c r="G25" s="131" t="s">
        <v>186</v>
      </c>
      <c r="H25" s="87"/>
      <c r="I25" s="131"/>
      <c r="J25" s="81" t="s">
        <v>187</v>
      </c>
      <c r="K25" s="132" t="s">
        <v>188</v>
      </c>
      <c r="L25" s="133" t="s">
        <v>155</v>
      </c>
      <c r="M25" s="139">
        <v>1</v>
      </c>
      <c r="N25" s="75"/>
      <c r="O25" s="77">
        <f t="shared" si="43"/>
        <v>0</v>
      </c>
      <c r="P25" s="75">
        <v>22290</v>
      </c>
      <c r="Q25" s="77">
        <f t="shared" si="44"/>
        <v>19615</v>
      </c>
      <c r="R25" s="75"/>
      <c r="S25" s="77">
        <f t="shared" si="39"/>
        <v>0</v>
      </c>
      <c r="T25" s="75"/>
      <c r="U25" s="77">
        <f t="shared" si="40"/>
        <v>0</v>
      </c>
      <c r="V25" s="135">
        <f t="shared" si="41"/>
        <v>19615</v>
      </c>
      <c r="W25" s="88">
        <v>1</v>
      </c>
      <c r="X25" s="136"/>
      <c r="Y25" s="137"/>
    </row>
    <row r="26" spans="5:25" s="100" customFormat="1" ht="22.5" customHeight="1">
      <c r="E26" s="93" t="str">
        <f t="shared" si="42"/>
        <v>M025805910060112</v>
      </c>
      <c r="F26" s="94"/>
      <c r="G26" s="94"/>
      <c r="H26" s="94" t="s">
        <v>159</v>
      </c>
      <c r="I26" s="94"/>
      <c r="J26" s="81" t="s">
        <v>163</v>
      </c>
      <c r="K26" s="92" t="s">
        <v>161</v>
      </c>
      <c r="L26" s="95" t="s">
        <v>155</v>
      </c>
      <c r="M26" s="138">
        <v>1</v>
      </c>
      <c r="N26" s="76">
        <v>2703</v>
      </c>
      <c r="O26" s="97">
        <f t="shared" si="43"/>
        <v>2433</v>
      </c>
      <c r="P26" s="98"/>
      <c r="Q26" s="97">
        <f t="shared" si="44"/>
        <v>0</v>
      </c>
      <c r="R26" s="75"/>
      <c r="S26" s="97">
        <f t="shared" si="39"/>
        <v>0</v>
      </c>
      <c r="T26" s="75"/>
      <c r="U26" s="97">
        <f t="shared" si="40"/>
        <v>0</v>
      </c>
      <c r="V26" s="98">
        <f t="shared" si="41"/>
        <v>2433</v>
      </c>
      <c r="W26" s="78"/>
      <c r="X26" s="99"/>
    </row>
    <row r="27" spans="5:25" s="100" customFormat="1" ht="22.5" customHeight="1">
      <c r="E27" s="93" t="str">
        <f t="shared" si="42"/>
        <v>999999</v>
      </c>
      <c r="F27" s="94"/>
      <c r="G27" s="94" t="s">
        <v>172</v>
      </c>
      <c r="H27" s="94"/>
      <c r="I27" s="94"/>
      <c r="J27" s="81" t="s">
        <v>170</v>
      </c>
      <c r="K27" s="92" t="s">
        <v>164</v>
      </c>
      <c r="L27" s="95" t="s">
        <v>165</v>
      </c>
      <c r="M27" s="138">
        <v>1</v>
      </c>
      <c r="N27" s="76"/>
      <c r="O27" s="97">
        <f t="shared" si="43"/>
        <v>0</v>
      </c>
      <c r="P27" s="98">
        <v>9112.936507936507</v>
      </c>
      <c r="Q27" s="97">
        <f t="shared" si="44"/>
        <v>8019</v>
      </c>
      <c r="R27" s="75"/>
      <c r="S27" s="97">
        <f t="shared" si="39"/>
        <v>0</v>
      </c>
      <c r="T27" s="75"/>
      <c r="U27" s="97">
        <f t="shared" si="40"/>
        <v>0</v>
      </c>
      <c r="V27" s="98">
        <f t="shared" si="41"/>
        <v>8019</v>
      </c>
      <c r="W27" s="78">
        <v>1</v>
      </c>
      <c r="X27" s="99"/>
    </row>
    <row r="28" spans="5:25" s="100" customFormat="1" ht="22.5" customHeight="1">
      <c r="E28" s="93" t="str">
        <f t="shared" ref="E28:E29" si="45">F28&amp;G28&amp;H28&amp;I28</f>
        <v>M025805910080112</v>
      </c>
      <c r="F28" s="94"/>
      <c r="G28" s="94"/>
      <c r="H28" s="94" t="s">
        <v>168</v>
      </c>
      <c r="I28" s="94"/>
      <c r="J28" s="81" t="s">
        <v>163</v>
      </c>
      <c r="K28" s="92" t="s">
        <v>169</v>
      </c>
      <c r="L28" s="95" t="s">
        <v>155</v>
      </c>
      <c r="M28" s="138">
        <v>0.5</v>
      </c>
      <c r="N28" s="76">
        <v>3075</v>
      </c>
      <c r="O28" s="97">
        <f t="shared" ref="O28:O29" si="46">ROUND(N28*O$2*M28,0)</f>
        <v>1384</v>
      </c>
      <c r="P28" s="98"/>
      <c r="Q28" s="97">
        <f t="shared" ref="Q28:Q29" si="47">ROUND(P28*Q$2*M28*W28,0)</f>
        <v>0</v>
      </c>
      <c r="R28" s="75"/>
      <c r="S28" s="97">
        <f t="shared" ref="S28:S29" si="48">ROUND(R28*S$2*M28,0)</f>
        <v>0</v>
      </c>
      <c r="T28" s="75"/>
      <c r="U28" s="97">
        <f t="shared" ref="U28:U29" si="49">ROUND(T28*U$2*M28,0)</f>
        <v>0</v>
      </c>
      <c r="V28" s="98">
        <f t="shared" ref="V28:V29" si="50">SUM(O28,Q28,S28,U28)</f>
        <v>1384</v>
      </c>
      <c r="W28" s="78"/>
      <c r="X28" s="99"/>
    </row>
    <row r="29" spans="5:25" s="100" customFormat="1" ht="22.5" customHeight="1">
      <c r="E29" s="93" t="str">
        <f t="shared" si="45"/>
        <v>999999</v>
      </c>
      <c r="F29" s="94"/>
      <c r="G29" s="94" t="s">
        <v>172</v>
      </c>
      <c r="H29" s="94"/>
      <c r="I29" s="94"/>
      <c r="J29" s="81" t="s">
        <v>170</v>
      </c>
      <c r="K29" s="92" t="s">
        <v>166</v>
      </c>
      <c r="L29" s="95" t="s">
        <v>165</v>
      </c>
      <c r="M29" s="138">
        <v>0.5</v>
      </c>
      <c r="N29" s="76"/>
      <c r="O29" s="97">
        <f t="shared" si="46"/>
        <v>0</v>
      </c>
      <c r="P29" s="98">
        <v>11482.3</v>
      </c>
      <c r="Q29" s="97">
        <f t="shared" si="47"/>
        <v>5052</v>
      </c>
      <c r="R29" s="75"/>
      <c r="S29" s="97">
        <f t="shared" si="48"/>
        <v>0</v>
      </c>
      <c r="T29" s="75"/>
      <c r="U29" s="97">
        <f t="shared" si="49"/>
        <v>0</v>
      </c>
      <c r="V29" s="98">
        <f t="shared" si="50"/>
        <v>5052</v>
      </c>
      <c r="W29" s="78">
        <v>1</v>
      </c>
      <c r="X29" s="99"/>
    </row>
    <row r="30" spans="5:25" s="100" customFormat="1" ht="22.5" customHeight="1">
      <c r="E30" s="93" t="str">
        <f t="shared" si="42"/>
        <v>M025805910160112</v>
      </c>
      <c r="F30" s="94"/>
      <c r="G30" s="94"/>
      <c r="H30" s="94" t="s">
        <v>160</v>
      </c>
      <c r="I30" s="94"/>
      <c r="J30" s="81" t="s">
        <v>163</v>
      </c>
      <c r="K30" s="92" t="s">
        <v>162</v>
      </c>
      <c r="L30" s="95" t="s">
        <v>155</v>
      </c>
      <c r="M30" s="138">
        <v>1</v>
      </c>
      <c r="N30" s="76">
        <v>15330</v>
      </c>
      <c r="O30" s="97">
        <f t="shared" si="43"/>
        <v>13797</v>
      </c>
      <c r="P30" s="98"/>
      <c r="Q30" s="97">
        <f t="shared" si="44"/>
        <v>0</v>
      </c>
      <c r="R30" s="75"/>
      <c r="S30" s="97">
        <f t="shared" si="39"/>
        <v>0</v>
      </c>
      <c r="T30" s="75"/>
      <c r="U30" s="97">
        <f t="shared" si="40"/>
        <v>0</v>
      </c>
      <c r="V30" s="98">
        <f t="shared" si="41"/>
        <v>13797</v>
      </c>
      <c r="W30" s="78"/>
      <c r="X30" s="99"/>
    </row>
    <row r="31" spans="5:25" s="100" customFormat="1" ht="22.5" customHeight="1">
      <c r="E31" s="93" t="str">
        <f t="shared" si="42"/>
        <v>999999</v>
      </c>
      <c r="F31" s="94"/>
      <c r="G31" s="94" t="s">
        <v>172</v>
      </c>
      <c r="H31" s="94"/>
      <c r="I31" s="94"/>
      <c r="J31" s="81" t="s">
        <v>170</v>
      </c>
      <c r="K31" s="92" t="s">
        <v>167</v>
      </c>
      <c r="L31" s="95" t="s">
        <v>165</v>
      </c>
      <c r="M31" s="138">
        <v>1</v>
      </c>
      <c r="N31" s="76"/>
      <c r="O31" s="97">
        <f t="shared" si="43"/>
        <v>0</v>
      </c>
      <c r="P31" s="98">
        <v>41008.214285714283</v>
      </c>
      <c r="Q31" s="97">
        <f t="shared" si="44"/>
        <v>36087</v>
      </c>
      <c r="R31" s="75"/>
      <c r="S31" s="97">
        <f t="shared" si="39"/>
        <v>0</v>
      </c>
      <c r="T31" s="75"/>
      <c r="U31" s="97">
        <f t="shared" si="40"/>
        <v>0</v>
      </c>
      <c r="V31" s="98">
        <f t="shared" si="41"/>
        <v>36087</v>
      </c>
      <c r="W31" s="78">
        <v>1</v>
      </c>
      <c r="X31" s="99"/>
    </row>
    <row r="32" spans="5:25" s="100" customFormat="1" ht="22.5" customHeight="1">
      <c r="E32" s="93" t="str">
        <f>F32&amp;G32&amp;H32&amp;I32</f>
        <v>M025400210680101</v>
      </c>
      <c r="F32" s="94"/>
      <c r="G32" s="94"/>
      <c r="H32" s="94" t="s">
        <v>173</v>
      </c>
      <c r="I32" s="94"/>
      <c r="J32" s="81" t="s">
        <v>177</v>
      </c>
      <c r="K32" s="92" t="s">
        <v>175</v>
      </c>
      <c r="L32" s="95" t="s">
        <v>125</v>
      </c>
      <c r="M32" s="138">
        <v>4</v>
      </c>
      <c r="N32" s="76">
        <v>420</v>
      </c>
      <c r="O32" s="97">
        <f>ROUND(N32*O$2*M32,0)</f>
        <v>1512</v>
      </c>
      <c r="P32" s="98"/>
      <c r="Q32" s="97">
        <f>ROUND(P32*Q$2*M32*W32,0)</f>
        <v>0</v>
      </c>
      <c r="R32" s="75"/>
      <c r="S32" s="97">
        <f t="shared" ref="S32:S39" si="51">ROUND(R32*S$2*M32,0)</f>
        <v>0</v>
      </c>
      <c r="T32" s="75"/>
      <c r="U32" s="97">
        <f t="shared" ref="U32:U39" si="52">ROUND(T32*U$2*M32,0)</f>
        <v>0</v>
      </c>
      <c r="V32" s="98">
        <f>SUM(O32,Q32,S32,U32)</f>
        <v>1512</v>
      </c>
      <c r="W32" s="78">
        <v>1</v>
      </c>
      <c r="X32" s="99"/>
    </row>
    <row r="33" spans="5:25" s="100" customFormat="1" ht="22.5" customHeight="1">
      <c r="E33" s="93" t="str">
        <f t="shared" ref="E33:E34" si="53">F33&amp;G33&amp;H33&amp;I33</f>
        <v>M025400210690101</v>
      </c>
      <c r="F33" s="94"/>
      <c r="G33" s="94"/>
      <c r="H33" s="94" t="s">
        <v>174</v>
      </c>
      <c r="I33" s="94"/>
      <c r="J33" s="81" t="s">
        <v>177</v>
      </c>
      <c r="K33" s="92" t="s">
        <v>176</v>
      </c>
      <c r="L33" s="95" t="s">
        <v>125</v>
      </c>
      <c r="M33" s="138">
        <v>2</v>
      </c>
      <c r="N33" s="76">
        <v>470</v>
      </c>
      <c r="O33" s="97">
        <f>ROUND(N33*O$2*M33,0)</f>
        <v>846</v>
      </c>
      <c r="P33" s="98"/>
      <c r="Q33" s="97">
        <f>ROUND(P33*Q$2*M33*W33,0)</f>
        <v>0</v>
      </c>
      <c r="R33" s="75"/>
      <c r="S33" s="97">
        <f t="shared" si="51"/>
        <v>0</v>
      </c>
      <c r="T33" s="75"/>
      <c r="U33" s="97">
        <f t="shared" si="52"/>
        <v>0</v>
      </c>
      <c r="V33" s="98">
        <f t="shared" ref="V33:V34" si="54">SUM(O33,Q33,S33,U33)</f>
        <v>846</v>
      </c>
      <c r="W33" s="78">
        <v>1</v>
      </c>
      <c r="X33" s="99"/>
    </row>
    <row r="34" spans="5:25" s="100" customFormat="1" ht="22.5" customHeight="1">
      <c r="E34" s="93" t="str">
        <f t="shared" si="53"/>
        <v>M02501E510050103</v>
      </c>
      <c r="F34" s="94"/>
      <c r="G34" s="94"/>
      <c r="H34" s="94" t="s">
        <v>178</v>
      </c>
      <c r="I34" s="94"/>
      <c r="J34" s="81" t="s">
        <v>182</v>
      </c>
      <c r="K34" s="92" t="s">
        <v>180</v>
      </c>
      <c r="L34" s="95" t="s">
        <v>125</v>
      </c>
      <c r="M34" s="138">
        <v>4</v>
      </c>
      <c r="N34" s="76">
        <v>3916</v>
      </c>
      <c r="O34" s="97">
        <f>ROUND(N34*O$2*M34,0)</f>
        <v>14098</v>
      </c>
      <c r="P34" s="98"/>
      <c r="Q34" s="97">
        <f>ROUND(P34*Q$2*M34*W34,0)</f>
        <v>0</v>
      </c>
      <c r="R34" s="75"/>
      <c r="S34" s="97">
        <f t="shared" si="51"/>
        <v>0</v>
      </c>
      <c r="T34" s="75"/>
      <c r="U34" s="97">
        <f t="shared" si="52"/>
        <v>0</v>
      </c>
      <c r="V34" s="98">
        <f t="shared" si="54"/>
        <v>14098</v>
      </c>
      <c r="W34" s="78">
        <v>1</v>
      </c>
      <c r="X34" s="99"/>
    </row>
    <row r="35" spans="5:25" s="100" customFormat="1" ht="22.5" customHeight="1">
      <c r="E35" s="93" t="str">
        <f>F35&amp;G35&amp;H35&amp;I35</f>
        <v>M02501E510060103</v>
      </c>
      <c r="F35" s="94"/>
      <c r="G35" s="94"/>
      <c r="H35" s="94" t="s">
        <v>179</v>
      </c>
      <c r="I35" s="94"/>
      <c r="J35" s="81" t="s">
        <v>182</v>
      </c>
      <c r="K35" s="92" t="s">
        <v>181</v>
      </c>
      <c r="L35" s="95" t="s">
        <v>125</v>
      </c>
      <c r="M35" s="138">
        <v>2</v>
      </c>
      <c r="N35" s="76">
        <v>4670</v>
      </c>
      <c r="O35" s="97">
        <f>ROUND(N35*O$2*M35,0)</f>
        <v>8406</v>
      </c>
      <c r="P35" s="98"/>
      <c r="Q35" s="97">
        <f>ROUND(P35*Q$2*M35*W35,0)</f>
        <v>0</v>
      </c>
      <c r="R35" s="75"/>
      <c r="S35" s="97">
        <f t="shared" si="51"/>
        <v>0</v>
      </c>
      <c r="T35" s="75"/>
      <c r="U35" s="97">
        <f t="shared" si="52"/>
        <v>0</v>
      </c>
      <c r="V35" s="98">
        <f>SUM(O35,Q35,S35,U35)</f>
        <v>8406</v>
      </c>
      <c r="W35" s="78">
        <v>1</v>
      </c>
      <c r="X35" s="99"/>
    </row>
    <row r="36" spans="5:25" s="85" customFormat="1" ht="22.15" customHeight="1">
      <c r="E36" s="86" t="str">
        <f t="shared" ref="E36:E41" si="55">F36&amp;G36&amp;H36&amp;I36</f>
        <v>E00000806001010105</v>
      </c>
      <c r="F36" s="131"/>
      <c r="G36" s="131" t="s">
        <v>189</v>
      </c>
      <c r="H36" s="87"/>
      <c r="I36" s="131"/>
      <c r="J36" s="81" t="s">
        <v>190</v>
      </c>
      <c r="K36" s="132" t="s">
        <v>191</v>
      </c>
      <c r="L36" s="133" t="s">
        <v>192</v>
      </c>
      <c r="M36" s="134">
        <v>4</v>
      </c>
      <c r="N36" s="75"/>
      <c r="O36" s="77">
        <f t="shared" ref="O36:O41" si="56">ROUND(N36*O$2*M36,0)</f>
        <v>0</v>
      </c>
      <c r="P36" s="75">
        <v>18691</v>
      </c>
      <c r="Q36" s="77">
        <f t="shared" ref="Q36:Q41" si="57">ROUND(P36*Q$2*M36*W36,0)</f>
        <v>65792</v>
      </c>
      <c r="R36" s="75"/>
      <c r="S36" s="77">
        <f t="shared" si="51"/>
        <v>0</v>
      </c>
      <c r="T36" s="75"/>
      <c r="U36" s="77">
        <f t="shared" si="52"/>
        <v>0</v>
      </c>
      <c r="V36" s="135">
        <f t="shared" ref="V36:V41" si="58">SUM(O36,Q36,S36,U36)</f>
        <v>65792</v>
      </c>
      <c r="W36" s="88">
        <v>1</v>
      </c>
      <c r="X36" s="136"/>
      <c r="Y36" s="137"/>
    </row>
    <row r="37" spans="5:25" s="85" customFormat="1" ht="22.15" customHeight="1">
      <c r="E37" s="86" t="str">
        <f t="shared" si="55"/>
        <v>E00000806001010106</v>
      </c>
      <c r="F37" s="131"/>
      <c r="G37" s="131" t="s">
        <v>193</v>
      </c>
      <c r="H37" s="87"/>
      <c r="I37" s="131"/>
      <c r="J37" s="81" t="s">
        <v>190</v>
      </c>
      <c r="K37" s="132" t="s">
        <v>194</v>
      </c>
      <c r="L37" s="133" t="s">
        <v>192</v>
      </c>
      <c r="M37" s="134">
        <v>2</v>
      </c>
      <c r="N37" s="75"/>
      <c r="O37" s="77">
        <f t="shared" si="56"/>
        <v>0</v>
      </c>
      <c r="P37" s="75">
        <v>22696</v>
      </c>
      <c r="Q37" s="77">
        <f t="shared" si="57"/>
        <v>39945</v>
      </c>
      <c r="R37" s="75"/>
      <c r="S37" s="77">
        <f t="shared" si="51"/>
        <v>0</v>
      </c>
      <c r="T37" s="75"/>
      <c r="U37" s="77">
        <f t="shared" si="52"/>
        <v>0</v>
      </c>
      <c r="V37" s="135">
        <f t="shared" si="58"/>
        <v>39945</v>
      </c>
      <c r="W37" s="88">
        <v>1</v>
      </c>
      <c r="X37" s="136"/>
      <c r="Y37" s="137"/>
    </row>
    <row r="38" spans="5:25" s="85" customFormat="1" ht="22.15" customHeight="1">
      <c r="E38" s="86" t="str">
        <f t="shared" si="55"/>
        <v>E00000806001030204</v>
      </c>
      <c r="F38" s="131"/>
      <c r="G38" s="131" t="s">
        <v>195</v>
      </c>
      <c r="H38" s="87"/>
      <c r="I38" s="131"/>
      <c r="J38" s="81" t="s">
        <v>196</v>
      </c>
      <c r="K38" s="132" t="s">
        <v>197</v>
      </c>
      <c r="L38" s="133" t="s">
        <v>192</v>
      </c>
      <c r="M38" s="134">
        <v>4</v>
      </c>
      <c r="N38" s="75">
        <v>1734</v>
      </c>
      <c r="O38" s="77">
        <f t="shared" si="56"/>
        <v>6242</v>
      </c>
      <c r="P38" s="75"/>
      <c r="Q38" s="77">
        <f t="shared" si="57"/>
        <v>0</v>
      </c>
      <c r="R38" s="75"/>
      <c r="S38" s="77">
        <f t="shared" si="51"/>
        <v>0</v>
      </c>
      <c r="T38" s="75"/>
      <c r="U38" s="77">
        <f t="shared" si="52"/>
        <v>0</v>
      </c>
      <c r="V38" s="135">
        <f t="shared" si="58"/>
        <v>6242</v>
      </c>
      <c r="W38" s="88"/>
      <c r="X38" s="136"/>
      <c r="Y38" s="137"/>
    </row>
    <row r="39" spans="5:25" s="85" customFormat="1" ht="22.15" customHeight="1">
      <c r="E39" s="86" t="str">
        <f t="shared" si="55"/>
        <v>E00000806001030205</v>
      </c>
      <c r="F39" s="131"/>
      <c r="G39" s="131" t="s">
        <v>198</v>
      </c>
      <c r="H39" s="87"/>
      <c r="I39" s="131"/>
      <c r="J39" s="81" t="s">
        <v>196</v>
      </c>
      <c r="K39" s="132" t="s">
        <v>199</v>
      </c>
      <c r="L39" s="133" t="s">
        <v>192</v>
      </c>
      <c r="M39" s="134">
        <v>2</v>
      </c>
      <c r="N39" s="75">
        <v>2399</v>
      </c>
      <c r="O39" s="77">
        <f t="shared" si="56"/>
        <v>4318</v>
      </c>
      <c r="P39" s="75"/>
      <c r="Q39" s="77">
        <f t="shared" si="57"/>
        <v>0</v>
      </c>
      <c r="R39" s="75"/>
      <c r="S39" s="77">
        <f t="shared" si="51"/>
        <v>0</v>
      </c>
      <c r="T39" s="75"/>
      <c r="U39" s="77">
        <f t="shared" si="52"/>
        <v>0</v>
      </c>
      <c r="V39" s="135">
        <f t="shared" si="58"/>
        <v>4318</v>
      </c>
      <c r="W39" s="88"/>
      <c r="X39" s="136"/>
      <c r="Y39" s="137"/>
    </row>
    <row r="40" spans="5:25" s="85" customFormat="1" ht="22.15" customHeight="1">
      <c r="E40" s="86" t="str">
        <f t="shared" ref="E40" si="59">F40&amp;G40&amp;H40&amp;I40</f>
        <v>E00000807041490101</v>
      </c>
      <c r="F40" s="131"/>
      <c r="G40" s="131" t="s">
        <v>200</v>
      </c>
      <c r="H40" s="87"/>
      <c r="I40" s="131"/>
      <c r="J40" s="81" t="s">
        <v>201</v>
      </c>
      <c r="K40" s="132" t="s">
        <v>202</v>
      </c>
      <c r="L40" s="133" t="s">
        <v>75</v>
      </c>
      <c r="M40" s="134">
        <v>1</v>
      </c>
      <c r="N40" s="75"/>
      <c r="O40" s="77">
        <f t="shared" ref="O40" si="60">ROUND(N40*O$2*M40,0)</f>
        <v>0</v>
      </c>
      <c r="P40" s="75">
        <v>43528</v>
      </c>
      <c r="Q40" s="77">
        <f t="shared" ref="Q40" si="61">ROUND(P40*Q$2*M40*W40,0)</f>
        <v>19152</v>
      </c>
      <c r="R40" s="75"/>
      <c r="S40" s="77">
        <f t="shared" ref="S40" si="62">ROUND(R40*S$2*M40,0)</f>
        <v>0</v>
      </c>
      <c r="T40" s="75"/>
      <c r="U40" s="77">
        <f t="shared" ref="U40" si="63">ROUND(T40*U$2*M40,0)</f>
        <v>0</v>
      </c>
      <c r="V40" s="135">
        <f t="shared" ref="V40" si="64">SUM(O40,Q40,S40,U40)</f>
        <v>19152</v>
      </c>
      <c r="W40" s="78">
        <v>0.5</v>
      </c>
      <c r="X40" s="99" t="s">
        <v>59</v>
      </c>
      <c r="Y40" s="100" t="s">
        <v>60</v>
      </c>
    </row>
    <row r="41" spans="5:25" s="85" customFormat="1" ht="22.15" customHeight="1">
      <c r="E41" s="86" t="str">
        <f t="shared" si="55"/>
        <v>E00000807041490101</v>
      </c>
      <c r="F41" s="131"/>
      <c r="G41" s="131" t="s">
        <v>200</v>
      </c>
      <c r="H41" s="87"/>
      <c r="I41" s="131"/>
      <c r="J41" s="81" t="s">
        <v>201</v>
      </c>
      <c r="K41" s="132" t="s">
        <v>202</v>
      </c>
      <c r="L41" s="133" t="s">
        <v>75</v>
      </c>
      <c r="M41" s="134">
        <v>1</v>
      </c>
      <c r="N41" s="75"/>
      <c r="O41" s="77">
        <f t="shared" si="56"/>
        <v>0</v>
      </c>
      <c r="P41" s="75">
        <v>43528</v>
      </c>
      <c r="Q41" s="77">
        <f t="shared" si="57"/>
        <v>38305</v>
      </c>
      <c r="R41" s="75"/>
      <c r="S41" s="77">
        <f t="shared" ref="S41" si="65">ROUND(R41*S$2*M41,0)</f>
        <v>0</v>
      </c>
      <c r="T41" s="75"/>
      <c r="U41" s="77">
        <f t="shared" ref="U41" si="66">ROUND(T41*U$2*M41,0)</f>
        <v>0</v>
      </c>
      <c r="V41" s="135">
        <f t="shared" si="58"/>
        <v>38305</v>
      </c>
      <c r="W41" s="88">
        <v>1</v>
      </c>
      <c r="X41" s="136"/>
      <c r="Y41" s="137"/>
    </row>
    <row r="42" spans="5:25" s="100" customFormat="1" ht="22.5" customHeight="1" thickBot="1">
      <c r="E42" s="93" t="str">
        <f t="shared" si="42"/>
        <v>M031002001100101</v>
      </c>
      <c r="F42" s="94"/>
      <c r="G42" s="94"/>
      <c r="H42" s="94" t="s">
        <v>156</v>
      </c>
      <c r="I42" s="94"/>
      <c r="J42" s="81" t="s">
        <v>171</v>
      </c>
      <c r="K42" s="92" t="s">
        <v>157</v>
      </c>
      <c r="L42" s="95" t="s">
        <v>158</v>
      </c>
      <c r="M42" s="96">
        <v>9</v>
      </c>
      <c r="N42" s="76">
        <v>1950</v>
      </c>
      <c r="O42" s="97">
        <f t="shared" si="43"/>
        <v>15795</v>
      </c>
      <c r="P42" s="98"/>
      <c r="Q42" s="97">
        <f t="shared" si="44"/>
        <v>0</v>
      </c>
      <c r="R42" s="75"/>
      <c r="S42" s="97">
        <f t="shared" si="39"/>
        <v>0</v>
      </c>
      <c r="T42" s="75"/>
      <c r="U42" s="97">
        <f t="shared" si="40"/>
        <v>0</v>
      </c>
      <c r="V42" s="98">
        <f t="shared" si="41"/>
        <v>15795</v>
      </c>
      <c r="W42" s="78"/>
      <c r="X42" s="99"/>
    </row>
    <row r="43" spans="5:25" s="108" customFormat="1" ht="22.5" customHeight="1" thickBot="1">
      <c r="E43" s="104"/>
      <c r="F43" s="148"/>
      <c r="G43" s="149"/>
      <c r="H43" s="149"/>
      <c r="I43" s="149"/>
      <c r="J43" s="104"/>
      <c r="K43" s="104"/>
      <c r="L43" s="104"/>
      <c r="M43" s="104"/>
      <c r="N43" s="104"/>
      <c r="O43" s="142">
        <f>SUM(O6:O42)</f>
        <v>2058104</v>
      </c>
      <c r="P43" s="106"/>
      <c r="Q43" s="142">
        <f>SUM(Q6:Q42)</f>
        <v>1694218</v>
      </c>
      <c r="R43" s="106"/>
      <c r="S43" s="106">
        <f>SUM(S6:S42)</f>
        <v>0</v>
      </c>
      <c r="T43" s="106"/>
      <c r="U43" s="106">
        <f>SUM(U6:U42)</f>
        <v>0</v>
      </c>
      <c r="V43" s="106">
        <f>SUM(V6:V42)</f>
        <v>3752322</v>
      </c>
      <c r="W43" s="105"/>
      <c r="X43" s="107"/>
    </row>
  </sheetData>
  <mergeCells count="13">
    <mergeCell ref="N3:O3"/>
    <mergeCell ref="J3:K3"/>
    <mergeCell ref="F43:I43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E3:E4"/>
  </mergeCells>
  <phoneticPr fontId="10" type="noConversion"/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sheetPr>
    <tabColor rgb="FFFFFF00"/>
  </sheetPr>
  <dimension ref="A1:H38"/>
  <sheetViews>
    <sheetView showGridLines="0" topLeftCell="A15" zoomScaleNormal="100" workbookViewId="0">
      <selection activeCell="C23" sqref="C23"/>
    </sheetView>
  </sheetViews>
  <sheetFormatPr defaultRowHeight="16.5"/>
  <cols>
    <col min="1" max="1" width="25.125" style="51" customWidth="1"/>
    <col min="2" max="2" width="16.25" style="51" customWidth="1"/>
    <col min="3" max="3" width="22.375" style="51" customWidth="1"/>
    <col min="4" max="4" width="24.125" style="51" customWidth="1"/>
    <col min="5" max="5" width="13" style="51" customWidth="1"/>
    <col min="6" max="6" width="7.5" style="51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2" t="s">
        <v>27</v>
      </c>
    </row>
    <row r="2" spans="1:8" ht="18" customHeight="1">
      <c r="A2" s="53" t="str">
        <f>'내역서(표준단가)'!E6</f>
        <v>E00000806004010106</v>
      </c>
      <c r="B2" s="54">
        <f>'내역서(표준단가)'!F6</f>
        <v>0</v>
      </c>
      <c r="C2" s="54" t="str">
        <f>'내역서(표준단가)'!G6</f>
        <v>E00000806004010106</v>
      </c>
      <c r="D2" s="54">
        <f>'내역서(표준단가)'!H6</f>
        <v>0</v>
      </c>
      <c r="E2" s="54">
        <f>'내역서(표준단가)'!I6</f>
        <v>0</v>
      </c>
      <c r="F2" s="54">
        <f>'내역서(표준단가)'!M6</f>
        <v>1</v>
      </c>
      <c r="H2" s="52"/>
    </row>
    <row r="3" spans="1:8">
      <c r="A3" s="53" t="str">
        <f>'내역서(표준단가)'!E7</f>
        <v>M025332910040101</v>
      </c>
      <c r="B3" s="54">
        <f>'내역서(표준단가)'!F7</f>
        <v>0</v>
      </c>
      <c r="C3" s="54">
        <f>'내역서(표준단가)'!G7</f>
        <v>0</v>
      </c>
      <c r="D3" s="54" t="str">
        <f>'내역서(표준단가)'!H7</f>
        <v>M025332910040101</v>
      </c>
      <c r="E3" s="54">
        <f>'내역서(표준단가)'!I7</f>
        <v>0</v>
      </c>
      <c r="F3" s="54">
        <f>'내역서(표준단가)'!M7</f>
        <v>1</v>
      </c>
      <c r="H3" t="s">
        <v>28</v>
      </c>
    </row>
    <row r="4" spans="1:8">
      <c r="A4" s="53" t="str">
        <f>'내역서(표준단가)'!E8</f>
        <v>E00000806004010106</v>
      </c>
      <c r="B4" s="54">
        <f>'내역서(표준단가)'!F8</f>
        <v>0</v>
      </c>
      <c r="C4" s="54" t="str">
        <f>'내역서(표준단가)'!G8</f>
        <v>E00000806004010106</v>
      </c>
      <c r="D4" s="54">
        <f>'내역서(표준단가)'!H8</f>
        <v>0</v>
      </c>
      <c r="E4" s="54">
        <f>'내역서(표준단가)'!I8</f>
        <v>0</v>
      </c>
      <c r="F4" s="54">
        <f>'내역서(표준단가)'!M8</f>
        <v>1</v>
      </c>
      <c r="H4" t="s">
        <v>30</v>
      </c>
    </row>
    <row r="5" spans="1:8">
      <c r="A5" s="53" t="str">
        <f>'내역서(표준단가)'!E9</f>
        <v>E00000806004010306</v>
      </c>
      <c r="B5" s="54">
        <f>'내역서(표준단가)'!F9</f>
        <v>0</v>
      </c>
      <c r="C5" s="54" t="str">
        <f>'내역서(표준단가)'!G9</f>
        <v>E00000806004010306</v>
      </c>
      <c r="D5" s="54">
        <f>'내역서(표준단가)'!H9</f>
        <v>0</v>
      </c>
      <c r="E5" s="54">
        <f>'내역서(표준단가)'!I9</f>
        <v>0</v>
      </c>
      <c r="F5" s="54">
        <f>'내역서(표준단가)'!M9</f>
        <v>1</v>
      </c>
      <c r="H5" t="s">
        <v>31</v>
      </c>
    </row>
    <row r="6" spans="1:8">
      <c r="A6" s="53" t="str">
        <f>'내역서(표준단가)'!E10</f>
        <v>M055010611760101</v>
      </c>
      <c r="B6" s="54">
        <f>'내역서(표준단가)'!F10</f>
        <v>0</v>
      </c>
      <c r="C6" s="54">
        <f>'내역서(표준단가)'!G10</f>
        <v>0</v>
      </c>
      <c r="D6" s="54" t="str">
        <f>'내역서(표준단가)'!H10</f>
        <v>M055010611760101</v>
      </c>
      <c r="E6" s="54">
        <f>'내역서(표준단가)'!I10</f>
        <v>0</v>
      </c>
      <c r="F6" s="54">
        <f>'내역서(표준단가)'!M10</f>
        <v>1</v>
      </c>
    </row>
    <row r="7" spans="1:8">
      <c r="A7" s="53" t="str">
        <f>'내역서(표준단가)'!E11</f>
        <v>E00000806004010306</v>
      </c>
      <c r="B7" s="54">
        <f>'내역서(표준단가)'!F11</f>
        <v>0</v>
      </c>
      <c r="C7" s="54" t="str">
        <f>'내역서(표준단가)'!G11</f>
        <v>E00000806004010306</v>
      </c>
      <c r="D7" s="54">
        <f>'내역서(표준단가)'!H11</f>
        <v>0</v>
      </c>
      <c r="E7" s="54">
        <f>'내역서(표준단가)'!I11</f>
        <v>0</v>
      </c>
      <c r="F7" s="54">
        <f>'내역서(표준단가)'!M11</f>
        <v>1</v>
      </c>
    </row>
    <row r="8" spans="1:8">
      <c r="A8" s="53" t="str">
        <f>'내역서(표준단가)'!E12</f>
        <v>E00000806005010102</v>
      </c>
      <c r="B8" s="54">
        <f>'내역서(표준단가)'!F12</f>
        <v>0</v>
      </c>
      <c r="C8" s="54" t="str">
        <f>'내역서(표준단가)'!G12</f>
        <v>E00000806005010102</v>
      </c>
      <c r="D8" s="54">
        <f>'내역서(표준단가)'!H12</f>
        <v>0</v>
      </c>
      <c r="E8" s="54">
        <f>'내역서(표준단가)'!I12</f>
        <v>0</v>
      </c>
      <c r="F8" s="54">
        <f>'내역서(표준단가)'!M12</f>
        <v>1</v>
      </c>
    </row>
    <row r="9" spans="1:8">
      <c r="A9" s="53" t="str">
        <f>'내역서(표준단가)'!E13</f>
        <v>M02502VG10050101</v>
      </c>
      <c r="B9" s="54">
        <f>'내역서(표준단가)'!F13</f>
        <v>0</v>
      </c>
      <c r="C9" s="54">
        <f>'내역서(표준단가)'!G13</f>
        <v>0</v>
      </c>
      <c r="D9" s="54" t="str">
        <f>'내역서(표준단가)'!H13</f>
        <v>M02502VG10050101</v>
      </c>
      <c r="E9" s="54">
        <f>'내역서(표준단가)'!I13</f>
        <v>0</v>
      </c>
      <c r="F9" s="54">
        <f>'내역서(표준단가)'!M13</f>
        <v>1</v>
      </c>
    </row>
    <row r="10" spans="1:8">
      <c r="A10" s="53" t="str">
        <f>'내역서(표준단가)'!E14</f>
        <v>E00000806005010102</v>
      </c>
      <c r="B10" s="54">
        <f>'내역서(표준단가)'!F14</f>
        <v>0</v>
      </c>
      <c r="C10" s="54" t="str">
        <f>'내역서(표준단가)'!G14</f>
        <v>E00000806005010102</v>
      </c>
      <c r="D10" s="54">
        <f>'내역서(표준단가)'!H14</f>
        <v>0</v>
      </c>
      <c r="E10" s="54">
        <f>'내역서(표준단가)'!I14</f>
        <v>0</v>
      </c>
      <c r="F10" s="54">
        <f>'내역서(표준단가)'!M14</f>
        <v>1</v>
      </c>
    </row>
    <row r="11" spans="1:8">
      <c r="A11" s="53" t="str">
        <f>'내역서(표준단가)'!E15</f>
        <v>E00000806010080503</v>
      </c>
      <c r="B11" s="54">
        <f>'내역서(표준단가)'!F15</f>
        <v>0</v>
      </c>
      <c r="C11" s="54" t="str">
        <f>'내역서(표준단가)'!G15</f>
        <v>E00000806010080503</v>
      </c>
      <c r="D11" s="54">
        <f>'내역서(표준단가)'!H15</f>
        <v>0</v>
      </c>
      <c r="E11" s="54">
        <f>'내역서(표준단가)'!I15</f>
        <v>0</v>
      </c>
      <c r="F11" s="54">
        <f>'내역서(표준단가)'!M15</f>
        <v>4</v>
      </c>
    </row>
    <row r="12" spans="1:8">
      <c r="A12" s="53" t="str">
        <f>'내역서(표준단가)'!E16</f>
        <v>M055015714470101</v>
      </c>
      <c r="B12" s="54">
        <f>'내역서(표준단가)'!F16</f>
        <v>0</v>
      </c>
      <c r="C12" s="54">
        <f>'내역서(표준단가)'!G16</f>
        <v>0</v>
      </c>
      <c r="D12" s="54" t="str">
        <f>'내역서(표준단가)'!H16</f>
        <v>M055015714470101</v>
      </c>
      <c r="E12" s="54">
        <f>'내역서(표준단가)'!I16</f>
        <v>0</v>
      </c>
      <c r="F12" s="54">
        <f>'내역서(표준단가)'!M16</f>
        <v>4</v>
      </c>
    </row>
    <row r="13" spans="1:8">
      <c r="A13" s="53" t="str">
        <f>'내역서(표준단가)'!E17</f>
        <v>E00000806010080503</v>
      </c>
      <c r="B13" s="54">
        <f>'내역서(표준단가)'!F17</f>
        <v>0</v>
      </c>
      <c r="C13" s="54" t="str">
        <f>'내역서(표준단가)'!G17</f>
        <v>E00000806010080503</v>
      </c>
      <c r="D13" s="54">
        <f>'내역서(표준단가)'!H17</f>
        <v>0</v>
      </c>
      <c r="E13" s="54">
        <f>'내역서(표준단가)'!I17</f>
        <v>0</v>
      </c>
      <c r="F13" s="54">
        <f>'내역서(표준단가)'!M17</f>
        <v>4</v>
      </c>
    </row>
    <row r="14" spans="1:8">
      <c r="A14" s="53" t="str">
        <f>'내역서(표준단가)'!E18</f>
        <v>E00000806005010102</v>
      </c>
      <c r="B14" s="54">
        <f>'내역서(표준단가)'!F18</f>
        <v>0</v>
      </c>
      <c r="C14" s="54" t="str">
        <f>'내역서(표준단가)'!G18</f>
        <v>E00000806005010102</v>
      </c>
      <c r="D14" s="54">
        <f>'내역서(표준단가)'!H18</f>
        <v>0</v>
      </c>
      <c r="E14" s="54">
        <f>'내역서(표준단가)'!I18</f>
        <v>0</v>
      </c>
      <c r="F14" s="54">
        <f>'내역서(표준단가)'!M18</f>
        <v>1</v>
      </c>
    </row>
    <row r="15" spans="1:8">
      <c r="A15" s="53" t="str">
        <f>'내역서(표준단가)'!E19</f>
        <v>M025129210820101</v>
      </c>
      <c r="B15" s="54">
        <f>'내역서(표준단가)'!F19</f>
        <v>0</v>
      </c>
      <c r="C15" s="54">
        <f>'내역서(표준단가)'!G19</f>
        <v>0</v>
      </c>
      <c r="D15" s="54" t="str">
        <f>'내역서(표준단가)'!H19</f>
        <v>M025129210820101</v>
      </c>
      <c r="E15" s="54">
        <f>'내역서(표준단가)'!I19</f>
        <v>0</v>
      </c>
      <c r="F15" s="54">
        <f>'내역서(표준단가)'!M19</f>
        <v>1</v>
      </c>
    </row>
    <row r="16" spans="1:8">
      <c r="A16" s="53" t="str">
        <f>'내역서(표준단가)'!E20</f>
        <v>E00000806005010102</v>
      </c>
      <c r="B16" s="54">
        <f>'내역서(표준단가)'!F20</f>
        <v>0</v>
      </c>
      <c r="C16" s="54" t="str">
        <f>'내역서(표준단가)'!G20</f>
        <v>E00000806005010102</v>
      </c>
      <c r="D16" s="54">
        <f>'내역서(표준단가)'!H20</f>
        <v>0</v>
      </c>
      <c r="E16" s="54">
        <f>'내역서(표준단가)'!I20</f>
        <v>0</v>
      </c>
      <c r="F16" s="54">
        <f>'내역서(표준단가)'!M20</f>
        <v>1</v>
      </c>
    </row>
    <row r="17" spans="1:6">
      <c r="A17" s="53" t="str">
        <f>'내역서(표준단가)'!E21</f>
        <v>E00000806051113301</v>
      </c>
      <c r="B17" s="54">
        <f>'내역서(표준단가)'!F21</f>
        <v>0</v>
      </c>
      <c r="C17" s="54" t="str">
        <f>'내역서(표준단가)'!G21</f>
        <v>E00000806051113301</v>
      </c>
      <c r="D17" s="54">
        <f>'내역서(표준단가)'!H21</f>
        <v>0</v>
      </c>
      <c r="E17" s="54">
        <f>'내역서(표준단가)'!I21</f>
        <v>0</v>
      </c>
      <c r="F17" s="54">
        <f>'내역서(표준단가)'!M21</f>
        <v>1</v>
      </c>
    </row>
    <row r="18" spans="1:6">
      <c r="A18" s="53" t="str">
        <f>'내역서(표준단가)'!E22</f>
        <v>M025124911230102</v>
      </c>
      <c r="B18" s="54">
        <f>'내역서(표준단가)'!F22</f>
        <v>0</v>
      </c>
      <c r="C18" s="54">
        <f>'내역서(표준단가)'!G22</f>
        <v>0</v>
      </c>
      <c r="D18" s="54" t="str">
        <f>'내역서(표준단가)'!H22</f>
        <v>M025124911230102</v>
      </c>
      <c r="E18" s="54">
        <f>'내역서(표준단가)'!I22</f>
        <v>0</v>
      </c>
      <c r="F18" s="54">
        <f>'내역서(표준단가)'!M22</f>
        <v>1</v>
      </c>
    </row>
    <row r="19" spans="1:6">
      <c r="A19" s="53" t="str">
        <f>'내역서(표준단가)'!E23</f>
        <v>E00000806051113301</v>
      </c>
      <c r="B19" s="54">
        <f>'내역서(표준단가)'!F23</f>
        <v>0</v>
      </c>
      <c r="C19" s="54" t="str">
        <f>'내역서(표준단가)'!G23</f>
        <v>E00000806051113301</v>
      </c>
      <c r="D19" s="54">
        <f>'내역서(표준단가)'!H23</f>
        <v>0</v>
      </c>
      <c r="E19" s="54">
        <f>'내역서(표준단가)'!I23</f>
        <v>0</v>
      </c>
      <c r="F19" s="54">
        <f>'내역서(표준단가)'!M23</f>
        <v>1</v>
      </c>
    </row>
    <row r="20" spans="1:6">
      <c r="A20" s="53" t="str">
        <f>'내역서(표준단가)'!E24</f>
        <v>M02501KA10050102</v>
      </c>
      <c r="B20" s="54">
        <f>'내역서(표준단가)'!F24</f>
        <v>0</v>
      </c>
      <c r="C20" s="54">
        <f>'내역서(표준단가)'!G24</f>
        <v>0</v>
      </c>
      <c r="D20" s="54" t="str">
        <f>'내역서(표준단가)'!H24</f>
        <v>M02501KA10050102</v>
      </c>
      <c r="E20" s="54">
        <f>'내역서(표준단가)'!I24</f>
        <v>0</v>
      </c>
      <c r="F20" s="54">
        <f>'내역서(표준단가)'!M24</f>
        <v>1</v>
      </c>
    </row>
    <row r="21" spans="1:6">
      <c r="A21" s="53" t="str">
        <f>'내역서(표준단가)'!E25</f>
        <v>E00000806001010305</v>
      </c>
      <c r="B21" s="54">
        <f>'내역서(표준단가)'!F25</f>
        <v>0</v>
      </c>
      <c r="C21" s="54" t="str">
        <f>'내역서(표준단가)'!G25</f>
        <v>E00000806001010305</v>
      </c>
      <c r="D21" s="54">
        <f>'내역서(표준단가)'!H25</f>
        <v>0</v>
      </c>
      <c r="E21" s="54">
        <f>'내역서(표준단가)'!I25</f>
        <v>0</v>
      </c>
      <c r="F21" s="54">
        <f>'내역서(표준단가)'!M25</f>
        <v>1</v>
      </c>
    </row>
    <row r="22" spans="1:6">
      <c r="A22" s="53" t="str">
        <f>'내역서(표준단가)'!E26</f>
        <v>M025805910060112</v>
      </c>
      <c r="B22" s="54">
        <f>'내역서(표준단가)'!F26</f>
        <v>0</v>
      </c>
      <c r="C22" s="54">
        <f>'내역서(표준단가)'!G26</f>
        <v>0</v>
      </c>
      <c r="D22" s="54" t="str">
        <f>'내역서(표준단가)'!H26</f>
        <v>M025805910060112</v>
      </c>
      <c r="E22" s="54">
        <f>'내역서(표준단가)'!I26</f>
        <v>0</v>
      </c>
      <c r="F22" s="54">
        <f>'내역서(표준단가)'!M26</f>
        <v>1</v>
      </c>
    </row>
    <row r="23" spans="1:6">
      <c r="A23" s="53" t="str">
        <f>'내역서(표준단가)'!E27</f>
        <v>999999</v>
      </c>
      <c r="B23" s="54">
        <f>'내역서(표준단가)'!F27</f>
        <v>0</v>
      </c>
      <c r="C23" s="54" t="str">
        <f>'내역서(표준단가)'!G27</f>
        <v>999999</v>
      </c>
      <c r="D23" s="54">
        <f>'내역서(표준단가)'!H27</f>
        <v>0</v>
      </c>
      <c r="E23" s="54">
        <f>'내역서(표준단가)'!I27</f>
        <v>0</v>
      </c>
      <c r="F23" s="54">
        <f>'내역서(표준단가)'!M27</f>
        <v>1</v>
      </c>
    </row>
    <row r="24" spans="1:6">
      <c r="A24" s="53" t="str">
        <f>'내역서(표준단가)'!E28</f>
        <v>M025805910080112</v>
      </c>
      <c r="B24" s="54">
        <f>'내역서(표준단가)'!F28</f>
        <v>0</v>
      </c>
      <c r="C24" s="54">
        <f>'내역서(표준단가)'!G28</f>
        <v>0</v>
      </c>
      <c r="D24" s="54" t="str">
        <f>'내역서(표준단가)'!H28</f>
        <v>M025805910080112</v>
      </c>
      <c r="E24" s="54">
        <f>'내역서(표준단가)'!I28</f>
        <v>0</v>
      </c>
      <c r="F24" s="54">
        <f>'내역서(표준단가)'!M28</f>
        <v>0.5</v>
      </c>
    </row>
    <row r="25" spans="1:6">
      <c r="A25" s="53" t="str">
        <f>'내역서(표준단가)'!E29</f>
        <v>999999</v>
      </c>
      <c r="B25" s="54">
        <f>'내역서(표준단가)'!F29</f>
        <v>0</v>
      </c>
      <c r="C25" s="54" t="str">
        <f>'내역서(표준단가)'!G29</f>
        <v>999999</v>
      </c>
      <c r="D25" s="54">
        <f>'내역서(표준단가)'!H29</f>
        <v>0</v>
      </c>
      <c r="E25" s="54">
        <f>'내역서(표준단가)'!I29</f>
        <v>0</v>
      </c>
      <c r="F25" s="54">
        <f>'내역서(표준단가)'!M29</f>
        <v>0.5</v>
      </c>
    </row>
    <row r="26" spans="1:6">
      <c r="A26" s="53" t="str">
        <f>'내역서(표준단가)'!E30</f>
        <v>M025805910160112</v>
      </c>
      <c r="B26" s="54">
        <f>'내역서(표준단가)'!F30</f>
        <v>0</v>
      </c>
      <c r="C26" s="54">
        <f>'내역서(표준단가)'!G30</f>
        <v>0</v>
      </c>
      <c r="D26" s="54" t="str">
        <f>'내역서(표준단가)'!H30</f>
        <v>M025805910160112</v>
      </c>
      <c r="E26" s="54">
        <f>'내역서(표준단가)'!I30</f>
        <v>0</v>
      </c>
      <c r="F26" s="54">
        <f>'내역서(표준단가)'!M30</f>
        <v>1</v>
      </c>
    </row>
    <row r="27" spans="1:6">
      <c r="A27" s="53" t="str">
        <f>'내역서(표준단가)'!E31</f>
        <v>999999</v>
      </c>
      <c r="B27" s="54">
        <f>'내역서(표준단가)'!F31</f>
        <v>0</v>
      </c>
      <c r="C27" s="54" t="str">
        <f>'내역서(표준단가)'!G31</f>
        <v>999999</v>
      </c>
      <c r="D27" s="54">
        <f>'내역서(표준단가)'!H31</f>
        <v>0</v>
      </c>
      <c r="E27" s="54">
        <f>'내역서(표준단가)'!I31</f>
        <v>0</v>
      </c>
      <c r="F27" s="54">
        <f>'내역서(표준단가)'!M31</f>
        <v>1</v>
      </c>
    </row>
    <row r="28" spans="1:6">
      <c r="A28" s="53" t="str">
        <f>'내역서(표준단가)'!E32</f>
        <v>M025400210680101</v>
      </c>
      <c r="B28" s="54">
        <f>'내역서(표준단가)'!F32</f>
        <v>0</v>
      </c>
      <c r="C28" s="54">
        <f>'내역서(표준단가)'!G32</f>
        <v>0</v>
      </c>
      <c r="D28" s="54" t="str">
        <f>'내역서(표준단가)'!H32</f>
        <v>M025400210680101</v>
      </c>
      <c r="E28" s="54">
        <f>'내역서(표준단가)'!I32</f>
        <v>0</v>
      </c>
      <c r="F28" s="54">
        <f>'내역서(표준단가)'!M32</f>
        <v>4</v>
      </c>
    </row>
    <row r="29" spans="1:6">
      <c r="A29" s="53" t="str">
        <f>'내역서(표준단가)'!E33</f>
        <v>M025400210690101</v>
      </c>
      <c r="B29" s="54">
        <f>'내역서(표준단가)'!F33</f>
        <v>0</v>
      </c>
      <c r="C29" s="54">
        <f>'내역서(표준단가)'!G33</f>
        <v>0</v>
      </c>
      <c r="D29" s="54" t="str">
        <f>'내역서(표준단가)'!H33</f>
        <v>M025400210690101</v>
      </c>
      <c r="E29" s="54">
        <f>'내역서(표준단가)'!I33</f>
        <v>0</v>
      </c>
      <c r="F29" s="54">
        <f>'내역서(표준단가)'!M33</f>
        <v>2</v>
      </c>
    </row>
    <row r="30" spans="1:6">
      <c r="A30" s="53" t="str">
        <f>'내역서(표준단가)'!E34</f>
        <v>M02501E510050103</v>
      </c>
      <c r="B30" s="54">
        <f>'내역서(표준단가)'!F34</f>
        <v>0</v>
      </c>
      <c r="C30" s="54">
        <f>'내역서(표준단가)'!G34</f>
        <v>0</v>
      </c>
      <c r="D30" s="54" t="str">
        <f>'내역서(표준단가)'!H34</f>
        <v>M02501E510050103</v>
      </c>
      <c r="E30" s="54">
        <f>'내역서(표준단가)'!I34</f>
        <v>0</v>
      </c>
      <c r="F30" s="54">
        <f>'내역서(표준단가)'!M34</f>
        <v>4</v>
      </c>
    </row>
    <row r="31" spans="1:6">
      <c r="A31" s="53" t="str">
        <f>'내역서(표준단가)'!E35</f>
        <v>M02501E510060103</v>
      </c>
      <c r="B31" s="54">
        <f>'내역서(표준단가)'!F35</f>
        <v>0</v>
      </c>
      <c r="C31" s="54">
        <f>'내역서(표준단가)'!G35</f>
        <v>0</v>
      </c>
      <c r="D31" s="54" t="str">
        <f>'내역서(표준단가)'!H35</f>
        <v>M02501E510060103</v>
      </c>
      <c r="E31" s="54">
        <f>'내역서(표준단가)'!I35</f>
        <v>0</v>
      </c>
      <c r="F31" s="54">
        <f>'내역서(표준단가)'!M35</f>
        <v>2</v>
      </c>
    </row>
    <row r="32" spans="1:6">
      <c r="A32" s="53" t="str">
        <f>'내역서(표준단가)'!E36</f>
        <v>E00000806001010105</v>
      </c>
      <c r="B32" s="54">
        <f>'내역서(표준단가)'!F36</f>
        <v>0</v>
      </c>
      <c r="C32" s="54" t="str">
        <f>'내역서(표준단가)'!G36</f>
        <v>E00000806001010105</v>
      </c>
      <c r="D32" s="54">
        <f>'내역서(표준단가)'!H36</f>
        <v>0</v>
      </c>
      <c r="E32" s="54">
        <f>'내역서(표준단가)'!I36</f>
        <v>0</v>
      </c>
      <c r="F32" s="54">
        <f>'내역서(표준단가)'!M36</f>
        <v>4</v>
      </c>
    </row>
    <row r="33" spans="1:6">
      <c r="A33" s="53" t="str">
        <f>'내역서(표준단가)'!E37</f>
        <v>E00000806001010106</v>
      </c>
      <c r="B33" s="54">
        <f>'내역서(표준단가)'!F37</f>
        <v>0</v>
      </c>
      <c r="C33" s="54" t="str">
        <f>'내역서(표준단가)'!G37</f>
        <v>E00000806001010106</v>
      </c>
      <c r="D33" s="54">
        <f>'내역서(표준단가)'!H37</f>
        <v>0</v>
      </c>
      <c r="E33" s="54">
        <f>'내역서(표준단가)'!I37</f>
        <v>0</v>
      </c>
      <c r="F33" s="54">
        <f>'내역서(표준단가)'!M37</f>
        <v>2</v>
      </c>
    </row>
    <row r="34" spans="1:6">
      <c r="A34" s="53" t="str">
        <f>'내역서(표준단가)'!E38</f>
        <v>E00000806001030204</v>
      </c>
      <c r="B34" s="54">
        <f>'내역서(표준단가)'!F38</f>
        <v>0</v>
      </c>
      <c r="C34" s="54" t="str">
        <f>'내역서(표준단가)'!G38</f>
        <v>E00000806001030204</v>
      </c>
      <c r="D34" s="54">
        <f>'내역서(표준단가)'!H38</f>
        <v>0</v>
      </c>
      <c r="E34" s="54">
        <f>'내역서(표준단가)'!I38</f>
        <v>0</v>
      </c>
      <c r="F34" s="54">
        <f>'내역서(표준단가)'!M38</f>
        <v>4</v>
      </c>
    </row>
    <row r="35" spans="1:6">
      <c r="A35" s="53" t="str">
        <f>'내역서(표준단가)'!E39</f>
        <v>E00000806001030205</v>
      </c>
      <c r="B35" s="54">
        <f>'내역서(표준단가)'!F39</f>
        <v>0</v>
      </c>
      <c r="C35" s="54" t="str">
        <f>'내역서(표준단가)'!G39</f>
        <v>E00000806001030205</v>
      </c>
      <c r="D35" s="54">
        <f>'내역서(표준단가)'!H39</f>
        <v>0</v>
      </c>
      <c r="E35" s="54">
        <f>'내역서(표준단가)'!I39</f>
        <v>0</v>
      </c>
      <c r="F35" s="54">
        <f>'내역서(표준단가)'!M39</f>
        <v>2</v>
      </c>
    </row>
    <row r="36" spans="1:6">
      <c r="A36" s="53" t="str">
        <f>'내역서(표준단가)'!E40</f>
        <v>E00000807041490101</v>
      </c>
      <c r="B36" s="54">
        <f>'내역서(표준단가)'!F40</f>
        <v>0</v>
      </c>
      <c r="C36" s="54" t="str">
        <f>'내역서(표준단가)'!G40</f>
        <v>E00000807041490101</v>
      </c>
      <c r="D36" s="54">
        <f>'내역서(표준단가)'!H40</f>
        <v>0</v>
      </c>
      <c r="E36" s="54">
        <f>'내역서(표준단가)'!I40</f>
        <v>0</v>
      </c>
      <c r="F36" s="54">
        <f>'내역서(표준단가)'!M40</f>
        <v>1</v>
      </c>
    </row>
    <row r="37" spans="1:6">
      <c r="A37" s="53" t="str">
        <f>'내역서(표준단가)'!E41</f>
        <v>E00000807041490101</v>
      </c>
      <c r="B37" s="54">
        <f>'내역서(표준단가)'!F41</f>
        <v>0</v>
      </c>
      <c r="C37" s="54" t="str">
        <f>'내역서(표준단가)'!G41</f>
        <v>E00000807041490101</v>
      </c>
      <c r="D37" s="54">
        <f>'내역서(표준단가)'!H41</f>
        <v>0</v>
      </c>
      <c r="E37" s="54">
        <f>'내역서(표준단가)'!I41</f>
        <v>0</v>
      </c>
      <c r="F37" s="54">
        <f>'내역서(표준단가)'!M41</f>
        <v>1</v>
      </c>
    </row>
    <row r="38" spans="1:6">
      <c r="A38" s="53" t="str">
        <f>'내역서(표준단가)'!E42</f>
        <v>M031002001100101</v>
      </c>
      <c r="B38" s="54">
        <f>'내역서(표준단가)'!F42</f>
        <v>0</v>
      </c>
      <c r="C38" s="54">
        <f>'내역서(표준단가)'!G42</f>
        <v>0</v>
      </c>
      <c r="D38" s="54" t="str">
        <f>'내역서(표준단가)'!H42</f>
        <v>M031002001100101</v>
      </c>
      <c r="E38" s="54">
        <f>'내역서(표준단가)'!I42</f>
        <v>0</v>
      </c>
      <c r="F38" s="54">
        <f>'내역서(표준단가)'!M42</f>
        <v>9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Q31" sqref="Q31"/>
    </sheetView>
  </sheetViews>
  <sheetFormatPr defaultRowHeight="16.5"/>
  <sheetData>
    <row r="1" spans="1:1">
      <c r="A1" s="64" t="s">
        <v>40</v>
      </c>
    </row>
  </sheetData>
  <phoneticPr fontId="10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A586-DEC0-4B3F-A6D5-BF13484731DD}">
  <sheetPr>
    <tabColor rgb="FF00B050"/>
  </sheetPr>
  <dimension ref="A1:F36"/>
  <sheetViews>
    <sheetView view="pageBreakPreview" topLeftCell="A2" zoomScale="115" zoomScaleSheetLayoutView="115" workbookViewId="0">
      <selection activeCell="M19" sqref="M19"/>
    </sheetView>
  </sheetViews>
  <sheetFormatPr defaultColWidth="9" defaultRowHeight="13.5"/>
  <cols>
    <col min="1" max="1" width="3.125" style="116" customWidth="1"/>
    <col min="2" max="2" width="18.25" style="129" customWidth="1"/>
    <col min="3" max="3" width="32.375" style="129" customWidth="1"/>
    <col min="4" max="4" width="10" style="130" customWidth="1"/>
    <col min="5" max="5" width="16.625" style="129" customWidth="1"/>
    <col min="6" max="6" width="16.625" style="117" customWidth="1"/>
    <col min="7" max="7" width="3.125" style="117" customWidth="1"/>
    <col min="8" max="16384" width="9" style="117"/>
  </cols>
  <sheetData>
    <row r="1" spans="1:6" ht="16.5" customHeight="1">
      <c r="B1" s="176" t="s">
        <v>92</v>
      </c>
      <c r="C1" s="177"/>
      <c r="D1" s="177"/>
      <c r="E1" s="177"/>
      <c r="F1" s="177"/>
    </row>
    <row r="2" spans="1:6" ht="25.5" customHeight="1">
      <c r="B2" s="177"/>
      <c r="C2" s="177"/>
      <c r="D2" s="177"/>
      <c r="E2" s="177"/>
      <c r="F2" s="177"/>
    </row>
    <row r="3" spans="1:6" ht="10.5" customHeight="1" thickBot="1">
      <c r="A3" s="178"/>
      <c r="B3" s="178"/>
      <c r="C3" s="178"/>
      <c r="D3" s="178"/>
      <c r="E3" s="178"/>
      <c r="F3" s="178"/>
    </row>
    <row r="4" spans="1:6" ht="31.5" customHeight="1">
      <c r="A4" s="118"/>
      <c r="B4" s="119" t="s">
        <v>93</v>
      </c>
      <c r="C4" s="120" t="s">
        <v>203</v>
      </c>
      <c r="D4" s="121" t="s">
        <v>94</v>
      </c>
      <c r="E4" s="179" t="str">
        <f>갑지!B9</f>
        <v xml:space="preserve"> 2025 년 10 월 14 일</v>
      </c>
      <c r="F4" s="180"/>
    </row>
    <row r="5" spans="1:6" s="124" customFormat="1" ht="31.5" customHeight="1">
      <c r="A5" s="122"/>
      <c r="B5" s="123" t="s">
        <v>95</v>
      </c>
      <c r="C5" s="181" t="str">
        <f>갑지!B7</f>
        <v xml:space="preserve"> LG사택 보조펌프 교체_소방</v>
      </c>
      <c r="D5" s="182"/>
      <c r="E5" s="182"/>
      <c r="F5" s="183"/>
    </row>
    <row r="6" spans="1:6" ht="22.15" customHeight="1">
      <c r="A6" s="122"/>
      <c r="B6" s="184" t="s">
        <v>96</v>
      </c>
      <c r="C6" s="187" t="s">
        <v>97</v>
      </c>
      <c r="D6" s="188"/>
      <c r="E6" s="188"/>
      <c r="F6" s="189"/>
    </row>
    <row r="7" spans="1:6" ht="22.15" customHeight="1">
      <c r="A7" s="122"/>
      <c r="B7" s="185"/>
      <c r="C7" s="190" t="s">
        <v>110</v>
      </c>
      <c r="D7" s="191"/>
      <c r="E7" s="191"/>
      <c r="F7" s="192"/>
    </row>
    <row r="8" spans="1:6" ht="22.15" customHeight="1">
      <c r="A8" s="122"/>
      <c r="B8" s="185"/>
      <c r="C8" s="190" t="s">
        <v>98</v>
      </c>
      <c r="D8" s="191"/>
      <c r="E8" s="191"/>
      <c r="F8" s="192"/>
    </row>
    <row r="9" spans="1:6" ht="22.15" customHeight="1">
      <c r="A9" s="122"/>
      <c r="B9" s="185"/>
      <c r="C9" s="171" t="s">
        <v>138</v>
      </c>
      <c r="D9" s="174"/>
      <c r="E9" s="174"/>
      <c r="F9" s="175"/>
    </row>
    <row r="10" spans="1:6" ht="22.15" customHeight="1">
      <c r="A10" s="122"/>
      <c r="B10" s="185"/>
      <c r="C10" s="171" t="s">
        <v>140</v>
      </c>
      <c r="D10" s="174"/>
      <c r="E10" s="174"/>
      <c r="F10" s="175"/>
    </row>
    <row r="11" spans="1:6" ht="22.15" customHeight="1">
      <c r="A11" s="122"/>
      <c r="B11" s="185"/>
      <c r="C11" s="171" t="s">
        <v>142</v>
      </c>
      <c r="D11" s="174"/>
      <c r="E11" s="174"/>
      <c r="F11" s="175"/>
    </row>
    <row r="12" spans="1:6" ht="22.15" customHeight="1">
      <c r="A12" s="122"/>
      <c r="B12" s="185"/>
      <c r="C12" s="171" t="s">
        <v>143</v>
      </c>
      <c r="D12" s="174"/>
      <c r="E12" s="174"/>
      <c r="F12" s="175"/>
    </row>
    <row r="13" spans="1:6" ht="22.15" customHeight="1">
      <c r="A13" s="122"/>
      <c r="B13" s="185"/>
      <c r="C13" s="125" t="s">
        <v>144</v>
      </c>
      <c r="D13" s="126"/>
      <c r="E13" s="126"/>
      <c r="F13" s="127"/>
    </row>
    <row r="14" spans="1:6" ht="22.15" customHeight="1">
      <c r="A14" s="122"/>
      <c r="B14" s="185"/>
      <c r="C14" s="171" t="s">
        <v>99</v>
      </c>
      <c r="D14" s="174"/>
      <c r="E14" s="174"/>
      <c r="F14" s="175"/>
    </row>
    <row r="15" spans="1:6" ht="22.15" customHeight="1">
      <c r="A15" s="122"/>
      <c r="B15" s="185"/>
      <c r="C15" s="171"/>
      <c r="D15" s="174"/>
      <c r="E15" s="174"/>
      <c r="F15" s="175"/>
    </row>
    <row r="16" spans="1:6" ht="22.15" customHeight="1">
      <c r="A16" s="122"/>
      <c r="B16" s="185"/>
      <c r="C16" s="171"/>
      <c r="D16" s="174"/>
      <c r="E16" s="174"/>
      <c r="F16" s="175"/>
    </row>
    <row r="17" spans="1:6" ht="22.15" customHeight="1">
      <c r="A17" s="122"/>
      <c r="B17" s="185"/>
      <c r="C17" s="171"/>
      <c r="D17" s="174"/>
      <c r="E17" s="174"/>
      <c r="F17" s="175"/>
    </row>
    <row r="18" spans="1:6" ht="22.15" customHeight="1">
      <c r="A18" s="122"/>
      <c r="B18" s="185"/>
      <c r="C18" s="125"/>
      <c r="D18" s="126"/>
      <c r="E18" s="126"/>
      <c r="F18" s="127"/>
    </row>
    <row r="19" spans="1:6" ht="20.100000000000001" customHeight="1">
      <c r="A19" s="122"/>
      <c r="B19" s="185"/>
      <c r="C19" s="171"/>
      <c r="D19" s="172"/>
      <c r="E19" s="172"/>
      <c r="F19" s="173"/>
    </row>
    <row r="20" spans="1:6" ht="20.100000000000001" customHeight="1">
      <c r="A20" s="122"/>
      <c r="B20" s="185"/>
      <c r="C20" s="171"/>
      <c r="D20" s="172"/>
      <c r="E20" s="172"/>
      <c r="F20" s="173"/>
    </row>
    <row r="21" spans="1:6" ht="20.100000000000001" customHeight="1">
      <c r="A21" s="122"/>
      <c r="B21" s="185"/>
      <c r="C21" s="171"/>
      <c r="D21" s="172"/>
      <c r="E21" s="172"/>
      <c r="F21" s="173"/>
    </row>
    <row r="22" spans="1:6" ht="20.100000000000001" customHeight="1">
      <c r="A22" s="122"/>
      <c r="B22" s="185"/>
      <c r="C22" s="171"/>
      <c r="D22" s="172"/>
      <c r="E22" s="172"/>
      <c r="F22" s="173"/>
    </row>
    <row r="23" spans="1:6" ht="20.100000000000001" customHeight="1">
      <c r="A23" s="122"/>
      <c r="B23" s="185"/>
      <c r="C23" s="125"/>
      <c r="D23" s="126"/>
      <c r="E23" s="126"/>
      <c r="F23" s="127"/>
    </row>
    <row r="24" spans="1:6" ht="20.100000000000001" customHeight="1">
      <c r="A24" s="122"/>
      <c r="B24" s="185"/>
      <c r="C24" s="125"/>
      <c r="D24" s="126"/>
      <c r="E24" s="126"/>
      <c r="F24" s="127"/>
    </row>
    <row r="25" spans="1:6" ht="22.15" customHeight="1">
      <c r="A25" s="122"/>
      <c r="B25" s="185"/>
      <c r="C25" s="161" t="s">
        <v>100</v>
      </c>
      <c r="D25" s="169"/>
      <c r="E25" s="169"/>
      <c r="F25" s="170"/>
    </row>
    <row r="26" spans="1:6" ht="22.15" customHeight="1">
      <c r="A26" s="122"/>
      <c r="B26" s="185"/>
      <c r="C26" s="161" t="s">
        <v>101</v>
      </c>
      <c r="D26" s="169"/>
      <c r="E26" s="169"/>
      <c r="F26" s="170"/>
    </row>
    <row r="27" spans="1:6" ht="22.15" customHeight="1">
      <c r="A27" s="122"/>
      <c r="B27" s="185"/>
      <c r="C27" s="171" t="s">
        <v>102</v>
      </c>
      <c r="D27" s="172"/>
      <c r="E27" s="172"/>
      <c r="F27" s="173"/>
    </row>
    <row r="28" spans="1:6" ht="22.15" customHeight="1">
      <c r="A28" s="122"/>
      <c r="B28" s="185"/>
      <c r="C28" s="171" t="s">
        <v>103</v>
      </c>
      <c r="D28" s="172"/>
      <c r="E28" s="172"/>
      <c r="F28" s="173"/>
    </row>
    <row r="29" spans="1:6" ht="22.15" customHeight="1">
      <c r="A29" s="122"/>
      <c r="B29" s="185"/>
      <c r="C29" s="171" t="s">
        <v>104</v>
      </c>
      <c r="D29" s="174"/>
      <c r="E29" s="174"/>
      <c r="F29" s="175"/>
    </row>
    <row r="30" spans="1:6" ht="22.15" customHeight="1">
      <c r="A30" s="122"/>
      <c r="B30" s="185"/>
      <c r="C30" s="161" t="s">
        <v>105</v>
      </c>
      <c r="D30" s="162"/>
      <c r="E30" s="162"/>
      <c r="F30" s="163"/>
    </row>
    <row r="31" spans="1:6" ht="22.15" customHeight="1">
      <c r="A31" s="122"/>
      <c r="B31" s="185"/>
      <c r="C31" s="161"/>
      <c r="D31" s="162"/>
      <c r="E31" s="162"/>
      <c r="F31" s="163"/>
    </row>
    <row r="32" spans="1:6" ht="22.15" customHeight="1">
      <c r="A32" s="122"/>
      <c r="B32" s="185"/>
      <c r="C32" s="161"/>
      <c r="D32" s="162"/>
      <c r="E32" s="162"/>
      <c r="F32" s="163"/>
    </row>
    <row r="33" spans="1:6" ht="22.15" customHeight="1">
      <c r="A33" s="122"/>
      <c r="B33" s="186"/>
      <c r="C33" s="164"/>
      <c r="D33" s="165"/>
      <c r="E33" s="165"/>
      <c r="F33" s="166"/>
    </row>
    <row r="34" spans="1:6" ht="50.25" customHeight="1">
      <c r="A34" s="122"/>
      <c r="B34" s="123" t="str">
        <f>C4</f>
        <v>주식회사 준 마</v>
      </c>
      <c r="C34" s="128" t="s">
        <v>106</v>
      </c>
      <c r="D34" s="167" t="s">
        <v>107</v>
      </c>
      <c r="E34" s="167"/>
      <c r="F34" s="168"/>
    </row>
    <row r="35" spans="1:6" ht="50.25" customHeight="1">
      <c r="A35" s="122"/>
      <c r="B35" s="123" t="s">
        <v>108</v>
      </c>
      <c r="C35" s="128" t="s">
        <v>111</v>
      </c>
      <c r="D35" s="167" t="s">
        <v>109</v>
      </c>
      <c r="E35" s="167"/>
      <c r="F35" s="168"/>
    </row>
    <row r="36" spans="1:6" ht="22.15" customHeight="1"/>
  </sheetData>
  <mergeCells count="31"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25:F25"/>
    <mergeCell ref="C11:F11"/>
    <mergeCell ref="C12:F12"/>
    <mergeCell ref="C14:F14"/>
    <mergeCell ref="C15:F15"/>
    <mergeCell ref="C16:F16"/>
    <mergeCell ref="C17:F17"/>
    <mergeCell ref="C19:F19"/>
    <mergeCell ref="C20:F20"/>
    <mergeCell ref="C21:F21"/>
    <mergeCell ref="C22:F22"/>
    <mergeCell ref="C32:F32"/>
    <mergeCell ref="C33:F33"/>
    <mergeCell ref="D34:F34"/>
    <mergeCell ref="D35:F35"/>
    <mergeCell ref="C26:F26"/>
    <mergeCell ref="C27:F27"/>
    <mergeCell ref="C28:F28"/>
    <mergeCell ref="C29:F29"/>
    <mergeCell ref="C30:F30"/>
    <mergeCell ref="C31:F31"/>
  </mergeCells>
  <phoneticPr fontId="10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할증기준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2024-12-30T21:54:20Z</cp:lastPrinted>
  <dcterms:created xsi:type="dcterms:W3CDTF">2020-09-15T23:52:51Z</dcterms:created>
  <dcterms:modified xsi:type="dcterms:W3CDTF">2025-10-16T01:41:28Z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
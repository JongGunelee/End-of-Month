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A9FE3D34-1A01-4E18-A2B4-01D51C41D032}" xr6:coauthVersionLast="36" xr6:coauthVersionMax="36" xr10:uidLastSave="{00000000-0000-0000-0000-000000000000}"/>
  <bookViews>
    <workbookView xWindow="1635" yWindow="6255" windowWidth="14610" windowHeight="7845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U11" i="4" l="1"/>
  <c r="O11" i="4"/>
  <c r="V11" i="4" s="1"/>
  <c r="A11" i="4"/>
  <c r="U10" i="4"/>
  <c r="S10" i="4"/>
  <c r="Q10" i="4"/>
  <c r="O10" i="4"/>
  <c r="V10" i="4" s="1"/>
  <c r="A10" i="4"/>
  <c r="U9" i="4"/>
  <c r="S9" i="4"/>
  <c r="Q9" i="4"/>
  <c r="O9" i="4"/>
  <c r="V9" i="4" s="1"/>
  <c r="A9" i="4"/>
  <c r="U8" i="4"/>
  <c r="S8" i="4"/>
  <c r="Q8" i="4"/>
  <c r="O8" i="4"/>
  <c r="V8" i="4" s="1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V5" i="4" s="1"/>
  <c r="A5" i="4"/>
  <c r="V7" i="4" l="1"/>
  <c r="V6" i="4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12" i="18"/>
  <c r="J12" i="18"/>
  <c r="J11" i="18"/>
  <c r="F11" i="18"/>
  <c r="N11" i="18" s="1"/>
  <c r="H10" i="18"/>
  <c r="F10" i="18"/>
  <c r="H9" i="18"/>
  <c r="F9" i="18"/>
  <c r="H8" i="18"/>
  <c r="F8" i="18"/>
  <c r="F7" i="18"/>
  <c r="N7" i="18" s="1"/>
  <c r="F6" i="18"/>
  <c r="N6" i="18" s="1"/>
  <c r="H5" i="18"/>
  <c r="F5" i="18"/>
  <c r="N5" i="18" s="1"/>
  <c r="N10" i="18" l="1"/>
  <c r="H12" i="18"/>
  <c r="F12" i="18"/>
  <c r="N9" i="18"/>
  <c r="N8" i="18"/>
  <c r="N1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<sst xmlns="http://schemas.openxmlformats.org/spreadsheetml/2006/main" count="171" uniqueCount="138">
  <si>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</si>
  <si>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</si>
  <si>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</si>
  <si>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</si>
  <si>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</si>
  <si>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</si>
  <si>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</si>
  <si>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</si>
  <si>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</si>
  <si>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</si>
  <si>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</si>
  <si>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</si>
  <si>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</si>
  <si>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</si>
  <si>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</si>
  <si>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</si>
  <si>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</si>
  <si>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</si>
  <si>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</si>
  <si>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</si>
  <si>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</si>
  <si>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</si>
  <si>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</si>
  <si>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</si>
  <si>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</si>
  <si>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</si>
  <si>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</si>
  <si>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</si>
  <si>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</si>
  <si>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</si>
  <si>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</si>
  <si>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</si>
  <si>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</si>
  <si>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</si>
  <si>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</si>
  <si>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</si>
  <si>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</si>
  <si>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</si>
  <si>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</si>
  <si>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</si>
  <si>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</si>
  <si>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</si>
  <si>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</si>
  <si>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</si>
  <si>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</si>
  <si>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</si>
  <si>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</si>
  <si>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</si>
  <si>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</si>
  <si>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</si>
  <si>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</si>
  <si>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</si>
  <si>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</si>
  <si>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</si>
  <si>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</si>
  <si>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</si>
  <si>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</si>
  <si>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</si>
  <si>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</si>
  <si>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</si>
  <si>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</si>
  <si>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</si>
  <si>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</si>
  <si>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</si>
  <si>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</si>
  <si>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</si>
  <si>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</si>
  <si>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</si>
  <si>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</si>
  <si>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</si>
  <si>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</si>
  <si>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</si>
  <si>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</si>
  <si>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</si>
  <si>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</si>
  <si>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</si>
  <si>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</si>
  <si>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</si>
  <si>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</si>
  <si>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</si>
  <si>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</si>
  <si>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</si>
  <si>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</si>
  <si>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</si>
  <si>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</si>
  <si>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</si>
  <si>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</si>
  <si>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</si>
  <si>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</si>
  <si>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</si>
  <si>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</si>
  <si>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</si>
  <si>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</si>
  <si>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</si>
  <si>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</si>
  <si>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</si>
  <si>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</si>
  <si>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</si>
  <si>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</si>
  <si>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</si>
  <si>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</si>
  <si>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</si>
  <si>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</si>
  <si>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</si>
  <si>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</si>
  <si>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</si>
  <si>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</si>
  <si>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</si>
  <si>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</si>
  <si>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</si>
  <si>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</si>
  <si>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</si>
  <si>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</si>
  <si>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</si>
  <si>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</si>
  <si>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</si>
  <si>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</si>
  <si>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</si>
  <si>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</si>
  <si>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</si>
  <si>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</si>
  <si>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</si>
  <si>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</si>
  <si>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</si>
  <si>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</si>
  <si>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</si>
  <si>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</si>
  <si>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</si>
  <si>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</si>
  <si>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102-403 단열작업(주방 우측방- 열반사+이보드)</t>
    <phoneticPr fontId="16" type="noConversion"/>
  </si>
  <si>
    <t xml:space="preserve"> 견적일 : 2025년  11월  06일</t>
    <phoneticPr fontId="16" type="noConversion"/>
  </si>
  <si>
    <t>사택 102-403 단열작업(주방 우측방- 열반사+이보드)</t>
    <phoneticPr fontId="18" type="noConversion"/>
  </si>
  <si>
    <t>2.작은방1</t>
    <phoneticPr fontId="12" type="noConversion"/>
  </si>
  <si>
    <t>3.폐기물 처리</t>
    <phoneticPr fontId="12" type="noConversion"/>
  </si>
  <si>
    <t>중밀도섬유판(시공량 : 165m), 설치수량 9m, /165=0.0546</t>
    <phoneticPr fontId="10" type="noConversion"/>
  </si>
  <si>
    <t>산업폐기물처리비=내부창호폐기물 적용</t>
    <phoneticPr fontId="10" type="noConversion"/>
  </si>
  <si>
    <t>(전체면적 3.7*h:2.5)=9.25</t>
    <phoneticPr fontId="10" type="noConversion"/>
  </si>
  <si>
    <t>바탕용(2겹) (시공량 : 30㎡),시공총량20/일당30=0.6667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</si>
</sst>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7" t="s">
        <v>6</v>
      </c>
      <c r="B2" s="157"/>
      <c r="C2" s="157"/>
      <c r="D2" s="157"/>
      <c r="E2" s="157"/>
      <c r="F2" s="157"/>
      <c r="G2" s="157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3" t="s">
        <v>129</v>
      </c>
      <c r="B7" s="164"/>
      <c r="C7" s="165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0" t="s">
        <v>130</v>
      </c>
      <c r="B9" s="161"/>
      <c r="C9" s="162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58"/>
      <c r="B11" s="159"/>
      <c r="C11" s="159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칠십사만사천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171667.65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464940.96529549995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636608.61529549991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20922.343438297496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16482.157219725475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2134.4393599544492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4695.9037494845497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16551.898364519799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127</v>
      </c>
      <c r="D26" s="33">
        <v>1</v>
      </c>
      <c r="E26" s="33" t="s">
        <v>25</v>
      </c>
      <c r="F26" s="46">
        <f>(F16+F17)*3.11%</f>
        <v>19798.527935690046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27276.31176815859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107861.58183583039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744470.19713133026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744000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zoomScale="90" zoomScaleNormal="90" workbookViewId="0">
      <selection activeCell="K24" sqref="K24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6"/>
      <c r="B1" s="166"/>
      <c r="C1" s="166"/>
      <c r="D1" s="166"/>
      <c r="E1" s="166"/>
      <c r="F1" s="166"/>
      <c r="G1" s="166"/>
      <c r="H1" s="166"/>
      <c r="I1" s="166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6"/>
      <c r="B2" s="166"/>
      <c r="C2" s="166"/>
      <c r="D2" s="166"/>
      <c r="E2" s="166"/>
      <c r="F2" s="166"/>
      <c r="G2" s="166"/>
      <c r="H2" s="166"/>
      <c r="I2" s="166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5" t="s">
        <v>86</v>
      </c>
      <c r="K3" s="175"/>
      <c r="L3" s="175" t="s">
        <v>47</v>
      </c>
      <c r="M3" s="175" t="s">
        <v>5</v>
      </c>
      <c r="N3" s="171" t="s">
        <v>87</v>
      </c>
      <c r="O3" s="171"/>
      <c r="P3" s="171" t="s">
        <v>88</v>
      </c>
      <c r="Q3" s="171"/>
      <c r="R3" s="172" t="s">
        <v>89</v>
      </c>
      <c r="S3" s="172"/>
      <c r="T3" s="172" t="s">
        <v>90</v>
      </c>
      <c r="U3" s="172"/>
      <c r="V3" s="173" t="s">
        <v>91</v>
      </c>
      <c r="W3" s="169" t="s">
        <v>92</v>
      </c>
      <c r="X3" s="167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6"/>
      <c r="M4" s="176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4"/>
      <c r="W4" s="170"/>
      <c r="X4" s="168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128</v>
      </c>
      <c r="L5" s="117" t="s">
        <v>106</v>
      </c>
      <c r="M5" s="118">
        <v>4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71876.800000000003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71876.800000000003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10</v>
      </c>
      <c r="N6" s="121">
        <v>6400</v>
      </c>
      <c r="O6" s="120">
        <f t="shared" si="1"/>
        <v>53440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53440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137</v>
      </c>
      <c r="L7" s="130" t="s">
        <v>113</v>
      </c>
      <c r="M7" s="118">
        <v>0.66669999999999996</v>
      </c>
      <c r="N7" s="131"/>
      <c r="O7" s="120">
        <f t="shared" si="1"/>
        <v>0</v>
      </c>
      <c r="P7" s="121">
        <v>652621</v>
      </c>
      <c r="Q7" s="120">
        <f t="shared" si="2"/>
        <v>363310.52128449996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363310.52128449996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9</v>
      </c>
      <c r="N8" s="131">
        <v>3510</v>
      </c>
      <c r="O8" s="120">
        <f t="shared" si="1"/>
        <v>26377.649999999998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26377.649999999998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134</v>
      </c>
      <c r="L9" s="117" t="s">
        <v>113</v>
      </c>
      <c r="M9" s="118">
        <v>5.4600000000000003E-2</v>
      </c>
      <c r="N9" s="119"/>
      <c r="O9" s="120">
        <f t="shared" si="1"/>
        <v>0</v>
      </c>
      <c r="P9" s="121">
        <v>652621</v>
      </c>
      <c r="Q9" s="120">
        <f t="shared" si="2"/>
        <v>29753.644010999997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29753.644010999997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10</v>
      </c>
      <c r="N10" s="121">
        <v>8000</v>
      </c>
      <c r="O10" s="120">
        <f t="shared" si="1"/>
        <v>66800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66800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135</v>
      </c>
      <c r="K11" s="116" t="s">
        <v>123</v>
      </c>
      <c r="L11" s="136" t="s">
        <v>59</v>
      </c>
      <c r="M11" s="118">
        <v>0.2</v>
      </c>
      <c r="N11" s="131">
        <v>150000</v>
      </c>
      <c r="O11" s="120">
        <f t="shared" si="1"/>
        <v>25050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25050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171667.65</v>
      </c>
      <c r="P12" s="103"/>
      <c r="Q12" s="102">
        <f>SUM(Q5:Q11)</f>
        <v>464940.96529549995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636608.61529550003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2"/>
  <sheetViews>
    <sheetView zoomScaleNormal="100" workbookViewId="0">
      <selection activeCell="D10" sqref="D10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4" s="68" customFormat="1" ht="26.25" customHeight="1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4" s="68" customFormat="1" ht="20.100000000000001" customHeight="1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4" s="68" customFormat="1" ht="20.100000000000001" customHeight="1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4" s="68" customFormat="1" ht="20.100000000000001" customHeight="1">
      <c r="A4" s="177" t="s">
        <v>131</v>
      </c>
      <c r="B4" s="178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4" s="146" customFormat="1" ht="20.100000000000001" customHeight="1">
      <c r="A5" s="137" t="s">
        <v>124</v>
      </c>
      <c r="B5" s="138" t="s">
        <v>125</v>
      </c>
      <c r="C5" s="139" t="s">
        <v>126</v>
      </c>
      <c r="D5" s="140">
        <v>4</v>
      </c>
      <c r="E5" s="141"/>
      <c r="F5" s="142">
        <f t="shared" ref="F5" si="0">D5*E5</f>
        <v>0</v>
      </c>
      <c r="G5" s="143">
        <v>17969</v>
      </c>
      <c r="H5" s="141">
        <f>D5*G5</f>
        <v>71876</v>
      </c>
      <c r="I5" s="141"/>
      <c r="J5" s="144"/>
      <c r="K5" s="141"/>
      <c r="L5" s="144"/>
      <c r="M5" s="145"/>
      <c r="N5" s="145">
        <f>F5+H5+J5+L5</f>
        <v>71876</v>
      </c>
    </row>
    <row r="6" spans="1:14" s="146" customFormat="1" ht="20.100000000000001" customHeight="1">
      <c r="A6" s="147" t="s">
        <v>132</v>
      </c>
      <c r="B6" s="111" t="s">
        <v>136</v>
      </c>
      <c r="C6" s="149"/>
      <c r="D6" s="140"/>
      <c r="E6" s="150"/>
      <c r="F6" s="151">
        <f t="shared" ref="F6:F11" si="1">D6*E6</f>
        <v>0</v>
      </c>
      <c r="G6" s="142"/>
      <c r="H6" s="141"/>
      <c r="I6" s="151"/>
      <c r="J6" s="151"/>
      <c r="K6" s="151"/>
      <c r="L6" s="151"/>
      <c r="M6" s="149"/>
      <c r="N6" s="145">
        <f t="shared" ref="N6:N11" si="2">F6+H6+J6+L6</f>
        <v>0</v>
      </c>
    </row>
    <row r="7" spans="1:14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10</v>
      </c>
      <c r="E7" s="142">
        <v>5344</v>
      </c>
      <c r="F7" s="142">
        <f t="shared" si="1"/>
        <v>53440</v>
      </c>
      <c r="G7" s="142"/>
      <c r="H7" s="141"/>
      <c r="I7" s="142"/>
      <c r="J7" s="142"/>
      <c r="K7" s="142"/>
      <c r="L7" s="142"/>
      <c r="M7" s="145"/>
      <c r="N7" s="145">
        <f t="shared" si="2"/>
        <v>53440</v>
      </c>
    </row>
    <row r="8" spans="1:14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10</v>
      </c>
      <c r="E8" s="153">
        <v>6680</v>
      </c>
      <c r="F8" s="142">
        <f t="shared" si="1"/>
        <v>66800</v>
      </c>
      <c r="G8" s="142"/>
      <c r="H8" s="141">
        <f t="shared" ref="H8:H10" si="3">D8*G8</f>
        <v>0</v>
      </c>
      <c r="I8" s="142"/>
      <c r="J8" s="142"/>
      <c r="K8" s="142"/>
      <c r="L8" s="142"/>
      <c r="M8" s="145"/>
      <c r="N8" s="145">
        <f t="shared" si="2"/>
        <v>66800</v>
      </c>
    </row>
    <row r="9" spans="1:14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20</v>
      </c>
      <c r="E9" s="142"/>
      <c r="F9" s="142">
        <f t="shared" si="1"/>
        <v>0</v>
      </c>
      <c r="G9" s="142">
        <v>18165</v>
      </c>
      <c r="H9" s="141">
        <f t="shared" si="3"/>
        <v>363300</v>
      </c>
      <c r="I9" s="142"/>
      <c r="J9" s="142"/>
      <c r="K9" s="142"/>
      <c r="L9" s="142"/>
      <c r="M9" s="145"/>
      <c r="N9" s="145">
        <f t="shared" si="2"/>
        <v>363300</v>
      </c>
    </row>
    <row r="10" spans="1:14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9</v>
      </c>
      <c r="E10" s="153">
        <v>2931</v>
      </c>
      <c r="F10" s="142">
        <f t="shared" si="1"/>
        <v>26379</v>
      </c>
      <c r="G10" s="142">
        <v>3302</v>
      </c>
      <c r="H10" s="141">
        <f t="shared" si="3"/>
        <v>29718</v>
      </c>
      <c r="I10" s="142"/>
      <c r="J10" s="142"/>
      <c r="K10" s="142"/>
      <c r="L10" s="142"/>
      <c r="M10" s="145"/>
      <c r="N10" s="145">
        <f t="shared" si="2"/>
        <v>56097</v>
      </c>
    </row>
    <row r="11" spans="1:14" s="146" customFormat="1" ht="20.100000000000001" customHeight="1">
      <c r="A11" s="147" t="s">
        <v>133</v>
      </c>
      <c r="B11" s="154" t="s">
        <v>82</v>
      </c>
      <c r="C11" s="154" t="s">
        <v>83</v>
      </c>
      <c r="D11" s="155">
        <v>0.2</v>
      </c>
      <c r="E11" s="142">
        <v>125250</v>
      </c>
      <c r="F11" s="142">
        <f t="shared" si="1"/>
        <v>25050</v>
      </c>
      <c r="G11" s="142"/>
      <c r="H11" s="141"/>
      <c r="I11" s="142"/>
      <c r="J11" s="142">
        <f>D11*I11</f>
        <v>0</v>
      </c>
      <c r="K11" s="142"/>
      <c r="L11" s="142"/>
      <c r="M11" s="145"/>
      <c r="N11" s="145">
        <f t="shared" si="2"/>
        <v>25050</v>
      </c>
    </row>
    <row r="12" spans="1:14" s="68" customFormat="1" ht="20.100000000000001" customHeight="1">
      <c r="A12" s="107" t="s">
        <v>69</v>
      </c>
      <c r="B12" s="74"/>
      <c r="C12" s="75"/>
      <c r="D12" s="76"/>
      <c r="E12" s="77"/>
      <c r="F12" s="78">
        <f>SUM(F5:F11)</f>
        <v>171669</v>
      </c>
      <c r="G12" s="77"/>
      <c r="H12" s="78">
        <f>SUM(H5:H11)</f>
        <v>464894</v>
      </c>
      <c r="I12" s="77"/>
      <c r="J12" s="78">
        <f>SUM(J5:J11)</f>
        <v>0</v>
      </c>
      <c r="K12" s="77"/>
      <c r="L12" s="78">
        <f>SUM(L5:L11)</f>
        <v>0</v>
      </c>
      <c r="M12" s="79"/>
      <c r="N12" s="78">
        <f>SUM(N5:N11)</f>
        <v>636563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4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10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0.66669999999999996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9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5.4600000000000003E-2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10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0.2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2025-11-06T05:41:17Z</dcterms:modified>
</cp:coreProperties>
</file>
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480DE8F2-58F3-49B4-8E21-EEBF8F99953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D7" i="9"/>
  <c r="Q5" i="9" s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5" i="9"/>
  <c r="F5" i="9"/>
  <c r="J30" i="9" l="1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5" i="5"/>
  <c r="F24" i="5"/>
  <c r="F22" i="5"/>
  <c r="F23" i="5" s="1"/>
  <c r="Q11" i="4"/>
  <c r="K11" i="4"/>
  <c r="F16" i="5" s="1"/>
  <c r="F26" i="5" s="1"/>
  <c r="O11" i="4"/>
  <c r="F27" i="5" l="1"/>
  <c r="F18" i="5"/>
  <c r="R11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<sst xmlns="http://schemas.openxmlformats.org/spreadsheetml/2006/main" count="213" uniqueCount="153">
  <si>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</si>
  <si>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</si>
  <si>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</si>
  <si>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</si>
  <si>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</si>
  <si>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</si>
  <si>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</si>
  <si>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</si>
  <si>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</si>
  <si>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</si>
  <si>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</si>
  <si>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</si>
  <si>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</si>
  <si>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</si>
  <si>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</si>
  <si>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</si>
  <si>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</si>
  <si>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</si>
  <si>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</si>
  <si>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</si>
  <si>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</si>
  <si>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</si>
  <si>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</si>
  <si>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</si>
  <si>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</si>
  <si>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</si>
  <si>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</si>
  <si>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</si>
  <si>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</si>
  <si>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</si>
  <si>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</si>
  <si>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</si>
  <si>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</si>
  <si>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</si>
  <si>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</si>
  <si>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</si>
  <si>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</si>
  <si>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</si>
  <si>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</si>
  <si>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</si>
  <si>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</si>
  <si>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</si>
  <si>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</si>
  <si>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</si>
  <si>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</si>
  <si>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</si>
  <si>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</si>
  <si>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</si>
  <si>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</si>
  <si>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</si>
  <si>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</si>
  <si>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</si>
  <si>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</si>
  <si>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</si>
  <si>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</si>
  <si>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</si>
  <si>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</si>
  <si>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</si>
  <si>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</si>
  <si>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</si>
  <si>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</si>
  <si>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</si>
  <si>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</si>
  <si>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</si>
  <si>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</si>
  <si>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</si>
  <si>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</si>
  <si>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</si>
  <si>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</si>
  <si>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</si>
  <si>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</si>
  <si>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</si>
  <si>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</si>
  <si>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</si>
  <si>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</si>
  <si>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</si>
  <si>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</si>
  <si>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</si>
  <si>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</si>
  <si>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</si>
  <si>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</si>
  <si>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</si>
  <si>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</si>
  <si>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</si>
  <si>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</si>
  <si>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</si>
  <si>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</si>
  <si>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</si>
  <si>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</si>
  <si>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</si>
  <si>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</si>
  <si>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</si>
  <si>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</si>
  <si>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</si>
  <si>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</si>
  <si>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</si>
  <si>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</si>
  <si>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</si>
  <si>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</si>
  <si>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</si>
  <si>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</si>
  <si>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</si>
  <si>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</si>
  <si>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</si>
  <si>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</si>
  <si>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</si>
  <si>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</si>
  <si>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</si>
  <si>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</si>
  <si>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</si>
  <si>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</si>
  <si>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</si>
  <si>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</si>
  <si>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</si>
  <si>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</si>
  <si>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</si>
  <si>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</si>
  <si>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</si>
  <si>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</si>
  <si>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</si>
  <si>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</si>
  <si>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</si>
  <si>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</si>
  <si>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</si>
  <si>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</si>
  <si>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</si>
  <si>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</si>
  <si>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</si>
  <si>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</si>
  <si>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</si>
  <si>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</si>
  <si>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</si>
  <si>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</si>
  <si>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</si>
  <si>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</si>
  <si>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</si>
  <si>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</si>
  <si>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</si>
  <si>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5" type="noConversion"/>
  </si>
  <si>
    <t>입주청소</t>
  </si>
  <si>
    <t>전체면적</t>
    <phoneticPr fontId="5" type="noConversion"/>
  </si>
  <si>
    <t>(바닥면적 ㎡당)</t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</si>
  <si>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</si>
  <si>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</si>
  <si>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</si>
  <si>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</si>
  <si>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</si>
  <si>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2-408 수장작업</t>
    <phoneticPr fontId="11" type="noConversion"/>
  </si>
  <si>
    <t xml:space="preserve"> 견적일 : 2026년  07월  14일</t>
    <phoneticPr fontId="5" type="noConversion"/>
  </si>
  <si>
    <t>사택 2-408 수장작업</t>
    <phoneticPr fontId="5" type="noConversion"/>
  </si>
  <si>
    <t>기타작업 전환-도색(방2곳(문,문틀), 뒤베란다(문,문틀), 앞,뒤베란다(크랙보수포함), 현관 방화문 내부</t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</si>
  <si>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시공총량24/일당35=0.685</t>
    </r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</si>
  <si>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소요량124/16.51=7.51R/L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</si>
</sst>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1" fillId="0" borderId="31" xfId="13" applyNumberFormat="1" applyFont="1" applyFill="1" applyBorder="1" applyAlignment="1">
      <alignment horizontal="center" vertical="center"/>
    </xf>
    <xf numFmtId="189" fontId="26" fillId="0" borderId="31" xfId="13" applyNumberFormat="1" applyFont="1" applyFill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5" fillId="7" borderId="31" xfId="13" applyNumberFormat="1" applyFont="1" applyFill="1" applyBorder="1" applyAlignment="1">
      <alignment horizontal="center" vertical="center"/>
    </xf>
    <xf numFmtId="177" fontId="25" fillId="7" borderId="31" xfId="13" applyFont="1" applyFill="1" applyBorder="1" applyAlignment="1">
      <alignment horizontal="center" vertical="center"/>
    </xf>
    <xf numFmtId="189" fontId="26" fillId="7" borderId="31" xfId="13" applyNumberFormat="1" applyFont="1" applyFill="1" applyBorder="1" applyAlignment="1">
      <alignment horizontal="center" vertical="center"/>
    </xf>
    <xf numFmtId="183" fontId="32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26" fillId="5" borderId="38" xfId="13" applyNumberFormat="1" applyFont="1" applyFill="1" applyBorder="1" applyAlignment="1">
      <alignment horizontal="center" vertical="center" wrapText="1"/>
    </xf>
    <xf numFmtId="183" fontId="26" fillId="5" borderId="39" xfId="13" applyNumberFormat="1" applyFont="1" applyFill="1" applyBorder="1" applyAlignment="1">
      <alignment horizontal="center" vertical="center" wrapText="1"/>
    </xf>
    <xf numFmtId="183" fontId="26" fillId="5" borderId="40" xfId="13" applyNumberFormat="1" applyFont="1" applyFill="1" applyBorder="1" applyAlignment="1">
      <alignment horizontal="center" vertical="center" wrapText="1"/>
    </xf>
    <xf numFmtId="183" fontId="26" fillId="5" borderId="41" xfId="13" applyNumberFormat="1" applyFont="1" applyFill="1" applyBorder="1" applyAlignment="1">
      <alignment horizontal="center" vertical="center" wrapText="1"/>
    </xf>
    <xf numFmtId="183" fontId="26" fillId="5" borderId="0" xfId="13" applyNumberFormat="1" applyFont="1" applyFill="1" applyBorder="1" applyAlignment="1">
      <alignment horizontal="center" vertical="center" wrapText="1"/>
    </xf>
    <xf numFmtId="183" fontId="26" fillId="5" borderId="42" xfId="13" applyNumberFormat="1" applyFont="1" applyFill="1" applyBorder="1" applyAlignment="1">
      <alignment horizontal="center" vertical="center" wrapText="1"/>
    </xf>
    <xf numFmtId="183" fontId="26" fillId="5" borderId="43" xfId="13" applyNumberFormat="1" applyFont="1" applyFill="1" applyBorder="1" applyAlignment="1">
      <alignment horizontal="center" vertical="center" wrapText="1"/>
    </xf>
    <xf numFmtId="183" fontId="26" fillId="5" borderId="30" xfId="13" applyNumberFormat="1" applyFont="1" applyFill="1" applyBorder="1" applyAlignment="1">
      <alignment horizontal="center" vertical="center" wrapText="1"/>
    </xf>
    <xf numFmtId="183" fontId="26" fillId="5" borderId="44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9D7927-E218-4A33-A8C7-9739226603D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6" sqref="N1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2" t="s">
        <v>6</v>
      </c>
      <c r="B2" s="182"/>
      <c r="C2" s="182"/>
      <c r="D2" s="182"/>
      <c r="E2" s="182"/>
      <c r="F2" s="182"/>
      <c r="G2" s="182"/>
      <c r="H2" s="2"/>
    </row>
    <row r="3" spans="1:9" ht="14.25">
      <c r="A3" s="107"/>
      <c r="B3" s="107"/>
      <c r="C3" s="107"/>
      <c r="D3" s="107"/>
      <c r="E3" s="107"/>
      <c r="F3" s="107"/>
      <c r="G3" s="107"/>
      <c r="H3" s="107"/>
    </row>
    <row r="4" spans="1:9" ht="14.25">
      <c r="A4" s="107"/>
      <c r="B4" s="107"/>
      <c r="C4" s="107"/>
      <c r="D4" s="107"/>
      <c r="E4" s="107"/>
      <c r="H4" s="107"/>
    </row>
    <row r="5" spans="1:9" ht="27" customHeight="1">
      <c r="A5" s="108" t="s">
        <v>47</v>
      </c>
      <c r="B5" s="4"/>
      <c r="C5" s="5"/>
      <c r="D5" s="107"/>
      <c r="E5" s="107"/>
      <c r="F5" s="6" t="s">
        <v>37</v>
      </c>
      <c r="G5" s="7" t="s">
        <v>49</v>
      </c>
      <c r="H5" s="107"/>
    </row>
    <row r="6" spans="1:9" ht="27" customHeight="1">
      <c r="A6" s="107"/>
      <c r="B6" s="107"/>
      <c r="C6" s="107"/>
      <c r="D6" s="107"/>
      <c r="E6" s="107"/>
      <c r="F6" s="8" t="s">
        <v>40</v>
      </c>
      <c r="G6" s="9" t="s">
        <v>50</v>
      </c>
      <c r="H6" s="107"/>
    </row>
    <row r="7" spans="1:9" ht="27" customHeight="1">
      <c r="A7" s="185" t="s">
        <v>147</v>
      </c>
      <c r="B7" s="186"/>
      <c r="C7" s="187"/>
      <c r="D7" s="107"/>
      <c r="E7" s="10"/>
      <c r="F7" s="11" t="s">
        <v>41</v>
      </c>
      <c r="G7" s="9" t="s">
        <v>51</v>
      </c>
      <c r="H7" s="107"/>
    </row>
    <row r="8" spans="1:9" ht="27" customHeight="1">
      <c r="A8" s="107"/>
      <c r="B8" s="107"/>
      <c r="C8" s="107"/>
      <c r="D8" s="107"/>
      <c r="E8" s="107"/>
      <c r="F8" s="8" t="s">
        <v>42</v>
      </c>
      <c r="G8" s="9" t="s">
        <v>52</v>
      </c>
      <c r="H8" s="107"/>
    </row>
    <row r="9" spans="1:9" ht="27" customHeight="1">
      <c r="A9" s="108" t="s">
        <v>148</v>
      </c>
      <c r="B9" s="159"/>
      <c r="C9" s="160"/>
      <c r="D9" s="107"/>
      <c r="E9" s="107"/>
      <c r="F9" s="8" t="s">
        <v>43</v>
      </c>
      <c r="G9" s="9" t="s">
        <v>53</v>
      </c>
      <c r="H9" s="107"/>
    </row>
    <row r="10" spans="1:9" ht="27" customHeight="1">
      <c r="A10" s="107"/>
      <c r="B10" s="107"/>
      <c r="C10" s="107"/>
      <c r="D10" s="107"/>
      <c r="E10" s="107"/>
      <c r="F10" s="12" t="s">
        <v>38</v>
      </c>
      <c r="G10" s="13" t="s">
        <v>54</v>
      </c>
      <c r="H10" s="107"/>
      <c r="I10" s="107"/>
    </row>
    <row r="11" spans="1:9" ht="27" customHeight="1">
      <c r="A11" s="183"/>
      <c r="B11" s="184"/>
      <c r="C11" s="184"/>
      <c r="D11" s="107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이백팔십이만이천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07"/>
      <c r="B13" s="107"/>
      <c r="C13" s="107"/>
      <c r="D13" s="107"/>
      <c r="E13" s="107"/>
      <c r="F13" s="107"/>
      <c r="G13" s="10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560918.76500000001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1833701.4961600001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2394620.2611600002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142</v>
      </c>
      <c r="D21" s="168">
        <v>1</v>
      </c>
      <c r="E21" s="168" t="s">
        <v>24</v>
      </c>
      <c r="F21" s="169">
        <f>F17*4.75%</f>
        <v>87100.821067600002</v>
      </c>
      <c r="G21" s="35" t="s">
        <v>25</v>
      </c>
    </row>
    <row r="22" spans="1:7" ht="33" customHeight="1">
      <c r="A22" s="29"/>
      <c r="B22" s="170" t="s">
        <v>26</v>
      </c>
      <c r="C22" s="167" t="s">
        <v>143</v>
      </c>
      <c r="D22" s="171">
        <v>1</v>
      </c>
      <c r="E22" s="171" t="s">
        <v>24</v>
      </c>
      <c r="F22" s="172">
        <f>F17*3.595%</f>
        <v>65921.568786952004</v>
      </c>
      <c r="G22" s="42" t="s">
        <v>27</v>
      </c>
    </row>
    <row r="23" spans="1:7" ht="33" customHeight="1">
      <c r="A23" s="29"/>
      <c r="B23" s="166" t="s">
        <v>28</v>
      </c>
      <c r="C23" s="173" t="s">
        <v>144</v>
      </c>
      <c r="D23" s="168">
        <v>1</v>
      </c>
      <c r="E23" s="168" t="s">
        <v>24</v>
      </c>
      <c r="F23" s="174">
        <f>F22*13.14%</f>
        <v>8662.0941386054947</v>
      </c>
      <c r="G23" s="35" t="s">
        <v>27</v>
      </c>
    </row>
    <row r="24" spans="1:7" ht="33" customHeight="1">
      <c r="A24" s="29"/>
      <c r="B24" s="166" t="s">
        <v>29</v>
      </c>
      <c r="C24" s="173" t="s">
        <v>45</v>
      </c>
      <c r="D24" s="168">
        <v>1</v>
      </c>
      <c r="E24" s="168" t="s">
        <v>24</v>
      </c>
      <c r="F24" s="174">
        <f>F17*1.01%</f>
        <v>18520.385111216001</v>
      </c>
      <c r="G24" s="35" t="s">
        <v>27</v>
      </c>
    </row>
    <row r="25" spans="1:7" ht="33" customHeight="1">
      <c r="A25" s="29"/>
      <c r="B25" s="166" t="s">
        <v>30</v>
      </c>
      <c r="C25" s="173" t="s">
        <v>48</v>
      </c>
      <c r="D25" s="168">
        <v>1</v>
      </c>
      <c r="E25" s="168" t="s">
        <v>24</v>
      </c>
      <c r="F25" s="174">
        <f>F17*3.56%</f>
        <v>65279.773263296003</v>
      </c>
      <c r="G25" s="35" t="s">
        <v>27</v>
      </c>
    </row>
    <row r="26" spans="1:7" ht="33" customHeight="1">
      <c r="A26" s="29"/>
      <c r="B26" s="166" t="s">
        <v>31</v>
      </c>
      <c r="C26" s="175" t="s">
        <v>126</v>
      </c>
      <c r="D26" s="168">
        <v>1</v>
      </c>
      <c r="E26" s="168" t="s">
        <v>24</v>
      </c>
      <c r="F26" s="174">
        <f>(F16+F17)*3.11%</f>
        <v>74472.690122076005</v>
      </c>
      <c r="G26" s="35" t="s">
        <v>25</v>
      </c>
    </row>
    <row r="27" spans="1:7" ht="33" customHeight="1">
      <c r="A27" s="29"/>
      <c r="B27" s="166" t="s">
        <v>35</v>
      </c>
      <c r="C27" s="175" t="s">
        <v>36</v>
      </c>
      <c r="D27" s="168">
        <v>1</v>
      </c>
      <c r="E27" s="168" t="s">
        <v>24</v>
      </c>
      <c r="F27" s="174">
        <f>SUM(F17+F21+F22+F23+F24+F25+F26)*5%</f>
        <v>107682.94143248729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427640.27392223274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2822260.5350822331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2822000</v>
      </c>
      <c r="G31" s="136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I7" sqref="I7"/>
    </sheetView>
  </sheetViews>
  <sheetFormatPr defaultColWidth="9" defaultRowHeight="38.1" customHeight="1"/>
  <cols>
    <col min="1" max="1" width="22.625" style="131" bestFit="1" customWidth="1"/>
    <col min="2" max="2" width="9" style="120" customWidth="1"/>
    <col min="3" max="5" width="12.625" style="120" customWidth="1"/>
    <col min="6" max="7" width="30.625" style="116" customWidth="1"/>
    <col min="8" max="8" width="12.375" style="120" bestFit="1" customWidth="1"/>
    <col min="9" max="9" width="8.25" style="120" customWidth="1"/>
    <col min="10" max="10" width="10.625" style="120" bestFit="1" customWidth="1"/>
    <col min="11" max="11" width="13.25" style="120" bestFit="1" customWidth="1"/>
    <col min="12" max="12" width="12" style="120" bestFit="1" customWidth="1"/>
    <col min="13" max="13" width="15.625" style="120" bestFit="1" customWidth="1"/>
    <col min="14" max="14" width="9" style="120" customWidth="1"/>
    <col min="15" max="15" width="8.75" style="120" bestFit="1" customWidth="1"/>
    <col min="16" max="16" width="10.5" style="120" customWidth="1"/>
    <col min="17" max="17" width="8.75" style="120" bestFit="1" customWidth="1"/>
    <col min="18" max="18" width="15.625" style="120" bestFit="1" customWidth="1"/>
    <col min="19" max="19" width="10.625" style="59" bestFit="1" customWidth="1"/>
    <col min="20" max="20" width="8.5" style="120" bestFit="1" customWidth="1"/>
    <col min="21" max="16384" width="9" style="120"/>
  </cols>
  <sheetData>
    <row r="1" spans="1:20" ht="19.899999999999999" customHeight="1">
      <c r="A1" s="188"/>
      <c r="B1" s="188"/>
      <c r="C1" s="188"/>
      <c r="D1" s="188"/>
      <c r="E1" s="188"/>
      <c r="J1" s="59"/>
      <c r="K1" s="119" t="s">
        <v>93</v>
      </c>
      <c r="M1" s="119" t="s">
        <v>93</v>
      </c>
      <c r="O1" s="119" t="s">
        <v>93</v>
      </c>
      <c r="Q1" s="119" t="s">
        <v>93</v>
      </c>
    </row>
    <row r="2" spans="1:20" ht="19.899999999999999" customHeight="1" thickBot="1">
      <c r="A2" s="188"/>
      <c r="B2" s="188"/>
      <c r="C2" s="188"/>
      <c r="D2" s="188"/>
      <c r="E2" s="188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1"/>
      <c r="B3" s="122" t="s">
        <v>94</v>
      </c>
      <c r="C3" s="122"/>
      <c r="D3" s="122"/>
      <c r="E3" s="122"/>
      <c r="F3" s="199" t="s">
        <v>95</v>
      </c>
      <c r="G3" s="199"/>
      <c r="H3" s="197" t="s">
        <v>46</v>
      </c>
      <c r="I3" s="197" t="s">
        <v>5</v>
      </c>
      <c r="J3" s="193" t="s">
        <v>96</v>
      </c>
      <c r="K3" s="193"/>
      <c r="L3" s="193" t="s">
        <v>97</v>
      </c>
      <c r="M3" s="193"/>
      <c r="N3" s="194" t="s">
        <v>98</v>
      </c>
      <c r="O3" s="194"/>
      <c r="P3" s="194" t="s">
        <v>99</v>
      </c>
      <c r="Q3" s="194"/>
      <c r="R3" s="195" t="s">
        <v>100</v>
      </c>
      <c r="S3" s="191" t="s">
        <v>101</v>
      </c>
      <c r="T3" s="189" t="s">
        <v>44</v>
      </c>
    </row>
    <row r="4" spans="1:20" ht="19.899999999999999" customHeight="1">
      <c r="A4" s="62" t="s">
        <v>102</v>
      </c>
      <c r="B4" s="63" t="s">
        <v>103</v>
      </c>
      <c r="C4" s="63" t="s">
        <v>104</v>
      </c>
      <c r="D4" s="63" t="s">
        <v>105</v>
      </c>
      <c r="E4" s="63" t="s">
        <v>106</v>
      </c>
      <c r="F4" s="117" t="s">
        <v>107</v>
      </c>
      <c r="G4" s="117" t="s">
        <v>108</v>
      </c>
      <c r="H4" s="198"/>
      <c r="I4" s="198"/>
      <c r="J4" s="64" t="s">
        <v>109</v>
      </c>
      <c r="K4" s="65" t="s">
        <v>110</v>
      </c>
      <c r="L4" s="64" t="s">
        <v>111</v>
      </c>
      <c r="M4" s="65" t="s">
        <v>110</v>
      </c>
      <c r="N4" s="65" t="s">
        <v>112</v>
      </c>
      <c r="O4" s="65" t="s">
        <v>110</v>
      </c>
      <c r="P4" s="65" t="s">
        <v>112</v>
      </c>
      <c r="Q4" s="65" t="s">
        <v>110</v>
      </c>
      <c r="R4" s="196"/>
      <c r="S4" s="192"/>
      <c r="T4" s="190"/>
    </row>
    <row r="5" spans="1:20" s="123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127</v>
      </c>
      <c r="E5" s="91"/>
      <c r="F5" s="144" t="s">
        <v>128</v>
      </c>
      <c r="G5" s="145" t="s">
        <v>152</v>
      </c>
      <c r="H5" s="146" t="s">
        <v>134</v>
      </c>
      <c r="I5" s="138">
        <v>7.51</v>
      </c>
      <c r="J5" s="161">
        <v>20900</v>
      </c>
      <c r="K5" s="113">
        <f t="shared" ref="K5" si="1">SUM(J5:J5)*I5*$K$2</f>
        <v>131060.765</v>
      </c>
      <c r="L5" s="112"/>
      <c r="M5" s="113">
        <f t="shared" ref="M5" si="2">(L5*I5)*$M$2</f>
        <v>0</v>
      </c>
      <c r="N5" s="114"/>
      <c r="O5" s="113">
        <f t="shared" ref="O5" si="3">N5*I5*$O$2</f>
        <v>0</v>
      </c>
      <c r="P5" s="114"/>
      <c r="Q5" s="113">
        <f t="shared" ref="Q5" si="4">P5*I5*$Q$2</f>
        <v>0</v>
      </c>
      <c r="R5" s="69">
        <f t="shared" ref="R5" si="5">SUM(K5+M5)+O5+Q5</f>
        <v>131060.765</v>
      </c>
      <c r="S5" s="105"/>
      <c r="T5" s="70"/>
    </row>
    <row r="6" spans="1:20" s="123" customFormat="1" ht="38.1" customHeight="1">
      <c r="A6" s="66" t="str">
        <f t="shared" ref="A6" si="6">B6&amp;C6&amp;D6&amp;E6</f>
        <v>E00000803071260301</v>
      </c>
      <c r="B6" s="91"/>
      <c r="C6" s="67" t="s">
        <v>113</v>
      </c>
      <c r="D6" s="67"/>
      <c r="E6" s="91"/>
      <c r="F6" s="144" t="s">
        <v>115</v>
      </c>
      <c r="G6" s="145" t="s">
        <v>138</v>
      </c>
      <c r="H6" s="144" t="s">
        <v>114</v>
      </c>
      <c r="I6" s="132">
        <v>2.1739999999999999</v>
      </c>
      <c r="J6" s="115"/>
      <c r="K6" s="113">
        <f t="shared" ref="K6" si="7">SUM(J6:J6)*I6*$K$2</f>
        <v>0</v>
      </c>
      <c r="L6" s="163">
        <v>510462</v>
      </c>
      <c r="M6" s="113">
        <f t="shared" ref="M6" si="8">(L6*I6)*$M$2</f>
        <v>926636.56397999998</v>
      </c>
      <c r="N6" s="114"/>
      <c r="O6" s="113">
        <f t="shared" ref="O6" si="9">N6*I6*$O$2</f>
        <v>0</v>
      </c>
      <c r="P6" s="114"/>
      <c r="Q6" s="113">
        <f t="shared" ref="Q6" si="10">P6*I6*$Q$2</f>
        <v>0</v>
      </c>
      <c r="R6" s="69">
        <f t="shared" ref="R6" si="11">SUM(K6+M6)+O6+Q6</f>
        <v>926636.56397999998</v>
      </c>
      <c r="S6" s="105"/>
      <c r="T6" s="70"/>
    </row>
    <row r="7" spans="1:20" s="123" customFormat="1" ht="38.1" customHeight="1">
      <c r="A7" s="66" t="str">
        <f t="shared" ref="A7:A8" si="12">B7&amp;C7&amp;D7&amp;E7</f>
        <v>E00000803071260301</v>
      </c>
      <c r="B7" s="91"/>
      <c r="C7" s="67" t="s">
        <v>113</v>
      </c>
      <c r="D7" s="67"/>
      <c r="E7" s="91"/>
      <c r="F7" s="144" t="s">
        <v>116</v>
      </c>
      <c r="G7" s="145" t="s">
        <v>151</v>
      </c>
      <c r="H7" s="144" t="s">
        <v>114</v>
      </c>
      <c r="I7" s="132">
        <v>0.68500000000000005</v>
      </c>
      <c r="J7" s="115"/>
      <c r="K7" s="113">
        <f t="shared" ref="K7:K9" si="13">SUM(J7:J7)*I7*$K$2</f>
        <v>0</v>
      </c>
      <c r="L7" s="163">
        <v>510462</v>
      </c>
      <c r="M7" s="113">
        <f t="shared" ref="M7:M10" si="14">(L7*I7)*$M$2</f>
        <v>291971.50245000003</v>
      </c>
      <c r="N7" s="114"/>
      <c r="O7" s="113">
        <f t="shared" ref="O7:O10" si="15">N7*I7*$O$2</f>
        <v>0</v>
      </c>
      <c r="P7" s="114"/>
      <c r="Q7" s="113">
        <f t="shared" ref="Q7:Q10" si="16">P7*I7*$Q$2</f>
        <v>0</v>
      </c>
      <c r="R7" s="69">
        <f t="shared" ref="R7:R10" si="17">SUM(K7+M7)+O7+Q7</f>
        <v>291971.50245000003</v>
      </c>
      <c r="S7" s="105"/>
      <c r="T7" s="70"/>
    </row>
    <row r="8" spans="1:20" s="123" customFormat="1" ht="38.1" customHeight="1">
      <c r="A8" s="66" t="str">
        <f t="shared" si="12"/>
        <v>M020809012520101</v>
      </c>
      <c r="B8" s="91"/>
      <c r="C8" s="67"/>
      <c r="D8" s="67" t="s">
        <v>130</v>
      </c>
      <c r="E8" s="91"/>
      <c r="F8" s="144" t="s">
        <v>131</v>
      </c>
      <c r="G8" s="144" t="s">
        <v>132</v>
      </c>
      <c r="H8" s="147" t="s">
        <v>129</v>
      </c>
      <c r="I8" s="132">
        <v>39.6</v>
      </c>
      <c r="J8" s="162">
        <v>13000</v>
      </c>
      <c r="K8" s="113">
        <f t="shared" si="13"/>
        <v>429858</v>
      </c>
      <c r="L8" s="112"/>
      <c r="M8" s="113">
        <f t="shared" si="14"/>
        <v>0</v>
      </c>
      <c r="N8" s="114"/>
      <c r="O8" s="113">
        <f t="shared" si="15"/>
        <v>0</v>
      </c>
      <c r="P8" s="114"/>
      <c r="Q8" s="113">
        <f t="shared" si="16"/>
        <v>0</v>
      </c>
      <c r="R8" s="69">
        <f t="shared" si="17"/>
        <v>429858</v>
      </c>
      <c r="S8" s="105"/>
      <c r="T8" s="70"/>
    </row>
    <row r="9" spans="1:20" s="123" customFormat="1" ht="38.1" customHeight="1">
      <c r="A9" s="66" t="str">
        <f t="shared" ref="A9:A10" si="18">B9&amp;C9&amp;D9&amp;E9</f>
        <v>E00000803071260401</v>
      </c>
      <c r="B9" s="91"/>
      <c r="C9" s="67" t="s">
        <v>117</v>
      </c>
      <c r="D9" s="67"/>
      <c r="E9" s="91"/>
      <c r="F9" s="144" t="s">
        <v>118</v>
      </c>
      <c r="G9" s="144" t="s">
        <v>135</v>
      </c>
      <c r="H9" s="144" t="s">
        <v>114</v>
      </c>
      <c r="I9" s="132">
        <v>0.64900000000000002</v>
      </c>
      <c r="J9" s="115"/>
      <c r="K9" s="113">
        <f t="shared" si="13"/>
        <v>0</v>
      </c>
      <c r="L9" s="163">
        <v>510462</v>
      </c>
      <c r="M9" s="113">
        <f t="shared" si="14"/>
        <v>276627.01473</v>
      </c>
      <c r="N9" s="114"/>
      <c r="O9" s="113">
        <f t="shared" si="15"/>
        <v>0</v>
      </c>
      <c r="P9" s="114"/>
      <c r="Q9" s="113">
        <f t="shared" si="16"/>
        <v>0</v>
      </c>
      <c r="R9" s="69">
        <f t="shared" si="17"/>
        <v>276627.01473</v>
      </c>
      <c r="S9" s="105"/>
      <c r="T9" s="70"/>
    </row>
    <row r="10" spans="1:20" s="123" customFormat="1" ht="38.1" customHeight="1">
      <c r="A10" s="66" t="str">
        <f t="shared" si="18"/>
        <v>E00000801011510701</v>
      </c>
      <c r="B10" s="91"/>
      <c r="C10" s="67" t="s">
        <v>133</v>
      </c>
      <c r="D10" s="67"/>
      <c r="E10" s="91"/>
      <c r="F10" s="156" t="s">
        <v>139</v>
      </c>
      <c r="G10" s="157" t="s">
        <v>140</v>
      </c>
      <c r="H10" s="158" t="s">
        <v>141</v>
      </c>
      <c r="I10" s="132">
        <v>79</v>
      </c>
      <c r="J10" s="124"/>
      <c r="K10" s="68">
        <f t="shared" ref="K10" si="19">SUM(J10:J10)*I10*$K$2</f>
        <v>0</v>
      </c>
      <c r="L10" s="163">
        <v>5131</v>
      </c>
      <c r="M10" s="68">
        <f t="shared" si="14"/>
        <v>338466.41499999998</v>
      </c>
      <c r="N10" s="69"/>
      <c r="O10" s="68">
        <f t="shared" si="15"/>
        <v>0</v>
      </c>
      <c r="P10" s="69"/>
      <c r="Q10" s="68">
        <f t="shared" si="16"/>
        <v>0</v>
      </c>
      <c r="R10" s="69">
        <f t="shared" si="17"/>
        <v>338466.41499999998</v>
      </c>
      <c r="S10" s="105"/>
      <c r="T10" s="70"/>
    </row>
    <row r="11" spans="1:20" s="130" customFormat="1" ht="38.1" customHeight="1">
      <c r="A11" s="125"/>
      <c r="B11" s="126"/>
      <c r="C11" s="126"/>
      <c r="D11" s="126"/>
      <c r="E11" s="126"/>
      <c r="F11" s="118"/>
      <c r="G11" s="118"/>
      <c r="H11" s="126"/>
      <c r="I11" s="126"/>
      <c r="J11" s="126"/>
      <c r="K11" s="127">
        <f>SUM(K5:K10)</f>
        <v>560918.76500000001</v>
      </c>
      <c r="L11" s="128"/>
      <c r="M11" s="127">
        <f>SUM(M5:M10)</f>
        <v>1833701.4961600001</v>
      </c>
      <c r="N11" s="128"/>
      <c r="O11" s="127">
        <f>SUM(O5:O10)</f>
        <v>0</v>
      </c>
      <c r="P11" s="128"/>
      <c r="Q11" s="127">
        <f>SUM(Q5:Q10)</f>
        <v>0</v>
      </c>
      <c r="R11" s="129">
        <f>SUM(R5:R10)</f>
        <v>2394620.2611599998</v>
      </c>
      <c r="S11" s="99"/>
      <c r="T11" s="126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zoomScaleNormal="100" workbookViewId="0">
      <selection activeCell="Q18" sqref="Q18"/>
    </sheetView>
  </sheetViews>
  <sheetFormatPr defaultColWidth="9" defaultRowHeight="14.2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202" t="s">
        <v>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7" ht="15" customHeight="1">
      <c r="A2" s="203" t="s">
        <v>57</v>
      </c>
      <c r="B2" s="204" t="s">
        <v>58</v>
      </c>
      <c r="C2" s="205" t="s">
        <v>46</v>
      </c>
      <c r="D2" s="205" t="s">
        <v>59</v>
      </c>
      <c r="E2" s="207" t="s">
        <v>60</v>
      </c>
      <c r="F2" s="204"/>
      <c r="G2" s="204" t="s">
        <v>61</v>
      </c>
      <c r="H2" s="204"/>
      <c r="I2" s="208" t="s">
        <v>62</v>
      </c>
      <c r="J2" s="209"/>
      <c r="K2" s="208" t="s">
        <v>63</v>
      </c>
      <c r="L2" s="209"/>
      <c r="M2" s="207" t="s">
        <v>64</v>
      </c>
      <c r="N2" s="204"/>
      <c r="O2" s="210" t="s">
        <v>65</v>
      </c>
    </row>
    <row r="3" spans="1:17" ht="15" customHeight="1">
      <c r="A3" s="203"/>
      <c r="B3" s="204"/>
      <c r="C3" s="206"/>
      <c r="D3" s="206"/>
      <c r="E3" s="109" t="s">
        <v>66</v>
      </c>
      <c r="F3" s="109" t="s">
        <v>67</v>
      </c>
      <c r="G3" s="72" t="s">
        <v>66</v>
      </c>
      <c r="H3" s="109" t="s">
        <v>68</v>
      </c>
      <c r="I3" s="109"/>
      <c r="J3" s="109"/>
      <c r="K3" s="72" t="s">
        <v>66</v>
      </c>
      <c r="L3" s="109" t="s">
        <v>68</v>
      </c>
      <c r="M3" s="72" t="s">
        <v>66</v>
      </c>
      <c r="N3" s="109" t="s">
        <v>68</v>
      </c>
      <c r="O3" s="211"/>
    </row>
    <row r="4" spans="1:17" ht="15" customHeight="1">
      <c r="A4" s="200" t="s">
        <v>149</v>
      </c>
      <c r="B4" s="201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213" t="s">
        <v>69</v>
      </c>
      <c r="B5" s="133" t="s">
        <v>70</v>
      </c>
      <c r="C5" s="134" t="s">
        <v>71</v>
      </c>
      <c r="D5" s="149">
        <v>55</v>
      </c>
      <c r="E5" s="164">
        <v>1057</v>
      </c>
      <c r="F5" s="76">
        <f t="shared" ref="F5:F10" si="0">D5*E5</f>
        <v>58135</v>
      </c>
      <c r="G5" s="164">
        <v>9266</v>
      </c>
      <c r="H5" s="76">
        <f t="shared" ref="H5:H10" si="1">D5*G5</f>
        <v>509630</v>
      </c>
      <c r="I5" s="76"/>
      <c r="J5" s="76"/>
      <c r="K5" s="76"/>
      <c r="L5" s="76"/>
      <c r="M5" s="76"/>
      <c r="N5" s="76">
        <f>F5+H5+J5+L5</f>
        <v>567765</v>
      </c>
      <c r="O5" s="215"/>
      <c r="P5" s="71" t="s">
        <v>136</v>
      </c>
      <c r="Q5" s="148">
        <f>D5+D7+D9</f>
        <v>99.7</v>
      </c>
    </row>
    <row r="6" spans="1:17" ht="15" customHeight="1">
      <c r="A6" s="214"/>
      <c r="B6" s="177" t="s">
        <v>72</v>
      </c>
      <c r="C6" s="178" t="s">
        <v>71</v>
      </c>
      <c r="D6" s="179"/>
      <c r="E6" s="180"/>
      <c r="F6" s="181"/>
      <c r="G6" s="180"/>
      <c r="H6" s="181"/>
      <c r="I6" s="181"/>
      <c r="J6" s="181"/>
      <c r="K6" s="181"/>
      <c r="L6" s="181"/>
      <c r="M6" s="181"/>
      <c r="N6" s="181"/>
      <c r="O6" s="216"/>
      <c r="P6" s="71" t="s">
        <v>137</v>
      </c>
      <c r="Q6" s="148">
        <f>D6+D8+D10</f>
        <v>24</v>
      </c>
    </row>
    <row r="7" spans="1:17" ht="15" customHeight="1">
      <c r="A7" s="214"/>
      <c r="B7" s="139" t="s">
        <v>73</v>
      </c>
      <c r="C7" s="140" t="s">
        <v>71</v>
      </c>
      <c r="D7" s="150">
        <f>30-5.3</f>
        <v>24.7</v>
      </c>
      <c r="E7" s="164">
        <v>1057</v>
      </c>
      <c r="F7" s="76">
        <f t="shared" si="0"/>
        <v>26107.899999999998</v>
      </c>
      <c r="G7" s="164">
        <v>9266</v>
      </c>
      <c r="H7" s="76">
        <f t="shared" si="1"/>
        <v>228870.19999999998</v>
      </c>
      <c r="I7" s="76"/>
      <c r="J7" s="76"/>
      <c r="K7" s="76"/>
      <c r="L7" s="76"/>
      <c r="M7" s="76"/>
      <c r="N7" s="76">
        <f t="shared" ref="N7:N10" si="2">F7+H7+J7+L7</f>
        <v>254978.09999999998</v>
      </c>
      <c r="O7" s="216"/>
    </row>
    <row r="8" spans="1:17" ht="15" customHeight="1">
      <c r="A8" s="214"/>
      <c r="B8" s="133" t="s">
        <v>74</v>
      </c>
      <c r="C8" s="134" t="s">
        <v>71</v>
      </c>
      <c r="D8" s="149">
        <v>12</v>
      </c>
      <c r="E8" s="164">
        <v>1057</v>
      </c>
      <c r="F8" s="76">
        <f t="shared" si="0"/>
        <v>12684</v>
      </c>
      <c r="G8" s="164">
        <v>12178</v>
      </c>
      <c r="H8" s="76">
        <f t="shared" si="1"/>
        <v>146136</v>
      </c>
      <c r="I8" s="76"/>
      <c r="J8" s="76"/>
      <c r="K8" s="76"/>
      <c r="L8" s="76"/>
      <c r="M8" s="76"/>
      <c r="N8" s="76">
        <f t="shared" si="2"/>
        <v>158820</v>
      </c>
      <c r="O8" s="216"/>
    </row>
    <row r="9" spans="1:17" ht="15" customHeight="1">
      <c r="A9" s="214"/>
      <c r="B9" s="133" t="s">
        <v>75</v>
      </c>
      <c r="C9" s="134" t="s">
        <v>71</v>
      </c>
      <c r="D9" s="149">
        <v>20</v>
      </c>
      <c r="E9" s="164">
        <v>1057</v>
      </c>
      <c r="F9" s="76">
        <f t="shared" si="0"/>
        <v>21140</v>
      </c>
      <c r="G9" s="164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216"/>
    </row>
    <row r="10" spans="1:17" ht="15" customHeight="1">
      <c r="A10" s="214"/>
      <c r="B10" s="133" t="s">
        <v>76</v>
      </c>
      <c r="C10" s="134" t="s">
        <v>71</v>
      </c>
      <c r="D10" s="149">
        <v>12</v>
      </c>
      <c r="E10" s="164">
        <v>1057</v>
      </c>
      <c r="F10" s="76">
        <f t="shared" si="0"/>
        <v>12684</v>
      </c>
      <c r="G10" s="164">
        <v>12178</v>
      </c>
      <c r="H10" s="76">
        <f t="shared" si="1"/>
        <v>146136</v>
      </c>
      <c r="I10" s="76"/>
      <c r="J10" s="76"/>
      <c r="K10" s="76"/>
      <c r="L10" s="76"/>
      <c r="M10" s="76"/>
      <c r="N10" s="76">
        <f t="shared" si="2"/>
        <v>158820</v>
      </c>
      <c r="O10" s="216"/>
    </row>
    <row r="11" spans="1:17" ht="15" customHeight="1">
      <c r="A11" s="100" t="s">
        <v>77</v>
      </c>
      <c r="B11" s="101"/>
      <c r="C11" s="102"/>
      <c r="D11" s="151">
        <f>SUM(D5:D10)</f>
        <v>123.7</v>
      </c>
      <c r="E11" s="103"/>
      <c r="F11" s="103">
        <f>SUM(F5:F10)</f>
        <v>130750.9</v>
      </c>
      <c r="G11" s="103"/>
      <c r="H11" s="103">
        <f>SUM(H5:H10)</f>
        <v>1216092.2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1346843.1</v>
      </c>
      <c r="O11" s="103"/>
    </row>
    <row r="12" spans="1:17" ht="15" customHeight="1">
      <c r="A12" s="217" t="s">
        <v>125</v>
      </c>
      <c r="B12" s="74" t="s">
        <v>78</v>
      </c>
      <c r="C12" s="75" t="s">
        <v>71</v>
      </c>
      <c r="D12" s="142">
        <v>20.7</v>
      </c>
      <c r="E12" s="165">
        <v>10855</v>
      </c>
      <c r="F12" s="106">
        <f>D12*E12</f>
        <v>224698.5</v>
      </c>
      <c r="G12" s="164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216"/>
    </row>
    <row r="13" spans="1:17" ht="15" customHeight="1">
      <c r="A13" s="217"/>
      <c r="B13" s="74" t="s">
        <v>79</v>
      </c>
      <c r="C13" s="75" t="s">
        <v>71</v>
      </c>
      <c r="D13" s="143">
        <v>11.2</v>
      </c>
      <c r="E13" s="165">
        <v>10855</v>
      </c>
      <c r="F13" s="106">
        <f>D13*E13</f>
        <v>121575.99999999999</v>
      </c>
      <c r="G13" s="164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216"/>
    </row>
    <row r="14" spans="1:17" ht="15" customHeight="1">
      <c r="A14" s="217"/>
      <c r="B14" s="74" t="s">
        <v>80</v>
      </c>
      <c r="C14" s="75" t="s">
        <v>71</v>
      </c>
      <c r="D14" s="143">
        <v>7.8</v>
      </c>
      <c r="E14" s="165">
        <v>10855</v>
      </c>
      <c r="F14" s="106">
        <f>D14*E14</f>
        <v>84669</v>
      </c>
      <c r="G14" s="164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216"/>
    </row>
    <row r="15" spans="1:17" ht="15" customHeight="1">
      <c r="A15" s="92" t="s">
        <v>77</v>
      </c>
      <c r="B15" s="77"/>
      <c r="C15" s="80"/>
      <c r="D15" s="151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81</v>
      </c>
      <c r="B16" s="81"/>
      <c r="C16" s="82"/>
      <c r="D16" s="152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5" t="s">
        <v>124</v>
      </c>
      <c r="B17" s="141" t="s">
        <v>121</v>
      </c>
      <c r="C17" s="141" t="s">
        <v>120</v>
      </c>
      <c r="D17" s="153">
        <v>0.4</v>
      </c>
      <c r="E17" s="219" t="s">
        <v>150</v>
      </c>
      <c r="F17" s="220"/>
      <c r="G17" s="220"/>
      <c r="H17" s="220"/>
      <c r="I17" s="220"/>
      <c r="J17" s="220"/>
      <c r="K17" s="220"/>
      <c r="L17" s="220"/>
      <c r="M17" s="220"/>
      <c r="N17" s="221"/>
      <c r="O17" s="176" t="s">
        <v>145</v>
      </c>
    </row>
    <row r="18" spans="1:15" ht="15" customHeight="1">
      <c r="A18" s="218" t="s">
        <v>82</v>
      </c>
      <c r="B18" s="139" t="s">
        <v>83</v>
      </c>
      <c r="C18" s="140" t="s">
        <v>71</v>
      </c>
      <c r="D18" s="153">
        <f>20-2.6</f>
        <v>17.399999999999999</v>
      </c>
      <c r="E18" s="222"/>
      <c r="F18" s="223"/>
      <c r="G18" s="223"/>
      <c r="H18" s="223"/>
      <c r="I18" s="223"/>
      <c r="J18" s="223"/>
      <c r="K18" s="223"/>
      <c r="L18" s="223"/>
      <c r="M18" s="223"/>
      <c r="N18" s="224"/>
      <c r="O18" s="176" t="s">
        <v>145</v>
      </c>
    </row>
    <row r="19" spans="1:15" ht="15" customHeight="1">
      <c r="A19" s="218"/>
      <c r="B19" s="139" t="s">
        <v>84</v>
      </c>
      <c r="C19" s="140" t="s">
        <v>71</v>
      </c>
      <c r="D19" s="153">
        <f>20-2.6</f>
        <v>17.399999999999999</v>
      </c>
      <c r="E19" s="222"/>
      <c r="F19" s="223"/>
      <c r="G19" s="223"/>
      <c r="H19" s="223"/>
      <c r="I19" s="223"/>
      <c r="J19" s="223"/>
      <c r="K19" s="223"/>
      <c r="L19" s="223"/>
      <c r="M19" s="223"/>
      <c r="N19" s="224"/>
      <c r="O19" s="176" t="s">
        <v>145</v>
      </c>
    </row>
    <row r="20" spans="1:15" ht="15" customHeight="1">
      <c r="A20" s="212" t="s">
        <v>85</v>
      </c>
      <c r="B20" s="81" t="s">
        <v>83</v>
      </c>
      <c r="C20" s="82" t="s">
        <v>71</v>
      </c>
      <c r="D20" s="152">
        <v>20</v>
      </c>
      <c r="E20" s="222"/>
      <c r="F20" s="223"/>
      <c r="G20" s="223"/>
      <c r="H20" s="223"/>
      <c r="I20" s="223"/>
      <c r="J20" s="223"/>
      <c r="K20" s="223"/>
      <c r="L20" s="223"/>
      <c r="M20" s="223"/>
      <c r="N20" s="224"/>
      <c r="O20" s="176" t="s">
        <v>145</v>
      </c>
    </row>
    <row r="21" spans="1:15" ht="15" customHeight="1">
      <c r="A21" s="212"/>
      <c r="B21" s="81" t="s">
        <v>84</v>
      </c>
      <c r="C21" s="82" t="s">
        <v>71</v>
      </c>
      <c r="D21" s="152">
        <v>20</v>
      </c>
      <c r="E21" s="222"/>
      <c r="F21" s="223"/>
      <c r="G21" s="223"/>
      <c r="H21" s="223"/>
      <c r="I21" s="223"/>
      <c r="J21" s="223"/>
      <c r="K21" s="223"/>
      <c r="L21" s="223"/>
      <c r="M21" s="223"/>
      <c r="N21" s="224"/>
      <c r="O21" s="176" t="s">
        <v>145</v>
      </c>
    </row>
    <row r="22" spans="1:15" ht="15" customHeight="1">
      <c r="A22" s="111" t="s">
        <v>122</v>
      </c>
      <c r="B22" s="110" t="s">
        <v>123</v>
      </c>
      <c r="C22" s="110" t="s">
        <v>120</v>
      </c>
      <c r="D22" s="152">
        <v>0.2</v>
      </c>
      <c r="E22" s="222"/>
      <c r="F22" s="223"/>
      <c r="G22" s="223"/>
      <c r="H22" s="223"/>
      <c r="I22" s="223"/>
      <c r="J22" s="223"/>
      <c r="K22" s="223"/>
      <c r="L22" s="223"/>
      <c r="M22" s="223"/>
      <c r="N22" s="224"/>
      <c r="O22" s="176" t="s">
        <v>145</v>
      </c>
    </row>
    <row r="23" spans="1:15" ht="15" customHeight="1">
      <c r="A23" s="212" t="s">
        <v>86</v>
      </c>
      <c r="B23" s="81" t="s">
        <v>87</v>
      </c>
      <c r="C23" s="82" t="s">
        <v>71</v>
      </c>
      <c r="D23" s="152">
        <v>10</v>
      </c>
      <c r="E23" s="222"/>
      <c r="F23" s="223"/>
      <c r="G23" s="223"/>
      <c r="H23" s="223"/>
      <c r="I23" s="223"/>
      <c r="J23" s="223"/>
      <c r="K23" s="223"/>
      <c r="L23" s="223"/>
      <c r="M23" s="223"/>
      <c r="N23" s="224"/>
      <c r="O23" s="176" t="s">
        <v>145</v>
      </c>
    </row>
    <row r="24" spans="1:15" ht="15" customHeight="1">
      <c r="A24" s="212"/>
      <c r="B24" s="81" t="s">
        <v>88</v>
      </c>
      <c r="C24" s="82" t="s">
        <v>71</v>
      </c>
      <c r="D24" s="152">
        <v>10</v>
      </c>
      <c r="E24" s="222"/>
      <c r="F24" s="223"/>
      <c r="G24" s="223"/>
      <c r="H24" s="223"/>
      <c r="I24" s="223"/>
      <c r="J24" s="223"/>
      <c r="K24" s="223"/>
      <c r="L24" s="223"/>
      <c r="M24" s="223"/>
      <c r="N24" s="224"/>
      <c r="O24" s="176" t="s">
        <v>145</v>
      </c>
    </row>
    <row r="25" spans="1:15" ht="15" customHeight="1">
      <c r="A25" s="212" t="s">
        <v>89</v>
      </c>
      <c r="B25" s="81" t="s">
        <v>87</v>
      </c>
      <c r="C25" s="82" t="s">
        <v>71</v>
      </c>
      <c r="D25" s="152">
        <v>2</v>
      </c>
      <c r="E25" s="222"/>
      <c r="F25" s="223"/>
      <c r="G25" s="223"/>
      <c r="H25" s="223"/>
      <c r="I25" s="223"/>
      <c r="J25" s="223"/>
      <c r="K25" s="223"/>
      <c r="L25" s="223"/>
      <c r="M25" s="223"/>
      <c r="N25" s="224"/>
      <c r="O25" s="176" t="s">
        <v>146</v>
      </c>
    </row>
    <row r="26" spans="1:15" ht="15" customHeight="1">
      <c r="A26" s="212"/>
      <c r="B26" s="81" t="s">
        <v>90</v>
      </c>
      <c r="C26" s="82" t="s">
        <v>71</v>
      </c>
      <c r="D26" s="152">
        <v>2</v>
      </c>
      <c r="E26" s="225"/>
      <c r="F26" s="226"/>
      <c r="G26" s="226"/>
      <c r="H26" s="226"/>
      <c r="I26" s="226"/>
      <c r="J26" s="226"/>
      <c r="K26" s="226"/>
      <c r="L26" s="226"/>
      <c r="M26" s="226"/>
      <c r="N26" s="227"/>
      <c r="O26" s="176" t="s">
        <v>146</v>
      </c>
    </row>
    <row r="27" spans="1:15" ht="15" customHeight="1">
      <c r="A27" s="92" t="s">
        <v>77</v>
      </c>
      <c r="B27" s="83"/>
      <c r="C27" s="84"/>
      <c r="D27" s="154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91</v>
      </c>
      <c r="B28" s="74" t="s">
        <v>92</v>
      </c>
      <c r="C28" s="75" t="s">
        <v>71</v>
      </c>
      <c r="D28" s="155">
        <v>79</v>
      </c>
      <c r="E28" s="106"/>
      <c r="F28" s="106"/>
      <c r="G28" s="164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77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119</v>
      </c>
      <c r="B30" s="77"/>
      <c r="C30" s="78"/>
      <c r="D30" s="86"/>
      <c r="E30" s="88"/>
      <c r="F30" s="89">
        <f>F11+F15+F27+F29</f>
        <v>561694.4</v>
      </c>
      <c r="G30" s="89"/>
      <c r="H30" s="89">
        <f>H11+H15+H27+H29</f>
        <v>1831912.0999999999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2393606.5</v>
      </c>
      <c r="O30" s="88"/>
    </row>
    <row r="36" spans="2:2">
      <c r="B36" s="137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C35" sqref="C35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7.51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2.1739999999999999</v>
      </c>
    </row>
    <row r="4" spans="1:6">
      <c r="A4" s="95" t="str">
        <f>'내역서(표준단가)'!A7</f>
        <v>E00000803071260301</v>
      </c>
      <c r="B4" s="96">
        <f>'내역서(표준단가)'!B7</f>
        <v>0</v>
      </c>
      <c r="C4" s="96" t="str">
        <f>'내역서(표준단가)'!C7</f>
        <v>E00000803071260301</v>
      </c>
      <c r="D4" s="96">
        <f>'내역서(표준단가)'!D7</f>
        <v>0</v>
      </c>
      <c r="E4" s="96">
        <f>'내역서(표준단가)'!E7</f>
        <v>0</v>
      </c>
      <c r="F4" s="104">
        <f>'내역서(표준단가)'!I7</f>
        <v>0.68500000000000005</v>
      </c>
    </row>
    <row r="5" spans="1:6">
      <c r="A5" s="95" t="str">
        <f>'내역서(표준단가)'!A8</f>
        <v>M020809012520101</v>
      </c>
      <c r="B5" s="96">
        <f>'내역서(표준단가)'!B8</f>
        <v>0</v>
      </c>
      <c r="C5" s="96">
        <f>'내역서(표준단가)'!C8</f>
        <v>0</v>
      </c>
      <c r="D5" s="96" t="str">
        <f>'내역서(표준단가)'!D8</f>
        <v>M020809012520101</v>
      </c>
      <c r="E5" s="96">
        <f>'내역서(표준단가)'!E8</f>
        <v>0</v>
      </c>
      <c r="F5" s="104">
        <f>'내역서(표준단가)'!I8</f>
        <v>39.6</v>
      </c>
    </row>
    <row r="6" spans="1:6">
      <c r="A6" s="95" t="str">
        <f>'내역서(표준단가)'!A9</f>
        <v>E00000803071260401</v>
      </c>
      <c r="B6" s="96">
        <f>'내역서(표준단가)'!B9</f>
        <v>0</v>
      </c>
      <c r="C6" s="96" t="str">
        <f>'내역서(표준단가)'!C9</f>
        <v>E00000803071260401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0.64900000000000002</v>
      </c>
    </row>
    <row r="7" spans="1:6">
      <c r="A7" s="95" t="str">
        <f>'내역서(표준단가)'!A10</f>
        <v>E00000801011510701</v>
      </c>
      <c r="B7" s="96">
        <f>'내역서(표준단가)'!B10</f>
        <v>0</v>
      </c>
      <c r="C7" s="96" t="str">
        <f>'내역서(표준단가)'!C10</f>
        <v>E00000801011510701</v>
      </c>
      <c r="D7" s="96">
        <f>'내역서(표준단가)'!D10</f>
        <v>0</v>
      </c>
      <c r="E7" s="96">
        <f>'내역서(표준단가)'!E10</f>
        <v>0</v>
      </c>
      <c r="F7" s="104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2026-07-21T04:35:42Z</dcterms:modified>
</cp:coreProperties>
</file>
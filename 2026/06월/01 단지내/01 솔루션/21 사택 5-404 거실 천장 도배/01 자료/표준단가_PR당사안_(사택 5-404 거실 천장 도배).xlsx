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현재_통합_문서"/>
  <xr:revisionPtr revIDLastSave="0" documentId="13_ncr:1_{5657C41A-5C4D-45EC-9B7D-CEB619175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3" i="1"/>
  <c r="E3" i="1"/>
  <c r="D3" i="1"/>
  <c r="C3" i="1"/>
  <c r="B3" i="1"/>
  <c r="F2" i="1"/>
  <c r="E2" i="1"/>
  <c r="D2" i="1"/>
  <c r="C2" i="1"/>
  <c r="B2" i="1"/>
  <c r="J24" i="11" l="1"/>
  <c r="J23" i="11"/>
  <c r="J26" i="11"/>
  <c r="J25" i="11"/>
  <c r="J27" i="11" s="1"/>
  <c r="J22" i="11"/>
  <c r="Q5" i="4"/>
  <c r="O5" i="4"/>
  <c r="M5" i="4"/>
  <c r="K5" i="4"/>
  <c r="A5" i="4"/>
  <c r="A2" i="1" s="1"/>
  <c r="J28" i="11" l="1"/>
  <c r="J20" i="11" s="1"/>
  <c r="R5" i="4"/>
  <c r="J30" i="11" l="1"/>
  <c r="L32" i="9"/>
  <c r="J32" i="9"/>
  <c r="H32" i="9"/>
  <c r="L30" i="9"/>
  <c r="J30" i="9"/>
  <c r="L18" i="9"/>
  <c r="J18" i="9"/>
  <c r="D18" i="9"/>
  <c r="L13" i="9"/>
  <c r="J13" i="9"/>
  <c r="H6" i="9"/>
  <c r="F6" i="9"/>
  <c r="M32" i="11" l="1"/>
  <c r="B15" i="11" s="1"/>
  <c r="J33" i="9"/>
  <c r="L33" i="9"/>
  <c r="N6" i="9"/>
  <c r="F30" i="9"/>
  <c r="H18" i="9"/>
  <c r="F13" i="9"/>
  <c r="H30" i="9"/>
  <c r="H13" i="9"/>
  <c r="N32" i="9"/>
  <c r="F18" i="9"/>
  <c r="N18" i="9" l="1"/>
  <c r="F33" i="9"/>
  <c r="H33" i="9"/>
  <c r="N13" i="9"/>
  <c r="N30" i="9"/>
  <c r="N33" i="9" l="1"/>
  <c r="A6" i="4"/>
  <c r="A3" i="1" s="1"/>
  <c r="K6" i="4"/>
  <c r="M6" i="4"/>
  <c r="O6" i="4"/>
  <c r="Q6" i="4"/>
  <c r="R6" i="4" l="1"/>
  <c r="M7" i="4" l="1"/>
  <c r="Q7" i="4" l="1"/>
  <c r="K7" i="4"/>
  <c r="O7" i="4"/>
  <c r="R7" i="4" l="1"/>
</calcChain>
</file>

<file path=xl/sharedStrings.xml><?xml version="1.0" encoding="utf-8"?>
<sst xmlns="http://schemas.openxmlformats.org/spreadsheetml/2006/main" count="205" uniqueCount="153">
  <si>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</si>
  <si>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</si>
  <si>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</si>
  <si>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</si>
  <si>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</si>
  <si>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</si>
  <si>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</si>
  <si>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</si>
  <si>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</si>
  <si>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</si>
  <si>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</si>
  <si>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</si>
  <si>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</si>
  <si>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</si>
  <si>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</si>
  <si>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</si>
  <si>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</si>
  <si>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</si>
  <si>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</si>
  <si>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</si>
  <si>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</si>
  <si>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</si>
  <si>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</si>
  <si>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</si>
  <si>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</si>
  <si>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</si>
  <si>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</si>
  <si>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</si>
  <si>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</si>
  <si>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</si>
  <si>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</si>
  <si>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</si>
  <si>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</si>
  <si>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</si>
  <si>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</si>
  <si>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</si>
  <si>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</si>
  <si>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</si>
  <si>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</si>
  <si>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</si>
  <si>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</si>
  <si>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</si>
  <si>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</si>
  <si>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</si>
  <si>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</si>
  <si>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</si>
  <si>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</si>
  <si>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</si>
  <si>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</si>
  <si>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</si>
  <si>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</si>
  <si>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</si>
  <si>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</si>
  <si>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</si>
  <si>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</si>
  <si>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</si>
  <si>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</si>
  <si>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</si>
  <si>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</si>
  <si>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</si>
  <si>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</si>
  <si>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</si>
  <si>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</si>
  <si>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</si>
  <si>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</si>
  <si>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</si>
  <si>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</si>
  <si>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</si>
  <si>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</si>
  <si>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</si>
  <si>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</si>
  <si>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</si>
  <si>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교체(천장)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</si>
  <si>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</si>
  <si>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</si>
  <si>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</si>
  <si>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</si>
  <si>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</si>
  <si>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</si>
  <si>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</si>
  <si>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</si>
  <si>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</si>
  <si>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</si>
  <si>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R/L</t>
  </si>
  <si>
    <t>공사명 : 사택 5-404 거실 천장도배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</si>
  <si>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소요량24/16.51=1.4536R/L</t>
    </r>
    <phoneticPr fontId="6" type="noConversion"/>
  </si>
  <si>
    <t>일당 시공량-천장 35㎡ 적산정보 500p 참조, 시공총량24/일당35=0.6857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</si>
  <si>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</si>
  <si>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</si>
  <si>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</si>
  <si>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</si>
  <si>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</si>
  <si>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</si>
  <si>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</si>
  <si>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</si>
  <si>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</si>
  <si>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</si>
  <si>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</si>
  <si>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</si>
  <si>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</si>
  <si>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</si>
  <si>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</si>
  <si>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</si>
  <si>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</si>
  <si>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</si>
  <si>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</si>
  <si>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</si>
  <si>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</si>
  <si>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</si>
  <si>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</si>
  <si>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</si>
  <si>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</si>
  <si>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</si>
  <si>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</si>
  <si>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</si>
  <si>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</si>
  <si>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</si>
  <si>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</si>
  <si>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</si>
  <si>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</si>
  <si>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</si>
  <si>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</si>
  <si>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</si>
  <si>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</si>
  <si>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</si>
  <si>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</si>
  <si>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</si>
  <si>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</si>
  <si>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</si>
  <si>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</si>
  <si>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</si>
  <si>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</si>
  <si>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</si>
  <si>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</si>
  <si>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</si>
  <si>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</si>
  <si>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</si>
  <si>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</si>
  <si>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</si>
  <si>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</si>
  <si>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</si>
  <si>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</si>
  <si>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</si>
  <si>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</si>
  <si>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</si>
  <si>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</si>
  <si>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</si>
  <si>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</si>
  <si>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</si>
  <si>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</si>
  <si>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</si>
  <si>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5-404 거실 천장 도배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</si>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</sst>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#,##0.000_ "/>
    <numFmt numFmtId="186" formatCode="0.000_ "/>
    <numFmt numFmtId="187" formatCode="#,##0;\-#,##0;"/>
    <numFmt numFmtId="188" formatCode="0.000"/>
    <numFmt numFmtId="189" formatCode="0.0_);[Red]\(0.0\)"/>
    <numFmt numFmtId="190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6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6" fontId="14" fillId="0" borderId="1" xfId="1" applyNumberFormat="1" applyFont="1" applyBorder="1" applyAlignment="1">
      <alignment horizontal="center" vertical="center"/>
    </xf>
    <xf numFmtId="185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7" fontId="14" fillId="6" borderId="2" xfId="1" applyNumberFormat="1" applyFont="1" applyFill="1" applyBorder="1" applyAlignment="1">
      <alignment horizontal="right" vertical="center" wrapText="1"/>
    </xf>
    <xf numFmtId="187" fontId="14" fillId="0" borderId="2" xfId="1" applyNumberFormat="1" applyFont="1" applyFill="1" applyBorder="1" applyAlignment="1">
      <alignment horizontal="right" vertical="center" wrapText="1"/>
    </xf>
    <xf numFmtId="188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19" fillId="10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87" fontId="23" fillId="5" borderId="2" xfId="0" applyNumberFormat="1" applyFont="1" applyFill="1" applyBorder="1" applyAlignment="1">
      <alignment horizontal="right" vertical="center"/>
    </xf>
    <xf numFmtId="187" fontId="23" fillId="5" borderId="2" xfId="0" applyNumberFormat="1" applyFont="1" applyFill="1" applyBorder="1" applyAlignment="1">
      <alignment horizontal="right" vertical="center" wrapText="1"/>
    </xf>
    <xf numFmtId="176" fontId="24" fillId="5" borderId="2" xfId="1" applyFont="1" applyFill="1" applyBorder="1" applyAlignment="1">
      <alignment horizontal="right" vertical="center"/>
    </xf>
    <xf numFmtId="182" fontId="25" fillId="5" borderId="11" xfId="11" applyNumberFormat="1" applyFont="1" applyFill="1" applyBorder="1" applyAlignment="1">
      <alignment horizontal="right" vertical="center" wrapText="1"/>
    </xf>
    <xf numFmtId="182" fontId="25" fillId="0" borderId="11" xfId="11" applyNumberFormat="1" applyFont="1" applyFill="1" applyBorder="1" applyAlignment="1">
      <alignment horizontal="right" vertical="center" wrapText="1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88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Border="1" applyAlignment="1">
      <alignment vertical="center"/>
    </xf>
    <xf numFmtId="0" fontId="28" fillId="0" borderId="23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/>
    </xf>
    <xf numFmtId="0" fontId="28" fillId="0" borderId="44" xfId="20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0" fontId="32" fillId="0" borderId="52" xfId="20" applyFont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Border="1" applyAlignment="1">
      <alignment horizontal="left" vertical="center" wrapText="1" indent="1"/>
    </xf>
    <xf numFmtId="0" fontId="32" fillId="0" borderId="53" xfId="20" applyFont="1" applyBorder="1" applyAlignment="1">
      <alignment horizontal="left" vertical="center" wrapText="1" indent="1"/>
    </xf>
    <xf numFmtId="0" fontId="32" fillId="0" borderId="54" xfId="20" applyFont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 wrapText="1"/>
    </xf>
    <xf numFmtId="0" fontId="28" fillId="0" borderId="24" xfId="20" applyFont="1" applyBorder="1" applyAlignment="1">
      <alignment horizontal="center" vertical="center" wrapText="1"/>
    </xf>
    <xf numFmtId="0" fontId="28" fillId="0" borderId="43" xfId="20" applyFont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0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FD5E3593-2904-4AD2-8F62-A999386AE681}"/>
    <cellStyle name="쉼표 [0] 2 84" xfId="24" xr:uid="{8385FFD1-69C4-4F2E-AF5E-AE7934ED6770}"/>
    <cellStyle name="쉼표 [0] 3" xfId="14" xr:uid="{8F7BE219-40E1-4BBB-A9BD-02188B74B2A3}"/>
    <cellStyle name="쉼표 [0] 4" xfId="21" xr:uid="{6E7C0459-C7D9-4668-8D76-63DBC3BD2346}"/>
    <cellStyle name="쉼표 [0] 5" xfId="23" xr:uid="{22504A24-91DE-446E-86C2-29B6C00F1D2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A3CD4DA-EEAC-45B5-9E3D-76CC5CA4BDD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4A2804B9-9839-4DB5-98F3-B64BF71C01DF}"/>
    <cellStyle name="표준_P456 공장 및 복지동 전면 유리창 청소건 라상혁님_1129(최종)" xfId="20" xr:uid="{AA7C4AD9-0A15-4E22-801A-F32A7C3ADF0A}"/>
    <cellStyle name="표준_S&amp;D_MAIN VALVE_최빈_2" xfId="17" xr:uid="{F47143EA-2BD6-4460-AE43-7C02B3BBA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49041D5-0D25-4898-855A-3AE0549900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8C62-D298-48FD-805F-33CDD110C7A6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88" customWidth="1"/>
    <col min="2" max="2" width="3.875" style="88" customWidth="1"/>
    <col min="3" max="3" width="5" style="88" customWidth="1"/>
    <col min="4" max="4" width="6.25" style="88" customWidth="1"/>
    <col min="5" max="5" width="2.875" style="88" customWidth="1"/>
    <col min="6" max="6" width="4" style="88" customWidth="1"/>
    <col min="7" max="7" width="4.75" style="88" customWidth="1"/>
    <col min="8" max="8" width="5.5" style="88" customWidth="1"/>
    <col min="9" max="9" width="5.375" style="88" customWidth="1"/>
    <col min="10" max="10" width="1.25" style="88" customWidth="1"/>
    <col min="11" max="11" width="4.375" style="88" customWidth="1"/>
    <col min="12" max="12" width="10.375" style="88" customWidth="1"/>
    <col min="13" max="13" width="20.25" style="88" bestFit="1" customWidth="1"/>
    <col min="14" max="14" width="12.875" style="88" customWidth="1"/>
    <col min="15" max="15" width="15.5" style="88" bestFit="1" customWidth="1"/>
    <col min="16" max="16" width="2.75" style="88" customWidth="1"/>
    <col min="17" max="17" width="12" style="88" bestFit="1" customWidth="1"/>
    <col min="18" max="243" width="9" style="88"/>
    <col min="244" max="244" width="5" style="88" customWidth="1"/>
    <col min="245" max="245" width="3.875" style="88" customWidth="1"/>
    <col min="246" max="246" width="5" style="88" customWidth="1"/>
    <col min="247" max="247" width="6.25" style="88" customWidth="1"/>
    <col min="248" max="248" width="2.875" style="88" customWidth="1"/>
    <col min="249" max="249" width="4" style="88" customWidth="1"/>
    <col min="250" max="250" width="4.75" style="88" customWidth="1"/>
    <col min="251" max="251" width="5.5" style="88" customWidth="1"/>
    <col min="252" max="252" width="5.375" style="88" customWidth="1"/>
    <col min="253" max="253" width="1.25" style="88" customWidth="1"/>
    <col min="254" max="254" width="4.375" style="88" customWidth="1"/>
    <col min="255" max="255" width="10.375" style="88" customWidth="1"/>
    <col min="256" max="256" width="16.625" style="88" customWidth="1"/>
    <col min="257" max="257" width="10.875" style="88" customWidth="1"/>
    <col min="258" max="258" width="18.75" style="88" customWidth="1"/>
    <col min="259" max="259" width="14.25" style="88" bestFit="1" customWidth="1"/>
    <col min="260" max="499" width="9" style="88"/>
    <col min="500" max="500" width="5" style="88" customWidth="1"/>
    <col min="501" max="501" width="3.875" style="88" customWidth="1"/>
    <col min="502" max="502" width="5" style="88" customWidth="1"/>
    <col min="503" max="503" width="6.25" style="88" customWidth="1"/>
    <col min="504" max="504" width="2.875" style="88" customWidth="1"/>
    <col min="505" max="505" width="4" style="88" customWidth="1"/>
    <col min="506" max="506" width="4.75" style="88" customWidth="1"/>
    <col min="507" max="507" width="5.5" style="88" customWidth="1"/>
    <col min="508" max="508" width="5.375" style="88" customWidth="1"/>
    <col min="509" max="509" width="1.25" style="88" customWidth="1"/>
    <col min="510" max="510" width="4.375" style="88" customWidth="1"/>
    <col min="511" max="511" width="10.375" style="88" customWidth="1"/>
    <col min="512" max="512" width="16.625" style="88" customWidth="1"/>
    <col min="513" max="513" width="10.875" style="88" customWidth="1"/>
    <col min="514" max="514" width="18.75" style="88" customWidth="1"/>
    <col min="515" max="515" width="14.25" style="88" bestFit="1" customWidth="1"/>
    <col min="516" max="755" width="9" style="88"/>
    <col min="756" max="756" width="5" style="88" customWidth="1"/>
    <col min="757" max="757" width="3.875" style="88" customWidth="1"/>
    <col min="758" max="758" width="5" style="88" customWidth="1"/>
    <col min="759" max="759" width="6.25" style="88" customWidth="1"/>
    <col min="760" max="760" width="2.875" style="88" customWidth="1"/>
    <col min="761" max="761" width="4" style="88" customWidth="1"/>
    <col min="762" max="762" width="4.75" style="88" customWidth="1"/>
    <col min="763" max="763" width="5.5" style="88" customWidth="1"/>
    <col min="764" max="764" width="5.375" style="88" customWidth="1"/>
    <col min="765" max="765" width="1.25" style="88" customWidth="1"/>
    <col min="766" max="766" width="4.375" style="88" customWidth="1"/>
    <col min="767" max="767" width="10.375" style="88" customWidth="1"/>
    <col min="768" max="768" width="16.625" style="88" customWidth="1"/>
    <col min="769" max="769" width="10.875" style="88" customWidth="1"/>
    <col min="770" max="770" width="18.75" style="88" customWidth="1"/>
    <col min="771" max="771" width="14.25" style="88" bestFit="1" customWidth="1"/>
    <col min="772" max="1011" width="9" style="88"/>
    <col min="1012" max="1012" width="5" style="88" customWidth="1"/>
    <col min="1013" max="1013" width="3.875" style="88" customWidth="1"/>
    <col min="1014" max="1014" width="5" style="88" customWidth="1"/>
    <col min="1015" max="1015" width="6.25" style="88" customWidth="1"/>
    <col min="1016" max="1016" width="2.875" style="88" customWidth="1"/>
    <col min="1017" max="1017" width="4" style="88" customWidth="1"/>
    <col min="1018" max="1018" width="4.75" style="88" customWidth="1"/>
    <col min="1019" max="1019" width="5.5" style="88" customWidth="1"/>
    <col min="1020" max="1020" width="5.375" style="88" customWidth="1"/>
    <col min="1021" max="1021" width="1.25" style="88" customWidth="1"/>
    <col min="1022" max="1022" width="4.375" style="88" customWidth="1"/>
    <col min="1023" max="1023" width="10.375" style="88" customWidth="1"/>
    <col min="1024" max="1024" width="16.625" style="88" customWidth="1"/>
    <col min="1025" max="1025" width="10.875" style="88" customWidth="1"/>
    <col min="1026" max="1026" width="18.75" style="88" customWidth="1"/>
    <col min="1027" max="1027" width="14.25" style="88" bestFit="1" customWidth="1"/>
    <col min="1028" max="1267" width="9" style="88"/>
    <col min="1268" max="1268" width="5" style="88" customWidth="1"/>
    <col min="1269" max="1269" width="3.875" style="88" customWidth="1"/>
    <col min="1270" max="1270" width="5" style="88" customWidth="1"/>
    <col min="1271" max="1271" width="6.25" style="88" customWidth="1"/>
    <col min="1272" max="1272" width="2.875" style="88" customWidth="1"/>
    <col min="1273" max="1273" width="4" style="88" customWidth="1"/>
    <col min="1274" max="1274" width="4.75" style="88" customWidth="1"/>
    <col min="1275" max="1275" width="5.5" style="88" customWidth="1"/>
    <col min="1276" max="1276" width="5.375" style="88" customWidth="1"/>
    <col min="1277" max="1277" width="1.25" style="88" customWidth="1"/>
    <col min="1278" max="1278" width="4.375" style="88" customWidth="1"/>
    <col min="1279" max="1279" width="10.375" style="88" customWidth="1"/>
    <col min="1280" max="1280" width="16.625" style="88" customWidth="1"/>
    <col min="1281" max="1281" width="10.875" style="88" customWidth="1"/>
    <col min="1282" max="1282" width="18.75" style="88" customWidth="1"/>
    <col min="1283" max="1283" width="14.25" style="88" bestFit="1" customWidth="1"/>
    <col min="1284" max="1523" width="9" style="88"/>
    <col min="1524" max="1524" width="5" style="88" customWidth="1"/>
    <col min="1525" max="1525" width="3.875" style="88" customWidth="1"/>
    <col min="1526" max="1526" width="5" style="88" customWidth="1"/>
    <col min="1527" max="1527" width="6.25" style="88" customWidth="1"/>
    <col min="1528" max="1528" width="2.875" style="88" customWidth="1"/>
    <col min="1529" max="1529" width="4" style="88" customWidth="1"/>
    <col min="1530" max="1530" width="4.75" style="88" customWidth="1"/>
    <col min="1531" max="1531" width="5.5" style="88" customWidth="1"/>
    <col min="1532" max="1532" width="5.375" style="88" customWidth="1"/>
    <col min="1533" max="1533" width="1.25" style="88" customWidth="1"/>
    <col min="1534" max="1534" width="4.375" style="88" customWidth="1"/>
    <col min="1535" max="1535" width="10.375" style="88" customWidth="1"/>
    <col min="1536" max="1536" width="16.625" style="88" customWidth="1"/>
    <col min="1537" max="1537" width="10.875" style="88" customWidth="1"/>
    <col min="1538" max="1538" width="18.75" style="88" customWidth="1"/>
    <col min="1539" max="1539" width="14.25" style="88" bestFit="1" customWidth="1"/>
    <col min="1540" max="1779" width="9" style="88"/>
    <col min="1780" max="1780" width="5" style="88" customWidth="1"/>
    <col min="1781" max="1781" width="3.875" style="88" customWidth="1"/>
    <col min="1782" max="1782" width="5" style="88" customWidth="1"/>
    <col min="1783" max="1783" width="6.25" style="88" customWidth="1"/>
    <col min="1784" max="1784" width="2.875" style="88" customWidth="1"/>
    <col min="1785" max="1785" width="4" style="88" customWidth="1"/>
    <col min="1786" max="1786" width="4.75" style="88" customWidth="1"/>
    <col min="1787" max="1787" width="5.5" style="88" customWidth="1"/>
    <col min="1788" max="1788" width="5.375" style="88" customWidth="1"/>
    <col min="1789" max="1789" width="1.25" style="88" customWidth="1"/>
    <col min="1790" max="1790" width="4.375" style="88" customWidth="1"/>
    <col min="1791" max="1791" width="10.375" style="88" customWidth="1"/>
    <col min="1792" max="1792" width="16.625" style="88" customWidth="1"/>
    <col min="1793" max="1793" width="10.875" style="88" customWidth="1"/>
    <col min="1794" max="1794" width="18.75" style="88" customWidth="1"/>
    <col min="1795" max="1795" width="14.25" style="88" bestFit="1" customWidth="1"/>
    <col min="1796" max="2035" width="9" style="88"/>
    <col min="2036" max="2036" width="5" style="88" customWidth="1"/>
    <col min="2037" max="2037" width="3.875" style="88" customWidth="1"/>
    <col min="2038" max="2038" width="5" style="88" customWidth="1"/>
    <col min="2039" max="2039" width="6.25" style="88" customWidth="1"/>
    <col min="2040" max="2040" width="2.875" style="88" customWidth="1"/>
    <col min="2041" max="2041" width="4" style="88" customWidth="1"/>
    <col min="2042" max="2042" width="4.75" style="88" customWidth="1"/>
    <col min="2043" max="2043" width="5.5" style="88" customWidth="1"/>
    <col min="2044" max="2044" width="5.375" style="88" customWidth="1"/>
    <col min="2045" max="2045" width="1.25" style="88" customWidth="1"/>
    <col min="2046" max="2046" width="4.375" style="88" customWidth="1"/>
    <col min="2047" max="2047" width="10.375" style="88" customWidth="1"/>
    <col min="2048" max="2048" width="16.625" style="88" customWidth="1"/>
    <col min="2049" max="2049" width="10.875" style="88" customWidth="1"/>
    <col min="2050" max="2050" width="18.75" style="88" customWidth="1"/>
    <col min="2051" max="2051" width="14.25" style="88" bestFit="1" customWidth="1"/>
    <col min="2052" max="2291" width="9" style="88"/>
    <col min="2292" max="2292" width="5" style="88" customWidth="1"/>
    <col min="2293" max="2293" width="3.875" style="88" customWidth="1"/>
    <col min="2294" max="2294" width="5" style="88" customWidth="1"/>
    <col min="2295" max="2295" width="6.25" style="88" customWidth="1"/>
    <col min="2296" max="2296" width="2.875" style="88" customWidth="1"/>
    <col min="2297" max="2297" width="4" style="88" customWidth="1"/>
    <col min="2298" max="2298" width="4.75" style="88" customWidth="1"/>
    <col min="2299" max="2299" width="5.5" style="88" customWidth="1"/>
    <col min="2300" max="2300" width="5.375" style="88" customWidth="1"/>
    <col min="2301" max="2301" width="1.25" style="88" customWidth="1"/>
    <col min="2302" max="2302" width="4.375" style="88" customWidth="1"/>
    <col min="2303" max="2303" width="10.375" style="88" customWidth="1"/>
    <col min="2304" max="2304" width="16.625" style="88" customWidth="1"/>
    <col min="2305" max="2305" width="10.875" style="88" customWidth="1"/>
    <col min="2306" max="2306" width="18.75" style="88" customWidth="1"/>
    <col min="2307" max="2307" width="14.25" style="88" bestFit="1" customWidth="1"/>
    <col min="2308" max="2547" width="9" style="88"/>
    <col min="2548" max="2548" width="5" style="88" customWidth="1"/>
    <col min="2549" max="2549" width="3.875" style="88" customWidth="1"/>
    <col min="2550" max="2550" width="5" style="88" customWidth="1"/>
    <col min="2551" max="2551" width="6.25" style="88" customWidth="1"/>
    <col min="2552" max="2552" width="2.875" style="88" customWidth="1"/>
    <col min="2553" max="2553" width="4" style="88" customWidth="1"/>
    <col min="2554" max="2554" width="4.75" style="88" customWidth="1"/>
    <col min="2555" max="2555" width="5.5" style="88" customWidth="1"/>
    <col min="2556" max="2556" width="5.375" style="88" customWidth="1"/>
    <col min="2557" max="2557" width="1.25" style="88" customWidth="1"/>
    <col min="2558" max="2558" width="4.375" style="88" customWidth="1"/>
    <col min="2559" max="2559" width="10.375" style="88" customWidth="1"/>
    <col min="2560" max="2560" width="16.625" style="88" customWidth="1"/>
    <col min="2561" max="2561" width="10.875" style="88" customWidth="1"/>
    <col min="2562" max="2562" width="18.75" style="88" customWidth="1"/>
    <col min="2563" max="2563" width="14.25" style="88" bestFit="1" customWidth="1"/>
    <col min="2564" max="2803" width="9" style="88"/>
    <col min="2804" max="2804" width="5" style="88" customWidth="1"/>
    <col min="2805" max="2805" width="3.875" style="88" customWidth="1"/>
    <col min="2806" max="2806" width="5" style="88" customWidth="1"/>
    <col min="2807" max="2807" width="6.25" style="88" customWidth="1"/>
    <col min="2808" max="2808" width="2.875" style="88" customWidth="1"/>
    <col min="2809" max="2809" width="4" style="88" customWidth="1"/>
    <col min="2810" max="2810" width="4.75" style="88" customWidth="1"/>
    <col min="2811" max="2811" width="5.5" style="88" customWidth="1"/>
    <col min="2812" max="2812" width="5.375" style="88" customWidth="1"/>
    <col min="2813" max="2813" width="1.25" style="88" customWidth="1"/>
    <col min="2814" max="2814" width="4.375" style="88" customWidth="1"/>
    <col min="2815" max="2815" width="10.375" style="88" customWidth="1"/>
    <col min="2816" max="2816" width="16.625" style="88" customWidth="1"/>
    <col min="2817" max="2817" width="10.875" style="88" customWidth="1"/>
    <col min="2818" max="2818" width="18.75" style="88" customWidth="1"/>
    <col min="2819" max="2819" width="14.25" style="88" bestFit="1" customWidth="1"/>
    <col min="2820" max="3059" width="9" style="88"/>
    <col min="3060" max="3060" width="5" style="88" customWidth="1"/>
    <col min="3061" max="3061" width="3.875" style="88" customWidth="1"/>
    <col min="3062" max="3062" width="5" style="88" customWidth="1"/>
    <col min="3063" max="3063" width="6.25" style="88" customWidth="1"/>
    <col min="3064" max="3064" width="2.875" style="88" customWidth="1"/>
    <col min="3065" max="3065" width="4" style="88" customWidth="1"/>
    <col min="3066" max="3066" width="4.75" style="88" customWidth="1"/>
    <col min="3067" max="3067" width="5.5" style="88" customWidth="1"/>
    <col min="3068" max="3068" width="5.375" style="88" customWidth="1"/>
    <col min="3069" max="3069" width="1.25" style="88" customWidth="1"/>
    <col min="3070" max="3070" width="4.375" style="88" customWidth="1"/>
    <col min="3071" max="3071" width="10.375" style="88" customWidth="1"/>
    <col min="3072" max="3072" width="16.625" style="88" customWidth="1"/>
    <col min="3073" max="3073" width="10.875" style="88" customWidth="1"/>
    <col min="3074" max="3074" width="18.75" style="88" customWidth="1"/>
    <col min="3075" max="3075" width="14.25" style="88" bestFit="1" customWidth="1"/>
    <col min="3076" max="3315" width="9" style="88"/>
    <col min="3316" max="3316" width="5" style="88" customWidth="1"/>
    <col min="3317" max="3317" width="3.875" style="88" customWidth="1"/>
    <col min="3318" max="3318" width="5" style="88" customWidth="1"/>
    <col min="3319" max="3319" width="6.25" style="88" customWidth="1"/>
    <col min="3320" max="3320" width="2.875" style="88" customWidth="1"/>
    <col min="3321" max="3321" width="4" style="88" customWidth="1"/>
    <col min="3322" max="3322" width="4.75" style="88" customWidth="1"/>
    <col min="3323" max="3323" width="5.5" style="88" customWidth="1"/>
    <col min="3324" max="3324" width="5.375" style="88" customWidth="1"/>
    <col min="3325" max="3325" width="1.25" style="88" customWidth="1"/>
    <col min="3326" max="3326" width="4.375" style="88" customWidth="1"/>
    <col min="3327" max="3327" width="10.375" style="88" customWidth="1"/>
    <col min="3328" max="3328" width="16.625" style="88" customWidth="1"/>
    <col min="3329" max="3329" width="10.875" style="88" customWidth="1"/>
    <col min="3330" max="3330" width="18.75" style="88" customWidth="1"/>
    <col min="3331" max="3331" width="14.25" style="88" bestFit="1" customWidth="1"/>
    <col min="3332" max="3571" width="9" style="88"/>
    <col min="3572" max="3572" width="5" style="88" customWidth="1"/>
    <col min="3573" max="3573" width="3.875" style="88" customWidth="1"/>
    <col min="3574" max="3574" width="5" style="88" customWidth="1"/>
    <col min="3575" max="3575" width="6.25" style="88" customWidth="1"/>
    <col min="3576" max="3576" width="2.875" style="88" customWidth="1"/>
    <col min="3577" max="3577" width="4" style="88" customWidth="1"/>
    <col min="3578" max="3578" width="4.75" style="88" customWidth="1"/>
    <col min="3579" max="3579" width="5.5" style="88" customWidth="1"/>
    <col min="3580" max="3580" width="5.375" style="88" customWidth="1"/>
    <col min="3581" max="3581" width="1.25" style="88" customWidth="1"/>
    <col min="3582" max="3582" width="4.375" style="88" customWidth="1"/>
    <col min="3583" max="3583" width="10.375" style="88" customWidth="1"/>
    <col min="3584" max="3584" width="16.625" style="88" customWidth="1"/>
    <col min="3585" max="3585" width="10.875" style="88" customWidth="1"/>
    <col min="3586" max="3586" width="18.75" style="88" customWidth="1"/>
    <col min="3587" max="3587" width="14.25" style="88" bestFit="1" customWidth="1"/>
    <col min="3588" max="3827" width="9" style="88"/>
    <col min="3828" max="3828" width="5" style="88" customWidth="1"/>
    <col min="3829" max="3829" width="3.875" style="88" customWidth="1"/>
    <col min="3830" max="3830" width="5" style="88" customWidth="1"/>
    <col min="3831" max="3831" width="6.25" style="88" customWidth="1"/>
    <col min="3832" max="3832" width="2.875" style="88" customWidth="1"/>
    <col min="3833" max="3833" width="4" style="88" customWidth="1"/>
    <col min="3834" max="3834" width="4.75" style="88" customWidth="1"/>
    <col min="3835" max="3835" width="5.5" style="88" customWidth="1"/>
    <col min="3836" max="3836" width="5.375" style="88" customWidth="1"/>
    <col min="3837" max="3837" width="1.25" style="88" customWidth="1"/>
    <col min="3838" max="3838" width="4.375" style="88" customWidth="1"/>
    <col min="3839" max="3839" width="10.375" style="88" customWidth="1"/>
    <col min="3840" max="3840" width="16.625" style="88" customWidth="1"/>
    <col min="3841" max="3841" width="10.875" style="88" customWidth="1"/>
    <col min="3842" max="3842" width="18.75" style="88" customWidth="1"/>
    <col min="3843" max="3843" width="14.25" style="88" bestFit="1" customWidth="1"/>
    <col min="3844" max="4083" width="9" style="88"/>
    <col min="4084" max="4084" width="5" style="88" customWidth="1"/>
    <col min="4085" max="4085" width="3.875" style="88" customWidth="1"/>
    <col min="4086" max="4086" width="5" style="88" customWidth="1"/>
    <col min="4087" max="4087" width="6.25" style="88" customWidth="1"/>
    <col min="4088" max="4088" width="2.875" style="88" customWidth="1"/>
    <col min="4089" max="4089" width="4" style="88" customWidth="1"/>
    <col min="4090" max="4090" width="4.75" style="88" customWidth="1"/>
    <col min="4091" max="4091" width="5.5" style="88" customWidth="1"/>
    <col min="4092" max="4092" width="5.375" style="88" customWidth="1"/>
    <col min="4093" max="4093" width="1.25" style="88" customWidth="1"/>
    <col min="4094" max="4094" width="4.375" style="88" customWidth="1"/>
    <col min="4095" max="4095" width="10.375" style="88" customWidth="1"/>
    <col min="4096" max="4096" width="16.625" style="88" customWidth="1"/>
    <col min="4097" max="4097" width="10.875" style="88" customWidth="1"/>
    <col min="4098" max="4098" width="18.75" style="88" customWidth="1"/>
    <col min="4099" max="4099" width="14.25" style="88" bestFit="1" customWidth="1"/>
    <col min="4100" max="4339" width="9" style="88"/>
    <col min="4340" max="4340" width="5" style="88" customWidth="1"/>
    <col min="4341" max="4341" width="3.875" style="88" customWidth="1"/>
    <col min="4342" max="4342" width="5" style="88" customWidth="1"/>
    <col min="4343" max="4343" width="6.25" style="88" customWidth="1"/>
    <col min="4344" max="4344" width="2.875" style="88" customWidth="1"/>
    <col min="4345" max="4345" width="4" style="88" customWidth="1"/>
    <col min="4346" max="4346" width="4.75" style="88" customWidth="1"/>
    <col min="4347" max="4347" width="5.5" style="88" customWidth="1"/>
    <col min="4348" max="4348" width="5.375" style="88" customWidth="1"/>
    <col min="4349" max="4349" width="1.25" style="88" customWidth="1"/>
    <col min="4350" max="4350" width="4.375" style="88" customWidth="1"/>
    <col min="4351" max="4351" width="10.375" style="88" customWidth="1"/>
    <col min="4352" max="4352" width="16.625" style="88" customWidth="1"/>
    <col min="4353" max="4353" width="10.875" style="88" customWidth="1"/>
    <col min="4354" max="4354" width="18.75" style="88" customWidth="1"/>
    <col min="4355" max="4355" width="14.25" style="88" bestFit="1" customWidth="1"/>
    <col min="4356" max="4595" width="9" style="88"/>
    <col min="4596" max="4596" width="5" style="88" customWidth="1"/>
    <col min="4597" max="4597" width="3.875" style="88" customWidth="1"/>
    <col min="4598" max="4598" width="5" style="88" customWidth="1"/>
    <col min="4599" max="4599" width="6.25" style="88" customWidth="1"/>
    <col min="4600" max="4600" width="2.875" style="88" customWidth="1"/>
    <col min="4601" max="4601" width="4" style="88" customWidth="1"/>
    <col min="4602" max="4602" width="4.75" style="88" customWidth="1"/>
    <col min="4603" max="4603" width="5.5" style="88" customWidth="1"/>
    <col min="4604" max="4604" width="5.375" style="88" customWidth="1"/>
    <col min="4605" max="4605" width="1.25" style="88" customWidth="1"/>
    <col min="4606" max="4606" width="4.375" style="88" customWidth="1"/>
    <col min="4607" max="4607" width="10.375" style="88" customWidth="1"/>
    <col min="4608" max="4608" width="16.625" style="88" customWidth="1"/>
    <col min="4609" max="4609" width="10.875" style="88" customWidth="1"/>
    <col min="4610" max="4610" width="18.75" style="88" customWidth="1"/>
    <col min="4611" max="4611" width="14.25" style="88" bestFit="1" customWidth="1"/>
    <col min="4612" max="4851" width="9" style="88"/>
    <col min="4852" max="4852" width="5" style="88" customWidth="1"/>
    <col min="4853" max="4853" width="3.875" style="88" customWidth="1"/>
    <col min="4854" max="4854" width="5" style="88" customWidth="1"/>
    <col min="4855" max="4855" width="6.25" style="88" customWidth="1"/>
    <col min="4856" max="4856" width="2.875" style="88" customWidth="1"/>
    <col min="4857" max="4857" width="4" style="88" customWidth="1"/>
    <col min="4858" max="4858" width="4.75" style="88" customWidth="1"/>
    <col min="4859" max="4859" width="5.5" style="88" customWidth="1"/>
    <col min="4860" max="4860" width="5.375" style="88" customWidth="1"/>
    <col min="4861" max="4861" width="1.25" style="88" customWidth="1"/>
    <col min="4862" max="4862" width="4.375" style="88" customWidth="1"/>
    <col min="4863" max="4863" width="10.375" style="88" customWidth="1"/>
    <col min="4864" max="4864" width="16.625" style="88" customWidth="1"/>
    <col min="4865" max="4865" width="10.875" style="88" customWidth="1"/>
    <col min="4866" max="4866" width="18.75" style="88" customWidth="1"/>
    <col min="4867" max="4867" width="14.25" style="88" bestFit="1" customWidth="1"/>
    <col min="4868" max="5107" width="9" style="88"/>
    <col min="5108" max="5108" width="5" style="88" customWidth="1"/>
    <col min="5109" max="5109" width="3.875" style="88" customWidth="1"/>
    <col min="5110" max="5110" width="5" style="88" customWidth="1"/>
    <col min="5111" max="5111" width="6.25" style="88" customWidth="1"/>
    <col min="5112" max="5112" width="2.875" style="88" customWidth="1"/>
    <col min="5113" max="5113" width="4" style="88" customWidth="1"/>
    <col min="5114" max="5114" width="4.75" style="88" customWidth="1"/>
    <col min="5115" max="5115" width="5.5" style="88" customWidth="1"/>
    <col min="5116" max="5116" width="5.375" style="88" customWidth="1"/>
    <col min="5117" max="5117" width="1.25" style="88" customWidth="1"/>
    <col min="5118" max="5118" width="4.375" style="88" customWidth="1"/>
    <col min="5119" max="5119" width="10.375" style="88" customWidth="1"/>
    <col min="5120" max="5120" width="16.625" style="88" customWidth="1"/>
    <col min="5121" max="5121" width="10.875" style="88" customWidth="1"/>
    <col min="5122" max="5122" width="18.75" style="88" customWidth="1"/>
    <col min="5123" max="5123" width="14.25" style="88" bestFit="1" customWidth="1"/>
    <col min="5124" max="5363" width="9" style="88"/>
    <col min="5364" max="5364" width="5" style="88" customWidth="1"/>
    <col min="5365" max="5365" width="3.875" style="88" customWidth="1"/>
    <col min="5366" max="5366" width="5" style="88" customWidth="1"/>
    <col min="5367" max="5367" width="6.25" style="88" customWidth="1"/>
    <col min="5368" max="5368" width="2.875" style="88" customWidth="1"/>
    <col min="5369" max="5369" width="4" style="88" customWidth="1"/>
    <col min="5370" max="5370" width="4.75" style="88" customWidth="1"/>
    <col min="5371" max="5371" width="5.5" style="88" customWidth="1"/>
    <col min="5372" max="5372" width="5.375" style="88" customWidth="1"/>
    <col min="5373" max="5373" width="1.25" style="88" customWidth="1"/>
    <col min="5374" max="5374" width="4.375" style="88" customWidth="1"/>
    <col min="5375" max="5375" width="10.375" style="88" customWidth="1"/>
    <col min="5376" max="5376" width="16.625" style="88" customWidth="1"/>
    <col min="5377" max="5377" width="10.875" style="88" customWidth="1"/>
    <col min="5378" max="5378" width="18.75" style="88" customWidth="1"/>
    <col min="5379" max="5379" width="14.25" style="88" bestFit="1" customWidth="1"/>
    <col min="5380" max="5619" width="9" style="88"/>
    <col min="5620" max="5620" width="5" style="88" customWidth="1"/>
    <col min="5621" max="5621" width="3.875" style="88" customWidth="1"/>
    <col min="5622" max="5622" width="5" style="88" customWidth="1"/>
    <col min="5623" max="5623" width="6.25" style="88" customWidth="1"/>
    <col min="5624" max="5624" width="2.875" style="88" customWidth="1"/>
    <col min="5625" max="5625" width="4" style="88" customWidth="1"/>
    <col min="5626" max="5626" width="4.75" style="88" customWidth="1"/>
    <col min="5627" max="5627" width="5.5" style="88" customWidth="1"/>
    <col min="5628" max="5628" width="5.375" style="88" customWidth="1"/>
    <col min="5629" max="5629" width="1.25" style="88" customWidth="1"/>
    <col min="5630" max="5630" width="4.375" style="88" customWidth="1"/>
    <col min="5631" max="5631" width="10.375" style="88" customWidth="1"/>
    <col min="5632" max="5632" width="16.625" style="88" customWidth="1"/>
    <col min="5633" max="5633" width="10.875" style="88" customWidth="1"/>
    <col min="5634" max="5634" width="18.75" style="88" customWidth="1"/>
    <col min="5635" max="5635" width="14.25" style="88" bestFit="1" customWidth="1"/>
    <col min="5636" max="5875" width="9" style="88"/>
    <col min="5876" max="5876" width="5" style="88" customWidth="1"/>
    <col min="5877" max="5877" width="3.875" style="88" customWidth="1"/>
    <col min="5878" max="5878" width="5" style="88" customWidth="1"/>
    <col min="5879" max="5879" width="6.25" style="88" customWidth="1"/>
    <col min="5880" max="5880" width="2.875" style="88" customWidth="1"/>
    <col min="5881" max="5881" width="4" style="88" customWidth="1"/>
    <col min="5882" max="5882" width="4.75" style="88" customWidth="1"/>
    <col min="5883" max="5883" width="5.5" style="88" customWidth="1"/>
    <col min="5884" max="5884" width="5.375" style="88" customWidth="1"/>
    <col min="5885" max="5885" width="1.25" style="88" customWidth="1"/>
    <col min="5886" max="5886" width="4.375" style="88" customWidth="1"/>
    <col min="5887" max="5887" width="10.375" style="88" customWidth="1"/>
    <col min="5888" max="5888" width="16.625" style="88" customWidth="1"/>
    <col min="5889" max="5889" width="10.875" style="88" customWidth="1"/>
    <col min="5890" max="5890" width="18.75" style="88" customWidth="1"/>
    <col min="5891" max="5891" width="14.25" style="88" bestFit="1" customWidth="1"/>
    <col min="5892" max="6131" width="9" style="88"/>
    <col min="6132" max="6132" width="5" style="88" customWidth="1"/>
    <col min="6133" max="6133" width="3.875" style="88" customWidth="1"/>
    <col min="6134" max="6134" width="5" style="88" customWidth="1"/>
    <col min="6135" max="6135" width="6.25" style="88" customWidth="1"/>
    <col min="6136" max="6136" width="2.875" style="88" customWidth="1"/>
    <col min="6137" max="6137" width="4" style="88" customWidth="1"/>
    <col min="6138" max="6138" width="4.75" style="88" customWidth="1"/>
    <col min="6139" max="6139" width="5.5" style="88" customWidth="1"/>
    <col min="6140" max="6140" width="5.375" style="88" customWidth="1"/>
    <col min="6141" max="6141" width="1.25" style="88" customWidth="1"/>
    <col min="6142" max="6142" width="4.375" style="88" customWidth="1"/>
    <col min="6143" max="6143" width="10.375" style="88" customWidth="1"/>
    <col min="6144" max="6144" width="16.625" style="88" customWidth="1"/>
    <col min="6145" max="6145" width="10.875" style="88" customWidth="1"/>
    <col min="6146" max="6146" width="18.75" style="88" customWidth="1"/>
    <col min="6147" max="6147" width="14.25" style="88" bestFit="1" customWidth="1"/>
    <col min="6148" max="6387" width="9" style="88"/>
    <col min="6388" max="6388" width="5" style="88" customWidth="1"/>
    <col min="6389" max="6389" width="3.875" style="88" customWidth="1"/>
    <col min="6390" max="6390" width="5" style="88" customWidth="1"/>
    <col min="6391" max="6391" width="6.25" style="88" customWidth="1"/>
    <col min="6392" max="6392" width="2.875" style="88" customWidth="1"/>
    <col min="6393" max="6393" width="4" style="88" customWidth="1"/>
    <col min="6394" max="6394" width="4.75" style="88" customWidth="1"/>
    <col min="6395" max="6395" width="5.5" style="88" customWidth="1"/>
    <col min="6396" max="6396" width="5.375" style="88" customWidth="1"/>
    <col min="6397" max="6397" width="1.25" style="88" customWidth="1"/>
    <col min="6398" max="6398" width="4.375" style="88" customWidth="1"/>
    <col min="6399" max="6399" width="10.375" style="88" customWidth="1"/>
    <col min="6400" max="6400" width="16.625" style="88" customWidth="1"/>
    <col min="6401" max="6401" width="10.875" style="88" customWidth="1"/>
    <col min="6402" max="6402" width="18.75" style="88" customWidth="1"/>
    <col min="6403" max="6403" width="14.25" style="88" bestFit="1" customWidth="1"/>
    <col min="6404" max="6643" width="9" style="88"/>
    <col min="6644" max="6644" width="5" style="88" customWidth="1"/>
    <col min="6645" max="6645" width="3.875" style="88" customWidth="1"/>
    <col min="6646" max="6646" width="5" style="88" customWidth="1"/>
    <col min="6647" max="6647" width="6.25" style="88" customWidth="1"/>
    <col min="6648" max="6648" width="2.875" style="88" customWidth="1"/>
    <col min="6649" max="6649" width="4" style="88" customWidth="1"/>
    <col min="6650" max="6650" width="4.75" style="88" customWidth="1"/>
    <col min="6651" max="6651" width="5.5" style="88" customWidth="1"/>
    <col min="6652" max="6652" width="5.375" style="88" customWidth="1"/>
    <col min="6653" max="6653" width="1.25" style="88" customWidth="1"/>
    <col min="6654" max="6654" width="4.375" style="88" customWidth="1"/>
    <col min="6655" max="6655" width="10.375" style="88" customWidth="1"/>
    <col min="6656" max="6656" width="16.625" style="88" customWidth="1"/>
    <col min="6657" max="6657" width="10.875" style="88" customWidth="1"/>
    <col min="6658" max="6658" width="18.75" style="88" customWidth="1"/>
    <col min="6659" max="6659" width="14.25" style="88" bestFit="1" customWidth="1"/>
    <col min="6660" max="6899" width="9" style="88"/>
    <col min="6900" max="6900" width="5" style="88" customWidth="1"/>
    <col min="6901" max="6901" width="3.875" style="88" customWidth="1"/>
    <col min="6902" max="6902" width="5" style="88" customWidth="1"/>
    <col min="6903" max="6903" width="6.25" style="88" customWidth="1"/>
    <col min="6904" max="6904" width="2.875" style="88" customWidth="1"/>
    <col min="6905" max="6905" width="4" style="88" customWidth="1"/>
    <col min="6906" max="6906" width="4.75" style="88" customWidth="1"/>
    <col min="6907" max="6907" width="5.5" style="88" customWidth="1"/>
    <col min="6908" max="6908" width="5.375" style="88" customWidth="1"/>
    <col min="6909" max="6909" width="1.25" style="88" customWidth="1"/>
    <col min="6910" max="6910" width="4.375" style="88" customWidth="1"/>
    <col min="6911" max="6911" width="10.375" style="88" customWidth="1"/>
    <col min="6912" max="6912" width="16.625" style="88" customWidth="1"/>
    <col min="6913" max="6913" width="10.875" style="88" customWidth="1"/>
    <col min="6914" max="6914" width="18.75" style="88" customWidth="1"/>
    <col min="6915" max="6915" width="14.25" style="88" bestFit="1" customWidth="1"/>
    <col min="6916" max="7155" width="9" style="88"/>
    <col min="7156" max="7156" width="5" style="88" customWidth="1"/>
    <col min="7157" max="7157" width="3.875" style="88" customWidth="1"/>
    <col min="7158" max="7158" width="5" style="88" customWidth="1"/>
    <col min="7159" max="7159" width="6.25" style="88" customWidth="1"/>
    <col min="7160" max="7160" width="2.875" style="88" customWidth="1"/>
    <col min="7161" max="7161" width="4" style="88" customWidth="1"/>
    <col min="7162" max="7162" width="4.75" style="88" customWidth="1"/>
    <col min="7163" max="7163" width="5.5" style="88" customWidth="1"/>
    <col min="7164" max="7164" width="5.375" style="88" customWidth="1"/>
    <col min="7165" max="7165" width="1.25" style="88" customWidth="1"/>
    <col min="7166" max="7166" width="4.375" style="88" customWidth="1"/>
    <col min="7167" max="7167" width="10.375" style="88" customWidth="1"/>
    <col min="7168" max="7168" width="16.625" style="88" customWidth="1"/>
    <col min="7169" max="7169" width="10.875" style="88" customWidth="1"/>
    <col min="7170" max="7170" width="18.75" style="88" customWidth="1"/>
    <col min="7171" max="7171" width="14.25" style="88" bestFit="1" customWidth="1"/>
    <col min="7172" max="7411" width="9" style="88"/>
    <col min="7412" max="7412" width="5" style="88" customWidth="1"/>
    <col min="7413" max="7413" width="3.875" style="88" customWidth="1"/>
    <col min="7414" max="7414" width="5" style="88" customWidth="1"/>
    <col min="7415" max="7415" width="6.25" style="88" customWidth="1"/>
    <col min="7416" max="7416" width="2.875" style="88" customWidth="1"/>
    <col min="7417" max="7417" width="4" style="88" customWidth="1"/>
    <col min="7418" max="7418" width="4.75" style="88" customWidth="1"/>
    <col min="7419" max="7419" width="5.5" style="88" customWidth="1"/>
    <col min="7420" max="7420" width="5.375" style="88" customWidth="1"/>
    <col min="7421" max="7421" width="1.25" style="88" customWidth="1"/>
    <col min="7422" max="7422" width="4.375" style="88" customWidth="1"/>
    <col min="7423" max="7423" width="10.375" style="88" customWidth="1"/>
    <col min="7424" max="7424" width="16.625" style="88" customWidth="1"/>
    <col min="7425" max="7425" width="10.875" style="88" customWidth="1"/>
    <col min="7426" max="7426" width="18.75" style="88" customWidth="1"/>
    <col min="7427" max="7427" width="14.25" style="88" bestFit="1" customWidth="1"/>
    <col min="7428" max="7667" width="9" style="88"/>
    <col min="7668" max="7668" width="5" style="88" customWidth="1"/>
    <col min="7669" max="7669" width="3.875" style="88" customWidth="1"/>
    <col min="7670" max="7670" width="5" style="88" customWidth="1"/>
    <col min="7671" max="7671" width="6.25" style="88" customWidth="1"/>
    <col min="7672" max="7672" width="2.875" style="88" customWidth="1"/>
    <col min="7673" max="7673" width="4" style="88" customWidth="1"/>
    <col min="7674" max="7674" width="4.75" style="88" customWidth="1"/>
    <col min="7675" max="7675" width="5.5" style="88" customWidth="1"/>
    <col min="7676" max="7676" width="5.375" style="88" customWidth="1"/>
    <col min="7677" max="7677" width="1.25" style="88" customWidth="1"/>
    <col min="7678" max="7678" width="4.375" style="88" customWidth="1"/>
    <col min="7679" max="7679" width="10.375" style="88" customWidth="1"/>
    <col min="7680" max="7680" width="16.625" style="88" customWidth="1"/>
    <col min="7681" max="7681" width="10.875" style="88" customWidth="1"/>
    <col min="7682" max="7682" width="18.75" style="88" customWidth="1"/>
    <col min="7683" max="7683" width="14.25" style="88" bestFit="1" customWidth="1"/>
    <col min="7684" max="7923" width="9" style="88"/>
    <col min="7924" max="7924" width="5" style="88" customWidth="1"/>
    <col min="7925" max="7925" width="3.875" style="88" customWidth="1"/>
    <col min="7926" max="7926" width="5" style="88" customWidth="1"/>
    <col min="7927" max="7927" width="6.25" style="88" customWidth="1"/>
    <col min="7928" max="7928" width="2.875" style="88" customWidth="1"/>
    <col min="7929" max="7929" width="4" style="88" customWidth="1"/>
    <col min="7930" max="7930" width="4.75" style="88" customWidth="1"/>
    <col min="7931" max="7931" width="5.5" style="88" customWidth="1"/>
    <col min="7932" max="7932" width="5.375" style="88" customWidth="1"/>
    <col min="7933" max="7933" width="1.25" style="88" customWidth="1"/>
    <col min="7934" max="7934" width="4.375" style="88" customWidth="1"/>
    <col min="7935" max="7935" width="10.375" style="88" customWidth="1"/>
    <col min="7936" max="7936" width="16.625" style="88" customWidth="1"/>
    <col min="7937" max="7937" width="10.875" style="88" customWidth="1"/>
    <col min="7938" max="7938" width="18.75" style="88" customWidth="1"/>
    <col min="7939" max="7939" width="14.25" style="88" bestFit="1" customWidth="1"/>
    <col min="7940" max="8179" width="9" style="88"/>
    <col min="8180" max="8180" width="5" style="88" customWidth="1"/>
    <col min="8181" max="8181" width="3.875" style="88" customWidth="1"/>
    <col min="8182" max="8182" width="5" style="88" customWidth="1"/>
    <col min="8183" max="8183" width="6.25" style="88" customWidth="1"/>
    <col min="8184" max="8184" width="2.875" style="88" customWidth="1"/>
    <col min="8185" max="8185" width="4" style="88" customWidth="1"/>
    <col min="8186" max="8186" width="4.75" style="88" customWidth="1"/>
    <col min="8187" max="8187" width="5.5" style="88" customWidth="1"/>
    <col min="8188" max="8188" width="5.375" style="88" customWidth="1"/>
    <col min="8189" max="8189" width="1.25" style="88" customWidth="1"/>
    <col min="8190" max="8190" width="4.375" style="88" customWidth="1"/>
    <col min="8191" max="8191" width="10.375" style="88" customWidth="1"/>
    <col min="8192" max="8192" width="16.625" style="88" customWidth="1"/>
    <col min="8193" max="8193" width="10.875" style="88" customWidth="1"/>
    <col min="8194" max="8194" width="18.75" style="88" customWidth="1"/>
    <col min="8195" max="8195" width="14.25" style="88" bestFit="1" customWidth="1"/>
    <col min="8196" max="8435" width="9" style="88"/>
    <col min="8436" max="8436" width="5" style="88" customWidth="1"/>
    <col min="8437" max="8437" width="3.875" style="88" customWidth="1"/>
    <col min="8438" max="8438" width="5" style="88" customWidth="1"/>
    <col min="8439" max="8439" width="6.25" style="88" customWidth="1"/>
    <col min="8440" max="8440" width="2.875" style="88" customWidth="1"/>
    <col min="8441" max="8441" width="4" style="88" customWidth="1"/>
    <col min="8442" max="8442" width="4.75" style="88" customWidth="1"/>
    <col min="8443" max="8443" width="5.5" style="88" customWidth="1"/>
    <col min="8444" max="8444" width="5.375" style="88" customWidth="1"/>
    <col min="8445" max="8445" width="1.25" style="88" customWidth="1"/>
    <col min="8446" max="8446" width="4.375" style="88" customWidth="1"/>
    <col min="8447" max="8447" width="10.375" style="88" customWidth="1"/>
    <col min="8448" max="8448" width="16.625" style="88" customWidth="1"/>
    <col min="8449" max="8449" width="10.875" style="88" customWidth="1"/>
    <col min="8450" max="8450" width="18.75" style="88" customWidth="1"/>
    <col min="8451" max="8451" width="14.25" style="88" bestFit="1" customWidth="1"/>
    <col min="8452" max="8691" width="9" style="88"/>
    <col min="8692" max="8692" width="5" style="88" customWidth="1"/>
    <col min="8693" max="8693" width="3.875" style="88" customWidth="1"/>
    <col min="8694" max="8694" width="5" style="88" customWidth="1"/>
    <col min="8695" max="8695" width="6.25" style="88" customWidth="1"/>
    <col min="8696" max="8696" width="2.875" style="88" customWidth="1"/>
    <col min="8697" max="8697" width="4" style="88" customWidth="1"/>
    <col min="8698" max="8698" width="4.75" style="88" customWidth="1"/>
    <col min="8699" max="8699" width="5.5" style="88" customWidth="1"/>
    <col min="8700" max="8700" width="5.375" style="88" customWidth="1"/>
    <col min="8701" max="8701" width="1.25" style="88" customWidth="1"/>
    <col min="8702" max="8702" width="4.375" style="88" customWidth="1"/>
    <col min="8703" max="8703" width="10.375" style="88" customWidth="1"/>
    <col min="8704" max="8704" width="16.625" style="88" customWidth="1"/>
    <col min="8705" max="8705" width="10.875" style="88" customWidth="1"/>
    <col min="8706" max="8706" width="18.75" style="88" customWidth="1"/>
    <col min="8707" max="8707" width="14.25" style="88" bestFit="1" customWidth="1"/>
    <col min="8708" max="8947" width="9" style="88"/>
    <col min="8948" max="8948" width="5" style="88" customWidth="1"/>
    <col min="8949" max="8949" width="3.875" style="88" customWidth="1"/>
    <col min="8950" max="8950" width="5" style="88" customWidth="1"/>
    <col min="8951" max="8951" width="6.25" style="88" customWidth="1"/>
    <col min="8952" max="8952" width="2.875" style="88" customWidth="1"/>
    <col min="8953" max="8953" width="4" style="88" customWidth="1"/>
    <col min="8954" max="8954" width="4.75" style="88" customWidth="1"/>
    <col min="8955" max="8955" width="5.5" style="88" customWidth="1"/>
    <col min="8956" max="8956" width="5.375" style="88" customWidth="1"/>
    <col min="8957" max="8957" width="1.25" style="88" customWidth="1"/>
    <col min="8958" max="8958" width="4.375" style="88" customWidth="1"/>
    <col min="8959" max="8959" width="10.375" style="88" customWidth="1"/>
    <col min="8960" max="8960" width="16.625" style="88" customWidth="1"/>
    <col min="8961" max="8961" width="10.875" style="88" customWidth="1"/>
    <col min="8962" max="8962" width="18.75" style="88" customWidth="1"/>
    <col min="8963" max="8963" width="14.25" style="88" bestFit="1" customWidth="1"/>
    <col min="8964" max="9203" width="9" style="88"/>
    <col min="9204" max="9204" width="5" style="88" customWidth="1"/>
    <col min="9205" max="9205" width="3.875" style="88" customWidth="1"/>
    <col min="9206" max="9206" width="5" style="88" customWidth="1"/>
    <col min="9207" max="9207" width="6.25" style="88" customWidth="1"/>
    <col min="9208" max="9208" width="2.875" style="88" customWidth="1"/>
    <col min="9209" max="9209" width="4" style="88" customWidth="1"/>
    <col min="9210" max="9210" width="4.75" style="88" customWidth="1"/>
    <col min="9211" max="9211" width="5.5" style="88" customWidth="1"/>
    <col min="9212" max="9212" width="5.375" style="88" customWidth="1"/>
    <col min="9213" max="9213" width="1.25" style="88" customWidth="1"/>
    <col min="9214" max="9214" width="4.375" style="88" customWidth="1"/>
    <col min="9215" max="9215" width="10.375" style="88" customWidth="1"/>
    <col min="9216" max="9216" width="16.625" style="88" customWidth="1"/>
    <col min="9217" max="9217" width="10.875" style="88" customWidth="1"/>
    <col min="9218" max="9218" width="18.75" style="88" customWidth="1"/>
    <col min="9219" max="9219" width="14.25" style="88" bestFit="1" customWidth="1"/>
    <col min="9220" max="9459" width="9" style="88"/>
    <col min="9460" max="9460" width="5" style="88" customWidth="1"/>
    <col min="9461" max="9461" width="3.875" style="88" customWidth="1"/>
    <col min="9462" max="9462" width="5" style="88" customWidth="1"/>
    <col min="9463" max="9463" width="6.25" style="88" customWidth="1"/>
    <col min="9464" max="9464" width="2.875" style="88" customWidth="1"/>
    <col min="9465" max="9465" width="4" style="88" customWidth="1"/>
    <col min="9466" max="9466" width="4.75" style="88" customWidth="1"/>
    <col min="9467" max="9467" width="5.5" style="88" customWidth="1"/>
    <col min="9468" max="9468" width="5.375" style="88" customWidth="1"/>
    <col min="9469" max="9469" width="1.25" style="88" customWidth="1"/>
    <col min="9470" max="9470" width="4.375" style="88" customWidth="1"/>
    <col min="9471" max="9471" width="10.375" style="88" customWidth="1"/>
    <col min="9472" max="9472" width="16.625" style="88" customWidth="1"/>
    <col min="9473" max="9473" width="10.875" style="88" customWidth="1"/>
    <col min="9474" max="9474" width="18.75" style="88" customWidth="1"/>
    <col min="9475" max="9475" width="14.25" style="88" bestFit="1" customWidth="1"/>
    <col min="9476" max="9715" width="9" style="88"/>
    <col min="9716" max="9716" width="5" style="88" customWidth="1"/>
    <col min="9717" max="9717" width="3.875" style="88" customWidth="1"/>
    <col min="9718" max="9718" width="5" style="88" customWidth="1"/>
    <col min="9719" max="9719" width="6.25" style="88" customWidth="1"/>
    <col min="9720" max="9720" width="2.875" style="88" customWidth="1"/>
    <col min="9721" max="9721" width="4" style="88" customWidth="1"/>
    <col min="9722" max="9722" width="4.75" style="88" customWidth="1"/>
    <col min="9723" max="9723" width="5.5" style="88" customWidth="1"/>
    <col min="9724" max="9724" width="5.375" style="88" customWidth="1"/>
    <col min="9725" max="9725" width="1.25" style="88" customWidth="1"/>
    <col min="9726" max="9726" width="4.375" style="88" customWidth="1"/>
    <col min="9727" max="9727" width="10.375" style="88" customWidth="1"/>
    <col min="9728" max="9728" width="16.625" style="88" customWidth="1"/>
    <col min="9729" max="9729" width="10.875" style="88" customWidth="1"/>
    <col min="9730" max="9730" width="18.75" style="88" customWidth="1"/>
    <col min="9731" max="9731" width="14.25" style="88" bestFit="1" customWidth="1"/>
    <col min="9732" max="9971" width="9" style="88"/>
    <col min="9972" max="9972" width="5" style="88" customWidth="1"/>
    <col min="9973" max="9973" width="3.875" style="88" customWidth="1"/>
    <col min="9974" max="9974" width="5" style="88" customWidth="1"/>
    <col min="9975" max="9975" width="6.25" style="88" customWidth="1"/>
    <col min="9976" max="9976" width="2.875" style="88" customWidth="1"/>
    <col min="9977" max="9977" width="4" style="88" customWidth="1"/>
    <col min="9978" max="9978" width="4.75" style="88" customWidth="1"/>
    <col min="9979" max="9979" width="5.5" style="88" customWidth="1"/>
    <col min="9980" max="9980" width="5.375" style="88" customWidth="1"/>
    <col min="9981" max="9981" width="1.25" style="88" customWidth="1"/>
    <col min="9982" max="9982" width="4.375" style="88" customWidth="1"/>
    <col min="9983" max="9983" width="10.375" style="88" customWidth="1"/>
    <col min="9984" max="9984" width="16.625" style="88" customWidth="1"/>
    <col min="9985" max="9985" width="10.875" style="88" customWidth="1"/>
    <col min="9986" max="9986" width="18.75" style="88" customWidth="1"/>
    <col min="9987" max="9987" width="14.25" style="88" bestFit="1" customWidth="1"/>
    <col min="9988" max="10227" width="9" style="88"/>
    <col min="10228" max="10228" width="5" style="88" customWidth="1"/>
    <col min="10229" max="10229" width="3.875" style="88" customWidth="1"/>
    <col min="10230" max="10230" width="5" style="88" customWidth="1"/>
    <col min="10231" max="10231" width="6.25" style="88" customWidth="1"/>
    <col min="10232" max="10232" width="2.875" style="88" customWidth="1"/>
    <col min="10233" max="10233" width="4" style="88" customWidth="1"/>
    <col min="10234" max="10234" width="4.75" style="88" customWidth="1"/>
    <col min="10235" max="10235" width="5.5" style="88" customWidth="1"/>
    <col min="10236" max="10236" width="5.375" style="88" customWidth="1"/>
    <col min="10237" max="10237" width="1.25" style="88" customWidth="1"/>
    <col min="10238" max="10238" width="4.375" style="88" customWidth="1"/>
    <col min="10239" max="10239" width="10.375" style="88" customWidth="1"/>
    <col min="10240" max="10240" width="16.625" style="88" customWidth="1"/>
    <col min="10241" max="10241" width="10.875" style="88" customWidth="1"/>
    <col min="10242" max="10242" width="18.75" style="88" customWidth="1"/>
    <col min="10243" max="10243" width="14.25" style="88" bestFit="1" customWidth="1"/>
    <col min="10244" max="10483" width="9" style="88"/>
    <col min="10484" max="10484" width="5" style="88" customWidth="1"/>
    <col min="10485" max="10485" width="3.875" style="88" customWidth="1"/>
    <col min="10486" max="10486" width="5" style="88" customWidth="1"/>
    <col min="10487" max="10487" width="6.25" style="88" customWidth="1"/>
    <col min="10488" max="10488" width="2.875" style="88" customWidth="1"/>
    <col min="10489" max="10489" width="4" style="88" customWidth="1"/>
    <col min="10490" max="10490" width="4.75" style="88" customWidth="1"/>
    <col min="10491" max="10491" width="5.5" style="88" customWidth="1"/>
    <col min="10492" max="10492" width="5.375" style="88" customWidth="1"/>
    <col min="10493" max="10493" width="1.25" style="88" customWidth="1"/>
    <col min="10494" max="10494" width="4.375" style="88" customWidth="1"/>
    <col min="10495" max="10495" width="10.375" style="88" customWidth="1"/>
    <col min="10496" max="10496" width="16.625" style="88" customWidth="1"/>
    <col min="10497" max="10497" width="10.875" style="88" customWidth="1"/>
    <col min="10498" max="10498" width="18.75" style="88" customWidth="1"/>
    <col min="10499" max="10499" width="14.25" style="88" bestFit="1" customWidth="1"/>
    <col min="10500" max="10739" width="9" style="88"/>
    <col min="10740" max="10740" width="5" style="88" customWidth="1"/>
    <col min="10741" max="10741" width="3.875" style="88" customWidth="1"/>
    <col min="10742" max="10742" width="5" style="88" customWidth="1"/>
    <col min="10743" max="10743" width="6.25" style="88" customWidth="1"/>
    <col min="10744" max="10744" width="2.875" style="88" customWidth="1"/>
    <col min="10745" max="10745" width="4" style="88" customWidth="1"/>
    <col min="10746" max="10746" width="4.75" style="88" customWidth="1"/>
    <col min="10747" max="10747" width="5.5" style="88" customWidth="1"/>
    <col min="10748" max="10748" width="5.375" style="88" customWidth="1"/>
    <col min="10749" max="10749" width="1.25" style="88" customWidth="1"/>
    <col min="10750" max="10750" width="4.375" style="88" customWidth="1"/>
    <col min="10751" max="10751" width="10.375" style="88" customWidth="1"/>
    <col min="10752" max="10752" width="16.625" style="88" customWidth="1"/>
    <col min="10753" max="10753" width="10.875" style="88" customWidth="1"/>
    <col min="10754" max="10754" width="18.75" style="88" customWidth="1"/>
    <col min="10755" max="10755" width="14.25" style="88" bestFit="1" customWidth="1"/>
    <col min="10756" max="10995" width="9" style="88"/>
    <col min="10996" max="10996" width="5" style="88" customWidth="1"/>
    <col min="10997" max="10997" width="3.875" style="88" customWidth="1"/>
    <col min="10998" max="10998" width="5" style="88" customWidth="1"/>
    <col min="10999" max="10999" width="6.25" style="88" customWidth="1"/>
    <col min="11000" max="11000" width="2.875" style="88" customWidth="1"/>
    <col min="11001" max="11001" width="4" style="88" customWidth="1"/>
    <col min="11002" max="11002" width="4.75" style="88" customWidth="1"/>
    <col min="11003" max="11003" width="5.5" style="88" customWidth="1"/>
    <col min="11004" max="11004" width="5.375" style="88" customWidth="1"/>
    <col min="11005" max="11005" width="1.25" style="88" customWidth="1"/>
    <col min="11006" max="11006" width="4.375" style="88" customWidth="1"/>
    <col min="11007" max="11007" width="10.375" style="88" customWidth="1"/>
    <col min="11008" max="11008" width="16.625" style="88" customWidth="1"/>
    <col min="11009" max="11009" width="10.875" style="88" customWidth="1"/>
    <col min="11010" max="11010" width="18.75" style="88" customWidth="1"/>
    <col min="11011" max="11011" width="14.25" style="88" bestFit="1" customWidth="1"/>
    <col min="11012" max="11251" width="9" style="88"/>
    <col min="11252" max="11252" width="5" style="88" customWidth="1"/>
    <col min="11253" max="11253" width="3.875" style="88" customWidth="1"/>
    <col min="11254" max="11254" width="5" style="88" customWidth="1"/>
    <col min="11255" max="11255" width="6.25" style="88" customWidth="1"/>
    <col min="11256" max="11256" width="2.875" style="88" customWidth="1"/>
    <col min="11257" max="11257" width="4" style="88" customWidth="1"/>
    <col min="11258" max="11258" width="4.75" style="88" customWidth="1"/>
    <col min="11259" max="11259" width="5.5" style="88" customWidth="1"/>
    <col min="11260" max="11260" width="5.375" style="88" customWidth="1"/>
    <col min="11261" max="11261" width="1.25" style="88" customWidth="1"/>
    <col min="11262" max="11262" width="4.375" style="88" customWidth="1"/>
    <col min="11263" max="11263" width="10.375" style="88" customWidth="1"/>
    <col min="11264" max="11264" width="16.625" style="88" customWidth="1"/>
    <col min="11265" max="11265" width="10.875" style="88" customWidth="1"/>
    <col min="11266" max="11266" width="18.75" style="88" customWidth="1"/>
    <col min="11267" max="11267" width="14.25" style="88" bestFit="1" customWidth="1"/>
    <col min="11268" max="11507" width="9" style="88"/>
    <col min="11508" max="11508" width="5" style="88" customWidth="1"/>
    <col min="11509" max="11509" width="3.875" style="88" customWidth="1"/>
    <col min="11510" max="11510" width="5" style="88" customWidth="1"/>
    <col min="11511" max="11511" width="6.25" style="88" customWidth="1"/>
    <col min="11512" max="11512" width="2.875" style="88" customWidth="1"/>
    <col min="11513" max="11513" width="4" style="88" customWidth="1"/>
    <col min="11514" max="11514" width="4.75" style="88" customWidth="1"/>
    <col min="11515" max="11515" width="5.5" style="88" customWidth="1"/>
    <col min="11516" max="11516" width="5.375" style="88" customWidth="1"/>
    <col min="11517" max="11517" width="1.25" style="88" customWidth="1"/>
    <col min="11518" max="11518" width="4.375" style="88" customWidth="1"/>
    <col min="11519" max="11519" width="10.375" style="88" customWidth="1"/>
    <col min="11520" max="11520" width="16.625" style="88" customWidth="1"/>
    <col min="11521" max="11521" width="10.875" style="88" customWidth="1"/>
    <col min="11522" max="11522" width="18.75" style="88" customWidth="1"/>
    <col min="11523" max="11523" width="14.25" style="88" bestFit="1" customWidth="1"/>
    <col min="11524" max="11763" width="9" style="88"/>
    <col min="11764" max="11764" width="5" style="88" customWidth="1"/>
    <col min="11765" max="11765" width="3.875" style="88" customWidth="1"/>
    <col min="11766" max="11766" width="5" style="88" customWidth="1"/>
    <col min="11767" max="11767" width="6.25" style="88" customWidth="1"/>
    <col min="11768" max="11768" width="2.875" style="88" customWidth="1"/>
    <col min="11769" max="11769" width="4" style="88" customWidth="1"/>
    <col min="11770" max="11770" width="4.75" style="88" customWidth="1"/>
    <col min="11771" max="11771" width="5.5" style="88" customWidth="1"/>
    <col min="11772" max="11772" width="5.375" style="88" customWidth="1"/>
    <col min="11773" max="11773" width="1.25" style="88" customWidth="1"/>
    <col min="11774" max="11774" width="4.375" style="88" customWidth="1"/>
    <col min="11775" max="11775" width="10.375" style="88" customWidth="1"/>
    <col min="11776" max="11776" width="16.625" style="88" customWidth="1"/>
    <col min="11777" max="11777" width="10.875" style="88" customWidth="1"/>
    <col min="11778" max="11778" width="18.75" style="88" customWidth="1"/>
    <col min="11779" max="11779" width="14.25" style="88" bestFit="1" customWidth="1"/>
    <col min="11780" max="12019" width="9" style="88"/>
    <col min="12020" max="12020" width="5" style="88" customWidth="1"/>
    <col min="12021" max="12021" width="3.875" style="88" customWidth="1"/>
    <col min="12022" max="12022" width="5" style="88" customWidth="1"/>
    <col min="12023" max="12023" width="6.25" style="88" customWidth="1"/>
    <col min="12024" max="12024" width="2.875" style="88" customWidth="1"/>
    <col min="12025" max="12025" width="4" style="88" customWidth="1"/>
    <col min="12026" max="12026" width="4.75" style="88" customWidth="1"/>
    <col min="12027" max="12027" width="5.5" style="88" customWidth="1"/>
    <col min="12028" max="12028" width="5.375" style="88" customWidth="1"/>
    <col min="12029" max="12029" width="1.25" style="88" customWidth="1"/>
    <col min="12030" max="12030" width="4.375" style="88" customWidth="1"/>
    <col min="12031" max="12031" width="10.375" style="88" customWidth="1"/>
    <col min="12032" max="12032" width="16.625" style="88" customWidth="1"/>
    <col min="12033" max="12033" width="10.875" style="88" customWidth="1"/>
    <col min="12034" max="12034" width="18.75" style="88" customWidth="1"/>
    <col min="12035" max="12035" width="14.25" style="88" bestFit="1" customWidth="1"/>
    <col min="12036" max="12275" width="9" style="88"/>
    <col min="12276" max="12276" width="5" style="88" customWidth="1"/>
    <col min="12277" max="12277" width="3.875" style="88" customWidth="1"/>
    <col min="12278" max="12278" width="5" style="88" customWidth="1"/>
    <col min="12279" max="12279" width="6.25" style="88" customWidth="1"/>
    <col min="12280" max="12280" width="2.875" style="88" customWidth="1"/>
    <col min="12281" max="12281" width="4" style="88" customWidth="1"/>
    <col min="12282" max="12282" width="4.75" style="88" customWidth="1"/>
    <col min="12283" max="12283" width="5.5" style="88" customWidth="1"/>
    <col min="12284" max="12284" width="5.375" style="88" customWidth="1"/>
    <col min="12285" max="12285" width="1.25" style="88" customWidth="1"/>
    <col min="12286" max="12286" width="4.375" style="88" customWidth="1"/>
    <col min="12287" max="12287" width="10.375" style="88" customWidth="1"/>
    <col min="12288" max="12288" width="16.625" style="88" customWidth="1"/>
    <col min="12289" max="12289" width="10.875" style="88" customWidth="1"/>
    <col min="12290" max="12290" width="18.75" style="88" customWidth="1"/>
    <col min="12291" max="12291" width="14.25" style="88" bestFit="1" customWidth="1"/>
    <col min="12292" max="12531" width="9" style="88"/>
    <col min="12532" max="12532" width="5" style="88" customWidth="1"/>
    <col min="12533" max="12533" width="3.875" style="88" customWidth="1"/>
    <col min="12534" max="12534" width="5" style="88" customWidth="1"/>
    <col min="12535" max="12535" width="6.25" style="88" customWidth="1"/>
    <col min="12536" max="12536" width="2.875" style="88" customWidth="1"/>
    <col min="12537" max="12537" width="4" style="88" customWidth="1"/>
    <col min="12538" max="12538" width="4.75" style="88" customWidth="1"/>
    <col min="12539" max="12539" width="5.5" style="88" customWidth="1"/>
    <col min="12540" max="12540" width="5.375" style="88" customWidth="1"/>
    <col min="12541" max="12541" width="1.25" style="88" customWidth="1"/>
    <col min="12542" max="12542" width="4.375" style="88" customWidth="1"/>
    <col min="12543" max="12543" width="10.375" style="88" customWidth="1"/>
    <col min="12544" max="12544" width="16.625" style="88" customWidth="1"/>
    <col min="12545" max="12545" width="10.875" style="88" customWidth="1"/>
    <col min="12546" max="12546" width="18.75" style="88" customWidth="1"/>
    <col min="12547" max="12547" width="14.25" style="88" bestFit="1" customWidth="1"/>
    <col min="12548" max="12787" width="9" style="88"/>
    <col min="12788" max="12788" width="5" style="88" customWidth="1"/>
    <col min="12789" max="12789" width="3.875" style="88" customWidth="1"/>
    <col min="12790" max="12790" width="5" style="88" customWidth="1"/>
    <col min="12791" max="12791" width="6.25" style="88" customWidth="1"/>
    <col min="12792" max="12792" width="2.875" style="88" customWidth="1"/>
    <col min="12793" max="12793" width="4" style="88" customWidth="1"/>
    <col min="12794" max="12794" width="4.75" style="88" customWidth="1"/>
    <col min="12795" max="12795" width="5.5" style="88" customWidth="1"/>
    <col min="12796" max="12796" width="5.375" style="88" customWidth="1"/>
    <col min="12797" max="12797" width="1.25" style="88" customWidth="1"/>
    <col min="12798" max="12798" width="4.375" style="88" customWidth="1"/>
    <col min="12799" max="12799" width="10.375" style="88" customWidth="1"/>
    <col min="12800" max="12800" width="16.625" style="88" customWidth="1"/>
    <col min="12801" max="12801" width="10.875" style="88" customWidth="1"/>
    <col min="12802" max="12802" width="18.75" style="88" customWidth="1"/>
    <col min="12803" max="12803" width="14.25" style="88" bestFit="1" customWidth="1"/>
    <col min="12804" max="13043" width="9" style="88"/>
    <col min="13044" max="13044" width="5" style="88" customWidth="1"/>
    <col min="13045" max="13045" width="3.875" style="88" customWidth="1"/>
    <col min="13046" max="13046" width="5" style="88" customWidth="1"/>
    <col min="13047" max="13047" width="6.25" style="88" customWidth="1"/>
    <col min="13048" max="13048" width="2.875" style="88" customWidth="1"/>
    <col min="13049" max="13049" width="4" style="88" customWidth="1"/>
    <col min="13050" max="13050" width="4.75" style="88" customWidth="1"/>
    <col min="13051" max="13051" width="5.5" style="88" customWidth="1"/>
    <col min="13052" max="13052" width="5.375" style="88" customWidth="1"/>
    <col min="13053" max="13053" width="1.25" style="88" customWidth="1"/>
    <col min="13054" max="13054" width="4.375" style="88" customWidth="1"/>
    <col min="13055" max="13055" width="10.375" style="88" customWidth="1"/>
    <col min="13056" max="13056" width="16.625" style="88" customWidth="1"/>
    <col min="13057" max="13057" width="10.875" style="88" customWidth="1"/>
    <col min="13058" max="13058" width="18.75" style="88" customWidth="1"/>
    <col min="13059" max="13059" width="14.25" style="88" bestFit="1" customWidth="1"/>
    <col min="13060" max="13299" width="9" style="88"/>
    <col min="13300" max="13300" width="5" style="88" customWidth="1"/>
    <col min="13301" max="13301" width="3.875" style="88" customWidth="1"/>
    <col min="13302" max="13302" width="5" style="88" customWidth="1"/>
    <col min="13303" max="13303" width="6.25" style="88" customWidth="1"/>
    <col min="13304" max="13304" width="2.875" style="88" customWidth="1"/>
    <col min="13305" max="13305" width="4" style="88" customWidth="1"/>
    <col min="13306" max="13306" width="4.75" style="88" customWidth="1"/>
    <col min="13307" max="13307" width="5.5" style="88" customWidth="1"/>
    <col min="13308" max="13308" width="5.375" style="88" customWidth="1"/>
    <col min="13309" max="13309" width="1.25" style="88" customWidth="1"/>
    <col min="13310" max="13310" width="4.375" style="88" customWidth="1"/>
    <col min="13311" max="13311" width="10.375" style="88" customWidth="1"/>
    <col min="13312" max="13312" width="16.625" style="88" customWidth="1"/>
    <col min="13313" max="13313" width="10.875" style="88" customWidth="1"/>
    <col min="13314" max="13314" width="18.75" style="88" customWidth="1"/>
    <col min="13315" max="13315" width="14.25" style="88" bestFit="1" customWidth="1"/>
    <col min="13316" max="13555" width="9" style="88"/>
    <col min="13556" max="13556" width="5" style="88" customWidth="1"/>
    <col min="13557" max="13557" width="3.875" style="88" customWidth="1"/>
    <col min="13558" max="13558" width="5" style="88" customWidth="1"/>
    <col min="13559" max="13559" width="6.25" style="88" customWidth="1"/>
    <col min="13560" max="13560" width="2.875" style="88" customWidth="1"/>
    <col min="13561" max="13561" width="4" style="88" customWidth="1"/>
    <col min="13562" max="13562" width="4.75" style="88" customWidth="1"/>
    <col min="13563" max="13563" width="5.5" style="88" customWidth="1"/>
    <col min="13564" max="13564" width="5.375" style="88" customWidth="1"/>
    <col min="13565" max="13565" width="1.25" style="88" customWidth="1"/>
    <col min="13566" max="13566" width="4.375" style="88" customWidth="1"/>
    <col min="13567" max="13567" width="10.375" style="88" customWidth="1"/>
    <col min="13568" max="13568" width="16.625" style="88" customWidth="1"/>
    <col min="13569" max="13569" width="10.875" style="88" customWidth="1"/>
    <col min="13570" max="13570" width="18.75" style="88" customWidth="1"/>
    <col min="13571" max="13571" width="14.25" style="88" bestFit="1" customWidth="1"/>
    <col min="13572" max="13811" width="9" style="88"/>
    <col min="13812" max="13812" width="5" style="88" customWidth="1"/>
    <col min="13813" max="13813" width="3.875" style="88" customWidth="1"/>
    <col min="13814" max="13814" width="5" style="88" customWidth="1"/>
    <col min="13815" max="13815" width="6.25" style="88" customWidth="1"/>
    <col min="13816" max="13816" width="2.875" style="88" customWidth="1"/>
    <col min="13817" max="13817" width="4" style="88" customWidth="1"/>
    <col min="13818" max="13818" width="4.75" style="88" customWidth="1"/>
    <col min="13819" max="13819" width="5.5" style="88" customWidth="1"/>
    <col min="13820" max="13820" width="5.375" style="88" customWidth="1"/>
    <col min="13821" max="13821" width="1.25" style="88" customWidth="1"/>
    <col min="13822" max="13822" width="4.375" style="88" customWidth="1"/>
    <col min="13823" max="13823" width="10.375" style="88" customWidth="1"/>
    <col min="13824" max="13824" width="16.625" style="88" customWidth="1"/>
    <col min="13825" max="13825" width="10.875" style="88" customWidth="1"/>
    <col min="13826" max="13826" width="18.75" style="88" customWidth="1"/>
    <col min="13827" max="13827" width="14.25" style="88" bestFit="1" customWidth="1"/>
    <col min="13828" max="14067" width="9" style="88"/>
    <col min="14068" max="14068" width="5" style="88" customWidth="1"/>
    <col min="14069" max="14069" width="3.875" style="88" customWidth="1"/>
    <col min="14070" max="14070" width="5" style="88" customWidth="1"/>
    <col min="14071" max="14071" width="6.25" style="88" customWidth="1"/>
    <col min="14072" max="14072" width="2.875" style="88" customWidth="1"/>
    <col min="14073" max="14073" width="4" style="88" customWidth="1"/>
    <col min="14074" max="14074" width="4.75" style="88" customWidth="1"/>
    <col min="14075" max="14075" width="5.5" style="88" customWidth="1"/>
    <col min="14076" max="14076" width="5.375" style="88" customWidth="1"/>
    <col min="14077" max="14077" width="1.25" style="88" customWidth="1"/>
    <col min="14078" max="14078" width="4.375" style="88" customWidth="1"/>
    <col min="14079" max="14079" width="10.375" style="88" customWidth="1"/>
    <col min="14080" max="14080" width="16.625" style="88" customWidth="1"/>
    <col min="14081" max="14081" width="10.875" style="88" customWidth="1"/>
    <col min="14082" max="14082" width="18.75" style="88" customWidth="1"/>
    <col min="14083" max="14083" width="14.25" style="88" bestFit="1" customWidth="1"/>
    <col min="14084" max="14323" width="9" style="88"/>
    <col min="14324" max="14324" width="5" style="88" customWidth="1"/>
    <col min="14325" max="14325" width="3.875" style="88" customWidth="1"/>
    <col min="14326" max="14326" width="5" style="88" customWidth="1"/>
    <col min="14327" max="14327" width="6.25" style="88" customWidth="1"/>
    <col min="14328" max="14328" width="2.875" style="88" customWidth="1"/>
    <col min="14329" max="14329" width="4" style="88" customWidth="1"/>
    <col min="14330" max="14330" width="4.75" style="88" customWidth="1"/>
    <col min="14331" max="14331" width="5.5" style="88" customWidth="1"/>
    <col min="14332" max="14332" width="5.375" style="88" customWidth="1"/>
    <col min="14333" max="14333" width="1.25" style="88" customWidth="1"/>
    <col min="14334" max="14334" width="4.375" style="88" customWidth="1"/>
    <col min="14335" max="14335" width="10.375" style="88" customWidth="1"/>
    <col min="14336" max="14336" width="16.625" style="88" customWidth="1"/>
    <col min="14337" max="14337" width="10.875" style="88" customWidth="1"/>
    <col min="14338" max="14338" width="18.75" style="88" customWidth="1"/>
    <col min="14339" max="14339" width="14.25" style="88" bestFit="1" customWidth="1"/>
    <col min="14340" max="14579" width="9" style="88"/>
    <col min="14580" max="14580" width="5" style="88" customWidth="1"/>
    <col min="14581" max="14581" width="3.875" style="88" customWidth="1"/>
    <col min="14582" max="14582" width="5" style="88" customWidth="1"/>
    <col min="14583" max="14583" width="6.25" style="88" customWidth="1"/>
    <col min="14584" max="14584" width="2.875" style="88" customWidth="1"/>
    <col min="14585" max="14585" width="4" style="88" customWidth="1"/>
    <col min="14586" max="14586" width="4.75" style="88" customWidth="1"/>
    <col min="14587" max="14587" width="5.5" style="88" customWidth="1"/>
    <col min="14588" max="14588" width="5.375" style="88" customWidth="1"/>
    <col min="14589" max="14589" width="1.25" style="88" customWidth="1"/>
    <col min="14590" max="14590" width="4.375" style="88" customWidth="1"/>
    <col min="14591" max="14591" width="10.375" style="88" customWidth="1"/>
    <col min="14592" max="14592" width="16.625" style="88" customWidth="1"/>
    <col min="14593" max="14593" width="10.875" style="88" customWidth="1"/>
    <col min="14594" max="14594" width="18.75" style="88" customWidth="1"/>
    <col min="14595" max="14595" width="14.25" style="88" bestFit="1" customWidth="1"/>
    <col min="14596" max="14835" width="9" style="88"/>
    <col min="14836" max="14836" width="5" style="88" customWidth="1"/>
    <col min="14837" max="14837" width="3.875" style="88" customWidth="1"/>
    <col min="14838" max="14838" width="5" style="88" customWidth="1"/>
    <col min="14839" max="14839" width="6.25" style="88" customWidth="1"/>
    <col min="14840" max="14840" width="2.875" style="88" customWidth="1"/>
    <col min="14841" max="14841" width="4" style="88" customWidth="1"/>
    <col min="14842" max="14842" width="4.75" style="88" customWidth="1"/>
    <col min="14843" max="14843" width="5.5" style="88" customWidth="1"/>
    <col min="14844" max="14844" width="5.375" style="88" customWidth="1"/>
    <col min="14845" max="14845" width="1.25" style="88" customWidth="1"/>
    <col min="14846" max="14846" width="4.375" style="88" customWidth="1"/>
    <col min="14847" max="14847" width="10.375" style="88" customWidth="1"/>
    <col min="14848" max="14848" width="16.625" style="88" customWidth="1"/>
    <col min="14849" max="14849" width="10.875" style="88" customWidth="1"/>
    <col min="14850" max="14850" width="18.75" style="88" customWidth="1"/>
    <col min="14851" max="14851" width="14.25" style="88" bestFit="1" customWidth="1"/>
    <col min="14852" max="15091" width="9" style="88"/>
    <col min="15092" max="15092" width="5" style="88" customWidth="1"/>
    <col min="15093" max="15093" width="3.875" style="88" customWidth="1"/>
    <col min="15094" max="15094" width="5" style="88" customWidth="1"/>
    <col min="15095" max="15095" width="6.25" style="88" customWidth="1"/>
    <col min="15096" max="15096" width="2.875" style="88" customWidth="1"/>
    <col min="15097" max="15097" width="4" style="88" customWidth="1"/>
    <col min="15098" max="15098" width="4.75" style="88" customWidth="1"/>
    <col min="15099" max="15099" width="5.5" style="88" customWidth="1"/>
    <col min="15100" max="15100" width="5.375" style="88" customWidth="1"/>
    <col min="15101" max="15101" width="1.25" style="88" customWidth="1"/>
    <col min="15102" max="15102" width="4.375" style="88" customWidth="1"/>
    <col min="15103" max="15103" width="10.375" style="88" customWidth="1"/>
    <col min="15104" max="15104" width="16.625" style="88" customWidth="1"/>
    <col min="15105" max="15105" width="10.875" style="88" customWidth="1"/>
    <col min="15106" max="15106" width="18.75" style="88" customWidth="1"/>
    <col min="15107" max="15107" width="14.25" style="88" bestFit="1" customWidth="1"/>
    <col min="15108" max="15347" width="9" style="88"/>
    <col min="15348" max="15348" width="5" style="88" customWidth="1"/>
    <col min="15349" max="15349" width="3.875" style="88" customWidth="1"/>
    <col min="15350" max="15350" width="5" style="88" customWidth="1"/>
    <col min="15351" max="15351" width="6.25" style="88" customWidth="1"/>
    <col min="15352" max="15352" width="2.875" style="88" customWidth="1"/>
    <col min="15353" max="15353" width="4" style="88" customWidth="1"/>
    <col min="15354" max="15354" width="4.75" style="88" customWidth="1"/>
    <col min="15355" max="15355" width="5.5" style="88" customWidth="1"/>
    <col min="15356" max="15356" width="5.375" style="88" customWidth="1"/>
    <col min="15357" max="15357" width="1.25" style="88" customWidth="1"/>
    <col min="15358" max="15358" width="4.375" style="88" customWidth="1"/>
    <col min="15359" max="15359" width="10.375" style="88" customWidth="1"/>
    <col min="15360" max="15360" width="16.625" style="88" customWidth="1"/>
    <col min="15361" max="15361" width="10.875" style="88" customWidth="1"/>
    <col min="15362" max="15362" width="18.75" style="88" customWidth="1"/>
    <col min="15363" max="15363" width="14.25" style="88" bestFit="1" customWidth="1"/>
    <col min="15364" max="15603" width="9" style="88"/>
    <col min="15604" max="15604" width="5" style="88" customWidth="1"/>
    <col min="15605" max="15605" width="3.875" style="88" customWidth="1"/>
    <col min="15606" max="15606" width="5" style="88" customWidth="1"/>
    <col min="15607" max="15607" width="6.25" style="88" customWidth="1"/>
    <col min="15608" max="15608" width="2.875" style="88" customWidth="1"/>
    <col min="15609" max="15609" width="4" style="88" customWidth="1"/>
    <col min="15610" max="15610" width="4.75" style="88" customWidth="1"/>
    <col min="15611" max="15611" width="5.5" style="88" customWidth="1"/>
    <col min="15612" max="15612" width="5.375" style="88" customWidth="1"/>
    <col min="15613" max="15613" width="1.25" style="88" customWidth="1"/>
    <col min="15614" max="15614" width="4.375" style="88" customWidth="1"/>
    <col min="15615" max="15615" width="10.375" style="88" customWidth="1"/>
    <col min="15616" max="15616" width="16.625" style="88" customWidth="1"/>
    <col min="15617" max="15617" width="10.875" style="88" customWidth="1"/>
    <col min="15618" max="15618" width="18.75" style="88" customWidth="1"/>
    <col min="15619" max="15619" width="14.25" style="88" bestFit="1" customWidth="1"/>
    <col min="15620" max="15859" width="9" style="88"/>
    <col min="15860" max="15860" width="5" style="88" customWidth="1"/>
    <col min="15861" max="15861" width="3.875" style="88" customWidth="1"/>
    <col min="15862" max="15862" width="5" style="88" customWidth="1"/>
    <col min="15863" max="15863" width="6.25" style="88" customWidth="1"/>
    <col min="15864" max="15864" width="2.875" style="88" customWidth="1"/>
    <col min="15865" max="15865" width="4" style="88" customWidth="1"/>
    <col min="15866" max="15866" width="4.75" style="88" customWidth="1"/>
    <col min="15867" max="15867" width="5.5" style="88" customWidth="1"/>
    <col min="15868" max="15868" width="5.375" style="88" customWidth="1"/>
    <col min="15869" max="15869" width="1.25" style="88" customWidth="1"/>
    <col min="15870" max="15870" width="4.375" style="88" customWidth="1"/>
    <col min="15871" max="15871" width="10.375" style="88" customWidth="1"/>
    <col min="15872" max="15872" width="16.625" style="88" customWidth="1"/>
    <col min="15873" max="15873" width="10.875" style="88" customWidth="1"/>
    <col min="15874" max="15874" width="18.75" style="88" customWidth="1"/>
    <col min="15875" max="15875" width="14.25" style="88" bestFit="1" customWidth="1"/>
    <col min="15876" max="16115" width="9" style="88"/>
    <col min="16116" max="16116" width="5" style="88" customWidth="1"/>
    <col min="16117" max="16117" width="3.875" style="88" customWidth="1"/>
    <col min="16118" max="16118" width="5" style="88" customWidth="1"/>
    <col min="16119" max="16119" width="6.25" style="88" customWidth="1"/>
    <col min="16120" max="16120" width="2.875" style="88" customWidth="1"/>
    <col min="16121" max="16121" width="4" style="88" customWidth="1"/>
    <col min="16122" max="16122" width="4.75" style="88" customWidth="1"/>
    <col min="16123" max="16123" width="5.5" style="88" customWidth="1"/>
    <col min="16124" max="16124" width="5.375" style="88" customWidth="1"/>
    <col min="16125" max="16125" width="1.25" style="88" customWidth="1"/>
    <col min="16126" max="16126" width="4.375" style="88" customWidth="1"/>
    <col min="16127" max="16127" width="10.375" style="88" customWidth="1"/>
    <col min="16128" max="16128" width="16.625" style="88" customWidth="1"/>
    <col min="16129" max="16129" width="10.875" style="88" customWidth="1"/>
    <col min="16130" max="16130" width="18.75" style="88" customWidth="1"/>
    <col min="16131" max="16131" width="14.25" style="88" bestFit="1" customWidth="1"/>
    <col min="16132" max="16384" width="9" style="88"/>
  </cols>
  <sheetData>
    <row r="1" spans="1:15" ht="9" customHeight="1">
      <c r="A1" s="234"/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6"/>
    </row>
    <row r="2" spans="1:15" ht="9.75" customHeight="1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</row>
    <row r="3" spans="1:15" ht="45">
      <c r="A3" s="237" t="s">
        <v>87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/>
    </row>
    <row r="4" spans="1:15" ht="16.5" customHeight="1">
      <c r="A4" s="92" t="s">
        <v>88</v>
      </c>
      <c r="B4" s="93"/>
      <c r="C4" s="93"/>
      <c r="D4" s="93"/>
      <c r="E4" s="93"/>
      <c r="F4" s="93"/>
      <c r="G4" s="93"/>
      <c r="H4" s="93"/>
      <c r="I4" s="94"/>
      <c r="J4" s="94"/>
      <c r="K4" s="95"/>
      <c r="L4" s="95"/>
      <c r="M4" s="95"/>
      <c r="N4" s="95"/>
      <c r="O4" s="96"/>
    </row>
    <row r="5" spans="1:15" ht="21" customHeight="1">
      <c r="A5" s="97"/>
      <c r="B5" s="153" t="s">
        <v>152</v>
      </c>
      <c r="C5" s="153"/>
      <c r="D5" s="153"/>
      <c r="E5" s="153"/>
      <c r="F5" s="153"/>
      <c r="G5" s="98"/>
      <c r="H5" s="98"/>
      <c r="I5" s="98"/>
      <c r="J5" s="98"/>
      <c r="K5" s="98"/>
      <c r="L5" s="98"/>
      <c r="M5" s="99"/>
      <c r="N5" s="99"/>
      <c r="O5" s="100"/>
    </row>
    <row r="6" spans="1:15" ht="12" customHeight="1" thickBot="1">
      <c r="A6" s="101"/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103"/>
      <c r="M6" s="103"/>
      <c r="N6" s="103"/>
      <c r="O6" s="104"/>
    </row>
    <row r="7" spans="1:15" ht="23.25" customHeight="1">
      <c r="A7" s="240" t="s">
        <v>89</v>
      </c>
      <c r="B7" s="241"/>
      <c r="C7" s="242"/>
      <c r="D7" s="154">
        <v>2026</v>
      </c>
      <c r="E7" s="105" t="s">
        <v>90</v>
      </c>
      <c r="F7" s="105">
        <v>5</v>
      </c>
      <c r="G7" s="105" t="s">
        <v>91</v>
      </c>
      <c r="H7" s="105">
        <v>9</v>
      </c>
      <c r="I7" s="105" t="s">
        <v>92</v>
      </c>
      <c r="J7" s="106"/>
      <c r="K7" s="243" t="s">
        <v>93</v>
      </c>
      <c r="L7" s="107" t="s">
        <v>94</v>
      </c>
      <c r="M7" s="107" t="s">
        <v>95</v>
      </c>
      <c r="N7" s="107" t="s">
        <v>96</v>
      </c>
      <c r="O7" s="108" t="s">
        <v>97</v>
      </c>
    </row>
    <row r="8" spans="1:15" ht="23.25" customHeight="1">
      <c r="A8" s="246" t="s">
        <v>98</v>
      </c>
      <c r="B8" s="247"/>
      <c r="C8" s="248"/>
      <c r="D8" s="249" t="s">
        <v>99</v>
      </c>
      <c r="E8" s="250"/>
      <c r="F8" s="250"/>
      <c r="G8" s="251"/>
      <c r="H8" s="252" t="s">
        <v>100</v>
      </c>
      <c r="I8" s="250"/>
      <c r="J8" s="253"/>
      <c r="K8" s="244"/>
      <c r="L8" s="109" t="s">
        <v>101</v>
      </c>
      <c r="M8" s="109" t="s">
        <v>102</v>
      </c>
      <c r="N8" s="109" t="s">
        <v>103</v>
      </c>
      <c r="O8" s="110" t="s">
        <v>104</v>
      </c>
    </row>
    <row r="9" spans="1:15" ht="23.25" customHeight="1">
      <c r="A9" s="246" t="s">
        <v>105</v>
      </c>
      <c r="B9" s="247"/>
      <c r="C9" s="248"/>
      <c r="D9" s="254" t="s">
        <v>106</v>
      </c>
      <c r="E9" s="255"/>
      <c r="F9" s="255"/>
      <c r="G9" s="255"/>
      <c r="H9" s="255"/>
      <c r="I9" s="255"/>
      <c r="J9" s="256"/>
      <c r="K9" s="244"/>
      <c r="L9" s="109" t="s">
        <v>107</v>
      </c>
      <c r="M9" s="257" t="s">
        <v>108</v>
      </c>
      <c r="N9" s="247"/>
      <c r="O9" s="248"/>
    </row>
    <row r="10" spans="1:15" ht="23.25" customHeight="1" thickBot="1">
      <c r="A10" s="258" t="s">
        <v>109</v>
      </c>
      <c r="B10" s="259"/>
      <c r="C10" s="260"/>
      <c r="D10" s="261" t="s">
        <v>110</v>
      </c>
      <c r="E10" s="262"/>
      <c r="F10" s="262"/>
      <c r="G10" s="262"/>
      <c r="H10" s="262"/>
      <c r="I10" s="262"/>
      <c r="J10" s="263"/>
      <c r="K10" s="245"/>
      <c r="L10" s="111" t="s">
        <v>111</v>
      </c>
      <c r="M10" s="111" t="s">
        <v>112</v>
      </c>
      <c r="N10" s="111" t="s">
        <v>113</v>
      </c>
      <c r="O10" s="112" t="s">
        <v>114</v>
      </c>
    </row>
    <row r="11" spans="1:15" ht="21.75" customHeight="1">
      <c r="A11" s="113"/>
      <c r="B11" s="114"/>
      <c r="C11" s="114"/>
      <c r="D11" s="115"/>
      <c r="E11" s="115"/>
      <c r="F11" s="115"/>
      <c r="G11" s="115"/>
      <c r="H11" s="115"/>
      <c r="I11" s="115"/>
      <c r="J11" s="115"/>
      <c r="K11" s="116"/>
      <c r="L11" s="116"/>
      <c r="M11" s="116"/>
      <c r="N11" s="116"/>
      <c r="O11" s="96"/>
    </row>
    <row r="12" spans="1:15" ht="21.75" customHeight="1">
      <c r="A12" s="117"/>
      <c r="B12" s="99"/>
      <c r="C12" s="99"/>
      <c r="D12" s="99"/>
      <c r="E12" s="99"/>
      <c r="F12" s="99"/>
      <c r="G12" s="99"/>
      <c r="H12" s="99"/>
      <c r="I12" s="116"/>
      <c r="J12" s="116"/>
      <c r="K12" s="116"/>
      <c r="L12" s="116"/>
      <c r="M12" s="116"/>
      <c r="N12" s="116"/>
      <c r="O12" s="118"/>
    </row>
    <row r="13" spans="1:15" ht="24" customHeight="1">
      <c r="A13" s="119"/>
      <c r="B13" s="233" t="s">
        <v>151</v>
      </c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120" t="s">
        <v>115</v>
      </c>
      <c r="O13" s="118"/>
    </row>
    <row r="14" spans="1:15" ht="9" customHeight="1">
      <c r="A14" s="119"/>
      <c r="B14" s="99"/>
      <c r="C14" s="99"/>
      <c r="D14" s="99"/>
      <c r="E14" s="99"/>
      <c r="F14" s="99"/>
      <c r="G14" s="99"/>
      <c r="H14" s="99"/>
      <c r="I14" s="116"/>
      <c r="J14" s="116"/>
      <c r="K14" s="116"/>
      <c r="L14" s="116"/>
      <c r="M14" s="116"/>
      <c r="N14" s="116"/>
      <c r="O14" s="118"/>
    </row>
    <row r="15" spans="1:15" ht="25.5" customHeight="1">
      <c r="A15" s="119"/>
      <c r="B15" s="216" t="str">
        <f>"견 적 금 액 : 一金"&amp;NUMBERSTRING(M32,1) &amp; "원정""(\"&amp; TEXT(M32,"#,###")&amp;"원) [VAT 별도]"</f>
        <v>견 적 금 액 : 一金사십일만일천칠백이십오원정"(\411,725원) [VAT 별도]</v>
      </c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7"/>
    </row>
    <row r="16" spans="1:15" ht="15" thickBot="1">
      <c r="A16" s="117"/>
      <c r="B16" s="116"/>
      <c r="C16" s="116"/>
      <c r="D16" s="116"/>
      <c r="E16" s="116"/>
      <c r="F16" s="116"/>
      <c r="G16" s="116"/>
      <c r="H16" s="116"/>
      <c r="I16" s="99"/>
      <c r="J16" s="99"/>
      <c r="K16" s="218"/>
      <c r="L16" s="218"/>
      <c r="M16" s="218"/>
      <c r="N16" s="218"/>
      <c r="O16" s="219"/>
    </row>
    <row r="17" spans="1:17" ht="27.75" customHeight="1" thickBot="1">
      <c r="A17" s="121" t="s">
        <v>116</v>
      </c>
      <c r="B17" s="226" t="s">
        <v>117</v>
      </c>
      <c r="C17" s="227"/>
      <c r="D17" s="227"/>
      <c r="E17" s="227"/>
      <c r="F17" s="227"/>
      <c r="G17" s="228"/>
      <c r="H17" s="122" t="s">
        <v>118</v>
      </c>
      <c r="I17" s="123" t="s">
        <v>119</v>
      </c>
      <c r="J17" s="229" t="s">
        <v>120</v>
      </c>
      <c r="K17" s="230"/>
      <c r="L17" s="230"/>
      <c r="M17" s="231"/>
      <c r="N17" s="226" t="s">
        <v>121</v>
      </c>
      <c r="O17" s="232"/>
    </row>
    <row r="18" spans="1:17" ht="28.5" customHeight="1">
      <c r="A18" s="124">
        <v>1</v>
      </c>
      <c r="B18" s="220" t="s">
        <v>53</v>
      </c>
      <c r="C18" s="221"/>
      <c r="D18" s="221"/>
      <c r="E18" s="221"/>
      <c r="F18" s="221"/>
      <c r="G18" s="222"/>
      <c r="H18" s="155">
        <v>1</v>
      </c>
      <c r="I18" s="156" t="s">
        <v>6</v>
      </c>
      <c r="J18" s="223">
        <f>IFERROR(LOOKUP(2, 1/(TRIM('내역서(표준단가)'!K4:K100)&lt;&gt;""), '내역서(표준단가)'!K4:K100), "-")</f>
        <v>25367.500400000001</v>
      </c>
      <c r="K18" s="223"/>
      <c r="L18" s="223"/>
      <c r="M18" s="223"/>
      <c r="N18" s="224"/>
      <c r="O18" s="225"/>
    </row>
    <row r="19" spans="1:17" ht="28.5" customHeight="1">
      <c r="A19" s="125">
        <v>2</v>
      </c>
      <c r="B19" s="203" t="s">
        <v>54</v>
      </c>
      <c r="C19" s="204"/>
      <c r="D19" s="204"/>
      <c r="E19" s="204"/>
      <c r="F19" s="204"/>
      <c r="G19" s="205"/>
      <c r="H19" s="157">
        <v>1</v>
      </c>
      <c r="I19" s="157" t="s">
        <v>6</v>
      </c>
      <c r="J19" s="206">
        <f>IFERROR(LOOKUP(2, 1/(TRIM('내역서(표준단가)'!M4:M100)&lt;&gt;""), '내역서(표준단가)'!M4:M100), "-")</f>
        <v>292269.86748899997</v>
      </c>
      <c r="K19" s="207"/>
      <c r="L19" s="207"/>
      <c r="M19" s="208"/>
      <c r="N19" s="209"/>
      <c r="O19" s="210"/>
    </row>
    <row r="20" spans="1:17" ht="28.5" customHeight="1">
      <c r="A20" s="125">
        <v>3</v>
      </c>
      <c r="B20" s="203" t="s">
        <v>122</v>
      </c>
      <c r="C20" s="204"/>
      <c r="D20" s="204"/>
      <c r="E20" s="204"/>
      <c r="F20" s="204"/>
      <c r="G20" s="205"/>
      <c r="H20" s="126">
        <v>1</v>
      </c>
      <c r="I20" s="126" t="s">
        <v>6</v>
      </c>
      <c r="J20" s="211">
        <f>IFERROR(SUM(J21:M29),"-")</f>
        <v>49005.808695692809</v>
      </c>
      <c r="K20" s="212"/>
      <c r="L20" s="212"/>
      <c r="M20" s="213"/>
      <c r="N20" s="214"/>
      <c r="O20" s="215"/>
      <c r="P20" s="127"/>
    </row>
    <row r="21" spans="1:17" ht="28.5" customHeight="1">
      <c r="A21" s="124"/>
      <c r="B21" s="128"/>
      <c r="C21" s="195" t="s">
        <v>123</v>
      </c>
      <c r="D21" s="196"/>
      <c r="E21" s="196"/>
      <c r="F21" s="196"/>
      <c r="G21" s="197"/>
      <c r="H21" s="158">
        <v>1</v>
      </c>
      <c r="I21" s="158" t="s">
        <v>6</v>
      </c>
      <c r="J21" s="198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99"/>
      <c r="L21" s="199"/>
      <c r="M21" s="200"/>
      <c r="N21" s="201" t="s">
        <v>124</v>
      </c>
      <c r="O21" s="202"/>
    </row>
    <row r="22" spans="1:17" ht="28.5" customHeight="1">
      <c r="A22" s="124"/>
      <c r="B22" s="128"/>
      <c r="C22" s="189" t="s">
        <v>125</v>
      </c>
      <c r="D22" s="190"/>
      <c r="E22" s="190"/>
      <c r="F22" s="190"/>
      <c r="G22" s="191"/>
      <c r="H22" s="129">
        <v>3.11</v>
      </c>
      <c r="I22" s="129" t="s">
        <v>126</v>
      </c>
      <c r="J22" s="192">
        <f>IFERROR((J18+J19)*H22%,"-")</f>
        <v>9878.5221413478994</v>
      </c>
      <c r="K22" s="193"/>
      <c r="L22" s="193"/>
      <c r="M22" s="194"/>
      <c r="N22" s="185" t="s">
        <v>127</v>
      </c>
      <c r="O22" s="186"/>
    </row>
    <row r="23" spans="1:17" ht="28.5" customHeight="1">
      <c r="A23" s="124"/>
      <c r="B23" s="128"/>
      <c r="C23" s="189" t="s">
        <v>128</v>
      </c>
      <c r="D23" s="190"/>
      <c r="E23" s="190"/>
      <c r="F23" s="190"/>
      <c r="G23" s="191"/>
      <c r="H23" s="129">
        <v>3.56</v>
      </c>
      <c r="I23" s="129" t="s">
        <v>129</v>
      </c>
      <c r="J23" s="192">
        <f>IFERROR(J19*H23%,"-")</f>
        <v>10404.807282608399</v>
      </c>
      <c r="K23" s="193"/>
      <c r="L23" s="193"/>
      <c r="M23" s="194"/>
      <c r="N23" s="185" t="s">
        <v>130</v>
      </c>
      <c r="O23" s="186"/>
    </row>
    <row r="24" spans="1:17" ht="28.5" customHeight="1">
      <c r="A24" s="124"/>
      <c r="B24" s="128"/>
      <c r="C24" s="189" t="s">
        <v>131</v>
      </c>
      <c r="D24" s="190"/>
      <c r="E24" s="190"/>
      <c r="F24" s="190"/>
      <c r="G24" s="191"/>
      <c r="H24" s="129">
        <v>1.01</v>
      </c>
      <c r="I24" s="129" t="s">
        <v>129</v>
      </c>
      <c r="J24" s="192">
        <f>IFERROR(J19*H24%,"-")</f>
        <v>2951.9256616388993</v>
      </c>
      <c r="K24" s="193"/>
      <c r="L24" s="193"/>
      <c r="M24" s="194"/>
      <c r="N24" s="185" t="s">
        <v>132</v>
      </c>
      <c r="O24" s="186"/>
    </row>
    <row r="25" spans="1:17" ht="28.5" customHeight="1">
      <c r="A25" s="124"/>
      <c r="B25" s="128"/>
      <c r="C25" s="189" t="s">
        <v>133</v>
      </c>
      <c r="D25" s="190"/>
      <c r="E25" s="190"/>
      <c r="F25" s="190"/>
      <c r="G25" s="191"/>
      <c r="H25" s="130">
        <v>3.5950000000000002</v>
      </c>
      <c r="I25" s="129" t="s">
        <v>129</v>
      </c>
      <c r="J25" s="192">
        <f>IFERROR(J19*H25%,"-")</f>
        <v>10507.10173622955</v>
      </c>
      <c r="K25" s="193"/>
      <c r="L25" s="193"/>
      <c r="M25" s="194"/>
      <c r="N25" s="185" t="s">
        <v>134</v>
      </c>
      <c r="O25" s="186"/>
      <c r="Q25" s="127"/>
    </row>
    <row r="26" spans="1:17" ht="28.5" customHeight="1">
      <c r="A26" s="124"/>
      <c r="B26" s="128"/>
      <c r="C26" s="189" t="s">
        <v>135</v>
      </c>
      <c r="D26" s="190"/>
      <c r="E26" s="190"/>
      <c r="F26" s="190"/>
      <c r="G26" s="191"/>
      <c r="H26" s="129">
        <v>4.75</v>
      </c>
      <c r="I26" s="129" t="s">
        <v>129</v>
      </c>
      <c r="J26" s="192">
        <f>IFERROR(J19*H26%,"-")</f>
        <v>13882.818705727499</v>
      </c>
      <c r="K26" s="193"/>
      <c r="L26" s="193"/>
      <c r="M26" s="194"/>
      <c r="N26" s="185" t="s">
        <v>136</v>
      </c>
      <c r="O26" s="186"/>
      <c r="Q26" s="131"/>
    </row>
    <row r="27" spans="1:17" ht="28.5" customHeight="1">
      <c r="A27" s="124"/>
      <c r="B27" s="128"/>
      <c r="C27" s="179" t="s">
        <v>137</v>
      </c>
      <c r="D27" s="180"/>
      <c r="E27" s="180"/>
      <c r="F27" s="180"/>
      <c r="G27" s="181"/>
      <c r="H27" s="132">
        <v>13.14</v>
      </c>
      <c r="I27" s="133" t="s">
        <v>129</v>
      </c>
      <c r="J27" s="182">
        <f>IFERROR($H$27*J25%,"-")</f>
        <v>1380.6331681405629</v>
      </c>
      <c r="K27" s="183"/>
      <c r="L27" s="183"/>
      <c r="M27" s="184"/>
      <c r="N27" s="185" t="s">
        <v>138</v>
      </c>
      <c r="O27" s="186"/>
    </row>
    <row r="28" spans="1:17" ht="28.5" customHeight="1">
      <c r="A28" s="124"/>
      <c r="B28" s="128"/>
      <c r="C28" s="179" t="s">
        <v>139</v>
      </c>
      <c r="D28" s="180"/>
      <c r="E28" s="180"/>
      <c r="F28" s="180"/>
      <c r="G28" s="181"/>
      <c r="H28" s="132">
        <v>8.1000000000000003E-2</v>
      </c>
      <c r="I28" s="133" t="s">
        <v>129</v>
      </c>
      <c r="J28" s="182" t="str">
        <f>IFERROR(IF(SUM(J21:J27,J18:J19)&gt;=10000000,SUM(J21:J27,J18:J19)*H28%,"-"),"-")</f>
        <v>-</v>
      </c>
      <c r="K28" s="183"/>
      <c r="L28" s="183"/>
      <c r="M28" s="184"/>
      <c r="N28" s="187" t="s">
        <v>140</v>
      </c>
      <c r="O28" s="188"/>
    </row>
    <row r="29" spans="1:17" ht="28.5" customHeight="1">
      <c r="A29" s="134"/>
      <c r="B29" s="135"/>
      <c r="C29" s="159" t="s">
        <v>141</v>
      </c>
      <c r="D29" s="160"/>
      <c r="E29" s="160"/>
      <c r="F29" s="160"/>
      <c r="G29" s="161"/>
      <c r="H29" s="136">
        <v>1</v>
      </c>
      <c r="I29" s="137" t="s">
        <v>142</v>
      </c>
      <c r="J29" s="162">
        <f>34*0</f>
        <v>0</v>
      </c>
      <c r="K29" s="163"/>
      <c r="L29" s="163"/>
      <c r="M29" s="164"/>
      <c r="N29" s="165" t="s">
        <v>143</v>
      </c>
      <c r="O29" s="166"/>
    </row>
    <row r="30" spans="1:17" ht="28.5" customHeight="1">
      <c r="A30" s="134">
        <v>4</v>
      </c>
      <c r="B30" s="135"/>
      <c r="C30" s="159" t="s">
        <v>144</v>
      </c>
      <c r="D30" s="160"/>
      <c r="E30" s="160"/>
      <c r="F30" s="160"/>
      <c r="G30" s="161"/>
      <c r="H30" s="137">
        <v>5</v>
      </c>
      <c r="I30" s="138" t="s">
        <v>145</v>
      </c>
      <c r="J30" s="172">
        <f>IFERROR(IF(ISNUMBER(H30), SUM(J18:M20) * (H30 / 100), "-"), "-")</f>
        <v>18332.158829234639</v>
      </c>
      <c r="K30" s="173"/>
      <c r="L30" s="173"/>
      <c r="M30" s="174"/>
      <c r="N30" s="175" t="s">
        <v>146</v>
      </c>
      <c r="O30" s="176"/>
    </row>
    <row r="31" spans="1:17" ht="28.5" customHeight="1" thickBot="1">
      <c r="A31" s="134">
        <v>5</v>
      </c>
      <c r="B31" s="135"/>
      <c r="C31" s="159" t="s">
        <v>147</v>
      </c>
      <c r="D31" s="160"/>
      <c r="E31" s="160"/>
      <c r="F31" s="160"/>
      <c r="G31" s="161"/>
      <c r="H31" s="137">
        <v>7.5</v>
      </c>
      <c r="I31" s="138" t="s">
        <v>129</v>
      </c>
      <c r="J31" s="162">
        <f>IFERROR(SUM(J18:M20, J30) * (H31 / 100), "-")+-2123</f>
        <v>26750.150156044558</v>
      </c>
      <c r="K31" s="163"/>
      <c r="L31" s="163"/>
      <c r="M31" s="164"/>
      <c r="N31" s="177" t="s">
        <v>148</v>
      </c>
      <c r="O31" s="178"/>
      <c r="Q31" s="139"/>
    </row>
    <row r="32" spans="1:17" ht="28.5" customHeight="1" thickBot="1">
      <c r="A32" s="167" t="s">
        <v>149</v>
      </c>
      <c r="B32" s="168"/>
      <c r="C32" s="168"/>
      <c r="D32" s="168"/>
      <c r="E32" s="168"/>
      <c r="F32" s="168"/>
      <c r="G32" s="168"/>
      <c r="H32" s="168"/>
      <c r="I32" s="169"/>
      <c r="J32" s="140"/>
      <c r="K32" s="141"/>
      <c r="L32" s="141"/>
      <c r="M32" s="142">
        <f>IFERROR(ROUNDDOWN(SUM(J18:M20)+J30+J31,0),"-")</f>
        <v>411725</v>
      </c>
      <c r="N32" s="170"/>
      <c r="O32" s="171"/>
      <c r="P32" s="143"/>
    </row>
    <row r="33" spans="1:15">
      <c r="A33" s="144" t="s">
        <v>150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6"/>
    </row>
    <row r="34" spans="1:15">
      <c r="A34" s="147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6"/>
    </row>
    <row r="35" spans="1:15">
      <c r="A35" s="147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6"/>
    </row>
    <row r="36" spans="1:15">
      <c r="A36" s="147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6"/>
    </row>
    <row r="37" spans="1:15" ht="15.75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9"/>
    </row>
    <row r="38" spans="1:15" ht="15.75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</row>
    <row r="39" spans="1:15" ht="15.75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</row>
    <row r="40" spans="1:15" ht="15" thickBot="1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2"/>
    </row>
    <row r="42" spans="1:15">
      <c r="M42" s="139"/>
    </row>
    <row r="43" spans="1:15">
      <c r="M43" s="13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7"/>
  <sheetViews>
    <sheetView showGridLines="0" zoomScale="80" zoomScaleNormal="80" workbookViewId="0">
      <pane ySplit="4" topLeftCell="A5" activePane="bottomLeft" state="frozen"/>
      <selection pane="bottomLeft" activeCell="F11" sqref="F11"/>
    </sheetView>
  </sheetViews>
  <sheetFormatPr defaultColWidth="9" defaultRowHeight="38.1" customHeight="1"/>
  <cols>
    <col min="1" max="1" width="22.625" style="73" bestFit="1" customWidth="1"/>
    <col min="2" max="2" width="9" style="63" hidden="1" customWidth="1"/>
    <col min="3" max="5" width="12.625" style="63" hidden="1" customWidth="1"/>
    <col min="6" max="7" width="30.625" style="59" customWidth="1"/>
    <col min="8" max="8" width="12.375" style="63" bestFit="1" customWidth="1"/>
    <col min="9" max="9" width="7.625" style="63" bestFit="1" customWidth="1"/>
    <col min="10" max="10" width="10.625" style="63" bestFit="1" customWidth="1"/>
    <col min="11" max="11" width="13.25" style="63" bestFit="1" customWidth="1"/>
    <col min="12" max="12" width="12" style="63" bestFit="1" customWidth="1"/>
    <col min="13" max="13" width="15.625" style="63" bestFit="1" customWidth="1"/>
    <col min="14" max="14" width="9" style="63" customWidth="1"/>
    <col min="15" max="15" width="8.75" style="63" bestFit="1" customWidth="1"/>
    <col min="16" max="16" width="10.5" style="63" customWidth="1"/>
    <col min="17" max="17" width="8.75" style="63" bestFit="1" customWidth="1"/>
    <col min="18" max="18" width="15.625" style="63" bestFit="1" customWidth="1"/>
    <col min="19" max="19" width="15.5" style="2" bestFit="1" customWidth="1"/>
    <col min="20" max="20" width="8.5" style="63" bestFit="1" customWidth="1"/>
    <col min="21" max="16384" width="9" style="63"/>
  </cols>
  <sheetData>
    <row r="1" spans="1:20" ht="19.899999999999999" customHeight="1">
      <c r="A1" s="264"/>
      <c r="B1" s="264"/>
      <c r="C1" s="264"/>
      <c r="D1" s="264"/>
      <c r="E1" s="264"/>
      <c r="J1" s="2"/>
      <c r="K1" s="62" t="s">
        <v>50</v>
      </c>
      <c r="M1" s="62" t="s">
        <v>50</v>
      </c>
      <c r="O1" s="62" t="s">
        <v>50</v>
      </c>
      <c r="Q1" s="62" t="s">
        <v>50</v>
      </c>
    </row>
    <row r="2" spans="1:20" ht="19.899999999999999" customHeight="1" thickBot="1">
      <c r="A2" s="264"/>
      <c r="B2" s="264"/>
      <c r="C2" s="264"/>
      <c r="D2" s="264"/>
      <c r="E2" s="264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4"/>
      <c r="B3" s="65" t="s">
        <v>51</v>
      </c>
      <c r="C3" s="65"/>
      <c r="D3" s="65"/>
      <c r="E3" s="65"/>
      <c r="F3" s="275" t="s">
        <v>52</v>
      </c>
      <c r="G3" s="275"/>
      <c r="H3" s="273" t="s">
        <v>8</v>
      </c>
      <c r="I3" s="273" t="s">
        <v>5</v>
      </c>
      <c r="J3" s="269" t="s">
        <v>53</v>
      </c>
      <c r="K3" s="269"/>
      <c r="L3" s="269" t="s">
        <v>54</v>
      </c>
      <c r="M3" s="269"/>
      <c r="N3" s="270" t="s">
        <v>55</v>
      </c>
      <c r="O3" s="270"/>
      <c r="P3" s="270" t="s">
        <v>56</v>
      </c>
      <c r="Q3" s="270"/>
      <c r="R3" s="271" t="s">
        <v>57</v>
      </c>
      <c r="S3" s="267" t="s">
        <v>58</v>
      </c>
      <c r="T3" s="265" t="s">
        <v>7</v>
      </c>
    </row>
    <row r="4" spans="1:20" ht="19.899999999999999" customHeight="1">
      <c r="A4" s="5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0" t="s">
        <v>64</v>
      </c>
      <c r="G4" s="60" t="s">
        <v>65</v>
      </c>
      <c r="H4" s="274"/>
      <c r="I4" s="274"/>
      <c r="J4" s="7" t="s">
        <v>66</v>
      </c>
      <c r="K4" s="8" t="s">
        <v>67</v>
      </c>
      <c r="L4" s="7" t="s">
        <v>68</v>
      </c>
      <c r="M4" s="8" t="s">
        <v>67</v>
      </c>
      <c r="N4" s="8" t="s">
        <v>69</v>
      </c>
      <c r="O4" s="8" t="s">
        <v>67</v>
      </c>
      <c r="P4" s="8" t="s">
        <v>69</v>
      </c>
      <c r="Q4" s="8" t="s">
        <v>67</v>
      </c>
      <c r="R4" s="272"/>
      <c r="S4" s="268"/>
      <c r="T4" s="266"/>
    </row>
    <row r="5" spans="1:20" s="66" customFormat="1" ht="38.1" customHeight="1">
      <c r="A5" s="9" t="str">
        <f t="shared" ref="A5" si="0">B5&amp;C5&amp;D5&amp;E5</f>
        <v>M020853710050101</v>
      </c>
      <c r="B5" s="33"/>
      <c r="C5" s="10"/>
      <c r="D5" s="10" t="s">
        <v>81</v>
      </c>
      <c r="E5" s="33"/>
      <c r="F5" s="58" t="s">
        <v>82</v>
      </c>
      <c r="G5" s="58" t="s">
        <v>85</v>
      </c>
      <c r="H5" s="48" t="s">
        <v>83</v>
      </c>
      <c r="I5" s="57">
        <v>1.4536</v>
      </c>
      <c r="J5" s="82">
        <v>20900</v>
      </c>
      <c r="K5" s="55">
        <f t="shared" ref="K5" si="1">SUM(J5:J5)*I5*$K$2</f>
        <v>25367.500400000001</v>
      </c>
      <c r="L5" s="84"/>
      <c r="M5" s="55">
        <f t="shared" ref="M5" si="2">(L5*I5)*$M$2</f>
        <v>0</v>
      </c>
      <c r="N5" s="56"/>
      <c r="O5" s="55">
        <f t="shared" ref="O5" si="3">N5*I5*$O$2</f>
        <v>0</v>
      </c>
      <c r="P5" s="56"/>
      <c r="Q5" s="55">
        <f t="shared" ref="Q5" si="4">P5*I5*$Q$2</f>
        <v>0</v>
      </c>
      <c r="R5" s="12">
        <f t="shared" ref="R5" si="5">SUM(K5+M5)+O5+Q5</f>
        <v>25367.500400000001</v>
      </c>
      <c r="S5" s="47"/>
      <c r="T5" s="13"/>
    </row>
    <row r="6" spans="1:20" s="66" customFormat="1" ht="38.1" customHeight="1">
      <c r="A6" s="9" t="str">
        <f t="shared" ref="A6" si="6">B6&amp;C6&amp;D6&amp;E6</f>
        <v>E00000803071260301</v>
      </c>
      <c r="B6" s="33"/>
      <c r="C6" s="10" t="s">
        <v>70</v>
      </c>
      <c r="D6" s="10"/>
      <c r="E6" s="33"/>
      <c r="F6" s="58" t="s">
        <v>72</v>
      </c>
      <c r="G6" s="58" t="s">
        <v>86</v>
      </c>
      <c r="H6" s="11" t="s">
        <v>71</v>
      </c>
      <c r="I6" s="57">
        <v>0.68569999999999998</v>
      </c>
      <c r="J6" s="83"/>
      <c r="K6" s="55">
        <f t="shared" ref="K6" si="7">SUM(J6:J6)*I6*$K$2</f>
        <v>0</v>
      </c>
      <c r="L6" s="85">
        <v>510462</v>
      </c>
      <c r="M6" s="55">
        <f t="shared" ref="M6" si="8">(L6*I6)*$M$2</f>
        <v>292269.86748899997</v>
      </c>
      <c r="N6" s="56"/>
      <c r="O6" s="55">
        <f t="shared" ref="O6" si="9">N6*I6*$O$2</f>
        <v>0</v>
      </c>
      <c r="P6" s="56"/>
      <c r="Q6" s="55">
        <f t="shared" ref="Q6" si="10">P6*I6*$Q$2</f>
        <v>0</v>
      </c>
      <c r="R6" s="12">
        <f t="shared" ref="R6" si="11">SUM(K6+M6)+O6+Q6</f>
        <v>292269.86748899997</v>
      </c>
      <c r="S6" s="47"/>
      <c r="T6" s="13"/>
    </row>
    <row r="7" spans="1:20" s="72" customFormat="1" ht="38.1" customHeight="1">
      <c r="A7" s="67"/>
      <c r="B7" s="68"/>
      <c r="C7" s="68"/>
      <c r="D7" s="68"/>
      <c r="E7" s="68"/>
      <c r="F7" s="61"/>
      <c r="G7" s="61"/>
      <c r="H7" s="68"/>
      <c r="I7" s="68"/>
      <c r="J7" s="68"/>
      <c r="K7" s="69">
        <f>SUM(K5:K6)</f>
        <v>25367.500400000001</v>
      </c>
      <c r="L7" s="70"/>
      <c r="M7" s="69">
        <f>SUM(M5:M6)</f>
        <v>292269.86748899997</v>
      </c>
      <c r="N7" s="70"/>
      <c r="O7" s="69">
        <f>SUM(O5:O6)</f>
        <v>0</v>
      </c>
      <c r="P7" s="70"/>
      <c r="Q7" s="69">
        <f>SUM(Q5:Q6)</f>
        <v>0</v>
      </c>
      <c r="R7" s="71">
        <f>SUM(R5:R6)</f>
        <v>317637.36788899999</v>
      </c>
      <c r="S7" s="41"/>
      <c r="T7" s="6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H19" sqref="H19"/>
    </sheetView>
  </sheetViews>
  <sheetFormatPr defaultColWidth="9" defaultRowHeight="14.25"/>
  <cols>
    <col min="1" max="1" width="22.625" style="32" customWidth="1"/>
    <col min="2" max="2" width="27.625" style="32" customWidth="1"/>
    <col min="3" max="3" width="5.75" style="32" customWidth="1"/>
    <col min="4" max="4" width="6.75" style="32" bestFit="1" customWidth="1"/>
    <col min="5" max="8" width="20.625" style="32" customWidth="1"/>
    <col min="9" max="12" width="20.625" style="32" hidden="1" customWidth="1"/>
    <col min="13" max="14" width="20.625" style="32" customWidth="1"/>
    <col min="15" max="15" width="32.75" style="32" customWidth="1"/>
    <col min="16" max="16" width="5.25" style="14" customWidth="1"/>
    <col min="17" max="16384" width="9" style="14"/>
  </cols>
  <sheetData>
    <row r="1" spans="1:15" ht="27" customHeight="1">
      <c r="A1" s="286" t="s">
        <v>9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15" customHeight="1">
      <c r="A2" s="287" t="s">
        <v>10</v>
      </c>
      <c r="B2" s="288" t="s">
        <v>11</v>
      </c>
      <c r="C2" s="289" t="s">
        <v>8</v>
      </c>
      <c r="D2" s="289" t="s">
        <v>12</v>
      </c>
      <c r="E2" s="291" t="s">
        <v>13</v>
      </c>
      <c r="F2" s="288"/>
      <c r="G2" s="288" t="s">
        <v>14</v>
      </c>
      <c r="H2" s="288"/>
      <c r="I2" s="292" t="s">
        <v>15</v>
      </c>
      <c r="J2" s="293"/>
      <c r="K2" s="292" t="s">
        <v>16</v>
      </c>
      <c r="L2" s="293"/>
      <c r="M2" s="291" t="s">
        <v>17</v>
      </c>
      <c r="N2" s="288"/>
      <c r="O2" s="294" t="s">
        <v>18</v>
      </c>
    </row>
    <row r="3" spans="1:15" ht="15" customHeight="1">
      <c r="A3" s="287"/>
      <c r="B3" s="288"/>
      <c r="C3" s="290"/>
      <c r="D3" s="290"/>
      <c r="E3" s="52" t="s">
        <v>19</v>
      </c>
      <c r="F3" s="52" t="s">
        <v>20</v>
      </c>
      <c r="G3" s="15" t="s">
        <v>19</v>
      </c>
      <c r="H3" s="52" t="s">
        <v>21</v>
      </c>
      <c r="I3" s="52"/>
      <c r="J3" s="52"/>
      <c r="K3" s="15" t="s">
        <v>19</v>
      </c>
      <c r="L3" s="52" t="s">
        <v>21</v>
      </c>
      <c r="M3" s="15" t="s">
        <v>19</v>
      </c>
      <c r="N3" s="52" t="s">
        <v>21</v>
      </c>
      <c r="O3" s="295"/>
    </row>
    <row r="4" spans="1:15" ht="15" customHeight="1">
      <c r="A4" s="284" t="s">
        <v>84</v>
      </c>
      <c r="B4" s="28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>
      <c r="A5" s="277" t="s">
        <v>22</v>
      </c>
      <c r="B5" s="17" t="s">
        <v>23</v>
      </c>
      <c r="C5" s="18" t="s">
        <v>24</v>
      </c>
      <c r="D5" s="74"/>
      <c r="E5" s="86"/>
      <c r="F5" s="19"/>
      <c r="G5" s="86"/>
      <c r="H5" s="19"/>
      <c r="I5" s="19"/>
      <c r="J5" s="19"/>
      <c r="K5" s="19"/>
      <c r="L5" s="19"/>
      <c r="M5" s="19"/>
      <c r="N5" s="19"/>
      <c r="O5" s="279" t="s">
        <v>79</v>
      </c>
    </row>
    <row r="6" spans="1:15" ht="15" customHeight="1">
      <c r="A6" s="278"/>
      <c r="B6" s="17" t="s">
        <v>25</v>
      </c>
      <c r="C6" s="18" t="s">
        <v>24</v>
      </c>
      <c r="D6" s="74">
        <v>24</v>
      </c>
      <c r="E6" s="86">
        <v>1057</v>
      </c>
      <c r="F6" s="19">
        <f t="shared" ref="F6" si="0">D6*E6</f>
        <v>25368</v>
      </c>
      <c r="G6" s="86">
        <v>12178</v>
      </c>
      <c r="H6" s="19">
        <f t="shared" ref="H6" si="1">D6*G6</f>
        <v>292272</v>
      </c>
      <c r="I6" s="19"/>
      <c r="J6" s="19"/>
      <c r="K6" s="19"/>
      <c r="L6" s="19"/>
      <c r="M6" s="19"/>
      <c r="N6" s="19">
        <f t="shared" ref="N6" si="2">F6+H6+J6+L6</f>
        <v>317640</v>
      </c>
      <c r="O6" s="280"/>
    </row>
    <row r="7" spans="1:15" ht="15" customHeight="1">
      <c r="A7" s="278"/>
      <c r="B7" s="17" t="s">
        <v>26</v>
      </c>
      <c r="C7" s="18" t="s">
        <v>24</v>
      </c>
      <c r="D7" s="74"/>
      <c r="E7" s="86"/>
      <c r="F7" s="19"/>
      <c r="G7" s="86"/>
      <c r="H7" s="19"/>
      <c r="I7" s="19"/>
      <c r="J7" s="19"/>
      <c r="K7" s="19"/>
      <c r="L7" s="19"/>
      <c r="M7" s="19"/>
      <c r="N7" s="19"/>
      <c r="O7" s="280"/>
    </row>
    <row r="8" spans="1:15" ht="15" customHeight="1">
      <c r="A8" s="278"/>
      <c r="B8" s="17" t="s">
        <v>27</v>
      </c>
      <c r="C8" s="18" t="s">
        <v>24</v>
      </c>
      <c r="D8" s="74"/>
      <c r="E8" s="86"/>
      <c r="F8" s="19"/>
      <c r="G8" s="86"/>
      <c r="H8" s="19"/>
      <c r="I8" s="19"/>
      <c r="J8" s="19"/>
      <c r="K8" s="19"/>
      <c r="L8" s="19"/>
      <c r="M8" s="19"/>
      <c r="N8" s="19"/>
      <c r="O8" s="280"/>
    </row>
    <row r="9" spans="1:15" ht="15" customHeight="1">
      <c r="A9" s="278"/>
      <c r="B9" s="17" t="s">
        <v>28</v>
      </c>
      <c r="C9" s="18" t="s">
        <v>24</v>
      </c>
      <c r="D9" s="74"/>
      <c r="E9" s="86"/>
      <c r="F9" s="19"/>
      <c r="G9" s="86"/>
      <c r="H9" s="19"/>
      <c r="I9" s="19"/>
      <c r="J9" s="19"/>
      <c r="K9" s="19"/>
      <c r="L9" s="19"/>
      <c r="M9" s="19"/>
      <c r="N9" s="19"/>
      <c r="O9" s="280"/>
    </row>
    <row r="10" spans="1:15" ht="15" customHeight="1">
      <c r="A10" s="278"/>
      <c r="B10" s="17" t="s">
        <v>29</v>
      </c>
      <c r="C10" s="18" t="s">
        <v>24</v>
      </c>
      <c r="D10" s="74"/>
      <c r="E10" s="86"/>
      <c r="F10" s="19"/>
      <c r="G10" s="86"/>
      <c r="H10" s="19"/>
      <c r="I10" s="19"/>
      <c r="J10" s="19"/>
      <c r="K10" s="19"/>
      <c r="L10" s="19"/>
      <c r="M10" s="19"/>
      <c r="N10" s="19"/>
      <c r="O10" s="280"/>
    </row>
    <row r="11" spans="1:15" ht="15" customHeight="1">
      <c r="A11" s="278"/>
      <c r="B11" s="17" t="s">
        <v>30</v>
      </c>
      <c r="C11" s="18" t="s">
        <v>24</v>
      </c>
      <c r="D11" s="74"/>
      <c r="E11" s="86"/>
      <c r="F11" s="19"/>
      <c r="G11" s="86"/>
      <c r="H11" s="19"/>
      <c r="I11" s="19"/>
      <c r="J11" s="19"/>
      <c r="K11" s="19"/>
      <c r="L11" s="19"/>
      <c r="M11" s="19"/>
      <c r="N11" s="19"/>
      <c r="O11" s="280"/>
    </row>
    <row r="12" spans="1:15" ht="15" customHeight="1">
      <c r="A12" s="278"/>
      <c r="B12" s="17" t="s">
        <v>31</v>
      </c>
      <c r="C12" s="18" t="s">
        <v>24</v>
      </c>
      <c r="D12" s="75"/>
      <c r="E12" s="86"/>
      <c r="F12" s="19"/>
      <c r="G12" s="86"/>
      <c r="H12" s="19"/>
      <c r="I12" s="19"/>
      <c r="J12" s="19"/>
      <c r="K12" s="19"/>
      <c r="L12" s="19"/>
      <c r="M12" s="19"/>
      <c r="N12" s="19"/>
      <c r="O12" s="280"/>
    </row>
    <row r="13" spans="1:15" ht="15" customHeight="1">
      <c r="A13" s="42" t="s">
        <v>32</v>
      </c>
      <c r="B13" s="43"/>
      <c r="C13" s="44"/>
      <c r="D13" s="76">
        <f>SUM(D5:D12)</f>
        <v>24</v>
      </c>
      <c r="E13" s="45"/>
      <c r="F13" s="45">
        <f>SUM(F5:F12)</f>
        <v>25368</v>
      </c>
      <c r="G13" s="45"/>
      <c r="H13" s="45">
        <f>SUM(H5:H12)</f>
        <v>292272</v>
      </c>
      <c r="I13" s="45"/>
      <c r="J13" s="45">
        <f>SUM(J5:J12)</f>
        <v>0</v>
      </c>
      <c r="K13" s="45"/>
      <c r="L13" s="45">
        <f>SUM(L5:L12)</f>
        <v>0</v>
      </c>
      <c r="M13" s="45"/>
      <c r="N13" s="45">
        <f>SUM(N5:N12)</f>
        <v>317640</v>
      </c>
      <c r="O13" s="45"/>
    </row>
    <row r="14" spans="1:15" ht="15" customHeight="1">
      <c r="A14" s="281" t="s">
        <v>80</v>
      </c>
      <c r="B14" s="17" t="s">
        <v>33</v>
      </c>
      <c r="C14" s="18" t="s">
        <v>24</v>
      </c>
      <c r="D14" s="75">
        <v>26.1</v>
      </c>
      <c r="E14" s="86"/>
      <c r="F14" s="49"/>
      <c r="G14" s="86"/>
      <c r="H14" s="49"/>
      <c r="I14" s="49"/>
      <c r="J14" s="49"/>
      <c r="K14" s="19"/>
      <c r="L14" s="49"/>
      <c r="M14" s="19"/>
      <c r="N14" s="49"/>
      <c r="O14" s="280"/>
    </row>
    <row r="15" spans="1:15" ht="15" customHeight="1">
      <c r="A15" s="281"/>
      <c r="B15" s="17" t="s">
        <v>34</v>
      </c>
      <c r="C15" s="18" t="s">
        <v>24</v>
      </c>
      <c r="D15" s="77">
        <v>10.9</v>
      </c>
      <c r="E15" s="86"/>
      <c r="F15" s="49"/>
      <c r="G15" s="86"/>
      <c r="H15" s="49"/>
      <c r="I15" s="49"/>
      <c r="J15" s="49"/>
      <c r="K15" s="19"/>
      <c r="L15" s="49"/>
      <c r="M15" s="19"/>
      <c r="N15" s="49"/>
      <c r="O15" s="280"/>
    </row>
    <row r="16" spans="1:15" ht="15" customHeight="1">
      <c r="A16" s="281"/>
      <c r="B16" s="17" t="s">
        <v>35</v>
      </c>
      <c r="C16" s="18" t="s">
        <v>24</v>
      </c>
      <c r="D16" s="77">
        <v>8.4</v>
      </c>
      <c r="E16" s="86"/>
      <c r="F16" s="49"/>
      <c r="G16" s="86"/>
      <c r="H16" s="49"/>
      <c r="I16" s="49"/>
      <c r="J16" s="49"/>
      <c r="K16" s="19"/>
      <c r="L16" s="49"/>
      <c r="M16" s="19"/>
      <c r="N16" s="49"/>
      <c r="O16" s="280"/>
    </row>
    <row r="17" spans="1:15" ht="15" customHeight="1">
      <c r="A17" s="282"/>
      <c r="B17" s="17" t="s">
        <v>36</v>
      </c>
      <c r="C17" s="18" t="s">
        <v>24</v>
      </c>
      <c r="D17" s="77">
        <v>6.1</v>
      </c>
      <c r="E17" s="86"/>
      <c r="F17" s="49"/>
      <c r="G17" s="86"/>
      <c r="H17" s="49"/>
      <c r="I17" s="49"/>
      <c r="J17" s="49"/>
      <c r="K17" s="19"/>
      <c r="L17" s="49"/>
      <c r="M17" s="19"/>
      <c r="N17" s="49"/>
      <c r="O17" s="283"/>
    </row>
    <row r="18" spans="1:15" ht="15" customHeight="1">
      <c r="A18" s="34" t="s">
        <v>32</v>
      </c>
      <c r="B18" s="20"/>
      <c r="C18" s="23"/>
      <c r="D18" s="76">
        <f>SUM(D14:D17)</f>
        <v>51.5</v>
      </c>
      <c r="E18" s="22"/>
      <c r="F18" s="22">
        <f>SUM(F14:F17)</f>
        <v>0</v>
      </c>
      <c r="G18" s="22"/>
      <c r="H18" s="22">
        <f>SUM(H14:H17)</f>
        <v>0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0</v>
      </c>
      <c r="O18" s="22"/>
    </row>
    <row r="19" spans="1:15" ht="15" customHeight="1">
      <c r="A19" s="39" t="s">
        <v>37</v>
      </c>
      <c r="B19" s="24"/>
      <c r="C19" s="25"/>
      <c r="D19" s="7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50" t="s">
        <v>78</v>
      </c>
      <c r="B20" s="53" t="s">
        <v>75</v>
      </c>
      <c r="C20" s="53" t="s">
        <v>74</v>
      </c>
      <c r="D20" s="78">
        <v>0.5</v>
      </c>
      <c r="E20" s="86"/>
      <c r="F20" s="49"/>
      <c r="G20" s="19"/>
      <c r="H20" s="19"/>
      <c r="I20" s="19"/>
      <c r="J20" s="19"/>
      <c r="K20" s="19"/>
      <c r="L20" s="19"/>
      <c r="M20" s="19"/>
      <c r="N20" s="51"/>
      <c r="O20" s="19"/>
    </row>
    <row r="21" spans="1:15" ht="15" customHeight="1">
      <c r="A21" s="276" t="s">
        <v>38</v>
      </c>
      <c r="B21" s="24" t="s">
        <v>39</v>
      </c>
      <c r="C21" s="25" t="s">
        <v>24</v>
      </c>
      <c r="D21" s="78">
        <v>25</v>
      </c>
      <c r="E21" s="51"/>
      <c r="F21" s="51"/>
      <c r="G21" s="87"/>
      <c r="H21" s="51"/>
      <c r="I21" s="51"/>
      <c r="J21" s="51"/>
      <c r="K21" s="51"/>
      <c r="L21" s="51"/>
      <c r="M21" s="51"/>
      <c r="N21" s="51"/>
      <c r="O21" s="19"/>
    </row>
    <row r="22" spans="1:15" ht="15" customHeight="1">
      <c r="A22" s="276"/>
      <c r="B22" s="24" t="s">
        <v>40</v>
      </c>
      <c r="C22" s="25" t="s">
        <v>24</v>
      </c>
      <c r="D22" s="78">
        <v>25</v>
      </c>
      <c r="E22" s="51"/>
      <c r="F22" s="51"/>
      <c r="G22" s="87"/>
      <c r="H22" s="51"/>
      <c r="I22" s="51"/>
      <c r="J22" s="51"/>
      <c r="K22" s="51"/>
      <c r="L22" s="51"/>
      <c r="M22" s="51"/>
      <c r="N22" s="51"/>
      <c r="O22" s="19"/>
    </row>
    <row r="23" spans="1:15" ht="15" customHeight="1">
      <c r="A23" s="276" t="s">
        <v>41</v>
      </c>
      <c r="B23" s="24" t="s">
        <v>39</v>
      </c>
      <c r="C23" s="25" t="s">
        <v>24</v>
      </c>
      <c r="D23" s="78">
        <v>25</v>
      </c>
      <c r="E23" s="51"/>
      <c r="F23" s="51"/>
      <c r="G23" s="87"/>
      <c r="H23" s="51"/>
      <c r="I23" s="51"/>
      <c r="J23" s="51"/>
      <c r="K23" s="51"/>
      <c r="L23" s="51"/>
      <c r="M23" s="51"/>
      <c r="N23" s="51"/>
      <c r="O23" s="19"/>
    </row>
    <row r="24" spans="1:15" ht="15" customHeight="1">
      <c r="A24" s="276"/>
      <c r="B24" s="24" t="s">
        <v>40</v>
      </c>
      <c r="C24" s="25" t="s">
        <v>24</v>
      </c>
      <c r="D24" s="78">
        <v>25</v>
      </c>
      <c r="E24" s="51"/>
      <c r="F24" s="51"/>
      <c r="G24" s="87"/>
      <c r="H24" s="51"/>
      <c r="I24" s="51"/>
      <c r="J24" s="51"/>
      <c r="K24" s="51"/>
      <c r="L24" s="51"/>
      <c r="M24" s="51"/>
      <c r="N24" s="51"/>
      <c r="O24" s="19"/>
    </row>
    <row r="25" spans="1:15" ht="15" customHeight="1">
      <c r="A25" s="54" t="s">
        <v>76</v>
      </c>
      <c r="B25" s="53" t="s">
        <v>77</v>
      </c>
      <c r="C25" s="53" t="s">
        <v>74</v>
      </c>
      <c r="D25" s="78">
        <v>0.2</v>
      </c>
      <c r="E25" s="86"/>
      <c r="F25" s="51"/>
      <c r="G25" s="19"/>
      <c r="H25" s="19"/>
      <c r="I25" s="19"/>
      <c r="J25" s="19"/>
      <c r="K25" s="19"/>
      <c r="L25" s="19"/>
      <c r="M25" s="19"/>
      <c r="N25" s="51"/>
      <c r="O25" s="19"/>
    </row>
    <row r="26" spans="1:15" ht="15" customHeight="1">
      <c r="A26" s="276" t="s">
        <v>42</v>
      </c>
      <c r="B26" s="24" t="s">
        <v>43</v>
      </c>
      <c r="C26" s="25" t="s">
        <v>24</v>
      </c>
      <c r="D26" s="78">
        <v>14</v>
      </c>
      <c r="E26" s="19"/>
      <c r="F26" s="19"/>
      <c r="G26" s="86"/>
      <c r="H26" s="19"/>
      <c r="I26" s="19"/>
      <c r="J26" s="19"/>
      <c r="K26" s="19"/>
      <c r="L26" s="49"/>
      <c r="M26" s="19"/>
      <c r="N26" s="49"/>
      <c r="O26" s="19"/>
    </row>
    <row r="27" spans="1:15" ht="15" customHeight="1">
      <c r="A27" s="276"/>
      <c r="B27" s="24" t="s">
        <v>44</v>
      </c>
      <c r="C27" s="25" t="s">
        <v>24</v>
      </c>
      <c r="D27" s="78">
        <v>14</v>
      </c>
      <c r="E27" s="19"/>
      <c r="F27" s="19"/>
      <c r="G27" s="86"/>
      <c r="H27" s="19"/>
      <c r="I27" s="19"/>
      <c r="J27" s="19"/>
      <c r="K27" s="19"/>
      <c r="L27" s="49"/>
      <c r="M27" s="19"/>
      <c r="N27" s="49"/>
      <c r="O27" s="19"/>
    </row>
    <row r="28" spans="1:15" ht="15" customHeight="1">
      <c r="A28" s="276" t="s">
        <v>45</v>
      </c>
      <c r="B28" s="24" t="s">
        <v>43</v>
      </c>
      <c r="C28" s="25" t="s">
        <v>24</v>
      </c>
      <c r="D28" s="78">
        <v>2</v>
      </c>
      <c r="E28" s="19"/>
      <c r="F28" s="19"/>
      <c r="G28" s="86"/>
      <c r="H28" s="19"/>
      <c r="I28" s="19"/>
      <c r="J28" s="19"/>
      <c r="K28" s="19"/>
      <c r="L28" s="49"/>
      <c r="M28" s="19"/>
      <c r="N28" s="49"/>
      <c r="O28" s="19"/>
    </row>
    <row r="29" spans="1:15" ht="15" customHeight="1">
      <c r="A29" s="276"/>
      <c r="B29" s="24" t="s">
        <v>46</v>
      </c>
      <c r="C29" s="25" t="s">
        <v>24</v>
      </c>
      <c r="D29" s="78">
        <v>2</v>
      </c>
      <c r="E29" s="19"/>
      <c r="F29" s="19"/>
      <c r="G29" s="86"/>
      <c r="H29" s="19"/>
      <c r="I29" s="19"/>
      <c r="J29" s="19"/>
      <c r="K29" s="19"/>
      <c r="L29" s="49"/>
      <c r="M29" s="19"/>
      <c r="N29" s="49"/>
      <c r="O29" s="19"/>
    </row>
    <row r="30" spans="1:15" ht="15" customHeight="1">
      <c r="A30" s="34" t="s">
        <v>32</v>
      </c>
      <c r="B30" s="26"/>
      <c r="C30" s="27"/>
      <c r="D30" s="79"/>
      <c r="E30" s="22"/>
      <c r="F30" s="22">
        <f>SUM(F19:F29)</f>
        <v>0</v>
      </c>
      <c r="G30" s="22"/>
      <c r="H30" s="22">
        <f>SUM(H19:H29)</f>
        <v>0</v>
      </c>
      <c r="I30" s="22"/>
      <c r="J30" s="22">
        <f>SUM(J19:J29)</f>
        <v>0</v>
      </c>
      <c r="K30" s="22"/>
      <c r="L30" s="22">
        <f>SUM(L19:L29)</f>
        <v>0</v>
      </c>
      <c r="M30" s="22"/>
      <c r="N30" s="22">
        <f>SUM(N19:N29)</f>
        <v>0</v>
      </c>
      <c r="O30" s="22"/>
    </row>
    <row r="31" spans="1:15" ht="15" customHeight="1">
      <c r="A31" s="40" t="s">
        <v>47</v>
      </c>
      <c r="B31" s="17" t="s">
        <v>48</v>
      </c>
      <c r="C31" s="18" t="s">
        <v>24</v>
      </c>
      <c r="D31" s="80">
        <v>97</v>
      </c>
      <c r="E31" s="49"/>
      <c r="F31" s="49"/>
      <c r="G31" s="86"/>
      <c r="H31" s="49"/>
      <c r="I31" s="49"/>
      <c r="J31" s="49"/>
      <c r="K31" s="49"/>
      <c r="L31" s="49"/>
      <c r="M31" s="49"/>
      <c r="N31" s="49"/>
      <c r="O31" s="28" t="s">
        <v>49</v>
      </c>
    </row>
    <row r="32" spans="1:15" ht="15" customHeight="1">
      <c r="A32" s="35" t="s">
        <v>32</v>
      </c>
      <c r="B32" s="20"/>
      <c r="C32" s="21"/>
      <c r="D32" s="81"/>
      <c r="E32" s="29"/>
      <c r="F32" s="29"/>
      <c r="G32" s="29"/>
      <c r="H32" s="22">
        <f>SUM(H31:H31)</f>
        <v>0</v>
      </c>
      <c r="I32" s="29"/>
      <c r="J32" s="22">
        <f t="shared" ref="J32:N32" si="3">SUM(J31:J31)</f>
        <v>0</v>
      </c>
      <c r="K32" s="22"/>
      <c r="L32" s="22">
        <f t="shared" si="3"/>
        <v>0</v>
      </c>
      <c r="M32" s="22"/>
      <c r="N32" s="22">
        <f t="shared" si="3"/>
        <v>0</v>
      </c>
      <c r="O32" s="29"/>
    </row>
    <row r="33" spans="1:15" ht="15" customHeight="1">
      <c r="A33" s="34" t="s">
        <v>73</v>
      </c>
      <c r="B33" s="20"/>
      <c r="C33" s="21"/>
      <c r="D33" s="81"/>
      <c r="E33" s="30"/>
      <c r="F33" s="31">
        <f>F13+F18+F30+F32</f>
        <v>25368</v>
      </c>
      <c r="G33" s="31"/>
      <c r="H33" s="31">
        <f>H13+H18+H30+H32</f>
        <v>292272</v>
      </c>
      <c r="I33" s="30"/>
      <c r="J33" s="31">
        <f>J13+J18+J30+J32</f>
        <v>0</v>
      </c>
      <c r="K33" s="30"/>
      <c r="L33" s="31">
        <f>L13+L18+L30+L32</f>
        <v>0</v>
      </c>
      <c r="M33" s="30"/>
      <c r="N33" s="31">
        <f>N13+N18+N30+N32</f>
        <v>317640</v>
      </c>
      <c r="O33" s="3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H30" sqref="H30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</row>
    <row r="2" spans="1:6">
      <c r="A2" s="37" t="str">
        <f>'내역서(표준단가)'!A5</f>
        <v>M020853710050101</v>
      </c>
      <c r="B2" s="38">
        <f>'내역서(표준단가)'!B5</f>
        <v>0</v>
      </c>
      <c r="C2" s="38">
        <f>'내역서(표준단가)'!C5</f>
        <v>0</v>
      </c>
      <c r="D2" s="38" t="str">
        <f>'내역서(표준단가)'!D5</f>
        <v>M020853710050101</v>
      </c>
      <c r="E2" s="38">
        <f>'내역서(표준단가)'!E5</f>
        <v>0</v>
      </c>
      <c r="F2" s="46">
        <f>'내역서(표준단가)'!I5</f>
        <v>1.4536</v>
      </c>
    </row>
    <row r="3" spans="1:6">
      <c r="A3" s="37" t="str">
        <f>'내역서(표준단가)'!A6</f>
        <v>E00000803071260301</v>
      </c>
      <c r="B3" s="38">
        <f>'내역서(표준단가)'!B6</f>
        <v>0</v>
      </c>
      <c r="C3" s="38" t="str">
        <f>'내역서(표준단가)'!C6</f>
        <v>E00000803071260301</v>
      </c>
      <c r="D3" s="38">
        <f>'내역서(표준단가)'!D6</f>
        <v>0</v>
      </c>
      <c r="E3" s="38">
        <f>'내역서(표준단가)'!E6</f>
        <v>0</v>
      </c>
      <c r="F3" s="46">
        <f>'내역서(표준단가)'!I6</f>
        <v>0.68569999999999998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2026-05-09T06:46:29Z</dcterms:modified>
</cp:coreProperties>
</file>
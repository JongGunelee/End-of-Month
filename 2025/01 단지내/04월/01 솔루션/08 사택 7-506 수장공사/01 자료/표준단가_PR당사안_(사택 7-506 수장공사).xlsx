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5 사택 7-506 수장공사\01 자료\"/>
    </mc:Choice>
  </mc:AlternateContent>
  <xr:revisionPtr revIDLastSave="0" documentId="13_ncr:1_{F486A100-3132-4CCE-A6B6-618471E156D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1" i="9" a="1"/>
  <c r="D11" i="9" s="1"/>
  <c r="N32" i="9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D20" i="9"/>
  <c r="L12" i="9"/>
  <c r="J12" i="9"/>
  <c r="F12" i="9"/>
  <c r="D12" i="9"/>
  <c r="O5" i="4" a="1"/>
  <c r="O5" i="4"/>
  <c r="J21" i="11"/>
  <c r="J19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31" i="9" l="1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17" i="9"/>
  <c r="N19" i="9"/>
  <c r="N24" i="9"/>
  <c r="N18" i="9"/>
  <c r="N23" i="9"/>
  <c r="F33" i="9" l="1"/>
  <c r="L33" i="9"/>
  <c r="J15" i="4"/>
  <c r="J14" i="4"/>
  <c r="U12" i="4"/>
  <c r="S12" i="4"/>
  <c r="Q12" i="4"/>
  <c r="O12" i="4"/>
  <c r="A12" i="4"/>
  <c r="A9" i="1" s="1"/>
  <c r="A16" i="4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V13" i="4"/>
  <c r="H11" i="9"/>
  <c r="H12" i="9" s="1"/>
  <c r="N11" i="9" l="1"/>
  <c r="N12" i="9" s="1"/>
  <c r="H33" i="9"/>
  <c r="N33" i="9" l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O17" i="4" l="1"/>
  <c r="J18" i="11" s="1"/>
  <c r="J22" i="11" l="1"/>
  <c r="J28" i="11" s="1"/>
  <c r="J20" i="11" s="1"/>
  <c r="J30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<sst xmlns="http://schemas.openxmlformats.org/spreadsheetml/2006/main" count="272" uniqueCount="205">
  <si>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</si>
  <si>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</si>
  <si>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</si>
  <si>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</si>
  <si>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</si>
  <si>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</si>
  <si>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</si>
  <si>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</si>
  <si>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</si>
  <si>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</si>
  <si>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</si>
  <si>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</si>
  <si>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</si>
  <si>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</si>
  <si>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</si>
  <si>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</si>
  <si>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</si>
  <si>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</si>
  <si>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</si>
  <si>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</si>
  <si>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</si>
  <si>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</si>
  <si>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</si>
  <si>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</si>
  <si>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</si>
  <si>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</si>
  <si>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</si>
  <si>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</si>
  <si>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</si>
  <si>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</si>
  <si>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</si>
  <si>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</si>
  <si>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</si>
  <si>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</si>
  <si>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</si>
  <si>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</si>
  <si>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</si>
  <si>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</si>
  <si>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</si>
  <si>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</si>
  <si>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</si>
  <si>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</si>
  <si>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</si>
  <si>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</si>
  <si>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</si>
  <si>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</si>
  <si>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</si>
  <si>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</si>
  <si>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</si>
  <si>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</si>
  <si>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</si>
  <si>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</si>
  <si>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</si>
  <si>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</si>
  <si>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</si>
  <si>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</si>
  <si>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</si>
  <si>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</si>
  <si>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</si>
  <si>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</si>
  <si>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</si>
  <si>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</si>
  <si>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</si>
  <si>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</si>
  <si>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</si>
  <si>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</si>
  <si>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</si>
  <si>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</si>
  <si>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</si>
  <si>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</si>
  <si>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</si>
  <si>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</si>
  <si>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</si>
  <si>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</si>
  <si>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</si>
  <si>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</si>
  <si>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</si>
  <si>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</si>
  <si>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</si>
  <si>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</si>
  <si>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</si>
  <si>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</si>
  <si>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</si>
  <si>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</si>
  <si>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</si>
  <si>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</si>
  <si>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</si>
  <si>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</si>
  <si>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</si>
  <si>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</si>
  <si>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</si>
  <si>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</si>
  <si>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</si>
  <si>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</si>
  <si>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</si>
  <si>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</si>
  <si>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</si>
  <si>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</si>
  <si>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</si>
  <si>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</si>
  <si>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</si>
  <si>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</si>
  <si>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</si>
  <si>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</si>
  <si>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</si>
  <si>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</si>
  <si>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</si>
  <si>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</si>
  <si>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</si>
  <si>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</si>
  <si>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</si>
  <si>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</si>
  <si>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</si>
  <si>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</si>
  <si>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</si>
  <si>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</si>
  <si>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</si>
  <si>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</si>
  <si>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</si>
  <si>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</si>
  <si>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7-506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</si>
  <si>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</si>
  <si>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</si>
  <si>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</si>
  <si>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</si>
  <si>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</si>
  <si>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</si>
  <si>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</si>
  <si>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</si>
  <si>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</si>
  <si>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</si>
  <si>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</si>
  <si>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</si>
  <si>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</si>
  <si>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</si>
  <si>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</si>
  <si>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</si>
  <si>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</si>
  <si>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</si>
  <si>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</si>
  <si>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</si>
  <si>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</si>
  <si>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</si>
  <si>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</si>
  <si>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</si>
  <si>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</si>
  <si>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</si>
  <si>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</si>
  <si>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</si>
  <si>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</si>
  <si>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</si>
  <si>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</si>
  <si>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</si>
  <si>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</si>
  <si>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</si>
  <si>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</si>
  <si>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</si>
  <si>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</si>
  <si>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</si>
  <si>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</si>
  <si>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</si>
  <si>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</si>
  <si>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</si>
  <si>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</si>
  <si>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</si>
  <si>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</si>
  <si>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</si>
  <si>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</si>
  <si>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</si>
  <si>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</si>
  <si>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</si>
  <si>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</si>
  <si>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</si>
  <si>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</si>
  <si>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</si>
  <si>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</si>
  <si>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</si>
  <si>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</si>
  <si>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</si>
  <si>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</si>
  <si>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</si>
  <si>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</si>
  <si>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</si>
  <si>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</si>
  <si>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</si>
  <si>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7-506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</si>
  <si>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</si>
  <si>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</si>
  <si>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</si>
  <si>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</si>
  <si>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</si>
  <si>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</si>
  <si>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</si>
  <si>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</si>
  <si>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</si>
  <si>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 xml:space="preserve">도색(앞,뒤베란다걸레받이(앞,뒤베란다창고(2개소전체도색포함, 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</si>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</sst>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184" fontId="17" fillId="0" borderId="20" xfId="11" applyNumberFormat="1" applyFont="1" applyBorder="1" applyAlignment="1">
      <alignment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Border="1" applyAlignment="1">
      <alignment vertical="center"/>
    </xf>
    <xf numFmtId="0" fontId="33" fillId="0" borderId="32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/>
    </xf>
    <xf numFmtId="0" fontId="33" fillId="0" borderId="54" xfId="20" applyFont="1" applyBorder="1" applyAlignment="1">
      <alignment horizontal="center" vertical="center"/>
    </xf>
    <xf numFmtId="0" fontId="33" fillId="0" borderId="20" xfId="20" applyFont="1" applyBorder="1" applyAlignment="1">
      <alignment horizontal="center" vertical="center"/>
    </xf>
    <xf numFmtId="0" fontId="37" fillId="0" borderId="62" xfId="20" applyFont="1" applyBorder="1" applyAlignment="1">
      <alignment horizontal="center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0" fontId="37" fillId="0" borderId="62" xfId="20" applyFont="1" applyBorder="1" applyAlignment="1">
      <alignment horizontal="left" vertical="center" wrapText="1" indent="1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 wrapText="1"/>
    </xf>
    <xf numFmtId="0" fontId="33" fillId="0" borderId="33" xfId="20" applyFont="1" applyBorder="1" applyAlignment="1">
      <alignment horizontal="center" vertical="center" wrapText="1"/>
    </xf>
    <xf numFmtId="0" fontId="33" fillId="0" borderId="53" xfId="20" applyFont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184" fontId="31" fillId="5" borderId="20" xfId="11" applyNumberFormat="1" applyFont="1" applyFill="1" applyBorder="1" applyAlignment="1">
      <alignment horizontal="center" vertical="center" wrapText="1"/>
    </xf>
    <xf numFmtId="184" fontId="31" fillId="5" borderId="23" xfId="11" applyNumberFormat="1" applyFont="1" applyFill="1" applyBorder="1" applyAlignment="1">
      <alignment horizontal="center" vertical="center" wrapText="1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0F816E6-A3A2-48FF-B82D-1506E8E71004}"/>
    <cellStyle name="쉼표 [0] 2 84" xfId="24" xr:uid="{D99EC933-89DA-44C9-8A9C-6E44B4770C34}"/>
    <cellStyle name="쉼표 [0] 3" xfId="14" xr:uid="{8F7BE219-40E1-4BBB-A9BD-02188B74B2A3}"/>
    <cellStyle name="쉼표 [0] 4" xfId="21" xr:uid="{7CE3D5D1-867F-406C-A714-D8D8E7E02A6E}"/>
    <cellStyle name="쉼표 [0] 5" xfId="23" xr:uid="{9AA983D0-FEF8-48F1-8474-44E13B567AC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D86F0F3-8224-48BA-85FB-66BC617605D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6ABADA6-9FC6-439A-AFD2-B36F048A0494}"/>
    <cellStyle name="표준_P456 공장 및 복지동 전면 유리창 청소건 라상혁님_1129(최종)" xfId="20" xr:uid="{A09E4A17-6B80-4C6B-B098-1BF665E36764}"/>
    <cellStyle name="표준_S&amp;D_MAIN VALVE_최빈_2" xfId="17" xr:uid="{9D732156-31FE-4DD5-A236-80DC66CEA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731071-36F9-4F9C-8E43-6AE71F6AD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8A1E-359E-4DF3-914A-1CC11403B758}">
  <sheetPr>
    <tabColor rgb="FFFFFF00"/>
  </sheetPr>
  <dimension ref="A1:Q43"/>
  <sheetViews>
    <sheetView tabSelected="1" view="pageBreakPreview" topLeftCell="B11" zoomScale="85" zoomScaleNormal="85" zoomScaleSheetLayoutView="85" workbookViewId="0">
      <selection activeCell="J31" sqref="J31:M3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3" t="s">
        <v>121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 x14ac:dyDescent="0.3">
      <c r="A4" s="108" t="s">
        <v>122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186</v>
      </c>
      <c r="C5" s="169"/>
      <c r="D5" s="169"/>
      <c r="E5" s="169"/>
      <c r="F5" s="169"/>
      <c r="G5" s="114"/>
      <c r="H5" s="114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56" t="s">
        <v>123</v>
      </c>
      <c r="B7" s="257"/>
      <c r="C7" s="258"/>
      <c r="D7" s="170">
        <v>2025</v>
      </c>
      <c r="E7" s="121" t="s">
        <v>124</v>
      </c>
      <c r="F7" s="121">
        <v>3</v>
      </c>
      <c r="G7" s="121" t="s">
        <v>125</v>
      </c>
      <c r="H7" s="121">
        <v>10</v>
      </c>
      <c r="I7" s="121" t="s">
        <v>126</v>
      </c>
      <c r="J7" s="122"/>
      <c r="K7" s="259" t="s">
        <v>127</v>
      </c>
      <c r="L7" s="123" t="s">
        <v>128</v>
      </c>
      <c r="M7" s="123" t="s">
        <v>129</v>
      </c>
      <c r="N7" s="123" t="s">
        <v>130</v>
      </c>
      <c r="O7" s="124" t="s">
        <v>131</v>
      </c>
    </row>
    <row r="8" spans="1:15" ht="23.25" customHeight="1" x14ac:dyDescent="0.3">
      <c r="A8" s="262" t="s">
        <v>132</v>
      </c>
      <c r="B8" s="263"/>
      <c r="C8" s="264"/>
      <c r="D8" s="265" t="s">
        <v>133</v>
      </c>
      <c r="E8" s="266"/>
      <c r="F8" s="266"/>
      <c r="G8" s="267"/>
      <c r="H8" s="268" t="s">
        <v>134</v>
      </c>
      <c r="I8" s="266"/>
      <c r="J8" s="269"/>
      <c r="K8" s="260"/>
      <c r="L8" s="125" t="s">
        <v>135</v>
      </c>
      <c r="M8" s="125" t="s">
        <v>136</v>
      </c>
      <c r="N8" s="125" t="s">
        <v>137</v>
      </c>
      <c r="O8" s="126" t="s">
        <v>138</v>
      </c>
    </row>
    <row r="9" spans="1:15" ht="23.25" customHeight="1" x14ac:dyDescent="0.3">
      <c r="A9" s="262" t="s">
        <v>139</v>
      </c>
      <c r="B9" s="263"/>
      <c r="C9" s="264"/>
      <c r="D9" s="270" t="s">
        <v>140</v>
      </c>
      <c r="E9" s="271"/>
      <c r="F9" s="271"/>
      <c r="G9" s="271"/>
      <c r="H9" s="271"/>
      <c r="I9" s="271"/>
      <c r="J9" s="272"/>
      <c r="K9" s="260"/>
      <c r="L9" s="125" t="s">
        <v>141</v>
      </c>
      <c r="M9" s="273" t="s">
        <v>142</v>
      </c>
      <c r="N9" s="263"/>
      <c r="O9" s="264"/>
    </row>
    <row r="10" spans="1:15" ht="23.25" customHeight="1" thickBot="1" x14ac:dyDescent="0.35">
      <c r="A10" s="274" t="s">
        <v>143</v>
      </c>
      <c r="B10" s="275"/>
      <c r="C10" s="276"/>
      <c r="D10" s="277" t="s">
        <v>144</v>
      </c>
      <c r="E10" s="278"/>
      <c r="F10" s="278"/>
      <c r="G10" s="278"/>
      <c r="H10" s="278"/>
      <c r="I10" s="278"/>
      <c r="J10" s="279"/>
      <c r="K10" s="261"/>
      <c r="L10" s="127" t="s">
        <v>145</v>
      </c>
      <c r="M10" s="127" t="s">
        <v>146</v>
      </c>
      <c r="N10" s="127" t="s">
        <v>147</v>
      </c>
      <c r="O10" s="128" t="s">
        <v>148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49" t="s">
        <v>185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6" t="s">
        <v>149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2" t="str">
        <f>"견 적 금 액 : 一金"&amp;NUMBERSTRING(M32,1) &amp; "원정""(\"&amp; TEXT(M32,"#,###")&amp;"원) [VAT 별도]"</f>
        <v>견 적 금 액 : 一金삼백이십구만오백칠십오원정"(\3,290,575원)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4"/>
      <c r="L16" s="234"/>
      <c r="M16" s="234"/>
      <c r="N16" s="234"/>
      <c r="O16" s="235"/>
    </row>
    <row r="17" spans="1:17" ht="27.75" customHeight="1" thickBot="1" x14ac:dyDescent="0.35">
      <c r="A17" s="137" t="s">
        <v>150</v>
      </c>
      <c r="B17" s="242" t="s">
        <v>151</v>
      </c>
      <c r="C17" s="243"/>
      <c r="D17" s="243"/>
      <c r="E17" s="243"/>
      <c r="F17" s="243"/>
      <c r="G17" s="244"/>
      <c r="H17" s="138" t="s">
        <v>152</v>
      </c>
      <c r="I17" s="139" t="s">
        <v>153</v>
      </c>
      <c r="J17" s="245" t="s">
        <v>154</v>
      </c>
      <c r="K17" s="246"/>
      <c r="L17" s="246"/>
      <c r="M17" s="247"/>
      <c r="N17" s="242" t="s">
        <v>155</v>
      </c>
      <c r="O17" s="248"/>
    </row>
    <row r="18" spans="1:17" ht="28.5" customHeight="1" x14ac:dyDescent="0.3">
      <c r="A18" s="140">
        <v>1</v>
      </c>
      <c r="B18" s="236" t="s">
        <v>104</v>
      </c>
      <c r="C18" s="237"/>
      <c r="D18" s="237"/>
      <c r="E18" s="237"/>
      <c r="F18" s="237"/>
      <c r="G18" s="238"/>
      <c r="H18" s="171">
        <v>1</v>
      </c>
      <c r="I18" s="172" t="s">
        <v>6</v>
      </c>
      <c r="J18" s="239">
        <f>IFERROR(LOOKUP(2, 1/(TRIM('내역서(표준단가)'!O4:O100)&lt;&gt;""), '내역서(표준단가)'!O4:O100), "-")</f>
        <v>672659.3</v>
      </c>
      <c r="K18" s="239"/>
      <c r="L18" s="239"/>
      <c r="M18" s="239"/>
      <c r="N18" s="240"/>
      <c r="O18" s="241"/>
    </row>
    <row r="19" spans="1:17" ht="28.5" customHeight="1" x14ac:dyDescent="0.3">
      <c r="A19" s="141">
        <v>2</v>
      </c>
      <c r="B19" s="219" t="s">
        <v>105</v>
      </c>
      <c r="C19" s="220"/>
      <c r="D19" s="220"/>
      <c r="E19" s="220"/>
      <c r="F19" s="220"/>
      <c r="G19" s="221"/>
      <c r="H19" s="173">
        <v>1</v>
      </c>
      <c r="I19" s="173" t="s">
        <v>6</v>
      </c>
      <c r="J19" s="222">
        <f>IFERROR(LOOKUP(2, 1/(TRIM('내역서(표준단가)'!Q4:Q100)&lt;&gt;""), '내역서(표준단가)'!Q4:Q100), "-")</f>
        <v>1944112.9649999996</v>
      </c>
      <c r="K19" s="223"/>
      <c r="L19" s="223"/>
      <c r="M19" s="224"/>
      <c r="N19" s="225"/>
      <c r="O19" s="226"/>
    </row>
    <row r="20" spans="1:17" ht="28.5" customHeight="1" x14ac:dyDescent="0.3">
      <c r="A20" s="141">
        <v>3</v>
      </c>
      <c r="B20" s="219" t="s">
        <v>156</v>
      </c>
      <c r="C20" s="220"/>
      <c r="D20" s="220"/>
      <c r="E20" s="220"/>
      <c r="F20" s="220"/>
      <c r="G20" s="221"/>
      <c r="H20" s="142">
        <v>1</v>
      </c>
      <c r="I20" s="142" t="s">
        <v>6</v>
      </c>
      <c r="J20" s="227">
        <f>IFERROR(SUM(J21:M29),"-")</f>
        <v>335556.45317314781</v>
      </c>
      <c r="K20" s="228"/>
      <c r="L20" s="228"/>
      <c r="M20" s="229"/>
      <c r="N20" s="230"/>
      <c r="O20" s="231"/>
      <c r="P20" s="143"/>
    </row>
    <row r="21" spans="1:17" ht="28.5" customHeight="1" x14ac:dyDescent="0.3">
      <c r="A21" s="140"/>
      <c r="B21" s="144"/>
      <c r="C21" s="211" t="s">
        <v>157</v>
      </c>
      <c r="D21" s="212"/>
      <c r="E21" s="212"/>
      <c r="F21" s="212"/>
      <c r="G21" s="213"/>
      <c r="H21" s="174">
        <v>1</v>
      </c>
      <c r="I21" s="174" t="s">
        <v>6</v>
      </c>
      <c r="J21" s="21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5"/>
      <c r="L21" s="215"/>
      <c r="M21" s="216"/>
      <c r="N21" s="217" t="s">
        <v>158</v>
      </c>
      <c r="O21" s="218"/>
    </row>
    <row r="22" spans="1:17" ht="28.5" customHeight="1" x14ac:dyDescent="0.3">
      <c r="A22" s="140"/>
      <c r="B22" s="144"/>
      <c r="C22" s="205" t="s">
        <v>159</v>
      </c>
      <c r="D22" s="206"/>
      <c r="E22" s="206"/>
      <c r="F22" s="206"/>
      <c r="G22" s="207"/>
      <c r="H22" s="145">
        <v>3.11</v>
      </c>
      <c r="I22" s="145" t="s">
        <v>160</v>
      </c>
      <c r="J22" s="208">
        <f>IFERROR((J18+J19)*H22%,"-")</f>
        <v>81381.617441499984</v>
      </c>
      <c r="K22" s="209"/>
      <c r="L22" s="209"/>
      <c r="M22" s="210"/>
      <c r="N22" s="201" t="s">
        <v>161</v>
      </c>
      <c r="O22" s="202"/>
    </row>
    <row r="23" spans="1:17" ht="28.5" customHeight="1" x14ac:dyDescent="0.3">
      <c r="A23" s="140"/>
      <c r="B23" s="144"/>
      <c r="C23" s="205" t="s">
        <v>162</v>
      </c>
      <c r="D23" s="206"/>
      <c r="E23" s="206"/>
      <c r="F23" s="206"/>
      <c r="G23" s="207"/>
      <c r="H23" s="145">
        <v>3.56</v>
      </c>
      <c r="I23" s="145" t="s">
        <v>163</v>
      </c>
      <c r="J23" s="208">
        <f>IFERROR(J19*H23%,"-")</f>
        <v>69210.421553999986</v>
      </c>
      <c r="K23" s="209"/>
      <c r="L23" s="209"/>
      <c r="M23" s="210"/>
      <c r="N23" s="201" t="s">
        <v>164</v>
      </c>
      <c r="O23" s="202"/>
    </row>
    <row r="24" spans="1:17" ht="28.5" customHeight="1" x14ac:dyDescent="0.3">
      <c r="A24" s="140"/>
      <c r="B24" s="144"/>
      <c r="C24" s="205" t="s">
        <v>165</v>
      </c>
      <c r="D24" s="206"/>
      <c r="E24" s="206"/>
      <c r="F24" s="206"/>
      <c r="G24" s="207"/>
      <c r="H24" s="145">
        <v>1.01</v>
      </c>
      <c r="I24" s="145" t="s">
        <v>163</v>
      </c>
      <c r="J24" s="208">
        <f>IFERROR(J19*H24%,"-")</f>
        <v>19635.540946499994</v>
      </c>
      <c r="K24" s="209"/>
      <c r="L24" s="209"/>
      <c r="M24" s="210"/>
      <c r="N24" s="201" t="s">
        <v>166</v>
      </c>
      <c r="O24" s="202"/>
    </row>
    <row r="25" spans="1:17" ht="28.5" customHeight="1" x14ac:dyDescent="0.3">
      <c r="A25" s="140"/>
      <c r="B25" s="144"/>
      <c r="C25" s="205" t="s">
        <v>167</v>
      </c>
      <c r="D25" s="206"/>
      <c r="E25" s="206"/>
      <c r="F25" s="206"/>
      <c r="G25" s="207"/>
      <c r="H25" s="146">
        <v>3.5449999999999999</v>
      </c>
      <c r="I25" s="145" t="s">
        <v>163</v>
      </c>
      <c r="J25" s="208">
        <f>IFERROR(J19*H25%,"-")</f>
        <v>68918.804609249986</v>
      </c>
      <c r="K25" s="209"/>
      <c r="L25" s="209"/>
      <c r="M25" s="210"/>
      <c r="N25" s="201" t="s">
        <v>168</v>
      </c>
      <c r="O25" s="202"/>
      <c r="Q25" s="143"/>
    </row>
    <row r="26" spans="1:17" ht="28.5" customHeight="1" x14ac:dyDescent="0.3">
      <c r="A26" s="140"/>
      <c r="B26" s="144"/>
      <c r="C26" s="205" t="s">
        <v>169</v>
      </c>
      <c r="D26" s="206"/>
      <c r="E26" s="206"/>
      <c r="F26" s="206"/>
      <c r="G26" s="207"/>
      <c r="H26" s="145">
        <v>4.5</v>
      </c>
      <c r="I26" s="145" t="s">
        <v>163</v>
      </c>
      <c r="J26" s="208">
        <f>IFERROR(J19*H26%,"-")</f>
        <v>87485.083424999975</v>
      </c>
      <c r="K26" s="209"/>
      <c r="L26" s="209"/>
      <c r="M26" s="210"/>
      <c r="N26" s="201" t="s">
        <v>170</v>
      </c>
      <c r="O26" s="202"/>
      <c r="Q26" s="147"/>
    </row>
    <row r="27" spans="1:17" ht="28.5" customHeight="1" x14ac:dyDescent="0.3">
      <c r="A27" s="140"/>
      <c r="B27" s="144"/>
      <c r="C27" s="195" t="s">
        <v>171</v>
      </c>
      <c r="D27" s="196"/>
      <c r="E27" s="196"/>
      <c r="F27" s="196"/>
      <c r="G27" s="197"/>
      <c r="H27" s="148">
        <v>12.95</v>
      </c>
      <c r="I27" s="149" t="s">
        <v>163</v>
      </c>
      <c r="J27" s="198">
        <f>IFERROR($H$27*J25%,"-")</f>
        <v>8924.9851968978728</v>
      </c>
      <c r="K27" s="199"/>
      <c r="L27" s="199"/>
      <c r="M27" s="200"/>
      <c r="N27" s="201" t="s">
        <v>172</v>
      </c>
      <c r="O27" s="202"/>
    </row>
    <row r="28" spans="1:17" ht="28.5" customHeight="1" x14ac:dyDescent="0.3">
      <c r="A28" s="140"/>
      <c r="B28" s="144"/>
      <c r="C28" s="195" t="s">
        <v>173</v>
      </c>
      <c r="D28" s="196"/>
      <c r="E28" s="196"/>
      <c r="F28" s="196"/>
      <c r="G28" s="197"/>
      <c r="H28" s="148">
        <v>8.1000000000000003E-2</v>
      </c>
      <c r="I28" s="149" t="s">
        <v>163</v>
      </c>
      <c r="J28" s="198" t="str">
        <f>IFERROR(IF(SUM(J21:J27,J18:J19)&gt;=10000000,SUM(J21:J27,J18:J19)*H28%,"-"),"-")</f>
        <v>-</v>
      </c>
      <c r="K28" s="199"/>
      <c r="L28" s="199"/>
      <c r="M28" s="200"/>
      <c r="N28" s="203" t="s">
        <v>174</v>
      </c>
      <c r="O28" s="204"/>
    </row>
    <row r="29" spans="1:17" ht="28.5" customHeight="1" x14ac:dyDescent="0.3">
      <c r="A29" s="150"/>
      <c r="B29" s="151"/>
      <c r="C29" s="175" t="s">
        <v>175</v>
      </c>
      <c r="D29" s="176"/>
      <c r="E29" s="176"/>
      <c r="F29" s="176"/>
      <c r="G29" s="177"/>
      <c r="H29" s="152">
        <v>1</v>
      </c>
      <c r="I29" s="153" t="s">
        <v>176</v>
      </c>
      <c r="J29" s="178">
        <f>34*0</f>
        <v>0</v>
      </c>
      <c r="K29" s="179"/>
      <c r="L29" s="179"/>
      <c r="M29" s="180"/>
      <c r="N29" s="181" t="s">
        <v>177</v>
      </c>
      <c r="O29" s="182"/>
    </row>
    <row r="30" spans="1:17" ht="28.5" customHeight="1" x14ac:dyDescent="0.3">
      <c r="A30" s="150">
        <v>4</v>
      </c>
      <c r="B30" s="151"/>
      <c r="C30" s="175" t="s">
        <v>178</v>
      </c>
      <c r="D30" s="176"/>
      <c r="E30" s="176"/>
      <c r="F30" s="176"/>
      <c r="G30" s="177"/>
      <c r="H30" s="153">
        <v>5</v>
      </c>
      <c r="I30" s="154" t="s">
        <v>179</v>
      </c>
      <c r="J30" s="188">
        <f>IFERROR(IF(ISNUMBER(H30), SUM(J18:M20) * (H30 / 100), "-"), "-")</f>
        <v>147616.43590865738</v>
      </c>
      <c r="K30" s="189"/>
      <c r="L30" s="189"/>
      <c r="M30" s="190"/>
      <c r="N30" s="191" t="s">
        <v>180</v>
      </c>
      <c r="O30" s="192"/>
    </row>
    <row r="31" spans="1:17" ht="28.5" customHeight="1" thickBot="1" x14ac:dyDescent="0.35">
      <c r="A31" s="150">
        <v>5</v>
      </c>
      <c r="B31" s="151"/>
      <c r="C31" s="175" t="s">
        <v>181</v>
      </c>
      <c r="D31" s="176"/>
      <c r="E31" s="176"/>
      <c r="F31" s="176"/>
      <c r="G31" s="177"/>
      <c r="H31" s="153">
        <v>7.5</v>
      </c>
      <c r="I31" s="154" t="s">
        <v>163</v>
      </c>
      <c r="J31" s="178">
        <f>IFERROR(SUM(J18:M20, J30) * (H31 / 100), "-")-41866</f>
        <v>190629.88655613537</v>
      </c>
      <c r="K31" s="179"/>
      <c r="L31" s="179"/>
      <c r="M31" s="180"/>
      <c r="N31" s="193" t="s">
        <v>182</v>
      </c>
      <c r="O31" s="194"/>
      <c r="Q31" s="155"/>
    </row>
    <row r="32" spans="1:17" ht="28.5" customHeight="1" thickBot="1" x14ac:dyDescent="0.35">
      <c r="A32" s="183" t="s">
        <v>183</v>
      </c>
      <c r="B32" s="184"/>
      <c r="C32" s="184"/>
      <c r="D32" s="184"/>
      <c r="E32" s="184"/>
      <c r="F32" s="184"/>
      <c r="G32" s="184"/>
      <c r="H32" s="184"/>
      <c r="I32" s="185"/>
      <c r="J32" s="156"/>
      <c r="K32" s="157"/>
      <c r="L32" s="157"/>
      <c r="M32" s="158">
        <f>IFERROR(ROUNDDOWN(SUM(J18:M20)+J30+J31,0),"-")</f>
        <v>3290575</v>
      </c>
      <c r="N32" s="186"/>
      <c r="O32" s="187"/>
      <c r="P32" s="159"/>
    </row>
    <row r="33" spans="1:15" x14ac:dyDescent="0.3">
      <c r="A33" s="160" t="s">
        <v>184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Normal="100" workbookViewId="0">
      <selection activeCell="J38" sqref="J38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16"/>
      <c r="O1" s="14" t="s">
        <v>102</v>
      </c>
      <c r="Q1" s="14" t="s">
        <v>102</v>
      </c>
      <c r="S1" s="14" t="s">
        <v>102</v>
      </c>
      <c r="U1" s="14" t="s">
        <v>102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187</v>
      </c>
      <c r="G3" s="20"/>
      <c r="H3" s="20"/>
      <c r="I3" s="20"/>
      <c r="J3" s="289" t="s">
        <v>103</v>
      </c>
      <c r="K3" s="289"/>
      <c r="L3" s="289" t="s">
        <v>12</v>
      </c>
      <c r="M3" s="289" t="s">
        <v>5</v>
      </c>
      <c r="N3" s="285" t="s">
        <v>104</v>
      </c>
      <c r="O3" s="285"/>
      <c r="P3" s="285" t="s">
        <v>105</v>
      </c>
      <c r="Q3" s="285"/>
      <c r="R3" s="286" t="s">
        <v>106</v>
      </c>
      <c r="S3" s="286"/>
      <c r="T3" s="286" t="s">
        <v>188</v>
      </c>
      <c r="U3" s="286"/>
      <c r="V3" s="287" t="s">
        <v>107</v>
      </c>
      <c r="W3" s="283" t="s">
        <v>108</v>
      </c>
      <c r="X3" s="281" t="s">
        <v>7</v>
      </c>
    </row>
    <row r="4" spans="1:24" ht="19.899999999999999" customHeight="1" x14ac:dyDescent="0.3">
      <c r="A4" s="21" t="s">
        <v>109</v>
      </c>
      <c r="B4" s="22"/>
      <c r="C4" s="22"/>
      <c r="D4" s="22"/>
      <c r="E4" s="22"/>
      <c r="F4" s="23" t="s">
        <v>110</v>
      </c>
      <c r="G4" s="23" t="s">
        <v>111</v>
      </c>
      <c r="H4" s="23" t="s">
        <v>112</v>
      </c>
      <c r="I4" s="23" t="s">
        <v>113</v>
      </c>
      <c r="J4" s="24" t="s">
        <v>114</v>
      </c>
      <c r="K4" s="24" t="s">
        <v>115</v>
      </c>
      <c r="L4" s="290"/>
      <c r="M4" s="290"/>
      <c r="N4" s="25" t="s">
        <v>116</v>
      </c>
      <c r="O4" s="26" t="s">
        <v>117</v>
      </c>
      <c r="P4" s="25" t="s">
        <v>118</v>
      </c>
      <c r="Q4" s="26" t="s">
        <v>117</v>
      </c>
      <c r="R4" s="26" t="s">
        <v>119</v>
      </c>
      <c r="S4" s="26" t="s">
        <v>117</v>
      </c>
      <c r="T4" s="26" t="s">
        <v>119</v>
      </c>
      <c r="U4" s="26" t="s">
        <v>117</v>
      </c>
      <c r="V4" s="288"/>
      <c r="W4" s="284"/>
      <c r="X4" s="282"/>
    </row>
    <row r="5" spans="1:24" s="37" customFormat="1" ht="19.899999999999999" customHeight="1" x14ac:dyDescent="0.3">
      <c r="A5" s="27" t="str">
        <f t="shared" ref="A5:A16" si="0">F5&amp;G5&amp;H5&amp;I5</f>
        <v>D02641</v>
      </c>
      <c r="B5" s="28"/>
      <c r="C5" s="28"/>
      <c r="D5" s="28"/>
      <c r="E5" s="28"/>
      <c r="F5" s="30" t="s">
        <v>64</v>
      </c>
      <c r="G5" s="29"/>
      <c r="H5" s="29"/>
      <c r="I5" s="30"/>
      <c r="J5" s="31" t="s">
        <v>189</v>
      </c>
      <c r="K5" s="31" t="s">
        <v>65</v>
      </c>
      <c r="L5" s="31" t="s">
        <v>66</v>
      </c>
      <c r="M5" s="81">
        <v>105</v>
      </c>
      <c r="N5" s="32"/>
      <c r="O5" s="33" cm="1">
        <f t="array" ref="O5">SUM(N5:N5*M5*$O$2)</f>
        <v>0</v>
      </c>
      <c r="P5" s="82">
        <v>6691</v>
      </c>
      <c r="Q5" s="33">
        <f t="shared" ref="Q5:Q13" si="1">(P5*M5)*$Q$2</f>
        <v>586633.42499999993</v>
      </c>
      <c r="R5" s="34"/>
      <c r="S5" s="33">
        <f t="shared" ref="S5:S13" si="2">R5*M5*$S$2</f>
        <v>0</v>
      </c>
      <c r="T5" s="34"/>
      <c r="U5" s="33">
        <f t="shared" ref="U5:U13" si="3">T5*M5*$U$2</f>
        <v>0</v>
      </c>
      <c r="V5" s="34">
        <f t="shared" ref="V5:V13" si="4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65</v>
      </c>
      <c r="L6" s="31" t="s">
        <v>66</v>
      </c>
      <c r="M6" s="81">
        <v>61</v>
      </c>
      <c r="N6" s="32"/>
      <c r="O6" s="33">
        <f t="shared" ref="O6:O13" si="5">SUM(N6:N6)*M6*$O$2</f>
        <v>0</v>
      </c>
      <c r="P6" s="82">
        <v>8698</v>
      </c>
      <c r="Q6" s="33">
        <f t="shared" si="1"/>
        <v>443032.63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69</v>
      </c>
      <c r="G7" s="29"/>
      <c r="H7" s="29"/>
      <c r="I7" s="30"/>
      <c r="J7" s="31" t="s">
        <v>70</v>
      </c>
      <c r="K7" s="31" t="s">
        <v>71</v>
      </c>
      <c r="L7" s="31" t="s">
        <v>66</v>
      </c>
      <c r="M7" s="81">
        <v>83</v>
      </c>
      <c r="N7" s="32"/>
      <c r="O7" s="33">
        <f t="shared" si="5"/>
        <v>0</v>
      </c>
      <c r="P7" s="82">
        <v>1618</v>
      </c>
      <c r="Q7" s="33">
        <f t="shared" si="1"/>
        <v>112135.48999999999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72</v>
      </c>
      <c r="G8" s="29"/>
      <c r="H8" s="29"/>
      <c r="I8" s="30"/>
      <c r="J8" s="31" t="s">
        <v>73</v>
      </c>
      <c r="K8" s="31" t="s">
        <v>74</v>
      </c>
      <c r="L8" s="31" t="s">
        <v>66</v>
      </c>
      <c r="M8" s="81">
        <v>34</v>
      </c>
      <c r="N8" s="32"/>
      <c r="O8" s="33">
        <f t="shared" si="5"/>
        <v>0</v>
      </c>
      <c r="P8" s="82">
        <v>4855</v>
      </c>
      <c r="Q8" s="33">
        <f t="shared" si="1"/>
        <v>137833.44999999998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75</v>
      </c>
      <c r="G9" s="29"/>
      <c r="H9" s="29"/>
      <c r="I9" s="30"/>
      <c r="J9" s="31" t="s">
        <v>76</v>
      </c>
      <c r="K9" s="31" t="s">
        <v>77</v>
      </c>
      <c r="L9" s="31" t="s">
        <v>66</v>
      </c>
      <c r="M9" s="81">
        <v>34</v>
      </c>
      <c r="N9" s="38"/>
      <c r="O9" s="33">
        <f t="shared" si="5"/>
        <v>0</v>
      </c>
      <c r="P9" s="82">
        <v>4453</v>
      </c>
      <c r="Q9" s="33">
        <f t="shared" si="1"/>
        <v>126420.67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78</v>
      </c>
      <c r="G10" s="29"/>
      <c r="H10" s="29"/>
      <c r="I10" s="30"/>
      <c r="J10" s="31" t="s">
        <v>79</v>
      </c>
      <c r="K10" s="31" t="s">
        <v>80</v>
      </c>
      <c r="L10" s="31" t="s">
        <v>66</v>
      </c>
      <c r="M10" s="81">
        <v>20</v>
      </c>
      <c r="N10" s="82">
        <v>528</v>
      </c>
      <c r="O10" s="33">
        <f t="shared" si="5"/>
        <v>8817.6</v>
      </c>
      <c r="P10" s="82">
        <v>10367</v>
      </c>
      <c r="Q10" s="33">
        <f t="shared" si="1"/>
        <v>173128.9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81</v>
      </c>
      <c r="G11" s="29"/>
      <c r="H11" s="29"/>
      <c r="I11" s="30"/>
      <c r="J11" s="31" t="s">
        <v>82</v>
      </c>
      <c r="K11" s="31" t="s">
        <v>83</v>
      </c>
      <c r="L11" s="31" t="s">
        <v>66</v>
      </c>
      <c r="M11" s="81">
        <v>20</v>
      </c>
      <c r="N11" s="82">
        <v>461</v>
      </c>
      <c r="O11" s="33">
        <f t="shared" si="5"/>
        <v>7698.7</v>
      </c>
      <c r="P11" s="82">
        <v>6146</v>
      </c>
      <c r="Q11" s="33">
        <f t="shared" si="1"/>
        <v>102638.2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110336.9</v>
      </c>
      <c r="W11" s="35"/>
      <c r="X11" s="36"/>
    </row>
    <row r="12" spans="1:24" s="37" customFormat="1" ht="19.899999999999999" customHeight="1" x14ac:dyDescent="0.3">
      <c r="A12" s="27" t="str">
        <f t="shared" ref="A12" si="6">F12&amp;G12&amp;H12&amp;I12</f>
        <v>M012003400500101</v>
      </c>
      <c r="B12" s="28"/>
      <c r="C12" s="28"/>
      <c r="D12" s="28"/>
      <c r="E12" s="28"/>
      <c r="F12" s="30"/>
      <c r="G12" s="29"/>
      <c r="H12" s="83" t="s">
        <v>90</v>
      </c>
      <c r="I12" s="30"/>
      <c r="J12" s="40" t="s">
        <v>91</v>
      </c>
      <c r="K12" s="40" t="s">
        <v>92</v>
      </c>
      <c r="L12" s="31" t="s">
        <v>66</v>
      </c>
      <c r="M12" s="81">
        <v>34</v>
      </c>
      <c r="N12" s="84">
        <v>15000</v>
      </c>
      <c r="O12" s="33">
        <f t="shared" ref="O12" si="7">SUM(N12:N12)*M12*$O$2</f>
        <v>425850</v>
      </c>
      <c r="P12" s="39"/>
      <c r="Q12" s="33">
        <f t="shared" ref="Q12" si="8">(P12*M12)*$Q$2</f>
        <v>0</v>
      </c>
      <c r="R12" s="34"/>
      <c r="S12" s="33">
        <f t="shared" ref="S12" si="9">R12*M12*$S$2</f>
        <v>0</v>
      </c>
      <c r="T12" s="34"/>
      <c r="U12" s="33">
        <f t="shared" ref="U12" si="10">T12*M12*$U$2</f>
        <v>0</v>
      </c>
      <c r="V12" s="34">
        <f t="shared" ref="V12" si="11">SUM(O12+Q12)+S12+U12</f>
        <v>425850</v>
      </c>
      <c r="W12" s="35"/>
      <c r="X12" s="36"/>
    </row>
    <row r="13" spans="1:24" s="37" customFormat="1" ht="19.899999999999999" customHeight="1" x14ac:dyDescent="0.3">
      <c r="A13" s="27" t="str">
        <f t="shared" si="0"/>
        <v>M010602702400101</v>
      </c>
      <c r="B13" s="28"/>
      <c r="C13" s="28"/>
      <c r="D13" s="28"/>
      <c r="E13" s="28"/>
      <c r="F13" s="30"/>
      <c r="G13" s="29"/>
      <c r="H13" s="83" t="s">
        <v>84</v>
      </c>
      <c r="I13" s="30"/>
      <c r="J13" s="40" t="s">
        <v>85</v>
      </c>
      <c r="K13" s="40" t="s">
        <v>86</v>
      </c>
      <c r="L13" s="40" t="s">
        <v>87</v>
      </c>
      <c r="M13" s="81">
        <v>4</v>
      </c>
      <c r="N13" s="84">
        <v>15000</v>
      </c>
      <c r="O13" s="33">
        <f t="shared" si="5"/>
        <v>50100</v>
      </c>
      <c r="P13" s="39"/>
      <c r="Q13" s="33">
        <f t="shared" si="1"/>
        <v>0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50100</v>
      </c>
      <c r="W13" s="35"/>
      <c r="X13" s="36"/>
    </row>
    <row r="14" spans="1:24" s="37" customFormat="1" ht="19.899999999999999" customHeight="1" x14ac:dyDescent="0.3">
      <c r="A14" s="27"/>
      <c r="B14" s="28"/>
      <c r="C14" s="28"/>
      <c r="D14" s="28"/>
      <c r="E14" s="28"/>
      <c r="F14" s="30"/>
      <c r="G14" s="29"/>
      <c r="H14" s="29"/>
      <c r="I14" s="30"/>
      <c r="J14" s="31" t="str">
        <f>"시중가_"&amp;K14&amp;")"</f>
        <v>시중가_합지벽지(LG하우시스 휘앙세))</v>
      </c>
      <c r="K14" s="31" t="s">
        <v>88</v>
      </c>
      <c r="L14" s="31" t="s">
        <v>66</v>
      </c>
      <c r="M14" s="85">
        <v>166</v>
      </c>
      <c r="N14" s="32">
        <v>1300</v>
      </c>
      <c r="O14" s="33">
        <f t="shared" ref="O14:O16" si="12">SUM(N14:N14)*M14*$O$2</f>
        <v>180193</v>
      </c>
      <c r="P14" s="39"/>
      <c r="Q14" s="33">
        <f t="shared" ref="Q14:Q16" si="13">(P14*M14)*$Q$2</f>
        <v>0</v>
      </c>
      <c r="R14" s="34"/>
      <c r="S14" s="33">
        <f t="shared" ref="S14:S16" si="14">R14*M14*$S$2</f>
        <v>0</v>
      </c>
      <c r="T14" s="34"/>
      <c r="U14" s="33">
        <f t="shared" ref="U14:U16" si="15">T14*M14*$U$2</f>
        <v>0</v>
      </c>
      <c r="V14" s="34">
        <f t="shared" ref="V14:V16" si="16">SUM(O14+Q14)+S14+U14</f>
        <v>180193</v>
      </c>
      <c r="W14" s="35"/>
      <c r="X14" s="36"/>
    </row>
    <row r="15" spans="1:24" s="37" customFormat="1" ht="19.899999999999999" customHeight="1" x14ac:dyDescent="0.3">
      <c r="A15" s="27"/>
      <c r="B15" s="28"/>
      <c r="C15" s="28"/>
      <c r="D15" s="28"/>
      <c r="E15" s="28"/>
      <c r="F15" s="30"/>
      <c r="G15" s="29"/>
      <c r="H15" s="29"/>
      <c r="I15" s="30"/>
      <c r="J15" s="31" t="str">
        <f>"시중가_"&amp;K15&amp;""</f>
        <v>시중가_청소, 실내건축 일위대가 적용</v>
      </c>
      <c r="K15" s="31" t="s">
        <v>89</v>
      </c>
      <c r="L15" s="31" t="s">
        <v>66</v>
      </c>
      <c r="M15" s="85">
        <v>40</v>
      </c>
      <c r="N15" s="32"/>
      <c r="O15" s="33">
        <f t="shared" si="12"/>
        <v>0</v>
      </c>
      <c r="P15" s="39">
        <v>7853</v>
      </c>
      <c r="Q15" s="33">
        <f t="shared" si="13"/>
        <v>262290.2</v>
      </c>
      <c r="R15" s="34"/>
      <c r="S15" s="33">
        <f t="shared" si="14"/>
        <v>0</v>
      </c>
      <c r="T15" s="34"/>
      <c r="U15" s="33">
        <f t="shared" si="15"/>
        <v>0</v>
      </c>
      <c r="V15" s="34">
        <f t="shared" si="16"/>
        <v>262290.2</v>
      </c>
      <c r="W15" s="35"/>
      <c r="X15" s="36"/>
    </row>
    <row r="16" spans="1:24" s="37" customFormat="1" ht="19.899999999999999" customHeight="1" x14ac:dyDescent="0.3">
      <c r="A16" s="27" t="str">
        <f t="shared" si="0"/>
        <v/>
      </c>
      <c r="B16" s="28"/>
      <c r="C16" s="28"/>
      <c r="D16" s="28"/>
      <c r="E16" s="28"/>
      <c r="F16" s="30"/>
      <c r="G16" s="29"/>
      <c r="H16" s="29"/>
      <c r="I16" s="30"/>
      <c r="J16" s="86"/>
      <c r="K16" s="86"/>
      <c r="L16" s="87"/>
      <c r="M16" s="85"/>
      <c r="N16" s="32"/>
      <c r="O16" s="33">
        <f t="shared" si="12"/>
        <v>0</v>
      </c>
      <c r="P16" s="39"/>
      <c r="Q16" s="33">
        <f t="shared" si="13"/>
        <v>0</v>
      </c>
      <c r="R16" s="34"/>
      <c r="S16" s="33">
        <f t="shared" si="14"/>
        <v>0</v>
      </c>
      <c r="T16" s="34"/>
      <c r="U16" s="33">
        <f t="shared" si="15"/>
        <v>0</v>
      </c>
      <c r="V16" s="34">
        <f t="shared" si="16"/>
        <v>0</v>
      </c>
      <c r="W16" s="41"/>
      <c r="X16" s="36"/>
    </row>
    <row r="17" spans="1:23" s="43" customFormat="1" ht="19.899999999999999" customHeight="1" x14ac:dyDescent="0.3">
      <c r="A17" s="42"/>
      <c r="B17" s="42"/>
      <c r="C17" s="42"/>
      <c r="D17" s="42"/>
      <c r="E17" s="42"/>
      <c r="O17" s="44">
        <f>SUM(O5:O16)</f>
        <v>672659.3</v>
      </c>
      <c r="P17" s="45"/>
      <c r="Q17" s="44">
        <f>SUM(Q5:Q16)</f>
        <v>1944112.9649999996</v>
      </c>
      <c r="R17" s="45"/>
      <c r="S17" s="44">
        <f>SUM(S5:S16)</f>
        <v>0</v>
      </c>
      <c r="T17" s="45"/>
      <c r="U17" s="44">
        <f>SUM(U5:U16)</f>
        <v>0</v>
      </c>
      <c r="V17" s="46">
        <f>SUM(V5:V16)</f>
        <v>2616772.2649999997</v>
      </c>
      <c r="W17" s="47"/>
    </row>
    <row r="21" spans="1:23" x14ac:dyDescent="0.3">
      <c r="Q21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B28" sqref="B28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4" t="s">
        <v>25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6" ht="12.95" customHeight="1" x14ac:dyDescent="0.3">
      <c r="A2" s="306" t="s">
        <v>26</v>
      </c>
      <c r="B2" s="307" t="s">
        <v>27</v>
      </c>
      <c r="C2" s="308" t="s">
        <v>12</v>
      </c>
      <c r="D2" s="308" t="s">
        <v>28</v>
      </c>
      <c r="E2" s="310" t="s">
        <v>29</v>
      </c>
      <c r="F2" s="307"/>
      <c r="G2" s="307" t="s">
        <v>30</v>
      </c>
      <c r="H2" s="307"/>
      <c r="I2" s="311" t="s">
        <v>31</v>
      </c>
      <c r="J2" s="312"/>
      <c r="K2" s="311" t="s">
        <v>190</v>
      </c>
      <c r="L2" s="312"/>
      <c r="M2" s="310" t="s">
        <v>32</v>
      </c>
      <c r="N2" s="307"/>
      <c r="O2" s="313" t="s">
        <v>33</v>
      </c>
    </row>
    <row r="3" spans="1:16" ht="12.95" customHeight="1" x14ac:dyDescent="0.3">
      <c r="A3" s="306"/>
      <c r="B3" s="307"/>
      <c r="C3" s="309"/>
      <c r="D3" s="309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14"/>
    </row>
    <row r="4" spans="1:16" ht="12.95" customHeight="1" x14ac:dyDescent="0.3">
      <c r="A4" s="302" t="s">
        <v>120</v>
      </c>
      <c r="B4" s="30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99" t="s">
        <v>37</v>
      </c>
      <c r="B5" s="54" t="s">
        <v>38</v>
      </c>
      <c r="C5" s="55" t="s">
        <v>39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296" t="s">
        <v>191</v>
      </c>
    </row>
    <row r="6" spans="1:16" ht="12.95" customHeight="1" x14ac:dyDescent="0.3">
      <c r="A6" s="300"/>
      <c r="B6" s="54" t="s">
        <v>40</v>
      </c>
      <c r="C6" s="55" t="s">
        <v>39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297"/>
    </row>
    <row r="7" spans="1:16" ht="12.95" customHeight="1" x14ac:dyDescent="0.3">
      <c r="A7" s="300"/>
      <c r="B7" s="54" t="s">
        <v>41</v>
      </c>
      <c r="C7" s="55" t="s">
        <v>39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297"/>
    </row>
    <row r="8" spans="1:16" ht="12.95" customHeight="1" x14ac:dyDescent="0.3">
      <c r="A8" s="300"/>
      <c r="B8" s="54" t="s">
        <v>42</v>
      </c>
      <c r="C8" s="55" t="s">
        <v>39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297"/>
    </row>
    <row r="9" spans="1:16" ht="12.95" customHeight="1" x14ac:dyDescent="0.3">
      <c r="A9" s="300"/>
      <c r="B9" s="54" t="s">
        <v>43</v>
      </c>
      <c r="C9" s="55" t="s">
        <v>39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297"/>
    </row>
    <row r="10" spans="1:16" ht="12.95" customHeight="1" x14ac:dyDescent="0.3">
      <c r="A10" s="300"/>
      <c r="B10" s="54" t="s">
        <v>44</v>
      </c>
      <c r="C10" s="55" t="s">
        <v>39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297"/>
    </row>
    <row r="11" spans="1:16" ht="12.95" customHeight="1" x14ac:dyDescent="0.3">
      <c r="A11" s="301"/>
      <c r="B11" s="54" t="s">
        <v>101</v>
      </c>
      <c r="C11" s="55" t="s">
        <v>39</v>
      </c>
      <c r="D11" s="59" cm="1">
        <f t="array" ref="D11">SUM(D5:D10*50%)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298"/>
    </row>
    <row r="12" spans="1:16" ht="12.95" customHeight="1" x14ac:dyDescent="0.3">
      <c r="A12" s="90" t="s">
        <v>45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292" t="s">
        <v>46</v>
      </c>
      <c r="B13" s="54" t="s">
        <v>47</v>
      </c>
      <c r="C13" s="55" t="s">
        <v>39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296" t="s">
        <v>97</v>
      </c>
    </row>
    <row r="14" spans="1:16" ht="12.95" customHeight="1" x14ac:dyDescent="0.3">
      <c r="A14" s="293"/>
      <c r="B14" s="54" t="s">
        <v>48</v>
      </c>
      <c r="C14" s="55" t="s">
        <v>39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297"/>
    </row>
    <row r="15" spans="1:16" ht="12.95" customHeight="1" x14ac:dyDescent="0.3">
      <c r="A15" s="293"/>
      <c r="B15" s="54" t="s">
        <v>49</v>
      </c>
      <c r="C15" s="55" t="s">
        <v>39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297"/>
    </row>
    <row r="16" spans="1:16" ht="12.95" customHeight="1" x14ac:dyDescent="0.3">
      <c r="A16" s="293"/>
      <c r="B16" s="54" t="s">
        <v>192</v>
      </c>
      <c r="C16" s="55" t="s">
        <v>50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297"/>
    </row>
    <row r="17" spans="1:15" ht="12.95" customHeight="1" x14ac:dyDescent="0.3">
      <c r="A17" s="293"/>
      <c r="B17" s="54" t="s">
        <v>51</v>
      </c>
      <c r="C17" s="55" t="s">
        <v>39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297"/>
    </row>
    <row r="18" spans="1:15" ht="12.95" customHeight="1" x14ac:dyDescent="0.3">
      <c r="A18" s="293"/>
      <c r="B18" s="54" t="s">
        <v>52</v>
      </c>
      <c r="C18" s="55" t="s">
        <v>39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297"/>
    </row>
    <row r="19" spans="1:15" ht="12.95" customHeight="1" x14ac:dyDescent="0.3">
      <c r="A19" s="293"/>
      <c r="B19" s="54" t="s">
        <v>53</v>
      </c>
      <c r="C19" s="55" t="s">
        <v>39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297"/>
    </row>
    <row r="20" spans="1:15" ht="12.95" customHeight="1" x14ac:dyDescent="0.3">
      <c r="A20" s="90" t="s">
        <v>45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54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291" t="s">
        <v>193</v>
      </c>
      <c r="B22" s="99" t="s">
        <v>194</v>
      </c>
      <c r="C22" s="100" t="s">
        <v>39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3"/>
    </row>
    <row r="23" spans="1:15" ht="12.95" customHeight="1" x14ac:dyDescent="0.3">
      <c r="A23" s="291"/>
      <c r="B23" s="67" t="s">
        <v>55</v>
      </c>
      <c r="C23" s="68" t="s">
        <v>39</v>
      </c>
      <c r="D23" s="69">
        <v>20</v>
      </c>
      <c r="E23" s="57">
        <v>385</v>
      </c>
      <c r="F23" s="57">
        <f t="shared" ref="F23" si="5">D23*E23</f>
        <v>7700</v>
      </c>
      <c r="G23" s="57">
        <v>5132</v>
      </c>
      <c r="H23" s="57">
        <f t="shared" ref="H23:H24" si="6">D23*G23</f>
        <v>102640</v>
      </c>
      <c r="I23" s="57"/>
      <c r="J23" s="57"/>
      <c r="K23" s="57"/>
      <c r="L23" s="58"/>
      <c r="M23" s="57"/>
      <c r="N23" s="58">
        <f t="shared" ref="N23:N24" si="7">F23+H23+J23+L23</f>
        <v>110340</v>
      </c>
      <c r="O23" s="294" t="s">
        <v>195</v>
      </c>
    </row>
    <row r="24" spans="1:15" ht="12.95" customHeight="1" x14ac:dyDescent="0.3">
      <c r="A24" s="291" t="s">
        <v>196</v>
      </c>
      <c r="B24" s="67" t="s">
        <v>194</v>
      </c>
      <c r="C24" s="68" t="s">
        <v>39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295"/>
    </row>
    <row r="25" spans="1:15" ht="12.95" customHeight="1" x14ac:dyDescent="0.3">
      <c r="A25" s="291"/>
      <c r="B25" s="99" t="s">
        <v>55</v>
      </c>
      <c r="C25" s="100" t="s">
        <v>39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296"/>
    </row>
    <row r="26" spans="1:15" ht="12.95" customHeight="1" x14ac:dyDescent="0.3">
      <c r="A26" s="291" t="s">
        <v>197</v>
      </c>
      <c r="B26" s="99" t="s">
        <v>198</v>
      </c>
      <c r="C26" s="100" t="s">
        <v>39</v>
      </c>
      <c r="D26" s="101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297"/>
    </row>
    <row r="27" spans="1:15" ht="12.95" customHeight="1" x14ac:dyDescent="0.3">
      <c r="A27" s="291"/>
      <c r="B27" s="99" t="s">
        <v>199</v>
      </c>
      <c r="C27" s="100" t="s">
        <v>39</v>
      </c>
      <c r="D27" s="101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297"/>
    </row>
    <row r="28" spans="1:15" ht="12.95" customHeight="1" x14ac:dyDescent="0.3">
      <c r="A28" s="291" t="s">
        <v>56</v>
      </c>
      <c r="B28" s="99" t="s">
        <v>198</v>
      </c>
      <c r="C28" s="100" t="s">
        <v>39</v>
      </c>
      <c r="D28" s="101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297"/>
    </row>
    <row r="29" spans="1:15" ht="12.95" customHeight="1" x14ac:dyDescent="0.3">
      <c r="A29" s="291"/>
      <c r="B29" s="99" t="s">
        <v>200</v>
      </c>
      <c r="C29" s="100" t="s">
        <v>39</v>
      </c>
      <c r="D29" s="101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298"/>
    </row>
    <row r="30" spans="1:15" ht="12.95" customHeight="1" x14ac:dyDescent="0.3">
      <c r="A30" s="90" t="s">
        <v>45</v>
      </c>
      <c r="B30" s="70"/>
      <c r="C30" s="71"/>
      <c r="D30" s="62"/>
      <c r="E30" s="63"/>
      <c r="F30" s="63">
        <f>SUM(F21:F29)</f>
        <v>16520</v>
      </c>
      <c r="G30" s="63"/>
      <c r="H30" s="63">
        <f>SUM(H21:H29)</f>
        <v>275760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292280</v>
      </c>
      <c r="O30" s="63"/>
    </row>
    <row r="31" spans="1:15" ht="12.95" customHeight="1" x14ac:dyDescent="0.3">
      <c r="A31" s="89" t="s">
        <v>57</v>
      </c>
      <c r="B31" s="54" t="s">
        <v>201</v>
      </c>
      <c r="C31" s="55" t="s">
        <v>39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96</v>
      </c>
    </row>
    <row r="32" spans="1:15" ht="12.95" customHeight="1" x14ac:dyDescent="0.3">
      <c r="A32" s="91" t="s">
        <v>45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>SUM(J31:J31)</f>
        <v>0</v>
      </c>
      <c r="K32" s="63"/>
      <c r="L32" s="63">
        <f>SUM(L31:L31)</f>
        <v>0</v>
      </c>
      <c r="M32" s="63"/>
      <c r="N32" s="63">
        <f>SUM(N31:N31)</f>
        <v>262280</v>
      </c>
      <c r="O32" s="75"/>
    </row>
    <row r="33" spans="1:15" ht="12.95" customHeight="1" x14ac:dyDescent="0.3">
      <c r="A33" s="92" t="s">
        <v>58</v>
      </c>
      <c r="B33" s="76"/>
      <c r="C33" s="77"/>
      <c r="D33" s="78"/>
      <c r="E33" s="79"/>
      <c r="F33" s="79">
        <f>F12+F20+F30+F32</f>
        <v>672746</v>
      </c>
      <c r="G33" s="79"/>
      <c r="H33" s="79">
        <f>H12+H20+H30+H32</f>
        <v>1944099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2616845</v>
      </c>
      <c r="O33" s="79"/>
    </row>
  </sheetData>
  <mergeCells count="2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A24:A25"/>
    <mergeCell ref="A26:A27"/>
    <mergeCell ref="A28:A29"/>
    <mergeCell ref="A13:A19"/>
    <mergeCell ref="O23:O24"/>
    <mergeCell ref="O25:O29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5" t="s">
        <v>202</v>
      </c>
      <c r="B2" s="315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203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204</v>
      </c>
      <c r="C4" s="8" t="s">
        <v>63</v>
      </c>
      <c r="D4" s="9">
        <v>1300</v>
      </c>
      <c r="E4" s="10" t="s">
        <v>100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D15" sqref="D1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93</v>
      </c>
      <c r="C2" s="16" t="s">
        <v>99</v>
      </c>
      <c r="D2" s="16" t="s">
        <v>98</v>
      </c>
      <c r="E2" s="16" t="s">
        <v>66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93</v>
      </c>
      <c r="C3" s="16" t="s">
        <v>95</v>
      </c>
      <c r="D3" s="16" t="s">
        <v>94</v>
      </c>
      <c r="E3" s="16" t="s">
        <v>66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24" sqref="D24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e">
        <v>#REF!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M012003400500101</v>
      </c>
      <c r="B9" s="98">
        <f>'내역서(표준단가)'!F12</f>
        <v>0</v>
      </c>
      <c r="C9" s="98">
        <f>'내역서(표준단가)'!G12</f>
        <v>0</v>
      </c>
      <c r="D9" s="98" t="str">
        <f>'내역서(표준단가)'!H12</f>
        <v>M012003400500101</v>
      </c>
      <c r="E9" s="98">
        <f>'내역서(표준단가)'!I12</f>
        <v>0</v>
      </c>
      <c r="F9" s="98">
        <f>'내역서(표준단가)'!M12</f>
        <v>34</v>
      </c>
    </row>
    <row r="10" spans="1:6" x14ac:dyDescent="0.3">
      <c r="A10" s="97" t="str">
        <f>'내역서(표준단가)'!A13</f>
        <v>M010602702400101</v>
      </c>
      <c r="B10" s="98">
        <f>'내역서(표준단가)'!F13</f>
        <v>0</v>
      </c>
      <c r="C10" s="98">
        <f>'내역서(표준단가)'!G13</f>
        <v>0</v>
      </c>
      <c r="D10" s="98" t="str">
        <f>'내역서(표준단가)'!H13</f>
        <v>M010602702400101</v>
      </c>
      <c r="E10" s="98">
        <f>'내역서(표준단가)'!I13</f>
        <v>0</v>
      </c>
      <c r="F10" s="98">
        <f>'내역서(표준단가)'!M13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2025-03-10T01:49:01Z</dcterms:modified>
</cp:coreProperties>
</file>
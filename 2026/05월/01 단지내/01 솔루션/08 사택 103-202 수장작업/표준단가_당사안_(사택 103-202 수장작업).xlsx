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AC5DB2CF-4EE9-4F5A-88EF-9D442BE79335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H12" i="9" l="1"/>
  <c r="F12" i="9"/>
  <c r="N12" i="9" s="1"/>
  <c r="N11" i="9"/>
  <c r="H11" i="9"/>
  <c r="F11" i="9"/>
  <c r="H9" i="9"/>
  <c r="N9" i="9" s="1"/>
  <c r="F9" i="9"/>
  <c r="H7" i="9"/>
  <c r="F7" i="9"/>
  <c r="N7" i="9" s="1"/>
  <c r="Q6" i="9"/>
  <c r="H6" i="9"/>
  <c r="F6" i="9"/>
  <c r="N6" i="9" s="1"/>
  <c r="Q5" i="9"/>
  <c r="H5" i="9"/>
  <c r="F5" i="9"/>
  <c r="N5" i="9" s="1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F17" i="5" s="1"/>
  <c r="R9" i="4"/>
  <c r="R12" i="4"/>
  <c r="R11" i="4"/>
  <c r="F21" i="5" l="1"/>
  <c r="F22" i="5"/>
  <c r="Q14" i="4"/>
  <c r="K14" i="4"/>
  <c r="F16" i="5" s="1"/>
  <c r="F26" i="5" s="1"/>
  <c r="O14" i="4"/>
  <c r="F18" i="5" l="1"/>
  <c r="R14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<sst xmlns="http://schemas.openxmlformats.org/spreadsheetml/2006/main" count="209" uniqueCount="158">
  <si>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</si>
  <si>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</si>
  <si>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</si>
  <si>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</si>
  <si>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</si>
  <si>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</si>
  <si>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</si>
  <si>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</si>
  <si>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</si>
  <si>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</si>
  <si>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</si>
  <si>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</si>
  <si>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</si>
  <si>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</si>
  <si>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</si>
  <si>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</si>
  <si>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</si>
  <si>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</si>
  <si>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</si>
  <si>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</si>
  <si>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</si>
  <si>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</si>
  <si>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</si>
  <si>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</si>
  <si>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</si>
  <si>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</si>
  <si>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</si>
  <si>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</si>
  <si>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</si>
  <si>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</si>
  <si>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</si>
  <si>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</si>
  <si>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</si>
  <si>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</si>
  <si>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</si>
  <si>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</si>
  <si>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</si>
  <si>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</si>
  <si>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</si>
  <si>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</si>
  <si>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</si>
  <si>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</si>
  <si>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</si>
  <si>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</si>
  <si>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</si>
  <si>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</si>
  <si>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</si>
  <si>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</si>
  <si>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</si>
  <si>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</si>
  <si>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</si>
  <si>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</si>
  <si>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</si>
  <si>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</si>
  <si>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</si>
  <si>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</si>
  <si>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</si>
  <si>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</si>
  <si>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</si>
  <si>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</si>
  <si>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</si>
  <si>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</si>
  <si>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</si>
  <si>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</si>
  <si>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</si>
  <si>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</si>
  <si>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</si>
  <si>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</si>
  <si>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</si>
  <si>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</si>
  <si>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</si>
  <si>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</si>
  <si>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</si>
  <si>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</si>
  <si>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</si>
  <si>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</si>
  <si>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</si>
  <si>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</si>
  <si>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</si>
  <si>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</si>
  <si>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</si>
  <si>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</si>
  <si>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</si>
  <si>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</si>
  <si>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</si>
  <si>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</si>
  <si>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</si>
  <si>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</si>
  <si>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</si>
  <si>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</si>
  <si>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</si>
  <si>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</si>
  <si>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</si>
  <si>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</si>
  <si>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</si>
  <si>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</si>
  <si>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</si>
  <si>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</si>
  <si>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</si>
  <si>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</si>
  <si>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</si>
  <si>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</si>
  <si>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</si>
  <si>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</si>
  <si>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</si>
  <si>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</si>
  <si>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</si>
  <si>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</si>
  <si>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</si>
  <si>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</si>
  <si>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</si>
  <si>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</si>
  <si>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</si>
  <si>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</si>
  <si>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</si>
  <si>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</si>
  <si>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</si>
  <si>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</si>
  <si>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</si>
  <si>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</si>
  <si>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</si>
  <si>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</si>
  <si>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</si>
  <si>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</si>
  <si>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</si>
  <si>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</si>
  <si>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</si>
  <si>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</si>
  <si>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</si>
  <si>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</si>
  <si>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</si>
  <si>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</si>
  <si>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</si>
  <si>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</si>
  <si>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</si>
  <si>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</si>
  <si>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</si>
  <si>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</si>
  <si>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</si>
  <si>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</si>
  <si>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</si>
  <si>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</si>
  <si>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</si>
  <si>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</si>
  <si>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</si>
  <si>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</si>
  <si>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</si>
  <si>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</si>
  <si>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</si>
  <si>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</si>
  <si>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</si>
  <si>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</si>
  <si>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</si>
  <si>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02월  25일</t>
    <phoneticPr fontId="5" type="noConversion"/>
  </si>
  <si>
    <t xml:space="preserve"> 공사명 : 사택 103-202 수장작업</t>
    <phoneticPr fontId="11" type="noConversion"/>
  </si>
  <si>
    <t>사택 103-202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</si>
  <si>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소요량234/16.51=14.1732R/L</t>
    </r>
    <phoneticPr fontId="5" type="noConversion"/>
  </si>
  <si>
    <t xml:space="preserve">일당 시공량-천장 35㎡ 적산정보 500p 참조, 시공총량48/일당35=1.3714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</si>
</sst>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4" fontId="21" fillId="13" borderId="30" xfId="13" applyNumberFormat="1" applyFont="1" applyFill="1" applyBorder="1" applyAlignment="1">
      <alignment horizontal="center" vertical="center"/>
    </xf>
    <xf numFmtId="177" fontId="21" fillId="13" borderId="30" xfId="13" applyFont="1" applyFill="1" applyBorder="1" applyAlignment="1">
      <alignment horizontal="center" vertical="center"/>
    </xf>
    <xf numFmtId="192" fontId="21" fillId="13" borderId="30" xfId="13" applyNumberFormat="1" applyFont="1" applyFill="1" applyBorder="1" applyAlignment="1">
      <alignment horizontal="center" vertical="center"/>
    </xf>
    <xf numFmtId="182" fontId="27" fillId="13" borderId="30" xfId="13" applyNumberFormat="1" applyFont="1" applyFill="1" applyBorder="1" applyAlignment="1">
      <alignment horizontal="right" vertical="center" wrapText="1"/>
    </xf>
    <xf numFmtId="182" fontId="21" fillId="13" borderId="30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3.5">
      <c r="A3" s="115"/>
      <c r="B3" s="115"/>
      <c r="C3" s="115"/>
      <c r="D3" s="115"/>
      <c r="E3" s="115"/>
      <c r="F3" s="115"/>
      <c r="G3" s="115"/>
      <c r="H3" s="115"/>
    </row>
    <row r="4" spans="1:9" ht="13.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3" t="s">
        <v>154</v>
      </c>
      <c r="B7" s="174"/>
      <c r="C7" s="17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153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1"/>
      <c r="B11" s="172"/>
      <c r="C11" s="172"/>
      <c r="D11" s="115"/>
      <c r="E11" s="14"/>
      <c r="F11" s="15" t="s">
        <v>34</v>
      </c>
      <c r="G11" s="16" t="s">
        <v>51</v>
      </c>
      <c r="H11" s="14"/>
    </row>
    <row r="12" spans="1:9" ht="19.5" thickBot="1">
      <c r="A12" s="17" t="s">
        <v>2</v>
      </c>
      <c r="B12" s="17" t="str">
        <f>NUMBERSTRING(F31,1)</f>
        <v>오백삼십만팔천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'내역서(표준단가)'!K14</f>
        <v>934590.34979999997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'내역서(표준단가)'!M14</f>
        <v>3551239.5952519998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'내역서(표준단가)'!O14+'내역서(표준단가)'!Q14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4485829.9450519998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151</v>
      </c>
      <c r="D21" s="165">
        <v>1</v>
      </c>
      <c r="E21" s="165" t="s">
        <v>19</v>
      </c>
      <c r="F21" s="166">
        <f>F17*4.75%</f>
        <v>168683.88077446999</v>
      </c>
      <c r="G21" s="35" t="s">
        <v>20</v>
      </c>
    </row>
    <row r="22" spans="1:7" ht="33" customHeight="1">
      <c r="A22" s="29"/>
      <c r="B22" s="167" t="s">
        <v>21</v>
      </c>
      <c r="C22" s="164" t="s">
        <v>152</v>
      </c>
      <c r="D22" s="168">
        <v>1</v>
      </c>
      <c r="E22" s="168" t="s">
        <v>19</v>
      </c>
      <c r="F22" s="169">
        <f>F17*3.595%</f>
        <v>127667.0634493094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16532.884716685567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35867.519912045194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126424.12959097119</v>
      </c>
      <c r="G25" s="35" t="s">
        <v>22</v>
      </c>
    </row>
    <row r="26" spans="1:7" ht="33" customHeight="1">
      <c r="A26" s="29"/>
      <c r="B26" s="42" t="s">
        <v>26</v>
      </c>
      <c r="C26" s="45" t="s">
        <v>129</v>
      </c>
      <c r="D26" s="30">
        <v>1</v>
      </c>
      <c r="E26" s="30" t="s">
        <v>19</v>
      </c>
      <c r="F26" s="43">
        <f>(F16+F17)*3.11%</f>
        <v>139509.31129111719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208296.21924932991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822981.00898392848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5308810.9540359285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5308000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G18" sqref="G18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76"/>
      <c r="B1" s="176"/>
      <c r="C1" s="176"/>
      <c r="D1" s="176"/>
      <c r="E1" s="17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130</v>
      </c>
      <c r="E5" s="94"/>
      <c r="F5" s="126" t="s">
        <v>131</v>
      </c>
      <c r="G5" s="126" t="s">
        <v>156</v>
      </c>
      <c r="H5" s="110" t="s">
        <v>144</v>
      </c>
      <c r="I5" s="125">
        <v>14.1732</v>
      </c>
      <c r="J5" s="156">
        <v>20900</v>
      </c>
      <c r="K5" s="121">
        <f t="shared" ref="K5" si="1">SUM(J5:J5)*I5*$K$2</f>
        <v>247343.5998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247343.5998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145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:A8" si="12">B7&amp;C7&amp;D7&amp;E7</f>
        <v>E00000803071260301</v>
      </c>
      <c r="B7" s="94"/>
      <c r="C7" s="69" t="s">
        <v>107</v>
      </c>
      <c r="D7" s="69"/>
      <c r="E7" s="94"/>
      <c r="F7" s="126" t="s">
        <v>110</v>
      </c>
      <c r="G7" s="126" t="s">
        <v>157</v>
      </c>
      <c r="H7" s="70" t="s">
        <v>108</v>
      </c>
      <c r="I7" s="125">
        <v>1.3714</v>
      </c>
      <c r="J7" s="123"/>
      <c r="K7" s="121">
        <f t="shared" ref="K7:K12" si="13">SUM(J7:J7)*I7*$K$2</f>
        <v>0</v>
      </c>
      <c r="L7" s="157">
        <v>510462</v>
      </c>
      <c r="M7" s="121">
        <f t="shared" ref="M7:M13" si="14">(L7*I7)*$M$2</f>
        <v>584539.73497799993</v>
      </c>
      <c r="N7" s="122"/>
      <c r="O7" s="121">
        <f t="shared" ref="O7:O13" si="15">N7*I7*$O$2</f>
        <v>0</v>
      </c>
      <c r="P7" s="122"/>
      <c r="Q7" s="121">
        <f t="shared" ref="Q7:Q13" si="16">P7*I7*$Q$2</f>
        <v>0</v>
      </c>
      <c r="R7" s="72">
        <f t="shared" ref="R7:R13" si="17">SUM(K7+M7)+O7+Q7</f>
        <v>584539.73497799993</v>
      </c>
      <c r="S7" s="109"/>
      <c r="T7" s="73"/>
    </row>
    <row r="8" spans="1:20" s="134" customFormat="1" ht="38.1" customHeight="1">
      <c r="A8" s="68" t="str">
        <f t="shared" si="12"/>
        <v>M020809012520101</v>
      </c>
      <c r="B8" s="94"/>
      <c r="C8" s="69"/>
      <c r="D8" s="69" t="s">
        <v>133</v>
      </c>
      <c r="E8" s="94"/>
      <c r="F8" s="126" t="s">
        <v>134</v>
      </c>
      <c r="G8" s="126" t="s">
        <v>135</v>
      </c>
      <c r="H8" s="110" t="s">
        <v>132</v>
      </c>
      <c r="I8" s="125">
        <v>61.8</v>
      </c>
      <c r="J8" s="124">
        <v>13000</v>
      </c>
      <c r="K8" s="121">
        <f t="shared" si="13"/>
        <v>670839</v>
      </c>
      <c r="L8" s="120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670839</v>
      </c>
      <c r="S8" s="109"/>
      <c r="T8" s="73"/>
    </row>
    <row r="9" spans="1:20" s="134" customFormat="1" ht="38.1" customHeight="1">
      <c r="A9" s="68" t="str">
        <f t="shared" ref="A9:A13" si="18">B9&amp;C9&amp;D9&amp;E9</f>
        <v>E00000803071260401</v>
      </c>
      <c r="B9" s="94"/>
      <c r="C9" s="69" t="s">
        <v>111</v>
      </c>
      <c r="D9" s="69"/>
      <c r="E9" s="94"/>
      <c r="F9" s="126" t="s">
        <v>112</v>
      </c>
      <c r="G9" s="126" t="s">
        <v>146</v>
      </c>
      <c r="H9" s="70" t="s">
        <v>108</v>
      </c>
      <c r="I9" s="125">
        <v>1.0132000000000001</v>
      </c>
      <c r="J9" s="123"/>
      <c r="K9" s="121">
        <f t="shared" si="13"/>
        <v>0</v>
      </c>
      <c r="L9" s="157">
        <v>510462</v>
      </c>
      <c r="M9" s="121">
        <f t="shared" si="14"/>
        <v>431862.08216400002</v>
      </c>
      <c r="N9" s="122"/>
      <c r="O9" s="121">
        <f t="shared" si="15"/>
        <v>0</v>
      </c>
      <c r="P9" s="122"/>
      <c r="Q9" s="121">
        <f t="shared" si="16"/>
        <v>0</v>
      </c>
      <c r="R9" s="72">
        <f t="shared" si="17"/>
        <v>431862.08216400002</v>
      </c>
      <c r="S9" s="109"/>
      <c r="T9" s="73"/>
    </row>
    <row r="10" spans="1:20" s="134" customFormat="1" ht="38.1" customHeight="1">
      <c r="A10" s="68" t="str">
        <f t="shared" si="18"/>
        <v>M020412614110102</v>
      </c>
      <c r="B10" s="94"/>
      <c r="C10" s="69"/>
      <c r="D10" s="143" t="s">
        <v>126</v>
      </c>
      <c r="E10" s="94"/>
      <c r="F10" s="144" t="s">
        <v>125</v>
      </c>
      <c r="G10" s="144" t="s">
        <v>123</v>
      </c>
      <c r="H10" s="118" t="s">
        <v>122</v>
      </c>
      <c r="I10" s="125">
        <v>0.3</v>
      </c>
      <c r="J10" s="156">
        <v>65500</v>
      </c>
      <c r="K10" s="121">
        <f t="shared" si="13"/>
        <v>16407.75</v>
      </c>
      <c r="L10" s="120"/>
      <c r="M10" s="121"/>
      <c r="N10" s="122"/>
      <c r="O10" s="121"/>
      <c r="P10" s="122"/>
      <c r="Q10" s="121"/>
      <c r="R10" s="72">
        <f t="shared" si="17"/>
        <v>16407.75</v>
      </c>
      <c r="S10" s="109"/>
      <c r="T10" s="73"/>
    </row>
    <row r="11" spans="1:20" s="134" customFormat="1" ht="38.1" customHeight="1">
      <c r="A11" s="68" t="str">
        <f t="shared" si="18"/>
        <v>E00000803061120402</v>
      </c>
      <c r="B11" s="94"/>
      <c r="C11" s="69" t="s">
        <v>113</v>
      </c>
      <c r="D11" s="69"/>
      <c r="E11" s="94"/>
      <c r="F11" s="126" t="s">
        <v>114</v>
      </c>
      <c r="G11" s="126" t="s">
        <v>115</v>
      </c>
      <c r="H11" s="110" t="s">
        <v>120</v>
      </c>
      <c r="I11" s="125">
        <v>28</v>
      </c>
      <c r="J11" s="111"/>
      <c r="K11" s="71">
        <f t="shared" si="13"/>
        <v>0</v>
      </c>
      <c r="L11" s="158">
        <v>10752</v>
      </c>
      <c r="M11" s="71">
        <f t="shared" si="14"/>
        <v>251381.75999999998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251381.75999999998</v>
      </c>
      <c r="S11" s="109"/>
      <c r="T11" s="73"/>
    </row>
    <row r="12" spans="1:20" s="134" customFormat="1" ht="38.1" customHeight="1">
      <c r="A12" s="68" t="str">
        <f t="shared" si="18"/>
        <v>E00000803061300201</v>
      </c>
      <c r="B12" s="94"/>
      <c r="C12" s="69" t="s">
        <v>117</v>
      </c>
      <c r="D12" s="69"/>
      <c r="E12" s="94"/>
      <c r="F12" s="126" t="s">
        <v>118</v>
      </c>
      <c r="G12" s="126" t="s">
        <v>119</v>
      </c>
      <c r="H12" s="110" t="s">
        <v>116</v>
      </c>
      <c r="I12" s="125">
        <v>28</v>
      </c>
      <c r="J12" s="111"/>
      <c r="K12" s="71">
        <f t="shared" si="13"/>
        <v>0</v>
      </c>
      <c r="L12" s="157">
        <v>6368</v>
      </c>
      <c r="M12" s="71">
        <f t="shared" si="14"/>
        <v>148883.84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148883.84</v>
      </c>
      <c r="S12" s="109"/>
      <c r="T12" s="73"/>
    </row>
    <row r="13" spans="1:20" s="134" customFormat="1" ht="38.1" customHeight="1">
      <c r="A13" s="68" t="str">
        <f t="shared" si="18"/>
        <v>E00000801011510701</v>
      </c>
      <c r="B13" s="94"/>
      <c r="C13" s="69" t="s">
        <v>143</v>
      </c>
      <c r="D13" s="69"/>
      <c r="E13" s="94"/>
      <c r="F13" s="159" t="s">
        <v>149</v>
      </c>
      <c r="G13" s="70" t="s">
        <v>136</v>
      </c>
      <c r="H13" s="160" t="s">
        <v>150</v>
      </c>
      <c r="I13" s="125">
        <v>96</v>
      </c>
      <c r="J13" s="135"/>
      <c r="K13" s="71">
        <f t="shared" ref="K13" si="19">SUM(J13:J13)*I13*$K$2</f>
        <v>0</v>
      </c>
      <c r="L13" s="157">
        <v>5131</v>
      </c>
      <c r="M13" s="71">
        <f t="shared" si="14"/>
        <v>411300.95999999996</v>
      </c>
      <c r="N13" s="72"/>
      <c r="O13" s="71">
        <f t="shared" si="15"/>
        <v>0</v>
      </c>
      <c r="P13" s="72"/>
      <c r="Q13" s="71">
        <f t="shared" si="16"/>
        <v>0</v>
      </c>
      <c r="R13" s="72">
        <f t="shared" si="17"/>
        <v>411300.95999999996</v>
      </c>
      <c r="S13" s="109"/>
      <c r="T13" s="73"/>
    </row>
    <row r="14" spans="1:20" s="141" customFormat="1" ht="38.1" customHeight="1">
      <c r="A14" s="136"/>
      <c r="B14" s="137"/>
      <c r="C14" s="137"/>
      <c r="D14" s="137"/>
      <c r="E14" s="137"/>
      <c r="F14" s="129"/>
      <c r="G14" s="129"/>
      <c r="H14" s="137"/>
      <c r="I14" s="137"/>
      <c r="J14" s="137"/>
      <c r="K14" s="138">
        <f>SUM(K5:K13)</f>
        <v>934590.34979999997</v>
      </c>
      <c r="L14" s="139"/>
      <c r="M14" s="138">
        <f>SUM(M5:M13)</f>
        <v>3551239.5952519998</v>
      </c>
      <c r="N14" s="139"/>
      <c r="O14" s="138">
        <f>SUM(O5:O13)</f>
        <v>0</v>
      </c>
      <c r="P14" s="139"/>
      <c r="Q14" s="138">
        <f>SUM(Q5:Q13)</f>
        <v>0</v>
      </c>
      <c r="R14" s="140">
        <f>SUM(R5:R13)</f>
        <v>4485829.9450519998</v>
      </c>
      <c r="S14" s="99"/>
      <c r="T14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N35" sqref="N35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8" t="s">
        <v>52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7" ht="15" customHeight="1">
      <c r="A2" s="199" t="s">
        <v>53</v>
      </c>
      <c r="B2" s="200" t="s">
        <v>54</v>
      </c>
      <c r="C2" s="201" t="s">
        <v>41</v>
      </c>
      <c r="D2" s="201" t="s">
        <v>55</v>
      </c>
      <c r="E2" s="203" t="s">
        <v>56</v>
      </c>
      <c r="F2" s="200"/>
      <c r="G2" s="200" t="s">
        <v>57</v>
      </c>
      <c r="H2" s="200"/>
      <c r="I2" s="204" t="s">
        <v>58</v>
      </c>
      <c r="J2" s="205"/>
      <c r="K2" s="204" t="s">
        <v>59</v>
      </c>
      <c r="L2" s="205"/>
      <c r="M2" s="203" t="s">
        <v>60</v>
      </c>
      <c r="N2" s="200"/>
      <c r="O2" s="206" t="s">
        <v>61</v>
      </c>
    </row>
    <row r="3" spans="1:17" ht="15" customHeight="1">
      <c r="A3" s="199"/>
      <c r="B3" s="200"/>
      <c r="C3" s="202"/>
      <c r="D3" s="202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07"/>
    </row>
    <row r="4" spans="1:17" ht="15" customHeight="1">
      <c r="A4" s="196" t="s">
        <v>155</v>
      </c>
      <c r="B4" s="197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4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88" t="s">
        <v>127</v>
      </c>
      <c r="P5" s="74" t="s">
        <v>147</v>
      </c>
      <c r="Q5" s="155">
        <f>D5+D7+D9+D11</f>
        <v>186</v>
      </c>
    </row>
    <row r="6" spans="1:17" ht="15" customHeight="1">
      <c r="A6" s="195"/>
      <c r="B6" s="77" t="s">
        <v>68</v>
      </c>
      <c r="C6" s="78" t="s">
        <v>67</v>
      </c>
      <c r="D6" s="145">
        <v>40</v>
      </c>
      <c r="E6" s="161">
        <v>1057</v>
      </c>
      <c r="F6" s="79">
        <f t="shared" si="0"/>
        <v>42280</v>
      </c>
      <c r="G6" s="161">
        <v>12178</v>
      </c>
      <c r="H6" s="79">
        <f t="shared" si="1"/>
        <v>487120</v>
      </c>
      <c r="I6" s="79"/>
      <c r="J6" s="79"/>
      <c r="K6" s="79"/>
      <c r="L6" s="79"/>
      <c r="M6" s="79"/>
      <c r="N6" s="79">
        <f t="shared" ref="N6:N12" si="2">F6+H6+J6+L6</f>
        <v>529400</v>
      </c>
      <c r="O6" s="189"/>
      <c r="P6" s="74" t="s">
        <v>148</v>
      </c>
      <c r="Q6" s="155">
        <f>D6+D8+D10+D12</f>
        <v>48</v>
      </c>
    </row>
    <row r="7" spans="1:17" ht="15" customHeight="1">
      <c r="A7" s="195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si="2"/>
        <v>392274</v>
      </c>
      <c r="O7" s="189"/>
    </row>
    <row r="8" spans="1:17" ht="15" customHeight="1">
      <c r="A8" s="195"/>
      <c r="B8" s="208" t="s">
        <v>70</v>
      </c>
      <c r="C8" s="209" t="s">
        <v>67</v>
      </c>
      <c r="D8" s="210"/>
      <c r="E8" s="211"/>
      <c r="F8" s="212"/>
      <c r="G8" s="211"/>
      <c r="H8" s="212"/>
      <c r="I8" s="212"/>
      <c r="J8" s="212"/>
      <c r="K8" s="212"/>
      <c r="L8" s="212"/>
      <c r="M8" s="212"/>
      <c r="N8" s="212"/>
      <c r="O8" s="189"/>
    </row>
    <row r="9" spans="1:17" ht="15" customHeight="1">
      <c r="A9" s="195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89"/>
    </row>
    <row r="10" spans="1:17" ht="15" customHeight="1">
      <c r="A10" s="195"/>
      <c r="B10" s="208" t="s">
        <v>72</v>
      </c>
      <c r="C10" s="209" t="s">
        <v>67</v>
      </c>
      <c r="D10" s="210"/>
      <c r="E10" s="211"/>
      <c r="F10" s="212"/>
      <c r="G10" s="211"/>
      <c r="H10" s="212"/>
      <c r="I10" s="212"/>
      <c r="J10" s="212"/>
      <c r="K10" s="212"/>
      <c r="L10" s="212"/>
      <c r="M10" s="212"/>
      <c r="N10" s="212"/>
      <c r="O10" s="189"/>
    </row>
    <row r="11" spans="1:17" ht="15" customHeight="1">
      <c r="A11" s="195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89"/>
    </row>
    <row r="12" spans="1:17" ht="15" customHeight="1">
      <c r="A12" s="195"/>
      <c r="B12" s="77" t="s">
        <v>74</v>
      </c>
      <c r="C12" s="78" t="s">
        <v>67</v>
      </c>
      <c r="D12" s="146">
        <v>8</v>
      </c>
      <c r="E12" s="161">
        <v>1057</v>
      </c>
      <c r="F12" s="79">
        <f t="shared" si="0"/>
        <v>8456</v>
      </c>
      <c r="G12" s="161">
        <v>12178</v>
      </c>
      <c r="H12" s="79">
        <f t="shared" si="1"/>
        <v>97424</v>
      </c>
      <c r="I12" s="79"/>
      <c r="J12" s="79"/>
      <c r="K12" s="79"/>
      <c r="L12" s="79"/>
      <c r="M12" s="79"/>
      <c r="N12" s="79">
        <f t="shared" si="2"/>
        <v>105880</v>
      </c>
      <c r="O12" s="189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247338</v>
      </c>
      <c r="G13" s="103"/>
      <c r="H13" s="103">
        <f>SUM(H5:H12)</f>
        <v>2308020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2555358</v>
      </c>
      <c r="O13" s="103"/>
    </row>
    <row r="14" spans="1:17" ht="15" customHeight="1">
      <c r="A14" s="190" t="s">
        <v>128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89"/>
    </row>
    <row r="15" spans="1:17" ht="15" customHeight="1">
      <c r="A15" s="190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89"/>
    </row>
    <row r="16" spans="1:17" ht="15" customHeight="1">
      <c r="A16" s="190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89"/>
    </row>
    <row r="17" spans="1:15" ht="15" customHeight="1">
      <c r="A17" s="191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2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124</v>
      </c>
      <c r="B20" s="119" t="s">
        <v>123</v>
      </c>
      <c r="C20" s="119" t="s">
        <v>122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3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3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3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3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137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121</v>
      </c>
      <c r="B28" s="80"/>
      <c r="C28" s="81"/>
      <c r="D28" s="89"/>
      <c r="E28" s="91"/>
      <c r="F28" s="92">
        <f>F13+F18+F25+F27</f>
        <v>934584.9</v>
      </c>
      <c r="G28" s="92"/>
      <c r="H28" s="92">
        <f>H13+H18+H25+H27</f>
        <v>3551340.6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4485925.5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138</v>
      </c>
      <c r="B1" s="104" t="s">
        <v>139</v>
      </c>
      <c r="C1" s="104" t="s">
        <v>140</v>
      </c>
      <c r="D1" s="104" t="s">
        <v>141</v>
      </c>
      <c r="E1" s="104" t="s">
        <v>142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14.1732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E00000803071260301</v>
      </c>
      <c r="B4" s="106">
        <f>'내역서(표준단가)'!B7</f>
        <v>0</v>
      </c>
      <c r="C4" s="106" t="str">
        <f>'내역서(표준단가)'!C7</f>
        <v>E00000803071260301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1.3714</v>
      </c>
    </row>
    <row r="5" spans="1:6">
      <c r="A5" s="105" t="str">
        <f>'내역서(표준단가)'!A8</f>
        <v>M020809012520101</v>
      </c>
      <c r="B5" s="106">
        <f>'내역서(표준단가)'!B8</f>
        <v>0</v>
      </c>
      <c r="C5" s="106">
        <f>'내역서(표준단가)'!C8</f>
        <v>0</v>
      </c>
      <c r="D5" s="106" t="str">
        <f>'내역서(표준단가)'!D8</f>
        <v>M020809012520101</v>
      </c>
      <c r="E5" s="106">
        <f>'내역서(표준단가)'!E8</f>
        <v>0</v>
      </c>
      <c r="F5" s="107">
        <f>'내역서(표준단가)'!I8</f>
        <v>61.8</v>
      </c>
    </row>
    <row r="6" spans="1:6">
      <c r="A6" s="105" t="str">
        <f>'내역서(표준단가)'!A9</f>
        <v>E00000803071260401</v>
      </c>
      <c r="B6" s="106">
        <f>'내역서(표준단가)'!B9</f>
        <v>0</v>
      </c>
      <c r="C6" s="106" t="str">
        <f>'내역서(표준단가)'!C9</f>
        <v>E00000803071260401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1.0132000000000001</v>
      </c>
    </row>
    <row r="7" spans="1:6">
      <c r="A7" s="105" t="str">
        <f>'내역서(표준단가)'!A10</f>
        <v>M020412614110102</v>
      </c>
      <c r="B7" s="106">
        <f>'내역서(표준단가)'!B10</f>
        <v>0</v>
      </c>
      <c r="C7" s="106">
        <f>'내역서(표준단가)'!C10</f>
        <v>0</v>
      </c>
      <c r="D7" s="106" t="str">
        <f>'내역서(표준단가)'!D10</f>
        <v>M020412614110102</v>
      </c>
      <c r="E7" s="106">
        <f>'내역서(표준단가)'!E10</f>
        <v>0</v>
      </c>
      <c r="F7" s="107">
        <f>'내역서(표준단가)'!I10</f>
        <v>0.3</v>
      </c>
    </row>
    <row r="8" spans="1:6">
      <c r="A8" s="105" t="str">
        <f>'내역서(표준단가)'!A11</f>
        <v>E00000803061120402</v>
      </c>
      <c r="B8" s="106">
        <f>'내역서(표준단가)'!B11</f>
        <v>0</v>
      </c>
      <c r="C8" s="106" t="str">
        <f>'내역서(표준단가)'!C11</f>
        <v>E00000803061120402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E00000803061300201</v>
      </c>
      <c r="B9" s="106">
        <f>'내역서(표준단가)'!B12</f>
        <v>0</v>
      </c>
      <c r="C9" s="106" t="str">
        <f>'내역서(표준단가)'!C12</f>
        <v>E00000803061300201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28</v>
      </c>
    </row>
    <row r="10" spans="1:6">
      <c r="A10" s="105" t="str">
        <f>'내역서(표준단가)'!A13</f>
        <v>E00000801011510701</v>
      </c>
      <c r="B10" s="106">
        <f>'내역서(표준단가)'!B13</f>
        <v>0</v>
      </c>
      <c r="C10" s="106" t="str">
        <f>'내역서(표준단가)'!C13</f>
        <v>E00000801011510701</v>
      </c>
      <c r="D10" s="106">
        <f>'내역서(표준단가)'!D13</f>
        <v>0</v>
      </c>
      <c r="E10" s="106">
        <f>'내역서(표준단가)'!E13</f>
        <v>0</v>
      </c>
      <c r="F10" s="107">
        <f>'내역서(표준단가)'!I13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2026-02-25T01:05:42Z</dcterms:modified>
</cp:coreProperties>
</file>
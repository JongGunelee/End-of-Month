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1 사택 5-301 수장공사\"/>
    </mc:Choice>
  </mc:AlternateContent>
  <xr:revisionPtr revIDLastSave="0" documentId="13_ncr:1_{777776DA-5B9D-4A64-9708-AA60DCC3CB3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9" l="1"/>
  <c r="P5" i="9"/>
  <c r="D13" i="9" l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15" i="4"/>
  <c r="S15" i="4"/>
  <c r="Q15" i="4"/>
  <c r="O15" i="4"/>
  <c r="A15" i="4"/>
  <c r="A12" i="1" s="1"/>
  <c r="U8" i="4"/>
  <c r="S8" i="4"/>
  <c r="Q8" i="4"/>
  <c r="O8" i="4"/>
  <c r="A8" i="4"/>
  <c r="A5" i="1" s="1"/>
  <c r="U6" i="4"/>
  <c r="S6" i="4"/>
  <c r="Q6" i="4"/>
  <c r="O6" i="4"/>
  <c r="A6" i="4"/>
  <c r="A3" i="1" s="1"/>
  <c r="V15" i="4" l="1"/>
  <c r="V6" i="4"/>
  <c r="V8" i="4"/>
  <c r="A10" i="4" l="1"/>
  <c r="A7" i="1" s="1"/>
  <c r="F25" i="9"/>
  <c r="N25" i="9" s="1"/>
  <c r="O10" i="4"/>
  <c r="S10" i="4"/>
  <c r="U10" i="4"/>
  <c r="V10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6" i="9"/>
  <c r="F6" i="9"/>
  <c r="H5" i="9"/>
  <c r="F5" i="9"/>
  <c r="J33" i="9" l="1"/>
  <c r="N14" i="9"/>
  <c r="L33" i="9"/>
  <c r="N29" i="9"/>
  <c r="N15" i="9"/>
  <c r="N17" i="9"/>
  <c r="N9" i="9"/>
  <c r="N6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4" i="4" l="1"/>
  <c r="A11" i="1" s="1"/>
  <c r="A13" i="4"/>
  <c r="A10" i="1" s="1"/>
  <c r="A12" i="4"/>
  <c r="A9" i="1" s="1"/>
  <c r="A11" i="4"/>
  <c r="A8" i="1" s="1"/>
  <c r="A9" i="4"/>
  <c r="A6" i="1" s="1"/>
  <c r="U14" i="4" l="1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9" i="4"/>
  <c r="S9" i="4"/>
  <c r="Q9" i="4"/>
  <c r="O9" i="4"/>
  <c r="Q16" i="4" l="1"/>
  <c r="F17" i="5" s="1"/>
  <c r="V9" i="4"/>
  <c r="V12" i="4"/>
  <c r="V13" i="4"/>
  <c r="V11" i="4"/>
  <c r="V14" i="4"/>
  <c r="U16" i="4" l="1"/>
  <c r="O16" i="4"/>
  <c r="S16" i="4"/>
  <c r="F16" i="5" l="1"/>
  <c r="F26" i="5" s="1"/>
  <c r="F18" i="5"/>
  <c r="V16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<sst xmlns="http://schemas.openxmlformats.org/spreadsheetml/2006/main" count="228" uniqueCount="164">
  <si>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</si>
  <si>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</si>
  <si>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</si>
  <si>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</si>
  <si>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</si>
  <si>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</si>
  <si>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</si>
  <si>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</si>
  <si>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</si>
  <si>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</si>
  <si>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</si>
  <si>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</si>
  <si>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</si>
  <si>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</si>
  <si>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</si>
  <si>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</si>
  <si>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</si>
  <si>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</si>
  <si>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</si>
  <si>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</si>
  <si>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</si>
  <si>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</si>
  <si>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</si>
  <si>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</si>
  <si>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</si>
  <si>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</si>
  <si>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</si>
  <si>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</si>
  <si>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</si>
  <si>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</si>
  <si>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</si>
  <si>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</si>
  <si>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</si>
  <si>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</si>
  <si>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</si>
  <si>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</si>
  <si>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</si>
  <si>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</si>
  <si>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</si>
  <si>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</si>
  <si>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</si>
  <si>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</si>
  <si>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</si>
  <si>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</si>
  <si>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</si>
  <si>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</si>
  <si>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</si>
  <si>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</si>
  <si>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</si>
  <si>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</si>
  <si>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</si>
  <si>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</si>
  <si>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</si>
  <si>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</si>
  <si>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</si>
  <si>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</si>
  <si>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</si>
  <si>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</si>
  <si>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</si>
  <si>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</si>
  <si>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</si>
  <si>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</si>
  <si>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</si>
  <si>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</si>
  <si>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</si>
  <si>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</si>
  <si>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</si>
  <si>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</si>
  <si>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</si>
  <si>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</si>
  <si>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</si>
  <si>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</si>
  <si>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</si>
  <si>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</si>
  <si>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</si>
  <si>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</si>
  <si>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</si>
  <si>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</si>
  <si>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</si>
  <si>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</si>
  <si>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</si>
  <si>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</si>
  <si>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</si>
  <si>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</si>
  <si>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</si>
  <si>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</si>
  <si>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</si>
  <si>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</si>
  <si>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</si>
  <si>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</si>
  <si>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</si>
  <si>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</si>
  <si>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</si>
  <si>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</si>
  <si>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</si>
  <si>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</si>
  <si>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</si>
  <si>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</si>
  <si>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</si>
  <si>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</si>
  <si>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</si>
  <si>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</si>
  <si>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</si>
  <si>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</si>
  <si>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</si>
  <si>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</si>
  <si>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</si>
  <si>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</si>
  <si>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</si>
  <si>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</si>
  <si>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</si>
  <si>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</si>
  <si>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</si>
  <si>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</si>
  <si>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</si>
  <si>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</si>
  <si>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</si>
  <si>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</si>
  <si>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</si>
  <si>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</si>
  <si>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</si>
  <si>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</si>
  <si>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</si>
  <si>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</si>
  <si>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</si>
  <si>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</si>
  <si>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</si>
  <si>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</si>
  <si>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</si>
  <si>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</si>
  <si>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</si>
  <si>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</si>
  <si>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</si>
  <si>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</si>
  <si>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</si>
  <si>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</si>
  <si>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</si>
  <si>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</si>
  <si>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</si>
  <si>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</si>
  <si>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</si>
  <si>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</si>
  <si>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</si>
  <si>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</si>
  <si>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</si>
  <si>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</si>
  <si>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</si>
  <si>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</si>
  <si>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</si>
  <si>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</si>
  <si>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</si>
  <si>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</si>
  <si>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</si>
  <si>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</si>
  <si>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</si>
  <si>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</si>
  <si>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</si>
  <si>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</si>
  <si>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</si>
  <si>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 xml:space="preserve"> 공사명 : 사택 5-301 수장공사</t>
    <phoneticPr fontId="11" type="noConversion"/>
  </si>
  <si>
    <t xml:space="preserve"> 견적일 : 2025 년  06월  24일</t>
    <phoneticPr fontId="11" type="noConversion"/>
  </si>
  <si>
    <t>사택 5-301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</si>
  <si>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소요량144/16.51=8.722R/L</t>
    </r>
    <phoneticPr fontId="5" type="noConversion"/>
  </si>
  <si>
    <t>일당 시공량-천장 35㎡ 적산정보 500p 참조, 시공총량24/일당35=0.685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</si>
</sst>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91" fontId="24" fillId="5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9" fontId="25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83" fontId="24" fillId="0" borderId="31" xfId="13" applyNumberFormat="1" applyFont="1" applyBorder="1" applyAlignment="1">
      <alignment horizontal="center" vertical="center" wrapText="1"/>
    </xf>
    <xf numFmtId="186" fontId="20" fillId="0" borderId="0" xfId="0" applyNumberFormat="1" applyFo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49" fontId="24" fillId="7" borderId="31" xfId="0" applyNumberFormat="1" applyFont="1" applyFill="1" applyBorder="1" applyAlignment="1">
      <alignment horizontal="center" vertical="center"/>
    </xf>
    <xf numFmtId="189" fontId="24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5" t="s">
        <v>6</v>
      </c>
      <c r="B2" s="175"/>
      <c r="C2" s="175"/>
      <c r="D2" s="175"/>
      <c r="E2" s="175"/>
      <c r="F2" s="175"/>
      <c r="G2" s="175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8" t="s">
        <v>159</v>
      </c>
      <c r="B7" s="179"/>
      <c r="C7" s="180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8" t="s">
        <v>160</v>
      </c>
      <c r="B9" s="179"/>
      <c r="C9" s="180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76"/>
      <c r="B11" s="177"/>
      <c r="C11" s="177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삼백삼십구만구천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'내역서(표준단가)'!O16</f>
        <v>727326.58299999998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'내역서(표준단가)'!Q16</f>
        <v>2170685.2738039996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'내역서(표준단가)'!S16+'내역서(표준단가)'!U16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2898011.8568039997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97680.837321179977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76950.792956351797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9965.1276878475583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21923.921265420395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77276.395747422386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145</v>
      </c>
      <c r="D26" s="30">
        <v>1</v>
      </c>
      <c r="E26" s="30" t="s">
        <v>25</v>
      </c>
      <c r="F26" s="43">
        <f>(F16+F17)*3.11%</f>
        <v>90128.168746604395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127230.52587644133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501155.76960126788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3399167.6264052675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3399000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K21" sqref="K21"/>
    </sheetView>
  </sheetViews>
  <sheetFormatPr defaultColWidth="9" defaultRowHeight="38.1" customHeight="1" x14ac:dyDescent="0.3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 x14ac:dyDescent="0.3">
      <c r="A1" s="181"/>
      <c r="B1" s="181"/>
      <c r="C1" s="181"/>
      <c r="D1" s="181"/>
      <c r="E1" s="181"/>
      <c r="F1" s="181"/>
      <c r="G1" s="181"/>
      <c r="H1" s="181"/>
      <c r="I1" s="181"/>
      <c r="N1" s="66"/>
      <c r="O1" s="144" t="s">
        <v>100</v>
      </c>
      <c r="Q1" s="144" t="s">
        <v>100</v>
      </c>
      <c r="S1" s="144" t="s">
        <v>100</v>
      </c>
      <c r="U1" s="144" t="s">
        <v>100</v>
      </c>
    </row>
    <row r="2" spans="1:24" ht="19.899999999999999" customHeight="1" thickBot="1" x14ac:dyDescent="0.35">
      <c r="A2" s="181"/>
      <c r="B2" s="181"/>
      <c r="C2" s="181"/>
      <c r="D2" s="181"/>
      <c r="E2" s="181"/>
      <c r="F2" s="181"/>
      <c r="G2" s="181"/>
      <c r="H2" s="181"/>
      <c r="I2" s="18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7"/>
      <c r="B3" s="148"/>
      <c r="C3" s="148"/>
      <c r="D3" s="148"/>
      <c r="E3" s="148"/>
      <c r="F3" s="148" t="s">
        <v>101</v>
      </c>
      <c r="G3" s="148"/>
      <c r="H3" s="148"/>
      <c r="I3" s="148"/>
      <c r="J3" s="192" t="s">
        <v>102</v>
      </c>
      <c r="K3" s="192"/>
      <c r="L3" s="190" t="s">
        <v>47</v>
      </c>
      <c r="M3" s="190" t="s">
        <v>5</v>
      </c>
      <c r="N3" s="186" t="s">
        <v>103</v>
      </c>
      <c r="O3" s="186"/>
      <c r="P3" s="186" t="s">
        <v>104</v>
      </c>
      <c r="Q3" s="186"/>
      <c r="R3" s="187" t="s">
        <v>105</v>
      </c>
      <c r="S3" s="187"/>
      <c r="T3" s="187" t="s">
        <v>106</v>
      </c>
      <c r="U3" s="187"/>
      <c r="V3" s="188" t="s">
        <v>107</v>
      </c>
      <c r="W3" s="184" t="s">
        <v>108</v>
      </c>
      <c r="X3" s="182" t="s">
        <v>45</v>
      </c>
    </row>
    <row r="4" spans="1:24" ht="19.899999999999999" customHeight="1" x14ac:dyDescent="0.3">
      <c r="A4" s="69" t="s">
        <v>109</v>
      </c>
      <c r="B4" s="145"/>
      <c r="C4" s="145"/>
      <c r="D4" s="145"/>
      <c r="E4" s="145"/>
      <c r="F4" s="70" t="s">
        <v>110</v>
      </c>
      <c r="G4" s="70" t="s">
        <v>111</v>
      </c>
      <c r="H4" s="70" t="s">
        <v>112</v>
      </c>
      <c r="I4" s="70" t="s">
        <v>113</v>
      </c>
      <c r="J4" s="142" t="s">
        <v>114</v>
      </c>
      <c r="K4" s="142" t="s">
        <v>115</v>
      </c>
      <c r="L4" s="191"/>
      <c r="M4" s="191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9"/>
      <c r="W4" s="185"/>
      <c r="X4" s="183"/>
    </row>
    <row r="5" spans="1:24" s="149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150</v>
      </c>
      <c r="I5" s="103"/>
      <c r="J5" s="140" t="s">
        <v>151</v>
      </c>
      <c r="K5" s="140" t="s">
        <v>162</v>
      </c>
      <c r="L5" s="121" t="s">
        <v>156</v>
      </c>
      <c r="M5" s="139">
        <v>8.7219999999999995</v>
      </c>
      <c r="N5" s="161">
        <v>20900</v>
      </c>
      <c r="O5" s="135">
        <f t="shared" ref="O5" si="1">SUM(N5:N5)*M5*$O$2</f>
        <v>152211.98299999998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152211.98299999998</v>
      </c>
      <c r="W5" s="120"/>
      <c r="X5" s="78"/>
    </row>
    <row r="6" spans="1:24" s="149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0" t="s">
        <v>122</v>
      </c>
      <c r="K6" s="140" t="s">
        <v>157</v>
      </c>
      <c r="L6" s="75" t="s">
        <v>121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 x14ac:dyDescent="0.3">
      <c r="A7" s="73" t="str">
        <f t="shared" ref="A7:A8" si="12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0" t="s">
        <v>123</v>
      </c>
      <c r="K7" s="140" t="s">
        <v>163</v>
      </c>
      <c r="L7" s="75" t="s">
        <v>121</v>
      </c>
      <c r="M7" s="139">
        <v>0.68500000000000005</v>
      </c>
      <c r="N7" s="137"/>
      <c r="O7" s="135">
        <f t="shared" ref="O7:O14" si="13">SUM(N7:N7)*M7*$O$2</f>
        <v>0</v>
      </c>
      <c r="P7" s="134">
        <v>487076</v>
      </c>
      <c r="Q7" s="135">
        <f t="shared" ref="Q7:Q15" si="14">(P7*M7)*$Q$2</f>
        <v>278595.29509999999</v>
      </c>
      <c r="R7" s="136"/>
      <c r="S7" s="135">
        <f t="shared" ref="S7:S15" si="15">R7*M7*$S$2</f>
        <v>0</v>
      </c>
      <c r="T7" s="136"/>
      <c r="U7" s="135">
        <f t="shared" ref="U7:U15" si="16">T7*M7*$U$2</f>
        <v>0</v>
      </c>
      <c r="V7" s="77">
        <f t="shared" ref="V7:V15" si="17">SUM(O7+Q7)+S7+U7</f>
        <v>278595.29509999999</v>
      </c>
      <c r="W7" s="120"/>
      <c r="X7" s="78"/>
    </row>
    <row r="8" spans="1:24" s="149" customFormat="1" ht="38.1" customHeight="1" x14ac:dyDescent="0.3">
      <c r="A8" s="73" t="str">
        <f t="shared" si="12"/>
        <v>M020809012520101</v>
      </c>
      <c r="B8" s="109"/>
      <c r="C8" s="109"/>
      <c r="D8" s="109"/>
      <c r="E8" s="109"/>
      <c r="F8" s="103"/>
      <c r="G8" s="74"/>
      <c r="H8" s="74" t="s">
        <v>146</v>
      </c>
      <c r="I8" s="103"/>
      <c r="J8" s="140" t="s">
        <v>147</v>
      </c>
      <c r="K8" s="140" t="s">
        <v>148</v>
      </c>
      <c r="L8" s="121" t="s">
        <v>149</v>
      </c>
      <c r="M8" s="139">
        <v>51.6</v>
      </c>
      <c r="N8" s="138">
        <v>13000</v>
      </c>
      <c r="O8" s="135">
        <f t="shared" si="13"/>
        <v>560118</v>
      </c>
      <c r="P8" s="134"/>
      <c r="Q8" s="135">
        <f t="shared" si="14"/>
        <v>0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560118</v>
      </c>
      <c r="W8" s="120"/>
      <c r="X8" s="78"/>
    </row>
    <row r="9" spans="1:24" s="149" customFormat="1" ht="38.1" customHeight="1" x14ac:dyDescent="0.3">
      <c r="A9" s="73" t="str">
        <f t="shared" ref="A9:A15" si="18">F9&amp;G9&amp;H9&amp;I9</f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0" t="s">
        <v>125</v>
      </c>
      <c r="K9" s="140" t="s">
        <v>158</v>
      </c>
      <c r="L9" s="75" t="s">
        <v>121</v>
      </c>
      <c r="M9" s="139">
        <v>0.84589999999999999</v>
      </c>
      <c r="N9" s="137"/>
      <c r="O9" s="135">
        <f t="shared" si="13"/>
        <v>0</v>
      </c>
      <c r="P9" s="134">
        <v>487076</v>
      </c>
      <c r="Q9" s="135">
        <f t="shared" si="14"/>
        <v>344034.68631399999</v>
      </c>
      <c r="R9" s="136"/>
      <c r="S9" s="135">
        <f t="shared" si="15"/>
        <v>0</v>
      </c>
      <c r="T9" s="136"/>
      <c r="U9" s="135">
        <f t="shared" si="16"/>
        <v>0</v>
      </c>
      <c r="V9" s="77">
        <f t="shared" si="17"/>
        <v>344034.68631399999</v>
      </c>
      <c r="W9" s="120"/>
      <c r="X9" s="78"/>
    </row>
    <row r="10" spans="1:24" s="149" customFormat="1" ht="38.1" customHeight="1" x14ac:dyDescent="0.3">
      <c r="A10" s="73" t="str">
        <f t="shared" si="18"/>
        <v>M020411810170101</v>
      </c>
      <c r="B10" s="109"/>
      <c r="C10" s="109"/>
      <c r="D10" s="109"/>
      <c r="E10" s="109"/>
      <c r="F10" s="103"/>
      <c r="G10" s="74"/>
      <c r="H10" s="162" t="s">
        <v>139</v>
      </c>
      <c r="I10" s="103"/>
      <c r="J10" s="163" t="s">
        <v>140</v>
      </c>
      <c r="K10" s="163" t="s">
        <v>141</v>
      </c>
      <c r="L10" s="131" t="s">
        <v>137</v>
      </c>
      <c r="M10" s="139">
        <v>0.2</v>
      </c>
      <c r="N10" s="164">
        <v>89800</v>
      </c>
      <c r="O10" s="135">
        <f t="shared" si="13"/>
        <v>14996.599999999999</v>
      </c>
      <c r="P10" s="134"/>
      <c r="Q10" s="135"/>
      <c r="R10" s="136"/>
      <c r="S10" s="135">
        <f t="shared" si="15"/>
        <v>0</v>
      </c>
      <c r="T10" s="136"/>
      <c r="U10" s="135">
        <f t="shared" si="16"/>
        <v>0</v>
      </c>
      <c r="V10" s="77">
        <f t="shared" si="17"/>
        <v>14996.599999999999</v>
      </c>
      <c r="W10" s="120"/>
      <c r="X10" s="78"/>
    </row>
    <row r="11" spans="1:24" s="149" customFormat="1" ht="38.1" customHeight="1" x14ac:dyDescent="0.3">
      <c r="A11" s="73" t="str">
        <f t="shared" si="18"/>
        <v>E00000803061120802</v>
      </c>
      <c r="B11" s="109"/>
      <c r="C11" s="109"/>
      <c r="D11" s="109"/>
      <c r="E11" s="109"/>
      <c r="F11" s="103"/>
      <c r="G11" s="74" t="s">
        <v>128</v>
      </c>
      <c r="H11" s="74"/>
      <c r="I11" s="103"/>
      <c r="J11" s="140" t="s">
        <v>129</v>
      </c>
      <c r="K11" s="140" t="s">
        <v>130</v>
      </c>
      <c r="L11" s="121" t="s">
        <v>126</v>
      </c>
      <c r="M11" s="139">
        <v>14</v>
      </c>
      <c r="N11" s="150"/>
      <c r="O11" s="76">
        <f t="shared" si="13"/>
        <v>0</v>
      </c>
      <c r="P11" s="151">
        <v>2422</v>
      </c>
      <c r="Q11" s="76">
        <f t="shared" si="14"/>
        <v>28313.18</v>
      </c>
      <c r="R11" s="77"/>
      <c r="S11" s="76">
        <f t="shared" si="15"/>
        <v>0</v>
      </c>
      <c r="T11" s="77"/>
      <c r="U11" s="76">
        <f t="shared" si="16"/>
        <v>0</v>
      </c>
      <c r="V11" s="77">
        <f t="shared" si="17"/>
        <v>28313.18</v>
      </c>
      <c r="W11" s="120"/>
      <c r="X11" s="78"/>
    </row>
    <row r="12" spans="1:24" s="149" customFormat="1" ht="38.1" customHeight="1" x14ac:dyDescent="0.3">
      <c r="A12" s="73" t="str">
        <f t="shared" si="18"/>
        <v>E00000803061300701</v>
      </c>
      <c r="B12" s="109"/>
      <c r="C12" s="109"/>
      <c r="D12" s="109"/>
      <c r="E12" s="109"/>
      <c r="F12" s="103"/>
      <c r="G12" s="74" t="s">
        <v>131</v>
      </c>
      <c r="H12" s="74"/>
      <c r="I12" s="103"/>
      <c r="J12" s="140" t="s">
        <v>132</v>
      </c>
      <c r="K12" s="140" t="s">
        <v>127</v>
      </c>
      <c r="L12" s="121" t="s">
        <v>126</v>
      </c>
      <c r="M12" s="139">
        <v>14</v>
      </c>
      <c r="N12" s="122"/>
      <c r="O12" s="76">
        <f t="shared" si="13"/>
        <v>0</v>
      </c>
      <c r="P12" s="151">
        <v>3756</v>
      </c>
      <c r="Q12" s="76">
        <f t="shared" si="14"/>
        <v>43907.64</v>
      </c>
      <c r="R12" s="77"/>
      <c r="S12" s="76">
        <f t="shared" si="15"/>
        <v>0</v>
      </c>
      <c r="T12" s="77"/>
      <c r="U12" s="76">
        <f t="shared" si="16"/>
        <v>0</v>
      </c>
      <c r="V12" s="77">
        <f t="shared" si="17"/>
        <v>43907.64</v>
      </c>
      <c r="W12" s="120"/>
      <c r="X12" s="78"/>
    </row>
    <row r="13" spans="1:24" s="149" customFormat="1" ht="38.1" customHeight="1" x14ac:dyDescent="0.3">
      <c r="A13" s="73" t="str">
        <f t="shared" si="18"/>
        <v>E00000803061120802</v>
      </c>
      <c r="B13" s="109"/>
      <c r="C13" s="109"/>
      <c r="D13" s="109"/>
      <c r="E13" s="109"/>
      <c r="F13" s="103"/>
      <c r="G13" s="74" t="s">
        <v>128</v>
      </c>
      <c r="H13" s="74"/>
      <c r="I13" s="103"/>
      <c r="J13" s="140" t="s">
        <v>133</v>
      </c>
      <c r="K13" s="140" t="s">
        <v>130</v>
      </c>
      <c r="L13" s="121" t="s">
        <v>126</v>
      </c>
      <c r="M13" s="139">
        <v>1.85</v>
      </c>
      <c r="N13" s="150"/>
      <c r="O13" s="76">
        <f t="shared" si="13"/>
        <v>0</v>
      </c>
      <c r="P13" s="151">
        <v>2422</v>
      </c>
      <c r="Q13" s="76">
        <f t="shared" si="14"/>
        <v>3741.3844999999997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3741.3844999999997</v>
      </c>
      <c r="W13" s="120"/>
      <c r="X13" s="78"/>
    </row>
    <row r="14" spans="1:24" s="149" customFormat="1" ht="38.1" customHeight="1" x14ac:dyDescent="0.3">
      <c r="A14" s="73" t="str">
        <f t="shared" si="18"/>
        <v>E00000803061300401</v>
      </c>
      <c r="B14" s="109"/>
      <c r="C14" s="109"/>
      <c r="D14" s="109"/>
      <c r="E14" s="109"/>
      <c r="F14" s="103"/>
      <c r="G14" s="74" t="s">
        <v>134</v>
      </c>
      <c r="H14" s="74"/>
      <c r="I14" s="103"/>
      <c r="J14" s="140" t="s">
        <v>135</v>
      </c>
      <c r="K14" s="140" t="s">
        <v>127</v>
      </c>
      <c r="L14" s="121" t="s">
        <v>126</v>
      </c>
      <c r="M14" s="139">
        <v>1.85</v>
      </c>
      <c r="N14" s="122"/>
      <c r="O14" s="76">
        <f t="shared" si="13"/>
        <v>0</v>
      </c>
      <c r="P14" s="151">
        <v>5677</v>
      </c>
      <c r="Q14" s="76">
        <f t="shared" si="14"/>
        <v>8769.5457500000011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8769.5457500000011</v>
      </c>
      <c r="W14" s="120"/>
      <c r="X14" s="78"/>
    </row>
    <row r="15" spans="1:24" s="149" customFormat="1" ht="38.1" customHeight="1" x14ac:dyDescent="0.3">
      <c r="A15" s="73" t="str">
        <f t="shared" si="18"/>
        <v>E00000801011510701</v>
      </c>
      <c r="B15" s="109"/>
      <c r="C15" s="109"/>
      <c r="D15" s="109"/>
      <c r="E15" s="109"/>
      <c r="F15" s="103"/>
      <c r="G15" s="74" t="s">
        <v>155</v>
      </c>
      <c r="H15" s="74"/>
      <c r="I15" s="103"/>
      <c r="J15" s="152" t="s">
        <v>152</v>
      </c>
      <c r="K15" s="152" t="s">
        <v>153</v>
      </c>
      <c r="L15" s="153" t="s">
        <v>154</v>
      </c>
      <c r="M15" s="139">
        <v>97</v>
      </c>
      <c r="N15" s="150"/>
      <c r="O15" s="76">
        <f t="shared" ref="O15" si="19">SUM(N15:N15)*M15*$O$2</f>
        <v>0</v>
      </c>
      <c r="P15" s="165">
        <v>4966</v>
      </c>
      <c r="Q15" s="76">
        <f t="shared" si="14"/>
        <v>402221.17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402221.17</v>
      </c>
      <c r="W15" s="120"/>
      <c r="X15" s="78"/>
    </row>
    <row r="16" spans="1:24" s="159" customFormat="1" ht="38.1" customHeight="1" x14ac:dyDescent="0.3">
      <c r="A16" s="154"/>
      <c r="B16" s="155"/>
      <c r="C16" s="155"/>
      <c r="D16" s="155"/>
      <c r="E16" s="155"/>
      <c r="F16" s="155"/>
      <c r="G16" s="155"/>
      <c r="H16" s="155"/>
      <c r="I16" s="155"/>
      <c r="J16" s="143"/>
      <c r="K16" s="143"/>
      <c r="L16" s="155"/>
      <c r="M16" s="155"/>
      <c r="N16" s="155"/>
      <c r="O16" s="156">
        <f>SUM(O5:O15)</f>
        <v>727326.58299999998</v>
      </c>
      <c r="P16" s="157"/>
      <c r="Q16" s="156">
        <f>SUM(Q5:Q15)</f>
        <v>2170685.2738039996</v>
      </c>
      <c r="R16" s="157"/>
      <c r="S16" s="156">
        <f>SUM(S5:S15)</f>
        <v>0</v>
      </c>
      <c r="T16" s="157"/>
      <c r="U16" s="156">
        <f>SUM(U5:U15)</f>
        <v>0</v>
      </c>
      <c r="V16" s="158">
        <f>SUM(V5:V15)</f>
        <v>2898011.8568040002</v>
      </c>
      <c r="W16" s="112"/>
      <c r="X16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H38" sqref="H38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3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195" t="s">
        <v>59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6" ht="15" customHeight="1" x14ac:dyDescent="0.3">
      <c r="A2" s="196" t="s">
        <v>60</v>
      </c>
      <c r="B2" s="197" t="s">
        <v>61</v>
      </c>
      <c r="C2" s="198" t="s">
        <v>47</v>
      </c>
      <c r="D2" s="198" t="s">
        <v>62</v>
      </c>
      <c r="E2" s="200" t="s">
        <v>63</v>
      </c>
      <c r="F2" s="197"/>
      <c r="G2" s="197" t="s">
        <v>64</v>
      </c>
      <c r="H2" s="197"/>
      <c r="I2" s="201" t="s">
        <v>65</v>
      </c>
      <c r="J2" s="202"/>
      <c r="K2" s="201" t="s">
        <v>66</v>
      </c>
      <c r="L2" s="202"/>
      <c r="M2" s="200" t="s">
        <v>67</v>
      </c>
      <c r="N2" s="197"/>
      <c r="O2" s="203" t="s">
        <v>68</v>
      </c>
    </row>
    <row r="3" spans="1:16" ht="15" customHeight="1" x14ac:dyDescent="0.3">
      <c r="A3" s="196"/>
      <c r="B3" s="197"/>
      <c r="C3" s="199"/>
      <c r="D3" s="199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204"/>
    </row>
    <row r="4" spans="1:16" ht="15" customHeight="1" x14ac:dyDescent="0.3">
      <c r="A4" s="193" t="s">
        <v>161</v>
      </c>
      <c r="B4" s="194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206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1" si="0">D5*E5</f>
        <v>40166</v>
      </c>
      <c r="G5" s="85">
        <v>8839.9</v>
      </c>
      <c r="H5" s="85">
        <f t="shared" ref="H5:H11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208" t="s">
        <v>143</v>
      </c>
      <c r="P5" s="167">
        <f>D5+D7+D9+D11</f>
        <v>120</v>
      </c>
    </row>
    <row r="6" spans="1:16" ht="15" customHeight="1" x14ac:dyDescent="0.3">
      <c r="A6" s="207"/>
      <c r="B6" s="82" t="s">
        <v>75</v>
      </c>
      <c r="C6" s="83" t="s">
        <v>74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1" si="2">F6+H6+J6+L6</f>
        <v>304185.59999999998</v>
      </c>
      <c r="O6" s="209"/>
      <c r="P6" s="167">
        <f>D6</f>
        <v>24</v>
      </c>
    </row>
    <row r="7" spans="1:16" ht="15" customHeight="1" x14ac:dyDescent="0.3">
      <c r="A7" s="207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209"/>
    </row>
    <row r="8" spans="1:16" ht="15" customHeight="1" x14ac:dyDescent="0.3">
      <c r="A8" s="207"/>
      <c r="B8" s="168" t="s">
        <v>77</v>
      </c>
      <c r="C8" s="169" t="s">
        <v>74</v>
      </c>
      <c r="D8" s="170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209"/>
    </row>
    <row r="9" spans="1:16" ht="15" customHeight="1" x14ac:dyDescent="0.3">
      <c r="A9" s="207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209"/>
    </row>
    <row r="10" spans="1:16" ht="15" customHeight="1" x14ac:dyDescent="0.3">
      <c r="A10" s="207"/>
      <c r="B10" s="168" t="s">
        <v>79</v>
      </c>
      <c r="C10" s="169" t="s">
        <v>74</v>
      </c>
      <c r="D10" s="170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209"/>
    </row>
    <row r="11" spans="1:16" ht="15" customHeight="1" x14ac:dyDescent="0.3">
      <c r="A11" s="207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209"/>
    </row>
    <row r="12" spans="1:16" ht="15" customHeight="1" x14ac:dyDescent="0.3">
      <c r="A12" s="207"/>
      <c r="B12" s="168" t="s">
        <v>81</v>
      </c>
      <c r="C12" s="169" t="s">
        <v>74</v>
      </c>
      <c r="D12" s="170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209"/>
    </row>
    <row r="13" spans="1:16" ht="15" customHeight="1" x14ac:dyDescent="0.3">
      <c r="A13" s="113" t="s">
        <v>82</v>
      </c>
      <c r="B13" s="114"/>
      <c r="C13" s="115"/>
      <c r="D13" s="124">
        <f>SUM(D5:D12)</f>
        <v>144</v>
      </c>
      <c r="E13" s="116"/>
      <c r="F13" s="116">
        <f>SUM(F5:F12)</f>
        <v>152208</v>
      </c>
      <c r="G13" s="116"/>
      <c r="H13" s="116">
        <f>SUM(H5:H12)</f>
        <v>1339605.6000000001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1491813.6</v>
      </c>
      <c r="O13" s="116"/>
    </row>
    <row r="14" spans="1:16" ht="15" customHeight="1" x14ac:dyDescent="0.3">
      <c r="A14" s="210" t="s">
        <v>144</v>
      </c>
      <c r="B14" s="82" t="s">
        <v>83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209"/>
    </row>
    <row r="15" spans="1:16" ht="15" customHeight="1" x14ac:dyDescent="0.3">
      <c r="A15" s="210"/>
      <c r="B15" s="82" t="s">
        <v>84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209"/>
    </row>
    <row r="16" spans="1:16" ht="15" customHeight="1" x14ac:dyDescent="0.3">
      <c r="A16" s="210"/>
      <c r="B16" s="82" t="s">
        <v>85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209"/>
    </row>
    <row r="17" spans="1:15" ht="15" customHeight="1" x14ac:dyDescent="0.3">
      <c r="A17" s="211"/>
      <c r="B17" s="82" t="s">
        <v>86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212"/>
    </row>
    <row r="18" spans="1:15" ht="15" customHeight="1" x14ac:dyDescent="0.3">
      <c r="A18" s="104" t="s">
        <v>82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 x14ac:dyDescent="0.3">
      <c r="A19" s="110" t="s">
        <v>87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5" t="s">
        <v>142</v>
      </c>
      <c r="B20" s="172" t="s">
        <v>138</v>
      </c>
      <c r="C20" s="172" t="s">
        <v>137</v>
      </c>
      <c r="D20" s="173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85"/>
    </row>
    <row r="21" spans="1:15" ht="15" customHeight="1" x14ac:dyDescent="0.3">
      <c r="A21" s="213" t="s">
        <v>88</v>
      </c>
      <c r="B21" s="168" t="s">
        <v>89</v>
      </c>
      <c r="C21" s="169" t="s">
        <v>74</v>
      </c>
      <c r="D21" s="174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85"/>
    </row>
    <row r="22" spans="1:15" ht="15" customHeight="1" x14ac:dyDescent="0.3">
      <c r="A22" s="213"/>
      <c r="B22" s="168" t="s">
        <v>90</v>
      </c>
      <c r="C22" s="169" t="s">
        <v>74</v>
      </c>
      <c r="D22" s="174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85"/>
    </row>
    <row r="23" spans="1:15" ht="15" customHeight="1" x14ac:dyDescent="0.3">
      <c r="A23" s="213" t="s">
        <v>91</v>
      </c>
      <c r="B23" s="168" t="s">
        <v>89</v>
      </c>
      <c r="C23" s="169" t="s">
        <v>74</v>
      </c>
      <c r="D23" s="174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85"/>
    </row>
    <row r="24" spans="1:15" ht="15" customHeight="1" x14ac:dyDescent="0.3">
      <c r="A24" s="213"/>
      <c r="B24" s="168" t="s">
        <v>90</v>
      </c>
      <c r="C24" s="169" t="s">
        <v>74</v>
      </c>
      <c r="D24" s="174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85"/>
    </row>
    <row r="25" spans="1:15" ht="15" customHeight="1" x14ac:dyDescent="0.3">
      <c r="A25" s="133" t="s">
        <v>140</v>
      </c>
      <c r="B25" s="132" t="s">
        <v>141</v>
      </c>
      <c r="C25" s="132" t="s">
        <v>137</v>
      </c>
      <c r="D25" s="117">
        <v>0.2</v>
      </c>
      <c r="E25" s="85">
        <v>74987</v>
      </c>
      <c r="F25" s="126">
        <f t="shared" ref="F25:F27" si="4">D25*E25</f>
        <v>14997.400000000001</v>
      </c>
      <c r="G25" s="85"/>
      <c r="H25" s="85"/>
      <c r="I25" s="85"/>
      <c r="J25" s="85"/>
      <c r="K25" s="85"/>
      <c r="L25" s="85"/>
      <c r="M25" s="85"/>
      <c r="N25" s="126">
        <f t="shared" ref="N25:N29" si="5">F25+H25+J25+L25</f>
        <v>14997.400000000001</v>
      </c>
      <c r="O25" s="85"/>
    </row>
    <row r="26" spans="1:15" ht="15" customHeight="1" x14ac:dyDescent="0.3">
      <c r="A26" s="205" t="s">
        <v>92</v>
      </c>
      <c r="B26" s="92" t="s">
        <v>93</v>
      </c>
      <c r="C26" s="93" t="s">
        <v>74</v>
      </c>
      <c r="D26" s="94">
        <v>14</v>
      </c>
      <c r="E26" s="85"/>
      <c r="F26" s="85">
        <f t="shared" ref="F26:F29" si="6">D26*E26</f>
        <v>0</v>
      </c>
      <c r="G26" s="85">
        <v>2022</v>
      </c>
      <c r="H26" s="85">
        <f t="shared" ref="H26:H27" si="7">D26*G26</f>
        <v>28308</v>
      </c>
      <c r="I26" s="85"/>
      <c r="J26" s="85"/>
      <c r="K26" s="85"/>
      <c r="L26" s="123"/>
      <c r="M26" s="85"/>
      <c r="N26" s="123">
        <f t="shared" si="5"/>
        <v>28308</v>
      </c>
      <c r="O26" s="85"/>
    </row>
    <row r="27" spans="1:15" ht="15" customHeight="1" x14ac:dyDescent="0.3">
      <c r="A27" s="205"/>
      <c r="B27" s="92" t="s">
        <v>94</v>
      </c>
      <c r="C27" s="93" t="s">
        <v>74</v>
      </c>
      <c r="D27" s="94">
        <v>14</v>
      </c>
      <c r="E27" s="85"/>
      <c r="F27" s="85">
        <f t="shared" si="4"/>
        <v>0</v>
      </c>
      <c r="G27" s="85">
        <v>3136</v>
      </c>
      <c r="H27" s="85">
        <f t="shared" si="7"/>
        <v>43904</v>
      </c>
      <c r="I27" s="85"/>
      <c r="J27" s="85"/>
      <c r="K27" s="85"/>
      <c r="L27" s="123"/>
      <c r="M27" s="85"/>
      <c r="N27" s="123">
        <f t="shared" si="5"/>
        <v>43904</v>
      </c>
      <c r="O27" s="85"/>
    </row>
    <row r="28" spans="1:15" ht="15" customHeight="1" x14ac:dyDescent="0.3">
      <c r="A28" s="205" t="s">
        <v>95</v>
      </c>
      <c r="B28" s="92" t="s">
        <v>93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5"/>
        <v>4044</v>
      </c>
      <c r="O28" s="85"/>
    </row>
    <row r="29" spans="1:15" ht="15" customHeight="1" x14ac:dyDescent="0.3">
      <c r="A29" s="205"/>
      <c r="B29" s="92" t="s">
        <v>96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5"/>
        <v>9480</v>
      </c>
      <c r="O29" s="85"/>
    </row>
    <row r="30" spans="1:15" ht="15" customHeight="1" x14ac:dyDescent="0.3">
      <c r="A30" s="104" t="s">
        <v>82</v>
      </c>
      <c r="B30" s="95"/>
      <c r="C30" s="96"/>
      <c r="D30" s="89"/>
      <c r="E30" s="90"/>
      <c r="F30" s="90">
        <f>SUM(F19:F29)</f>
        <v>14997.400000000001</v>
      </c>
      <c r="G30" s="90"/>
      <c r="H30" s="90">
        <f>SUM(H19:H29)</f>
        <v>85736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100733.4</v>
      </c>
      <c r="O30" s="90"/>
    </row>
    <row r="31" spans="1:15" ht="15" customHeight="1" x14ac:dyDescent="0.3">
      <c r="A31" s="111" t="s">
        <v>97</v>
      </c>
      <c r="B31" s="82" t="s">
        <v>98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99</v>
      </c>
    </row>
    <row r="32" spans="1:15" ht="15" customHeight="1" x14ac:dyDescent="0.3">
      <c r="A32" s="105" t="s">
        <v>82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 x14ac:dyDescent="0.3">
      <c r="A33" s="104" t="s">
        <v>136</v>
      </c>
      <c r="B33" s="87"/>
      <c r="C33" s="88"/>
      <c r="D33" s="98"/>
      <c r="E33" s="100"/>
      <c r="F33" s="101">
        <f>F13+F18+F30+F32</f>
        <v>726237.9</v>
      </c>
      <c r="G33" s="101"/>
      <c r="H33" s="101">
        <f>H13+H18+H30+H32</f>
        <v>2171007.75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2897245.65</v>
      </c>
      <c r="O33" s="10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Normal="100" workbookViewId="0">
      <selection activeCell="G27" sqref="G27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8.7219999999999995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8">
        <f>'내역서(표준단가)'!M7</f>
        <v>0.68500000000000005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8">
        <f>'내역서(표준단가)'!M8</f>
        <v>51.6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8">
        <f>'내역서(표준단가)'!M9</f>
        <v>0.84589999999999999</v>
      </c>
    </row>
    <row r="7" spans="1:6" x14ac:dyDescent="0.3">
      <c r="A7" s="107" t="str">
        <f>'내역서(표준단가)'!A10</f>
        <v>M020411810170101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M020411810170101</v>
      </c>
      <c r="E7" s="108">
        <f>'내역서(표준단가)'!I10</f>
        <v>0</v>
      </c>
      <c r="F7" s="118">
        <f>'내역서(표준단가)'!M10</f>
        <v>0.2</v>
      </c>
    </row>
    <row r="8" spans="1:6" x14ac:dyDescent="0.3">
      <c r="A8" s="107" t="str">
        <f>'내역서(표준단가)'!A11</f>
        <v>E00000803061120802</v>
      </c>
      <c r="B8" s="108">
        <f>'내역서(표준단가)'!F11</f>
        <v>0</v>
      </c>
      <c r="C8" s="108" t="str">
        <f>'내역서(표준단가)'!G11</f>
        <v>E00000803061120802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14</v>
      </c>
    </row>
    <row r="9" spans="1:6" x14ac:dyDescent="0.3">
      <c r="A9" s="107" t="str">
        <f>'내역서(표준단가)'!A12</f>
        <v>E00000803061300701</v>
      </c>
      <c r="B9" s="108">
        <f>'내역서(표준단가)'!F12</f>
        <v>0</v>
      </c>
      <c r="C9" s="108" t="str">
        <f>'내역서(표준단가)'!G12</f>
        <v>E00000803061300701</v>
      </c>
      <c r="D9" s="108">
        <f>'내역서(표준단가)'!H12</f>
        <v>0</v>
      </c>
      <c r="E9" s="108">
        <f>'내역서(표준단가)'!I12</f>
        <v>0</v>
      </c>
      <c r="F9" s="118">
        <f>'내역서(표준단가)'!M12</f>
        <v>14</v>
      </c>
    </row>
    <row r="10" spans="1:6" x14ac:dyDescent="0.3">
      <c r="A10" s="107" t="str">
        <f>'내역서(표준단가)'!A13</f>
        <v>E00000803061120802</v>
      </c>
      <c r="B10" s="108">
        <f>'내역서(표준단가)'!F13</f>
        <v>0</v>
      </c>
      <c r="C10" s="108" t="str">
        <f>'내역서(표준단가)'!G13</f>
        <v>E00000803061120802</v>
      </c>
      <c r="D10" s="108">
        <f>'내역서(표준단가)'!H13</f>
        <v>0</v>
      </c>
      <c r="E10" s="108">
        <f>'내역서(표준단가)'!I13</f>
        <v>0</v>
      </c>
      <c r="F10" s="118">
        <f>'내역서(표준단가)'!M13</f>
        <v>1.85</v>
      </c>
    </row>
    <row r="11" spans="1:6" x14ac:dyDescent="0.3">
      <c r="A11" s="107" t="str">
        <f>'내역서(표준단가)'!A14</f>
        <v>E00000803061300401</v>
      </c>
      <c r="B11" s="108">
        <f>'내역서(표준단가)'!F14</f>
        <v>0</v>
      </c>
      <c r="C11" s="108" t="str">
        <f>'내역서(표준단가)'!G14</f>
        <v>E00000803061300401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1.85</v>
      </c>
    </row>
    <row r="12" spans="1:6" x14ac:dyDescent="0.3">
      <c r="A12" s="107" t="str">
        <f>'내역서(표준단가)'!A15</f>
        <v>E00000801011510701</v>
      </c>
      <c r="B12" s="108">
        <f>'내역서(표준단가)'!F15</f>
        <v>0</v>
      </c>
      <c r="C12" s="108" t="str">
        <f>'내역서(표준단가)'!G15</f>
        <v>E00000801011510701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2025-06-26T01:07:48Z</dcterms:modified>
</cp:coreProperties>
</file>
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1 솔루션\08 사택 103-406 작은방 단열작업\"/>
    </mc:Choice>
  </mc:AlternateContent>
  <xr:revisionPtr revIDLastSave="0" documentId="13_ncr:1_{2B0193F0-8CF6-4BC8-BC65-486DD15D32A4}" xr6:coauthVersionLast="47" xr6:coauthVersionMax="47" xr10:uidLastSave="{00000000-0000-0000-0000-000000000000}"/>
  <bookViews>
    <workbookView xWindow="14355" yWindow="0" windowWidth="14490" windowHeight="15525" firstSheet="3" activeTab="4" xr2:uid="{00000000-000D-0000-FFFF-FFFF00000000}"/>
  </bookViews>
  <sheets>
    <sheet name="갑지" sheetId="5" r:id="rId1"/>
    <sheet name="내역서(표준단가)" sheetId="4" r:id="rId2"/>
    <sheet name="상세내역" sheetId="18" r:id="rId3"/>
    <sheet name="시중가 근거서류" sheetId="17" r:id="rId4"/>
    <sheet name="Upload" sheetId="16" r:id="rId5"/>
    <sheet name="Upload-ss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A5" i="1"/>
  <c r="F4" i="1"/>
  <c r="E4" i="1"/>
  <c r="D4" i="1"/>
  <c r="C4" i="1"/>
  <c r="B4" i="1"/>
  <c r="F3" i="1"/>
  <c r="E3" i="1"/>
  <c r="D3" i="1"/>
  <c r="C3" i="1"/>
  <c r="B3" i="1"/>
  <c r="Q11" i="4"/>
  <c r="O11" i="4"/>
  <c r="U11" i="4"/>
  <c r="S11" i="4"/>
  <c r="V11" i="4" s="1"/>
  <c r="A11" i="4"/>
  <c r="A8" i="1" s="1"/>
  <c r="A10" i="4"/>
  <c r="A9" i="4"/>
  <c r="A6" i="1" s="1"/>
  <c r="A8" i="4"/>
  <c r="A7" i="4"/>
  <c r="A4" i="1" s="1"/>
  <c r="A6" i="4"/>
  <c r="A3" i="1" s="1"/>
  <c r="H12" i="18"/>
  <c r="F12" i="18"/>
  <c r="N12" i="18" l="1"/>
  <c r="Q6" i="4"/>
  <c r="Q5" i="4"/>
  <c r="U6" i="4"/>
  <c r="S6" i="4"/>
  <c r="O6" i="4"/>
  <c r="H6" i="18"/>
  <c r="N6" i="18" s="1"/>
  <c r="V6" i="4" l="1"/>
  <c r="U12" i="4"/>
  <c r="S12" i="4"/>
  <c r="Q12" i="4"/>
  <c r="O12" i="4"/>
  <c r="J12" i="4"/>
  <c r="H13" i="18"/>
  <c r="F13" i="18"/>
  <c r="V12" i="4" l="1"/>
  <c r="N13" i="18"/>
  <c r="H11" i="18" l="1"/>
  <c r="F11" i="18"/>
  <c r="H10" i="18"/>
  <c r="F10" i="18"/>
  <c r="H9" i="18"/>
  <c r="F9" i="18"/>
  <c r="F8" i="18"/>
  <c r="N8" i="18" s="1"/>
  <c r="H5" i="18"/>
  <c r="F5" i="18"/>
  <c r="N9" i="18" l="1"/>
  <c r="N10" i="18"/>
  <c r="N11" i="18"/>
  <c r="N5" i="18"/>
  <c r="L14" i="18" l="1"/>
  <c r="N4" i="18"/>
  <c r="H14" i="18" l="1"/>
  <c r="F14" i="18"/>
  <c r="J14" i="18"/>
  <c r="N14" i="18" l="1"/>
  <c r="U5" i="4"/>
  <c r="S5" i="4"/>
  <c r="O5" i="4"/>
  <c r="A5" i="4"/>
  <c r="V5" i="4" l="1"/>
  <c r="F2" i="1" l="1"/>
  <c r="E2" i="1"/>
  <c r="D2" i="1"/>
  <c r="C2" i="1"/>
  <c r="B2" i="1"/>
  <c r="A2" i="1"/>
  <c r="U10" i="4" l="1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Q13" i="4" l="1"/>
  <c r="V8" i="4"/>
  <c r="V9" i="4"/>
  <c r="V10" i="4"/>
  <c r="V7" i="4"/>
  <c r="V13" i="4" l="1"/>
  <c r="U13" i="4"/>
  <c r="S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<sst xmlns="http://schemas.openxmlformats.org/spreadsheetml/2006/main" count="208" uniqueCount="167">
  <si>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</si>
  <si>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</si>
  <si>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</si>
  <si>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</si>
  <si>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</si>
  <si>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</si>
  <si>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</si>
  <si>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</si>
  <si>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</si>
  <si>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</si>
  <si>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</si>
  <si>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</si>
  <si>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</si>
  <si>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</si>
  <si>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</si>
  <si>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</si>
  <si>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</si>
  <si>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</si>
  <si>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</si>
  <si>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</si>
  <si>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</si>
  <si>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</si>
  <si>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</si>
  <si>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</si>
  <si>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</si>
  <si>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</si>
  <si>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</si>
  <si>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</si>
  <si>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</si>
  <si>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</si>
  <si>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</si>
  <si>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</si>
  <si>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</si>
  <si>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</si>
  <si>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</si>
  <si>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</si>
  <si>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 (재료비+노무비)*2.93%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</si>
  <si>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</si>
  <si>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</si>
  <si>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</si>
  <si>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</si>
  <si>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</si>
  <si>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</si>
  <si>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</si>
  <si>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</si>
  <si>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</si>
  <si>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</si>
  <si>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</si>
  <si>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</si>
  <si>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</si>
  <si>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</si>
  <si>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</si>
  <si>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</si>
  <si>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</si>
  <si>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</si>
  <si>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</si>
  <si>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</si>
  <si>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</si>
  <si>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</si>
  <si>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</si>
  <si>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</si>
  <si>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</si>
  <si>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</si>
  <si>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</si>
  <si>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</si>
  <si>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</si>
  <si>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</si>
  <si>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</si>
  <si>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</si>
  <si>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</si>
  <si>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</si>
  <si>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</si>
  <si>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</si>
  <si>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</si>
  <si>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</si>
  <si>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</si>
  <si>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영선,건축</t>
    <phoneticPr fontId="10" type="noConversion"/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</si>
  <si>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</si>
  <si>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</si>
  <si>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</si>
  <si>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</si>
  <si>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</si>
  <si>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</si>
  <si>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</si>
  <si>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</si>
  <si>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</si>
  <si>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</si>
  <si>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</si>
  <si>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</si>
  <si>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</si>
  <si>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</si>
  <si>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</si>
  <si>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</si>
  <si>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</si>
  <si>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</si>
  <si>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</si>
  <si>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</si>
  <si>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</si>
  <si>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</si>
  <si>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</si>
  <si>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D02620</t>
  </si>
  <si>
    <t>D02639</t>
  </si>
  <si>
    <t>M011902401200101</t>
  </si>
  <si>
    <t>제 2호표  석고판(나사고정) 설치</t>
  </si>
  <si>
    <t>바탕용 2겹 붙임</t>
  </si>
  <si>
    <t>제 2호표  걸레받이 설치</t>
  </si>
  <si>
    <t>합성수지류</t>
  </si>
  <si>
    <t>6㎜×1M×50M 건축용단열재,</t>
  </si>
  <si>
    <t>M011902400300101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</si>
  <si>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</si>
  <si>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</si>
  <si>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</si>
  <si>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</si>
  <si>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</si>
  <si>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</si>
  <si>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</si>
  <si>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</si>
  <si>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</si>
  <si>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</si>
  <si>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</si>
  <si>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</si>
  <si>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</si>
  <si>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</si>
  <si>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</si>
  <si>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</si>
  <si>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</si>
  <si>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</si>
  <si>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</si>
  <si>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</si>
  <si>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r>
      <rPr>
        <sz val="10"/>
        <color theme="1"/>
        <rFont val="맑은 고딕"/>
        <family val="3"/>
        <charset val="129"/>
      </rPr>
      <t>㎡</t>
    </r>
  </si>
  <si>
    <t>10㎜×1M×25M 건축용단열재,</t>
  </si>
  <si>
    <t>도배</t>
    <phoneticPr fontId="10" type="noConversion"/>
  </si>
  <si>
    <t>㎡</t>
  </si>
  <si>
    <t>합지벽지(LG하우시스 휘앙세)</t>
    <phoneticPr fontId="10" type="noConversion"/>
  </si>
  <si>
    <t>■ 벽지 자재비 근거서류(999999)</t>
    <phoneticPr fontId="12" type="noConversion"/>
  </si>
  <si>
    <t>코드</t>
    <phoneticPr fontId="12" type="noConversion"/>
  </si>
  <si>
    <t>품목</t>
    <phoneticPr fontId="12" type="noConversion"/>
  </si>
  <si>
    <t>규격</t>
    <phoneticPr fontId="12" type="noConversion"/>
  </si>
  <si>
    <t>단가(m2)</t>
    <phoneticPr fontId="12" type="noConversion"/>
  </si>
  <si>
    <t>적용기준</t>
    <phoneticPr fontId="12" type="noConversion"/>
  </si>
  <si>
    <t>벽지(LG 휘앙세)</t>
    <phoneticPr fontId="12" type="noConversion"/>
  </si>
  <si>
    <t>장폭합지</t>
    <phoneticPr fontId="12" type="noConversion"/>
  </si>
  <si>
    <t>물가자료 2023.11</t>
  </si>
  <si>
    <t>합지벽지, 23년 11월 물가자료</t>
    <phoneticPr fontId="10" type="noConversion"/>
  </si>
  <si>
    <t>LX하우시스, 휘앙세 93*17.75, M2당</t>
    <phoneticPr fontId="10" type="noConversion"/>
  </si>
  <si>
    <t>태화론 TW-06(단면)</t>
    <phoneticPr fontId="10" type="noConversion"/>
  </si>
  <si>
    <t>태화론 TW-10(양면-점착)</t>
    <phoneticPr fontId="10" type="noConversion"/>
  </si>
  <si>
    <t xml:space="preserve"> 공사명 : 사택 103-406 단열작업(작은방, 열반사+이보드)</t>
    <phoneticPr fontId="16" type="noConversion"/>
  </si>
  <si>
    <t xml:space="preserve"> 견적일 : 2025년  01월  25일</t>
    <phoneticPr fontId="16" type="noConversion"/>
  </si>
  <si>
    <t>사택 103-406 단열작업(작은방, 열반사+이보드)</t>
    <phoneticPr fontId="18" type="noConversion"/>
  </si>
  <si>
    <t>2.작은방 단열</t>
    <phoneticPr fontId="12" type="noConversion"/>
  </si>
  <si>
    <t>3.15+2.9+0.3=6.35, 6.35*2.4=15.24</t>
    <phoneticPr fontId="10" type="noConversion"/>
  </si>
  <si>
    <t>벽면(3.15+2.9+3.15)*h:2.4=22</t>
    <phoneticPr fontId="18" type="noConversion"/>
  </si>
  <si>
    <t>1.가구이동 재배치</t>
    <phoneticPr fontId="18" type="noConversion"/>
  </si>
  <si>
    <t>철거 및 보양, 폐기물 포함, 특별인부</t>
    <phoneticPr fontId="10" type="noConversion"/>
  </si>
  <si>
    <t>인</t>
    <phoneticPr fontId="18" type="noConversion"/>
  </si>
  <si>
    <t>철거 및 보양, 폐기물 포함, 보통인부</t>
    <phoneticPr fontId="10" type="noConversion"/>
  </si>
  <si>
    <t>L003</t>
  </si>
  <si>
    <t>L002</t>
  </si>
  <si>
    <t>인</t>
    <phoneticPr fontId="10" type="noConversion"/>
  </si>
  <si>
    <t>특별인부</t>
    <phoneticPr fontId="10" type="noConversion"/>
  </si>
  <si>
    <t>보통인부</t>
    <phoneticPr fontId="10" type="noConversion"/>
  </si>
  <si>
    <t>철거 및 보양 청소, 폐기물 포함,</t>
    <phoneticPr fontId="10" type="noConversion"/>
  </si>
  <si>
    <t>도배 노무비, 최소 인건비 적용</t>
    <phoneticPr fontId="18" type="noConversion"/>
  </si>
  <si>
    <t>L031</t>
    <phoneticPr fontId="10" type="noConversion"/>
  </si>
  <si>
    <t>시중노임단가</t>
    <phoneticPr fontId="10" type="noConversion"/>
  </si>
  <si>
    <t>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</si>
</sst>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##,###,###,##0"/>
    <numFmt numFmtId="185" formatCode="#,##0_);[Red]\(#,##0\)"/>
    <numFmt numFmtId="186" formatCode="#,##0_ "/>
    <numFmt numFmtId="187" formatCode="0_);[Red]\(0\)"/>
    <numFmt numFmtId="188" formatCode="&quot;₩&quot;#,##0"/>
    <numFmt numFmtId="189" formatCode="0.00_);[Red]\(0.00\)"/>
    <numFmt numFmtId="190" formatCode="#,###,###,###"/>
  </numFmts>
  <fonts count="5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9"/>
      <color rgb="FF000000"/>
      <name val="Malgun Gothic"/>
      <family val="3"/>
      <charset val="129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9"/>
      <color indexed="8"/>
      <name val="Malgun Gothic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9"/>
      <color rgb="FFFF0000"/>
      <name val="굴림"/>
      <family val="3"/>
      <charset val="129"/>
    </font>
    <font>
      <b/>
      <sz val="16"/>
      <name val="굴림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17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2" fillId="0" borderId="0" xfId="25" applyFont="1">
      <alignment vertical="center"/>
    </xf>
    <xf numFmtId="0" fontId="33" fillId="0" borderId="0" xfId="25" applyFont="1">
      <alignment vertical="center"/>
    </xf>
    <xf numFmtId="0" fontId="32" fillId="0" borderId="0" xfId="25" applyFont="1" applyAlignment="1">
      <alignment horizontal="center" vertical="center"/>
    </xf>
    <xf numFmtId="0" fontId="31" fillId="5" borderId="0" xfId="26" applyNumberFormat="1" applyFont="1" applyFill="1" applyBorder="1" applyAlignment="1">
      <alignment horizontal="center" vertical="center"/>
    </xf>
    <xf numFmtId="177" fontId="31" fillId="0" borderId="0" xfId="26" applyFont="1" applyFill="1" applyBorder="1" applyAlignment="1">
      <alignment horizontal="center" vertical="center" shrinkToFit="1"/>
    </xf>
    <xf numFmtId="0" fontId="34" fillId="5" borderId="0" xfId="25" applyFont="1" applyFill="1" applyAlignment="1">
      <alignment horizontal="center" vertical="center"/>
    </xf>
    <xf numFmtId="0" fontId="35" fillId="0" borderId="0" xfId="28" applyFont="1" applyAlignment="1">
      <alignment horizontal="right" vertical="center"/>
    </xf>
    <xf numFmtId="0" fontId="36" fillId="0" borderId="34" xfId="28" quotePrefix="1" applyFont="1" applyBorder="1" applyAlignment="1">
      <alignment horizontal="center" vertical="center"/>
    </xf>
    <xf numFmtId="0" fontId="36" fillId="0" borderId="36" xfId="28" quotePrefix="1" applyFont="1" applyBorder="1" applyAlignment="1">
      <alignment horizontal="center" vertical="center"/>
    </xf>
    <xf numFmtId="185" fontId="36" fillId="0" borderId="34" xfId="28" quotePrefix="1" applyNumberFormat="1" applyFont="1" applyBorder="1" applyAlignment="1">
      <alignment horizontal="center" vertical="center"/>
    </xf>
    <xf numFmtId="177" fontId="38" fillId="5" borderId="34" xfId="13" applyFont="1" applyFill="1" applyBorder="1" applyAlignment="1">
      <alignment vertical="center"/>
    </xf>
    <xf numFmtId="177" fontId="38" fillId="5" borderId="34" xfId="13" applyFont="1" applyFill="1" applyBorder="1" applyAlignment="1">
      <alignment horizontal="center" vertical="center"/>
    </xf>
    <xf numFmtId="188" fontId="37" fillId="10" borderId="34" xfId="13" applyNumberFormat="1" applyFont="1" applyFill="1" applyBorder="1" applyAlignment="1">
      <alignment horizontal="center" vertical="center"/>
    </xf>
    <xf numFmtId="0" fontId="37" fillId="10" borderId="34" xfId="28" applyFont="1" applyFill="1" applyBorder="1" applyAlignment="1">
      <alignment horizontal="center" vertical="center"/>
    </xf>
    <xf numFmtId="189" fontId="37" fillId="10" borderId="34" xfId="13" applyNumberFormat="1" applyFont="1" applyFill="1" applyBorder="1" applyAlignment="1">
      <alignment horizontal="center" vertical="center"/>
    </xf>
    <xf numFmtId="185" fontId="37" fillId="10" borderId="34" xfId="13" applyNumberFormat="1" applyFont="1" applyFill="1" applyBorder="1" applyAlignment="1">
      <alignment horizontal="right" vertical="center" wrapText="1"/>
    </xf>
    <xf numFmtId="185" fontId="37" fillId="10" borderId="34" xfId="13" applyNumberFormat="1" applyFont="1" applyFill="1" applyBorder="1" applyAlignment="1">
      <alignment vertical="center"/>
    </xf>
    <xf numFmtId="0" fontId="37" fillId="10" borderId="34" xfId="28" applyFont="1" applyFill="1" applyBorder="1" applyAlignment="1">
      <alignment horizontal="right" vertical="center"/>
    </xf>
    <xf numFmtId="0" fontId="32" fillId="0" borderId="0" xfId="30" applyFont="1">
      <alignment vertical="center"/>
    </xf>
    <xf numFmtId="0" fontId="39" fillId="0" borderId="0" xfId="0" applyFont="1">
      <alignment vertical="center"/>
    </xf>
    <xf numFmtId="177" fontId="30" fillId="0" borderId="0" xfId="1" applyFont="1" applyFill="1" applyBorder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9" fontId="40" fillId="0" borderId="3" xfId="0" applyNumberFormat="1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24" fillId="7" borderId="3" xfId="0" applyFont="1" applyFill="1" applyBorder="1" applyAlignment="1">
      <alignment horizontal="center"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6" fontId="36" fillId="10" borderId="36" xfId="13" applyNumberFormat="1" applyFont="1" applyFill="1" applyBorder="1" applyAlignment="1">
      <alignment horizontal="center" vertical="center"/>
    </xf>
    <xf numFmtId="49" fontId="24" fillId="2" borderId="0" xfId="0" applyNumberFormat="1" applyFont="1" applyFill="1" applyAlignment="1">
      <alignment horizontal="center" vertical="center" wrapText="1"/>
    </xf>
    <xf numFmtId="183" fontId="24" fillId="0" borderId="0" xfId="1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49" fontId="41" fillId="5" borderId="3" xfId="0" applyNumberFormat="1" applyFont="1" applyFill="1" applyBorder="1" applyAlignment="1">
      <alignment horizontal="center" vertical="center" wrapText="1"/>
    </xf>
    <xf numFmtId="183" fontId="42" fillId="5" borderId="3" xfId="1" applyNumberFormat="1" applyFont="1" applyFill="1" applyBorder="1" applyAlignment="1">
      <alignment horizontal="center" vertical="center"/>
    </xf>
    <xf numFmtId="49" fontId="41" fillId="5" borderId="3" xfId="0" applyNumberFormat="1" applyFont="1" applyFill="1" applyBorder="1" applyAlignment="1">
      <alignment horizontal="center" vertical="center"/>
    </xf>
    <xf numFmtId="0" fontId="42" fillId="5" borderId="3" xfId="0" applyFont="1" applyFill="1" applyBorder="1" applyAlignment="1">
      <alignment horizontal="center"/>
    </xf>
    <xf numFmtId="177" fontId="42" fillId="5" borderId="3" xfId="20" applyFont="1" applyFill="1" applyBorder="1" applyAlignment="1">
      <alignment horizontal="center" vertical="center"/>
    </xf>
    <xf numFmtId="183" fontId="42" fillId="5" borderId="3" xfId="20" applyNumberFormat="1" applyFont="1" applyFill="1" applyBorder="1" applyAlignment="1">
      <alignment horizontal="center" vertical="center"/>
    </xf>
    <xf numFmtId="177" fontId="43" fillId="5" borderId="3" xfId="1" applyFont="1" applyFill="1" applyBorder="1" applyAlignment="1">
      <alignment horizontal="center" vertical="center"/>
    </xf>
    <xf numFmtId="0" fontId="44" fillId="5" borderId="3" xfId="0" applyFont="1" applyFill="1" applyBorder="1">
      <alignment vertical="center"/>
    </xf>
    <xf numFmtId="177" fontId="45" fillId="5" borderId="3" xfId="1" applyFont="1" applyFill="1" applyBorder="1" applyAlignment="1">
      <alignment horizontal="center" vertical="center" wrapText="1"/>
    </xf>
    <xf numFmtId="184" fontId="45" fillId="5" borderId="3" xfId="0" applyNumberFormat="1" applyFont="1" applyFill="1" applyBorder="1" applyAlignment="1">
      <alignment horizontal="right" vertical="center" wrapText="1"/>
    </xf>
    <xf numFmtId="177" fontId="46" fillId="5" borderId="3" xfId="1" applyFont="1" applyFill="1" applyBorder="1" applyAlignment="1">
      <alignment horizontal="center" vertical="center"/>
    </xf>
    <xf numFmtId="177" fontId="44" fillId="0" borderId="3" xfId="1" applyFont="1" applyFill="1" applyBorder="1" applyAlignment="1">
      <alignment horizontal="center" vertical="center" wrapText="1"/>
    </xf>
    <xf numFmtId="186" fontId="49" fillId="5" borderId="34" xfId="13" applyNumberFormat="1" applyFont="1" applyFill="1" applyBorder="1" applyAlignment="1">
      <alignment vertical="center"/>
    </xf>
    <xf numFmtId="0" fontId="50" fillId="5" borderId="34" xfId="19" applyFont="1" applyFill="1" applyBorder="1" applyAlignment="1">
      <alignment horizontal="center" vertical="center"/>
    </xf>
    <xf numFmtId="187" fontId="50" fillId="5" borderId="34" xfId="13" applyNumberFormat="1" applyFont="1" applyFill="1" applyBorder="1" applyAlignment="1">
      <alignment horizontal="center" vertical="center"/>
    </xf>
    <xf numFmtId="185" fontId="50" fillId="5" borderId="34" xfId="13" applyNumberFormat="1" applyFont="1" applyFill="1" applyBorder="1" applyAlignment="1">
      <alignment horizontal="right" vertical="center" wrapText="1"/>
    </xf>
    <xf numFmtId="177" fontId="50" fillId="5" borderId="34" xfId="13" applyFont="1" applyFill="1" applyBorder="1" applyAlignment="1">
      <alignment vertical="center"/>
    </xf>
    <xf numFmtId="177" fontId="50" fillId="5" borderId="34" xfId="13" applyFont="1" applyFill="1" applyBorder="1">
      <alignment vertical="center"/>
    </xf>
    <xf numFmtId="185" fontId="50" fillId="5" borderId="34" xfId="19" applyNumberFormat="1" applyFont="1" applyFill="1" applyBorder="1" applyAlignment="1">
      <alignment horizontal="left" vertical="center" wrapText="1"/>
    </xf>
    <xf numFmtId="177" fontId="50" fillId="5" borderId="34" xfId="13" applyFont="1" applyFill="1" applyBorder="1" applyAlignment="1">
      <alignment horizontal="center" vertical="center"/>
    </xf>
    <xf numFmtId="0" fontId="49" fillId="5" borderId="34" xfId="3" applyFont="1" applyFill="1" applyBorder="1" applyAlignment="1">
      <alignment vertical="center"/>
    </xf>
    <xf numFmtId="186" fontId="50" fillId="5" borderId="34" xfId="13" applyNumberFormat="1" applyFont="1" applyFill="1" applyBorder="1" applyAlignment="1">
      <alignment horizontal="center" vertical="center" wrapText="1"/>
    </xf>
    <xf numFmtId="177" fontId="50" fillId="0" borderId="34" xfId="13" applyFont="1" applyFill="1" applyBorder="1" applyAlignment="1">
      <alignment horizontal="center" vertical="center"/>
    </xf>
    <xf numFmtId="178" fontId="50" fillId="0" borderId="34" xfId="5" applyFont="1" applyFill="1" applyBorder="1" applyAlignment="1">
      <alignment vertical="center"/>
    </xf>
    <xf numFmtId="177" fontId="50" fillId="0" borderId="34" xfId="13" applyFont="1" applyFill="1" applyBorder="1" applyAlignment="1">
      <alignment vertical="center"/>
    </xf>
    <xf numFmtId="185" fontId="50" fillId="0" borderId="34" xfId="13" applyNumberFormat="1" applyFont="1" applyFill="1" applyBorder="1" applyAlignment="1">
      <alignment horizontal="right" vertical="center" wrapText="1"/>
    </xf>
    <xf numFmtId="0" fontId="50" fillId="5" borderId="34" xfId="3" applyFont="1" applyFill="1" applyBorder="1" applyAlignment="1">
      <alignment vertical="center"/>
    </xf>
    <xf numFmtId="0" fontId="50" fillId="0" borderId="34" xfId="3" applyFont="1" applyBorder="1" applyAlignment="1">
      <alignment horizontal="center" vertical="center"/>
    </xf>
    <xf numFmtId="177" fontId="51" fillId="5" borderId="34" xfId="13" applyFont="1" applyFill="1" applyBorder="1" applyAlignment="1">
      <alignment vertical="center"/>
    </xf>
    <xf numFmtId="178" fontId="50" fillId="5" borderId="34" xfId="5" applyFont="1" applyFill="1" applyBorder="1" applyAlignment="1">
      <alignment vertical="center"/>
    </xf>
    <xf numFmtId="49" fontId="41" fillId="7" borderId="3" xfId="0" applyNumberFormat="1" applyFont="1" applyFill="1" applyBorder="1" applyAlignment="1">
      <alignment horizontal="center" vertical="center" wrapText="1"/>
    </xf>
    <xf numFmtId="0" fontId="47" fillId="7" borderId="3" xfId="0" applyFont="1" applyFill="1" applyBorder="1" applyAlignment="1">
      <alignment horizontal="center" vertical="center"/>
    </xf>
    <xf numFmtId="49" fontId="48" fillId="7" borderId="3" xfId="0" applyNumberFormat="1" applyFont="1" applyFill="1" applyBorder="1" applyAlignment="1">
      <alignment horizontal="center" vertical="center"/>
    </xf>
    <xf numFmtId="188" fontId="40" fillId="0" borderId="34" xfId="13" applyNumberFormat="1" applyFont="1" applyBorder="1" applyAlignment="1">
      <alignment horizontal="center" vertical="center"/>
    </xf>
    <xf numFmtId="177" fontId="40" fillId="0" borderId="34" xfId="13" applyFont="1" applyBorder="1" applyAlignment="1">
      <alignment horizontal="center" vertical="center"/>
    </xf>
    <xf numFmtId="187" fontId="40" fillId="0" borderId="34" xfId="13" applyNumberFormat="1" applyFont="1" applyBorder="1" applyAlignment="1">
      <alignment horizontal="center" vertical="center"/>
    </xf>
    <xf numFmtId="185" fontId="40" fillId="5" borderId="34" xfId="13" applyNumberFormat="1" applyFont="1" applyFill="1" applyBorder="1" applyAlignment="1">
      <alignment horizontal="right" vertical="center" wrapText="1"/>
    </xf>
    <xf numFmtId="185" fontId="40" fillId="0" borderId="34" xfId="13" applyNumberFormat="1" applyFont="1" applyBorder="1" applyAlignment="1">
      <alignment horizontal="right" vertical="center" wrapText="1"/>
    </xf>
    <xf numFmtId="49" fontId="24" fillId="5" borderId="3" xfId="0" applyNumberFormat="1" applyFont="1" applyFill="1" applyBorder="1" applyAlignment="1">
      <alignment horizontal="center" vertical="center" wrapText="1"/>
    </xf>
    <xf numFmtId="0" fontId="24" fillId="0" borderId="3" xfId="0" applyFont="1" applyBorder="1">
      <alignment vertical="center"/>
    </xf>
    <xf numFmtId="184" fontId="24" fillId="5" borderId="3" xfId="0" applyNumberFormat="1" applyFont="1" applyFill="1" applyBorder="1" applyAlignment="1">
      <alignment horizontal="right" vertical="center" wrapText="1"/>
    </xf>
    <xf numFmtId="190" fontId="24" fillId="5" borderId="3" xfId="0" applyNumberFormat="1" applyFont="1" applyFill="1" applyBorder="1" applyAlignment="1">
      <alignment horizontal="right" vertical="center" wrapText="1"/>
    </xf>
    <xf numFmtId="183" fontId="24" fillId="5" borderId="3" xfId="1" applyNumberFormat="1" applyFont="1" applyFill="1" applyBorder="1" applyAlignment="1">
      <alignment horizontal="center" vertical="center"/>
    </xf>
    <xf numFmtId="0" fontId="32" fillId="0" borderId="0" xfId="17" applyFont="1">
      <alignment vertical="center"/>
    </xf>
    <xf numFmtId="0" fontId="33" fillId="0" borderId="0" xfId="17" applyFont="1">
      <alignment vertical="center"/>
    </xf>
    <xf numFmtId="0" fontId="32" fillId="0" borderId="0" xfId="17" applyFont="1" applyAlignment="1">
      <alignment horizontal="center" vertical="center"/>
    </xf>
    <xf numFmtId="0" fontId="54" fillId="0" borderId="0" xfId="17" applyFont="1">
      <alignment vertical="center"/>
    </xf>
    <xf numFmtId="177" fontId="53" fillId="6" borderId="25" xfId="18" applyFont="1" applyFill="1" applyBorder="1" applyAlignment="1">
      <alignment horizontal="center" vertical="center"/>
    </xf>
    <xf numFmtId="177" fontId="53" fillId="6" borderId="40" xfId="18" applyFont="1" applyFill="1" applyBorder="1" applyAlignment="1">
      <alignment horizontal="center" vertical="center"/>
    </xf>
    <xf numFmtId="177" fontId="53" fillId="6" borderId="26" xfId="18" applyFont="1" applyFill="1" applyBorder="1" applyAlignment="1">
      <alignment horizontal="center" vertical="center"/>
    </xf>
    <xf numFmtId="0" fontId="54" fillId="10" borderId="28" xfId="18" applyNumberFormat="1" applyFont="1" applyFill="1" applyBorder="1" applyAlignment="1">
      <alignment horizontal="center" vertical="center"/>
    </xf>
    <xf numFmtId="177" fontId="54" fillId="0" borderId="41" xfId="18" applyFont="1" applyFill="1" applyBorder="1" applyAlignment="1">
      <alignment horizontal="center" vertical="center" shrinkToFit="1"/>
    </xf>
    <xf numFmtId="177" fontId="54" fillId="0" borderId="41" xfId="18" applyFont="1" applyBorder="1" applyAlignment="1">
      <alignment horizontal="center" vertical="center"/>
    </xf>
    <xf numFmtId="0" fontId="54" fillId="10" borderId="29" xfId="17" applyFont="1" applyFill="1" applyBorder="1">
      <alignment vertical="center"/>
    </xf>
    <xf numFmtId="177" fontId="24" fillId="0" borderId="0" xfId="1" applyFont="1" applyBorder="1">
      <alignment vertical="center"/>
    </xf>
    <xf numFmtId="186" fontId="50" fillId="5" borderId="34" xfId="13" applyNumberFormat="1" applyFont="1" applyFill="1" applyBorder="1" applyAlignment="1">
      <alignment horizontal="center" vertical="center"/>
    </xf>
    <xf numFmtId="49" fontId="41" fillId="5" borderId="6" xfId="0" applyNumberFormat="1" applyFont="1" applyFill="1" applyBorder="1" applyAlignment="1">
      <alignment horizontal="center" vertical="center" wrapText="1"/>
    </xf>
    <xf numFmtId="49" fontId="41" fillId="5" borderId="6" xfId="0" applyNumberFormat="1" applyFont="1" applyFill="1" applyBorder="1" applyAlignment="1">
      <alignment horizontal="center" vertical="center"/>
    </xf>
    <xf numFmtId="49" fontId="24" fillId="5" borderId="6" xfId="0" applyNumberFormat="1" applyFont="1" applyFill="1" applyBorder="1" applyAlignment="1">
      <alignment horizontal="center" vertical="center" wrapText="1"/>
    </xf>
    <xf numFmtId="49" fontId="45" fillId="7" borderId="3" xfId="0" applyNumberFormat="1" applyFont="1" applyFill="1" applyBorder="1" applyAlignment="1">
      <alignment horizontal="center" vertical="center" wrapText="1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6" fontId="36" fillId="5" borderId="36" xfId="13" applyNumberFormat="1" applyFont="1" applyFill="1" applyBorder="1" applyAlignment="1">
      <alignment vertical="center"/>
    </xf>
    <xf numFmtId="186" fontId="37" fillId="5" borderId="38" xfId="13" applyNumberFormat="1" applyFont="1" applyFill="1" applyBorder="1" applyAlignment="1">
      <alignment vertical="center"/>
    </xf>
    <xf numFmtId="0" fontId="52" fillId="0" borderId="33" xfId="19" applyFont="1" applyBorder="1" applyAlignment="1">
      <alignment horizontal="center" vertical="center"/>
    </xf>
    <xf numFmtId="0" fontId="36" fillId="0" borderId="34" xfId="28" quotePrefix="1" applyFont="1" applyBorder="1" applyAlignment="1">
      <alignment horizontal="center" vertical="center"/>
    </xf>
    <xf numFmtId="0" fontId="36" fillId="0" borderId="35" xfId="28" quotePrefix="1" applyFont="1" applyBorder="1" applyAlignment="1">
      <alignment horizontal="center" vertical="center"/>
    </xf>
    <xf numFmtId="0" fontId="36" fillId="0" borderId="39" xfId="28" quotePrefix="1" applyFont="1" applyBorder="1" applyAlignment="1">
      <alignment horizontal="center" vertical="center"/>
    </xf>
    <xf numFmtId="0" fontId="36" fillId="0" borderId="34" xfId="28" applyFont="1" applyBorder="1" applyAlignment="1">
      <alignment horizontal="center" vertical="center"/>
    </xf>
    <xf numFmtId="0" fontId="36" fillId="0" borderId="36" xfId="28" quotePrefix="1" applyFont="1" applyBorder="1" applyAlignment="1">
      <alignment horizontal="center" vertical="center"/>
    </xf>
    <xf numFmtId="0" fontId="36" fillId="0" borderId="37" xfId="28" quotePrefix="1" applyFont="1" applyBorder="1" applyAlignment="1">
      <alignment horizontal="center" vertical="center"/>
    </xf>
    <xf numFmtId="0" fontId="36" fillId="0" borderId="36" xfId="28" applyFont="1" applyBorder="1" applyAlignment="1">
      <alignment horizontal="center" vertical="center"/>
    </xf>
    <xf numFmtId="0" fontId="36" fillId="0" borderId="38" xfId="28" quotePrefix="1" applyFont="1" applyBorder="1" applyAlignment="1">
      <alignment horizontal="center" vertical="center"/>
    </xf>
    <xf numFmtId="0" fontId="53" fillId="0" borderId="33" xfId="17" applyFont="1" applyBorder="1">
      <alignment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8</xdr:col>
      <xdr:colOff>913403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8</xdr:col>
      <xdr:colOff>640773</xdr:colOff>
      <xdr:row>42</xdr:row>
      <xdr:rowOff>103909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2E3938B-D133-451B-887A-D220E42BDE11}"/>
            </a:ext>
          </a:extLst>
        </xdr:cNvPr>
        <xdr:cNvSpPr/>
      </xdr:nvSpPr>
      <xdr:spPr>
        <a:xfrm>
          <a:off x="0" y="5074227"/>
          <a:ext cx="13542818" cy="4260273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1194954</xdr:colOff>
      <xdr:row>24</xdr:row>
      <xdr:rowOff>69274</xdr:rowOff>
    </xdr:from>
    <xdr:to>
      <xdr:col>7</xdr:col>
      <xdr:colOff>0</xdr:colOff>
      <xdr:row>39</xdr:row>
      <xdr:rowOff>45363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E6CC64-E177-4F4D-A84D-2CFC9BB5B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954" y="5559138"/>
          <a:ext cx="10979728" cy="3093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J15" sqref="J15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85" t="s">
        <v>6</v>
      </c>
      <c r="B2" s="185"/>
      <c r="C2" s="185"/>
      <c r="D2" s="185"/>
      <c r="E2" s="185"/>
      <c r="F2" s="185"/>
      <c r="G2" s="185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>
      <c r="A7" s="191" t="s">
        <v>147</v>
      </c>
      <c r="B7" s="192"/>
      <c r="C7" s="193"/>
      <c r="D7" s="5"/>
      <c r="E7" s="13"/>
      <c r="F7" s="14" t="s">
        <v>43</v>
      </c>
      <c r="G7" s="12" t="s">
        <v>71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>
      <c r="A9" s="188" t="s">
        <v>148</v>
      </c>
      <c r="B9" s="189"/>
      <c r="C9" s="190"/>
      <c r="D9" s="5"/>
      <c r="E9" s="5"/>
      <c r="F9" s="11" t="s">
        <v>45</v>
      </c>
      <c r="G9" s="12" t="s">
        <v>73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>
      <c r="A11" s="186"/>
      <c r="B11" s="187"/>
      <c r="C11" s="187"/>
      <c r="D11" s="5"/>
      <c r="E11" s="17"/>
      <c r="F11" s="18" t="s">
        <v>41</v>
      </c>
      <c r="G11" s="19" t="s">
        <v>75</v>
      </c>
      <c r="H11" s="17"/>
    </row>
    <row r="12" spans="1:9" ht="18.75" thickBot="1">
      <c r="A12" s="20" t="s">
        <v>7</v>
      </c>
      <c r="B12" s="20" t="str">
        <f>NUMBERSTRING(F31,1)</f>
        <v>일백삼십칠만사천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'내역서(표준단가)'!O13</f>
        <v>242644.32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'내역서(표준단가)'!Q13</f>
        <v>922804.96000000008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'내역서(표준단가)'!S13+'내역서(표준단가)'!U13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1165449.28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41526.2232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32713.435832000006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4236.3899402440011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9320.3300959999997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32851.856576000006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34147.663904000001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53880.042977412209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208675.94252565622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1374125.2225256562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1374000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90" zoomScaleNormal="90" workbookViewId="0">
      <selection activeCell="S34" sqref="S34"/>
    </sheetView>
  </sheetViews>
  <sheetFormatPr defaultColWidth="9" defaultRowHeight="12.75"/>
  <cols>
    <col min="1" max="1" width="17.5" style="118" bestFit="1" customWidth="1"/>
    <col min="2" max="5" width="18.5" style="118" hidden="1" customWidth="1"/>
    <col min="6" max="9" width="15.625" style="91" hidden="1" customWidth="1"/>
    <col min="10" max="10" width="37.625" style="91" bestFit="1" customWidth="1"/>
    <col min="11" max="11" width="25" style="91" bestFit="1" customWidth="1"/>
    <col min="12" max="12" width="9.625" style="91" bestFit="1" customWidth="1"/>
    <col min="13" max="13" width="7.125" style="91" bestFit="1" customWidth="1"/>
    <col min="14" max="14" width="10.25" style="91" bestFit="1" customWidth="1"/>
    <col min="15" max="15" width="13.125" style="91" bestFit="1" customWidth="1"/>
    <col min="16" max="16" width="7.625" style="91" bestFit="1" customWidth="1"/>
    <col min="17" max="17" width="15.5" style="91" bestFit="1" customWidth="1"/>
    <col min="18" max="18" width="10.25" style="91" customWidth="1"/>
    <col min="19" max="19" width="11.75" style="91" customWidth="1"/>
    <col min="20" max="20" width="10" style="91" customWidth="1"/>
    <col min="21" max="21" width="11.75" style="91" customWidth="1"/>
    <col min="22" max="22" width="15.5" style="91" bestFit="1" customWidth="1"/>
    <col min="23" max="23" width="10.625" style="92" bestFit="1" customWidth="1"/>
    <col min="24" max="24" width="8.5" style="91" bestFit="1" customWidth="1"/>
    <col min="25" max="16384" width="9" style="91"/>
  </cols>
  <sheetData>
    <row r="1" spans="1:24" ht="19.899999999999999" customHeight="1">
      <c r="A1" s="194"/>
      <c r="B1" s="194"/>
      <c r="C1" s="194"/>
      <c r="D1" s="194"/>
      <c r="E1" s="194"/>
      <c r="F1" s="194"/>
      <c r="G1" s="194"/>
      <c r="H1" s="194"/>
      <c r="I1" s="194"/>
      <c r="N1" s="92"/>
      <c r="O1" s="90" t="s">
        <v>109</v>
      </c>
      <c r="Q1" s="90" t="s">
        <v>109</v>
      </c>
      <c r="S1" s="90" t="s">
        <v>109</v>
      </c>
      <c r="U1" s="90" t="s">
        <v>109</v>
      </c>
    </row>
    <row r="2" spans="1:24" ht="19.899999999999999" customHeight="1" thickBot="1">
      <c r="A2" s="194"/>
      <c r="B2" s="194"/>
      <c r="C2" s="194"/>
      <c r="D2" s="194"/>
      <c r="E2" s="194"/>
      <c r="F2" s="194"/>
      <c r="G2" s="194"/>
      <c r="H2" s="194"/>
      <c r="I2" s="194"/>
      <c r="N2" s="93"/>
      <c r="O2" s="94">
        <v>0.83499999999999996</v>
      </c>
      <c r="Q2" s="94">
        <v>0.83499999999999996</v>
      </c>
      <c r="S2" s="94">
        <v>0.83499999999999996</v>
      </c>
      <c r="U2" s="94">
        <v>0.83499999999999996</v>
      </c>
    </row>
    <row r="3" spans="1:24" ht="19.899999999999999" customHeight="1">
      <c r="A3" s="95"/>
      <c r="B3" s="95"/>
      <c r="C3" s="95"/>
      <c r="D3" s="95"/>
      <c r="E3" s="95"/>
      <c r="F3" s="95" t="s">
        <v>110</v>
      </c>
      <c r="G3" s="96"/>
      <c r="H3" s="96"/>
      <c r="I3" s="96"/>
      <c r="J3" s="203" t="s">
        <v>111</v>
      </c>
      <c r="K3" s="203"/>
      <c r="L3" s="203" t="s">
        <v>52</v>
      </c>
      <c r="M3" s="203" t="s">
        <v>5</v>
      </c>
      <c r="N3" s="199" t="s">
        <v>112</v>
      </c>
      <c r="O3" s="199"/>
      <c r="P3" s="199" t="s">
        <v>113</v>
      </c>
      <c r="Q3" s="199"/>
      <c r="R3" s="200" t="s">
        <v>114</v>
      </c>
      <c r="S3" s="200"/>
      <c r="T3" s="200" t="s">
        <v>115</v>
      </c>
      <c r="U3" s="200"/>
      <c r="V3" s="201" t="s">
        <v>116</v>
      </c>
      <c r="W3" s="197" t="s">
        <v>117</v>
      </c>
      <c r="X3" s="195" t="s">
        <v>46</v>
      </c>
    </row>
    <row r="4" spans="1:24" ht="19.899999999999999" customHeight="1">
      <c r="A4" s="97" t="s">
        <v>118</v>
      </c>
      <c r="B4" s="98"/>
      <c r="C4" s="98"/>
      <c r="D4" s="98"/>
      <c r="E4" s="98"/>
      <c r="F4" s="99" t="s">
        <v>119</v>
      </c>
      <c r="G4" s="99" t="s">
        <v>120</v>
      </c>
      <c r="H4" s="99" t="s">
        <v>121</v>
      </c>
      <c r="I4" s="99" t="s">
        <v>122</v>
      </c>
      <c r="J4" s="100" t="s">
        <v>123</v>
      </c>
      <c r="K4" s="100" t="s">
        <v>124</v>
      </c>
      <c r="L4" s="204"/>
      <c r="M4" s="204"/>
      <c r="N4" s="101" t="s">
        <v>125</v>
      </c>
      <c r="O4" s="102" t="s">
        <v>126</v>
      </c>
      <c r="P4" s="101" t="s">
        <v>127</v>
      </c>
      <c r="Q4" s="102" t="s">
        <v>126</v>
      </c>
      <c r="R4" s="102" t="s">
        <v>128</v>
      </c>
      <c r="S4" s="102" t="s">
        <v>126</v>
      </c>
      <c r="T4" s="102" t="s">
        <v>128</v>
      </c>
      <c r="U4" s="102" t="s">
        <v>126</v>
      </c>
      <c r="V4" s="202"/>
      <c r="W4" s="198"/>
      <c r="X4" s="196"/>
    </row>
    <row r="5" spans="1:24" s="111" customFormat="1" ht="19.899999999999999" customHeight="1">
      <c r="A5" s="103" t="str">
        <f t="shared" ref="A5:A11" si="0">F5&amp;G5&amp;H5&amp;I5</f>
        <v>L003</v>
      </c>
      <c r="B5" s="104"/>
      <c r="C5" s="104"/>
      <c r="D5" s="104"/>
      <c r="E5" s="104"/>
      <c r="F5" s="155"/>
      <c r="G5" s="156"/>
      <c r="H5" s="156"/>
      <c r="I5" s="184" t="s">
        <v>157</v>
      </c>
      <c r="J5" s="181" t="s">
        <v>162</v>
      </c>
      <c r="K5" s="125" t="s">
        <v>160</v>
      </c>
      <c r="L5" s="131" t="s">
        <v>159</v>
      </c>
      <c r="M5" s="126">
        <v>1</v>
      </c>
      <c r="N5" s="132"/>
      <c r="O5" s="106">
        <f t="shared" ref="O5" si="1">SUM(N5:N5)*M5*$O$2</f>
        <v>0</v>
      </c>
      <c r="P5" s="134">
        <v>208527</v>
      </c>
      <c r="Q5" s="106">
        <f>M5*P5</f>
        <v>208527</v>
      </c>
      <c r="R5" s="136"/>
      <c r="S5" s="106">
        <f t="shared" ref="S5" si="2">R5*M5*$S$2</f>
        <v>0</v>
      </c>
      <c r="T5" s="136"/>
      <c r="U5" s="106">
        <f t="shared" ref="U5" si="3">T5*M5*$U$2</f>
        <v>0</v>
      </c>
      <c r="V5" s="108">
        <f t="shared" ref="V5" si="4">SUM(O5+Q5)+S5+U5</f>
        <v>208527</v>
      </c>
      <c r="W5" s="109"/>
      <c r="X5" s="110"/>
    </row>
    <row r="6" spans="1:24" s="111" customFormat="1" ht="19.899999999999999" customHeight="1">
      <c r="A6" s="103" t="str">
        <f t="shared" si="0"/>
        <v>L002</v>
      </c>
      <c r="B6" s="104"/>
      <c r="C6" s="104"/>
      <c r="D6" s="104"/>
      <c r="E6" s="104"/>
      <c r="F6" s="155"/>
      <c r="G6" s="156"/>
      <c r="H6" s="156"/>
      <c r="I6" s="184" t="s">
        <v>158</v>
      </c>
      <c r="J6" s="181" t="s">
        <v>162</v>
      </c>
      <c r="K6" s="125" t="s">
        <v>161</v>
      </c>
      <c r="L6" s="131" t="s">
        <v>159</v>
      </c>
      <c r="M6" s="126">
        <v>0.5</v>
      </c>
      <c r="N6" s="132"/>
      <c r="O6" s="106">
        <f t="shared" ref="O6" si="5">SUM(N6:N6)*M6*$O$2</f>
        <v>0</v>
      </c>
      <c r="P6" s="134">
        <v>161858</v>
      </c>
      <c r="Q6" s="106">
        <f>M6*P6</f>
        <v>80929</v>
      </c>
      <c r="R6" s="136"/>
      <c r="S6" s="106">
        <f t="shared" ref="S6" si="6">R6*M6*$S$2</f>
        <v>0</v>
      </c>
      <c r="T6" s="136"/>
      <c r="U6" s="106">
        <f t="shared" ref="U6" si="7">T6*M6*$U$2</f>
        <v>0</v>
      </c>
      <c r="V6" s="108">
        <f t="shared" ref="V6" si="8">SUM(O6+Q6)+S6+U6</f>
        <v>80929</v>
      </c>
      <c r="W6" s="109"/>
      <c r="X6" s="110"/>
    </row>
    <row r="7" spans="1:24" s="111" customFormat="1" ht="19.899999999999999" customHeight="1">
      <c r="A7" s="103" t="str">
        <f t="shared" si="0"/>
        <v>M011902400300101</v>
      </c>
      <c r="B7" s="104"/>
      <c r="C7" s="104"/>
      <c r="D7" s="104"/>
      <c r="E7" s="104"/>
      <c r="F7" s="155"/>
      <c r="G7" s="156"/>
      <c r="H7" s="157" t="s">
        <v>108</v>
      </c>
      <c r="I7" s="99"/>
      <c r="J7" s="182" t="s">
        <v>145</v>
      </c>
      <c r="K7" s="127" t="s">
        <v>107</v>
      </c>
      <c r="L7" s="128" t="s">
        <v>129</v>
      </c>
      <c r="M7" s="126">
        <v>16</v>
      </c>
      <c r="N7" s="133">
        <v>5900</v>
      </c>
      <c r="O7" s="106">
        <f t="shared" ref="O7:O11" si="9">SUM(N7:N7)*M7*$O$2</f>
        <v>78824</v>
      </c>
      <c r="P7" s="135"/>
      <c r="Q7" s="106">
        <f t="shared" ref="Q7:Q12" si="10">(P7*M7)*$Q$2</f>
        <v>0</v>
      </c>
      <c r="R7" s="136"/>
      <c r="S7" s="106">
        <f t="shared" ref="S7:S12" si="11">R7*M7*$S$2</f>
        <v>0</v>
      </c>
      <c r="T7" s="136"/>
      <c r="U7" s="106">
        <f t="shared" ref="U7:U12" si="12">T7*M7*$U$2</f>
        <v>0</v>
      </c>
      <c r="V7" s="108">
        <f t="shared" ref="V7:V12" si="13">SUM(O7+Q7)+S7+U7</f>
        <v>78824</v>
      </c>
      <c r="W7" s="109"/>
      <c r="X7" s="110"/>
    </row>
    <row r="8" spans="1:24" s="111" customFormat="1" ht="19.899999999999999" customHeight="1">
      <c r="A8" s="103" t="str">
        <f t="shared" si="0"/>
        <v>D02620</v>
      </c>
      <c r="B8" s="104"/>
      <c r="C8" s="104"/>
      <c r="D8" s="104"/>
      <c r="E8" s="104"/>
      <c r="F8" s="155" t="s">
        <v>100</v>
      </c>
      <c r="G8" s="156"/>
      <c r="H8" s="156"/>
      <c r="I8" s="99"/>
      <c r="J8" s="181" t="s">
        <v>103</v>
      </c>
      <c r="K8" s="125" t="s">
        <v>104</v>
      </c>
      <c r="L8" s="129" t="s">
        <v>129</v>
      </c>
      <c r="M8" s="126">
        <v>32</v>
      </c>
      <c r="N8" s="134">
        <v>125</v>
      </c>
      <c r="O8" s="106">
        <f t="shared" si="9"/>
        <v>3340</v>
      </c>
      <c r="P8" s="134">
        <v>14590</v>
      </c>
      <c r="Q8" s="106">
        <f t="shared" si="10"/>
        <v>389844.8</v>
      </c>
      <c r="R8" s="136"/>
      <c r="S8" s="106">
        <f t="shared" si="11"/>
        <v>0</v>
      </c>
      <c r="T8" s="136"/>
      <c r="U8" s="106">
        <f t="shared" si="12"/>
        <v>0</v>
      </c>
      <c r="V8" s="108">
        <f t="shared" si="13"/>
        <v>393184.8</v>
      </c>
      <c r="W8" s="109"/>
      <c r="X8" s="110"/>
    </row>
    <row r="9" spans="1:24" s="111" customFormat="1" ht="19.899999999999999" customHeight="1">
      <c r="A9" s="103" t="str">
        <f t="shared" si="0"/>
        <v>D02639</v>
      </c>
      <c r="B9" s="104"/>
      <c r="C9" s="104"/>
      <c r="D9" s="104"/>
      <c r="E9" s="104"/>
      <c r="F9" s="155" t="s">
        <v>101</v>
      </c>
      <c r="G9" s="156"/>
      <c r="H9" s="156"/>
      <c r="I9" s="99"/>
      <c r="J9" s="181" t="s">
        <v>105</v>
      </c>
      <c r="K9" s="125" t="s">
        <v>106</v>
      </c>
      <c r="L9" s="129" t="s">
        <v>77</v>
      </c>
      <c r="M9" s="130">
        <v>12</v>
      </c>
      <c r="N9" s="134">
        <v>2966</v>
      </c>
      <c r="O9" s="106">
        <f t="shared" si="9"/>
        <v>29719.32</v>
      </c>
      <c r="P9" s="134">
        <v>3158</v>
      </c>
      <c r="Q9" s="106">
        <f t="shared" si="10"/>
        <v>31643.16</v>
      </c>
      <c r="R9" s="136"/>
      <c r="S9" s="106">
        <f t="shared" si="11"/>
        <v>0</v>
      </c>
      <c r="T9" s="136"/>
      <c r="U9" s="106">
        <f t="shared" si="12"/>
        <v>0</v>
      </c>
      <c r="V9" s="108">
        <f t="shared" si="13"/>
        <v>61362.479999999996</v>
      </c>
      <c r="W9" s="109"/>
      <c r="X9" s="110"/>
    </row>
    <row r="10" spans="1:24" s="111" customFormat="1" ht="19.899999999999999" customHeight="1">
      <c r="A10" s="103" t="str">
        <f t="shared" si="0"/>
        <v>M011902401200101</v>
      </c>
      <c r="B10" s="104"/>
      <c r="C10" s="104"/>
      <c r="D10" s="104"/>
      <c r="E10" s="104"/>
      <c r="F10" s="155"/>
      <c r="G10" s="156"/>
      <c r="H10" s="157" t="s">
        <v>102</v>
      </c>
      <c r="I10" s="99"/>
      <c r="J10" s="182" t="s">
        <v>146</v>
      </c>
      <c r="K10" s="127" t="s">
        <v>130</v>
      </c>
      <c r="L10" s="128" t="s">
        <v>129</v>
      </c>
      <c r="M10" s="126">
        <v>16</v>
      </c>
      <c r="N10" s="133">
        <v>8000</v>
      </c>
      <c r="O10" s="106">
        <f t="shared" si="9"/>
        <v>106880</v>
      </c>
      <c r="P10" s="134"/>
      <c r="Q10" s="106">
        <f t="shared" si="10"/>
        <v>0</v>
      </c>
      <c r="R10" s="136"/>
      <c r="S10" s="106">
        <f t="shared" si="11"/>
        <v>0</v>
      </c>
      <c r="T10" s="136"/>
      <c r="U10" s="106">
        <f t="shared" si="12"/>
        <v>0</v>
      </c>
      <c r="V10" s="108">
        <f t="shared" si="13"/>
        <v>106880</v>
      </c>
      <c r="W10" s="109"/>
      <c r="X10" s="110"/>
    </row>
    <row r="11" spans="1:24" s="111" customFormat="1" ht="19.899999999999999" customHeight="1">
      <c r="A11" s="103" t="str">
        <f t="shared" si="0"/>
        <v>L031</v>
      </c>
      <c r="B11" s="104"/>
      <c r="C11" s="104"/>
      <c r="D11" s="104"/>
      <c r="E11" s="104"/>
      <c r="F11" s="105"/>
      <c r="G11" s="112"/>
      <c r="H11" s="112"/>
      <c r="I11" s="184" t="s">
        <v>164</v>
      </c>
      <c r="J11" s="158" t="s">
        <v>163</v>
      </c>
      <c r="K11" s="163" t="s">
        <v>165</v>
      </c>
      <c r="L11" s="163" t="s">
        <v>166</v>
      </c>
      <c r="M11" s="126">
        <v>1</v>
      </c>
      <c r="N11" s="164"/>
      <c r="O11" s="106">
        <f t="shared" si="9"/>
        <v>0</v>
      </c>
      <c r="P11" s="165">
        <v>211861</v>
      </c>
      <c r="Q11" s="106">
        <f>M11*P11</f>
        <v>211861</v>
      </c>
      <c r="R11" s="107"/>
      <c r="S11" s="106">
        <f t="shared" ref="S11" si="14">R11*M11*$S$2</f>
        <v>0</v>
      </c>
      <c r="T11" s="107"/>
      <c r="U11" s="106">
        <f t="shared" ref="U11" si="15">T11*M11*$U$2</f>
        <v>0</v>
      </c>
      <c r="V11" s="107">
        <f t="shared" ref="V11" si="16">SUM(O11+Q11)+S11+U11</f>
        <v>211861</v>
      </c>
      <c r="W11" s="109"/>
      <c r="X11" s="110"/>
    </row>
    <row r="12" spans="1:24" s="111" customFormat="1" ht="19.899999999999999" customHeight="1">
      <c r="A12" s="103"/>
      <c r="B12" s="104"/>
      <c r="C12" s="104"/>
      <c r="D12" s="104"/>
      <c r="E12" s="104"/>
      <c r="F12" s="105"/>
      <c r="G12" s="112"/>
      <c r="H12" s="112"/>
      <c r="I12" s="105"/>
      <c r="J12" s="183" t="str">
        <f>"시중가_"&amp;K12&amp;")"</f>
        <v>시중가_합지벽지(LG하우시스 휘앙세))</v>
      </c>
      <c r="K12" s="163" t="s">
        <v>133</v>
      </c>
      <c r="L12" s="163" t="s">
        <v>132</v>
      </c>
      <c r="M12" s="126">
        <v>22</v>
      </c>
      <c r="N12" s="164">
        <v>1300</v>
      </c>
      <c r="O12" s="106">
        <f t="shared" ref="O12" si="17">SUM(N12:N12)*M12*$O$2</f>
        <v>23881</v>
      </c>
      <c r="P12" s="166"/>
      <c r="Q12" s="106">
        <f t="shared" si="10"/>
        <v>0</v>
      </c>
      <c r="R12" s="107"/>
      <c r="S12" s="106">
        <f t="shared" si="11"/>
        <v>0</v>
      </c>
      <c r="T12" s="107"/>
      <c r="U12" s="106">
        <f t="shared" si="12"/>
        <v>0</v>
      </c>
      <c r="V12" s="107">
        <f t="shared" si="13"/>
        <v>23881</v>
      </c>
      <c r="W12" s="167"/>
      <c r="X12" s="110"/>
    </row>
    <row r="13" spans="1:24" s="114" customFormat="1" ht="19.899999999999999" customHeight="1">
      <c r="A13" s="113"/>
      <c r="B13" s="113"/>
      <c r="C13" s="113"/>
      <c r="D13" s="113"/>
      <c r="E13" s="113"/>
      <c r="O13" s="115">
        <f>SUM(O5:O12)</f>
        <v>242644.32</v>
      </c>
      <c r="P13" s="116"/>
      <c r="Q13" s="115">
        <f>SUM(Q5:Q12)</f>
        <v>922804.96000000008</v>
      </c>
      <c r="R13" s="116"/>
      <c r="S13" s="115">
        <f>SUM(S5:S12)</f>
        <v>0</v>
      </c>
      <c r="T13" s="116"/>
      <c r="U13" s="115">
        <f>SUM(U5:U12)</f>
        <v>0</v>
      </c>
      <c r="V13" s="115">
        <f>SUM(V5:V12)</f>
        <v>1165449.28</v>
      </c>
      <c r="W13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14"/>
  <sheetViews>
    <sheetView topLeftCell="A4" zoomScaleNormal="100" workbookViewId="0">
      <selection activeCell="I22" sqref="I22"/>
    </sheetView>
  </sheetViews>
  <sheetFormatPr defaultColWidth="9" defaultRowHeight="16.5"/>
  <cols>
    <col min="1" max="1" width="22.625" style="86" customWidth="1"/>
    <col min="2" max="2" width="27.625" style="86" customWidth="1"/>
    <col min="3" max="3" width="5.75" style="86" customWidth="1"/>
    <col min="4" max="4" width="5.25" style="86" customWidth="1"/>
    <col min="5" max="14" width="10.625" style="86" customWidth="1"/>
    <col min="15" max="16384" width="9" style="87"/>
  </cols>
  <sheetData>
    <row r="1" spans="1:14" s="74" customFormat="1" ht="26.25" customHeight="1">
      <c r="A1" s="207" t="s">
        <v>78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</row>
    <row r="2" spans="1:14" s="74" customFormat="1" ht="20.100000000000001" customHeight="1">
      <c r="A2" s="208" t="s">
        <v>79</v>
      </c>
      <c r="B2" s="208" t="s">
        <v>80</v>
      </c>
      <c r="C2" s="209" t="s">
        <v>52</v>
      </c>
      <c r="D2" s="209" t="s">
        <v>81</v>
      </c>
      <c r="E2" s="211" t="s">
        <v>82</v>
      </c>
      <c r="F2" s="208"/>
      <c r="G2" s="212" t="s">
        <v>83</v>
      </c>
      <c r="H2" s="213"/>
      <c r="I2" s="214" t="s">
        <v>84</v>
      </c>
      <c r="J2" s="213"/>
      <c r="K2" s="214" t="s">
        <v>85</v>
      </c>
      <c r="L2" s="213"/>
      <c r="M2" s="214" t="s">
        <v>86</v>
      </c>
      <c r="N2" s="215"/>
    </row>
    <row r="3" spans="1:14" s="74" customFormat="1" ht="20.100000000000001" customHeight="1">
      <c r="A3" s="208"/>
      <c r="B3" s="208"/>
      <c r="C3" s="210"/>
      <c r="D3" s="210"/>
      <c r="E3" s="75" t="s">
        <v>87</v>
      </c>
      <c r="F3" s="75" t="s">
        <v>88</v>
      </c>
      <c r="G3" s="77" t="s">
        <v>87</v>
      </c>
      <c r="H3" s="76" t="s">
        <v>88</v>
      </c>
      <c r="I3" s="77" t="s">
        <v>87</v>
      </c>
      <c r="J3" s="76" t="s">
        <v>88</v>
      </c>
      <c r="K3" s="77" t="s">
        <v>87</v>
      </c>
      <c r="L3" s="76" t="s">
        <v>88</v>
      </c>
      <c r="M3" s="77" t="s">
        <v>87</v>
      </c>
      <c r="N3" s="75" t="s">
        <v>88</v>
      </c>
    </row>
    <row r="4" spans="1:14" s="74" customFormat="1" ht="20.100000000000001" customHeight="1">
      <c r="A4" s="205" t="s">
        <v>149</v>
      </c>
      <c r="B4" s="206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>
        <f>F4+H4+J4+L4</f>
        <v>0</v>
      </c>
    </row>
    <row r="5" spans="1:14" s="74" customFormat="1" ht="20.100000000000001" customHeight="1">
      <c r="A5" s="137" t="s">
        <v>153</v>
      </c>
      <c r="B5" s="180" t="s">
        <v>154</v>
      </c>
      <c r="C5" s="138" t="s">
        <v>155</v>
      </c>
      <c r="D5" s="139">
        <v>1</v>
      </c>
      <c r="E5" s="140"/>
      <c r="F5" s="141">
        <f t="shared" ref="F5:F13" si="0">D5*E5</f>
        <v>0</v>
      </c>
      <c r="G5" s="142">
        <v>208527</v>
      </c>
      <c r="H5" s="140">
        <f>D5*G5</f>
        <v>208527</v>
      </c>
      <c r="I5" s="140"/>
      <c r="J5" s="143"/>
      <c r="K5" s="140"/>
      <c r="L5" s="143"/>
      <c r="M5" s="144"/>
      <c r="N5" s="144">
        <f t="shared" ref="N5:N11" si="1">F5+H5+J5+L5</f>
        <v>208527</v>
      </c>
    </row>
    <row r="6" spans="1:14" s="74" customFormat="1" ht="20.100000000000001" customHeight="1">
      <c r="A6" s="137"/>
      <c r="B6" s="180" t="s">
        <v>156</v>
      </c>
      <c r="C6" s="138" t="s">
        <v>155</v>
      </c>
      <c r="D6" s="139">
        <v>0.5</v>
      </c>
      <c r="E6" s="140"/>
      <c r="F6" s="141"/>
      <c r="G6" s="142">
        <v>161858</v>
      </c>
      <c r="H6" s="140">
        <f>D6*G6</f>
        <v>80929</v>
      </c>
      <c r="I6" s="140"/>
      <c r="J6" s="143"/>
      <c r="K6" s="140"/>
      <c r="L6" s="143"/>
      <c r="M6" s="144"/>
      <c r="N6" s="144">
        <f t="shared" ref="N6" si="2">F6+H6+J6+L6</f>
        <v>80929</v>
      </c>
    </row>
    <row r="7" spans="1:14" s="74" customFormat="1" ht="20.100000000000001" customHeight="1">
      <c r="A7" s="145" t="s">
        <v>150</v>
      </c>
      <c r="B7" s="146" t="s">
        <v>151</v>
      </c>
      <c r="C7" s="147"/>
      <c r="D7" s="139"/>
      <c r="E7" s="148"/>
      <c r="F7" s="149"/>
      <c r="G7" s="149"/>
      <c r="H7" s="150"/>
      <c r="I7" s="149"/>
      <c r="J7" s="149"/>
      <c r="K7" s="149"/>
      <c r="L7" s="149"/>
      <c r="M7" s="147"/>
      <c r="N7" s="144"/>
    </row>
    <row r="8" spans="1:14" s="74" customFormat="1" ht="20.100000000000001" customHeight="1">
      <c r="A8" s="151" t="s">
        <v>90</v>
      </c>
      <c r="B8" s="152" t="s">
        <v>91</v>
      </c>
      <c r="C8" s="152" t="s">
        <v>92</v>
      </c>
      <c r="D8" s="139">
        <v>16</v>
      </c>
      <c r="E8" s="141">
        <v>4927</v>
      </c>
      <c r="F8" s="141">
        <f t="shared" si="0"/>
        <v>78832</v>
      </c>
      <c r="G8" s="141"/>
      <c r="H8" s="140"/>
      <c r="I8" s="153"/>
      <c r="J8" s="141"/>
      <c r="K8" s="153"/>
      <c r="L8" s="141"/>
      <c r="M8" s="144"/>
      <c r="N8" s="144">
        <f t="shared" si="1"/>
        <v>78832</v>
      </c>
    </row>
    <row r="9" spans="1:14" s="74" customFormat="1" ht="20.100000000000001" customHeight="1">
      <c r="A9" s="151" t="s">
        <v>93</v>
      </c>
      <c r="B9" s="152" t="s">
        <v>94</v>
      </c>
      <c r="C9" s="152" t="s">
        <v>92</v>
      </c>
      <c r="D9" s="139">
        <v>16</v>
      </c>
      <c r="E9" s="154">
        <v>6680</v>
      </c>
      <c r="F9" s="141">
        <f t="shared" si="0"/>
        <v>106880</v>
      </c>
      <c r="G9" s="141"/>
      <c r="H9" s="140">
        <f t="shared" ref="H9:H13" si="3">D9*G9</f>
        <v>0</v>
      </c>
      <c r="I9" s="153"/>
      <c r="J9" s="141"/>
      <c r="K9" s="153"/>
      <c r="L9" s="141"/>
      <c r="M9" s="144"/>
      <c r="N9" s="144">
        <f t="shared" si="1"/>
        <v>106880</v>
      </c>
    </row>
    <row r="10" spans="1:14" s="74" customFormat="1" ht="20.100000000000001" customHeight="1">
      <c r="A10" s="151" t="s">
        <v>95</v>
      </c>
      <c r="B10" s="152" t="s">
        <v>96</v>
      </c>
      <c r="C10" s="152" t="s">
        <v>92</v>
      </c>
      <c r="D10" s="139">
        <v>32</v>
      </c>
      <c r="E10" s="141">
        <v>104</v>
      </c>
      <c r="F10" s="141">
        <f t="shared" si="0"/>
        <v>3328</v>
      </c>
      <c r="G10" s="141">
        <v>12183</v>
      </c>
      <c r="H10" s="140">
        <f t="shared" si="3"/>
        <v>389856</v>
      </c>
      <c r="I10" s="153"/>
      <c r="J10" s="141"/>
      <c r="K10" s="153"/>
      <c r="L10" s="141"/>
      <c r="M10" s="144"/>
      <c r="N10" s="144">
        <f t="shared" si="1"/>
        <v>393184</v>
      </c>
    </row>
    <row r="11" spans="1:14" s="74" customFormat="1" ht="20.100000000000001" customHeight="1">
      <c r="A11" s="151" t="s">
        <v>97</v>
      </c>
      <c r="B11" s="152" t="s">
        <v>98</v>
      </c>
      <c r="C11" s="147" t="s">
        <v>99</v>
      </c>
      <c r="D11" s="139">
        <v>12</v>
      </c>
      <c r="E11" s="154">
        <v>2477</v>
      </c>
      <c r="F11" s="141">
        <f t="shared" si="0"/>
        <v>29724</v>
      </c>
      <c r="G11" s="141">
        <v>2637</v>
      </c>
      <c r="H11" s="140">
        <f t="shared" si="3"/>
        <v>31644</v>
      </c>
      <c r="I11" s="153"/>
      <c r="J11" s="141"/>
      <c r="K11" s="153"/>
      <c r="L11" s="141"/>
      <c r="M11" s="144"/>
      <c r="N11" s="144">
        <f t="shared" si="1"/>
        <v>61368</v>
      </c>
    </row>
    <row r="12" spans="1:14" s="74" customFormat="1" ht="20.100000000000001" customHeight="1">
      <c r="A12" s="151" t="s">
        <v>131</v>
      </c>
      <c r="B12" s="158" t="s">
        <v>152</v>
      </c>
      <c r="C12" s="159" t="s">
        <v>89</v>
      </c>
      <c r="D12" s="160">
        <v>22</v>
      </c>
      <c r="E12" s="161">
        <v>1086</v>
      </c>
      <c r="F12" s="162">
        <f t="shared" ref="F12" si="4">D12*E12</f>
        <v>23892</v>
      </c>
      <c r="G12" s="162"/>
      <c r="H12" s="161">
        <f t="shared" ref="H12" si="5">D12*G12</f>
        <v>0</v>
      </c>
      <c r="I12" s="161"/>
      <c r="J12" s="161"/>
      <c r="K12" s="162"/>
      <c r="L12" s="162"/>
      <c r="M12" s="162"/>
      <c r="N12" s="162">
        <f>F12+H12+J12+L12</f>
        <v>23892</v>
      </c>
    </row>
    <row r="13" spans="1:14" s="74" customFormat="1" ht="20.100000000000001" customHeight="1">
      <c r="A13" s="151"/>
      <c r="B13" s="158" t="s">
        <v>163</v>
      </c>
      <c r="C13" s="159" t="s">
        <v>155</v>
      </c>
      <c r="D13" s="160">
        <v>1</v>
      </c>
      <c r="E13" s="161"/>
      <c r="F13" s="162">
        <f t="shared" si="0"/>
        <v>0</v>
      </c>
      <c r="G13" s="162">
        <v>211861</v>
      </c>
      <c r="H13" s="161">
        <f t="shared" si="3"/>
        <v>211861</v>
      </c>
      <c r="I13" s="161"/>
      <c r="J13" s="161"/>
      <c r="K13" s="162"/>
      <c r="L13" s="162"/>
      <c r="M13" s="162"/>
      <c r="N13" s="162">
        <f>F13+H13+J13+L13</f>
        <v>211861</v>
      </c>
    </row>
    <row r="14" spans="1:14" s="74" customFormat="1" ht="20.100000000000001" customHeight="1">
      <c r="A14" s="119" t="s">
        <v>86</v>
      </c>
      <c r="B14" s="80"/>
      <c r="C14" s="81"/>
      <c r="D14" s="82"/>
      <c r="E14" s="83"/>
      <c r="F14" s="84">
        <f>SUM(F5:F13)</f>
        <v>242656</v>
      </c>
      <c r="G14" s="83"/>
      <c r="H14" s="84">
        <f>SUM(H5:H13)</f>
        <v>922817</v>
      </c>
      <c r="I14" s="83"/>
      <c r="J14" s="84">
        <f>SUM(J5:J13)</f>
        <v>0</v>
      </c>
      <c r="K14" s="83"/>
      <c r="L14" s="84">
        <f>SUM(L5:L13)</f>
        <v>0</v>
      </c>
      <c r="M14" s="85"/>
      <c r="N14" s="84">
        <f>F14+H14+J14+L14</f>
        <v>1165473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4">
    <pageSetUpPr fitToPage="1"/>
  </sheetPr>
  <dimension ref="A1:P22"/>
  <sheetViews>
    <sheetView zoomScale="55" zoomScaleNormal="55" zoomScaleSheetLayoutView="85" workbookViewId="0">
      <selection activeCell="L22" sqref="L22"/>
    </sheetView>
  </sheetViews>
  <sheetFormatPr defaultColWidth="9" defaultRowHeight="16.5"/>
  <cols>
    <col min="1" max="1" width="25.625" style="68" customWidth="1"/>
    <col min="2" max="2" width="31.75" style="68" customWidth="1"/>
    <col min="3" max="3" width="24.375" style="68" customWidth="1"/>
    <col min="4" max="4" width="26.125" style="68" customWidth="1"/>
    <col min="5" max="5" width="27.5" style="68" customWidth="1"/>
    <col min="6" max="6" width="10.625" style="68" customWidth="1"/>
    <col min="7" max="7" width="13.625" style="69" customWidth="1"/>
    <col min="8" max="8" width="9.625" style="68" customWidth="1"/>
    <col min="9" max="9" width="13.625" style="68" customWidth="1"/>
    <col min="10" max="10" width="12.75" style="68" customWidth="1"/>
    <col min="11" max="11" width="9.25" style="68" customWidth="1"/>
    <col min="12" max="12" width="13.625" style="69" customWidth="1"/>
    <col min="13" max="13" width="9.625" style="68" customWidth="1"/>
    <col min="14" max="14" width="13.625" style="69" customWidth="1"/>
    <col min="15" max="15" width="18.75" style="70" customWidth="1"/>
    <col min="16" max="16" width="20.875" style="70" customWidth="1"/>
    <col min="17" max="16384" width="9" style="68"/>
  </cols>
  <sheetData>
    <row r="1" spans="1:5" ht="15" customHeight="1"/>
    <row r="2" spans="1:5">
      <c r="A2" s="71"/>
      <c r="B2" s="72"/>
      <c r="C2" s="72"/>
      <c r="D2" s="72"/>
      <c r="E2" s="73"/>
    </row>
    <row r="16" spans="1:5" ht="54.95" customHeight="1"/>
    <row r="17" spans="1:16" s="87" customFormat="1" ht="54.95" customHeight="1"/>
    <row r="18" spans="1:16" s="168" customFormat="1" ht="54.95" customHeight="1">
      <c r="A18" s="216" t="s">
        <v>134</v>
      </c>
      <c r="B18" s="216"/>
      <c r="C18" s="171"/>
      <c r="D18" s="171"/>
      <c r="E18" s="171"/>
      <c r="G18" s="169"/>
      <c r="L18" s="169"/>
      <c r="N18" s="169"/>
      <c r="O18" s="170"/>
      <c r="P18" s="170"/>
    </row>
    <row r="19" spans="1:16" s="168" customFormat="1" ht="54.95" customHeight="1">
      <c r="A19" s="172" t="s">
        <v>135</v>
      </c>
      <c r="B19" s="173" t="s">
        <v>136</v>
      </c>
      <c r="C19" s="173" t="s">
        <v>137</v>
      </c>
      <c r="D19" s="173" t="s">
        <v>138</v>
      </c>
      <c r="E19" s="174" t="s">
        <v>139</v>
      </c>
      <c r="G19" s="169"/>
      <c r="L19" s="169"/>
      <c r="N19" s="169"/>
      <c r="O19" s="170"/>
      <c r="P19" s="170"/>
    </row>
    <row r="20" spans="1:16" s="168" customFormat="1" ht="54.95" customHeight="1">
      <c r="A20" s="175">
        <v>999999</v>
      </c>
      <c r="B20" s="176" t="s">
        <v>140</v>
      </c>
      <c r="C20" s="176" t="s">
        <v>141</v>
      </c>
      <c r="D20" s="177">
        <v>1300</v>
      </c>
      <c r="E20" s="178" t="s">
        <v>142</v>
      </c>
      <c r="G20" s="169"/>
      <c r="L20" s="169"/>
      <c r="N20" s="169"/>
      <c r="O20" s="170"/>
      <c r="P20" s="170"/>
    </row>
    <row r="21" spans="1:16" s="87" customFormat="1" ht="54.95" customHeight="1"/>
    <row r="22" spans="1:16" ht="54.95" customHeight="1"/>
  </sheetData>
  <mergeCells count="1">
    <mergeCell ref="A18:B18"/>
  </mergeCells>
  <phoneticPr fontId="10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5"/>
  <dimension ref="A1:R12"/>
  <sheetViews>
    <sheetView tabSelected="1" workbookViewId="0">
      <selection activeCell="H18" sqref="H18"/>
    </sheetView>
  </sheetViews>
  <sheetFormatPr defaultColWidth="9" defaultRowHeight="16.5"/>
  <cols>
    <col min="1" max="1" width="11.125" style="87" customWidth="1"/>
    <col min="2" max="2" width="13.375" style="87" customWidth="1"/>
    <col min="3" max="3" width="29.125" style="87" bestFit="1" customWidth="1"/>
    <col min="4" max="4" width="30.875" style="87" bestFit="1" customWidth="1"/>
    <col min="5" max="5" width="5" style="87" customWidth="1"/>
    <col min="6" max="6" width="6.25" style="87" customWidth="1"/>
    <col min="7" max="7" width="10" style="87" customWidth="1"/>
    <col min="8" max="8" width="11.875" style="87" customWidth="1"/>
    <col min="9" max="9" width="10" style="87" customWidth="1"/>
    <col min="10" max="10" width="11.875" style="87" customWidth="1"/>
    <col min="11" max="11" width="10" style="87" customWidth="1"/>
    <col min="12" max="12" width="11.875" style="87" customWidth="1"/>
    <col min="13" max="13" width="10" style="87" customWidth="1"/>
    <col min="14" max="14" width="11.875" style="87" customWidth="1"/>
    <col min="15" max="15" width="9.125" style="87" customWidth="1"/>
    <col min="16" max="16" width="11.5" style="87" customWidth="1"/>
    <col min="17" max="17" width="11.75" style="87" customWidth="1"/>
    <col min="18" max="18" width="17.875" style="87" customWidth="1"/>
    <col min="19" max="16384" width="9" style="87"/>
  </cols>
  <sheetData>
    <row r="1" spans="1:18" ht="18" customHeight="1">
      <c r="A1" s="120" t="s">
        <v>48</v>
      </c>
      <c r="B1" s="120" t="s">
        <v>49</v>
      </c>
      <c r="C1" s="120" t="s">
        <v>50</v>
      </c>
      <c r="D1" s="120" t="s">
        <v>51</v>
      </c>
      <c r="E1" s="120" t="s">
        <v>52</v>
      </c>
      <c r="F1" s="120" t="s">
        <v>5</v>
      </c>
      <c r="G1" s="120" t="s">
        <v>53</v>
      </c>
      <c r="H1" s="120" t="s">
        <v>54</v>
      </c>
      <c r="I1" s="120" t="s">
        <v>55</v>
      </c>
      <c r="J1" s="120" t="s">
        <v>56</v>
      </c>
      <c r="K1" s="120" t="s">
        <v>57</v>
      </c>
      <c r="L1" s="120" t="s">
        <v>58</v>
      </c>
      <c r="M1" s="120" t="s">
        <v>59</v>
      </c>
      <c r="N1" s="120" t="s">
        <v>60</v>
      </c>
      <c r="O1" s="120" t="s">
        <v>61</v>
      </c>
      <c r="P1" s="120" t="s">
        <v>62</v>
      </c>
      <c r="Q1" s="120" t="s">
        <v>63</v>
      </c>
      <c r="R1" s="120" t="s">
        <v>64</v>
      </c>
    </row>
    <row r="2" spans="1:18">
      <c r="A2" s="92">
        <v>999999</v>
      </c>
      <c r="B2" s="91" t="s">
        <v>76</v>
      </c>
      <c r="C2" s="92" t="s">
        <v>143</v>
      </c>
      <c r="D2" s="92" t="s">
        <v>144</v>
      </c>
      <c r="E2" s="92" t="s">
        <v>132</v>
      </c>
      <c r="F2" s="121">
        <v>22</v>
      </c>
      <c r="G2" s="179">
        <v>1086</v>
      </c>
      <c r="H2" s="179"/>
      <c r="I2" s="179"/>
      <c r="J2" s="91"/>
      <c r="K2" s="91"/>
      <c r="L2" s="91"/>
      <c r="M2" s="91"/>
      <c r="N2" s="91"/>
      <c r="O2" s="91"/>
      <c r="P2" s="91"/>
      <c r="Q2" s="91"/>
      <c r="R2" s="91"/>
    </row>
    <row r="3" spans="1:18"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</row>
    <row r="4" spans="1:18"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</row>
    <row r="5" spans="1:18"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</row>
    <row r="6" spans="1:18"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7" spans="1:18"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</row>
    <row r="8" spans="1:18"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</row>
    <row r="9" spans="1:18"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</row>
    <row r="10" spans="1:18"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</row>
    <row r="11" spans="1:18"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</row>
    <row r="12" spans="1:18"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I24" sqref="I24"/>
    </sheetView>
  </sheetViews>
  <sheetFormatPr defaultColWidth="9" defaultRowHeight="16.5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7.5" style="89" customWidth="1"/>
    <col min="7" max="16384" width="9" style="87"/>
  </cols>
  <sheetData>
    <row r="1" spans="1:6" ht="18" customHeight="1">
      <c r="A1" s="122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</row>
    <row r="2" spans="1:6">
      <c r="A2" s="123" t="str">
        <f>'내역서(표준단가)'!A5</f>
        <v>L003</v>
      </c>
      <c r="B2" s="124">
        <f>'내역서(표준단가)'!F5</f>
        <v>0</v>
      </c>
      <c r="C2" s="124">
        <f>'내역서(표준단가)'!G5</f>
        <v>0</v>
      </c>
      <c r="D2" s="124">
        <f>'내역서(표준단가)'!H5</f>
        <v>0</v>
      </c>
      <c r="E2" s="124" t="str">
        <f>'내역서(표준단가)'!I5</f>
        <v>L003</v>
      </c>
      <c r="F2" s="124">
        <f>'내역서(표준단가)'!M5</f>
        <v>1</v>
      </c>
    </row>
    <row r="3" spans="1:6">
      <c r="A3" s="123" t="str">
        <f>'내역서(표준단가)'!A6</f>
        <v>L002</v>
      </c>
      <c r="B3" s="124">
        <f>'내역서(표준단가)'!F6</f>
        <v>0</v>
      </c>
      <c r="C3" s="124">
        <f>'내역서(표준단가)'!G6</f>
        <v>0</v>
      </c>
      <c r="D3" s="124">
        <f>'내역서(표준단가)'!H6</f>
        <v>0</v>
      </c>
      <c r="E3" s="124" t="str">
        <f>'내역서(표준단가)'!I6</f>
        <v>L002</v>
      </c>
      <c r="F3" s="124">
        <f>'내역서(표준단가)'!M6</f>
        <v>0.5</v>
      </c>
    </row>
    <row r="4" spans="1:6">
      <c r="A4" s="123" t="str">
        <f>'내역서(표준단가)'!A7</f>
        <v>M011902400300101</v>
      </c>
      <c r="B4" s="124">
        <f>'내역서(표준단가)'!F7</f>
        <v>0</v>
      </c>
      <c r="C4" s="124">
        <f>'내역서(표준단가)'!G7</f>
        <v>0</v>
      </c>
      <c r="D4" s="124" t="str">
        <f>'내역서(표준단가)'!H7</f>
        <v>M011902400300101</v>
      </c>
      <c r="E4" s="124">
        <f>'내역서(표준단가)'!I7</f>
        <v>0</v>
      </c>
      <c r="F4" s="124">
        <f>'내역서(표준단가)'!M7</f>
        <v>16</v>
      </c>
    </row>
    <row r="5" spans="1:6">
      <c r="A5" s="123" t="str">
        <f>'내역서(표준단가)'!A8</f>
        <v>D02620</v>
      </c>
      <c r="B5" s="124" t="str">
        <f>'내역서(표준단가)'!F8</f>
        <v>D02620</v>
      </c>
      <c r="C5" s="124">
        <f>'내역서(표준단가)'!G8</f>
        <v>0</v>
      </c>
      <c r="D5" s="124">
        <f>'내역서(표준단가)'!H8</f>
        <v>0</v>
      </c>
      <c r="E5" s="124">
        <f>'내역서(표준단가)'!I8</f>
        <v>0</v>
      </c>
      <c r="F5" s="124">
        <f>'내역서(표준단가)'!M8</f>
        <v>32</v>
      </c>
    </row>
    <row r="6" spans="1:6">
      <c r="A6" s="123" t="str">
        <f>'내역서(표준단가)'!A9</f>
        <v>D02639</v>
      </c>
      <c r="B6" s="124" t="str">
        <f>'내역서(표준단가)'!F9</f>
        <v>D02639</v>
      </c>
      <c r="C6" s="124">
        <f>'내역서(표준단가)'!G9</f>
        <v>0</v>
      </c>
      <c r="D6" s="124">
        <f>'내역서(표준단가)'!H9</f>
        <v>0</v>
      </c>
      <c r="E6" s="124">
        <f>'내역서(표준단가)'!I9</f>
        <v>0</v>
      </c>
      <c r="F6" s="124">
        <f>'내역서(표준단가)'!M9</f>
        <v>12</v>
      </c>
    </row>
    <row r="7" spans="1:6">
      <c r="A7" s="123" t="str">
        <f>'내역서(표준단가)'!A10</f>
        <v>M011902401200101</v>
      </c>
      <c r="B7" s="124">
        <f>'내역서(표준단가)'!F10</f>
        <v>0</v>
      </c>
      <c r="C7" s="124">
        <f>'내역서(표준단가)'!G10</f>
        <v>0</v>
      </c>
      <c r="D7" s="124" t="str">
        <f>'내역서(표준단가)'!H10</f>
        <v>M011902401200101</v>
      </c>
      <c r="E7" s="124">
        <f>'내역서(표준단가)'!I10</f>
        <v>0</v>
      </c>
      <c r="F7" s="124">
        <f>'내역서(표준단가)'!M10</f>
        <v>16</v>
      </c>
    </row>
    <row r="8" spans="1:6">
      <c r="A8" s="123" t="str">
        <f>'내역서(표준단가)'!A11</f>
        <v>L031</v>
      </c>
      <c r="B8" s="124">
        <f>'내역서(표준단가)'!F11</f>
        <v>0</v>
      </c>
      <c r="C8" s="124">
        <f>'내역서(표준단가)'!G11</f>
        <v>0</v>
      </c>
      <c r="D8" s="124">
        <f>'내역서(표준단가)'!H11</f>
        <v>0</v>
      </c>
      <c r="E8" s="124" t="str">
        <f>'내역서(표준단가)'!I11</f>
        <v>L031</v>
      </c>
      <c r="F8" s="124">
        <f>'내역서(표준단가)'!M11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2025-02-06T06:50:42Z</dcterms:modified>
</cp:coreProperties>
</file>
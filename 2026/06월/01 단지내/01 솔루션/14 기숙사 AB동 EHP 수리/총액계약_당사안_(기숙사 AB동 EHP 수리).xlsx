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419\06 작업폴더\04 기숙사 AB동 EHP 수리\"/>
    </mc:Choice>
  </mc:AlternateContent>
  <xr:revisionPtr revIDLastSave="0" documentId="13_ncr:1_{E41A4C93-B0BE-45A3-ACF9-0CC77E0A0C0E}" xr6:coauthVersionLast="47" xr6:coauthVersionMax="47" xr10:uidLastSave="{00000000-0000-0000-0000-000000000000}"/>
  <bookViews>
    <workbookView xWindow="2340" yWindow="675" windowWidth="14490" windowHeight="15525" tabRatio="815" xr2:uid="{D1CF3800-0A35-446C-81AA-FE6D283090FF}"/>
  </bookViews>
  <sheets>
    <sheet name="갑지" sheetId="20" r:id="rId1"/>
    <sheet name="을지" sheetId="19" r:id="rId2"/>
    <sheet name="시중가(단가계약 없음)" sheetId="2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20" l="1"/>
  <c r="G19" i="29"/>
  <c r="H19" i="29"/>
  <c r="J19" i="29"/>
  <c r="G20" i="29"/>
  <c r="H20" i="29"/>
  <c r="J20" i="29"/>
  <c r="G21" i="29"/>
  <c r="H21" i="29"/>
  <c r="J21" i="29"/>
  <c r="G22" i="29"/>
  <c r="H22" i="29"/>
  <c r="J22" i="29"/>
  <c r="G23" i="29"/>
  <c r="H23" i="29"/>
  <c r="J23" i="29"/>
  <c r="G24" i="29"/>
  <c r="H24" i="29"/>
  <c r="J24" i="29"/>
  <c r="G25" i="29"/>
  <c r="H25" i="29"/>
  <c r="J25" i="29"/>
  <c r="G26" i="29"/>
  <c r="H26" i="29"/>
  <c r="J26" i="29"/>
  <c r="G27" i="29"/>
  <c r="H27" i="29"/>
  <c r="J27" i="29"/>
  <c r="G28" i="29"/>
  <c r="H28" i="29"/>
  <c r="J28" i="29"/>
  <c r="J29" i="29"/>
  <c r="G34" i="29"/>
  <c r="F5" i="19"/>
  <c r="H5" i="19"/>
  <c r="H11" i="19"/>
  <c r="F6" i="19"/>
  <c r="I6" i="19"/>
  <c r="F7" i="19"/>
  <c r="H7" i="19"/>
  <c r="I7" i="19"/>
  <c r="F8" i="19"/>
  <c r="H8" i="19"/>
  <c r="I8" i="19"/>
  <c r="F9" i="19"/>
  <c r="I9" i="19"/>
  <c r="F10" i="19"/>
  <c r="I10" i="19"/>
  <c r="F11" i="19"/>
  <c r="H27" i="20"/>
  <c r="B10" i="29"/>
  <c r="H34" i="29"/>
  <c r="H15" i="20"/>
  <c r="H17" i="20"/>
  <c r="H18" i="20"/>
  <c r="H20" i="20"/>
  <c r="H31" i="20"/>
  <c r="C8" i="20"/>
  <c r="I11" i="19"/>
  <c r="I12" i="19"/>
  <c r="I5" i="19"/>
</calcChain>
</file>

<file path=xl/sharedStrings.xml><?xml version="1.0" encoding="utf-8"?>
<sst xmlns="http://schemas.openxmlformats.org/spreadsheetml/2006/main" count="181" uniqueCount="158">
  <si>
    <t>작성일로 부터 30일</t>
  </si>
  <si>
    <t>견적일자</t>
    <phoneticPr fontId="4" type="noConversion"/>
  </si>
  <si>
    <t>VAT별도</t>
    <phoneticPr fontId="2" type="noConversion"/>
  </si>
  <si>
    <t>구  성  비</t>
    <phoneticPr fontId="2" type="noConversion"/>
  </si>
  <si>
    <t>재료비</t>
    <phoneticPr fontId="2" type="noConversion"/>
  </si>
  <si>
    <t>직접재료비</t>
    <phoneticPr fontId="2" type="noConversion"/>
  </si>
  <si>
    <t>간접재료비</t>
    <phoneticPr fontId="2" type="noConversion"/>
  </si>
  <si>
    <t>소    계</t>
    <phoneticPr fontId="2" type="noConversion"/>
  </si>
  <si>
    <t>인건비</t>
    <phoneticPr fontId="2" type="noConversion"/>
  </si>
  <si>
    <t>직접노무비</t>
    <phoneticPr fontId="2" type="noConversion"/>
  </si>
  <si>
    <t>간접노무비</t>
    <phoneticPr fontId="2" type="noConversion"/>
  </si>
  <si>
    <t>안전관리비</t>
    <phoneticPr fontId="2" type="noConversion"/>
  </si>
  <si>
    <t>산재보험료</t>
    <phoneticPr fontId="2" type="noConversion"/>
  </si>
  <si>
    <t>일반관리비</t>
    <phoneticPr fontId="2" type="noConversion"/>
  </si>
  <si>
    <t>단수정리</t>
    <phoneticPr fontId="2" type="noConversion"/>
  </si>
  <si>
    <t>합    계</t>
    <phoneticPr fontId="2" type="noConversion"/>
  </si>
  <si>
    <t>특이사항</t>
    <phoneticPr fontId="4" type="noConversion"/>
  </si>
  <si>
    <t>고객담당자  :</t>
    <phoneticPr fontId="4" type="noConversion"/>
  </si>
  <si>
    <t>연락처 :</t>
    <phoneticPr fontId="4" type="noConversion"/>
  </si>
  <si>
    <t>Fax :</t>
    <phoneticPr fontId="4" type="noConversion"/>
  </si>
  <si>
    <t>042-486-4116</t>
    <phoneticPr fontId="2" type="noConversion"/>
  </si>
  <si>
    <t>見    積    書</t>
    <phoneticPr fontId="2" type="noConversion"/>
  </si>
  <si>
    <t>구   분</t>
    <phoneticPr fontId="4" type="noConversion"/>
  </si>
  <si>
    <t>간  접
공사비</t>
    <phoneticPr fontId="2" type="noConversion"/>
  </si>
  <si>
    <t>항     목</t>
    <phoneticPr fontId="2" type="noConversion"/>
  </si>
  <si>
    <t>비     고</t>
    <phoneticPr fontId="2" type="noConversion"/>
  </si>
  <si>
    <t>금   액  (원)</t>
    <phoneticPr fontId="4" type="noConversion"/>
  </si>
  <si>
    <t>등록번호</t>
    <phoneticPr fontId="2" type="noConversion"/>
  </si>
  <si>
    <t>106-86-40809</t>
    <phoneticPr fontId="2" type="noConversion"/>
  </si>
  <si>
    <t>상호</t>
    <phoneticPr fontId="2" type="noConversion"/>
  </si>
  <si>
    <t>하이엠솔루텍 주식회사</t>
    <phoneticPr fontId="2" type="noConversion"/>
  </si>
  <si>
    <t>대표자</t>
    <phoneticPr fontId="2" type="noConversion"/>
  </si>
  <si>
    <t>사업장
주소</t>
    <phoneticPr fontId="2" type="noConversion"/>
  </si>
  <si>
    <t>업태</t>
    <phoneticPr fontId="2" type="noConversion"/>
  </si>
  <si>
    <t>종목</t>
    <phoneticPr fontId="2" type="noConversion"/>
  </si>
  <si>
    <t>전화</t>
    <phoneticPr fontId="2" type="noConversion"/>
  </si>
  <si>
    <t>팩스</t>
    <phoneticPr fontId="2" type="noConversion"/>
  </si>
  <si>
    <t>유효기간</t>
    <phoneticPr fontId="2" type="noConversion"/>
  </si>
  <si>
    <t>견적금액
(VAT별도)</t>
    <phoneticPr fontId="4" type="noConversion"/>
  </si>
  <si>
    <t>계 약 명</t>
    <phoneticPr fontId="2" type="noConversion"/>
  </si>
  <si>
    <t>합계</t>
    <phoneticPr fontId="2" type="noConversion"/>
  </si>
  <si>
    <t>■ 상세 내역</t>
    <phoneticPr fontId="2" type="noConversion"/>
  </si>
  <si>
    <t>고용보험료</t>
    <phoneticPr fontId="2" type="noConversion"/>
  </si>
  <si>
    <t>Ⅰ. 견적내역</t>
    <phoneticPr fontId="4" type="noConversion"/>
  </si>
  <si>
    <t>인건비의 0.87%</t>
    <phoneticPr fontId="2" type="noConversion"/>
  </si>
  <si>
    <t>국민건강보험료</t>
    <phoneticPr fontId="2" type="noConversion"/>
  </si>
  <si>
    <t>국민연금보험료</t>
    <phoneticPr fontId="2" type="noConversion"/>
  </si>
  <si>
    <t>노인장기요양보험료</t>
    <phoneticPr fontId="2" type="noConversion"/>
  </si>
  <si>
    <t>이    윤</t>
    <phoneticPr fontId="2" type="noConversion"/>
  </si>
  <si>
    <t>(재료비+인건비+간접공사비)의 5%</t>
    <phoneticPr fontId="2" type="noConversion"/>
  </si>
  <si>
    <t>대</t>
    <phoneticPr fontId="2" type="noConversion"/>
  </si>
  <si>
    <t>서비스 외</t>
    <phoneticPr fontId="2" type="noConversion"/>
  </si>
  <si>
    <t>품   명</t>
    <phoneticPr fontId="2" type="noConversion"/>
  </si>
  <si>
    <t>규   격</t>
    <phoneticPr fontId="2" type="noConversion"/>
  </si>
  <si>
    <t>단 위</t>
    <phoneticPr fontId="2" type="noConversion"/>
  </si>
  <si>
    <t>수 량</t>
    <phoneticPr fontId="2" type="noConversion"/>
  </si>
  <si>
    <t>단 가</t>
    <phoneticPr fontId="2" type="noConversion"/>
  </si>
  <si>
    <t>금 액</t>
    <phoneticPr fontId="2" type="noConversion"/>
  </si>
  <si>
    <t>노 무 비</t>
    <phoneticPr fontId="5" type="noConversion"/>
  </si>
  <si>
    <t>재 료 비</t>
    <phoneticPr fontId="5" type="noConversion"/>
  </si>
  <si>
    <t>합   계</t>
    <phoneticPr fontId="5" type="noConversion"/>
  </si>
  <si>
    <t>비   고</t>
    <phoneticPr fontId="2" type="noConversion"/>
  </si>
  <si>
    <t>042-486-4116</t>
    <phoneticPr fontId="2" type="noConversion"/>
  </si>
  <si>
    <t>전기,전자기기수리,에어컨세척</t>
    <phoneticPr fontId="2" type="noConversion"/>
  </si>
  <si>
    <t xml:space="preserve"> 유 광 열</t>
    <phoneticPr fontId="2" type="noConversion"/>
  </si>
  <si>
    <t>(재료비+직접노무비)의 3.09%</t>
    <phoneticPr fontId="2" type="noConversion"/>
  </si>
  <si>
    <t>인건비의 4.05%</t>
    <phoneticPr fontId="2" type="noConversion"/>
  </si>
  <si>
    <t>인건비의 3.12%</t>
    <phoneticPr fontId="2" type="noConversion"/>
  </si>
  <si>
    <t>인건비의 4.5%</t>
    <phoneticPr fontId="2" type="noConversion"/>
  </si>
  <si>
    <t>건강보험료의 7.38%</t>
    <phoneticPr fontId="2" type="noConversion"/>
  </si>
  <si>
    <t>(인건비+간접공사비+일반관리비)의 10%이내</t>
    <phoneticPr fontId="2" type="noConversion"/>
  </si>
  <si>
    <t xml:space="preserve">
1. 견적 외 SCOPE 제외
2. VAT별도금액
</t>
    <phoneticPr fontId="2" type="noConversion"/>
  </si>
  <si>
    <t xml:space="preserve"> </t>
    <phoneticPr fontId="2" type="noConversion"/>
  </si>
  <si>
    <t>견적일자</t>
    <phoneticPr fontId="2" type="noConversion"/>
  </si>
  <si>
    <t>합계금액</t>
    <phoneticPr fontId="2" type="noConversion"/>
  </si>
  <si>
    <t>견  적  내  용</t>
    <phoneticPr fontId="2" type="noConversion"/>
  </si>
  <si>
    <t>3. 유효기간 : 견적일로 부터 15일</t>
    <phoneticPr fontId="2" type="noConversion"/>
  </si>
  <si>
    <t>계약단가 + 시중가</t>
    <phoneticPr fontId="2" type="noConversion"/>
  </si>
  <si>
    <t>시중가</t>
    <phoneticPr fontId="2" type="noConversion"/>
  </si>
  <si>
    <t>서울 강서구 마곡중앙5로 18, 10, 11층</t>
    <phoneticPr fontId="2" type="noConversion"/>
  </si>
  <si>
    <t xml:space="preserve">견 적 서 </t>
    <phoneticPr fontId="2" type="noConversion"/>
  </si>
  <si>
    <t xml:space="preserve"> </t>
    <phoneticPr fontId="2" type="noConversion"/>
  </si>
  <si>
    <t xml:space="preserve"> </t>
    <phoneticPr fontId="2" type="noConversion"/>
  </si>
  <si>
    <t xml:space="preserve">    106-86-40809</t>
    <phoneticPr fontId="2" type="noConversion"/>
  </si>
  <si>
    <t xml:space="preserve">   하이엠솔루텍주식회사</t>
    <phoneticPr fontId="2" type="noConversion"/>
  </si>
  <si>
    <t>S V C명</t>
    <phoneticPr fontId="2" type="noConversion"/>
  </si>
  <si>
    <t xml:space="preserve">                      서울 강서구 마곡중앙5로 18, 10, 11층 </t>
    <phoneticPr fontId="2" type="noConversion"/>
  </si>
  <si>
    <t>수리일자</t>
    <phoneticPr fontId="2" type="noConversion"/>
  </si>
  <si>
    <t>협의</t>
    <phoneticPr fontId="2" type="noConversion"/>
  </si>
  <si>
    <r>
      <t xml:space="preserve">                      </t>
    </r>
    <r>
      <rPr>
        <sz val="12"/>
        <rFont val="LG스마트체2.0 SemiBold"/>
        <family val="3"/>
        <charset val="129"/>
      </rPr>
      <t>(메이플레이스빌딩)</t>
    </r>
    <phoneticPr fontId="2" type="noConversion"/>
  </si>
  <si>
    <t>지불조건</t>
    <phoneticPr fontId="2" type="noConversion"/>
  </si>
  <si>
    <t>카드/계산서</t>
    <phoneticPr fontId="2" type="noConversion"/>
  </si>
  <si>
    <t xml:space="preserve">                      TEL.   010-3806-6919</t>
    <phoneticPr fontId="2" type="noConversion"/>
  </si>
  <si>
    <t xml:space="preserve">                      FAX.  042-486-4116</t>
    <phoneticPr fontId="2" type="noConversion"/>
  </si>
  <si>
    <t xml:space="preserve">     대표이사 : 유 광 열</t>
    <phoneticPr fontId="2" type="noConversion"/>
  </si>
  <si>
    <t>하기와 같이 견적을 제출합니다.</t>
    <phoneticPr fontId="2" type="noConversion"/>
  </si>
  <si>
    <t>※(VAT 포함)</t>
    <phoneticPr fontId="2" type="noConversion"/>
  </si>
  <si>
    <t xml:space="preserve"> 구분</t>
    <phoneticPr fontId="2" type="noConversion"/>
  </si>
  <si>
    <t>품명</t>
    <phoneticPr fontId="2" type="noConversion"/>
  </si>
  <si>
    <t>규격</t>
    <phoneticPr fontId="2" type="noConversion"/>
  </si>
  <si>
    <t>단가</t>
    <phoneticPr fontId="2" type="noConversion"/>
  </si>
  <si>
    <t>단위</t>
    <phoneticPr fontId="2" type="noConversion"/>
  </si>
  <si>
    <t>수량</t>
    <phoneticPr fontId="2" type="noConversion"/>
  </si>
  <si>
    <t>금액</t>
    <phoneticPr fontId="2" type="noConversion"/>
  </si>
  <si>
    <t>(DESCRIPTION)</t>
    <phoneticPr fontId="2" type="noConversion"/>
  </si>
  <si>
    <t>(상 세 구 분)</t>
    <phoneticPr fontId="2" type="noConversion"/>
  </si>
  <si>
    <t>(Q/T)</t>
    <phoneticPr fontId="2" type="noConversion"/>
  </si>
  <si>
    <t>(TOTALPRICE)</t>
    <phoneticPr fontId="2" type="noConversion"/>
  </si>
  <si>
    <t>공임비</t>
    <phoneticPr fontId="2" type="noConversion"/>
  </si>
  <si>
    <t>EA</t>
    <phoneticPr fontId="2" type="noConversion"/>
  </si>
  <si>
    <t>합계</t>
    <phoneticPr fontId="2" type="noConversion"/>
  </si>
  <si>
    <t>비 고</t>
    <phoneticPr fontId="2" type="noConversion"/>
  </si>
  <si>
    <t>1. VAT 포함</t>
    <phoneticPr fontId="2" type="noConversion"/>
  </si>
  <si>
    <t>2. 견적 외 사항 제외</t>
    <phoneticPr fontId="2" type="noConversion"/>
  </si>
  <si>
    <t>5. 사 무 실  :  FAX (042-486-4116)</t>
    <phoneticPr fontId="2" type="noConversion"/>
  </si>
  <si>
    <t>6. 입금계좌 : 우리은행 1005-501-085730   하이엠솔루텍주식회사</t>
    <phoneticPr fontId="2" type="noConversion"/>
  </si>
  <si>
    <t>대</t>
    <phoneticPr fontId="2" type="noConversion"/>
  </si>
  <si>
    <t>공임비</t>
    <phoneticPr fontId="2" type="noConversion"/>
  </si>
  <si>
    <t>4. 담 당 자  : 김인호 프로 (010-7936-0968)</t>
    <phoneticPr fontId="2" type="noConversion"/>
  </si>
  <si>
    <t>김인호 프로</t>
    <phoneticPr fontId="2" type="noConversion"/>
  </si>
  <si>
    <t>010-7936-0968</t>
    <phoneticPr fontId="2" type="noConversion"/>
  </si>
  <si>
    <t>010-7936-0968</t>
    <phoneticPr fontId="2" type="noConversion"/>
  </si>
  <si>
    <t>대당</t>
    <phoneticPr fontId="2" type="noConversion"/>
  </si>
  <si>
    <t>계(vat포함)</t>
    <phoneticPr fontId="2" type="noConversion"/>
  </si>
  <si>
    <t>LG 냉난방기 A/S</t>
    <phoneticPr fontId="2" type="noConversion"/>
  </si>
  <si>
    <t>식</t>
    <phoneticPr fontId="2" type="noConversion"/>
  </si>
  <si>
    <t>식</t>
    <phoneticPr fontId="2" type="noConversion"/>
  </si>
  <si>
    <t>EBR77384109</t>
  </si>
  <si>
    <t>1WAY PCB</t>
    <phoneticPr fontId="2" type="noConversion"/>
  </si>
  <si>
    <t>1WAY EEV 코일</t>
    <phoneticPr fontId="2" type="noConversion"/>
  </si>
  <si>
    <t>LG 냉난방기 A/S</t>
    <phoneticPr fontId="2" type="noConversion"/>
  </si>
  <si>
    <t xml:space="preserve">  아래와 같이 LG 냉난방기 A/S에 대한 상세내역을 제출합니다.</t>
    <phoneticPr fontId="2" type="noConversion"/>
  </si>
  <si>
    <t>1WAY EEV 코일 교체</t>
    <phoneticPr fontId="2" type="noConversion"/>
  </si>
  <si>
    <t>1WAY EEV 코일 교체
(작업비용 포함)</t>
    <phoneticPr fontId="2" type="noConversion"/>
  </si>
  <si>
    <t>MJX65072201</t>
    <phoneticPr fontId="2" type="noConversion"/>
  </si>
  <si>
    <t>MJX65072201</t>
    <phoneticPr fontId="2" type="noConversion"/>
  </si>
  <si>
    <t>1WAY PCB 교체</t>
    <phoneticPr fontId="2" type="noConversion"/>
  </si>
  <si>
    <t>1WAY PCB 교체
(작업비용 포함)</t>
    <phoneticPr fontId="2" type="noConversion"/>
  </si>
  <si>
    <t>EBR39187712</t>
    <phoneticPr fontId="2" type="noConversion"/>
  </si>
  <si>
    <t>매립덕트 PCB</t>
    <phoneticPr fontId="2" type="noConversion"/>
  </si>
  <si>
    <t>매립덕트 PCB 교체</t>
    <phoneticPr fontId="2" type="noConversion"/>
  </si>
  <si>
    <t>매립덕트 PCB 교체
(작업비용 포함)</t>
    <phoneticPr fontId="2" type="noConversion"/>
  </si>
  <si>
    <t>EBR77384109</t>
    <phoneticPr fontId="2" type="noConversion"/>
  </si>
  <si>
    <t xml:space="preserve">LG 사택 귀하 </t>
    <phoneticPr fontId="2" type="noConversion"/>
  </si>
  <si>
    <t>1. LG 사택 냉난방기 A/S</t>
    <phoneticPr fontId="2" type="noConversion"/>
  </si>
  <si>
    <t>LG 사택 貴中</t>
    <phoneticPr fontId="4" type="noConversion"/>
  </si>
  <si>
    <t>자재비</t>
    <phoneticPr fontId="2" type="noConversion"/>
  </si>
  <si>
    <t>공임비</t>
    <phoneticPr fontId="2" type="noConversion"/>
  </si>
  <si>
    <t>EBR82795401</t>
    <phoneticPr fontId="2" type="noConversion"/>
  </si>
  <si>
    <t>인버터 PCB</t>
    <phoneticPr fontId="2" type="noConversion"/>
  </si>
  <si>
    <t>노이즈필터 PCB</t>
    <phoneticPr fontId="2" type="noConversion"/>
  </si>
  <si>
    <t>브릿지다이오드</t>
    <phoneticPr fontId="2" type="noConversion"/>
  </si>
  <si>
    <t>EAH37374701</t>
    <phoneticPr fontId="2" type="noConversion"/>
  </si>
  <si>
    <t>실외기 전장부 교체</t>
    <phoneticPr fontId="2" type="noConversion"/>
  </si>
  <si>
    <t>실외기 전장부 교체
(작업비용 포함)</t>
    <phoneticPr fontId="2" type="noConversion"/>
  </si>
  <si>
    <t>EBR82795401</t>
    <phoneticPr fontId="2" type="noConversion"/>
  </si>
  <si>
    <t>AGF30534802</t>
    <phoneticPr fontId="2" type="noConversion"/>
  </si>
  <si>
    <t>EAH37374701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</si>
</sst>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2" formatCode="_(&quot;₩&quot;* #,##0_);_(&quot;₩&quot;* \(#,##0\);_(&quot;₩&quot;* &quot;-&quot;_);_(@_)"/>
    <numFmt numFmtId="41" formatCode="_(* #,##0_);_(* \(#,##0\);_(* &quot;-&quot;_);_(@_)"/>
    <numFmt numFmtId="44" formatCode="_(&quot;₩&quot;* #,##0.00_);_(&quot;₩&quot;* \(#,##0.00\);_(&quot;₩&quot;* &quot;-&quot;??_);_(@_)"/>
    <numFmt numFmtId="43" formatCode="_(* #,##0.00_);_(* \(#,##0.00\);_(* &quot;-&quot;??_);_(@_)"/>
    <numFmt numFmtId="176" formatCode="#,##0_);[Red]\(#,##0\)"/>
    <numFmt numFmtId="177" formatCode="#,##0_ ;[Red]\-#,##0\ "/>
    <numFmt numFmtId="178" formatCode="_-* #,##0_-;\-* #,##0_-;_-* &quot;-&quot;??_-;_-@_-"/>
    <numFmt numFmtId="179" formatCode="_-* #,##0.0_-;\-* #,##0.0_-;_-* &quot;-&quot;?_-;_-@_-"/>
    <numFmt numFmtId="180" formatCode="[DBNum4]&quot;일&quot;&quot;금&quot;[$-412]General&quot;원&quot;&quot;정&quot;"/>
    <numFmt numFmtId="181" formatCode="_-* #,##0_-;&quot;₩&quot;\!\-* #,##0_-;_-* &quot;-&quot;_-;_-@_-"/>
    <numFmt numFmtId="182" formatCode="_ * #,##0_ ;_ * \-#,##0_ ;_ * &quot;-&quot;_ ;_ @_ "/>
    <numFmt numFmtId="183" formatCode="_-&quot;₩&quot;* #,##0.00_-;&quot;₩&quot;&quot;₩&quot;\!\!\!\-&quot;₩&quot;* #,##0.00_-;_-&quot;₩&quot;* &quot;-&quot;??_-;_-@_-"/>
    <numFmt numFmtId="184" formatCode="_ * #,##0.00_ ;_ * \-#,##0.00_ ;_ * &quot;-&quot;??_ ;_ @_ "/>
    <numFmt numFmtId="185" formatCode="_(&quot;$&quot;* #,##0_);_(&quot;$&quot;* \(#,##0\);_(&quot;$&quot;* &quot;-&quot;_);_(@_)"/>
    <numFmt numFmtId="186" formatCode="_(&quot;$&quot;* #,##0.00_);_(&quot;$&quot;* \(#,##0.00\);_(&quot;$&quot;* &quot;-&quot;??_);_(@_)"/>
    <numFmt numFmtId="187" formatCode="_-&quot;₩&quot;* #,##0_-;&quot;₩&quot;&quot;₩&quot;\!\!\-&quot;₩&quot;* #,##0_-;_-&quot;₩&quot;* &quot;-&quot;_-;_-@_-"/>
    <numFmt numFmtId="188" formatCode="_-&quot;₩&quot;* #,##0.00_-;&quot;₩&quot;&quot;₩&quot;\!\!\-&quot;₩&quot;* #,##0.00_-;_-&quot;₩&quot;* &quot;-&quot;??_-;_-@_-"/>
    <numFmt numFmtId="189" formatCode="_-* #,##0.00_-;&quot;₩&quot;\!\-* #,##0.00_-;_-* &quot;-&quot;??_-;_-@_-"/>
    <numFmt numFmtId="190" formatCode="_-* #,##0.0_-;&quot;₩&quot;&quot;₩&quot;\!\!\-* #,##0.0_-;_-* &quot;-&quot;_-;_-@_-"/>
    <numFmt numFmtId="191" formatCode="?/?#"/>
    <numFmt numFmtId="192" formatCode="#,##0.000_ "/>
    <numFmt numFmtId="193" formatCode="0.0_);[Red]&quot;₩&quot;\!\(0.0&quot;₩&quot;\!\)"/>
    <numFmt numFmtId="194" formatCode="0;_Ͽ"/>
    <numFmt numFmtId="195" formatCode="0_);[Red]\(0\)"/>
    <numFmt numFmtId="196" formatCode="yyyy&quot;년&quot;\ m&quot;월&quot;\ d&quot;일&quot;;@"/>
  </numFmts>
  <fonts count="51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b/>
      <sz val="36"/>
      <name val="돋움"/>
      <family val="3"/>
      <charset val="129"/>
    </font>
    <font>
      <sz val="10"/>
      <name val="Helv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Times New Roman"/>
      <family val="1"/>
    </font>
    <font>
      <sz val="9"/>
      <name val="MS Sans Serif"/>
      <family val="2"/>
    </font>
    <font>
      <b/>
      <sz val="36"/>
      <name val="LG스마트체2.0 SemiBold"/>
      <family val="3"/>
      <charset val="129"/>
    </font>
    <font>
      <sz val="36"/>
      <name val="LG스마트체2.0 SemiBold"/>
      <family val="3"/>
      <charset val="129"/>
    </font>
    <font>
      <b/>
      <sz val="16"/>
      <name val="LG스마트체2.0 SemiBold"/>
      <family val="3"/>
      <charset val="129"/>
    </font>
    <font>
      <b/>
      <sz val="12"/>
      <name val="LG스마트체2.0 SemiBold"/>
      <family val="3"/>
      <charset val="129"/>
    </font>
    <font>
      <b/>
      <sz val="11"/>
      <name val="LG스마트체2.0 SemiBold"/>
      <family val="3"/>
      <charset val="129"/>
    </font>
    <font>
      <b/>
      <sz val="18"/>
      <name val="LG스마트체2.0 SemiBold"/>
      <family val="3"/>
      <charset val="129"/>
    </font>
    <font>
      <sz val="11"/>
      <name val="LG스마트체2.0 SemiBold"/>
      <family val="3"/>
      <charset val="129"/>
    </font>
    <font>
      <sz val="12"/>
      <name val="LG스마트체2.0 SemiBold"/>
      <family val="3"/>
      <charset val="129"/>
    </font>
    <font>
      <b/>
      <sz val="14"/>
      <name val="LG스마트체2.0 SemiBold"/>
      <family val="3"/>
      <charset val="129"/>
    </font>
    <font>
      <b/>
      <sz val="10"/>
      <name val="LG스마트체2.0 SemiBold"/>
      <family val="3"/>
      <charset val="129"/>
    </font>
    <font>
      <sz val="12"/>
      <name val="바탕체"/>
      <family val="1"/>
      <charset val="129"/>
    </font>
    <font>
      <sz val="10"/>
      <name val="LG스마트체2.0 SemiBold"/>
      <family val="3"/>
      <charset val="129"/>
    </font>
    <font>
      <sz val="9"/>
      <name val="LG스마트체2.0 SemiBold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6"/>
      <color indexed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18"/>
      <color indexed="8"/>
      <name val="맑은 고딕"/>
      <family val="3"/>
      <charset val="129"/>
      <scheme val="minor"/>
    </font>
    <font>
      <b/>
      <sz val="13"/>
      <color indexed="8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6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6">
    <xf numFmtId="0" fontId="0" fillId="0" borderId="0"/>
    <xf numFmtId="0" fontId="6" fillId="0" borderId="0"/>
    <xf numFmtId="182" fontId="7" fillId="0" borderId="0" applyFont="0" applyFill="0" applyBorder="0" applyAlignment="0" applyProtection="0"/>
    <xf numFmtId="183" fontId="3" fillId="0" borderId="0"/>
    <xf numFmtId="184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7" fontId="3" fillId="0" borderId="0"/>
    <xf numFmtId="188" fontId="3" fillId="0" borderId="0"/>
    <xf numFmtId="38" fontId="8" fillId="2" borderId="0" applyNumberFormat="0" applyBorder="0" applyAlignment="0" applyProtection="0"/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10" fontId="8" fillId="3" borderId="3" applyNumberFormat="0" applyBorder="0" applyAlignment="0" applyProtection="0"/>
    <xf numFmtId="181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90" fontId="3" fillId="0" borderId="0"/>
    <xf numFmtId="0" fontId="10" fillId="0" borderId="0"/>
    <xf numFmtId="10" fontId="7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191" fontId="11" fillId="0" borderId="4" applyFont="0" applyFill="0" applyAlignment="0" applyProtection="0">
      <alignment horizontal="center" vertical="center"/>
    </xf>
    <xf numFmtId="41" fontId="1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2" fontId="25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/>
    <xf numFmtId="0" fontId="25" fillId="0" borderId="0">
      <alignment vertical="center"/>
    </xf>
    <xf numFmtId="0" fontId="26" fillId="0" borderId="0">
      <alignment vertical="center"/>
    </xf>
    <xf numFmtId="0" fontId="22" fillId="0" borderId="0"/>
    <xf numFmtId="0" fontId="1" fillId="0" borderId="0"/>
  </cellStyleXfs>
  <cellXfs count="361">
    <xf numFmtId="0" fontId="0" fillId="0" borderId="0" xfId="0"/>
    <xf numFmtId="0" fontId="27" fillId="0" borderId="0" xfId="32" applyFont="1">
      <alignment vertical="center"/>
    </xf>
    <xf numFmtId="0" fontId="28" fillId="4" borderId="0" xfId="32" applyFont="1" applyFill="1" applyBorder="1">
      <alignment vertical="center"/>
    </xf>
    <xf numFmtId="0" fontId="28" fillId="4" borderId="5" xfId="32" applyFont="1" applyFill="1" applyBorder="1">
      <alignment vertical="center"/>
    </xf>
    <xf numFmtId="0" fontId="28" fillId="4" borderId="6" xfId="32" applyFont="1" applyFill="1" applyBorder="1">
      <alignment vertical="center"/>
    </xf>
    <xf numFmtId="0" fontId="29" fillId="4" borderId="0" xfId="32" applyFont="1" applyFill="1" applyBorder="1">
      <alignment vertical="center"/>
    </xf>
    <xf numFmtId="31" fontId="29" fillId="4" borderId="0" xfId="32" applyNumberFormat="1" applyFont="1" applyFill="1" applyBorder="1" applyAlignment="1">
      <alignment vertical="center"/>
    </xf>
    <xf numFmtId="0" fontId="29" fillId="4" borderId="0" xfId="32" applyFont="1" applyFill="1" applyBorder="1" applyAlignment="1">
      <alignment horizontal="center" vertical="center"/>
    </xf>
    <xf numFmtId="0" fontId="29" fillId="4" borderId="6" xfId="32" applyFont="1" applyFill="1" applyBorder="1" applyAlignment="1">
      <alignment horizontal="center" vertical="center"/>
    </xf>
    <xf numFmtId="31" fontId="29" fillId="4" borderId="0" xfId="32" applyNumberFormat="1" applyFont="1" applyFill="1" applyBorder="1" applyAlignment="1">
      <alignment horizontal="left" vertical="center"/>
    </xf>
    <xf numFmtId="0" fontId="30" fillId="4" borderId="0" xfId="32" applyNumberFormat="1" applyFont="1" applyFill="1" applyBorder="1" applyAlignment="1">
      <alignment horizontal="left" vertical="center"/>
    </xf>
    <xf numFmtId="0" fontId="27" fillId="0" borderId="7" xfId="32" applyFont="1" applyBorder="1">
      <alignment vertical="center"/>
    </xf>
    <xf numFmtId="0" fontId="31" fillId="5" borderId="8" xfId="32" applyFont="1" applyFill="1" applyBorder="1" applyAlignment="1">
      <alignment horizontal="center" vertical="center"/>
    </xf>
    <xf numFmtId="41" fontId="32" fillId="4" borderId="9" xfId="24" applyFont="1" applyFill="1" applyBorder="1" applyAlignment="1">
      <alignment horizontal="center" vertical="center"/>
    </xf>
    <xf numFmtId="41" fontId="32" fillId="4" borderId="2" xfId="24" applyFont="1" applyFill="1" applyBorder="1" applyAlignment="1">
      <alignment horizontal="center" vertical="center"/>
    </xf>
    <xf numFmtId="41" fontId="32" fillId="4" borderId="10" xfId="24" applyFont="1" applyFill="1" applyBorder="1" applyAlignment="1">
      <alignment horizontal="center" vertical="center"/>
    </xf>
    <xf numFmtId="41" fontId="33" fillId="6" borderId="9" xfId="24" applyFont="1" applyFill="1" applyBorder="1" applyAlignment="1">
      <alignment horizontal="center" vertical="center"/>
    </xf>
    <xf numFmtId="41" fontId="33" fillId="6" borderId="2" xfId="24" applyFont="1" applyFill="1" applyBorder="1" applyAlignment="1">
      <alignment horizontal="center" vertical="center"/>
    </xf>
    <xf numFmtId="0" fontId="29" fillId="4" borderId="7" xfId="32" applyFont="1" applyFill="1" applyBorder="1">
      <alignment vertical="center"/>
    </xf>
    <xf numFmtId="0" fontId="29" fillId="4" borderId="0" xfId="32" applyFont="1" applyFill="1" applyBorder="1" applyAlignment="1">
      <alignment vertical="center"/>
    </xf>
    <xf numFmtId="0" fontId="27" fillId="5" borderId="9" xfId="32" applyFont="1" applyFill="1" applyBorder="1" applyAlignment="1">
      <alignment horizontal="center" vertical="center"/>
    </xf>
    <xf numFmtId="0" fontId="27" fillId="6" borderId="0" xfId="32" applyFont="1" applyFill="1" applyBorder="1">
      <alignment vertical="center"/>
    </xf>
    <xf numFmtId="0" fontId="34" fillId="6" borderId="0" xfId="32" applyFont="1" applyFill="1" applyBorder="1" applyAlignment="1">
      <alignment horizontal="left" vertical="center"/>
    </xf>
    <xf numFmtId="0" fontId="35" fillId="6" borderId="0" xfId="32" applyFont="1" applyFill="1" applyBorder="1" applyAlignment="1">
      <alignment horizontal="center" vertical="center"/>
    </xf>
    <xf numFmtId="0" fontId="36" fillId="6" borderId="0" xfId="32" applyFont="1" applyFill="1" applyBorder="1" applyAlignment="1">
      <alignment horizontal="center" vertical="center"/>
    </xf>
    <xf numFmtId="0" fontId="29" fillId="4" borderId="11" xfId="32" applyFont="1" applyFill="1" applyBorder="1">
      <alignment vertical="center"/>
    </xf>
    <xf numFmtId="0" fontId="29" fillId="4" borderId="12" xfId="32" applyFont="1" applyFill="1" applyBorder="1">
      <alignment vertical="center"/>
    </xf>
    <xf numFmtId="0" fontId="27" fillId="6" borderId="12" xfId="32" applyFont="1" applyFill="1" applyBorder="1">
      <alignment vertical="center"/>
    </xf>
    <xf numFmtId="0" fontId="34" fillId="6" borderId="12" xfId="32" applyFont="1" applyFill="1" applyBorder="1">
      <alignment vertical="center"/>
    </xf>
    <xf numFmtId="0" fontId="35" fillId="6" borderId="12" xfId="32" applyFont="1" applyFill="1" applyBorder="1" applyAlignment="1">
      <alignment horizontal="center" vertical="center"/>
    </xf>
    <xf numFmtId="0" fontId="36" fillId="6" borderId="12" xfId="32" applyFont="1" applyFill="1" applyBorder="1" applyAlignment="1">
      <alignment horizontal="center" vertical="center"/>
    </xf>
    <xf numFmtId="0" fontId="29" fillId="4" borderId="12" xfId="32" applyFont="1" applyFill="1" applyBorder="1" applyAlignment="1">
      <alignment horizontal="right" vertical="center"/>
    </xf>
    <xf numFmtId="0" fontId="29" fillId="4" borderId="4" xfId="32" applyFont="1" applyFill="1" applyBorder="1" applyAlignment="1">
      <alignment horizontal="right" vertical="center"/>
    </xf>
    <xf numFmtId="0" fontId="28" fillId="4" borderId="0" xfId="32" applyFont="1" applyFill="1" applyBorder="1" applyAlignment="1">
      <alignment horizontal="center" vertical="center"/>
    </xf>
    <xf numFmtId="0" fontId="28" fillId="4" borderId="0" xfId="32" applyFont="1" applyFill="1" applyBorder="1" applyAlignment="1">
      <alignment horizontal="center" vertical="center" wrapText="1"/>
    </xf>
    <xf numFmtId="42" fontId="28" fillId="4" borderId="0" xfId="32" applyNumberFormat="1" applyFont="1" applyFill="1" applyBorder="1" applyAlignment="1">
      <alignment horizontal="right" vertical="center"/>
    </xf>
    <xf numFmtId="0" fontId="37" fillId="4" borderId="13" xfId="32" applyFont="1" applyFill="1" applyBorder="1" applyAlignment="1">
      <alignment horizontal="center" vertical="center"/>
    </xf>
    <xf numFmtId="0" fontId="37" fillId="4" borderId="14" xfId="32" applyFont="1" applyFill="1" applyBorder="1" applyAlignment="1">
      <alignment horizontal="center" vertical="center"/>
    </xf>
    <xf numFmtId="0" fontId="37" fillId="4" borderId="3" xfId="32" applyFont="1" applyFill="1" applyBorder="1" applyAlignment="1">
      <alignment horizontal="center" vertical="center"/>
    </xf>
    <xf numFmtId="0" fontId="37" fillId="4" borderId="3" xfId="32" applyFont="1" applyFill="1" applyBorder="1" applyAlignment="1">
      <alignment horizontal="center" vertical="center" wrapText="1"/>
    </xf>
    <xf numFmtId="0" fontId="37" fillId="4" borderId="15" xfId="32" applyFont="1" applyFill="1" applyBorder="1" applyAlignment="1">
      <alignment horizontal="center" vertical="center"/>
    </xf>
    <xf numFmtId="0" fontId="37" fillId="4" borderId="16" xfId="32" applyFont="1" applyFill="1" applyBorder="1" applyAlignment="1">
      <alignment horizontal="center" vertical="center"/>
    </xf>
    <xf numFmtId="31" fontId="37" fillId="4" borderId="0" xfId="32" applyNumberFormat="1" applyFont="1" applyFill="1" applyBorder="1" applyAlignment="1">
      <alignment horizontal="left" vertical="center"/>
    </xf>
    <xf numFmtId="176" fontId="38" fillId="6" borderId="0" xfId="35" applyNumberFormat="1" applyFont="1" applyFill="1" applyAlignment="1">
      <alignment vertical="center"/>
    </xf>
    <xf numFmtId="0" fontId="39" fillId="0" borderId="0" xfId="0" applyFont="1" applyAlignment="1">
      <alignment horizontal="center" vertical="center"/>
    </xf>
    <xf numFmtId="181" fontId="39" fillId="0" borderId="0" xfId="25" applyFont="1" applyAlignment="1">
      <alignment horizontal="center" vertical="center"/>
    </xf>
    <xf numFmtId="181" fontId="39" fillId="0" borderId="0" xfId="25" applyFont="1" applyAlignment="1">
      <alignment vertical="center"/>
    </xf>
    <xf numFmtId="0" fontId="39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81" fontId="40" fillId="7" borderId="3" xfId="25" applyFont="1" applyFill="1" applyBorder="1" applyAlignment="1">
      <alignment horizontal="center" vertical="center" wrapText="1"/>
    </xf>
    <xf numFmtId="0" fontId="40" fillId="0" borderId="3" xfId="25" applyNumberFormat="1" applyFont="1" applyFill="1" applyBorder="1" applyAlignment="1">
      <alignment vertical="center"/>
    </xf>
    <xf numFmtId="0" fontId="39" fillId="0" borderId="3" xfId="25" applyNumberFormat="1" applyFont="1" applyFill="1" applyBorder="1" applyAlignment="1">
      <alignment horizontal="center" vertical="center"/>
    </xf>
    <xf numFmtId="0" fontId="39" fillId="0" borderId="3" xfId="0" applyFont="1" applyFill="1" applyBorder="1" applyAlignment="1">
      <alignment horizontal="center" vertical="center" shrinkToFit="1"/>
    </xf>
    <xf numFmtId="41" fontId="39" fillId="0" borderId="3" xfId="25" applyNumberFormat="1" applyFont="1" applyFill="1" applyBorder="1" applyAlignment="1">
      <alignment horizontal="center" vertical="center"/>
    </xf>
    <xf numFmtId="41" fontId="39" fillId="0" borderId="3" xfId="25" applyNumberFormat="1" applyFont="1" applyFill="1" applyBorder="1" applyAlignment="1">
      <alignment vertical="center"/>
    </xf>
    <xf numFmtId="181" fontId="39" fillId="0" borderId="3" xfId="25" applyFont="1" applyFill="1" applyBorder="1" applyAlignment="1">
      <alignment horizontal="center" vertical="center"/>
    </xf>
    <xf numFmtId="181" fontId="39" fillId="0" borderId="3" xfId="25" applyFont="1" applyFill="1" applyBorder="1" applyAlignment="1">
      <alignment vertical="center"/>
    </xf>
    <xf numFmtId="0" fontId="39" fillId="0" borderId="0" xfId="0" applyFont="1" applyFill="1" applyAlignment="1">
      <alignment vertical="center"/>
    </xf>
    <xf numFmtId="41" fontId="41" fillId="0" borderId="3" xfId="0" quotePrefix="1" applyNumberFormat="1" applyFont="1" applyFill="1" applyBorder="1" applyAlignment="1">
      <alignment horizontal="left" vertical="center"/>
    </xf>
    <xf numFmtId="41" fontId="41" fillId="0" borderId="3" xfId="0" applyNumberFormat="1" applyFont="1" applyFill="1" applyBorder="1" applyAlignment="1">
      <alignment vertical="center"/>
    </xf>
    <xf numFmtId="181" fontId="40" fillId="0" borderId="3" xfId="25" applyFont="1" applyFill="1" applyBorder="1" applyAlignment="1">
      <alignment vertical="center"/>
    </xf>
    <xf numFmtId="0" fontId="40" fillId="8" borderId="3" xfId="25" applyNumberFormat="1" applyFont="1" applyFill="1" applyBorder="1" applyAlignment="1">
      <alignment horizontal="center" vertical="center"/>
    </xf>
    <xf numFmtId="0" fontId="40" fillId="8" borderId="3" xfId="0" applyFont="1" applyFill="1" applyBorder="1" applyAlignment="1">
      <alignment horizontal="center" vertical="center"/>
    </xf>
    <xf numFmtId="43" fontId="40" fillId="8" borderId="3" xfId="25" applyNumberFormat="1" applyFont="1" applyFill="1" applyBorder="1" applyAlignment="1">
      <alignment horizontal="center" vertical="center"/>
    </xf>
    <xf numFmtId="41" fontId="40" fillId="8" borderId="3" xfId="25" applyNumberFormat="1" applyFont="1" applyFill="1" applyBorder="1" applyAlignment="1">
      <alignment horizontal="center" vertical="center"/>
    </xf>
    <xf numFmtId="181" fontId="40" fillId="8" borderId="3" xfId="25" applyFont="1" applyFill="1" applyBorder="1" applyAlignment="1">
      <alignment horizontal="center" vertical="center"/>
    </xf>
    <xf numFmtId="0" fontId="39" fillId="0" borderId="17" xfId="0" applyFont="1" applyBorder="1" applyAlignment="1">
      <alignment vertical="center"/>
    </xf>
    <xf numFmtId="0" fontId="39" fillId="0" borderId="17" xfId="0" applyFont="1" applyBorder="1" applyAlignment="1">
      <alignment horizontal="center" vertical="center"/>
    </xf>
    <xf numFmtId="181" fontId="39" fillId="0" borderId="17" xfId="25" applyFont="1" applyBorder="1" applyAlignment="1">
      <alignment horizontal="center" vertical="center"/>
    </xf>
    <xf numFmtId="181" fontId="39" fillId="0" borderId="17" xfId="25" applyFont="1" applyBorder="1" applyAlignment="1">
      <alignment vertical="center"/>
    </xf>
    <xf numFmtId="0" fontId="39" fillId="0" borderId="0" xfId="0" applyFont="1" applyBorder="1" applyAlignment="1">
      <alignment vertical="center"/>
    </xf>
    <xf numFmtId="0" fontId="39" fillId="0" borderId="0" xfId="0" applyFont="1" applyBorder="1" applyAlignment="1">
      <alignment horizontal="center" vertical="center"/>
    </xf>
    <xf numFmtId="181" fontId="39" fillId="0" borderId="0" xfId="25" applyFont="1" applyBorder="1" applyAlignment="1">
      <alignment horizontal="center" vertical="center"/>
    </xf>
    <xf numFmtId="181" fontId="39" fillId="0" borderId="0" xfId="25" applyFont="1" applyBorder="1" applyAlignment="1">
      <alignment vertical="center"/>
    </xf>
    <xf numFmtId="41" fontId="42" fillId="6" borderId="9" xfId="24" applyFont="1" applyFill="1" applyBorder="1" applyAlignment="1">
      <alignment horizontal="center" vertical="center"/>
    </xf>
    <xf numFmtId="41" fontId="42" fillId="6" borderId="2" xfId="24" applyFont="1" applyFill="1" applyBorder="1" applyAlignment="1">
      <alignment horizontal="center" vertical="center"/>
    </xf>
    <xf numFmtId="176" fontId="41" fillId="0" borderId="3" xfId="0" applyNumberFormat="1" applyFont="1" applyFill="1" applyBorder="1" applyAlignment="1">
      <alignment horizontal="center" vertical="center"/>
    </xf>
    <xf numFmtId="41" fontId="42" fillId="6" borderId="9" xfId="24" applyFont="1" applyFill="1" applyBorder="1" applyAlignment="1">
      <alignment horizontal="center" vertical="center"/>
    </xf>
    <xf numFmtId="41" fontId="42" fillId="6" borderId="2" xfId="24" applyFont="1" applyFill="1" applyBorder="1" applyAlignment="1">
      <alignment horizontal="center" vertical="center"/>
    </xf>
    <xf numFmtId="41" fontId="37" fillId="6" borderId="9" xfId="24" applyFont="1" applyFill="1" applyBorder="1" applyAlignment="1">
      <alignment horizontal="center" vertical="center"/>
    </xf>
    <xf numFmtId="41" fontId="37" fillId="6" borderId="2" xfId="24" applyFont="1" applyFill="1" applyBorder="1" applyAlignment="1">
      <alignment horizontal="center" vertical="center"/>
    </xf>
    <xf numFmtId="41" fontId="41" fillId="0" borderId="3" xfId="0" applyNumberFormat="1" applyFont="1" applyFill="1" applyBorder="1" applyAlignment="1">
      <alignment horizontal="center" vertical="center" wrapText="1"/>
    </xf>
    <xf numFmtId="194" fontId="39" fillId="0" borderId="0" xfId="0" applyNumberFormat="1" applyFont="1" applyFill="1" applyAlignment="1">
      <alignment vertical="center"/>
    </xf>
    <xf numFmtId="178" fontId="41" fillId="0" borderId="3" xfId="0" quotePrefix="1" applyNumberFormat="1" applyFont="1" applyFill="1" applyBorder="1" applyAlignment="1">
      <alignment horizontal="left" vertical="center"/>
    </xf>
    <xf numFmtId="31" fontId="29" fillId="4" borderId="0" xfId="32" applyNumberFormat="1" applyFont="1" applyFill="1" applyBorder="1" applyAlignment="1">
      <alignment horizontal="left" vertical="center"/>
    </xf>
    <xf numFmtId="0" fontId="43" fillId="4" borderId="0" xfId="32" applyFont="1" applyFill="1" applyBorder="1" applyAlignment="1">
      <alignment horizontal="center" vertical="center"/>
    </xf>
    <xf numFmtId="0" fontId="44" fillId="4" borderId="0" xfId="32" applyNumberFormat="1" applyFont="1" applyFill="1" applyBorder="1" applyAlignment="1">
      <alignment horizontal="right" vertical="center"/>
    </xf>
    <xf numFmtId="195" fontId="14" fillId="4" borderId="18" xfId="0" applyNumberFormat="1" applyFont="1" applyFill="1" applyBorder="1" applyAlignment="1">
      <alignment vertical="center"/>
    </xf>
    <xf numFmtId="0" fontId="14" fillId="4" borderId="0" xfId="0" applyFont="1" applyFill="1" applyBorder="1" applyAlignment="1">
      <alignment vertical="center"/>
    </xf>
    <xf numFmtId="0" fontId="14" fillId="4" borderId="0" xfId="0" applyFont="1" applyFill="1" applyBorder="1" applyAlignment="1">
      <alignment horizontal="center" vertical="center"/>
    </xf>
    <xf numFmtId="0" fontId="14" fillId="4" borderId="19" xfId="0" applyFont="1" applyFill="1" applyBorder="1" applyAlignment="1">
      <alignment horizontal="center" vertical="center"/>
    </xf>
    <xf numFmtId="0" fontId="14" fillId="4" borderId="19" xfId="0" applyFont="1" applyFill="1" applyBorder="1" applyAlignment="1">
      <alignment vertical="center"/>
    </xf>
    <xf numFmtId="195" fontId="15" fillId="4" borderId="13" xfId="0" applyNumberFormat="1" applyFont="1" applyFill="1" applyBorder="1" applyAlignment="1">
      <alignment horizontal="center" vertical="center"/>
    </xf>
    <xf numFmtId="0" fontId="17" fillId="4" borderId="0" xfId="0" applyFont="1" applyFill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195" fontId="15" fillId="4" borderId="14" xfId="0" applyNumberFormat="1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horizontal="center" vertical="center"/>
    </xf>
    <xf numFmtId="0" fontId="18" fillId="4" borderId="0" xfId="0" applyFont="1" applyFill="1" applyBorder="1" applyAlignment="1">
      <alignment vertical="center"/>
    </xf>
    <xf numFmtId="0" fontId="15" fillId="4" borderId="0" xfId="0" applyFont="1" applyFill="1" applyBorder="1" applyAlignment="1">
      <alignment vertical="center"/>
    </xf>
    <xf numFmtId="0" fontId="15" fillId="4" borderId="19" xfId="0" applyFont="1" applyFill="1" applyBorder="1" applyAlignment="1">
      <alignment vertical="center"/>
    </xf>
    <xf numFmtId="195" fontId="15" fillId="4" borderId="15" xfId="0" applyNumberFormat="1" applyFont="1" applyFill="1" applyBorder="1" applyAlignment="1">
      <alignment horizontal="center" vertical="center"/>
    </xf>
    <xf numFmtId="195" fontId="15" fillId="4" borderId="18" xfId="0" applyNumberFormat="1" applyFont="1" applyFill="1" applyBorder="1" applyAlignment="1">
      <alignment horizontal="left" vertical="center"/>
    </xf>
    <xf numFmtId="0" fontId="15" fillId="4" borderId="0" xfId="0" applyFont="1" applyFill="1" applyBorder="1" applyAlignment="1">
      <alignment horizontal="left" vertical="center"/>
    </xf>
    <xf numFmtId="0" fontId="15" fillId="4" borderId="20" xfId="0" applyFont="1" applyFill="1" applyBorder="1" applyAlignment="1">
      <alignment horizontal="left" vertical="center"/>
    </xf>
    <xf numFmtId="0" fontId="18" fillId="4" borderId="19" xfId="0" applyFont="1" applyFill="1" applyBorder="1" applyAlignment="1">
      <alignment vertical="center"/>
    </xf>
    <xf numFmtId="195" fontId="18" fillId="4" borderId="18" xfId="0" applyNumberFormat="1" applyFont="1" applyFill="1" applyBorder="1" applyAlignment="1">
      <alignment vertical="center"/>
    </xf>
    <xf numFmtId="195" fontId="18" fillId="4" borderId="21" xfId="0" applyNumberFormat="1" applyFont="1" applyFill="1" applyBorder="1" applyAlignment="1">
      <alignment vertical="center"/>
    </xf>
    <xf numFmtId="0" fontId="18" fillId="4" borderId="5" xfId="0" applyFont="1" applyFill="1" applyBorder="1" applyAlignment="1">
      <alignment vertical="center"/>
    </xf>
    <xf numFmtId="0" fontId="16" fillId="4" borderId="22" xfId="0" applyFont="1" applyFill="1" applyBorder="1" applyAlignment="1">
      <alignment horizontal="right" vertical="center"/>
    </xf>
    <xf numFmtId="0" fontId="16" fillId="4" borderId="20" xfId="0" applyFont="1" applyFill="1" applyBorder="1" applyAlignment="1">
      <alignment horizontal="center"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center" vertical="center"/>
    </xf>
    <xf numFmtId="0" fontId="16" fillId="4" borderId="26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4" borderId="27" xfId="0" applyFont="1" applyFill="1" applyBorder="1" applyAlignment="1">
      <alignment horizontal="center" vertical="center"/>
    </xf>
    <xf numFmtId="0" fontId="23" fillId="0" borderId="3" xfId="34" applyNumberFormat="1" applyFont="1" applyBorder="1" applyAlignment="1" applyProtection="1">
      <alignment horizontal="center" vertical="center" wrapText="1"/>
      <protection locked="0"/>
    </xf>
    <xf numFmtId="195" fontId="18" fillId="4" borderId="14" xfId="0" applyNumberFormat="1" applyFont="1" applyFill="1" applyBorder="1" applyAlignment="1">
      <alignment horizontal="center" vertical="center"/>
    </xf>
    <xf numFmtId="195" fontId="16" fillId="4" borderId="28" xfId="0" applyNumberFormat="1" applyFont="1" applyFill="1" applyBorder="1" applyAlignment="1">
      <alignment horizontal="center" vertical="center"/>
    </xf>
    <xf numFmtId="0" fontId="18" fillId="4" borderId="20" xfId="0" applyFont="1" applyFill="1" applyBorder="1" applyAlignment="1">
      <alignment vertical="center"/>
    </xf>
    <xf numFmtId="0" fontId="16" fillId="4" borderId="29" xfId="0" applyFont="1" applyFill="1" applyBorder="1" applyAlignment="1">
      <alignment horizontal="center" vertical="center"/>
    </xf>
    <xf numFmtId="195" fontId="23" fillId="4" borderId="18" xfId="0" applyNumberFormat="1" applyFont="1" applyFill="1" applyBorder="1" applyAlignment="1">
      <alignment vertical="center"/>
    </xf>
    <xf numFmtId="0" fontId="23" fillId="4" borderId="0" xfId="0" applyFont="1" applyFill="1" applyBorder="1" applyAlignment="1">
      <alignment vertical="center"/>
    </xf>
    <xf numFmtId="0" fontId="18" fillId="4" borderId="19" xfId="0" applyFont="1" applyFill="1" applyBorder="1" applyAlignment="1">
      <alignment horizontal="center" vertical="center"/>
    </xf>
    <xf numFmtId="195" fontId="23" fillId="4" borderId="21" xfId="0" applyNumberFormat="1" applyFont="1" applyFill="1" applyBorder="1" applyAlignment="1">
      <alignment vertical="center"/>
    </xf>
    <xf numFmtId="0" fontId="23" fillId="4" borderId="5" xfId="0" applyFont="1" applyFill="1" applyBorder="1" applyAlignment="1">
      <alignment vertical="center"/>
    </xf>
    <xf numFmtId="0" fontId="18" fillId="4" borderId="22" xfId="0" applyFont="1" applyFill="1" applyBorder="1" applyAlignment="1">
      <alignment vertical="center"/>
    </xf>
    <xf numFmtId="0" fontId="37" fillId="4" borderId="0" xfId="32" applyFont="1" applyFill="1" applyBorder="1" applyAlignment="1">
      <alignment horizontal="left" vertical="center"/>
    </xf>
    <xf numFmtId="31" fontId="37" fillId="4" borderId="0" xfId="32" applyNumberFormat="1" applyFont="1" applyFill="1" applyBorder="1" applyAlignment="1">
      <alignment horizontal="left" vertical="center" wrapText="1"/>
    </xf>
    <xf numFmtId="31" fontId="45" fillId="4" borderId="0" xfId="32" applyNumberFormat="1" applyFont="1" applyFill="1" applyBorder="1" applyAlignment="1">
      <alignment horizontal="left" vertical="center"/>
    </xf>
    <xf numFmtId="0" fontId="31" fillId="5" borderId="0" xfId="32" applyFont="1" applyFill="1" applyBorder="1" applyAlignment="1">
      <alignment horizontal="center" vertical="center"/>
    </xf>
    <xf numFmtId="0" fontId="42" fillId="4" borderId="0" xfId="32" applyFont="1" applyFill="1" applyBorder="1" applyAlignment="1">
      <alignment horizontal="left" vertical="center" indent="1" shrinkToFit="1"/>
    </xf>
    <xf numFmtId="0" fontId="27" fillId="0" borderId="0" xfId="32" applyFont="1" applyBorder="1">
      <alignment vertical="center"/>
    </xf>
    <xf numFmtId="179" fontId="0" fillId="0" borderId="0" xfId="0" applyNumberFormat="1"/>
    <xf numFmtId="0" fontId="0" fillId="0" borderId="3" xfId="0" applyBorder="1"/>
    <xf numFmtId="0" fontId="16" fillId="4" borderId="15" xfId="0" applyFont="1" applyFill="1" applyBorder="1" applyAlignment="1">
      <alignment horizontal="center" vertical="center"/>
    </xf>
    <xf numFmtId="0" fontId="0" fillId="0" borderId="16" xfId="0" applyBorder="1"/>
    <xf numFmtId="0" fontId="23" fillId="0" borderId="30" xfId="34" applyNumberFormat="1" applyFont="1" applyBorder="1" applyAlignment="1" applyProtection="1">
      <alignment horizontal="center" vertical="center" wrapText="1"/>
      <protection locked="0"/>
    </xf>
    <xf numFmtId="0" fontId="23" fillId="0" borderId="30" xfId="27" applyNumberFormat="1" applyFont="1" applyBorder="1" applyAlignment="1" applyProtection="1">
      <alignment horizontal="center" vertical="center" wrapText="1"/>
      <protection locked="0"/>
    </xf>
    <xf numFmtId="179" fontId="27" fillId="0" borderId="0" xfId="32" applyNumberFormat="1" applyFont="1" applyBorder="1">
      <alignment vertical="center"/>
    </xf>
    <xf numFmtId="41" fontId="14" fillId="4" borderId="0" xfId="26" applyFont="1" applyFill="1" applyBorder="1" applyAlignment="1">
      <alignment vertical="center"/>
    </xf>
    <xf numFmtId="41" fontId="14" fillId="4" borderId="0" xfId="26" applyFont="1" applyFill="1" applyBorder="1" applyAlignment="1">
      <alignment horizontal="right" vertical="center"/>
    </xf>
    <xf numFmtId="41" fontId="16" fillId="0" borderId="0" xfId="26" applyFont="1" applyBorder="1" applyAlignment="1">
      <alignment horizontal="center" vertical="center"/>
    </xf>
    <xf numFmtId="41" fontId="15" fillId="4" borderId="18" xfId="26" applyFont="1" applyFill="1" applyBorder="1" applyAlignment="1">
      <alignment horizontal="left" vertical="center"/>
    </xf>
    <xf numFmtId="41" fontId="15" fillId="4" borderId="18" xfId="26" applyFont="1" applyFill="1" applyBorder="1" applyAlignment="1">
      <alignment vertical="center"/>
    </xf>
    <xf numFmtId="41" fontId="15" fillId="4" borderId="0" xfId="26" applyFont="1" applyFill="1" applyBorder="1" applyAlignment="1">
      <alignment vertical="center"/>
    </xf>
    <xf numFmtId="41" fontId="15" fillId="4" borderId="0" xfId="26" applyFont="1" applyFill="1" applyBorder="1" applyAlignment="1">
      <alignment horizontal="left" vertical="center"/>
    </xf>
    <xf numFmtId="41" fontId="0" fillId="0" borderId="0" xfId="26" applyFont="1"/>
    <xf numFmtId="41" fontId="18" fillId="4" borderId="0" xfId="26" applyFont="1" applyFill="1" applyBorder="1" applyAlignment="1">
      <alignment vertical="center"/>
    </xf>
    <xf numFmtId="41" fontId="18" fillId="4" borderId="5" xfId="26" applyFont="1" applyFill="1" applyBorder="1" applyAlignment="1">
      <alignment vertical="center"/>
    </xf>
    <xf numFmtId="41" fontId="23" fillId="0" borderId="30" xfId="26" applyFont="1" applyBorder="1" applyAlignment="1" applyProtection="1">
      <alignment horizontal="center" vertical="center" wrapText="1"/>
      <protection locked="0"/>
    </xf>
    <xf numFmtId="41" fontId="18" fillId="4" borderId="31" xfId="26" applyFont="1" applyFill="1" applyBorder="1" applyAlignment="1">
      <alignment horizontal="center" vertical="center"/>
    </xf>
    <xf numFmtId="0" fontId="23" fillId="0" borderId="3" xfId="26" applyNumberFormat="1" applyFont="1" applyBorder="1" applyAlignment="1" applyProtection="1">
      <alignment horizontal="center" vertical="center" wrapText="1"/>
      <protection locked="0"/>
    </xf>
    <xf numFmtId="41" fontId="0" fillId="0" borderId="3" xfId="26" applyFont="1" applyBorder="1"/>
    <xf numFmtId="41" fontId="0" fillId="0" borderId="16" xfId="26" applyFont="1" applyBorder="1"/>
    <xf numFmtId="42" fontId="16" fillId="4" borderId="32" xfId="31" applyFont="1" applyFill="1" applyBorder="1" applyAlignment="1">
      <alignment horizontal="center" vertical="center"/>
    </xf>
    <xf numFmtId="41" fontId="18" fillId="4" borderId="20" xfId="26" applyFont="1" applyFill="1" applyBorder="1" applyAlignment="1">
      <alignment vertical="center"/>
    </xf>
    <xf numFmtId="41" fontId="23" fillId="4" borderId="0" xfId="26" applyFont="1" applyFill="1" applyBorder="1" applyAlignment="1">
      <alignment vertical="center"/>
    </xf>
    <xf numFmtId="41" fontId="23" fillId="4" borderId="5" xfId="26" applyFont="1" applyFill="1" applyBorder="1" applyAlignment="1">
      <alignment vertical="center"/>
    </xf>
    <xf numFmtId="0" fontId="23" fillId="4" borderId="3" xfId="0" applyFont="1" applyFill="1" applyBorder="1" applyAlignment="1">
      <alignment horizontal="center" vertical="center"/>
    </xf>
    <xf numFmtId="0" fontId="23" fillId="0" borderId="33" xfId="34" applyNumberFormat="1" applyFont="1" applyBorder="1" applyAlignment="1" applyProtection="1">
      <alignment horizontal="center" vertical="center" wrapText="1"/>
      <protection locked="0"/>
    </xf>
    <xf numFmtId="41" fontId="23" fillId="0" borderId="33" xfId="26" applyFont="1" applyBorder="1" applyAlignment="1" applyProtection="1">
      <alignment horizontal="center" vertical="center" wrapText="1"/>
      <protection locked="0"/>
    </xf>
    <xf numFmtId="0" fontId="23" fillId="0" borderId="33" xfId="27" applyNumberFormat="1" applyFont="1" applyBorder="1" applyAlignment="1" applyProtection="1">
      <alignment horizontal="center" vertical="center" wrapText="1"/>
      <protection locked="0"/>
    </xf>
    <xf numFmtId="41" fontId="23" fillId="4" borderId="34" xfId="26" applyFont="1" applyFill="1" applyBorder="1" applyAlignment="1">
      <alignment horizontal="center" vertical="center"/>
    </xf>
    <xf numFmtId="41" fontId="23" fillId="4" borderId="35" xfId="26" applyFont="1" applyFill="1" applyBorder="1" applyAlignment="1">
      <alignment horizontal="center" vertical="center"/>
    </xf>
    <xf numFmtId="0" fontId="23" fillId="4" borderId="3" xfId="26" applyNumberFormat="1" applyFont="1" applyFill="1" applyBorder="1" applyAlignment="1">
      <alignment horizontal="center" vertical="center"/>
    </xf>
    <xf numFmtId="181" fontId="46" fillId="8" borderId="3" xfId="25" applyFont="1" applyFill="1" applyBorder="1" applyAlignment="1">
      <alignment horizontal="center" vertical="center"/>
    </xf>
    <xf numFmtId="41" fontId="0" fillId="0" borderId="0" xfId="23" applyFont="1"/>
    <xf numFmtId="0" fontId="24" fillId="0" borderId="30" xfId="34" applyNumberFormat="1" applyFont="1" applyBorder="1" applyAlignment="1" applyProtection="1">
      <alignment horizontal="center" vertical="center" wrapText="1"/>
      <protection locked="0"/>
    </xf>
    <xf numFmtId="0" fontId="24" fillId="0" borderId="33" xfId="34" applyNumberFormat="1" applyFont="1" applyBorder="1" applyAlignment="1" applyProtection="1">
      <alignment horizontal="center" vertical="center" wrapText="1"/>
      <protection locked="0"/>
    </xf>
    <xf numFmtId="0" fontId="24" fillId="4" borderId="3" xfId="0" applyFont="1" applyFill="1" applyBorder="1" applyAlignment="1">
      <alignment horizontal="center" vertical="center"/>
    </xf>
    <xf numFmtId="41" fontId="39" fillId="0" borderId="36" xfId="25" applyNumberFormat="1" applyFont="1" applyFill="1" applyBorder="1" applyAlignment="1">
      <alignment horizontal="center" vertical="center" wrapText="1"/>
    </xf>
    <xf numFmtId="44" fontId="39" fillId="0" borderId="0" xfId="25" applyNumberFormat="1" applyFont="1" applyBorder="1" applyAlignment="1">
      <alignment vertical="center"/>
    </xf>
    <xf numFmtId="0" fontId="40" fillId="8" borderId="17" xfId="25" applyNumberFormat="1" applyFont="1" applyFill="1" applyBorder="1" applyAlignment="1">
      <alignment horizontal="center" vertical="center"/>
    </xf>
    <xf numFmtId="0" fontId="40" fillId="8" borderId="17" xfId="0" applyFont="1" applyFill="1" applyBorder="1" applyAlignment="1">
      <alignment horizontal="center" vertical="center"/>
    </xf>
    <xf numFmtId="43" fontId="40" fillId="8" borderId="17" xfId="25" applyNumberFormat="1" applyFont="1" applyFill="1" applyBorder="1" applyAlignment="1">
      <alignment horizontal="center" vertical="center"/>
    </xf>
    <xf numFmtId="41" fontId="40" fillId="8" borderId="17" xfId="25" applyNumberFormat="1" applyFont="1" applyFill="1" applyBorder="1" applyAlignment="1">
      <alignment horizontal="center" vertical="center"/>
    </xf>
    <xf numFmtId="181" fontId="46" fillId="8" borderId="17" xfId="25" applyFont="1" applyFill="1" applyBorder="1" applyAlignment="1">
      <alignment horizontal="center" vertical="center"/>
    </xf>
    <xf numFmtId="181" fontId="40" fillId="8" borderId="17" xfId="25" applyFont="1" applyFill="1" applyBorder="1" applyAlignment="1">
      <alignment horizontal="center" vertical="center"/>
    </xf>
    <xf numFmtId="41" fontId="39" fillId="0" borderId="0" xfId="23" applyFont="1" applyAlignment="1">
      <alignment vertical="center"/>
    </xf>
    <xf numFmtId="41" fontId="47" fillId="0" borderId="3" xfId="23" applyFont="1" applyFill="1" applyBorder="1" applyAlignment="1">
      <alignment horizontal="center" vertical="center"/>
    </xf>
    <xf numFmtId="41" fontId="39" fillId="0" borderId="3" xfId="23" applyFont="1" applyFill="1" applyBorder="1" applyAlignment="1">
      <alignment horizontal="center" vertical="center" wrapText="1"/>
    </xf>
    <xf numFmtId="41" fontId="39" fillId="8" borderId="3" xfId="23" applyFont="1" applyFill="1" applyBorder="1" applyAlignment="1">
      <alignment horizontal="center" vertical="center"/>
    </xf>
    <xf numFmtId="41" fontId="39" fillId="8" borderId="17" xfId="23" applyFont="1" applyFill="1" applyBorder="1" applyAlignment="1">
      <alignment horizontal="center" vertical="center"/>
    </xf>
    <xf numFmtId="41" fontId="39" fillId="0" borderId="17" xfId="23" applyFont="1" applyBorder="1" applyAlignment="1">
      <alignment vertical="center"/>
    </xf>
    <xf numFmtId="41" fontId="39" fillId="0" borderId="0" xfId="23" applyFont="1" applyBorder="1" applyAlignment="1">
      <alignment vertical="center"/>
    </xf>
    <xf numFmtId="181" fontId="39" fillId="9" borderId="0" xfId="25" applyFont="1" applyFill="1" applyBorder="1" applyAlignment="1">
      <alignment vertical="center"/>
    </xf>
    <xf numFmtId="181" fontId="39" fillId="9" borderId="17" xfId="25" applyFont="1" applyFill="1" applyBorder="1" applyAlignment="1">
      <alignment vertical="center"/>
    </xf>
    <xf numFmtId="41" fontId="23" fillId="0" borderId="3" xfId="26" applyFont="1" applyFill="1" applyBorder="1" applyAlignment="1">
      <alignment horizontal="center" vertical="center"/>
    </xf>
    <xf numFmtId="41" fontId="23" fillId="0" borderId="3" xfId="26" applyFont="1" applyFill="1" applyBorder="1" applyAlignment="1" applyProtection="1">
      <alignment horizontal="center" vertical="center" wrapText="1"/>
      <protection locked="0"/>
    </xf>
    <xf numFmtId="0" fontId="0" fillId="0" borderId="3" xfId="0" applyBorder="1" applyAlignment="1">
      <alignment horizontal="center"/>
    </xf>
    <xf numFmtId="0" fontId="0" fillId="0" borderId="16" xfId="0" applyBorder="1" applyAlignment="1">
      <alignment horizontal="center"/>
    </xf>
    <xf numFmtId="0" fontId="23" fillId="4" borderId="36" xfId="0" applyFont="1" applyFill="1" applyBorder="1" applyAlignment="1">
      <alignment horizontal="center" vertical="center"/>
    </xf>
    <xf numFmtId="0" fontId="24" fillId="4" borderId="36" xfId="0" applyFont="1" applyFill="1" applyBorder="1" applyAlignment="1">
      <alignment horizontal="center" vertical="center"/>
    </xf>
    <xf numFmtId="41" fontId="23" fillId="0" borderId="36" xfId="26" applyFont="1" applyFill="1" applyBorder="1" applyAlignment="1">
      <alignment horizontal="center" vertical="center"/>
    </xf>
    <xf numFmtId="0" fontId="23" fillId="4" borderId="36" xfId="26" applyNumberFormat="1" applyFont="1" applyFill="1" applyBorder="1" applyAlignment="1">
      <alignment horizontal="center" vertical="center"/>
    </xf>
    <xf numFmtId="41" fontId="23" fillId="4" borderId="37" xfId="26" applyFont="1" applyFill="1" applyBorder="1" applyAlignment="1">
      <alignment horizontal="center" vertical="center"/>
    </xf>
    <xf numFmtId="41" fontId="23" fillId="4" borderId="3" xfId="26" applyFont="1" applyFill="1" applyBorder="1" applyAlignment="1">
      <alignment horizontal="center" vertical="center"/>
    </xf>
    <xf numFmtId="195" fontId="23" fillId="0" borderId="3" xfId="0" applyNumberFormat="1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41" fontId="50" fillId="6" borderId="9" xfId="24" applyFont="1" applyFill="1" applyBorder="1" applyAlignment="1">
      <alignment vertical="center"/>
    </xf>
    <xf numFmtId="41" fontId="50" fillId="6" borderId="2" xfId="24" applyFont="1" applyFill="1" applyBorder="1" applyAlignment="1">
      <alignment vertical="center"/>
    </xf>
    <xf numFmtId="41" fontId="50" fillId="6" borderId="10" xfId="24" applyFont="1" applyFill="1" applyBorder="1" applyAlignment="1">
      <alignment vertical="center"/>
    </xf>
    <xf numFmtId="0" fontId="37" fillId="6" borderId="9" xfId="32" applyFont="1" applyFill="1" applyBorder="1" applyAlignment="1">
      <alignment horizontal="center" vertical="center" shrinkToFit="1"/>
    </xf>
    <xf numFmtId="0" fontId="37" fillId="6" borderId="2" xfId="32" applyFont="1" applyFill="1" applyBorder="1" applyAlignment="1">
      <alignment horizontal="center" vertical="center" shrinkToFit="1"/>
    </xf>
    <xf numFmtId="0" fontId="37" fillId="6" borderId="10" xfId="32" applyFont="1" applyFill="1" applyBorder="1" applyAlignment="1">
      <alignment horizontal="center" vertical="center" shrinkToFit="1"/>
    </xf>
    <xf numFmtId="41" fontId="42" fillId="4" borderId="9" xfId="24" applyFont="1" applyFill="1" applyBorder="1" applyAlignment="1">
      <alignment horizontal="center" vertical="center"/>
    </xf>
    <xf numFmtId="41" fontId="42" fillId="4" borderId="2" xfId="24" applyFont="1" applyFill="1" applyBorder="1" applyAlignment="1">
      <alignment horizontal="center" vertical="center"/>
    </xf>
    <xf numFmtId="41" fontId="42" fillId="4" borderId="10" xfId="24" applyFont="1" applyFill="1" applyBorder="1" applyAlignment="1">
      <alignment horizontal="center" vertical="center"/>
    </xf>
    <xf numFmtId="41" fontId="37" fillId="6" borderId="9" xfId="24" applyFont="1" applyFill="1" applyBorder="1" applyAlignment="1">
      <alignment horizontal="center" vertical="center"/>
    </xf>
    <xf numFmtId="41" fontId="37" fillId="6" borderId="2" xfId="24" applyFont="1" applyFill="1" applyBorder="1" applyAlignment="1">
      <alignment horizontal="center" vertical="center"/>
    </xf>
    <xf numFmtId="41" fontId="37" fillId="6" borderId="10" xfId="24" applyFont="1" applyFill="1" applyBorder="1" applyAlignment="1">
      <alignment horizontal="center" vertical="center"/>
    </xf>
    <xf numFmtId="0" fontId="33" fillId="6" borderId="9" xfId="32" applyFont="1" applyFill="1" applyBorder="1" applyAlignment="1">
      <alignment horizontal="center" vertical="center" shrinkToFit="1"/>
    </xf>
    <xf numFmtId="0" fontId="33" fillId="6" borderId="2" xfId="32" applyFont="1" applyFill="1" applyBorder="1" applyAlignment="1">
      <alignment horizontal="center" vertical="center" shrinkToFit="1"/>
    </xf>
    <xf numFmtId="0" fontId="33" fillId="6" borderId="10" xfId="32" applyFont="1" applyFill="1" applyBorder="1" applyAlignment="1">
      <alignment horizontal="center" vertical="center" shrinkToFit="1"/>
    </xf>
    <xf numFmtId="177" fontId="33" fillId="6" borderId="9" xfId="24" applyNumberFormat="1" applyFont="1" applyFill="1" applyBorder="1" applyAlignment="1">
      <alignment horizontal="right" vertical="center"/>
    </xf>
    <xf numFmtId="177" fontId="33" fillId="6" borderId="2" xfId="24" applyNumberFormat="1" applyFont="1" applyFill="1" applyBorder="1" applyAlignment="1">
      <alignment horizontal="right" vertical="center"/>
    </xf>
    <xf numFmtId="177" fontId="33" fillId="6" borderId="10" xfId="24" applyNumberFormat="1" applyFont="1" applyFill="1" applyBorder="1" applyAlignment="1">
      <alignment horizontal="right" vertical="center"/>
    </xf>
    <xf numFmtId="0" fontId="42" fillId="6" borderId="9" xfId="32" applyFont="1" applyFill="1" applyBorder="1" applyAlignment="1">
      <alignment horizontal="left" vertical="center" indent="1" shrinkToFit="1"/>
    </xf>
    <xf numFmtId="0" fontId="42" fillId="6" borderId="2" xfId="32" applyFont="1" applyFill="1" applyBorder="1" applyAlignment="1">
      <alignment horizontal="left" vertical="center" indent="1" shrinkToFit="1"/>
    </xf>
    <xf numFmtId="0" fontId="42" fillId="6" borderId="10" xfId="32" applyFont="1" applyFill="1" applyBorder="1" applyAlignment="1">
      <alignment horizontal="left" vertical="center" indent="1" shrinkToFit="1"/>
    </xf>
    <xf numFmtId="41" fontId="42" fillId="6" borderId="9" xfId="24" applyFont="1" applyFill="1" applyBorder="1" applyAlignment="1">
      <alignment horizontal="center" vertical="center"/>
    </xf>
    <xf numFmtId="41" fontId="42" fillId="6" borderId="2" xfId="24" applyFont="1" applyFill="1" applyBorder="1" applyAlignment="1">
      <alignment horizontal="center" vertical="center"/>
    </xf>
    <xf numFmtId="41" fontId="42" fillId="6" borderId="10" xfId="24" applyFont="1" applyFill="1" applyBorder="1" applyAlignment="1">
      <alignment horizontal="center" vertical="center"/>
    </xf>
    <xf numFmtId="41" fontId="26" fillId="4" borderId="9" xfId="24" applyFont="1" applyFill="1" applyBorder="1" applyAlignment="1">
      <alignment horizontal="center" vertical="center"/>
    </xf>
    <xf numFmtId="41" fontId="26" fillId="4" borderId="2" xfId="24" applyFont="1" applyFill="1" applyBorder="1" applyAlignment="1">
      <alignment horizontal="center" vertical="center"/>
    </xf>
    <xf numFmtId="41" fontId="26" fillId="4" borderId="10" xfId="24" applyFont="1" applyFill="1" applyBorder="1" applyAlignment="1">
      <alignment horizontal="center" vertical="center"/>
    </xf>
    <xf numFmtId="0" fontId="48" fillId="6" borderId="0" xfId="32" applyFont="1" applyFill="1" applyBorder="1" applyAlignment="1">
      <alignment horizontal="center" vertical="center"/>
    </xf>
    <xf numFmtId="0" fontId="48" fillId="6" borderId="12" xfId="32" applyFont="1" applyFill="1" applyBorder="1" applyAlignment="1">
      <alignment horizontal="center" vertical="center"/>
    </xf>
    <xf numFmtId="0" fontId="45" fillId="5" borderId="9" xfId="32" applyFont="1" applyFill="1" applyBorder="1" applyAlignment="1">
      <alignment horizontal="center" vertical="center"/>
    </xf>
    <xf numFmtId="0" fontId="45" fillId="5" borderId="10" xfId="32" applyFont="1" applyFill="1" applyBorder="1" applyAlignment="1">
      <alignment horizontal="center" vertical="center"/>
    </xf>
    <xf numFmtId="0" fontId="37" fillId="6" borderId="38" xfId="32" applyFont="1" applyFill="1" applyBorder="1" applyAlignment="1">
      <alignment horizontal="left" vertical="top" wrapText="1"/>
    </xf>
    <xf numFmtId="0" fontId="31" fillId="6" borderId="17" xfId="0" applyFont="1" applyFill="1" applyBorder="1" applyAlignment="1">
      <alignment vertical="top"/>
    </xf>
    <xf numFmtId="0" fontId="31" fillId="6" borderId="7" xfId="0" applyFont="1" applyFill="1" applyBorder="1" applyAlignment="1">
      <alignment vertical="top"/>
    </xf>
    <xf numFmtId="0" fontId="31" fillId="6" borderId="0" xfId="0" applyFont="1" applyFill="1" applyBorder="1" applyAlignment="1">
      <alignment vertical="top"/>
    </xf>
    <xf numFmtId="0" fontId="28" fillId="5" borderId="3" xfId="32" applyFont="1" applyFill="1" applyBorder="1" applyAlignment="1">
      <alignment horizontal="center" vertical="center" wrapText="1"/>
    </xf>
    <xf numFmtId="0" fontId="28" fillId="5" borderId="9" xfId="32" applyFont="1" applyFill="1" applyBorder="1" applyAlignment="1">
      <alignment horizontal="center" vertical="center" wrapText="1"/>
    </xf>
    <xf numFmtId="0" fontId="27" fillId="6" borderId="10" xfId="32" applyFont="1" applyFill="1" applyBorder="1" applyAlignment="1">
      <alignment horizontal="center" vertical="center"/>
    </xf>
    <xf numFmtId="0" fontId="27" fillId="6" borderId="3" xfId="32" applyFont="1" applyFill="1" applyBorder="1" applyAlignment="1">
      <alignment horizontal="center" vertical="center"/>
    </xf>
    <xf numFmtId="0" fontId="27" fillId="6" borderId="2" xfId="32" applyFont="1" applyFill="1" applyBorder="1" applyAlignment="1">
      <alignment horizontal="center" vertical="center"/>
    </xf>
    <xf numFmtId="41" fontId="37" fillId="6" borderId="9" xfId="24" applyFont="1" applyFill="1" applyBorder="1" applyAlignment="1">
      <alignment horizontal="left" vertical="center"/>
    </xf>
    <xf numFmtId="41" fontId="37" fillId="6" borderId="2" xfId="24" applyFont="1" applyFill="1" applyBorder="1" applyAlignment="1">
      <alignment horizontal="left" vertical="center"/>
    </xf>
    <xf numFmtId="0" fontId="37" fillId="6" borderId="36" xfId="32" applyFont="1" applyFill="1" applyBorder="1" applyAlignment="1">
      <alignment horizontal="center" vertical="center" wrapText="1"/>
    </xf>
    <xf numFmtId="0" fontId="37" fillId="6" borderId="26" xfId="32" applyFont="1" applyFill="1" applyBorder="1" applyAlignment="1">
      <alignment horizontal="center" vertical="center" wrapText="1"/>
    </xf>
    <xf numFmtId="0" fontId="37" fillId="6" borderId="33" xfId="32" applyFont="1" applyFill="1" applyBorder="1" applyAlignment="1">
      <alignment horizontal="center" vertical="center" wrapText="1"/>
    </xf>
    <xf numFmtId="0" fontId="37" fillId="6" borderId="11" xfId="32" applyFont="1" applyFill="1" applyBorder="1" applyAlignment="1">
      <alignment horizontal="left" vertical="center" indent="1" shrinkToFit="1"/>
    </xf>
    <xf numFmtId="0" fontId="37" fillId="6" borderId="12" xfId="32" applyFont="1" applyFill="1" applyBorder="1" applyAlignment="1">
      <alignment horizontal="left" vertical="center" indent="1" shrinkToFit="1"/>
    </xf>
    <xf numFmtId="0" fontId="37" fillId="6" borderId="4" xfId="32" applyFont="1" applyFill="1" applyBorder="1" applyAlignment="1">
      <alignment horizontal="left" vertical="center" indent="1" shrinkToFit="1"/>
    </xf>
    <xf numFmtId="0" fontId="37" fillId="6" borderId="36" xfId="32" applyFont="1" applyFill="1" applyBorder="1" applyAlignment="1">
      <alignment horizontal="center" vertical="center"/>
    </xf>
    <xf numFmtId="0" fontId="37" fillId="6" borderId="26" xfId="32" applyFont="1" applyFill="1" applyBorder="1" applyAlignment="1">
      <alignment horizontal="center" vertical="center"/>
    </xf>
    <xf numFmtId="0" fontId="37" fillId="6" borderId="33" xfId="32" applyFont="1" applyFill="1" applyBorder="1" applyAlignment="1">
      <alignment horizontal="center" vertical="center"/>
    </xf>
    <xf numFmtId="0" fontId="42" fillId="6" borderId="11" xfId="32" applyFont="1" applyFill="1" applyBorder="1" applyAlignment="1">
      <alignment horizontal="left" vertical="center" indent="1" shrinkToFit="1"/>
    </xf>
    <xf numFmtId="0" fontId="42" fillId="6" borderId="12" xfId="32" applyFont="1" applyFill="1" applyBorder="1" applyAlignment="1">
      <alignment horizontal="left" vertical="center" indent="1" shrinkToFit="1"/>
    </xf>
    <xf numFmtId="0" fontId="42" fillId="6" borderId="4" xfId="32" applyFont="1" applyFill="1" applyBorder="1" applyAlignment="1">
      <alignment horizontal="left" vertical="center" indent="1" shrinkToFit="1"/>
    </xf>
    <xf numFmtId="42" fontId="28" fillId="4" borderId="0" xfId="32" applyNumberFormat="1" applyFont="1" applyFill="1" applyBorder="1" applyAlignment="1">
      <alignment horizontal="right" vertical="center"/>
    </xf>
    <xf numFmtId="41" fontId="29" fillId="4" borderId="0" xfId="32" applyNumberFormat="1" applyFont="1" applyFill="1" applyBorder="1" applyAlignment="1">
      <alignment vertical="center"/>
    </xf>
    <xf numFmtId="0" fontId="29" fillId="4" borderId="0" xfId="32" applyFont="1" applyFill="1" applyBorder="1" applyAlignment="1">
      <alignment horizontal="center" vertical="center"/>
    </xf>
    <xf numFmtId="31" fontId="45" fillId="4" borderId="12" xfId="32" applyNumberFormat="1" applyFont="1" applyFill="1" applyBorder="1" applyAlignment="1">
      <alignment horizontal="left" vertical="center"/>
    </xf>
    <xf numFmtId="31" fontId="29" fillId="4" borderId="0" xfId="32" applyNumberFormat="1" applyFont="1" applyFill="1" applyBorder="1" applyAlignment="1">
      <alignment horizontal="left" vertical="center"/>
    </xf>
    <xf numFmtId="0" fontId="31" fillId="5" borderId="39" xfId="32" applyFont="1" applyFill="1" applyBorder="1" applyAlignment="1">
      <alignment horizontal="center" vertical="center"/>
    </xf>
    <xf numFmtId="0" fontId="31" fillId="5" borderId="45" xfId="32" applyFont="1" applyFill="1" applyBorder="1" applyAlignment="1">
      <alignment horizontal="center" vertical="center"/>
    </xf>
    <xf numFmtId="0" fontId="31" fillId="5" borderId="8" xfId="32" applyFont="1" applyFill="1" applyBorder="1" applyAlignment="1">
      <alignment horizontal="center" vertical="center"/>
    </xf>
    <xf numFmtId="0" fontId="37" fillId="6" borderId="40" xfId="32" applyFont="1" applyFill="1" applyBorder="1" applyAlignment="1">
      <alignment horizontal="center" vertical="center"/>
    </xf>
    <xf numFmtId="0" fontId="42" fillId="4" borderId="41" xfId="32" applyFont="1" applyFill="1" applyBorder="1" applyAlignment="1">
      <alignment horizontal="left" vertical="center" indent="1" shrinkToFit="1"/>
    </xf>
    <xf numFmtId="0" fontId="42" fillId="4" borderId="42" xfId="32" applyFont="1" applyFill="1" applyBorder="1" applyAlignment="1">
      <alignment horizontal="left" vertical="center" indent="1" shrinkToFit="1"/>
    </xf>
    <xf numFmtId="41" fontId="42" fillId="6" borderId="43" xfId="24" applyFont="1" applyFill="1" applyBorder="1" applyAlignment="1">
      <alignment horizontal="center" vertical="center"/>
    </xf>
    <xf numFmtId="41" fontId="42" fillId="6" borderId="41" xfId="24" applyFont="1" applyFill="1" applyBorder="1" applyAlignment="1">
      <alignment horizontal="center" vertical="center"/>
    </xf>
    <xf numFmtId="41" fontId="42" fillId="6" borderId="42" xfId="24" applyFont="1" applyFill="1" applyBorder="1" applyAlignment="1">
      <alignment horizontal="center" vertical="center"/>
    </xf>
    <xf numFmtId="41" fontId="37" fillId="4" borderId="46" xfId="26" applyFont="1" applyFill="1" applyBorder="1" applyAlignment="1">
      <alignment horizontal="center" vertical="center" wrapText="1"/>
    </xf>
    <xf numFmtId="41" fontId="37" fillId="4" borderId="47" xfId="26" applyFont="1" applyFill="1" applyBorder="1" applyAlignment="1">
      <alignment horizontal="center" vertical="center"/>
    </xf>
    <xf numFmtId="41" fontId="37" fillId="4" borderId="21" xfId="26" applyFont="1" applyFill="1" applyBorder="1" applyAlignment="1">
      <alignment horizontal="center" vertical="center"/>
    </xf>
    <xf numFmtId="41" fontId="37" fillId="4" borderId="48" xfId="26" applyFont="1" applyFill="1" applyBorder="1" applyAlignment="1">
      <alignment horizontal="center" vertical="center"/>
    </xf>
    <xf numFmtId="0" fontId="37" fillId="4" borderId="14" xfId="32" applyFont="1" applyFill="1" applyBorder="1" applyAlignment="1">
      <alignment horizontal="center" vertical="center" wrapText="1"/>
    </xf>
    <xf numFmtId="0" fontId="37" fillId="4" borderId="3" xfId="32" applyFont="1" applyFill="1" applyBorder="1" applyAlignment="1">
      <alignment horizontal="center" vertical="center" wrapText="1"/>
    </xf>
    <xf numFmtId="0" fontId="37" fillId="4" borderId="9" xfId="32" applyFont="1" applyFill="1" applyBorder="1" applyAlignment="1">
      <alignment horizontal="center" vertical="center" wrapText="1"/>
    </xf>
    <xf numFmtId="0" fontId="37" fillId="4" borderId="31" xfId="32" applyFont="1" applyFill="1" applyBorder="1" applyAlignment="1">
      <alignment horizontal="center" vertical="center" wrapText="1"/>
    </xf>
    <xf numFmtId="0" fontId="37" fillId="4" borderId="49" xfId="32" applyFont="1" applyFill="1" applyBorder="1" applyAlignment="1">
      <alignment horizontal="center" vertical="center"/>
    </xf>
    <xf numFmtId="0" fontId="37" fillId="4" borderId="10" xfId="32" applyFont="1" applyFill="1" applyBorder="1" applyAlignment="1">
      <alignment horizontal="center" vertical="center"/>
    </xf>
    <xf numFmtId="0" fontId="37" fillId="4" borderId="11" xfId="32" applyFont="1" applyFill="1" applyBorder="1" applyAlignment="1">
      <alignment horizontal="center" vertical="center"/>
    </xf>
    <xf numFmtId="0" fontId="29" fillId="4" borderId="12" xfId="32" applyFont="1" applyFill="1" applyBorder="1">
      <alignment vertical="center"/>
    </xf>
    <xf numFmtId="0" fontId="28" fillId="4" borderId="50" xfId="32" applyFont="1" applyFill="1" applyBorder="1" applyAlignment="1">
      <alignment horizontal="center" vertical="center" wrapText="1"/>
    </xf>
    <xf numFmtId="0" fontId="28" fillId="4" borderId="0" xfId="32" applyFont="1" applyFill="1" applyBorder="1" applyAlignment="1">
      <alignment horizontal="center" vertical="center"/>
    </xf>
    <xf numFmtId="0" fontId="37" fillId="4" borderId="3" xfId="32" applyFont="1" applyFill="1" applyBorder="1" applyAlignment="1">
      <alignment horizontal="center" vertical="center"/>
    </xf>
    <xf numFmtId="0" fontId="49" fillId="4" borderId="9" xfId="32" applyFont="1" applyFill="1" applyBorder="1" applyAlignment="1">
      <alignment horizontal="center" vertical="center" wrapText="1"/>
    </xf>
    <xf numFmtId="0" fontId="49" fillId="4" borderId="31" xfId="32" applyFont="1" applyFill="1" applyBorder="1" applyAlignment="1">
      <alignment horizontal="center" vertical="center" wrapText="1"/>
    </xf>
    <xf numFmtId="0" fontId="37" fillId="4" borderId="16" xfId="32" applyFont="1" applyFill="1" applyBorder="1" applyAlignment="1">
      <alignment horizontal="center" vertical="center"/>
    </xf>
    <xf numFmtId="0" fontId="37" fillId="6" borderId="11" xfId="32" applyFont="1" applyFill="1" applyBorder="1" applyAlignment="1">
      <alignment horizontal="center" vertical="center" shrinkToFit="1"/>
    </xf>
    <xf numFmtId="180" fontId="30" fillId="4" borderId="38" xfId="26" applyNumberFormat="1" applyFont="1" applyFill="1" applyBorder="1" applyAlignment="1">
      <alignment horizontal="right" vertical="center"/>
    </xf>
    <xf numFmtId="180" fontId="30" fillId="4" borderId="17" xfId="26" applyNumberFormat="1" applyFont="1" applyFill="1" applyBorder="1" applyAlignment="1">
      <alignment horizontal="right" vertical="center"/>
    </xf>
    <xf numFmtId="180" fontId="30" fillId="4" borderId="51" xfId="26" applyNumberFormat="1" applyFont="1" applyFill="1" applyBorder="1" applyAlignment="1">
      <alignment horizontal="right" vertical="center"/>
    </xf>
    <xf numFmtId="180" fontId="30" fillId="4" borderId="52" xfId="26" applyNumberFormat="1" applyFont="1" applyFill="1" applyBorder="1" applyAlignment="1">
      <alignment horizontal="right" vertical="center"/>
    </xf>
    <xf numFmtId="180" fontId="30" fillId="4" borderId="5" xfId="26" applyNumberFormat="1" applyFont="1" applyFill="1" applyBorder="1" applyAlignment="1">
      <alignment horizontal="right" vertical="center"/>
    </xf>
    <xf numFmtId="180" fontId="30" fillId="4" borderId="22" xfId="26" applyNumberFormat="1" applyFont="1" applyFill="1" applyBorder="1" applyAlignment="1">
      <alignment horizontal="right" vertical="center"/>
    </xf>
    <xf numFmtId="0" fontId="37" fillId="6" borderId="49" xfId="32" applyFont="1" applyFill="1" applyBorder="1" applyAlignment="1">
      <alignment horizontal="center" vertical="center" shrinkToFit="1"/>
    </xf>
    <xf numFmtId="0" fontId="37" fillId="4" borderId="44" xfId="32" applyFont="1" applyFill="1" applyBorder="1" applyAlignment="1">
      <alignment horizontal="center" vertical="center"/>
    </xf>
    <xf numFmtId="0" fontId="37" fillId="4" borderId="32" xfId="32" applyFont="1" applyFill="1" applyBorder="1" applyAlignment="1">
      <alignment horizontal="center" vertical="center"/>
    </xf>
    <xf numFmtId="0" fontId="43" fillId="4" borderId="17" xfId="32" applyFont="1" applyFill="1" applyBorder="1" applyAlignment="1">
      <alignment horizontal="center" vertical="center"/>
    </xf>
    <xf numFmtId="0" fontId="43" fillId="4" borderId="47" xfId="32" applyFont="1" applyFill="1" applyBorder="1" applyAlignment="1">
      <alignment horizontal="center" vertical="center"/>
    </xf>
    <xf numFmtId="0" fontId="43" fillId="4" borderId="0" xfId="32" applyFont="1" applyFill="1" applyBorder="1" applyAlignment="1">
      <alignment horizontal="center" vertical="center"/>
    </xf>
    <xf numFmtId="0" fontId="43" fillId="4" borderId="6" xfId="32" applyFont="1" applyFill="1" applyBorder="1" applyAlignment="1">
      <alignment horizontal="center" vertical="center"/>
    </xf>
    <xf numFmtId="0" fontId="44" fillId="4" borderId="0" xfId="32" applyNumberFormat="1" applyFont="1" applyFill="1" applyBorder="1" applyAlignment="1">
      <alignment horizontal="right" vertical="center"/>
    </xf>
    <xf numFmtId="0" fontId="37" fillId="4" borderId="0" xfId="32" applyFont="1" applyFill="1" applyBorder="1">
      <alignment vertical="center"/>
    </xf>
    <xf numFmtId="0" fontId="37" fillId="4" borderId="30" xfId="32" applyFont="1" applyFill="1" applyBorder="1" applyAlignment="1">
      <alignment horizontal="center" vertical="center"/>
    </xf>
    <xf numFmtId="0" fontId="37" fillId="4" borderId="53" xfId="32" applyFont="1" applyFill="1" applyBorder="1" applyAlignment="1">
      <alignment horizontal="center" vertical="center"/>
    </xf>
    <xf numFmtId="0" fontId="37" fillId="4" borderId="34" xfId="32" applyFont="1" applyFill="1" applyBorder="1" applyAlignment="1">
      <alignment horizontal="center" vertical="center"/>
    </xf>
    <xf numFmtId="31" fontId="37" fillId="4" borderId="54" xfId="32" applyNumberFormat="1" applyFont="1" applyFill="1" applyBorder="1" applyAlignment="1">
      <alignment horizontal="center" vertical="center"/>
    </xf>
    <xf numFmtId="31" fontId="37" fillId="4" borderId="55" xfId="32" applyNumberFormat="1" applyFont="1" applyFill="1" applyBorder="1" applyAlignment="1">
      <alignment horizontal="center" vertical="center"/>
    </xf>
    <xf numFmtId="31" fontId="37" fillId="4" borderId="53" xfId="32" applyNumberFormat="1" applyFont="1" applyFill="1" applyBorder="1" applyAlignment="1">
      <alignment horizontal="center" vertical="center"/>
    </xf>
    <xf numFmtId="0" fontId="29" fillId="4" borderId="56" xfId="32" applyFont="1" applyFill="1" applyBorder="1">
      <alignment vertical="center"/>
    </xf>
    <xf numFmtId="0" fontId="28" fillId="4" borderId="57" xfId="32" applyFont="1" applyFill="1" applyBorder="1" applyAlignment="1">
      <alignment horizontal="center" vertical="center"/>
    </xf>
    <xf numFmtId="0" fontId="37" fillId="4" borderId="3" xfId="32" applyFont="1" applyFill="1" applyBorder="1" applyAlignment="1">
      <alignment horizontal="left" vertical="center"/>
    </xf>
    <xf numFmtId="0" fontId="37" fillId="4" borderId="9" xfId="32" applyFont="1" applyFill="1" applyBorder="1" applyAlignment="1">
      <alignment horizontal="left" vertical="center"/>
    </xf>
    <xf numFmtId="0" fontId="37" fillId="4" borderId="31" xfId="32" applyFont="1" applyFill="1" applyBorder="1" applyAlignment="1">
      <alignment horizontal="left" vertical="center"/>
    </xf>
    <xf numFmtId="0" fontId="40" fillId="7" borderId="47" xfId="0" applyFont="1" applyFill="1" applyBorder="1" applyAlignment="1">
      <alignment horizontal="center" vertical="center" wrapText="1"/>
    </xf>
    <xf numFmtId="0" fontId="40" fillId="7" borderId="4" xfId="0" applyFont="1" applyFill="1" applyBorder="1" applyAlignment="1">
      <alignment horizontal="center" vertical="center" wrapText="1"/>
    </xf>
    <xf numFmtId="41" fontId="40" fillId="7" borderId="36" xfId="23" applyFont="1" applyFill="1" applyBorder="1" applyAlignment="1">
      <alignment horizontal="center" vertical="center" wrapText="1"/>
    </xf>
    <xf numFmtId="41" fontId="40" fillId="7" borderId="33" xfId="23" applyFont="1" applyFill="1" applyBorder="1"/>
    <xf numFmtId="0" fontId="40" fillId="7" borderId="36" xfId="0" applyFont="1" applyFill="1" applyBorder="1" applyAlignment="1">
      <alignment horizontal="center" vertical="center" wrapText="1"/>
    </xf>
    <xf numFmtId="0" fontId="40" fillId="7" borderId="33" xfId="0" applyFont="1" applyFill="1" applyBorder="1" applyAlignment="1">
      <alignment horizontal="center" vertical="center" wrapText="1"/>
    </xf>
    <xf numFmtId="181" fontId="40" fillId="7" borderId="36" xfId="25" applyFont="1" applyFill="1" applyBorder="1" applyAlignment="1">
      <alignment horizontal="center" vertical="center" wrapText="1"/>
    </xf>
    <xf numFmtId="181" fontId="40" fillId="7" borderId="33" xfId="25" applyFont="1" applyFill="1" applyBorder="1" applyAlignment="1">
      <alignment horizontal="center" vertical="center" wrapText="1"/>
    </xf>
    <xf numFmtId="181" fontId="40" fillId="7" borderId="9" xfId="25" applyFont="1" applyFill="1" applyBorder="1" applyAlignment="1">
      <alignment horizontal="center" vertical="center"/>
    </xf>
    <xf numFmtId="181" fontId="40" fillId="7" borderId="10" xfId="25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0" xfId="0" applyBorder="1" applyAlignment="1">
      <alignment horizontal="center"/>
    </xf>
    <xf numFmtId="0" fontId="12" fillId="4" borderId="58" xfId="0" applyFont="1" applyFill="1" applyBorder="1" applyAlignment="1">
      <alignment horizontal="center" vertical="center"/>
    </xf>
    <xf numFmtId="0" fontId="13" fillId="0" borderId="2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18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0" fontId="13" fillId="0" borderId="21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0" fontId="14" fillId="4" borderId="21" xfId="0" applyFont="1" applyFill="1" applyBorder="1" applyAlignment="1">
      <alignment horizontal="right" vertical="center"/>
    </xf>
    <xf numFmtId="0" fontId="14" fillId="4" borderId="5" xfId="0" applyFont="1" applyFill="1" applyBorder="1" applyAlignment="1">
      <alignment horizontal="right" vertical="center"/>
    </xf>
    <xf numFmtId="196" fontId="16" fillId="0" borderId="53" xfId="0" applyNumberFormat="1" applyFont="1" applyBorder="1" applyAlignment="1">
      <alignment horizontal="center" vertical="center"/>
    </xf>
    <xf numFmtId="196" fontId="16" fillId="0" borderId="59" xfId="0" applyNumberFormat="1" applyFont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15" fillId="4" borderId="60" xfId="0" applyFont="1" applyFill="1" applyBorder="1" applyAlignment="1">
      <alignment horizontal="center" vertical="center"/>
    </xf>
    <xf numFmtId="41" fontId="16" fillId="4" borderId="23" xfId="26" applyFont="1" applyFill="1" applyBorder="1" applyAlignment="1">
      <alignment horizontal="center" vertical="center"/>
    </xf>
    <xf numFmtId="41" fontId="16" fillId="4" borderId="61" xfId="26" applyFont="1" applyFill="1" applyBorder="1" applyAlignment="1">
      <alignment horizontal="center" vertical="center"/>
    </xf>
    <xf numFmtId="195" fontId="18" fillId="4" borderId="18" xfId="0" applyNumberFormat="1" applyFont="1" applyFill="1" applyBorder="1" applyAlignment="1">
      <alignment horizontal="left" vertical="center"/>
    </xf>
    <xf numFmtId="195" fontId="18" fillId="4" borderId="0" xfId="0" applyNumberFormat="1" applyFont="1" applyFill="1" applyBorder="1" applyAlignment="1">
      <alignment horizontal="left" vertical="center"/>
    </xf>
    <xf numFmtId="195" fontId="18" fillId="4" borderId="19" xfId="0" applyNumberFormat="1" applyFont="1" applyFill="1" applyBorder="1" applyAlignment="1">
      <alignment horizontal="left" vertical="center"/>
    </xf>
    <xf numFmtId="3" fontId="15" fillId="4" borderId="44" xfId="0" applyNumberFormat="1" applyFont="1" applyFill="1" applyBorder="1" applyAlignment="1">
      <alignment horizontal="center" vertical="center"/>
    </xf>
    <xf numFmtId="0" fontId="15" fillId="4" borderId="62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horizontal="center" vertical="center"/>
    </xf>
    <xf numFmtId="0" fontId="15" fillId="4" borderId="19" xfId="0" applyFont="1" applyFill="1" applyBorder="1" applyAlignment="1">
      <alignment horizontal="center" vertical="center"/>
    </xf>
    <xf numFmtId="0" fontId="20" fillId="4" borderId="18" xfId="0" applyFont="1" applyFill="1" applyBorder="1" applyAlignment="1">
      <alignment horizontal="center" vertical="center"/>
    </xf>
    <xf numFmtId="0" fontId="20" fillId="4" borderId="0" xfId="0" applyFont="1" applyFill="1" applyBorder="1" applyAlignment="1">
      <alignment horizontal="center" vertical="center"/>
    </xf>
    <xf numFmtId="0" fontId="20" fillId="4" borderId="19" xfId="0" applyFont="1" applyFill="1" applyBorder="1" applyAlignment="1">
      <alignment horizontal="center" vertical="center"/>
    </xf>
    <xf numFmtId="195" fontId="16" fillId="4" borderId="63" xfId="0" applyNumberFormat="1" applyFont="1" applyFill="1" applyBorder="1" applyAlignment="1">
      <alignment horizontal="center" vertical="center"/>
    </xf>
    <xf numFmtId="195" fontId="18" fillId="0" borderId="64" xfId="0" applyNumberFormat="1" applyFont="1" applyBorder="1" applyAlignment="1">
      <alignment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6" xfId="0" applyFont="1" applyFill="1" applyBorder="1" applyAlignment="1">
      <alignment horizontal="center" vertical="center"/>
    </xf>
    <xf numFmtId="195" fontId="23" fillId="0" borderId="65" xfId="0" applyNumberFormat="1" applyFont="1" applyBorder="1" applyAlignment="1">
      <alignment horizontal="center" vertical="center"/>
    </xf>
    <xf numFmtId="195" fontId="23" fillId="0" borderId="6" xfId="0" applyNumberFormat="1" applyFont="1" applyBorder="1" applyAlignment="1">
      <alignment horizontal="center" vertical="center"/>
    </xf>
    <xf numFmtId="195" fontId="23" fillId="0" borderId="4" xfId="0" applyNumberFormat="1" applyFont="1" applyBorder="1" applyAlignment="1">
      <alignment horizontal="center" vertical="center"/>
    </xf>
  </cellXfs>
  <cellStyles count="36">
    <cellStyle name="_총괄" xfId="1" xr:uid="{0C3AA136-E3A6-4391-8F9B-E963A71C5105}"/>
    <cellStyle name="Comma [0]_laroux" xfId="2" xr:uid="{2263CBED-6984-4BA3-AAB0-79ED9A225BCE}"/>
    <cellStyle name="comma zerodec" xfId="3" xr:uid="{E778B7CB-CFE5-490B-B1E9-5D9599732FDE}"/>
    <cellStyle name="Comma_laroux" xfId="4" xr:uid="{6EACD1F9-CDA4-4C62-A943-B62D4B8FBB62}"/>
    <cellStyle name="Currency [0]_laroux" xfId="5" xr:uid="{6F69BE48-1AFA-4BF0-92C3-D9F1B16B6591}"/>
    <cellStyle name="Currency_laroux" xfId="6" xr:uid="{2B93CA03-D1C8-4230-8F81-EA2B9690CAD6}"/>
    <cellStyle name="Currency1" xfId="7" xr:uid="{4D91BFB0-909F-46BA-B7FC-6523A5A5F15A}"/>
    <cellStyle name="Dollar (zero dec)" xfId="8" xr:uid="{F769FB17-2228-46D7-886B-AC7A8B303637}"/>
    <cellStyle name="Grey" xfId="9" xr:uid="{4E1B8946-46F1-4699-97F0-3162F608C161}"/>
    <cellStyle name="Header1" xfId="10" xr:uid="{A279BB89-9AE7-4A22-98BB-51D44B61EA0A}"/>
    <cellStyle name="Header2" xfId="11" xr:uid="{6E97270C-9249-4FDA-9826-AC03EB0DEF2F}"/>
    <cellStyle name="Input [yellow]" xfId="12" xr:uid="{CC886D9F-FFD7-4001-B14A-666A1E89982A}"/>
    <cellStyle name="Milliers [0]_Arabian Spec" xfId="13" xr:uid="{1AB3EDB4-A524-4CB0-9E07-2C7F6BC2B8B4}"/>
    <cellStyle name="Milliers_Arabian Spec" xfId="14" xr:uid="{C8E27949-F7C1-42D3-AAD2-2FCD9607D34A}"/>
    <cellStyle name="Mon?aire [0]_Arabian Spec" xfId="15" xr:uid="{D8484364-C0E6-45E0-90DF-9AB71FFAA5C2}"/>
    <cellStyle name="Mon?aire_Arabian Spec" xfId="16" xr:uid="{F47249B7-2CE7-49E5-9DDB-9F354A7AD335}"/>
    <cellStyle name="Normal - Style1" xfId="17" xr:uid="{8FEBBB86-3149-4A32-8493-7972C86879B8}"/>
    <cellStyle name="Normal_Certs Q2" xfId="18" xr:uid="{AEC35711-BC12-4756-ABAA-E25AD2D16C32}"/>
    <cellStyle name="Percent [2]" xfId="19" xr:uid="{AC5AE5C2-3A2F-4022-9AAB-D0D859252F35}"/>
    <cellStyle name="백분율 2" xfId="20" xr:uid="{065CFB19-7CCB-43E4-9DC6-43579E2DD2D4}"/>
    <cellStyle name="백분율 3" xfId="21" xr:uid="{A14FA24F-2AD6-4E8B-8993-2469438B546F}"/>
    <cellStyle name="분수" xfId="22" xr:uid="{BA3634E7-2072-4450-AA47-0374FA1FD172}"/>
    <cellStyle name="쉼표 [0]" xfId="23" builtinId="6"/>
    <cellStyle name="쉼표 [0] 2" xfId="24" xr:uid="{A0182011-FCBC-4276-B9A0-3875FAF5AA91}"/>
    <cellStyle name="쉼표 [0] 3" xfId="25" xr:uid="{24D09B7E-53E6-49D9-8FEE-2603F9D45A65}"/>
    <cellStyle name="쉼표 [0] 4" xfId="26" xr:uid="{99B0FC32-5D5B-4D93-A92E-E6DF8DFBD9F4}"/>
    <cellStyle name="쉼표 [0] 5" xfId="27" xr:uid="{D0E9F7B5-F7A3-45A6-AF28-2A4832DF8A2A}"/>
    <cellStyle name="콤마 [0]_(월초P)" xfId="28" xr:uid="{2A6FEF32-C5BE-4CE6-BE0D-34042432CF2C}"/>
    <cellStyle name="콤마_11월 거래처별" xfId="29" xr:uid="{24BCAD37-A702-49BE-B058-ACB9C0049DA3}"/>
    <cellStyle name="통화 [0] 2" xfId="30" xr:uid="{D7E17956-4929-4D24-890E-ED65F8FD5A07}"/>
    <cellStyle name="통화 [0] 3" xfId="31" xr:uid="{377FF44D-A621-4A09-AEBE-BC3E646DF0DA}"/>
    <cellStyle name="표준" xfId="0" builtinId="0"/>
    <cellStyle name="표준 2" xfId="32" xr:uid="{36DBCAD5-AA46-4FAA-A008-597E47998254}"/>
    <cellStyle name="표준 3" xfId="33" xr:uid="{1B34FDC3-ACD6-4D4F-BC9A-8ED961BAC7C3}"/>
    <cellStyle name="표준_발주서" xfId="34" xr:uid="{7A6C550E-625F-4656-BA9C-BB9999939B70}"/>
    <cellStyle name="표준_설계2" xfId="35" xr:uid="{61C4533E-987E-432C-BE0F-05EFF3D2C78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png"/><Relationship Id="rId1" Type="http://schemas.openxmlformats.org/officeDocument/2006/relationships/image" Target="../media/image3.jpeg"/><Relationship Id="rId5" Type="http://schemas.openxmlformats.org/officeDocument/2006/relationships/image" Target="../media/image7.png"/><Relationship Id="rId4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1419225</xdr:colOff>
      <xdr:row>38</xdr:row>
      <xdr:rowOff>104775</xdr:rowOff>
    </xdr:from>
    <xdr:to>
      <xdr:col>6</xdr:col>
      <xdr:colOff>866775</xdr:colOff>
      <xdr:row>39</xdr:row>
      <xdr:rowOff>219075</xdr:rowOff>
    </xdr:to>
    <xdr:pic>
      <xdr:nvPicPr>
        <xdr:cNvPr id="11654" name="그림 6" descr="하이엠솔루텍메인로고.jpg">
          <a:extLst>
            <a:ext uri="{FF2B5EF4-FFF2-40B4-BE49-F238E27FC236}">
              <a16:creationId xmlns:a16="http://schemas.microsoft.com/office/drawing/2014/main" id="{5683D7F2-8D90-DF62-7963-C5F12C3BE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43" t="14085" r="48972" b="50301"/>
        <a:stretch>
          <a:fillRect/>
        </a:stretch>
      </xdr:blipFill>
      <xdr:spPr bwMode="auto">
        <a:xfrm>
          <a:off x="5305425" y="13601700"/>
          <a:ext cx="86677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41</xdr:row>
      <xdr:rowOff>28575</xdr:rowOff>
    </xdr:from>
    <xdr:to>
      <xdr:col>13</xdr:col>
      <xdr:colOff>19050</xdr:colOff>
      <xdr:row>59</xdr:row>
      <xdr:rowOff>85725</xdr:rowOff>
    </xdr:to>
    <xdr:pic>
      <xdr:nvPicPr>
        <xdr:cNvPr id="11655" name="그림 1">
          <a:extLst>
            <a:ext uri="{FF2B5EF4-FFF2-40B4-BE49-F238E27FC236}">
              <a16:creationId xmlns:a16="http://schemas.microsoft.com/office/drawing/2014/main" id="{813E2367-2128-B419-FA56-8D0CF5228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11300"/>
          <a:ext cx="10591800" cy="40195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152400</xdr:colOff>
      <xdr:row>0</xdr:row>
      <xdr:rowOff>9525</xdr:rowOff>
    </xdr:from>
    <xdr:to>
      <xdr:col>6</xdr:col>
      <xdr:colOff>1419225</xdr:colOff>
      <xdr:row>2</xdr:row>
      <xdr:rowOff>285750</xdr:rowOff>
    </xdr:to>
    <xdr:pic>
      <xdr:nvPicPr>
        <xdr:cNvPr id="20843" name="Picture 14" descr="사본 - 견적016">
          <a:extLst>
            <a:ext uri="{FF2B5EF4-FFF2-40B4-BE49-F238E27FC236}">
              <a16:creationId xmlns:a16="http://schemas.microsoft.com/office/drawing/2014/main" id="{3A985CD1-B675-AE6B-4FFA-852071F4D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0" y="9525"/>
          <a:ext cx="12668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37</xdr:row>
      <xdr:rowOff>0</xdr:rowOff>
    </xdr:from>
    <xdr:to>
      <xdr:col>6</xdr:col>
      <xdr:colOff>742950</xdr:colOff>
      <xdr:row>41</xdr:row>
      <xdr:rowOff>76200</xdr:rowOff>
    </xdr:to>
    <xdr:grpSp>
      <xdr:nvGrpSpPr>
        <xdr:cNvPr id="20844" name="그룹 3">
          <a:extLst>
            <a:ext uri="{FF2B5EF4-FFF2-40B4-BE49-F238E27FC236}">
              <a16:creationId xmlns:a16="http://schemas.microsoft.com/office/drawing/2014/main" id="{5DDACE5B-295A-00CC-BDEC-EF7853EDC2CE}"/>
            </a:ext>
          </a:extLst>
        </xdr:cNvPr>
        <xdr:cNvGrpSpPr>
          <a:grpSpLocks/>
        </xdr:cNvGrpSpPr>
      </xdr:nvGrpSpPr>
      <xdr:grpSpPr bwMode="auto">
        <a:xfrm>
          <a:off x="7086600" y="7372350"/>
          <a:ext cx="742950" cy="800100"/>
          <a:chOff x="5647157" y="4766045"/>
          <a:chExt cx="2722676" cy="1492500"/>
        </a:xfrm>
      </xdr:grpSpPr>
      <xdr:pic>
        <xdr:nvPicPr>
          <xdr:cNvPr id="5" name="Picture 2" descr="D:\제품사진\01_CAC\51 ● GHP Super\기존 LS\GHP(Gen.1)(Old).gif">
            <a:extLst>
              <a:ext uri="{FF2B5EF4-FFF2-40B4-BE49-F238E27FC236}">
                <a16:creationId xmlns:a16="http://schemas.microsoft.com/office/drawing/2014/main" id="{389F69DE-A779-D510-04A7-85FFA9EFA8E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 bwMode="auto">
          <a:xfrm>
            <a:off x="5647157" y="4890420"/>
            <a:ext cx="1221714" cy="1225982"/>
          </a:xfrm>
          <a:prstGeom prst="rect">
            <a:avLst/>
          </a:prstGeom>
          <a:noFill/>
          <a:effectLst>
            <a:outerShdw blurRad="50800" dist="38100" algn="l" rotWithShape="0">
              <a:prstClr val="black">
                <a:alpha val="40000"/>
              </a:prstClr>
            </a:outerShdw>
          </a:effectLst>
        </xdr:spPr>
      </xdr:pic>
      <xdr:pic>
        <xdr:nvPicPr>
          <xdr:cNvPr id="6" name="그림 5">
            <a:extLst>
              <a:ext uri="{FF2B5EF4-FFF2-40B4-BE49-F238E27FC236}">
                <a16:creationId xmlns:a16="http://schemas.microsoft.com/office/drawing/2014/main" id="{5C5478CA-3D52-EBB8-3504-4044242151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7183026" y="4890420"/>
            <a:ext cx="1186807" cy="1297054"/>
          </a:xfrm>
          <a:prstGeom prst="rect">
            <a:avLst/>
          </a:prstGeom>
          <a:noFill/>
          <a:ln>
            <a:noFill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xdr:spPr>
      </xdr:pic>
      <xdr:pic>
        <xdr:nvPicPr>
          <xdr:cNvPr id="7" name="그림 6">
            <a:extLst>
              <a:ext uri="{FF2B5EF4-FFF2-40B4-BE49-F238E27FC236}">
                <a16:creationId xmlns:a16="http://schemas.microsoft.com/office/drawing/2014/main" id="{DD9122B0-C6D9-4C9E-C43B-CFD0D0DD4B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6380185" y="4766045"/>
            <a:ext cx="1361338" cy="1492500"/>
          </a:xfrm>
          <a:prstGeom prst="rect">
            <a:avLst/>
          </a:prstGeom>
          <a:effectLst>
            <a:outerShdw blurRad="50800" dist="38100" algn="l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0</xdr:col>
      <xdr:colOff>36830</xdr:colOff>
      <xdr:row>11</xdr:row>
      <xdr:rowOff>31750</xdr:rowOff>
    </xdr:from>
    <xdr:to>
      <xdr:col>5</xdr:col>
      <xdr:colOff>550788</xdr:colOff>
      <xdr:row>16</xdr:row>
      <xdr:rowOff>2311</xdr:rowOff>
    </xdr:to>
    <xdr:sp macro="" textlink="">
      <xdr:nvSpPr>
        <xdr:cNvPr id="8" name="object 294">
          <a:extLst>
            <a:ext uri="{FF2B5EF4-FFF2-40B4-BE49-F238E27FC236}">
              <a16:creationId xmlns:a16="http://schemas.microsoft.com/office/drawing/2014/main" id="{DB9074FF-1BB3-7DF7-6ECA-B3164D228B10}"/>
            </a:ext>
          </a:extLst>
        </xdr:cNvPr>
        <xdr:cNvSpPr txBox="1">
          <a:spLocks/>
        </xdr:cNvSpPr>
      </xdr:nvSpPr>
      <xdr:spPr>
        <a:xfrm>
          <a:off x="40005" y="2641600"/>
          <a:ext cx="6568667" cy="972155"/>
        </a:xfrm>
        <a:prstGeom prst="rect">
          <a:avLst/>
        </a:prstGeom>
      </xdr:spPr>
      <xdr:txBody>
        <a:bodyPr vert="horz" wrap="square" lIns="0" tIns="0" rIns="0" bIns="0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4300"/>
            </a:lnSpc>
          </a:pPr>
          <a:r>
            <a:rPr lang="en-US" sz="3600"/>
            <a:t> LG</a:t>
          </a:r>
          <a:r>
            <a:rPr lang="en-US" sz="3600" baseline="0"/>
            <a:t> </a:t>
          </a:r>
          <a:r>
            <a:rPr lang="en-US" sz="3600"/>
            <a:t> </a:t>
          </a:r>
        </a:p>
        <a:p>
          <a:pPr>
            <a:lnSpc>
              <a:spcPts val="2800"/>
            </a:lnSpc>
          </a:pPr>
          <a:r>
            <a:rPr lang="ko-KR" altLang="en-US" sz="1800"/>
            <a:t>  냉난방기</a:t>
          </a:r>
          <a:endParaRPr lang="en-US" sz="1800"/>
        </a:p>
      </xdr:txBody>
    </xdr:sp>
    <xdr:clientData/>
  </xdr:twoCellAnchor>
  <xdr:twoCellAnchor editAs="oneCell">
    <xdr:from>
      <xdr:col>0</xdr:col>
      <xdr:colOff>152400</xdr:colOff>
      <xdr:row>0</xdr:row>
      <xdr:rowOff>76200</xdr:rowOff>
    </xdr:from>
    <xdr:to>
      <xdr:col>0</xdr:col>
      <xdr:colOff>1181100</xdr:colOff>
      <xdr:row>2</xdr:row>
      <xdr:rowOff>295275</xdr:rowOff>
    </xdr:to>
    <xdr:pic>
      <xdr:nvPicPr>
        <xdr:cNvPr id="20846" name="Picture 15" descr="C:\Users\Administrator\Desktop\BCG\BCG 3.0\로고\LG_CI_3D_RGB_Standard.png">
          <a:extLst>
            <a:ext uri="{FF2B5EF4-FFF2-40B4-BE49-F238E27FC236}">
              <a16:creationId xmlns:a16="http://schemas.microsoft.com/office/drawing/2014/main" id="{4D867D94-E788-2BA8-CCD8-0367F1A81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76200"/>
          <a:ext cx="10287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67F8F-F289-4E07-8F5D-BEDA2A4F55CE}">
  <dimension ref="A1:O42"/>
  <sheetViews>
    <sheetView tabSelected="1" view="pageBreakPreview" topLeftCell="A9" zoomScale="70" zoomScaleNormal="100" zoomScaleSheetLayoutView="70" workbookViewId="0">
      <selection activeCell="F31" sqref="F31"/>
    </sheetView>
  </sheetViews>
  <sheetFormatPr defaultRowHeight="16.5" x14ac:dyDescent="0.15"/>
  <cols>
    <col min="1" max="1" width="8.5546875" style="1" customWidth="1"/>
    <col min="2" max="2" width="6.5546875" style="1" customWidth="1"/>
    <col min="3" max="3" width="11" style="1" customWidth="1"/>
    <col min="4" max="4" width="9.109375" style="1" customWidth="1"/>
    <col min="5" max="5" width="11" style="1" customWidth="1"/>
    <col min="6" max="6" width="15.6640625" style="1" customWidth="1"/>
    <col min="7" max="7" width="10.5546875" style="1" customWidth="1"/>
    <col min="8" max="10" width="8.77734375" style="1" customWidth="1"/>
    <col min="11" max="11" width="7.5546875" style="1" customWidth="1"/>
    <col min="12" max="12" width="9.109375" style="1" customWidth="1"/>
    <col min="13" max="13" width="7.88671875" style="1" customWidth="1"/>
    <col min="14" max="14" width="8.88671875" style="1"/>
    <col min="15" max="15" width="13.33203125" style="133" bestFit="1" customWidth="1"/>
    <col min="16" max="16384" width="8.88671875" style="133"/>
  </cols>
  <sheetData>
    <row r="1" spans="1:14" s="85" customFormat="1" ht="14.25" customHeight="1" x14ac:dyDescent="0.15">
      <c r="A1" s="297"/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8"/>
      <c r="N1" s="1"/>
    </row>
    <row r="2" spans="1:14" s="2" customFormat="1" ht="39" customHeight="1" x14ac:dyDescent="0.15">
      <c r="A2" s="299" t="s">
        <v>21</v>
      </c>
      <c r="B2" s="299"/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300"/>
      <c r="N2" s="1"/>
    </row>
    <row r="3" spans="1:14" s="86" customFormat="1" ht="33" customHeight="1" thickBot="1" x14ac:dyDescent="0.2">
      <c r="A3" s="2"/>
      <c r="B3" s="2"/>
      <c r="C3" s="2"/>
      <c r="D3" s="2"/>
      <c r="E3" s="2"/>
      <c r="F3" s="2"/>
      <c r="G3" s="3"/>
      <c r="H3" s="3"/>
      <c r="I3" s="3"/>
      <c r="J3" s="3"/>
      <c r="K3" s="3"/>
      <c r="L3" s="2"/>
      <c r="M3" s="4"/>
      <c r="N3" s="1"/>
    </row>
    <row r="4" spans="1:14" s="128" customFormat="1" ht="24" customHeight="1" thickBot="1" x14ac:dyDescent="0.2">
      <c r="A4" s="301" t="s">
        <v>145</v>
      </c>
      <c r="B4" s="301"/>
      <c r="C4" s="301"/>
      <c r="D4" s="302"/>
      <c r="E4" s="282"/>
      <c r="F4" s="33"/>
      <c r="G4" s="36" t="s">
        <v>27</v>
      </c>
      <c r="H4" s="303" t="s">
        <v>28</v>
      </c>
      <c r="I4" s="303"/>
      <c r="J4" s="303"/>
      <c r="K4" s="303"/>
      <c r="L4" s="304"/>
      <c r="M4" s="305"/>
      <c r="N4" s="1"/>
    </row>
    <row r="5" spans="1:14" s="128" customFormat="1" ht="24" customHeight="1" x14ac:dyDescent="0.15">
      <c r="A5" s="306" t="s">
        <v>1</v>
      </c>
      <c r="B5" s="307"/>
      <c r="C5" s="308">
        <v>46127</v>
      </c>
      <c r="D5" s="309"/>
      <c r="E5" s="310"/>
      <c r="F5" s="33"/>
      <c r="G5" s="37" t="s">
        <v>29</v>
      </c>
      <c r="H5" s="283" t="s">
        <v>30</v>
      </c>
      <c r="I5" s="283"/>
      <c r="J5" s="311"/>
      <c r="K5" s="38" t="s">
        <v>31</v>
      </c>
      <c r="L5" s="312" t="s">
        <v>64</v>
      </c>
      <c r="M5" s="313"/>
      <c r="N5" s="1"/>
    </row>
    <row r="6" spans="1:14" s="128" customFormat="1" ht="24" customHeight="1" x14ac:dyDescent="0.15">
      <c r="A6" s="294" t="s">
        <v>39</v>
      </c>
      <c r="B6" s="206"/>
      <c r="C6" s="287" t="s">
        <v>130</v>
      </c>
      <c r="D6" s="280"/>
      <c r="E6" s="281"/>
      <c r="F6" s="34"/>
      <c r="G6" s="273" t="s">
        <v>32</v>
      </c>
      <c r="H6" s="274" t="s">
        <v>79</v>
      </c>
      <c r="I6" s="274"/>
      <c r="J6" s="274"/>
      <c r="K6" s="274"/>
      <c r="L6" s="275"/>
      <c r="M6" s="276"/>
      <c r="N6" s="1"/>
    </row>
    <row r="7" spans="1:14" s="129" customFormat="1" ht="24" customHeight="1" x14ac:dyDescent="0.15">
      <c r="A7" s="277" t="s">
        <v>37</v>
      </c>
      <c r="B7" s="278"/>
      <c r="C7" s="279" t="s">
        <v>0</v>
      </c>
      <c r="D7" s="280"/>
      <c r="E7" s="281"/>
      <c r="F7" s="34"/>
      <c r="G7" s="273"/>
      <c r="H7" s="274"/>
      <c r="I7" s="274"/>
      <c r="J7" s="274"/>
      <c r="K7" s="274"/>
      <c r="L7" s="275"/>
      <c r="M7" s="276"/>
      <c r="N7" s="1"/>
    </row>
    <row r="8" spans="1:14" s="42" customFormat="1" ht="24" customHeight="1" x14ac:dyDescent="0.15">
      <c r="A8" s="269" t="s">
        <v>38</v>
      </c>
      <c r="B8" s="270"/>
      <c r="C8" s="288">
        <f>H31</f>
        <v>3212000</v>
      </c>
      <c r="D8" s="289"/>
      <c r="E8" s="290"/>
      <c r="F8" s="282"/>
      <c r="G8" s="37" t="s">
        <v>33</v>
      </c>
      <c r="H8" s="283" t="s">
        <v>51</v>
      </c>
      <c r="I8" s="283"/>
      <c r="J8" s="274"/>
      <c r="K8" s="39" t="s">
        <v>34</v>
      </c>
      <c r="L8" s="284" t="s">
        <v>63</v>
      </c>
      <c r="M8" s="285"/>
      <c r="N8" s="1"/>
    </row>
    <row r="9" spans="1:14" s="6" customFormat="1" ht="24" customHeight="1" thickBot="1" x14ac:dyDescent="0.2">
      <c r="A9" s="271"/>
      <c r="B9" s="272"/>
      <c r="C9" s="291"/>
      <c r="D9" s="292"/>
      <c r="E9" s="293"/>
      <c r="F9" s="282"/>
      <c r="G9" s="40" t="s">
        <v>35</v>
      </c>
      <c r="H9" s="286" t="s">
        <v>121</v>
      </c>
      <c r="I9" s="286"/>
      <c r="J9" s="286"/>
      <c r="K9" s="41" t="s">
        <v>36</v>
      </c>
      <c r="L9" s="295" t="s">
        <v>62</v>
      </c>
      <c r="M9" s="296"/>
      <c r="N9" s="1"/>
    </row>
    <row r="10" spans="1:14" s="84" customFormat="1" ht="26.25" customHeight="1" x14ac:dyDescent="0.15">
      <c r="A10" s="35"/>
      <c r="B10" s="35"/>
      <c r="C10" s="255"/>
      <c r="D10" s="256"/>
      <c r="E10" s="257"/>
      <c r="F10" s="7"/>
      <c r="G10" s="7"/>
      <c r="H10" s="7"/>
      <c r="I10" s="7"/>
      <c r="J10" s="7"/>
      <c r="K10" s="7"/>
      <c r="L10" s="7"/>
      <c r="M10" s="8"/>
      <c r="N10" s="1"/>
    </row>
    <row r="11" spans="1:14" s="84" customFormat="1" ht="24.75" customHeight="1" x14ac:dyDescent="0.15">
      <c r="A11" s="42" t="s">
        <v>131</v>
      </c>
      <c r="B11" s="9"/>
      <c r="C11" s="9"/>
      <c r="D11" s="10"/>
      <c r="E11" s="9"/>
      <c r="F11" s="9"/>
      <c r="G11" s="9"/>
      <c r="H11" s="9"/>
      <c r="I11" s="9"/>
      <c r="J11" s="9"/>
      <c r="K11" s="7"/>
      <c r="L11" s="7"/>
      <c r="M11" s="8"/>
      <c r="N11" s="1"/>
    </row>
    <row r="12" spans="1:14" s="130" customFormat="1" ht="27" customHeight="1" x14ac:dyDescent="0.15">
      <c r="A12" s="9"/>
      <c r="B12" s="9"/>
      <c r="C12" s="9"/>
      <c r="D12" s="9"/>
      <c r="E12" s="9"/>
      <c r="F12" s="9"/>
      <c r="G12" s="9"/>
      <c r="H12" s="9"/>
      <c r="I12" s="9"/>
      <c r="J12" s="9"/>
      <c r="K12" s="7"/>
      <c r="L12" s="7"/>
      <c r="M12" s="8"/>
      <c r="N12" s="1"/>
    </row>
    <row r="13" spans="1:14" s="131" customFormat="1" ht="22.5" customHeight="1" x14ac:dyDescent="0.15">
      <c r="A13" s="258" t="s">
        <v>43</v>
      </c>
      <c r="B13" s="259"/>
      <c r="C13" s="259"/>
      <c r="D13" s="9"/>
      <c r="E13" s="9"/>
      <c r="F13" s="9"/>
      <c r="G13" s="9"/>
      <c r="H13" s="9"/>
      <c r="I13" s="9"/>
      <c r="J13" s="9"/>
      <c r="K13" s="7"/>
      <c r="L13" s="31"/>
      <c r="M13" s="32"/>
      <c r="N13" s="1"/>
    </row>
    <row r="14" spans="1:14" s="132" customFormat="1" ht="27" customHeight="1" thickBot="1" x14ac:dyDescent="0.2">
      <c r="A14" s="12" t="s">
        <v>22</v>
      </c>
      <c r="B14" s="260" t="s">
        <v>24</v>
      </c>
      <c r="C14" s="261"/>
      <c r="D14" s="262"/>
      <c r="E14" s="260" t="s">
        <v>3</v>
      </c>
      <c r="F14" s="261"/>
      <c r="G14" s="262"/>
      <c r="H14" s="260" t="s">
        <v>26</v>
      </c>
      <c r="I14" s="261"/>
      <c r="J14" s="262"/>
      <c r="K14" s="262" t="s">
        <v>25</v>
      </c>
      <c r="L14" s="262"/>
      <c r="M14" s="260"/>
      <c r="N14" s="1"/>
    </row>
    <row r="15" spans="1:14" ht="27" customHeight="1" thickTop="1" x14ac:dyDescent="0.15">
      <c r="A15" s="263" t="s">
        <v>4</v>
      </c>
      <c r="B15" s="264" t="s">
        <v>5</v>
      </c>
      <c r="C15" s="264"/>
      <c r="D15" s="265"/>
      <c r="E15" s="266" t="s">
        <v>78</v>
      </c>
      <c r="F15" s="267"/>
      <c r="G15" s="268"/>
      <c r="H15" s="266">
        <f>을지!F11</f>
        <v>2385000</v>
      </c>
      <c r="I15" s="267"/>
      <c r="J15" s="268"/>
      <c r="K15" s="266"/>
      <c r="L15" s="267"/>
      <c r="M15" s="267"/>
      <c r="N15" s="11"/>
    </row>
    <row r="16" spans="1:14" ht="27" customHeight="1" x14ac:dyDescent="0.15">
      <c r="A16" s="250"/>
      <c r="B16" s="252" t="s">
        <v>6</v>
      </c>
      <c r="C16" s="253"/>
      <c r="D16" s="254"/>
      <c r="E16" s="207"/>
      <c r="F16" s="208"/>
      <c r="G16" s="209"/>
      <c r="H16" s="222">
        <v>0</v>
      </c>
      <c r="I16" s="223"/>
      <c r="J16" s="224"/>
      <c r="K16" s="222"/>
      <c r="L16" s="223"/>
      <c r="M16" s="223"/>
      <c r="N16" s="11"/>
    </row>
    <row r="17" spans="1:15" ht="27" customHeight="1" x14ac:dyDescent="0.15">
      <c r="A17" s="251"/>
      <c r="B17" s="246" t="s">
        <v>7</v>
      </c>
      <c r="C17" s="247"/>
      <c r="D17" s="248"/>
      <c r="E17" s="210"/>
      <c r="F17" s="211"/>
      <c r="G17" s="212"/>
      <c r="H17" s="210">
        <f>SUM(H15:J16)</f>
        <v>2385000</v>
      </c>
      <c r="I17" s="211"/>
      <c r="J17" s="212"/>
      <c r="K17" s="210"/>
      <c r="L17" s="211"/>
      <c r="M17" s="211"/>
      <c r="N17" s="11"/>
    </row>
    <row r="18" spans="1:15" ht="27" customHeight="1" x14ac:dyDescent="0.15">
      <c r="A18" s="249" t="s">
        <v>8</v>
      </c>
      <c r="B18" s="252" t="s">
        <v>9</v>
      </c>
      <c r="C18" s="253"/>
      <c r="D18" s="254"/>
      <c r="E18" s="207" t="s">
        <v>77</v>
      </c>
      <c r="F18" s="208"/>
      <c r="G18" s="209"/>
      <c r="H18" s="222">
        <f>을지!H11</f>
        <v>827000</v>
      </c>
      <c r="I18" s="223"/>
      <c r="J18" s="224"/>
      <c r="K18" s="222"/>
      <c r="L18" s="223"/>
      <c r="M18" s="223"/>
      <c r="N18" s="11"/>
    </row>
    <row r="19" spans="1:15" ht="27" customHeight="1" x14ac:dyDescent="0.15">
      <c r="A19" s="250"/>
      <c r="B19" s="219" t="s">
        <v>10</v>
      </c>
      <c r="C19" s="220"/>
      <c r="D19" s="221"/>
      <c r="E19" s="207"/>
      <c r="F19" s="208"/>
      <c r="G19" s="209"/>
      <c r="H19" s="222">
        <v>0</v>
      </c>
      <c r="I19" s="223"/>
      <c r="J19" s="224"/>
      <c r="K19" s="222"/>
      <c r="L19" s="223"/>
      <c r="M19" s="223"/>
      <c r="N19" s="11"/>
    </row>
    <row r="20" spans="1:15" ht="27" customHeight="1" x14ac:dyDescent="0.15">
      <c r="A20" s="251"/>
      <c r="B20" s="246" t="s">
        <v>7</v>
      </c>
      <c r="C20" s="247"/>
      <c r="D20" s="248"/>
      <c r="E20" s="210"/>
      <c r="F20" s="211"/>
      <c r="G20" s="212"/>
      <c r="H20" s="210">
        <f>SUM(H18:J19)</f>
        <v>827000</v>
      </c>
      <c r="I20" s="211"/>
      <c r="J20" s="212"/>
      <c r="K20" s="210"/>
      <c r="L20" s="211"/>
      <c r="M20" s="211"/>
      <c r="N20" s="11"/>
    </row>
    <row r="21" spans="1:15" ht="27" customHeight="1" x14ac:dyDescent="0.15">
      <c r="A21" s="243" t="s">
        <v>23</v>
      </c>
      <c r="B21" s="219" t="s">
        <v>11</v>
      </c>
      <c r="C21" s="220"/>
      <c r="D21" s="221"/>
      <c r="E21" s="207" t="s">
        <v>65</v>
      </c>
      <c r="F21" s="208"/>
      <c r="G21" s="209"/>
      <c r="H21" s="222"/>
      <c r="I21" s="223"/>
      <c r="J21" s="224"/>
      <c r="K21" s="222"/>
      <c r="L21" s="223"/>
      <c r="M21" s="223"/>
      <c r="N21" s="11"/>
    </row>
    <row r="22" spans="1:15" ht="27" customHeight="1" x14ac:dyDescent="0.15">
      <c r="A22" s="244"/>
      <c r="B22" s="219" t="s">
        <v>12</v>
      </c>
      <c r="C22" s="220"/>
      <c r="D22" s="221"/>
      <c r="E22" s="207" t="s">
        <v>66</v>
      </c>
      <c r="F22" s="208"/>
      <c r="G22" s="209"/>
      <c r="H22" s="222"/>
      <c r="I22" s="223"/>
      <c r="J22" s="224"/>
      <c r="K22" s="222"/>
      <c r="L22" s="223"/>
      <c r="M22" s="223"/>
      <c r="N22" s="11"/>
    </row>
    <row r="23" spans="1:15" ht="27" customHeight="1" x14ac:dyDescent="0.15">
      <c r="A23" s="244"/>
      <c r="B23" s="219" t="s">
        <v>42</v>
      </c>
      <c r="C23" s="220"/>
      <c r="D23" s="221"/>
      <c r="E23" s="207" t="s">
        <v>44</v>
      </c>
      <c r="F23" s="208"/>
      <c r="G23" s="209"/>
      <c r="H23" s="222"/>
      <c r="I23" s="223"/>
      <c r="J23" s="224"/>
      <c r="K23" s="74"/>
      <c r="L23" s="75"/>
      <c r="M23" s="75"/>
      <c r="N23" s="11"/>
    </row>
    <row r="24" spans="1:15" ht="27" customHeight="1" x14ac:dyDescent="0.15">
      <c r="A24" s="244"/>
      <c r="B24" s="219" t="s">
        <v>45</v>
      </c>
      <c r="C24" s="220"/>
      <c r="D24" s="221"/>
      <c r="E24" s="207" t="s">
        <v>67</v>
      </c>
      <c r="F24" s="208"/>
      <c r="G24" s="209"/>
      <c r="H24" s="222"/>
      <c r="I24" s="223"/>
      <c r="J24" s="224"/>
      <c r="K24" s="77"/>
      <c r="L24" s="78"/>
      <c r="M24" s="78"/>
      <c r="N24" s="11"/>
    </row>
    <row r="25" spans="1:15" ht="27" customHeight="1" x14ac:dyDescent="0.15">
      <c r="A25" s="244"/>
      <c r="B25" s="219" t="s">
        <v>46</v>
      </c>
      <c r="C25" s="220"/>
      <c r="D25" s="221"/>
      <c r="E25" s="207" t="s">
        <v>68</v>
      </c>
      <c r="F25" s="208"/>
      <c r="G25" s="209"/>
      <c r="H25" s="222"/>
      <c r="I25" s="223"/>
      <c r="J25" s="224"/>
      <c r="K25" s="77"/>
      <c r="L25" s="78"/>
      <c r="M25" s="78"/>
      <c r="N25" s="11"/>
    </row>
    <row r="26" spans="1:15" ht="27" customHeight="1" x14ac:dyDescent="0.15">
      <c r="A26" s="244"/>
      <c r="B26" s="219" t="s">
        <v>47</v>
      </c>
      <c r="C26" s="220"/>
      <c r="D26" s="221"/>
      <c r="E26" s="207" t="s">
        <v>69</v>
      </c>
      <c r="F26" s="208"/>
      <c r="G26" s="209"/>
      <c r="H26" s="222"/>
      <c r="I26" s="223"/>
      <c r="J26" s="224"/>
      <c r="K26" s="77"/>
      <c r="L26" s="78"/>
      <c r="M26" s="78"/>
      <c r="N26" s="11"/>
    </row>
    <row r="27" spans="1:15" ht="27" customHeight="1" x14ac:dyDescent="0.15">
      <c r="A27" s="245"/>
      <c r="B27" s="246" t="s">
        <v>7</v>
      </c>
      <c r="C27" s="247"/>
      <c r="D27" s="248"/>
      <c r="E27" s="210"/>
      <c r="F27" s="211"/>
      <c r="G27" s="212"/>
      <c r="H27" s="210">
        <f>SUM(H21:J26)</f>
        <v>0</v>
      </c>
      <c r="I27" s="211"/>
      <c r="J27" s="212"/>
      <c r="K27" s="210"/>
      <c r="L27" s="211"/>
      <c r="M27" s="211"/>
      <c r="N27" s="11"/>
    </row>
    <row r="28" spans="1:15" ht="27" customHeight="1" x14ac:dyDescent="0.15">
      <c r="A28" s="204" t="s">
        <v>13</v>
      </c>
      <c r="B28" s="205"/>
      <c r="C28" s="205"/>
      <c r="D28" s="206"/>
      <c r="E28" s="207" t="s">
        <v>49</v>
      </c>
      <c r="F28" s="208"/>
      <c r="G28" s="209"/>
      <c r="H28" s="210"/>
      <c r="I28" s="211"/>
      <c r="J28" s="212"/>
      <c r="K28" s="210"/>
      <c r="L28" s="211"/>
      <c r="M28" s="211"/>
      <c r="N28" s="11"/>
    </row>
    <row r="29" spans="1:15" ht="27" customHeight="1" x14ac:dyDescent="0.15">
      <c r="A29" s="204" t="s">
        <v>48</v>
      </c>
      <c r="B29" s="205"/>
      <c r="C29" s="205"/>
      <c r="D29" s="206"/>
      <c r="E29" s="225" t="s">
        <v>70</v>
      </c>
      <c r="F29" s="226"/>
      <c r="G29" s="227"/>
      <c r="H29" s="210"/>
      <c r="I29" s="211"/>
      <c r="J29" s="212"/>
      <c r="K29" s="79"/>
      <c r="L29" s="80"/>
      <c r="M29" s="80"/>
      <c r="N29" s="11"/>
    </row>
    <row r="30" spans="1:15" ht="27" customHeight="1" x14ac:dyDescent="0.15">
      <c r="A30" s="213" t="s">
        <v>14</v>
      </c>
      <c r="B30" s="214"/>
      <c r="C30" s="214"/>
      <c r="D30" s="215"/>
      <c r="E30" s="13"/>
      <c r="F30" s="14"/>
      <c r="G30" s="15"/>
      <c r="H30" s="216"/>
      <c r="I30" s="217"/>
      <c r="J30" s="218"/>
      <c r="K30" s="16"/>
      <c r="L30" s="17"/>
      <c r="M30" s="17"/>
      <c r="N30" s="11"/>
    </row>
    <row r="31" spans="1:15" ht="27" customHeight="1" x14ac:dyDescent="0.15">
      <c r="A31" s="204" t="s">
        <v>15</v>
      </c>
      <c r="B31" s="205"/>
      <c r="C31" s="205"/>
      <c r="D31" s="206"/>
      <c r="E31" s="201"/>
      <c r="F31" s="202">
        <f>H31</f>
        <v>3212000</v>
      </c>
      <c r="G31" s="203"/>
      <c r="H31" s="210">
        <f>H17+H20+H27+H28+H30+H29</f>
        <v>3212000</v>
      </c>
      <c r="I31" s="211"/>
      <c r="J31" s="212"/>
      <c r="K31" s="241" t="s">
        <v>2</v>
      </c>
      <c r="L31" s="242"/>
      <c r="M31" s="242"/>
      <c r="N31" s="11"/>
      <c r="O31" s="140"/>
    </row>
    <row r="32" spans="1:15" ht="11.25" customHeight="1" x14ac:dyDescent="0.15">
      <c r="A32" s="18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11"/>
    </row>
    <row r="33" spans="1:14" ht="30" customHeight="1" x14ac:dyDescent="0.15">
      <c r="A33" s="230" t="s">
        <v>16</v>
      </c>
      <c r="B33" s="231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1"/>
    </row>
    <row r="34" spans="1:14" ht="6" customHeight="1" x14ac:dyDescent="0.15">
      <c r="A34" s="232" t="s">
        <v>71</v>
      </c>
      <c r="B34" s="233"/>
      <c r="C34" s="233"/>
      <c r="D34" s="233"/>
      <c r="E34" s="233"/>
      <c r="F34" s="233"/>
      <c r="G34" s="233"/>
      <c r="H34" s="233"/>
      <c r="I34" s="233"/>
      <c r="J34" s="233"/>
      <c r="K34" s="233"/>
      <c r="L34" s="233"/>
      <c r="M34" s="233"/>
    </row>
    <row r="35" spans="1:14" ht="86.25" customHeight="1" x14ac:dyDescent="0.15">
      <c r="A35" s="234"/>
      <c r="B35" s="235"/>
      <c r="C35" s="235"/>
      <c r="D35" s="235"/>
      <c r="E35" s="235"/>
      <c r="F35" s="235"/>
      <c r="G35" s="235"/>
      <c r="H35" s="235"/>
      <c r="I35" s="235"/>
      <c r="J35" s="235"/>
      <c r="K35" s="235"/>
      <c r="L35" s="235"/>
      <c r="M35" s="235"/>
    </row>
    <row r="36" spans="1:14" ht="64.5" customHeight="1" x14ac:dyDescent="0.15">
      <c r="A36" s="234"/>
      <c r="B36" s="235"/>
      <c r="C36" s="235"/>
      <c r="D36" s="235"/>
      <c r="E36" s="235"/>
      <c r="F36" s="235"/>
      <c r="G36" s="235"/>
      <c r="H36" s="235"/>
      <c r="I36" s="235"/>
      <c r="J36" s="235"/>
      <c r="K36" s="235"/>
      <c r="L36" s="235"/>
      <c r="M36" s="235"/>
    </row>
    <row r="37" spans="1:14" ht="30" customHeight="1" x14ac:dyDescent="0.15">
      <c r="A37" s="236" t="s">
        <v>17</v>
      </c>
      <c r="B37" s="237"/>
      <c r="C37" s="238" t="s">
        <v>119</v>
      </c>
      <c r="D37" s="239"/>
      <c r="E37" s="20" t="s">
        <v>18</v>
      </c>
      <c r="F37" s="238" t="s">
        <v>120</v>
      </c>
      <c r="G37" s="239"/>
      <c r="H37" s="20"/>
      <c r="I37" s="238"/>
      <c r="J37" s="239"/>
      <c r="K37" s="20" t="s">
        <v>19</v>
      </c>
      <c r="L37" s="240" t="s">
        <v>20</v>
      </c>
      <c r="M37" s="240"/>
    </row>
    <row r="38" spans="1:14" ht="18" customHeight="1" x14ac:dyDescent="0.15">
      <c r="A38" s="18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4" ht="18" customHeight="1" x14ac:dyDescent="0.15">
      <c r="A39" s="18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4" ht="18" customHeight="1" x14ac:dyDescent="0.15">
      <c r="A40" s="18"/>
      <c r="B40" s="5"/>
      <c r="C40" s="5"/>
      <c r="D40" s="5"/>
      <c r="E40" s="21"/>
      <c r="F40" s="228"/>
      <c r="G40" s="228"/>
      <c r="H40" s="22"/>
      <c r="I40" s="23"/>
      <c r="J40" s="24"/>
      <c r="K40" s="23"/>
      <c r="L40" s="21"/>
      <c r="M40" s="21"/>
    </row>
    <row r="41" spans="1:14" ht="18" customHeight="1" x14ac:dyDescent="0.15">
      <c r="A41" s="25"/>
      <c r="B41" s="26"/>
      <c r="C41" s="26"/>
      <c r="D41" s="26"/>
      <c r="E41" s="27"/>
      <c r="F41" s="229"/>
      <c r="G41" s="229"/>
      <c r="H41" s="28"/>
      <c r="I41" s="29"/>
      <c r="J41" s="30"/>
      <c r="K41" s="29"/>
      <c r="L41" s="27"/>
      <c r="M41" s="27"/>
    </row>
    <row r="42" spans="1:14" ht="31.5" customHeight="1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</sheetData>
  <mergeCells count="99">
    <mergeCell ref="A1:M1"/>
    <mergeCell ref="A2:M2"/>
    <mergeCell ref="A4:E4"/>
    <mergeCell ref="H4:M4"/>
    <mergeCell ref="A5:B5"/>
    <mergeCell ref="C5:E5"/>
    <mergeCell ref="H5:J5"/>
    <mergeCell ref="L5:M5"/>
    <mergeCell ref="A8:B9"/>
    <mergeCell ref="G6:G7"/>
    <mergeCell ref="H6:M7"/>
    <mergeCell ref="A7:B7"/>
    <mergeCell ref="C7:E7"/>
    <mergeCell ref="F8:F9"/>
    <mergeCell ref="H8:J8"/>
    <mergeCell ref="L8:M8"/>
    <mergeCell ref="H9:J9"/>
    <mergeCell ref="C6:E6"/>
    <mergeCell ref="C8:E9"/>
    <mergeCell ref="A6:B6"/>
    <mergeCell ref="L9:M9"/>
    <mergeCell ref="K16:M16"/>
    <mergeCell ref="C10:E10"/>
    <mergeCell ref="A13:C13"/>
    <mergeCell ref="B14:D14"/>
    <mergeCell ref="E14:G14"/>
    <mergeCell ref="H14:J14"/>
    <mergeCell ref="K14:M14"/>
    <mergeCell ref="A15:A17"/>
    <mergeCell ref="B15:D15"/>
    <mergeCell ref="E15:G15"/>
    <mergeCell ref="H15:J15"/>
    <mergeCell ref="K15:M15"/>
    <mergeCell ref="B16:D16"/>
    <mergeCell ref="E16:G16"/>
    <mergeCell ref="H16:J16"/>
    <mergeCell ref="B17:D17"/>
    <mergeCell ref="E17:G17"/>
    <mergeCell ref="H17:J17"/>
    <mergeCell ref="K17:M17"/>
    <mergeCell ref="A18:A20"/>
    <mergeCell ref="B18:D18"/>
    <mergeCell ref="E18:G18"/>
    <mergeCell ref="H18:J18"/>
    <mergeCell ref="K18:M18"/>
    <mergeCell ref="B19:D19"/>
    <mergeCell ref="K20:M20"/>
    <mergeCell ref="E19:G19"/>
    <mergeCell ref="H19:J19"/>
    <mergeCell ref="K19:M19"/>
    <mergeCell ref="B20:D20"/>
    <mergeCell ref="E20:G20"/>
    <mergeCell ref="H21:J21"/>
    <mergeCell ref="K21:M21"/>
    <mergeCell ref="H20:J20"/>
    <mergeCell ref="K31:M31"/>
    <mergeCell ref="K28:M28"/>
    <mergeCell ref="A21:A27"/>
    <mergeCell ref="B21:D21"/>
    <mergeCell ref="E21:G21"/>
    <mergeCell ref="B22:D22"/>
    <mergeCell ref="E22:G22"/>
    <mergeCell ref="H22:J22"/>
    <mergeCell ref="K22:M22"/>
    <mergeCell ref="E27:G27"/>
    <mergeCell ref="H27:J27"/>
    <mergeCell ref="K27:M27"/>
    <mergeCell ref="B23:D23"/>
    <mergeCell ref="E23:G23"/>
    <mergeCell ref="H23:J23"/>
    <mergeCell ref="B27:D27"/>
    <mergeCell ref="F40:G40"/>
    <mergeCell ref="F41:G41"/>
    <mergeCell ref="A33:B33"/>
    <mergeCell ref="A34:M36"/>
    <mergeCell ref="A37:B37"/>
    <mergeCell ref="C37:D37"/>
    <mergeCell ref="F37:G37"/>
    <mergeCell ref="I37:J37"/>
    <mergeCell ref="L37:M37"/>
    <mergeCell ref="A31:D31"/>
    <mergeCell ref="B24:D24"/>
    <mergeCell ref="E24:G24"/>
    <mergeCell ref="H24:J24"/>
    <mergeCell ref="B25:D25"/>
    <mergeCell ref="E25:G25"/>
    <mergeCell ref="H25:J25"/>
    <mergeCell ref="B26:D26"/>
    <mergeCell ref="E26:G26"/>
    <mergeCell ref="H26:J26"/>
    <mergeCell ref="A29:D29"/>
    <mergeCell ref="E29:G29"/>
    <mergeCell ref="H29:J29"/>
    <mergeCell ref="H31:J31"/>
    <mergeCell ref="A28:D28"/>
    <mergeCell ref="E28:G28"/>
    <mergeCell ref="H28:J28"/>
    <mergeCell ref="A30:D30"/>
    <mergeCell ref="H30:J30"/>
  </mergeCells>
  <phoneticPr fontId="2" type="noConversion"/>
  <pageMargins left="0.31496062992125984" right="0.31496062992125984" top="0.59055118110236227" bottom="0.59055118110236227" header="0" footer="0"/>
  <pageSetup paperSize="9" scale="67" orientation="portrait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3F58-C6BE-42FE-800D-0AA2236ABCB9}">
  <dimension ref="A1:M25"/>
  <sheetViews>
    <sheetView view="pageBreakPreview" zoomScaleNormal="100" zoomScaleSheetLayoutView="100" workbookViewId="0">
      <pane xSplit="3" ySplit="3" topLeftCell="D4" activePane="bottomRight" state="frozen"/>
      <selection activeCell="V13" sqref="V12:V13"/>
      <selection pane="topRight" activeCell="V13" sqref="V12:V13"/>
      <selection pane="bottomLeft" activeCell="V13" sqref="V12:V13"/>
      <selection pane="bottomRight" activeCell="A18" sqref="A18"/>
    </sheetView>
  </sheetViews>
  <sheetFormatPr defaultRowHeight="20.100000000000001" customHeight="1" x14ac:dyDescent="0.15"/>
  <cols>
    <col min="1" max="1" width="18.109375" style="47" customWidth="1"/>
    <col min="2" max="2" width="24.77734375" style="44" customWidth="1"/>
    <col min="3" max="3" width="6.77734375" style="44" customWidth="1"/>
    <col min="4" max="4" width="5.33203125" style="45" bestFit="1" customWidth="1"/>
    <col min="5" max="5" width="11.33203125" style="46" customWidth="1"/>
    <col min="6" max="6" width="9.5546875" style="46" customWidth="1"/>
    <col min="7" max="7" width="8.44140625" style="46" customWidth="1"/>
    <col min="8" max="8" width="11.109375" style="46" customWidth="1"/>
    <col min="9" max="9" width="10.77734375" style="46" customWidth="1"/>
    <col min="10" max="10" width="15.21875" style="180" customWidth="1"/>
    <col min="11" max="11" width="9.33203125" style="47" bestFit="1" customWidth="1"/>
    <col min="12" max="12" width="9.88671875" style="47" bestFit="1" customWidth="1"/>
    <col min="13" max="14" width="8.88671875" style="47" customWidth="1"/>
    <col min="15" max="16384" width="8.88671875" style="47"/>
  </cols>
  <sheetData>
    <row r="1" spans="1:13" ht="20.100000000000001" customHeight="1" x14ac:dyDescent="0.15">
      <c r="A1" s="43" t="s">
        <v>41</v>
      </c>
    </row>
    <row r="2" spans="1:13" s="48" customFormat="1" ht="27.95" customHeight="1" x14ac:dyDescent="0.15">
      <c r="A2" s="318" t="s">
        <v>52</v>
      </c>
      <c r="B2" s="318" t="s">
        <v>53</v>
      </c>
      <c r="C2" s="318" t="s">
        <v>54</v>
      </c>
      <c r="D2" s="320" t="s">
        <v>55</v>
      </c>
      <c r="E2" s="322" t="s">
        <v>59</v>
      </c>
      <c r="F2" s="323"/>
      <c r="G2" s="322" t="s">
        <v>58</v>
      </c>
      <c r="H2" s="323"/>
      <c r="I2" s="314" t="s">
        <v>60</v>
      </c>
      <c r="J2" s="316" t="s">
        <v>61</v>
      </c>
    </row>
    <row r="3" spans="1:13" s="48" customFormat="1" ht="27.95" customHeight="1" x14ac:dyDescent="0.15">
      <c r="A3" s="319"/>
      <c r="B3" s="319"/>
      <c r="C3" s="319"/>
      <c r="D3" s="321"/>
      <c r="E3" s="49" t="s">
        <v>56</v>
      </c>
      <c r="F3" s="49" t="s">
        <v>57</v>
      </c>
      <c r="G3" s="49" t="s">
        <v>56</v>
      </c>
      <c r="H3" s="49" t="s">
        <v>57</v>
      </c>
      <c r="I3" s="315"/>
      <c r="J3" s="317"/>
    </row>
    <row r="4" spans="1:13" s="57" customFormat="1" ht="24" customHeight="1" x14ac:dyDescent="0.15">
      <c r="A4" s="50" t="s">
        <v>144</v>
      </c>
      <c r="B4" s="51"/>
      <c r="C4" s="52"/>
      <c r="D4" s="53"/>
      <c r="E4" s="53"/>
      <c r="F4" s="54"/>
      <c r="G4" s="55"/>
      <c r="H4" s="56"/>
      <c r="I4" s="60"/>
      <c r="J4" s="181"/>
      <c r="L4" s="168"/>
    </row>
    <row r="5" spans="1:13" s="57" customFormat="1" ht="30" customHeight="1" x14ac:dyDescent="0.15">
      <c r="A5" s="172" t="s">
        <v>133</v>
      </c>
      <c r="B5" s="81" t="s">
        <v>135</v>
      </c>
      <c r="C5" s="76" t="s">
        <v>50</v>
      </c>
      <c r="D5" s="83">
        <v>2</v>
      </c>
      <c r="E5" s="58">
        <v>76000</v>
      </c>
      <c r="F5" s="54">
        <f t="shared" ref="F5:F10" si="0">E5*D5</f>
        <v>152000</v>
      </c>
      <c r="G5" s="59">
        <v>158000</v>
      </c>
      <c r="H5" s="56">
        <f>D5*G5</f>
        <v>316000</v>
      </c>
      <c r="I5" s="56">
        <f t="shared" ref="I5:I11" si="1">F5+H5</f>
        <v>468000</v>
      </c>
      <c r="J5" s="182"/>
      <c r="L5" s="168"/>
      <c r="M5" s="82"/>
    </row>
    <row r="6" spans="1:13" s="57" customFormat="1" ht="30" customHeight="1" x14ac:dyDescent="0.15">
      <c r="A6" s="172" t="s">
        <v>137</v>
      </c>
      <c r="B6" s="81" t="s">
        <v>138</v>
      </c>
      <c r="C6" s="76" t="s">
        <v>116</v>
      </c>
      <c r="D6" s="83">
        <v>2</v>
      </c>
      <c r="E6" s="58">
        <v>107000</v>
      </c>
      <c r="F6" s="54">
        <f t="shared" si="0"/>
        <v>214000</v>
      </c>
      <c r="G6" s="59"/>
      <c r="H6" s="56"/>
      <c r="I6" s="56">
        <f t="shared" si="1"/>
        <v>214000</v>
      </c>
      <c r="J6" s="182"/>
      <c r="L6" s="168"/>
      <c r="M6" s="82"/>
    </row>
    <row r="7" spans="1:13" s="57" customFormat="1" ht="30" customHeight="1" x14ac:dyDescent="0.15">
      <c r="A7" s="172" t="s">
        <v>141</v>
      </c>
      <c r="B7" s="81" t="s">
        <v>127</v>
      </c>
      <c r="C7" s="76" t="s">
        <v>50</v>
      </c>
      <c r="D7" s="83">
        <v>1</v>
      </c>
      <c r="E7" s="58">
        <v>127000</v>
      </c>
      <c r="F7" s="54">
        <f t="shared" si="0"/>
        <v>127000</v>
      </c>
      <c r="G7" s="59">
        <v>181000</v>
      </c>
      <c r="H7" s="56">
        <f>D7*G7</f>
        <v>181000</v>
      </c>
      <c r="I7" s="56">
        <f t="shared" si="1"/>
        <v>308000</v>
      </c>
      <c r="J7" s="182"/>
      <c r="L7" s="168"/>
      <c r="M7" s="82"/>
    </row>
    <row r="8" spans="1:13" s="57" customFormat="1" ht="30" customHeight="1" x14ac:dyDescent="0.15">
      <c r="A8" s="172" t="s">
        <v>154</v>
      </c>
      <c r="B8" s="81" t="s">
        <v>148</v>
      </c>
      <c r="C8" s="76" t="s">
        <v>50</v>
      </c>
      <c r="D8" s="83">
        <v>2</v>
      </c>
      <c r="E8" s="58">
        <v>148000</v>
      </c>
      <c r="F8" s="54">
        <f t="shared" si="0"/>
        <v>296000</v>
      </c>
      <c r="G8" s="59">
        <v>165000</v>
      </c>
      <c r="H8" s="56">
        <f>G8*D8</f>
        <v>330000</v>
      </c>
      <c r="I8" s="56">
        <f t="shared" si="1"/>
        <v>626000</v>
      </c>
      <c r="J8" s="182"/>
      <c r="L8" s="168"/>
      <c r="M8" s="82"/>
    </row>
    <row r="9" spans="1:13" s="57" customFormat="1" ht="30" customHeight="1" x14ac:dyDescent="0.15">
      <c r="A9" s="172" t="s">
        <v>154</v>
      </c>
      <c r="B9" s="81" t="s">
        <v>156</v>
      </c>
      <c r="C9" s="76" t="s">
        <v>50</v>
      </c>
      <c r="D9" s="83">
        <v>2</v>
      </c>
      <c r="E9" s="58">
        <v>733000</v>
      </c>
      <c r="F9" s="54">
        <f t="shared" si="0"/>
        <v>1466000</v>
      </c>
      <c r="G9" s="59"/>
      <c r="H9" s="56"/>
      <c r="I9" s="56">
        <f t="shared" si="1"/>
        <v>1466000</v>
      </c>
      <c r="J9" s="182"/>
      <c r="L9" s="168"/>
      <c r="M9" s="82"/>
    </row>
    <row r="10" spans="1:13" s="57" customFormat="1" ht="30" customHeight="1" x14ac:dyDescent="0.15">
      <c r="A10" s="172" t="s">
        <v>154</v>
      </c>
      <c r="B10" s="81" t="s">
        <v>152</v>
      </c>
      <c r="C10" s="76" t="s">
        <v>50</v>
      </c>
      <c r="D10" s="83">
        <v>2</v>
      </c>
      <c r="E10" s="58">
        <v>65000</v>
      </c>
      <c r="F10" s="54">
        <f t="shared" si="0"/>
        <v>130000</v>
      </c>
      <c r="G10" s="59"/>
      <c r="H10" s="56"/>
      <c r="I10" s="56">
        <f t="shared" si="1"/>
        <v>130000</v>
      </c>
      <c r="J10" s="182"/>
      <c r="L10" s="168"/>
      <c r="M10" s="82"/>
    </row>
    <row r="11" spans="1:13" s="44" customFormat="1" ht="24" customHeight="1" x14ac:dyDescent="0.15">
      <c r="A11" s="61" t="s">
        <v>40</v>
      </c>
      <c r="B11" s="61"/>
      <c r="C11" s="62"/>
      <c r="D11" s="63"/>
      <c r="E11" s="64"/>
      <c r="F11" s="167">
        <f>SUM(F4:F10)</f>
        <v>2385000</v>
      </c>
      <c r="G11" s="65"/>
      <c r="H11" s="65">
        <f>SUM(H4:H10)</f>
        <v>827000</v>
      </c>
      <c r="I11" s="65">
        <f t="shared" si="1"/>
        <v>3212000</v>
      </c>
      <c r="J11" s="183"/>
      <c r="L11" s="168"/>
    </row>
    <row r="12" spans="1:13" s="44" customFormat="1" ht="24" customHeight="1" x14ac:dyDescent="0.15">
      <c r="A12" s="174"/>
      <c r="B12" s="174"/>
      <c r="C12" s="175"/>
      <c r="D12" s="176"/>
      <c r="E12" s="177"/>
      <c r="F12" s="178"/>
      <c r="G12" s="179" t="s">
        <v>122</v>
      </c>
      <c r="H12" s="179" t="s">
        <v>123</v>
      </c>
      <c r="I12" s="179">
        <f>I11*1.1</f>
        <v>3533200.0000000005</v>
      </c>
      <c r="J12" s="184"/>
      <c r="L12" s="168"/>
    </row>
    <row r="13" spans="1:13" ht="20.100000000000001" customHeight="1" x14ac:dyDescent="0.15">
      <c r="A13" s="66"/>
      <c r="B13" s="67"/>
      <c r="C13" s="67"/>
      <c r="D13" s="68"/>
      <c r="E13" s="69"/>
      <c r="F13" s="69"/>
      <c r="G13" s="69"/>
      <c r="H13" s="188"/>
      <c r="I13" s="69"/>
      <c r="J13" s="185"/>
    </row>
    <row r="14" spans="1:13" ht="20.100000000000001" customHeight="1" x14ac:dyDescent="0.15">
      <c r="A14" s="70"/>
      <c r="B14" s="71"/>
      <c r="C14" s="71"/>
      <c r="D14" s="72"/>
      <c r="E14" s="73"/>
      <c r="F14" s="73"/>
      <c r="G14" s="73"/>
      <c r="H14" s="73"/>
      <c r="I14" s="73"/>
      <c r="J14" s="186"/>
    </row>
    <row r="15" spans="1:13" ht="20.100000000000001" customHeight="1" x14ac:dyDescent="0.15">
      <c r="A15" s="70"/>
      <c r="B15" s="71"/>
      <c r="C15" s="71"/>
      <c r="D15" s="72"/>
      <c r="E15" s="73"/>
      <c r="F15" s="73"/>
      <c r="G15" s="73"/>
      <c r="H15" s="187"/>
      <c r="I15" s="73"/>
      <c r="J15" s="186"/>
    </row>
    <row r="16" spans="1:13" ht="20.100000000000001" customHeight="1" x14ac:dyDescent="0.15">
      <c r="A16" s="70"/>
      <c r="B16" s="71"/>
      <c r="C16" s="71"/>
      <c r="D16" s="72"/>
      <c r="E16" s="73"/>
      <c r="F16" s="73"/>
      <c r="G16" s="73"/>
      <c r="H16" s="73"/>
      <c r="I16" s="173"/>
      <c r="J16" s="186"/>
    </row>
    <row r="17" spans="1:10" ht="20.100000000000001" customHeight="1" x14ac:dyDescent="0.15">
      <c r="A17" s="70"/>
      <c r="B17" s="71"/>
      <c r="C17" s="71"/>
      <c r="D17" s="72"/>
      <c r="E17" s="73"/>
      <c r="F17" s="73"/>
      <c r="G17" s="73"/>
      <c r="H17" s="187"/>
      <c r="I17" s="73"/>
      <c r="J17" s="186"/>
    </row>
    <row r="18" spans="1:10" ht="20.100000000000001" customHeight="1" x14ac:dyDescent="0.15">
      <c r="A18" s="70"/>
      <c r="B18" s="71"/>
      <c r="C18" s="71"/>
      <c r="D18" s="72"/>
      <c r="E18" s="73"/>
      <c r="F18" s="73"/>
      <c r="G18" s="73"/>
      <c r="H18" s="73"/>
      <c r="I18" s="73"/>
      <c r="J18" s="186"/>
    </row>
    <row r="19" spans="1:10" ht="20.100000000000001" customHeight="1" x14ac:dyDescent="0.15">
      <c r="A19" s="70"/>
      <c r="B19" s="71"/>
      <c r="C19" s="71"/>
      <c r="D19" s="72"/>
      <c r="E19" s="73"/>
      <c r="F19" s="73"/>
      <c r="G19" s="73"/>
      <c r="H19" s="73"/>
      <c r="I19" s="73"/>
      <c r="J19" s="186"/>
    </row>
    <row r="20" spans="1:10" ht="20.100000000000001" customHeight="1" x14ac:dyDescent="0.15">
      <c r="A20" s="70"/>
      <c r="B20" s="71"/>
      <c r="C20" s="71"/>
      <c r="D20" s="72"/>
      <c r="E20" s="73"/>
      <c r="F20" s="73"/>
      <c r="G20" s="73"/>
      <c r="H20" s="73"/>
      <c r="I20" s="173"/>
      <c r="J20" s="186"/>
    </row>
    <row r="21" spans="1:10" ht="20.100000000000001" customHeight="1" x14ac:dyDescent="0.15">
      <c r="A21" s="70"/>
      <c r="B21" s="71"/>
      <c r="C21" s="71"/>
      <c r="D21" s="72"/>
      <c r="E21" s="73"/>
      <c r="F21" s="73"/>
      <c r="G21" s="73"/>
      <c r="H21" s="73"/>
      <c r="I21" s="73"/>
      <c r="J21" s="186"/>
    </row>
    <row r="22" spans="1:10" ht="20.100000000000001" customHeight="1" x14ac:dyDescent="0.15">
      <c r="A22" s="70"/>
      <c r="B22" s="71"/>
      <c r="C22" s="71"/>
      <c r="D22" s="72"/>
      <c r="E22" s="73"/>
      <c r="F22" s="73"/>
      <c r="G22" s="73"/>
      <c r="H22" s="73"/>
      <c r="I22" s="73"/>
      <c r="J22" s="186"/>
    </row>
    <row r="23" spans="1:10" ht="20.100000000000001" customHeight="1" x14ac:dyDescent="0.15">
      <c r="A23" s="70"/>
      <c r="B23" s="71"/>
      <c r="C23" s="71"/>
      <c r="D23" s="72"/>
      <c r="E23" s="73"/>
      <c r="F23" s="73"/>
      <c r="G23" s="73"/>
      <c r="H23" s="73"/>
      <c r="I23" s="73"/>
      <c r="J23" s="186"/>
    </row>
    <row r="24" spans="1:10" ht="20.100000000000001" customHeight="1" x14ac:dyDescent="0.15">
      <c r="A24" s="70"/>
      <c r="B24" s="71"/>
      <c r="C24" s="71"/>
      <c r="D24" s="72"/>
      <c r="E24" s="73"/>
      <c r="F24" s="73"/>
      <c r="G24" s="73"/>
      <c r="H24" s="73"/>
      <c r="I24" s="73"/>
      <c r="J24" s="186"/>
    </row>
    <row r="25" spans="1:10" ht="20.100000000000001" customHeight="1" x14ac:dyDescent="0.15">
      <c r="A25" s="70"/>
      <c r="B25" s="71"/>
      <c r="C25" s="71"/>
      <c r="D25" s="72"/>
      <c r="E25" s="73"/>
      <c r="F25" s="73"/>
      <c r="G25" s="73"/>
      <c r="H25" s="73"/>
      <c r="I25" s="73"/>
      <c r="J25" s="186"/>
    </row>
  </sheetData>
  <mergeCells count="8">
    <mergeCell ref="I2:I3"/>
    <mergeCell ref="J2:J3"/>
    <mergeCell ref="A2:A3"/>
    <mergeCell ref="B2:B3"/>
    <mergeCell ref="C2:C3"/>
    <mergeCell ref="D2:D3"/>
    <mergeCell ref="E2:F2"/>
    <mergeCell ref="G2:H2"/>
  </mergeCells>
  <phoneticPr fontId="2" type="noConversion"/>
  <printOptions horizontalCentered="1"/>
  <pageMargins left="0.39370078740157483" right="0.51181102362204722" top="0.31496062992125984" bottom="0.23622047244094491" header="0.23622047244094491" footer="0.11811023622047245"/>
  <pageSetup paperSize="9" scale="54" orientation="portrait" r:id="rId1"/>
  <headerFooter alignWithMargins="0">
    <oddFooter>&amp;C&amp;"돋움체,보통"&amp;9&amp;P&amp;R&amp;"돋움체,보통"&amp;9A4(210*297)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05D1-B186-4FC1-A10D-70FED03BE6FF}">
  <dimension ref="A1:J42"/>
  <sheetViews>
    <sheetView view="pageBreakPreview" topLeftCell="A3" zoomScaleNormal="100" zoomScaleSheetLayoutView="100" workbookViewId="0">
      <selection activeCell="B19" sqref="B19:B28"/>
    </sheetView>
  </sheetViews>
  <sheetFormatPr defaultRowHeight="13.5" x14ac:dyDescent="0.15"/>
  <cols>
    <col min="1" max="1" width="14.109375" customWidth="1"/>
    <col min="2" max="2" width="17.21875" customWidth="1"/>
    <col min="3" max="3" width="18.77734375" customWidth="1"/>
    <col min="4" max="4" width="11.109375" style="148" customWidth="1"/>
    <col min="5" max="5" width="11.88671875" customWidth="1"/>
    <col min="6" max="6" width="9.5546875" customWidth="1"/>
    <col min="7" max="7" width="28.44140625" customWidth="1"/>
    <col min="8" max="8" width="16.21875" bestFit="1" customWidth="1"/>
    <col min="9" max="9" width="13.5546875" bestFit="1" customWidth="1"/>
    <col min="10" max="10" width="11.5546875" bestFit="1" customWidth="1"/>
  </cols>
  <sheetData>
    <row r="1" spans="1:9" x14ac:dyDescent="0.15">
      <c r="A1" s="326" t="s">
        <v>80</v>
      </c>
      <c r="B1" s="327"/>
      <c r="C1" s="327"/>
      <c r="D1" s="327"/>
      <c r="E1" s="327"/>
      <c r="F1" s="327"/>
      <c r="G1" s="328"/>
    </row>
    <row r="2" spans="1:9" x14ac:dyDescent="0.15">
      <c r="A2" s="329"/>
      <c r="B2" s="330"/>
      <c r="C2" s="330"/>
      <c r="D2" s="330"/>
      <c r="E2" s="330"/>
      <c r="F2" s="330"/>
      <c r="G2" s="331"/>
    </row>
    <row r="3" spans="1:9" ht="26.1" customHeight="1" thickBot="1" x14ac:dyDescent="0.2">
      <c r="A3" s="332"/>
      <c r="B3" s="333"/>
      <c r="C3" s="333"/>
      <c r="D3" s="333"/>
      <c r="E3" s="333"/>
      <c r="F3" s="333"/>
      <c r="G3" s="334"/>
    </row>
    <row r="4" spans="1:9" ht="20.25" x14ac:dyDescent="0.15">
      <c r="A4" s="87" t="s">
        <v>81</v>
      </c>
      <c r="B4" s="88" t="s">
        <v>72</v>
      </c>
      <c r="C4" s="88" t="s">
        <v>82</v>
      </c>
      <c r="D4" s="141"/>
      <c r="E4" s="88"/>
      <c r="F4" s="89"/>
      <c r="G4" s="90"/>
    </row>
    <row r="5" spans="1:9" ht="21" thickBot="1" x14ac:dyDescent="0.2">
      <c r="A5" s="335" t="s">
        <v>143</v>
      </c>
      <c r="B5" s="336"/>
      <c r="C5" s="336"/>
      <c r="D5" s="142"/>
      <c r="E5" s="88" t="s">
        <v>83</v>
      </c>
      <c r="F5" s="88"/>
      <c r="G5" s="91"/>
    </row>
    <row r="6" spans="1:9" ht="23.45" customHeight="1" x14ac:dyDescent="0.15">
      <c r="A6" s="92" t="s">
        <v>73</v>
      </c>
      <c r="B6" s="337">
        <v>46127</v>
      </c>
      <c r="C6" s="338"/>
      <c r="D6" s="143"/>
      <c r="E6" s="93" t="s">
        <v>84</v>
      </c>
      <c r="F6" s="93"/>
      <c r="G6" s="94"/>
    </row>
    <row r="7" spans="1:9" ht="23.45" customHeight="1" x14ac:dyDescent="0.15">
      <c r="A7" s="95" t="s">
        <v>85</v>
      </c>
      <c r="B7" s="339" t="s">
        <v>124</v>
      </c>
      <c r="C7" s="340"/>
      <c r="D7" s="144" t="s">
        <v>86</v>
      </c>
      <c r="E7" s="96"/>
      <c r="F7" s="97"/>
      <c r="G7" s="94"/>
    </row>
    <row r="8" spans="1:9" ht="15.6" customHeight="1" x14ac:dyDescent="0.15">
      <c r="A8" s="95" t="s">
        <v>87</v>
      </c>
      <c r="B8" s="339" t="s">
        <v>88</v>
      </c>
      <c r="C8" s="340"/>
      <c r="D8" s="145" t="s">
        <v>89</v>
      </c>
      <c r="E8" s="98"/>
      <c r="F8" s="98"/>
      <c r="G8" s="99"/>
    </row>
    <row r="9" spans="1:9" ht="15.6" customHeight="1" x14ac:dyDescent="0.15">
      <c r="A9" s="95" t="s">
        <v>90</v>
      </c>
      <c r="B9" s="339" t="s">
        <v>91</v>
      </c>
      <c r="C9" s="340"/>
      <c r="D9" s="145" t="s">
        <v>92</v>
      </c>
      <c r="E9" s="98"/>
      <c r="F9" s="98"/>
      <c r="G9" s="99"/>
    </row>
    <row r="10" spans="1:9" ht="19.899999999999999" customHeight="1" thickBot="1" x14ac:dyDescent="0.2">
      <c r="A10" s="100" t="s">
        <v>74</v>
      </c>
      <c r="B10" s="346">
        <f>G34</f>
        <v>3536000</v>
      </c>
      <c r="C10" s="347"/>
      <c r="D10" s="146" t="s">
        <v>93</v>
      </c>
      <c r="E10" s="98"/>
      <c r="F10" s="98"/>
      <c r="G10" s="99"/>
    </row>
    <row r="11" spans="1:9" ht="16.149999999999999" customHeight="1" x14ac:dyDescent="0.15">
      <c r="A11" s="101"/>
      <c r="B11" s="102"/>
      <c r="C11" s="103"/>
      <c r="D11" s="146" t="s">
        <v>93</v>
      </c>
      <c r="E11" s="98" t="s">
        <v>94</v>
      </c>
      <c r="F11" s="98"/>
      <c r="G11" s="99"/>
    </row>
    <row r="12" spans="1:9" ht="16.149999999999999" customHeight="1" x14ac:dyDescent="0.15">
      <c r="A12" s="101"/>
      <c r="B12" s="102"/>
      <c r="C12" s="102"/>
      <c r="D12" s="147"/>
      <c r="E12" s="98"/>
      <c r="F12" s="98"/>
      <c r="G12" s="104"/>
    </row>
    <row r="13" spans="1:9" ht="16.149999999999999" customHeight="1" x14ac:dyDescent="0.15">
      <c r="A13" s="348" t="s">
        <v>95</v>
      </c>
      <c r="B13" s="349"/>
      <c r="C13" s="349"/>
      <c r="D13" s="349"/>
      <c r="E13" s="349"/>
      <c r="F13" s="349"/>
      <c r="G13" s="350"/>
      <c r="I13" s="148"/>
    </row>
    <row r="14" spans="1:9" ht="15" customHeight="1" x14ac:dyDescent="0.15">
      <c r="A14" s="105"/>
      <c r="B14" s="97"/>
      <c r="C14" s="97"/>
      <c r="D14" s="149"/>
      <c r="E14" s="97"/>
      <c r="F14" s="97"/>
      <c r="G14" s="104"/>
      <c r="I14" s="134"/>
    </row>
    <row r="15" spans="1:9" ht="18" x14ac:dyDescent="0.15">
      <c r="A15" s="351" t="s">
        <v>75</v>
      </c>
      <c r="B15" s="352"/>
      <c r="C15" s="352"/>
      <c r="D15" s="352"/>
      <c r="E15" s="352"/>
      <c r="F15" s="352"/>
      <c r="G15" s="353"/>
    </row>
    <row r="16" spans="1:9" ht="15" thickBot="1" x14ac:dyDescent="0.2">
      <c r="A16" s="106"/>
      <c r="B16" s="107"/>
      <c r="C16" s="107"/>
      <c r="D16" s="150"/>
      <c r="E16" s="107"/>
      <c r="F16" s="107"/>
      <c r="G16" s="108" t="s">
        <v>96</v>
      </c>
    </row>
    <row r="17" spans="1:10" ht="14.25" x14ac:dyDescent="0.15">
      <c r="A17" s="354" t="s">
        <v>97</v>
      </c>
      <c r="B17" s="109" t="s">
        <v>98</v>
      </c>
      <c r="C17" s="110" t="s">
        <v>99</v>
      </c>
      <c r="D17" s="341" t="s">
        <v>100</v>
      </c>
      <c r="E17" s="356" t="s">
        <v>101</v>
      </c>
      <c r="F17" s="111" t="s">
        <v>102</v>
      </c>
      <c r="G17" s="112" t="s">
        <v>103</v>
      </c>
    </row>
    <row r="18" spans="1:10" ht="15" thickBot="1" x14ac:dyDescent="0.2">
      <c r="A18" s="355"/>
      <c r="B18" s="113" t="s">
        <v>104</v>
      </c>
      <c r="C18" s="114" t="s">
        <v>105</v>
      </c>
      <c r="D18" s="342"/>
      <c r="E18" s="357"/>
      <c r="F18" s="115" t="s">
        <v>106</v>
      </c>
      <c r="G18" s="116" t="s">
        <v>107</v>
      </c>
      <c r="H18" s="324" t="s">
        <v>2</v>
      </c>
      <c r="I18" s="325"/>
      <c r="J18" s="325"/>
    </row>
    <row r="19" spans="1:10" x14ac:dyDescent="0.15">
      <c r="A19" s="358" t="s">
        <v>108</v>
      </c>
      <c r="B19" s="138" t="s">
        <v>132</v>
      </c>
      <c r="C19" s="169" t="s">
        <v>108</v>
      </c>
      <c r="D19" s="151">
        <v>173500</v>
      </c>
      <c r="E19" s="138" t="s">
        <v>125</v>
      </c>
      <c r="F19" s="139">
        <v>1</v>
      </c>
      <c r="G19" s="164">
        <f>F19*D19</f>
        <v>173500</v>
      </c>
      <c r="H19" s="168">
        <f t="shared" ref="H19:H28" si="0">D19/1.1</f>
        <v>157727.27272727271</v>
      </c>
      <c r="I19" s="168">
        <v>158000</v>
      </c>
      <c r="J19" s="168">
        <f t="shared" ref="J19:J28" si="1">F19*I19</f>
        <v>158000</v>
      </c>
    </row>
    <row r="20" spans="1:10" x14ac:dyDescent="0.15">
      <c r="A20" s="359"/>
      <c r="B20" s="161" t="s">
        <v>136</v>
      </c>
      <c r="C20" s="170" t="s">
        <v>117</v>
      </c>
      <c r="D20" s="162">
        <v>173500</v>
      </c>
      <c r="E20" s="161" t="s">
        <v>125</v>
      </c>
      <c r="F20" s="163">
        <v>1</v>
      </c>
      <c r="G20" s="165">
        <f>F20*D20</f>
        <v>173500</v>
      </c>
      <c r="H20" s="168">
        <f t="shared" si="0"/>
        <v>157727.27272727271</v>
      </c>
      <c r="I20" s="168">
        <v>158000</v>
      </c>
      <c r="J20" s="168">
        <f t="shared" si="1"/>
        <v>158000</v>
      </c>
    </row>
    <row r="21" spans="1:10" x14ac:dyDescent="0.15">
      <c r="A21" s="359"/>
      <c r="B21" s="193" t="s">
        <v>140</v>
      </c>
      <c r="C21" s="194" t="s">
        <v>108</v>
      </c>
      <c r="D21" s="195">
        <v>199000</v>
      </c>
      <c r="E21" s="193" t="s">
        <v>126</v>
      </c>
      <c r="F21" s="196">
        <v>1</v>
      </c>
      <c r="G21" s="197">
        <f>F21*D21</f>
        <v>199000</v>
      </c>
      <c r="H21" s="168">
        <f t="shared" si="0"/>
        <v>180909.09090909088</v>
      </c>
      <c r="I21" s="168">
        <v>181000</v>
      </c>
      <c r="J21" s="168">
        <f t="shared" si="1"/>
        <v>181000</v>
      </c>
    </row>
    <row r="22" spans="1:10" x14ac:dyDescent="0.15">
      <c r="A22" s="360"/>
      <c r="B22" s="117" t="s">
        <v>153</v>
      </c>
      <c r="C22" s="171" t="s">
        <v>147</v>
      </c>
      <c r="D22" s="189">
        <v>182000</v>
      </c>
      <c r="E22" s="160" t="s">
        <v>125</v>
      </c>
      <c r="F22" s="166">
        <v>2</v>
      </c>
      <c r="G22" s="198">
        <f>F22*D22</f>
        <v>364000</v>
      </c>
      <c r="H22" s="168">
        <f t="shared" si="0"/>
        <v>165454.54545454544</v>
      </c>
      <c r="I22" s="168">
        <v>165000</v>
      </c>
      <c r="J22" s="168">
        <f t="shared" si="1"/>
        <v>330000</v>
      </c>
    </row>
    <row r="23" spans="1:10" x14ac:dyDescent="0.15">
      <c r="A23" s="199"/>
      <c r="B23" s="117" t="s">
        <v>129</v>
      </c>
      <c r="C23" s="171" t="s">
        <v>134</v>
      </c>
      <c r="D23" s="189">
        <v>84000</v>
      </c>
      <c r="E23" s="160" t="s">
        <v>109</v>
      </c>
      <c r="F23" s="166">
        <v>2</v>
      </c>
      <c r="G23" s="198">
        <f t="shared" ref="G23:G28" si="2">F23*D23</f>
        <v>168000</v>
      </c>
      <c r="H23" s="168">
        <f t="shared" si="0"/>
        <v>76363.636363636353</v>
      </c>
      <c r="I23" s="168">
        <v>76000</v>
      </c>
      <c r="J23" s="168">
        <f t="shared" si="1"/>
        <v>152000</v>
      </c>
    </row>
    <row r="24" spans="1:10" x14ac:dyDescent="0.15">
      <c r="A24" s="199" t="s">
        <v>146</v>
      </c>
      <c r="B24" s="160" t="s">
        <v>128</v>
      </c>
      <c r="C24" s="171" t="s">
        <v>138</v>
      </c>
      <c r="D24" s="190">
        <v>118000</v>
      </c>
      <c r="E24" s="117" t="s">
        <v>109</v>
      </c>
      <c r="F24" s="153">
        <v>2</v>
      </c>
      <c r="G24" s="198">
        <f t="shared" si="2"/>
        <v>236000</v>
      </c>
      <c r="H24" s="168">
        <f t="shared" si="0"/>
        <v>107272.72727272726</v>
      </c>
      <c r="I24" s="168">
        <v>107000</v>
      </c>
      <c r="J24" s="168">
        <f t="shared" si="1"/>
        <v>214000</v>
      </c>
    </row>
    <row r="25" spans="1:10" x14ac:dyDescent="0.15">
      <c r="A25" s="199"/>
      <c r="B25" s="117" t="s">
        <v>139</v>
      </c>
      <c r="C25" s="171" t="s">
        <v>142</v>
      </c>
      <c r="D25" s="189">
        <v>140000</v>
      </c>
      <c r="E25" s="160" t="s">
        <v>109</v>
      </c>
      <c r="F25" s="166">
        <v>1</v>
      </c>
      <c r="G25" s="198">
        <f t="shared" si="2"/>
        <v>140000</v>
      </c>
      <c r="H25" s="168">
        <f t="shared" si="0"/>
        <v>127272.72727272726</v>
      </c>
      <c r="I25" s="168">
        <v>127000</v>
      </c>
      <c r="J25" s="168">
        <f t="shared" si="1"/>
        <v>127000</v>
      </c>
    </row>
    <row r="26" spans="1:10" x14ac:dyDescent="0.15">
      <c r="A26" s="191"/>
      <c r="B26" s="191" t="s">
        <v>150</v>
      </c>
      <c r="C26" s="171" t="s">
        <v>155</v>
      </c>
      <c r="D26" s="189">
        <v>163000</v>
      </c>
      <c r="E26" s="160" t="s">
        <v>109</v>
      </c>
      <c r="F26" s="166">
        <v>2</v>
      </c>
      <c r="G26" s="198">
        <f t="shared" si="2"/>
        <v>326000</v>
      </c>
      <c r="H26" s="168">
        <f t="shared" si="0"/>
        <v>148181.81818181818</v>
      </c>
      <c r="I26" s="168">
        <v>148000</v>
      </c>
      <c r="J26" s="168">
        <f t="shared" si="1"/>
        <v>296000</v>
      </c>
    </row>
    <row r="27" spans="1:10" ht="14.25" x14ac:dyDescent="0.15">
      <c r="A27" s="118"/>
      <c r="B27" s="117" t="s">
        <v>149</v>
      </c>
      <c r="C27" s="171" t="s">
        <v>156</v>
      </c>
      <c r="D27" s="189">
        <v>806000</v>
      </c>
      <c r="E27" s="160" t="s">
        <v>109</v>
      </c>
      <c r="F27" s="200">
        <v>2</v>
      </c>
      <c r="G27" s="152">
        <f t="shared" si="2"/>
        <v>1612000</v>
      </c>
      <c r="H27" s="168">
        <f t="shared" si="0"/>
        <v>732727.27272727271</v>
      </c>
      <c r="I27" s="168">
        <v>733000</v>
      </c>
      <c r="J27" s="168">
        <f t="shared" si="1"/>
        <v>1466000</v>
      </c>
    </row>
    <row r="28" spans="1:10" ht="14.25" x14ac:dyDescent="0.15">
      <c r="A28" s="118"/>
      <c r="B28" s="191" t="s">
        <v>151</v>
      </c>
      <c r="C28" s="171" t="s">
        <v>157</v>
      </c>
      <c r="D28" s="189">
        <v>72000</v>
      </c>
      <c r="E28" s="160" t="s">
        <v>109</v>
      </c>
      <c r="F28" s="200">
        <v>2</v>
      </c>
      <c r="G28" s="152">
        <f t="shared" si="2"/>
        <v>144000</v>
      </c>
      <c r="H28" s="168">
        <f t="shared" si="0"/>
        <v>65454.545454545449</v>
      </c>
      <c r="I28" s="168">
        <v>65000</v>
      </c>
      <c r="J28" s="168">
        <f t="shared" si="1"/>
        <v>130000</v>
      </c>
    </row>
    <row r="29" spans="1:10" ht="14.25" x14ac:dyDescent="0.15">
      <c r="A29" s="118"/>
      <c r="B29" s="191"/>
      <c r="C29" s="191"/>
      <c r="D29" s="154"/>
      <c r="E29" s="135"/>
      <c r="F29" s="200"/>
      <c r="G29" s="152"/>
      <c r="H29" s="168"/>
      <c r="I29" s="168"/>
      <c r="J29" s="168">
        <f>SUM(J19:J28)</f>
        <v>3212000</v>
      </c>
    </row>
    <row r="30" spans="1:10" ht="14.25" x14ac:dyDescent="0.15">
      <c r="A30" s="118"/>
      <c r="B30" s="191"/>
      <c r="C30" s="191"/>
      <c r="D30" s="154"/>
      <c r="E30" s="135"/>
      <c r="F30" s="200"/>
      <c r="G30" s="152"/>
      <c r="H30" s="168"/>
      <c r="I30" s="168"/>
      <c r="J30" s="168"/>
    </row>
    <row r="31" spans="1:10" ht="14.25" x14ac:dyDescent="0.15">
      <c r="A31" s="118"/>
      <c r="B31" s="191"/>
      <c r="C31" s="191"/>
      <c r="D31" s="154"/>
      <c r="E31" s="135"/>
      <c r="F31" s="200"/>
      <c r="G31" s="152"/>
      <c r="H31" s="168"/>
      <c r="I31" s="168"/>
      <c r="J31" s="168"/>
    </row>
    <row r="32" spans="1:10" ht="14.25" x14ac:dyDescent="0.15">
      <c r="A32" s="118"/>
      <c r="B32" s="191"/>
      <c r="C32" s="191"/>
      <c r="D32" s="154"/>
      <c r="E32" s="135"/>
      <c r="F32" s="200"/>
      <c r="G32" s="152"/>
      <c r="H32" s="168"/>
      <c r="I32" s="168"/>
      <c r="J32" s="168"/>
    </row>
    <row r="33" spans="1:10" ht="14.25" x14ac:dyDescent="0.15">
      <c r="A33" s="118"/>
      <c r="B33" s="191"/>
      <c r="C33" s="191"/>
      <c r="D33" s="154"/>
      <c r="E33" s="135"/>
      <c r="F33" s="200"/>
      <c r="G33" s="152"/>
      <c r="H33" s="168"/>
      <c r="I33" s="168"/>
      <c r="J33" s="168"/>
    </row>
    <row r="34" spans="1:10" ht="15" thickBot="1" x14ac:dyDescent="0.2">
      <c r="A34" s="136" t="s">
        <v>110</v>
      </c>
      <c r="B34" s="192"/>
      <c r="C34" s="192"/>
      <c r="D34" s="155"/>
      <c r="E34" s="137"/>
      <c r="F34" s="137"/>
      <c r="G34" s="156">
        <f>SUM(G19:G33)</f>
        <v>3536000</v>
      </c>
      <c r="H34" s="168">
        <f>G34/1.1</f>
        <v>3214545.4545454541</v>
      </c>
      <c r="I34" s="168"/>
      <c r="J34" s="168"/>
    </row>
    <row r="35" spans="1:10" ht="15" thickBot="1" x14ac:dyDescent="0.2">
      <c r="A35" s="119" t="s">
        <v>111</v>
      </c>
      <c r="B35" s="120"/>
      <c r="C35" s="120"/>
      <c r="D35" s="157"/>
      <c r="E35" s="120"/>
      <c r="F35" s="120"/>
      <c r="G35" s="121"/>
      <c r="H35" s="168"/>
    </row>
    <row r="36" spans="1:10" ht="14.25" x14ac:dyDescent="0.15">
      <c r="A36" s="343"/>
      <c r="B36" s="344"/>
      <c r="C36" s="344"/>
      <c r="D36" s="344"/>
      <c r="E36" s="344"/>
      <c r="F36" s="344"/>
      <c r="G36" s="345"/>
    </row>
    <row r="37" spans="1:10" ht="14.25" x14ac:dyDescent="0.15">
      <c r="A37" s="122" t="s">
        <v>112</v>
      </c>
      <c r="B37" s="123"/>
      <c r="C37" s="123"/>
      <c r="D37" s="158"/>
      <c r="E37" s="123"/>
      <c r="F37" s="123"/>
      <c r="G37" s="124"/>
    </row>
    <row r="38" spans="1:10" ht="14.25" x14ac:dyDescent="0.15">
      <c r="A38" s="122" t="s">
        <v>113</v>
      </c>
      <c r="B38" s="123"/>
      <c r="C38" s="123"/>
      <c r="D38" s="158"/>
      <c r="E38" s="123"/>
      <c r="F38" s="123"/>
      <c r="G38" s="104"/>
    </row>
    <row r="39" spans="1:10" ht="14.25" x14ac:dyDescent="0.15">
      <c r="A39" s="122" t="s">
        <v>76</v>
      </c>
      <c r="B39" s="123"/>
      <c r="C39" s="123"/>
      <c r="D39" s="158"/>
      <c r="E39" s="123"/>
      <c r="F39" s="123"/>
      <c r="G39" s="104"/>
    </row>
    <row r="40" spans="1:10" ht="14.25" x14ac:dyDescent="0.15">
      <c r="A40" s="122" t="s">
        <v>118</v>
      </c>
      <c r="B40" s="123"/>
      <c r="C40" s="123"/>
      <c r="D40" s="158"/>
      <c r="E40" s="123"/>
      <c r="F40" s="123"/>
      <c r="G40" s="104"/>
    </row>
    <row r="41" spans="1:10" ht="14.25" x14ac:dyDescent="0.15">
      <c r="A41" s="122" t="s">
        <v>114</v>
      </c>
      <c r="B41" s="123"/>
      <c r="C41" s="123"/>
      <c r="D41" s="158"/>
      <c r="E41" s="123"/>
      <c r="F41" s="123"/>
      <c r="G41" s="104"/>
    </row>
    <row r="42" spans="1:10" ht="15" thickBot="1" x14ac:dyDescent="0.2">
      <c r="A42" s="125" t="s">
        <v>115</v>
      </c>
      <c r="B42" s="126"/>
      <c r="C42" s="126"/>
      <c r="D42" s="159"/>
      <c r="E42" s="126"/>
      <c r="F42" s="126"/>
      <c r="G42" s="127"/>
    </row>
  </sheetData>
  <mergeCells count="15">
    <mergeCell ref="A36:G36"/>
    <mergeCell ref="B10:C10"/>
    <mergeCell ref="A13:G13"/>
    <mergeCell ref="A15:G15"/>
    <mergeCell ref="A17:A18"/>
    <mergeCell ref="E17:E18"/>
    <mergeCell ref="A19:A22"/>
    <mergeCell ref="H18:J18"/>
    <mergeCell ref="A1:G3"/>
    <mergeCell ref="A5:C5"/>
    <mergeCell ref="B6:C6"/>
    <mergeCell ref="B7:C7"/>
    <mergeCell ref="B8:C8"/>
    <mergeCell ref="B9:C9"/>
    <mergeCell ref="D17:D18"/>
  </mergeCells>
  <phoneticPr fontId="2" type="noConversion"/>
  <pageMargins left="0.7" right="0.7" top="0.75" bottom="0.75" header="0.3" footer="0.3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을지</vt:lpstr>
      <vt:lpstr>시중가(단가계약 없음)</vt:lpstr>
    </vt:vector>
  </TitlesOfParts>
  <Company>지하철공사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권남흥</dc:creator>
  <cp:lastModifiedBy>종근 이</cp:lastModifiedBy>
  <cp:lastPrinted>2026-04-13T08:09:01Z</cp:lastPrinted>
  <dcterms:created xsi:type="dcterms:W3CDTF">1990-04-12T21:49:40Z</dcterms:created>
  <dcterms:modified xsi:type="dcterms:W3CDTF">2026-04-20T03:38:16Z</dcterms:modified>
</cp:coreProperties>
</file>
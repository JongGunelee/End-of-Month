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7 사택 9-503 씽크대 상하부장 문짝교체\"/>
    </mc:Choice>
  </mc:AlternateContent>
  <xr:revisionPtr revIDLastSave="0" documentId="13_ncr:1_{B9DDEB77-179F-4FAB-8F13-3749B5DAD3DB}" xr6:coauthVersionLast="47" xr6:coauthVersionMax="47" xr10:uidLastSave="{00000000-0000-0000-0000-000000000000}"/>
  <bookViews>
    <workbookView xWindow="14355" yWindow="0" windowWidth="14490" windowHeight="15525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dd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U5" i="4"/>
  <c r="S5" i="4"/>
  <c r="Q5" i="4"/>
  <c r="O5" i="4"/>
  <c r="A5" i="4"/>
  <c r="V5" i="4" l="1"/>
  <c r="F2" i="1"/>
  <c r="E2" i="1"/>
  <c r="D2" i="1"/>
  <c r="C2" i="1"/>
  <c r="B2" i="1"/>
  <c r="A7" i="4" l="1"/>
  <c r="A2" i="1"/>
  <c r="U7" i="4" l="1"/>
  <c r="S7" i="4"/>
  <c r="Q7" i="4"/>
  <c r="O7" i="4"/>
  <c r="U6" i="4"/>
  <c r="S6" i="4"/>
  <c r="Q6" i="4"/>
  <c r="V6" i="4" l="1"/>
  <c r="V7" i="4"/>
  <c r="U8" i="4"/>
  <c r="Q8" i="4"/>
  <c r="S8" i="4" l="1"/>
  <c r="V8" i="4" l="1"/>
  <c r="F18" i="5" l="1"/>
  <c r="O8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<sst xmlns="http://schemas.openxmlformats.org/spreadsheetml/2006/main" count="130" uniqueCount="108">
  <si>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</si>
  <si>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</si>
  <si>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</si>
  <si>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</si>
  <si>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</si>
  <si>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</si>
  <si>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</si>
  <si>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</si>
  <si>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</si>
  <si>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</si>
  <si>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</si>
  <si>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</si>
  <si>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</si>
  <si>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</si>
  <si>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</si>
  <si>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</si>
  <si>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</si>
  <si>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</si>
  <si>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</si>
  <si>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</si>
  <si>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</si>
  <si>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</si>
  <si>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</si>
  <si>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</si>
  <si>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</si>
  <si>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</si>
  <si>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</si>
  <si>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</si>
  <si>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</si>
  <si>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</si>
  <si>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</si>
  <si>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</si>
  <si>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</si>
  <si>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</si>
  <si>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</si>
  <si>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</si>
  <si>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</si>
  <si>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</si>
  <si>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</si>
  <si>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</si>
  <si>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</si>
  <si>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</si>
  <si>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</si>
  <si>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</si>
  <si>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</si>
  <si>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</si>
  <si>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</si>
  <si>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</si>
  <si>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</si>
  <si>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</si>
  <si>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</si>
  <si>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</si>
  <si>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</si>
  <si>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</si>
  <si>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</si>
  <si>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</si>
  <si>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</si>
  <si>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</si>
  <si>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</si>
  <si>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</si>
  <si>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</si>
  <si>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</si>
  <si>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</si>
  <si>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</si>
  <si>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</si>
  <si>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</si>
  <si>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</si>
  <si>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</si>
  <si>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</si>
  <si>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</si>
  <si>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</si>
  <si>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</si>
  <si>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</si>
  <si>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</si>
  <si>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</si>
  <si>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</si>
  <si>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</si>
  <si>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D02339</t>
  </si>
  <si>
    <t>철근콘크리트조</t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</si>
  <si>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</si>
  <si>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</si>
  <si>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</si>
  <si>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9동 씽크대 상하부장 문짝교체</t>
    <phoneticPr fontId="6" type="noConversion"/>
  </si>
  <si>
    <t>제 1호표  건축물 현장정리, 폐기물 포함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</si>
  <si>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</si>
  <si>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</si>
  <si>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</si>
  <si>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</si>
  <si>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</si>
  <si>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</si>
  <si>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</si>
  <si>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</si>
  <si>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</si>
  <si>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</si>
  <si>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</si>
  <si>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</si>
  <si>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</si>
  <si>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</si>
  <si>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</si>
  <si>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</si>
  <si>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</si>
  <si>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</si>
  <si>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</si>
  <si>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</si>
  <si>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연면적 ㎡</t>
  </si>
  <si>
    <t xml:space="preserve"> 공사명 : 사택 9-503 씽크대 상하부장 문짝 교체</t>
    <phoneticPr fontId="12" type="noConversion"/>
  </si>
  <si>
    <t xml:space="preserve"> 견적일 : 2025년  01월  06일</t>
    <phoneticPr fontId="12" type="noConversion"/>
  </si>
  <si>
    <t> (재료비+노무비)*3.11%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</si>
</sst>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0.0_ 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26" fillId="0" borderId="0" xfId="0" applyFont="1">
      <alignment vertical="center"/>
    </xf>
    <xf numFmtId="181" fontId="22" fillId="0" borderId="0" xfId="1" applyNumberFormat="1" applyFont="1" applyAlignment="1">
      <alignment horizontal="center" vertical="center"/>
    </xf>
    <xf numFmtId="0" fontId="27" fillId="0" borderId="0" xfId="19" applyFont="1">
      <alignment vertical="center"/>
    </xf>
    <xf numFmtId="0" fontId="28" fillId="0" borderId="0" xfId="19" applyFont="1">
      <alignment vertical="center"/>
    </xf>
    <xf numFmtId="0" fontId="27" fillId="0" borderId="0" xfId="19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5" borderId="3" xfId="1" applyFont="1" applyFill="1" applyBorder="1" applyAlignment="1">
      <alignment horizontal="center" vertical="center"/>
    </xf>
    <xf numFmtId="0" fontId="20" fillId="5" borderId="3" xfId="0" applyFont="1" applyFill="1" applyBorder="1">
      <alignment vertical="center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20" fillId="7" borderId="3" xfId="0" applyFont="1" applyFill="1" applyBorder="1" applyAlignment="1">
      <alignment horizontal="center" vertical="center"/>
    </xf>
    <xf numFmtId="0" fontId="20" fillId="0" borderId="3" xfId="0" applyFont="1" applyBorder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3" fillId="10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183" fontId="20" fillId="0" borderId="3" xfId="1" applyNumberFormat="1" applyFont="1" applyFill="1" applyBorder="1" applyAlignment="1">
      <alignment horizontal="center" vertical="center"/>
    </xf>
    <xf numFmtId="0" fontId="20" fillId="0" borderId="3" xfId="3" applyFont="1" applyBorder="1" applyAlignment="1">
      <alignment horizontal="left" vertical="center" shrinkToFit="1"/>
    </xf>
    <xf numFmtId="0" fontId="20" fillId="0" borderId="3" xfId="3" applyFont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6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30" fillId="0" borderId="15" xfId="3" applyFont="1" applyBorder="1" applyAlignment="1">
      <alignment horizontal="left" vertical="center"/>
    </xf>
    <xf numFmtId="178" fontId="30" fillId="0" borderId="15" xfId="5" applyFont="1" applyFill="1" applyBorder="1" applyAlignment="1">
      <alignment horizontal="right" vertical="center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807357</xdr:colOff>
      <xdr:row>33</xdr:row>
      <xdr:rowOff>172358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3997214" cy="65677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_9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199571</xdr:colOff>
      <xdr:row>5</xdr:row>
      <xdr:rowOff>181429</xdr:rowOff>
    </xdr:from>
    <xdr:to>
      <xdr:col>4</xdr:col>
      <xdr:colOff>172357</xdr:colOff>
      <xdr:row>32</xdr:row>
      <xdr:rowOff>146113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162EC62-A128-77AF-A33C-CF81F201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71" y="1270000"/>
          <a:ext cx="4154715" cy="5842970"/>
        </a:xfrm>
        <a:prstGeom prst="rect">
          <a:avLst/>
        </a:prstGeom>
      </xdr:spPr>
    </xdr:pic>
    <xdr:clientData/>
  </xdr:twoCellAnchor>
  <xdr:twoCellAnchor editAs="oneCell">
    <xdr:from>
      <xdr:col>4</xdr:col>
      <xdr:colOff>653143</xdr:colOff>
      <xdr:row>5</xdr:row>
      <xdr:rowOff>136072</xdr:rowOff>
    </xdr:from>
    <xdr:to>
      <xdr:col>9</xdr:col>
      <xdr:colOff>319728</xdr:colOff>
      <xdr:row>32</xdr:row>
      <xdr:rowOff>127000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377C16-73ED-4D99-D5AA-A83BC51F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5072" y="1224643"/>
          <a:ext cx="4193227" cy="5869214"/>
        </a:xfrm>
        <a:prstGeom prst="rect">
          <a:avLst/>
        </a:prstGeom>
      </xdr:spPr>
    </xdr:pic>
    <xdr:clientData/>
  </xdr:twoCellAnchor>
  <xdr:twoCellAnchor editAs="oneCell">
    <xdr:from>
      <xdr:col>9</xdr:col>
      <xdr:colOff>553357</xdr:colOff>
      <xdr:row>5</xdr:row>
      <xdr:rowOff>163286</xdr:rowOff>
    </xdr:from>
    <xdr:to>
      <xdr:col>14</xdr:col>
      <xdr:colOff>261607</xdr:colOff>
      <xdr:row>32</xdr:row>
      <xdr:rowOff>136072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A7B12D-8FF6-4270-96AA-51ED7031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1928" y="1251857"/>
          <a:ext cx="4189536" cy="5851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3" zoomScale="85" zoomScaleNormal="85" workbookViewId="0">
      <selection activeCell="C26" sqref="C26:F26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64</v>
      </c>
      <c r="B5" s="7"/>
      <c r="C5" s="8"/>
      <c r="D5" s="5"/>
      <c r="E5" s="5"/>
      <c r="F5" s="9" t="s">
        <v>38</v>
      </c>
      <c r="G5" s="10" t="s">
        <v>68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69</v>
      </c>
      <c r="H6" s="5"/>
    </row>
    <row r="7" spans="1:9" ht="27" customHeight="1" x14ac:dyDescent="0.25">
      <c r="A7" s="124" t="s">
        <v>105</v>
      </c>
      <c r="B7" s="125"/>
      <c r="C7" s="126"/>
      <c r="D7" s="5"/>
      <c r="E7" s="13"/>
      <c r="F7" s="14" t="s">
        <v>42</v>
      </c>
      <c r="G7" s="12" t="s">
        <v>70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71</v>
      </c>
      <c r="H8" s="5"/>
    </row>
    <row r="9" spans="1:9" ht="27" customHeight="1" x14ac:dyDescent="0.25">
      <c r="A9" s="124" t="s">
        <v>106</v>
      </c>
      <c r="B9" s="125"/>
      <c r="C9" s="126"/>
      <c r="D9" s="5"/>
      <c r="E9" s="5"/>
      <c r="F9" s="11" t="s">
        <v>44</v>
      </c>
      <c r="G9" s="12" t="s">
        <v>72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73</v>
      </c>
      <c r="H10" s="5"/>
      <c r="I10" s="5"/>
    </row>
    <row r="11" spans="1:9" ht="27" customHeight="1" x14ac:dyDescent="0.25">
      <c r="A11" s="122"/>
      <c r="B11" s="123"/>
      <c r="C11" s="123"/>
      <c r="D11" s="5"/>
      <c r="E11" s="17"/>
      <c r="F11" s="18" t="s">
        <v>40</v>
      </c>
      <c r="G11" s="19" t="s">
        <v>74</v>
      </c>
      <c r="H11" s="17"/>
    </row>
    <row r="12" spans="1:9" ht="18.75" thickBot="1" x14ac:dyDescent="0.3">
      <c r="A12" s="20" t="s">
        <v>7</v>
      </c>
      <c r="B12" s="20" t="str">
        <f>NUMBERSTRING(F31,1)</f>
        <v>구십사만구천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'내역서(표준단가)'!O8</f>
        <v>680000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'내역서(표준단가)'!Q8</f>
        <v>202721.3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882721.3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9122.4584999999988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65</v>
      </c>
      <c r="D22" s="49">
        <v>1</v>
      </c>
      <c r="E22" s="49" t="s">
        <v>25</v>
      </c>
      <c r="F22" s="50">
        <f>F17*3.545%</f>
        <v>7186.4700849999999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66</v>
      </c>
      <c r="D23" s="33">
        <v>1</v>
      </c>
      <c r="E23" s="33" t="s">
        <v>25</v>
      </c>
      <c r="F23" s="46">
        <f>F22*12.95%</f>
        <v>930.64787600750003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2047.4851299999998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67</v>
      </c>
      <c r="D25" s="33">
        <v>1</v>
      </c>
      <c r="E25" s="33" t="s">
        <v>25</v>
      </c>
      <c r="F25" s="46">
        <f>F17*3.56%</f>
        <v>7216.8782799999999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119" t="s">
        <v>107</v>
      </c>
      <c r="D26" s="33">
        <v>1</v>
      </c>
      <c r="E26" s="33" t="s">
        <v>25</v>
      </c>
      <c r="F26" s="120">
        <f>(F16+F17)*3.11%</f>
        <v>27452.632430000001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12833.893615050376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66790.465916057874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949511.76591605786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949000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70" zoomScaleNormal="70" workbookViewId="0">
      <selection activeCell="J18" sqref="J18"/>
    </sheetView>
  </sheetViews>
  <sheetFormatPr defaultColWidth="9" defaultRowHeight="12.75" x14ac:dyDescent="0.3"/>
  <cols>
    <col min="1" max="1" width="17.5" style="107" bestFit="1" customWidth="1"/>
    <col min="2" max="5" width="18.5" style="107" hidden="1" customWidth="1"/>
    <col min="6" max="6" width="60.25" style="74" hidden="1" customWidth="1"/>
    <col min="7" max="7" width="10.125" style="74" hidden="1" customWidth="1"/>
    <col min="8" max="8" width="16.625" style="74" hidden="1" customWidth="1"/>
    <col min="9" max="9" width="10.125" style="74" hidden="1" customWidth="1"/>
    <col min="10" max="10" width="38.125" style="74" bestFit="1" customWidth="1"/>
    <col min="11" max="11" width="25.125" style="74" bestFit="1" customWidth="1"/>
    <col min="12" max="12" width="5.25" style="74" bestFit="1" customWidth="1"/>
    <col min="13" max="13" width="6.5" style="74" bestFit="1" customWidth="1"/>
    <col min="14" max="14" width="10.25" style="74" bestFit="1" customWidth="1"/>
    <col min="15" max="15" width="13.125" style="74" bestFit="1" customWidth="1"/>
    <col min="16" max="16" width="6.875" style="74" bestFit="1" customWidth="1"/>
    <col min="17" max="17" width="13.125" style="74" bestFit="1" customWidth="1"/>
    <col min="18" max="18" width="6.375" style="74" hidden="1" customWidth="1"/>
    <col min="19" max="19" width="8.5" style="74" hidden="1" customWidth="1"/>
    <col min="20" max="20" width="6.375" style="74" hidden="1" customWidth="1"/>
    <col min="21" max="21" width="8.5" style="74" hidden="1" customWidth="1"/>
    <col min="22" max="22" width="13.125" style="74" bestFit="1" customWidth="1"/>
    <col min="23" max="23" width="10.625" style="75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75"/>
      <c r="O1" s="73" t="s">
        <v>84</v>
      </c>
      <c r="Q1" s="73" t="s">
        <v>84</v>
      </c>
      <c r="S1" s="73" t="s">
        <v>84</v>
      </c>
      <c r="U1" s="73" t="s">
        <v>84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76"/>
      <c r="O2" s="77">
        <v>0.83499999999999996</v>
      </c>
      <c r="Q2" s="77">
        <v>0.83499999999999996</v>
      </c>
      <c r="S2" s="77">
        <v>0.83499999999999996</v>
      </c>
      <c r="U2" s="77">
        <v>0.83499999999999996</v>
      </c>
    </row>
    <row r="3" spans="1:24" ht="19.899999999999999" customHeight="1" x14ac:dyDescent="0.3">
      <c r="A3" s="78"/>
      <c r="B3" s="78"/>
      <c r="C3" s="78"/>
      <c r="D3" s="78"/>
      <c r="E3" s="78"/>
      <c r="F3" s="78" t="s">
        <v>85</v>
      </c>
      <c r="G3" s="79"/>
      <c r="H3" s="79"/>
      <c r="I3" s="79"/>
      <c r="J3" s="136" t="s">
        <v>86</v>
      </c>
      <c r="K3" s="136"/>
      <c r="L3" s="136" t="s">
        <v>51</v>
      </c>
      <c r="M3" s="136" t="s">
        <v>5</v>
      </c>
      <c r="N3" s="132" t="s">
        <v>87</v>
      </c>
      <c r="O3" s="132"/>
      <c r="P3" s="132" t="s">
        <v>88</v>
      </c>
      <c r="Q3" s="132"/>
      <c r="R3" s="133" t="s">
        <v>89</v>
      </c>
      <c r="S3" s="133"/>
      <c r="T3" s="133" t="s">
        <v>90</v>
      </c>
      <c r="U3" s="133"/>
      <c r="V3" s="134" t="s">
        <v>91</v>
      </c>
      <c r="W3" s="130" t="s">
        <v>92</v>
      </c>
      <c r="X3" s="128" t="s">
        <v>45</v>
      </c>
    </row>
    <row r="4" spans="1:24" ht="19.899999999999999" customHeight="1" x14ac:dyDescent="0.3">
      <c r="A4" s="80" t="s">
        <v>93</v>
      </c>
      <c r="B4" s="81"/>
      <c r="C4" s="81"/>
      <c r="D4" s="81"/>
      <c r="E4" s="81"/>
      <c r="F4" s="82" t="s">
        <v>94</v>
      </c>
      <c r="G4" s="82" t="s">
        <v>95</v>
      </c>
      <c r="H4" s="82" t="s">
        <v>96</v>
      </c>
      <c r="I4" s="82" t="s">
        <v>97</v>
      </c>
      <c r="J4" s="83" t="s">
        <v>98</v>
      </c>
      <c r="K4" s="83" t="s">
        <v>99</v>
      </c>
      <c r="L4" s="137"/>
      <c r="M4" s="137"/>
      <c r="N4" s="84" t="s">
        <v>100</v>
      </c>
      <c r="O4" s="85" t="s">
        <v>101</v>
      </c>
      <c r="P4" s="84" t="s">
        <v>102</v>
      </c>
      <c r="Q4" s="85" t="s">
        <v>101</v>
      </c>
      <c r="R4" s="85" t="s">
        <v>103</v>
      </c>
      <c r="S4" s="85" t="s">
        <v>101</v>
      </c>
      <c r="T4" s="85" t="s">
        <v>103</v>
      </c>
      <c r="U4" s="85" t="s">
        <v>101</v>
      </c>
      <c r="V4" s="135"/>
      <c r="W4" s="131"/>
      <c r="X4" s="129"/>
    </row>
    <row r="5" spans="1:24" s="96" customFormat="1" ht="19.899999999999999" customHeight="1" x14ac:dyDescent="0.3">
      <c r="A5" s="86" t="str">
        <f t="shared" ref="A5" si="0">F5&amp;G5&amp;H5&amp;I5</f>
        <v>D02339</v>
      </c>
      <c r="B5" s="87"/>
      <c r="C5" s="87"/>
      <c r="D5" s="87"/>
      <c r="E5" s="87"/>
      <c r="F5" s="88" t="s">
        <v>77</v>
      </c>
      <c r="G5" s="82"/>
      <c r="H5" s="82"/>
      <c r="I5" s="82"/>
      <c r="J5" s="89" t="s">
        <v>83</v>
      </c>
      <c r="K5" s="89" t="s">
        <v>78</v>
      </c>
      <c r="L5" s="90" t="s">
        <v>104</v>
      </c>
      <c r="M5" s="90">
        <v>10</v>
      </c>
      <c r="N5" s="91"/>
      <c r="O5" s="92">
        <f t="shared" ref="O5" si="1">SUM(N5:N5)*M5*$O$2</f>
        <v>0</v>
      </c>
      <c r="P5" s="109">
        <v>24278</v>
      </c>
      <c r="Q5" s="92">
        <f t="shared" ref="Q5" si="2">(P5*M5)*$Q$2</f>
        <v>202721.3</v>
      </c>
      <c r="R5" s="93"/>
      <c r="S5" s="92">
        <f t="shared" ref="S5" si="3">R5*M5*$S$2</f>
        <v>0</v>
      </c>
      <c r="T5" s="93"/>
      <c r="U5" s="92">
        <f t="shared" ref="U5" si="4">T5*M5*$U$2</f>
        <v>0</v>
      </c>
      <c r="V5" s="93">
        <f t="shared" ref="V5" si="5">SUM(O5+Q5)+S5+U5</f>
        <v>202721.3</v>
      </c>
      <c r="W5" s="94"/>
      <c r="X5" s="95"/>
    </row>
    <row r="6" spans="1:24" s="96" customFormat="1" ht="19.899999999999999" customHeight="1" x14ac:dyDescent="0.3">
      <c r="A6" s="86"/>
      <c r="B6" s="87"/>
      <c r="C6" s="87"/>
      <c r="D6" s="87"/>
      <c r="E6" s="87"/>
      <c r="F6" s="88"/>
      <c r="G6" s="97"/>
      <c r="H6" s="97"/>
      <c r="I6" s="88"/>
      <c r="J6" s="89" t="s">
        <v>82</v>
      </c>
      <c r="K6" s="89" t="s">
        <v>75</v>
      </c>
      <c r="L6" s="89" t="s">
        <v>76</v>
      </c>
      <c r="M6" s="110">
        <v>1</v>
      </c>
      <c r="N6" s="98">
        <v>680000</v>
      </c>
      <c r="O6" s="92">
        <f>M6*N6</f>
        <v>680000</v>
      </c>
      <c r="P6" s="99"/>
      <c r="Q6" s="92">
        <f t="shared" ref="Q6:Q7" si="6">(P6*M6)*$Q$2</f>
        <v>0</v>
      </c>
      <c r="R6" s="93"/>
      <c r="S6" s="92">
        <f t="shared" ref="S6:S7" si="7">R6*M6*$S$2</f>
        <v>0</v>
      </c>
      <c r="T6" s="93"/>
      <c r="U6" s="92">
        <f t="shared" ref="U6:U7" si="8">T6*M6*$U$2</f>
        <v>0</v>
      </c>
      <c r="V6" s="93">
        <f t="shared" ref="V6:V7" si="9">SUM(O6+Q6)+S6+U6</f>
        <v>680000</v>
      </c>
      <c r="W6" s="100"/>
      <c r="X6" s="95"/>
    </row>
    <row r="7" spans="1:24" s="96" customFormat="1" ht="19.899999999999999" customHeight="1" x14ac:dyDescent="0.3">
      <c r="A7" s="86" t="str">
        <f t="shared" ref="A7" si="10">F7&amp;G7&amp;H7&amp;I7</f>
        <v/>
      </c>
      <c r="B7" s="87"/>
      <c r="C7" s="87"/>
      <c r="D7" s="87"/>
      <c r="E7" s="87"/>
      <c r="F7" s="88"/>
      <c r="G7" s="97"/>
      <c r="H7" s="97"/>
      <c r="I7" s="88"/>
      <c r="J7" s="111"/>
      <c r="K7" s="111"/>
      <c r="L7" s="112"/>
      <c r="M7" s="110"/>
      <c r="N7" s="98"/>
      <c r="O7" s="92">
        <f t="shared" ref="O7" si="11">SUM(N7:N7)*M7*$O$2</f>
        <v>0</v>
      </c>
      <c r="P7" s="99"/>
      <c r="Q7" s="92">
        <f t="shared" si="6"/>
        <v>0</v>
      </c>
      <c r="R7" s="93"/>
      <c r="S7" s="92">
        <f t="shared" si="7"/>
        <v>0</v>
      </c>
      <c r="T7" s="93"/>
      <c r="U7" s="92">
        <f t="shared" si="8"/>
        <v>0</v>
      </c>
      <c r="V7" s="93">
        <f t="shared" si="9"/>
        <v>0</v>
      </c>
      <c r="W7" s="94"/>
      <c r="X7" s="95"/>
    </row>
    <row r="8" spans="1:24" s="102" customFormat="1" ht="19.899999999999999" customHeight="1" x14ac:dyDescent="0.3">
      <c r="A8" s="101"/>
      <c r="B8" s="101"/>
      <c r="C8" s="101"/>
      <c r="D8" s="101"/>
      <c r="E8" s="101"/>
      <c r="O8" s="103">
        <f>SUM(O5:O7)</f>
        <v>680000</v>
      </c>
      <c r="P8" s="104"/>
      <c r="Q8" s="103">
        <f>SUM(Q5:Q7)</f>
        <v>202721.3</v>
      </c>
      <c r="R8" s="104"/>
      <c r="S8" s="103">
        <f>SUM(S5:S7)</f>
        <v>0</v>
      </c>
      <c r="T8" s="104"/>
      <c r="U8" s="103">
        <f>SUM(U5:U7)</f>
        <v>0</v>
      </c>
      <c r="V8" s="105">
        <f>SUM(V5:V7)</f>
        <v>882721.3</v>
      </c>
      <c r="W8" s="106"/>
    </row>
    <row r="12" spans="1:24" x14ac:dyDescent="0.3">
      <c r="Q12" s="10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70" zoomScaleNormal="70" zoomScaleSheetLayoutView="85" workbookViewId="0">
      <selection activeCell="Z24" sqref="Z24"/>
    </sheetView>
  </sheetViews>
  <sheetFormatPr defaultColWidth="9" defaultRowHeight="16.5" x14ac:dyDescent="0.3"/>
  <cols>
    <col min="1" max="1" width="11.5" style="70" bestFit="1" customWidth="1"/>
    <col min="2" max="2" width="17.875" style="70" customWidth="1"/>
    <col min="3" max="3" width="14.625" style="70" customWidth="1"/>
    <col min="4" max="4" width="10.875" style="70" customWidth="1"/>
    <col min="5" max="5" width="12" style="70" customWidth="1"/>
    <col min="6" max="6" width="10.625" style="70" customWidth="1"/>
    <col min="7" max="7" width="13.625" style="71" customWidth="1"/>
    <col min="8" max="8" width="9.625" style="70" customWidth="1"/>
    <col min="9" max="9" width="13.625" style="70" customWidth="1"/>
    <col min="10" max="10" width="12.75" style="70" customWidth="1"/>
    <col min="11" max="11" width="9.25" style="70" customWidth="1"/>
    <col min="12" max="12" width="13.625" style="71" customWidth="1"/>
    <col min="13" max="13" width="9.625" style="70" customWidth="1"/>
    <col min="14" max="14" width="13.625" style="71" customWidth="1"/>
    <col min="15" max="15" width="19.75" style="72" bestFit="1" customWidth="1"/>
    <col min="16" max="16" width="12.25" style="72" bestFit="1" customWidth="1"/>
    <col min="17" max="16384" width="9" style="70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G13" sqref="G13"/>
    </sheetView>
  </sheetViews>
  <sheetFormatPr defaultColWidth="9" defaultRowHeight="16.5" x14ac:dyDescent="0.3"/>
  <cols>
    <col min="1" max="1" width="11.125" style="68" customWidth="1"/>
    <col min="2" max="2" width="13.375" style="68" customWidth="1"/>
    <col min="3" max="3" width="38.75" style="68" customWidth="1"/>
    <col min="4" max="4" width="28.75" style="68" customWidth="1"/>
    <col min="5" max="5" width="5" style="68" customWidth="1"/>
    <col min="6" max="6" width="6.25" style="68" customWidth="1"/>
    <col min="7" max="7" width="10" style="68" customWidth="1"/>
    <col min="8" max="8" width="11.875" style="68" customWidth="1"/>
    <col min="9" max="9" width="10" style="68" customWidth="1"/>
    <col min="10" max="10" width="11.875" style="68" customWidth="1"/>
    <col min="11" max="11" width="10" style="68" customWidth="1"/>
    <col min="12" max="12" width="11.875" style="68" customWidth="1"/>
    <col min="13" max="13" width="10" style="68" customWidth="1"/>
    <col min="14" max="14" width="11.875" style="68" customWidth="1"/>
    <col min="15" max="15" width="9.125" style="68" customWidth="1"/>
    <col min="16" max="16" width="11.5" style="68" customWidth="1"/>
    <col min="17" max="17" width="11.75" style="68" customWidth="1"/>
    <col min="18" max="18" width="17.875" style="68" customWidth="1"/>
    <col min="19" max="16384" width="9" style="68"/>
  </cols>
  <sheetData>
    <row r="1" spans="1:18" ht="18" customHeight="1" x14ac:dyDescent="0.3">
      <c r="A1" s="113" t="s">
        <v>47</v>
      </c>
      <c r="B1" s="114" t="s">
        <v>48</v>
      </c>
      <c r="C1" s="115" t="s">
        <v>49</v>
      </c>
      <c r="D1" s="115" t="s">
        <v>50</v>
      </c>
      <c r="E1" s="115" t="s">
        <v>51</v>
      </c>
      <c r="F1" s="115" t="s">
        <v>5</v>
      </c>
      <c r="G1" s="114" t="s">
        <v>52</v>
      </c>
      <c r="H1" s="114" t="s">
        <v>53</v>
      </c>
      <c r="I1" s="114" t="s">
        <v>54</v>
      </c>
      <c r="J1" s="114" t="s">
        <v>55</v>
      </c>
      <c r="K1" s="114" t="s">
        <v>56</v>
      </c>
      <c r="L1" s="114" t="s">
        <v>57</v>
      </c>
      <c r="M1" s="114" t="s">
        <v>58</v>
      </c>
      <c r="N1" s="114" t="s">
        <v>59</v>
      </c>
      <c r="O1" s="114" t="s">
        <v>60</v>
      </c>
      <c r="P1" s="114" t="s">
        <v>61</v>
      </c>
      <c r="Q1" s="114" t="s">
        <v>62</v>
      </c>
      <c r="R1" s="114" t="s">
        <v>63</v>
      </c>
    </row>
    <row r="2" spans="1:18" x14ac:dyDescent="0.3">
      <c r="A2" s="75">
        <v>999999</v>
      </c>
      <c r="B2" s="75" t="s">
        <v>79</v>
      </c>
      <c r="C2" s="75" t="s">
        <v>82</v>
      </c>
      <c r="D2" s="75" t="s">
        <v>80</v>
      </c>
      <c r="E2" s="75" t="s">
        <v>81</v>
      </c>
      <c r="F2" s="116">
        <v>1</v>
      </c>
      <c r="G2" s="74">
        <v>680000</v>
      </c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G22" sqref="G22"/>
    </sheetView>
  </sheetViews>
  <sheetFormatPr defaultColWidth="9" defaultRowHeight="16.5" x14ac:dyDescent="0.3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7" ht="18" customHeight="1" x14ac:dyDescent="0.3">
      <c r="A1" s="113" t="s">
        <v>0</v>
      </c>
      <c r="B1" s="113" t="s">
        <v>1</v>
      </c>
      <c r="C1" s="113" t="s">
        <v>2</v>
      </c>
      <c r="D1" s="113" t="s">
        <v>3</v>
      </c>
      <c r="E1" s="113" t="s">
        <v>4</v>
      </c>
      <c r="F1" s="113" t="s">
        <v>5</v>
      </c>
      <c r="G1" s="74"/>
    </row>
    <row r="2" spans="1:7" x14ac:dyDescent="0.3">
      <c r="A2" s="117" t="str">
        <f>'내역서(표준단가)'!A5</f>
        <v>D02339</v>
      </c>
      <c r="B2" s="118" t="str">
        <f>'내역서(표준단가)'!F5</f>
        <v>D02339</v>
      </c>
      <c r="C2" s="118">
        <f>'내역서(표준단가)'!G5</f>
        <v>0</v>
      </c>
      <c r="D2" s="118">
        <f>'내역서(표준단가)'!H5</f>
        <v>0</v>
      </c>
      <c r="E2" s="118">
        <f>'내역서(표준단가)'!I5</f>
        <v>0</v>
      </c>
      <c r="F2" s="118">
        <f>'내역서(표준단가)'!M5</f>
        <v>10</v>
      </c>
      <c r="G2" s="74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2025-02-06T06:49:14Z</dcterms:modified>
</cp:coreProperties>
</file>
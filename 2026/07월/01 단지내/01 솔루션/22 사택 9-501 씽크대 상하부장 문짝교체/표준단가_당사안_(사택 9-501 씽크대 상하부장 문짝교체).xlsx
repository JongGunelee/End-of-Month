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08A44F73-263A-49EF-88DE-4DFA9C23D1C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5" i="4" l="1"/>
  <c r="R6" i="4"/>
  <c r="Q7" i="4"/>
  <c r="M7" i="4"/>
  <c r="O7" i="4" l="1"/>
  <c r="R7" i="4" l="1"/>
  <c r="F18" i="5" l="1"/>
  <c r="K7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<sst xmlns="http://schemas.openxmlformats.org/spreadsheetml/2006/main" count="130" uniqueCount="108">
  <si>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</si>
  <si>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</si>
  <si>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</si>
  <si>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</si>
  <si>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</si>
  <si>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</si>
  <si>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</si>
  <si>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</si>
  <si>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</si>
  <si>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</si>
  <si>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</si>
  <si>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</si>
  <si>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</si>
  <si>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</si>
  <si>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</si>
  <si>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</si>
  <si>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</si>
  <si>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</si>
  <si>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</si>
  <si>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</si>
  <si>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</si>
  <si>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</si>
  <si>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</si>
  <si>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</si>
  <si>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</si>
  <si>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</si>
  <si>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</si>
  <si>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</si>
  <si>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</si>
  <si>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</si>
  <si>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</si>
  <si>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</si>
  <si>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</si>
  <si>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</si>
  <si>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</si>
  <si>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</si>
  <si>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</si>
  <si>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</si>
  <si>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</si>
  <si>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</si>
  <si>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</si>
  <si>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</si>
  <si>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</si>
  <si>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</si>
  <si>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</si>
  <si>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</si>
  <si>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</si>
  <si>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</si>
  <si>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</si>
  <si>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</si>
  <si>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</si>
  <si>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</si>
  <si>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</si>
  <si>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</si>
  <si>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</si>
  <si>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</si>
  <si>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</si>
  <si>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</si>
  <si>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</si>
  <si>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</si>
  <si>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</si>
  <si>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</si>
  <si>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</si>
  <si>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</si>
  <si>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</si>
  <si>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</si>
  <si>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</si>
  <si>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</si>
  <si>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</si>
  <si>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</si>
  <si>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</si>
  <si>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</si>
  <si>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</si>
  <si>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</si>
  <si>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</si>
  <si>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</si>
  <si>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</si>
  <si>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</si>
  <si>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</si>
  <si>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</si>
  <si>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</si>
  <si>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</si>
  <si>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</si>
  <si>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</si>
  <si>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</si>
  <si>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</si>
  <si>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</si>
  <si>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</si>
  <si>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</si>
  <si>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</si>
  <si>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</si>
  <si>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</si>
  <si>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</si>
  <si>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</si>
  <si>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</si>
  <si>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</si>
  <si>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</si>
  <si>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</si>
  <si>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9동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</si>
  <si>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</si>
  <si>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</si>
  <si>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</si>
  <si>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</si>
  <si>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</si>
  <si>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</si>
  <si>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</si>
  <si>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공사명 : 사택 9-501 씽크대 상하부장 문짝교체</t>
    <phoneticPr fontId="12" type="noConversion"/>
  </si>
  <si>
    <t xml:space="preserve"> 견적일 : 2026년  05월  29일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</si>
</sst>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177" fontId="20" fillId="10" borderId="0" xfId="0" applyNumberFormat="1" applyFont="1" applyFill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107497</xdr:rowOff>
    </xdr:from>
    <xdr:to>
      <xdr:col>14</xdr:col>
      <xdr:colOff>266701</xdr:colOff>
      <xdr:row>35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36147"/>
          <a:ext cx="1346835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_9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333375</xdr:colOff>
      <xdr:row>5</xdr:row>
      <xdr:rowOff>200024</xdr:rowOff>
    </xdr:from>
    <xdr:to>
      <xdr:col>4</xdr:col>
      <xdr:colOff>371475</xdr:colOff>
      <xdr:row>39</xdr:row>
      <xdr:rowOff>21961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FE6A2C-F6E6-460F-8345-FB13F1E6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47774"/>
          <a:ext cx="4219575" cy="598388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5</xdr:row>
      <xdr:rowOff>207890</xdr:rowOff>
    </xdr:from>
    <xdr:to>
      <xdr:col>9</xdr:col>
      <xdr:colOff>314325</xdr:colOff>
      <xdr:row>39</xdr:row>
      <xdr:rowOff>18725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0532B3-1197-4DEA-80B8-AC395ACD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1255640"/>
          <a:ext cx="4257675" cy="5982303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447674</xdr:colOff>
      <xdr:row>6</xdr:row>
      <xdr:rowOff>19050</xdr:rowOff>
    </xdr:from>
    <xdr:to>
      <xdr:col>14</xdr:col>
      <xdr:colOff>151112</xdr:colOff>
      <xdr:row>38</xdr:row>
      <xdr:rowOff>145072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AF797B-B43F-4302-A22C-A9DB925F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49" y="1276350"/>
          <a:ext cx="4189713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1" sqref="I1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2" t="s">
        <v>6</v>
      </c>
      <c r="B2" s="122"/>
      <c r="C2" s="122"/>
      <c r="D2" s="122"/>
      <c r="E2" s="122"/>
      <c r="F2" s="122"/>
      <c r="G2" s="122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5" t="s">
        <v>106</v>
      </c>
      <c r="B7" s="126"/>
      <c r="C7" s="127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5" t="s">
        <v>107</v>
      </c>
      <c r="B9" s="126"/>
      <c r="C9" s="127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3"/>
      <c r="B11" s="124"/>
      <c r="C11" s="124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일백일십오만이천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1074490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5" t="s">
        <v>23</v>
      </c>
      <c r="C21" s="116" t="s">
        <v>104</v>
      </c>
      <c r="D21" s="117">
        <v>1</v>
      </c>
      <c r="E21" s="117" t="s">
        <v>24</v>
      </c>
      <c r="F21" s="118">
        <f>F17*4.75%</f>
        <v>10663.275</v>
      </c>
      <c r="G21" s="35" t="s">
        <v>25</v>
      </c>
    </row>
    <row r="22" spans="1:7" ht="33" customHeight="1" x14ac:dyDescent="0.2">
      <c r="A22" s="29"/>
      <c r="B22" s="119" t="s">
        <v>26</v>
      </c>
      <c r="C22" s="116" t="s">
        <v>105</v>
      </c>
      <c r="D22" s="120">
        <v>1</v>
      </c>
      <c r="E22" s="120" t="s">
        <v>24</v>
      </c>
      <c r="F22" s="121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33416.638999999996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14397.232065362501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77851.873372612507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1152341.8733726125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1152000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J11" sqref="J11"/>
    </sheetView>
  </sheetViews>
  <sheetFormatPr defaultColWidth="9" defaultRowHeight="38.1" customHeight="1" x14ac:dyDescent="0.3"/>
  <cols>
    <col min="1" max="1" width="10.625" style="110" customWidth="1"/>
    <col min="2" max="5" width="10.625" style="62" hidden="1" customWidth="1"/>
    <col min="6" max="6" width="24.5" style="100" customWidth="1"/>
    <col min="7" max="7" width="26.87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8"/>
      <c r="B1" s="128"/>
      <c r="C1" s="128"/>
      <c r="D1" s="128"/>
      <c r="E1" s="128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8"/>
      <c r="B2" s="128"/>
      <c r="C2" s="128"/>
      <c r="D2" s="128"/>
      <c r="E2" s="128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9" t="s">
        <v>80</v>
      </c>
      <c r="G3" s="139"/>
      <c r="H3" s="137" t="s">
        <v>50</v>
      </c>
      <c r="I3" s="137" t="s">
        <v>5</v>
      </c>
      <c r="J3" s="133" t="s">
        <v>81</v>
      </c>
      <c r="K3" s="133"/>
      <c r="L3" s="133" t="s">
        <v>82</v>
      </c>
      <c r="M3" s="133"/>
      <c r="N3" s="134" t="s">
        <v>83</v>
      </c>
      <c r="O3" s="134"/>
      <c r="P3" s="134" t="s">
        <v>84</v>
      </c>
      <c r="Q3" s="134"/>
      <c r="R3" s="135" t="s">
        <v>85</v>
      </c>
      <c r="S3" s="131" t="s">
        <v>86</v>
      </c>
      <c r="T3" s="129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8"/>
      <c r="I4" s="138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6"/>
      <c r="S4" s="132"/>
      <c r="T4" s="130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4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850000</v>
      </c>
      <c r="K6" s="97">
        <f>I6*J6</f>
        <v>850000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850000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2">
        <f>SUM(K5:K6)</f>
        <v>850000</v>
      </c>
      <c r="M7" s="112">
        <f>SUM(M5:M6)</f>
        <v>224490</v>
      </c>
      <c r="O7" s="109">
        <f>SUM(O5:O6)</f>
        <v>0</v>
      </c>
      <c r="Q7" s="109">
        <f>SUM(Q5:Q6)</f>
        <v>0</v>
      </c>
      <c r="R7" s="113">
        <f>SUM(R5:R6)</f>
        <v>1074490</v>
      </c>
      <c r="S7" s="77"/>
    </row>
    <row r="11" spans="1:20" ht="38.1" customHeight="1" x14ac:dyDescent="0.3">
      <c r="M11" s="11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30" zoomScaleNormal="130" zoomScaleSheetLayoutView="85" workbookViewId="0">
      <selection activeCell="P28" sqref="P2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17" sqref="G17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850000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A2" sqref="A2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2026-01-20T04:07:04Z</dcterms:created>
  <dcterms:modified xsi:type="dcterms:W3CDTF">2026-06-01T05:49:54Z</dcterms:modified>
</cp:coreProperties>
</file>
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codeName="현재_통합_문서"/>
  <mc:AlternateContent xmlns:mc="http://schemas.openxmlformats.org/markup-compatibility/2006">
    <mc:Choice Requires="x15">
      <x15ac:absPath xmlns:x15ac="http://schemas.microsoft.com/office/spreadsheetml/2010/11/ac" url="D:\02 기숙사 및 사택\05 기숙사 및 사택 월마감\25년-사택 작업\03월\01 솔루션\10 사택 2-203 씽크대 상하부장 문짝교체\"/>
    </mc:Choice>
  </mc:AlternateContent>
  <xr:revisionPtr revIDLastSave="0" documentId="13_ncr:1_{9DD8CA26-2A29-4A28-BB14-A54C2B50C20D}" xr6:coauthVersionLast="47" xr6:coauthVersionMax="47" xr10:uidLastSave="{00000000-0000-0000-0000-000000000000}"/>
  <bookViews>
    <workbookView xWindow="17190" yWindow="0" windowWidth="11655" windowHeight="15525" firstSheet="3" activeTab="3" xr2:uid="{00000000-000D-0000-FFFF-FFFF00000000}"/>
  </bookViews>
  <sheets>
    <sheet name="갑지" sheetId="5" r:id="rId1"/>
    <sheet name="내역서(표준단가)" sheetId="4" r:id="rId2"/>
    <sheet name="시중가 근거서류" sheetId="11" r:id="rId3"/>
    <sheet name="Upload" sheetId="6" r:id="rId4"/>
    <sheet name="Upload-RSR" sheetId="1" r:id="rId5"/>
  </sheets>
  <definedNames>
    <definedName name="_" localSheetId="2" hidden="1">#REF!</definedName>
    <definedName name="_" hidden="1">#REF!</definedName>
    <definedName name="_Key2" hidden="1">#REF!</definedName>
    <definedName name="_Order1" hidden="1">255</definedName>
    <definedName name="_Order2" hidden="1">255</definedName>
    <definedName name="_Parse_Out" hidden="1">#REF!</definedName>
    <definedName name="_Regression_Int" hidden="1">1</definedName>
    <definedName name="a\" localSheetId="2" hidden="1">{#N/A,#N/A,TRUE,"자재관리";#N/A,#N/A,TRUE,"품질"}</definedName>
    <definedName name="a\" hidden="1">{#N/A,#N/A,TRUE,"자재관리";#N/A,#N/A,TRUE,"품질"}</definedName>
    <definedName name="A1C1" hidden="1">#REF!</definedName>
    <definedName name="AccessDatabase" hidden="1">"D:\공무jaje\98년품의-수불\98146.mdb"</definedName>
    <definedName name="a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localSheetId="2" hidden="1">{#N/A,#N/A,FALSE,"CCTV"}</definedName>
    <definedName name="asdfasdf" hidden="1">{#N/A,#N/A,FALSE,"CCTV"}</definedName>
    <definedName name="as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localSheetId="2" hidden="1">{"'Sheet1'!$E$23","'Sheet1'!$A$3:$H$19","'Sheet1'!$A$1:$H$19"}</definedName>
    <definedName name="BUSH" hidden="1">{"'Sheet1'!$E$23","'Sheet1'!$A$3:$H$19","'Sheet1'!$A$1:$H$19"}</definedName>
    <definedName name="copy2" localSheetId="2" hidden="1">{#N/A,#N/A,TRUE,"자재관리";#N/A,#N/A,TRUE,"품질"}</definedName>
    <definedName name="copy2" hidden="1">{#N/A,#N/A,TRUE,"자재관리";#N/A,#N/A,TRUE,"품질"}</definedName>
    <definedName name="copy3" localSheetId="2" hidden="1">{#N/A,#N/A,TRUE,"자재관리";#N/A,#N/A,TRUE,"품질"}</definedName>
    <definedName name="copy3" hidden="1">{#N/A,#N/A,TRUE,"자재관리";#N/A,#N/A,TRUE,"품질"}</definedName>
    <definedName name="copy4" localSheetId="2" hidden="1">{#N/A,#N/A,FALSE,"자재관리";#N/A,#N/A,FALSE,"자재관리";#N/A,#N/A,FALSE,"자재관리"}</definedName>
    <definedName name="copy4" hidden="1">{#N/A,#N/A,FALSE,"자재관리";#N/A,#N/A,FALSE,"자재관리";#N/A,#N/A,FALSE,"자재관리"}</definedName>
    <definedName name="cx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localSheetId="2" hidden="1">{#N/A,#N/A,FALSE,"자재관리";#N/A,#N/A,FALSE,"자재관리";#N/A,#N/A,FALSE,"자재관리"}</definedName>
    <definedName name="D" hidden="1">{#N/A,#N/A,FALSE,"자재관리";#N/A,#N/A,FALSE,"자재관리";#N/A,#N/A,FALSE,"자재관리"}</definedName>
    <definedName name="DDD" hidden="1">#REF!</definedName>
    <definedName name="ddddd" hidden="1">#REF!</definedName>
    <definedName name="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localSheetId="2" hidden="1">{#N/A,#N/A,FALSE,"자재관리";#N/A,#N/A,FALSE,"자재관리";#N/A,#N/A,FALSE,"자재관리"}</definedName>
    <definedName name="DFV" hidden="1">{#N/A,#N/A,FALSE,"자재관리";#N/A,#N/A,FALSE,"자재관리";#N/A,#N/A,FALSE,"자재관리"}</definedName>
    <definedName name="D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localSheetId="2" hidden="1">{#N/A,#N/A,FALSE,"자재관리";#N/A,#N/A,FALSE,"자재관리";#N/A,#N/A,FALSE,"자재관리"}</definedName>
    <definedName name="dkd" hidden="1">{#N/A,#N/A,FALSE,"자재관리";#N/A,#N/A,FALSE,"자재관리";#N/A,#N/A,FALSE,"자재관리"}</definedName>
    <definedName name="DKFDK" localSheetId="2" hidden="1">{#N/A,#N/A,FALSE,"전력간선"}</definedName>
    <definedName name="DKFDK" hidden="1">{#N/A,#N/A,FALSE,"전력간선"}</definedName>
    <definedName name="DW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localSheetId="2" hidden="1">{#N/A,#N/A,FALSE,"CCTV"}</definedName>
    <definedName name="FFF" hidden="1">{#N/A,#N/A,FALSE,"CCTV"}</definedName>
    <definedName name="FFFF" localSheetId="2" hidden="1">{#N/A,#N/A,FALSE,"자재관리";#N/A,#N/A,FALSE,"자재관리";#N/A,#N/A,FALSE,"자재관리"}</definedName>
    <definedName name="FFFF" hidden="1">{#N/A,#N/A,FALSE,"자재관리";#N/A,#N/A,FALSE,"자재관리";#N/A,#N/A,FALSE,"자재관리"}</definedName>
    <definedName name="FFFFFF" localSheetId="2" hidden="1">{#N/A,#N/A,FALSE,"자재관리";#N/A,#N/A,FALSE,"자재관리";#N/A,#N/A,FALSE,"자재관리"}</definedName>
    <definedName name="FFFFFF" hidden="1">{#N/A,#N/A,FALSE,"자재관리";#N/A,#N/A,FALSE,"자재관리";#N/A,#N/A,FALSE,"자재관리"}</definedName>
    <definedName name="fffffff" localSheetId="2" hidden="1">{#N/A,#N/A,FALSE,"자재관리";#N/A,#N/A,FALSE,"자재관리";#N/A,#N/A,FALSE,"자재관리"}</definedName>
    <definedName name="fffffff" hidden="1">{#N/A,#N/A,FALSE,"자재관리";#N/A,#N/A,FALSE,"자재관리";#N/A,#N/A,FALSE,"자재관리"}</definedName>
    <definedName name="ffffff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localSheetId="2" hidden="1">{#N/A,#N/A,FALSE,"전력간선"}</definedName>
    <definedName name="fg" hidden="1">{#N/A,#N/A,FALSE,"전력간선"}</definedName>
    <definedName name="F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localSheetId="2" hidden="1">{#N/A,#N/A,FALSE,"자재관리";#N/A,#N/A,FALSE,"자재관리";#N/A,#N/A,FALSE,"자재관리"}</definedName>
    <definedName name="HHHHH" hidden="1">{#N/A,#N/A,FALSE,"자재관리";#N/A,#N/A,FALSE,"자재관리";#N/A,#N/A,FALSE,"자재관리"}</definedName>
    <definedName name="HHHHHH" localSheetId="2" hidden="1">{#N/A,#N/A,FALSE,"자재관리";#N/A,#N/A,FALSE,"자재관리";#N/A,#N/A,FALSE,"자재관리"}</definedName>
    <definedName name="HHHHHH" hidden="1">{#N/A,#N/A,FALSE,"자재관리";#N/A,#N/A,FALSE,"자재관리";#N/A,#N/A,FALSE,"자재관리"}</definedName>
    <definedName name="HMH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localSheetId="2"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2" hidden="1">{#N/A,#N/A,FALSE,"자재관리";#N/A,#N/A,FALSE,"자재관리";#N/A,#N/A,FALSE,"자재관리"}</definedName>
    <definedName name="JJJJ" hidden="1">{#N/A,#N/A,FALSE,"자재관리";#N/A,#N/A,FALSE,"자재관리";#N/A,#N/A,FALSE,"자재관리"}</definedName>
    <definedName name="JYJ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localSheetId="2" hidden="1">{#N/A,#N/A,FALSE,"자재관리";#N/A,#N/A,FALSE,"자재관리";#N/A,#N/A,FALSE,"자재관리"}</definedName>
    <definedName name="K" hidden="1">{#N/A,#N/A,FALSE,"자재관리";#N/A,#N/A,FALSE,"자재관리";#N/A,#N/A,FALSE,"자재관리"}</definedName>
    <definedName name="k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localSheetId="2" hidden="1">{#N/A,#N/A,FALSE,"자재관리";#N/A,#N/A,FALSE,"자재관리";#N/A,#N/A,FALSE,"자재관리"}</definedName>
    <definedName name="kkkkk" hidden="1">{#N/A,#N/A,FALSE,"자재관리";#N/A,#N/A,FALSE,"자재관리";#N/A,#N/A,FALSE,"자재관리"}</definedName>
    <definedName name="knauf" localSheetId="2" hidden="1">{#N/A,#N/A,FALSE,"자재관리";#N/A,#N/A,FALSE,"자재관리";#N/A,#N/A,FALSE,"자재관리"}</definedName>
    <definedName name="knauf" hidden="1">{#N/A,#N/A,FALSE,"자재관리";#N/A,#N/A,FALSE,"자재관리";#N/A,#N/A,FALSE,"자재관리"}</definedName>
    <definedName name="KU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localSheetId="2" hidden="1">{#N/A,#N/A,TRUE,"자재관리";#N/A,#N/A,TRUE,"품질"}</definedName>
    <definedName name="L" hidden="1">{#N/A,#N/A,TRUE,"자재관리";#N/A,#N/A,TRUE,"품질"}</definedName>
    <definedName name="lj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localSheetId="2" hidden="1">{#N/A,#N/A,FALSE,"자재관리";#N/A,#N/A,FALSE,"자재관리";#N/A,#N/A,FALSE,"자재관리"}</definedName>
    <definedName name="MC" hidden="1">{#N/A,#N/A,FALSE,"자재관리";#N/A,#N/A,FALSE,"자재관리";#N/A,#N/A,FALSE,"자재관리"}</definedName>
    <definedName name="MM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localSheetId="2" hidden="1">{#N/A,#N/A,FALSE,"자재관리";#N/A,#N/A,FALSE,"자재관리";#N/A,#N/A,FALSE,"자재관리"}</definedName>
    <definedName name="Neotech" hidden="1">{#N/A,#N/A,FALSE,"자재관리";#N/A,#N/A,FALSE,"자재관리";#N/A,#N/A,FALSE,"자재관리"}</definedName>
    <definedName name="NEWNAME" localSheetId="2" hidden="1">{#N/A,#N/A,FALSE,"CCTV"}</definedName>
    <definedName name="NEWNAME" hidden="1">{#N/A,#N/A,FALSE,"CCTV"}</definedName>
    <definedName name="n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localSheetId="2" hidden="1">{#N/A,#N/A,FALSE,"자재관리";#N/A,#N/A,FALSE,"자재관리";#N/A,#N/A,FALSE,"자재관리"}</definedName>
    <definedName name="OOOOOO" hidden="1">{#N/A,#N/A,FALSE,"자재관리";#N/A,#N/A,FALSE,"자재관리";#N/A,#N/A,FALSE,"자재관리"}</definedName>
    <definedName name="PRESS" localSheetId="2" hidden="1">{"'Sheet1'!$E$23","'Sheet1'!$A$3:$H$19","'Sheet1'!$A$1:$H$19"}</definedName>
    <definedName name="PRESS" hidden="1">{"'Sheet1'!$E$23","'Sheet1'!$A$3:$H$19","'Sheet1'!$A$1:$H$19"}</definedName>
    <definedName name="press1" localSheetId="2" hidden="1">{"'Sheet1'!$E$23","'Sheet1'!$A$3:$H$19","'Sheet1'!$A$1:$H$19"}</definedName>
    <definedName name="press1" hidden="1">{"'Sheet1'!$E$23","'Sheet1'!$A$3:$H$19","'Sheet1'!$A$1:$H$19"}</definedName>
    <definedName name="_xlnm.Print_Area">#REF!</definedName>
    <definedName name="_xlnm.Print_Titles">#REF!,#REF!</definedName>
    <definedName name="Q" localSheetId="2" hidden="1">{#N/A,#N/A,FALSE,"자재관리";#N/A,#N/A,FALSE,"자재관리";#N/A,#N/A,FALSE,"자재관리"}</definedName>
    <definedName name="Q" hidden="1">{#N/A,#N/A,FALSE,"자재관리";#N/A,#N/A,FALSE,"자재관리";#N/A,#N/A,FALSE,"자재관리"}</definedName>
    <definedName name="qqq" localSheetId="2" hidden="1">{#N/A,#N/A,FALSE,"전력간선"}</definedName>
    <definedName name="qqq" hidden="1">{#N/A,#N/A,FALSE,"전력간선"}</definedName>
    <definedName name="QQQW" localSheetId="2" hidden="1">{#N/A,#N/A,FALSE,"전력간선"}</definedName>
    <definedName name="QQQW" hidden="1">{#N/A,#N/A,FALSE,"전력간선"}</definedName>
    <definedName name="ret" localSheetId="2" hidden="1">{#N/A,#N/A,FALSE,"전력간선"}</definedName>
    <definedName name="ret" hidden="1">{#N/A,#N/A,FALSE,"전력간선"}</definedName>
    <definedName name="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localSheetId="2" hidden="1">{#N/A,#N/A,FALSE,"전력간선"}</definedName>
    <definedName name="RIRI" hidden="1">{#N/A,#N/A,FALSE,"전력간선"}</definedName>
    <definedName name="rP"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localSheetId="2" hidden="1">{#N/A,#N/A,FALSE,"전력간선"}</definedName>
    <definedName name="rr" hidden="1">{#N/A,#N/A,FALSE,"전력간선"}</definedName>
    <definedName name="R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localSheetId="2" hidden="1">{#N/A,#N/A,TRUE,"자재관리";#N/A,#N/A,TRUE,"품질"}</definedName>
    <definedName name="rthyetyuety" hidden="1">{#N/A,#N/A,TRUE,"자재관리";#N/A,#N/A,TRUE,"품질"}</definedName>
    <definedName name="SD" localSheetId="2" hidden="1">{#N/A,#N/A,FALSE,"자재관리";#N/A,#N/A,FALSE,"자재관리";#N/A,#N/A,FALSE,"자재관리"}</definedName>
    <definedName name="SD" hidden="1">{#N/A,#N/A,FALSE,"자재관리";#N/A,#N/A,FALSE,"자재관리";#N/A,#N/A,FALSE,"자재관리"}</definedName>
    <definedName name="S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localSheetId="2" hidden="1">{#N/A,#N/A,FALSE,"전력간선"}</definedName>
    <definedName name="sss" hidden="1">{#N/A,#N/A,FALSE,"전력간선"}</definedName>
    <definedName name="SVS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localSheetId="2" hidden="1">{#N/A,#N/A,TRUE,"자재관리";#N/A,#N/A,TRUE,"품질"}</definedName>
    <definedName name="t" hidden="1">{#N/A,#N/A,TRUE,"자재관리";#N/A,#N/A,TRUE,"품질"}</definedName>
    <definedName name="tka" localSheetId="2" hidden="1">{#N/A,#N/A,FALSE,"전력간선"}</definedName>
    <definedName name="tka" hidden="1">{#N/A,#N/A,FALSE,"전력간선"}</definedName>
    <definedName name="TTTT" hidden="1">#REF!</definedName>
    <definedName name="uwehdiueih" localSheetId="2" hidden="1">{#N/A,#N/A,FALSE,"자재관리";#N/A,#N/A,FALSE,"자재관리";#N/A,#N/A,FALSE,"자재관리"}</definedName>
    <definedName name="uwehdiueih" hidden="1">{#N/A,#N/A,FALSE,"자재관리";#N/A,#N/A,FALSE,"자재관리";#N/A,#N/A,FALSE,"자재관리"}</definedName>
    <definedName name="VSV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localSheetId="2" hidden="1">{#N/A,#N/A,FALSE,"CCTV"}</definedName>
    <definedName name="WJDEHDRHS" hidden="1">{#N/A,#N/A,FALSE,"CCTV"}</definedName>
    <definedName name="WQ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localSheetId="2" hidden="1">{#N/A,#N/A,FALSE,"CCTV"}</definedName>
    <definedName name="WRITE" hidden="1">{#N/A,#N/A,FALSE,"CCTV"}</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localSheetId="2"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2" hidden="1">{#N/A,#N/A,FALSE,"자재관리";#N/A,#N/A,FALSE,"자재관리";#N/A,#N/A,FALSE,"자재관리"}</definedName>
    <definedName name="wrn.6월._.자재관리._.현황." hidden="1">{#N/A,#N/A,FALSE,"자재관리";#N/A,#N/A,FALSE,"자재관리";#N/A,#N/A,FALSE,"자재관리"}</definedName>
    <definedName name="wrn.abc." localSheetId="2" hidden="1">{#N/A,#N/A,TRUE,"천상그린44PY"}</definedName>
    <definedName name="wrn.abc." hidden="1">{#N/A,#N/A,TRUE,"천상그린44PY"}</definedName>
    <definedName name="wrn.ac30prn." localSheetId="2"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2" hidden="1">{#N/A,#N/A,FALSE,"CCTV"}</definedName>
    <definedName name="wrn.BM." hidden="1">{#N/A,#N/A,FALSE,"CCTV"}</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2" hidden="1">{#N/A,#N/A,FALSE,"전력간선"}</definedName>
    <definedName name="wrn.교육청." hidden="1">{#N/A,#N/A,FALSE,"전력간선"}</definedName>
    <definedName name="wrn.기성." localSheetId="2" hidden="1">{#N/A,#N/A,FALSE,"신청통보";#N/A,#N/A,FALSE,"기성확인서";#N/A,#N/A,FALSE,"기성내역서"}</definedName>
    <definedName name="wrn.기성." hidden="1">{#N/A,#N/A,FALSE,"신청통보";#N/A,#N/A,FALSE,"기성확인서";#N/A,#N/A,FALSE,"기성내역서"}</definedName>
    <definedName name="wrn.기초." localSheetId="2" hidden="1">{#N/A,#N/A,FALSE,"터빈집계";#N/A,#N/A,FALSE,"터빈내역";#N/A,#N/A,FALSE,"보일러집계";#N/A,#N/A,FALSE,"보일러내역"}</definedName>
    <definedName name="wrn.기초." hidden="1">{#N/A,#N/A,FALSE,"터빈집계";#N/A,#N/A,FALSE,"터빈내역";#N/A,#N/A,FALSE,"보일러집계";#N/A,#N/A,FALSE,"보일러내역"}</definedName>
    <definedName name="wrn.보고서." localSheetId="2" hidden="1">{#N/A,#N/A,TRUE,"자재관리";#N/A,#N/A,TRUE,"품질"}</definedName>
    <definedName name="wrn.보고서." hidden="1">{#N/A,#N/A,TRUE,"자재관리";#N/A,#N/A,TRUE,"품질"}</definedName>
    <definedName name="wrn.보일러마감." localSheetId="2"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시행결의." localSheetId="2"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2" hidden="1">{#N/A,#N/A,FALSE,"신청통보";#N/A,#N/A,FALSE,"기성확인서";#N/A,#N/A,FALSE,"기성내역서"}</definedName>
    <definedName name="wrn.외주기성." hidden="1">{#N/A,#N/A,FALSE,"신청통보";#N/A,#N/A,FALSE,"기성확인서";#N/A,#N/A,FALSE,"기성내역서"}</definedName>
    <definedName name="wrn.일위대가." localSheetId="2" hidden="1">{#N/A,#N/A,TRUE,"대가1"}</definedName>
    <definedName name="wrn.일위대가." hidden="1">{#N/A,#N/A,TRUE,"대가1"}</definedName>
    <definedName name="W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localSheetId="2" hidden="1">{#N/A,#N/A,TRUE,"자재관리";#N/A,#N/A,TRUE,"품질"}</definedName>
    <definedName name="X" hidden="1">{#N/A,#N/A,TRUE,"자재관리";#N/A,#N/A,TRUE,"품질"}</definedName>
    <definedName name="yy" localSheetId="2" hidden="1">{#N/A,#N/A,FALSE,"전력간선"}</definedName>
    <definedName name="yy" hidden="1">{#N/A,#N/A,FALSE,"전력간선"}</definedName>
    <definedName name="YY0" localSheetId="2" hidden="1">{#N/A,#N/A,FALSE,"전력간선"}</definedName>
    <definedName name="YY0" hidden="1">{#N/A,#N/A,FALSE,"전력간선"}</definedName>
    <definedName name="yyy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localSheetId="2" hidden="1">{#N/A,#N/A,FALSE,"CCTV"}</definedName>
    <definedName name="가스" hidden="1">{#N/A,#N/A,FALSE,"CCTV"}</definedName>
    <definedName name="가스실행내역" localSheetId="2" hidden="1">{#N/A,#N/A,FALSE,"전력간선"}</definedName>
    <definedName name="가스실행내역" hidden="1">{#N/A,#N/A,FALSE,"전력간선"}</definedName>
    <definedName name="가실" localSheetId="2" hidden="1">{#N/A,#N/A,FALSE,"전력간선"}</definedName>
    <definedName name="가실" hidden="1">{#N/A,#N/A,FALSE,"전력간선"}</definedName>
    <definedName name="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localSheetId="2" hidden="1">#REF!</definedName>
    <definedName name="겨격" hidden="1">#REF!</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localSheetId="2" hidden="1">{#N/A,#N/A,FALSE,"도급대비시행율";#N/A,#N/A,FALSE,"결의서";#N/A,#N/A,FALSE,"내역서";#N/A,#N/A,FALSE,"도급예상"}</definedName>
    <definedName name="경수" hidden="1">{#N/A,#N/A,FALSE,"도급대비시행율";#N/A,#N/A,FALSE,"결의서";#N/A,#N/A,FALSE,"내역서";#N/A,#N/A,FALSE,"도급예상"}</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2" hidden="1">{#N/A,#N/A,FALSE,"자재관리";#N/A,#N/A,FALSE,"자재관리";#N/A,#N/A,FALSE,"자재관리"}</definedName>
    <definedName name="경영목표2" hidden="1">{#N/A,#N/A,FALSE,"자재관리";#N/A,#N/A,FALSE,"자재관리";#N/A,#N/A,FALSE,"자재관리"}</definedName>
    <definedName name="계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localSheetId="2" hidden="1">{#N/A,#N/A,FALSE,"CCTV"}</definedName>
    <definedName name="공내역" hidden="1">{#N/A,#N/A,FALSE,"CCTV"}</definedName>
    <definedName name="공문" localSheetId="2" hidden="1">{#N/A,#N/A,FALSE,"자재관리";#N/A,#N/A,FALSE,"자재관리";#N/A,#N/A,FALSE,"자재관리"}</definedName>
    <definedName name="공문" hidden="1">{#N/A,#N/A,FALSE,"자재관리";#N/A,#N/A,FALSE,"자재관리";#N/A,#N/A,FALSE,"자재관리"}</definedName>
    <definedName name="공문1" localSheetId="2" hidden="1">{#N/A,#N/A,FALSE,"자재관리";#N/A,#N/A,FALSE,"자재관리";#N/A,#N/A,FALSE,"자재관리"}</definedName>
    <definedName name="공문1" hidden="1">{#N/A,#N/A,FALSE,"자재관리";#N/A,#N/A,FALSE,"자재관리";#N/A,#N/A,FALSE,"자재관리"}</definedName>
    <definedName name="공장동" hidden="1">#REF!</definedName>
    <definedName name="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localSheetId="2" hidden="1">{#N/A,#N/A,FALSE,"신청통보";#N/A,#N/A,FALSE,"기성확인서";#N/A,#N/A,FALSE,"기성내역서"}</definedName>
    <definedName name="구자관" hidden="1">{#N/A,#N/A,FALSE,"신청통보";#N/A,#N/A,FALSE,"기성확인서";#N/A,#N/A,FALSE,"기성내역서"}</definedName>
    <definedName name="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localSheetId="2" hidden="1">{#N/A,#N/A,TRUE,"자재관리";#N/A,#N/A,TRUE,"품질"}</definedName>
    <definedName name="기" hidden="1">{#N/A,#N/A,TRUE,"자재관리";#N/A,#N/A,TRUE,"품질"}</definedName>
    <definedName name="기계단가1" localSheetId="2" hidden="1">{#N/A,#N/A,FALSE,"전력간선"}</definedName>
    <definedName name="기계단가1" hidden="1">{#N/A,#N/A,FALSE,"전력간선"}</definedName>
    <definedName name="기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2"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2"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localSheetId="2" hidden="1">{#N/A,#N/A,TRUE,"자재관리";#N/A,#N/A,TRUE,"품질"}</definedName>
    <definedName name="ㄴ" hidden="1">{#N/A,#N/A,TRUE,"자재관리";#N/A,#N/A,TRUE,"품질"}</definedName>
    <definedName name="ㄴㄴㄴ" localSheetId="2" hidden="1">{#N/A,#N/A,FALSE,"자재관리";#N/A,#N/A,FALSE,"자재관리";#N/A,#N/A,FALSE,"자재관리"}</definedName>
    <definedName name="ㄴㄴㄴ" hidden="1">{#N/A,#N/A,FALSE,"자재관리";#N/A,#N/A,FALSE,"자재관리";#N/A,#N/A,FALSE,"자재관리"}</definedName>
    <definedName name="ㄴㄴㄴㄴ" hidden="1">#REF!</definedName>
    <definedName name="ㄴㄴㄴㄴㄴ" localSheetId="2" hidden="1">{#N/A,#N/A,TRUE,"자재관리";#N/A,#N/A,TRUE,"품질"}</definedName>
    <definedName name="ㄴㄴㄴㄴㄴ" hidden="1">{#N/A,#N/A,TRUE,"자재관리";#N/A,#N/A,TRUE,"품질"}</definedName>
    <definedName name="ㄴㄹㄴ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localSheetId="2" hidden="1">{#N/A,#N/A,FALSE,"자재관리";#N/A,#N/A,FALSE,"자재관리";#N/A,#N/A,FALSE,"자재관리"}</definedName>
    <definedName name="ㄴㅁㅁㅁ" hidden="1">{#N/A,#N/A,FALSE,"자재관리";#N/A,#N/A,FALSE,"자재관리";#N/A,#N/A,FALSE,"자재관리"}</definedName>
    <definedName name="ㄴㅌㄴㅌ" localSheetId="2" hidden="1">{#N/A,#N/A,FALSE,"CCTV"}</definedName>
    <definedName name="ㄴㅌㄴㅌ" hidden="1">{#N/A,#N/A,FALSE,"CCTV"}</definedName>
    <definedName name="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localSheetId="2" hidden="1">{#N/A,#N/A,FALSE,"CCTV"}</definedName>
    <definedName name="내역" hidden="1">{#N/A,#N/A,FALSE,"CCTV"}</definedName>
    <definedName name="내역점검" localSheetId="2" hidden="1">{#N/A,#N/A,FALSE,"전력간선"}</definedName>
    <definedName name="내역점검" hidden="1">{#N/A,#N/A,FALSE,"전력간선"}</definedName>
    <definedName name="내작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localSheetId="2" hidden="1">{#N/A,#N/A,FALSE,"전력간선"}</definedName>
    <definedName name="단가산출서" hidden="1">{#N/A,#N/A,FALSE,"전력간선"}</definedName>
    <definedName name="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localSheetId="2" hidden="1">#REF!</definedName>
    <definedName name="ㄹ32" hidden="1">#REF!</definedName>
    <definedName name="ㄹㅇㄹㅇ" hidden="1">#REF!</definedName>
    <definedName name="러헐" localSheetId="2" hidden="1">{#N/A,#N/A,FALSE,"도급대비시행율";#N/A,#N/A,FALSE,"결의서";#N/A,#N/A,FALSE,"내역서";#N/A,#N/A,FALSE,"도급예상"}</definedName>
    <definedName name="러헐" hidden="1">{#N/A,#N/A,FALSE,"도급대비시행율";#N/A,#N/A,FALSE,"결의서";#N/A,#N/A,FALSE,"내역서";#N/A,#N/A,FALSE,"도급예상"}</definedName>
    <definedName name="럭키" localSheetId="2" hidden="1">{#N/A,#N/A,FALSE,"전력간선"}</definedName>
    <definedName name="럭키" hidden="1">{#N/A,#N/A,FALSE,"전력간선"}</definedName>
    <definedName name="롯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localSheetId="2" hidden="1">{#N/A,#N/A,FALSE,"자재관리";#N/A,#N/A,FALSE,"자재관리";#N/A,#N/A,FALSE,"자재관리"}</definedName>
    <definedName name="ㅁ" hidden="1">{#N/A,#N/A,FALSE,"자재관리";#N/A,#N/A,FALSE,"자재관리";#N/A,#N/A,FALSE,"자재관리"}</definedName>
    <definedName name="ㅁㄱㄷ" localSheetId="2" hidden="1">{#N/A,#N/A,FALSE,"자재관리";#N/A,#N/A,FALSE,"자재관리";#N/A,#N/A,FALSE,"자재관리"}</definedName>
    <definedName name="ㅁㄱㄷ" hidden="1">{#N/A,#N/A,FALSE,"자재관리";#N/A,#N/A,FALSE,"자재관리";#N/A,#N/A,FALSE,"자재관리"}</definedName>
    <definedName name="ㅁㅁ" localSheetId="2" hidden="1">{#N/A,#N/A,FALSE,"전력간선"}</definedName>
    <definedName name="ㅁㅁ" hidden="1">{#N/A,#N/A,FALSE,"전력간선"}</definedName>
    <definedName name="ㅁㅇ" localSheetId="2" hidden="1">{#N/A,#N/A,FALSE,"자재관리";#N/A,#N/A,FALSE,"자재관리";#N/A,#N/A,FALSE,"자재관리"}</definedName>
    <definedName name="ㅁㅇ" hidden="1">{#N/A,#N/A,FALSE,"자재관리";#N/A,#N/A,FALSE,"자재관리";#N/A,#N/A,FALSE,"자재관리"}</definedName>
    <definedName name="마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localSheetId="2" hidden="1">{#N/A,#N/A,FALSE,"전력간선"}</definedName>
    <definedName name="명신" hidden="1">{#N/A,#N/A,FALSE,"전력간선"}</definedName>
    <definedName name="목표" localSheetId="2" hidden="1">{#N/A,#N/A,FALSE,"자재관리";#N/A,#N/A,FALSE,"자재관리";#N/A,#N/A,FALSE,"자재관리"}</definedName>
    <definedName name="목표" hidden="1">{#N/A,#N/A,FALSE,"자재관리";#N/A,#N/A,FALSE,"자재관리";#N/A,#N/A,FALSE,"자재관리"}</definedName>
    <definedName name="뮹ㅊ"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localSheetId="2" hidden="1">{#N/A,#N/A,FALSE,"전력간선"}</definedName>
    <definedName name="ㅂ" hidden="1">{#N/A,#N/A,FALSE,"전력간선"}</definedName>
    <definedName name="ㅂㄷ"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localSheetId="2" hidden="1">{#N/A,#N/A,FALSE,"자재관리";#N/A,#N/A,FALSE,"자재관리";#N/A,#N/A,FALSE,"자재관리"}</definedName>
    <definedName name="ㅅ" hidden="1">{#N/A,#N/A,FALSE,"자재관리";#N/A,#N/A,FALSE,"자재관리";#N/A,#N/A,FALSE,"자재관리"}</definedName>
    <definedName name="ㅅㅅ" hidden="1">#REF!</definedName>
    <definedName name="산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localSheetId="2" hidden="1">{#N/A,#N/A,FALSE,"자재관리";#N/A,#N/A,FALSE,"자재관리";#N/A,#N/A,FALSE,"자재관리"}</definedName>
    <definedName name="서원열" hidden="1">{#N/A,#N/A,FALSE,"자재관리";#N/A,#N/A,FALSE,"자재관리";#N/A,#N/A,FALSE,"자재관리"}</definedName>
    <definedName name="서원영" localSheetId="2" hidden="1">{#N/A,#N/A,FALSE,"자재관리";#N/A,#N/A,FALSE,"자재관리";#N/A,#N/A,FALSE,"자재관리"}</definedName>
    <definedName name="서원영" hidden="1">{#N/A,#N/A,FALSE,"자재관리";#N/A,#N/A,FALSE,"자재관리";#N/A,#N/A,FALSE,"자재관리"}</definedName>
    <definedName name="석"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localSheetId="2" hidden="1">{#N/A,#N/A,FALSE,"자재관리";#N/A,#N/A,FALSE,"자재관리";#N/A,#N/A,FALSE,"자재관리"}</definedName>
    <definedName name="세현" hidden="1">{#N/A,#N/A,FALSE,"자재관리";#N/A,#N/A,FALSE,"자재관리";#N/A,#N/A,FALSE,"자재관리"}</definedName>
    <definedName name="소화갑지" localSheetId="2" hidden="1">{#N/A,#N/A,FALSE,"CCTV"}</definedName>
    <definedName name="소화갑지" hidden="1">{#N/A,#N/A,FALSE,"CCTV"}</definedName>
    <definedName name="수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localSheetId="2" hidden="1">{#N/A,#N/A,TRUE,"자재관리";#N/A,#N/A,TRUE,"품질"}</definedName>
    <definedName name="ㅇ" hidden="1">{#N/A,#N/A,TRUE,"자재관리";#N/A,#N/A,TRUE,"품질"}</definedName>
    <definedName name="ㅇㄴㅇㄴ" localSheetId="2" hidden="1">{#N/A,#N/A,FALSE,"CCTV"}</definedName>
    <definedName name="ㅇㄴㅇㄴ" hidden="1">{#N/A,#N/A,FALSE,"CCTV"}</definedName>
    <definedName name="ㅇㄹㅇㄹ" hidden="1">#REF!</definedName>
    <definedName name="ㅇㅀ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localSheetId="2" hidden="1">{#N/A,#N/A,FALSE,"자재관리";#N/A,#N/A,FALSE,"자재관리";#N/A,#N/A,FALSE,"자재관리"}</definedName>
    <definedName name="ㅇㅇ" hidden="1">{#N/A,#N/A,FALSE,"자재관리";#N/A,#N/A,FALSE,"자재관리";#N/A,#N/A,FALSE,"자재관리"}</definedName>
    <definedName name="ㅇㅇㄹ" hidden="1">#REF!</definedName>
    <definedName name="ㅇㅇㄹㄴㅁㄹ" localSheetId="2" hidden="1">{#N/A,#N/A,FALSE,"자재관리";#N/A,#N/A,FALSE,"자재관리";#N/A,#N/A,FALSE,"자재관리"}</definedName>
    <definedName name="ㅇㅇㄹㄴㅁㄹ" hidden="1">{#N/A,#N/A,FALSE,"자재관리";#N/A,#N/A,FALSE,"자재관리";#N/A,#N/A,FALSE,"자재관리"}</definedName>
    <definedName name="ㅇㅇㅇㅇㅇ" localSheetId="2" hidden="1">{#N/A,#N/A,TRUE,"자재관리";#N/A,#N/A,TRUE,"품질"}</definedName>
    <definedName name="ㅇㅇㅇㅇㅇ" hidden="1">{#N/A,#N/A,TRUE,"자재관리";#N/A,#N/A,TRUE,"품질"}</definedName>
    <definedName name="아" localSheetId="2" hidden="1">{#N/A,#N/A,FALSE,"자재관리";#N/A,#N/A,FALSE,"자재관리";#N/A,#N/A,FALSE,"자재관리"}</definedName>
    <definedName name="아" hidden="1">{#N/A,#N/A,FALSE,"자재관리";#N/A,#N/A,FALSE,"자재관리";#N/A,#N/A,FALSE,"자재관리"}</definedName>
    <definedName name="아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localSheetId="2" hidden="1">{#N/A,#N/A,FALSE,"자재관리";#N/A,#N/A,FALSE,"자재관리";#N/A,#N/A,FALSE,"자재관리"}</definedName>
    <definedName name="아이템별투자" hidden="1">{#N/A,#N/A,FALSE,"자재관리";#N/A,#N/A,FALSE,"자재관리";#N/A,#N/A,FALSE,"자재관리"}</definedName>
    <definedName name="안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localSheetId="2" hidden="1">#REF!</definedName>
    <definedName name="암거" hidden="1">#REF!</definedName>
    <definedName name="앙" localSheetId="2" hidden="1">{#N/A,#N/A,FALSE,"자재관리";#N/A,#N/A,FALSE,"자재관리";#N/A,#N/A,FALSE,"자재관리"}</definedName>
    <definedName name="앙" hidden="1">{#N/A,#N/A,FALSE,"자재관리";#N/A,#N/A,FALSE,"자재관리";#N/A,#N/A,FALSE,"자재관리"}</definedName>
    <definedName name="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localSheetId="2" hidden="1">{#N/A,#N/A,FALSE,"자재관리";#N/A,#N/A,FALSE,"자재관리";#N/A,#N/A,FALSE,"자재관리"}</definedName>
    <definedName name="양" hidden="1">{#N/A,#N/A,FALSE,"자재관리";#N/A,#N/A,FALSE,"자재관리";#N/A,#N/A,FALSE,"자재관리"}</definedName>
    <definedName name="양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localSheetId="2"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2" hidden="1">{#N/A,#N/A,TRUE,"자재관리";#N/A,#N/A,TRUE,"품질"}</definedName>
    <definedName name="업소용" hidden="1">{#N/A,#N/A,TRUE,"자재관리";#N/A,#N/A,TRUE,"품질"}</definedName>
    <definedName name="업소용생산1팀" localSheetId="2" hidden="1">{#N/A,#N/A,FALSE,"자재관리";#N/A,#N/A,FALSE,"자재관리";#N/A,#N/A,FALSE,"자재관리"}</definedName>
    <definedName name="업소용생산1팀" hidden="1">{#N/A,#N/A,FALSE,"자재관리";#N/A,#N/A,FALSE,"자재관리";#N/A,#N/A,FALSE,"자재관리"}</definedName>
    <definedName name="역"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localSheetId="2" hidden="1">{#N/A,#N/A,FALSE,"전력간선"}</definedName>
    <definedName name="염" hidden="1">{#N/A,#N/A,FALSE,"전력간선"}</definedName>
    <definedName name="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localSheetId="2" hidden="1">{#N/A,#N/A,FALSE,"전력간선"}</definedName>
    <definedName name="영조" hidden="1">{#N/A,#N/A,FALSE,"전력간선"}</definedName>
    <definedName name="예상도급내역" localSheetId="2" hidden="1">{#N/A,#N/A,FALSE,"CCTV"}</definedName>
    <definedName name="예상도급내역" hidden="1">{#N/A,#N/A,FALSE,"CCTV"}</definedName>
    <definedName name="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localSheetId="2" hidden="1">{#N/A,#N/A,FALSE,"자재관리";#N/A,#N/A,FALSE,"자재관리";#N/A,#N/A,FALSE,"자재관리"}</definedName>
    <definedName name="우인보고표지" hidden="1">{#N/A,#N/A,FALSE,"자재관리";#N/A,#N/A,FALSE,"자재관리";#N/A,#N/A,FALSE,"자재관리"}</definedName>
    <definedName name="우인표지" localSheetId="2" hidden="1">{#N/A,#N/A,TRUE,"자재관리";#N/A,#N/A,TRUE,"품질"}</definedName>
    <definedName name="우인표지" hidden="1">{#N/A,#N/A,TRUE,"자재관리";#N/A,#N/A,TRUE,"품질"}</definedName>
    <definedName name="원가TABLE" localSheetId="2" hidden="1">{#N/A,#N/A,TRUE,"자재관리";#N/A,#N/A,TRUE,"품질"}</definedName>
    <definedName name="원가TABLE" hidden="1">{#N/A,#N/A,TRUE,"자재관리";#N/A,#N/A,TRUE,"품질"}</definedName>
    <definedName name="원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localSheetId="2" hidden="1">{#N/A,#N/A,FALSE,"도급대비시행율";#N/A,#N/A,FALSE,"결의서";#N/A,#N/A,FALSE,"내역서";#N/A,#N/A,FALSE,"도급예상"}</definedName>
    <definedName name="을" hidden="1">{#N/A,#N/A,FALSE,"도급대비시행율";#N/A,#N/A,FALSE,"결의서";#N/A,#N/A,FALSE,"내역서";#N/A,#N/A,FALSE,"도급예상"}</definedName>
    <definedName name="이" localSheetId="2" hidden="1">{#N/A,#N/A,FALSE,"자재관리";#N/A,#N/A,FALSE,"자재관리";#N/A,#N/A,FALSE,"자재관리"}</definedName>
    <definedName name="이" hidden="1">{#N/A,#N/A,FALSE,"자재관리";#N/A,#N/A,FALSE,"자재관리";#N/A,#N/A,FALSE,"자재관리"}</definedName>
    <definedName name="이름" localSheetId="2" hidden="1">{#N/A,#N/A,FALSE,"전력간선"}</definedName>
    <definedName name="이름" hidden="1">{#N/A,#N/A,FALSE,"전력간선"}</definedName>
    <definedName name="이봉해" localSheetId="2" hidden="1">{#N/A,#N/A,FALSE,"자재관리";#N/A,#N/A,FALSE,"자재관리";#N/A,#N/A,FALSE,"자재관리"}</definedName>
    <definedName name="이봉해" hidden="1">{#N/A,#N/A,FALSE,"자재관리";#N/A,#N/A,FALSE,"자재관리";#N/A,#N/A,FALSE,"자재관리"}</definedName>
    <definedName name="이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localSheetId="2" hidden="1">{#N/A,#N/A,FALSE,"도급대비시행율";#N/A,#N/A,FALSE,"결의서";#N/A,#N/A,FALSE,"내역서";#N/A,#N/A,FALSE,"도급예상"}</definedName>
    <definedName name="일" hidden="1">{#N/A,#N/A,FALSE,"도급대비시행율";#N/A,#N/A,FALSE,"결의서";#N/A,#N/A,FALSE,"내역서";#N/A,#N/A,FALSE,"도급예상"}</definedName>
    <definedName name="ㅈ" localSheetId="2" hidden="1">{#N/A,#N/A,FALSE,"자재관리";#N/A,#N/A,FALSE,"자재관리";#N/A,#N/A,FALSE,"자재관리"}</definedName>
    <definedName name="ㅈ" hidden="1">{#N/A,#N/A,FALSE,"자재관리";#N/A,#N/A,FALSE,"자재관리";#N/A,#N/A,FALSE,"자재관리"}</definedName>
    <definedName name="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localSheetId="2" hidden="1">{#N/A,#N/A,FALSE,"자재관리";#N/A,#N/A,FALSE,"자재관리";#N/A,#N/A,FALSE,"자재관리"}</definedName>
    <definedName name="재료" hidden="1">{#N/A,#N/A,FALSE,"자재관리";#N/A,#N/A,FALSE,"자재관리";#N/A,#N/A,FALSE,"자재관리"}</definedName>
    <definedName name="재료비1" localSheetId="2" hidden="1">{#N/A,#N/A,FALSE,"자재관리";#N/A,#N/A,FALSE,"자재관리";#N/A,#N/A,FALSE,"자재관리"}</definedName>
    <definedName name="재료비1" hidden="1">{#N/A,#N/A,FALSE,"자재관리";#N/A,#N/A,FALSE,"자재관리";#N/A,#N/A,FALSE,"자재관리"}</definedName>
    <definedName name="전기" localSheetId="2" hidden="1">{#N/A,#N/A,FALSE,"전력간선"}</definedName>
    <definedName name="전기" hidden="1">{#N/A,#N/A,FALSE,"전력간선"}</definedName>
    <definedName name="전년" localSheetId="2" hidden="1">{#N/A,#N/A,FALSE,"자재관리";#N/A,#N/A,FALSE,"자재관리";#N/A,#N/A,FALSE,"자재관리"}</definedName>
    <definedName name="전년" hidden="1">{#N/A,#N/A,FALSE,"자재관리";#N/A,#N/A,FALSE,"자재관리";#N/A,#N/A,FALSE,"자재관리"}</definedName>
    <definedName name="전년월" localSheetId="2" hidden="1">{#N/A,#N/A,FALSE,"자재관리";#N/A,#N/A,FALSE,"자재관리";#N/A,#N/A,FALSE,"자재관리"}</definedName>
    <definedName name="전년월" hidden="1">{#N/A,#N/A,FALSE,"자재관리";#N/A,#N/A,FALSE,"자재관리";#N/A,#N/A,FALSE,"자재관리"}</definedName>
    <definedName name="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localSheetId="2" hidden="1">{#N/A,#N/A,FALSE,"CCTV"}</definedName>
    <definedName name="정화조" hidden="1">{#N/A,#N/A,FALSE,"CCTV"}</definedName>
    <definedName name="조정내역2" localSheetId="2" hidden="1">{#N/A,#N/A,FALSE,"전력간선"}</definedName>
    <definedName name="조정내역2" hidden="1">{#N/A,#N/A,FALSE,"전력간선"}</definedName>
    <definedName name="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localSheetId="2" hidden="1">{#N/A,#N/A,FALSE,"자재관리";#N/A,#N/A,FALSE,"자재관리";#N/A,#N/A,FALSE,"자재관리"}</definedName>
    <definedName name="진우1" hidden="1">{#N/A,#N/A,FALSE,"자재관리";#N/A,#N/A,FALSE,"자재관리";#N/A,#N/A,FALSE,"자재관리"}</definedName>
    <definedName name="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localSheetId="2" hidden="1">{#N/A,#N/A,FALSE,"전력간선"}</definedName>
    <definedName name="최종갑지1" hidden="1">{#N/A,#N/A,FALSE,"전력간선"}</definedName>
    <definedName name="추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localSheetId="2" hidden="1">{#N/A,#N/A,FALSE,"도급대비시행율";#N/A,#N/A,FALSE,"결의서";#N/A,#N/A,FALSE,"내역서";#N/A,#N/A,FALSE,"도급예상"}</definedName>
    <definedName name="ㅌㅍㅊㅇㅌㅎ" hidden="1">{#N/A,#N/A,FALSE,"도급대비시행율";#N/A,#N/A,FALSE,"결의서";#N/A,#N/A,FALSE,"내역서";#N/A,#N/A,FALSE,"도급예상"}</definedName>
    <definedName name="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localSheetId="2" hidden="1">{#N/A,#N/A,FALSE,"자재관리";#N/A,#N/A,FALSE,"자재관리";#N/A,#N/A,FALSE,"자재관리"}</definedName>
    <definedName name="투자및자재" hidden="1">{#N/A,#N/A,FALSE,"자재관리";#N/A,#N/A,FALSE,"자재관리";#N/A,#N/A,FALSE,"자재관리"}</definedName>
    <definedName name="투자비내역" localSheetId="2" hidden="1">{#N/A,#N/A,TRUE,"자재관리";#N/A,#N/A,TRUE,"품질"}</definedName>
    <definedName name="투자비내역" hidden="1">{#N/A,#N/A,TRUE,"자재관리";#N/A,#N/A,TRUE,"품질"}</definedName>
    <definedName name="팀별" localSheetId="2" hidden="1">{#N/A,#N/A,FALSE,"자재관리";#N/A,#N/A,FALSE,"자재관리";#N/A,#N/A,FALSE,"자재관리"}</definedName>
    <definedName name="팀별" hidden="1">{#N/A,#N/A,FALSE,"자재관리";#N/A,#N/A,FALSE,"자재관리";#N/A,#N/A,FALSE,"자재관리"}</definedName>
    <definedName name="ㅍㅍ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localSheetId="2" hidden="1">{#N/A,#N/A,FALSE,"자재관리";#N/A,#N/A,FALSE,"자재관리";#N/A,#N/A,FALSE,"자재관리"}</definedName>
    <definedName name="표지1" hidden="1">{#N/A,#N/A,FALSE,"자재관리";#N/A,#N/A,FALSE,"자재관리";#N/A,#N/A,FALSE,"자재관리"}</definedName>
    <definedName name="ㅎ" localSheetId="2" hidden="1">{#N/A,#N/A,TRUE,"자재관리";#N/A,#N/A,TRUE,"품질"}</definedName>
    <definedName name="ㅎ" hidden="1">{#N/A,#N/A,TRUE,"자재관리";#N/A,#N/A,TRUE,"품질"}</definedName>
    <definedName name="ㅎㅀ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localSheetId="2" hidden="1">{#N/A,#N/A,FALSE,"CCTV"}</definedName>
    <definedName name="ㅎㅀㅀㅀㅀㄹ" hidden="1">{#N/A,#N/A,FALSE,"CCTV"}</definedName>
    <definedName name="하행터널" localSheetId="2" hidden="1">{#N/A,#N/A,TRUE,"대가1"}</definedName>
    <definedName name="하행터널" hidden="1">{#N/A,#N/A,TRUE,"대가1"}</definedName>
    <definedName name="한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localSheetId="2" hidden="1">{#N/A,#N/A,FALSE,"전력간선"}</definedName>
    <definedName name="현설자재수량검토" hidden="1">{#N/A,#N/A,FALSE,"전력간선"}</definedName>
    <definedName name="호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localSheetId="2" hidden="1">{"'Sheet1'!$E$23","'Sheet1'!$A$3:$H$19","'Sheet1'!$A$1:$H$19"}</definedName>
    <definedName name="ㅏㅏㅏ" hidden="1">{"'Sheet1'!$E$23","'Sheet1'!$A$3:$H$19","'Sheet1'!$A$1:$H$19"}</definedName>
    <definedName name="ㅏㅓㅏ" localSheetId="2"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2" hidden="1">{#N/A,#N/A,FALSE,"전력간선"}</definedName>
    <definedName name="ㅏㅓㅗ" hidden="1">{#N/A,#N/A,FALSE,"전력간선"}</definedName>
    <definedName name="ㅓ" localSheetId="2" hidden="1">{#N/A,#N/A,TRUE,"자재관리";#N/A,#N/A,TRUE,"품질"}</definedName>
    <definedName name="ㅓ" hidden="1">{#N/A,#N/A,TRUE,"자재관리";#N/A,#N/A,TRUE,"품질"}</definedName>
    <definedName name="ㅗㅗㅗ"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localSheetId="2" hidden="1">{#N/A,#N/A,FALSE,"자재관리";#N/A,#N/A,FALSE,"자재관리";#N/A,#N/A,FALSE,"자재관리"}</definedName>
    <definedName name="ㅛ" hidden="1">{#N/A,#N/A,FALSE,"자재관리";#N/A,#N/A,FALSE,"자재관리";#N/A,#N/A,FALSE,"자재관리"}</definedName>
    <definedName name="ㅜㅜㅜㅜㅜㅜㅜㅜㅜㅜㅜㅜㅜㅜㅜㅜㅜㅜㅜㅜㅜㅜㅜㅜㅜㅜㅜㅜㅜㅜㅜㅜㅜㅜㅜㅜㅜㅜㅜㅜㅜㅜ" localSheetId="2" hidden="1">{#N/A,#N/A,FALSE,"CCTV"}</definedName>
    <definedName name="ㅜㅜㅜㅜㅜㅜㅜㅜㅜㅜㅜㅜㅜㅜㅜㅜㅜㅜㅜㅜㅜㅜㅜㅜㅜㅜㅜㅜㅜㅜㅜㅜㅜㅜㅜㅜㅜㅜㅜㅜㅜㅜ" hidden="1">{#N/A,#N/A,FALSE,"CCTV"}</definedName>
    <definedName name="ㅠ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localSheetId="2" hidden="1">{#N/A,#N/A,FALSE,"전력간선"}</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 i="4" l="1"/>
  <c r="U5" i="4"/>
  <c r="S5" i="4"/>
  <c r="Q5" i="4"/>
  <c r="O5" i="4"/>
  <c r="A5" i="4"/>
  <c r="V5" i="4" l="1"/>
  <c r="F2" i="1"/>
  <c r="E2" i="1"/>
  <c r="D2" i="1"/>
  <c r="C2" i="1"/>
  <c r="B2" i="1"/>
  <c r="A9" i="4" l="1"/>
  <c r="A8" i="4"/>
  <c r="A7" i="4"/>
  <c r="A2" i="1"/>
  <c r="U9" i="4" l="1"/>
  <c r="S9" i="4"/>
  <c r="Q9" i="4"/>
  <c r="O9" i="4"/>
  <c r="U8" i="4"/>
  <c r="S8" i="4"/>
  <c r="Q8" i="4"/>
  <c r="O8" i="4"/>
  <c r="U7" i="4"/>
  <c r="S7" i="4"/>
  <c r="Q7" i="4"/>
  <c r="O7" i="4"/>
  <c r="U6" i="4"/>
  <c r="S6" i="4"/>
  <c r="Q6" i="4"/>
  <c r="V6" i="4" l="1"/>
  <c r="V7" i="4"/>
  <c r="V8" i="4"/>
  <c r="V9" i="4"/>
  <c r="U10" i="4"/>
  <c r="Q10" i="4"/>
  <c r="S10" i="4" l="1"/>
  <c r="V10" i="4" l="1"/>
  <c r="F18" i="5" l="1"/>
  <c r="O10" i="4" l="1"/>
  <c r="F17" i="5" l="1"/>
  <c r="F16" i="5"/>
  <c r="F26" i="5" l="1"/>
  <c r="F19" i="5"/>
  <c r="F21" i="5"/>
  <c r="F24" i="5"/>
  <c r="F25" i="5"/>
  <c r="F22" i="5"/>
  <c r="F23" i="5" s="1"/>
  <c r="F27" i="5" l="1"/>
  <c r="F28" i="5" s="1"/>
  <c r="F30" i="5" s="1"/>
  <c r="F31" i="5" s="1"/>
  <c r="B1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<sst xmlns="http://schemas.openxmlformats.org/spreadsheetml/2006/main" count="131" uniqueCount="112">
  <si>
    <t>구분</t>
  </si>
  <si>
    <t>표준단가</t>
  </si>
  <si>
    <t>표준품셈</t>
  </si>
  <si>
    <t>물가정보</t>
  </si>
  <si>
    <t>노임단가</t>
  </si>
  <si>
    <t>수량</t>
  </si>
  <si>
    <t>견 적 서</t>
    <phoneticPr fontId="13" type="noConversion"/>
  </si>
  <si>
    <t xml:space="preserve">금액: </t>
    <phoneticPr fontId="13" type="noConversion"/>
  </si>
  <si>
    <t>원정</t>
    <phoneticPr fontId="15" type="noConversion"/>
  </si>
  <si>
    <t xml:space="preserve">  </t>
  </si>
  <si>
    <t>NO</t>
  </si>
  <si>
    <t>품명</t>
    <phoneticPr fontId="15" type="noConversion"/>
  </si>
  <si>
    <t>규격</t>
    <phoneticPr fontId="15" type="noConversion"/>
  </si>
  <si>
    <t>수량</t>
    <phoneticPr fontId="15" type="noConversion"/>
  </si>
  <si>
    <t>단위</t>
    <phoneticPr fontId="15" type="noConversion"/>
  </si>
  <si>
    <t>금액</t>
    <phoneticPr fontId="15" type="noConversion"/>
  </si>
  <si>
    <t>비고</t>
    <phoneticPr fontId="15" type="noConversion"/>
  </si>
  <si>
    <t>직접비</t>
    <phoneticPr fontId="13" type="noConversion"/>
  </si>
  <si>
    <t>재료비</t>
    <phoneticPr fontId="13" type="noConversion"/>
  </si>
  <si>
    <t>노무비</t>
    <phoneticPr fontId="15" type="noConversion"/>
  </si>
  <si>
    <t>기계/기타경비</t>
    <phoneticPr fontId="13" type="noConversion"/>
  </si>
  <si>
    <t>소계</t>
    <phoneticPr fontId="13" type="noConversion"/>
  </si>
  <si>
    <t>간접비</t>
    <phoneticPr fontId="13" type="noConversion"/>
  </si>
  <si>
    <t>  국민연금</t>
    <phoneticPr fontId="15" type="noConversion"/>
  </si>
  <si>
    <t> 노무비*4.5%</t>
    <phoneticPr fontId="15" type="noConversion"/>
  </si>
  <si>
    <t>식</t>
    <phoneticPr fontId="15" type="noConversion"/>
  </si>
  <si>
    <t>모든공사에 적용</t>
    <phoneticPr fontId="15" type="noConversion"/>
  </si>
  <si>
    <t>  건강보험료</t>
    <phoneticPr fontId="15" type="noConversion"/>
  </si>
  <si>
    <t>모든공사에 적용</t>
    <phoneticPr fontId="15" type="noConversion"/>
  </si>
  <si>
    <t>  장기요양보험료</t>
    <phoneticPr fontId="15" type="noConversion"/>
  </si>
  <si>
    <t>  고용보험료</t>
    <phoneticPr fontId="15" type="noConversion"/>
  </si>
  <si>
    <t>  산재보험료</t>
    <phoneticPr fontId="15" type="noConversion"/>
  </si>
  <si>
    <t xml:space="preserve">  산업안전보건관리비</t>
    <phoneticPr fontId="15" type="noConversion"/>
  </si>
  <si>
    <t>소계</t>
    <phoneticPr fontId="13" type="noConversion"/>
  </si>
  <si>
    <t>합계(단수조정)</t>
    <phoneticPr fontId="13" type="noConversion"/>
  </si>
  <si>
    <t>VAT별도</t>
    <phoneticPr fontId="15" type="noConversion"/>
  </si>
  <si>
    <t>★ 작성방법</t>
    <phoneticPr fontId="7" type="noConversion"/>
  </si>
  <si>
    <t>일반관리비/이윤</t>
    <phoneticPr fontId="15" type="noConversion"/>
  </si>
  <si>
    <t> (노무비+간접공사비)*5%</t>
    <phoneticPr fontId="15" type="noConversion"/>
  </si>
  <si>
    <t>등록번호</t>
    <phoneticPr fontId="9" type="noConversion"/>
  </si>
  <si>
    <t>종 목</t>
    <phoneticPr fontId="9" type="noConversion"/>
  </si>
  <si>
    <t>TEL, FAX</t>
    <phoneticPr fontId="9" type="noConversion"/>
  </si>
  <si>
    <t>상 호</t>
    <phoneticPr fontId="9" type="noConversion"/>
  </si>
  <si>
    <t>대표 이사</t>
    <phoneticPr fontId="9" type="noConversion"/>
  </si>
  <si>
    <t>사업장</t>
    <phoneticPr fontId="9" type="noConversion"/>
  </si>
  <si>
    <t>업 태</t>
    <phoneticPr fontId="9" type="noConversion"/>
  </si>
  <si>
    <t>할증기준</t>
    <phoneticPr fontId="7" type="noConversion"/>
  </si>
  <si>
    <t> 노무비*1.01%</t>
    <phoneticPr fontId="15" type="noConversion"/>
  </si>
  <si>
    <t>표준내역코드</t>
  </si>
  <si>
    <t>세부공종</t>
  </si>
  <si>
    <t>품명</t>
  </si>
  <si>
    <t>규격</t>
  </si>
  <si>
    <t>단위</t>
  </si>
  <si>
    <t>재료비단가</t>
  </si>
  <si>
    <t>재료비소계</t>
  </si>
  <si>
    <t>노무비단가</t>
  </si>
  <si>
    <t>노무비소계</t>
  </si>
  <si>
    <t>기계경비단가</t>
  </si>
  <si>
    <t>기계경비소계</t>
  </si>
  <si>
    <t>기타경비단가</t>
  </si>
  <si>
    <t>기타경비소계</t>
  </si>
  <si>
    <t>할증코드</t>
  </si>
  <si>
    <t>재료비할증율</t>
  </si>
  <si>
    <t>노무비할증율</t>
  </si>
  <si>
    <t>할증내용</t>
  </si>
  <si>
    <t xml:space="preserve"> 수신인 : 주식회사 에스엔아이 코퍼레이션</t>
    <phoneticPr fontId="13" type="noConversion"/>
  </si>
  <si>
    <t> 노무비*3.545%</t>
    <phoneticPr fontId="15" type="noConversion"/>
  </si>
  <si>
    <t> 건강보험료*12.95%</t>
    <phoneticPr fontId="15" type="noConversion"/>
  </si>
  <si>
    <t> 노무비*3.56%</t>
    <phoneticPr fontId="15" type="noConversion"/>
  </si>
  <si>
    <t>314-86-35718</t>
    <phoneticPr fontId="7" type="noConversion"/>
  </si>
  <si>
    <t>㈜일성건축</t>
    <phoneticPr fontId="7" type="noConversion"/>
  </si>
  <si>
    <t>상 석 희</t>
    <phoneticPr fontId="7" type="noConversion"/>
  </si>
  <si>
    <t>대전 서구 도마6길 107 (도마동)</t>
    <phoneticPr fontId="7" type="noConversion"/>
  </si>
  <si>
    <t>건설업</t>
    <phoneticPr fontId="7" type="noConversion"/>
  </si>
  <si>
    <t>실내건축,인테리어공사</t>
    <phoneticPr fontId="7" type="noConversion"/>
  </si>
  <si>
    <t>042)527-0995, 042)527-0996</t>
    <phoneticPr fontId="7" type="noConversion"/>
  </si>
  <si>
    <r>
      <rPr>
        <b/>
        <sz val="10"/>
        <color rgb="FF000000"/>
        <rFont val="LG스마트체 Regular"/>
        <family val="3"/>
        <charset val="129"/>
      </rPr>
      <t>▼낙찰율</t>
    </r>
    <phoneticPr fontId="9" type="noConversion"/>
  </si>
  <si>
    <r>
      <rPr>
        <b/>
        <sz val="10"/>
        <color rgb="FF000000"/>
        <rFont val="LG스마트체 Regular"/>
        <family val="3"/>
        <charset val="129"/>
      </rPr>
      <t>▶</t>
    </r>
    <r>
      <rPr>
        <b/>
        <sz val="10"/>
        <color rgb="FF000000"/>
        <rFont val="Arial"/>
        <family val="2"/>
      </rPr>
      <t xml:space="preserve"> </t>
    </r>
    <r>
      <rPr>
        <b/>
        <sz val="10"/>
        <color rgb="FF000000"/>
        <rFont val="LG스마트체 Regular"/>
        <family val="3"/>
        <charset val="129"/>
      </rPr>
      <t>표준</t>
    </r>
    <r>
      <rPr>
        <b/>
        <sz val="10"/>
        <color rgb="FF000000"/>
        <rFont val="Arial"/>
        <family val="2"/>
      </rPr>
      <t xml:space="preserve"> Code(</t>
    </r>
    <r>
      <rPr>
        <b/>
        <sz val="10"/>
        <color rgb="FF000000"/>
        <rFont val="LG스마트체 Regular"/>
        <family val="3"/>
        <charset val="129"/>
      </rPr>
      <t>표준단가</t>
    </r>
    <r>
      <rPr>
        <b/>
        <sz val="10"/>
        <color rgb="FF000000"/>
        <rFont val="Arial"/>
        <family val="2"/>
      </rPr>
      <t>/</t>
    </r>
    <r>
      <rPr>
        <b/>
        <sz val="10"/>
        <color rgb="FF000000"/>
        <rFont val="LG스마트체 Regular"/>
        <family val="3"/>
        <charset val="129"/>
      </rPr>
      <t>품셈</t>
    </r>
    <r>
      <rPr>
        <b/>
        <sz val="10"/>
        <color rgb="FF000000"/>
        <rFont val="Arial"/>
        <family val="2"/>
      </rPr>
      <t>/</t>
    </r>
    <r>
      <rPr>
        <b/>
        <sz val="10"/>
        <color rgb="FF000000"/>
        <rFont val="LG스마트체 Regular"/>
        <family val="3"/>
        <charset val="129"/>
      </rPr>
      <t>물정</t>
    </r>
    <r>
      <rPr>
        <b/>
        <sz val="10"/>
        <color rgb="FF000000"/>
        <rFont val="Arial"/>
        <family val="2"/>
      </rPr>
      <t>/</t>
    </r>
    <r>
      <rPr>
        <b/>
        <sz val="10"/>
        <color rgb="FF000000"/>
        <rFont val="LG스마트체 Regular"/>
        <family val="3"/>
        <charset val="129"/>
      </rPr>
      <t>노임</t>
    </r>
    <r>
      <rPr>
        <b/>
        <sz val="10"/>
        <color rgb="FF000000"/>
        <rFont val="Arial"/>
        <family val="2"/>
      </rPr>
      <t xml:space="preserve">) </t>
    </r>
    <r>
      <rPr>
        <b/>
        <sz val="10"/>
        <color rgb="FF000000"/>
        <rFont val="LG스마트체 Regular"/>
        <family val="3"/>
        <charset val="129"/>
      </rPr>
      <t>순서별</t>
    </r>
    <r>
      <rPr>
        <b/>
        <sz val="10"/>
        <color rgb="FF000000"/>
        <rFont val="Arial"/>
        <family val="2"/>
      </rPr>
      <t xml:space="preserve"> </t>
    </r>
    <r>
      <rPr>
        <b/>
        <sz val="10"/>
        <color rgb="FF000000"/>
        <rFont val="LG스마트체 Regular"/>
        <family val="3"/>
        <charset val="129"/>
      </rPr>
      <t>입력</t>
    </r>
    <r>
      <rPr>
        <b/>
        <sz val="10"/>
        <color rgb="FF000000"/>
        <rFont val="Arial"/>
        <family val="2"/>
      </rPr>
      <t xml:space="preserve">(Upload </t>
    </r>
    <r>
      <rPr>
        <b/>
        <sz val="10"/>
        <color rgb="FF000000"/>
        <rFont val="LG스마트체 Regular"/>
        <family val="3"/>
        <charset val="129"/>
      </rPr>
      <t>자동반영</t>
    </r>
    <r>
      <rPr>
        <b/>
        <sz val="10"/>
        <color rgb="FF000000"/>
        <rFont val="Arial"/>
        <family val="2"/>
      </rPr>
      <t>)</t>
    </r>
    <phoneticPr fontId="7" type="noConversion"/>
  </si>
  <si>
    <r>
      <rPr>
        <b/>
        <sz val="10"/>
        <color rgb="FF000000"/>
        <rFont val="LG스마트체 Regular"/>
        <family val="3"/>
        <charset val="129"/>
      </rPr>
      <t>주요내역</t>
    </r>
    <phoneticPr fontId="7" type="noConversion"/>
  </si>
  <si>
    <r>
      <rPr>
        <b/>
        <sz val="10"/>
        <color rgb="FF000000"/>
        <rFont val="LG스마트체 Regular"/>
        <family val="3"/>
        <charset val="129"/>
      </rPr>
      <t>단위</t>
    </r>
  </si>
  <si>
    <r>
      <rPr>
        <b/>
        <sz val="10"/>
        <color rgb="FF000000"/>
        <rFont val="LG스마트체 Regular"/>
        <family val="3"/>
        <charset val="129"/>
      </rPr>
      <t>수량</t>
    </r>
  </si>
  <si>
    <r>
      <rPr>
        <b/>
        <sz val="10"/>
        <color rgb="FF000000"/>
        <rFont val="LG스마트체 Regular"/>
        <family val="3"/>
        <charset val="129"/>
      </rPr>
      <t>재료비</t>
    </r>
    <phoneticPr fontId="9" type="noConversion"/>
  </si>
  <si>
    <r>
      <rPr>
        <b/>
        <sz val="10"/>
        <color rgb="FF000000"/>
        <rFont val="LG스마트체 Regular"/>
        <family val="3"/>
        <charset val="129"/>
      </rPr>
      <t>노무비</t>
    </r>
    <phoneticPr fontId="9" type="noConversion"/>
  </si>
  <si>
    <r>
      <rPr>
        <b/>
        <sz val="10"/>
        <color rgb="FF000000"/>
        <rFont val="LG스마트체 Regular"/>
        <family val="3"/>
        <charset val="129"/>
      </rPr>
      <t>기계경비</t>
    </r>
  </si>
  <si>
    <r>
      <rPr>
        <b/>
        <sz val="10"/>
        <color rgb="FF000000"/>
        <rFont val="LG스마트체 Regular"/>
        <family val="3"/>
        <charset val="129"/>
      </rPr>
      <t>기타경비</t>
    </r>
    <r>
      <rPr>
        <b/>
        <sz val="10"/>
        <color rgb="FF000000"/>
        <rFont val="Arial"/>
        <family val="2"/>
      </rPr>
      <t>(</t>
    </r>
    <r>
      <rPr>
        <b/>
        <sz val="10"/>
        <color rgb="FF000000"/>
        <rFont val="LG스마트체 Regular"/>
        <family val="3"/>
        <charset val="129"/>
      </rPr>
      <t>부자재비</t>
    </r>
    <r>
      <rPr>
        <b/>
        <sz val="10"/>
        <color rgb="FF000000"/>
        <rFont val="Arial"/>
        <family val="2"/>
      </rPr>
      <t>)</t>
    </r>
  </si>
  <si>
    <r>
      <rPr>
        <b/>
        <sz val="10"/>
        <color rgb="FF000000"/>
        <rFont val="LG스마트체 Regular"/>
        <family val="3"/>
        <charset val="129"/>
      </rPr>
      <t>합계</t>
    </r>
    <phoneticPr fontId="9" type="noConversion"/>
  </si>
  <si>
    <r>
      <rPr>
        <b/>
        <sz val="10"/>
        <color rgb="FF000000"/>
        <rFont val="LG스마트체 Regular"/>
        <family val="3"/>
        <charset val="129"/>
      </rPr>
      <t>노무비</t>
    </r>
    <r>
      <rPr>
        <b/>
        <sz val="10"/>
        <color rgb="FF000000"/>
        <rFont val="Arial"/>
        <family val="2"/>
      </rPr>
      <t xml:space="preserve"> </t>
    </r>
    <r>
      <rPr>
        <b/>
        <sz val="10"/>
        <color rgb="FF000000"/>
        <rFont val="LG스마트체 Regular"/>
        <family val="3"/>
        <charset val="129"/>
      </rPr>
      <t>할증</t>
    </r>
    <phoneticPr fontId="7" type="noConversion"/>
  </si>
  <si>
    <r>
      <rPr>
        <b/>
        <sz val="10"/>
        <color rgb="FF000000"/>
        <rFont val="LG스마트체 Regular"/>
        <family val="3"/>
        <charset val="129"/>
      </rPr>
      <t>합계</t>
    </r>
    <phoneticPr fontId="7" type="noConversion"/>
  </si>
  <si>
    <r>
      <rPr>
        <b/>
        <sz val="10"/>
        <color rgb="FF000000"/>
        <rFont val="LG스마트체 Regular"/>
        <family val="3"/>
        <charset val="129"/>
      </rPr>
      <t>표준단가</t>
    </r>
    <r>
      <rPr>
        <b/>
        <sz val="10"/>
        <color rgb="FF000000"/>
        <rFont val="Arial"/>
        <family val="2"/>
      </rPr>
      <t xml:space="preserve"> D</t>
    </r>
    <phoneticPr fontId="7" type="noConversion"/>
  </si>
  <si>
    <r>
      <rPr>
        <b/>
        <sz val="10"/>
        <color rgb="FF000000"/>
        <rFont val="LG스마트체 Regular"/>
        <family val="3"/>
        <charset val="129"/>
      </rPr>
      <t>표준품셈</t>
    </r>
    <r>
      <rPr>
        <b/>
        <sz val="10"/>
        <color rgb="FF000000"/>
        <rFont val="Arial"/>
        <family val="2"/>
      </rPr>
      <t xml:space="preserve"> E</t>
    </r>
    <phoneticPr fontId="7" type="noConversion"/>
  </si>
  <si>
    <r>
      <rPr>
        <b/>
        <sz val="10"/>
        <color rgb="FF000000"/>
        <rFont val="LG스마트체 Regular"/>
        <family val="3"/>
        <charset val="129"/>
      </rPr>
      <t>물가정보</t>
    </r>
    <r>
      <rPr>
        <b/>
        <sz val="10"/>
        <color rgb="FF000000"/>
        <rFont val="Arial"/>
        <family val="2"/>
      </rPr>
      <t xml:space="preserve"> M</t>
    </r>
    <phoneticPr fontId="7" type="noConversion"/>
  </si>
  <si>
    <r>
      <rPr>
        <b/>
        <sz val="10"/>
        <color rgb="FF000000"/>
        <rFont val="LG스마트체 Regular"/>
        <family val="3"/>
        <charset val="129"/>
      </rPr>
      <t>노임단가</t>
    </r>
    <r>
      <rPr>
        <b/>
        <sz val="10"/>
        <color rgb="FF000000"/>
        <rFont val="Arial"/>
        <family val="2"/>
      </rPr>
      <t xml:space="preserve"> L</t>
    </r>
    <phoneticPr fontId="7" type="noConversion"/>
  </si>
  <si>
    <r>
      <rPr>
        <b/>
        <sz val="10"/>
        <color rgb="FF000000"/>
        <rFont val="LG스마트체 Regular"/>
        <family val="3"/>
        <charset val="129"/>
      </rPr>
      <t>품목</t>
    </r>
    <phoneticPr fontId="7" type="noConversion"/>
  </si>
  <si>
    <r>
      <rPr>
        <b/>
        <sz val="10"/>
        <color rgb="FF000000"/>
        <rFont val="LG스마트체 Regular"/>
        <family val="3"/>
        <charset val="129"/>
      </rPr>
      <t>규격</t>
    </r>
    <phoneticPr fontId="7" type="noConversion"/>
  </si>
  <si>
    <r>
      <rPr>
        <b/>
        <sz val="10"/>
        <color rgb="FF000000"/>
        <rFont val="LG스마트체 Regular"/>
        <family val="3"/>
        <charset val="129"/>
      </rPr>
      <t>품셈</t>
    </r>
    <r>
      <rPr>
        <b/>
        <sz val="10"/>
        <color rgb="FF000000"/>
        <rFont val="Arial"/>
        <family val="2"/>
      </rPr>
      <t>/</t>
    </r>
    <r>
      <rPr>
        <b/>
        <sz val="10"/>
        <color rgb="FF000000"/>
        <rFont val="LG스마트체 Regular"/>
        <family val="3"/>
        <charset val="129"/>
      </rPr>
      <t>표단</t>
    </r>
    <phoneticPr fontId="7" type="noConversion"/>
  </si>
  <si>
    <r>
      <rPr>
        <b/>
        <sz val="10"/>
        <color rgb="FF000000"/>
        <rFont val="LG스마트체 Regular"/>
        <family val="3"/>
        <charset val="129"/>
      </rPr>
      <t>금액</t>
    </r>
  </si>
  <si>
    <r>
      <rPr>
        <b/>
        <sz val="10"/>
        <color rgb="FF000000"/>
        <rFont val="LG스마트체 Regular"/>
        <family val="3"/>
        <charset val="129"/>
      </rPr>
      <t>단가</t>
    </r>
    <phoneticPr fontId="9" type="noConversion"/>
  </si>
  <si>
    <r>
      <rPr>
        <b/>
        <sz val="10"/>
        <color rgb="FF000000"/>
        <rFont val="LG스마트체 Regular"/>
        <family val="3"/>
        <charset val="129"/>
      </rPr>
      <t>단가</t>
    </r>
  </si>
  <si>
    <t>2동 씽크대 상하부장 문짝교체</t>
    <phoneticPr fontId="7" type="noConversion"/>
  </si>
  <si>
    <t>전문업체 견적서 참조</t>
    <phoneticPr fontId="7" type="noConversion"/>
  </si>
  <si>
    <t>set</t>
    <phoneticPr fontId="7" type="noConversion"/>
  </si>
  <si>
    <t>D02339</t>
  </si>
  <si>
    <t>철근콘크리트조</t>
  </si>
  <si>
    <r>
      <rPr>
        <sz val="10"/>
        <color rgb="FF000000"/>
        <rFont val="맑은 고딕"/>
        <family val="3"/>
        <charset val="129"/>
      </rPr>
      <t>연면적</t>
    </r>
    <r>
      <rPr>
        <sz val="10"/>
        <color rgb="FF000000"/>
        <rFont val="Arial"/>
        <family val="2"/>
      </rPr>
      <t xml:space="preserve"> </t>
    </r>
    <r>
      <rPr>
        <sz val="10"/>
        <color rgb="FF000000"/>
        <rFont val="맑은 고딕"/>
        <family val="3"/>
        <charset val="129"/>
      </rPr>
      <t>㎡</t>
    </r>
  </si>
  <si>
    <r>
      <t xml:space="preserve">제 1호표  건축물 현장정리, </t>
    </r>
    <r>
      <rPr>
        <sz val="10"/>
        <color rgb="FFFF0000"/>
        <rFont val="Malgun Gothic"/>
        <family val="3"/>
        <charset val="129"/>
      </rPr>
      <t>폐기물 포함</t>
    </r>
    <phoneticPr fontId="7" type="noConversion"/>
  </si>
  <si>
    <t>영선, 건축</t>
    <phoneticPr fontId="7" type="noConversion"/>
  </si>
  <si>
    <t>2동 씽크대 상하부장 문짝교체</t>
    <phoneticPr fontId="7" type="noConversion"/>
  </si>
  <si>
    <t>전문업체 견적서 참조</t>
    <phoneticPr fontId="7" type="noConversion"/>
  </si>
  <si>
    <t>set</t>
    <phoneticPr fontId="7" type="noConversion"/>
  </si>
  <si>
    <t xml:space="preserve"> 공사명 : 사택 2-203 씽크대 상하부장 문짝 교체</t>
    <phoneticPr fontId="13" type="noConversion"/>
  </si>
  <si>
    <t xml:space="preserve"> 견적일 : 2025년  01월  06일</t>
    <phoneticPr fontId="13" type="noConversion"/>
  </si>
  <si>
    <t> (재료비+노무비)*3.11%</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</si>
</sst>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_(&quot;₩&quot;* #,##0_);_(&quot;₩&quot;* \(#,##0\);_(&quot;₩&quot;* &quot;-&quot;_);_(@_)"/>
    <numFmt numFmtId="177" formatCode="_(* #,##0_);_(* \(#,##0\);_(* &quot;-&quot;_);_(@_)"/>
    <numFmt numFmtId="178" formatCode="_ * #,##0_ ;_ * \-#,##0_ ;_ * &quot;-&quot;_ ;_ @_ "/>
    <numFmt numFmtId="179" formatCode="###,#00,000"/>
    <numFmt numFmtId="180" formatCode="_-* #,##0_-;&quot;₩&quot;\!\-* #,##0_-;_-* &quot;-&quot;_-;_-@_-"/>
    <numFmt numFmtId="181" formatCode="#"/>
    <numFmt numFmtId="182" formatCode="0.0%"/>
    <numFmt numFmtId="183" formatCode="_-* #,##0.0_-;\-* #,##0.0_-;_-* &quot;-&quot;_-;_-@_-"/>
    <numFmt numFmtId="184" formatCode="#,###,###,###"/>
    <numFmt numFmtId="185" formatCode="###,###,###,##0"/>
    <numFmt numFmtId="186" formatCode="0.0_ "/>
  </numFmts>
  <fonts count="42">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9"/>
      <color rgb="FF000000"/>
      <name val="Malgun Gothic"/>
      <family val="3"/>
      <charset val="129"/>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sz val="11"/>
      <name val="바탕체"/>
      <family val="1"/>
      <charset val="129"/>
    </font>
    <font>
      <sz val="8"/>
      <name val="바탕체"/>
      <family val="1"/>
      <charset val="129"/>
    </font>
    <font>
      <b/>
      <sz val="12"/>
      <color rgb="FF000000"/>
      <name val="LG스마트체 Regular"/>
      <family val="3"/>
      <charset val="129"/>
    </font>
    <font>
      <sz val="8"/>
      <name val="돋움"/>
      <family val="3"/>
      <charset val="129"/>
    </font>
    <font>
      <b/>
      <sz val="9"/>
      <color rgb="FF000000"/>
      <name val="Malgun Gothic"/>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Malgun Gothic"/>
      <family val="3"/>
      <charset val="129"/>
    </font>
    <font>
      <b/>
      <sz val="26"/>
      <color rgb="FF000000"/>
      <name val="LG스마트체 Regular"/>
      <family val="3"/>
      <charset val="129"/>
    </font>
    <font>
      <sz val="10"/>
      <color rgb="FF000000"/>
      <name val="LG스마트체 Regular"/>
      <family val="3"/>
      <charset val="129"/>
    </font>
    <font>
      <sz val="10"/>
      <color rgb="FF000000"/>
      <name val="맑은 고딕"/>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Arial"/>
      <family val="2"/>
    </font>
    <font>
      <sz val="10"/>
      <color rgb="FF000000"/>
      <name val="Arial"/>
      <family val="2"/>
    </font>
    <font>
      <b/>
      <sz val="10"/>
      <color rgb="FF000000"/>
      <name val="LG스마트체 Regular"/>
      <family val="3"/>
      <charset val="129"/>
    </font>
    <font>
      <sz val="10"/>
      <color rgb="FF000000"/>
      <name val="돋움"/>
      <family val="3"/>
      <charset val="129"/>
    </font>
    <font>
      <sz val="10"/>
      <color rgb="FF000000"/>
      <name val="맑은 고딕"/>
      <family val="3"/>
      <charset val="129"/>
      <scheme val="minor"/>
    </font>
    <font>
      <sz val="9"/>
      <color rgb="FF000000"/>
      <name val="Arial"/>
      <family val="2"/>
    </font>
    <font>
      <sz val="9"/>
      <color rgb="FF000000"/>
      <name val="돋움"/>
      <family val="3"/>
      <charset val="129"/>
    </font>
    <font>
      <sz val="12"/>
      <color rgb="FF000000"/>
      <name val="Arial"/>
      <family val="2"/>
    </font>
    <font>
      <b/>
      <sz val="12"/>
      <color rgb="FF000000"/>
      <name val="Arial"/>
      <family val="2"/>
    </font>
    <font>
      <sz val="11"/>
      <color rgb="FF000000"/>
      <name val="맑은 고딕"/>
      <family val="2"/>
      <scheme val="minor"/>
    </font>
    <font>
      <sz val="10"/>
      <color rgb="FF000000"/>
      <name val="맑은 고딕"/>
      <family val="2"/>
      <scheme val="minor"/>
    </font>
    <font>
      <sz val="10"/>
      <color rgb="FFFF0000"/>
      <name val="Malgun Gothic"/>
      <family val="3"/>
      <charset val="129"/>
    </font>
    <font>
      <b/>
      <sz val="11"/>
      <color theme="1"/>
      <name val="맑은 고딕"/>
      <family val="3"/>
      <charset val="129"/>
      <scheme val="minor"/>
    </font>
    <font>
      <sz val="12"/>
      <color rgb="FFFF0000"/>
      <name val="LG스마트체 Regular"/>
      <family val="3"/>
      <charset val="129"/>
    </font>
  </fonts>
  <fills count="11">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rgb="FFFFFF00"/>
        <bgColor indexed="64"/>
      </patternFill>
    </fill>
  </fills>
  <borders count="35">
    <border>
      <left/>
      <right/>
      <top/>
      <bottom/>
      <diagonal/>
    </border>
    <border>
      <left style="thin">
        <color rgb="FFDCDBDA"/>
      </left>
      <right style="thin">
        <color rgb="FFDCDBDA"/>
      </right>
      <top style="thin">
        <color rgb="FFDCDBDA"/>
      </top>
      <bottom style="thin">
        <color rgb="FFDCDBDA"/>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right style="medium">
        <color theme="0" tint="-0.24994659260841701"/>
      </right>
      <top style="thin">
        <color theme="0" tint="-0.24994659260841701"/>
      </top>
      <bottom style="medium">
        <color theme="0" tint="-0.24994659260841701"/>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right style="thin">
        <color rgb="FFDCDBDA"/>
      </right>
      <top style="thin">
        <color rgb="FFDCDBDA"/>
      </top>
      <bottom style="thin">
        <color rgb="FFDCDBDA"/>
      </bottom>
      <diagonal/>
    </border>
    <border>
      <left/>
      <right style="thin">
        <color rgb="FFDCDBDA"/>
      </right>
      <top style="thin">
        <color rgb="FFDCDBDA"/>
      </top>
      <bottom/>
      <diagonal/>
    </border>
  </borders>
  <cellStyleXfs count="20">
    <xf numFmtId="0" fontId="0" fillId="0" borderId="0">
      <alignment vertical="center"/>
    </xf>
    <xf numFmtId="177" fontId="8" fillId="0" borderId="0" applyFont="0" applyFill="0" applyBorder="0" applyAlignment="0" applyProtection="0">
      <alignment vertical="center"/>
    </xf>
    <xf numFmtId="9" fontId="8" fillId="0" borderId="0" applyFont="0" applyFill="0" applyBorder="0" applyAlignment="0" applyProtection="0">
      <alignment vertical="center"/>
    </xf>
    <xf numFmtId="0" fontId="10" fillId="0" borderId="0"/>
    <xf numFmtId="177" fontId="5" fillId="0" borderId="0" applyFont="0" applyFill="0" applyBorder="0" applyAlignment="0" applyProtection="0">
      <alignment vertical="center"/>
    </xf>
    <xf numFmtId="178" fontId="11" fillId="0" borderId="0" applyFont="0" applyFill="0" applyBorder="0" applyAlignment="0" applyProtection="0"/>
    <xf numFmtId="0" fontId="12" fillId="0" borderId="0"/>
    <xf numFmtId="180" fontId="12" fillId="0" borderId="0" applyFont="0" applyFill="0" applyBorder="0" applyAlignment="0" applyProtection="0"/>
    <xf numFmtId="0" fontId="5" fillId="0" borderId="0">
      <alignment vertical="center"/>
    </xf>
    <xf numFmtId="9" fontId="11" fillId="0" borderId="0" applyFont="0" applyFill="0" applyBorder="0" applyAlignment="0" applyProtection="0"/>
    <xf numFmtId="0" fontId="10" fillId="0" borderId="0"/>
    <xf numFmtId="0" fontId="20" fillId="0" borderId="0"/>
    <xf numFmtId="176" fontId="20" fillId="0" borderId="0" applyFont="0" applyFill="0" applyBorder="0" applyAlignment="0" applyProtection="0"/>
    <xf numFmtId="177" fontId="20" fillId="0" borderId="0" applyFont="0" applyFill="0" applyBorder="0" applyAlignment="0" applyProtection="0">
      <alignment vertical="center"/>
    </xf>
    <xf numFmtId="0" fontId="4" fillId="0" borderId="0">
      <alignment vertical="center"/>
    </xf>
    <xf numFmtId="0" fontId="3" fillId="0" borderId="0">
      <alignment vertical="center"/>
    </xf>
    <xf numFmtId="177" fontId="3" fillId="0" borderId="0" applyFont="0" applyFill="0" applyBorder="0" applyAlignment="0" applyProtection="0">
      <alignment vertical="center"/>
    </xf>
    <xf numFmtId="0" fontId="2" fillId="0" borderId="0">
      <alignment vertical="center"/>
    </xf>
    <xf numFmtId="177" fontId="2" fillId="0" borderId="0" applyFont="0" applyFill="0" applyBorder="0" applyAlignment="0" applyProtection="0">
      <alignment vertical="center"/>
    </xf>
    <xf numFmtId="0" fontId="1" fillId="0" borderId="0">
      <alignment vertical="center"/>
    </xf>
  </cellStyleXfs>
  <cellXfs count="143">
    <xf numFmtId="0" fontId="0" fillId="0" borderId="0" xfId="0">
      <alignment vertical="center"/>
    </xf>
    <xf numFmtId="49" fontId="6" fillId="2" borderId="1" xfId="0" applyNumberFormat="1" applyFont="1" applyFill="1" applyBorder="1" applyAlignment="1">
      <alignment horizontal="center" vertical="center" wrapText="1"/>
    </xf>
    <xf numFmtId="0" fontId="14" fillId="0" borderId="7" xfId="6" applyFont="1" applyBorder="1" applyAlignment="1">
      <alignment horizontal="right" vertical="center"/>
    </xf>
    <xf numFmtId="49" fontId="16" fillId="2" borderId="0" xfId="0" applyNumberFormat="1" applyFont="1" applyFill="1" applyAlignment="1">
      <alignment horizontal="center" vertical="center" wrapText="1"/>
    </xf>
    <xf numFmtId="49" fontId="6" fillId="2" borderId="33" xfId="0" applyNumberFormat="1" applyFont="1" applyFill="1" applyBorder="1" applyAlignment="1">
      <alignment horizontal="center" vertical="center" wrapText="1"/>
    </xf>
    <xf numFmtId="49" fontId="21" fillId="7" borderId="3" xfId="0" applyNumberFormat="1" applyFont="1" applyFill="1" applyBorder="1" applyAlignment="1">
      <alignment horizontal="center" vertical="center" wrapText="1"/>
    </xf>
    <xf numFmtId="185" fontId="6" fillId="5" borderId="3" xfId="0" applyNumberFormat="1" applyFont="1" applyFill="1" applyBorder="1" applyAlignment="1">
      <alignment horizontal="right" vertical="center" wrapText="1"/>
    </xf>
    <xf numFmtId="0" fontId="22" fillId="0" borderId="0" xfId="6" applyFont="1" applyAlignment="1">
      <alignment vertical="center"/>
    </xf>
    <xf numFmtId="0" fontId="23" fillId="0" borderId="0" xfId="3" applyFont="1"/>
    <xf numFmtId="0" fontId="24" fillId="0" borderId="0" xfId="3" applyFont="1"/>
    <xf numFmtId="0" fontId="25" fillId="0" borderId="0" xfId="6" applyFont="1" applyAlignment="1">
      <alignment vertical="center"/>
    </xf>
    <xf numFmtId="0" fontId="14" fillId="0" borderId="4" xfId="6" applyFont="1" applyBorder="1" applyAlignment="1">
      <alignment vertical="center"/>
    </xf>
    <xf numFmtId="0" fontId="25" fillId="0" borderId="5" xfId="6" applyFont="1" applyBorder="1" applyAlignment="1">
      <alignment horizontal="center" vertical="center"/>
    </xf>
    <xf numFmtId="0" fontId="14" fillId="0" borderId="6" xfId="6" applyFont="1" applyBorder="1" applyAlignment="1">
      <alignment horizontal="right" vertical="center"/>
    </xf>
    <xf numFmtId="0" fontId="14" fillId="5" borderId="25" xfId="6" applyFont="1" applyFill="1" applyBorder="1" applyAlignment="1">
      <alignment horizontal="center" vertical="center"/>
    </xf>
    <xf numFmtId="0" fontId="14" fillId="5" borderId="26" xfId="6" applyFont="1" applyFill="1" applyBorder="1" applyAlignment="1">
      <alignment vertical="center" shrinkToFit="1"/>
    </xf>
    <xf numFmtId="0" fontId="14" fillId="5" borderId="2" xfId="6" applyFont="1" applyFill="1" applyBorder="1" applyAlignment="1">
      <alignment horizontal="center" vertical="center"/>
    </xf>
    <xf numFmtId="0" fontId="14" fillId="5" borderId="27" xfId="6" applyFont="1" applyFill="1" applyBorder="1" applyAlignment="1">
      <alignment vertical="center" shrinkToFit="1"/>
    </xf>
    <xf numFmtId="0" fontId="26" fillId="0" borderId="0" xfId="6" applyFont="1" applyAlignment="1">
      <alignment vertical="center" shrinkToFit="1"/>
    </xf>
    <xf numFmtId="0" fontId="14" fillId="5" borderId="2" xfId="6" applyFont="1" applyFill="1" applyBorder="1" applyAlignment="1">
      <alignment horizontal="center" vertical="center" shrinkToFit="1"/>
    </xf>
    <xf numFmtId="0" fontId="14" fillId="0" borderId="2" xfId="6" applyFont="1" applyBorder="1" applyAlignment="1">
      <alignment horizontal="center" vertical="center"/>
    </xf>
    <xf numFmtId="0" fontId="14" fillId="0" borderId="27" xfId="6" applyFont="1" applyBorder="1" applyAlignment="1">
      <alignment vertical="center"/>
    </xf>
    <xf numFmtId="0" fontId="25" fillId="0" borderId="0" xfId="6" applyFont="1" applyAlignment="1">
      <alignment horizontal="center" vertical="center" shrinkToFit="1"/>
    </xf>
    <xf numFmtId="0" fontId="14" fillId="0" borderId="28" xfId="6" applyFont="1" applyBorder="1" applyAlignment="1">
      <alignment horizontal="center" vertical="center" shrinkToFit="1"/>
    </xf>
    <xf numFmtId="0" fontId="14" fillId="0" borderId="29" xfId="6" applyFont="1" applyBorder="1" applyAlignment="1">
      <alignment vertical="center" shrinkToFit="1"/>
    </xf>
    <xf numFmtId="0" fontId="26" fillId="0" borderId="7" xfId="6" applyFont="1" applyBorder="1" applyAlignment="1">
      <alignment vertical="center"/>
    </xf>
    <xf numFmtId="179" fontId="25" fillId="0" borderId="7" xfId="6" applyNumberFormat="1" applyFont="1" applyBorder="1" applyAlignment="1">
      <alignment vertical="center"/>
    </xf>
    <xf numFmtId="0" fontId="25" fillId="0" borderId="0" xfId="6" applyFont="1" applyAlignment="1">
      <alignment vertical="center" shrinkToFit="1"/>
    </xf>
    <xf numFmtId="0" fontId="14" fillId="0" borderId="8" xfId="6" applyFont="1" applyBorder="1" applyAlignment="1">
      <alignment horizontal="center" vertical="center"/>
    </xf>
    <xf numFmtId="0" fontId="14" fillId="0" borderId="9" xfId="6" applyFont="1" applyBorder="1" applyAlignment="1">
      <alignment horizontal="center" vertical="center"/>
    </xf>
    <xf numFmtId="0" fontId="14" fillId="0" borderId="10" xfId="6" applyFont="1" applyBorder="1" applyAlignment="1">
      <alignment horizontal="center" vertical="center"/>
    </xf>
    <xf numFmtId="0" fontId="27" fillId="0" borderId="11" xfId="6" applyFont="1" applyBorder="1" applyAlignment="1">
      <alignment horizontal="center" vertical="center"/>
    </xf>
    <xf numFmtId="0" fontId="14" fillId="0" borderId="12" xfId="6" applyFont="1" applyBorder="1" applyAlignment="1">
      <alignment vertical="center"/>
    </xf>
    <xf numFmtId="0" fontId="27" fillId="0" borderId="12" xfId="6" applyFont="1" applyBorder="1" applyAlignment="1">
      <alignment vertical="center"/>
    </xf>
    <xf numFmtId="1" fontId="27" fillId="0" borderId="12" xfId="6" applyNumberFormat="1" applyFont="1" applyBorder="1" applyAlignment="1">
      <alignment horizontal="center" vertical="center"/>
    </xf>
    <xf numFmtId="180" fontId="27" fillId="0" borderId="12" xfId="7" applyFont="1" applyBorder="1" applyAlignment="1">
      <alignment horizontal="right" vertical="center"/>
    </xf>
    <xf numFmtId="0" fontId="27" fillId="0" borderId="13" xfId="6" applyFont="1" applyBorder="1" applyAlignment="1">
      <alignment vertical="center"/>
    </xf>
    <xf numFmtId="0" fontId="27" fillId="0" borderId="14" xfId="6" applyFont="1" applyBorder="1" applyAlignment="1">
      <alignment horizontal="center" vertical="center"/>
    </xf>
    <xf numFmtId="0" fontId="27" fillId="0" borderId="15" xfId="6" applyFont="1" applyBorder="1" applyAlignment="1">
      <alignment horizontal="center" vertical="center"/>
    </xf>
    <xf numFmtId="0" fontId="27" fillId="0" borderId="15" xfId="3" applyFont="1" applyBorder="1" applyAlignment="1">
      <alignment horizontal="center" vertical="center"/>
    </xf>
    <xf numFmtId="1" fontId="27" fillId="0" borderId="15" xfId="6" applyNumberFormat="1" applyFont="1" applyBorder="1" applyAlignment="1">
      <alignment horizontal="center" vertical="center"/>
    </xf>
    <xf numFmtId="180" fontId="27" fillId="0" borderId="15" xfId="7" applyFont="1" applyBorder="1" applyAlignment="1">
      <alignment horizontal="right" vertical="center"/>
    </xf>
    <xf numFmtId="0" fontId="27" fillId="0" borderId="16" xfId="6" quotePrefix="1" applyFont="1" applyBorder="1" applyAlignment="1">
      <alignment vertical="center"/>
    </xf>
    <xf numFmtId="0" fontId="27" fillId="0" borderId="16" xfId="6" applyFont="1" applyBorder="1" applyAlignment="1">
      <alignment vertical="center"/>
    </xf>
    <xf numFmtId="0" fontId="14" fillId="8" borderId="15" xfId="6" applyFont="1" applyFill="1" applyBorder="1" applyAlignment="1">
      <alignment vertical="center"/>
    </xf>
    <xf numFmtId="1" fontId="14" fillId="8" borderId="15" xfId="6" applyNumberFormat="1" applyFont="1" applyFill="1" applyBorder="1" applyAlignment="1">
      <alignment horizontal="center" vertical="center"/>
    </xf>
    <xf numFmtId="180" fontId="14" fillId="8" borderId="15" xfId="7" applyFont="1" applyFill="1" applyBorder="1" applyAlignment="1">
      <alignment horizontal="right" vertical="center"/>
    </xf>
    <xf numFmtId="0" fontId="14" fillId="0" borderId="15" xfId="6" applyFont="1" applyBorder="1" applyAlignment="1">
      <alignment vertical="center"/>
    </xf>
    <xf numFmtId="0" fontId="27" fillId="0" borderId="15" xfId="6" applyFont="1" applyBorder="1" applyAlignment="1">
      <alignment vertical="center"/>
    </xf>
    <xf numFmtId="180" fontId="14" fillId="0" borderId="15" xfId="7" applyFont="1" applyFill="1" applyBorder="1" applyAlignment="1">
      <alignment horizontal="right" vertical="center"/>
    </xf>
    <xf numFmtId="0" fontId="27" fillId="0" borderId="15" xfId="8" applyFont="1" applyBorder="1" applyAlignment="1">
      <alignment horizontal="center" vertical="center"/>
    </xf>
    <xf numFmtId="178" fontId="27" fillId="0" borderId="15" xfId="5" applyFont="1" applyFill="1" applyBorder="1" applyAlignment="1">
      <alignment horizontal="right" vertical="center"/>
    </xf>
    <xf numFmtId="0" fontId="27" fillId="5" borderId="15" xfId="8" applyFont="1" applyFill="1" applyBorder="1" applyAlignment="1">
      <alignment horizontal="center" vertical="center"/>
    </xf>
    <xf numFmtId="0" fontId="27" fillId="5" borderId="15" xfId="6" applyFont="1" applyFill="1" applyBorder="1" applyAlignment="1">
      <alignment vertical="center"/>
    </xf>
    <xf numFmtId="0" fontId="27" fillId="5" borderId="15" xfId="6" applyFont="1" applyFill="1" applyBorder="1" applyAlignment="1">
      <alignment horizontal="center" vertical="center"/>
    </xf>
    <xf numFmtId="178" fontId="27" fillId="5" borderId="15" xfId="5" applyFont="1" applyFill="1" applyBorder="1" applyAlignment="1">
      <alignment horizontal="right" vertical="center"/>
    </xf>
    <xf numFmtId="0" fontId="27" fillId="5" borderId="16" xfId="6" applyFont="1" applyFill="1" applyBorder="1" applyAlignment="1">
      <alignment vertical="center"/>
    </xf>
    <xf numFmtId="0" fontId="27" fillId="0" borderId="15" xfId="3" applyFont="1" applyBorder="1" applyAlignment="1">
      <alignment horizontal="left" vertical="center"/>
    </xf>
    <xf numFmtId="9" fontId="14" fillId="8" borderId="15" xfId="3" applyNumberFormat="1" applyFont="1" applyFill="1" applyBorder="1" applyAlignment="1">
      <alignment horizontal="right" vertical="center"/>
    </xf>
    <xf numFmtId="1" fontId="14" fillId="8" borderId="15" xfId="9" applyNumberFormat="1" applyFont="1" applyFill="1" applyBorder="1" applyAlignment="1">
      <alignment horizontal="center" vertical="center"/>
    </xf>
    <xf numFmtId="177" fontId="14" fillId="8" borderId="15" xfId="7" applyNumberFormat="1" applyFont="1" applyFill="1" applyBorder="1" applyAlignment="1">
      <alignment horizontal="right" vertical="center"/>
    </xf>
    <xf numFmtId="9" fontId="27" fillId="0" borderId="15" xfId="3" applyNumberFormat="1" applyFont="1" applyBorder="1" applyAlignment="1">
      <alignment horizontal="right" vertical="center"/>
    </xf>
    <xf numFmtId="1" fontId="27" fillId="0" borderId="15" xfId="9" applyNumberFormat="1" applyFont="1" applyFill="1" applyBorder="1" applyAlignment="1">
      <alignment horizontal="center" vertical="center"/>
    </xf>
    <xf numFmtId="177" fontId="14" fillId="0" borderId="15" xfId="7" applyNumberFormat="1" applyFont="1" applyFill="1" applyBorder="1" applyAlignment="1">
      <alignment horizontal="right" vertical="center"/>
    </xf>
    <xf numFmtId="0" fontId="27" fillId="0" borderId="15" xfId="3" applyFont="1" applyBorder="1" applyAlignment="1">
      <alignment vertical="center"/>
    </xf>
    <xf numFmtId="180" fontId="27" fillId="5" borderId="15" xfId="7" applyFont="1" applyFill="1" applyBorder="1" applyAlignment="1">
      <alignment horizontal="right" vertical="center"/>
    </xf>
    <xf numFmtId="180" fontId="14" fillId="8" borderId="0" xfId="3" applyNumberFormat="1" applyFont="1" applyFill="1" applyAlignment="1">
      <alignment vertical="center"/>
    </xf>
    <xf numFmtId="0" fontId="14" fillId="0" borderId="17" xfId="6" applyFont="1" applyBorder="1" applyAlignment="1">
      <alignment horizontal="center" vertical="center" textRotation="255"/>
    </xf>
    <xf numFmtId="0" fontId="14" fillId="0" borderId="18" xfId="6" applyFont="1" applyBorder="1" applyAlignment="1">
      <alignment vertical="top"/>
    </xf>
    <xf numFmtId="0" fontId="27" fillId="0" borderId="19" xfId="6" applyFont="1" applyBorder="1" applyAlignment="1">
      <alignment vertical="center"/>
    </xf>
    <xf numFmtId="0" fontId="27" fillId="0" borderId="19" xfId="6" applyFont="1" applyBorder="1" applyAlignment="1">
      <alignment horizontal="right" vertical="center"/>
    </xf>
    <xf numFmtId="0" fontId="27" fillId="0" borderId="20" xfId="6" applyFont="1" applyBorder="1" applyAlignment="1">
      <alignment vertical="center"/>
    </xf>
    <xf numFmtId="0" fontId="14" fillId="0" borderId="0" xfId="10" applyFont="1"/>
    <xf numFmtId="0" fontId="28" fillId="0" borderId="0" xfId="0" applyFont="1" applyAlignment="1">
      <alignment horizontal="center" vertical="center"/>
    </xf>
    <xf numFmtId="0" fontId="29" fillId="0" borderId="0" xfId="0" applyFont="1">
      <alignment vertical="center"/>
    </xf>
    <xf numFmtId="0" fontId="29" fillId="0" borderId="0" xfId="0" applyFont="1" applyAlignment="1">
      <alignment horizontal="center" vertical="center"/>
    </xf>
    <xf numFmtId="9" fontId="28" fillId="0" borderId="0" xfId="0" applyNumberFormat="1" applyFont="1" applyAlignment="1">
      <alignment horizontal="center" vertical="center"/>
    </xf>
    <xf numFmtId="182" fontId="28" fillId="3" borderId="0" xfId="2" applyNumberFormat="1" applyFont="1" applyFill="1" applyAlignment="1">
      <alignment horizontal="center" vertical="center"/>
    </xf>
    <xf numFmtId="0" fontId="28" fillId="9" borderId="24" xfId="0" applyFont="1" applyFill="1" applyBorder="1">
      <alignment vertical="center"/>
    </xf>
    <xf numFmtId="0" fontId="28" fillId="9" borderId="21" xfId="0" applyFont="1" applyFill="1" applyBorder="1">
      <alignment vertical="center"/>
    </xf>
    <xf numFmtId="0" fontId="28" fillId="4" borderId="22" xfId="0" applyFont="1" applyFill="1" applyBorder="1" applyAlignment="1">
      <alignment horizontal="center" vertical="center"/>
    </xf>
    <xf numFmtId="0" fontId="28" fillId="4" borderId="6" xfId="0" applyFont="1" applyFill="1" applyBorder="1" applyAlignment="1">
      <alignment horizontal="center" vertical="center"/>
    </xf>
    <xf numFmtId="0" fontId="28" fillId="7" borderId="3" xfId="0" applyFont="1" applyFill="1" applyBorder="1" applyAlignment="1">
      <alignment horizontal="center" vertical="center"/>
    </xf>
    <xf numFmtId="0" fontId="28" fillId="4" borderId="3" xfId="3" applyFont="1" applyFill="1" applyBorder="1" applyAlignment="1">
      <alignment horizontal="center" vertical="center"/>
    </xf>
    <xf numFmtId="177" fontId="28" fillId="4" borderId="3" xfId="4" applyFont="1" applyFill="1" applyBorder="1" applyAlignment="1">
      <alignment horizontal="center" vertical="center"/>
    </xf>
    <xf numFmtId="178" fontId="28" fillId="4" borderId="3" xfId="5" applyFont="1" applyFill="1" applyBorder="1" applyAlignment="1">
      <alignment horizontal="center" vertical="center"/>
    </xf>
    <xf numFmtId="0" fontId="29" fillId="6" borderId="22" xfId="0" applyFont="1" applyFill="1" applyBorder="1" applyAlignment="1">
      <alignment horizontal="center" vertical="center"/>
    </xf>
    <xf numFmtId="0" fontId="29" fillId="6" borderId="6" xfId="0" applyFont="1" applyFill="1" applyBorder="1" applyAlignment="1">
      <alignment horizontal="center" vertical="center"/>
    </xf>
    <xf numFmtId="0" fontId="29" fillId="7" borderId="3" xfId="0" applyFont="1" applyFill="1" applyBorder="1" applyAlignment="1">
      <alignment horizontal="center" vertical="center"/>
    </xf>
    <xf numFmtId="0" fontId="32" fillId="7" borderId="3" xfId="0" applyFont="1" applyFill="1" applyBorder="1" applyAlignment="1">
      <alignment horizontal="center" vertical="center"/>
    </xf>
    <xf numFmtId="49" fontId="21" fillId="5" borderId="3" xfId="0" applyNumberFormat="1" applyFont="1" applyFill="1" applyBorder="1" applyAlignment="1">
      <alignment horizontal="center" vertical="center" wrapText="1"/>
    </xf>
    <xf numFmtId="0" fontId="29" fillId="0" borderId="3" xfId="0" applyFont="1" applyBorder="1">
      <alignment vertical="center"/>
    </xf>
    <xf numFmtId="177" fontId="29" fillId="6" borderId="3" xfId="1" applyFont="1" applyFill="1" applyBorder="1" applyAlignment="1">
      <alignment horizontal="center" vertical="center" wrapText="1"/>
    </xf>
    <xf numFmtId="177" fontId="29" fillId="0" borderId="3" xfId="1" applyFont="1" applyFill="1" applyBorder="1" applyAlignment="1">
      <alignment horizontal="center" vertical="center" wrapText="1"/>
    </xf>
    <xf numFmtId="183" fontId="29" fillId="5" borderId="3" xfId="1" applyNumberFormat="1" applyFont="1" applyFill="1" applyBorder="1" applyAlignment="1">
      <alignment horizontal="center" vertical="center"/>
    </xf>
    <xf numFmtId="0" fontId="33" fillId="0" borderId="23" xfId="0" applyFont="1" applyBorder="1" applyAlignment="1">
      <alignment horizontal="center" vertical="center"/>
    </xf>
    <xf numFmtId="0" fontId="33" fillId="0" borderId="0" xfId="0" applyFont="1">
      <alignment vertical="center"/>
    </xf>
    <xf numFmtId="0" fontId="29" fillId="5" borderId="3" xfId="0" applyFont="1" applyFill="1" applyBorder="1">
      <alignment vertical="center"/>
    </xf>
    <xf numFmtId="49" fontId="29" fillId="7" borderId="3" xfId="0" applyNumberFormat="1" applyFont="1" applyFill="1" applyBorder="1" applyAlignment="1">
      <alignment horizontal="center" vertical="center" wrapText="1"/>
    </xf>
    <xf numFmtId="184" fontId="21" fillId="5" borderId="3" xfId="0" applyNumberFormat="1" applyFont="1" applyFill="1" applyBorder="1" applyAlignment="1">
      <alignment horizontal="right" vertical="center" wrapText="1"/>
    </xf>
    <xf numFmtId="183" fontId="33" fillId="0" borderId="3" xfId="1" applyNumberFormat="1" applyFont="1" applyFill="1" applyBorder="1" applyAlignment="1">
      <alignment horizontal="center" vertical="center"/>
    </xf>
    <xf numFmtId="0" fontId="33" fillId="0" borderId="3" xfId="3" applyFont="1" applyBorder="1" applyAlignment="1">
      <alignment horizontal="left" vertical="center" shrinkToFit="1"/>
    </xf>
    <xf numFmtId="0" fontId="34" fillId="0" borderId="3" xfId="3" applyFont="1" applyBorder="1" applyAlignment="1">
      <alignment horizontal="center" vertical="center"/>
    </xf>
    <xf numFmtId="9" fontId="33" fillId="0" borderId="3" xfId="0" applyNumberFormat="1" applyFont="1" applyBorder="1" applyAlignment="1">
      <alignment horizontal="center" vertical="center"/>
    </xf>
    <xf numFmtId="0" fontId="35" fillId="10" borderId="0" xfId="0" applyFont="1" applyFill="1">
      <alignment vertical="center"/>
    </xf>
    <xf numFmtId="0" fontId="35" fillId="0" borderId="0" xfId="0" applyFont="1">
      <alignment vertical="center"/>
    </xf>
    <xf numFmtId="177" fontId="36" fillId="10" borderId="0" xfId="0" applyNumberFormat="1" applyFont="1" applyFill="1">
      <alignment vertical="center"/>
    </xf>
    <xf numFmtId="0" fontId="36" fillId="0" borderId="0" xfId="0" applyFont="1">
      <alignment vertical="center"/>
    </xf>
    <xf numFmtId="177" fontId="36" fillId="0" borderId="0" xfId="0" applyNumberFormat="1" applyFont="1">
      <alignment vertical="center"/>
    </xf>
    <xf numFmtId="0" fontId="35" fillId="0" borderId="0" xfId="0" applyFont="1" applyAlignment="1">
      <alignment horizontal="center" vertical="center"/>
    </xf>
    <xf numFmtId="0" fontId="28" fillId="5" borderId="0" xfId="0" applyFont="1" applyFill="1">
      <alignment vertical="center"/>
    </xf>
    <xf numFmtId="177" fontId="29" fillId="0" borderId="0" xfId="0" applyNumberFormat="1" applyFont="1">
      <alignment vertical="center"/>
    </xf>
    <xf numFmtId="0" fontId="37" fillId="0" borderId="0" xfId="0" applyFont="1">
      <alignment vertical="center"/>
    </xf>
    <xf numFmtId="181" fontId="25" fillId="7" borderId="1" xfId="1" applyNumberFormat="1" applyFont="1" applyFill="1" applyBorder="1" applyAlignment="1">
      <alignment horizontal="center" vertical="center"/>
    </xf>
    <xf numFmtId="181" fontId="25" fillId="0" borderId="1" xfId="1" applyNumberFormat="1" applyFont="1" applyBorder="1" applyAlignment="1">
      <alignment horizontal="center" vertical="center"/>
    </xf>
    <xf numFmtId="181" fontId="25" fillId="0" borderId="0" xfId="1" applyNumberFormat="1" applyFont="1" applyAlignment="1">
      <alignment horizontal="center" vertical="center"/>
    </xf>
    <xf numFmtId="177" fontId="29" fillId="5" borderId="3" xfId="1" applyFont="1" applyFill="1" applyBorder="1" applyAlignment="1">
      <alignment horizontal="center" vertical="center"/>
    </xf>
    <xf numFmtId="0" fontId="1" fillId="0" borderId="0" xfId="19">
      <alignment vertical="center"/>
    </xf>
    <xf numFmtId="0" fontId="40" fillId="0" borderId="0" xfId="19" applyFont="1">
      <alignment vertical="center"/>
    </xf>
    <xf numFmtId="0" fontId="1" fillId="0" borderId="0" xfId="19" applyAlignment="1">
      <alignment horizontal="center" vertical="center"/>
    </xf>
    <xf numFmtId="0" fontId="38" fillId="0" borderId="0" xfId="0" applyFont="1" applyAlignment="1">
      <alignment horizontal="center" vertical="center"/>
    </xf>
    <xf numFmtId="49" fontId="6" fillId="2" borderId="34" xfId="0" applyNumberFormat="1" applyFont="1" applyFill="1" applyBorder="1" applyAlignment="1">
      <alignment horizontal="center" vertical="center" wrapText="1"/>
    </xf>
    <xf numFmtId="186" fontId="37" fillId="0" borderId="0" xfId="0" applyNumberFormat="1" applyFont="1">
      <alignment vertical="center"/>
    </xf>
    <xf numFmtId="0" fontId="37" fillId="0" borderId="0" xfId="0" applyFont="1" applyAlignment="1">
      <alignment horizontal="center" vertical="center"/>
    </xf>
    <xf numFmtId="0" fontId="41" fillId="0" borderId="15" xfId="3" applyFont="1" applyBorder="1" applyAlignment="1">
      <alignment horizontal="left" vertical="center"/>
    </xf>
    <xf numFmtId="178" fontId="41" fillId="0" borderId="15" xfId="5" applyFont="1" applyFill="1" applyBorder="1" applyAlignment="1">
      <alignment horizontal="right" vertical="center"/>
    </xf>
    <xf numFmtId="0" fontId="22" fillId="0" borderId="0" xfId="6" applyFont="1" applyAlignment="1">
      <alignment horizontal="center" vertical="center"/>
    </xf>
    <xf numFmtId="0" fontId="26" fillId="0" borderId="0" xfId="6" applyFont="1" applyAlignment="1">
      <alignment vertical="center"/>
    </xf>
    <xf numFmtId="0" fontId="25" fillId="0" borderId="0" xfId="6" applyFont="1" applyAlignment="1">
      <alignment vertical="center"/>
    </xf>
    <xf numFmtId="0" fontId="14" fillId="0" borderId="4" xfId="6" applyFont="1" applyBorder="1" applyAlignment="1">
      <alignment vertical="center"/>
    </xf>
    <xf numFmtId="0" fontId="14" fillId="0" borderId="5" xfId="6" applyFont="1" applyBorder="1" applyAlignment="1">
      <alignment vertical="center"/>
    </xf>
    <xf numFmtId="0" fontId="14" fillId="0" borderId="6" xfId="6" applyFont="1" applyBorder="1" applyAlignment="1">
      <alignment vertical="center"/>
    </xf>
    <xf numFmtId="0" fontId="28" fillId="0" borderId="0" xfId="0" applyFont="1" applyAlignment="1">
      <alignment horizontal="center" vertical="center"/>
    </xf>
    <xf numFmtId="0" fontId="31" fillId="0" borderId="31" xfId="0" applyFont="1" applyBorder="1" applyAlignment="1">
      <alignment horizontal="center" vertical="center"/>
    </xf>
    <xf numFmtId="0" fontId="29" fillId="0" borderId="32" xfId="0" applyFont="1" applyBorder="1" applyAlignment="1">
      <alignment horizontal="center" vertical="center"/>
    </xf>
    <xf numFmtId="0" fontId="28" fillId="9" borderId="30" xfId="0" applyFont="1" applyFill="1" applyBorder="1" applyAlignment="1">
      <alignment horizontal="center" vertical="center"/>
    </xf>
    <xf numFmtId="0" fontId="28" fillId="9" borderId="4" xfId="0" applyFont="1" applyFill="1" applyBorder="1" applyAlignment="1">
      <alignment horizontal="center" vertical="center"/>
    </xf>
    <xf numFmtId="177" fontId="28" fillId="4" borderId="21" xfId="4" applyFont="1" applyFill="1" applyBorder="1" applyAlignment="1">
      <alignment horizontal="center" vertical="center"/>
    </xf>
    <xf numFmtId="178" fontId="28" fillId="4" borderId="21" xfId="5" applyFont="1" applyFill="1" applyBorder="1" applyAlignment="1">
      <alignment horizontal="center" vertical="center"/>
    </xf>
    <xf numFmtId="0" fontId="28" fillId="4" borderId="21" xfId="0" applyFont="1" applyFill="1" applyBorder="1" applyAlignment="1">
      <alignment horizontal="center" vertical="center"/>
    </xf>
    <xf numFmtId="0" fontId="28" fillId="4" borderId="3" xfId="0" applyFont="1" applyFill="1" applyBorder="1" applyAlignment="1">
      <alignment horizontal="center" vertical="center"/>
    </xf>
    <xf numFmtId="0" fontId="28" fillId="4" borderId="21" xfId="3" applyFont="1" applyFill="1" applyBorder="1" applyAlignment="1">
      <alignment horizontal="center" vertical="center"/>
    </xf>
    <xf numFmtId="0" fontId="28" fillId="4" borderId="3" xfId="3" applyFont="1" applyFill="1" applyBorder="1" applyAlignment="1">
      <alignment horizontal="center" vertical="center"/>
    </xf>
  </cellXfs>
  <cellStyles count="20">
    <cellStyle name="백분율" xfId="2" builtinId="5"/>
    <cellStyle name="백분율 2 64" xfId="9" xr:uid="{00000000-0005-0000-0000-000001000000}"/>
    <cellStyle name="쉼표 [0]" xfId="1" builtinId="6"/>
    <cellStyle name="쉼표 [0] 17" xfId="5" xr:uid="{00000000-0005-0000-0000-000003000000}"/>
    <cellStyle name="쉼표 [0] 2" xfId="4" xr:uid="{00000000-0005-0000-0000-000004000000}"/>
    <cellStyle name="쉼표 [0] 2 2" xfId="18" xr:uid="{9DE5560C-89D3-4234-A527-EA49B53D4971}"/>
    <cellStyle name="쉼표 [0] 2 2 29" xfId="13" xr:uid="{00000000-0005-0000-0000-000005000000}"/>
    <cellStyle name="쉼표 [0] 3" xfId="16" xr:uid="{8F7BE219-40E1-4BBB-A9BD-02188B74B2A3}"/>
    <cellStyle name="쉼표 [0]_봉강빌딩신축공사" xfId="7" xr:uid="{00000000-0005-0000-0000-000006000000}"/>
    <cellStyle name="통화 [0] 2 2" xfId="12" xr:uid="{00000000-0005-0000-0000-000007000000}"/>
    <cellStyle name="표준" xfId="0" builtinId="0"/>
    <cellStyle name="표준 10 10 2" xfId="3" xr:uid="{00000000-0005-0000-0000-000009000000}"/>
    <cellStyle name="표준 10 31" xfId="11" xr:uid="{00000000-0005-0000-0000-00000A000000}"/>
    <cellStyle name="표준 2" xfId="8" xr:uid="{00000000-0005-0000-0000-00000B000000}"/>
    <cellStyle name="표준 2 10 5" xfId="10" xr:uid="{00000000-0005-0000-0000-00000C000000}"/>
    <cellStyle name="표준 3" xfId="14" xr:uid="{00000000-0005-0000-0000-00000D000000}"/>
    <cellStyle name="표준 4" xfId="15" xr:uid="{08D43F33-5EF4-4FAF-B422-8A71947BBD29}"/>
    <cellStyle name="표준 5" xfId="17" xr:uid="{B39ACF8E-5B1E-4331-957C-34579729CB23}"/>
    <cellStyle name="표준 5 2" xfId="19" xr:uid="{4F030649-8CC0-4CE1-BD4A-B2012A676EE5}"/>
    <cellStyle name="표준_봉강빌딩신축공사" xfId="6" xr:uid="{00000000-0005-0000-0000-00000E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3295650</xdr:colOff>
      <xdr:row>8</xdr:row>
      <xdr:rowOff>200025</xdr:rowOff>
    </xdr:from>
    <xdr:to>
      <xdr:col>5</xdr:col>
      <xdr:colOff>3943350</xdr:colOff>
      <xdr:row>11</xdr:row>
      <xdr:rowOff>66675</xdr:rowOff>
    </xdr:to>
    <xdr:pic>
      <xdr:nvPicPr>
        <xdr:cNvPr id="2" name="Picture 6" descr="도장">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209800"/>
          <a:ext cx="0" cy="6096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3" name="Picture 1" descr="세원도장">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3547"/>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 name="Picture 6" descr="도장">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209800"/>
          <a:ext cx="0" cy="6096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5" name="Picture 1" descr="세원도장">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3547"/>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6" name="Picture 6" descr="도장">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4310" y="257746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 name="Picture 6" descr="도장">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4310" y="257746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 name="Picture 6" descr="도장">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4310" y="257746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 name="Picture 6" descr="도장">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4310" y="257746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8" name="Picture 6" descr="도장">
          <a:extLst>
            <a:ext uri="{FF2B5EF4-FFF2-40B4-BE49-F238E27FC236}">
              <a16:creationId xmlns:a16="http://schemas.microsoft.com/office/drawing/2014/main" id="{58F3E340-E599-46BE-9E8C-FA96064F773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11" name="Picture 1" descr="세원도장">
          <a:extLst>
            <a:ext uri="{FF2B5EF4-FFF2-40B4-BE49-F238E27FC236}">
              <a16:creationId xmlns:a16="http://schemas.microsoft.com/office/drawing/2014/main" id="{BFD26053-C86C-454F-BAAE-C22BD44A948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2" name="Picture 6" descr="도장">
          <a:extLst>
            <a:ext uri="{FF2B5EF4-FFF2-40B4-BE49-F238E27FC236}">
              <a16:creationId xmlns:a16="http://schemas.microsoft.com/office/drawing/2014/main" id="{EB347FB3-564D-4B15-9EBC-B07BC58EB8F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13" name="Picture 1" descr="세원도장">
          <a:extLst>
            <a:ext uri="{FF2B5EF4-FFF2-40B4-BE49-F238E27FC236}">
              <a16:creationId xmlns:a16="http://schemas.microsoft.com/office/drawing/2014/main" id="{B0ACC25C-A4C6-482A-80E1-3B27B1DCEC0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14" name="Picture 1" descr="세원도장">
          <a:extLst>
            <a:ext uri="{FF2B5EF4-FFF2-40B4-BE49-F238E27FC236}">
              <a16:creationId xmlns:a16="http://schemas.microsoft.com/office/drawing/2014/main" id="{9FD6EC32-C5A1-471A-BA27-6604E11610D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15" name="Picture 1" descr="세원도장">
          <a:extLst>
            <a:ext uri="{FF2B5EF4-FFF2-40B4-BE49-F238E27FC236}">
              <a16:creationId xmlns:a16="http://schemas.microsoft.com/office/drawing/2014/main" id="{C025AE9D-6D75-4C0B-8D39-B52F57D41BD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16" name="Picture 1" descr="세원도장">
          <a:extLst>
            <a:ext uri="{FF2B5EF4-FFF2-40B4-BE49-F238E27FC236}">
              <a16:creationId xmlns:a16="http://schemas.microsoft.com/office/drawing/2014/main" id="{3DB1C1D3-5E0E-48D9-8440-A0F82211753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17" name="Picture 1" descr="세원도장">
          <a:extLst>
            <a:ext uri="{FF2B5EF4-FFF2-40B4-BE49-F238E27FC236}">
              <a16:creationId xmlns:a16="http://schemas.microsoft.com/office/drawing/2014/main" id="{4725828D-394F-41BF-B914-794E488910B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8" name="Picture 1" descr="세원도장">
          <a:extLst>
            <a:ext uri="{FF2B5EF4-FFF2-40B4-BE49-F238E27FC236}">
              <a16:creationId xmlns:a16="http://schemas.microsoft.com/office/drawing/2014/main" id="{89DC7C37-23EB-42F3-AFCB-BCC68DE4464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9" name="Picture 1" descr="세원도장">
          <a:extLst>
            <a:ext uri="{FF2B5EF4-FFF2-40B4-BE49-F238E27FC236}">
              <a16:creationId xmlns:a16="http://schemas.microsoft.com/office/drawing/2014/main" id="{E44C58A3-246E-4D32-B978-6FBC162FC53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20" name="Picture 1" descr="세원도장">
          <a:extLst>
            <a:ext uri="{FF2B5EF4-FFF2-40B4-BE49-F238E27FC236}">
              <a16:creationId xmlns:a16="http://schemas.microsoft.com/office/drawing/2014/main" id="{5EE48E27-9484-4AF6-BAF4-E237DD04B58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21" name="Picture 1" descr="세원도장">
          <a:extLst>
            <a:ext uri="{FF2B5EF4-FFF2-40B4-BE49-F238E27FC236}">
              <a16:creationId xmlns:a16="http://schemas.microsoft.com/office/drawing/2014/main" id="{D7569884-D0FA-4298-A9F7-2F8EA325869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22" name="Picture 1" descr="세원도장">
          <a:extLst>
            <a:ext uri="{FF2B5EF4-FFF2-40B4-BE49-F238E27FC236}">
              <a16:creationId xmlns:a16="http://schemas.microsoft.com/office/drawing/2014/main" id="{D6D71E39-AE40-4897-B67E-4DC47E051E1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23" name="Picture 1" descr="세원도장">
          <a:extLst>
            <a:ext uri="{FF2B5EF4-FFF2-40B4-BE49-F238E27FC236}">
              <a16:creationId xmlns:a16="http://schemas.microsoft.com/office/drawing/2014/main" id="{8A6A7AA3-8F11-4252-A916-4910E00B3A9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24" name="Picture 1" descr="세원도장">
          <a:extLst>
            <a:ext uri="{FF2B5EF4-FFF2-40B4-BE49-F238E27FC236}">
              <a16:creationId xmlns:a16="http://schemas.microsoft.com/office/drawing/2014/main" id="{954762A1-D062-42BE-BB04-A042C39AA48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25" name="Picture 1" descr="세원도장">
          <a:extLst>
            <a:ext uri="{FF2B5EF4-FFF2-40B4-BE49-F238E27FC236}">
              <a16:creationId xmlns:a16="http://schemas.microsoft.com/office/drawing/2014/main" id="{DB13B384-02D2-4A89-BABB-F0AAAE9DE18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26" name="Picture 1" descr="세원도장">
          <a:extLst>
            <a:ext uri="{FF2B5EF4-FFF2-40B4-BE49-F238E27FC236}">
              <a16:creationId xmlns:a16="http://schemas.microsoft.com/office/drawing/2014/main" id="{58266D4E-D6D1-41BA-8021-F45C27F1BFF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27" name="Picture 1" descr="세원도장">
          <a:extLst>
            <a:ext uri="{FF2B5EF4-FFF2-40B4-BE49-F238E27FC236}">
              <a16:creationId xmlns:a16="http://schemas.microsoft.com/office/drawing/2014/main" id="{9EF17E01-878E-45A1-8E21-32C0F89110C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28" name="Picture 1" descr="세원도장">
          <a:extLst>
            <a:ext uri="{FF2B5EF4-FFF2-40B4-BE49-F238E27FC236}">
              <a16:creationId xmlns:a16="http://schemas.microsoft.com/office/drawing/2014/main" id="{6E2D99E9-30AE-4708-B321-B4EE6083CDF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29" name="Picture 1" descr="세원도장">
          <a:extLst>
            <a:ext uri="{FF2B5EF4-FFF2-40B4-BE49-F238E27FC236}">
              <a16:creationId xmlns:a16="http://schemas.microsoft.com/office/drawing/2014/main" id="{1DE30400-F6C4-433B-9528-AB2FF1C77E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30" name="Picture 1" descr="세원도장">
          <a:extLst>
            <a:ext uri="{FF2B5EF4-FFF2-40B4-BE49-F238E27FC236}">
              <a16:creationId xmlns:a16="http://schemas.microsoft.com/office/drawing/2014/main" id="{64B389D0-D427-4BE4-ADEC-297FE3946D4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31" name="Picture 1" descr="세원도장">
          <a:extLst>
            <a:ext uri="{FF2B5EF4-FFF2-40B4-BE49-F238E27FC236}">
              <a16:creationId xmlns:a16="http://schemas.microsoft.com/office/drawing/2014/main" id="{DAB75B71-B2B3-4422-985B-372E94B0257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32" name="Picture 1" descr="세원도장">
          <a:extLst>
            <a:ext uri="{FF2B5EF4-FFF2-40B4-BE49-F238E27FC236}">
              <a16:creationId xmlns:a16="http://schemas.microsoft.com/office/drawing/2014/main" id="{D0B769DC-8325-403A-921F-393C1FC8276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33" name="Picture 1" descr="세원도장">
          <a:extLst>
            <a:ext uri="{FF2B5EF4-FFF2-40B4-BE49-F238E27FC236}">
              <a16:creationId xmlns:a16="http://schemas.microsoft.com/office/drawing/2014/main" id="{8BF8F784-9BCC-4B37-8359-D7EA98F30BA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34" name="Picture 1" descr="세원도장">
          <a:extLst>
            <a:ext uri="{FF2B5EF4-FFF2-40B4-BE49-F238E27FC236}">
              <a16:creationId xmlns:a16="http://schemas.microsoft.com/office/drawing/2014/main" id="{30C40510-27D0-4954-853C-90BAB02D0E0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35" name="Picture 1" descr="세원도장">
          <a:extLst>
            <a:ext uri="{FF2B5EF4-FFF2-40B4-BE49-F238E27FC236}">
              <a16:creationId xmlns:a16="http://schemas.microsoft.com/office/drawing/2014/main" id="{F2CF8535-B92B-4423-8225-AF99190B162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6" name="Picture 6" descr="도장">
          <a:extLst>
            <a:ext uri="{FF2B5EF4-FFF2-40B4-BE49-F238E27FC236}">
              <a16:creationId xmlns:a16="http://schemas.microsoft.com/office/drawing/2014/main" id="{36E5D8DF-282B-4AFB-9369-75E391C1309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136025</xdr:rowOff>
    </xdr:to>
    <xdr:pic>
      <xdr:nvPicPr>
        <xdr:cNvPr id="37" name="Picture 1" descr="세원도장">
          <a:extLst>
            <a:ext uri="{FF2B5EF4-FFF2-40B4-BE49-F238E27FC236}">
              <a16:creationId xmlns:a16="http://schemas.microsoft.com/office/drawing/2014/main" id="{E832764B-732E-4A88-A739-BDD2449AF83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8104"/>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8" name="Picture 6" descr="도장">
          <a:extLst>
            <a:ext uri="{FF2B5EF4-FFF2-40B4-BE49-F238E27FC236}">
              <a16:creationId xmlns:a16="http://schemas.microsoft.com/office/drawing/2014/main" id="{B87FA265-8E5E-480B-A3F2-69DC37F170B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136025</xdr:rowOff>
    </xdr:to>
    <xdr:pic>
      <xdr:nvPicPr>
        <xdr:cNvPr id="39" name="Picture 1" descr="세원도장">
          <a:extLst>
            <a:ext uri="{FF2B5EF4-FFF2-40B4-BE49-F238E27FC236}">
              <a16:creationId xmlns:a16="http://schemas.microsoft.com/office/drawing/2014/main" id="{F6C26153-CD90-476A-BFCA-A3CE30B1131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8104"/>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0" name="Picture 6" descr="도장">
          <a:extLst>
            <a:ext uri="{FF2B5EF4-FFF2-40B4-BE49-F238E27FC236}">
              <a16:creationId xmlns:a16="http://schemas.microsoft.com/office/drawing/2014/main" id="{0D360081-209A-49ED-9C8F-91B0D451282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1" name="Picture 6" descr="도장">
          <a:extLst>
            <a:ext uri="{FF2B5EF4-FFF2-40B4-BE49-F238E27FC236}">
              <a16:creationId xmlns:a16="http://schemas.microsoft.com/office/drawing/2014/main" id="{8A8E1C8F-C925-41E1-A4A6-29679FB5315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2" name="Picture 6" descr="도장">
          <a:extLst>
            <a:ext uri="{FF2B5EF4-FFF2-40B4-BE49-F238E27FC236}">
              <a16:creationId xmlns:a16="http://schemas.microsoft.com/office/drawing/2014/main" id="{0364B22F-A0B2-409E-AB28-C930DBFEBE1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3" name="Picture 6" descr="도장">
          <a:extLst>
            <a:ext uri="{FF2B5EF4-FFF2-40B4-BE49-F238E27FC236}">
              <a16:creationId xmlns:a16="http://schemas.microsoft.com/office/drawing/2014/main" id="{8AC2503E-024C-44E1-90FD-DDCBC3EFAE4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4" name="Picture 6" descr="도장">
          <a:extLst>
            <a:ext uri="{FF2B5EF4-FFF2-40B4-BE49-F238E27FC236}">
              <a16:creationId xmlns:a16="http://schemas.microsoft.com/office/drawing/2014/main" id="{9C10EB2C-6EA8-45BD-A0BC-9C5BC48AAB0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45" name="Picture 1" descr="세원도장">
          <a:extLst>
            <a:ext uri="{FF2B5EF4-FFF2-40B4-BE49-F238E27FC236}">
              <a16:creationId xmlns:a16="http://schemas.microsoft.com/office/drawing/2014/main" id="{00D1DDBB-AD45-4E44-BF68-CE1EA1EAD23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6" name="Picture 6" descr="도장">
          <a:extLst>
            <a:ext uri="{FF2B5EF4-FFF2-40B4-BE49-F238E27FC236}">
              <a16:creationId xmlns:a16="http://schemas.microsoft.com/office/drawing/2014/main" id="{34472790-6475-47E3-A06A-262CE3FE2DD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47" name="Picture 1" descr="세원도장">
          <a:extLst>
            <a:ext uri="{FF2B5EF4-FFF2-40B4-BE49-F238E27FC236}">
              <a16:creationId xmlns:a16="http://schemas.microsoft.com/office/drawing/2014/main" id="{4F6FB9E9-4CC3-4C5E-91AC-6EB7792C1E6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48" name="Picture 1" descr="세원도장">
          <a:extLst>
            <a:ext uri="{FF2B5EF4-FFF2-40B4-BE49-F238E27FC236}">
              <a16:creationId xmlns:a16="http://schemas.microsoft.com/office/drawing/2014/main" id="{202516F6-3335-4CF7-B049-55CEBD9EC0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49" name="Picture 1" descr="세원도장">
          <a:extLst>
            <a:ext uri="{FF2B5EF4-FFF2-40B4-BE49-F238E27FC236}">
              <a16:creationId xmlns:a16="http://schemas.microsoft.com/office/drawing/2014/main" id="{B1093FD1-2980-41D3-859A-6CE645BE2AC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50" name="Picture 1" descr="세원도장">
          <a:extLst>
            <a:ext uri="{FF2B5EF4-FFF2-40B4-BE49-F238E27FC236}">
              <a16:creationId xmlns:a16="http://schemas.microsoft.com/office/drawing/2014/main" id="{D9592157-FDD7-4C21-B4B9-44337520B58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51" name="Picture 1" descr="세원도장">
          <a:extLst>
            <a:ext uri="{FF2B5EF4-FFF2-40B4-BE49-F238E27FC236}">
              <a16:creationId xmlns:a16="http://schemas.microsoft.com/office/drawing/2014/main" id="{DBFF5F32-7AEA-4009-8317-4C62DE94701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2" name="Picture 1" descr="세원도장">
          <a:extLst>
            <a:ext uri="{FF2B5EF4-FFF2-40B4-BE49-F238E27FC236}">
              <a16:creationId xmlns:a16="http://schemas.microsoft.com/office/drawing/2014/main" id="{426F5045-B9EA-479F-BF55-BCA67396732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3" name="Picture 1" descr="세원도장">
          <a:extLst>
            <a:ext uri="{FF2B5EF4-FFF2-40B4-BE49-F238E27FC236}">
              <a16:creationId xmlns:a16="http://schemas.microsoft.com/office/drawing/2014/main" id="{98FDE52D-2CEE-40AC-9D40-20E6EC116C0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54" name="Picture 1" descr="세원도장">
          <a:extLst>
            <a:ext uri="{FF2B5EF4-FFF2-40B4-BE49-F238E27FC236}">
              <a16:creationId xmlns:a16="http://schemas.microsoft.com/office/drawing/2014/main" id="{58905083-0D49-41C2-A6E8-3CC0EE50625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55" name="Picture 1" descr="세원도장">
          <a:extLst>
            <a:ext uri="{FF2B5EF4-FFF2-40B4-BE49-F238E27FC236}">
              <a16:creationId xmlns:a16="http://schemas.microsoft.com/office/drawing/2014/main" id="{79925FA0-10EF-4738-8560-FD0B4ED00B9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56" name="Picture 1" descr="세원도장">
          <a:extLst>
            <a:ext uri="{FF2B5EF4-FFF2-40B4-BE49-F238E27FC236}">
              <a16:creationId xmlns:a16="http://schemas.microsoft.com/office/drawing/2014/main" id="{B45AF68E-E086-4275-BD9B-1D362E532A1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57" name="Picture 1" descr="세원도장">
          <a:extLst>
            <a:ext uri="{FF2B5EF4-FFF2-40B4-BE49-F238E27FC236}">
              <a16:creationId xmlns:a16="http://schemas.microsoft.com/office/drawing/2014/main" id="{91C30C8D-412A-4320-B790-2152646DF4F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58" name="Picture 1" descr="세원도장">
          <a:extLst>
            <a:ext uri="{FF2B5EF4-FFF2-40B4-BE49-F238E27FC236}">
              <a16:creationId xmlns:a16="http://schemas.microsoft.com/office/drawing/2014/main" id="{58FF05B5-A94B-4155-87A2-7BF77EF1D85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59" name="Picture 1" descr="세원도장">
          <a:extLst>
            <a:ext uri="{FF2B5EF4-FFF2-40B4-BE49-F238E27FC236}">
              <a16:creationId xmlns:a16="http://schemas.microsoft.com/office/drawing/2014/main" id="{425971EC-1351-4861-A73F-FA984FD1E65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60" name="Picture 1" descr="세원도장">
          <a:extLst>
            <a:ext uri="{FF2B5EF4-FFF2-40B4-BE49-F238E27FC236}">
              <a16:creationId xmlns:a16="http://schemas.microsoft.com/office/drawing/2014/main" id="{F1C4241F-0E15-4217-B984-EC6D2A29457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61" name="Picture 1" descr="세원도장">
          <a:extLst>
            <a:ext uri="{FF2B5EF4-FFF2-40B4-BE49-F238E27FC236}">
              <a16:creationId xmlns:a16="http://schemas.microsoft.com/office/drawing/2014/main" id="{52DD8E77-DCD7-49D1-A6D5-C06F5F353D1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62" name="Picture 1" descr="세원도장">
          <a:extLst>
            <a:ext uri="{FF2B5EF4-FFF2-40B4-BE49-F238E27FC236}">
              <a16:creationId xmlns:a16="http://schemas.microsoft.com/office/drawing/2014/main" id="{3DAF327B-D985-4425-96E1-9E4AA6233C6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63" name="Picture 1" descr="세원도장">
          <a:extLst>
            <a:ext uri="{FF2B5EF4-FFF2-40B4-BE49-F238E27FC236}">
              <a16:creationId xmlns:a16="http://schemas.microsoft.com/office/drawing/2014/main" id="{10F7F231-286B-4162-87FC-B7BB3D1DBCF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64" name="Picture 1" descr="세원도장">
          <a:extLst>
            <a:ext uri="{FF2B5EF4-FFF2-40B4-BE49-F238E27FC236}">
              <a16:creationId xmlns:a16="http://schemas.microsoft.com/office/drawing/2014/main" id="{7803E51A-39CE-41C6-A305-B48BABE81F8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65" name="Picture 1" descr="세원도장">
          <a:extLst>
            <a:ext uri="{FF2B5EF4-FFF2-40B4-BE49-F238E27FC236}">
              <a16:creationId xmlns:a16="http://schemas.microsoft.com/office/drawing/2014/main" id="{D0C929EA-52BE-4E0C-A70D-81EA999F305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66" name="Picture 1" descr="세원도장">
          <a:extLst>
            <a:ext uri="{FF2B5EF4-FFF2-40B4-BE49-F238E27FC236}">
              <a16:creationId xmlns:a16="http://schemas.microsoft.com/office/drawing/2014/main" id="{588B6B4C-D21F-4952-B8D8-8932F5650F5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67" name="Picture 1" descr="세원도장">
          <a:extLst>
            <a:ext uri="{FF2B5EF4-FFF2-40B4-BE49-F238E27FC236}">
              <a16:creationId xmlns:a16="http://schemas.microsoft.com/office/drawing/2014/main" id="{A420B6B8-D29B-4A92-B6A3-DADFE6E1337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68" name="Picture 1" descr="세원도장">
          <a:extLst>
            <a:ext uri="{FF2B5EF4-FFF2-40B4-BE49-F238E27FC236}">
              <a16:creationId xmlns:a16="http://schemas.microsoft.com/office/drawing/2014/main" id="{4B1ED88C-D99A-47D5-B35D-0F4C5D6E3B6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69" name="Picture 1" descr="세원도장">
          <a:extLst>
            <a:ext uri="{FF2B5EF4-FFF2-40B4-BE49-F238E27FC236}">
              <a16:creationId xmlns:a16="http://schemas.microsoft.com/office/drawing/2014/main" id="{CF05C864-8446-40E4-AB30-895CDA17745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0" name="Picture 6" descr="도장">
          <a:extLst>
            <a:ext uri="{FF2B5EF4-FFF2-40B4-BE49-F238E27FC236}">
              <a16:creationId xmlns:a16="http://schemas.microsoft.com/office/drawing/2014/main" id="{963B62DC-E534-43FD-B562-4E35C9E74D7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71" name="Picture 1" descr="세원도장">
          <a:extLst>
            <a:ext uri="{FF2B5EF4-FFF2-40B4-BE49-F238E27FC236}">
              <a16:creationId xmlns:a16="http://schemas.microsoft.com/office/drawing/2014/main" id="{0468753B-EC5D-4D2C-9EF5-52BB0BBE5F0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2" name="Picture 6" descr="도장">
          <a:extLst>
            <a:ext uri="{FF2B5EF4-FFF2-40B4-BE49-F238E27FC236}">
              <a16:creationId xmlns:a16="http://schemas.microsoft.com/office/drawing/2014/main" id="{14FA63F9-4DF2-4FE3-94B6-8EB84EC36E0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73" name="Picture 1" descr="세원도장">
          <a:extLst>
            <a:ext uri="{FF2B5EF4-FFF2-40B4-BE49-F238E27FC236}">
              <a16:creationId xmlns:a16="http://schemas.microsoft.com/office/drawing/2014/main" id="{EC991305-C3CA-4EF4-AAFD-DCE38C5A294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74" name="Picture 1" descr="세원도장">
          <a:extLst>
            <a:ext uri="{FF2B5EF4-FFF2-40B4-BE49-F238E27FC236}">
              <a16:creationId xmlns:a16="http://schemas.microsoft.com/office/drawing/2014/main" id="{9D85CB60-7F15-4C6F-A4AD-0030B9FD272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75" name="Picture 1" descr="세원도장">
          <a:extLst>
            <a:ext uri="{FF2B5EF4-FFF2-40B4-BE49-F238E27FC236}">
              <a16:creationId xmlns:a16="http://schemas.microsoft.com/office/drawing/2014/main" id="{6C046020-B4D4-4BE8-8FD4-A910DA1FAA3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76" name="Picture 1" descr="세원도장">
          <a:extLst>
            <a:ext uri="{FF2B5EF4-FFF2-40B4-BE49-F238E27FC236}">
              <a16:creationId xmlns:a16="http://schemas.microsoft.com/office/drawing/2014/main" id="{6DCDEEA6-4AF0-4679-AFB8-3C453398047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77" name="Picture 1" descr="세원도장">
          <a:extLst>
            <a:ext uri="{FF2B5EF4-FFF2-40B4-BE49-F238E27FC236}">
              <a16:creationId xmlns:a16="http://schemas.microsoft.com/office/drawing/2014/main" id="{C1C9DBCD-9DAA-44CA-8689-E7770167D24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8" name="Picture 1" descr="세원도장">
          <a:extLst>
            <a:ext uri="{FF2B5EF4-FFF2-40B4-BE49-F238E27FC236}">
              <a16:creationId xmlns:a16="http://schemas.microsoft.com/office/drawing/2014/main" id="{04572688-08B2-481B-B684-A6908302E5D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9" name="Picture 1" descr="세원도장">
          <a:extLst>
            <a:ext uri="{FF2B5EF4-FFF2-40B4-BE49-F238E27FC236}">
              <a16:creationId xmlns:a16="http://schemas.microsoft.com/office/drawing/2014/main" id="{57B85ECD-AB2E-4AA2-80CF-F7028EC590F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80" name="Picture 1" descr="세원도장">
          <a:extLst>
            <a:ext uri="{FF2B5EF4-FFF2-40B4-BE49-F238E27FC236}">
              <a16:creationId xmlns:a16="http://schemas.microsoft.com/office/drawing/2014/main" id="{1E85B33F-E4FC-4FAF-BD59-7F18615926F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81" name="Picture 1" descr="세원도장">
          <a:extLst>
            <a:ext uri="{FF2B5EF4-FFF2-40B4-BE49-F238E27FC236}">
              <a16:creationId xmlns:a16="http://schemas.microsoft.com/office/drawing/2014/main" id="{324C4B55-4A51-4DCE-BCB5-DDF388E5976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82" name="Picture 1" descr="세원도장">
          <a:extLst>
            <a:ext uri="{FF2B5EF4-FFF2-40B4-BE49-F238E27FC236}">
              <a16:creationId xmlns:a16="http://schemas.microsoft.com/office/drawing/2014/main" id="{DCC4F479-45BA-4CFC-ABA5-A83BBA1F808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83" name="Picture 1" descr="세원도장">
          <a:extLst>
            <a:ext uri="{FF2B5EF4-FFF2-40B4-BE49-F238E27FC236}">
              <a16:creationId xmlns:a16="http://schemas.microsoft.com/office/drawing/2014/main" id="{CD8D305C-EC69-4858-AB70-8170AA56395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84" name="Picture 1" descr="세원도장">
          <a:extLst>
            <a:ext uri="{FF2B5EF4-FFF2-40B4-BE49-F238E27FC236}">
              <a16:creationId xmlns:a16="http://schemas.microsoft.com/office/drawing/2014/main" id="{22DDF8EE-3E26-4171-8732-AE556380F92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85" name="Picture 1" descr="세원도장">
          <a:extLst>
            <a:ext uri="{FF2B5EF4-FFF2-40B4-BE49-F238E27FC236}">
              <a16:creationId xmlns:a16="http://schemas.microsoft.com/office/drawing/2014/main" id="{E2AB7C2F-EFAC-4C58-B6D0-022A8CD7081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86" name="Picture 1" descr="세원도장">
          <a:extLst>
            <a:ext uri="{FF2B5EF4-FFF2-40B4-BE49-F238E27FC236}">
              <a16:creationId xmlns:a16="http://schemas.microsoft.com/office/drawing/2014/main" id="{F9397D94-93A3-49E6-A208-D673C3A4797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87" name="Picture 1" descr="세원도장">
          <a:extLst>
            <a:ext uri="{FF2B5EF4-FFF2-40B4-BE49-F238E27FC236}">
              <a16:creationId xmlns:a16="http://schemas.microsoft.com/office/drawing/2014/main" id="{8123E8B4-A1DE-4C47-B4E2-67FF23B253A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88" name="Picture 1" descr="세원도장">
          <a:extLst>
            <a:ext uri="{FF2B5EF4-FFF2-40B4-BE49-F238E27FC236}">
              <a16:creationId xmlns:a16="http://schemas.microsoft.com/office/drawing/2014/main" id="{8F924FED-9869-466F-AF6E-62E735A37DC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89" name="Picture 1" descr="세원도장">
          <a:extLst>
            <a:ext uri="{FF2B5EF4-FFF2-40B4-BE49-F238E27FC236}">
              <a16:creationId xmlns:a16="http://schemas.microsoft.com/office/drawing/2014/main" id="{4A5B6436-7E66-4C2E-B005-A061C82323A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90" name="Picture 1" descr="세원도장">
          <a:extLst>
            <a:ext uri="{FF2B5EF4-FFF2-40B4-BE49-F238E27FC236}">
              <a16:creationId xmlns:a16="http://schemas.microsoft.com/office/drawing/2014/main" id="{40ADFC0D-539D-49E3-BD30-F692CAFC025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91" name="Picture 1" descr="세원도장">
          <a:extLst>
            <a:ext uri="{FF2B5EF4-FFF2-40B4-BE49-F238E27FC236}">
              <a16:creationId xmlns:a16="http://schemas.microsoft.com/office/drawing/2014/main" id="{2EE42A78-B3C9-4E0A-B2D7-70E93A0E268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92" name="Picture 1" descr="세원도장">
          <a:extLst>
            <a:ext uri="{FF2B5EF4-FFF2-40B4-BE49-F238E27FC236}">
              <a16:creationId xmlns:a16="http://schemas.microsoft.com/office/drawing/2014/main" id="{EE7FC3C8-4E3C-4927-89D8-FBF418AF946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93" name="Picture 1" descr="세원도장">
          <a:extLst>
            <a:ext uri="{FF2B5EF4-FFF2-40B4-BE49-F238E27FC236}">
              <a16:creationId xmlns:a16="http://schemas.microsoft.com/office/drawing/2014/main" id="{6295CE8B-20A5-440D-8D7F-79E4810B502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94" name="Picture 1" descr="세원도장">
          <a:extLst>
            <a:ext uri="{FF2B5EF4-FFF2-40B4-BE49-F238E27FC236}">
              <a16:creationId xmlns:a16="http://schemas.microsoft.com/office/drawing/2014/main" id="{36ABFAC6-BB4F-462B-ACD3-474AA9642DC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95" name="Picture 1" descr="세원도장">
          <a:extLst>
            <a:ext uri="{FF2B5EF4-FFF2-40B4-BE49-F238E27FC236}">
              <a16:creationId xmlns:a16="http://schemas.microsoft.com/office/drawing/2014/main" id="{B071CEEA-55F9-410A-B0FB-64E3ED50A57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762000</xdr:colOff>
      <xdr:row>5</xdr:row>
      <xdr:rowOff>217714</xdr:rowOff>
    </xdr:from>
    <xdr:to>
      <xdr:col>6</xdr:col>
      <xdr:colOff>1445264</xdr:colOff>
      <xdr:row>7</xdr:row>
      <xdr:rowOff>190500</xdr:rowOff>
    </xdr:to>
    <xdr:pic>
      <xdr:nvPicPr>
        <xdr:cNvPr id="96" name="Picture 2">
          <a:extLst>
            <a:ext uri="{FF2B5EF4-FFF2-40B4-BE49-F238E27FC236}">
              <a16:creationId xmlns:a16="http://schemas.microsoft.com/office/drawing/2014/main" id="{EB6EED97-5D40-4EA3-8628-073E98298E60}"/>
            </a:ext>
          </a:extLst>
        </xdr:cNvPr>
        <xdr:cNvPicPr>
          <a:picLocks noChangeAspect="1" noChangeArrowheads="1"/>
        </xdr:cNvPicPr>
      </xdr:nvPicPr>
      <xdr:blipFill rotWithShape="1">
        <a:blip xmlns:r="http://schemas.openxmlformats.org/officeDocument/2006/relationships" r:embed="rId3">
          <a:clrChange>
            <a:clrFrom>
              <a:srgbClr val="F3F7FF"/>
            </a:clrFrom>
            <a:clrTo>
              <a:srgbClr val="F3F7FF">
                <a:alpha val="0"/>
              </a:srgbClr>
            </a:clrTo>
          </a:clrChange>
          <a:extLst>
            <a:ext uri="{28A0092B-C50C-407E-A947-70E740481C1C}">
              <a14:useLocalDpi xmlns:a14="http://schemas.microsoft.com/office/drawing/2010/main" val="0"/>
            </a:ext>
          </a:extLst>
        </a:blip>
        <a:srcRect l="5999" t="6516" r="1" b="16889"/>
        <a:stretch/>
      </xdr:blipFill>
      <xdr:spPr bwMode="auto">
        <a:xfrm>
          <a:off x="8775700" y="1589314"/>
          <a:ext cx="683264" cy="658586"/>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7" name="Picture 6" descr="도장">
          <a:extLst>
            <a:ext uri="{FF2B5EF4-FFF2-40B4-BE49-F238E27FC236}">
              <a16:creationId xmlns:a16="http://schemas.microsoft.com/office/drawing/2014/main" id="{42F43338-9981-4CA1-BB94-B3396B4B8E3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136025</xdr:rowOff>
    </xdr:to>
    <xdr:pic>
      <xdr:nvPicPr>
        <xdr:cNvPr id="98" name="Picture 1" descr="세원도장">
          <a:extLst>
            <a:ext uri="{FF2B5EF4-FFF2-40B4-BE49-F238E27FC236}">
              <a16:creationId xmlns:a16="http://schemas.microsoft.com/office/drawing/2014/main" id="{BB22A8EB-B6E2-4207-BC19-E9720A0981F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8104"/>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9" name="Picture 6" descr="도장">
          <a:extLst>
            <a:ext uri="{FF2B5EF4-FFF2-40B4-BE49-F238E27FC236}">
              <a16:creationId xmlns:a16="http://schemas.microsoft.com/office/drawing/2014/main" id="{20A67D42-24E5-477B-B084-046732CDBF5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136025</xdr:rowOff>
    </xdr:to>
    <xdr:pic>
      <xdr:nvPicPr>
        <xdr:cNvPr id="100" name="Picture 1" descr="세원도장">
          <a:extLst>
            <a:ext uri="{FF2B5EF4-FFF2-40B4-BE49-F238E27FC236}">
              <a16:creationId xmlns:a16="http://schemas.microsoft.com/office/drawing/2014/main" id="{F4C89B1E-BB9F-4A15-B847-E19F44409FB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8104"/>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1" name="Picture 6" descr="도장">
          <a:extLst>
            <a:ext uri="{FF2B5EF4-FFF2-40B4-BE49-F238E27FC236}">
              <a16:creationId xmlns:a16="http://schemas.microsoft.com/office/drawing/2014/main" id="{00CF2B0A-5D4B-4AB3-9565-75DC0E345E2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2" name="Picture 6" descr="도장">
          <a:extLst>
            <a:ext uri="{FF2B5EF4-FFF2-40B4-BE49-F238E27FC236}">
              <a16:creationId xmlns:a16="http://schemas.microsoft.com/office/drawing/2014/main" id="{EC37C49D-A7CF-4467-9F4F-25F4E236F4C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3" name="Picture 6" descr="도장">
          <a:extLst>
            <a:ext uri="{FF2B5EF4-FFF2-40B4-BE49-F238E27FC236}">
              <a16:creationId xmlns:a16="http://schemas.microsoft.com/office/drawing/2014/main" id="{C323D8D0-29FB-4282-B6A9-BF1306E8714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4" name="Picture 6" descr="도장">
          <a:extLst>
            <a:ext uri="{FF2B5EF4-FFF2-40B4-BE49-F238E27FC236}">
              <a16:creationId xmlns:a16="http://schemas.microsoft.com/office/drawing/2014/main" id="{BA4632F1-2CF8-4095-A74B-F27D89CE605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5" name="Picture 6" descr="도장">
          <a:extLst>
            <a:ext uri="{FF2B5EF4-FFF2-40B4-BE49-F238E27FC236}">
              <a16:creationId xmlns:a16="http://schemas.microsoft.com/office/drawing/2014/main" id="{0E9C3B37-625A-4484-B2A5-0BEDCCA0BFC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106" name="Picture 1" descr="세원도장">
          <a:extLst>
            <a:ext uri="{FF2B5EF4-FFF2-40B4-BE49-F238E27FC236}">
              <a16:creationId xmlns:a16="http://schemas.microsoft.com/office/drawing/2014/main" id="{83D298DD-5E7E-4C48-9D3C-8F85FD770FF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4022"/>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7" name="Picture 6" descr="도장">
          <a:extLst>
            <a:ext uri="{FF2B5EF4-FFF2-40B4-BE49-F238E27FC236}">
              <a16:creationId xmlns:a16="http://schemas.microsoft.com/office/drawing/2014/main" id="{5302F66E-7976-4FF0-810D-E95EA4AB689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108" name="Picture 1" descr="세원도장">
          <a:extLst>
            <a:ext uri="{FF2B5EF4-FFF2-40B4-BE49-F238E27FC236}">
              <a16:creationId xmlns:a16="http://schemas.microsoft.com/office/drawing/2014/main" id="{C95DE69F-04C1-4C00-90B5-8963F76B13F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4022"/>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9" name="Picture 6" descr="도장">
          <a:extLst>
            <a:ext uri="{FF2B5EF4-FFF2-40B4-BE49-F238E27FC236}">
              <a16:creationId xmlns:a16="http://schemas.microsoft.com/office/drawing/2014/main" id="{34A66773-CA8D-4842-AA6C-7448F14E22A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0" name="Picture 6" descr="도장">
          <a:extLst>
            <a:ext uri="{FF2B5EF4-FFF2-40B4-BE49-F238E27FC236}">
              <a16:creationId xmlns:a16="http://schemas.microsoft.com/office/drawing/2014/main" id="{1B168C20-AE47-42C6-A3FA-BC39C582C7B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1" name="Picture 6" descr="도장">
          <a:extLst>
            <a:ext uri="{FF2B5EF4-FFF2-40B4-BE49-F238E27FC236}">
              <a16:creationId xmlns:a16="http://schemas.microsoft.com/office/drawing/2014/main" id="{21DD1395-3BFA-48A1-BA24-F7C00A7F819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2" name="Picture 6" descr="도장">
          <a:extLst>
            <a:ext uri="{FF2B5EF4-FFF2-40B4-BE49-F238E27FC236}">
              <a16:creationId xmlns:a16="http://schemas.microsoft.com/office/drawing/2014/main" id="{32A92A93-D90E-416C-BE8C-BA482BB80A5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136072</xdr:rowOff>
    </xdr:from>
    <xdr:to>
      <xdr:col>14</xdr:col>
      <xdr:colOff>1433285</xdr:colOff>
      <xdr:row>35</xdr:row>
      <xdr:rowOff>163286</xdr:rowOff>
    </xdr:to>
    <xdr:sp macro="" textlink="">
      <xdr:nvSpPr>
        <xdr:cNvPr id="2" name="직사각형 1">
          <a:extLst>
            <a:ext uri="{FF2B5EF4-FFF2-40B4-BE49-F238E27FC236}">
              <a16:creationId xmlns:a16="http://schemas.microsoft.com/office/drawing/2014/main" id="{F1CF46DE-C745-428A-AC78-2C02A14D6F81}"/>
            </a:ext>
          </a:extLst>
        </xdr:cNvPr>
        <xdr:cNvSpPr/>
      </xdr:nvSpPr>
      <xdr:spPr>
        <a:xfrm>
          <a:off x="0" y="789215"/>
          <a:ext cx="14623142" cy="6994071"/>
        </a:xfrm>
        <a:prstGeom prst="rect">
          <a:avLst/>
        </a:prstGeom>
        <a:solidFill>
          <a:schemeClr val="bg2"/>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altLang="ko-KR" sz="1100" b="1">
              <a:solidFill>
                <a:schemeClr val="tx1"/>
              </a:solidFill>
              <a:latin typeface="LG스마트체 Regular" panose="020B0600000101010101" pitchFamily="50" charset="-127"/>
              <a:ea typeface="LG스마트체 Regular" panose="020B0600000101010101" pitchFamily="50" charset="-127"/>
            </a:rPr>
            <a:t>&lt;</a:t>
          </a:r>
          <a:r>
            <a:rPr lang="ko-KR" altLang="en-US" sz="1100" b="1">
              <a:solidFill>
                <a:schemeClr val="tx1"/>
              </a:solidFill>
              <a:latin typeface="LG스마트체 Regular" panose="020B0600000101010101" pitchFamily="50" charset="-127"/>
              <a:ea typeface="LG스마트체 Regular" panose="020B0600000101010101" pitchFamily="50" charset="-127"/>
            </a:rPr>
            <a:t>첨부</a:t>
          </a:r>
          <a:r>
            <a:rPr lang="en-US" altLang="ko-KR" sz="1100" b="1">
              <a:solidFill>
                <a:schemeClr val="tx1"/>
              </a:solidFill>
              <a:latin typeface="LG스마트체 Regular" panose="020B0600000101010101" pitchFamily="50" charset="-127"/>
              <a:ea typeface="LG스마트체 Regular" panose="020B0600000101010101" pitchFamily="50" charset="-127"/>
            </a:rPr>
            <a:t>_2</a:t>
          </a:r>
          <a:r>
            <a:rPr lang="ko-KR" altLang="en-US" sz="1100" b="1">
              <a:solidFill>
                <a:schemeClr val="tx1"/>
              </a:solidFill>
              <a:latin typeface="LG스마트체 Regular" panose="020B0600000101010101" pitchFamily="50" charset="-127"/>
              <a:ea typeface="LG스마트체 Regular" panose="020B0600000101010101" pitchFamily="50" charset="-127"/>
            </a:rPr>
            <a:t>동 씽크대 상하부장 문짝교체</a:t>
          </a:r>
          <a:r>
            <a:rPr lang="en-US" altLang="ko-KR" sz="1100" b="1">
              <a:solidFill>
                <a:schemeClr val="tx1"/>
              </a:solidFill>
              <a:latin typeface="LG스마트체 Regular" panose="020B0600000101010101" pitchFamily="50" charset="-127"/>
              <a:ea typeface="LG스마트체 Regular" panose="020B0600000101010101" pitchFamily="50" charset="-127"/>
            </a:rPr>
            <a:t>, </a:t>
          </a:r>
          <a:r>
            <a:rPr lang="ko-KR" altLang="en-US" sz="1100" b="1" baseline="0">
              <a:solidFill>
                <a:schemeClr val="tx1"/>
              </a:solidFill>
              <a:latin typeface="LG스마트체 Regular" panose="020B0600000101010101" pitchFamily="50" charset="-127"/>
              <a:ea typeface="LG스마트체 Regular" panose="020B0600000101010101" pitchFamily="50" charset="-127"/>
            </a:rPr>
            <a:t>전문업체 견적서</a:t>
          </a:r>
          <a:r>
            <a:rPr lang="en-US" altLang="ko-KR" sz="1100" b="1">
              <a:solidFill>
                <a:schemeClr val="tx1"/>
              </a:solidFill>
              <a:latin typeface="LG스마트체 Regular" panose="020B0600000101010101" pitchFamily="50" charset="-127"/>
              <a:ea typeface="LG스마트체 Regular" panose="020B0600000101010101" pitchFamily="50" charset="-127"/>
            </a:rPr>
            <a:t>&gt;</a:t>
          </a:r>
        </a:p>
        <a:p>
          <a:pPr algn="l"/>
          <a:endParaRPr lang="en-US" altLang="ko-KR" sz="1100" b="1">
            <a:solidFill>
              <a:schemeClr val="tx1"/>
            </a:solidFill>
            <a:latin typeface="LG스마트체 Regular" panose="020B0600000101010101" pitchFamily="50" charset="-127"/>
            <a:ea typeface="LG스마트체 Regular" panose="020B0600000101010101" pitchFamily="50" charset="-127"/>
          </a:endParaRPr>
        </a:p>
      </xdr:txBody>
    </xdr:sp>
    <xdr:clientData/>
  </xdr:twoCellAnchor>
  <xdr:twoCellAnchor editAs="oneCell">
    <xdr:from>
      <xdr:col>0</xdr:col>
      <xdr:colOff>163286</xdr:colOff>
      <xdr:row>7</xdr:row>
      <xdr:rowOff>0</xdr:rowOff>
    </xdr:from>
    <xdr:to>
      <xdr:col>3</xdr:col>
      <xdr:colOff>738268</xdr:colOff>
      <xdr:row>32</xdr:row>
      <xdr:rowOff>54429</xdr:rowOff>
    </xdr:to>
    <xdr:pic>
      <xdr:nvPicPr>
        <xdr:cNvPr id="7" name="그림 6">
          <a:extLst>
            <a:ext uri="{FF2B5EF4-FFF2-40B4-BE49-F238E27FC236}">
              <a16:creationId xmlns:a16="http://schemas.microsoft.com/office/drawing/2014/main" id="{95CEF50A-3D9D-C79A-DB5E-BC5BD40A4C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3286" y="1524000"/>
          <a:ext cx="3931411" cy="5497286"/>
        </a:xfrm>
        <a:prstGeom prst="rect">
          <a:avLst/>
        </a:prstGeom>
      </xdr:spPr>
    </xdr:pic>
    <xdr:clientData/>
  </xdr:twoCellAnchor>
  <xdr:twoCellAnchor editAs="oneCell">
    <xdr:from>
      <xdr:col>4</xdr:col>
      <xdr:colOff>480787</xdr:colOff>
      <xdr:row>7</xdr:row>
      <xdr:rowOff>18143</xdr:rowOff>
    </xdr:from>
    <xdr:to>
      <xdr:col>8</xdr:col>
      <xdr:colOff>933857</xdr:colOff>
      <xdr:row>32</xdr:row>
      <xdr:rowOff>108857</xdr:rowOff>
    </xdr:to>
    <xdr:pic>
      <xdr:nvPicPr>
        <xdr:cNvPr id="4" name="그림 3">
          <a:extLst>
            <a:ext uri="{FF2B5EF4-FFF2-40B4-BE49-F238E27FC236}">
              <a16:creationId xmlns:a16="http://schemas.microsoft.com/office/drawing/2014/main" id="{1FDF7B64-F4D8-3C3B-09B6-04E8A02376E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662716" y="1542143"/>
          <a:ext cx="3945570" cy="5533571"/>
        </a:xfrm>
        <a:prstGeom prst="rect">
          <a:avLst/>
        </a:prstGeom>
      </xdr:spPr>
    </xdr:pic>
    <xdr:clientData/>
  </xdr:twoCellAnchor>
  <xdr:twoCellAnchor editAs="oneCell">
    <xdr:from>
      <xdr:col>9</xdr:col>
      <xdr:colOff>616858</xdr:colOff>
      <xdr:row>6</xdr:row>
      <xdr:rowOff>190500</xdr:rowOff>
    </xdr:from>
    <xdr:to>
      <xdr:col>14</xdr:col>
      <xdr:colOff>103770</xdr:colOff>
      <xdr:row>32</xdr:row>
      <xdr:rowOff>108857</xdr:rowOff>
    </xdr:to>
    <xdr:pic>
      <xdr:nvPicPr>
        <xdr:cNvPr id="6" name="그림 5">
          <a:extLst>
            <a:ext uri="{FF2B5EF4-FFF2-40B4-BE49-F238E27FC236}">
              <a16:creationId xmlns:a16="http://schemas.microsoft.com/office/drawing/2014/main" id="{73898130-C8B4-D783-877B-F5C30828170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325429" y="1496786"/>
          <a:ext cx="3968198" cy="5578928"/>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2:I34"/>
  <sheetViews>
    <sheetView showGridLines="0" topLeftCell="A16" zoomScale="85" zoomScaleNormal="85" workbookViewId="0">
      <selection activeCell="C23" sqref="C23:C24"/>
    </sheetView>
  </sheetViews>
  <sheetFormatPr defaultColWidth="9" defaultRowHeight="13.5"/>
  <cols>
    <col min="1" max="1" width="9.875" style="8" customWidth="1"/>
    <col min="2" max="2" width="24.25" style="8" customWidth="1"/>
    <col min="3" max="3" width="27" style="8" customWidth="1"/>
    <col min="4" max="5" width="9" style="8"/>
    <col min="6" max="6" width="23.5" style="8" customWidth="1"/>
    <col min="7" max="7" width="44.75" style="8" customWidth="1"/>
    <col min="8" max="8" width="11.25" style="8" customWidth="1"/>
    <col min="9" max="9" width="9" style="8"/>
    <col min="10" max="16384" width="9" style="9"/>
  </cols>
  <sheetData>
    <row r="2" spans="1:9" ht="33">
      <c r="A2" s="126" t="s">
        <v>6</v>
      </c>
      <c r="B2" s="126"/>
      <c r="C2" s="126"/>
      <c r="D2" s="126"/>
      <c r="E2" s="126"/>
      <c r="F2" s="126"/>
      <c r="G2" s="126"/>
      <c r="H2" s="7"/>
    </row>
    <row r="3" spans="1:9" ht="14.25">
      <c r="A3" s="10"/>
      <c r="B3" s="10"/>
      <c r="C3" s="10"/>
      <c r="D3" s="10"/>
      <c r="E3" s="10"/>
      <c r="F3" s="10"/>
      <c r="G3" s="10"/>
      <c r="H3" s="10"/>
    </row>
    <row r="4" spans="1:9" ht="14.25">
      <c r="A4" s="10"/>
      <c r="B4" s="10"/>
      <c r="C4" s="10"/>
      <c r="D4" s="10"/>
      <c r="E4" s="10"/>
      <c r="H4" s="10"/>
    </row>
    <row r="5" spans="1:9" ht="27" customHeight="1">
      <c r="A5" s="11" t="s">
        <v>65</v>
      </c>
      <c r="B5" s="12"/>
      <c r="C5" s="13"/>
      <c r="D5" s="10"/>
      <c r="E5" s="10"/>
      <c r="F5" s="14" t="s">
        <v>39</v>
      </c>
      <c r="G5" s="15" t="s">
        <v>69</v>
      </c>
      <c r="H5" s="10"/>
    </row>
    <row r="6" spans="1:9" ht="27" customHeight="1">
      <c r="A6" s="10"/>
      <c r="B6" s="10"/>
      <c r="C6" s="10"/>
      <c r="D6" s="10"/>
      <c r="E6" s="10"/>
      <c r="F6" s="16" t="s">
        <v>42</v>
      </c>
      <c r="G6" s="17" t="s">
        <v>70</v>
      </c>
      <c r="H6" s="10"/>
    </row>
    <row r="7" spans="1:9" ht="27" customHeight="1">
      <c r="A7" s="129" t="s">
        <v>109</v>
      </c>
      <c r="B7" s="130"/>
      <c r="C7" s="131"/>
      <c r="D7" s="10"/>
      <c r="E7" s="18"/>
      <c r="F7" s="19" t="s">
        <v>43</v>
      </c>
      <c r="G7" s="17" t="s">
        <v>71</v>
      </c>
      <c r="H7" s="10"/>
    </row>
    <row r="8" spans="1:9" ht="27" customHeight="1">
      <c r="A8" s="10"/>
      <c r="B8" s="10"/>
      <c r="C8" s="10"/>
      <c r="D8" s="10"/>
      <c r="E8" s="10"/>
      <c r="F8" s="16" t="s">
        <v>44</v>
      </c>
      <c r="G8" s="17" t="s">
        <v>72</v>
      </c>
      <c r="H8" s="10"/>
    </row>
    <row r="9" spans="1:9" ht="27" customHeight="1">
      <c r="A9" s="129" t="s">
        <v>110</v>
      </c>
      <c r="B9" s="130"/>
      <c r="C9" s="131"/>
      <c r="D9" s="10"/>
      <c r="E9" s="10"/>
      <c r="F9" s="16" t="s">
        <v>45</v>
      </c>
      <c r="G9" s="17" t="s">
        <v>73</v>
      </c>
      <c r="H9" s="10"/>
    </row>
    <row r="10" spans="1:9" ht="27" customHeight="1">
      <c r="A10" s="10"/>
      <c r="B10" s="10"/>
      <c r="C10" s="10"/>
      <c r="D10" s="10"/>
      <c r="E10" s="10"/>
      <c r="F10" s="20" t="s">
        <v>40</v>
      </c>
      <c r="G10" s="21" t="s">
        <v>74</v>
      </c>
      <c r="H10" s="10"/>
      <c r="I10" s="10"/>
    </row>
    <row r="11" spans="1:9" ht="27" customHeight="1">
      <c r="A11" s="127"/>
      <c r="B11" s="128"/>
      <c r="C11" s="128"/>
      <c r="D11" s="10"/>
      <c r="E11" s="22"/>
      <c r="F11" s="23" t="s">
        <v>41</v>
      </c>
      <c r="G11" s="24" t="s">
        <v>75</v>
      </c>
      <c r="H11" s="22"/>
    </row>
    <row r="12" spans="1:9" ht="18.75" thickBot="1">
      <c r="A12" s="25" t="s">
        <v>7</v>
      </c>
      <c r="B12" s="25" t="str">
        <f>NUMBERSTRING(F31,1)</f>
        <v>구십사만구천</v>
      </c>
      <c r="C12" s="26"/>
      <c r="D12" s="2" t="s">
        <v>8</v>
      </c>
      <c r="E12" s="2" t="s">
        <v>9</v>
      </c>
      <c r="F12" s="2" t="s">
        <v>9</v>
      </c>
      <c r="G12" s="2"/>
      <c r="H12" s="27"/>
    </row>
    <row r="13" spans="1:9" ht="15.75" thickTop="1" thickBot="1">
      <c r="A13" s="10"/>
      <c r="B13" s="10"/>
      <c r="C13" s="10"/>
      <c r="D13" s="10"/>
      <c r="E13" s="10"/>
      <c r="F13" s="10"/>
      <c r="G13" s="10"/>
      <c r="H13" s="27"/>
    </row>
    <row r="14" spans="1:9" ht="33" customHeight="1" thickBot="1">
      <c r="A14" s="28" t="s">
        <v>10</v>
      </c>
      <c r="B14" s="29" t="s">
        <v>11</v>
      </c>
      <c r="C14" s="29" t="s">
        <v>12</v>
      </c>
      <c r="D14" s="29" t="s">
        <v>13</v>
      </c>
      <c r="E14" s="29" t="s">
        <v>14</v>
      </c>
      <c r="F14" s="29" t="s">
        <v>15</v>
      </c>
      <c r="G14" s="30" t="s">
        <v>16</v>
      </c>
      <c r="H14" s="27"/>
    </row>
    <row r="15" spans="1:9" ht="33" customHeight="1" thickTop="1">
      <c r="A15" s="31"/>
      <c r="B15" s="32" t="s">
        <v>17</v>
      </c>
      <c r="C15" s="33"/>
      <c r="D15" s="34"/>
      <c r="E15" s="34"/>
      <c r="F15" s="35"/>
      <c r="G15" s="36"/>
    </row>
    <row r="16" spans="1:9" ht="33" customHeight="1">
      <c r="A16" s="37"/>
      <c r="B16" s="38" t="s">
        <v>18</v>
      </c>
      <c r="C16" s="39"/>
      <c r="D16" s="40"/>
      <c r="E16" s="40"/>
      <c r="F16" s="41">
        <f>'내역서(표준단가)'!O10</f>
        <v>680000</v>
      </c>
      <c r="G16" s="42"/>
    </row>
    <row r="17" spans="1:9" ht="33" customHeight="1">
      <c r="A17" s="37"/>
      <c r="B17" s="38" t="s">
        <v>19</v>
      </c>
      <c r="C17" s="39"/>
      <c r="D17" s="40"/>
      <c r="E17" s="40"/>
      <c r="F17" s="41">
        <f>'내역서(표준단가)'!Q10</f>
        <v>202721.3</v>
      </c>
      <c r="G17" s="43"/>
      <c r="H17" s="9"/>
      <c r="I17" s="9"/>
    </row>
    <row r="18" spans="1:9" ht="33" customHeight="1">
      <c r="A18" s="37"/>
      <c r="B18" s="38" t="s">
        <v>20</v>
      </c>
      <c r="C18" s="39"/>
      <c r="D18" s="40"/>
      <c r="E18" s="40"/>
      <c r="F18" s="41">
        <f>'내역서(표준단가)'!S10+'내역서(표준단가)'!U10</f>
        <v>0</v>
      </c>
      <c r="G18" s="43"/>
      <c r="H18" s="9"/>
      <c r="I18" s="9"/>
    </row>
    <row r="19" spans="1:9" ht="33" customHeight="1">
      <c r="A19" s="37"/>
      <c r="B19" s="44" t="s">
        <v>21</v>
      </c>
      <c r="C19" s="44"/>
      <c r="D19" s="45"/>
      <c r="E19" s="45"/>
      <c r="F19" s="46">
        <f>F16+F17+F18</f>
        <v>882721.3</v>
      </c>
      <c r="G19" s="43"/>
      <c r="H19" s="9"/>
      <c r="I19" s="9"/>
    </row>
    <row r="20" spans="1:9" ht="33" customHeight="1">
      <c r="A20" s="37"/>
      <c r="B20" s="47" t="s">
        <v>22</v>
      </c>
      <c r="C20" s="48"/>
      <c r="D20" s="40"/>
      <c r="E20" s="40"/>
      <c r="F20" s="49"/>
      <c r="G20" s="43"/>
      <c r="H20" s="9"/>
      <c r="I20" s="9"/>
    </row>
    <row r="21" spans="1:9" ht="33" customHeight="1">
      <c r="A21" s="37"/>
      <c r="B21" s="50" t="s">
        <v>23</v>
      </c>
      <c r="C21" s="48" t="s">
        <v>24</v>
      </c>
      <c r="D21" s="38">
        <v>1</v>
      </c>
      <c r="E21" s="38" t="s">
        <v>25</v>
      </c>
      <c r="F21" s="51">
        <f>F17*4.5%</f>
        <v>9122.4584999999988</v>
      </c>
      <c r="G21" s="43" t="s">
        <v>26</v>
      </c>
      <c r="H21" s="9"/>
      <c r="I21" s="9"/>
    </row>
    <row r="22" spans="1:9" ht="33" customHeight="1">
      <c r="A22" s="37"/>
      <c r="B22" s="52" t="s">
        <v>27</v>
      </c>
      <c r="C22" s="53" t="s">
        <v>66</v>
      </c>
      <c r="D22" s="54">
        <v>1</v>
      </c>
      <c r="E22" s="54" t="s">
        <v>25</v>
      </c>
      <c r="F22" s="55">
        <f>F17*3.545%</f>
        <v>7186.4700849999999</v>
      </c>
      <c r="G22" s="56" t="s">
        <v>28</v>
      </c>
      <c r="H22" s="9"/>
      <c r="I22" s="9"/>
    </row>
    <row r="23" spans="1:9" ht="33" customHeight="1">
      <c r="A23" s="37"/>
      <c r="B23" s="50" t="s">
        <v>29</v>
      </c>
      <c r="C23" s="48" t="s">
        <v>67</v>
      </c>
      <c r="D23" s="38">
        <v>1</v>
      </c>
      <c r="E23" s="38" t="s">
        <v>25</v>
      </c>
      <c r="F23" s="51">
        <f>F22*12.95%</f>
        <v>930.64787600750003</v>
      </c>
      <c r="G23" s="43" t="s">
        <v>28</v>
      </c>
      <c r="H23" s="9"/>
      <c r="I23" s="9"/>
    </row>
    <row r="24" spans="1:9" ht="33" customHeight="1">
      <c r="A24" s="37"/>
      <c r="B24" s="50" t="s">
        <v>30</v>
      </c>
      <c r="C24" s="48" t="s">
        <v>47</v>
      </c>
      <c r="D24" s="38">
        <v>1</v>
      </c>
      <c r="E24" s="38" t="s">
        <v>25</v>
      </c>
      <c r="F24" s="51">
        <f>F17*1.01%</f>
        <v>2047.4851299999998</v>
      </c>
      <c r="G24" s="43" t="s">
        <v>28</v>
      </c>
      <c r="H24" s="9"/>
      <c r="I24" s="9"/>
    </row>
    <row r="25" spans="1:9" ht="33" customHeight="1">
      <c r="A25" s="37"/>
      <c r="B25" s="50" t="s">
        <v>31</v>
      </c>
      <c r="C25" s="48" t="s">
        <v>68</v>
      </c>
      <c r="D25" s="38">
        <v>1</v>
      </c>
      <c r="E25" s="38" t="s">
        <v>25</v>
      </c>
      <c r="F25" s="51">
        <f>F17*3.56%</f>
        <v>7216.8782799999999</v>
      </c>
      <c r="G25" s="43" t="s">
        <v>28</v>
      </c>
      <c r="H25" s="9"/>
      <c r="I25" s="9"/>
    </row>
    <row r="26" spans="1:9" ht="33" customHeight="1">
      <c r="A26" s="37"/>
      <c r="B26" s="50" t="s">
        <v>32</v>
      </c>
      <c r="C26" s="124" t="s">
        <v>111</v>
      </c>
      <c r="D26" s="38">
        <v>1</v>
      </c>
      <c r="E26" s="38" t="s">
        <v>25</v>
      </c>
      <c r="F26" s="125">
        <f>(F16+F17)*3.11%</f>
        <v>27452.632430000001</v>
      </c>
      <c r="G26" s="43" t="s">
        <v>26</v>
      </c>
      <c r="H26" s="9"/>
      <c r="I26" s="9"/>
    </row>
    <row r="27" spans="1:9" ht="33" customHeight="1">
      <c r="A27" s="37"/>
      <c r="B27" s="50" t="s">
        <v>37</v>
      </c>
      <c r="C27" s="57" t="s">
        <v>38</v>
      </c>
      <c r="D27" s="38">
        <v>1</v>
      </c>
      <c r="E27" s="38" t="s">
        <v>25</v>
      </c>
      <c r="F27" s="51">
        <f>SUM(F17+F21+F22+F23+F24+F25+F26)*5%</f>
        <v>12833.893615050376</v>
      </c>
      <c r="G27" s="43"/>
      <c r="H27" s="9"/>
      <c r="I27" s="9"/>
    </row>
    <row r="28" spans="1:9" ht="33" customHeight="1">
      <c r="A28" s="37"/>
      <c r="B28" s="44" t="s">
        <v>33</v>
      </c>
      <c r="C28" s="58"/>
      <c r="D28" s="59"/>
      <c r="E28" s="45"/>
      <c r="F28" s="60">
        <f>F21+F22+F23+F24+F25+F26+F27</f>
        <v>66790.465916057874</v>
      </c>
      <c r="G28" s="43"/>
      <c r="H28" s="9"/>
      <c r="I28" s="9"/>
    </row>
    <row r="29" spans="1:9" ht="33" customHeight="1">
      <c r="A29" s="37"/>
      <c r="B29" s="48"/>
      <c r="C29" s="61"/>
      <c r="D29" s="62"/>
      <c r="E29" s="40"/>
      <c r="F29" s="63"/>
      <c r="G29" s="43"/>
      <c r="H29" s="9"/>
      <c r="I29" s="9"/>
    </row>
    <row r="30" spans="1:9" ht="33" customHeight="1">
      <c r="A30" s="37"/>
      <c r="B30" s="64"/>
      <c r="C30" s="61"/>
      <c r="D30" s="62"/>
      <c r="E30" s="40"/>
      <c r="F30" s="65">
        <f>F19+F28+F29</f>
        <v>949511.76591605786</v>
      </c>
      <c r="G30" s="43"/>
      <c r="H30" s="9"/>
      <c r="I30" s="9"/>
    </row>
    <row r="31" spans="1:9" ht="33" customHeight="1">
      <c r="A31" s="37"/>
      <c r="B31" s="44" t="s">
        <v>34</v>
      </c>
      <c r="C31" s="44"/>
      <c r="D31" s="45"/>
      <c r="E31" s="45"/>
      <c r="F31" s="66">
        <f>ROUNDDOWN(F30,-3)</f>
        <v>949000</v>
      </c>
      <c r="G31" s="43"/>
      <c r="H31" s="9"/>
      <c r="I31" s="9"/>
    </row>
    <row r="32" spans="1:9" ht="33" customHeight="1" thickBot="1">
      <c r="A32" s="67"/>
      <c r="B32" s="68" t="s">
        <v>35</v>
      </c>
      <c r="C32" s="69"/>
      <c r="D32" s="69"/>
      <c r="E32" s="69"/>
      <c r="F32" s="70"/>
      <c r="G32" s="71"/>
      <c r="H32" s="9"/>
      <c r="I32" s="9"/>
    </row>
    <row r="33" spans="2:2" s="9" customFormat="1" ht="15.75">
      <c r="B33" s="72"/>
    </row>
    <row r="34" spans="2:2" s="9" customFormat="1" ht="15.75">
      <c r="B34" s="72"/>
    </row>
  </sheetData>
  <mergeCells count="4">
    <mergeCell ref="A2:G2"/>
    <mergeCell ref="A11:C11"/>
    <mergeCell ref="A9:C9"/>
    <mergeCell ref="A7:C7"/>
  </mergeCells>
  <phoneticPr fontId="7" type="noConversion"/>
  <pageMargins left="0.31496062992125984" right="0.19685039370078741" top="0.94488188976377963" bottom="0.55118110236220474" header="0.31496062992125984" footer="0.31496062992125984"/>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pageSetUpPr fitToPage="1"/>
  </sheetPr>
  <dimension ref="A1:X14"/>
  <sheetViews>
    <sheetView showGridLines="0" zoomScale="70" zoomScaleNormal="70" workbookViewId="0">
      <selection activeCell="AC28" sqref="AC28:AD28"/>
    </sheetView>
  </sheetViews>
  <sheetFormatPr defaultColWidth="9" defaultRowHeight="12.75"/>
  <cols>
    <col min="1" max="1" width="17.5" style="110" bestFit="1" customWidth="1"/>
    <col min="2" max="5" width="18.5" style="110" hidden="1" customWidth="1"/>
    <col min="6" max="6" width="60.25" style="74" hidden="1" customWidth="1"/>
    <col min="7" max="7" width="10.125" style="74" hidden="1" customWidth="1"/>
    <col min="8" max="8" width="16.625" style="74" hidden="1" customWidth="1"/>
    <col min="9" max="9" width="10.125" style="74" hidden="1" customWidth="1"/>
    <col min="10" max="10" width="38.125" style="74" bestFit="1" customWidth="1"/>
    <col min="11" max="11" width="25.125" style="74" bestFit="1" customWidth="1"/>
    <col min="12" max="12" width="5.25" style="74" bestFit="1" customWidth="1"/>
    <col min="13" max="13" width="6.375" style="74" bestFit="1" customWidth="1"/>
    <col min="14" max="14" width="10.125" style="74" bestFit="1" customWidth="1"/>
    <col min="15" max="15" width="10.5" style="74" bestFit="1" customWidth="1"/>
    <col min="16" max="16" width="6.375" style="74" bestFit="1" customWidth="1"/>
    <col min="17" max="17" width="12.25" style="74" bestFit="1" customWidth="1"/>
    <col min="18" max="18" width="6.375" style="74" bestFit="1" customWidth="1"/>
    <col min="19" max="19" width="8.5" style="74" bestFit="1" customWidth="1"/>
    <col min="20" max="20" width="6.375" style="74" bestFit="1" customWidth="1"/>
    <col min="21" max="21" width="8.5" style="74" bestFit="1" customWidth="1"/>
    <col min="22" max="22" width="12.25" style="74" bestFit="1" customWidth="1"/>
    <col min="23" max="23" width="10.625" style="75" bestFit="1" customWidth="1"/>
    <col min="24" max="24" width="8.5" style="74" bestFit="1" customWidth="1"/>
    <col min="25" max="16384" width="9" style="74"/>
  </cols>
  <sheetData>
    <row r="1" spans="1:24" ht="19.899999999999999" customHeight="1">
      <c r="A1" s="132"/>
      <c r="B1" s="132"/>
      <c r="C1" s="132"/>
      <c r="D1" s="132"/>
      <c r="E1" s="132"/>
      <c r="F1" s="132"/>
      <c r="G1" s="132"/>
      <c r="H1" s="132"/>
      <c r="I1" s="132"/>
      <c r="N1" s="75"/>
      <c r="O1" s="73" t="s">
        <v>76</v>
      </c>
      <c r="Q1" s="73" t="s">
        <v>76</v>
      </c>
      <c r="S1" s="73" t="s">
        <v>76</v>
      </c>
      <c r="U1" s="73" t="s">
        <v>76</v>
      </c>
    </row>
    <row r="2" spans="1:24" ht="19.899999999999999" customHeight="1" thickBot="1">
      <c r="A2" s="132"/>
      <c r="B2" s="132"/>
      <c r="C2" s="132"/>
      <c r="D2" s="132"/>
      <c r="E2" s="132"/>
      <c r="F2" s="132"/>
      <c r="G2" s="132"/>
      <c r="H2" s="132"/>
      <c r="I2" s="132"/>
      <c r="N2" s="76"/>
      <c r="O2" s="77">
        <v>0.83499999999999996</v>
      </c>
      <c r="Q2" s="77">
        <v>0.83499999999999996</v>
      </c>
      <c r="S2" s="77">
        <v>0.83499999999999996</v>
      </c>
      <c r="U2" s="77">
        <v>0.83499999999999996</v>
      </c>
    </row>
    <row r="3" spans="1:24" ht="19.899999999999999" customHeight="1">
      <c r="A3" s="78"/>
      <c r="B3" s="78"/>
      <c r="C3" s="78"/>
      <c r="D3" s="78"/>
      <c r="E3" s="78"/>
      <c r="F3" s="78" t="s">
        <v>77</v>
      </c>
      <c r="G3" s="79"/>
      <c r="H3" s="79"/>
      <c r="I3" s="79"/>
      <c r="J3" s="141" t="s">
        <v>78</v>
      </c>
      <c r="K3" s="141"/>
      <c r="L3" s="141" t="s">
        <v>79</v>
      </c>
      <c r="M3" s="141" t="s">
        <v>80</v>
      </c>
      <c r="N3" s="137" t="s">
        <v>81</v>
      </c>
      <c r="O3" s="137"/>
      <c r="P3" s="137" t="s">
        <v>82</v>
      </c>
      <c r="Q3" s="137"/>
      <c r="R3" s="138" t="s">
        <v>83</v>
      </c>
      <c r="S3" s="138"/>
      <c r="T3" s="138" t="s">
        <v>84</v>
      </c>
      <c r="U3" s="138"/>
      <c r="V3" s="139" t="s">
        <v>85</v>
      </c>
      <c r="W3" s="135" t="s">
        <v>86</v>
      </c>
      <c r="X3" s="133" t="s">
        <v>46</v>
      </c>
    </row>
    <row r="4" spans="1:24" ht="19.899999999999999" customHeight="1">
      <c r="A4" s="80" t="s">
        <v>87</v>
      </c>
      <c r="B4" s="81"/>
      <c r="C4" s="81"/>
      <c r="D4" s="81"/>
      <c r="E4" s="81"/>
      <c r="F4" s="82" t="s">
        <v>88</v>
      </c>
      <c r="G4" s="82" t="s">
        <v>89</v>
      </c>
      <c r="H4" s="82" t="s">
        <v>90</v>
      </c>
      <c r="I4" s="82" t="s">
        <v>91</v>
      </c>
      <c r="J4" s="83" t="s">
        <v>92</v>
      </c>
      <c r="K4" s="83" t="s">
        <v>93</v>
      </c>
      <c r="L4" s="142"/>
      <c r="M4" s="142"/>
      <c r="N4" s="84" t="s">
        <v>94</v>
      </c>
      <c r="O4" s="85" t="s">
        <v>95</v>
      </c>
      <c r="P4" s="84" t="s">
        <v>96</v>
      </c>
      <c r="Q4" s="85" t="s">
        <v>95</v>
      </c>
      <c r="R4" s="85" t="s">
        <v>97</v>
      </c>
      <c r="S4" s="85" t="s">
        <v>95</v>
      </c>
      <c r="T4" s="85" t="s">
        <v>97</v>
      </c>
      <c r="U4" s="85" t="s">
        <v>95</v>
      </c>
      <c r="V4" s="140"/>
      <c r="W4" s="136"/>
      <c r="X4" s="134"/>
    </row>
    <row r="5" spans="1:24" s="96" customFormat="1" ht="19.899999999999999" customHeight="1">
      <c r="A5" s="86" t="str">
        <f t="shared" ref="A5" si="0">F5&amp;G5&amp;H5&amp;I5</f>
        <v>D02339</v>
      </c>
      <c r="B5" s="87"/>
      <c r="C5" s="87"/>
      <c r="D5" s="87"/>
      <c r="E5" s="87"/>
      <c r="F5" s="5" t="s">
        <v>101</v>
      </c>
      <c r="G5" s="82"/>
      <c r="H5" s="82"/>
      <c r="I5" s="82"/>
      <c r="J5" s="90" t="s">
        <v>104</v>
      </c>
      <c r="K5" s="90" t="s">
        <v>102</v>
      </c>
      <c r="L5" s="116" t="s">
        <v>103</v>
      </c>
      <c r="M5" s="116">
        <v>10</v>
      </c>
      <c r="N5" s="97"/>
      <c r="O5" s="92">
        <f t="shared" ref="O5" si="1">SUM(N5:N5)*M5*$O$2</f>
        <v>0</v>
      </c>
      <c r="P5" s="6">
        <v>24278</v>
      </c>
      <c r="Q5" s="92">
        <f t="shared" ref="Q5" si="2">(P5*M5)*$Q$2</f>
        <v>202721.3</v>
      </c>
      <c r="R5" s="93"/>
      <c r="S5" s="92">
        <f t="shared" ref="S5" si="3">R5*M5*$S$2</f>
        <v>0</v>
      </c>
      <c r="T5" s="93"/>
      <c r="U5" s="92">
        <f t="shared" ref="U5" si="4">T5*M5*$U$2</f>
        <v>0</v>
      </c>
      <c r="V5" s="93">
        <f t="shared" ref="V5" si="5">SUM(O5+Q5)+S5+U5</f>
        <v>202721.3</v>
      </c>
      <c r="W5" s="103"/>
      <c r="X5" s="95"/>
    </row>
    <row r="6" spans="1:24" s="96" customFormat="1" ht="19.899999999999999" customHeight="1">
      <c r="A6" s="86"/>
      <c r="B6" s="87"/>
      <c r="C6" s="87"/>
      <c r="D6" s="87"/>
      <c r="E6" s="87"/>
      <c r="F6" s="98"/>
      <c r="G6" s="88"/>
      <c r="H6" s="89"/>
      <c r="I6" s="5"/>
      <c r="J6" s="90" t="s">
        <v>98</v>
      </c>
      <c r="K6" s="90" t="s">
        <v>99</v>
      </c>
      <c r="L6" s="90" t="s">
        <v>100</v>
      </c>
      <c r="M6" s="100">
        <v>1</v>
      </c>
      <c r="N6" s="91">
        <v>680000</v>
      </c>
      <c r="O6" s="92">
        <f>M6*N6</f>
        <v>680000</v>
      </c>
      <c r="P6" s="99"/>
      <c r="Q6" s="92">
        <f t="shared" ref="Q6:Q9" si="6">(P6*M6)*$Q$2</f>
        <v>0</v>
      </c>
      <c r="R6" s="93"/>
      <c r="S6" s="92">
        <f t="shared" ref="S6:S9" si="7">R6*M6*$S$2</f>
        <v>0</v>
      </c>
      <c r="T6" s="93"/>
      <c r="U6" s="92">
        <f t="shared" ref="U6:U9" si="8">T6*M6*$U$2</f>
        <v>0</v>
      </c>
      <c r="V6" s="93">
        <f t="shared" ref="V6:V9" si="9">SUM(O6+Q6)+S6+U6</f>
        <v>680000</v>
      </c>
      <c r="W6" s="94"/>
      <c r="X6" s="95"/>
    </row>
    <row r="7" spans="1:24" s="96" customFormat="1" ht="19.899999999999999" customHeight="1">
      <c r="A7" s="86" t="str">
        <f t="shared" ref="A7:A9" si="10">F7&amp;G7&amp;H7&amp;I7</f>
        <v/>
      </c>
      <c r="B7" s="87"/>
      <c r="C7" s="87"/>
      <c r="D7" s="87"/>
      <c r="E7" s="87"/>
      <c r="F7" s="98"/>
      <c r="G7" s="88"/>
      <c r="H7" s="89"/>
      <c r="I7" s="5"/>
      <c r="J7" s="101"/>
      <c r="K7" s="101"/>
      <c r="L7" s="102"/>
      <c r="M7" s="100"/>
      <c r="N7" s="91"/>
      <c r="O7" s="92">
        <f t="shared" ref="O7:O9" si="11">SUM(N7:N7)*M7*$O$2</f>
        <v>0</v>
      </c>
      <c r="P7" s="99"/>
      <c r="Q7" s="92">
        <f t="shared" si="6"/>
        <v>0</v>
      </c>
      <c r="R7" s="93"/>
      <c r="S7" s="92">
        <f t="shared" si="7"/>
        <v>0</v>
      </c>
      <c r="T7" s="93"/>
      <c r="U7" s="92">
        <f t="shared" si="8"/>
        <v>0</v>
      </c>
      <c r="V7" s="93">
        <f t="shared" si="9"/>
        <v>0</v>
      </c>
      <c r="W7" s="103"/>
      <c r="X7" s="95"/>
    </row>
    <row r="8" spans="1:24" s="96" customFormat="1" ht="19.899999999999999" customHeight="1">
      <c r="A8" s="86" t="str">
        <f t="shared" si="10"/>
        <v/>
      </c>
      <c r="B8" s="87"/>
      <c r="C8" s="87"/>
      <c r="D8" s="87"/>
      <c r="E8" s="87"/>
      <c r="F8" s="98"/>
      <c r="G8" s="88"/>
      <c r="H8" s="89"/>
      <c r="I8" s="5"/>
      <c r="J8" s="101"/>
      <c r="K8" s="101"/>
      <c r="L8" s="102"/>
      <c r="M8" s="100"/>
      <c r="N8" s="91"/>
      <c r="O8" s="92">
        <f t="shared" si="11"/>
        <v>0</v>
      </c>
      <c r="P8" s="99"/>
      <c r="Q8" s="92">
        <f t="shared" si="6"/>
        <v>0</v>
      </c>
      <c r="R8" s="93"/>
      <c r="S8" s="92">
        <f t="shared" si="7"/>
        <v>0</v>
      </c>
      <c r="T8" s="93"/>
      <c r="U8" s="92">
        <f t="shared" si="8"/>
        <v>0</v>
      </c>
      <c r="V8" s="93">
        <f t="shared" si="9"/>
        <v>0</v>
      </c>
      <c r="W8" s="103"/>
      <c r="X8" s="95"/>
    </row>
    <row r="9" spans="1:24" s="96" customFormat="1" ht="19.899999999999999" customHeight="1">
      <c r="A9" s="86" t="str">
        <f t="shared" si="10"/>
        <v/>
      </c>
      <c r="B9" s="87"/>
      <c r="C9" s="87"/>
      <c r="D9" s="87"/>
      <c r="E9" s="87"/>
      <c r="F9" s="98"/>
      <c r="G9" s="88"/>
      <c r="H9" s="89"/>
      <c r="I9" s="5"/>
      <c r="J9" s="101"/>
      <c r="K9" s="101"/>
      <c r="L9" s="102"/>
      <c r="M9" s="100"/>
      <c r="N9" s="91"/>
      <c r="O9" s="92">
        <f t="shared" si="11"/>
        <v>0</v>
      </c>
      <c r="P9" s="99"/>
      <c r="Q9" s="92">
        <f t="shared" si="6"/>
        <v>0</v>
      </c>
      <c r="R9" s="93"/>
      <c r="S9" s="92">
        <f t="shared" si="7"/>
        <v>0</v>
      </c>
      <c r="T9" s="93"/>
      <c r="U9" s="92">
        <f t="shared" si="8"/>
        <v>0</v>
      </c>
      <c r="V9" s="93">
        <f t="shared" si="9"/>
        <v>0</v>
      </c>
      <c r="W9" s="103"/>
      <c r="X9" s="95"/>
    </row>
    <row r="10" spans="1:24" s="105" customFormat="1" ht="19.899999999999999" customHeight="1">
      <c r="A10" s="104"/>
      <c r="B10" s="104"/>
      <c r="C10" s="104"/>
      <c r="D10" s="104"/>
      <c r="E10" s="104"/>
      <c r="O10" s="106">
        <f>SUM(O5:O9)</f>
        <v>680000</v>
      </c>
      <c r="P10" s="107"/>
      <c r="Q10" s="106">
        <f>SUM(Q5:Q9)</f>
        <v>202721.3</v>
      </c>
      <c r="R10" s="107"/>
      <c r="S10" s="106">
        <f>SUM(S5:S9)</f>
        <v>0</v>
      </c>
      <c r="T10" s="107"/>
      <c r="U10" s="106">
        <f>SUM(U5:U9)</f>
        <v>0</v>
      </c>
      <c r="V10" s="108">
        <f>SUM(V5:V9)</f>
        <v>882721.3</v>
      </c>
      <c r="W10" s="109"/>
    </row>
    <row r="14" spans="1:24">
      <c r="Q14" s="111"/>
    </row>
  </sheetData>
  <mergeCells count="12">
    <mergeCell ref="A1:I1"/>
    <mergeCell ref="X3:X4"/>
    <mergeCell ref="A2:I2"/>
    <mergeCell ref="W3:W4"/>
    <mergeCell ref="P3:Q3"/>
    <mergeCell ref="R3:S3"/>
    <mergeCell ref="T3:U3"/>
    <mergeCell ref="V3:V4"/>
    <mergeCell ref="L3:L4"/>
    <mergeCell ref="M3:M4"/>
    <mergeCell ref="N3:O3"/>
    <mergeCell ref="J3:K3"/>
  </mergeCells>
  <phoneticPr fontId="7"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95F0F-3977-4521-9C1F-2EAEE299BAD6}">
  <sheetPr>
    <pageSetUpPr fitToPage="1"/>
  </sheetPr>
  <dimension ref="G1:P1"/>
  <sheetViews>
    <sheetView topLeftCell="A7" zoomScale="70" zoomScaleNormal="70" zoomScaleSheetLayoutView="85" workbookViewId="0">
      <selection activeCell="S14" sqref="S14"/>
    </sheetView>
  </sheetViews>
  <sheetFormatPr defaultColWidth="9" defaultRowHeight="16.5"/>
  <cols>
    <col min="1" max="1" width="11.5" style="117" bestFit="1" customWidth="1"/>
    <col min="2" max="2" width="17.875" style="117" customWidth="1"/>
    <col min="3" max="3" width="14.625" style="117" customWidth="1"/>
    <col min="4" max="4" width="10.875" style="117" customWidth="1"/>
    <col min="5" max="5" width="12" style="117" customWidth="1"/>
    <col min="6" max="6" width="10.625" style="117" customWidth="1"/>
    <col min="7" max="7" width="13.625" style="118" customWidth="1"/>
    <col min="8" max="8" width="9.625" style="117" customWidth="1"/>
    <col min="9" max="9" width="13.625" style="117" customWidth="1"/>
    <col min="10" max="10" width="12.75" style="117" customWidth="1"/>
    <col min="11" max="11" width="9.25" style="117" customWidth="1"/>
    <col min="12" max="12" width="13.625" style="118" customWidth="1"/>
    <col min="13" max="13" width="9.625" style="117" customWidth="1"/>
    <col min="14" max="14" width="13.625" style="118" customWidth="1"/>
    <col min="15" max="15" width="19.75" style="119" bestFit="1" customWidth="1"/>
    <col min="16" max="16" width="12.25" style="119" bestFit="1" customWidth="1"/>
    <col min="17" max="16384" width="9" style="117"/>
  </cols>
  <sheetData/>
  <phoneticPr fontId="7" type="noConversion"/>
  <pageMargins left="0.23622047244094491" right="0.23622047244094491" top="0.55118110236220474" bottom="0.55118110236220474" header="0.31496062992125984" footer="0.31496062992125984"/>
  <pageSetup paperSize="9" scale="5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R2"/>
  <sheetViews>
    <sheetView tabSelected="1" workbookViewId="0">
      <selection activeCell="H8" sqref="H8"/>
    </sheetView>
  </sheetViews>
  <sheetFormatPr defaultColWidth="9" defaultRowHeight="16.5"/>
  <cols>
    <col min="1" max="1" width="11.125" style="112" customWidth="1"/>
    <col min="2" max="2" width="13.375" style="112" customWidth="1"/>
    <col min="3" max="3" width="38.75" style="112" customWidth="1"/>
    <col min="4" max="4" width="28.75" style="112" customWidth="1"/>
    <col min="5" max="5" width="5" style="112" customWidth="1"/>
    <col min="6" max="6" width="6.25" style="112" customWidth="1"/>
    <col min="7" max="7" width="10" style="112" customWidth="1"/>
    <col min="8" max="8" width="11.875" style="112" customWidth="1"/>
    <col min="9" max="9" width="10" style="112" customWidth="1"/>
    <col min="10" max="10" width="11.875" style="112" customWidth="1"/>
    <col min="11" max="11" width="10" style="112" customWidth="1"/>
    <col min="12" max="12" width="11.875" style="112" customWidth="1"/>
    <col min="13" max="13" width="10" style="112" customWidth="1"/>
    <col min="14" max="14" width="11.875" style="112" customWidth="1"/>
    <col min="15" max="15" width="9.125" style="112" customWidth="1"/>
    <col min="16" max="16" width="11.5" style="112" customWidth="1"/>
    <col min="17" max="17" width="11.75" style="112" customWidth="1"/>
    <col min="18" max="18" width="17.875" style="112" customWidth="1"/>
    <col min="19" max="16384" width="9" style="112"/>
  </cols>
  <sheetData>
    <row r="1" spans="1:18" ht="18" customHeight="1">
      <c r="A1" s="1" t="s">
        <v>48</v>
      </c>
      <c r="B1" s="4" t="s">
        <v>49</v>
      </c>
      <c r="C1" s="121" t="s">
        <v>50</v>
      </c>
      <c r="D1" s="121" t="s">
        <v>51</v>
      </c>
      <c r="E1" s="121" t="s">
        <v>52</v>
      </c>
      <c r="F1" s="121" t="s">
        <v>5</v>
      </c>
      <c r="G1" s="4" t="s">
        <v>53</v>
      </c>
      <c r="H1" s="4" t="s">
        <v>54</v>
      </c>
      <c r="I1" s="4" t="s">
        <v>55</v>
      </c>
      <c r="J1" s="4" t="s">
        <v>56</v>
      </c>
      <c r="K1" s="4" t="s">
        <v>57</v>
      </c>
      <c r="L1" s="4" t="s">
        <v>58</v>
      </c>
      <c r="M1" s="4" t="s">
        <v>59</v>
      </c>
      <c r="N1" s="4" t="s">
        <v>60</v>
      </c>
      <c r="O1" s="4" t="s">
        <v>61</v>
      </c>
      <c r="P1" s="4" t="s">
        <v>62</v>
      </c>
      <c r="Q1" s="4" t="s">
        <v>63</v>
      </c>
      <c r="R1" s="4" t="s">
        <v>64</v>
      </c>
    </row>
    <row r="2" spans="1:18">
      <c r="A2" s="123">
        <v>999999</v>
      </c>
      <c r="B2" s="123" t="s">
        <v>105</v>
      </c>
      <c r="C2" s="123" t="s">
        <v>106</v>
      </c>
      <c r="D2" s="120" t="s">
        <v>107</v>
      </c>
      <c r="E2" s="123" t="s">
        <v>108</v>
      </c>
      <c r="F2" s="122">
        <v>1</v>
      </c>
      <c r="G2" s="112">
        <v>680000</v>
      </c>
    </row>
  </sheetData>
  <phoneticPr fontId="7" type="noConversion"/>
  <pageMargins left="0.7" right="0.7" top="0.75" bottom="0.75" header="0.3" footer="0.3"/>
  <pageSetup paperSize="9" scale="49" orientation="landscape"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H2"/>
  <sheetViews>
    <sheetView showGridLines="0" zoomScaleNormal="100" workbookViewId="0">
      <selection activeCell="G22" sqref="G22"/>
    </sheetView>
  </sheetViews>
  <sheetFormatPr defaultColWidth="9" defaultRowHeight="16.5"/>
  <cols>
    <col min="1" max="1" width="25.125" style="115" customWidth="1"/>
    <col min="2" max="2" width="16.25" style="115" customWidth="1"/>
    <col min="3" max="3" width="22.375" style="115" customWidth="1"/>
    <col min="4" max="4" width="24.125" style="115" customWidth="1"/>
    <col min="5" max="5" width="13" style="115" customWidth="1"/>
    <col min="6" max="6" width="7.5" style="115" customWidth="1"/>
    <col min="7" max="16384" width="9" style="112"/>
  </cols>
  <sheetData>
    <row r="1" spans="1:8" ht="18" customHeight="1">
      <c r="A1" s="1" t="s">
        <v>0</v>
      </c>
      <c r="B1" s="1" t="s">
        <v>1</v>
      </c>
      <c r="C1" s="1" t="s">
        <v>2</v>
      </c>
      <c r="D1" s="1" t="s">
        <v>3</v>
      </c>
      <c r="E1" s="1" t="s">
        <v>4</v>
      </c>
      <c r="F1" s="1" t="s">
        <v>5</v>
      </c>
      <c r="H1" s="3" t="s">
        <v>36</v>
      </c>
    </row>
    <row r="2" spans="1:8">
      <c r="A2" s="113" t="str">
        <f>'내역서(표준단가)'!A5</f>
        <v>D02339</v>
      </c>
      <c r="B2" s="114" t="str">
        <f>'내역서(표준단가)'!F5</f>
        <v>D02339</v>
      </c>
      <c r="C2" s="114">
        <f>'내역서(표준단가)'!G5</f>
        <v>0</v>
      </c>
      <c r="D2" s="114">
        <f>'내역서(표준단가)'!H5</f>
        <v>0</v>
      </c>
      <c r="E2" s="114">
        <f>'내역서(표준단가)'!I5</f>
        <v>0</v>
      </c>
      <c r="F2" s="114">
        <f>'내역서(표준단가)'!M5</f>
        <v>10</v>
      </c>
    </row>
  </sheetData>
  <phoneticPr fontId="7"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갑지</vt:lpstr>
      <vt:lpstr>내역서(표준단가)</vt:lpstr>
      <vt:lpstr>시중가 근거서류</vt:lpstr>
      <vt:lpstr>Upload</vt:lpstr>
      <vt:lpstr>Upload-RSR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2024-01-06T06:05:11Z</cp:lastPrinted>
  <dcterms:created xsi:type="dcterms:W3CDTF">2020-09-15T23:52:51Z</dcterms:created>
  <dcterms:modified xsi:type="dcterms:W3CDTF">2025-02-07T05:39:35Z</dcterms:modified>
</cp:coreProperties>
</file>
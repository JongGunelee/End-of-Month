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22 기숙사 및 사택 저수조 안전 브라켓\"/>
    </mc:Choice>
  </mc:AlternateContent>
  <xr:revisionPtr revIDLastSave="0" documentId="13_ncr:1_{3B542284-E6D6-470F-9241-896A69130BC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7" r:id="rId3"/>
    <sheet name="Upload-rs" sheetId="1" r:id="rId4"/>
    <sheet name="참고 도면" sheetId="6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4" l="1"/>
  <c r="U7" i="4"/>
  <c r="S7" i="4"/>
  <c r="Q7" i="4"/>
  <c r="V7" i="4" l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A4" i="1" l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6" i="4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<sst xmlns="http://schemas.openxmlformats.org/spreadsheetml/2006/main" count="136" uniqueCount="113">
  <si>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</si>
  <si>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</si>
  <si>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</si>
  <si>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</si>
  <si>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</si>
  <si>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</si>
  <si>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</si>
  <si>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</si>
  <si>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</si>
  <si>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</si>
  <si>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</si>
  <si>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</si>
  <si>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</si>
  <si>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</si>
  <si>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</si>
  <si>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</si>
  <si>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</si>
  <si>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</si>
  <si>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</si>
  <si>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</si>
  <si>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</si>
  <si>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</si>
  <si>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</si>
  <si>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</si>
  <si>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</si>
  <si>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</si>
  <si>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</si>
  <si>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</si>
  <si>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</si>
  <si>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</si>
  <si>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</si>
  <si>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</si>
  <si>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</si>
  <si>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</si>
  <si>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</si>
  <si>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</si>
  <si>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</si>
  <si>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</si>
  <si>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</si>
  <si>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</si>
  <si>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</si>
  <si>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</si>
  <si>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</si>
  <si>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</si>
  <si>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</si>
  <si>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</si>
  <si>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</si>
  <si>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</si>
  <si>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</si>
  <si>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</si>
  <si>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</si>
  <si>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</si>
  <si>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</si>
  <si>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</si>
  <si>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</si>
  <si>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</si>
  <si>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</si>
  <si>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</si>
  <si>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</si>
  <si>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</si>
  <si>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단가</t>
    <phoneticPr fontId="12" type="noConversion"/>
  </si>
  <si>
    <t>시중노임단가</t>
    <phoneticPr fontId="10" type="noConversion"/>
  </si>
  <si>
    <t>L003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</si>
  <si>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</si>
  <si>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</si>
  <si>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</si>
  <si>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</si>
  <si>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</si>
  <si>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</si>
  <si>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</si>
  <si>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</si>
  <si>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</si>
  <si>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</si>
  <si>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</si>
  <si>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</si>
  <si>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</si>
  <si>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</si>
  <si>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</si>
  <si>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</si>
  <si>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</si>
  <si>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</si>
  <si>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</si>
  <si>
    <t> (재료비+노무비)*3.11%</t>
    <phoneticPr fontId="18" type="noConversion"/>
  </si>
  <si>
    <t xml:space="preserve"> 공사명 : 기숙사 사택 저수조 청소 안전 보강대 설치</t>
    <phoneticPr fontId="16" type="noConversion"/>
  </si>
  <si>
    <t xml:space="preserve"> 견적일 : 2025년  03월  21일</t>
    <phoneticPr fontId="16" type="noConversion"/>
  </si>
  <si>
    <t>L009</t>
    <phoneticPr fontId="10" type="noConversion"/>
  </si>
  <si>
    <t>SET</t>
    <phoneticPr fontId="10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</si>
  <si>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</si>
  <si>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</si>
  <si>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</si>
  <si>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</si>
  <si>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</si>
  <si>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</si>
  <si>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</si>
  <si>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</si>
  <si>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</si>
  <si>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</si>
  <si>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</si>
  <si>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</si>
  <si>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</si>
  <si>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</si>
  <si>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</si>
  <si>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</si>
  <si>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10" type="noConversion"/>
  </si>
  <si>
    <t>set</t>
    <phoneticPr fontId="10" type="noConversion"/>
  </si>
  <si>
    <t>도면 참조</t>
    <phoneticPr fontId="10" type="noConversion"/>
  </si>
  <si>
    <t>기숙사,사택 저수조 청소 안전보강대 제작, 전문업체 세금계산서 첨부예정</t>
    <phoneticPr fontId="10" type="noConversion"/>
  </si>
  <si>
    <t>기숙사,사택 저수조 청소 안전보강대 제작, 전문업체 세금계산서 첨부 예정</t>
    <phoneticPr fontId="10" type="noConversion"/>
  </si>
  <si>
    <r>
      <t>1.기숙사 AB동 저수조-</t>
    </r>
    <r>
      <rPr>
        <sz val="10"/>
        <color rgb="FFFF0000"/>
        <rFont val="LG스마트체 Regular"/>
        <family val="3"/>
        <charset val="129"/>
      </rPr>
      <t>2개소</t>
    </r>
    <r>
      <rPr>
        <sz val="10"/>
        <color rgb="FF000000"/>
        <rFont val="LG스마트체 Regular"/>
        <family val="3"/>
        <charset val="129"/>
      </rPr>
      <t xml:space="preserve"> 2.기숙사 3동 저수조-</t>
    </r>
    <r>
      <rPr>
        <sz val="10"/>
        <color rgb="FFFF0000"/>
        <rFont val="LG스마트체 Regular"/>
        <family val="3"/>
        <charset val="129"/>
      </rPr>
      <t xml:space="preserve">2개소 </t>
    </r>
    <r>
      <rPr>
        <sz val="10"/>
        <color rgb="FF000000"/>
        <rFont val="LG스마트체 Regular"/>
        <family val="3"/>
        <charset val="129"/>
      </rPr>
      <t>3.사택 102동 저수조-</t>
    </r>
    <r>
      <rPr>
        <sz val="10"/>
        <color rgb="FFFF0000"/>
        <rFont val="LG스마트체 Regular"/>
        <family val="3"/>
        <charset val="129"/>
      </rPr>
      <t>2개소 계:6개소</t>
    </r>
    <phoneticPr fontId="10" type="noConversion"/>
  </si>
  <si>
    <t>변경전 2인</t>
    <phoneticPr fontId="10" type="noConversion"/>
  </si>
  <si>
    <t>변경전 4인</t>
    <phoneticPr fontId="10" type="noConversion"/>
  </si>
  <si>
    <r>
      <t>기숙사,사택 저수조 청소 안전보강대 설치,</t>
    </r>
    <r>
      <rPr>
        <sz val="10"/>
        <color rgb="FFFF0000"/>
        <rFont val="LG스마트체 Regular"/>
        <family val="3"/>
        <charset val="129"/>
      </rPr>
      <t xml:space="preserve"> 특별인부 2인*2일 작업-&gt;1일 작업</t>
    </r>
    <phoneticPr fontId="10" type="noConversion"/>
  </si>
  <si>
    <r>
      <t xml:space="preserve">기숙사,사택 저수조 청소 안전보강대 설치, </t>
    </r>
    <r>
      <rPr>
        <sz val="10"/>
        <color rgb="FFFF0000"/>
        <rFont val="LG스마트체 Regular"/>
        <family val="3"/>
        <charset val="129"/>
      </rPr>
      <t>철공 1인*2일 작업-&gt;1일 작업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</si>
</sst>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 "/>
    <numFmt numFmtId="184" formatCode="0.0_ "/>
    <numFmt numFmtId="185" formatCode="0.00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77" fontId="24" fillId="6" borderId="3" xfId="1" applyFont="1" applyFill="1" applyBorder="1" applyAlignment="1">
      <alignment vertical="center" wrapText="1"/>
    </xf>
    <xf numFmtId="177" fontId="24" fillId="0" borderId="3" xfId="1" applyFont="1" applyFill="1" applyBorder="1" applyAlignment="1">
      <alignment vertical="center" wrapText="1"/>
    </xf>
    <xf numFmtId="9" fontId="24" fillId="0" borderId="3" xfId="0" applyNumberFormat="1" applyFont="1" applyBorder="1">
      <alignment vertical="center"/>
    </xf>
    <xf numFmtId="0" fontId="24" fillId="0" borderId="23" xfId="0" applyFont="1" applyBorder="1">
      <alignment vertical="center"/>
    </xf>
    <xf numFmtId="0" fontId="24" fillId="5" borderId="3" xfId="0" applyFont="1" applyFill="1" applyBorder="1">
      <alignment vertical="center"/>
    </xf>
    <xf numFmtId="0" fontId="24" fillId="6" borderId="3" xfId="0" applyFont="1" applyFill="1" applyBorder="1">
      <alignment vertical="center"/>
    </xf>
    <xf numFmtId="49" fontId="28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183" fontId="24" fillId="5" borderId="3" xfId="0" applyNumberFormat="1" applyFont="1" applyFill="1" applyBorder="1" applyAlignment="1">
      <alignment vertical="center" wrapText="1"/>
    </xf>
    <xf numFmtId="183" fontId="24" fillId="11" borderId="3" xfId="0" applyNumberFormat="1" applyFont="1" applyFill="1" applyBorder="1" applyAlignment="1">
      <alignment vertical="center" wrapText="1"/>
    </xf>
    <xf numFmtId="0" fontId="25" fillId="0" borderId="0" xfId="0" applyFont="1">
      <alignment vertical="center"/>
    </xf>
    <xf numFmtId="49" fontId="24" fillId="5" borderId="3" xfId="1" applyNumberFormat="1" applyFont="1" applyFill="1" applyBorder="1" applyAlignment="1">
      <alignment horizontal="center" vertical="center"/>
    </xf>
    <xf numFmtId="185" fontId="24" fillId="0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1" fillId="0" borderId="0" xfId="28">
      <alignment vertical="center"/>
    </xf>
    <xf numFmtId="0" fontId="32" fillId="0" borderId="0" xfId="28" applyFont="1">
      <alignment vertical="center"/>
    </xf>
    <xf numFmtId="0" fontId="1" fillId="0" borderId="0" xfId="28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49" fontId="30" fillId="2" borderId="33" xfId="0" applyNumberFormat="1" applyFont="1" applyFill="1" applyBorder="1" applyAlignment="1">
      <alignment horizontal="center" vertical="center" wrapText="1"/>
    </xf>
    <xf numFmtId="49" fontId="30" fillId="2" borderId="3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84" fontId="33" fillId="0" borderId="0" xfId="0" applyNumberFormat="1" applyFont="1">
      <alignment vertical="center"/>
    </xf>
    <xf numFmtId="49" fontId="24" fillId="0" borderId="0" xfId="0" applyNumberFormat="1" applyFont="1" applyAlignment="1">
      <alignment horizontal="center" vertical="center" wrapText="1"/>
    </xf>
    <xf numFmtId="183" fontId="33" fillId="0" borderId="0" xfId="0" applyNumberFormat="1" applyFont="1">
      <alignment vertical="center"/>
    </xf>
    <xf numFmtId="177" fontId="24" fillId="5" borderId="3" xfId="1" applyFont="1" applyFill="1" applyBorder="1">
      <alignment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  <xf numFmtId="185" fontId="24" fillId="12" borderId="3" xfId="1" applyNumberFormat="1" applyFont="1" applyFill="1" applyBorder="1" applyAlignment="1">
      <alignment horizontal="center" vertical="center"/>
    </xf>
    <xf numFmtId="0" fontId="24" fillId="12" borderId="23" xfId="0" applyFont="1" applyFill="1" applyBorder="1">
      <alignment vertical="center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CCE20DF5-358F-4EE2-8DFE-19C396E5AF4E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176893</xdr:colOff>
      <xdr:row>50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9A71E1-E6C9-4E77-8AE7-3942FC2E9C13}"/>
            </a:ext>
          </a:extLst>
        </xdr:cNvPr>
        <xdr:cNvSpPr/>
      </xdr:nvSpPr>
      <xdr:spPr>
        <a:xfrm>
          <a:off x="0" y="748393"/>
          <a:ext cx="13362214" cy="945696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보강대 도면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462641</xdr:colOff>
      <xdr:row>5</xdr:row>
      <xdr:rowOff>176891</xdr:rowOff>
    </xdr:from>
    <xdr:to>
      <xdr:col>13</xdr:col>
      <xdr:colOff>359063</xdr:colOff>
      <xdr:row>46</xdr:row>
      <xdr:rowOff>190500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105316-D5FD-4517-9595-8354BDE85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41" y="1197427"/>
          <a:ext cx="12047601" cy="8382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8" zoomScale="85" zoomScaleNormal="85" workbookViewId="0">
      <selection activeCell="K18" sqref="K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9" t="s">
        <v>6</v>
      </c>
      <c r="B2" s="129"/>
      <c r="C2" s="129"/>
      <c r="D2" s="129"/>
      <c r="E2" s="129"/>
      <c r="F2" s="129"/>
      <c r="G2" s="129"/>
      <c r="H2" s="2"/>
    </row>
    <row r="3" spans="1:9" ht="14.25">
      <c r="A3" s="92"/>
      <c r="B3" s="92"/>
      <c r="C3" s="92"/>
      <c r="D3" s="92"/>
      <c r="E3" s="92"/>
      <c r="F3" s="92"/>
      <c r="G3" s="92"/>
      <c r="H3" s="92"/>
    </row>
    <row r="4" spans="1:9" ht="14.25">
      <c r="A4" s="92"/>
      <c r="B4" s="92"/>
      <c r="C4" s="92"/>
      <c r="D4" s="92"/>
      <c r="E4" s="92"/>
      <c r="H4" s="92"/>
    </row>
    <row r="5" spans="1:9" ht="27" customHeight="1">
      <c r="A5" s="93" t="s">
        <v>48</v>
      </c>
      <c r="B5" s="4"/>
      <c r="C5" s="5"/>
      <c r="D5" s="92"/>
      <c r="E5" s="92"/>
      <c r="F5" s="6" t="s">
        <v>38</v>
      </c>
      <c r="G5" s="7" t="s">
        <v>52</v>
      </c>
      <c r="H5" s="92"/>
    </row>
    <row r="6" spans="1:9" ht="27" customHeight="1">
      <c r="A6" s="92"/>
      <c r="B6" s="92"/>
      <c r="C6" s="92"/>
      <c r="D6" s="92"/>
      <c r="E6" s="92"/>
      <c r="F6" s="8" t="s">
        <v>41</v>
      </c>
      <c r="G6" s="9" t="s">
        <v>53</v>
      </c>
      <c r="H6" s="92"/>
    </row>
    <row r="7" spans="1:9" ht="27" customHeight="1">
      <c r="A7" s="132" t="s">
        <v>83</v>
      </c>
      <c r="B7" s="133"/>
      <c r="C7" s="134"/>
      <c r="D7" s="92"/>
      <c r="E7" s="10"/>
      <c r="F7" s="11" t="s">
        <v>42</v>
      </c>
      <c r="G7" s="9" t="s">
        <v>54</v>
      </c>
      <c r="H7" s="92"/>
    </row>
    <row r="8" spans="1:9" ht="27" customHeight="1">
      <c r="A8" s="92"/>
      <c r="B8" s="92"/>
      <c r="C8" s="92"/>
      <c r="D8" s="92"/>
      <c r="E8" s="92"/>
      <c r="F8" s="8" t="s">
        <v>43</v>
      </c>
      <c r="G8" s="9" t="s">
        <v>55</v>
      </c>
      <c r="H8" s="92"/>
    </row>
    <row r="9" spans="1:9" ht="27" customHeight="1">
      <c r="A9" s="132" t="s">
        <v>84</v>
      </c>
      <c r="B9" s="133"/>
      <c r="C9" s="134"/>
      <c r="D9" s="92"/>
      <c r="E9" s="92"/>
      <c r="F9" s="8" t="s">
        <v>44</v>
      </c>
      <c r="G9" s="9" t="s">
        <v>56</v>
      </c>
      <c r="H9" s="92"/>
    </row>
    <row r="10" spans="1:9" ht="27" customHeight="1">
      <c r="A10" s="92"/>
      <c r="B10" s="92"/>
      <c r="C10" s="92"/>
      <c r="D10" s="92"/>
      <c r="E10" s="92"/>
      <c r="F10" s="12" t="s">
        <v>39</v>
      </c>
      <c r="G10" s="13" t="s">
        <v>57</v>
      </c>
      <c r="H10" s="92"/>
      <c r="I10" s="92"/>
    </row>
    <row r="11" spans="1:9" ht="27" customHeight="1">
      <c r="A11" s="130"/>
      <c r="B11" s="131"/>
      <c r="C11" s="131"/>
      <c r="D11" s="92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일백칠십오만사천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900000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676122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1576122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30425.489999999998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23968.5249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3103.9239745500004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6828.8321999999998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24069.943200000002</v>
      </c>
      <c r="G25" s="35" t="s">
        <v>28</v>
      </c>
    </row>
    <row r="26" spans="1:7" ht="33" customHeight="1">
      <c r="A26" s="29"/>
      <c r="B26" s="42" t="s">
        <v>32</v>
      </c>
      <c r="C26" s="49" t="s">
        <v>82</v>
      </c>
      <c r="D26" s="30">
        <v>1</v>
      </c>
      <c r="E26" s="30" t="s">
        <v>25</v>
      </c>
      <c r="F26" s="43">
        <f>(F16+F17)*3.11%</f>
        <v>49017.394199999995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40676.805423727492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178090.9138982775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1754212.9138982776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1754000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S11" sqref="S11"/>
    </sheetView>
  </sheetViews>
  <sheetFormatPr defaultColWidth="9" defaultRowHeight="38.1" customHeight="1"/>
  <cols>
    <col min="1" max="1" width="22.625" style="114" bestFit="1" customWidth="1"/>
    <col min="2" max="5" width="18.5" style="114" hidden="1" customWidth="1"/>
    <col min="6" max="6" width="23.625" style="105" hidden="1" customWidth="1"/>
    <col min="7" max="7" width="22.875" style="105" hidden="1" customWidth="1"/>
    <col min="8" max="8" width="16.625" style="105" hidden="1" customWidth="1"/>
    <col min="9" max="9" width="10.125" style="105" hidden="1" customWidth="1"/>
    <col min="10" max="11" width="30.625" style="100" customWidth="1"/>
    <col min="12" max="12" width="12" style="105" bestFit="1" customWidth="1"/>
    <col min="13" max="13" width="7.25" style="105" bestFit="1" customWidth="1"/>
    <col min="14" max="14" width="10.5" style="105" bestFit="1" customWidth="1"/>
    <col min="15" max="15" width="15.625" style="105" bestFit="1" customWidth="1"/>
    <col min="16" max="16" width="11.625" style="105" bestFit="1" customWidth="1"/>
    <col min="17" max="17" width="15.625" style="105" bestFit="1" customWidth="1"/>
    <col min="18" max="18" width="8.25" style="105" customWidth="1"/>
    <col min="19" max="19" width="8.75" style="105" bestFit="1" customWidth="1"/>
    <col min="20" max="20" width="9.625" style="105" bestFit="1" customWidth="1"/>
    <col min="21" max="21" width="13.25" style="105" bestFit="1" customWidth="1"/>
    <col min="22" max="22" width="16.75" style="105" bestFit="1" customWidth="1"/>
    <col min="23" max="23" width="10.75" style="66" bestFit="1" customWidth="1"/>
    <col min="24" max="24" width="9.125" style="105" bestFit="1" customWidth="1"/>
    <col min="25" max="16384" width="9" style="105"/>
  </cols>
  <sheetData>
    <row r="1" spans="1:24" ht="19.899999999999999" customHeight="1">
      <c r="A1" s="135"/>
      <c r="B1" s="135"/>
      <c r="C1" s="135"/>
      <c r="D1" s="135"/>
      <c r="E1" s="135"/>
      <c r="F1" s="135"/>
      <c r="G1" s="135"/>
      <c r="H1" s="135"/>
      <c r="I1" s="135"/>
      <c r="N1" s="66"/>
      <c r="O1" s="104" t="s">
        <v>63</v>
      </c>
      <c r="Q1" s="104" t="s">
        <v>63</v>
      </c>
      <c r="S1" s="104" t="s">
        <v>63</v>
      </c>
      <c r="U1" s="104" t="s">
        <v>63</v>
      </c>
    </row>
    <row r="2" spans="1:24" ht="19.899999999999999" customHeight="1" thickBot="1">
      <c r="A2" s="135"/>
      <c r="B2" s="135"/>
      <c r="C2" s="135"/>
      <c r="D2" s="135"/>
      <c r="E2" s="135"/>
      <c r="F2" s="135"/>
      <c r="G2" s="135"/>
      <c r="H2" s="135"/>
      <c r="I2" s="13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6"/>
      <c r="B3" s="106"/>
      <c r="C3" s="106"/>
      <c r="D3" s="106"/>
      <c r="E3" s="106"/>
      <c r="F3" s="106" t="s">
        <v>64</v>
      </c>
      <c r="G3" s="107"/>
      <c r="H3" s="107"/>
      <c r="I3" s="107"/>
      <c r="J3" s="146" t="s">
        <v>65</v>
      </c>
      <c r="K3" s="146"/>
      <c r="L3" s="144" t="s">
        <v>47</v>
      </c>
      <c r="M3" s="144" t="s">
        <v>5</v>
      </c>
      <c r="N3" s="140" t="s">
        <v>66</v>
      </c>
      <c r="O3" s="140"/>
      <c r="P3" s="140" t="s">
        <v>67</v>
      </c>
      <c r="Q3" s="140"/>
      <c r="R3" s="141" t="s">
        <v>68</v>
      </c>
      <c r="S3" s="141"/>
      <c r="T3" s="141" t="s">
        <v>69</v>
      </c>
      <c r="U3" s="141"/>
      <c r="V3" s="142" t="s">
        <v>70</v>
      </c>
      <c r="W3" s="138" t="s">
        <v>71</v>
      </c>
      <c r="X3" s="136" t="s">
        <v>45</v>
      </c>
    </row>
    <row r="4" spans="1:24" ht="19.899999999999999" customHeight="1">
      <c r="A4" s="69" t="s">
        <v>72</v>
      </c>
      <c r="B4" s="70"/>
      <c r="C4" s="70"/>
      <c r="D4" s="70"/>
      <c r="E4" s="70"/>
      <c r="F4" s="71" t="s">
        <v>73</v>
      </c>
      <c r="G4" s="71" t="s">
        <v>74</v>
      </c>
      <c r="H4" s="71" t="s">
        <v>75</v>
      </c>
      <c r="I4" s="71" t="s">
        <v>76</v>
      </c>
      <c r="J4" s="101" t="s">
        <v>77</v>
      </c>
      <c r="K4" s="101" t="s">
        <v>78</v>
      </c>
      <c r="L4" s="145"/>
      <c r="M4" s="145"/>
      <c r="N4" s="72" t="s">
        <v>79</v>
      </c>
      <c r="O4" s="73" t="s">
        <v>80</v>
      </c>
      <c r="P4" s="72" t="s">
        <v>60</v>
      </c>
      <c r="Q4" s="73" t="s">
        <v>80</v>
      </c>
      <c r="R4" s="73" t="s">
        <v>81</v>
      </c>
      <c r="S4" s="73" t="s">
        <v>80</v>
      </c>
      <c r="T4" s="73" t="s">
        <v>81</v>
      </c>
      <c r="U4" s="73" t="s">
        <v>80</v>
      </c>
      <c r="V4" s="143"/>
      <c r="W4" s="139"/>
      <c r="X4" s="137"/>
    </row>
    <row r="5" spans="1:24" s="108" customFormat="1" ht="38.1" customHeight="1">
      <c r="A5" s="74" t="str">
        <f t="shared" ref="A5:A6" si="0">F5&amp;G5&amp;H5&amp;I5</f>
        <v>L009</v>
      </c>
      <c r="B5" s="81"/>
      <c r="C5" s="81"/>
      <c r="D5" s="81"/>
      <c r="E5" s="81"/>
      <c r="F5" s="71"/>
      <c r="G5" s="71"/>
      <c r="H5" s="71"/>
      <c r="I5" s="75" t="s">
        <v>85</v>
      </c>
      <c r="J5" s="94" t="s">
        <v>112</v>
      </c>
      <c r="K5" s="94" t="s">
        <v>61</v>
      </c>
      <c r="L5" s="98" t="s">
        <v>59</v>
      </c>
      <c r="M5" s="147">
        <v>1</v>
      </c>
      <c r="N5" s="86"/>
      <c r="O5" s="82">
        <f t="shared" ref="O5:O6" si="1">SUM(N5:N5)*M5*$O$2</f>
        <v>0</v>
      </c>
      <c r="P5" s="95">
        <v>237480</v>
      </c>
      <c r="Q5" s="82">
        <f>M5*P5</f>
        <v>237480</v>
      </c>
      <c r="R5" s="83"/>
      <c r="S5" s="82">
        <f t="shared" ref="S5:S6" si="2">R5*M5*$S$2</f>
        <v>0</v>
      </c>
      <c r="T5" s="83"/>
      <c r="U5" s="82">
        <f t="shared" ref="U5:U6" si="3">T5*M5*$U$2</f>
        <v>0</v>
      </c>
      <c r="V5" s="83">
        <f t="shared" ref="V5:V6" si="4">SUM(O5+Q5)+S5+U5</f>
        <v>237480</v>
      </c>
      <c r="W5" s="84"/>
      <c r="X5" s="148" t="s">
        <v>109</v>
      </c>
    </row>
    <row r="6" spans="1:24" s="108" customFormat="1" ht="38.1" customHeight="1">
      <c r="A6" s="74" t="str">
        <f t="shared" si="0"/>
        <v>L003</v>
      </c>
      <c r="B6" s="81"/>
      <c r="C6" s="81"/>
      <c r="D6" s="81"/>
      <c r="E6" s="81"/>
      <c r="F6" s="75"/>
      <c r="G6" s="76"/>
      <c r="H6" s="71"/>
      <c r="I6" s="75" t="s">
        <v>62</v>
      </c>
      <c r="J6" s="102" t="s">
        <v>111</v>
      </c>
      <c r="K6" s="94" t="s">
        <v>61</v>
      </c>
      <c r="L6" s="98" t="s">
        <v>59</v>
      </c>
      <c r="M6" s="147">
        <v>2</v>
      </c>
      <c r="N6" s="86"/>
      <c r="O6" s="82">
        <f t="shared" si="1"/>
        <v>0</v>
      </c>
      <c r="P6" s="96">
        <v>219321</v>
      </c>
      <c r="Q6" s="82">
        <f>M6*P6</f>
        <v>438642</v>
      </c>
      <c r="R6" s="83"/>
      <c r="S6" s="82">
        <f t="shared" si="2"/>
        <v>0</v>
      </c>
      <c r="T6" s="83"/>
      <c r="U6" s="82">
        <f t="shared" si="3"/>
        <v>0</v>
      </c>
      <c r="V6" s="83">
        <f t="shared" si="4"/>
        <v>438642</v>
      </c>
      <c r="W6" s="84"/>
      <c r="X6" s="148" t="s">
        <v>110</v>
      </c>
    </row>
    <row r="7" spans="1:24" s="108" customFormat="1" ht="53.25" customHeight="1">
      <c r="A7" s="74">
        <v>999999</v>
      </c>
      <c r="B7" s="87"/>
      <c r="C7" s="87"/>
      <c r="D7" s="87"/>
      <c r="E7" s="87"/>
      <c r="F7" s="88"/>
      <c r="G7" s="89"/>
      <c r="H7" s="76"/>
      <c r="I7" s="90"/>
      <c r="J7" s="94" t="s">
        <v>107</v>
      </c>
      <c r="K7" s="94" t="s">
        <v>108</v>
      </c>
      <c r="L7" s="98" t="s">
        <v>86</v>
      </c>
      <c r="M7" s="99">
        <v>1</v>
      </c>
      <c r="N7" s="128">
        <v>900000</v>
      </c>
      <c r="O7" s="82">
        <f>M7*N7</f>
        <v>900000</v>
      </c>
      <c r="P7" s="96"/>
      <c r="Q7" s="82">
        <f>M7*P7</f>
        <v>0</v>
      </c>
      <c r="R7" s="83"/>
      <c r="S7" s="82">
        <f t="shared" ref="S7" si="5">R7*M7*$S$2</f>
        <v>0</v>
      </c>
      <c r="T7" s="83"/>
      <c r="U7" s="82">
        <f t="shared" ref="U7" si="6">T7*M7*$U$2</f>
        <v>0</v>
      </c>
      <c r="V7" s="83">
        <f t="shared" ref="V7" si="7">SUM(O7+Q7)+S7+U7</f>
        <v>900000</v>
      </c>
      <c r="W7" s="84"/>
      <c r="X7" s="85"/>
    </row>
    <row r="8" spans="1:24" s="110" customFormat="1" ht="38.1" customHeight="1">
      <c r="A8" s="109"/>
      <c r="B8" s="109"/>
      <c r="C8" s="109"/>
      <c r="D8" s="109"/>
      <c r="E8" s="109"/>
      <c r="J8" s="103"/>
      <c r="K8" s="103"/>
      <c r="O8" s="111">
        <f>SUM(O5:O7)</f>
        <v>900000</v>
      </c>
      <c r="P8" s="112"/>
      <c r="Q8" s="111">
        <f>SUM(Q5:Q7)</f>
        <v>676122</v>
      </c>
      <c r="R8" s="112"/>
      <c r="S8" s="111">
        <f>SUM(S5:S7)</f>
        <v>0</v>
      </c>
      <c r="T8" s="112"/>
      <c r="U8" s="111">
        <f>SUM(U5:U7)</f>
        <v>0</v>
      </c>
      <c r="V8" s="113">
        <f>SUM(V5:V7)</f>
        <v>1576122</v>
      </c>
      <c r="W8" s="77"/>
    </row>
    <row r="12" spans="1:24" ht="38.1" customHeight="1">
      <c r="Q12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9B43-799E-4876-AD84-F0B921733505}">
  <sheetPr>
    <pageSetUpPr fitToPage="1"/>
  </sheetPr>
  <dimension ref="A1:R2"/>
  <sheetViews>
    <sheetView workbookViewId="0">
      <selection activeCell="D13" sqref="D13"/>
    </sheetView>
  </sheetViews>
  <sheetFormatPr defaultColWidth="9" defaultRowHeight="16.5"/>
  <cols>
    <col min="1" max="1" width="11.125" style="122" customWidth="1"/>
    <col min="2" max="2" width="13.375" style="122" customWidth="1"/>
    <col min="3" max="3" width="38.75" style="122" customWidth="1"/>
    <col min="4" max="4" width="28.75" style="122" customWidth="1"/>
    <col min="5" max="5" width="5" style="122" customWidth="1"/>
    <col min="6" max="6" width="6.25" style="122" customWidth="1"/>
    <col min="7" max="7" width="10" style="122" customWidth="1"/>
    <col min="8" max="8" width="11.875" style="122" customWidth="1"/>
    <col min="9" max="9" width="10" style="122" customWidth="1"/>
    <col min="10" max="10" width="11.875" style="122" customWidth="1"/>
    <col min="11" max="11" width="10" style="122" customWidth="1"/>
    <col min="12" max="12" width="11.875" style="122" customWidth="1"/>
    <col min="13" max="13" width="10" style="122" customWidth="1"/>
    <col min="14" max="14" width="11.875" style="122" customWidth="1"/>
    <col min="15" max="15" width="9.125" style="122" customWidth="1"/>
    <col min="16" max="16" width="11.5" style="122" customWidth="1"/>
    <col min="17" max="17" width="11.75" style="122" customWidth="1"/>
    <col min="18" max="18" width="17.875" style="122" customWidth="1"/>
    <col min="19" max="16384" width="9" style="122"/>
  </cols>
  <sheetData>
    <row r="1" spans="1:18" ht="18" customHeight="1">
      <c r="A1" s="119" t="s">
        <v>87</v>
      </c>
      <c r="B1" s="120" t="s">
        <v>88</v>
      </c>
      <c r="C1" s="121" t="s">
        <v>89</v>
      </c>
      <c r="D1" s="121" t="s">
        <v>90</v>
      </c>
      <c r="E1" s="121" t="s">
        <v>47</v>
      </c>
      <c r="F1" s="121" t="s">
        <v>5</v>
      </c>
      <c r="G1" s="120" t="s">
        <v>91</v>
      </c>
      <c r="H1" s="120" t="s">
        <v>92</v>
      </c>
      <c r="I1" s="120" t="s">
        <v>93</v>
      </c>
      <c r="J1" s="120" t="s">
        <v>94</v>
      </c>
      <c r="K1" s="120" t="s">
        <v>95</v>
      </c>
      <c r="L1" s="120" t="s">
        <v>96</v>
      </c>
      <c r="M1" s="120" t="s">
        <v>97</v>
      </c>
      <c r="N1" s="120" t="s">
        <v>98</v>
      </c>
      <c r="O1" s="120" t="s">
        <v>99</v>
      </c>
      <c r="P1" s="120" t="s">
        <v>100</v>
      </c>
      <c r="Q1" s="120" t="s">
        <v>101</v>
      </c>
      <c r="R1" s="120" t="s">
        <v>102</v>
      </c>
    </row>
    <row r="2" spans="1:18" ht="25.5">
      <c r="A2" s="123">
        <v>999999</v>
      </c>
      <c r="B2" s="123" t="s">
        <v>103</v>
      </c>
      <c r="C2" s="126" t="s">
        <v>106</v>
      </c>
      <c r="D2" s="124" t="s">
        <v>105</v>
      </c>
      <c r="E2" s="123" t="s">
        <v>104</v>
      </c>
      <c r="F2" s="125">
        <v>1</v>
      </c>
      <c r="G2" s="127">
        <v>900000</v>
      </c>
    </row>
  </sheetData>
  <phoneticPr fontId="10" type="noConversion"/>
  <pageMargins left="0.7" right="0.7" top="0.75" bottom="0.75" header="0.3" footer="0.3"/>
  <pageSetup paperSize="9" scale="4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="120" zoomScaleNormal="120" workbookViewId="0">
      <selection activeCell="L28" sqref="L28"/>
    </sheetView>
  </sheetViews>
  <sheetFormatPr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</row>
    <row r="2" spans="1:6">
      <c r="A2" s="79" t="str">
        <f>'내역서(표준단가)'!A5</f>
        <v>L009</v>
      </c>
      <c r="B2" s="80">
        <f>'내역서(표준단가)'!F5</f>
        <v>0</v>
      </c>
      <c r="C2" s="80">
        <f>'내역서(표준단가)'!G5</f>
        <v>0</v>
      </c>
      <c r="D2" s="80">
        <f>'내역서(표준단가)'!H5</f>
        <v>0</v>
      </c>
      <c r="E2" s="80" t="str">
        <f>'내역서(표준단가)'!I5</f>
        <v>L009</v>
      </c>
      <c r="F2" s="91">
        <f>'내역서(표준단가)'!M5</f>
        <v>1</v>
      </c>
    </row>
    <row r="3" spans="1:6">
      <c r="A3" s="79" t="str">
        <f>'내역서(표준단가)'!A6</f>
        <v>L003</v>
      </c>
      <c r="B3" s="80">
        <f>'내역서(표준단가)'!F6</f>
        <v>0</v>
      </c>
      <c r="C3" s="80">
        <f>'내역서(표준단가)'!G6</f>
        <v>0</v>
      </c>
      <c r="D3" s="80">
        <f>'내역서(표준단가)'!H6</f>
        <v>0</v>
      </c>
      <c r="E3" s="80" t="str">
        <f>'내역서(표준단가)'!I6</f>
        <v>L003</v>
      </c>
      <c r="F3" s="91">
        <f>'내역서(표준단가)'!M6</f>
        <v>2</v>
      </c>
    </row>
    <row r="4" spans="1:6">
      <c r="A4" s="79">
        <f>'내역서(표준단가)'!A7</f>
        <v>999999</v>
      </c>
      <c r="B4" s="80">
        <f>'내역서(표준단가)'!F7</f>
        <v>0</v>
      </c>
      <c r="C4" s="80">
        <f>'내역서(표준단가)'!G7</f>
        <v>0</v>
      </c>
      <c r="D4" s="80">
        <f>'내역서(표준단가)'!H7</f>
        <v>0</v>
      </c>
      <c r="E4" s="80">
        <f>'내역서(표준단가)'!I7</f>
        <v>0</v>
      </c>
      <c r="F4" s="91">
        <f>'내역서(표준단가)'!M7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B0E6-2487-4A96-82EB-C3030DFBB198}">
  <sheetPr>
    <pageSetUpPr fitToPage="1"/>
  </sheetPr>
  <dimension ref="G1:P1"/>
  <sheetViews>
    <sheetView topLeftCell="A2" zoomScale="70" zoomScaleNormal="70" zoomScaleSheetLayoutView="85" workbookViewId="0">
      <selection activeCell="R38" sqref="R38"/>
    </sheetView>
  </sheetViews>
  <sheetFormatPr defaultColWidth="9" defaultRowHeight="16.5"/>
  <cols>
    <col min="1" max="1" width="11.5" style="116" bestFit="1" customWidth="1"/>
    <col min="2" max="2" width="17.875" style="116" customWidth="1"/>
    <col min="3" max="3" width="14.625" style="116" customWidth="1"/>
    <col min="4" max="4" width="10.875" style="116" customWidth="1"/>
    <col min="5" max="5" width="12" style="116" customWidth="1"/>
    <col min="6" max="6" width="10.625" style="116" customWidth="1"/>
    <col min="7" max="7" width="13.625" style="117" customWidth="1"/>
    <col min="8" max="8" width="9.625" style="116" customWidth="1"/>
    <col min="9" max="9" width="13.625" style="116" customWidth="1"/>
    <col min="10" max="10" width="12.75" style="116" customWidth="1"/>
    <col min="11" max="11" width="9.25" style="116" customWidth="1"/>
    <col min="12" max="12" width="13.625" style="117" customWidth="1"/>
    <col min="13" max="13" width="9.625" style="116" customWidth="1"/>
    <col min="14" max="14" width="13.625" style="117" customWidth="1"/>
    <col min="15" max="15" width="19.75" style="118" bestFit="1" customWidth="1"/>
    <col min="16" max="16" width="12.25" style="118" bestFit="1" customWidth="1"/>
    <col min="17" max="16384" width="9" style="116"/>
  </cols>
  <sheetData/>
  <phoneticPr fontId="10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Upload-rs</vt:lpstr>
      <vt:lpstr>참고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2025-04-06T22:02:00Z</dcterms:modified>
</cp:coreProperties>
</file>
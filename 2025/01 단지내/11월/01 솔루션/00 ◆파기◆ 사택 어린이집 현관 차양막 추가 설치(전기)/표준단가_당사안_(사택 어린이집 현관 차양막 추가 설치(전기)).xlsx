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6\03 당사안\"/>
    </mc:Choice>
  </mc:AlternateContent>
  <xr:revisionPtr revIDLastSave="0" documentId="13_ncr:1_{3423921D-D269-4476-8F12-61BCE4EFE67C}" xr6:coauthVersionLast="47" xr6:coauthVersionMax="47" xr10:uidLastSave="{00000000-0000-0000-0000-000000000000}"/>
  <bookViews>
    <workbookView xWindow="780" yWindow="0" windowWidth="14610" windowHeight="16200" tabRatio="868" xr2:uid="{00000000-000D-0000-FFFF-FFFF00000000}"/>
  </bookViews>
  <sheets>
    <sheet name="갑지" sheetId="5" r:id="rId1"/>
    <sheet name="내역서(표준단가)" sheetId="27" r:id="rId2"/>
    <sheet name="공사수립계획서" sheetId="23" r:id="rId3"/>
    <sheet name="내역서업로드" sheetId="21" r:id="rId4"/>
    <sheet name="Upload" sheetId="2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" i="27" l="1"/>
  <c r="V8" i="27"/>
  <c r="V7" i="27"/>
  <c r="V6" i="27"/>
  <c r="V5" i="27"/>
  <c r="Q9" i="27"/>
  <c r="Q8" i="27"/>
  <c r="Q7" i="27"/>
  <c r="O6" i="27"/>
  <c r="O5" i="27"/>
  <c r="F17" i="5" l="1"/>
  <c r="F16" i="5"/>
  <c r="F21" i="5" l="1"/>
  <c r="F25" i="5"/>
  <c r="F22" i="5"/>
  <c r="F24" i="5"/>
  <c r="F26" i="5" s="1"/>
  <c r="F23" i="5"/>
  <c r="F7" i="24"/>
  <c r="F6" i="24"/>
  <c r="F5" i="24"/>
  <c r="F4" i="24"/>
  <c r="F3" i="24"/>
  <c r="F2" i="24"/>
  <c r="F27" i="5" l="1"/>
  <c r="C7" i="24"/>
  <c r="E4" i="23"/>
  <c r="C5" i="23"/>
  <c r="B4" i="24" l="1"/>
  <c r="C3" i="24"/>
  <c r="B2" i="24"/>
  <c r="B7" i="24"/>
  <c r="B6" i="24"/>
  <c r="B3" i="24"/>
  <c r="C6" i="24"/>
  <c r="C4" i="24"/>
  <c r="B5" i="24"/>
  <c r="C5" i="24"/>
  <c r="C2" i="24"/>
  <c r="B3" i="21"/>
  <c r="D4" i="24" l="1"/>
  <c r="E4" i="24"/>
  <c r="E5" i="24"/>
  <c r="E3" i="24"/>
  <c r="E7" i="24"/>
  <c r="E6" i="24"/>
  <c r="E2" i="24"/>
  <c r="A6" i="24" l="1"/>
  <c r="A3" i="24"/>
  <c r="A4" i="24"/>
  <c r="A5" i="24"/>
  <c r="A7" i="24"/>
  <c r="D3" i="24"/>
  <c r="D6" i="24"/>
  <c r="D5" i="24"/>
  <c r="D2" i="24"/>
  <c r="A2" i="24"/>
  <c r="D7" i="24"/>
  <c r="F28" i="5" l="1"/>
  <c r="F19" i="5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<sst xmlns="http://schemas.openxmlformats.org/spreadsheetml/2006/main" count="178" uniqueCount="128">
  <si>
    <t>표준단가</t>
  </si>
  <si>
    <t>표준품셈</t>
  </si>
  <si>
    <t>물가정보</t>
  </si>
  <si>
    <t>노임단가</t>
  </si>
  <si>
    <t>수량</t>
  </si>
  <si>
    <t>m</t>
  </si>
  <si>
    <t>견 적 서</t>
    <phoneticPr fontId="15" type="noConversion"/>
  </si>
  <si>
    <t xml:space="preserve"> 수신인: </t>
    <phoneticPr fontId="15" type="noConversion"/>
  </si>
  <si>
    <t xml:space="preserve"> 공사명: </t>
    <phoneticPr fontId="15" type="noConversion"/>
  </si>
  <si>
    <t xml:space="preserve">금액: </t>
    <phoneticPr fontId="15" type="noConversion"/>
  </si>
  <si>
    <t>원정</t>
    <phoneticPr fontId="25" type="noConversion"/>
  </si>
  <si>
    <t xml:space="preserve">  </t>
  </si>
  <si>
    <t>NO</t>
  </si>
  <si>
    <t>품명</t>
    <phoneticPr fontId="25" type="noConversion"/>
  </si>
  <si>
    <t>규격</t>
    <phoneticPr fontId="25" type="noConversion"/>
  </si>
  <si>
    <t>수량</t>
    <phoneticPr fontId="25" type="noConversion"/>
  </si>
  <si>
    <t>단위</t>
    <phoneticPr fontId="25" type="noConversion"/>
  </si>
  <si>
    <t>금액</t>
    <phoneticPr fontId="25" type="noConversion"/>
  </si>
  <si>
    <t>비고</t>
    <phoneticPr fontId="25" type="noConversion"/>
  </si>
  <si>
    <t>직접비</t>
    <phoneticPr fontId="15" type="noConversion"/>
  </si>
  <si>
    <t>재료비</t>
    <phoneticPr fontId="15" type="noConversion"/>
  </si>
  <si>
    <t>노무비</t>
    <phoneticPr fontId="25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</si>
  <si>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</si>
  <si>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</si>
  <si>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</si>
  <si>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식</t>
    <phoneticPr fontId="25" type="noConversion"/>
  </si>
  <si>
    <t>모든공사에 적용</t>
    <phoneticPr fontId="25" type="noConversion"/>
  </si>
  <si>
    <t>소계</t>
    <phoneticPr fontId="15" type="noConversion"/>
  </si>
  <si>
    <t>합계(단수조정)</t>
    <phoneticPr fontId="15" type="noConversion"/>
  </si>
  <si>
    <t>VAT별도</t>
    <phoneticPr fontId="25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</si>
  <si>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</si>
  <si>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일반관리비/이윤</t>
    <phoneticPr fontId="25" type="noConversion"/>
  </si>
  <si>
    <t>구분</t>
    <phoneticPr fontId="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</si>
  <si>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</si>
  <si>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7" type="noConversion"/>
  </si>
  <si>
    <t>기준</t>
    <phoneticPr fontId="7" type="noConversion"/>
  </si>
  <si>
    <t>비고</t>
    <phoneticPr fontId="7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</si>
  <si>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</si>
  <si>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</si>
  <si>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</si>
  <si>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</si>
  <si>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</si>
  <si>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</si>
  <si>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</si>
  <si>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</si>
  <si>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</si>
  <si>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</si>
  <si>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</si>
  <si>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</si>
  <si>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</si>
  <si>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7" type="noConversion"/>
  </si>
  <si>
    <t>0.6/1KV 3C 4㎟</t>
  </si>
  <si>
    <t>공사수립계획서</t>
    <phoneticPr fontId="25" type="noConversion"/>
  </si>
  <si>
    <t>업 체 명</t>
    <phoneticPr fontId="25" type="noConversion"/>
  </si>
  <si>
    <t>대양이엔씨</t>
    <phoneticPr fontId="9" type="noConversion"/>
  </si>
  <si>
    <t xml:space="preserve">일 시 </t>
    <phoneticPr fontId="25" type="noConversion"/>
  </si>
  <si>
    <t>공 사 명</t>
    <phoneticPr fontId="25" type="noConversion"/>
  </si>
  <si>
    <t>공사 업체</t>
    <phoneticPr fontId="25" type="noConversion"/>
  </si>
  <si>
    <t>■ 공사기간 : 입찰시스템 계약기간에 준함</t>
    <phoneticPr fontId="25" type="noConversion"/>
  </si>
  <si>
    <t>■ 시공방법</t>
    <phoneticPr fontId="25" type="noConversion"/>
  </si>
  <si>
    <t>■ 위험작업 유무 :  고소작업.전기작업</t>
    <phoneticPr fontId="25" type="noConversion"/>
  </si>
  <si>
    <t xml:space="preserve">■ 안전확보 방안 : </t>
    <phoneticPr fontId="25" type="noConversion"/>
  </si>
  <si>
    <t>-. 고소작업시 2인1조 작업</t>
    <phoneticPr fontId="25" type="noConversion"/>
  </si>
  <si>
    <t>-. 천정작업시 안전로프 설치</t>
    <phoneticPr fontId="25" type="noConversion"/>
  </si>
  <si>
    <t>-. 분전반 결선시 위험표지판 설치 및 차단기 락 설치</t>
    <phoneticPr fontId="25" type="noConversion"/>
  </si>
  <si>
    <t xml:space="preserve">■ 주요 사용물질 : </t>
    <phoneticPr fontId="25" type="noConversion"/>
  </si>
  <si>
    <t>대양이엔씨</t>
    <phoneticPr fontId="25" type="noConversion"/>
  </si>
  <si>
    <t>성명 :  홍정운</t>
    <phoneticPr fontId="25" type="noConversion"/>
  </si>
  <si>
    <t>(인감/서명)</t>
    <phoneticPr fontId="25" type="noConversion"/>
  </si>
  <si>
    <t>㈜ S&amp;I Corp.</t>
    <phoneticPr fontId="25" type="noConversion"/>
  </si>
  <si>
    <t>서명</t>
    <phoneticPr fontId="25" type="noConversion"/>
  </si>
  <si>
    <t xml:space="preserve"> 견적일:</t>
    <phoneticPr fontId="15" type="noConversion"/>
  </si>
  <si>
    <t>주 식 회 사 대 양 이 엔 씨 대 표 박 찬 현</t>
    <phoneticPr fontId="9" type="noConversion"/>
  </si>
  <si>
    <t>대전광역시 대덕구 아리랑로 125번길 11</t>
    <phoneticPr fontId="9" type="noConversion"/>
  </si>
  <si>
    <t>전화 : 042-628-8301 /FAX : 042-628-8304</t>
    <phoneticPr fontId="9" type="noConversion"/>
  </si>
  <si>
    <t>(주)에스앤아이코퍼레이션</t>
    <phoneticPr fontId="9" type="noConversion"/>
  </si>
  <si>
    <t>%</t>
    <phoneticPr fontId="7" type="noConversion"/>
  </si>
  <si>
    <t>보통인부</t>
  </si>
  <si>
    <t>.</t>
  </si>
  <si>
    <t>L002</t>
  </si>
  <si>
    <t>합계</t>
  </si>
  <si>
    <t>케이블 포설</t>
    <phoneticPr fontId="7" type="noConversion"/>
  </si>
  <si>
    <t>■ 인원투입계획 : 총 4명(주말 :  명)</t>
    <phoneticPr fontId="25" type="noConversion"/>
  </si>
  <si>
    <t>M045041310630101</t>
  </si>
  <si>
    <t>FW-CV케이블</t>
  </si>
  <si>
    <t>M045243710200101</t>
  </si>
  <si>
    <t>일반방수</t>
  </si>
  <si>
    <t>GW-22, 내경(㎜) : 20.8, 외경(㎜) : 26.4</t>
  </si>
  <si>
    <t>L072</t>
  </si>
  <si>
    <t>저압케이블전공</t>
  </si>
  <si>
    <t>안전관리비</t>
    <phoneticPr fontId="25" type="noConversion"/>
  </si>
  <si>
    <t> (재료비+노무비)*3.11%</t>
    <phoneticPr fontId="7" type="noConversion"/>
  </si>
  <si>
    <t>산재보험료</t>
    <phoneticPr fontId="25" type="noConversion"/>
  </si>
  <si>
    <t> 노무비*3.56%</t>
    <phoneticPr fontId="7" type="noConversion"/>
  </si>
  <si>
    <t>고용보험료</t>
    <phoneticPr fontId="25" type="noConversion"/>
  </si>
  <si>
    <t> 노무비*1.01%</t>
    <phoneticPr fontId="7" type="noConversion"/>
  </si>
  <si>
    <t>국민건강 보험료</t>
    <phoneticPr fontId="25" type="noConversion"/>
  </si>
  <si>
    <t> 노무비*3.545%</t>
    <phoneticPr fontId="7" type="noConversion"/>
  </si>
  <si>
    <t>국민연금 보험료</t>
    <phoneticPr fontId="25" type="noConversion"/>
  </si>
  <si>
    <t> 노무비*4.5%</t>
    <phoneticPr fontId="9" type="noConversion"/>
  </si>
  <si>
    <t>노인장기요양 보험료</t>
    <phoneticPr fontId="25" type="noConversion"/>
  </si>
  <si>
    <t> 국민건강보험료*12.95%</t>
    <phoneticPr fontId="7" type="noConversion"/>
  </si>
  <si>
    <t> (노무비+간접공사비)*5%</t>
  </si>
  <si>
    <t>최소인건비</t>
    <phoneticPr fontId="7" type="noConversion"/>
  </si>
  <si>
    <t>성명 : 이종근</t>
    <phoneticPr fontId="25" type="noConversion"/>
  </si>
  <si>
    <t>어린이집 어닝설치 전기공사</t>
    <phoneticPr fontId="7" type="noConversion"/>
  </si>
  <si>
    <t>전기연결</t>
    <phoneticPr fontId="7" type="noConversion"/>
  </si>
  <si>
    <t>2025년 09월  일</t>
    <phoneticPr fontId="7" type="noConversion"/>
  </si>
  <si>
    <t>사다리보조자</t>
  </si>
  <si>
    <t>최소인건비</t>
  </si>
  <si>
    <t>할증율(%)</t>
  </si>
  <si>
    <t>금액</t>
  </si>
  <si>
    <t>단가</t>
  </si>
  <si>
    <t>규격</t>
  </si>
  <si>
    <t>품목</t>
  </si>
  <si>
    <t>비고</t>
  </si>
  <si>
    <t>기타경비(부자재비)</t>
  </si>
  <si>
    <t>기계경비</t>
  </si>
  <si>
    <t>노무비</t>
  </si>
  <si>
    <t>재료비</t>
  </si>
  <si>
    <t>단위</t>
  </si>
  <si>
    <t>주요내역</t>
  </si>
  <si>
    <t>표준 Code</t>
  </si>
  <si>
    <t>기본</t>
  </si>
  <si>
    <t>어린이집 어닝설치 전기공사</t>
  </si>
  <si>
    <t xml:space="preserve">공사명: </t>
  </si>
  <si>
    <t>▼할증율</t>
  </si>
  <si>
    <t>▼낙찰율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</si>
</sst>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₩&quot;* #,##0_);_(&quot;₩&quot;* \(#,##0\);_(&quot;₩&quot;* &quot;-&quot;_);_(@_)"/>
    <numFmt numFmtId="41" formatCode="_(* #,##0_);_(* \(#,##0\);_(* &quot;-&quot;_);_(@_)"/>
    <numFmt numFmtId="43" formatCode="_(* #,##0.00_);_(* \(#,##0.00\);_(* &quot;-&quot;??_);_(@_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80" formatCode="m&quot;/&quot;d;@"/>
    <numFmt numFmtId="181" formatCode="#,##0_);[Red]\(#,##0\)"/>
  </numFmts>
  <fonts count="6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0"/>
      <color indexed="8"/>
      <name val="Malgun Gothi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0" borderId="0"/>
    <xf numFmtId="41" fontId="5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13" fillId="0" borderId="0"/>
    <xf numFmtId="178" fontId="13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41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5" fillId="0" borderId="0"/>
    <xf numFmtId="42" fontId="45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71">
    <xf numFmtId="0" fontId="0" fillId="0" borderId="0" xfId="0">
      <alignment vertical="center"/>
    </xf>
    <xf numFmtId="0" fontId="14" fillId="0" borderId="0" xfId="5" applyFont="1" applyAlignment="1">
      <alignment vertical="center"/>
    </xf>
    <xf numFmtId="0" fontId="16" fillId="0" borderId="0" xfId="2" applyFont="1"/>
    <xf numFmtId="0" fontId="17" fillId="0" borderId="0" xfId="2" applyFont="1"/>
    <xf numFmtId="0" fontId="18" fillId="0" borderId="0" xfId="5" applyFont="1" applyAlignment="1">
      <alignment vertical="center"/>
    </xf>
    <xf numFmtId="0" fontId="19" fillId="0" borderId="1" xfId="5" applyFont="1" applyBorder="1" applyAlignment="1">
      <alignment vertical="center"/>
    </xf>
    <xf numFmtId="0" fontId="19" fillId="0" borderId="2" xfId="5" applyFont="1" applyBorder="1" applyAlignment="1">
      <alignment horizontal="left" vertical="center"/>
    </xf>
    <xf numFmtId="0" fontId="19" fillId="0" borderId="3" xfId="5" applyFont="1" applyBorder="1" applyAlignment="1">
      <alignment horizontal="right" vertical="center"/>
    </xf>
    <xf numFmtId="0" fontId="20" fillId="6" borderId="0" xfId="5" applyFont="1" applyFill="1" applyAlignment="1">
      <alignment vertical="center"/>
    </xf>
    <xf numFmtId="0" fontId="21" fillId="6" borderId="0" xfId="5" applyFont="1" applyFill="1" applyAlignment="1">
      <alignment horizontal="center" vertical="top" shrinkToFit="1"/>
    </xf>
    <xf numFmtId="0" fontId="18" fillId="6" borderId="0" xfId="5" applyFont="1" applyFill="1" applyAlignment="1">
      <alignment vertical="center"/>
    </xf>
    <xf numFmtId="0" fontId="19" fillId="0" borderId="2" xfId="5" applyFont="1" applyBorder="1" applyAlignment="1">
      <alignment vertical="center"/>
    </xf>
    <xf numFmtId="0" fontId="22" fillId="0" borderId="3" xfId="5" applyFont="1" applyBorder="1" applyAlignment="1">
      <alignment vertical="center"/>
    </xf>
    <xf numFmtId="0" fontId="20" fillId="0" borderId="0" xfId="5" applyFont="1" applyAlignment="1">
      <alignment vertical="center" shrinkToFit="1"/>
    </xf>
    <xf numFmtId="0" fontId="18" fillId="6" borderId="0" xfId="5" applyFont="1" applyFill="1" applyAlignment="1">
      <alignment horizontal="left" vertical="center" shrinkToFit="1"/>
    </xf>
    <xf numFmtId="0" fontId="18" fillId="0" borderId="3" xfId="5" applyFont="1" applyBorder="1" applyAlignment="1">
      <alignment vertical="center"/>
    </xf>
    <xf numFmtId="0" fontId="18" fillId="0" borderId="0" xfId="5" applyFont="1" applyAlignment="1">
      <alignment horizontal="center" vertical="center" shrinkToFit="1"/>
    </xf>
    <xf numFmtId="0" fontId="20" fillId="0" borderId="4" xfId="5" applyFont="1" applyBorder="1" applyAlignment="1">
      <alignment vertical="center"/>
    </xf>
    <xf numFmtId="177" fontId="23" fillId="0" borderId="4" xfId="5" applyNumberFormat="1" applyFont="1" applyBorder="1" applyAlignment="1">
      <alignment vertical="center"/>
    </xf>
    <xf numFmtId="0" fontId="24" fillId="0" borderId="4" xfId="5" applyFont="1" applyBorder="1" applyAlignment="1">
      <alignment horizontal="right" vertical="center"/>
    </xf>
    <xf numFmtId="0" fontId="26" fillId="0" borderId="4" xfId="5" applyFont="1" applyBorder="1" applyAlignment="1">
      <alignment horizontal="right" vertical="center"/>
    </xf>
    <xf numFmtId="0" fontId="19" fillId="0" borderId="4" xfId="5" applyFont="1" applyBorder="1" applyAlignment="1">
      <alignment horizontal="right" vertical="center"/>
    </xf>
    <xf numFmtId="0" fontId="18" fillId="0" borderId="0" xfId="5" applyFont="1" applyAlignment="1">
      <alignment vertical="center" shrinkToFit="1"/>
    </xf>
    <xf numFmtId="0" fontId="19" fillId="0" borderId="5" xfId="5" applyFont="1" applyBorder="1" applyAlignment="1">
      <alignment horizontal="center" vertical="center"/>
    </xf>
    <xf numFmtId="0" fontId="19" fillId="0" borderId="6" xfId="5" applyFont="1" applyBorder="1" applyAlignment="1">
      <alignment horizontal="center" vertical="center"/>
    </xf>
    <xf numFmtId="0" fontId="19" fillId="0" borderId="7" xfId="5" applyFont="1" applyBorder="1" applyAlignment="1">
      <alignment horizontal="center" vertical="center"/>
    </xf>
    <xf numFmtId="0" fontId="27" fillId="0" borderId="8" xfId="5" applyFont="1" applyBorder="1" applyAlignment="1">
      <alignment horizontal="center" vertical="center"/>
    </xf>
    <xf numFmtId="0" fontId="19" fillId="0" borderId="9" xfId="5" applyFont="1" applyBorder="1" applyAlignment="1">
      <alignment vertical="center"/>
    </xf>
    <xf numFmtId="0" fontId="27" fillId="0" borderId="9" xfId="5" applyFont="1" applyBorder="1" applyAlignment="1">
      <alignment vertical="center"/>
    </xf>
    <xf numFmtId="1" fontId="27" fillId="0" borderId="9" xfId="5" applyNumberFormat="1" applyFont="1" applyBorder="1" applyAlignment="1">
      <alignment horizontal="center" vertical="center"/>
    </xf>
    <xf numFmtId="178" fontId="27" fillId="0" borderId="9" xfId="6" applyFont="1" applyBorder="1" applyAlignment="1">
      <alignment horizontal="right" vertical="center"/>
    </xf>
    <xf numFmtId="0" fontId="27" fillId="0" borderId="10" xfId="5" applyFont="1" applyBorder="1" applyAlignment="1">
      <alignment vertical="center"/>
    </xf>
    <xf numFmtId="0" fontId="27" fillId="0" borderId="11" xfId="5" applyFont="1" applyBorder="1" applyAlignment="1">
      <alignment horizontal="center" vertical="center"/>
    </xf>
    <xf numFmtId="0" fontId="27" fillId="0" borderId="12" xfId="5" applyFont="1" applyBorder="1" applyAlignment="1">
      <alignment horizontal="center" vertical="center"/>
    </xf>
    <xf numFmtId="0" fontId="28" fillId="0" borderId="12" xfId="2" applyFont="1" applyBorder="1" applyAlignment="1">
      <alignment horizontal="center" vertical="center"/>
    </xf>
    <xf numFmtId="1" fontId="27" fillId="0" borderId="12" xfId="5" applyNumberFormat="1" applyFont="1" applyBorder="1" applyAlignment="1">
      <alignment horizontal="center" vertical="center"/>
    </xf>
    <xf numFmtId="178" fontId="27" fillId="0" borderId="12" xfId="6" applyFont="1" applyBorder="1" applyAlignment="1">
      <alignment horizontal="right" vertical="center"/>
    </xf>
    <xf numFmtId="0" fontId="27" fillId="0" borderId="13" xfId="5" quotePrefix="1" applyFont="1" applyBorder="1" applyAlignment="1">
      <alignment vertical="center"/>
    </xf>
    <xf numFmtId="0" fontId="27" fillId="0" borderId="13" xfId="5" applyFont="1" applyBorder="1" applyAlignment="1">
      <alignment vertical="center"/>
    </xf>
    <xf numFmtId="0" fontId="19" fillId="7" borderId="12" xfId="5" applyFont="1" applyFill="1" applyBorder="1" applyAlignment="1">
      <alignment vertical="center"/>
    </xf>
    <xf numFmtId="1" fontId="19" fillId="7" borderId="12" xfId="5" applyNumberFormat="1" applyFont="1" applyFill="1" applyBorder="1" applyAlignment="1">
      <alignment horizontal="center" vertical="center"/>
    </xf>
    <xf numFmtId="178" fontId="19" fillId="7" borderId="12" xfId="6" applyFont="1" applyFill="1" applyBorder="1" applyAlignment="1">
      <alignment horizontal="right" vertical="center"/>
    </xf>
    <xf numFmtId="0" fontId="19" fillId="0" borderId="12" xfId="5" applyFont="1" applyBorder="1" applyAlignment="1">
      <alignment vertical="center"/>
    </xf>
    <xf numFmtId="0" fontId="27" fillId="0" borderId="12" xfId="5" applyFont="1" applyBorder="1" applyAlignment="1">
      <alignment vertical="center"/>
    </xf>
    <xf numFmtId="178" fontId="19" fillId="0" borderId="12" xfId="6" applyFont="1" applyFill="1" applyBorder="1" applyAlignment="1">
      <alignment horizontal="right" vertical="center"/>
    </xf>
    <xf numFmtId="176" fontId="27" fillId="0" borderId="12" xfId="4" applyFont="1" applyFill="1" applyBorder="1" applyAlignment="1">
      <alignment horizontal="right" vertical="center"/>
    </xf>
    <xf numFmtId="0" fontId="27" fillId="0" borderId="12" xfId="2" applyFont="1" applyBorder="1" applyAlignment="1">
      <alignment horizontal="left" vertical="center"/>
    </xf>
    <xf numFmtId="9" fontId="19" fillId="7" borderId="12" xfId="2" applyNumberFormat="1" applyFont="1" applyFill="1" applyBorder="1" applyAlignment="1">
      <alignment horizontal="right" vertical="center"/>
    </xf>
    <xf numFmtId="1" fontId="19" fillId="7" borderId="12" xfId="8" applyNumberFormat="1" applyFont="1" applyFill="1" applyBorder="1" applyAlignment="1">
      <alignment horizontal="center" vertical="center"/>
    </xf>
    <xf numFmtId="41" fontId="19" fillId="7" borderId="12" xfId="6" applyNumberFormat="1" applyFont="1" applyFill="1" applyBorder="1" applyAlignment="1">
      <alignment horizontal="right" vertical="center"/>
    </xf>
    <xf numFmtId="9" fontId="27" fillId="0" borderId="12" xfId="2" applyNumberFormat="1" applyFont="1" applyBorder="1" applyAlignment="1">
      <alignment horizontal="right" vertical="center"/>
    </xf>
    <xf numFmtId="1" fontId="27" fillId="0" borderId="12" xfId="8" applyNumberFormat="1" applyFont="1" applyFill="1" applyBorder="1" applyAlignment="1">
      <alignment horizontal="center" vertical="center"/>
    </xf>
    <xf numFmtId="41" fontId="19" fillId="0" borderId="12" xfId="6" applyNumberFormat="1" applyFont="1" applyFill="1" applyBorder="1" applyAlignment="1">
      <alignment horizontal="right" vertical="center"/>
    </xf>
    <xf numFmtId="0" fontId="27" fillId="0" borderId="12" xfId="2" applyFont="1" applyBorder="1" applyAlignment="1">
      <alignment vertical="center"/>
    </xf>
    <xf numFmtId="178" fontId="27" fillId="4" borderId="12" xfId="6" applyFont="1" applyFill="1" applyBorder="1" applyAlignment="1">
      <alignment horizontal="right" vertical="center"/>
    </xf>
    <xf numFmtId="0" fontId="19" fillId="0" borderId="14" xfId="5" applyFont="1" applyBorder="1" applyAlignment="1">
      <alignment horizontal="center" vertical="center" textRotation="255"/>
    </xf>
    <xf numFmtId="0" fontId="19" fillId="0" borderId="15" xfId="5" applyFont="1" applyBorder="1" applyAlignment="1">
      <alignment vertical="top"/>
    </xf>
    <xf numFmtId="0" fontId="27" fillId="0" borderId="16" xfId="5" applyFont="1" applyBorder="1" applyAlignment="1">
      <alignment vertical="center"/>
    </xf>
    <xf numFmtId="0" fontId="27" fillId="0" borderId="17" xfId="5" applyFont="1" applyBorder="1" applyAlignment="1">
      <alignment vertical="center"/>
    </xf>
    <xf numFmtId="0" fontId="29" fillId="0" borderId="0" xfId="9" applyFont="1"/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9" fillId="0" borderId="0" xfId="11">
      <alignment vertical="center"/>
    </xf>
    <xf numFmtId="41" fontId="35" fillId="2" borderId="18" xfId="10" applyFont="1" applyFill="1" applyBorder="1" applyAlignment="1">
      <alignment horizontal="center" vertical="center" wrapText="1"/>
    </xf>
    <xf numFmtId="49" fontId="35" fillId="2" borderId="18" xfId="11" applyNumberFormat="1" applyFont="1" applyFill="1" applyBorder="1" applyAlignment="1">
      <alignment horizontal="center" vertical="center" wrapText="1"/>
    </xf>
    <xf numFmtId="41" fontId="6" fillId="0" borderId="18" xfId="10" applyFont="1" applyFill="1" applyBorder="1" applyAlignment="1">
      <alignment horizontal="left" vertical="center" wrapText="1"/>
    </xf>
    <xf numFmtId="41" fontId="6" fillId="0" borderId="18" xfId="10" applyFont="1" applyFill="1" applyBorder="1" applyAlignment="1">
      <alignment horizontal="center" vertical="center" wrapText="1"/>
    </xf>
    <xf numFmtId="0" fontId="39" fillId="0" borderId="0" xfId="11" applyAlignment="1">
      <alignment horizontal="center" vertical="center"/>
    </xf>
    <xf numFmtId="176" fontId="32" fillId="5" borderId="19" xfId="4" applyFont="1" applyFill="1" applyBorder="1" applyAlignment="1">
      <alignment horizontal="center" vertical="center"/>
    </xf>
    <xf numFmtId="0" fontId="32" fillId="5" borderId="19" xfId="0" applyFont="1" applyFill="1" applyBorder="1" applyAlignment="1">
      <alignment horizontal="center" vertical="center"/>
    </xf>
    <xf numFmtId="0" fontId="41" fillId="5" borderId="19" xfId="0" applyFont="1" applyFill="1" applyBorder="1" applyAlignment="1">
      <alignment horizontal="center" vertical="center"/>
    </xf>
    <xf numFmtId="41" fontId="32" fillId="5" borderId="19" xfId="1" applyFont="1" applyFill="1" applyBorder="1" applyAlignment="1">
      <alignment horizontal="center" vertical="center"/>
    </xf>
    <xf numFmtId="41" fontId="42" fillId="0" borderId="19" xfId="1" applyFont="1" applyBorder="1">
      <alignment vertical="center"/>
    </xf>
    <xf numFmtId="0" fontId="42" fillId="0" borderId="0" xfId="0" applyFont="1">
      <alignment vertical="center"/>
    </xf>
    <xf numFmtId="41" fontId="42" fillId="3" borderId="19" xfId="1" applyFont="1" applyFill="1" applyBorder="1">
      <alignment vertical="center"/>
    </xf>
    <xf numFmtId="176" fontId="32" fillId="3" borderId="19" xfId="4" applyFont="1" applyFill="1" applyBorder="1" applyAlignment="1">
      <alignment horizontal="center" vertical="center"/>
    </xf>
    <xf numFmtId="41" fontId="32" fillId="3" borderId="19" xfId="1" applyFont="1" applyFill="1" applyBorder="1" applyAlignment="1">
      <alignment horizontal="center" vertical="center"/>
    </xf>
    <xf numFmtId="9" fontId="12" fillId="8" borderId="0" xfId="15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9" fontId="42" fillId="0" borderId="19" xfId="0" applyNumberFormat="1" applyFont="1" applyBorder="1">
      <alignment vertical="center"/>
    </xf>
    <xf numFmtId="49" fontId="31" fillId="0" borderId="0" xfId="0" applyNumberFormat="1" applyFont="1">
      <alignment vertical="center"/>
    </xf>
    <xf numFmtId="49" fontId="32" fillId="5" borderId="19" xfId="2" applyNumberFormat="1" applyFont="1" applyFill="1" applyBorder="1" applyAlignment="1">
      <alignment horizontal="center" vertical="center"/>
    </xf>
    <xf numFmtId="41" fontId="31" fillId="0" borderId="0" xfId="1" applyFont="1">
      <alignment vertical="center"/>
    </xf>
    <xf numFmtId="41" fontId="31" fillId="0" borderId="0" xfId="1" applyFont="1" applyAlignment="1">
      <alignment horizontal="center" vertical="center"/>
    </xf>
    <xf numFmtId="41" fontId="32" fillId="0" borderId="0" xfId="1" applyFont="1" applyAlignment="1">
      <alignment horizontal="center" vertical="center"/>
    </xf>
    <xf numFmtId="9" fontId="42" fillId="0" borderId="19" xfId="0" applyNumberFormat="1" applyFont="1" applyBorder="1">
      <alignment vertical="center"/>
    </xf>
    <xf numFmtId="49" fontId="42" fillId="0" borderId="0" xfId="0" applyNumberFormat="1" applyFont="1">
      <alignment vertical="center"/>
    </xf>
    <xf numFmtId="41" fontId="42" fillId="0" borderId="0" xfId="1" applyFont="1" applyFill="1">
      <alignment vertical="center"/>
    </xf>
    <xf numFmtId="9" fontId="42" fillId="0" borderId="0" xfId="0" applyNumberFormat="1" applyFont="1">
      <alignment vertical="center"/>
    </xf>
    <xf numFmtId="0" fontId="4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180" fontId="46" fillId="0" borderId="0" xfId="17" applyNumberFormat="1" applyFont="1" applyAlignment="1">
      <alignment horizontal="center" vertical="center" shrinkToFit="1"/>
    </xf>
    <xf numFmtId="0" fontId="46" fillId="0" borderId="0" xfId="17" applyFont="1" applyAlignment="1">
      <alignment vertical="center" shrinkToFit="1"/>
    </xf>
    <xf numFmtId="0" fontId="50" fillId="0" borderId="0" xfId="17" applyFont="1" applyAlignment="1">
      <alignment vertical="center" shrinkToFit="1"/>
    </xf>
    <xf numFmtId="0" fontId="51" fillId="0" borderId="22" xfId="17" applyFont="1" applyBorder="1" applyAlignment="1">
      <alignment horizontal="center" vertical="center" shrinkToFit="1"/>
    </xf>
    <xf numFmtId="0" fontId="51" fillId="0" borderId="23" xfId="17" applyFont="1" applyBorder="1" applyAlignment="1">
      <alignment horizontal="center" vertical="center" shrinkToFit="1"/>
    </xf>
    <xf numFmtId="181" fontId="51" fillId="0" borderId="23" xfId="17" applyNumberFormat="1" applyFont="1" applyBorder="1" applyAlignment="1">
      <alignment horizontal="center" vertical="center" shrinkToFit="1"/>
    </xf>
    <xf numFmtId="180" fontId="52" fillId="0" borderId="0" xfId="17" applyNumberFormat="1" applyFont="1" applyAlignment="1">
      <alignment horizontal="center" vertical="center" shrinkToFit="1"/>
    </xf>
    <xf numFmtId="0" fontId="51" fillId="0" borderId="26" xfId="17" applyFont="1" applyBorder="1" applyAlignment="1">
      <alignment horizontal="center" vertical="center" shrinkToFit="1"/>
    </xf>
    <xf numFmtId="0" fontId="52" fillId="0" borderId="0" xfId="17" applyFont="1" applyAlignment="1">
      <alignment horizontal="center" vertical="center" shrinkToFit="1"/>
    </xf>
    <xf numFmtId="0" fontId="51" fillId="0" borderId="20" xfId="17" applyFont="1" applyBorder="1" applyAlignment="1">
      <alignment vertical="center" shrinkToFit="1"/>
    </xf>
    <xf numFmtId="0" fontId="46" fillId="0" borderId="0" xfId="17" applyFont="1" applyAlignment="1">
      <alignment horizontal="left" vertical="center" shrinkToFit="1"/>
    </xf>
    <xf numFmtId="181" fontId="46" fillId="0" borderId="0" xfId="17" applyNumberFormat="1" applyFont="1" applyAlignment="1">
      <alignment horizontal="right" vertical="center" shrinkToFit="1"/>
    </xf>
    <xf numFmtId="49" fontId="19" fillId="0" borderId="2" xfId="5" applyNumberFormat="1" applyFont="1" applyBorder="1" applyAlignment="1">
      <alignment vertical="center"/>
    </xf>
    <xf numFmtId="41" fontId="42" fillId="0" borderId="19" xfId="1" applyFont="1" applyFill="1" applyBorder="1">
      <alignment vertical="center"/>
    </xf>
    <xf numFmtId="41" fontId="42" fillId="0" borderId="19" xfId="1" applyFont="1" applyFill="1" applyBorder="1" applyAlignment="1">
      <alignment horizontal="center" vertical="center"/>
    </xf>
    <xf numFmtId="178" fontId="29" fillId="7" borderId="0" xfId="2" applyNumberFormat="1" applyFont="1" applyFill="1" applyAlignment="1">
      <alignment horizontal="center" vertical="center"/>
    </xf>
    <xf numFmtId="49" fontId="42" fillId="9" borderId="19" xfId="0" applyNumberFormat="1" applyFont="1" applyFill="1" applyBorder="1" applyAlignment="1">
      <alignment horizontal="center" vertical="center"/>
    </xf>
    <xf numFmtId="41" fontId="42" fillId="9" borderId="19" xfId="1" applyFont="1" applyFill="1" applyBorder="1" applyAlignment="1">
      <alignment horizontal="center" vertical="center"/>
    </xf>
    <xf numFmtId="41" fontId="42" fillId="9" borderId="19" xfId="1" applyFont="1" applyFill="1" applyBorder="1">
      <alignment vertical="center"/>
    </xf>
    <xf numFmtId="0" fontId="42" fillId="9" borderId="19" xfId="0" applyFont="1" applyFill="1" applyBorder="1" applyAlignment="1">
      <alignment horizontal="left" vertical="center"/>
    </xf>
    <xf numFmtId="49" fontId="42" fillId="9" borderId="19" xfId="0" applyNumberFormat="1" applyFont="1" applyFill="1" applyBorder="1">
      <alignment vertical="center"/>
    </xf>
    <xf numFmtId="9" fontId="42" fillId="9" borderId="19" xfId="0" applyNumberFormat="1" applyFont="1" applyFill="1" applyBorder="1">
      <alignment vertical="center"/>
    </xf>
    <xf numFmtId="0" fontId="42" fillId="9" borderId="0" xfId="0" applyFont="1" applyFill="1">
      <alignment vertical="center"/>
    </xf>
    <xf numFmtId="49" fontId="6" fillId="4" borderId="19" xfId="0" applyNumberFormat="1" applyFont="1" applyFill="1" applyBorder="1" applyAlignment="1">
      <alignment horizontal="left" vertical="center" wrapText="1"/>
    </xf>
    <xf numFmtId="49" fontId="56" fillId="4" borderId="19" xfId="0" applyNumberFormat="1" applyFont="1" applyFill="1" applyBorder="1">
      <alignment vertical="center"/>
    </xf>
    <xf numFmtId="0" fontId="56" fillId="4" borderId="19" xfId="0" applyFont="1" applyFill="1" applyBorder="1" applyAlignment="1">
      <alignment horizontal="center" vertical="center"/>
    </xf>
    <xf numFmtId="41" fontId="56" fillId="4" borderId="19" xfId="1" applyFont="1" applyFill="1" applyBorder="1" applyAlignment="1">
      <alignment vertical="center"/>
    </xf>
    <xf numFmtId="49" fontId="56" fillId="4" borderId="19" xfId="0" applyNumberFormat="1" applyFont="1" applyFill="1" applyBorder="1" applyAlignment="1">
      <alignment horizontal="center" vertical="center"/>
    </xf>
    <xf numFmtId="49" fontId="56" fillId="4" borderId="19" xfId="0" applyNumberFormat="1" applyFont="1" applyFill="1" applyBorder="1" applyAlignment="1">
      <alignment horizontal="left" vertical="center"/>
    </xf>
    <xf numFmtId="41" fontId="56" fillId="4" borderId="19" xfId="0" applyNumberFormat="1" applyFont="1" applyFill="1" applyBorder="1" applyAlignment="1">
      <alignment horizontal="left" vertical="center"/>
    </xf>
    <xf numFmtId="0" fontId="27" fillId="0" borderId="12" xfId="20" applyFont="1" applyBorder="1" applyAlignment="1">
      <alignment horizontal="center" vertical="center"/>
    </xf>
    <xf numFmtId="41" fontId="27" fillId="0" borderId="12" xfId="21" applyFont="1" applyFill="1" applyBorder="1" applyAlignment="1">
      <alignment horizontal="right" vertical="center"/>
    </xf>
    <xf numFmtId="0" fontId="27" fillId="4" borderId="12" xfId="5" applyFont="1" applyFill="1" applyBorder="1" applyAlignment="1">
      <alignment vertical="center"/>
    </xf>
    <xf numFmtId="0" fontId="27" fillId="4" borderId="12" xfId="2" applyFont="1" applyFill="1" applyBorder="1" applyAlignment="1">
      <alignment horizontal="left" vertical="center"/>
    </xf>
    <xf numFmtId="178" fontId="27" fillId="0" borderId="16" xfId="5" applyNumberFormat="1" applyFont="1" applyBorder="1" applyAlignment="1">
      <alignment horizontal="right" vertical="center"/>
    </xf>
    <xf numFmtId="0" fontId="1" fillId="0" borderId="0" xfId="22">
      <alignment vertical="center"/>
    </xf>
    <xf numFmtId="0" fontId="40" fillId="4" borderId="0" xfId="22" applyFont="1" applyFill="1">
      <alignment vertical="center"/>
    </xf>
    <xf numFmtId="0" fontId="56" fillId="4" borderId="0" xfId="22" applyFont="1" applyFill="1">
      <alignment vertical="center"/>
    </xf>
    <xf numFmtId="0" fontId="55" fillId="4" borderId="0" xfId="22" applyFont="1" applyFill="1">
      <alignment vertical="center"/>
    </xf>
    <xf numFmtId="0" fontId="58" fillId="4" borderId="0" xfId="22" applyFont="1" applyFill="1">
      <alignment vertical="center"/>
    </xf>
    <xf numFmtId="0" fontId="58" fillId="0" borderId="0" xfId="22" applyFont="1">
      <alignment vertical="center"/>
    </xf>
    <xf numFmtId="0" fontId="60" fillId="0" borderId="0" xfId="22" applyFont="1" applyAlignment="1">
      <alignment horizontal="center" vertical="center"/>
    </xf>
    <xf numFmtId="0" fontId="59" fillId="0" borderId="0" xfId="22" applyFont="1" applyAlignment="1">
      <alignment horizontal="center" vertical="center"/>
    </xf>
    <xf numFmtId="41" fontId="58" fillId="0" borderId="0" xfId="23" applyFont="1">
      <alignment vertical="center"/>
    </xf>
    <xf numFmtId="41" fontId="40" fillId="0" borderId="0" xfId="23" applyFont="1" applyFill="1">
      <alignment vertical="center"/>
    </xf>
    <xf numFmtId="49" fontId="58" fillId="0" borderId="0" xfId="22" applyNumberFormat="1" applyFont="1" applyAlignment="1">
      <alignment horizontal="center" vertical="center"/>
    </xf>
    <xf numFmtId="49" fontId="58" fillId="0" borderId="0" xfId="22" applyNumberFormat="1" applyFont="1">
      <alignment vertical="center"/>
    </xf>
    <xf numFmtId="0" fontId="57" fillId="0" borderId="0" xfId="22" applyFont="1" applyAlignment="1">
      <alignment horizontal="center" vertical="center"/>
    </xf>
    <xf numFmtId="49" fontId="56" fillId="4" borderId="36" xfId="22" applyNumberFormat="1" applyFont="1" applyFill="1" applyBorder="1" applyAlignment="1">
      <alignment horizontal="center" vertical="center"/>
    </xf>
    <xf numFmtId="49" fontId="56" fillId="4" borderId="36" xfId="22" applyNumberFormat="1" applyFont="1" applyFill="1" applyBorder="1">
      <alignment vertical="center"/>
    </xf>
    <xf numFmtId="41" fontId="56" fillId="4" borderId="36" xfId="23" applyFont="1" applyFill="1" applyBorder="1" applyAlignment="1">
      <alignment vertical="center"/>
    </xf>
    <xf numFmtId="41" fontId="56" fillId="4" borderId="36" xfId="23" applyFont="1" applyFill="1" applyBorder="1" applyAlignment="1">
      <alignment horizontal="center" vertical="center"/>
    </xf>
    <xf numFmtId="0" fontId="56" fillId="4" borderId="36" xfId="22" applyFont="1" applyFill="1" applyBorder="1">
      <alignment vertical="center"/>
    </xf>
    <xf numFmtId="9" fontId="56" fillId="4" borderId="36" xfId="22" applyNumberFormat="1" applyFont="1" applyFill="1" applyBorder="1">
      <alignment vertical="center"/>
    </xf>
    <xf numFmtId="49" fontId="6" fillId="4" borderId="36" xfId="22" applyNumberFormat="1" applyFont="1" applyFill="1" applyBorder="1" applyAlignment="1">
      <alignment horizontal="center" vertical="center" wrapText="1"/>
    </xf>
    <xf numFmtId="0" fontId="61" fillId="0" borderId="0" xfId="22" applyFont="1" applyBorder="1" applyAlignment="1">
      <alignment horizontal="right" vertical="center"/>
    </xf>
    <xf numFmtId="0" fontId="62" fillId="0" borderId="0" xfId="22" applyFont="1" applyBorder="1">
      <alignment vertical="center"/>
    </xf>
    <xf numFmtId="49" fontId="58" fillId="0" borderId="0" xfId="22" applyNumberFormat="1" applyFont="1" applyBorder="1">
      <alignment vertical="center"/>
    </xf>
    <xf numFmtId="49" fontId="58" fillId="0" borderId="0" xfId="22" applyNumberFormat="1" applyFont="1" applyBorder="1" applyAlignment="1">
      <alignment horizontal="center" vertical="center"/>
    </xf>
    <xf numFmtId="41" fontId="58" fillId="0" borderId="0" xfId="23" applyFont="1" applyBorder="1">
      <alignment vertical="center"/>
    </xf>
    <xf numFmtId="41" fontId="40" fillId="0" borderId="0" xfId="23" applyFont="1" applyFill="1" applyBorder="1">
      <alignment vertical="center"/>
    </xf>
    <xf numFmtId="9" fontId="63" fillId="8" borderId="0" xfId="24" applyFont="1" applyFill="1" applyBorder="1" applyAlignment="1">
      <alignment horizontal="center" vertical="center"/>
    </xf>
    <xf numFmtId="0" fontId="58" fillId="0" borderId="0" xfId="22" applyFont="1" applyBorder="1">
      <alignment vertical="center"/>
    </xf>
    <xf numFmtId="0" fontId="64" fillId="0" borderId="0" xfId="22" applyFont="1" applyBorder="1">
      <alignment vertical="center"/>
    </xf>
    <xf numFmtId="49" fontId="56" fillId="4" borderId="37" xfId="22" applyNumberFormat="1" applyFont="1" applyFill="1" applyBorder="1" applyAlignment="1">
      <alignment horizontal="center" vertical="center"/>
    </xf>
    <xf numFmtId="49" fontId="56" fillId="4" borderId="37" xfId="22" applyNumberFormat="1" applyFont="1" applyFill="1" applyBorder="1">
      <alignment vertical="center"/>
    </xf>
    <xf numFmtId="41" fontId="56" fillId="4" borderId="37" xfId="23" applyFont="1" applyFill="1" applyBorder="1" applyAlignment="1">
      <alignment horizontal="center" vertical="center"/>
    </xf>
    <xf numFmtId="0" fontId="56" fillId="4" borderId="37" xfId="22" applyFont="1" applyFill="1" applyBorder="1">
      <alignment vertical="center"/>
    </xf>
    <xf numFmtId="9" fontId="56" fillId="4" borderId="37" xfId="22" applyNumberFormat="1" applyFont="1" applyFill="1" applyBorder="1">
      <alignment vertical="center"/>
    </xf>
    <xf numFmtId="49" fontId="59" fillId="4" borderId="42" xfId="2" applyNumberFormat="1" applyFont="1" applyFill="1" applyBorder="1" applyAlignment="1">
      <alignment horizontal="center" vertical="center"/>
    </xf>
    <xf numFmtId="176" fontId="59" fillId="4" borderId="42" xfId="4" applyFont="1" applyFill="1" applyBorder="1" applyAlignment="1">
      <alignment horizontal="center" vertical="center"/>
    </xf>
    <xf numFmtId="0" fontId="59" fillId="4" borderId="42" xfId="22" applyFont="1" applyFill="1" applyBorder="1" applyAlignment="1">
      <alignment horizontal="center" vertical="center"/>
    </xf>
    <xf numFmtId="0" fontId="65" fillId="4" borderId="43" xfId="22" applyFont="1" applyFill="1" applyBorder="1" applyAlignment="1">
      <alignment horizontal="center" vertical="center"/>
    </xf>
    <xf numFmtId="41" fontId="56" fillId="4" borderId="46" xfId="22" applyNumberFormat="1" applyFont="1" applyFill="1" applyBorder="1" applyAlignment="1">
      <alignment horizontal="center" vertical="center"/>
    </xf>
    <xf numFmtId="41" fontId="56" fillId="4" borderId="1" xfId="22" applyNumberFormat="1" applyFont="1" applyFill="1" applyBorder="1" applyAlignment="1">
      <alignment horizontal="center" vertical="center"/>
    </xf>
    <xf numFmtId="41" fontId="56" fillId="4" borderId="1" xfId="23" applyFont="1" applyFill="1" applyBorder="1" applyAlignment="1">
      <alignment horizontal="center" vertical="center"/>
    </xf>
    <xf numFmtId="41" fontId="56" fillId="4" borderId="3" xfId="23" applyFont="1" applyFill="1" applyBorder="1" applyAlignment="1">
      <alignment vertical="center"/>
    </xf>
    <xf numFmtId="41" fontId="59" fillId="4" borderId="41" xfId="23" applyFont="1" applyFill="1" applyBorder="1" applyAlignment="1">
      <alignment horizontal="center" vertical="center"/>
    </xf>
    <xf numFmtId="41" fontId="59" fillId="4" borderId="43" xfId="23" applyFont="1" applyFill="1" applyBorder="1" applyAlignment="1">
      <alignment horizontal="center" vertical="center"/>
    </xf>
    <xf numFmtId="41" fontId="6" fillId="4" borderId="50" xfId="23" applyFont="1" applyFill="1" applyBorder="1" applyAlignment="1">
      <alignment horizontal="center" vertical="center" wrapText="1"/>
    </xf>
    <xf numFmtId="41" fontId="56" fillId="4" borderId="51" xfId="23" applyFont="1" applyFill="1" applyBorder="1" applyAlignment="1">
      <alignment vertical="center"/>
    </xf>
    <xf numFmtId="41" fontId="6" fillId="4" borderId="52" xfId="23" applyFont="1" applyFill="1" applyBorder="1" applyAlignment="1">
      <alignment horizontal="center" vertical="center" wrapText="1"/>
    </xf>
    <xf numFmtId="41" fontId="56" fillId="4" borderId="53" xfId="23" applyFont="1" applyFill="1" applyBorder="1" applyAlignment="1">
      <alignment vertical="center"/>
    </xf>
    <xf numFmtId="41" fontId="56" fillId="4" borderId="52" xfId="23" applyFont="1" applyFill="1" applyBorder="1" applyAlignment="1">
      <alignment vertical="center"/>
    </xf>
    <xf numFmtId="176" fontId="59" fillId="4" borderId="48" xfId="4" applyFont="1" applyFill="1" applyBorder="1" applyAlignment="1">
      <alignment horizontal="center" vertical="center"/>
    </xf>
    <xf numFmtId="0" fontId="56" fillId="4" borderId="49" xfId="22" applyFont="1" applyFill="1" applyBorder="1">
      <alignment vertical="center"/>
    </xf>
    <xf numFmtId="0" fontId="56" fillId="4" borderId="3" xfId="22" applyFont="1" applyFill="1" applyBorder="1">
      <alignment vertical="center"/>
    </xf>
    <xf numFmtId="41" fontId="56" fillId="4" borderId="51" xfId="23" applyFont="1" applyFill="1" applyBorder="1" applyAlignment="1">
      <alignment horizontal="center" vertical="center"/>
    </xf>
    <xf numFmtId="41" fontId="56" fillId="4" borderId="53" xfId="23" applyFont="1" applyFill="1" applyBorder="1" applyAlignment="1">
      <alignment horizontal="center" vertical="center"/>
    </xf>
    <xf numFmtId="41" fontId="6" fillId="4" borderId="52" xfId="23" applyFont="1" applyFill="1" applyBorder="1" applyAlignment="1">
      <alignment horizontal="left" vertical="center" wrapText="1"/>
    </xf>
    <xf numFmtId="43" fontId="1" fillId="0" borderId="0" xfId="22" applyNumberFormat="1">
      <alignment vertical="center"/>
    </xf>
    <xf numFmtId="49" fontId="56" fillId="4" borderId="51" xfId="22" applyNumberFormat="1" applyFont="1" applyFill="1" applyBorder="1">
      <alignment vertical="center"/>
    </xf>
    <xf numFmtId="49" fontId="56" fillId="4" borderId="53" xfId="22" applyNumberFormat="1" applyFont="1" applyFill="1" applyBorder="1">
      <alignment vertical="center"/>
    </xf>
    <xf numFmtId="0" fontId="56" fillId="4" borderId="50" xfId="22" applyFont="1" applyFill="1" applyBorder="1" applyAlignment="1">
      <alignment horizontal="center" vertical="center"/>
    </xf>
    <xf numFmtId="0" fontId="56" fillId="4" borderId="52" xfId="22" applyFont="1" applyFill="1" applyBorder="1" applyAlignment="1">
      <alignment horizontal="center" vertical="center"/>
    </xf>
    <xf numFmtId="49" fontId="6" fillId="4" borderId="52" xfId="22" applyNumberFormat="1" applyFont="1" applyFill="1" applyBorder="1" applyAlignment="1">
      <alignment horizontal="center" vertical="center" wrapText="1"/>
    </xf>
    <xf numFmtId="49" fontId="6" fillId="4" borderId="54" xfId="22" applyNumberFormat="1" applyFont="1" applyFill="1" applyBorder="1" applyAlignment="1">
      <alignment horizontal="center" vertical="center" wrapText="1"/>
    </xf>
    <xf numFmtId="49" fontId="6" fillId="4" borderId="55" xfId="22" applyNumberFormat="1" applyFont="1" applyFill="1" applyBorder="1" applyAlignment="1">
      <alignment horizontal="center" vertical="center" wrapText="1"/>
    </xf>
    <xf numFmtId="49" fontId="56" fillId="4" borderId="55" xfId="22" applyNumberFormat="1" applyFont="1" applyFill="1" applyBorder="1">
      <alignment vertical="center"/>
    </xf>
    <xf numFmtId="49" fontId="56" fillId="4" borderId="55" xfId="22" applyNumberFormat="1" applyFont="1" applyFill="1" applyBorder="1" applyAlignment="1">
      <alignment horizontal="center" vertical="center"/>
    </xf>
    <xf numFmtId="41" fontId="56" fillId="4" borderId="56" xfId="23" applyFont="1" applyFill="1" applyBorder="1" applyAlignment="1">
      <alignment horizontal="center" vertical="center"/>
    </xf>
    <xf numFmtId="41" fontId="56" fillId="4" borderId="54" xfId="23" applyFont="1" applyFill="1" applyBorder="1" applyAlignment="1">
      <alignment vertical="center"/>
    </xf>
    <xf numFmtId="41" fontId="56" fillId="4" borderId="57" xfId="23" applyFont="1" applyFill="1" applyBorder="1" applyAlignment="1">
      <alignment vertical="center"/>
    </xf>
    <xf numFmtId="41" fontId="6" fillId="4" borderId="54" xfId="23" applyFont="1" applyFill="1" applyBorder="1" applyAlignment="1">
      <alignment horizontal="left" vertical="center" wrapText="1"/>
    </xf>
    <xf numFmtId="0" fontId="56" fillId="4" borderId="58" xfId="22" applyFont="1" applyFill="1" applyBorder="1">
      <alignment vertical="center"/>
    </xf>
    <xf numFmtId="0" fontId="56" fillId="4" borderId="55" xfId="22" applyFont="1" applyFill="1" applyBorder="1">
      <alignment vertical="center"/>
    </xf>
    <xf numFmtId="41" fontId="56" fillId="4" borderId="55" xfId="23" applyFont="1" applyFill="1" applyBorder="1" applyAlignment="1">
      <alignment horizontal="center" vertical="center"/>
    </xf>
    <xf numFmtId="9" fontId="56" fillId="4" borderId="55" xfId="22" applyNumberFormat="1" applyFont="1" applyFill="1" applyBorder="1">
      <alignment vertical="center"/>
    </xf>
    <xf numFmtId="49" fontId="56" fillId="4" borderId="57" xfId="22" applyNumberFormat="1" applyFont="1" applyFill="1" applyBorder="1">
      <alignment vertical="center"/>
    </xf>
    <xf numFmtId="0" fontId="56" fillId="4" borderId="59" xfId="22" applyFont="1" applyFill="1" applyBorder="1">
      <alignment vertical="center"/>
    </xf>
    <xf numFmtId="49" fontId="56" fillId="4" borderId="60" xfId="22" applyNumberFormat="1" applyFont="1" applyFill="1" applyBorder="1">
      <alignment vertical="center"/>
    </xf>
    <xf numFmtId="49" fontId="56" fillId="4" borderId="60" xfId="22" applyNumberFormat="1" applyFont="1" applyFill="1" applyBorder="1" applyAlignment="1">
      <alignment horizontal="center" vertical="center"/>
    </xf>
    <xf numFmtId="41" fontId="56" fillId="4" borderId="61" xfId="23" applyFont="1" applyFill="1" applyBorder="1" applyAlignment="1">
      <alignment vertical="center"/>
    </xf>
    <xf numFmtId="41" fontId="56" fillId="0" borderId="59" xfId="23" applyFont="1" applyFill="1" applyBorder="1" applyAlignment="1">
      <alignment horizontal="center" vertical="center"/>
    </xf>
    <xf numFmtId="41" fontId="66" fillId="9" borderId="62" xfId="23" applyFont="1" applyFill="1" applyBorder="1" applyAlignment="1">
      <alignment vertical="center"/>
    </xf>
    <xf numFmtId="0" fontId="56" fillId="0" borderId="63" xfId="22" applyFont="1" applyFill="1" applyBorder="1" applyAlignment="1">
      <alignment horizontal="center" vertical="center"/>
    </xf>
    <xf numFmtId="41" fontId="56" fillId="0" borderId="60" xfId="23" applyFont="1" applyFill="1" applyBorder="1" applyAlignment="1">
      <alignment vertical="center"/>
    </xf>
    <xf numFmtId="41" fontId="66" fillId="9" borderId="60" xfId="23" applyFont="1" applyFill="1" applyBorder="1" applyAlignment="1">
      <alignment vertical="center"/>
    </xf>
    <xf numFmtId="9" fontId="56" fillId="4" borderId="60" xfId="22" applyNumberFormat="1" applyFont="1" applyFill="1" applyBorder="1">
      <alignment vertical="center"/>
    </xf>
    <xf numFmtId="49" fontId="56" fillId="4" borderId="62" xfId="22" applyNumberFormat="1" applyFont="1" applyFill="1" applyBorder="1">
      <alignment vertical="center"/>
    </xf>
    <xf numFmtId="0" fontId="14" fillId="0" borderId="0" xfId="5" applyFont="1" applyAlignment="1">
      <alignment horizontal="center" vertical="center"/>
    </xf>
    <xf numFmtId="0" fontId="20" fillId="6" borderId="0" xfId="5" applyFont="1" applyFill="1" applyAlignment="1">
      <alignment horizontal="left" vertical="center" shrinkToFit="1"/>
    </xf>
    <xf numFmtId="0" fontId="20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176" fontId="59" fillId="4" borderId="39" xfId="4" applyFont="1" applyFill="1" applyBorder="1" applyAlignment="1">
      <alignment horizontal="center" vertical="center"/>
    </xf>
    <xf numFmtId="0" fontId="59" fillId="4" borderId="39" xfId="22" applyFont="1" applyFill="1" applyBorder="1" applyAlignment="1">
      <alignment horizontal="center" vertical="center"/>
    </xf>
    <xf numFmtId="0" fontId="59" fillId="4" borderId="42" xfId="22" applyFont="1" applyFill="1" applyBorder="1" applyAlignment="1">
      <alignment horizontal="center" vertical="center"/>
    </xf>
    <xf numFmtId="0" fontId="60" fillId="4" borderId="39" xfId="22" applyFont="1" applyFill="1" applyBorder="1" applyAlignment="1">
      <alignment horizontal="center" vertical="center"/>
    </xf>
    <xf numFmtId="0" fontId="59" fillId="4" borderId="40" xfId="22" applyFont="1" applyFill="1" applyBorder="1" applyAlignment="1">
      <alignment horizontal="center" vertical="center"/>
    </xf>
    <xf numFmtId="0" fontId="59" fillId="4" borderId="38" xfId="22" applyFont="1" applyFill="1" applyBorder="1" applyAlignment="1">
      <alignment horizontal="center" vertical="center"/>
    </xf>
    <xf numFmtId="0" fontId="59" fillId="4" borderId="41" xfId="22" applyFont="1" applyFill="1" applyBorder="1" applyAlignment="1">
      <alignment horizontal="center" vertical="center"/>
    </xf>
    <xf numFmtId="49" fontId="59" fillId="4" borderId="39" xfId="2" applyNumberFormat="1" applyFont="1" applyFill="1" applyBorder="1" applyAlignment="1">
      <alignment horizontal="center" vertical="center"/>
    </xf>
    <xf numFmtId="49" fontId="59" fillId="4" borderId="42" xfId="2" applyNumberFormat="1" applyFont="1" applyFill="1" applyBorder="1" applyAlignment="1">
      <alignment horizontal="center" vertical="center"/>
    </xf>
    <xf numFmtId="41" fontId="59" fillId="4" borderId="44" xfId="23" applyFont="1" applyFill="1" applyBorder="1" applyAlignment="1">
      <alignment horizontal="center" vertical="center"/>
    </xf>
    <xf numFmtId="41" fontId="59" fillId="4" borderId="45" xfId="23" applyFont="1" applyFill="1" applyBorder="1" applyAlignment="1">
      <alignment horizontal="center" vertical="center"/>
    </xf>
    <xf numFmtId="41" fontId="59" fillId="4" borderId="38" xfId="23" applyFont="1" applyFill="1" applyBorder="1" applyAlignment="1">
      <alignment horizontal="center" vertical="center"/>
    </xf>
    <xf numFmtId="41" fontId="59" fillId="4" borderId="40" xfId="23" applyFont="1" applyFill="1" applyBorder="1" applyAlignment="1">
      <alignment horizontal="center" vertical="center"/>
    </xf>
    <xf numFmtId="176" fontId="60" fillId="4" borderId="47" xfId="4" applyFont="1" applyFill="1" applyBorder="1" applyAlignment="1">
      <alignment horizontal="center" vertical="center"/>
    </xf>
    <xf numFmtId="49" fontId="59" fillId="4" borderId="44" xfId="2" applyNumberFormat="1" applyFont="1" applyFill="1" applyBorder="1" applyAlignment="1">
      <alignment horizontal="center" vertical="center"/>
    </xf>
    <xf numFmtId="49" fontId="59" fillId="4" borderId="47" xfId="2" applyNumberFormat="1" applyFont="1" applyFill="1" applyBorder="1" applyAlignment="1">
      <alignment horizontal="center" vertical="center"/>
    </xf>
    <xf numFmtId="0" fontId="47" fillId="0" borderId="0" xfId="17" applyFont="1" applyAlignment="1">
      <alignment horizontal="center" vertical="center" shrinkToFit="1"/>
    </xf>
    <xf numFmtId="0" fontId="48" fillId="0" borderId="0" xfId="17" applyFont="1" applyAlignment="1">
      <alignment horizontal="center" vertical="center" shrinkToFit="1"/>
    </xf>
    <xf numFmtId="42" fontId="49" fillId="0" borderId="0" xfId="18" applyFont="1" applyBorder="1" applyAlignment="1">
      <alignment horizontal="center" vertical="center" shrinkToFit="1"/>
    </xf>
    <xf numFmtId="31" fontId="51" fillId="0" borderId="24" xfId="17" applyNumberFormat="1" applyFont="1" applyBorder="1" applyAlignment="1">
      <alignment horizontal="center" vertical="center" shrinkToFit="1"/>
    </xf>
    <xf numFmtId="31" fontId="51" fillId="0" borderId="25" xfId="17" applyNumberFormat="1" applyFont="1" applyBorder="1" applyAlignment="1">
      <alignment horizontal="center" vertical="center" shrinkToFit="1"/>
    </xf>
    <xf numFmtId="0" fontId="51" fillId="0" borderId="21" xfId="17" applyFont="1" applyBorder="1" applyAlignment="1">
      <alignment horizontal="left" vertical="center" indent="1" shrinkToFit="1"/>
    </xf>
    <xf numFmtId="0" fontId="51" fillId="0" borderId="20" xfId="17" applyFont="1" applyBorder="1" applyAlignment="1">
      <alignment horizontal="left" vertical="center" indent="1" shrinkToFit="1"/>
    </xf>
    <xf numFmtId="0" fontId="51" fillId="0" borderId="27" xfId="17" applyFont="1" applyBorder="1" applyAlignment="1">
      <alignment horizontal="left" vertical="center" indent="1" shrinkToFit="1"/>
    </xf>
    <xf numFmtId="0" fontId="51" fillId="0" borderId="28" xfId="17" applyFont="1" applyBorder="1" applyAlignment="1">
      <alignment horizontal="center" vertical="center" shrinkToFit="1"/>
    </xf>
    <xf numFmtId="0" fontId="51" fillId="0" borderId="32" xfId="17" applyFont="1" applyBorder="1" applyAlignment="1">
      <alignment horizontal="center" vertical="center" shrinkToFit="1"/>
    </xf>
    <xf numFmtId="0" fontId="51" fillId="0" borderId="35" xfId="17" applyFont="1" applyBorder="1" applyAlignment="1">
      <alignment horizontal="center" vertical="center" shrinkToFit="1"/>
    </xf>
    <xf numFmtId="0" fontId="53" fillId="4" borderId="29" xfId="17" applyFont="1" applyFill="1" applyBorder="1" applyAlignment="1">
      <alignment horizontal="left" vertical="center" shrinkToFit="1"/>
    </xf>
    <xf numFmtId="0" fontId="53" fillId="4" borderId="30" xfId="17" applyFont="1" applyFill="1" applyBorder="1" applyAlignment="1">
      <alignment horizontal="left" vertical="center" shrinkToFit="1"/>
    </xf>
    <xf numFmtId="0" fontId="53" fillId="4" borderId="31" xfId="17" applyFont="1" applyFill="1" applyBorder="1" applyAlignment="1">
      <alignment horizontal="left" vertical="center" shrinkToFit="1"/>
    </xf>
    <xf numFmtId="0" fontId="53" fillId="4" borderId="33" xfId="17" applyFont="1" applyFill="1" applyBorder="1" applyAlignment="1">
      <alignment horizontal="left" vertical="center" shrinkToFit="1"/>
    </xf>
    <xf numFmtId="0" fontId="53" fillId="4" borderId="0" xfId="17" applyFont="1" applyFill="1" applyAlignment="1">
      <alignment horizontal="left" vertical="center" shrinkToFit="1"/>
    </xf>
    <xf numFmtId="0" fontId="53" fillId="4" borderId="34" xfId="17" applyFont="1" applyFill="1" applyBorder="1" applyAlignment="1">
      <alignment horizontal="left" vertical="center" shrinkToFit="1"/>
    </xf>
    <xf numFmtId="41" fontId="46" fillId="4" borderId="33" xfId="19" quotePrefix="1" applyFont="1" applyFill="1" applyBorder="1" applyAlignment="1">
      <alignment horizontal="left" vertical="center" shrinkToFit="1"/>
    </xf>
    <xf numFmtId="41" fontId="46" fillId="4" borderId="0" xfId="19" quotePrefix="1" applyFont="1" applyFill="1" applyBorder="1" applyAlignment="1">
      <alignment horizontal="left" vertical="center" shrinkToFit="1"/>
    </xf>
    <xf numFmtId="41" fontId="46" fillId="4" borderId="34" xfId="19" quotePrefix="1" applyFont="1" applyFill="1" applyBorder="1" applyAlignment="1">
      <alignment horizontal="left" vertical="center" shrinkToFit="1"/>
    </xf>
    <xf numFmtId="41" fontId="46" fillId="4" borderId="0" xfId="19" applyFont="1" applyFill="1" applyBorder="1" applyAlignment="1">
      <alignment horizontal="left" vertical="center" shrinkToFit="1"/>
    </xf>
    <xf numFmtId="41" fontId="46" fillId="4" borderId="34" xfId="19" applyFont="1" applyFill="1" applyBorder="1" applyAlignment="1">
      <alignment horizontal="left" vertical="center" shrinkToFit="1"/>
    </xf>
    <xf numFmtId="0" fontId="53" fillId="4" borderId="33" xfId="16" applyFont="1" applyFill="1" applyBorder="1" applyAlignment="1">
      <alignment horizontal="left" vertical="center" shrinkToFit="1"/>
    </xf>
    <xf numFmtId="0" fontId="54" fillId="4" borderId="0" xfId="16" applyFont="1" applyFill="1" applyAlignment="1">
      <alignment horizontal="left" vertical="center" shrinkToFit="1"/>
    </xf>
    <xf numFmtId="0" fontId="54" fillId="4" borderId="34" xfId="16" applyFont="1" applyFill="1" applyBorder="1" applyAlignment="1">
      <alignment horizontal="left" vertical="center" shrinkToFit="1"/>
    </xf>
    <xf numFmtId="0" fontId="51" fillId="0" borderId="20" xfId="17" applyFont="1" applyBorder="1" applyAlignment="1">
      <alignment horizontal="center" vertical="center" shrinkToFit="1"/>
    </xf>
    <xf numFmtId="0" fontId="51" fillId="0" borderId="27" xfId="17" applyFont="1" applyBorder="1" applyAlignment="1">
      <alignment horizontal="center" vertical="center" shrinkToFit="1"/>
    </xf>
    <xf numFmtId="0" fontId="53" fillId="4" borderId="0" xfId="16" applyFont="1" applyFill="1" applyAlignment="1">
      <alignment horizontal="left" vertical="center" shrinkToFit="1"/>
    </xf>
    <xf numFmtId="0" fontId="53" fillId="4" borderId="34" xfId="16" applyFont="1" applyFill="1" applyBorder="1" applyAlignment="1">
      <alignment horizontal="left" vertical="center" shrinkToFit="1"/>
    </xf>
    <xf numFmtId="0" fontId="51" fillId="4" borderId="33" xfId="17" applyFont="1" applyFill="1" applyBorder="1" applyAlignment="1">
      <alignment horizontal="left" vertical="center" shrinkToFit="1"/>
    </xf>
    <xf numFmtId="0" fontId="51" fillId="4" borderId="0" xfId="17" applyFont="1" applyFill="1" applyAlignment="1">
      <alignment horizontal="left" vertical="center" shrinkToFit="1"/>
    </xf>
    <xf numFmtId="0" fontId="51" fillId="4" borderId="34" xfId="17" applyFont="1" applyFill="1" applyBorder="1" applyAlignment="1">
      <alignment horizontal="left" vertical="center" shrinkToFit="1"/>
    </xf>
    <xf numFmtId="176" fontId="32" fillId="5" borderId="19" xfId="4" applyFont="1" applyFill="1" applyBorder="1" applyAlignment="1">
      <alignment horizontal="center" vertical="center"/>
    </xf>
    <xf numFmtId="0" fontId="32" fillId="5" borderId="19" xfId="0" applyFont="1" applyFill="1" applyBorder="1" applyAlignment="1">
      <alignment horizontal="center" vertical="center"/>
    </xf>
    <xf numFmtId="0" fontId="30" fillId="5" borderId="19" xfId="0" applyFont="1" applyFill="1" applyBorder="1" applyAlignment="1">
      <alignment horizontal="center" vertical="center"/>
    </xf>
    <xf numFmtId="49" fontId="32" fillId="5" borderId="19" xfId="2" applyNumberFormat="1" applyFont="1" applyFill="1" applyBorder="1" applyAlignment="1">
      <alignment horizontal="center" vertical="center"/>
    </xf>
    <xf numFmtId="41" fontId="32" fillId="3" borderId="19" xfId="1" applyFont="1" applyFill="1" applyBorder="1" applyAlignment="1">
      <alignment horizontal="center" vertical="center"/>
    </xf>
    <xf numFmtId="41" fontId="32" fillId="5" borderId="19" xfId="1" applyFont="1" applyFill="1" applyBorder="1" applyAlignment="1">
      <alignment horizontal="center" vertical="center"/>
    </xf>
  </cellXfs>
  <cellStyles count="25">
    <cellStyle name="백분율 2" xfId="15" xr:uid="{EE86BB1C-69E1-460B-9171-3F227FA33C1D}"/>
    <cellStyle name="백분율 2 2" xfId="24" xr:uid="{E1366A00-2B15-4CA9-8EC2-B9F1A1D68BF3}"/>
    <cellStyle name="백분율 2 64" xfId="8" xr:uid="{00000000-0005-0000-0000-000001000000}"/>
    <cellStyle name="쉼표 [0]" xfId="1" builtinId="6"/>
    <cellStyle name="쉼표 [0] 15" xfId="21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 5" xfId="23" xr:uid="{C0F414FB-4783-4DDE-86ED-FDEDE15971A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15" xfId="20" xr:uid="{36149D96-308F-4369-9FDA-AF0B1C837CEE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 6" xfId="22" xr:uid="{2AE4ABD1-F1E8-4833-B903-670642E57D2D}"/>
    <cellStyle name="표준_봉강빌딩신축공사" xfId="5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abSelected="1" view="pageBreakPreview" zoomScale="60" zoomScaleNormal="80" workbookViewId="0">
      <selection activeCell="B34" sqref="B34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213" t="s">
        <v>6</v>
      </c>
      <c r="B2" s="213"/>
      <c r="C2" s="213"/>
      <c r="D2" s="213"/>
      <c r="E2" s="213"/>
      <c r="F2" s="213"/>
      <c r="G2" s="213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7</v>
      </c>
      <c r="B5" s="6" t="s">
        <v>75</v>
      </c>
      <c r="C5" s="7"/>
      <c r="D5" s="4"/>
      <c r="E5" s="4"/>
      <c r="F5" s="8" t="s">
        <v>72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8</v>
      </c>
      <c r="B7" s="11" t="s">
        <v>105</v>
      </c>
      <c r="C7" s="12"/>
      <c r="D7" s="4"/>
      <c r="E7" s="13"/>
      <c r="F7" s="214" t="s">
        <v>73</v>
      </c>
      <c r="G7" s="214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71</v>
      </c>
      <c r="B9" s="105" t="s">
        <v>107</v>
      </c>
      <c r="C9" s="15"/>
      <c r="D9" s="4"/>
      <c r="E9" s="4"/>
      <c r="F9" s="8" t="s">
        <v>74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215"/>
      <c r="B11" s="216"/>
      <c r="C11" s="216"/>
      <c r="D11" s="4"/>
      <c r="E11" s="16"/>
      <c r="F11" s="16"/>
      <c r="G11" s="16"/>
      <c r="H11" s="16"/>
    </row>
    <row r="12" spans="1:9" ht="18.75" thickBot="1">
      <c r="A12" s="17" t="s">
        <v>9</v>
      </c>
      <c r="B12" s="17" t="str">
        <f>NUMBERSTRING(F31,1)</f>
        <v>팔십일만사천</v>
      </c>
      <c r="C12" s="18"/>
      <c r="D12" s="19" t="s">
        <v>10</v>
      </c>
      <c r="E12" s="20" t="s">
        <v>11</v>
      </c>
      <c r="F12" s="20" t="s">
        <v>11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12</v>
      </c>
      <c r="B14" s="24" t="s">
        <v>13</v>
      </c>
      <c r="C14" s="24" t="s">
        <v>14</v>
      </c>
      <c r="D14" s="24" t="s">
        <v>15</v>
      </c>
      <c r="E14" s="24" t="s">
        <v>16</v>
      </c>
      <c r="F14" s="24" t="s">
        <v>17</v>
      </c>
      <c r="G14" s="25" t="s">
        <v>18</v>
      </c>
      <c r="H14" s="3"/>
      <c r="I14" s="3"/>
    </row>
    <row r="15" spans="1:9" ht="33" customHeight="1" thickTop="1">
      <c r="A15" s="26"/>
      <c r="B15" s="27" t="s">
        <v>19</v>
      </c>
      <c r="C15" s="28"/>
      <c r="D15" s="29"/>
      <c r="E15" s="29"/>
      <c r="F15" s="30"/>
      <c r="G15" s="31"/>
      <c r="H15" s="3"/>
      <c r="I15" s="3"/>
    </row>
    <row r="16" spans="1:9" ht="33" customHeight="1">
      <c r="A16" s="32"/>
      <c r="B16" s="33" t="s">
        <v>20</v>
      </c>
      <c r="C16" s="34"/>
      <c r="D16" s="35"/>
      <c r="E16" s="35"/>
      <c r="F16" s="36">
        <f>'내역서(표준단가)'!O10</f>
        <v>37658.76</v>
      </c>
      <c r="G16" s="37"/>
      <c r="I16" s="3"/>
    </row>
    <row r="17" spans="1:9" ht="33" customHeight="1">
      <c r="A17" s="32"/>
      <c r="B17" s="33" t="s">
        <v>21</v>
      </c>
      <c r="C17" s="34"/>
      <c r="D17" s="35"/>
      <c r="E17" s="35"/>
      <c r="F17" s="36">
        <f>'내역서(표준단가)'!Q10</f>
        <v>635536</v>
      </c>
      <c r="G17" s="38"/>
      <c r="I17" s="3"/>
    </row>
    <row r="18" spans="1:9" ht="33" customHeight="1">
      <c r="A18" s="32"/>
      <c r="B18" s="33" t="s">
        <v>22</v>
      </c>
      <c r="C18" s="34"/>
      <c r="D18" s="35"/>
      <c r="E18" s="35"/>
      <c r="F18" s="36"/>
      <c r="G18" s="38"/>
      <c r="I18" s="3"/>
    </row>
    <row r="19" spans="1:9" ht="33" customHeight="1">
      <c r="A19" s="32"/>
      <c r="B19" s="39" t="s">
        <v>23</v>
      </c>
      <c r="C19" s="39"/>
      <c r="D19" s="40"/>
      <c r="E19" s="40"/>
      <c r="F19" s="41">
        <f>F16+F17+F18</f>
        <v>673194.76</v>
      </c>
      <c r="G19" s="38"/>
      <c r="H19" s="3"/>
      <c r="I19" s="3"/>
    </row>
    <row r="20" spans="1:9" ht="33" customHeight="1">
      <c r="A20" s="32"/>
      <c r="B20" s="42" t="s">
        <v>24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123" t="s">
        <v>90</v>
      </c>
      <c r="C21" s="43" t="s">
        <v>91</v>
      </c>
      <c r="D21" s="33">
        <v>1</v>
      </c>
      <c r="E21" s="33" t="s">
        <v>25</v>
      </c>
      <c r="F21" s="45">
        <f>(F16+F17)*3.11%</f>
        <v>20936.357036000001</v>
      </c>
      <c r="G21" s="38" t="s">
        <v>26</v>
      </c>
    </row>
    <row r="22" spans="1:9" ht="33" customHeight="1">
      <c r="A22" s="32"/>
      <c r="B22" s="123" t="s">
        <v>92</v>
      </c>
      <c r="C22" s="43" t="s">
        <v>93</v>
      </c>
      <c r="D22" s="33">
        <v>1</v>
      </c>
      <c r="E22" s="33" t="s">
        <v>25</v>
      </c>
      <c r="F22" s="45">
        <f>F17*3.56%</f>
        <v>22625.081600000001</v>
      </c>
      <c r="G22" s="38" t="s">
        <v>26</v>
      </c>
    </row>
    <row r="23" spans="1:9" ht="33" customHeight="1">
      <c r="A23" s="32"/>
      <c r="B23" s="123" t="s">
        <v>94</v>
      </c>
      <c r="C23" s="43" t="s">
        <v>95</v>
      </c>
      <c r="D23" s="33">
        <v>1</v>
      </c>
      <c r="E23" s="33" t="s">
        <v>25</v>
      </c>
      <c r="F23" s="124">
        <f>F17*1.01%</f>
        <v>6418.9135999999999</v>
      </c>
      <c r="G23" s="38" t="s">
        <v>26</v>
      </c>
    </row>
    <row r="24" spans="1:9" ht="33" customHeight="1">
      <c r="A24" s="32"/>
      <c r="B24" s="123" t="s">
        <v>96</v>
      </c>
      <c r="C24" s="125" t="s">
        <v>97</v>
      </c>
      <c r="D24" s="33">
        <v>1</v>
      </c>
      <c r="E24" s="33" t="s">
        <v>25</v>
      </c>
      <c r="F24" s="45">
        <f>F17*3.545%</f>
        <v>22529.751200000002</v>
      </c>
      <c r="G24" s="38" t="s">
        <v>26</v>
      </c>
    </row>
    <row r="25" spans="1:9" ht="33" customHeight="1">
      <c r="A25" s="32"/>
      <c r="B25" s="123" t="s">
        <v>98</v>
      </c>
      <c r="C25" s="125" t="s">
        <v>99</v>
      </c>
      <c r="D25" s="33">
        <v>1</v>
      </c>
      <c r="E25" s="33" t="s">
        <v>25</v>
      </c>
      <c r="F25" s="45">
        <f>F17*4.5%</f>
        <v>28599.119999999999</v>
      </c>
      <c r="G25" s="38" t="s">
        <v>26</v>
      </c>
    </row>
    <row r="26" spans="1:9" ht="33" customHeight="1">
      <c r="A26" s="32"/>
      <c r="B26" s="123" t="s">
        <v>100</v>
      </c>
      <c r="C26" s="126" t="s">
        <v>101</v>
      </c>
      <c r="D26" s="33">
        <v>1</v>
      </c>
      <c r="E26" s="33" t="s">
        <v>25</v>
      </c>
      <c r="F26" s="45">
        <f>F24*12.95%</f>
        <v>2917.6027804000005</v>
      </c>
      <c r="G26" s="38" t="s">
        <v>26</v>
      </c>
    </row>
    <row r="27" spans="1:9" ht="33" customHeight="1">
      <c r="A27" s="32"/>
      <c r="B27" s="123" t="s">
        <v>31</v>
      </c>
      <c r="C27" s="46" t="s">
        <v>102</v>
      </c>
      <c r="D27" s="33">
        <v>1</v>
      </c>
      <c r="E27" s="33" t="s">
        <v>25</v>
      </c>
      <c r="F27" s="45">
        <f>SUM(F17+F21+F22+F23+F24+F25+F26)*5%</f>
        <v>36978.141310819999</v>
      </c>
      <c r="G27" s="38"/>
    </row>
    <row r="28" spans="1:9" ht="33" customHeight="1">
      <c r="A28" s="32"/>
      <c r="B28" s="39" t="s">
        <v>27</v>
      </c>
      <c r="C28" s="47"/>
      <c r="D28" s="48"/>
      <c r="E28" s="40"/>
      <c r="F28" s="49">
        <f>F21+F22+F23+F24+F25+F26+F27</f>
        <v>141004.96752722</v>
      </c>
      <c r="G28" s="38"/>
      <c r="H28" s="3"/>
      <c r="I28" s="3"/>
    </row>
    <row r="29" spans="1:9" ht="33" customHeight="1">
      <c r="A29" s="32"/>
      <c r="B29" s="43"/>
      <c r="C29" s="50"/>
      <c r="D29" s="51"/>
      <c r="E29" s="35"/>
      <c r="F29" s="52"/>
      <c r="G29" s="38"/>
      <c r="H29" s="3"/>
      <c r="I29" s="3"/>
    </row>
    <row r="30" spans="1:9" ht="33" customHeight="1">
      <c r="A30" s="32"/>
      <c r="B30" s="53"/>
      <c r="C30" s="50"/>
      <c r="D30" s="51"/>
      <c r="E30" s="35"/>
      <c r="F30" s="54">
        <f>F19+F28+F29</f>
        <v>814199.72752722003</v>
      </c>
      <c r="G30" s="38"/>
      <c r="H30" s="3"/>
      <c r="I30" s="3"/>
    </row>
    <row r="31" spans="1:9" ht="33" customHeight="1">
      <c r="A31" s="32"/>
      <c r="B31" s="39" t="s">
        <v>28</v>
      </c>
      <c r="C31" s="39"/>
      <c r="D31" s="40"/>
      <c r="E31" s="40"/>
      <c r="F31" s="108">
        <f>ROUNDDOWN(F30,-3)</f>
        <v>814000</v>
      </c>
      <c r="G31" s="38"/>
      <c r="H31" s="3"/>
      <c r="I31" s="3"/>
    </row>
    <row r="32" spans="1:9" ht="33" customHeight="1" thickBot="1">
      <c r="A32" s="55"/>
      <c r="B32" s="56" t="s">
        <v>29</v>
      </c>
      <c r="C32" s="57"/>
      <c r="D32" s="57"/>
      <c r="E32" s="57"/>
      <c r="F32" s="127"/>
      <c r="G32" s="58"/>
      <c r="H32" s="3"/>
      <c r="I32" s="3"/>
    </row>
    <row r="33" spans="2:2" s="3" customFormat="1" ht="15.75">
      <c r="B33" s="59"/>
    </row>
    <row r="34" spans="2:2" s="3" customFormat="1" ht="15.75">
      <c r="B34" s="59"/>
    </row>
  </sheetData>
  <mergeCells count="3">
    <mergeCell ref="A2:G2"/>
    <mergeCell ref="F7:G7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71B8-BF78-44B5-83CD-44C15688B3C7}">
  <sheetPr codeName="Sheet7">
    <tabColor rgb="FFFFFF00"/>
  </sheetPr>
  <dimension ref="I1:AO15"/>
  <sheetViews>
    <sheetView view="pageBreakPreview" topLeftCell="I1" zoomScaleNormal="100" zoomScaleSheetLayoutView="100" workbookViewId="0">
      <selection activeCell="K9" sqref="K9"/>
    </sheetView>
  </sheetViews>
  <sheetFormatPr defaultRowHeight="16.5"/>
  <cols>
    <col min="1" max="8" width="0" style="128" hidden="1" customWidth="1"/>
    <col min="9" max="9" width="17.75" style="128" customWidth="1"/>
    <col min="10" max="10" width="22.375" style="128" customWidth="1"/>
    <col min="11" max="11" width="29" style="128" customWidth="1"/>
    <col min="12" max="12" width="4.875" style="128" customWidth="1"/>
    <col min="13" max="13" width="5.125" style="128" customWidth="1"/>
    <col min="14" max="14" width="11" style="128" customWidth="1"/>
    <col min="15" max="15" width="11.25" style="128" customWidth="1"/>
    <col min="16" max="16" width="10.25" style="128" customWidth="1"/>
    <col min="17" max="17" width="9.875" style="128" customWidth="1"/>
    <col min="18" max="18" width="7.75" style="128" hidden="1" customWidth="1"/>
    <col min="19" max="19" width="9.125" style="128" hidden="1" customWidth="1"/>
    <col min="20" max="21" width="6.625" style="128" hidden="1" customWidth="1"/>
    <col min="22" max="22" width="12.75" style="128" customWidth="1"/>
    <col min="23" max="23" width="11.75" style="128" customWidth="1"/>
    <col min="24" max="24" width="18.75" style="128" customWidth="1"/>
    <col min="25" max="16384" width="9" style="128"/>
  </cols>
  <sheetData>
    <row r="1" spans="9:41">
      <c r="I1" s="140"/>
      <c r="J1" s="139"/>
      <c r="K1" s="139"/>
      <c r="L1" s="138"/>
      <c r="M1" s="136"/>
      <c r="N1" s="137"/>
      <c r="O1" s="135" t="s">
        <v>127</v>
      </c>
      <c r="P1" s="136"/>
      <c r="Q1" s="135" t="s">
        <v>127</v>
      </c>
      <c r="R1" s="133"/>
      <c r="S1" s="135" t="s">
        <v>127</v>
      </c>
      <c r="T1" s="133"/>
      <c r="U1" s="135" t="s">
        <v>127</v>
      </c>
      <c r="V1" s="133"/>
      <c r="W1" s="134" t="s">
        <v>126</v>
      </c>
      <c r="X1" s="133"/>
      <c r="Y1" s="129"/>
      <c r="Z1" s="129"/>
      <c r="AA1" s="129"/>
      <c r="AB1" s="129"/>
      <c r="AC1" s="129"/>
      <c r="AD1" s="129"/>
      <c r="AE1" s="129"/>
      <c r="AF1" s="129"/>
      <c r="AG1" s="133"/>
      <c r="AH1" s="133"/>
      <c r="AI1" s="133"/>
      <c r="AJ1" s="133"/>
      <c r="AK1" s="133"/>
      <c r="AL1" s="133"/>
      <c r="AM1" s="133"/>
      <c r="AN1" s="133"/>
      <c r="AO1" s="133"/>
    </row>
    <row r="2" spans="9:41">
      <c r="I2" s="148" t="s">
        <v>125</v>
      </c>
      <c r="J2" s="149" t="s">
        <v>124</v>
      </c>
      <c r="K2" s="150"/>
      <c r="L2" s="151"/>
      <c r="M2" s="152"/>
      <c r="N2" s="153"/>
      <c r="O2" s="154">
        <v>0.83</v>
      </c>
      <c r="P2" s="152"/>
      <c r="Q2" s="154">
        <v>0.4</v>
      </c>
      <c r="R2" s="155"/>
      <c r="S2" s="154">
        <v>0.6</v>
      </c>
      <c r="T2" s="155"/>
      <c r="U2" s="154">
        <v>0.6</v>
      </c>
      <c r="V2" s="155"/>
      <c r="W2" s="154">
        <v>1</v>
      </c>
      <c r="X2" s="156" t="s">
        <v>123</v>
      </c>
      <c r="Y2" s="129"/>
      <c r="Z2" s="129"/>
      <c r="AA2" s="129"/>
      <c r="AB2" s="129"/>
      <c r="AC2" s="129"/>
      <c r="AD2" s="129"/>
      <c r="AE2" s="129"/>
      <c r="AF2" s="129"/>
      <c r="AG2" s="133"/>
      <c r="AH2" s="133"/>
      <c r="AI2" s="133"/>
      <c r="AJ2" s="133"/>
      <c r="AK2" s="133"/>
      <c r="AL2" s="133"/>
      <c r="AM2" s="133"/>
      <c r="AN2" s="133"/>
      <c r="AO2" s="133"/>
    </row>
    <row r="3" spans="9:41">
      <c r="I3" s="222" t="s">
        <v>122</v>
      </c>
      <c r="J3" s="231" t="s">
        <v>121</v>
      </c>
      <c r="K3" s="232"/>
      <c r="L3" s="224" t="s">
        <v>120</v>
      </c>
      <c r="M3" s="226" t="s">
        <v>4</v>
      </c>
      <c r="N3" s="228" t="s">
        <v>119</v>
      </c>
      <c r="O3" s="229"/>
      <c r="P3" s="228" t="s">
        <v>118</v>
      </c>
      <c r="Q3" s="229"/>
      <c r="R3" s="230" t="s">
        <v>117</v>
      </c>
      <c r="S3" s="217"/>
      <c r="T3" s="217" t="s">
        <v>116</v>
      </c>
      <c r="U3" s="217"/>
      <c r="V3" s="218" t="s">
        <v>80</v>
      </c>
      <c r="W3" s="220" t="s">
        <v>115</v>
      </c>
      <c r="X3" s="221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32"/>
      <c r="AK3" s="132"/>
      <c r="AL3" s="132"/>
      <c r="AM3" s="132"/>
      <c r="AN3" s="132"/>
      <c r="AO3" s="132"/>
    </row>
    <row r="4" spans="9:41">
      <c r="I4" s="223"/>
      <c r="J4" s="162" t="s">
        <v>114</v>
      </c>
      <c r="K4" s="162" t="s">
        <v>113</v>
      </c>
      <c r="L4" s="225"/>
      <c r="M4" s="227"/>
      <c r="N4" s="170" t="s">
        <v>112</v>
      </c>
      <c r="O4" s="171" t="s">
        <v>111</v>
      </c>
      <c r="P4" s="170" t="s">
        <v>112</v>
      </c>
      <c r="Q4" s="171" t="s">
        <v>111</v>
      </c>
      <c r="R4" s="177" t="s">
        <v>112</v>
      </c>
      <c r="S4" s="163" t="s">
        <v>111</v>
      </c>
      <c r="T4" s="163" t="s">
        <v>112</v>
      </c>
      <c r="U4" s="163" t="s">
        <v>111</v>
      </c>
      <c r="V4" s="219"/>
      <c r="W4" s="164" t="s">
        <v>110</v>
      </c>
      <c r="X4" s="165" t="s">
        <v>35</v>
      </c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</row>
    <row r="5" spans="9:41" ht="24.95" customHeight="1">
      <c r="I5" s="186" t="s">
        <v>83</v>
      </c>
      <c r="J5" s="157" t="s">
        <v>84</v>
      </c>
      <c r="K5" s="158" t="s">
        <v>51</v>
      </c>
      <c r="L5" s="157" t="s">
        <v>5</v>
      </c>
      <c r="M5" s="166">
        <v>12</v>
      </c>
      <c r="N5" s="172">
        <v>2846</v>
      </c>
      <c r="O5" s="173">
        <f>N5*O2*M5</f>
        <v>28346.159999999996</v>
      </c>
      <c r="P5" s="172"/>
      <c r="Q5" s="180">
        <v>0</v>
      </c>
      <c r="R5" s="178"/>
      <c r="S5" s="160"/>
      <c r="T5" s="160"/>
      <c r="U5" s="160"/>
      <c r="V5" s="159">
        <f>Q5+O5</f>
        <v>28346.159999999996</v>
      </c>
      <c r="W5" s="161"/>
      <c r="X5" s="184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</row>
    <row r="6" spans="9:41" ht="24.95" customHeight="1">
      <c r="I6" s="187" t="s">
        <v>85</v>
      </c>
      <c r="J6" s="141" t="s">
        <v>86</v>
      </c>
      <c r="K6" s="142" t="s">
        <v>87</v>
      </c>
      <c r="L6" s="141" t="s">
        <v>5</v>
      </c>
      <c r="M6" s="167">
        <v>12</v>
      </c>
      <c r="N6" s="174">
        <v>935</v>
      </c>
      <c r="O6" s="175">
        <f>N6*M6*O2</f>
        <v>9312.6</v>
      </c>
      <c r="P6" s="174"/>
      <c r="Q6" s="181">
        <v>0</v>
      </c>
      <c r="R6" s="169"/>
      <c r="S6" s="143"/>
      <c r="T6" s="143"/>
      <c r="U6" s="143"/>
      <c r="V6" s="144">
        <f>Q6+O6</f>
        <v>9312.6</v>
      </c>
      <c r="W6" s="146"/>
      <c r="X6" s="185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</row>
    <row r="7" spans="9:41" ht="24.95" customHeight="1">
      <c r="I7" s="188" t="s">
        <v>79</v>
      </c>
      <c r="J7" s="147" t="s">
        <v>77</v>
      </c>
      <c r="K7" s="142" t="s">
        <v>109</v>
      </c>
      <c r="L7" s="141"/>
      <c r="M7" s="168">
        <v>1</v>
      </c>
      <c r="N7" s="176"/>
      <c r="O7" s="175">
        <v>0</v>
      </c>
      <c r="P7" s="182">
        <v>167081</v>
      </c>
      <c r="Q7" s="175">
        <f>P7*M7</f>
        <v>167081</v>
      </c>
      <c r="R7" s="179"/>
      <c r="S7" s="145"/>
      <c r="T7" s="145"/>
      <c r="U7" s="145"/>
      <c r="V7" s="144">
        <f>Q7+O7</f>
        <v>167081</v>
      </c>
      <c r="W7" s="146"/>
      <c r="X7" s="185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</row>
    <row r="8" spans="9:41" ht="24.95" customHeight="1">
      <c r="I8" s="188" t="s">
        <v>88</v>
      </c>
      <c r="J8" s="147" t="s">
        <v>89</v>
      </c>
      <c r="K8" s="142" t="s">
        <v>109</v>
      </c>
      <c r="L8" s="141"/>
      <c r="M8" s="168">
        <v>1</v>
      </c>
      <c r="N8" s="176"/>
      <c r="O8" s="175">
        <v>0</v>
      </c>
      <c r="P8" s="182">
        <v>301374</v>
      </c>
      <c r="Q8" s="175">
        <f>P8*M8</f>
        <v>301374</v>
      </c>
      <c r="R8" s="179"/>
      <c r="S8" s="145"/>
      <c r="T8" s="145"/>
      <c r="U8" s="145"/>
      <c r="V8" s="144">
        <f>Q8+O8</f>
        <v>301374</v>
      </c>
      <c r="W8" s="146"/>
      <c r="X8" s="185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</row>
    <row r="9" spans="9:41" ht="24.95" customHeight="1">
      <c r="I9" s="189" t="s">
        <v>79</v>
      </c>
      <c r="J9" s="190" t="s">
        <v>77</v>
      </c>
      <c r="K9" s="191" t="s">
        <v>108</v>
      </c>
      <c r="L9" s="192"/>
      <c r="M9" s="193">
        <v>1</v>
      </c>
      <c r="N9" s="194"/>
      <c r="O9" s="195">
        <v>0</v>
      </c>
      <c r="P9" s="196">
        <v>167081</v>
      </c>
      <c r="Q9" s="195">
        <f>P9*M9</f>
        <v>167081</v>
      </c>
      <c r="R9" s="197"/>
      <c r="S9" s="198"/>
      <c r="T9" s="198"/>
      <c r="U9" s="198"/>
      <c r="V9" s="199">
        <f>Q9+O9</f>
        <v>167081</v>
      </c>
      <c r="W9" s="200"/>
      <c r="X9" s="201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</row>
    <row r="10" spans="9:41" ht="24.95" customHeight="1">
      <c r="I10" s="202"/>
      <c r="J10" s="203"/>
      <c r="K10" s="203"/>
      <c r="L10" s="204"/>
      <c r="M10" s="205" t="s">
        <v>78</v>
      </c>
      <c r="N10" s="206"/>
      <c r="O10" s="207">
        <v>37658.76</v>
      </c>
      <c r="P10" s="206"/>
      <c r="Q10" s="207">
        <v>635536</v>
      </c>
      <c r="R10" s="208"/>
      <c r="S10" s="209">
        <v>0</v>
      </c>
      <c r="T10" s="209"/>
      <c r="U10" s="209"/>
      <c r="V10" s="210">
        <v>673194.76</v>
      </c>
      <c r="W10" s="211"/>
      <c r="X10" s="212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30"/>
      <c r="AL10" s="130"/>
      <c r="AM10" s="130"/>
      <c r="AN10" s="130"/>
      <c r="AO10" s="130"/>
    </row>
    <row r="15" spans="9:41">
      <c r="O15" s="183"/>
    </row>
  </sheetData>
  <mergeCells count="10">
    <mergeCell ref="T3:U3"/>
    <mergeCell ref="V3:V4"/>
    <mergeCell ref="W3:X3"/>
    <mergeCell ref="I3:I4"/>
    <mergeCell ref="L3:L4"/>
    <mergeCell ref="M3:M4"/>
    <mergeCell ref="N3:O3"/>
    <mergeCell ref="P3:Q3"/>
    <mergeCell ref="R3:S3"/>
    <mergeCell ref="J3:K3"/>
  </mergeCells>
  <phoneticPr fontId="7" type="noConversion"/>
  <pageMargins left="0.7" right="0.7" top="0.75" bottom="0.75" header="0.3" footer="0.3"/>
  <pageSetup paperSize="9" scale="40" orientation="portrait" r:id="rId1"/>
  <colBreaks count="1" manualBreakCount="1"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3"/>
  <dimension ref="A1:F48"/>
  <sheetViews>
    <sheetView view="pageBreakPreview" zoomScaleNormal="100" zoomScaleSheetLayoutView="100" workbookViewId="0">
      <selection activeCell="C26" sqref="C26:F26"/>
    </sheetView>
  </sheetViews>
  <sheetFormatPr defaultColWidth="9" defaultRowHeight="13.5"/>
  <cols>
    <col min="1" max="1" width="3.125" style="93" customWidth="1"/>
    <col min="2" max="2" width="18.25" style="103" customWidth="1"/>
    <col min="3" max="3" width="32.375" style="103" customWidth="1"/>
    <col min="4" max="4" width="10" style="104" customWidth="1"/>
    <col min="5" max="5" width="16.625" style="103" customWidth="1"/>
    <col min="6" max="6" width="16.625" style="94" customWidth="1"/>
    <col min="7" max="7" width="3.125" style="94" customWidth="1"/>
    <col min="8" max="16384" width="9" style="94"/>
  </cols>
  <sheetData>
    <row r="1" spans="1:6" ht="16.5" customHeight="1">
      <c r="B1" s="233" t="s">
        <v>52</v>
      </c>
      <c r="C1" s="234"/>
      <c r="D1" s="234"/>
      <c r="E1" s="234"/>
      <c r="F1" s="234"/>
    </row>
    <row r="2" spans="1:6" ht="25.5" customHeight="1">
      <c r="B2" s="234"/>
      <c r="C2" s="234"/>
      <c r="D2" s="234"/>
      <c r="E2" s="234"/>
      <c r="F2" s="234"/>
    </row>
    <row r="3" spans="1:6" ht="10.5" customHeight="1" thickBot="1">
      <c r="A3" s="235"/>
      <c r="B3" s="235"/>
      <c r="C3" s="235"/>
      <c r="D3" s="235"/>
      <c r="E3" s="235"/>
      <c r="F3" s="235"/>
    </row>
    <row r="4" spans="1:6" ht="31.5" customHeight="1">
      <c r="A4" s="95"/>
      <c r="B4" s="96" t="s">
        <v>53</v>
      </c>
      <c r="C4" s="97" t="s">
        <v>54</v>
      </c>
      <c r="D4" s="98" t="s">
        <v>55</v>
      </c>
      <c r="E4" s="236" t="str">
        <f>갑지!B9</f>
        <v>2025년 09월  일</v>
      </c>
      <c r="F4" s="237"/>
    </row>
    <row r="5" spans="1:6" s="101" customFormat="1" ht="31.5" customHeight="1">
      <c r="A5" s="99"/>
      <c r="B5" s="100" t="s">
        <v>56</v>
      </c>
      <c r="C5" s="238" t="str">
        <f>갑지!B7</f>
        <v>어린이집 어닝설치 전기공사</v>
      </c>
      <c r="D5" s="239"/>
      <c r="E5" s="239"/>
      <c r="F5" s="240"/>
    </row>
    <row r="6" spans="1:6" ht="21.95" customHeight="1">
      <c r="A6" s="99"/>
      <c r="B6" s="241" t="s">
        <v>57</v>
      </c>
      <c r="C6" s="244" t="s">
        <v>58</v>
      </c>
      <c r="D6" s="245"/>
      <c r="E6" s="245"/>
      <c r="F6" s="246"/>
    </row>
    <row r="7" spans="1:6" ht="21.95" customHeight="1">
      <c r="A7" s="99"/>
      <c r="B7" s="242"/>
      <c r="C7" s="247" t="s">
        <v>82</v>
      </c>
      <c r="D7" s="248"/>
      <c r="E7" s="248"/>
      <c r="F7" s="249"/>
    </row>
    <row r="8" spans="1:6" ht="21.95" customHeight="1">
      <c r="A8" s="99"/>
      <c r="B8" s="242"/>
      <c r="C8" s="247" t="s">
        <v>59</v>
      </c>
      <c r="D8" s="248"/>
      <c r="E8" s="248"/>
      <c r="F8" s="249"/>
    </row>
    <row r="9" spans="1:6" ht="21.95" customHeight="1">
      <c r="A9" s="99"/>
      <c r="B9" s="242"/>
      <c r="C9" s="250"/>
      <c r="D9" s="251"/>
      <c r="E9" s="251"/>
      <c r="F9" s="252"/>
    </row>
    <row r="10" spans="1:6" ht="21.95" customHeight="1">
      <c r="A10" s="99"/>
      <c r="B10" s="242"/>
      <c r="C10" s="250"/>
      <c r="D10" s="251"/>
      <c r="E10" s="251"/>
      <c r="F10" s="252"/>
    </row>
    <row r="11" spans="1:6" ht="21.95" customHeight="1">
      <c r="A11" s="99"/>
      <c r="B11" s="242"/>
      <c r="C11" s="250"/>
      <c r="D11" s="251"/>
      <c r="E11" s="251"/>
      <c r="F11" s="252"/>
    </row>
    <row r="12" spans="1:6" ht="21.95" customHeight="1">
      <c r="A12" s="99"/>
      <c r="B12" s="242"/>
      <c r="C12" s="250" t="s">
        <v>81</v>
      </c>
      <c r="D12" s="251"/>
      <c r="E12" s="251"/>
      <c r="F12" s="252"/>
    </row>
    <row r="13" spans="1:6" ht="21.95" customHeight="1">
      <c r="A13" s="99"/>
      <c r="B13" s="242"/>
      <c r="C13" s="250" t="s">
        <v>106</v>
      </c>
      <c r="D13" s="251"/>
      <c r="E13" s="251"/>
      <c r="F13" s="252"/>
    </row>
    <row r="14" spans="1:6" ht="21.95" customHeight="1">
      <c r="A14" s="99"/>
      <c r="B14" s="242"/>
      <c r="C14" s="250"/>
      <c r="D14" s="251"/>
      <c r="E14" s="251"/>
      <c r="F14" s="252"/>
    </row>
    <row r="15" spans="1:6" ht="21.95" customHeight="1">
      <c r="A15" s="99"/>
      <c r="B15" s="242"/>
      <c r="C15" s="250"/>
      <c r="D15" s="251"/>
      <c r="E15" s="251"/>
      <c r="F15" s="252"/>
    </row>
    <row r="16" spans="1:6" ht="21.95" customHeight="1">
      <c r="A16" s="99"/>
      <c r="B16" s="242"/>
      <c r="C16" s="250"/>
      <c r="D16" s="251"/>
      <c r="E16" s="251"/>
      <c r="F16" s="252"/>
    </row>
    <row r="17" spans="1:6" ht="21.95" customHeight="1">
      <c r="A17" s="99"/>
      <c r="B17" s="242"/>
      <c r="C17" s="250"/>
      <c r="D17" s="251"/>
      <c r="E17" s="251"/>
      <c r="F17" s="252"/>
    </row>
    <row r="18" spans="1:6" ht="21.95" customHeight="1">
      <c r="A18" s="99"/>
      <c r="B18" s="242"/>
      <c r="C18" s="250"/>
      <c r="D18" s="253"/>
      <c r="E18" s="253"/>
      <c r="F18" s="254"/>
    </row>
    <row r="19" spans="1:6" ht="19.899999999999999" customHeight="1">
      <c r="A19" s="99"/>
      <c r="B19" s="242"/>
      <c r="C19" s="250"/>
      <c r="D19" s="253"/>
      <c r="E19" s="253"/>
      <c r="F19" s="254"/>
    </row>
    <row r="20" spans="1:6" ht="21.95" customHeight="1">
      <c r="A20" s="99"/>
      <c r="B20" s="242"/>
      <c r="C20" s="255" t="s">
        <v>60</v>
      </c>
      <c r="D20" s="256"/>
      <c r="E20" s="256"/>
      <c r="F20" s="257"/>
    </row>
    <row r="21" spans="1:6" ht="21.95" customHeight="1">
      <c r="A21" s="99"/>
      <c r="B21" s="242"/>
      <c r="C21" s="255" t="s">
        <v>61</v>
      </c>
      <c r="D21" s="256"/>
      <c r="E21" s="256"/>
      <c r="F21" s="257"/>
    </row>
    <row r="22" spans="1:6" ht="21.95" customHeight="1">
      <c r="A22" s="99"/>
      <c r="B22" s="242"/>
      <c r="C22" s="250" t="s">
        <v>62</v>
      </c>
      <c r="D22" s="253"/>
      <c r="E22" s="253"/>
      <c r="F22" s="254"/>
    </row>
    <row r="23" spans="1:6" ht="21.95" customHeight="1">
      <c r="A23" s="99"/>
      <c r="B23" s="242"/>
      <c r="C23" s="250" t="s">
        <v>63</v>
      </c>
      <c r="D23" s="253"/>
      <c r="E23" s="253"/>
      <c r="F23" s="254"/>
    </row>
    <row r="24" spans="1:6" ht="21.95" customHeight="1">
      <c r="A24" s="99"/>
      <c r="B24" s="242"/>
      <c r="C24" s="250" t="s">
        <v>64</v>
      </c>
      <c r="D24" s="253"/>
      <c r="E24" s="253"/>
      <c r="F24" s="254"/>
    </row>
    <row r="25" spans="1:6" ht="21.95" customHeight="1">
      <c r="A25" s="99"/>
      <c r="B25" s="242"/>
      <c r="C25" s="255" t="s">
        <v>65</v>
      </c>
      <c r="D25" s="260"/>
      <c r="E25" s="260"/>
      <c r="F25" s="261"/>
    </row>
    <row r="26" spans="1:6" ht="21.95" customHeight="1">
      <c r="A26" s="99"/>
      <c r="B26" s="242"/>
      <c r="C26" s="255"/>
      <c r="D26" s="260"/>
      <c r="E26" s="260"/>
      <c r="F26" s="261"/>
    </row>
    <row r="27" spans="1:6" ht="21.95" customHeight="1">
      <c r="A27" s="99"/>
      <c r="B27" s="242"/>
      <c r="C27" s="255"/>
      <c r="D27" s="260"/>
      <c r="E27" s="260"/>
      <c r="F27" s="261"/>
    </row>
    <row r="28" spans="1:6" ht="21.95" customHeight="1">
      <c r="A28" s="99"/>
      <c r="B28" s="243"/>
      <c r="C28" s="262"/>
      <c r="D28" s="263"/>
      <c r="E28" s="263"/>
      <c r="F28" s="264"/>
    </row>
    <row r="29" spans="1:6" ht="50.1" customHeight="1">
      <c r="A29" s="99"/>
      <c r="B29" s="100" t="s">
        <v>66</v>
      </c>
      <c r="C29" s="102" t="s">
        <v>67</v>
      </c>
      <c r="D29" s="258" t="s">
        <v>68</v>
      </c>
      <c r="E29" s="258"/>
      <c r="F29" s="259"/>
    </row>
    <row r="30" spans="1:6" ht="50.1" customHeight="1">
      <c r="A30" s="99"/>
      <c r="B30" s="100" t="s">
        <v>69</v>
      </c>
      <c r="C30" s="102" t="s">
        <v>104</v>
      </c>
      <c r="D30" s="258" t="s">
        <v>70</v>
      </c>
      <c r="E30" s="258"/>
      <c r="F30" s="259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/>
  <dimension ref="A1:P11"/>
  <sheetViews>
    <sheetView workbookViewId="0">
      <pane ySplit="5" topLeftCell="A6" activePane="bottomLeft" state="frozen"/>
      <selection activeCell="D40856" sqref="D40856"/>
      <selection pane="bottomLeft" activeCell="A11" sqref="A11"/>
    </sheetView>
  </sheetViews>
  <sheetFormatPr defaultRowHeight="13.5"/>
  <cols>
    <col min="1" max="1" width="18.25" style="74" customWidth="1"/>
    <col min="2" max="3" width="40.75" style="87" customWidth="1"/>
    <col min="4" max="4" width="7.375" style="87" customWidth="1"/>
    <col min="5" max="5" width="6.75" style="88" customWidth="1"/>
    <col min="6" max="8" width="11.75" style="88" customWidth="1"/>
    <col min="9" max="9" width="9.75" style="88" customWidth="1"/>
    <col min="10" max="13" width="11.75" style="74" hidden="1" customWidth="1"/>
    <col min="14" max="14" width="11.75" style="74" customWidth="1"/>
    <col min="15" max="15" width="11.75" style="89" customWidth="1"/>
    <col min="16" max="16" width="11.75" style="87" customWidth="1"/>
    <col min="17" max="16384" width="9" style="74"/>
  </cols>
  <sheetData>
    <row r="1" spans="1:16">
      <c r="A1" s="90"/>
    </row>
    <row r="2" spans="1:16" s="60" customFormat="1" ht="12.75">
      <c r="A2" s="91"/>
      <c r="B2" s="81"/>
      <c r="C2" s="81"/>
      <c r="D2" s="81"/>
      <c r="E2" s="83"/>
      <c r="F2" s="84"/>
      <c r="G2" s="62" t="s">
        <v>30</v>
      </c>
      <c r="I2" s="62" t="s">
        <v>30</v>
      </c>
      <c r="K2" s="62" t="s">
        <v>30</v>
      </c>
      <c r="M2" s="62" t="s">
        <v>30</v>
      </c>
      <c r="O2" s="61"/>
    </row>
    <row r="3" spans="1:16" s="60" customFormat="1" ht="16.5" customHeight="1">
      <c r="A3" s="79"/>
      <c r="B3" s="92" t="str">
        <f>"공사명"&amp;" "&amp;":"&amp;" "&amp;갑지!B7</f>
        <v>공사명 : 어린이집 어닝설치 전기공사</v>
      </c>
      <c r="C3" s="81"/>
      <c r="D3" s="81"/>
      <c r="E3" s="83"/>
      <c r="F3" s="85"/>
      <c r="G3" s="78" t="s">
        <v>76</v>
      </c>
      <c r="I3" s="78" t="s">
        <v>76</v>
      </c>
      <c r="K3" s="78">
        <v>0.86</v>
      </c>
      <c r="M3" s="78">
        <v>0.8</v>
      </c>
      <c r="O3" s="61"/>
    </row>
    <row r="4" spans="1:16" s="60" customFormat="1" ht="16.5" customHeight="1">
      <c r="A4" s="266" t="s">
        <v>34</v>
      </c>
      <c r="B4" s="268" t="s">
        <v>45</v>
      </c>
      <c r="C4" s="268"/>
      <c r="D4" s="268" t="s">
        <v>37</v>
      </c>
      <c r="E4" s="269" t="s">
        <v>38</v>
      </c>
      <c r="F4" s="270" t="s">
        <v>39</v>
      </c>
      <c r="G4" s="270"/>
      <c r="H4" s="270" t="s">
        <v>46</v>
      </c>
      <c r="I4" s="270"/>
      <c r="J4" s="265" t="s">
        <v>40</v>
      </c>
      <c r="K4" s="265"/>
      <c r="L4" s="265" t="s">
        <v>41</v>
      </c>
      <c r="M4" s="265"/>
      <c r="N4" s="266" t="s">
        <v>33</v>
      </c>
      <c r="O4" s="267" t="s">
        <v>36</v>
      </c>
      <c r="P4" s="266"/>
    </row>
    <row r="5" spans="1:16" s="60" customFormat="1" ht="16.5" customHeight="1">
      <c r="A5" s="266"/>
      <c r="B5" s="82" t="s">
        <v>42</v>
      </c>
      <c r="C5" s="82" t="s">
        <v>47</v>
      </c>
      <c r="D5" s="268"/>
      <c r="E5" s="269"/>
      <c r="F5" s="72" t="s">
        <v>48</v>
      </c>
      <c r="G5" s="77" t="s">
        <v>43</v>
      </c>
      <c r="H5" s="72" t="s">
        <v>49</v>
      </c>
      <c r="I5" s="77" t="s">
        <v>43</v>
      </c>
      <c r="J5" s="69" t="s">
        <v>44</v>
      </c>
      <c r="K5" s="76" t="s">
        <v>43</v>
      </c>
      <c r="L5" s="69" t="s">
        <v>44</v>
      </c>
      <c r="M5" s="76" t="s">
        <v>43</v>
      </c>
      <c r="N5" s="266"/>
      <c r="O5" s="70" t="s">
        <v>50</v>
      </c>
      <c r="P5" s="71" t="s">
        <v>35</v>
      </c>
    </row>
    <row r="6" spans="1:16" s="115" customFormat="1">
      <c r="A6" s="112"/>
      <c r="B6" s="113"/>
      <c r="C6" s="113"/>
      <c r="D6" s="109"/>
      <c r="E6" s="111"/>
      <c r="F6" s="111"/>
      <c r="G6" s="111"/>
      <c r="H6" s="111"/>
      <c r="I6" s="110"/>
      <c r="J6" s="107">
        <v>197736</v>
      </c>
      <c r="K6" s="75"/>
      <c r="L6" s="73"/>
      <c r="M6" s="75"/>
      <c r="N6" s="110"/>
      <c r="O6" s="114"/>
      <c r="P6" s="113"/>
    </row>
    <row r="7" spans="1:16">
      <c r="A7" s="118" t="s">
        <v>83</v>
      </c>
      <c r="B7" s="117" t="s">
        <v>84</v>
      </c>
      <c r="C7" s="117" t="s">
        <v>51</v>
      </c>
      <c r="D7" s="121" t="s">
        <v>5</v>
      </c>
      <c r="E7" s="122">
        <v>12</v>
      </c>
      <c r="F7" s="106"/>
      <c r="G7" s="106"/>
      <c r="H7" s="106"/>
      <c r="I7" s="107"/>
      <c r="J7" s="107">
        <v>295464.15000000002</v>
      </c>
      <c r="K7" s="75"/>
      <c r="L7" s="73"/>
      <c r="M7" s="75"/>
      <c r="N7" s="73"/>
      <c r="O7" s="86"/>
      <c r="P7" s="80"/>
    </row>
    <row r="8" spans="1:16">
      <c r="A8" s="118" t="s">
        <v>85</v>
      </c>
      <c r="B8" s="117" t="s">
        <v>86</v>
      </c>
      <c r="C8" s="117" t="s">
        <v>87</v>
      </c>
      <c r="D8" s="121" t="s">
        <v>5</v>
      </c>
      <c r="E8" s="122">
        <v>12</v>
      </c>
      <c r="F8" s="106"/>
      <c r="G8" s="106"/>
      <c r="H8" s="106"/>
      <c r="I8" s="107"/>
      <c r="J8" s="107">
        <v>131653</v>
      </c>
      <c r="K8" s="75"/>
      <c r="L8" s="73"/>
      <c r="M8" s="75"/>
      <c r="N8" s="73"/>
      <c r="O8" s="86"/>
      <c r="P8" s="80"/>
    </row>
    <row r="9" spans="1:16">
      <c r="A9" s="116" t="s">
        <v>79</v>
      </c>
      <c r="B9" s="116" t="s">
        <v>77</v>
      </c>
      <c r="C9" s="117" t="s">
        <v>103</v>
      </c>
      <c r="D9" s="120"/>
      <c r="E9" s="119">
        <v>1</v>
      </c>
      <c r="F9" s="106"/>
      <c r="G9" s="106"/>
      <c r="H9" s="106"/>
      <c r="I9" s="107"/>
      <c r="J9" s="107">
        <v>1909218</v>
      </c>
      <c r="K9" s="75"/>
      <c r="L9" s="73"/>
      <c r="M9" s="75"/>
      <c r="N9" s="73"/>
      <c r="O9" s="86"/>
      <c r="P9" s="80"/>
    </row>
    <row r="10" spans="1:16">
      <c r="A10" s="116" t="s">
        <v>88</v>
      </c>
      <c r="B10" s="116" t="s">
        <v>89</v>
      </c>
      <c r="C10" s="117" t="s">
        <v>103</v>
      </c>
      <c r="D10" s="120"/>
      <c r="E10" s="119">
        <v>1</v>
      </c>
      <c r="F10" s="106"/>
      <c r="G10" s="106"/>
      <c r="H10" s="106"/>
      <c r="I10" s="107"/>
      <c r="J10" s="107">
        <v>-1044.4000000000001</v>
      </c>
      <c r="K10" s="75"/>
      <c r="L10" s="73"/>
      <c r="M10" s="75"/>
      <c r="N10" s="73"/>
      <c r="O10" s="86"/>
      <c r="P10" s="80"/>
    </row>
    <row r="11" spans="1:16">
      <c r="A11" s="116" t="s">
        <v>79</v>
      </c>
      <c r="B11" s="116" t="s">
        <v>77</v>
      </c>
      <c r="C11" s="117"/>
      <c r="D11" s="120"/>
      <c r="E11" s="119">
        <v>1</v>
      </c>
      <c r="F11" s="106"/>
      <c r="G11" s="106"/>
      <c r="H11" s="106"/>
      <c r="I11" s="107"/>
      <c r="J11" s="107">
        <v>-178344</v>
      </c>
      <c r="K11" s="75"/>
      <c r="L11" s="73"/>
      <c r="M11" s="75"/>
      <c r="N11" s="73"/>
      <c r="O11" s="86"/>
      <c r="P11" s="80"/>
    </row>
  </sheetData>
  <autoFilter ref="A5:P11" xr:uid="{3E8EE2AF-BF94-4554-AFEF-E97451214545}"/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C46E-2FE0-48C3-BB77-BC1131DE6C5B}">
  <sheetPr codeName="Sheet5"/>
  <dimension ref="A1:F7"/>
  <sheetViews>
    <sheetView showGridLines="0" workbookViewId="0">
      <pane ySplit="1" topLeftCell="A2" activePane="bottomLeft" state="frozen"/>
      <selection activeCell="A2" sqref="A2"/>
      <selection pane="bottomLeft" activeCell="G22" sqref="G22"/>
    </sheetView>
  </sheetViews>
  <sheetFormatPr defaultRowHeight="12.75"/>
  <cols>
    <col min="1" max="1" width="18.5" style="63" bestFit="1" customWidth="1"/>
    <col min="2" max="2" width="11.5" style="68" bestFit="1" customWidth="1"/>
    <col min="3" max="3" width="17.875" style="68" bestFit="1" customWidth="1"/>
    <col min="4" max="4" width="17.25" style="63" bestFit="1" customWidth="1"/>
    <col min="5" max="5" width="11.5" style="63" bestFit="1" customWidth="1"/>
    <col min="6" max="6" width="8.5" style="63" bestFit="1" customWidth="1"/>
    <col min="7" max="16384" width="9" style="63"/>
  </cols>
  <sheetData>
    <row r="1" spans="1:6">
      <c r="A1" s="64" t="s">
        <v>32</v>
      </c>
      <c r="B1" s="65" t="s">
        <v>0</v>
      </c>
      <c r="C1" s="65" t="s">
        <v>1</v>
      </c>
      <c r="D1" s="65" t="s">
        <v>2</v>
      </c>
      <c r="E1" s="65" t="s">
        <v>3</v>
      </c>
      <c r="F1" s="65" t="s">
        <v>4</v>
      </c>
    </row>
    <row r="2" spans="1:6">
      <c r="A2" s="66" t="e">
        <f>#REF!</f>
        <v>#REF!</v>
      </c>
      <c r="B2" s="67" t="e">
        <f>#REF!</f>
        <v>#REF!</v>
      </c>
      <c r="C2" s="67" t="e">
        <f>#REF!</f>
        <v>#REF!</v>
      </c>
      <c r="D2" s="66" t="e">
        <f>#REF!</f>
        <v>#REF!</v>
      </c>
      <c r="E2" s="66" t="e">
        <f>#REF!</f>
        <v>#REF!</v>
      </c>
      <c r="F2" s="66" t="e">
        <f>#REF!</f>
        <v>#REF!</v>
      </c>
    </row>
    <row r="3" spans="1:6" ht="16.5" customHeight="1">
      <c r="A3" s="66" t="e">
        <f>#REF!</f>
        <v>#REF!</v>
      </c>
      <c r="B3" s="67" t="e">
        <f>#REF!</f>
        <v>#REF!</v>
      </c>
      <c r="C3" s="67" t="e">
        <f>#REF!</f>
        <v>#REF!</v>
      </c>
      <c r="D3" s="66" t="e">
        <f>#REF!</f>
        <v>#REF!</v>
      </c>
      <c r="E3" s="66" t="e">
        <f>#REF!</f>
        <v>#REF!</v>
      </c>
      <c r="F3" s="66" t="e">
        <f>#REF!</f>
        <v>#REF!</v>
      </c>
    </row>
    <row r="4" spans="1:6">
      <c r="A4" s="66" t="e">
        <f>#REF!</f>
        <v>#REF!</v>
      </c>
      <c r="B4" s="67" t="e">
        <f>#REF!</f>
        <v>#REF!</v>
      </c>
      <c r="C4" s="67" t="e">
        <f>#REF!</f>
        <v>#REF!</v>
      </c>
      <c r="D4" s="66" t="e">
        <f>#REF!</f>
        <v>#REF!</v>
      </c>
      <c r="E4" s="66" t="e">
        <f>#REF!</f>
        <v>#REF!</v>
      </c>
      <c r="F4" s="66" t="e">
        <f>#REF!</f>
        <v>#REF!</v>
      </c>
    </row>
    <row r="5" spans="1:6">
      <c r="A5" s="66" t="e">
        <f>#REF!</f>
        <v>#REF!</v>
      </c>
      <c r="B5" s="67" t="e">
        <f>#REF!</f>
        <v>#REF!</v>
      </c>
      <c r="C5" s="67" t="e">
        <f>#REF!</f>
        <v>#REF!</v>
      </c>
      <c r="D5" s="66" t="e">
        <f>#REF!</f>
        <v>#REF!</v>
      </c>
      <c r="E5" s="66" t="e">
        <f>#REF!</f>
        <v>#REF!</v>
      </c>
      <c r="F5" s="66" t="e">
        <f>#REF!</f>
        <v>#REF!</v>
      </c>
    </row>
    <row r="6" spans="1:6">
      <c r="A6" s="66" t="e">
        <f>#REF!</f>
        <v>#REF!</v>
      </c>
      <c r="B6" s="67" t="e">
        <f>#REF!</f>
        <v>#REF!</v>
      </c>
      <c r="C6" s="67" t="e">
        <f>#REF!</f>
        <v>#REF!</v>
      </c>
      <c r="D6" s="66" t="e">
        <f>#REF!</f>
        <v>#REF!</v>
      </c>
      <c r="E6" s="66" t="e">
        <f>#REF!</f>
        <v>#REF!</v>
      </c>
      <c r="F6" s="66" t="e">
        <f>#REF!</f>
        <v>#REF!</v>
      </c>
    </row>
    <row r="7" spans="1:6">
      <c r="A7" s="66" t="e">
        <f>#REF!</f>
        <v>#REF!</v>
      </c>
      <c r="B7" s="67" t="e">
        <f>#REF!</f>
        <v>#REF!</v>
      </c>
      <c r="C7" s="67" t="e">
        <f>#REF!</f>
        <v>#REF!</v>
      </c>
      <c r="D7" s="66" t="e">
        <f>#REF!</f>
        <v>#REF!</v>
      </c>
      <c r="E7" s="66" t="e">
        <f>#REF!</f>
        <v>#REF!</v>
      </c>
      <c r="F7" s="66" t="e">
        <f>#REF!</f>
        <v>#REF!</v>
      </c>
    </row>
  </sheetData>
  <autoFilter ref="A1:F1" xr:uid="{00000000-0009-0000-0000-000002000000}"/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공사수립계획서</vt:lpstr>
      <vt:lpstr>내역서업로드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2025-09-16T06:59:37Z</dcterms:modified>
</cp:coreProperties>
</file>
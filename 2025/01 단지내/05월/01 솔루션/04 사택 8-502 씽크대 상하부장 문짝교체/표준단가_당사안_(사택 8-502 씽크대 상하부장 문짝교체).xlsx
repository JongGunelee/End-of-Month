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4월\01 솔루션\0000\02 사택 8-502 씽크대 상하부장 문짝교체\"/>
    </mc:Choice>
  </mc:AlternateContent>
  <xr:revisionPtr revIDLastSave="0" documentId="13_ncr:1_{F34EE44C-7D70-4DEF-9FA2-6E542D9E64FE}" xr6:coauthVersionLast="47" xr6:coauthVersionMax="47" xr10:uidLastSave="{00000000-0000-0000-0000-000000000000}"/>
  <bookViews>
    <workbookView xWindow="19455" yWindow="0" windowWidth="9390" windowHeight="15525" firstSheet="3" activeTab="3" xr2:uid="{00000000-000D-0000-FFFF-FFFF00000000}"/>
  </bookViews>
  <sheets>
    <sheet name="갑지" sheetId="5" r:id="rId1"/>
    <sheet name="내역서(표준단가)" sheetId="4" r:id="rId2"/>
    <sheet name="시중가 근거서류" sheetId="11" r:id="rId3"/>
    <sheet name="Upload" sheetId="6" r:id="rId4"/>
    <sheet name="Upload-rs" sheetId="1" r:id="rId5"/>
  </sheets>
  <definedNames>
    <definedName name="_" localSheetId="2" hidden="1">#REF!</definedName>
    <definedName name="_" hidden="1">#REF!</definedName>
    <definedName name="_Key2" hidden="1">#REF!</definedName>
    <definedName name="_Order1" hidden="1">255</definedName>
    <definedName name="_Order2" hidden="1">255</definedName>
    <definedName name="_Parse_Out" hidden="1">#REF!</definedName>
    <definedName name="_Regression_Int" hidden="1">1</definedName>
    <definedName name="a\" localSheetId="2"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2" hidden="1">{#N/A,#N/A,FALSE,"CCTV"}</definedName>
    <definedName name="asdfasdf" hidden="1">{#N/A,#N/A,FALSE,"CCTV"}</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2" hidden="1">{"'Sheet1'!$E$23","'Sheet1'!$A$3:$H$19","'Sheet1'!$A$1:$H$19"}</definedName>
    <definedName name="BUSH" hidden="1">{"'Sheet1'!$E$23","'Sheet1'!$A$3:$H$19","'Sheet1'!$A$1:$H$19"}</definedName>
    <definedName name="copy2" localSheetId="2" hidden="1">{#N/A,#N/A,TRUE,"자재관리";#N/A,#N/A,TRUE,"품질"}</definedName>
    <definedName name="copy2" hidden="1">{#N/A,#N/A,TRUE,"자재관리";#N/A,#N/A,TRUE,"품질"}</definedName>
    <definedName name="copy3" localSheetId="2" hidden="1">{#N/A,#N/A,TRUE,"자재관리";#N/A,#N/A,TRUE,"품질"}</definedName>
    <definedName name="copy3" hidden="1">{#N/A,#N/A,TRUE,"자재관리";#N/A,#N/A,TRUE,"품질"}</definedName>
    <definedName name="copy4" localSheetId="2" hidden="1">{#N/A,#N/A,FALSE,"자재관리";#N/A,#N/A,FALSE,"자재관리";#N/A,#N/A,FALSE,"자재관리"}</definedName>
    <definedName name="copy4" hidden="1">{#N/A,#N/A,FALSE,"자재관리";#N/A,#N/A,FALSE,"자재관리";#N/A,#N/A,FALSE,"자재관리"}</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2"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2" hidden="1">{#N/A,#N/A,FALSE,"자재관리";#N/A,#N/A,FALSE,"자재관리";#N/A,#N/A,FALSE,"자재관리"}</definedName>
    <definedName name="DFV" hidden="1">{#N/A,#N/A,FALSE,"자재관리";#N/A,#N/A,FALSE,"자재관리";#N/A,#N/A,FALSE,"자재관리"}</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2" hidden="1">{#N/A,#N/A,FALSE,"자재관리";#N/A,#N/A,FALSE,"자재관리";#N/A,#N/A,FALSE,"자재관리"}</definedName>
    <definedName name="dkd" hidden="1">{#N/A,#N/A,FALSE,"자재관리";#N/A,#N/A,FALSE,"자재관리";#N/A,#N/A,FALSE,"자재관리"}</definedName>
    <definedName name="DKFDK" localSheetId="2" hidden="1">{#N/A,#N/A,FALSE,"전력간선"}</definedName>
    <definedName name="DKFDK" hidden="1">{#N/A,#N/A,FALSE,"전력간선"}</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2" hidden="1">{#N/A,#N/A,FALSE,"CCTV"}</definedName>
    <definedName name="FFF" hidden="1">{#N/A,#N/A,FALSE,"CCTV"}</definedName>
    <definedName name="FFFF" localSheetId="2" hidden="1">{#N/A,#N/A,FALSE,"자재관리";#N/A,#N/A,FALSE,"자재관리";#N/A,#N/A,FALSE,"자재관리"}</definedName>
    <definedName name="FFFF" hidden="1">{#N/A,#N/A,FALSE,"자재관리";#N/A,#N/A,FALSE,"자재관리";#N/A,#N/A,FALSE,"자재관리"}</definedName>
    <definedName name="FFFFFF" localSheetId="2" hidden="1">{#N/A,#N/A,FALSE,"자재관리";#N/A,#N/A,FALSE,"자재관리";#N/A,#N/A,FALSE,"자재관리"}</definedName>
    <definedName name="FFFFFF" hidden="1">{#N/A,#N/A,FALSE,"자재관리";#N/A,#N/A,FALSE,"자재관리";#N/A,#N/A,FALSE,"자재관리"}</definedName>
    <definedName name="fffffff" localSheetId="2" hidden="1">{#N/A,#N/A,FALSE,"자재관리";#N/A,#N/A,FALSE,"자재관리";#N/A,#N/A,FALSE,"자재관리"}</definedName>
    <definedName name="fffffff" hidden="1">{#N/A,#N/A,FALSE,"자재관리";#N/A,#N/A,FALSE,"자재관리";#N/A,#N/A,FALSE,"자재관리"}</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2" hidden="1">{#N/A,#N/A,FALSE,"전력간선"}</definedName>
    <definedName name="fg" hidden="1">{#N/A,#N/A,FALSE,"전력간선"}</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2" hidden="1">{#N/A,#N/A,FALSE,"자재관리";#N/A,#N/A,FALSE,"자재관리";#N/A,#N/A,FALSE,"자재관리"}</definedName>
    <definedName name="HHHHH" hidden="1">{#N/A,#N/A,FALSE,"자재관리";#N/A,#N/A,FALSE,"자재관리";#N/A,#N/A,FALSE,"자재관리"}</definedName>
    <definedName name="HHHHHH" localSheetId="2" hidden="1">{#N/A,#N/A,FALSE,"자재관리";#N/A,#N/A,FALSE,"자재관리";#N/A,#N/A,FALSE,"자재관리"}</definedName>
    <definedName name="HHHHHH" hidden="1">{#N/A,#N/A,FALSE,"자재관리";#N/A,#N/A,FALSE,"자재관리";#N/A,#N/A,FALSE,"자재관리"}</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2"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2" hidden="1">{#N/A,#N/A,FALSE,"자재관리";#N/A,#N/A,FALSE,"자재관리";#N/A,#N/A,FALSE,"자재관리"}</definedName>
    <definedName name="JJJJ" hidden="1">{#N/A,#N/A,FALSE,"자재관리";#N/A,#N/A,FALSE,"자재관리";#N/A,#N/A,FALSE,"자재관리"}</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2" hidden="1">{#N/A,#N/A,FALSE,"자재관리";#N/A,#N/A,FALSE,"자재관리";#N/A,#N/A,FALSE,"자재관리"}</definedName>
    <definedName name="K" hidden="1">{#N/A,#N/A,FALSE,"자재관리";#N/A,#N/A,FALSE,"자재관리";#N/A,#N/A,FALSE,"자재관리"}</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2" hidden="1">{#N/A,#N/A,FALSE,"자재관리";#N/A,#N/A,FALSE,"자재관리";#N/A,#N/A,FALSE,"자재관리"}</definedName>
    <definedName name="kkkkk" hidden="1">{#N/A,#N/A,FALSE,"자재관리";#N/A,#N/A,FALSE,"자재관리";#N/A,#N/A,FALSE,"자재관리"}</definedName>
    <definedName name="knauf" localSheetId="2" hidden="1">{#N/A,#N/A,FALSE,"자재관리";#N/A,#N/A,FALSE,"자재관리";#N/A,#N/A,FALSE,"자재관리"}</definedName>
    <definedName name="knauf" hidden="1">{#N/A,#N/A,FALSE,"자재관리";#N/A,#N/A,FALSE,"자재관리";#N/A,#N/A,FALSE,"자재관리"}</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2" hidden="1">{#N/A,#N/A,TRUE,"자재관리";#N/A,#N/A,TRUE,"품질"}</definedName>
    <definedName name="L" hidden="1">{#N/A,#N/A,TRUE,"자재관리";#N/A,#N/A,TRUE,"품질"}</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2" hidden="1">{#N/A,#N/A,FALSE,"자재관리";#N/A,#N/A,FALSE,"자재관리";#N/A,#N/A,FALSE,"자재관리"}</definedName>
    <definedName name="MC" hidden="1">{#N/A,#N/A,FALSE,"자재관리";#N/A,#N/A,FALSE,"자재관리";#N/A,#N/A,FALSE,"자재관리"}</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2" hidden="1">{#N/A,#N/A,FALSE,"자재관리";#N/A,#N/A,FALSE,"자재관리";#N/A,#N/A,FALSE,"자재관리"}</definedName>
    <definedName name="Neotech" hidden="1">{#N/A,#N/A,FALSE,"자재관리";#N/A,#N/A,FALSE,"자재관리";#N/A,#N/A,FALSE,"자재관리"}</definedName>
    <definedName name="NEWNAME" localSheetId="2" hidden="1">{#N/A,#N/A,FALSE,"CCTV"}</definedName>
    <definedName name="NEWNAME" hidden="1">{#N/A,#N/A,FALSE,"CCTV"}</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2" hidden="1">{#N/A,#N/A,FALSE,"자재관리";#N/A,#N/A,FALSE,"자재관리";#N/A,#N/A,FALSE,"자재관리"}</definedName>
    <definedName name="OOOOOO" hidden="1">{#N/A,#N/A,FALSE,"자재관리";#N/A,#N/A,FALSE,"자재관리";#N/A,#N/A,FALSE,"자재관리"}</definedName>
    <definedName name="PRESS" localSheetId="2" hidden="1">{"'Sheet1'!$E$23","'Sheet1'!$A$3:$H$19","'Sheet1'!$A$1:$H$19"}</definedName>
    <definedName name="PRESS" hidden="1">{"'Sheet1'!$E$23","'Sheet1'!$A$3:$H$19","'Sheet1'!$A$1:$H$19"}</definedName>
    <definedName name="press1" localSheetId="2" hidden="1">{"'Sheet1'!$E$23","'Sheet1'!$A$3:$H$19","'Sheet1'!$A$1:$H$19"}</definedName>
    <definedName name="press1" hidden="1">{"'Sheet1'!$E$23","'Sheet1'!$A$3:$H$19","'Sheet1'!$A$1:$H$19"}</definedName>
    <definedName name="_xlnm.Print_Area">#REF!</definedName>
    <definedName name="_xlnm.Print_Titles">#REF!,#REF!</definedName>
    <definedName name="Q" localSheetId="2" hidden="1">{#N/A,#N/A,FALSE,"자재관리";#N/A,#N/A,FALSE,"자재관리";#N/A,#N/A,FALSE,"자재관리"}</definedName>
    <definedName name="Q" hidden="1">{#N/A,#N/A,FALSE,"자재관리";#N/A,#N/A,FALSE,"자재관리";#N/A,#N/A,FALSE,"자재관리"}</definedName>
    <definedName name="qqq" localSheetId="2" hidden="1">{#N/A,#N/A,FALSE,"전력간선"}</definedName>
    <definedName name="qqq" hidden="1">{#N/A,#N/A,FALSE,"전력간선"}</definedName>
    <definedName name="QQQW" localSheetId="2" hidden="1">{#N/A,#N/A,FALSE,"전력간선"}</definedName>
    <definedName name="QQQW" hidden="1">{#N/A,#N/A,FALSE,"전력간선"}</definedName>
    <definedName name="ret" localSheetId="2" hidden="1">{#N/A,#N/A,FALSE,"전력간선"}</definedName>
    <definedName name="ret" hidden="1">{#N/A,#N/A,FALSE,"전력간선"}</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2" hidden="1">{#N/A,#N/A,FALSE,"전력간선"}</definedName>
    <definedName name="RIRI" hidden="1">{#N/A,#N/A,FALSE,"전력간선"}</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2" hidden="1">{#N/A,#N/A,FALSE,"전력간선"}</definedName>
    <definedName name="rr" hidden="1">{#N/A,#N/A,FALSE,"전력간선"}</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2" hidden="1">{#N/A,#N/A,TRUE,"자재관리";#N/A,#N/A,TRUE,"품질"}</definedName>
    <definedName name="rthyetyuety" hidden="1">{#N/A,#N/A,TRUE,"자재관리";#N/A,#N/A,TRUE,"품질"}</definedName>
    <definedName name="SD" localSheetId="2" hidden="1">{#N/A,#N/A,FALSE,"자재관리";#N/A,#N/A,FALSE,"자재관리";#N/A,#N/A,FALSE,"자재관리"}</definedName>
    <definedName name="SD" hidden="1">{#N/A,#N/A,FALSE,"자재관리";#N/A,#N/A,FALSE,"자재관리";#N/A,#N/A,FALSE,"자재관리"}</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2" hidden="1">{#N/A,#N/A,FALSE,"전력간선"}</definedName>
    <definedName name="sss" hidden="1">{#N/A,#N/A,FALSE,"전력간선"}</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2" hidden="1">{#N/A,#N/A,TRUE,"자재관리";#N/A,#N/A,TRUE,"품질"}</definedName>
    <definedName name="t" hidden="1">{#N/A,#N/A,TRUE,"자재관리";#N/A,#N/A,TRUE,"품질"}</definedName>
    <definedName name="tka" localSheetId="2" hidden="1">{#N/A,#N/A,FALSE,"전력간선"}</definedName>
    <definedName name="tka" hidden="1">{#N/A,#N/A,FALSE,"전력간선"}</definedName>
    <definedName name="TTTT" hidden="1">#REF!</definedName>
    <definedName name="uwehdiueih" localSheetId="2" hidden="1">{#N/A,#N/A,FALSE,"자재관리";#N/A,#N/A,FALSE,"자재관리";#N/A,#N/A,FALSE,"자재관리"}</definedName>
    <definedName name="uwehdiueih" hidden="1">{#N/A,#N/A,FALSE,"자재관리";#N/A,#N/A,FALSE,"자재관리";#N/A,#N/A,FALSE,"자재관리"}</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2" hidden="1">{#N/A,#N/A,FALSE,"CCTV"}</definedName>
    <definedName name="WJDEHDRHS" hidden="1">{#N/A,#N/A,FALSE,"CCTV"}</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2" hidden="1">{#N/A,#N/A,FALSE,"CCTV"}</definedName>
    <definedName name="WRITE"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2" hidden="1">{#N/A,#N/A,FALSE,"자재관리";#N/A,#N/A,FALSE,"자재관리";#N/A,#N/A,FALSE,"자재관리"}</definedName>
    <definedName name="wrn.6월._.자재관리._.현황." hidden="1">{#N/A,#N/A,FALSE,"자재관리";#N/A,#N/A,FALSE,"자재관리";#N/A,#N/A,FALSE,"자재관리"}</definedName>
    <definedName name="wrn.abc." localSheetId="2" hidden="1">{#N/A,#N/A,TRUE,"천상그린44PY"}</definedName>
    <definedName name="wrn.abc." hidden="1">{#N/A,#N/A,TRUE,"천상그린44PY"}</definedName>
    <definedName name="wrn.ac30prn." localSheetId="2"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2" hidden="1">{#N/A,#N/A,FALSE,"CCTV"}</definedName>
    <definedName name="wrn.BM." hidden="1">{#N/A,#N/A,FALSE,"CCTV"}</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2" hidden="1">{#N/A,#N/A,FALSE,"전력간선"}</definedName>
    <definedName name="wrn.교육청." hidden="1">{#N/A,#N/A,FALSE,"전력간선"}</definedName>
    <definedName name="wrn.기성." localSheetId="2" hidden="1">{#N/A,#N/A,FALSE,"신청통보";#N/A,#N/A,FALSE,"기성확인서";#N/A,#N/A,FALSE,"기성내역서"}</definedName>
    <definedName name="wrn.기성." hidden="1">{#N/A,#N/A,FALSE,"신청통보";#N/A,#N/A,FALSE,"기성확인서";#N/A,#N/A,FALSE,"기성내역서"}</definedName>
    <definedName name="wrn.기초." localSheetId="2"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2" hidden="1">{#N/A,#N/A,TRUE,"자재관리";#N/A,#N/A,TRUE,"품질"}</definedName>
    <definedName name="wrn.보고서." hidden="1">{#N/A,#N/A,TRUE,"자재관리";#N/A,#N/A,TRUE,"품질"}</definedName>
    <definedName name="wrn.보일러마감." localSheetId="2"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2"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2" hidden="1">{#N/A,#N/A,FALSE,"신청통보";#N/A,#N/A,FALSE,"기성확인서";#N/A,#N/A,FALSE,"기성내역서"}</definedName>
    <definedName name="wrn.외주기성." hidden="1">{#N/A,#N/A,FALSE,"신청통보";#N/A,#N/A,FALSE,"기성확인서";#N/A,#N/A,FALSE,"기성내역서"}</definedName>
    <definedName name="wrn.일위대가." localSheetId="2" hidden="1">{#N/A,#N/A,TRUE,"대가1"}</definedName>
    <definedName name="wrn.일위대가." hidden="1">{#N/A,#N/A,TRUE,"대가1"}</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2" hidden="1">{#N/A,#N/A,TRUE,"자재관리";#N/A,#N/A,TRUE,"품질"}</definedName>
    <definedName name="X" hidden="1">{#N/A,#N/A,TRUE,"자재관리";#N/A,#N/A,TRUE,"품질"}</definedName>
    <definedName name="yy" localSheetId="2" hidden="1">{#N/A,#N/A,FALSE,"전력간선"}</definedName>
    <definedName name="yy" hidden="1">{#N/A,#N/A,FALSE,"전력간선"}</definedName>
    <definedName name="YY0" localSheetId="2" hidden="1">{#N/A,#N/A,FALSE,"전력간선"}</definedName>
    <definedName name="YY0" hidden="1">{#N/A,#N/A,FALSE,"전력간선"}</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2" hidden="1">{#N/A,#N/A,FALSE,"CCTV"}</definedName>
    <definedName name="가스" hidden="1">{#N/A,#N/A,FALSE,"CCTV"}</definedName>
    <definedName name="가스실행내역" localSheetId="2" hidden="1">{#N/A,#N/A,FALSE,"전력간선"}</definedName>
    <definedName name="가스실행내역" hidden="1">{#N/A,#N/A,FALSE,"전력간선"}</definedName>
    <definedName name="가실" localSheetId="2" hidden="1">{#N/A,#N/A,FALSE,"전력간선"}</definedName>
    <definedName name="가실" hidden="1">{#N/A,#N/A,FALSE,"전력간선"}</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localSheetId="2" hidden="1">#REF!</definedName>
    <definedName name="겨격" hidden="1">#REF!</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2" hidden="1">{#N/A,#N/A,FALSE,"도급대비시행율";#N/A,#N/A,FALSE,"결의서";#N/A,#N/A,FALSE,"내역서";#N/A,#N/A,FALSE,"도급예상"}</definedName>
    <definedName name="경수"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2" hidden="1">{#N/A,#N/A,FALSE,"자재관리";#N/A,#N/A,FALSE,"자재관리";#N/A,#N/A,FALSE,"자재관리"}</definedName>
    <definedName name="경영목표2" hidden="1">{#N/A,#N/A,FALSE,"자재관리";#N/A,#N/A,FALSE,"자재관리";#N/A,#N/A,FALSE,"자재관리"}</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2" hidden="1">{#N/A,#N/A,FALSE,"CCTV"}</definedName>
    <definedName name="공내역" hidden="1">{#N/A,#N/A,FALSE,"CCTV"}</definedName>
    <definedName name="공문" localSheetId="2" hidden="1">{#N/A,#N/A,FALSE,"자재관리";#N/A,#N/A,FALSE,"자재관리";#N/A,#N/A,FALSE,"자재관리"}</definedName>
    <definedName name="공문" hidden="1">{#N/A,#N/A,FALSE,"자재관리";#N/A,#N/A,FALSE,"자재관리";#N/A,#N/A,FALSE,"자재관리"}</definedName>
    <definedName name="공문1" localSheetId="2" hidden="1">{#N/A,#N/A,FALSE,"자재관리";#N/A,#N/A,FALSE,"자재관리";#N/A,#N/A,FALSE,"자재관리"}</definedName>
    <definedName name="공문1" hidden="1">{#N/A,#N/A,FALSE,"자재관리";#N/A,#N/A,FALSE,"자재관리";#N/A,#N/A,FALSE,"자재관리"}</definedName>
    <definedName name="공장동" hidden="1">#REF!</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2" hidden="1">{#N/A,#N/A,FALSE,"신청통보";#N/A,#N/A,FALSE,"기성확인서";#N/A,#N/A,FALSE,"기성내역서"}</definedName>
    <definedName name="구자관" hidden="1">{#N/A,#N/A,FALSE,"신청통보";#N/A,#N/A,FALSE,"기성확인서";#N/A,#N/A,FALSE,"기성내역서"}</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2" hidden="1">{#N/A,#N/A,TRUE,"자재관리";#N/A,#N/A,TRUE,"품질"}</definedName>
    <definedName name="기" hidden="1">{#N/A,#N/A,TRUE,"자재관리";#N/A,#N/A,TRUE,"품질"}</definedName>
    <definedName name="기계단가1" localSheetId="2" hidden="1">{#N/A,#N/A,FALSE,"전력간선"}</definedName>
    <definedName name="기계단가1" hidden="1">{#N/A,#N/A,FALSE,"전력간선"}</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2" hidden="1">{#N/A,#N/A,TRUE,"자재관리";#N/A,#N/A,TRUE,"품질"}</definedName>
    <definedName name="ㄴ" hidden="1">{#N/A,#N/A,TRUE,"자재관리";#N/A,#N/A,TRUE,"품질"}</definedName>
    <definedName name="ㄴㄴㄴ" localSheetId="2"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2" hidden="1">{#N/A,#N/A,TRUE,"자재관리";#N/A,#N/A,TRUE,"품질"}</definedName>
    <definedName name="ㄴㄴㄴㄴㄴ" hidden="1">{#N/A,#N/A,TRUE,"자재관리";#N/A,#N/A,TRUE,"품질"}</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2" hidden="1">{#N/A,#N/A,FALSE,"자재관리";#N/A,#N/A,FALSE,"자재관리";#N/A,#N/A,FALSE,"자재관리"}</definedName>
    <definedName name="ㄴㅁㅁㅁ" hidden="1">{#N/A,#N/A,FALSE,"자재관리";#N/A,#N/A,FALSE,"자재관리";#N/A,#N/A,FALSE,"자재관리"}</definedName>
    <definedName name="ㄴㅌㄴㅌ" localSheetId="2" hidden="1">{#N/A,#N/A,FALSE,"CCTV"}</definedName>
    <definedName name="ㄴㅌㄴㅌ" hidden="1">{#N/A,#N/A,FALSE,"CCTV"}</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2" hidden="1">{#N/A,#N/A,FALSE,"CCTV"}</definedName>
    <definedName name="내역" hidden="1">{#N/A,#N/A,FALSE,"CCTV"}</definedName>
    <definedName name="내역점검" localSheetId="2" hidden="1">{#N/A,#N/A,FALSE,"전력간선"}</definedName>
    <definedName name="내역점검" hidden="1">{#N/A,#N/A,FALSE,"전력간선"}</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2" hidden="1">{#N/A,#N/A,FALSE,"전력간선"}</definedName>
    <definedName name="단가산출서" hidden="1">{#N/A,#N/A,FALSE,"전력간선"}</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localSheetId="2" hidden="1">#REF!</definedName>
    <definedName name="ㄹ32" hidden="1">#REF!</definedName>
    <definedName name="ㄹㅇㄹㅇ" hidden="1">#REF!</definedName>
    <definedName name="러헐" localSheetId="2" hidden="1">{#N/A,#N/A,FALSE,"도급대비시행율";#N/A,#N/A,FALSE,"결의서";#N/A,#N/A,FALSE,"내역서";#N/A,#N/A,FALSE,"도급예상"}</definedName>
    <definedName name="러헐" hidden="1">{#N/A,#N/A,FALSE,"도급대비시행율";#N/A,#N/A,FALSE,"결의서";#N/A,#N/A,FALSE,"내역서";#N/A,#N/A,FALSE,"도급예상"}</definedName>
    <definedName name="럭키" localSheetId="2" hidden="1">{#N/A,#N/A,FALSE,"전력간선"}</definedName>
    <definedName name="럭키" hidden="1">{#N/A,#N/A,FALSE,"전력간선"}</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2" hidden="1">{#N/A,#N/A,FALSE,"자재관리";#N/A,#N/A,FALSE,"자재관리";#N/A,#N/A,FALSE,"자재관리"}</definedName>
    <definedName name="ㅁ" hidden="1">{#N/A,#N/A,FALSE,"자재관리";#N/A,#N/A,FALSE,"자재관리";#N/A,#N/A,FALSE,"자재관리"}</definedName>
    <definedName name="ㅁㄱㄷ" localSheetId="2" hidden="1">{#N/A,#N/A,FALSE,"자재관리";#N/A,#N/A,FALSE,"자재관리";#N/A,#N/A,FALSE,"자재관리"}</definedName>
    <definedName name="ㅁㄱㄷ" hidden="1">{#N/A,#N/A,FALSE,"자재관리";#N/A,#N/A,FALSE,"자재관리";#N/A,#N/A,FALSE,"자재관리"}</definedName>
    <definedName name="ㅁㅁ" localSheetId="2" hidden="1">{#N/A,#N/A,FALSE,"전력간선"}</definedName>
    <definedName name="ㅁㅁ" hidden="1">{#N/A,#N/A,FALSE,"전력간선"}</definedName>
    <definedName name="ㅁㅇ" localSheetId="2" hidden="1">{#N/A,#N/A,FALSE,"자재관리";#N/A,#N/A,FALSE,"자재관리";#N/A,#N/A,FALSE,"자재관리"}</definedName>
    <definedName name="ㅁㅇ" hidden="1">{#N/A,#N/A,FALSE,"자재관리";#N/A,#N/A,FALSE,"자재관리";#N/A,#N/A,FALSE,"자재관리"}</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2" hidden="1">{#N/A,#N/A,FALSE,"전력간선"}</definedName>
    <definedName name="명신" hidden="1">{#N/A,#N/A,FALSE,"전력간선"}</definedName>
    <definedName name="목표" localSheetId="2" hidden="1">{#N/A,#N/A,FALSE,"자재관리";#N/A,#N/A,FALSE,"자재관리";#N/A,#N/A,FALSE,"자재관리"}</definedName>
    <definedName name="목표" hidden="1">{#N/A,#N/A,FALSE,"자재관리";#N/A,#N/A,FALSE,"자재관리";#N/A,#N/A,FALSE,"자재관리"}</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2" hidden="1">{#N/A,#N/A,FALSE,"전력간선"}</definedName>
    <definedName name="ㅂ" hidden="1">{#N/A,#N/A,FALSE,"전력간선"}</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2" hidden="1">{#N/A,#N/A,FALSE,"자재관리";#N/A,#N/A,FALSE,"자재관리";#N/A,#N/A,FALSE,"자재관리"}</definedName>
    <definedName name="ㅅ" hidden="1">{#N/A,#N/A,FALSE,"자재관리";#N/A,#N/A,FALSE,"자재관리";#N/A,#N/A,FALSE,"자재관리"}</definedName>
    <definedName name="ㅅㅅ" hidden="1">#REF!</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2" hidden="1">{#N/A,#N/A,FALSE,"자재관리";#N/A,#N/A,FALSE,"자재관리";#N/A,#N/A,FALSE,"자재관리"}</definedName>
    <definedName name="서원열" hidden="1">{#N/A,#N/A,FALSE,"자재관리";#N/A,#N/A,FALSE,"자재관리";#N/A,#N/A,FALSE,"자재관리"}</definedName>
    <definedName name="서원영" localSheetId="2" hidden="1">{#N/A,#N/A,FALSE,"자재관리";#N/A,#N/A,FALSE,"자재관리";#N/A,#N/A,FALSE,"자재관리"}</definedName>
    <definedName name="서원영" hidden="1">{#N/A,#N/A,FALSE,"자재관리";#N/A,#N/A,FALSE,"자재관리";#N/A,#N/A,FALSE,"자재관리"}</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2" hidden="1">{#N/A,#N/A,FALSE,"자재관리";#N/A,#N/A,FALSE,"자재관리";#N/A,#N/A,FALSE,"자재관리"}</definedName>
    <definedName name="세현" hidden="1">{#N/A,#N/A,FALSE,"자재관리";#N/A,#N/A,FALSE,"자재관리";#N/A,#N/A,FALSE,"자재관리"}</definedName>
    <definedName name="소화갑지" localSheetId="2" hidden="1">{#N/A,#N/A,FALSE,"CCTV"}</definedName>
    <definedName name="소화갑지" hidden="1">{#N/A,#N/A,FALSE,"CCTV"}</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2" hidden="1">{#N/A,#N/A,TRUE,"자재관리";#N/A,#N/A,TRUE,"품질"}</definedName>
    <definedName name="ㅇ" hidden="1">{#N/A,#N/A,TRUE,"자재관리";#N/A,#N/A,TRUE,"품질"}</definedName>
    <definedName name="ㅇㄴㅇㄴ" localSheetId="2" hidden="1">{#N/A,#N/A,FALSE,"CCTV"}</definedName>
    <definedName name="ㅇㄴㅇㄴ" hidden="1">{#N/A,#N/A,FALSE,"CCTV"}</definedName>
    <definedName name="ㅇㄹㅇㄹ" hidden="1">#REF!</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2"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2" hidden="1">{#N/A,#N/A,FALSE,"자재관리";#N/A,#N/A,FALSE,"자재관리";#N/A,#N/A,FALSE,"자재관리"}</definedName>
    <definedName name="ㅇㅇㄹㄴㅁㄹ" hidden="1">{#N/A,#N/A,FALSE,"자재관리";#N/A,#N/A,FALSE,"자재관리";#N/A,#N/A,FALSE,"자재관리"}</definedName>
    <definedName name="ㅇㅇㅇㅇㅇ" localSheetId="2" hidden="1">{#N/A,#N/A,TRUE,"자재관리";#N/A,#N/A,TRUE,"품질"}</definedName>
    <definedName name="ㅇㅇㅇㅇㅇ" hidden="1">{#N/A,#N/A,TRUE,"자재관리";#N/A,#N/A,TRUE,"품질"}</definedName>
    <definedName name="아" localSheetId="2" hidden="1">{#N/A,#N/A,FALSE,"자재관리";#N/A,#N/A,FALSE,"자재관리";#N/A,#N/A,FALSE,"자재관리"}</definedName>
    <definedName name="아" hidden="1">{#N/A,#N/A,FALSE,"자재관리";#N/A,#N/A,FALSE,"자재관리";#N/A,#N/A,FALSE,"자재관리"}</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2" hidden="1">{#N/A,#N/A,FALSE,"자재관리";#N/A,#N/A,FALSE,"자재관리";#N/A,#N/A,FALSE,"자재관리"}</definedName>
    <definedName name="아이템별투자" hidden="1">{#N/A,#N/A,FALSE,"자재관리";#N/A,#N/A,FALSE,"자재관리";#N/A,#N/A,FALSE,"자재관리"}</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localSheetId="2" hidden="1">#REF!</definedName>
    <definedName name="암거" hidden="1">#REF!</definedName>
    <definedName name="앙" localSheetId="2" hidden="1">{#N/A,#N/A,FALSE,"자재관리";#N/A,#N/A,FALSE,"자재관리";#N/A,#N/A,FALSE,"자재관리"}</definedName>
    <definedName name="앙" hidden="1">{#N/A,#N/A,FALSE,"자재관리";#N/A,#N/A,FALSE,"자재관리";#N/A,#N/A,FALSE,"자재관리"}</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2" hidden="1">{#N/A,#N/A,FALSE,"자재관리";#N/A,#N/A,FALSE,"자재관리";#N/A,#N/A,FALSE,"자재관리"}</definedName>
    <definedName name="양" hidden="1">{#N/A,#N/A,FALSE,"자재관리";#N/A,#N/A,FALSE,"자재관리";#N/A,#N/A,FALSE,"자재관리"}</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2"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2" hidden="1">{#N/A,#N/A,TRUE,"자재관리";#N/A,#N/A,TRUE,"품질"}</definedName>
    <definedName name="업소용" hidden="1">{#N/A,#N/A,TRUE,"자재관리";#N/A,#N/A,TRUE,"품질"}</definedName>
    <definedName name="업소용생산1팀" localSheetId="2" hidden="1">{#N/A,#N/A,FALSE,"자재관리";#N/A,#N/A,FALSE,"자재관리";#N/A,#N/A,FALSE,"자재관리"}</definedName>
    <definedName name="업소용생산1팀" hidden="1">{#N/A,#N/A,FALSE,"자재관리";#N/A,#N/A,FALSE,"자재관리";#N/A,#N/A,FALSE,"자재관리"}</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2" hidden="1">{#N/A,#N/A,FALSE,"전력간선"}</definedName>
    <definedName name="염" hidden="1">{#N/A,#N/A,FALSE,"전력간선"}</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2" hidden="1">{#N/A,#N/A,FALSE,"전력간선"}</definedName>
    <definedName name="영조" hidden="1">{#N/A,#N/A,FALSE,"전력간선"}</definedName>
    <definedName name="예상도급내역" localSheetId="2" hidden="1">{#N/A,#N/A,FALSE,"CCTV"}</definedName>
    <definedName name="예상도급내역" hidden="1">{#N/A,#N/A,FALSE,"CCTV"}</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2" hidden="1">{#N/A,#N/A,FALSE,"자재관리";#N/A,#N/A,FALSE,"자재관리";#N/A,#N/A,FALSE,"자재관리"}</definedName>
    <definedName name="우인보고표지" hidden="1">{#N/A,#N/A,FALSE,"자재관리";#N/A,#N/A,FALSE,"자재관리";#N/A,#N/A,FALSE,"자재관리"}</definedName>
    <definedName name="우인표지" localSheetId="2" hidden="1">{#N/A,#N/A,TRUE,"자재관리";#N/A,#N/A,TRUE,"품질"}</definedName>
    <definedName name="우인표지" hidden="1">{#N/A,#N/A,TRUE,"자재관리";#N/A,#N/A,TRUE,"품질"}</definedName>
    <definedName name="원가TABLE" localSheetId="2" hidden="1">{#N/A,#N/A,TRUE,"자재관리";#N/A,#N/A,TRUE,"품질"}</definedName>
    <definedName name="원가TABLE" hidden="1">{#N/A,#N/A,TRUE,"자재관리";#N/A,#N/A,TRUE,"품질"}</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2" hidden="1">{#N/A,#N/A,FALSE,"도급대비시행율";#N/A,#N/A,FALSE,"결의서";#N/A,#N/A,FALSE,"내역서";#N/A,#N/A,FALSE,"도급예상"}</definedName>
    <definedName name="을" hidden="1">{#N/A,#N/A,FALSE,"도급대비시행율";#N/A,#N/A,FALSE,"결의서";#N/A,#N/A,FALSE,"내역서";#N/A,#N/A,FALSE,"도급예상"}</definedName>
    <definedName name="이" localSheetId="2" hidden="1">{#N/A,#N/A,FALSE,"자재관리";#N/A,#N/A,FALSE,"자재관리";#N/A,#N/A,FALSE,"자재관리"}</definedName>
    <definedName name="이" hidden="1">{#N/A,#N/A,FALSE,"자재관리";#N/A,#N/A,FALSE,"자재관리";#N/A,#N/A,FALSE,"자재관리"}</definedName>
    <definedName name="이름" localSheetId="2" hidden="1">{#N/A,#N/A,FALSE,"전력간선"}</definedName>
    <definedName name="이름" hidden="1">{#N/A,#N/A,FALSE,"전력간선"}</definedName>
    <definedName name="이봉해" localSheetId="2" hidden="1">{#N/A,#N/A,FALSE,"자재관리";#N/A,#N/A,FALSE,"자재관리";#N/A,#N/A,FALSE,"자재관리"}</definedName>
    <definedName name="이봉해" hidden="1">{#N/A,#N/A,FALSE,"자재관리";#N/A,#N/A,FALSE,"자재관리";#N/A,#N/A,FALSE,"자재관리"}</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2" hidden="1">{#N/A,#N/A,FALSE,"도급대비시행율";#N/A,#N/A,FALSE,"결의서";#N/A,#N/A,FALSE,"내역서";#N/A,#N/A,FALSE,"도급예상"}</definedName>
    <definedName name="일" hidden="1">{#N/A,#N/A,FALSE,"도급대비시행율";#N/A,#N/A,FALSE,"결의서";#N/A,#N/A,FALSE,"내역서";#N/A,#N/A,FALSE,"도급예상"}</definedName>
    <definedName name="ㅈ" localSheetId="2" hidden="1">{#N/A,#N/A,FALSE,"자재관리";#N/A,#N/A,FALSE,"자재관리";#N/A,#N/A,FALSE,"자재관리"}</definedName>
    <definedName name="ㅈ" hidden="1">{#N/A,#N/A,FALSE,"자재관리";#N/A,#N/A,FALSE,"자재관리";#N/A,#N/A,FALSE,"자재관리"}</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2" hidden="1">{#N/A,#N/A,FALSE,"자재관리";#N/A,#N/A,FALSE,"자재관리";#N/A,#N/A,FALSE,"자재관리"}</definedName>
    <definedName name="재료" hidden="1">{#N/A,#N/A,FALSE,"자재관리";#N/A,#N/A,FALSE,"자재관리";#N/A,#N/A,FALSE,"자재관리"}</definedName>
    <definedName name="재료비1" localSheetId="2" hidden="1">{#N/A,#N/A,FALSE,"자재관리";#N/A,#N/A,FALSE,"자재관리";#N/A,#N/A,FALSE,"자재관리"}</definedName>
    <definedName name="재료비1" hidden="1">{#N/A,#N/A,FALSE,"자재관리";#N/A,#N/A,FALSE,"자재관리";#N/A,#N/A,FALSE,"자재관리"}</definedName>
    <definedName name="전기" localSheetId="2" hidden="1">{#N/A,#N/A,FALSE,"전력간선"}</definedName>
    <definedName name="전기" hidden="1">{#N/A,#N/A,FALSE,"전력간선"}</definedName>
    <definedName name="전년" localSheetId="2" hidden="1">{#N/A,#N/A,FALSE,"자재관리";#N/A,#N/A,FALSE,"자재관리";#N/A,#N/A,FALSE,"자재관리"}</definedName>
    <definedName name="전년" hidden="1">{#N/A,#N/A,FALSE,"자재관리";#N/A,#N/A,FALSE,"자재관리";#N/A,#N/A,FALSE,"자재관리"}</definedName>
    <definedName name="전년월" localSheetId="2" hidden="1">{#N/A,#N/A,FALSE,"자재관리";#N/A,#N/A,FALSE,"자재관리";#N/A,#N/A,FALSE,"자재관리"}</definedName>
    <definedName name="전년월" hidden="1">{#N/A,#N/A,FALSE,"자재관리";#N/A,#N/A,FALSE,"자재관리";#N/A,#N/A,FALSE,"자재관리"}</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2" hidden="1">{#N/A,#N/A,FALSE,"CCTV"}</definedName>
    <definedName name="정화조" hidden="1">{#N/A,#N/A,FALSE,"CCTV"}</definedName>
    <definedName name="조정내역2" localSheetId="2" hidden="1">{#N/A,#N/A,FALSE,"전력간선"}</definedName>
    <definedName name="조정내역2" hidden="1">{#N/A,#N/A,FALSE,"전력간선"}</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2" hidden="1">{#N/A,#N/A,FALSE,"자재관리";#N/A,#N/A,FALSE,"자재관리";#N/A,#N/A,FALSE,"자재관리"}</definedName>
    <definedName name="진우1" hidden="1">{#N/A,#N/A,FALSE,"자재관리";#N/A,#N/A,FALSE,"자재관리";#N/A,#N/A,FALSE,"자재관리"}</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2" hidden="1">{#N/A,#N/A,FALSE,"전력간선"}</definedName>
    <definedName name="최종갑지1" hidden="1">{#N/A,#N/A,FALSE,"전력간선"}</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2"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2" hidden="1">{#N/A,#N/A,FALSE,"자재관리";#N/A,#N/A,FALSE,"자재관리";#N/A,#N/A,FALSE,"자재관리"}</definedName>
    <definedName name="투자및자재" hidden="1">{#N/A,#N/A,FALSE,"자재관리";#N/A,#N/A,FALSE,"자재관리";#N/A,#N/A,FALSE,"자재관리"}</definedName>
    <definedName name="투자비내역" localSheetId="2" hidden="1">{#N/A,#N/A,TRUE,"자재관리";#N/A,#N/A,TRUE,"품질"}</definedName>
    <definedName name="투자비내역" hidden="1">{#N/A,#N/A,TRUE,"자재관리";#N/A,#N/A,TRUE,"품질"}</definedName>
    <definedName name="팀별" localSheetId="2" hidden="1">{#N/A,#N/A,FALSE,"자재관리";#N/A,#N/A,FALSE,"자재관리";#N/A,#N/A,FALSE,"자재관리"}</definedName>
    <definedName name="팀별" hidden="1">{#N/A,#N/A,FALSE,"자재관리";#N/A,#N/A,FALSE,"자재관리";#N/A,#N/A,FALSE,"자재관리"}</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2" hidden="1">{#N/A,#N/A,FALSE,"자재관리";#N/A,#N/A,FALSE,"자재관리";#N/A,#N/A,FALSE,"자재관리"}</definedName>
    <definedName name="표지1" hidden="1">{#N/A,#N/A,FALSE,"자재관리";#N/A,#N/A,FALSE,"자재관리";#N/A,#N/A,FALSE,"자재관리"}</definedName>
    <definedName name="ㅎ" localSheetId="2" hidden="1">{#N/A,#N/A,TRUE,"자재관리";#N/A,#N/A,TRUE,"품질"}</definedName>
    <definedName name="ㅎ" hidden="1">{#N/A,#N/A,TRUE,"자재관리";#N/A,#N/A,TRUE,"품질"}</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2" hidden="1">{#N/A,#N/A,FALSE,"CCTV"}</definedName>
    <definedName name="ㅎㅀㅀㅀㅀㄹ" hidden="1">{#N/A,#N/A,FALSE,"CCTV"}</definedName>
    <definedName name="하행터널" localSheetId="2" hidden="1">{#N/A,#N/A,TRUE,"대가1"}</definedName>
    <definedName name="하행터널" hidden="1">{#N/A,#N/A,TRUE,"대가1"}</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2" hidden="1">{#N/A,#N/A,FALSE,"전력간선"}</definedName>
    <definedName name="현설자재수량검토" hidden="1">{#N/A,#N/A,FALSE,"전력간선"}</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2" hidden="1">{"'Sheet1'!$E$23","'Sheet1'!$A$3:$H$19","'Sheet1'!$A$1:$H$19"}</definedName>
    <definedName name="ㅏㅏㅏ" hidden="1">{"'Sheet1'!$E$23","'Sheet1'!$A$3:$H$19","'Sheet1'!$A$1:$H$19"}</definedName>
    <definedName name="ㅏㅓㅏ" localSheetId="2"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2" hidden="1">{#N/A,#N/A,FALSE,"전력간선"}</definedName>
    <definedName name="ㅏㅓㅗ" hidden="1">{#N/A,#N/A,FALSE,"전력간선"}</definedName>
    <definedName name="ㅓ" localSheetId="2" hidden="1">{#N/A,#N/A,TRUE,"자재관리";#N/A,#N/A,TRUE,"품질"}</definedName>
    <definedName name="ㅓ" hidden="1">{#N/A,#N/A,TRUE,"자재관리";#N/A,#N/A,TRUE,"품질"}</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2" hidden="1">{#N/A,#N/A,FALSE,"자재관리";#N/A,#N/A,FALSE,"자재관리";#N/A,#N/A,FALSE,"자재관리"}</definedName>
    <definedName name="ㅛ" hidden="1">{#N/A,#N/A,FALSE,"자재관리";#N/A,#N/A,FALSE,"자재관리";#N/A,#N/A,FALSE,"자재관리"}</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hidden="1">{#N/A,#N/A,FALSE,"CCTV"}</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2"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4" l="1"/>
  <c r="U5" i="4"/>
  <c r="S5" i="4"/>
  <c r="Q5" i="4"/>
  <c r="O5" i="4"/>
  <c r="A5" i="4"/>
  <c r="V5" i="4" l="1"/>
  <c r="F2" i="1"/>
  <c r="E2" i="1"/>
  <c r="D2" i="1"/>
  <c r="C2" i="1"/>
  <c r="B2" i="1"/>
  <c r="A9" i="4" l="1"/>
  <c r="A8" i="4"/>
  <c r="A7" i="4"/>
  <c r="A2" i="1"/>
  <c r="U9" i="4" l="1"/>
  <c r="S9" i="4"/>
  <c r="Q9" i="4"/>
  <c r="O9" i="4"/>
  <c r="U8" i="4"/>
  <c r="S8" i="4"/>
  <c r="Q8" i="4"/>
  <c r="O8" i="4"/>
  <c r="U7" i="4"/>
  <c r="S7" i="4"/>
  <c r="Q7" i="4"/>
  <c r="O7" i="4"/>
  <c r="U6" i="4"/>
  <c r="S6" i="4"/>
  <c r="Q6" i="4"/>
  <c r="V6" i="4" l="1"/>
  <c r="V7" i="4"/>
  <c r="V8" i="4"/>
  <c r="V9" i="4"/>
  <c r="U10" i="4"/>
  <c r="Q10" i="4"/>
  <c r="S10" i="4" l="1"/>
  <c r="V10" i="4" l="1"/>
  <c r="F18" i="5" l="1"/>
  <c r="O10" i="4" l="1"/>
  <c r="F17" i="5" l="1"/>
  <c r="F16" i="5"/>
  <c r="F26" i="5" l="1"/>
  <c r="F19" i="5"/>
  <c r="F21" i="5"/>
  <c r="F24" i="5"/>
  <c r="F25" i="5"/>
  <c r="F22" i="5"/>
  <c r="F23" i="5" s="1"/>
  <c r="F27" i="5" l="1"/>
  <c r="F28" i="5" s="1"/>
  <c r="F30" i="5" s="1"/>
  <c r="F31" i="5" s="1"/>
  <c r="B1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<sst xmlns="http://schemas.openxmlformats.org/spreadsheetml/2006/main" count="131" uniqueCount="111">
  <si>
    <t>구분</t>
  </si>
  <si>
    <t>표준단가</t>
  </si>
  <si>
    <t>표준품셈</t>
  </si>
  <si>
    <t>물가정보</t>
  </si>
  <si>
    <t>노임단가</t>
  </si>
  <si>
    <t>수량</t>
  </si>
  <si>
    <t>견 적 서</t>
    <phoneticPr fontId="13" type="noConversion"/>
  </si>
  <si>
    <t xml:space="preserve">금액: </t>
    <phoneticPr fontId="13" type="noConversion"/>
  </si>
  <si>
    <t>원정</t>
    <phoneticPr fontId="15" type="noConversion"/>
  </si>
  <si>
    <t xml:space="preserve">  </t>
  </si>
  <si>
    <t>NO</t>
  </si>
  <si>
    <t>품명</t>
    <phoneticPr fontId="15" type="noConversion"/>
  </si>
  <si>
    <t>규격</t>
    <phoneticPr fontId="15" type="noConversion"/>
  </si>
  <si>
    <t>수량</t>
    <phoneticPr fontId="15" type="noConversion"/>
  </si>
  <si>
    <t>단위</t>
    <phoneticPr fontId="15" type="noConversion"/>
  </si>
  <si>
    <t>금액</t>
    <phoneticPr fontId="15" type="noConversion"/>
  </si>
  <si>
    <t>비고</t>
    <phoneticPr fontId="15" type="noConversion"/>
  </si>
  <si>
    <t>직접비</t>
    <phoneticPr fontId="13" type="noConversion"/>
  </si>
  <si>
    <t>재료비</t>
    <phoneticPr fontId="13" type="noConversion"/>
  </si>
  <si>
    <t>노무비</t>
    <phoneticPr fontId="15" type="noConversion"/>
  </si>
  <si>
    <t>기계/기타경비</t>
    <phoneticPr fontId="13" type="noConversion"/>
  </si>
  <si>
    <t>소계</t>
    <phoneticPr fontId="13" type="noConversion"/>
  </si>
  <si>
    <t>간접비</t>
    <phoneticPr fontId="13" type="noConversion"/>
  </si>
  <si>
    <t>  국민연금</t>
    <phoneticPr fontId="15" type="noConversion"/>
  </si>
  <si>
    <t> 노무비*4.5%</t>
    <phoneticPr fontId="15" type="noConversion"/>
  </si>
  <si>
    <t>식</t>
    <phoneticPr fontId="15" type="noConversion"/>
  </si>
  <si>
    <t>모든공사에 적용</t>
    <phoneticPr fontId="15" type="noConversion"/>
  </si>
  <si>
    <t>  건강보험료</t>
    <phoneticPr fontId="15" type="noConversion"/>
  </si>
  <si>
    <t>모든공사에 적용</t>
    <phoneticPr fontId="15" type="noConversion"/>
  </si>
  <si>
    <t>  장기요양보험료</t>
    <phoneticPr fontId="15" type="noConversion"/>
  </si>
  <si>
    <t>  고용보험료</t>
    <phoneticPr fontId="15" type="noConversion"/>
  </si>
  <si>
    <t>  산재보험료</t>
    <phoneticPr fontId="15" type="noConversion"/>
  </si>
  <si>
    <t xml:space="preserve">  산업안전보건관리비</t>
    <phoneticPr fontId="15" type="noConversion"/>
  </si>
  <si>
    <t>소계</t>
    <phoneticPr fontId="13" type="noConversion"/>
  </si>
  <si>
    <t>합계(단수조정)</t>
    <phoneticPr fontId="13" type="noConversion"/>
  </si>
  <si>
    <t>VAT별도</t>
    <phoneticPr fontId="15" type="noConversion"/>
  </si>
  <si>
    <t> (재료비+노무비)*2.93%</t>
    <phoneticPr fontId="15" type="noConversion"/>
  </si>
  <si>
    <t>★ 작성방법</t>
    <phoneticPr fontId="7" type="noConversion"/>
  </si>
  <si>
    <t>일반관리비/이윤</t>
    <phoneticPr fontId="15" type="noConversion"/>
  </si>
  <si>
    <t> (노무비+간접공사비)*5%</t>
    <phoneticPr fontId="15" type="noConversion"/>
  </si>
  <si>
    <t>등록번호</t>
    <phoneticPr fontId="9" type="noConversion"/>
  </si>
  <si>
    <t>종 목</t>
    <phoneticPr fontId="9" type="noConversion"/>
  </si>
  <si>
    <t>TEL, FAX</t>
    <phoneticPr fontId="9" type="noConversion"/>
  </si>
  <si>
    <t>상 호</t>
    <phoneticPr fontId="9" type="noConversion"/>
  </si>
  <si>
    <t>대표 이사</t>
    <phoneticPr fontId="9" type="noConversion"/>
  </si>
  <si>
    <t>사업장</t>
    <phoneticPr fontId="9" type="noConversion"/>
  </si>
  <si>
    <t>업 태</t>
    <phoneticPr fontId="9" type="noConversion"/>
  </si>
  <si>
    <t>할증기준</t>
    <phoneticPr fontId="7" type="noConversion"/>
  </si>
  <si>
    <t> 노무비*1.01%</t>
    <phoneticPr fontId="15" type="noConversion"/>
  </si>
  <si>
    <t>표준내역코드</t>
  </si>
  <si>
    <t>세부공종</t>
  </si>
  <si>
    <t>품명</t>
  </si>
  <si>
    <t>규격</t>
  </si>
  <si>
    <t>단위</t>
  </si>
  <si>
    <t>재료비단가</t>
  </si>
  <si>
    <t>재료비소계</t>
  </si>
  <si>
    <t>노무비단가</t>
  </si>
  <si>
    <t>노무비소계</t>
  </si>
  <si>
    <t>기계경비단가</t>
  </si>
  <si>
    <t>기계경비소계</t>
  </si>
  <si>
    <t>기타경비단가</t>
  </si>
  <si>
    <t>기타경비소계</t>
  </si>
  <si>
    <t>할증코드</t>
  </si>
  <si>
    <t>재료비할증율</t>
  </si>
  <si>
    <t>노무비할증율</t>
  </si>
  <si>
    <t>할증내용</t>
  </si>
  <si>
    <t xml:space="preserve"> 수신인 : 주식회사 에스엔아이 코퍼레이션</t>
    <phoneticPr fontId="13" type="noConversion"/>
  </si>
  <si>
    <t> 노무비*3.545%</t>
    <phoneticPr fontId="15" type="noConversion"/>
  </si>
  <si>
    <t> 건강보험료*12.95%</t>
    <phoneticPr fontId="15" type="noConversion"/>
  </si>
  <si>
    <t> 노무비*3.56%</t>
    <phoneticPr fontId="15" type="noConversion"/>
  </si>
  <si>
    <t>314-86-35718</t>
    <phoneticPr fontId="7" type="noConversion"/>
  </si>
  <si>
    <t>㈜일성건축</t>
    <phoneticPr fontId="7" type="noConversion"/>
  </si>
  <si>
    <t>상 석 희</t>
    <phoneticPr fontId="7" type="noConversion"/>
  </si>
  <si>
    <t>대전 서구 도마6길 107 (도마동)</t>
    <phoneticPr fontId="7" type="noConversion"/>
  </si>
  <si>
    <t>건설업</t>
    <phoneticPr fontId="7" type="noConversion"/>
  </si>
  <si>
    <t>실내건축,인테리어공사</t>
    <phoneticPr fontId="7" type="noConversion"/>
  </si>
  <si>
    <t>042)527-0995, 042)527-0996</t>
    <phoneticPr fontId="7" type="noConversion"/>
  </si>
  <si>
    <r>
      <rPr>
        <b/>
        <sz val="10"/>
        <color rgb="FF000000"/>
        <rFont val="LG스마트체 Regular"/>
        <family val="3"/>
        <charset val="129"/>
      </rPr>
      <t>▼낙찰율</t>
    </r>
    <phoneticPr fontId="9" type="noConversion"/>
  </si>
  <si>
    <r>
      <rPr>
        <b/>
        <sz val="10"/>
        <color rgb="FF000000"/>
        <rFont val="LG스마트체 Regular"/>
        <family val="3"/>
        <charset val="129"/>
      </rPr>
      <t>▶</t>
    </r>
    <r>
      <rPr>
        <b/>
        <sz val="10"/>
        <color rgb="FF000000"/>
        <rFont val="Arial"/>
        <family val="2"/>
      </rPr>
      <t xml:space="preserve"> </t>
    </r>
    <r>
      <rPr>
        <b/>
        <sz val="10"/>
        <color rgb="FF000000"/>
        <rFont val="LG스마트체 Regular"/>
        <family val="3"/>
        <charset val="129"/>
      </rPr>
      <t>표준</t>
    </r>
    <r>
      <rPr>
        <b/>
        <sz val="10"/>
        <color rgb="FF000000"/>
        <rFont val="Arial"/>
        <family val="2"/>
      </rPr>
      <t xml:space="preserve"> Code(</t>
    </r>
    <r>
      <rPr>
        <b/>
        <sz val="10"/>
        <color rgb="FF000000"/>
        <rFont val="LG스마트체 Regular"/>
        <family val="3"/>
        <charset val="129"/>
      </rPr>
      <t>표준단가</t>
    </r>
    <r>
      <rPr>
        <b/>
        <sz val="10"/>
        <color rgb="FF000000"/>
        <rFont val="Arial"/>
        <family val="2"/>
      </rPr>
      <t>/</t>
    </r>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물정</t>
    </r>
    <r>
      <rPr>
        <b/>
        <sz val="10"/>
        <color rgb="FF000000"/>
        <rFont val="Arial"/>
        <family val="2"/>
      </rPr>
      <t>/</t>
    </r>
    <r>
      <rPr>
        <b/>
        <sz val="10"/>
        <color rgb="FF000000"/>
        <rFont val="LG스마트체 Regular"/>
        <family val="3"/>
        <charset val="129"/>
      </rPr>
      <t>노임</t>
    </r>
    <r>
      <rPr>
        <b/>
        <sz val="10"/>
        <color rgb="FF000000"/>
        <rFont val="Arial"/>
        <family val="2"/>
      </rPr>
      <t xml:space="preserve">) </t>
    </r>
    <r>
      <rPr>
        <b/>
        <sz val="10"/>
        <color rgb="FF000000"/>
        <rFont val="LG스마트체 Regular"/>
        <family val="3"/>
        <charset val="129"/>
      </rPr>
      <t>순서별</t>
    </r>
    <r>
      <rPr>
        <b/>
        <sz val="10"/>
        <color rgb="FF000000"/>
        <rFont val="Arial"/>
        <family val="2"/>
      </rPr>
      <t xml:space="preserve"> </t>
    </r>
    <r>
      <rPr>
        <b/>
        <sz val="10"/>
        <color rgb="FF000000"/>
        <rFont val="LG스마트체 Regular"/>
        <family val="3"/>
        <charset val="129"/>
      </rPr>
      <t>입력</t>
    </r>
    <r>
      <rPr>
        <b/>
        <sz val="10"/>
        <color rgb="FF000000"/>
        <rFont val="Arial"/>
        <family val="2"/>
      </rPr>
      <t xml:space="preserve">(Upload </t>
    </r>
    <r>
      <rPr>
        <b/>
        <sz val="10"/>
        <color rgb="FF000000"/>
        <rFont val="LG스마트체 Regular"/>
        <family val="3"/>
        <charset val="129"/>
      </rPr>
      <t>자동반영</t>
    </r>
    <r>
      <rPr>
        <b/>
        <sz val="10"/>
        <color rgb="FF000000"/>
        <rFont val="Arial"/>
        <family val="2"/>
      </rPr>
      <t>)</t>
    </r>
    <phoneticPr fontId="7" type="noConversion"/>
  </si>
  <si>
    <r>
      <rPr>
        <b/>
        <sz val="10"/>
        <color rgb="FF000000"/>
        <rFont val="LG스마트체 Regular"/>
        <family val="3"/>
        <charset val="129"/>
      </rPr>
      <t>주요내역</t>
    </r>
    <phoneticPr fontId="7" type="noConversion"/>
  </si>
  <si>
    <r>
      <rPr>
        <b/>
        <sz val="10"/>
        <color rgb="FF000000"/>
        <rFont val="LG스마트체 Regular"/>
        <family val="3"/>
        <charset val="129"/>
      </rPr>
      <t>단위</t>
    </r>
  </si>
  <si>
    <r>
      <rPr>
        <b/>
        <sz val="10"/>
        <color rgb="FF000000"/>
        <rFont val="LG스마트체 Regular"/>
        <family val="3"/>
        <charset val="129"/>
      </rPr>
      <t>수량</t>
    </r>
  </si>
  <si>
    <r>
      <rPr>
        <b/>
        <sz val="10"/>
        <color rgb="FF000000"/>
        <rFont val="LG스마트체 Regular"/>
        <family val="3"/>
        <charset val="129"/>
      </rPr>
      <t>재료비</t>
    </r>
    <phoneticPr fontId="9" type="noConversion"/>
  </si>
  <si>
    <r>
      <rPr>
        <b/>
        <sz val="10"/>
        <color rgb="FF000000"/>
        <rFont val="LG스마트체 Regular"/>
        <family val="3"/>
        <charset val="129"/>
      </rPr>
      <t>노무비</t>
    </r>
    <phoneticPr fontId="9" type="noConversion"/>
  </si>
  <si>
    <r>
      <rPr>
        <b/>
        <sz val="10"/>
        <color rgb="FF000000"/>
        <rFont val="LG스마트체 Regular"/>
        <family val="3"/>
        <charset val="129"/>
      </rPr>
      <t>기계경비</t>
    </r>
  </si>
  <si>
    <r>
      <rPr>
        <b/>
        <sz val="10"/>
        <color rgb="FF000000"/>
        <rFont val="LG스마트체 Regular"/>
        <family val="3"/>
        <charset val="129"/>
      </rPr>
      <t>기타경비</t>
    </r>
    <r>
      <rPr>
        <b/>
        <sz val="10"/>
        <color rgb="FF000000"/>
        <rFont val="Arial"/>
        <family val="2"/>
      </rPr>
      <t>(</t>
    </r>
    <r>
      <rPr>
        <b/>
        <sz val="10"/>
        <color rgb="FF000000"/>
        <rFont val="LG스마트체 Regular"/>
        <family val="3"/>
        <charset val="129"/>
      </rPr>
      <t>부자재비</t>
    </r>
    <r>
      <rPr>
        <b/>
        <sz val="10"/>
        <color rgb="FF000000"/>
        <rFont val="Arial"/>
        <family val="2"/>
      </rPr>
      <t>)</t>
    </r>
  </si>
  <si>
    <r>
      <rPr>
        <b/>
        <sz val="10"/>
        <color rgb="FF000000"/>
        <rFont val="LG스마트체 Regular"/>
        <family val="3"/>
        <charset val="129"/>
      </rPr>
      <t>합계</t>
    </r>
    <phoneticPr fontId="9" type="noConversion"/>
  </si>
  <si>
    <r>
      <rPr>
        <b/>
        <sz val="10"/>
        <color rgb="FF000000"/>
        <rFont val="LG스마트체 Regular"/>
        <family val="3"/>
        <charset val="129"/>
      </rPr>
      <t>노무비</t>
    </r>
    <r>
      <rPr>
        <b/>
        <sz val="10"/>
        <color rgb="FF000000"/>
        <rFont val="Arial"/>
        <family val="2"/>
      </rPr>
      <t xml:space="preserve"> </t>
    </r>
    <r>
      <rPr>
        <b/>
        <sz val="10"/>
        <color rgb="FF000000"/>
        <rFont val="LG스마트체 Regular"/>
        <family val="3"/>
        <charset val="129"/>
      </rPr>
      <t>할증</t>
    </r>
    <phoneticPr fontId="7" type="noConversion"/>
  </si>
  <si>
    <r>
      <rPr>
        <b/>
        <sz val="10"/>
        <color rgb="FF000000"/>
        <rFont val="LG스마트체 Regular"/>
        <family val="3"/>
        <charset val="129"/>
      </rPr>
      <t>합계</t>
    </r>
    <phoneticPr fontId="7" type="noConversion"/>
  </si>
  <si>
    <r>
      <rPr>
        <b/>
        <sz val="10"/>
        <color rgb="FF000000"/>
        <rFont val="LG스마트체 Regular"/>
        <family val="3"/>
        <charset val="129"/>
      </rPr>
      <t>표준단가</t>
    </r>
    <r>
      <rPr>
        <b/>
        <sz val="10"/>
        <color rgb="FF000000"/>
        <rFont val="Arial"/>
        <family val="2"/>
      </rPr>
      <t xml:space="preserve"> D</t>
    </r>
    <phoneticPr fontId="7" type="noConversion"/>
  </si>
  <si>
    <r>
      <rPr>
        <b/>
        <sz val="10"/>
        <color rgb="FF000000"/>
        <rFont val="LG스마트체 Regular"/>
        <family val="3"/>
        <charset val="129"/>
      </rPr>
      <t>표준품셈</t>
    </r>
    <r>
      <rPr>
        <b/>
        <sz val="10"/>
        <color rgb="FF000000"/>
        <rFont val="Arial"/>
        <family val="2"/>
      </rPr>
      <t xml:space="preserve"> E</t>
    </r>
    <phoneticPr fontId="7" type="noConversion"/>
  </si>
  <si>
    <r>
      <rPr>
        <b/>
        <sz val="10"/>
        <color rgb="FF000000"/>
        <rFont val="LG스마트체 Regular"/>
        <family val="3"/>
        <charset val="129"/>
      </rPr>
      <t>물가정보</t>
    </r>
    <r>
      <rPr>
        <b/>
        <sz val="10"/>
        <color rgb="FF000000"/>
        <rFont val="Arial"/>
        <family val="2"/>
      </rPr>
      <t xml:space="preserve"> M</t>
    </r>
    <phoneticPr fontId="7" type="noConversion"/>
  </si>
  <si>
    <r>
      <rPr>
        <b/>
        <sz val="10"/>
        <color rgb="FF000000"/>
        <rFont val="LG스마트체 Regular"/>
        <family val="3"/>
        <charset val="129"/>
      </rPr>
      <t>노임단가</t>
    </r>
    <r>
      <rPr>
        <b/>
        <sz val="10"/>
        <color rgb="FF000000"/>
        <rFont val="Arial"/>
        <family val="2"/>
      </rPr>
      <t xml:space="preserve"> L</t>
    </r>
    <phoneticPr fontId="7" type="noConversion"/>
  </si>
  <si>
    <r>
      <rPr>
        <b/>
        <sz val="10"/>
        <color rgb="FF000000"/>
        <rFont val="LG스마트체 Regular"/>
        <family val="3"/>
        <charset val="129"/>
      </rPr>
      <t>품목</t>
    </r>
    <phoneticPr fontId="7" type="noConversion"/>
  </si>
  <si>
    <r>
      <rPr>
        <b/>
        <sz val="10"/>
        <color rgb="FF000000"/>
        <rFont val="LG스마트체 Regular"/>
        <family val="3"/>
        <charset val="129"/>
      </rPr>
      <t>규격</t>
    </r>
    <phoneticPr fontId="7" type="noConversion"/>
  </si>
  <si>
    <r>
      <rPr>
        <b/>
        <sz val="10"/>
        <color rgb="FF000000"/>
        <rFont val="LG스마트체 Regular"/>
        <family val="3"/>
        <charset val="129"/>
      </rPr>
      <t>품셈</t>
    </r>
    <r>
      <rPr>
        <b/>
        <sz val="10"/>
        <color rgb="FF000000"/>
        <rFont val="Arial"/>
        <family val="2"/>
      </rPr>
      <t>/</t>
    </r>
    <r>
      <rPr>
        <b/>
        <sz val="10"/>
        <color rgb="FF000000"/>
        <rFont val="LG스마트체 Regular"/>
        <family val="3"/>
        <charset val="129"/>
      </rPr>
      <t>표단</t>
    </r>
    <phoneticPr fontId="7" type="noConversion"/>
  </si>
  <si>
    <r>
      <rPr>
        <b/>
        <sz val="10"/>
        <color rgb="FF000000"/>
        <rFont val="LG스마트체 Regular"/>
        <family val="3"/>
        <charset val="129"/>
      </rPr>
      <t>금액</t>
    </r>
  </si>
  <si>
    <r>
      <rPr>
        <b/>
        <sz val="10"/>
        <color rgb="FF000000"/>
        <rFont val="LG스마트체 Regular"/>
        <family val="3"/>
        <charset val="129"/>
      </rPr>
      <t>단가</t>
    </r>
    <phoneticPr fontId="9" type="noConversion"/>
  </si>
  <si>
    <r>
      <rPr>
        <b/>
        <sz val="10"/>
        <color rgb="FF000000"/>
        <rFont val="LG스마트체 Regular"/>
        <family val="3"/>
        <charset val="129"/>
      </rPr>
      <t>단가</t>
    </r>
  </si>
  <si>
    <t>전문업체 견적서 참조</t>
    <phoneticPr fontId="7" type="noConversion"/>
  </si>
  <si>
    <t>set</t>
    <phoneticPr fontId="7" type="noConversion"/>
  </si>
  <si>
    <t>D02339</t>
  </si>
  <si>
    <t>철근콘크리트조</t>
  </si>
  <si>
    <r>
      <rPr>
        <sz val="10"/>
        <color rgb="FF000000"/>
        <rFont val="맑은 고딕"/>
        <family val="3"/>
        <charset val="129"/>
      </rPr>
      <t>연면적</t>
    </r>
    <r>
      <rPr>
        <sz val="10"/>
        <color rgb="FF000000"/>
        <rFont val="Arial"/>
        <family val="2"/>
      </rPr>
      <t xml:space="preserve"> </t>
    </r>
    <r>
      <rPr>
        <sz val="10"/>
        <color rgb="FF000000"/>
        <rFont val="맑은 고딕"/>
        <family val="3"/>
        <charset val="129"/>
      </rPr>
      <t>㎡</t>
    </r>
  </si>
  <si>
    <r>
      <t xml:space="preserve">제 1호표  건축물 현장정리, </t>
    </r>
    <r>
      <rPr>
        <sz val="10"/>
        <color rgb="FFFF0000"/>
        <rFont val="Malgun Gothic"/>
        <family val="3"/>
        <charset val="129"/>
      </rPr>
      <t>폐기물 포함</t>
    </r>
    <phoneticPr fontId="7" type="noConversion"/>
  </si>
  <si>
    <t>영선, 건축</t>
    <phoneticPr fontId="7" type="noConversion"/>
  </si>
  <si>
    <t>전문업체 견적서 참조</t>
    <phoneticPr fontId="7" type="noConversion"/>
  </si>
  <si>
    <t>set</t>
    <phoneticPr fontId="7" type="noConversion"/>
  </si>
  <si>
    <t>8동 씽크대 상하부장 문짝교체</t>
    <phoneticPr fontId="7" type="noConversion"/>
  </si>
  <si>
    <t xml:space="preserve"> 공사명 : 사택 8-502 씽크대 상하부장 문짝 교체</t>
    <phoneticPr fontId="13" type="noConversion"/>
  </si>
  <si>
    <t xml:space="preserve"> 견적일 : 2025년  03월  06일</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</si>
</sst>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
    <numFmt numFmtId="182" formatCode="0.0%"/>
    <numFmt numFmtId="183" formatCode="_-* #,##0.0_-;\-* #,##0.0_-;_-* &quot;-&quot;_-;_-@_-"/>
    <numFmt numFmtId="184" formatCode="#,###,###,###"/>
    <numFmt numFmtId="185" formatCode="###,###,###,##0"/>
    <numFmt numFmtId="186" formatCode="0.0_ "/>
  </numFmts>
  <fonts count="4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9"/>
      <color rgb="FF000000"/>
      <name val="Malgun Gothic"/>
      <family val="3"/>
      <charset val="129"/>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b/>
      <sz val="9"/>
      <color rgb="FF000000"/>
      <name val="Malgun Gothic"/>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Malgun Gothic"/>
      <family val="3"/>
      <charset val="129"/>
    </font>
    <font>
      <b/>
      <sz val="26"/>
      <color rgb="FF000000"/>
      <name val="LG스마트체 Regular"/>
      <family val="3"/>
      <charset val="129"/>
    </font>
    <font>
      <sz val="10"/>
      <color rgb="FF000000"/>
      <name val="LG스마트체 Regular"/>
      <family val="3"/>
      <charset val="129"/>
    </font>
    <font>
      <sz val="10"/>
      <color rgb="FF000000"/>
      <name val="맑은 고딕"/>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Arial"/>
      <family val="2"/>
    </font>
    <font>
      <sz val="10"/>
      <color rgb="FF000000"/>
      <name val="Arial"/>
      <family val="2"/>
    </font>
    <font>
      <b/>
      <sz val="10"/>
      <color rgb="FF000000"/>
      <name val="LG스마트체 Regular"/>
      <family val="3"/>
      <charset val="129"/>
    </font>
    <font>
      <sz val="10"/>
      <color rgb="FF000000"/>
      <name val="돋움"/>
      <family val="3"/>
      <charset val="129"/>
    </font>
    <font>
      <sz val="10"/>
      <color rgb="FF000000"/>
      <name val="맑은 고딕"/>
      <family val="3"/>
      <charset val="129"/>
      <scheme val="minor"/>
    </font>
    <font>
      <sz val="9"/>
      <color rgb="FF000000"/>
      <name val="Arial"/>
      <family val="2"/>
    </font>
    <font>
      <sz val="9"/>
      <color rgb="FF000000"/>
      <name val="돋움"/>
      <family val="3"/>
      <charset val="129"/>
    </font>
    <font>
      <sz val="12"/>
      <color rgb="FF000000"/>
      <name val="Arial"/>
      <family val="2"/>
    </font>
    <font>
      <b/>
      <sz val="12"/>
      <color rgb="FF000000"/>
      <name val="Arial"/>
      <family val="2"/>
    </font>
    <font>
      <sz val="11"/>
      <color rgb="FF000000"/>
      <name val="맑은 고딕"/>
      <family val="2"/>
      <scheme val="minor"/>
    </font>
    <font>
      <sz val="10"/>
      <color rgb="FF000000"/>
      <name val="맑은 고딕"/>
      <family val="2"/>
      <scheme val="minor"/>
    </font>
    <font>
      <sz val="10"/>
      <color rgb="FFFF0000"/>
      <name val="Malgun Gothic"/>
      <family val="3"/>
      <charset val="129"/>
    </font>
    <font>
      <b/>
      <sz val="11"/>
      <color theme="1"/>
      <name val="맑은 고딕"/>
      <family val="3"/>
      <charset val="129"/>
      <scheme val="minor"/>
    </font>
  </fonts>
  <fills count="11">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s>
  <borders count="35">
    <border>
      <left/>
      <right/>
      <top/>
      <bottom/>
      <diagonal/>
    </border>
    <border>
      <left style="thin">
        <color rgb="FFDCDBDA"/>
      </left>
      <right style="thin">
        <color rgb="FFDCDBDA"/>
      </right>
      <top style="thin">
        <color rgb="FFDCDBDA"/>
      </top>
      <bottom style="thin">
        <color rgb="FFDCDBDA"/>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style="thin">
        <color rgb="FFDCDBDA"/>
      </right>
      <top style="thin">
        <color rgb="FFDCDBDA"/>
      </top>
      <bottom style="thin">
        <color rgb="FFDCDBDA"/>
      </bottom>
      <diagonal/>
    </border>
    <border>
      <left/>
      <right style="thin">
        <color rgb="FFDCDBDA"/>
      </right>
      <top style="thin">
        <color rgb="FFDCDBDA"/>
      </top>
      <bottom/>
      <diagonal/>
    </border>
  </borders>
  <cellStyleXfs count="20">
    <xf numFmtId="0" fontId="0" fillId="0" borderId="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0" fontId="10" fillId="0" borderId="0"/>
    <xf numFmtId="177" fontId="5" fillId="0" borderId="0" applyFont="0" applyFill="0" applyBorder="0" applyAlignment="0" applyProtection="0">
      <alignment vertical="center"/>
    </xf>
    <xf numFmtId="178" fontId="11" fillId="0" borderId="0" applyFont="0" applyFill="0" applyBorder="0" applyAlignment="0" applyProtection="0"/>
    <xf numFmtId="0" fontId="12" fillId="0" borderId="0"/>
    <xf numFmtId="180" fontId="12" fillId="0" borderId="0" applyFont="0" applyFill="0" applyBorder="0" applyAlignment="0" applyProtection="0"/>
    <xf numFmtId="0" fontId="5" fillId="0" borderId="0">
      <alignment vertical="center"/>
    </xf>
    <xf numFmtId="9" fontId="11" fillId="0" borderId="0" applyFont="0" applyFill="0" applyBorder="0" applyAlignment="0" applyProtection="0"/>
    <xf numFmtId="0" fontId="10" fillId="0" borderId="0"/>
    <xf numFmtId="0" fontId="20" fillId="0" borderId="0"/>
    <xf numFmtId="176" fontId="20" fillId="0" borderId="0" applyFont="0" applyFill="0" applyBorder="0" applyAlignment="0" applyProtection="0"/>
    <xf numFmtId="177" fontId="20" fillId="0" borderId="0" applyFont="0" applyFill="0" applyBorder="0" applyAlignment="0" applyProtection="0">
      <alignment vertical="center"/>
    </xf>
    <xf numFmtId="0" fontId="4" fillId="0" borderId="0">
      <alignment vertical="center"/>
    </xf>
    <xf numFmtId="0" fontId="3" fillId="0" borderId="0">
      <alignment vertical="center"/>
    </xf>
    <xf numFmtId="177" fontId="3" fillId="0" borderId="0" applyFont="0" applyFill="0" applyBorder="0" applyAlignment="0" applyProtection="0">
      <alignment vertical="center"/>
    </xf>
    <xf numFmtId="0" fontId="2" fillId="0" borderId="0">
      <alignment vertical="center"/>
    </xf>
    <xf numFmtId="177" fontId="2" fillId="0" borderId="0" applyFont="0" applyFill="0" applyBorder="0" applyAlignment="0" applyProtection="0">
      <alignment vertical="center"/>
    </xf>
    <xf numFmtId="0" fontId="1" fillId="0" borderId="0">
      <alignment vertical="center"/>
    </xf>
  </cellStyleXfs>
  <cellXfs count="141">
    <xf numFmtId="0" fontId="0" fillId="0" borderId="0" xfId="0">
      <alignment vertical="center"/>
    </xf>
    <xf numFmtId="49" fontId="6" fillId="2" borderId="1" xfId="0" applyNumberFormat="1" applyFont="1" applyFill="1" applyBorder="1" applyAlignment="1">
      <alignment horizontal="center" vertical="center" wrapText="1"/>
    </xf>
    <xf numFmtId="0" fontId="14" fillId="0" borderId="7" xfId="6" applyFont="1" applyBorder="1" applyAlignment="1">
      <alignment horizontal="right" vertical="center"/>
    </xf>
    <xf numFmtId="49" fontId="16" fillId="2" borderId="0" xfId="0" applyNumberFormat="1" applyFont="1" applyFill="1" applyAlignment="1">
      <alignment horizontal="center" vertical="center" wrapText="1"/>
    </xf>
    <xf numFmtId="49" fontId="6" fillId="2" borderId="33" xfId="0" applyNumberFormat="1" applyFont="1" applyFill="1" applyBorder="1" applyAlignment="1">
      <alignment horizontal="center" vertical="center" wrapText="1"/>
    </xf>
    <xf numFmtId="49" fontId="21" fillId="7" borderId="3" xfId="0" applyNumberFormat="1" applyFont="1" applyFill="1" applyBorder="1" applyAlignment="1">
      <alignment horizontal="center" vertical="center" wrapText="1"/>
    </xf>
    <xf numFmtId="185" fontId="6" fillId="5" borderId="3" xfId="0" applyNumberFormat="1" applyFont="1" applyFill="1" applyBorder="1" applyAlignment="1">
      <alignment horizontal="right" vertical="center" wrapText="1"/>
    </xf>
    <xf numFmtId="0" fontId="22" fillId="0" borderId="0" xfId="6" applyFont="1" applyAlignment="1">
      <alignment vertical="center"/>
    </xf>
    <xf numFmtId="0" fontId="23" fillId="0" borderId="0" xfId="3" applyFont="1"/>
    <xf numFmtId="0" fontId="24" fillId="0" borderId="0" xfId="3" applyFont="1"/>
    <xf numFmtId="0" fontId="25" fillId="0" borderId="0" xfId="6" applyFont="1" applyAlignment="1">
      <alignment vertical="center"/>
    </xf>
    <xf numFmtId="0" fontId="14" fillId="0" borderId="4" xfId="6" applyFont="1" applyBorder="1" applyAlignment="1">
      <alignment vertical="center"/>
    </xf>
    <xf numFmtId="0" fontId="25" fillId="0" borderId="5" xfId="6" applyFont="1" applyBorder="1" applyAlignment="1">
      <alignment horizontal="center" vertical="center"/>
    </xf>
    <xf numFmtId="0" fontId="14" fillId="0" borderId="6" xfId="6" applyFont="1" applyBorder="1" applyAlignment="1">
      <alignment horizontal="right" vertical="center"/>
    </xf>
    <xf numFmtId="0" fontId="14" fillId="5" borderId="25" xfId="6" applyFont="1" applyFill="1" applyBorder="1" applyAlignment="1">
      <alignment horizontal="center" vertical="center"/>
    </xf>
    <xf numFmtId="0" fontId="14" fillId="5" borderId="26" xfId="6" applyFont="1" applyFill="1" applyBorder="1" applyAlignment="1">
      <alignment vertical="center" shrinkToFit="1"/>
    </xf>
    <xf numFmtId="0" fontId="14" fillId="5" borderId="2" xfId="6" applyFont="1" applyFill="1" applyBorder="1" applyAlignment="1">
      <alignment horizontal="center" vertical="center"/>
    </xf>
    <xf numFmtId="0" fontId="14" fillId="5" borderId="27" xfId="6" applyFont="1" applyFill="1" applyBorder="1" applyAlignment="1">
      <alignment vertical="center" shrinkToFit="1"/>
    </xf>
    <xf numFmtId="0" fontId="26" fillId="0" borderId="0" xfId="6" applyFont="1" applyAlignment="1">
      <alignment vertical="center" shrinkToFit="1"/>
    </xf>
    <xf numFmtId="0" fontId="14" fillId="5" borderId="2" xfId="6" applyFont="1" applyFill="1" applyBorder="1" applyAlignment="1">
      <alignment horizontal="center" vertical="center" shrinkToFit="1"/>
    </xf>
    <xf numFmtId="0" fontId="14" fillId="0" borderId="2" xfId="6" applyFont="1" applyBorder="1" applyAlignment="1">
      <alignment horizontal="center" vertical="center"/>
    </xf>
    <xf numFmtId="0" fontId="14" fillId="0" borderId="27" xfId="6" applyFont="1" applyBorder="1" applyAlignment="1">
      <alignment vertical="center"/>
    </xf>
    <xf numFmtId="0" fontId="25" fillId="0" borderId="0" xfId="6" applyFont="1" applyAlignment="1">
      <alignment horizontal="center" vertical="center" shrinkToFit="1"/>
    </xf>
    <xf numFmtId="0" fontId="14" fillId="0" borderId="28" xfId="6" applyFont="1" applyBorder="1" applyAlignment="1">
      <alignment horizontal="center" vertical="center" shrinkToFit="1"/>
    </xf>
    <xf numFmtId="0" fontId="14" fillId="0" borderId="29" xfId="6" applyFont="1" applyBorder="1" applyAlignment="1">
      <alignment vertical="center" shrinkToFit="1"/>
    </xf>
    <xf numFmtId="0" fontId="26" fillId="0" borderId="7" xfId="6" applyFont="1" applyBorder="1" applyAlignment="1">
      <alignment vertical="center"/>
    </xf>
    <xf numFmtId="179" fontId="25" fillId="0" borderId="7" xfId="6" applyNumberFormat="1" applyFont="1" applyBorder="1" applyAlignment="1">
      <alignment vertical="center"/>
    </xf>
    <xf numFmtId="0" fontId="25" fillId="0" borderId="0" xfId="6" applyFont="1" applyAlignment="1">
      <alignment vertical="center" shrinkToFit="1"/>
    </xf>
    <xf numFmtId="0" fontId="14" fillId="0" borderId="8" xfId="6" applyFont="1" applyBorder="1" applyAlignment="1">
      <alignment horizontal="center" vertical="center"/>
    </xf>
    <xf numFmtId="0" fontId="14" fillId="0" borderId="9" xfId="6" applyFont="1" applyBorder="1" applyAlignment="1">
      <alignment horizontal="center" vertical="center"/>
    </xf>
    <xf numFmtId="0" fontId="14" fillId="0" borderId="10" xfId="6" applyFont="1" applyBorder="1" applyAlignment="1">
      <alignment horizontal="center" vertical="center"/>
    </xf>
    <xf numFmtId="0" fontId="27" fillId="0" borderId="11" xfId="6" applyFont="1" applyBorder="1" applyAlignment="1">
      <alignment horizontal="center" vertical="center"/>
    </xf>
    <xf numFmtId="0" fontId="14" fillId="0" borderId="12" xfId="6" applyFont="1" applyBorder="1" applyAlignment="1">
      <alignment vertical="center"/>
    </xf>
    <xf numFmtId="0" fontId="27" fillId="0" borderId="12" xfId="6" applyFont="1" applyBorder="1" applyAlignment="1">
      <alignment vertical="center"/>
    </xf>
    <xf numFmtId="1" fontId="27" fillId="0" borderId="12" xfId="6" applyNumberFormat="1" applyFont="1" applyBorder="1" applyAlignment="1">
      <alignment horizontal="center" vertical="center"/>
    </xf>
    <xf numFmtId="180" fontId="27" fillId="0" borderId="12" xfId="7" applyFont="1" applyBorder="1" applyAlignment="1">
      <alignment horizontal="right" vertical="center"/>
    </xf>
    <xf numFmtId="0" fontId="27" fillId="0" borderId="13" xfId="6" applyFont="1" applyBorder="1" applyAlignment="1">
      <alignment vertical="center"/>
    </xf>
    <xf numFmtId="0" fontId="27" fillId="0" borderId="14" xfId="6" applyFont="1" applyBorder="1" applyAlignment="1">
      <alignment horizontal="center" vertical="center"/>
    </xf>
    <xf numFmtId="0" fontId="27" fillId="0" borderId="15" xfId="6" applyFont="1" applyBorder="1" applyAlignment="1">
      <alignment horizontal="center" vertical="center"/>
    </xf>
    <xf numFmtId="0" fontId="27" fillId="0" borderId="15" xfId="3" applyFont="1" applyBorder="1" applyAlignment="1">
      <alignment horizontal="center" vertical="center"/>
    </xf>
    <xf numFmtId="1" fontId="27" fillId="0" borderId="15" xfId="6" applyNumberFormat="1" applyFont="1" applyBorder="1" applyAlignment="1">
      <alignment horizontal="center" vertical="center"/>
    </xf>
    <xf numFmtId="180" fontId="27" fillId="0" borderId="15" xfId="7" applyFont="1" applyBorder="1" applyAlignment="1">
      <alignment horizontal="right" vertical="center"/>
    </xf>
    <xf numFmtId="0" fontId="27" fillId="0" borderId="16" xfId="6" quotePrefix="1" applyFont="1" applyBorder="1" applyAlignment="1">
      <alignment vertical="center"/>
    </xf>
    <xf numFmtId="0" fontId="27" fillId="0" borderId="16" xfId="6" applyFont="1" applyBorder="1" applyAlignment="1">
      <alignment vertical="center"/>
    </xf>
    <xf numFmtId="0" fontId="14" fillId="8" borderId="15" xfId="6" applyFont="1" applyFill="1" applyBorder="1" applyAlignment="1">
      <alignment vertical="center"/>
    </xf>
    <xf numFmtId="1" fontId="14" fillId="8" borderId="15" xfId="6" applyNumberFormat="1" applyFont="1" applyFill="1" applyBorder="1" applyAlignment="1">
      <alignment horizontal="center" vertical="center"/>
    </xf>
    <xf numFmtId="180" fontId="14" fillId="8" borderId="15" xfId="7" applyFont="1" applyFill="1" applyBorder="1" applyAlignment="1">
      <alignment horizontal="right" vertical="center"/>
    </xf>
    <xf numFmtId="0" fontId="14" fillId="0" borderId="15" xfId="6" applyFont="1" applyBorder="1" applyAlignment="1">
      <alignment vertical="center"/>
    </xf>
    <xf numFmtId="0" fontId="27" fillId="0" borderId="15" xfId="6" applyFont="1" applyBorder="1" applyAlignment="1">
      <alignment vertical="center"/>
    </xf>
    <xf numFmtId="180" fontId="14" fillId="0" borderId="15" xfId="7" applyFont="1" applyFill="1" applyBorder="1" applyAlignment="1">
      <alignment horizontal="right" vertical="center"/>
    </xf>
    <xf numFmtId="0" fontId="27" fillId="0" borderId="15" xfId="8" applyFont="1" applyBorder="1" applyAlignment="1">
      <alignment horizontal="center" vertical="center"/>
    </xf>
    <xf numFmtId="178" fontId="27" fillId="0" borderId="15" xfId="5" applyFont="1" applyFill="1" applyBorder="1" applyAlignment="1">
      <alignment horizontal="right" vertical="center"/>
    </xf>
    <xf numFmtId="0" fontId="27" fillId="5" borderId="15" xfId="8" applyFont="1" applyFill="1" applyBorder="1" applyAlignment="1">
      <alignment horizontal="center" vertical="center"/>
    </xf>
    <xf numFmtId="0" fontId="27" fillId="5" borderId="15" xfId="6" applyFont="1" applyFill="1" applyBorder="1" applyAlignment="1">
      <alignment vertical="center"/>
    </xf>
    <xf numFmtId="0" fontId="27" fillId="5" borderId="15" xfId="6" applyFont="1" applyFill="1" applyBorder="1" applyAlignment="1">
      <alignment horizontal="center" vertical="center"/>
    </xf>
    <xf numFmtId="178" fontId="27" fillId="5" borderId="15" xfId="5" applyFont="1" applyFill="1" applyBorder="1" applyAlignment="1">
      <alignment horizontal="right" vertical="center"/>
    </xf>
    <xf numFmtId="0" fontId="27" fillId="5" borderId="16" xfId="6" applyFont="1" applyFill="1" applyBorder="1" applyAlignment="1">
      <alignment vertical="center"/>
    </xf>
    <xf numFmtId="0" fontId="27" fillId="0" borderId="15" xfId="3" applyFont="1" applyBorder="1" applyAlignment="1">
      <alignment horizontal="left" vertical="center"/>
    </xf>
    <xf numFmtId="9" fontId="14" fillId="8" borderId="15" xfId="3" applyNumberFormat="1" applyFont="1" applyFill="1" applyBorder="1" applyAlignment="1">
      <alignment horizontal="right" vertical="center"/>
    </xf>
    <xf numFmtId="1" fontId="14" fillId="8" borderId="15" xfId="9" applyNumberFormat="1" applyFont="1" applyFill="1" applyBorder="1" applyAlignment="1">
      <alignment horizontal="center" vertical="center"/>
    </xf>
    <xf numFmtId="177" fontId="14" fillId="8" borderId="15" xfId="7" applyNumberFormat="1" applyFont="1" applyFill="1" applyBorder="1" applyAlignment="1">
      <alignment horizontal="right" vertical="center"/>
    </xf>
    <xf numFmtId="9" fontId="27" fillId="0" borderId="15" xfId="3" applyNumberFormat="1" applyFont="1" applyBorder="1" applyAlignment="1">
      <alignment horizontal="right" vertical="center"/>
    </xf>
    <xf numFmtId="1" fontId="27" fillId="0" borderId="15" xfId="9" applyNumberFormat="1" applyFont="1" applyFill="1" applyBorder="1" applyAlignment="1">
      <alignment horizontal="center" vertical="center"/>
    </xf>
    <xf numFmtId="177" fontId="14" fillId="0" borderId="15" xfId="7" applyNumberFormat="1" applyFont="1" applyFill="1" applyBorder="1" applyAlignment="1">
      <alignment horizontal="right" vertical="center"/>
    </xf>
    <xf numFmtId="0" fontId="27" fillId="0" borderId="15" xfId="3" applyFont="1" applyBorder="1" applyAlignment="1">
      <alignment vertical="center"/>
    </xf>
    <xf numFmtId="180" fontId="27" fillId="5" borderId="15" xfId="7" applyFont="1" applyFill="1" applyBorder="1" applyAlignment="1">
      <alignment horizontal="right" vertical="center"/>
    </xf>
    <xf numFmtId="180" fontId="14" fillId="8" borderId="0" xfId="3" applyNumberFormat="1" applyFont="1" applyFill="1" applyAlignment="1">
      <alignment vertical="center"/>
    </xf>
    <xf numFmtId="0" fontId="14" fillId="0" borderId="17" xfId="6" applyFont="1" applyBorder="1" applyAlignment="1">
      <alignment horizontal="center" vertical="center" textRotation="255"/>
    </xf>
    <xf numFmtId="0" fontId="14" fillId="0" borderId="18" xfId="6" applyFont="1" applyBorder="1" applyAlignment="1">
      <alignment vertical="top"/>
    </xf>
    <xf numFmtId="0" fontId="27" fillId="0" borderId="19" xfId="6" applyFont="1" applyBorder="1" applyAlignment="1">
      <alignment vertical="center"/>
    </xf>
    <xf numFmtId="0" fontId="27" fillId="0" borderId="19" xfId="6" applyFont="1" applyBorder="1" applyAlignment="1">
      <alignment horizontal="right" vertical="center"/>
    </xf>
    <xf numFmtId="0" fontId="27" fillId="0" borderId="20" xfId="6" applyFont="1" applyBorder="1" applyAlignment="1">
      <alignment vertical="center"/>
    </xf>
    <xf numFmtId="0" fontId="14" fillId="0" borderId="0" xfId="10" applyFont="1"/>
    <xf numFmtId="0" fontId="28" fillId="0" borderId="0" xfId="0" applyFont="1" applyAlignment="1">
      <alignment horizontal="center" vertical="center"/>
    </xf>
    <xf numFmtId="0" fontId="29" fillId="0" borderId="0" xfId="0" applyFont="1">
      <alignment vertical="center"/>
    </xf>
    <xf numFmtId="0" fontId="29" fillId="0" borderId="0" xfId="0" applyFont="1" applyAlignment="1">
      <alignment horizontal="center" vertical="center"/>
    </xf>
    <xf numFmtId="9" fontId="28" fillId="0" borderId="0" xfId="0" applyNumberFormat="1" applyFont="1" applyAlignment="1">
      <alignment horizontal="center" vertical="center"/>
    </xf>
    <xf numFmtId="182" fontId="28" fillId="3" borderId="0" xfId="2" applyNumberFormat="1" applyFont="1" applyFill="1" applyAlignment="1">
      <alignment horizontal="center" vertical="center"/>
    </xf>
    <xf numFmtId="0" fontId="28" fillId="9" borderId="24" xfId="0" applyFont="1" applyFill="1" applyBorder="1">
      <alignment vertical="center"/>
    </xf>
    <xf numFmtId="0" fontId="28" fillId="9" borderId="21" xfId="0" applyFont="1" applyFill="1" applyBorder="1">
      <alignment vertical="center"/>
    </xf>
    <xf numFmtId="0" fontId="28" fillId="4" borderId="22" xfId="0" applyFont="1" applyFill="1" applyBorder="1" applyAlignment="1">
      <alignment horizontal="center" vertical="center"/>
    </xf>
    <xf numFmtId="0" fontId="28" fillId="4" borderId="6" xfId="0" applyFont="1" applyFill="1" applyBorder="1" applyAlignment="1">
      <alignment horizontal="center" vertical="center"/>
    </xf>
    <xf numFmtId="0" fontId="28" fillId="7" borderId="3" xfId="0" applyFont="1" applyFill="1" applyBorder="1" applyAlignment="1">
      <alignment horizontal="center" vertical="center"/>
    </xf>
    <xf numFmtId="0" fontId="28" fillId="4" borderId="3" xfId="3" applyFont="1" applyFill="1" applyBorder="1" applyAlignment="1">
      <alignment horizontal="center" vertical="center"/>
    </xf>
    <xf numFmtId="177" fontId="28" fillId="4" borderId="3" xfId="4" applyFont="1" applyFill="1" applyBorder="1" applyAlignment="1">
      <alignment horizontal="center" vertical="center"/>
    </xf>
    <xf numFmtId="178" fontId="28" fillId="4" borderId="3" xfId="5" applyFont="1" applyFill="1" applyBorder="1" applyAlignment="1">
      <alignment horizontal="center" vertical="center"/>
    </xf>
    <xf numFmtId="0" fontId="29" fillId="6" borderId="22" xfId="0" applyFont="1" applyFill="1" applyBorder="1" applyAlignment="1">
      <alignment horizontal="center" vertical="center"/>
    </xf>
    <xf numFmtId="0" fontId="29" fillId="6" borderId="6" xfId="0" applyFont="1" applyFill="1" applyBorder="1" applyAlignment="1">
      <alignment horizontal="center" vertical="center"/>
    </xf>
    <xf numFmtId="0" fontId="29" fillId="7" borderId="3" xfId="0" applyFont="1" applyFill="1" applyBorder="1" applyAlignment="1">
      <alignment horizontal="center" vertical="center"/>
    </xf>
    <xf numFmtId="0" fontId="32" fillId="7" borderId="3" xfId="0" applyFont="1" applyFill="1" applyBorder="1" applyAlignment="1">
      <alignment horizontal="center" vertical="center"/>
    </xf>
    <xf numFmtId="49" fontId="21" fillId="5" borderId="3" xfId="0" applyNumberFormat="1" applyFont="1" applyFill="1" applyBorder="1" applyAlignment="1">
      <alignment horizontal="center" vertical="center" wrapText="1"/>
    </xf>
    <xf numFmtId="0" fontId="29" fillId="0" borderId="3" xfId="0" applyFont="1" applyBorder="1">
      <alignment vertical="center"/>
    </xf>
    <xf numFmtId="177" fontId="29" fillId="6" borderId="3" xfId="1" applyFont="1" applyFill="1" applyBorder="1" applyAlignment="1">
      <alignment horizontal="center" vertical="center" wrapText="1"/>
    </xf>
    <xf numFmtId="177" fontId="29" fillId="0" borderId="3" xfId="1" applyFont="1" applyFill="1" applyBorder="1" applyAlignment="1">
      <alignment horizontal="center" vertical="center" wrapText="1"/>
    </xf>
    <xf numFmtId="183" fontId="29" fillId="5" borderId="3" xfId="1" applyNumberFormat="1" applyFont="1" applyFill="1" applyBorder="1" applyAlignment="1">
      <alignment horizontal="center" vertical="center"/>
    </xf>
    <xf numFmtId="0" fontId="33" fillId="0" borderId="23" xfId="0" applyFont="1" applyBorder="1" applyAlignment="1">
      <alignment horizontal="center" vertical="center"/>
    </xf>
    <xf numFmtId="0" fontId="33" fillId="0" borderId="0" xfId="0" applyFont="1">
      <alignment vertical="center"/>
    </xf>
    <xf numFmtId="0" fontId="29" fillId="5" borderId="3" xfId="0" applyFont="1" applyFill="1" applyBorder="1">
      <alignment vertical="center"/>
    </xf>
    <xf numFmtId="49" fontId="29" fillId="7" borderId="3" xfId="0" applyNumberFormat="1" applyFont="1" applyFill="1" applyBorder="1" applyAlignment="1">
      <alignment horizontal="center" vertical="center" wrapText="1"/>
    </xf>
    <xf numFmtId="184" fontId="21" fillId="5" borderId="3" xfId="0" applyNumberFormat="1" applyFont="1" applyFill="1" applyBorder="1" applyAlignment="1">
      <alignment horizontal="right" vertical="center" wrapText="1"/>
    </xf>
    <xf numFmtId="183" fontId="33" fillId="0" borderId="3" xfId="1" applyNumberFormat="1" applyFont="1" applyFill="1" applyBorder="1" applyAlignment="1">
      <alignment horizontal="center" vertical="center"/>
    </xf>
    <xf numFmtId="0" fontId="33" fillId="0" borderId="3" xfId="3" applyFont="1" applyBorder="1" applyAlignment="1">
      <alignment horizontal="left" vertical="center" shrinkToFit="1"/>
    </xf>
    <xf numFmtId="0" fontId="34" fillId="0" borderId="3" xfId="3" applyFont="1" applyBorder="1" applyAlignment="1">
      <alignment horizontal="center" vertical="center"/>
    </xf>
    <xf numFmtId="9" fontId="33" fillId="0" borderId="3" xfId="0" applyNumberFormat="1" applyFont="1" applyBorder="1" applyAlignment="1">
      <alignment horizontal="center" vertical="center"/>
    </xf>
    <xf numFmtId="0" fontId="35" fillId="10" borderId="0" xfId="0" applyFont="1" applyFill="1">
      <alignment vertical="center"/>
    </xf>
    <xf numFmtId="0" fontId="35" fillId="0" borderId="0" xfId="0" applyFont="1">
      <alignment vertical="center"/>
    </xf>
    <xf numFmtId="177" fontId="36" fillId="10" borderId="0" xfId="0" applyNumberFormat="1" applyFont="1" applyFill="1">
      <alignment vertical="center"/>
    </xf>
    <xf numFmtId="0" fontId="36" fillId="0" borderId="0" xfId="0" applyFont="1">
      <alignment vertical="center"/>
    </xf>
    <xf numFmtId="177" fontId="36" fillId="0" borderId="0" xfId="0" applyNumberFormat="1" applyFont="1">
      <alignment vertical="center"/>
    </xf>
    <xf numFmtId="0" fontId="35" fillId="0" borderId="0" xfId="0" applyFont="1" applyAlignment="1">
      <alignment horizontal="center" vertical="center"/>
    </xf>
    <xf numFmtId="0" fontId="28" fillId="5" borderId="0" xfId="0" applyFont="1" applyFill="1">
      <alignment vertical="center"/>
    </xf>
    <xf numFmtId="177" fontId="29" fillId="0" borderId="0" xfId="0" applyNumberFormat="1" applyFont="1">
      <alignment vertical="center"/>
    </xf>
    <xf numFmtId="0" fontId="37" fillId="0" borderId="0" xfId="0" applyFont="1">
      <alignment vertical="center"/>
    </xf>
    <xf numFmtId="181" fontId="25" fillId="7" borderId="1" xfId="1" applyNumberFormat="1" applyFont="1" applyFill="1" applyBorder="1" applyAlignment="1">
      <alignment horizontal="center" vertical="center"/>
    </xf>
    <xf numFmtId="181" fontId="25" fillId="0" borderId="1" xfId="1" applyNumberFormat="1" applyFont="1" applyBorder="1" applyAlignment="1">
      <alignment horizontal="center" vertical="center"/>
    </xf>
    <xf numFmtId="181" fontId="25" fillId="0" borderId="0" xfId="1" applyNumberFormat="1" applyFont="1" applyAlignment="1">
      <alignment horizontal="center" vertical="center"/>
    </xf>
    <xf numFmtId="177" fontId="29" fillId="5" borderId="3" xfId="1" applyFont="1" applyFill="1" applyBorder="1" applyAlignment="1">
      <alignment horizontal="center" vertical="center"/>
    </xf>
    <xf numFmtId="0" fontId="1" fillId="0" borderId="0" xfId="19">
      <alignment vertical="center"/>
    </xf>
    <xf numFmtId="0" fontId="40" fillId="0" borderId="0" xfId="19" applyFont="1">
      <alignment vertical="center"/>
    </xf>
    <xf numFmtId="0" fontId="1" fillId="0" borderId="0" xfId="19" applyAlignment="1">
      <alignment horizontal="center" vertical="center"/>
    </xf>
    <xf numFmtId="0" fontId="38" fillId="0" borderId="0" xfId="0" applyFont="1" applyAlignment="1">
      <alignment horizontal="center" vertical="center"/>
    </xf>
    <xf numFmtId="49" fontId="6" fillId="2" borderId="34" xfId="0" applyNumberFormat="1" applyFont="1" applyFill="1" applyBorder="1" applyAlignment="1">
      <alignment horizontal="center" vertical="center" wrapText="1"/>
    </xf>
    <xf numFmtId="186" fontId="37" fillId="0" borderId="0" xfId="0" applyNumberFormat="1" applyFont="1">
      <alignment vertical="center"/>
    </xf>
    <xf numFmtId="0" fontId="37" fillId="0" borderId="0" xfId="0" applyFont="1" applyAlignment="1">
      <alignment horizontal="center" vertical="center"/>
    </xf>
    <xf numFmtId="0" fontId="22" fillId="0" borderId="0" xfId="6" applyFont="1" applyAlignment="1">
      <alignment horizontal="center" vertical="center"/>
    </xf>
    <xf numFmtId="0" fontId="26" fillId="0" borderId="0" xfId="6" applyFont="1" applyAlignment="1">
      <alignment vertical="center"/>
    </xf>
    <xf numFmtId="0" fontId="25" fillId="0" borderId="0" xfId="6" applyFont="1" applyAlignment="1">
      <alignment vertical="center"/>
    </xf>
    <xf numFmtId="0" fontId="14" fillId="0" borderId="4" xfId="6" applyFont="1" applyBorder="1" applyAlignment="1">
      <alignment vertical="center"/>
    </xf>
    <xf numFmtId="0" fontId="14" fillId="0" borderId="5" xfId="6" applyFont="1" applyBorder="1" applyAlignment="1">
      <alignment vertical="center"/>
    </xf>
    <xf numFmtId="0" fontId="14" fillId="0" borderId="6" xfId="6" applyFont="1" applyBorder="1" applyAlignment="1">
      <alignment vertical="center"/>
    </xf>
    <xf numFmtId="0" fontId="28" fillId="0" borderId="0" xfId="0" applyFont="1" applyAlignment="1">
      <alignment horizontal="center" vertical="center"/>
    </xf>
    <xf numFmtId="0" fontId="31" fillId="0" borderId="31" xfId="0" applyFont="1" applyBorder="1" applyAlignment="1">
      <alignment horizontal="center" vertical="center"/>
    </xf>
    <xf numFmtId="0" fontId="29" fillId="0" borderId="32" xfId="0" applyFont="1" applyBorder="1" applyAlignment="1">
      <alignment horizontal="center" vertical="center"/>
    </xf>
    <xf numFmtId="0" fontId="28" fillId="9" borderId="30" xfId="0" applyFont="1" applyFill="1" applyBorder="1" applyAlignment="1">
      <alignment horizontal="center" vertical="center"/>
    </xf>
    <xf numFmtId="0" fontId="28" fillId="9" borderId="4" xfId="0" applyFont="1" applyFill="1" applyBorder="1" applyAlignment="1">
      <alignment horizontal="center" vertical="center"/>
    </xf>
    <xf numFmtId="177" fontId="28" fillId="4" borderId="21" xfId="4" applyFont="1" applyFill="1" applyBorder="1" applyAlignment="1">
      <alignment horizontal="center" vertical="center"/>
    </xf>
    <xf numFmtId="178" fontId="28" fillId="4" borderId="21" xfId="5" applyFont="1" applyFill="1" applyBorder="1" applyAlignment="1">
      <alignment horizontal="center" vertical="center"/>
    </xf>
    <xf numFmtId="0" fontId="28" fillId="4" borderId="21" xfId="0" applyFont="1" applyFill="1" applyBorder="1" applyAlignment="1">
      <alignment horizontal="center" vertical="center"/>
    </xf>
    <xf numFmtId="0" fontId="28" fillId="4" borderId="3" xfId="0" applyFont="1" applyFill="1" applyBorder="1" applyAlignment="1">
      <alignment horizontal="center" vertical="center"/>
    </xf>
    <xf numFmtId="0" fontId="28" fillId="4" borderId="21" xfId="3" applyFont="1" applyFill="1" applyBorder="1" applyAlignment="1">
      <alignment horizontal="center" vertical="center"/>
    </xf>
    <xf numFmtId="0" fontId="28" fillId="4" borderId="3" xfId="3" applyFont="1" applyFill="1" applyBorder="1" applyAlignment="1">
      <alignment horizontal="center" vertical="center"/>
    </xf>
  </cellXfs>
  <cellStyles count="20">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3" xfId="16" xr:uid="{8F7BE219-40E1-4BBB-A9BD-02188B74B2A3}"/>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3" xfId="14" xr:uid="{00000000-0005-0000-0000-00000D000000}"/>
    <cellStyle name="표준 4" xfId="15" xr:uid="{08D43F33-5EF4-4FAF-B422-8A71947BBD29}"/>
    <cellStyle name="표준 5" xfId="17" xr:uid="{B39ACF8E-5B1E-4331-957C-34579729CB23}"/>
    <cellStyle name="표준 5 2" xfId="19" xr:uid="{4F030649-8CC0-4CE1-BD4A-B2012A676EE5}"/>
    <cellStyle name="표준_봉강빌딩신축공사" xfId="6"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3" name="Picture 1" descr="세원도장">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209800"/>
          <a:ext cx="0" cy="6096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5" name="Picture 1" descr="세원도장">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93321"/>
          <a:ext cx="1" cy="443547"/>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14310" y="257746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58F3E340-E599-46BE-9E8C-FA96064F77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1" name="Picture 1" descr="세원도장">
          <a:extLst>
            <a:ext uri="{FF2B5EF4-FFF2-40B4-BE49-F238E27FC236}">
              <a16:creationId xmlns:a16="http://schemas.microsoft.com/office/drawing/2014/main" id="{BFD26053-C86C-454F-BAAE-C22BD44A948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EB347FB3-564D-4B15-9EBC-B07BC58EB8F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3" name="Picture 1" descr="세원도장">
          <a:extLst>
            <a:ext uri="{FF2B5EF4-FFF2-40B4-BE49-F238E27FC236}">
              <a16:creationId xmlns:a16="http://schemas.microsoft.com/office/drawing/2014/main" id="{B0ACC25C-A4C6-482A-80E1-3B27B1DCEC0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4" name="Picture 1" descr="세원도장">
          <a:extLst>
            <a:ext uri="{FF2B5EF4-FFF2-40B4-BE49-F238E27FC236}">
              <a16:creationId xmlns:a16="http://schemas.microsoft.com/office/drawing/2014/main" id="{9FD6EC32-C5A1-471A-BA27-6604E11610D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5" name="Picture 1" descr="세원도장">
          <a:extLst>
            <a:ext uri="{FF2B5EF4-FFF2-40B4-BE49-F238E27FC236}">
              <a16:creationId xmlns:a16="http://schemas.microsoft.com/office/drawing/2014/main" id="{C025AE9D-6D75-4C0B-8D39-B52F57D41BD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6" name="Picture 1" descr="세원도장">
          <a:extLst>
            <a:ext uri="{FF2B5EF4-FFF2-40B4-BE49-F238E27FC236}">
              <a16:creationId xmlns:a16="http://schemas.microsoft.com/office/drawing/2014/main" id="{3DB1C1D3-5E0E-48D9-8440-A0F822117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17" name="Picture 1" descr="세원도장">
          <a:extLst>
            <a:ext uri="{FF2B5EF4-FFF2-40B4-BE49-F238E27FC236}">
              <a16:creationId xmlns:a16="http://schemas.microsoft.com/office/drawing/2014/main" id="{4725828D-394F-41BF-B914-794E48891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9DC7C37-23EB-42F3-AFCB-BCC68DE446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E44C58A3-246E-4D32-B978-6FBC162FC5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0" name="Picture 1" descr="세원도장">
          <a:extLst>
            <a:ext uri="{FF2B5EF4-FFF2-40B4-BE49-F238E27FC236}">
              <a16:creationId xmlns:a16="http://schemas.microsoft.com/office/drawing/2014/main" id="{5EE48E27-9484-4AF6-BAF4-E237DD04B5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1" name="Picture 1" descr="세원도장">
          <a:extLst>
            <a:ext uri="{FF2B5EF4-FFF2-40B4-BE49-F238E27FC236}">
              <a16:creationId xmlns:a16="http://schemas.microsoft.com/office/drawing/2014/main" id="{D7569884-D0FA-4298-A9F7-2F8EA325869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2" name="Picture 1" descr="세원도장">
          <a:extLst>
            <a:ext uri="{FF2B5EF4-FFF2-40B4-BE49-F238E27FC236}">
              <a16:creationId xmlns:a16="http://schemas.microsoft.com/office/drawing/2014/main" id="{D6D71E39-AE40-4897-B67E-4DC47E051E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3" name="Picture 1" descr="세원도장">
          <a:extLst>
            <a:ext uri="{FF2B5EF4-FFF2-40B4-BE49-F238E27FC236}">
              <a16:creationId xmlns:a16="http://schemas.microsoft.com/office/drawing/2014/main" id="{8A6A7AA3-8F11-4252-A916-4910E00B3A9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4" name="Picture 1" descr="세원도장">
          <a:extLst>
            <a:ext uri="{FF2B5EF4-FFF2-40B4-BE49-F238E27FC236}">
              <a16:creationId xmlns:a16="http://schemas.microsoft.com/office/drawing/2014/main" id="{954762A1-D062-42BE-BB04-A042C39AA4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5" name="Picture 1" descr="세원도장">
          <a:extLst>
            <a:ext uri="{FF2B5EF4-FFF2-40B4-BE49-F238E27FC236}">
              <a16:creationId xmlns:a16="http://schemas.microsoft.com/office/drawing/2014/main" id="{DB13B384-02D2-4A89-BABB-F0AAAE9DE18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6" name="Picture 1" descr="세원도장">
          <a:extLst>
            <a:ext uri="{FF2B5EF4-FFF2-40B4-BE49-F238E27FC236}">
              <a16:creationId xmlns:a16="http://schemas.microsoft.com/office/drawing/2014/main" id="{58266D4E-D6D1-41BA-8021-F45C27F1BF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7" name="Picture 1" descr="세원도장">
          <a:extLst>
            <a:ext uri="{FF2B5EF4-FFF2-40B4-BE49-F238E27FC236}">
              <a16:creationId xmlns:a16="http://schemas.microsoft.com/office/drawing/2014/main" id="{9EF17E01-878E-45A1-8E21-32C0F89110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8" name="Picture 1" descr="세원도장">
          <a:extLst>
            <a:ext uri="{FF2B5EF4-FFF2-40B4-BE49-F238E27FC236}">
              <a16:creationId xmlns:a16="http://schemas.microsoft.com/office/drawing/2014/main" id="{6E2D99E9-30AE-4708-B321-B4EE6083CD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29" name="Picture 1" descr="세원도장">
          <a:extLst>
            <a:ext uri="{FF2B5EF4-FFF2-40B4-BE49-F238E27FC236}">
              <a16:creationId xmlns:a16="http://schemas.microsoft.com/office/drawing/2014/main" id="{1DE30400-F6C4-433B-9528-AB2FF1C77E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0" name="Picture 1" descr="세원도장">
          <a:extLst>
            <a:ext uri="{FF2B5EF4-FFF2-40B4-BE49-F238E27FC236}">
              <a16:creationId xmlns:a16="http://schemas.microsoft.com/office/drawing/2014/main" id="{64B389D0-D427-4BE4-ADEC-297FE3946D4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1" name="Picture 1" descr="세원도장">
          <a:extLst>
            <a:ext uri="{FF2B5EF4-FFF2-40B4-BE49-F238E27FC236}">
              <a16:creationId xmlns:a16="http://schemas.microsoft.com/office/drawing/2014/main" id="{DAB75B71-B2B3-4422-985B-372E94B0257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2" name="Picture 1" descr="세원도장">
          <a:extLst>
            <a:ext uri="{FF2B5EF4-FFF2-40B4-BE49-F238E27FC236}">
              <a16:creationId xmlns:a16="http://schemas.microsoft.com/office/drawing/2014/main" id="{D0B769DC-8325-403A-921F-393C1FC82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33" name="Picture 1" descr="세원도장">
          <a:extLst>
            <a:ext uri="{FF2B5EF4-FFF2-40B4-BE49-F238E27FC236}">
              <a16:creationId xmlns:a16="http://schemas.microsoft.com/office/drawing/2014/main" id="{8BF8F784-9BCC-4B37-8359-D7EA98F30BA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4" name="Picture 1" descr="세원도장">
          <a:extLst>
            <a:ext uri="{FF2B5EF4-FFF2-40B4-BE49-F238E27FC236}">
              <a16:creationId xmlns:a16="http://schemas.microsoft.com/office/drawing/2014/main" id="{30C40510-27D0-4954-853C-90BAB02D0E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35" name="Picture 1" descr="세원도장">
          <a:extLst>
            <a:ext uri="{FF2B5EF4-FFF2-40B4-BE49-F238E27FC236}">
              <a16:creationId xmlns:a16="http://schemas.microsoft.com/office/drawing/2014/main" id="{F2CF8535-B92B-4423-8225-AF99190B162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36E5D8DF-282B-4AFB-9369-75E391C1309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7" name="Picture 1" descr="세원도장">
          <a:extLst>
            <a:ext uri="{FF2B5EF4-FFF2-40B4-BE49-F238E27FC236}">
              <a16:creationId xmlns:a16="http://schemas.microsoft.com/office/drawing/2014/main" id="{E832764B-732E-4A88-A739-BDD2449AF83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B87FA265-8E5E-480B-A3F2-69DC37F170B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39" name="Picture 1" descr="세원도장">
          <a:extLst>
            <a:ext uri="{FF2B5EF4-FFF2-40B4-BE49-F238E27FC236}">
              <a16:creationId xmlns:a16="http://schemas.microsoft.com/office/drawing/2014/main" id="{F6C26153-CD90-476A-BFCA-A3CE30B1131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0D360081-209A-49ED-9C8F-91B0D451282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8A8E1C8F-C925-41E1-A4A6-29679FB531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0364B22F-A0B2-409E-AB28-C930DBFEBE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8AC2503E-024C-44E1-90FD-DDCBC3EFAE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9C10EB2C-6EA8-45BD-A0BC-9C5BC48AAB0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5" name="Picture 1" descr="세원도장">
          <a:extLst>
            <a:ext uri="{FF2B5EF4-FFF2-40B4-BE49-F238E27FC236}">
              <a16:creationId xmlns:a16="http://schemas.microsoft.com/office/drawing/2014/main" id="{00D1DDBB-AD45-4E44-BF68-CE1EA1EAD23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34472790-6475-47E3-A06A-262CE3FE2DD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7" name="Picture 1" descr="세원도장">
          <a:extLst>
            <a:ext uri="{FF2B5EF4-FFF2-40B4-BE49-F238E27FC236}">
              <a16:creationId xmlns:a16="http://schemas.microsoft.com/office/drawing/2014/main" id="{4F6FB9E9-4CC3-4C5E-91AC-6EB7792C1E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8" name="Picture 1" descr="세원도장">
          <a:extLst>
            <a:ext uri="{FF2B5EF4-FFF2-40B4-BE49-F238E27FC236}">
              <a16:creationId xmlns:a16="http://schemas.microsoft.com/office/drawing/2014/main" id="{202516F6-3335-4CF7-B049-55CEBD9EC0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49" name="Picture 1" descr="세원도장">
          <a:extLst>
            <a:ext uri="{FF2B5EF4-FFF2-40B4-BE49-F238E27FC236}">
              <a16:creationId xmlns:a16="http://schemas.microsoft.com/office/drawing/2014/main" id="{B1093FD1-2980-41D3-859A-6CE645BE2A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0" name="Picture 1" descr="세원도장">
          <a:extLst>
            <a:ext uri="{FF2B5EF4-FFF2-40B4-BE49-F238E27FC236}">
              <a16:creationId xmlns:a16="http://schemas.microsoft.com/office/drawing/2014/main" id="{D9592157-FDD7-4C21-B4B9-44337520B5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51" name="Picture 1" descr="세원도장">
          <a:extLst>
            <a:ext uri="{FF2B5EF4-FFF2-40B4-BE49-F238E27FC236}">
              <a16:creationId xmlns:a16="http://schemas.microsoft.com/office/drawing/2014/main" id="{DBFF5F32-7AEA-4009-8317-4C62DE94701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426F5045-B9EA-479F-BF55-BCA6739673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98FDE52D-2CEE-40AC-9D40-20E6EC116C0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4" name="Picture 1" descr="세원도장">
          <a:extLst>
            <a:ext uri="{FF2B5EF4-FFF2-40B4-BE49-F238E27FC236}">
              <a16:creationId xmlns:a16="http://schemas.microsoft.com/office/drawing/2014/main" id="{58905083-0D49-41C2-A6E8-3CC0EE50625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5" name="Picture 1" descr="세원도장">
          <a:extLst>
            <a:ext uri="{FF2B5EF4-FFF2-40B4-BE49-F238E27FC236}">
              <a16:creationId xmlns:a16="http://schemas.microsoft.com/office/drawing/2014/main" id="{79925FA0-10EF-4738-8560-FD0B4ED00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6" name="Picture 1" descr="세원도장">
          <a:extLst>
            <a:ext uri="{FF2B5EF4-FFF2-40B4-BE49-F238E27FC236}">
              <a16:creationId xmlns:a16="http://schemas.microsoft.com/office/drawing/2014/main" id="{B45AF68E-E086-4275-BD9B-1D362E532A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7" name="Picture 1" descr="세원도장">
          <a:extLst>
            <a:ext uri="{FF2B5EF4-FFF2-40B4-BE49-F238E27FC236}">
              <a16:creationId xmlns:a16="http://schemas.microsoft.com/office/drawing/2014/main" id="{91C30C8D-412A-4320-B790-2152646DF4F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8" name="Picture 1" descr="세원도장">
          <a:extLst>
            <a:ext uri="{FF2B5EF4-FFF2-40B4-BE49-F238E27FC236}">
              <a16:creationId xmlns:a16="http://schemas.microsoft.com/office/drawing/2014/main" id="{58FF05B5-A94B-4155-87A2-7BF77EF1D8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59" name="Picture 1" descr="세원도장">
          <a:extLst>
            <a:ext uri="{FF2B5EF4-FFF2-40B4-BE49-F238E27FC236}">
              <a16:creationId xmlns:a16="http://schemas.microsoft.com/office/drawing/2014/main" id="{425971EC-1351-4861-A73F-FA984FD1E6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0" name="Picture 1" descr="세원도장">
          <a:extLst>
            <a:ext uri="{FF2B5EF4-FFF2-40B4-BE49-F238E27FC236}">
              <a16:creationId xmlns:a16="http://schemas.microsoft.com/office/drawing/2014/main" id="{F1C4241F-0E15-4217-B984-EC6D2A2945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1" name="Picture 1" descr="세원도장">
          <a:extLst>
            <a:ext uri="{FF2B5EF4-FFF2-40B4-BE49-F238E27FC236}">
              <a16:creationId xmlns:a16="http://schemas.microsoft.com/office/drawing/2014/main" id="{52DD8E77-DCD7-49D1-A6D5-C06F5F353D1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2" name="Picture 1" descr="세원도장">
          <a:extLst>
            <a:ext uri="{FF2B5EF4-FFF2-40B4-BE49-F238E27FC236}">
              <a16:creationId xmlns:a16="http://schemas.microsoft.com/office/drawing/2014/main" id="{3DAF327B-D985-4425-96E1-9E4AA6233C6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63" name="Picture 1" descr="세원도장">
          <a:extLst>
            <a:ext uri="{FF2B5EF4-FFF2-40B4-BE49-F238E27FC236}">
              <a16:creationId xmlns:a16="http://schemas.microsoft.com/office/drawing/2014/main" id="{10F7F231-286B-4162-87FC-B7BB3D1DBCF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4" name="Picture 1" descr="세원도장">
          <a:extLst>
            <a:ext uri="{FF2B5EF4-FFF2-40B4-BE49-F238E27FC236}">
              <a16:creationId xmlns:a16="http://schemas.microsoft.com/office/drawing/2014/main" id="{7803E51A-39CE-41C6-A305-B48BABE81F8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5" name="Picture 1" descr="세원도장">
          <a:extLst>
            <a:ext uri="{FF2B5EF4-FFF2-40B4-BE49-F238E27FC236}">
              <a16:creationId xmlns:a16="http://schemas.microsoft.com/office/drawing/2014/main" id="{D0C929EA-52BE-4E0C-A70D-81EA999F305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6" name="Picture 1" descr="세원도장">
          <a:extLst>
            <a:ext uri="{FF2B5EF4-FFF2-40B4-BE49-F238E27FC236}">
              <a16:creationId xmlns:a16="http://schemas.microsoft.com/office/drawing/2014/main" id="{588B6B4C-D21F-4952-B8D8-8932F5650F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67" name="Picture 1" descr="세원도장">
          <a:extLst>
            <a:ext uri="{FF2B5EF4-FFF2-40B4-BE49-F238E27FC236}">
              <a16:creationId xmlns:a16="http://schemas.microsoft.com/office/drawing/2014/main" id="{A420B6B8-D29B-4A92-B6A3-DADFE6E1337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8" name="Picture 1" descr="세원도장">
          <a:extLst>
            <a:ext uri="{FF2B5EF4-FFF2-40B4-BE49-F238E27FC236}">
              <a16:creationId xmlns:a16="http://schemas.microsoft.com/office/drawing/2014/main" id="{4B1ED88C-D99A-47D5-B35D-0F4C5D6E3B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69" name="Picture 1" descr="세원도장">
          <a:extLst>
            <a:ext uri="{FF2B5EF4-FFF2-40B4-BE49-F238E27FC236}">
              <a16:creationId xmlns:a16="http://schemas.microsoft.com/office/drawing/2014/main" id="{CF05C864-8446-40E4-AB30-895CDA1774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963B62DC-E534-43FD-B562-4E35C9E74D7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1" name="Picture 1" descr="세원도장">
          <a:extLst>
            <a:ext uri="{FF2B5EF4-FFF2-40B4-BE49-F238E27FC236}">
              <a16:creationId xmlns:a16="http://schemas.microsoft.com/office/drawing/2014/main" id="{0468753B-EC5D-4D2C-9EF5-52BB0BBE5F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14FA63F9-4DF2-4FE3-94B6-8EB84EC36E0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3" name="Picture 1" descr="세원도장">
          <a:extLst>
            <a:ext uri="{FF2B5EF4-FFF2-40B4-BE49-F238E27FC236}">
              <a16:creationId xmlns:a16="http://schemas.microsoft.com/office/drawing/2014/main" id="{EC991305-C3CA-4EF4-AAFD-DCE38C5A294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4" name="Picture 1" descr="세원도장">
          <a:extLst>
            <a:ext uri="{FF2B5EF4-FFF2-40B4-BE49-F238E27FC236}">
              <a16:creationId xmlns:a16="http://schemas.microsoft.com/office/drawing/2014/main" id="{9D85CB60-7F15-4C6F-A4AD-0030B9FD27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5" name="Picture 1" descr="세원도장">
          <a:extLst>
            <a:ext uri="{FF2B5EF4-FFF2-40B4-BE49-F238E27FC236}">
              <a16:creationId xmlns:a16="http://schemas.microsoft.com/office/drawing/2014/main" id="{6C046020-B4D4-4BE8-8FD4-A910DA1FAA3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6" name="Picture 1" descr="세원도장">
          <a:extLst>
            <a:ext uri="{FF2B5EF4-FFF2-40B4-BE49-F238E27FC236}">
              <a16:creationId xmlns:a16="http://schemas.microsoft.com/office/drawing/2014/main" id="{6DCDEEA6-4AF0-4679-AFB8-3C453398047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77" name="Picture 1" descr="세원도장">
          <a:extLst>
            <a:ext uri="{FF2B5EF4-FFF2-40B4-BE49-F238E27FC236}">
              <a16:creationId xmlns:a16="http://schemas.microsoft.com/office/drawing/2014/main" id="{C1C9DBCD-9DAA-44CA-8689-E7770167D24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04572688-08B2-481B-B684-A6908302E5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57B85ECD-AB2E-4AA2-80CF-F7028EC590F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0" name="Picture 1" descr="세원도장">
          <a:extLst>
            <a:ext uri="{FF2B5EF4-FFF2-40B4-BE49-F238E27FC236}">
              <a16:creationId xmlns:a16="http://schemas.microsoft.com/office/drawing/2014/main" id="{1E85B33F-E4FC-4FAF-BD59-7F18615926F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1" name="Picture 1" descr="세원도장">
          <a:extLst>
            <a:ext uri="{FF2B5EF4-FFF2-40B4-BE49-F238E27FC236}">
              <a16:creationId xmlns:a16="http://schemas.microsoft.com/office/drawing/2014/main" id="{324C4B55-4A51-4DCE-BCB5-DDF388E5976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2" name="Picture 1" descr="세원도장">
          <a:extLst>
            <a:ext uri="{FF2B5EF4-FFF2-40B4-BE49-F238E27FC236}">
              <a16:creationId xmlns:a16="http://schemas.microsoft.com/office/drawing/2014/main" id="{DCC4F479-45BA-4CFC-ABA5-A83BBA1F80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3" name="Picture 1" descr="세원도장">
          <a:extLst>
            <a:ext uri="{FF2B5EF4-FFF2-40B4-BE49-F238E27FC236}">
              <a16:creationId xmlns:a16="http://schemas.microsoft.com/office/drawing/2014/main" id="{CD8D305C-EC69-4858-AB70-8170AA5639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4" name="Picture 1" descr="세원도장">
          <a:extLst>
            <a:ext uri="{FF2B5EF4-FFF2-40B4-BE49-F238E27FC236}">
              <a16:creationId xmlns:a16="http://schemas.microsoft.com/office/drawing/2014/main" id="{22DDF8EE-3E26-4171-8732-AE556380F92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5" name="Picture 1" descr="세원도장">
          <a:extLst>
            <a:ext uri="{FF2B5EF4-FFF2-40B4-BE49-F238E27FC236}">
              <a16:creationId xmlns:a16="http://schemas.microsoft.com/office/drawing/2014/main" id="{E2AB7C2F-EFAC-4C58-B6D0-022A8CD7081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6" name="Picture 1" descr="세원도장">
          <a:extLst>
            <a:ext uri="{FF2B5EF4-FFF2-40B4-BE49-F238E27FC236}">
              <a16:creationId xmlns:a16="http://schemas.microsoft.com/office/drawing/2014/main" id="{F9397D94-93A3-49E6-A208-D673C3A4797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7" name="Picture 1" descr="세원도장">
          <a:extLst>
            <a:ext uri="{FF2B5EF4-FFF2-40B4-BE49-F238E27FC236}">
              <a16:creationId xmlns:a16="http://schemas.microsoft.com/office/drawing/2014/main" id="{8123E8B4-A1DE-4C47-B4E2-67FF23B253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8" name="Picture 1" descr="세원도장">
          <a:extLst>
            <a:ext uri="{FF2B5EF4-FFF2-40B4-BE49-F238E27FC236}">
              <a16:creationId xmlns:a16="http://schemas.microsoft.com/office/drawing/2014/main" id="{8F924FED-9869-466F-AF6E-62E735A37DC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39168</xdr:rowOff>
    </xdr:to>
    <xdr:pic>
      <xdr:nvPicPr>
        <xdr:cNvPr id="89" name="Picture 1" descr="세원도장">
          <a:extLst>
            <a:ext uri="{FF2B5EF4-FFF2-40B4-BE49-F238E27FC236}">
              <a16:creationId xmlns:a16="http://schemas.microsoft.com/office/drawing/2014/main" id="{4A5B6436-7E66-4C2E-B005-A061C82323A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238" cy="341247"/>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0" name="Picture 1" descr="세원도장">
          <a:extLst>
            <a:ext uri="{FF2B5EF4-FFF2-40B4-BE49-F238E27FC236}">
              <a16:creationId xmlns:a16="http://schemas.microsoft.com/office/drawing/2014/main" id="{40ADFC0D-539D-49E3-BD30-F692CAFC02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1" name="Picture 1" descr="세원도장">
          <a:extLst>
            <a:ext uri="{FF2B5EF4-FFF2-40B4-BE49-F238E27FC236}">
              <a16:creationId xmlns:a16="http://schemas.microsoft.com/office/drawing/2014/main" id="{2EE42A78-B3C9-4E0A-B2D7-70E93A0E268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2" name="Picture 1" descr="세원도장">
          <a:extLst>
            <a:ext uri="{FF2B5EF4-FFF2-40B4-BE49-F238E27FC236}">
              <a16:creationId xmlns:a16="http://schemas.microsoft.com/office/drawing/2014/main" id="{EE7FC3C8-4E3C-4927-89D8-FBF418AF946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91122</xdr:rowOff>
    </xdr:to>
    <xdr:pic>
      <xdr:nvPicPr>
        <xdr:cNvPr id="93" name="Picture 1" descr="세원도장">
          <a:extLst>
            <a:ext uri="{FF2B5EF4-FFF2-40B4-BE49-F238E27FC236}">
              <a16:creationId xmlns:a16="http://schemas.microsoft.com/office/drawing/2014/main" id="{6295CE8B-20A5-440D-8D7F-79E4810B50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39320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4" name="Picture 1" descr="세원도장">
          <a:extLst>
            <a:ext uri="{FF2B5EF4-FFF2-40B4-BE49-F238E27FC236}">
              <a16:creationId xmlns:a16="http://schemas.microsoft.com/office/drawing/2014/main" id="{36ABFAC6-BB4F-462B-ACD3-474AA9642DC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145550</xdr:rowOff>
    </xdr:to>
    <xdr:pic>
      <xdr:nvPicPr>
        <xdr:cNvPr id="95" name="Picture 1" descr="세원도장">
          <a:extLst>
            <a:ext uri="{FF2B5EF4-FFF2-40B4-BE49-F238E27FC236}">
              <a16:creationId xmlns:a16="http://schemas.microsoft.com/office/drawing/2014/main" id="{B071CEEA-55F9-410A-B0FB-64E3ED50A5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47629"/>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190500</xdr:rowOff>
    </xdr:to>
    <xdr:pic>
      <xdr:nvPicPr>
        <xdr:cNvPr id="96" name="Picture 2">
          <a:extLst>
            <a:ext uri="{FF2B5EF4-FFF2-40B4-BE49-F238E27FC236}">
              <a16:creationId xmlns:a16="http://schemas.microsoft.com/office/drawing/2014/main" id="{EB6EED97-5D40-4EA3-8628-073E98298E60}"/>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775700" y="1589314"/>
          <a:ext cx="683264" cy="65858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42F43338-9981-4CA1-BB94-B3396B4B8E3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98" name="Picture 1" descr="세원도장">
          <a:extLst>
            <a:ext uri="{FF2B5EF4-FFF2-40B4-BE49-F238E27FC236}">
              <a16:creationId xmlns:a16="http://schemas.microsoft.com/office/drawing/2014/main" id="{BB22A8EB-B6E2-4207-BC19-E9720A0981F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0A67D42-24E5-477B-B084-046732CDBF5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136025</xdr:rowOff>
    </xdr:to>
    <xdr:pic>
      <xdr:nvPicPr>
        <xdr:cNvPr id="100" name="Picture 1" descr="세원도장">
          <a:extLst>
            <a:ext uri="{FF2B5EF4-FFF2-40B4-BE49-F238E27FC236}">
              <a16:creationId xmlns:a16="http://schemas.microsoft.com/office/drawing/2014/main" id="{F4C89B1E-BB9F-4A15-B847-E19F44409F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8104"/>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00CF2B0A-5D4B-4AB3-9565-75DC0E345E2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EC37C49D-A7CF-4467-9F4F-25F4E236F4C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C323D8D0-29FB-4282-B6A9-BF1306E871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BA4632F1-2CF8-4095-A74B-F27D89CE60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0E9C3B37-625A-4484-B2A5-0BEDCCA0BFC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06" name="Picture 1" descr="세원도장">
          <a:extLst>
            <a:ext uri="{FF2B5EF4-FFF2-40B4-BE49-F238E27FC236}">
              <a16:creationId xmlns:a16="http://schemas.microsoft.com/office/drawing/2014/main" id="{83D298DD-5E7E-4C48-9D3C-8F85FD770FF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5302F66E-7976-4FF0-810D-E95EA4AB6892}"/>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131943</xdr:rowOff>
    </xdr:to>
    <xdr:pic>
      <xdr:nvPicPr>
        <xdr:cNvPr id="108" name="Picture 1" descr="세원도장">
          <a:extLst>
            <a:ext uri="{FF2B5EF4-FFF2-40B4-BE49-F238E27FC236}">
              <a16:creationId xmlns:a16="http://schemas.microsoft.com/office/drawing/2014/main" id="{C95DE69F-04C1-4C00-90B5-8963F76B13F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10041163" y="1069521"/>
          <a:ext cx="1" cy="434022"/>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34A66773-CA8D-4842-AA6C-7448F14E22A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1B168C20-AE47-42C6-A3FA-BC39C582C7B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1DD1395-3BFA-48A1-BA24-F7C00A7F819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32A92A93-D90E-416C-BE8C-BA482BB80A5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8013700" y="2600325"/>
          <a:ext cx="0" cy="8953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136072</xdr:rowOff>
    </xdr:from>
    <xdr:to>
      <xdr:col>13</xdr:col>
      <xdr:colOff>934357</xdr:colOff>
      <xdr:row>31</xdr:row>
      <xdr:rowOff>181428</xdr:rowOff>
    </xdr:to>
    <xdr:sp macro="" textlink="">
      <xdr:nvSpPr>
        <xdr:cNvPr id="2" name="직사각형 1">
          <a:extLst>
            <a:ext uri="{FF2B5EF4-FFF2-40B4-BE49-F238E27FC236}">
              <a16:creationId xmlns:a16="http://schemas.microsoft.com/office/drawing/2014/main" id="{F1CF46DE-C745-428A-AC78-2C02A14D6F81}"/>
            </a:ext>
          </a:extLst>
        </xdr:cNvPr>
        <xdr:cNvSpPr/>
      </xdr:nvSpPr>
      <xdr:spPr>
        <a:xfrm>
          <a:off x="0" y="789215"/>
          <a:ext cx="13090071" cy="6141356"/>
        </a:xfrm>
        <a:prstGeom prst="rect">
          <a:avLst/>
        </a:prstGeom>
        <a:solidFill>
          <a:schemeClr val="bg2"/>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altLang="ko-KR" sz="1100" b="1">
              <a:solidFill>
                <a:schemeClr val="tx1"/>
              </a:solidFill>
              <a:latin typeface="LG스마트체 Regular" panose="020B0600000101010101" pitchFamily="50" charset="-127"/>
              <a:ea typeface="LG스마트체 Regular" panose="020B0600000101010101" pitchFamily="50" charset="-127"/>
            </a:rPr>
            <a:t>&lt;</a:t>
          </a:r>
          <a:r>
            <a:rPr lang="ko-KR" altLang="en-US" sz="1100" b="1">
              <a:solidFill>
                <a:schemeClr val="tx1"/>
              </a:solidFill>
              <a:latin typeface="LG스마트체 Regular" panose="020B0600000101010101" pitchFamily="50" charset="-127"/>
              <a:ea typeface="LG스마트체 Regular" panose="020B0600000101010101" pitchFamily="50" charset="-127"/>
            </a:rPr>
            <a:t>첨부</a:t>
          </a:r>
          <a:r>
            <a:rPr lang="en-US" altLang="ko-KR" sz="1100" b="1">
              <a:solidFill>
                <a:schemeClr val="tx1"/>
              </a:solidFill>
              <a:latin typeface="LG스마트체 Regular" panose="020B0600000101010101" pitchFamily="50" charset="-127"/>
              <a:ea typeface="LG스마트체 Regular" panose="020B0600000101010101" pitchFamily="50" charset="-127"/>
            </a:rPr>
            <a:t>_8</a:t>
          </a:r>
          <a:r>
            <a:rPr lang="ko-KR" altLang="en-US" sz="1100" b="1">
              <a:solidFill>
                <a:schemeClr val="tx1"/>
              </a:solidFill>
              <a:latin typeface="LG스마트체 Regular" panose="020B0600000101010101" pitchFamily="50" charset="-127"/>
              <a:ea typeface="LG스마트체 Regular" panose="020B0600000101010101" pitchFamily="50" charset="-127"/>
            </a:rPr>
            <a:t>동 씽크대 상하부장 문짝교체</a:t>
          </a:r>
          <a:r>
            <a:rPr lang="en-US" altLang="ko-KR" sz="1100" b="1">
              <a:solidFill>
                <a:schemeClr val="tx1"/>
              </a:solidFill>
              <a:latin typeface="LG스마트체 Regular" panose="020B0600000101010101" pitchFamily="50" charset="-127"/>
              <a:ea typeface="LG스마트체 Regular" panose="020B0600000101010101" pitchFamily="50" charset="-127"/>
            </a:rPr>
            <a:t>, </a:t>
          </a:r>
          <a:r>
            <a:rPr lang="ko-KR" altLang="en-US" sz="1100" b="1" baseline="0">
              <a:solidFill>
                <a:schemeClr val="tx1"/>
              </a:solidFill>
              <a:latin typeface="LG스마트체 Regular" panose="020B0600000101010101" pitchFamily="50" charset="-127"/>
              <a:ea typeface="LG스마트체 Regular" panose="020B0600000101010101" pitchFamily="50" charset="-127"/>
            </a:rPr>
            <a:t>전문업체 견적서</a:t>
          </a:r>
          <a:r>
            <a:rPr lang="en-US" altLang="ko-KR" sz="1100" b="1">
              <a:solidFill>
                <a:schemeClr val="tx1"/>
              </a:solidFill>
              <a:latin typeface="LG스마트체 Regular" panose="020B0600000101010101" pitchFamily="50" charset="-127"/>
              <a:ea typeface="LG스마트체 Regular" panose="020B0600000101010101" pitchFamily="50" charset="-127"/>
            </a:rPr>
            <a:t>&gt;</a:t>
          </a:r>
        </a:p>
        <a:p>
          <a:pPr algn="l"/>
          <a:endParaRPr lang="en-US" altLang="ko-KR" sz="1100" b="1">
            <a:solidFill>
              <a:schemeClr val="tx1"/>
            </a:solidFill>
            <a:latin typeface="LG스마트체 Regular" panose="020B0600000101010101" pitchFamily="50" charset="-127"/>
            <a:ea typeface="LG스마트체 Regular" panose="020B0600000101010101" pitchFamily="50" charset="-127"/>
          </a:endParaRPr>
        </a:p>
      </xdr:txBody>
    </xdr:sp>
    <xdr:clientData/>
  </xdr:twoCellAnchor>
  <xdr:twoCellAnchor editAs="oneCell">
    <xdr:from>
      <xdr:col>0</xdr:col>
      <xdr:colOff>344714</xdr:colOff>
      <xdr:row>5</xdr:row>
      <xdr:rowOff>145143</xdr:rowOff>
    </xdr:from>
    <xdr:to>
      <xdr:col>3</xdr:col>
      <xdr:colOff>780142</xdr:colOff>
      <xdr:row>29</xdr:row>
      <xdr:rowOff>157066</xdr:rowOff>
    </xdr:to>
    <xdr:pic>
      <xdr:nvPicPr>
        <xdr:cNvPr id="4" name="그림 3">
          <a:extLst>
            <a:ext uri="{FF2B5EF4-FFF2-40B4-BE49-F238E27FC236}">
              <a16:creationId xmlns:a16="http://schemas.microsoft.com/office/drawing/2014/main" id="{B852B65D-E307-7357-FA11-E650B8A6FA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4714" y="1233714"/>
          <a:ext cx="3791857" cy="5237066"/>
        </a:xfrm>
        <a:prstGeom prst="rect">
          <a:avLst/>
        </a:prstGeom>
      </xdr:spPr>
    </xdr:pic>
    <xdr:clientData/>
  </xdr:twoCellAnchor>
  <xdr:twoCellAnchor editAs="oneCell">
    <xdr:from>
      <xdr:col>4</xdr:col>
      <xdr:colOff>381000</xdr:colOff>
      <xdr:row>5</xdr:row>
      <xdr:rowOff>99787</xdr:rowOff>
    </xdr:from>
    <xdr:to>
      <xdr:col>8</xdr:col>
      <xdr:colOff>651059</xdr:colOff>
      <xdr:row>29</xdr:row>
      <xdr:rowOff>145143</xdr:rowOff>
    </xdr:to>
    <xdr:pic>
      <xdr:nvPicPr>
        <xdr:cNvPr id="5" name="그림 4">
          <a:extLst>
            <a:ext uri="{FF2B5EF4-FFF2-40B4-BE49-F238E27FC236}">
              <a16:creationId xmlns:a16="http://schemas.microsoft.com/office/drawing/2014/main" id="{495B1E97-5BF5-7B27-CC86-89DB153DAD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62929" y="1188358"/>
          <a:ext cx="3762559" cy="5270499"/>
        </a:xfrm>
        <a:prstGeom prst="rect">
          <a:avLst/>
        </a:prstGeom>
      </xdr:spPr>
    </xdr:pic>
    <xdr:clientData/>
  </xdr:twoCellAnchor>
  <xdr:twoCellAnchor editAs="oneCell">
    <xdr:from>
      <xdr:col>9</xdr:col>
      <xdr:colOff>54429</xdr:colOff>
      <xdr:row>5</xdr:row>
      <xdr:rowOff>63500</xdr:rowOff>
    </xdr:from>
    <xdr:to>
      <xdr:col>13</xdr:col>
      <xdr:colOff>420088</xdr:colOff>
      <xdr:row>29</xdr:row>
      <xdr:rowOff>163286</xdr:rowOff>
    </xdr:to>
    <xdr:pic>
      <xdr:nvPicPr>
        <xdr:cNvPr id="7" name="그림 6">
          <a:extLst>
            <a:ext uri="{FF2B5EF4-FFF2-40B4-BE49-F238E27FC236}">
              <a16:creationId xmlns:a16="http://schemas.microsoft.com/office/drawing/2014/main" id="{53B651A2-9377-738A-BEE2-F3AFAFAC93A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763000" y="1152071"/>
          <a:ext cx="3812802" cy="5324929"/>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2:I34"/>
  <sheetViews>
    <sheetView showGridLines="0" zoomScale="85" zoomScaleNormal="85" workbookViewId="0">
      <selection activeCell="J14" sqref="J14"/>
    </sheetView>
  </sheetViews>
  <sheetFormatPr defaultColWidth="9" defaultRowHeight="13.5"/>
  <cols>
    <col min="1" max="1" width="9.875" style="8" customWidth="1"/>
    <col min="2" max="2" width="24.25" style="8" customWidth="1"/>
    <col min="3" max="3" width="27" style="8" customWidth="1"/>
    <col min="4" max="5" width="9" style="8"/>
    <col min="6" max="6" width="23.5" style="8" customWidth="1"/>
    <col min="7" max="7" width="44.75" style="8" customWidth="1"/>
    <col min="8" max="8" width="11.25" style="8" customWidth="1"/>
    <col min="9" max="9" width="9" style="8"/>
    <col min="10" max="16384" width="9" style="9"/>
  </cols>
  <sheetData>
    <row r="2" spans="1:9" ht="33">
      <c r="A2" s="124" t="s">
        <v>6</v>
      </c>
      <c r="B2" s="124"/>
      <c r="C2" s="124"/>
      <c r="D2" s="124"/>
      <c r="E2" s="124"/>
      <c r="F2" s="124"/>
      <c r="G2" s="124"/>
      <c r="H2" s="7"/>
    </row>
    <row r="3" spans="1:9" ht="14.25">
      <c r="A3" s="10"/>
      <c r="B3" s="10"/>
      <c r="C3" s="10"/>
      <c r="D3" s="10"/>
      <c r="E3" s="10"/>
      <c r="F3" s="10"/>
      <c r="G3" s="10"/>
      <c r="H3" s="10"/>
    </row>
    <row r="4" spans="1:9" ht="14.25">
      <c r="A4" s="10"/>
      <c r="B4" s="10"/>
      <c r="C4" s="10"/>
      <c r="D4" s="10"/>
      <c r="E4" s="10"/>
      <c r="H4" s="10"/>
    </row>
    <row r="5" spans="1:9" ht="27" customHeight="1">
      <c r="A5" s="11" t="s">
        <v>66</v>
      </c>
      <c r="B5" s="12"/>
      <c r="C5" s="13"/>
      <c r="D5" s="10"/>
      <c r="E5" s="10"/>
      <c r="F5" s="14" t="s">
        <v>40</v>
      </c>
      <c r="G5" s="15" t="s">
        <v>70</v>
      </c>
      <c r="H5" s="10"/>
    </row>
    <row r="6" spans="1:9" ht="27" customHeight="1">
      <c r="A6" s="10"/>
      <c r="B6" s="10"/>
      <c r="C6" s="10"/>
      <c r="D6" s="10"/>
      <c r="E6" s="10"/>
      <c r="F6" s="16" t="s">
        <v>43</v>
      </c>
      <c r="G6" s="17" t="s">
        <v>71</v>
      </c>
      <c r="H6" s="10"/>
    </row>
    <row r="7" spans="1:9" ht="27" customHeight="1">
      <c r="A7" s="127" t="s">
        <v>109</v>
      </c>
      <c r="B7" s="128"/>
      <c r="C7" s="129"/>
      <c r="D7" s="10"/>
      <c r="E7" s="18"/>
      <c r="F7" s="19" t="s">
        <v>44</v>
      </c>
      <c r="G7" s="17" t="s">
        <v>72</v>
      </c>
      <c r="H7" s="10"/>
    </row>
    <row r="8" spans="1:9" ht="27" customHeight="1">
      <c r="A8" s="10"/>
      <c r="B8" s="10"/>
      <c r="C8" s="10"/>
      <c r="D8" s="10"/>
      <c r="E8" s="10"/>
      <c r="F8" s="16" t="s">
        <v>45</v>
      </c>
      <c r="G8" s="17" t="s">
        <v>73</v>
      </c>
      <c r="H8" s="10"/>
    </row>
    <row r="9" spans="1:9" ht="27" customHeight="1">
      <c r="A9" s="127" t="s">
        <v>110</v>
      </c>
      <c r="B9" s="128"/>
      <c r="C9" s="129"/>
      <c r="D9" s="10"/>
      <c r="E9" s="10"/>
      <c r="F9" s="16" t="s">
        <v>46</v>
      </c>
      <c r="G9" s="17" t="s">
        <v>74</v>
      </c>
      <c r="H9" s="10"/>
    </row>
    <row r="10" spans="1:9" ht="27" customHeight="1">
      <c r="A10" s="10"/>
      <c r="B10" s="10"/>
      <c r="C10" s="10"/>
      <c r="D10" s="10"/>
      <c r="E10" s="10"/>
      <c r="F10" s="20" t="s">
        <v>41</v>
      </c>
      <c r="G10" s="21" t="s">
        <v>75</v>
      </c>
      <c r="H10" s="10"/>
      <c r="I10" s="10"/>
    </row>
    <row r="11" spans="1:9" ht="27" customHeight="1">
      <c r="A11" s="125"/>
      <c r="B11" s="126"/>
      <c r="C11" s="126"/>
      <c r="D11" s="10"/>
      <c r="E11" s="22"/>
      <c r="F11" s="23" t="s">
        <v>42</v>
      </c>
      <c r="G11" s="24" t="s">
        <v>76</v>
      </c>
      <c r="H11" s="22"/>
    </row>
    <row r="12" spans="1:9" ht="18.75" thickBot="1">
      <c r="A12" s="25" t="s">
        <v>7</v>
      </c>
      <c r="B12" s="25" t="str">
        <f>NUMBERSTRING(F31,1)</f>
        <v>구십만육천</v>
      </c>
      <c r="C12" s="26"/>
      <c r="D12" s="2" t="s">
        <v>8</v>
      </c>
      <c r="E12" s="2" t="s">
        <v>9</v>
      </c>
      <c r="F12" s="2" t="s">
        <v>9</v>
      </c>
      <c r="G12" s="2"/>
      <c r="H12" s="27"/>
    </row>
    <row r="13" spans="1:9" ht="15.75" thickTop="1" thickBot="1">
      <c r="A13" s="10"/>
      <c r="B13" s="10"/>
      <c r="C13" s="10"/>
      <c r="D13" s="10"/>
      <c r="E13" s="10"/>
      <c r="F13" s="10"/>
      <c r="G13" s="10"/>
      <c r="H13" s="27"/>
    </row>
    <row r="14" spans="1:9" ht="33" customHeight="1" thickBot="1">
      <c r="A14" s="28" t="s">
        <v>10</v>
      </c>
      <c r="B14" s="29" t="s">
        <v>11</v>
      </c>
      <c r="C14" s="29" t="s">
        <v>12</v>
      </c>
      <c r="D14" s="29" t="s">
        <v>13</v>
      </c>
      <c r="E14" s="29" t="s">
        <v>14</v>
      </c>
      <c r="F14" s="29" t="s">
        <v>15</v>
      </c>
      <c r="G14" s="30" t="s">
        <v>16</v>
      </c>
      <c r="H14" s="27"/>
    </row>
    <row r="15" spans="1:9" ht="33" customHeight="1" thickTop="1">
      <c r="A15" s="31"/>
      <c r="B15" s="32" t="s">
        <v>17</v>
      </c>
      <c r="C15" s="33"/>
      <c r="D15" s="34"/>
      <c r="E15" s="34"/>
      <c r="F15" s="35"/>
      <c r="G15" s="36"/>
    </row>
    <row r="16" spans="1:9" ht="33" customHeight="1">
      <c r="A16" s="37"/>
      <c r="B16" s="38" t="s">
        <v>18</v>
      </c>
      <c r="C16" s="39"/>
      <c r="D16" s="40"/>
      <c r="E16" s="40"/>
      <c r="F16" s="41">
        <f>'내역서(표준단가)'!O10</f>
        <v>640000</v>
      </c>
      <c r="G16" s="42"/>
    </row>
    <row r="17" spans="1:9" ht="33" customHeight="1">
      <c r="A17" s="37"/>
      <c r="B17" s="38" t="s">
        <v>19</v>
      </c>
      <c r="C17" s="39"/>
      <c r="D17" s="40"/>
      <c r="E17" s="40"/>
      <c r="F17" s="41">
        <f>'내역서(표준단가)'!Q10</f>
        <v>202721.3</v>
      </c>
      <c r="G17" s="43"/>
      <c r="H17" s="9"/>
      <c r="I17" s="9"/>
    </row>
    <row r="18" spans="1:9" ht="33" customHeight="1">
      <c r="A18" s="37"/>
      <c r="B18" s="38" t="s">
        <v>20</v>
      </c>
      <c r="C18" s="39"/>
      <c r="D18" s="40"/>
      <c r="E18" s="40"/>
      <c r="F18" s="41">
        <f>'내역서(표준단가)'!S10+'내역서(표준단가)'!U10</f>
        <v>0</v>
      </c>
      <c r="G18" s="43"/>
      <c r="H18" s="9"/>
      <c r="I18" s="9"/>
    </row>
    <row r="19" spans="1:9" ht="33" customHeight="1">
      <c r="A19" s="37"/>
      <c r="B19" s="44" t="s">
        <v>21</v>
      </c>
      <c r="C19" s="44"/>
      <c r="D19" s="45"/>
      <c r="E19" s="45"/>
      <c r="F19" s="46">
        <f>F16+F17+F18</f>
        <v>842721.3</v>
      </c>
      <c r="G19" s="43"/>
      <c r="H19" s="9"/>
      <c r="I19" s="9"/>
    </row>
    <row r="20" spans="1:9" ht="33" customHeight="1">
      <c r="A20" s="37"/>
      <c r="B20" s="47" t="s">
        <v>22</v>
      </c>
      <c r="C20" s="48"/>
      <c r="D20" s="40"/>
      <c r="E20" s="40"/>
      <c r="F20" s="49"/>
      <c r="G20" s="43"/>
      <c r="H20" s="9"/>
      <c r="I20" s="9"/>
    </row>
    <row r="21" spans="1:9" ht="33" customHeight="1">
      <c r="A21" s="37"/>
      <c r="B21" s="50" t="s">
        <v>23</v>
      </c>
      <c r="C21" s="48" t="s">
        <v>24</v>
      </c>
      <c r="D21" s="38">
        <v>1</v>
      </c>
      <c r="E21" s="38" t="s">
        <v>25</v>
      </c>
      <c r="F21" s="51">
        <f>F17*4.5%</f>
        <v>9122.4584999999988</v>
      </c>
      <c r="G21" s="43" t="s">
        <v>26</v>
      </c>
      <c r="H21" s="9"/>
      <c r="I21" s="9"/>
    </row>
    <row r="22" spans="1:9" ht="33" customHeight="1">
      <c r="A22" s="37"/>
      <c r="B22" s="52" t="s">
        <v>27</v>
      </c>
      <c r="C22" s="53" t="s">
        <v>67</v>
      </c>
      <c r="D22" s="54">
        <v>1</v>
      </c>
      <c r="E22" s="54" t="s">
        <v>25</v>
      </c>
      <c r="F22" s="55">
        <f>F17*3.545%</f>
        <v>7186.4700849999999</v>
      </c>
      <c r="G22" s="56" t="s">
        <v>28</v>
      </c>
      <c r="H22" s="9"/>
      <c r="I22" s="9"/>
    </row>
    <row r="23" spans="1:9" ht="33" customHeight="1">
      <c r="A23" s="37"/>
      <c r="B23" s="50" t="s">
        <v>29</v>
      </c>
      <c r="C23" s="48" t="s">
        <v>68</v>
      </c>
      <c r="D23" s="38">
        <v>1</v>
      </c>
      <c r="E23" s="38" t="s">
        <v>25</v>
      </c>
      <c r="F23" s="51">
        <f>F22*12.95%</f>
        <v>930.64787600750003</v>
      </c>
      <c r="G23" s="43" t="s">
        <v>28</v>
      </c>
      <c r="H23" s="9"/>
      <c r="I23" s="9"/>
    </row>
    <row r="24" spans="1:9" ht="33" customHeight="1">
      <c r="A24" s="37"/>
      <c r="B24" s="50" t="s">
        <v>30</v>
      </c>
      <c r="C24" s="48" t="s">
        <v>48</v>
      </c>
      <c r="D24" s="38">
        <v>1</v>
      </c>
      <c r="E24" s="38" t="s">
        <v>25</v>
      </c>
      <c r="F24" s="51">
        <f>F17*1.01%</f>
        <v>2047.4851299999998</v>
      </c>
      <c r="G24" s="43" t="s">
        <v>28</v>
      </c>
      <c r="H24" s="9"/>
      <c r="I24" s="9"/>
    </row>
    <row r="25" spans="1:9" ht="33" customHeight="1">
      <c r="A25" s="37"/>
      <c r="B25" s="50" t="s">
        <v>31</v>
      </c>
      <c r="C25" s="48" t="s">
        <v>69</v>
      </c>
      <c r="D25" s="38">
        <v>1</v>
      </c>
      <c r="E25" s="38" t="s">
        <v>25</v>
      </c>
      <c r="F25" s="51">
        <f>F17*3.56%</f>
        <v>7216.8782799999999</v>
      </c>
      <c r="G25" s="43" t="s">
        <v>28</v>
      </c>
      <c r="H25" s="9"/>
      <c r="I25" s="9"/>
    </row>
    <row r="26" spans="1:9" ht="33" customHeight="1">
      <c r="A26" s="37"/>
      <c r="B26" s="50" t="s">
        <v>32</v>
      </c>
      <c r="C26" s="57" t="s">
        <v>36</v>
      </c>
      <c r="D26" s="38">
        <v>1</v>
      </c>
      <c r="E26" s="38" t="s">
        <v>25</v>
      </c>
      <c r="F26" s="51">
        <f>(F16+F17)*2.93%</f>
        <v>24691.734090000005</v>
      </c>
      <c r="G26" s="43" t="s">
        <v>26</v>
      </c>
      <c r="H26" s="9"/>
      <c r="I26" s="9"/>
    </row>
    <row r="27" spans="1:9" ht="33" customHeight="1">
      <c r="A27" s="37"/>
      <c r="B27" s="50" t="s">
        <v>38</v>
      </c>
      <c r="C27" s="57" t="s">
        <v>39</v>
      </c>
      <c r="D27" s="38">
        <v>1</v>
      </c>
      <c r="E27" s="38" t="s">
        <v>25</v>
      </c>
      <c r="F27" s="51">
        <f>SUM(F17+F21+F22+F23+F24+F25+F26)*5%</f>
        <v>12695.848698050377</v>
      </c>
      <c r="G27" s="43"/>
      <c r="H27" s="9"/>
      <c r="I27" s="9"/>
    </row>
    <row r="28" spans="1:9" ht="33" customHeight="1">
      <c r="A28" s="37"/>
      <c r="B28" s="44" t="s">
        <v>33</v>
      </c>
      <c r="C28" s="58"/>
      <c r="D28" s="59"/>
      <c r="E28" s="45"/>
      <c r="F28" s="60">
        <f>F21+F22+F23+F24+F25+F26+F27</f>
        <v>63891.522659057882</v>
      </c>
      <c r="G28" s="43"/>
      <c r="H28" s="9"/>
      <c r="I28" s="9"/>
    </row>
    <row r="29" spans="1:9" ht="33" customHeight="1">
      <c r="A29" s="37"/>
      <c r="B29" s="48"/>
      <c r="C29" s="61"/>
      <c r="D29" s="62"/>
      <c r="E29" s="40"/>
      <c r="F29" s="63"/>
      <c r="G29" s="43"/>
      <c r="H29" s="9"/>
      <c r="I29" s="9"/>
    </row>
    <row r="30" spans="1:9" ht="33" customHeight="1">
      <c r="A30" s="37"/>
      <c r="B30" s="64"/>
      <c r="C30" s="61"/>
      <c r="D30" s="62"/>
      <c r="E30" s="40"/>
      <c r="F30" s="65">
        <f>F19+F28+F29</f>
        <v>906612.82265905791</v>
      </c>
      <c r="G30" s="43"/>
      <c r="H30" s="9"/>
      <c r="I30" s="9"/>
    </row>
    <row r="31" spans="1:9" ht="33" customHeight="1">
      <c r="A31" s="37"/>
      <c r="B31" s="44" t="s">
        <v>34</v>
      </c>
      <c r="C31" s="44"/>
      <c r="D31" s="45"/>
      <c r="E31" s="45"/>
      <c r="F31" s="66">
        <f>ROUNDDOWN(F30,-3)</f>
        <v>906000</v>
      </c>
      <c r="G31" s="43"/>
      <c r="H31" s="9"/>
      <c r="I31" s="9"/>
    </row>
    <row r="32" spans="1:9" ht="33" customHeight="1" thickBot="1">
      <c r="A32" s="67"/>
      <c r="B32" s="68" t="s">
        <v>35</v>
      </c>
      <c r="C32" s="69"/>
      <c r="D32" s="69"/>
      <c r="E32" s="69"/>
      <c r="F32" s="70"/>
      <c r="G32" s="71"/>
      <c r="H32" s="9"/>
      <c r="I32" s="9"/>
    </row>
    <row r="33" spans="2:2" s="9" customFormat="1" ht="15.75">
      <c r="B33" s="72"/>
    </row>
    <row r="34" spans="2:2" s="9" customFormat="1" ht="15.75">
      <c r="B34" s="72"/>
    </row>
  </sheetData>
  <mergeCells count="4">
    <mergeCell ref="A2:G2"/>
    <mergeCell ref="A11:C11"/>
    <mergeCell ref="A9:C9"/>
    <mergeCell ref="A7:C7"/>
  </mergeCells>
  <phoneticPr fontId="7"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pageSetUpPr fitToPage="1"/>
  </sheetPr>
  <dimension ref="A1:X14"/>
  <sheetViews>
    <sheetView showGridLines="0" zoomScaleNormal="100" workbookViewId="0">
      <selection activeCell="J12" sqref="J12"/>
    </sheetView>
  </sheetViews>
  <sheetFormatPr defaultColWidth="9" defaultRowHeight="12.75"/>
  <cols>
    <col min="1" max="1" width="17.5" style="110" bestFit="1" customWidth="1"/>
    <col min="2" max="5" width="18.5" style="110" hidden="1" customWidth="1"/>
    <col min="6" max="6" width="60.25" style="74" hidden="1" customWidth="1"/>
    <col min="7" max="7" width="10.125" style="74" hidden="1" customWidth="1"/>
    <col min="8" max="8" width="16.625" style="74" hidden="1" customWidth="1"/>
    <col min="9" max="9" width="10.125" style="74" hidden="1" customWidth="1"/>
    <col min="10" max="10" width="38.125" style="74" bestFit="1" customWidth="1"/>
    <col min="11" max="11" width="25.125" style="74" bestFit="1" customWidth="1"/>
    <col min="12" max="12" width="5.25" style="74" bestFit="1" customWidth="1"/>
    <col min="13" max="13" width="6.375" style="74" bestFit="1" customWidth="1"/>
    <col min="14" max="14" width="10.125" style="74" bestFit="1" customWidth="1"/>
    <col min="15" max="15" width="10.5" style="74" bestFit="1" customWidth="1"/>
    <col min="16" max="16" width="6.375" style="74" bestFit="1" customWidth="1"/>
    <col min="17" max="17" width="12.25" style="74" bestFit="1" customWidth="1"/>
    <col min="18" max="18" width="6.375" style="74" bestFit="1" customWidth="1"/>
    <col min="19" max="19" width="8.5" style="74" bestFit="1" customWidth="1"/>
    <col min="20" max="20" width="6.375" style="74" bestFit="1" customWidth="1"/>
    <col min="21" max="21" width="8.5" style="74" bestFit="1" customWidth="1"/>
    <col min="22" max="22" width="12.25" style="74" bestFit="1" customWidth="1"/>
    <col min="23" max="23" width="10.625" style="75" bestFit="1" customWidth="1"/>
    <col min="24" max="24" width="8.5" style="74" bestFit="1" customWidth="1"/>
    <col min="25" max="16384" width="9" style="74"/>
  </cols>
  <sheetData>
    <row r="1" spans="1:24" ht="19.899999999999999" customHeight="1">
      <c r="A1" s="130"/>
      <c r="B1" s="130"/>
      <c r="C1" s="130"/>
      <c r="D1" s="130"/>
      <c r="E1" s="130"/>
      <c r="F1" s="130"/>
      <c r="G1" s="130"/>
      <c r="H1" s="130"/>
      <c r="I1" s="130"/>
      <c r="N1" s="75"/>
      <c r="O1" s="73" t="s">
        <v>77</v>
      </c>
      <c r="Q1" s="73" t="s">
        <v>77</v>
      </c>
      <c r="S1" s="73" t="s">
        <v>77</v>
      </c>
      <c r="U1" s="73" t="s">
        <v>77</v>
      </c>
    </row>
    <row r="2" spans="1:24" ht="19.899999999999999" customHeight="1" thickBot="1">
      <c r="A2" s="130"/>
      <c r="B2" s="130"/>
      <c r="C2" s="130"/>
      <c r="D2" s="130"/>
      <c r="E2" s="130"/>
      <c r="F2" s="130"/>
      <c r="G2" s="130"/>
      <c r="H2" s="130"/>
      <c r="I2" s="130"/>
      <c r="N2" s="76"/>
      <c r="O2" s="77">
        <v>0.83499999999999996</v>
      </c>
      <c r="Q2" s="77">
        <v>0.83499999999999996</v>
      </c>
      <c r="S2" s="77">
        <v>0.83499999999999996</v>
      </c>
      <c r="U2" s="77">
        <v>0.83499999999999996</v>
      </c>
    </row>
    <row r="3" spans="1:24" ht="19.899999999999999" customHeight="1">
      <c r="A3" s="78"/>
      <c r="B3" s="78"/>
      <c r="C3" s="78"/>
      <c r="D3" s="78"/>
      <c r="E3" s="78"/>
      <c r="F3" s="78" t="s">
        <v>78</v>
      </c>
      <c r="G3" s="79"/>
      <c r="H3" s="79"/>
      <c r="I3" s="79"/>
      <c r="J3" s="139" t="s">
        <v>79</v>
      </c>
      <c r="K3" s="139"/>
      <c r="L3" s="139" t="s">
        <v>80</v>
      </c>
      <c r="M3" s="139" t="s">
        <v>81</v>
      </c>
      <c r="N3" s="135" t="s">
        <v>82</v>
      </c>
      <c r="O3" s="135"/>
      <c r="P3" s="135" t="s">
        <v>83</v>
      </c>
      <c r="Q3" s="135"/>
      <c r="R3" s="136" t="s">
        <v>84</v>
      </c>
      <c r="S3" s="136"/>
      <c r="T3" s="136" t="s">
        <v>85</v>
      </c>
      <c r="U3" s="136"/>
      <c r="V3" s="137" t="s">
        <v>86</v>
      </c>
      <c r="W3" s="133" t="s">
        <v>87</v>
      </c>
      <c r="X3" s="131" t="s">
        <v>47</v>
      </c>
    </row>
    <row r="4" spans="1:24" ht="19.899999999999999" customHeight="1">
      <c r="A4" s="80" t="s">
        <v>88</v>
      </c>
      <c r="B4" s="81"/>
      <c r="C4" s="81"/>
      <c r="D4" s="81"/>
      <c r="E4" s="81"/>
      <c r="F4" s="82" t="s">
        <v>89</v>
      </c>
      <c r="G4" s="82" t="s">
        <v>90</v>
      </c>
      <c r="H4" s="82" t="s">
        <v>91</v>
      </c>
      <c r="I4" s="82" t="s">
        <v>92</v>
      </c>
      <c r="J4" s="83" t="s">
        <v>93</v>
      </c>
      <c r="K4" s="83" t="s">
        <v>94</v>
      </c>
      <c r="L4" s="140"/>
      <c r="M4" s="140"/>
      <c r="N4" s="84" t="s">
        <v>95</v>
      </c>
      <c r="O4" s="85" t="s">
        <v>96</v>
      </c>
      <c r="P4" s="84" t="s">
        <v>97</v>
      </c>
      <c r="Q4" s="85" t="s">
        <v>96</v>
      </c>
      <c r="R4" s="85" t="s">
        <v>98</v>
      </c>
      <c r="S4" s="85" t="s">
        <v>96</v>
      </c>
      <c r="T4" s="85" t="s">
        <v>98</v>
      </c>
      <c r="U4" s="85" t="s">
        <v>96</v>
      </c>
      <c r="V4" s="138"/>
      <c r="W4" s="134"/>
      <c r="X4" s="132"/>
    </row>
    <row r="5" spans="1:24" s="96" customFormat="1" ht="19.899999999999999" customHeight="1">
      <c r="A5" s="86" t="str">
        <f t="shared" ref="A5" si="0">F5&amp;G5&amp;H5&amp;I5</f>
        <v>D02339</v>
      </c>
      <c r="B5" s="87"/>
      <c r="C5" s="87"/>
      <c r="D5" s="87"/>
      <c r="E5" s="87"/>
      <c r="F5" s="5" t="s">
        <v>101</v>
      </c>
      <c r="G5" s="82"/>
      <c r="H5" s="82"/>
      <c r="I5" s="82"/>
      <c r="J5" s="90" t="s">
        <v>104</v>
      </c>
      <c r="K5" s="90" t="s">
        <v>102</v>
      </c>
      <c r="L5" s="116" t="s">
        <v>103</v>
      </c>
      <c r="M5" s="116">
        <v>10</v>
      </c>
      <c r="N5" s="97"/>
      <c r="O5" s="92">
        <f t="shared" ref="O5" si="1">SUM(N5:N5)*M5*$O$2</f>
        <v>0</v>
      </c>
      <c r="P5" s="6">
        <v>24278</v>
      </c>
      <c r="Q5" s="92">
        <f t="shared" ref="Q5" si="2">(P5*M5)*$Q$2</f>
        <v>202721.3</v>
      </c>
      <c r="R5" s="93"/>
      <c r="S5" s="92">
        <f t="shared" ref="S5" si="3">R5*M5*$S$2</f>
        <v>0</v>
      </c>
      <c r="T5" s="93"/>
      <c r="U5" s="92">
        <f t="shared" ref="U5" si="4">T5*M5*$U$2</f>
        <v>0</v>
      </c>
      <c r="V5" s="93">
        <f t="shared" ref="V5" si="5">SUM(O5+Q5)+S5+U5</f>
        <v>202721.3</v>
      </c>
      <c r="W5" s="103"/>
      <c r="X5" s="95"/>
    </row>
    <row r="6" spans="1:24" s="96" customFormat="1" ht="19.899999999999999" customHeight="1">
      <c r="A6" s="86"/>
      <c r="B6" s="87"/>
      <c r="C6" s="87"/>
      <c r="D6" s="87"/>
      <c r="E6" s="87"/>
      <c r="F6" s="98"/>
      <c r="G6" s="88"/>
      <c r="H6" s="89"/>
      <c r="I6" s="5"/>
      <c r="J6" s="90" t="s">
        <v>108</v>
      </c>
      <c r="K6" s="90" t="s">
        <v>99</v>
      </c>
      <c r="L6" s="90" t="s">
        <v>100</v>
      </c>
      <c r="M6" s="100">
        <v>1</v>
      </c>
      <c r="N6" s="91">
        <v>640000</v>
      </c>
      <c r="O6" s="92">
        <f>M6*N6</f>
        <v>640000</v>
      </c>
      <c r="P6" s="99"/>
      <c r="Q6" s="92">
        <f t="shared" ref="Q6:Q9" si="6">(P6*M6)*$Q$2</f>
        <v>0</v>
      </c>
      <c r="R6" s="93"/>
      <c r="S6" s="92">
        <f t="shared" ref="S6:S9" si="7">R6*M6*$S$2</f>
        <v>0</v>
      </c>
      <c r="T6" s="93"/>
      <c r="U6" s="92">
        <f t="shared" ref="U6:U9" si="8">T6*M6*$U$2</f>
        <v>0</v>
      </c>
      <c r="V6" s="93">
        <f t="shared" ref="V6:V9" si="9">SUM(O6+Q6)+S6+U6</f>
        <v>640000</v>
      </c>
      <c r="W6" s="94"/>
      <c r="X6" s="95"/>
    </row>
    <row r="7" spans="1:24" s="96" customFormat="1" ht="19.899999999999999" customHeight="1">
      <c r="A7" s="86" t="str">
        <f t="shared" ref="A7:A9" si="10">F7&amp;G7&amp;H7&amp;I7</f>
        <v/>
      </c>
      <c r="B7" s="87"/>
      <c r="C7" s="87"/>
      <c r="D7" s="87"/>
      <c r="E7" s="87"/>
      <c r="F7" s="98"/>
      <c r="G7" s="88"/>
      <c r="H7" s="89"/>
      <c r="I7" s="5"/>
      <c r="J7" s="101"/>
      <c r="K7" s="101"/>
      <c r="L7" s="102"/>
      <c r="M7" s="100"/>
      <c r="N7" s="91"/>
      <c r="O7" s="92">
        <f t="shared" ref="O7:O9" si="11">SUM(N7:N7)*M7*$O$2</f>
        <v>0</v>
      </c>
      <c r="P7" s="99"/>
      <c r="Q7" s="92">
        <f t="shared" si="6"/>
        <v>0</v>
      </c>
      <c r="R7" s="93"/>
      <c r="S7" s="92">
        <f t="shared" si="7"/>
        <v>0</v>
      </c>
      <c r="T7" s="93"/>
      <c r="U7" s="92">
        <f t="shared" si="8"/>
        <v>0</v>
      </c>
      <c r="V7" s="93">
        <f t="shared" si="9"/>
        <v>0</v>
      </c>
      <c r="W7" s="103"/>
      <c r="X7" s="95"/>
    </row>
    <row r="8" spans="1:24" s="96" customFormat="1" ht="19.899999999999999" customHeight="1">
      <c r="A8" s="86" t="str">
        <f t="shared" si="10"/>
        <v/>
      </c>
      <c r="B8" s="87"/>
      <c r="C8" s="87"/>
      <c r="D8" s="87"/>
      <c r="E8" s="87"/>
      <c r="F8" s="98"/>
      <c r="G8" s="88"/>
      <c r="H8" s="89"/>
      <c r="I8" s="5"/>
      <c r="J8" s="101"/>
      <c r="K8" s="101"/>
      <c r="L8" s="102"/>
      <c r="M8" s="100"/>
      <c r="N8" s="91"/>
      <c r="O8" s="92">
        <f t="shared" si="11"/>
        <v>0</v>
      </c>
      <c r="P8" s="99"/>
      <c r="Q8" s="92">
        <f t="shared" si="6"/>
        <v>0</v>
      </c>
      <c r="R8" s="93"/>
      <c r="S8" s="92">
        <f t="shared" si="7"/>
        <v>0</v>
      </c>
      <c r="T8" s="93"/>
      <c r="U8" s="92">
        <f t="shared" si="8"/>
        <v>0</v>
      </c>
      <c r="V8" s="93">
        <f t="shared" si="9"/>
        <v>0</v>
      </c>
      <c r="W8" s="103"/>
      <c r="X8" s="95"/>
    </row>
    <row r="9" spans="1:24" s="96" customFormat="1" ht="19.899999999999999" customHeight="1">
      <c r="A9" s="86" t="str">
        <f t="shared" si="10"/>
        <v/>
      </c>
      <c r="B9" s="87"/>
      <c r="C9" s="87"/>
      <c r="D9" s="87"/>
      <c r="E9" s="87"/>
      <c r="F9" s="98"/>
      <c r="G9" s="88"/>
      <c r="H9" s="89"/>
      <c r="I9" s="5"/>
      <c r="J9" s="101"/>
      <c r="K9" s="101"/>
      <c r="L9" s="102"/>
      <c r="M9" s="100"/>
      <c r="N9" s="91"/>
      <c r="O9" s="92">
        <f t="shared" si="11"/>
        <v>0</v>
      </c>
      <c r="P9" s="99"/>
      <c r="Q9" s="92">
        <f t="shared" si="6"/>
        <v>0</v>
      </c>
      <c r="R9" s="93"/>
      <c r="S9" s="92">
        <f t="shared" si="7"/>
        <v>0</v>
      </c>
      <c r="T9" s="93"/>
      <c r="U9" s="92">
        <f t="shared" si="8"/>
        <v>0</v>
      </c>
      <c r="V9" s="93">
        <f t="shared" si="9"/>
        <v>0</v>
      </c>
      <c r="W9" s="103"/>
      <c r="X9" s="95"/>
    </row>
    <row r="10" spans="1:24" s="105" customFormat="1" ht="19.899999999999999" customHeight="1">
      <c r="A10" s="104"/>
      <c r="B10" s="104"/>
      <c r="C10" s="104"/>
      <c r="D10" s="104"/>
      <c r="E10" s="104"/>
      <c r="O10" s="106">
        <f>SUM(O5:O9)</f>
        <v>640000</v>
      </c>
      <c r="P10" s="107"/>
      <c r="Q10" s="106">
        <f>SUM(Q5:Q9)</f>
        <v>202721.3</v>
      </c>
      <c r="R10" s="107"/>
      <c r="S10" s="106">
        <f>SUM(S5:S9)</f>
        <v>0</v>
      </c>
      <c r="T10" s="107"/>
      <c r="U10" s="106">
        <f>SUM(U5:U9)</f>
        <v>0</v>
      </c>
      <c r="V10" s="108">
        <f>SUM(V5:V9)</f>
        <v>842721.3</v>
      </c>
      <c r="W10" s="109"/>
    </row>
    <row r="14" spans="1:24">
      <c r="Q14" s="111"/>
    </row>
  </sheetData>
  <mergeCells count="12">
    <mergeCell ref="A1:I1"/>
    <mergeCell ref="X3:X4"/>
    <mergeCell ref="A2:I2"/>
    <mergeCell ref="W3:W4"/>
    <mergeCell ref="P3:Q3"/>
    <mergeCell ref="R3:S3"/>
    <mergeCell ref="T3:U3"/>
    <mergeCell ref="V3:V4"/>
    <mergeCell ref="L3:L4"/>
    <mergeCell ref="M3:M4"/>
    <mergeCell ref="N3:O3"/>
    <mergeCell ref="J3:K3"/>
  </mergeCells>
  <phoneticPr fontId="7"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95F0F-3977-4521-9C1F-2EAEE299BAD6}">
  <sheetPr>
    <pageSetUpPr fitToPage="1"/>
  </sheetPr>
  <dimension ref="G1:P1"/>
  <sheetViews>
    <sheetView zoomScale="70" zoomScaleNormal="70" zoomScaleSheetLayoutView="85" workbookViewId="0">
      <selection activeCell="Q21" sqref="Q21"/>
    </sheetView>
  </sheetViews>
  <sheetFormatPr defaultColWidth="9" defaultRowHeight="16.5"/>
  <cols>
    <col min="1" max="1" width="11.5" style="117" bestFit="1" customWidth="1"/>
    <col min="2" max="2" width="17.875" style="117" customWidth="1"/>
    <col min="3" max="3" width="14.625" style="117" customWidth="1"/>
    <col min="4" max="4" width="10.875" style="117" customWidth="1"/>
    <col min="5" max="5" width="12" style="117" customWidth="1"/>
    <col min="6" max="6" width="10.625" style="117" customWidth="1"/>
    <col min="7" max="7" width="13.625" style="118" customWidth="1"/>
    <col min="8" max="8" width="9.625" style="117" customWidth="1"/>
    <col min="9" max="9" width="13.625" style="117" customWidth="1"/>
    <col min="10" max="10" width="12.75" style="117" customWidth="1"/>
    <col min="11" max="11" width="9.25" style="117" customWidth="1"/>
    <col min="12" max="12" width="13.625" style="118" customWidth="1"/>
    <col min="13" max="13" width="9.625" style="117" customWidth="1"/>
    <col min="14" max="14" width="13.625" style="118" customWidth="1"/>
    <col min="15" max="15" width="19.75" style="119" bestFit="1" customWidth="1"/>
    <col min="16" max="16" width="12.25" style="119" bestFit="1" customWidth="1"/>
    <col min="17" max="16384" width="9" style="117"/>
  </cols>
  <sheetData/>
  <phoneticPr fontId="7" type="noConversion"/>
  <pageMargins left="0.23622047244094491" right="0.23622047244094491" top="0.55118110236220474" bottom="0.55118110236220474" header="0.31496062992125984" footer="0.31496062992125984"/>
  <pageSetup paperSize="9" scale="5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R2"/>
  <sheetViews>
    <sheetView tabSelected="1" workbookViewId="0">
      <selection activeCell="H20" sqref="H20"/>
    </sheetView>
  </sheetViews>
  <sheetFormatPr defaultColWidth="9" defaultRowHeight="16.5"/>
  <cols>
    <col min="1" max="1" width="11.125" style="112" customWidth="1"/>
    <col min="2" max="2" width="13.375" style="112" customWidth="1"/>
    <col min="3" max="3" width="38.75" style="112" customWidth="1"/>
    <col min="4" max="4" width="28.75" style="112" customWidth="1"/>
    <col min="5" max="5" width="5" style="112" customWidth="1"/>
    <col min="6" max="6" width="6.25" style="112" customWidth="1"/>
    <col min="7" max="7" width="10" style="112" customWidth="1"/>
    <col min="8" max="8" width="11.875" style="112" customWidth="1"/>
    <col min="9" max="9" width="10" style="112" customWidth="1"/>
    <col min="10" max="10" width="11.875" style="112" customWidth="1"/>
    <col min="11" max="11" width="10" style="112" customWidth="1"/>
    <col min="12" max="12" width="11.875" style="112" customWidth="1"/>
    <col min="13" max="13" width="10" style="112" customWidth="1"/>
    <col min="14" max="14" width="11.875" style="112" customWidth="1"/>
    <col min="15" max="15" width="9.125" style="112" customWidth="1"/>
    <col min="16" max="16" width="11.5" style="112" customWidth="1"/>
    <col min="17" max="17" width="11.75" style="112" customWidth="1"/>
    <col min="18" max="18" width="17.875" style="112" customWidth="1"/>
    <col min="19" max="16384" width="9" style="112"/>
  </cols>
  <sheetData>
    <row r="1" spans="1:18" ht="18" customHeight="1">
      <c r="A1" s="1" t="s">
        <v>49</v>
      </c>
      <c r="B1" s="4" t="s">
        <v>50</v>
      </c>
      <c r="C1" s="121" t="s">
        <v>51</v>
      </c>
      <c r="D1" s="121" t="s">
        <v>52</v>
      </c>
      <c r="E1" s="121" t="s">
        <v>53</v>
      </c>
      <c r="F1" s="121" t="s">
        <v>5</v>
      </c>
      <c r="G1" s="4" t="s">
        <v>54</v>
      </c>
      <c r="H1" s="4" t="s">
        <v>55</v>
      </c>
      <c r="I1" s="4" t="s">
        <v>56</v>
      </c>
      <c r="J1" s="4" t="s">
        <v>57</v>
      </c>
      <c r="K1" s="4" t="s">
        <v>58</v>
      </c>
      <c r="L1" s="4" t="s">
        <v>59</v>
      </c>
      <c r="M1" s="4" t="s">
        <v>60</v>
      </c>
      <c r="N1" s="4" t="s">
        <v>61</v>
      </c>
      <c r="O1" s="4" t="s">
        <v>62</v>
      </c>
      <c r="P1" s="4" t="s">
        <v>63</v>
      </c>
      <c r="Q1" s="4" t="s">
        <v>64</v>
      </c>
      <c r="R1" s="4" t="s">
        <v>65</v>
      </c>
    </row>
    <row r="2" spans="1:18">
      <c r="A2" s="123">
        <v>999999</v>
      </c>
      <c r="B2" s="123" t="s">
        <v>105</v>
      </c>
      <c r="C2" s="123" t="s">
        <v>108</v>
      </c>
      <c r="D2" s="120" t="s">
        <v>106</v>
      </c>
      <c r="E2" s="123" t="s">
        <v>107</v>
      </c>
      <c r="F2" s="122">
        <v>1</v>
      </c>
      <c r="G2" s="112">
        <v>640000</v>
      </c>
    </row>
  </sheetData>
  <phoneticPr fontId="7" type="noConversion"/>
  <pageMargins left="0.7" right="0.7" top="0.75" bottom="0.75" header="0.3" footer="0.3"/>
  <pageSetup paperSize="9" scale="49"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H2"/>
  <sheetViews>
    <sheetView showGridLines="0" zoomScaleNormal="100" workbookViewId="0">
      <selection activeCell="D26" sqref="D26"/>
    </sheetView>
  </sheetViews>
  <sheetFormatPr defaultColWidth="9" defaultRowHeight="16.5"/>
  <cols>
    <col min="1" max="1" width="25.125" style="115" customWidth="1"/>
    <col min="2" max="2" width="16.25" style="115" customWidth="1"/>
    <col min="3" max="3" width="22.375" style="115" customWidth="1"/>
    <col min="4" max="4" width="24.125" style="115" customWidth="1"/>
    <col min="5" max="5" width="13" style="115" customWidth="1"/>
    <col min="6" max="6" width="7.5" style="115" customWidth="1"/>
    <col min="7" max="16384" width="9" style="112"/>
  </cols>
  <sheetData>
    <row r="1" spans="1:8" ht="18" customHeight="1">
      <c r="A1" s="1" t="s">
        <v>0</v>
      </c>
      <c r="B1" s="1" t="s">
        <v>1</v>
      </c>
      <c r="C1" s="1" t="s">
        <v>2</v>
      </c>
      <c r="D1" s="1" t="s">
        <v>3</v>
      </c>
      <c r="E1" s="1" t="s">
        <v>4</v>
      </c>
      <c r="F1" s="1" t="s">
        <v>5</v>
      </c>
      <c r="H1" s="3" t="s">
        <v>37</v>
      </c>
    </row>
    <row r="2" spans="1:8">
      <c r="A2" s="113" t="str">
        <f>'내역서(표준단가)'!A5</f>
        <v>D02339</v>
      </c>
      <c r="B2" s="114" t="str">
        <f>'내역서(표준단가)'!F5</f>
        <v>D02339</v>
      </c>
      <c r="C2" s="114">
        <f>'내역서(표준단가)'!G5</f>
        <v>0</v>
      </c>
      <c r="D2" s="114">
        <f>'내역서(표준단가)'!H5</f>
        <v>0</v>
      </c>
      <c r="E2" s="114">
        <f>'내역서(표준단가)'!I5</f>
        <v>0</v>
      </c>
      <c r="F2" s="114">
        <f>'내역서(표준단가)'!M5</f>
        <v>10</v>
      </c>
    </row>
  </sheetData>
  <phoneticPr fontId="7"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갑지</vt:lpstr>
      <vt:lpstr>내역서(표준단가)</vt:lpstr>
      <vt:lpstr>시중가 근거서류</vt:lpstr>
      <vt:lpstr>Upload</vt:lpstr>
      <vt:lpstr>Upload-rs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2025-03-18T23:40:23Z</dcterms:modified>
</cp:coreProperties>
</file>
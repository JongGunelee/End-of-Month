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7 사택 9-306 수장공사\"/>
    </mc:Choice>
  </mc:AlternateContent>
  <xr:revisionPtr revIDLastSave="0" documentId="13_ncr:1_{2F9BBDE9-E306-42FA-A2BC-DB9AB95BD67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<sst xmlns="http://schemas.openxmlformats.org/spreadsheetml/2006/main" count="240" uniqueCount="172">
  <si>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</si>
  <si>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</si>
  <si>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</si>
  <si>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</si>
  <si>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</si>
  <si>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</si>
  <si>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</si>
  <si>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</si>
  <si>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</si>
  <si>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</si>
  <si>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</si>
  <si>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</si>
  <si>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</si>
  <si>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</si>
  <si>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</si>
  <si>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</si>
  <si>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</si>
  <si>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</si>
  <si>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</si>
  <si>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</si>
  <si>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</si>
  <si>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</si>
  <si>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</si>
  <si>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</si>
  <si>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</si>
  <si>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</si>
  <si>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</si>
  <si>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</si>
  <si>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</si>
  <si>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</si>
  <si>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</si>
  <si>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</si>
  <si>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</si>
  <si>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</si>
  <si>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</si>
  <si>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</si>
  <si>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</si>
  <si>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</si>
  <si>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</si>
  <si>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</si>
  <si>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</si>
  <si>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</si>
  <si>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</si>
  <si>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</si>
  <si>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</si>
  <si>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</si>
  <si>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</si>
  <si>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</si>
  <si>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</si>
  <si>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</si>
  <si>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</si>
  <si>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</si>
  <si>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</si>
  <si>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</si>
  <si>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</si>
  <si>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</si>
  <si>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</si>
  <si>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</si>
  <si>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</si>
  <si>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</si>
  <si>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</si>
  <si>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</si>
  <si>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</si>
  <si>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</si>
  <si>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</si>
  <si>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</si>
  <si>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</si>
  <si>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</si>
  <si>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</si>
  <si>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</si>
  <si>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</si>
  <si>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</si>
  <si>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</si>
  <si>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</si>
  <si>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</si>
  <si>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</si>
  <si>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</si>
  <si>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</si>
  <si>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</si>
  <si>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</si>
  <si>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</si>
  <si>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</si>
  <si>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</si>
  <si>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</si>
  <si>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</si>
  <si>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</si>
  <si>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</si>
  <si>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</si>
  <si>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</si>
  <si>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</si>
  <si>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</si>
  <si>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</si>
  <si>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</si>
  <si>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</si>
  <si>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</si>
  <si>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</si>
  <si>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</si>
  <si>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</si>
  <si>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</si>
  <si>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</si>
  <si>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</si>
  <si>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</si>
  <si>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</si>
  <si>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</si>
  <si>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</si>
  <si>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</si>
  <si>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</si>
  <si>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</si>
  <si>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</si>
  <si>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</si>
  <si>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</si>
  <si>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</si>
  <si>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</si>
  <si>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</si>
  <si>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</si>
  <si>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</si>
  <si>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</si>
  <si>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</si>
  <si>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</si>
  <si>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</si>
  <si>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</si>
  <si>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</si>
  <si>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</si>
  <si>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</si>
  <si>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</si>
  <si>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</si>
  <si>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</si>
  <si>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</si>
  <si>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</si>
  <si>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</si>
  <si>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</si>
  <si>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</si>
  <si>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</si>
  <si>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</si>
  <si>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</si>
  <si>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</si>
  <si>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</si>
  <si>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</si>
  <si>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</si>
  <si>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</si>
  <si>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</si>
  <si>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</si>
  <si>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</si>
  <si>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</si>
  <si>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</si>
  <si>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</si>
  <si>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</si>
  <si>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</si>
  <si>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</si>
  <si>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</si>
  <si>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</si>
  <si>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</si>
  <si>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</si>
  <si>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</si>
  <si>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</si>
  <si>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</si>
  <si>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</si>
  <si>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</si>
  <si>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</si>
  <si>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</si>
  <si>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</si>
  <si>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</si>
  <si>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</si>
  <si>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</si>
  <si>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</si>
  <si>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</si>
  <si>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9-306 수장공사</t>
    <phoneticPr fontId="11" type="noConversion"/>
  </si>
  <si>
    <t xml:space="preserve"> 견적일 : 2025 년  04월  24일</t>
    <phoneticPr fontId="11" type="noConversion"/>
  </si>
  <si>
    <t>방C 천정(화장실 좌측방)</t>
    <phoneticPr fontId="13" type="noConversion"/>
  </si>
  <si>
    <t>일당 시공량-천장 35㎡ 적산정보 500p 참조, 시공총량35㎡/일당35㎡=1.771</t>
    <phoneticPr fontId="5" type="noConversion"/>
  </si>
  <si>
    <t>사택 9-306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</si>
  <si>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 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</si>
</sst>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85" fontId="27" fillId="0" borderId="31" xfId="13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4" t="s">
        <v>166</v>
      </c>
      <c r="B7" s="175"/>
      <c r="C7" s="176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4" t="s">
        <v>167</v>
      </c>
      <c r="B9" s="175"/>
      <c r="C9" s="176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2"/>
      <c r="B11" s="173"/>
      <c r="C11" s="173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사백칠십칠만일천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868971.00639999995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3182135.3896439997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4051106.3960439996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143196.09253397997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112806.6995628798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14608.467593392936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32139.567435404395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113284.0198713264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118697.4174040892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185843.38270225364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720575.6471033264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4771682.0431473255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4771000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Y13" sqref="Y13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66"/>
      <c r="O1" s="151" t="s">
        <v>99</v>
      </c>
      <c r="Q1" s="151" t="s">
        <v>99</v>
      </c>
      <c r="S1" s="151" t="s">
        <v>99</v>
      </c>
      <c r="U1" s="151" t="s">
        <v>99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100</v>
      </c>
      <c r="G3" s="155"/>
      <c r="H3" s="155"/>
      <c r="I3" s="155"/>
      <c r="J3" s="188" t="s">
        <v>101</v>
      </c>
      <c r="K3" s="188"/>
      <c r="L3" s="186" t="s">
        <v>48</v>
      </c>
      <c r="M3" s="186" t="s">
        <v>5</v>
      </c>
      <c r="N3" s="182" t="s">
        <v>102</v>
      </c>
      <c r="O3" s="182"/>
      <c r="P3" s="182" t="s">
        <v>103</v>
      </c>
      <c r="Q3" s="182"/>
      <c r="R3" s="183" t="s">
        <v>104</v>
      </c>
      <c r="S3" s="183"/>
      <c r="T3" s="183" t="s">
        <v>105</v>
      </c>
      <c r="U3" s="183"/>
      <c r="V3" s="184" t="s">
        <v>106</v>
      </c>
      <c r="W3" s="180" t="s">
        <v>107</v>
      </c>
      <c r="X3" s="178" t="s">
        <v>46</v>
      </c>
    </row>
    <row r="4" spans="1:24" ht="19.899999999999999" customHeight="1" x14ac:dyDescent="0.3">
      <c r="A4" s="69" t="s">
        <v>108</v>
      </c>
      <c r="B4" s="152"/>
      <c r="C4" s="152"/>
      <c r="D4" s="152"/>
      <c r="E4" s="152"/>
      <c r="F4" s="70" t="s">
        <v>109</v>
      </c>
      <c r="G4" s="70" t="s">
        <v>110</v>
      </c>
      <c r="H4" s="70" t="s">
        <v>111</v>
      </c>
      <c r="I4" s="70" t="s">
        <v>112</v>
      </c>
      <c r="J4" s="148" t="s">
        <v>113</v>
      </c>
      <c r="K4" s="148" t="s">
        <v>114</v>
      </c>
      <c r="L4" s="187"/>
      <c r="M4" s="187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5"/>
      <c r="W4" s="181"/>
      <c r="X4" s="179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154</v>
      </c>
      <c r="I5" s="103"/>
      <c r="J5" s="146" t="s">
        <v>155</v>
      </c>
      <c r="K5" s="146" t="s">
        <v>171</v>
      </c>
      <c r="L5" s="123" t="s">
        <v>163</v>
      </c>
      <c r="M5" s="145">
        <v>10.3576</v>
      </c>
      <c r="N5" s="168">
        <v>20900</v>
      </c>
      <c r="O5" s="140">
        <f t="shared" ref="O5" si="1">SUM(N5:N5)*M5*$O$2</f>
        <v>180755.65639999998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180755.65639999998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6" t="s">
        <v>121</v>
      </c>
      <c r="K6" s="146" t="s">
        <v>164</v>
      </c>
      <c r="L6" s="75" t="s">
        <v>120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119</v>
      </c>
      <c r="H7" s="74"/>
      <c r="I7" s="103"/>
      <c r="J7" s="146" t="s">
        <v>122</v>
      </c>
      <c r="K7" s="146" t="s">
        <v>169</v>
      </c>
      <c r="L7" s="75" t="s">
        <v>120</v>
      </c>
      <c r="M7" s="145">
        <v>1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406708.45999999996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406708.45999999996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157</v>
      </c>
      <c r="I8" s="103"/>
      <c r="J8" s="146" t="s">
        <v>158</v>
      </c>
      <c r="K8" s="146" t="s">
        <v>159</v>
      </c>
      <c r="L8" s="123" t="s">
        <v>156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123</v>
      </c>
      <c r="H9" s="74"/>
      <c r="I9" s="103"/>
      <c r="J9" s="146" t="s">
        <v>124</v>
      </c>
      <c r="K9" s="146" t="s">
        <v>165</v>
      </c>
      <c r="L9" s="75" t="s">
        <v>120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149</v>
      </c>
      <c r="I10" s="103"/>
      <c r="J10" s="149" t="s">
        <v>148</v>
      </c>
      <c r="K10" s="149" t="s">
        <v>143</v>
      </c>
      <c r="L10" s="136" t="s">
        <v>142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125</v>
      </c>
      <c r="H11" s="74"/>
      <c r="I11" s="103"/>
      <c r="J11" s="146" t="s">
        <v>126</v>
      </c>
      <c r="K11" s="146" t="s">
        <v>127</v>
      </c>
      <c r="L11" s="123" t="s">
        <v>140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129</v>
      </c>
      <c r="H12" s="74"/>
      <c r="I12" s="103"/>
      <c r="J12" s="146" t="s">
        <v>130</v>
      </c>
      <c r="K12" s="146" t="s">
        <v>131</v>
      </c>
      <c r="L12" s="123" t="s">
        <v>128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144</v>
      </c>
      <c r="I13" s="103"/>
      <c r="J13" s="149" t="s">
        <v>145</v>
      </c>
      <c r="K13" s="149" t="s">
        <v>146</v>
      </c>
      <c r="L13" s="136" t="s">
        <v>142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132</v>
      </c>
      <c r="H14" s="74"/>
      <c r="I14" s="103"/>
      <c r="J14" s="146" t="s">
        <v>133</v>
      </c>
      <c r="K14" s="146" t="s">
        <v>134</v>
      </c>
      <c r="L14" s="123" t="s">
        <v>128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135</v>
      </c>
      <c r="H15" s="74"/>
      <c r="I15" s="103"/>
      <c r="J15" s="146" t="s">
        <v>136</v>
      </c>
      <c r="K15" s="146" t="s">
        <v>131</v>
      </c>
      <c r="L15" s="123" t="s">
        <v>128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132</v>
      </c>
      <c r="H16" s="74"/>
      <c r="I16" s="103"/>
      <c r="J16" s="146" t="s">
        <v>137</v>
      </c>
      <c r="K16" s="146" t="s">
        <v>134</v>
      </c>
      <c r="L16" s="123" t="s">
        <v>128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138</v>
      </c>
      <c r="H17" s="74"/>
      <c r="I17" s="103"/>
      <c r="J17" s="146" t="s">
        <v>139</v>
      </c>
      <c r="K17" s="146" t="s">
        <v>131</v>
      </c>
      <c r="L17" s="123" t="s">
        <v>128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162</v>
      </c>
      <c r="H18" s="74"/>
      <c r="I18" s="103"/>
      <c r="J18" s="159" t="s">
        <v>152</v>
      </c>
      <c r="K18" s="159" t="s">
        <v>161</v>
      </c>
      <c r="L18" s="160" t="s">
        <v>153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868971.00639999995</v>
      </c>
      <c r="P19" s="164"/>
      <c r="Q19" s="163">
        <f>SUM(Q5:Q18)</f>
        <v>3182135.3896439997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4051106.3960440001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200" t="s">
        <v>60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6" ht="15" customHeight="1" x14ac:dyDescent="0.3">
      <c r="A2" s="201" t="s">
        <v>61</v>
      </c>
      <c r="B2" s="202" t="s">
        <v>62</v>
      </c>
      <c r="C2" s="203" t="s">
        <v>48</v>
      </c>
      <c r="D2" s="203" t="s">
        <v>63</v>
      </c>
      <c r="E2" s="205" t="s">
        <v>64</v>
      </c>
      <c r="F2" s="202"/>
      <c r="G2" s="202" t="s">
        <v>65</v>
      </c>
      <c r="H2" s="202"/>
      <c r="I2" s="206" t="s">
        <v>66</v>
      </c>
      <c r="J2" s="207"/>
      <c r="K2" s="206" t="s">
        <v>67</v>
      </c>
      <c r="L2" s="207"/>
      <c r="M2" s="205" t="s">
        <v>68</v>
      </c>
      <c r="N2" s="202"/>
      <c r="O2" s="208" t="s">
        <v>69</v>
      </c>
    </row>
    <row r="3" spans="1:16" ht="15" customHeight="1" x14ac:dyDescent="0.3">
      <c r="A3" s="201"/>
      <c r="B3" s="202"/>
      <c r="C3" s="204"/>
      <c r="D3" s="204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9"/>
    </row>
    <row r="4" spans="1:16" ht="15" customHeight="1" x14ac:dyDescent="0.3">
      <c r="A4" s="198" t="s">
        <v>170</v>
      </c>
      <c r="B4" s="19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90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2" t="s">
        <v>150</v>
      </c>
    </row>
    <row r="6" spans="1:16" ht="15" customHeight="1" x14ac:dyDescent="0.3">
      <c r="A6" s="191"/>
      <c r="B6" s="170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3"/>
    </row>
    <row r="7" spans="1:16" ht="15" customHeight="1" x14ac:dyDescent="0.3">
      <c r="A7" s="191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3"/>
      <c r="P7" s="120">
        <f>D6+D8+D10+D12</f>
        <v>35</v>
      </c>
    </row>
    <row r="8" spans="1:16" ht="15" customHeight="1" x14ac:dyDescent="0.3">
      <c r="A8" s="191"/>
      <c r="B8" s="82" t="s">
        <v>78</v>
      </c>
      <c r="C8" s="83" t="s">
        <v>75</v>
      </c>
      <c r="D8" s="84"/>
      <c r="E8" s="85"/>
      <c r="F8" s="85"/>
      <c r="G8" s="85"/>
      <c r="H8" s="85"/>
      <c r="I8" s="85"/>
      <c r="J8" s="85"/>
      <c r="K8" s="85"/>
      <c r="L8" s="85"/>
      <c r="M8" s="85"/>
      <c r="N8" s="85"/>
      <c r="O8" s="193"/>
    </row>
    <row r="9" spans="1:16" ht="15" customHeight="1" x14ac:dyDescent="0.3">
      <c r="A9" s="191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3"/>
    </row>
    <row r="10" spans="1:16" ht="15" customHeight="1" x14ac:dyDescent="0.3">
      <c r="A10" s="191"/>
      <c r="B10" s="82" t="s">
        <v>80</v>
      </c>
      <c r="C10" s="83" t="s">
        <v>75</v>
      </c>
      <c r="D10" s="84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193"/>
    </row>
    <row r="11" spans="1:16" ht="15" customHeight="1" x14ac:dyDescent="0.3">
      <c r="A11" s="191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3"/>
    </row>
    <row r="12" spans="1:16" ht="15" customHeight="1" x14ac:dyDescent="0.3">
      <c r="A12" s="191"/>
      <c r="B12" s="170" t="s">
        <v>168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3"/>
    </row>
    <row r="13" spans="1:16" ht="15" customHeight="1" x14ac:dyDescent="0.3">
      <c r="A13" s="113" t="s">
        <v>82</v>
      </c>
      <c r="B13" s="114"/>
      <c r="C13" s="115"/>
      <c r="D13" s="116">
        <f>SUM(D5:D12)</f>
        <v>171</v>
      </c>
      <c r="E13" s="125"/>
      <c r="F13" s="117">
        <f>SUM(F5:F12)</f>
        <v>180747</v>
      </c>
      <c r="G13" s="117"/>
      <c r="H13" s="117">
        <f>SUM(H5:H12)</f>
        <v>1608835.4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1789582.4</v>
      </c>
      <c r="O13" s="117"/>
    </row>
    <row r="14" spans="1:16" ht="15" customHeight="1" x14ac:dyDescent="0.3">
      <c r="A14" s="194" t="s">
        <v>151</v>
      </c>
      <c r="B14" s="82" t="s">
        <v>83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3"/>
    </row>
    <row r="15" spans="1:16" ht="15" customHeight="1" x14ac:dyDescent="0.3">
      <c r="A15" s="194"/>
      <c r="B15" s="82" t="s">
        <v>84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3"/>
    </row>
    <row r="16" spans="1:16" ht="15" customHeight="1" x14ac:dyDescent="0.3">
      <c r="A16" s="194"/>
      <c r="B16" s="82" t="s">
        <v>85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3"/>
    </row>
    <row r="17" spans="1:15" ht="15" customHeight="1" x14ac:dyDescent="0.3">
      <c r="A17" s="195"/>
      <c r="B17" s="82" t="s">
        <v>86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6"/>
    </row>
    <row r="18" spans="1:15" ht="15" customHeight="1" x14ac:dyDescent="0.3">
      <c r="A18" s="104" t="s">
        <v>82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147</v>
      </c>
      <c r="B20" s="137" t="s">
        <v>143</v>
      </c>
      <c r="C20" s="137" t="s">
        <v>142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97" t="s">
        <v>88</v>
      </c>
      <c r="B21" s="92" t="s">
        <v>89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97"/>
      <c r="B22" s="92" t="s">
        <v>90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97" t="s">
        <v>91</v>
      </c>
      <c r="B23" s="92" t="s">
        <v>89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97"/>
      <c r="B24" s="92" t="s">
        <v>90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145</v>
      </c>
      <c r="B25" s="137" t="s">
        <v>146</v>
      </c>
      <c r="C25" s="137" t="s">
        <v>142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9" t="s">
        <v>92</v>
      </c>
      <c r="B26" s="92" t="s">
        <v>93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9"/>
      <c r="B27" s="92" t="s">
        <v>94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9" t="s">
        <v>95</v>
      </c>
      <c r="B28" s="92" t="s">
        <v>93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9"/>
      <c r="B29" s="92" t="s">
        <v>96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97</v>
      </c>
      <c r="B31" s="82" t="s">
        <v>160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98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141</v>
      </c>
      <c r="B33" s="87"/>
      <c r="C33" s="88"/>
      <c r="D33" s="98"/>
      <c r="E33" s="100"/>
      <c r="F33" s="101">
        <f>F13+F18+F30+F32</f>
        <v>868963.4</v>
      </c>
      <c r="G33" s="101"/>
      <c r="H33" s="101">
        <f>H13+H18+H30+H32</f>
        <v>3182099.35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4051062.7499999995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10.3576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2025-04-28T04:55:15Z</dcterms:modified>
</cp:coreProperties>
</file>
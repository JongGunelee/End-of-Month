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 codeName="현재_통합_문서"/>
  <xr:revisionPtr revIDLastSave="0" documentId="13_ncr:1_{77845D8F-9AED-41DD-B4EF-59A786C351B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갑지" sheetId="5" r:id="rId1"/>
    <sheet name="내역서(표준단가)" sheetId="4" r:id="rId2"/>
    <sheet name="Upload" sheetId="1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4" l="1"/>
  <c r="A5" i="1" s="1"/>
  <c r="A7" i="4"/>
  <c r="A6" i="4"/>
  <c r="A3" i="1" s="1"/>
  <c r="F5" i="1"/>
  <c r="E5" i="1"/>
  <c r="D5" i="1"/>
  <c r="C5" i="1"/>
  <c r="B5" i="1"/>
  <c r="F4" i="1"/>
  <c r="E4" i="1"/>
  <c r="D4" i="1"/>
  <c r="C4" i="1"/>
  <c r="B4" i="1"/>
  <c r="A4" i="1"/>
  <c r="F3" i="1"/>
  <c r="E3" i="1"/>
  <c r="D3" i="1"/>
  <c r="C3" i="1"/>
  <c r="B3" i="1"/>
  <c r="F2" i="1"/>
  <c r="E2" i="1"/>
  <c r="D2" i="1"/>
  <c r="C2" i="1"/>
  <c r="B2" i="1"/>
  <c r="A5" i="4"/>
  <c r="A2" i="1" s="1"/>
  <c r="M8" i="4"/>
  <c r="M7" i="4"/>
  <c r="Q8" i="4"/>
  <c r="O8" i="4"/>
  <c r="K8" i="4"/>
  <c r="Q7" i="4"/>
  <c r="O7" i="4"/>
  <c r="K7" i="4"/>
  <c r="Q6" i="4"/>
  <c r="O6" i="4"/>
  <c r="M6" i="4"/>
  <c r="K6" i="4"/>
  <c r="Q5" i="4"/>
  <c r="O5" i="4"/>
  <c r="M5" i="4"/>
  <c r="K5" i="4"/>
  <c r="R5" i="4" l="1"/>
  <c r="R6" i="4"/>
  <c r="R8" i="4"/>
  <c r="R7" i="4"/>
  <c r="Q9" i="4" l="1"/>
  <c r="O9" i="4"/>
  <c r="M9" i="4"/>
  <c r="K9" i="4"/>
  <c r="K10" i="4" l="1"/>
  <c r="M10" i="4"/>
  <c r="F17" i="5" s="1"/>
  <c r="R9" i="4"/>
  <c r="F21" i="5" l="1"/>
  <c r="F22" i="5"/>
  <c r="R10" i="4"/>
  <c r="Q10" i="4"/>
  <c r="F16" i="5"/>
  <c r="O10" i="4"/>
  <c r="F18" i="5" l="1"/>
  <c r="F26" i="5" l="1"/>
  <c r="F19" i="5"/>
  <c r="F24" i="5"/>
  <c r="F25" i="5"/>
  <c r="F23" i="5"/>
  <c r="F27" i="5" l="1"/>
  <c r="F28" i="5" s="1"/>
  <c r="F30" i="5" s="1"/>
  <c r="F31" i="5" s="1"/>
  <c r="B12" i="5" s="1"/>
</calcChain>
</file>

<file path=xl/sharedStrings.xml><?xml version="1.0" encoding="utf-8"?>
<sst xmlns="http://schemas.openxmlformats.org/spreadsheetml/2006/main" count="121" uniqueCount="101">
  <si>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</si>
  <si>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</si>
  <si>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</si>
  <si>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</si>
  <si>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</si>
  <si>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</si>
  <si>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</si>
  <si>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</si>
  <si>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</si>
  <si>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</si>
  <si>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</si>
  <si>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</si>
  <si>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</si>
  <si>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</si>
  <si>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</si>
  <si>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</si>
  <si>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</si>
  <si>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</si>
  <si>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</si>
  <si>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</si>
  <si>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</si>
  <si>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</si>
  <si>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</si>
  <si>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</si>
  <si>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</si>
  <si>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</si>
  <si>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</si>
  <si>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</si>
  <si>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</si>
  <si>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</si>
  <si>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</si>
  <si>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</si>
  <si>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</si>
  <si>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</si>
  <si>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</si>
  <si>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 (재료비+노무비)*2.93%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</si>
  <si>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</si>
  <si>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</si>
  <si>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</si>
  <si>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</si>
  <si>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</si>
  <si>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</si>
  <si>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</si>
  <si>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</si>
  <si>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</si>
  <si>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</si>
  <si>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</si>
  <si>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</si>
  <si>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</si>
  <si>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</si>
  <si>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</si>
  <si>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</si>
  <si>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</si>
  <si>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</si>
  <si>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</si>
  <si>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</si>
  <si>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</si>
  <si>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</si>
  <si>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</si>
  <si>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</si>
  <si>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</si>
  <si>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</si>
  <si>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</si>
  <si>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</si>
  <si>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</si>
  <si>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</si>
  <si>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</si>
  <si>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</si>
  <si>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</si>
  <si>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</si>
  <si>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</si>
  <si>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</si>
  <si>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</si>
  <si>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</si>
  <si>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</si>
  <si>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</si>
  <si>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</si>
  <si>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</si>
  <si>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 노무비*4.75%</t>
    <phoneticPr fontId="13" type="noConversion"/>
  </si>
  <si>
    <t> 노무비*3.595%</t>
    <phoneticPr fontId="13" type="noConversion"/>
  </si>
  <si>
    <t>L003</t>
    <phoneticPr fontId="5" type="noConversion"/>
  </si>
  <si>
    <t>작업내용</t>
    <phoneticPr fontId="5" type="noConversion"/>
  </si>
  <si>
    <t>개</t>
  </si>
  <si>
    <r>
      <rPr>
        <sz val="10"/>
        <color indexed="8"/>
        <rFont val="Malgun Gothic"/>
        <family val="3"/>
        <charset val="129"/>
      </rPr>
      <t>개</t>
    </r>
  </si>
  <si>
    <t>M025501312640101</t>
  </si>
  <si>
    <t>KAC-20, (유리)</t>
  </si>
  <si>
    <t>M020491510060101</t>
  </si>
  <si>
    <t>방문경첩/목문경첩</t>
  </si>
  <si>
    <t>H03-033, 방문경첩 830-4035 블랙/화이트 3개입</t>
  </si>
  <si>
    <t>인</t>
    <phoneticPr fontId="5" type="noConversion"/>
  </si>
  <si>
    <t>2.화장실 도어 경첩 교체</t>
    <phoneticPr fontId="5" type="noConversion"/>
  </si>
  <si>
    <r>
      <t>코너선반</t>
    </r>
    <r>
      <rPr>
        <sz val="9"/>
        <color rgb="FFFF0000"/>
        <rFont val="Malgun Gothic"/>
        <family val="3"/>
        <charset val="129"/>
      </rPr>
      <t>(화장경 적용)</t>
    </r>
    <phoneticPr fontId="5" type="noConversion"/>
  </si>
  <si>
    <t>3.베란다 샷시 손잡이 파손 교체 1개소</t>
    <phoneticPr fontId="5" type="noConversion"/>
  </si>
  <si>
    <t xml:space="preserve"> 공사명 : 사택 8-204 화장경 교체외 기타작업</t>
    <phoneticPr fontId="11" type="noConversion"/>
  </si>
  <si>
    <t xml:space="preserve"> 견적일 : 2026년  07월  01일</t>
    <phoneticPr fontId="5" type="noConversion"/>
  </si>
  <si>
    <t>L030</t>
    <phoneticPr fontId="5" type="noConversion"/>
  </si>
  <si>
    <r>
      <t xml:space="preserve">화장경 및 경첩, 샤시 손잡이 교체(손잡이포함) 내장공, </t>
    </r>
    <r>
      <rPr>
        <sz val="10"/>
        <color rgb="FFFF0000"/>
        <rFont val="Malgun Gothic"/>
        <family val="3"/>
        <charset val="129"/>
      </rPr>
      <t>최소 인건비 적용</t>
    </r>
    <phoneticPr fontId="5" type="noConversion"/>
  </si>
  <si>
    <r>
      <t xml:space="preserve">화장경 및 경첩, 샤시 손잡이 교체(손잡이포함) 특별인부, </t>
    </r>
    <r>
      <rPr>
        <sz val="10"/>
        <color rgb="FFFF0000"/>
        <rFont val="Malgun Gothic"/>
        <family val="3"/>
        <charset val="129"/>
      </rPr>
      <t>최소 인건비 적용</t>
    </r>
    <phoneticPr fontId="5" type="noConversion"/>
  </si>
  <si>
    <t>내장공, 시중노임단가</t>
    <phoneticPr fontId="5" type="noConversion"/>
  </si>
  <si>
    <t>특별인부, 시중노임단가</t>
    <phoneticPr fontId="5" type="noConversion"/>
  </si>
  <si>
    <t>1.욕실 화장경 교체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</si>
</sst>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###,###,###,##0"/>
    <numFmt numFmtId="184" formatCode="#,##0.000_ "/>
    <numFmt numFmtId="185" formatCode="0.000_ "/>
    <numFmt numFmtId="186" formatCode="#,##0;\-#,##0;"/>
    <numFmt numFmtId="187" formatCode="0.000"/>
  </numFmts>
  <fonts count="37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FF0000"/>
      <name val="Malgun Gothic"/>
      <family val="3"/>
      <charset val="129"/>
    </font>
    <font>
      <sz val="10"/>
      <color rgb="FFFF0000"/>
      <name val="맑은 고딕"/>
      <family val="2"/>
      <charset val="129"/>
      <scheme val="minor"/>
    </font>
    <font>
      <sz val="12"/>
      <name val="LG스마트체 Regular"/>
      <family val="3"/>
      <charset val="129"/>
    </font>
    <font>
      <sz val="12"/>
      <color rgb="FFFF0000"/>
      <name val="LG스마트체 Regular"/>
      <family val="3"/>
      <charset val="129"/>
    </font>
    <font>
      <sz val="9"/>
      <color indexed="8"/>
      <name val="Malgun Gothic"/>
      <family val="3"/>
      <charset val="129"/>
    </font>
    <font>
      <sz val="10"/>
      <color rgb="FF000000"/>
      <name val="Malgun Gothic"/>
      <family val="3"/>
      <charset val="129"/>
    </font>
    <font>
      <sz val="10"/>
      <name val="Malgun Gothic"/>
      <family val="3"/>
      <charset val="129"/>
    </font>
    <font>
      <b/>
      <sz val="10"/>
      <color rgb="FF000000"/>
      <name val="Arial"/>
      <family val="2"/>
    </font>
    <font>
      <sz val="9"/>
      <color rgb="FF000000"/>
      <name val="Malgun Gothic"/>
      <family val="3"/>
      <charset val="129"/>
    </font>
    <font>
      <b/>
      <sz val="16"/>
      <color rgb="FF000000"/>
      <name val="굴림"/>
      <family val="3"/>
      <charset val="129"/>
    </font>
    <font>
      <sz val="16"/>
      <color rgb="FF000000"/>
      <name val="Arial"/>
      <family val="2"/>
    </font>
    <font>
      <sz val="10"/>
      <color indexed="8"/>
      <name val="Arial Narrow"/>
      <family val="2"/>
    </font>
    <font>
      <sz val="10"/>
      <color indexed="8"/>
      <name val="Malgun Gothic"/>
      <family val="3"/>
      <charset val="129"/>
    </font>
    <font>
      <sz val="9"/>
      <color rgb="FFFF0000"/>
      <name val="Malgun Gothic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4" fillId="0" borderId="0"/>
    <xf numFmtId="176" fontId="14" fillId="0" borderId="0" applyFont="0" applyFill="0" applyBorder="0" applyAlignment="0" applyProtection="0"/>
    <xf numFmtId="177" fontId="1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149">
    <xf numFmtId="0" fontId="0" fillId="0" borderId="0" xfId="0">
      <alignment vertical="center"/>
    </xf>
    <xf numFmtId="0" fontId="12" fillId="0" borderId="7" xfId="6" applyFont="1" applyBorder="1" applyAlignment="1">
      <alignment horizontal="right" vertical="center"/>
    </xf>
    <xf numFmtId="0" fontId="15" fillId="0" borderId="0" xfId="6" applyFont="1" applyAlignment="1">
      <alignment vertical="center"/>
    </xf>
    <xf numFmtId="0" fontId="16" fillId="0" borderId="0" xfId="3" applyFont="1"/>
    <xf numFmtId="0" fontId="17" fillId="0" borderId="5" xfId="6" applyFont="1" applyBorder="1" applyAlignment="1">
      <alignment horizontal="center" vertical="center"/>
    </xf>
    <xf numFmtId="0" fontId="12" fillId="0" borderId="6" xfId="6" applyFont="1" applyBorder="1" applyAlignment="1">
      <alignment horizontal="right" vertical="center"/>
    </xf>
    <xf numFmtId="0" fontId="12" fillId="5" borderId="25" xfId="6" applyFont="1" applyFill="1" applyBorder="1" applyAlignment="1">
      <alignment horizontal="center" vertical="center"/>
    </xf>
    <xf numFmtId="0" fontId="12" fillId="5" borderId="26" xfId="6" applyFont="1" applyFill="1" applyBorder="1" applyAlignment="1">
      <alignment vertical="center" shrinkToFit="1"/>
    </xf>
    <xf numFmtId="0" fontId="12" fillId="5" borderId="2" xfId="6" applyFont="1" applyFill="1" applyBorder="1" applyAlignment="1">
      <alignment horizontal="center" vertical="center"/>
    </xf>
    <xf numFmtId="0" fontId="12" fillId="5" borderId="27" xfId="6" applyFont="1" applyFill="1" applyBorder="1" applyAlignment="1">
      <alignment vertical="center" shrinkToFit="1"/>
    </xf>
    <xf numFmtId="0" fontId="18" fillId="0" borderId="0" xfId="6" applyFont="1" applyAlignment="1">
      <alignment vertical="center" shrinkToFit="1"/>
    </xf>
    <xf numFmtId="0" fontId="12" fillId="5" borderId="2" xfId="6" applyFont="1" applyFill="1" applyBorder="1" applyAlignment="1">
      <alignment horizontal="center" vertical="center" shrinkToFit="1"/>
    </xf>
    <xf numFmtId="0" fontId="12" fillId="0" borderId="2" xfId="6" applyFont="1" applyBorder="1" applyAlignment="1">
      <alignment horizontal="center" vertical="center"/>
    </xf>
    <xf numFmtId="0" fontId="12" fillId="0" borderId="27" xfId="6" applyFont="1" applyBorder="1" applyAlignment="1">
      <alignment vertical="center"/>
    </xf>
    <xf numFmtId="0" fontId="17" fillId="0" borderId="0" xfId="6" applyFont="1" applyAlignment="1">
      <alignment horizontal="center" vertical="center" shrinkToFit="1"/>
    </xf>
    <xf numFmtId="0" fontId="12" fillId="0" borderId="28" xfId="6" applyFont="1" applyBorder="1" applyAlignment="1">
      <alignment horizontal="center" vertical="center" shrinkToFit="1"/>
    </xf>
    <xf numFmtId="0" fontId="12" fillId="0" borderId="29" xfId="6" applyFont="1" applyBorder="1" applyAlignment="1">
      <alignment vertical="center" shrinkToFit="1"/>
    </xf>
    <xf numFmtId="0" fontId="18" fillId="0" borderId="7" xfId="6" applyFont="1" applyBorder="1" applyAlignment="1">
      <alignment vertical="center"/>
    </xf>
    <xf numFmtId="179" fontId="17" fillId="0" borderId="7" xfId="6" applyNumberFormat="1" applyFont="1" applyBorder="1" applyAlignment="1">
      <alignment vertical="center"/>
    </xf>
    <xf numFmtId="0" fontId="17" fillId="0" borderId="0" xfId="6" applyFont="1" applyAlignment="1">
      <alignment vertical="center" shrinkToFit="1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12" fillId="0" borderId="10" xfId="6" applyFont="1" applyBorder="1" applyAlignment="1">
      <alignment horizontal="center" vertical="center"/>
    </xf>
    <xf numFmtId="0" fontId="19" fillId="0" borderId="11" xfId="6" applyFont="1" applyBorder="1" applyAlignment="1">
      <alignment horizontal="center" vertical="center"/>
    </xf>
    <xf numFmtId="0" fontId="12" fillId="0" borderId="12" xfId="6" applyFont="1" applyBorder="1" applyAlignment="1">
      <alignment vertical="center"/>
    </xf>
    <xf numFmtId="0" fontId="19" fillId="0" borderId="12" xfId="6" applyFont="1" applyBorder="1" applyAlignment="1">
      <alignment vertical="center"/>
    </xf>
    <xf numFmtId="1" fontId="19" fillId="0" borderId="12" xfId="6" applyNumberFormat="1" applyFont="1" applyBorder="1" applyAlignment="1">
      <alignment horizontal="center" vertical="center"/>
    </xf>
    <xf numFmtId="180" fontId="19" fillId="0" borderId="12" xfId="7" applyFont="1" applyBorder="1" applyAlignment="1">
      <alignment horizontal="right" vertical="center"/>
    </xf>
    <xf numFmtId="0" fontId="19" fillId="0" borderId="13" xfId="6" applyFont="1" applyBorder="1" applyAlignment="1">
      <alignment vertical="center"/>
    </xf>
    <xf numFmtId="0" fontId="19" fillId="0" borderId="14" xfId="6" applyFont="1" applyBorder="1" applyAlignment="1">
      <alignment horizontal="center" vertical="center"/>
    </xf>
    <xf numFmtId="0" fontId="19" fillId="0" borderId="15" xfId="6" applyFont="1" applyBorder="1" applyAlignment="1">
      <alignment horizontal="center" vertical="center"/>
    </xf>
    <xf numFmtId="0" fontId="19" fillId="0" borderId="15" xfId="3" applyFont="1" applyBorder="1" applyAlignment="1">
      <alignment horizontal="center" vertical="center"/>
    </xf>
    <xf numFmtId="1" fontId="19" fillId="0" borderId="15" xfId="6" applyNumberFormat="1" applyFont="1" applyBorder="1" applyAlignment="1">
      <alignment horizontal="center" vertical="center"/>
    </xf>
    <xf numFmtId="180" fontId="19" fillId="0" borderId="15" xfId="7" applyFont="1" applyBorder="1" applyAlignment="1">
      <alignment horizontal="right" vertical="center"/>
    </xf>
    <xf numFmtId="0" fontId="19" fillId="0" borderId="16" xfId="6" quotePrefix="1" applyFont="1" applyBorder="1" applyAlignment="1">
      <alignment vertical="center"/>
    </xf>
    <xf numFmtId="0" fontId="19" fillId="0" borderId="16" xfId="6" applyFont="1" applyBorder="1" applyAlignment="1">
      <alignment vertical="center"/>
    </xf>
    <xf numFmtId="0" fontId="12" fillId="8" borderId="15" xfId="6" applyFont="1" applyFill="1" applyBorder="1" applyAlignment="1">
      <alignment vertical="center"/>
    </xf>
    <xf numFmtId="1" fontId="12" fillId="8" borderId="15" xfId="6" applyNumberFormat="1" applyFont="1" applyFill="1" applyBorder="1" applyAlignment="1">
      <alignment horizontal="center" vertical="center"/>
    </xf>
    <xf numFmtId="180" fontId="12" fillId="8" borderId="15" xfId="7" applyFont="1" applyFill="1" applyBorder="1" applyAlignment="1">
      <alignment horizontal="right" vertical="center"/>
    </xf>
    <xf numFmtId="0" fontId="12" fillId="0" borderId="15" xfId="6" applyFont="1" applyBorder="1" applyAlignment="1">
      <alignment vertical="center"/>
    </xf>
    <xf numFmtId="0" fontId="19" fillId="0" borderId="15" xfId="6" applyFont="1" applyBorder="1" applyAlignment="1">
      <alignment vertical="center"/>
    </xf>
    <xf numFmtId="180" fontId="12" fillId="0" borderId="15" xfId="7" applyFont="1" applyFill="1" applyBorder="1" applyAlignment="1">
      <alignment horizontal="right" vertical="center"/>
    </xf>
    <xf numFmtId="0" fontId="19" fillId="0" borderId="15" xfId="8" applyFont="1" applyBorder="1" applyAlignment="1">
      <alignment horizontal="center" vertical="center"/>
    </xf>
    <xf numFmtId="178" fontId="19" fillId="0" borderId="15" xfId="5" applyFont="1" applyFill="1" applyBorder="1" applyAlignment="1">
      <alignment horizontal="right" vertical="center"/>
    </xf>
    <xf numFmtId="0" fontId="19" fillId="5" borderId="16" xfId="6" applyFont="1" applyFill="1" applyBorder="1" applyAlignment="1">
      <alignment vertical="center"/>
    </xf>
    <xf numFmtId="0" fontId="19" fillId="0" borderId="15" xfId="3" applyFont="1" applyBorder="1" applyAlignment="1">
      <alignment horizontal="left" vertical="center"/>
    </xf>
    <xf numFmtId="9" fontId="12" fillId="8" borderId="15" xfId="3" applyNumberFormat="1" applyFont="1" applyFill="1" applyBorder="1" applyAlignment="1">
      <alignment horizontal="right" vertical="center"/>
    </xf>
    <xf numFmtId="1" fontId="12" fillId="8" borderId="15" xfId="9" applyNumberFormat="1" applyFont="1" applyFill="1" applyBorder="1" applyAlignment="1">
      <alignment horizontal="center" vertical="center"/>
    </xf>
    <xf numFmtId="177" fontId="12" fillId="8" borderId="15" xfId="7" applyNumberFormat="1" applyFont="1" applyFill="1" applyBorder="1" applyAlignment="1">
      <alignment horizontal="right" vertical="center"/>
    </xf>
    <xf numFmtId="9" fontId="19" fillId="0" borderId="15" xfId="3" applyNumberFormat="1" applyFont="1" applyBorder="1" applyAlignment="1">
      <alignment horizontal="right" vertical="center"/>
    </xf>
    <xf numFmtId="1" fontId="19" fillId="0" borderId="15" xfId="9" applyNumberFormat="1" applyFont="1" applyFill="1" applyBorder="1" applyAlignment="1">
      <alignment horizontal="center" vertical="center"/>
    </xf>
    <xf numFmtId="177" fontId="12" fillId="0" borderId="15" xfId="7" applyNumberFormat="1" applyFont="1" applyFill="1" applyBorder="1" applyAlignment="1">
      <alignment horizontal="right" vertical="center"/>
    </xf>
    <xf numFmtId="0" fontId="19" fillId="0" borderId="15" xfId="3" applyFont="1" applyBorder="1" applyAlignment="1">
      <alignment vertical="center"/>
    </xf>
    <xf numFmtId="180" fontId="19" fillId="5" borderId="15" xfId="7" applyFont="1" applyFill="1" applyBorder="1" applyAlignment="1">
      <alignment horizontal="right" vertical="center"/>
    </xf>
    <xf numFmtId="180" fontId="12" fillId="8" borderId="0" xfId="3" applyNumberFormat="1" applyFont="1" applyFill="1" applyAlignment="1">
      <alignment vertical="center"/>
    </xf>
    <xf numFmtId="0" fontId="12" fillId="0" borderId="17" xfId="6" applyFont="1" applyBorder="1" applyAlignment="1">
      <alignment horizontal="center" vertical="center" textRotation="255"/>
    </xf>
    <xf numFmtId="0" fontId="12" fillId="0" borderId="18" xfId="6" applyFont="1" applyBorder="1" applyAlignment="1">
      <alignment vertical="top"/>
    </xf>
    <xf numFmtId="0" fontId="19" fillId="0" borderId="19" xfId="6" applyFont="1" applyBorder="1" applyAlignment="1">
      <alignment vertical="center"/>
    </xf>
    <xf numFmtId="0" fontId="19" fillId="0" borderId="19" xfId="6" applyFont="1" applyBorder="1" applyAlignment="1">
      <alignment horizontal="right" vertical="center"/>
    </xf>
    <xf numFmtId="0" fontId="19" fillId="0" borderId="20" xfId="6" applyFont="1" applyBorder="1" applyAlignment="1">
      <alignment vertical="center"/>
    </xf>
    <xf numFmtId="0" fontId="12" fillId="0" borderId="0" xfId="10" applyFont="1"/>
    <xf numFmtId="181" fontId="17" fillId="0" borderId="0" xfId="1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20" fillId="0" borderId="0" xfId="0" applyNumberFormat="1" applyFont="1" applyAlignment="1">
      <alignment horizontal="center" vertical="center"/>
    </xf>
    <xf numFmtId="182" fontId="20" fillId="3" borderId="0" xfId="2" applyNumberFormat="1" applyFont="1" applyFill="1" applyAlignment="1">
      <alignment horizontal="center" vertical="center"/>
    </xf>
    <xf numFmtId="0" fontId="20" fillId="4" borderId="22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center" vertical="center"/>
    </xf>
    <xf numFmtId="177" fontId="20" fillId="4" borderId="3" xfId="4" applyFont="1" applyFill="1" applyBorder="1" applyAlignment="1">
      <alignment horizontal="center" vertical="center"/>
    </xf>
    <xf numFmtId="178" fontId="20" fillId="4" borderId="3" xfId="5" applyFont="1" applyFill="1" applyBorder="1" applyAlignment="1">
      <alignment horizontal="center" vertical="center"/>
    </xf>
    <xf numFmtId="0" fontId="16" fillId="6" borderId="22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177" fontId="16" fillId="6" borderId="3" xfId="1" applyFont="1" applyFill="1" applyBorder="1" applyAlignment="1">
      <alignment horizontal="center" vertical="center" wrapText="1"/>
    </xf>
    <xf numFmtId="177" fontId="16" fillId="0" borderId="3" xfId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0" fontId="17" fillId="0" borderId="0" xfId="0" applyFont="1">
      <alignment vertical="center"/>
    </xf>
    <xf numFmtId="49" fontId="16" fillId="7" borderId="3" xfId="0" applyNumberFormat="1" applyFont="1" applyFill="1" applyBorder="1" applyAlignment="1">
      <alignment horizontal="center" vertical="center"/>
    </xf>
    <xf numFmtId="49" fontId="16" fillId="2" borderId="1" xfId="0" applyNumberFormat="1" applyFont="1" applyFill="1" applyBorder="1" applyAlignment="1">
      <alignment horizontal="center" vertical="center" wrapText="1"/>
    </xf>
    <xf numFmtId="181" fontId="16" fillId="7" borderId="1" xfId="1" applyNumberFormat="1" applyFont="1" applyFill="1" applyBorder="1" applyAlignment="1">
      <alignment horizontal="center" vertical="center"/>
    </xf>
    <xf numFmtId="181" fontId="16" fillId="0" borderId="1" xfId="1" applyNumberFormat="1" applyFont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185" fontId="16" fillId="0" borderId="1" xfId="1" applyNumberFormat="1" applyFont="1" applyBorder="1" applyAlignment="1">
      <alignment horizontal="center" vertical="center"/>
    </xf>
    <xf numFmtId="184" fontId="16" fillId="0" borderId="3" xfId="1" applyNumberFormat="1" applyFont="1" applyFill="1" applyBorder="1" applyAlignment="1">
      <alignment horizontal="center" vertical="center"/>
    </xf>
    <xf numFmtId="49" fontId="16" fillId="5" borderId="3" xfId="0" applyNumberFormat="1" applyFont="1" applyFill="1" applyBorder="1" applyAlignment="1">
      <alignment horizontal="center" vertical="center"/>
    </xf>
    <xf numFmtId="183" fontId="16" fillId="5" borderId="3" xfId="0" applyNumberFormat="1" applyFont="1" applyFill="1" applyBorder="1" applyAlignment="1">
      <alignment horizontal="right" vertical="center" wrapText="1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49" fontId="21" fillId="5" borderId="3" xfId="0" applyNumberFormat="1" applyFont="1" applyFill="1" applyBorder="1" applyAlignment="1">
      <alignment horizontal="center" vertical="center"/>
    </xf>
    <xf numFmtId="186" fontId="16" fillId="5" borderId="3" xfId="0" applyNumberFormat="1" applyFont="1" applyFill="1" applyBorder="1" applyAlignment="1">
      <alignment horizontal="right" vertical="center" wrapText="1"/>
    </xf>
    <xf numFmtId="186" fontId="16" fillId="6" borderId="3" xfId="1" applyNumberFormat="1" applyFont="1" applyFill="1" applyBorder="1" applyAlignment="1">
      <alignment horizontal="right" vertical="center" wrapText="1"/>
    </xf>
    <xf numFmtId="186" fontId="16" fillId="0" borderId="3" xfId="1" applyNumberFormat="1" applyFont="1" applyFill="1" applyBorder="1" applyAlignment="1">
      <alignment horizontal="right" vertical="center" wrapText="1"/>
    </xf>
    <xf numFmtId="187" fontId="16" fillId="5" borderId="3" xfId="1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20" fillId="4" borderId="3" xfId="3" applyFont="1" applyFill="1" applyBorder="1" applyAlignment="1">
      <alignment horizontal="center" vertical="center" wrapText="1"/>
    </xf>
    <xf numFmtId="0" fontId="19" fillId="5" borderId="0" xfId="0" applyFont="1" applyFill="1" applyAlignment="1">
      <alignment vertical="center" wrapText="1"/>
    </xf>
    <xf numFmtId="0" fontId="20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20" fillId="9" borderId="24" xfId="0" applyFont="1" applyFill="1" applyBorder="1">
      <alignment vertical="center"/>
    </xf>
    <xf numFmtId="0" fontId="20" fillId="9" borderId="21" xfId="0" applyFont="1" applyFill="1" applyBorder="1">
      <alignment vertical="center"/>
    </xf>
    <xf numFmtId="0" fontId="21" fillId="0" borderId="0" xfId="0" applyFont="1">
      <alignment vertical="center"/>
    </xf>
    <xf numFmtId="0" fontId="16" fillId="5" borderId="3" xfId="0" applyFont="1" applyFill="1" applyBorder="1">
      <alignment vertical="center"/>
    </xf>
    <xf numFmtId="0" fontId="19" fillId="10" borderId="0" xfId="0" applyFont="1" applyFill="1">
      <alignment vertical="center"/>
    </xf>
    <xf numFmtId="0" fontId="19" fillId="5" borderId="0" xfId="0" applyFont="1" applyFill="1">
      <alignment vertical="center"/>
    </xf>
    <xf numFmtId="177" fontId="12" fillId="10" borderId="0" xfId="0" applyNumberFormat="1" applyFont="1" applyFill="1">
      <alignment vertical="center"/>
    </xf>
    <xf numFmtId="0" fontId="22" fillId="0" borderId="0" xfId="0" applyFont="1">
      <alignment vertical="center"/>
    </xf>
    <xf numFmtId="177" fontId="22" fillId="0" borderId="0" xfId="0" applyNumberFormat="1" applyFont="1">
      <alignment vertical="center"/>
    </xf>
    <xf numFmtId="0" fontId="19" fillId="0" borderId="0" xfId="0" applyFont="1">
      <alignment vertical="center"/>
    </xf>
    <xf numFmtId="0" fontId="20" fillId="5" borderId="0" xfId="0" applyFont="1" applyFill="1">
      <alignment vertical="center"/>
    </xf>
    <xf numFmtId="177" fontId="24" fillId="5" borderId="3" xfId="1" applyFont="1" applyFill="1" applyBorder="1" applyAlignment="1">
      <alignment horizontal="right"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  <xf numFmtId="177" fontId="23" fillId="5" borderId="3" xfId="1" applyFont="1" applyFill="1" applyBorder="1" applyAlignment="1">
      <alignment horizontal="center" vertical="center" wrapText="1"/>
    </xf>
    <xf numFmtId="0" fontId="25" fillId="0" borderId="15" xfId="8" applyFont="1" applyBorder="1" applyAlignment="1">
      <alignment horizontal="center" vertical="center"/>
    </xf>
    <xf numFmtId="0" fontId="26" fillId="0" borderId="15" xfId="6" applyFont="1" applyBorder="1" applyAlignment="1">
      <alignment vertical="center"/>
    </xf>
    <xf numFmtId="0" fontId="25" fillId="0" borderId="15" xfId="6" applyFont="1" applyBorder="1" applyAlignment="1">
      <alignment horizontal="center" vertical="center"/>
    </xf>
    <xf numFmtId="178" fontId="26" fillId="0" borderId="15" xfId="5" applyFont="1" applyFill="1" applyBorder="1" applyAlignment="1">
      <alignment horizontal="right" vertical="center"/>
    </xf>
    <xf numFmtId="0" fontId="25" fillId="5" borderId="15" xfId="8" applyFont="1" applyFill="1" applyBorder="1" applyAlignment="1">
      <alignment horizontal="center" vertical="center"/>
    </xf>
    <xf numFmtId="0" fontId="25" fillId="5" borderId="15" xfId="6" applyFont="1" applyFill="1" applyBorder="1" applyAlignment="1">
      <alignment horizontal="center" vertical="center"/>
    </xf>
    <xf numFmtId="178" fontId="26" fillId="5" borderId="15" xfId="5" applyFont="1" applyFill="1" applyBorder="1" applyAlignment="1">
      <alignment horizontal="right" vertical="center"/>
    </xf>
    <xf numFmtId="49" fontId="28" fillId="5" borderId="3" xfId="0" applyNumberFormat="1" applyFont="1" applyFill="1" applyBorder="1" applyAlignment="1">
      <alignment horizontal="center" vertical="center" wrapText="1"/>
    </xf>
    <xf numFmtId="49" fontId="29" fillId="5" borderId="3" xfId="0" applyNumberFormat="1" applyFont="1" applyFill="1" applyBorder="1" applyAlignment="1">
      <alignment horizontal="center" vertical="center" wrapText="1"/>
    </xf>
    <xf numFmtId="0" fontId="30" fillId="7" borderId="3" xfId="0" applyFont="1" applyFill="1" applyBorder="1" applyAlignment="1">
      <alignment horizontal="center" vertical="center"/>
    </xf>
    <xf numFmtId="49" fontId="31" fillId="7" borderId="3" xfId="0" applyNumberFormat="1" applyFont="1" applyFill="1" applyBorder="1" applyAlignment="1">
      <alignment horizontal="center" vertical="center"/>
    </xf>
    <xf numFmtId="49" fontId="28" fillId="7" borderId="3" xfId="0" applyNumberFormat="1" applyFont="1" applyFill="1" applyBorder="1" applyAlignment="1">
      <alignment horizontal="center" vertical="center" wrapText="1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34" fillId="5" borderId="3" xfId="0" applyFont="1" applyFill="1" applyBorder="1" applyAlignment="1">
      <alignment horizontal="center" vertical="center"/>
    </xf>
    <xf numFmtId="0" fontId="27" fillId="7" borderId="3" xfId="0" applyFont="1" applyFill="1" applyBorder="1" applyAlignment="1">
      <alignment horizontal="center" vertical="center"/>
    </xf>
    <xf numFmtId="0" fontId="27" fillId="5" borderId="3" xfId="0" applyFont="1" applyFill="1" applyBorder="1" applyAlignment="1">
      <alignment horizontal="center" vertical="center"/>
    </xf>
    <xf numFmtId="177" fontId="27" fillId="5" borderId="3" xfId="1" applyFont="1" applyFill="1" applyBorder="1" applyAlignment="1">
      <alignment horizontal="center" vertical="center"/>
    </xf>
    <xf numFmtId="0" fontId="32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16" fillId="0" borderId="30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9" borderId="3" xfId="0" applyFont="1" applyFill="1" applyBorder="1" applyAlignment="1">
      <alignment horizontal="center" vertical="center"/>
    </xf>
    <xf numFmtId="177" fontId="20" fillId="4" borderId="21" xfId="4" applyFont="1" applyFill="1" applyBorder="1" applyAlignment="1">
      <alignment horizontal="center" vertical="center"/>
    </xf>
    <xf numFmtId="178" fontId="20" fillId="4" borderId="21" xfId="5" applyFont="1" applyFill="1" applyBorder="1" applyAlignment="1">
      <alignment horizontal="center" vertical="center"/>
    </xf>
    <xf numFmtId="0" fontId="20" fillId="4" borderId="21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/>
    </xf>
    <xf numFmtId="0" fontId="20" fillId="4" borderId="3" xfId="3" applyFont="1" applyFill="1" applyBorder="1" applyAlignment="1">
      <alignment horizontal="center" vertical="center"/>
    </xf>
    <xf numFmtId="0" fontId="20" fillId="4" borderId="21" xfId="3" applyFont="1" applyFill="1" applyBorder="1" applyAlignment="1">
      <alignment horizontal="center" vertical="center" wrapText="1"/>
    </xf>
    <xf numFmtId="0" fontId="15" fillId="0" borderId="0" xfId="6" applyFont="1" applyAlignment="1">
      <alignment horizontal="center" vertical="center"/>
    </xf>
    <xf numFmtId="0" fontId="18" fillId="0" borderId="0" xfId="6" applyFont="1" applyAlignment="1">
      <alignment vertical="center"/>
    </xf>
    <xf numFmtId="0" fontId="17" fillId="0" borderId="0" xfId="6" applyFont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12" fillId="0" borderId="6" xfId="6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print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zoomScale="85" zoomScaleNormal="85" workbookViewId="0">
      <selection activeCell="J17" sqref="I17:J18"/>
    </sheetView>
  </sheetViews>
  <sheetFormatPr defaultColWidth="9" defaultRowHeight="12.7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>
      <c r="A2" s="143" t="s">
        <v>6</v>
      </c>
      <c r="B2" s="143"/>
      <c r="C2" s="143"/>
      <c r="D2" s="143"/>
      <c r="E2" s="143"/>
      <c r="F2" s="143"/>
      <c r="G2" s="143"/>
      <c r="H2" s="2"/>
    </row>
    <row r="3" spans="1:9" ht="14.25">
      <c r="A3" s="84"/>
      <c r="B3" s="84"/>
      <c r="C3" s="84"/>
      <c r="D3" s="84"/>
      <c r="E3" s="84"/>
      <c r="F3" s="84"/>
      <c r="G3" s="84"/>
      <c r="H3" s="84"/>
    </row>
    <row r="4" spans="1:9" ht="14.25">
      <c r="A4" s="84"/>
      <c r="B4" s="84"/>
      <c r="C4" s="84"/>
      <c r="D4" s="84"/>
      <c r="E4" s="84"/>
      <c r="H4" s="84"/>
    </row>
    <row r="5" spans="1:9" ht="27" customHeight="1">
      <c r="A5" s="85" t="s">
        <v>48</v>
      </c>
      <c r="B5" s="4"/>
      <c r="C5" s="5"/>
      <c r="D5" s="84"/>
      <c r="E5" s="84"/>
      <c r="F5" s="6" t="s">
        <v>38</v>
      </c>
      <c r="G5" s="7" t="s">
        <v>51</v>
      </c>
      <c r="H5" s="84"/>
    </row>
    <row r="6" spans="1:9" ht="27" customHeight="1">
      <c r="A6" s="84"/>
      <c r="B6" s="84"/>
      <c r="C6" s="84"/>
      <c r="D6" s="84"/>
      <c r="E6" s="84"/>
      <c r="F6" s="8" t="s">
        <v>41</v>
      </c>
      <c r="G6" s="9" t="s">
        <v>52</v>
      </c>
      <c r="H6" s="84"/>
    </row>
    <row r="7" spans="1:9" ht="27" customHeight="1">
      <c r="A7" s="146" t="s">
        <v>93</v>
      </c>
      <c r="B7" s="147"/>
      <c r="C7" s="148"/>
      <c r="D7" s="84"/>
      <c r="E7" s="10"/>
      <c r="F7" s="11" t="s">
        <v>42</v>
      </c>
      <c r="G7" s="9" t="s">
        <v>53</v>
      </c>
      <c r="H7" s="84"/>
    </row>
    <row r="8" spans="1:9" ht="27" customHeight="1">
      <c r="A8" s="84"/>
      <c r="B8" s="84"/>
      <c r="C8" s="84"/>
      <c r="D8" s="84"/>
      <c r="E8" s="84"/>
      <c r="F8" s="8" t="s">
        <v>43</v>
      </c>
      <c r="G8" s="9" t="s">
        <v>54</v>
      </c>
      <c r="H8" s="84"/>
    </row>
    <row r="9" spans="1:9" ht="27" customHeight="1">
      <c r="A9" s="85" t="s">
        <v>94</v>
      </c>
      <c r="B9" s="109"/>
      <c r="C9" s="110"/>
      <c r="D9" s="84"/>
      <c r="E9" s="84"/>
      <c r="F9" s="8" t="s">
        <v>44</v>
      </c>
      <c r="G9" s="9" t="s">
        <v>55</v>
      </c>
      <c r="H9" s="84"/>
    </row>
    <row r="10" spans="1:9" ht="27" customHeight="1">
      <c r="A10" s="84"/>
      <c r="B10" s="84"/>
      <c r="C10" s="84"/>
      <c r="D10" s="84"/>
      <c r="E10" s="84"/>
      <c r="F10" s="12" t="s">
        <v>39</v>
      </c>
      <c r="G10" s="13" t="s">
        <v>56</v>
      </c>
      <c r="H10" s="84"/>
      <c r="I10" s="84"/>
    </row>
    <row r="11" spans="1:9" ht="27" customHeight="1">
      <c r="A11" s="144"/>
      <c r="B11" s="145"/>
      <c r="C11" s="145"/>
      <c r="D11" s="84"/>
      <c r="E11" s="14"/>
      <c r="F11" s="15" t="s">
        <v>40</v>
      </c>
      <c r="G11" s="16" t="s">
        <v>57</v>
      </c>
      <c r="H11" s="14"/>
    </row>
    <row r="12" spans="1:9" ht="18.75" thickBot="1">
      <c r="A12" s="17" t="s">
        <v>7</v>
      </c>
      <c r="B12" s="17" t="str">
        <f>NUMBERSTRING(F31,1)</f>
        <v>육십일만팔천</v>
      </c>
      <c r="C12" s="18"/>
      <c r="D12" s="1" t="s">
        <v>8</v>
      </c>
      <c r="E12" s="1" t="s">
        <v>9</v>
      </c>
      <c r="F12" s="1" t="s">
        <v>9</v>
      </c>
      <c r="G12" s="1"/>
      <c r="H12" s="19"/>
    </row>
    <row r="13" spans="1:9" ht="15.75" thickTop="1" thickBot="1">
      <c r="A13" s="84"/>
      <c r="B13" s="84"/>
      <c r="C13" s="84"/>
      <c r="D13" s="84"/>
      <c r="E13" s="84"/>
      <c r="F13" s="84"/>
      <c r="G13" s="84"/>
      <c r="H13" s="19"/>
    </row>
    <row r="14" spans="1:9" ht="33" customHeight="1" thickBot="1">
      <c r="A14" s="20" t="s">
        <v>10</v>
      </c>
      <c r="B14" s="21" t="s">
        <v>11</v>
      </c>
      <c r="C14" s="21" t="s">
        <v>12</v>
      </c>
      <c r="D14" s="21" t="s">
        <v>13</v>
      </c>
      <c r="E14" s="21" t="s">
        <v>14</v>
      </c>
      <c r="F14" s="21" t="s">
        <v>15</v>
      </c>
      <c r="G14" s="22" t="s">
        <v>16</v>
      </c>
      <c r="H14" s="19"/>
    </row>
    <row r="15" spans="1:9" ht="33" customHeight="1" thickTop="1">
      <c r="A15" s="23"/>
      <c r="B15" s="24" t="s">
        <v>17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18</v>
      </c>
      <c r="C16" s="31"/>
      <c r="D16" s="32"/>
      <c r="E16" s="32"/>
      <c r="F16" s="33">
        <f>'내역서(표준단가)'!K10</f>
        <v>31897</v>
      </c>
      <c r="G16" s="34"/>
    </row>
    <row r="17" spans="1:7" ht="33" customHeight="1">
      <c r="A17" s="29"/>
      <c r="B17" s="30" t="s">
        <v>19</v>
      </c>
      <c r="C17" s="31"/>
      <c r="D17" s="32"/>
      <c r="E17" s="32"/>
      <c r="F17" s="33">
        <f>'내역서(표준단가)'!M10</f>
        <v>479721</v>
      </c>
      <c r="G17" s="35"/>
    </row>
    <row r="18" spans="1:7" ht="33" customHeight="1">
      <c r="A18" s="29"/>
      <c r="B18" s="30" t="s">
        <v>20</v>
      </c>
      <c r="C18" s="31"/>
      <c r="D18" s="32"/>
      <c r="E18" s="32"/>
      <c r="F18" s="33">
        <f>'내역서(표준단가)'!O10+'내역서(표준단가)'!Q10</f>
        <v>0</v>
      </c>
      <c r="G18" s="35"/>
    </row>
    <row r="19" spans="1:7" ht="33" customHeight="1">
      <c r="A19" s="29"/>
      <c r="B19" s="36" t="s">
        <v>21</v>
      </c>
      <c r="C19" s="36"/>
      <c r="D19" s="37"/>
      <c r="E19" s="37"/>
      <c r="F19" s="38">
        <f>F16+F17+F18</f>
        <v>511618</v>
      </c>
      <c r="G19" s="35"/>
    </row>
    <row r="20" spans="1:7" ht="33" customHeight="1">
      <c r="A20" s="29"/>
      <c r="B20" s="39" t="s">
        <v>22</v>
      </c>
      <c r="C20" s="40"/>
      <c r="D20" s="32"/>
      <c r="E20" s="32"/>
      <c r="F20" s="41"/>
      <c r="G20" s="35"/>
    </row>
    <row r="21" spans="1:7" ht="33" customHeight="1">
      <c r="A21" s="29"/>
      <c r="B21" s="112" t="s">
        <v>23</v>
      </c>
      <c r="C21" s="113" t="s">
        <v>78</v>
      </c>
      <c r="D21" s="114">
        <v>1</v>
      </c>
      <c r="E21" s="114" t="s">
        <v>24</v>
      </c>
      <c r="F21" s="115">
        <f>F17*4.75%</f>
        <v>22786.747500000001</v>
      </c>
      <c r="G21" s="35" t="s">
        <v>25</v>
      </c>
    </row>
    <row r="22" spans="1:7" ht="33" customHeight="1">
      <c r="A22" s="29"/>
      <c r="B22" s="116" t="s">
        <v>26</v>
      </c>
      <c r="C22" s="113" t="s">
        <v>79</v>
      </c>
      <c r="D22" s="117">
        <v>1</v>
      </c>
      <c r="E22" s="117" t="s">
        <v>24</v>
      </c>
      <c r="F22" s="118">
        <f>F17*3.595%</f>
        <v>17245.969950000002</v>
      </c>
      <c r="G22" s="44" t="s">
        <v>27</v>
      </c>
    </row>
    <row r="23" spans="1:7" ht="33" customHeight="1">
      <c r="A23" s="29"/>
      <c r="B23" s="42" t="s">
        <v>28</v>
      </c>
      <c r="C23" s="40" t="s">
        <v>49</v>
      </c>
      <c r="D23" s="30">
        <v>1</v>
      </c>
      <c r="E23" s="30" t="s">
        <v>24</v>
      </c>
      <c r="F23" s="43">
        <f>F22*12.95%</f>
        <v>2233.3531085250006</v>
      </c>
      <c r="G23" s="35" t="s">
        <v>27</v>
      </c>
    </row>
    <row r="24" spans="1:7" ht="33" customHeight="1">
      <c r="A24" s="29"/>
      <c r="B24" s="42" t="s">
        <v>29</v>
      </c>
      <c r="C24" s="40" t="s">
        <v>46</v>
      </c>
      <c r="D24" s="30">
        <v>1</v>
      </c>
      <c r="E24" s="30" t="s">
        <v>24</v>
      </c>
      <c r="F24" s="43">
        <f>F17*1.01%</f>
        <v>4845.1821</v>
      </c>
      <c r="G24" s="35" t="s">
        <v>27</v>
      </c>
    </row>
    <row r="25" spans="1:7" ht="33" customHeight="1">
      <c r="A25" s="29"/>
      <c r="B25" s="42" t="s">
        <v>30</v>
      </c>
      <c r="C25" s="40" t="s">
        <v>50</v>
      </c>
      <c r="D25" s="30">
        <v>1</v>
      </c>
      <c r="E25" s="30" t="s">
        <v>24</v>
      </c>
      <c r="F25" s="43">
        <f>F17*3.56%</f>
        <v>17078.067599999998</v>
      </c>
      <c r="G25" s="35" t="s">
        <v>27</v>
      </c>
    </row>
    <row r="26" spans="1:7" ht="33" customHeight="1">
      <c r="A26" s="29"/>
      <c r="B26" s="42" t="s">
        <v>31</v>
      </c>
      <c r="C26" s="45" t="s">
        <v>35</v>
      </c>
      <c r="D26" s="30">
        <v>1</v>
      </c>
      <c r="E26" s="30" t="s">
        <v>24</v>
      </c>
      <c r="F26" s="43">
        <f>(F16+F17)*2.93%</f>
        <v>14990.407400000002</v>
      </c>
      <c r="G26" s="35" t="s">
        <v>25</v>
      </c>
    </row>
    <row r="27" spans="1:7" ht="33" customHeight="1">
      <c r="A27" s="29"/>
      <c r="B27" s="42" t="s">
        <v>36</v>
      </c>
      <c r="C27" s="45" t="s">
        <v>37</v>
      </c>
      <c r="D27" s="30">
        <v>1</v>
      </c>
      <c r="E27" s="30" t="s">
        <v>24</v>
      </c>
      <c r="F27" s="43">
        <f>SUM(F17+F21+F22+F23+F24+F25+F26)*5%</f>
        <v>27945.03638292625</v>
      </c>
      <c r="G27" s="35"/>
    </row>
    <row r="28" spans="1:7" ht="33" customHeight="1">
      <c r="A28" s="29"/>
      <c r="B28" s="36" t="s">
        <v>32</v>
      </c>
      <c r="C28" s="46"/>
      <c r="D28" s="47"/>
      <c r="E28" s="37"/>
      <c r="F28" s="48">
        <f>F21+F22+F23+F24+F25+F26+F27</f>
        <v>107124.76404145124</v>
      </c>
      <c r="G28" s="35"/>
    </row>
    <row r="29" spans="1:7" ht="33" customHeight="1">
      <c r="A29" s="29"/>
      <c r="B29" s="40"/>
      <c r="C29" s="49"/>
      <c r="D29" s="50"/>
      <c r="E29" s="32"/>
      <c r="F29" s="51"/>
      <c r="G29" s="35"/>
    </row>
    <row r="30" spans="1:7" ht="33" customHeight="1">
      <c r="A30" s="29"/>
      <c r="B30" s="52"/>
      <c r="C30" s="49"/>
      <c r="D30" s="50"/>
      <c r="E30" s="32"/>
      <c r="F30" s="53">
        <f>F19+F28+F29</f>
        <v>618742.76404145127</v>
      </c>
      <c r="G30" s="35"/>
    </row>
    <row r="31" spans="1:7" ht="33" customHeight="1">
      <c r="A31" s="29"/>
      <c r="B31" s="36" t="s">
        <v>33</v>
      </c>
      <c r="C31" s="36"/>
      <c r="D31" s="37"/>
      <c r="E31" s="37"/>
      <c r="F31" s="54">
        <f>ROUNDDOWN(F30,-3)</f>
        <v>618000</v>
      </c>
      <c r="G31" s="35"/>
    </row>
    <row r="32" spans="1:7" ht="33" customHeight="1" thickBot="1">
      <c r="A32" s="55"/>
      <c r="B32" s="56" t="s">
        <v>34</v>
      </c>
      <c r="C32" s="57"/>
      <c r="D32" s="57"/>
      <c r="E32" s="57"/>
      <c r="F32" s="58"/>
      <c r="G32" s="59"/>
    </row>
    <row r="33" spans="2:2" ht="15.75">
      <c r="B33" s="60"/>
    </row>
    <row r="34" spans="2:2" ht="15.75">
      <c r="B34" s="60"/>
    </row>
  </sheetData>
  <mergeCells count="3">
    <mergeCell ref="A2:G2"/>
    <mergeCell ref="A11:C11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T14"/>
  <sheetViews>
    <sheetView showGridLines="0" tabSelected="1" zoomScale="90" zoomScaleNormal="90" workbookViewId="0">
      <pane ySplit="4" topLeftCell="A5" activePane="bottomLeft" state="frozen"/>
      <selection pane="bottomLeft" activeCell="K13" sqref="K13"/>
    </sheetView>
  </sheetViews>
  <sheetFormatPr defaultColWidth="9" defaultRowHeight="38.1" customHeight="1"/>
  <cols>
    <col min="1" max="1" width="20.5" style="107" bestFit="1" customWidth="1"/>
    <col min="2" max="2" width="9" style="96" customWidth="1"/>
    <col min="3" max="5" width="12.625" style="96" customWidth="1"/>
    <col min="6" max="7" width="30.625" style="92" customWidth="1"/>
    <col min="8" max="8" width="12.25" style="96" bestFit="1" customWidth="1"/>
    <col min="9" max="9" width="8.25" style="96" customWidth="1"/>
    <col min="10" max="10" width="10.625" style="96" bestFit="1" customWidth="1"/>
    <col min="11" max="11" width="12.75" style="96" bestFit="1" customWidth="1"/>
    <col min="12" max="12" width="12" style="96" bestFit="1" customWidth="1"/>
    <col min="13" max="13" width="15" style="96" bestFit="1" customWidth="1"/>
    <col min="14" max="14" width="9" style="96" customWidth="1"/>
    <col min="15" max="15" width="8.375" style="96" bestFit="1" customWidth="1"/>
    <col min="16" max="16" width="10.5" style="96" customWidth="1"/>
    <col min="17" max="17" width="8.375" style="96" bestFit="1" customWidth="1"/>
    <col min="18" max="18" width="15.625" style="96" bestFit="1" customWidth="1"/>
    <col min="19" max="19" width="10.625" style="62" bestFit="1" customWidth="1"/>
    <col min="20" max="20" width="8.5" style="96" bestFit="1" customWidth="1"/>
    <col min="21" max="16384" width="9" style="96"/>
  </cols>
  <sheetData>
    <row r="1" spans="1:20" ht="19.899999999999999" customHeight="1">
      <c r="A1" s="131"/>
      <c r="B1" s="131"/>
      <c r="C1" s="131"/>
      <c r="D1" s="131"/>
      <c r="E1" s="131"/>
      <c r="J1" s="62"/>
      <c r="K1" s="95" t="s">
        <v>58</v>
      </c>
      <c r="M1" s="95" t="s">
        <v>58</v>
      </c>
      <c r="O1" s="95" t="s">
        <v>58</v>
      </c>
      <c r="Q1" s="95" t="s">
        <v>58</v>
      </c>
    </row>
    <row r="2" spans="1:20" ht="19.899999999999999" customHeight="1" thickBot="1">
      <c r="A2" s="131"/>
      <c r="B2" s="131"/>
      <c r="C2" s="131"/>
      <c r="D2" s="131"/>
      <c r="E2" s="131"/>
      <c r="J2" s="63"/>
      <c r="K2" s="64">
        <v>0.83499999999999996</v>
      </c>
      <c r="M2" s="64">
        <v>0.83499999999999996</v>
      </c>
      <c r="O2" s="64">
        <v>0.83499999999999996</v>
      </c>
      <c r="Q2" s="64">
        <v>0.83499999999999996</v>
      </c>
    </row>
    <row r="3" spans="1:20" ht="19.899999999999999" customHeight="1">
      <c r="A3" s="97"/>
      <c r="B3" s="98" t="s">
        <v>59</v>
      </c>
      <c r="C3" s="98"/>
      <c r="D3" s="98"/>
      <c r="E3" s="98"/>
      <c r="F3" s="142" t="s">
        <v>60</v>
      </c>
      <c r="G3" s="142"/>
      <c r="H3" s="140" t="s">
        <v>47</v>
      </c>
      <c r="I3" s="140" t="s">
        <v>5</v>
      </c>
      <c r="J3" s="136" t="s">
        <v>61</v>
      </c>
      <c r="K3" s="136"/>
      <c r="L3" s="136" t="s">
        <v>62</v>
      </c>
      <c r="M3" s="136"/>
      <c r="N3" s="137" t="s">
        <v>63</v>
      </c>
      <c r="O3" s="137"/>
      <c r="P3" s="137" t="s">
        <v>64</v>
      </c>
      <c r="Q3" s="137"/>
      <c r="R3" s="138" t="s">
        <v>65</v>
      </c>
      <c r="S3" s="134" t="s">
        <v>66</v>
      </c>
      <c r="T3" s="132" t="s">
        <v>45</v>
      </c>
    </row>
    <row r="4" spans="1:20" ht="19.899999999999999" customHeight="1">
      <c r="A4" s="65" t="s">
        <v>67</v>
      </c>
      <c r="B4" s="66" t="s">
        <v>68</v>
      </c>
      <c r="C4" s="66" t="s">
        <v>69</v>
      </c>
      <c r="D4" s="66" t="s">
        <v>70</v>
      </c>
      <c r="E4" s="66" t="s">
        <v>71</v>
      </c>
      <c r="F4" s="93" t="s">
        <v>72</v>
      </c>
      <c r="G4" s="93" t="s">
        <v>73</v>
      </c>
      <c r="H4" s="141"/>
      <c r="I4" s="141"/>
      <c r="J4" s="67" t="s">
        <v>74</v>
      </c>
      <c r="K4" s="68" t="s">
        <v>75</v>
      </c>
      <c r="L4" s="67" t="s">
        <v>76</v>
      </c>
      <c r="M4" s="68" t="s">
        <v>75</v>
      </c>
      <c r="N4" s="68" t="s">
        <v>77</v>
      </c>
      <c r="O4" s="68" t="s">
        <v>75</v>
      </c>
      <c r="P4" s="68" t="s">
        <v>77</v>
      </c>
      <c r="Q4" s="68" t="s">
        <v>75</v>
      </c>
      <c r="R4" s="139"/>
      <c r="S4" s="135"/>
      <c r="T4" s="133"/>
    </row>
    <row r="5" spans="1:20" s="99" customFormat="1" ht="38.1" customHeight="1">
      <c r="A5" s="69" t="str">
        <f t="shared" ref="A5:A8" si="0">B5&amp;C5&amp;D5&amp;E5</f>
        <v>M025501312640101</v>
      </c>
      <c r="B5" s="75"/>
      <c r="C5" s="70"/>
      <c r="D5" s="127" t="s">
        <v>84</v>
      </c>
      <c r="E5" s="75"/>
      <c r="F5" s="128" t="s">
        <v>91</v>
      </c>
      <c r="G5" s="128" t="s">
        <v>85</v>
      </c>
      <c r="H5" s="126" t="s">
        <v>83</v>
      </c>
      <c r="I5" s="90">
        <v>1</v>
      </c>
      <c r="J5" s="129">
        <v>33000</v>
      </c>
      <c r="K5" s="71">
        <f t="shared" ref="K5" si="1">SUM(J5:J5)*I5*$K$2</f>
        <v>27555</v>
      </c>
      <c r="L5" s="108"/>
      <c r="M5" s="71">
        <f t="shared" ref="M5:M6" si="2">(L5*I5)*$M$2</f>
        <v>0</v>
      </c>
      <c r="N5" s="72"/>
      <c r="O5" s="71">
        <f t="shared" ref="O5:O8" si="3">N5*I5*$O$2</f>
        <v>0</v>
      </c>
      <c r="P5" s="72"/>
      <c r="Q5" s="71">
        <f t="shared" ref="Q5:Q8" si="4">P5*I5*$Q$2</f>
        <v>0</v>
      </c>
      <c r="R5" s="72">
        <f t="shared" ref="R5:R8" si="5">SUM(K5+M5)+O5+Q5</f>
        <v>27555</v>
      </c>
      <c r="S5" s="81"/>
      <c r="T5" s="73"/>
    </row>
    <row r="6" spans="1:20" s="99" customFormat="1" ht="38.1" customHeight="1">
      <c r="A6" s="69" t="str">
        <f t="shared" si="0"/>
        <v>M020491510060101</v>
      </c>
      <c r="B6" s="75"/>
      <c r="C6" s="70"/>
      <c r="D6" s="127" t="s">
        <v>86</v>
      </c>
      <c r="E6" s="75"/>
      <c r="F6" s="128" t="s">
        <v>87</v>
      </c>
      <c r="G6" s="128" t="s">
        <v>88</v>
      </c>
      <c r="H6" s="128" t="s">
        <v>82</v>
      </c>
      <c r="I6" s="90">
        <v>1</v>
      </c>
      <c r="J6" s="129">
        <v>5200</v>
      </c>
      <c r="K6" s="71">
        <f t="shared" ref="K6" si="6">SUM(J6:J6)*I6*$K$2</f>
        <v>4342</v>
      </c>
      <c r="L6" s="108"/>
      <c r="M6" s="71">
        <f t="shared" si="2"/>
        <v>0</v>
      </c>
      <c r="N6" s="72"/>
      <c r="O6" s="71">
        <f t="shared" si="3"/>
        <v>0</v>
      </c>
      <c r="P6" s="72"/>
      <c r="Q6" s="71">
        <f t="shared" si="4"/>
        <v>0</v>
      </c>
      <c r="R6" s="72">
        <f t="shared" si="5"/>
        <v>4342</v>
      </c>
      <c r="S6" s="81"/>
      <c r="T6" s="73"/>
    </row>
    <row r="7" spans="1:20" s="99" customFormat="1" ht="38.1" customHeight="1">
      <c r="A7" s="69" t="str">
        <f t="shared" si="0"/>
        <v>L030</v>
      </c>
      <c r="B7" s="75"/>
      <c r="C7" s="70"/>
      <c r="D7" s="122"/>
      <c r="E7" s="123" t="s">
        <v>95</v>
      </c>
      <c r="F7" s="119" t="s">
        <v>96</v>
      </c>
      <c r="G7" s="120" t="s">
        <v>98</v>
      </c>
      <c r="H7" s="86" t="s">
        <v>89</v>
      </c>
      <c r="I7" s="90">
        <v>1</v>
      </c>
      <c r="J7" s="111"/>
      <c r="K7" s="88">
        <f t="shared" ref="K7:K8" si="7">SUM(J7:J7)*I7*$K$2</f>
        <v>0</v>
      </c>
      <c r="L7" s="87">
        <v>255231</v>
      </c>
      <c r="M7" s="88">
        <f>I7*L7</f>
        <v>255231</v>
      </c>
      <c r="N7" s="89"/>
      <c r="O7" s="88">
        <f t="shared" si="3"/>
        <v>0</v>
      </c>
      <c r="P7" s="89"/>
      <c r="Q7" s="88">
        <f t="shared" si="4"/>
        <v>0</v>
      </c>
      <c r="R7" s="72">
        <f t="shared" si="5"/>
        <v>255231</v>
      </c>
      <c r="S7" s="81"/>
      <c r="T7" s="73"/>
    </row>
    <row r="8" spans="1:20" s="99" customFormat="1" ht="38.1" customHeight="1">
      <c r="A8" s="69" t="str">
        <f t="shared" si="0"/>
        <v>L003</v>
      </c>
      <c r="B8" s="75"/>
      <c r="C8" s="70"/>
      <c r="D8" s="121"/>
      <c r="E8" s="123" t="s">
        <v>80</v>
      </c>
      <c r="F8" s="119" t="s">
        <v>97</v>
      </c>
      <c r="G8" s="120" t="s">
        <v>99</v>
      </c>
      <c r="H8" s="82" t="s">
        <v>89</v>
      </c>
      <c r="I8" s="90">
        <v>1</v>
      </c>
      <c r="J8" s="100"/>
      <c r="K8" s="71">
        <f t="shared" si="7"/>
        <v>0</v>
      </c>
      <c r="L8" s="87">
        <v>224490</v>
      </c>
      <c r="M8" s="88">
        <f>I8*L8</f>
        <v>224490</v>
      </c>
      <c r="N8" s="72"/>
      <c r="O8" s="71">
        <f t="shared" si="3"/>
        <v>0</v>
      </c>
      <c r="P8" s="72"/>
      <c r="Q8" s="71">
        <f t="shared" si="4"/>
        <v>0</v>
      </c>
      <c r="R8" s="72">
        <f t="shared" si="5"/>
        <v>224490</v>
      </c>
      <c r="S8" s="81"/>
      <c r="T8" s="73"/>
    </row>
    <row r="9" spans="1:20" s="99" customFormat="1" ht="38.1" customHeight="1">
      <c r="A9" s="69"/>
      <c r="B9" s="75"/>
      <c r="C9" s="70"/>
      <c r="D9" s="70"/>
      <c r="E9" s="75"/>
      <c r="F9" s="91"/>
      <c r="G9" s="91"/>
      <c r="H9" s="82"/>
      <c r="I9" s="90"/>
      <c r="J9" s="83"/>
      <c r="K9" s="71">
        <f t="shared" ref="K9" si="8">SUM(J9:J9)*I9*$K$2</f>
        <v>0</v>
      </c>
      <c r="L9" s="108"/>
      <c r="M9" s="71">
        <f t="shared" ref="M9" si="9">(L9*I9)*$M$2</f>
        <v>0</v>
      </c>
      <c r="N9" s="72"/>
      <c r="O9" s="71">
        <f t="shared" ref="O9" si="10">N9*I9*$O$2</f>
        <v>0</v>
      </c>
      <c r="P9" s="72"/>
      <c r="Q9" s="71">
        <f t="shared" ref="Q9" si="11">P9*I9*$Q$2</f>
        <v>0</v>
      </c>
      <c r="R9" s="72">
        <f t="shared" ref="R9" si="12">SUM(K9+M9)+O9+Q9</f>
        <v>0</v>
      </c>
      <c r="S9" s="81"/>
      <c r="T9" s="73"/>
    </row>
    <row r="10" spans="1:20" s="106" customFormat="1" ht="38.1" customHeight="1">
      <c r="A10" s="101"/>
      <c r="B10" s="102"/>
      <c r="C10" s="102"/>
      <c r="D10" s="102"/>
      <c r="E10" s="102"/>
      <c r="F10" s="94"/>
      <c r="G10" s="94"/>
      <c r="H10" s="102"/>
      <c r="I10" s="102"/>
      <c r="J10" s="102"/>
      <c r="K10" s="103">
        <f>SUM(K5:K9)</f>
        <v>31897</v>
      </c>
      <c r="L10" s="104"/>
      <c r="M10" s="103">
        <f>SUM(M5:M9)</f>
        <v>479721</v>
      </c>
      <c r="N10" s="104"/>
      <c r="O10" s="103">
        <f>SUM(O5:O9)</f>
        <v>0</v>
      </c>
      <c r="P10" s="104"/>
      <c r="Q10" s="103">
        <f>SUM(Q5:Q9)</f>
        <v>0</v>
      </c>
      <c r="R10" s="105">
        <f>SUM(R5:R9)</f>
        <v>511618</v>
      </c>
      <c r="S10" s="79"/>
      <c r="T10" s="102"/>
    </row>
    <row r="11" spans="1:20" ht="38.1" customHeight="1">
      <c r="F11" s="124" t="s">
        <v>81</v>
      </c>
      <c r="G11" s="125"/>
    </row>
    <row r="12" spans="1:20" ht="38.1" customHeight="1">
      <c r="F12" s="130" t="s">
        <v>100</v>
      </c>
      <c r="G12" s="130"/>
    </row>
    <row r="13" spans="1:20" ht="38.1" customHeight="1">
      <c r="F13" s="130" t="s">
        <v>90</v>
      </c>
      <c r="G13" s="130"/>
    </row>
    <row r="14" spans="1:20" ht="38.1" customHeight="1">
      <c r="F14" s="130" t="s">
        <v>92</v>
      </c>
      <c r="G14" s="130"/>
    </row>
  </sheetData>
  <mergeCells count="15">
    <mergeCell ref="F12:G12"/>
    <mergeCell ref="F13:G13"/>
    <mergeCell ref="F14:G14"/>
    <mergeCell ref="A1:E1"/>
    <mergeCell ref="T3:T4"/>
    <mergeCell ref="A2:E2"/>
    <mergeCell ref="S3:S4"/>
    <mergeCell ref="L3:M3"/>
    <mergeCell ref="N3:O3"/>
    <mergeCell ref="P3:Q3"/>
    <mergeCell ref="R3:R4"/>
    <mergeCell ref="H3:H4"/>
    <mergeCell ref="I3:I4"/>
    <mergeCell ref="J3:K3"/>
    <mergeCell ref="F3:G3"/>
  </mergeCells>
  <phoneticPr fontId="5" type="noConversion"/>
  <pageMargins left="0.7" right="0.7" top="0.75" bottom="0.75" header="0.3" footer="0.3"/>
  <pageSetup paperSize="9" scale="3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/>
  <dimension ref="A1:F5"/>
  <sheetViews>
    <sheetView showGridLines="0" zoomScaleNormal="100" workbookViewId="0">
      <selection activeCell="E28" sqref="E28"/>
    </sheetView>
  </sheetViews>
  <sheetFormatPr defaultColWidth="9" defaultRowHeight="14.25"/>
  <cols>
    <col min="1" max="1" width="25.125" style="61" customWidth="1"/>
    <col min="2" max="2" width="16.25" style="61" customWidth="1"/>
    <col min="3" max="3" width="22.375" style="61" customWidth="1"/>
    <col min="4" max="4" width="24.125" style="61" customWidth="1"/>
    <col min="5" max="5" width="13" style="61" customWidth="1"/>
    <col min="6" max="6" width="9" style="61" customWidth="1"/>
    <col min="7" max="16384" width="9" style="74"/>
  </cols>
  <sheetData>
    <row r="1" spans="1:6" ht="18" customHeight="1">
      <c r="A1" s="76" t="s">
        <v>0</v>
      </c>
      <c r="B1" s="76" t="s">
        <v>1</v>
      </c>
      <c r="C1" s="76" t="s">
        <v>2</v>
      </c>
      <c r="D1" s="76" t="s">
        <v>3</v>
      </c>
      <c r="E1" s="76" t="s">
        <v>4</v>
      </c>
      <c r="F1" s="76" t="s">
        <v>5</v>
      </c>
    </row>
    <row r="2" spans="1:6">
      <c r="A2" s="77" t="str">
        <f>'내역서(표준단가)'!A5</f>
        <v>M025501312640101</v>
      </c>
      <c r="B2" s="78">
        <f>'내역서(표준단가)'!B5</f>
        <v>0</v>
      </c>
      <c r="C2" s="78">
        <f>'내역서(표준단가)'!C5</f>
        <v>0</v>
      </c>
      <c r="D2" s="78" t="str">
        <f>'내역서(표준단가)'!D5</f>
        <v>M025501312640101</v>
      </c>
      <c r="E2" s="78">
        <f>'내역서(표준단가)'!E5</f>
        <v>0</v>
      </c>
      <c r="F2" s="80">
        <f>'내역서(표준단가)'!I5</f>
        <v>1</v>
      </c>
    </row>
    <row r="3" spans="1:6">
      <c r="A3" s="77" t="str">
        <f>'내역서(표준단가)'!A6</f>
        <v>M020491510060101</v>
      </c>
      <c r="B3" s="78">
        <f>'내역서(표준단가)'!B6</f>
        <v>0</v>
      </c>
      <c r="C3" s="78">
        <f>'내역서(표준단가)'!C6</f>
        <v>0</v>
      </c>
      <c r="D3" s="78" t="str">
        <f>'내역서(표준단가)'!D6</f>
        <v>M020491510060101</v>
      </c>
      <c r="E3" s="78">
        <f>'내역서(표준단가)'!E6</f>
        <v>0</v>
      </c>
      <c r="F3" s="80">
        <f>'내역서(표준단가)'!I6</f>
        <v>1</v>
      </c>
    </row>
    <row r="4" spans="1:6">
      <c r="A4" s="77" t="str">
        <f>'내역서(표준단가)'!A7</f>
        <v>L030</v>
      </c>
      <c r="B4" s="78">
        <f>'내역서(표준단가)'!B7</f>
        <v>0</v>
      </c>
      <c r="C4" s="78">
        <f>'내역서(표준단가)'!C7</f>
        <v>0</v>
      </c>
      <c r="D4" s="78">
        <f>'내역서(표준단가)'!D7</f>
        <v>0</v>
      </c>
      <c r="E4" s="78" t="str">
        <f>'내역서(표준단가)'!E7</f>
        <v>L030</v>
      </c>
      <c r="F4" s="80">
        <f>'내역서(표준단가)'!I7</f>
        <v>1</v>
      </c>
    </row>
    <row r="5" spans="1:6">
      <c r="A5" s="77" t="str">
        <f>'내역서(표준단가)'!A8</f>
        <v>L003</v>
      </c>
      <c r="B5" s="78">
        <f>'내역서(표준단가)'!B8</f>
        <v>0</v>
      </c>
      <c r="C5" s="78">
        <f>'내역서(표준단가)'!C8</f>
        <v>0</v>
      </c>
      <c r="D5" s="78">
        <f>'내역서(표준단가)'!D8</f>
        <v>0</v>
      </c>
      <c r="E5" s="78" t="str">
        <f>'내역서(표준단가)'!E8</f>
        <v>L003</v>
      </c>
      <c r="F5" s="80">
        <f>'내역서(표준단가)'!I8</f>
        <v>1</v>
      </c>
    </row>
  </sheetData>
  <phoneticPr fontId="5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2026-01-20T04:06:14Z</dcterms:created>
  <dcterms:modified xsi:type="dcterms:W3CDTF">2026-07-02T03:42:53Z</dcterms:modified>
</cp:coreProperties>
</file>